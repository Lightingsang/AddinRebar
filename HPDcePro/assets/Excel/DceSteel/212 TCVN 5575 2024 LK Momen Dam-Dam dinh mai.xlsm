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an\Downloads\Send Duy\"/>
    </mc:Choice>
  </mc:AlternateContent>
  <xr:revisionPtr revIDLastSave="0" documentId="13_ncr:1_{59B37631-6ED5-4B7E-85AD-F4FA30D99DC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al" sheetId="2" r:id="rId2"/>
  </sheets>
  <functionGroups builtInGroupCount="19"/>
  <definedNames>
    <definedName name="_xlnm._FilterDatabase" localSheetId="1" hidden="1">Cal!#REF!</definedName>
    <definedName name="_xleta.COT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SINGLE" hidden="1" xlm="1">#NAME?</definedName>
    <definedName name="_xlnm.Print_Area" localSheetId="1">Cal!$A$2:$CE$150</definedName>
    <definedName name="Z_811F7E87_3F01_4CA8_BC58_02D3A05CE88F_.wvu.Cols" localSheetId="1" hidden="1">Cal!$T:$Y,Cal!$CK:$DH</definedName>
    <definedName name="Z_811F7E87_3F01_4CA8_BC58_02D3A05CE88F_.wvu.Rows" localSheetId="1" hidden="1">Cal!$1:$10</definedName>
  </definedNames>
  <calcPr calcId="191029"/>
  <customWorkbookViews>
    <customWorkbookView name="PrintArr" guid="{811F7E87-3F01-4CA8-BC58-02D3A05CE88F}" maximized="1" xWindow="-8" yWindow="-8" windowWidth="1936" windowHeight="1048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V238" i="2" l="1"/>
  <c r="BX238" i="2" s="1"/>
  <c r="BX237" i="2"/>
  <c r="BV237" i="2"/>
  <c r="BV236" i="2"/>
  <c r="BV235" i="2"/>
  <c r="BX234" i="2"/>
  <c r="BV234" i="2"/>
  <c r="BX233" i="2"/>
  <c r="BV233" i="2"/>
  <c r="BK233" i="2"/>
  <c r="BX232" i="2"/>
  <c r="BV232" i="2"/>
  <c r="BV231" i="2"/>
  <c r="BX231" i="2" s="1"/>
  <c r="BX230" i="2"/>
  <c r="BV230" i="2"/>
  <c r="BV229" i="2"/>
  <c r="BX229" i="2" s="1"/>
  <c r="BV228" i="2"/>
  <c r="BX228" i="2" s="1"/>
  <c r="BX227" i="2"/>
  <c r="BV227" i="2"/>
  <c r="BV226" i="2"/>
  <c r="BX226" i="2" s="1"/>
  <c r="BV225" i="2"/>
  <c r="BV224" i="2"/>
  <c r="BX223" i="2"/>
  <c r="BV223" i="2"/>
  <c r="BV222" i="2"/>
  <c r="BV221" i="2"/>
  <c r="BX221" i="2" s="1"/>
  <c r="BX220" i="2"/>
  <c r="BV220" i="2"/>
  <c r="BV219" i="2"/>
  <c r="BV218" i="2"/>
  <c r="BX218" i="2" s="1"/>
  <c r="BX217" i="2"/>
  <c r="BV217" i="2"/>
  <c r="BX216" i="2"/>
  <c r="BV216" i="2"/>
  <c r="BX215" i="2"/>
  <c r="BV215" i="2"/>
  <c r="BV214" i="2"/>
  <c r="BX213" i="2"/>
  <c r="BV213" i="2"/>
  <c r="BV212" i="2"/>
  <c r="BX212" i="2" s="1"/>
  <c r="BX211" i="2"/>
  <c r="BV211" i="2"/>
  <c r="BX210" i="2"/>
  <c r="BV210" i="2"/>
  <c r="BV209" i="2"/>
  <c r="BX208" i="2"/>
  <c r="BV208" i="2"/>
  <c r="BX207" i="2"/>
  <c r="BV207" i="2"/>
  <c r="BV206" i="2"/>
  <c r="BX206" i="2" s="1"/>
  <c r="BV205" i="2"/>
  <c r="BX204" i="2"/>
  <c r="BV204" i="2"/>
  <c r="BX203" i="2"/>
  <c r="BV203" i="2"/>
  <c r="BX202" i="2"/>
  <c r="BV202" i="2"/>
  <c r="BV201" i="2"/>
  <c r="BX200" i="2"/>
  <c r="BV200" i="2"/>
  <c r="BV199" i="2"/>
  <c r="BX199" i="2" s="1"/>
  <c r="BV198" i="2"/>
  <c r="BX198" i="2" s="1"/>
  <c r="BX197" i="2"/>
  <c r="BV197" i="2"/>
  <c r="BB197" i="2"/>
  <c r="BV196" i="2"/>
  <c r="BX196" i="2" s="1"/>
  <c r="BX195" i="2"/>
  <c r="BV195" i="2"/>
  <c r="BV194" i="2"/>
  <c r="BX193" i="2"/>
  <c r="BW193" i="2"/>
  <c r="BY193" i="2" s="1"/>
  <c r="BV193" i="2"/>
  <c r="BX192" i="2"/>
  <c r="BV192" i="2"/>
  <c r="BX191" i="2"/>
  <c r="BV191" i="2"/>
  <c r="BX190" i="2"/>
  <c r="BV190" i="2"/>
  <c r="BX189" i="2"/>
  <c r="BV189" i="2"/>
  <c r="BV188" i="2"/>
  <c r="BX188" i="2" s="1"/>
  <c r="BX187" i="2"/>
  <c r="BV187" i="2"/>
  <c r="BV186" i="2"/>
  <c r="BX186" i="2" s="1"/>
  <c r="BV185" i="2"/>
  <c r="BX185" i="2" s="1"/>
  <c r="BV184" i="2"/>
  <c r="BX184" i="2" s="1"/>
  <c r="BV183" i="2"/>
  <c r="BX183" i="2" s="1"/>
  <c r="BX182" i="2"/>
  <c r="BV182" i="2"/>
  <c r="BV181" i="2"/>
  <c r="BV180" i="2"/>
  <c r="BX180" i="2" s="1"/>
  <c r="BV179" i="2"/>
  <c r="BX179" i="2" s="1"/>
  <c r="BV178" i="2"/>
  <c r="BX178" i="2" s="1"/>
  <c r="BK178" i="2"/>
  <c r="BV177" i="2"/>
  <c r="BX177" i="2" s="1"/>
  <c r="BV176" i="2"/>
  <c r="BX176" i="2" s="1"/>
  <c r="BV175" i="2"/>
  <c r="BX175" i="2" s="1"/>
  <c r="BX174" i="2"/>
  <c r="BV174" i="2"/>
  <c r="BX173" i="2"/>
  <c r="BV173" i="2"/>
  <c r="BX172" i="2"/>
  <c r="BV172" i="2"/>
  <c r="BV171" i="2"/>
  <c r="BV170" i="2"/>
  <c r="BX170" i="2" s="1"/>
  <c r="BV169" i="2"/>
  <c r="BX169" i="2" s="1"/>
  <c r="BX168" i="2"/>
  <c r="BV168" i="2"/>
  <c r="BV167" i="2"/>
  <c r="BW167" i="2" s="1"/>
  <c r="BV166" i="2"/>
  <c r="BX166" i="2" s="1"/>
  <c r="BE166" i="2"/>
  <c r="BH166" i="2" s="1"/>
  <c r="BV165" i="2"/>
  <c r="BX165" i="2" s="1"/>
  <c r="BK165" i="2"/>
  <c r="BX164" i="2"/>
  <c r="BV164" i="2"/>
  <c r="BX163" i="2"/>
  <c r="BV163" i="2"/>
  <c r="BX162" i="2"/>
  <c r="BV162" i="2"/>
  <c r="BX161" i="2"/>
  <c r="BV161" i="2"/>
  <c r="BV160" i="2"/>
  <c r="BX160" i="2" s="1"/>
  <c r="BV159" i="2"/>
  <c r="BX159" i="2" s="1"/>
  <c r="BX158" i="2"/>
  <c r="BV158" i="2"/>
  <c r="BV157" i="2"/>
  <c r="BX157" i="2" s="1"/>
  <c r="BV156" i="2"/>
  <c r="BI156" i="2"/>
  <c r="BG156" i="2"/>
  <c r="BX155" i="2"/>
  <c r="BV155" i="2"/>
  <c r="BV154" i="2"/>
  <c r="BX154" i="2" s="1"/>
  <c r="BV153" i="2"/>
  <c r="BV152" i="2"/>
  <c r="BX152" i="2" s="1"/>
  <c r="BG152" i="2"/>
  <c r="BF152" i="2"/>
  <c r="BJ152" i="2" s="1"/>
  <c r="BE152" i="2"/>
  <c r="BH152" i="2" s="1"/>
  <c r="BC152" i="2"/>
  <c r="BB152" i="2"/>
  <c r="BA152" i="2"/>
  <c r="BV151" i="2"/>
  <c r="BX151" i="2" s="1"/>
  <c r="BV150" i="2"/>
  <c r="BX150" i="2" s="1"/>
  <c r="BV149" i="2"/>
  <c r="BF149" i="2"/>
  <c r="BJ149" i="2" s="1"/>
  <c r="BE149" i="2"/>
  <c r="BH149" i="2" s="1"/>
  <c r="BV148" i="2"/>
  <c r="BX147" i="2"/>
  <c r="BV147" i="2"/>
  <c r="BH147" i="2"/>
  <c r="BF147" i="2"/>
  <c r="BJ147" i="2" s="1"/>
  <c r="BE147" i="2"/>
  <c r="BV146" i="2"/>
  <c r="BX146" i="2" s="1"/>
  <c r="BK146" i="2"/>
  <c r="BV145" i="2"/>
  <c r="BV144" i="2"/>
  <c r="BX144" i="2" s="1"/>
  <c r="CA144" i="2" s="1"/>
  <c r="CB144" i="2" s="1"/>
  <c r="BK144" i="2"/>
  <c r="BV143" i="2"/>
  <c r="BV142" i="2"/>
  <c r="BB142" i="2"/>
  <c r="BV141" i="2"/>
  <c r="BX141" i="2" s="1"/>
  <c r="BV140" i="2"/>
  <c r="BX140" i="2" s="1"/>
  <c r="BX139" i="2"/>
  <c r="BW139" i="2"/>
  <c r="BV139" i="2"/>
  <c r="BV138" i="2"/>
  <c r="BX138" i="2" s="1"/>
  <c r="BX137" i="2"/>
  <c r="BV137" i="2"/>
  <c r="BK137" i="2"/>
  <c r="BX136" i="2"/>
  <c r="BV136" i="2"/>
  <c r="BV135" i="2"/>
  <c r="BX135" i="2" s="1"/>
  <c r="CA135" i="2" s="1"/>
  <c r="CB135" i="2" s="1"/>
  <c r="BV134" i="2"/>
  <c r="BX134" i="2" s="1"/>
  <c r="BV133" i="2"/>
  <c r="BX133" i="2" s="1"/>
  <c r="BX132" i="2"/>
  <c r="BV132" i="2"/>
  <c r="BV131" i="2"/>
  <c r="BV130" i="2"/>
  <c r="BV129" i="2"/>
  <c r="BX128" i="2"/>
  <c r="BV128" i="2"/>
  <c r="BF128" i="2"/>
  <c r="BJ128" i="2" s="1"/>
  <c r="BE128" i="2"/>
  <c r="BH128" i="2" s="1"/>
  <c r="BD128" i="2"/>
  <c r="BC128" i="2"/>
  <c r="BA128" i="2"/>
  <c r="BX127" i="2"/>
  <c r="BV127" i="2"/>
  <c r="BX126" i="2"/>
  <c r="BV126" i="2"/>
  <c r="BV125" i="2"/>
  <c r="BX125" i="2" s="1"/>
  <c r="BV124" i="2"/>
  <c r="BX124" i="2" s="1"/>
  <c r="BD124" i="2"/>
  <c r="BC124" i="2"/>
  <c r="BV123" i="2"/>
  <c r="BX123" i="2" s="1"/>
  <c r="BX122" i="2"/>
  <c r="BV122" i="2"/>
  <c r="BX121" i="2"/>
  <c r="BV121" i="2"/>
  <c r="BG121" i="2"/>
  <c r="BW121" i="2" s="1"/>
  <c r="BV120" i="2"/>
  <c r="BA120" i="2"/>
  <c r="BX119" i="2"/>
  <c r="BV119" i="2"/>
  <c r="BV118" i="2"/>
  <c r="BV117" i="2"/>
  <c r="BX117" i="2" s="1"/>
  <c r="BX116" i="2"/>
  <c r="BV116" i="2"/>
  <c r="BX115" i="2"/>
  <c r="BV115" i="2"/>
  <c r="BX114" i="2"/>
  <c r="CA114" i="2" s="1"/>
  <c r="CB114" i="2" s="1"/>
  <c r="BV114" i="2"/>
  <c r="BH114" i="2"/>
  <c r="BG114" i="2"/>
  <c r="BW114" i="2" s="1"/>
  <c r="BY114" i="2" s="1"/>
  <c r="BF114" i="2"/>
  <c r="BJ114" i="2" s="1"/>
  <c r="BE114" i="2"/>
  <c r="BC114" i="2"/>
  <c r="BB114" i="2"/>
  <c r="BV113" i="2"/>
  <c r="BX113" i="2" s="1"/>
  <c r="BA113" i="2"/>
  <c r="BV112" i="2"/>
  <c r="BX112" i="2" s="1"/>
  <c r="BV111" i="2"/>
  <c r="BA111" i="2"/>
  <c r="BV110" i="2"/>
  <c r="BX109" i="2"/>
  <c r="CA109" i="2" s="1"/>
  <c r="CB109" i="2" s="1"/>
  <c r="BV109" i="2"/>
  <c r="BX108" i="2"/>
  <c r="BV108" i="2"/>
  <c r="BV107" i="2"/>
  <c r="BX107" i="2" s="1"/>
  <c r="BX106" i="2"/>
  <c r="BV106" i="2"/>
  <c r="BK106" i="2"/>
  <c r="BX105" i="2"/>
  <c r="BV105" i="2"/>
  <c r="BV104" i="2"/>
  <c r="BX104" i="2" s="1"/>
  <c r="BV103" i="2"/>
  <c r="BX103" i="2" s="1"/>
  <c r="BV102" i="2"/>
  <c r="BX102" i="2" s="1"/>
  <c r="BE102" i="2"/>
  <c r="BH102" i="2" s="1"/>
  <c r="BV101" i="2"/>
  <c r="BV100" i="2"/>
  <c r="BX99" i="2"/>
  <c r="BV99" i="2"/>
  <c r="BX98" i="2"/>
  <c r="BV98" i="2"/>
  <c r="BF98" i="2"/>
  <c r="BJ98" i="2" s="1"/>
  <c r="BX97" i="2"/>
  <c r="BV97" i="2"/>
  <c r="BF97" i="2"/>
  <c r="BJ97" i="2" s="1"/>
  <c r="BX96" i="2"/>
  <c r="BV96" i="2"/>
  <c r="BV95" i="2"/>
  <c r="BX95" i="2" s="1"/>
  <c r="CA95" i="2" s="1"/>
  <c r="CB95" i="2" s="1"/>
  <c r="BX94" i="2"/>
  <c r="BV94" i="2"/>
  <c r="BV93" i="2"/>
  <c r="BX93" i="2" s="1"/>
  <c r="BX92" i="2"/>
  <c r="BV92" i="2"/>
  <c r="BV91" i="2"/>
  <c r="BX91" i="2" s="1"/>
  <c r="BV90" i="2"/>
  <c r="BV89" i="2"/>
  <c r="BX89" i="2" s="1"/>
  <c r="BX88" i="2"/>
  <c r="BV88" i="2"/>
  <c r="BC88" i="2"/>
  <c r="BB88" i="2"/>
  <c r="BA88" i="2"/>
  <c r="BX87" i="2"/>
  <c r="BV87" i="2"/>
  <c r="BX86" i="2"/>
  <c r="BV86" i="2"/>
  <c r="BF86" i="2"/>
  <c r="BJ86" i="2" s="1"/>
  <c r="BE86" i="2"/>
  <c r="BH86" i="2" s="1"/>
  <c r="BA86" i="2"/>
  <c r="BW85" i="2"/>
  <c r="BV85" i="2"/>
  <c r="BX85" i="2" s="1"/>
  <c r="BV84" i="2"/>
  <c r="BV83" i="2"/>
  <c r="BX83" i="2" s="1"/>
  <c r="BG83" i="2"/>
  <c r="BV82" i="2"/>
  <c r="BX82" i="2" s="1"/>
  <c r="BF82" i="2"/>
  <c r="BJ82" i="2" s="1"/>
  <c r="BE82" i="2"/>
  <c r="BH82" i="2" s="1"/>
  <c r="BD82" i="2"/>
  <c r="BV81" i="2"/>
  <c r="BX81" i="2" s="1"/>
  <c r="BV80" i="2"/>
  <c r="BX80" i="2" s="1"/>
  <c r="BX79" i="2"/>
  <c r="BV79" i="2"/>
  <c r="BV78" i="2"/>
  <c r="BX78" i="2" s="1"/>
  <c r="BV77" i="2"/>
  <c r="BV76" i="2"/>
  <c r="BX76" i="2" s="1"/>
  <c r="BK76" i="2"/>
  <c r="BV75" i="2"/>
  <c r="BX75" i="2" s="1"/>
  <c r="BV74" i="2"/>
  <c r="BV73" i="2"/>
  <c r="BX73" i="2" s="1"/>
  <c r="BV72" i="2"/>
  <c r="BX72" i="2" s="1"/>
  <c r="BK72" i="2"/>
  <c r="BD72" i="2"/>
  <c r="BC72" i="2"/>
  <c r="BV71" i="2"/>
  <c r="BX71" i="2" s="1"/>
  <c r="BX70" i="2"/>
  <c r="BV70" i="2"/>
  <c r="BV69" i="2"/>
  <c r="BV68" i="2"/>
  <c r="BV67" i="2"/>
  <c r="BX67" i="2" s="1"/>
  <c r="BV66" i="2"/>
  <c r="BX66" i="2" s="1"/>
  <c r="BV65" i="2"/>
  <c r="BX65" i="2" s="1"/>
  <c r="BV64" i="2"/>
  <c r="BX63" i="2"/>
  <c r="BV63" i="2"/>
  <c r="BC63" i="2"/>
  <c r="BV62" i="2"/>
  <c r="BX62" i="2" s="1"/>
  <c r="BX61" i="2"/>
  <c r="BV61" i="2"/>
  <c r="BX60" i="2"/>
  <c r="BV60" i="2"/>
  <c r="BX59" i="2"/>
  <c r="BV59" i="2"/>
  <c r="BV58" i="2"/>
  <c r="BX58" i="2" s="1"/>
  <c r="CA58" i="2" s="1"/>
  <c r="CB58" i="2" s="1"/>
  <c r="BV57" i="2"/>
  <c r="BW56" i="2"/>
  <c r="BV56" i="2"/>
  <c r="BX56" i="2" s="1"/>
  <c r="BB56" i="2"/>
  <c r="BX55" i="2"/>
  <c r="BV55" i="2"/>
  <c r="BX54" i="2"/>
  <c r="BV54" i="2"/>
  <c r="BX53" i="2"/>
  <c r="CA53" i="2" s="1"/>
  <c r="CB53" i="2" s="1"/>
  <c r="BV53" i="2"/>
  <c r="BW53" i="2" s="1"/>
  <c r="BY53" i="2" s="1"/>
  <c r="BX52" i="2"/>
  <c r="BV52" i="2"/>
  <c r="BJ52" i="2"/>
  <c r="BF52" i="2"/>
  <c r="BD52" i="2"/>
  <c r="BV51" i="2"/>
  <c r="BX51" i="2" s="1"/>
  <c r="BF51" i="2"/>
  <c r="BJ51" i="2" s="1"/>
  <c r="BE51" i="2"/>
  <c r="BH51" i="2" s="1"/>
  <c r="BD51" i="2"/>
  <c r="BC51" i="2"/>
  <c r="BB51" i="2"/>
  <c r="BX50" i="2"/>
  <c r="BV50" i="2"/>
  <c r="BV49" i="2"/>
  <c r="BW48" i="2"/>
  <c r="BV48" i="2"/>
  <c r="BX48" i="2" s="1"/>
  <c r="BV47" i="2"/>
  <c r="BV46" i="2"/>
  <c r="BE46" i="2"/>
  <c r="BH46" i="2" s="1"/>
  <c r="BB46" i="2"/>
  <c r="BA46" i="2"/>
  <c r="BV45" i="2"/>
  <c r="BV44" i="2"/>
  <c r="BX43" i="2"/>
  <c r="CA43" i="2" s="1"/>
  <c r="CB43" i="2" s="1"/>
  <c r="BV43" i="2"/>
  <c r="BW42" i="2"/>
  <c r="BV42" i="2"/>
  <c r="BX42" i="2" s="1"/>
  <c r="BV41" i="2"/>
  <c r="BX41" i="2" s="1"/>
  <c r="BB41" i="2"/>
  <c r="BA41" i="2"/>
  <c r="BX40" i="2"/>
  <c r="BV40" i="2"/>
  <c r="BG40" i="2"/>
  <c r="BW40" i="2" s="1"/>
  <c r="BX39" i="2"/>
  <c r="BV39" i="2"/>
  <c r="BV38" i="2"/>
  <c r="BV37" i="2"/>
  <c r="BD37" i="2"/>
  <c r="BV36" i="2"/>
  <c r="BF36" i="2"/>
  <c r="BJ36" i="2" s="1"/>
  <c r="BE36" i="2"/>
  <c r="BH36" i="2" s="1"/>
  <c r="BD36" i="2"/>
  <c r="BC36" i="2"/>
  <c r="BB36" i="2"/>
  <c r="BA36" i="2"/>
  <c r="BV35" i="2"/>
  <c r="BX34" i="2"/>
  <c r="BV34" i="2"/>
  <c r="BF34" i="2"/>
  <c r="BJ34" i="2" s="1"/>
  <c r="BE34" i="2"/>
  <c r="BH34" i="2" s="1"/>
  <c r="BD34" i="2"/>
  <c r="BC34" i="2"/>
  <c r="BX33" i="2"/>
  <c r="BV33" i="2"/>
  <c r="BC33" i="2"/>
  <c r="BV32" i="2"/>
  <c r="BX32" i="2" s="1"/>
  <c r="BX31" i="2"/>
  <c r="CA31" i="2" s="1"/>
  <c r="CB31" i="2" s="1"/>
  <c r="BV31" i="2"/>
  <c r="BK31" i="2"/>
  <c r="BF31" i="2"/>
  <c r="BJ31" i="2" s="1"/>
  <c r="BE31" i="2"/>
  <c r="BH31" i="2" s="1"/>
  <c r="BB31" i="2"/>
  <c r="BA31" i="2"/>
  <c r="BV30" i="2"/>
  <c r="BX30" i="2" s="1"/>
  <c r="BX29" i="2"/>
  <c r="BV29" i="2"/>
  <c r="BA29" i="2"/>
  <c r="BV28" i="2"/>
  <c r="BX28" i="2" s="1"/>
  <c r="BX27" i="2"/>
  <c r="BV27" i="2"/>
  <c r="BA27" i="2"/>
  <c r="BV26" i="2"/>
  <c r="BX26" i="2" s="1"/>
  <c r="BF26" i="2"/>
  <c r="BJ26" i="2" s="1"/>
  <c r="BE26" i="2"/>
  <c r="BH26" i="2" s="1"/>
  <c r="BD26" i="2"/>
  <c r="BC26" i="2"/>
  <c r="BB26" i="2"/>
  <c r="BA26" i="2"/>
  <c r="BV25" i="2"/>
  <c r="BX25" i="2" s="1"/>
  <c r="BV24" i="2"/>
  <c r="AO238" i="2"/>
  <c r="AO238" i="2" a="1"/>
  <c r="AN238" i="2"/>
  <c r="BK238" i="2" s="1"/>
  <c r="AN238" i="2" a="1"/>
  <c r="AM238" i="2" a="1"/>
  <c r="AM238" i="2" s="1"/>
  <c r="AL238" i="2"/>
  <c r="BG238" i="2" s="1"/>
  <c r="BW238" i="2" s="1"/>
  <c r="AL238" i="2" a="1"/>
  <c r="AO237" i="2" a="1"/>
  <c r="AO237" i="2" s="1"/>
  <c r="AN237" i="2" a="1"/>
  <c r="AN237" i="2" s="1"/>
  <c r="BK237" i="2" s="1"/>
  <c r="AM237" i="2"/>
  <c r="AM237" i="2" a="1"/>
  <c r="AL237" i="2" a="1"/>
  <c r="AL237" i="2" s="1"/>
  <c r="BG237" i="2" s="1"/>
  <c r="BW237" i="2" s="1"/>
  <c r="BY237" i="2" s="1"/>
  <c r="AK237" i="2"/>
  <c r="AO236" i="2" a="1"/>
  <c r="AO236" i="2" s="1"/>
  <c r="AN236" i="2" a="1"/>
  <c r="AN236" i="2" s="1"/>
  <c r="BK236" i="2" s="1"/>
  <c r="AM236" i="2"/>
  <c r="AM236" i="2" a="1"/>
  <c r="AL236" i="2" a="1"/>
  <c r="AL236" i="2" s="1"/>
  <c r="BG236" i="2" s="1"/>
  <c r="AO235" i="2" a="1"/>
  <c r="AO235" i="2" s="1"/>
  <c r="AN235" i="2" a="1"/>
  <c r="AN235" i="2" s="1"/>
  <c r="BK235" i="2" s="1"/>
  <c r="AM235" i="2" a="1"/>
  <c r="AM235" i="2" s="1"/>
  <c r="AL235" i="2" a="1"/>
  <c r="AL235" i="2" s="1"/>
  <c r="BG235" i="2" s="1"/>
  <c r="AK235" i="2"/>
  <c r="AO234" i="2" a="1"/>
  <c r="AO234" i="2" s="1"/>
  <c r="AN234" i="2"/>
  <c r="BK234" i="2" s="1"/>
  <c r="AN234" i="2" a="1"/>
  <c r="AM234" i="2" a="1"/>
  <c r="AM234" i="2" s="1"/>
  <c r="AL234" i="2" a="1"/>
  <c r="AL234" i="2" s="1"/>
  <c r="BG234" i="2" s="1"/>
  <c r="AO233" i="2" a="1"/>
  <c r="AO233" i="2" s="1"/>
  <c r="AN233" i="2" a="1"/>
  <c r="AN233" i="2" s="1"/>
  <c r="AM233" i="2" a="1"/>
  <c r="AM233" i="2" s="1"/>
  <c r="AL233" i="2"/>
  <c r="BG233" i="2" s="1"/>
  <c r="BW233" i="2" s="1"/>
  <c r="AL233" i="2" a="1"/>
  <c r="AK233" i="2"/>
  <c r="AO232" i="2" a="1"/>
  <c r="AO232" i="2" s="1"/>
  <c r="AN232" i="2" a="1"/>
  <c r="AN232" i="2" s="1"/>
  <c r="BK232" i="2" s="1"/>
  <c r="AM232" i="2" a="1"/>
  <c r="AM232" i="2" s="1"/>
  <c r="AL232" i="2"/>
  <c r="BG232" i="2" s="1"/>
  <c r="BW232" i="2" s="1"/>
  <c r="AL232" i="2" a="1"/>
  <c r="AO231" i="2" a="1"/>
  <c r="AO231" i="2" s="1"/>
  <c r="AN231" i="2"/>
  <c r="BK231" i="2" s="1"/>
  <c r="AN231" i="2" a="1"/>
  <c r="AM231" i="2" a="1"/>
  <c r="AM231" i="2" s="1"/>
  <c r="AL231" i="2" a="1"/>
  <c r="AL231" i="2" s="1"/>
  <c r="BG231" i="2" s="1"/>
  <c r="AO230" i="2" a="1"/>
  <c r="AO230" i="2" s="1"/>
  <c r="AN230" i="2" a="1"/>
  <c r="AN230" i="2" s="1"/>
  <c r="BK230" i="2" s="1"/>
  <c r="AM230" i="2"/>
  <c r="AM230" i="2" a="1"/>
  <c r="AL230" i="2" a="1"/>
  <c r="AL230" i="2" s="1"/>
  <c r="BG230" i="2" s="1"/>
  <c r="BW230" i="2" s="1"/>
  <c r="AO229" i="2" a="1"/>
  <c r="AO229" i="2" s="1"/>
  <c r="AN229" i="2"/>
  <c r="BK229" i="2" s="1"/>
  <c r="AN229" i="2" a="1"/>
  <c r="AM229" i="2" a="1"/>
  <c r="AM229" i="2" s="1"/>
  <c r="AL229" i="2" a="1"/>
  <c r="AL229" i="2" s="1"/>
  <c r="BG229" i="2" s="1"/>
  <c r="AK229" i="2"/>
  <c r="AP229" i="2" s="1"/>
  <c r="AO228" i="2"/>
  <c r="AO228" i="2" a="1"/>
  <c r="AN228" i="2"/>
  <c r="BK228" i="2" s="1"/>
  <c r="AN228" i="2" a="1"/>
  <c r="AM228" i="2" a="1"/>
  <c r="AM228" i="2" s="1"/>
  <c r="AL228" i="2" a="1"/>
  <c r="AL228" i="2" s="1"/>
  <c r="BG228" i="2" s="1"/>
  <c r="AK228" i="2"/>
  <c r="AP228" i="2" s="1"/>
  <c r="AO227" i="2" a="1"/>
  <c r="AO227" i="2" s="1"/>
  <c r="AN227" i="2" a="1"/>
  <c r="AN227" i="2" s="1"/>
  <c r="BK227" i="2" s="1"/>
  <c r="AM227" i="2"/>
  <c r="AM227" i="2" a="1"/>
  <c r="AL227" i="2" a="1"/>
  <c r="AL227" i="2" s="1"/>
  <c r="BG227" i="2" s="1"/>
  <c r="BW227" i="2" s="1"/>
  <c r="AK227" i="2"/>
  <c r="CA227" i="2" s="1"/>
  <c r="CB227" i="2" s="1"/>
  <c r="AO226" i="2"/>
  <c r="AO226" i="2" a="1"/>
  <c r="AN226" i="2" a="1"/>
  <c r="AN226" i="2" s="1"/>
  <c r="BK226" i="2" s="1"/>
  <c r="AM226" i="2" a="1"/>
  <c r="AM226" i="2" s="1"/>
  <c r="AL226" i="2"/>
  <c r="BG226" i="2" s="1"/>
  <c r="BW226" i="2" s="1"/>
  <c r="AL226" i="2" a="1"/>
  <c r="AO225" i="2" a="1"/>
  <c r="AO225" i="2" s="1"/>
  <c r="AN225" i="2" a="1"/>
  <c r="AN225" i="2" s="1"/>
  <c r="BK225" i="2" s="1"/>
  <c r="AM225" i="2"/>
  <c r="AM225" i="2" a="1"/>
  <c r="AL225" i="2" a="1"/>
  <c r="AL225" i="2" s="1"/>
  <c r="BG225" i="2" s="1"/>
  <c r="AO224" i="2" a="1"/>
  <c r="AO224" i="2" s="1"/>
  <c r="AN224" i="2" a="1"/>
  <c r="AN224" i="2" s="1"/>
  <c r="BK224" i="2" s="1"/>
  <c r="AM224" i="2" a="1"/>
  <c r="AM224" i="2" s="1"/>
  <c r="AL224" i="2" a="1"/>
  <c r="AL224" i="2" s="1"/>
  <c r="BG224" i="2" s="1"/>
  <c r="AO223" i="2" a="1"/>
  <c r="AO223" i="2" s="1"/>
  <c r="AN223" i="2"/>
  <c r="BK223" i="2" s="1"/>
  <c r="AN223" i="2" a="1"/>
  <c r="AM223" i="2" a="1"/>
  <c r="AM223" i="2" s="1"/>
  <c r="AL223" i="2"/>
  <c r="BG223" i="2" s="1"/>
  <c r="BW223" i="2" s="1"/>
  <c r="AL223" i="2" a="1"/>
  <c r="AO222" i="2" a="1"/>
  <c r="AO222" i="2" s="1"/>
  <c r="AN222" i="2" a="1"/>
  <c r="AN222" i="2" s="1"/>
  <c r="BK222" i="2" s="1"/>
  <c r="AM222" i="2"/>
  <c r="AM222" i="2" a="1"/>
  <c r="AL222" i="2"/>
  <c r="BG222" i="2" s="1"/>
  <c r="AL222" i="2" a="1"/>
  <c r="AK222" i="2"/>
  <c r="AO221" i="2" a="1"/>
  <c r="AO221" i="2" s="1"/>
  <c r="AN221" i="2"/>
  <c r="BK221" i="2" s="1"/>
  <c r="AN221" i="2" a="1"/>
  <c r="AM221" i="2" a="1"/>
  <c r="AM221" i="2" s="1"/>
  <c r="AL221" i="2"/>
  <c r="BG221" i="2" s="1"/>
  <c r="AL221" i="2" a="1"/>
  <c r="AO220" i="2" a="1"/>
  <c r="AO220" i="2" s="1"/>
  <c r="AN220" i="2" a="1"/>
  <c r="AN220" i="2" s="1"/>
  <c r="BK220" i="2" s="1"/>
  <c r="AM220" i="2"/>
  <c r="AM220" i="2" a="1"/>
  <c r="AL220" i="2"/>
  <c r="BG220" i="2" s="1"/>
  <c r="BW220" i="2" s="1"/>
  <c r="AL220" i="2" a="1"/>
  <c r="AK220" i="2"/>
  <c r="AO219" i="2"/>
  <c r="AO219" i="2" a="1"/>
  <c r="AN219" i="2"/>
  <c r="BK219" i="2" s="1"/>
  <c r="AN219" i="2" a="1"/>
  <c r="AM219" i="2" a="1"/>
  <c r="AM219" i="2" s="1"/>
  <c r="AL219" i="2" a="1"/>
  <c r="AL219" i="2" s="1"/>
  <c r="BG219" i="2" s="1"/>
  <c r="AO218" i="2" a="1"/>
  <c r="AO218" i="2" s="1"/>
  <c r="AN218" i="2"/>
  <c r="BK218" i="2" s="1"/>
  <c r="AN218" i="2" a="1"/>
  <c r="AM218" i="2" a="1"/>
  <c r="AM218" i="2" s="1"/>
  <c r="AL218" i="2"/>
  <c r="BG218" i="2" s="1"/>
  <c r="AL218" i="2" a="1"/>
  <c r="AK218" i="2"/>
  <c r="AO217" i="2" a="1"/>
  <c r="AO217" i="2" s="1"/>
  <c r="AN217" i="2" a="1"/>
  <c r="AN217" i="2" s="1"/>
  <c r="BK217" i="2" s="1"/>
  <c r="AM217" i="2"/>
  <c r="AM217" i="2" a="1"/>
  <c r="AL217" i="2" a="1"/>
  <c r="AL217" i="2" s="1"/>
  <c r="BG217" i="2" s="1"/>
  <c r="BW217" i="2" s="1"/>
  <c r="AO216" i="2" a="1"/>
  <c r="AO216" i="2" s="1"/>
  <c r="AN216" i="2"/>
  <c r="BK216" i="2" s="1"/>
  <c r="AN216" i="2" a="1"/>
  <c r="AM216" i="2" a="1"/>
  <c r="AM216" i="2" s="1"/>
  <c r="AL216" i="2" a="1"/>
  <c r="AL216" i="2" s="1"/>
  <c r="BG216" i="2" s="1"/>
  <c r="BW216" i="2" s="1"/>
  <c r="AO215" i="2"/>
  <c r="AO215" i="2" a="1"/>
  <c r="AN215" i="2"/>
  <c r="BK215" i="2" s="1"/>
  <c r="AN215" i="2" a="1"/>
  <c r="AM215" i="2" a="1"/>
  <c r="AM215" i="2" s="1"/>
  <c r="AL215" i="2" a="1"/>
  <c r="AL215" i="2" s="1"/>
  <c r="BG215" i="2" s="1"/>
  <c r="AK215" i="2"/>
  <c r="AO214" i="2" a="1"/>
  <c r="AO214" i="2" s="1"/>
  <c r="AN214" i="2"/>
  <c r="BK214" i="2" s="1"/>
  <c r="AN214" i="2" a="1"/>
  <c r="AM214" i="2" a="1"/>
  <c r="AM214" i="2" s="1"/>
  <c r="AL214" i="2" a="1"/>
  <c r="AL214" i="2" s="1"/>
  <c r="BG214" i="2" s="1"/>
  <c r="AO213" i="2"/>
  <c r="AO213" i="2" a="1"/>
  <c r="AN213" i="2" a="1"/>
  <c r="AN213" i="2" s="1"/>
  <c r="BK213" i="2" s="1"/>
  <c r="AM213" i="2" a="1"/>
  <c r="AM213" i="2" s="1"/>
  <c r="AL213" i="2" a="1"/>
  <c r="AL213" i="2" s="1"/>
  <c r="BG213" i="2" s="1"/>
  <c r="BW213" i="2" s="1"/>
  <c r="AK213" i="2"/>
  <c r="AP213" i="2" s="1"/>
  <c r="AP212" i="2"/>
  <c r="AO212" i="2" a="1"/>
  <c r="AO212" i="2" s="1"/>
  <c r="AN212" i="2" a="1"/>
  <c r="AN212" i="2" s="1"/>
  <c r="BK212" i="2" s="1"/>
  <c r="AM212" i="2"/>
  <c r="AM212" i="2" a="1"/>
  <c r="AL212" i="2" a="1"/>
  <c r="AL212" i="2" s="1"/>
  <c r="BG212" i="2" s="1"/>
  <c r="AK212" i="2"/>
  <c r="AO211" i="2" a="1"/>
  <c r="AO211" i="2" s="1"/>
  <c r="AN211" i="2" a="1"/>
  <c r="AN211" i="2" s="1"/>
  <c r="BK211" i="2" s="1"/>
  <c r="AM211" i="2" a="1"/>
  <c r="AM211" i="2" s="1"/>
  <c r="AL211" i="2"/>
  <c r="BG211" i="2" s="1"/>
  <c r="BW211" i="2" s="1"/>
  <c r="AL211" i="2" a="1"/>
  <c r="AO210" i="2" a="1"/>
  <c r="AO210" i="2" s="1"/>
  <c r="AN210" i="2"/>
  <c r="BK210" i="2" s="1"/>
  <c r="AN210" i="2" a="1"/>
  <c r="AM210" i="2" a="1"/>
  <c r="AM210" i="2" s="1"/>
  <c r="AL210" i="2"/>
  <c r="BG210" i="2" s="1"/>
  <c r="BW210" i="2" s="1"/>
  <c r="AL210" i="2" a="1"/>
  <c r="AO209" i="2" a="1"/>
  <c r="AO209" i="2" s="1"/>
  <c r="AN209" i="2"/>
  <c r="BK209" i="2" s="1"/>
  <c r="AN209" i="2" a="1"/>
  <c r="AM209" i="2" a="1"/>
  <c r="AM209" i="2" s="1"/>
  <c r="AL209" i="2" a="1"/>
  <c r="AL209" i="2" s="1"/>
  <c r="BG209" i="2" s="1"/>
  <c r="AO208" i="2" a="1"/>
  <c r="AO208" i="2" s="1"/>
  <c r="AN208" i="2" a="1"/>
  <c r="AN208" i="2" s="1"/>
  <c r="BK208" i="2" s="1"/>
  <c r="AM208" i="2"/>
  <c r="AM208" i="2" a="1"/>
  <c r="AL208" i="2"/>
  <c r="BG208" i="2" s="1"/>
  <c r="BW208" i="2" s="1"/>
  <c r="AL208" i="2" a="1"/>
  <c r="AO207" i="2" a="1"/>
  <c r="AO207" i="2" s="1"/>
  <c r="AN207" i="2" a="1"/>
  <c r="AN207" i="2" s="1"/>
  <c r="BK207" i="2" s="1"/>
  <c r="AM207" i="2" a="1"/>
  <c r="AM207" i="2" s="1"/>
  <c r="AL207" i="2"/>
  <c r="BG207" i="2" s="1"/>
  <c r="BW207" i="2" s="1"/>
  <c r="BY207" i="2" s="1"/>
  <c r="AL207" i="2" a="1"/>
  <c r="AK207" i="2"/>
  <c r="AO206" i="2"/>
  <c r="AO206" i="2" a="1"/>
  <c r="AN206" i="2" a="1"/>
  <c r="AN206" i="2" s="1"/>
  <c r="BK206" i="2" s="1"/>
  <c r="AM206" i="2"/>
  <c r="AM206" i="2" a="1"/>
  <c r="AL206" i="2" a="1"/>
  <c r="AL206" i="2" s="1"/>
  <c r="BG206" i="2" s="1"/>
  <c r="AO205" i="2" a="1"/>
  <c r="AO205" i="2" s="1"/>
  <c r="AK205" i="2" s="1"/>
  <c r="AP205" i="2" s="1"/>
  <c r="AN205" i="2"/>
  <c r="BK205" i="2" s="1"/>
  <c r="AN205" i="2" a="1"/>
  <c r="AM205" i="2" a="1"/>
  <c r="AM205" i="2" s="1"/>
  <c r="AL205" i="2"/>
  <c r="BG205" i="2" s="1"/>
  <c r="AL205" i="2" a="1"/>
  <c r="AO204" i="2" a="1"/>
  <c r="AO204" i="2" s="1"/>
  <c r="AN204" i="2"/>
  <c r="BK204" i="2" s="1"/>
  <c r="AN204" i="2" a="1"/>
  <c r="AM204" i="2" a="1"/>
  <c r="AM204" i="2" s="1"/>
  <c r="AL204" i="2" a="1"/>
  <c r="AL204" i="2" s="1"/>
  <c r="BG204" i="2" s="1"/>
  <c r="AO203" i="2" a="1"/>
  <c r="AO203" i="2" s="1"/>
  <c r="AN203" i="2"/>
  <c r="BK203" i="2" s="1"/>
  <c r="AN203" i="2" a="1"/>
  <c r="AM203" i="2" a="1"/>
  <c r="AM203" i="2" s="1"/>
  <c r="AL203" i="2" a="1"/>
  <c r="AL203" i="2" s="1"/>
  <c r="BG203" i="2" s="1"/>
  <c r="BW203" i="2" s="1"/>
  <c r="AO202" i="2" a="1"/>
  <c r="AO202" i="2" s="1"/>
  <c r="AN202" i="2" a="1"/>
  <c r="AN202" i="2" s="1"/>
  <c r="BK202" i="2" s="1"/>
  <c r="AM202" i="2" a="1"/>
  <c r="AM202" i="2" s="1"/>
  <c r="AL202" i="2" a="1"/>
  <c r="AL202" i="2" s="1"/>
  <c r="BG202" i="2" s="1"/>
  <c r="BW202" i="2" s="1"/>
  <c r="AO201" i="2" a="1"/>
  <c r="AO201" i="2" s="1"/>
  <c r="AN201" i="2"/>
  <c r="BK201" i="2" s="1"/>
  <c r="AN201" i="2" a="1"/>
  <c r="AM201" i="2" a="1"/>
  <c r="AM201" i="2" s="1"/>
  <c r="AL201" i="2" a="1"/>
  <c r="AL201" i="2" s="1"/>
  <c r="BG201" i="2" s="1"/>
  <c r="AO200" i="2"/>
  <c r="AO200" i="2" a="1"/>
  <c r="AN200" i="2" a="1"/>
  <c r="AN200" i="2" s="1"/>
  <c r="BK200" i="2" s="1"/>
  <c r="AM200" i="2" a="1"/>
  <c r="AM200" i="2" s="1"/>
  <c r="AL200" i="2"/>
  <c r="BG200" i="2" s="1"/>
  <c r="BW200" i="2" s="1"/>
  <c r="AL200" i="2" a="1"/>
  <c r="AO199" i="2" a="1"/>
  <c r="AO199" i="2" s="1"/>
  <c r="AN199" i="2" a="1"/>
  <c r="AN199" i="2" s="1"/>
  <c r="BK199" i="2" s="1"/>
  <c r="AM199" i="2" a="1"/>
  <c r="AM199" i="2" s="1"/>
  <c r="AL199" i="2" a="1"/>
  <c r="AL199" i="2" s="1"/>
  <c r="BG199" i="2" s="1"/>
  <c r="AK199" i="2"/>
  <c r="AP199" i="2" s="1"/>
  <c r="AO198" i="2"/>
  <c r="AO198" i="2" a="1"/>
  <c r="AN198" i="2" a="1"/>
  <c r="AN198" i="2" s="1"/>
  <c r="BK198" i="2" s="1"/>
  <c r="AM198" i="2" a="1"/>
  <c r="AM198" i="2" s="1"/>
  <c r="AL198" i="2" a="1"/>
  <c r="AL198" i="2" s="1"/>
  <c r="BG198" i="2" s="1"/>
  <c r="AK198" i="2"/>
  <c r="AP198" i="2" s="1"/>
  <c r="AO197" i="2" a="1"/>
  <c r="AO197" i="2" s="1"/>
  <c r="AN197" i="2" a="1"/>
  <c r="AN197" i="2" s="1"/>
  <c r="BK197" i="2" s="1"/>
  <c r="AM197" i="2"/>
  <c r="AM197" i="2" a="1"/>
  <c r="AL197" i="2"/>
  <c r="BG197" i="2" s="1"/>
  <c r="BW197" i="2" s="1"/>
  <c r="AL197" i="2" a="1"/>
  <c r="AO196" i="2" a="1"/>
  <c r="AO196" i="2" s="1"/>
  <c r="AN196" i="2" a="1"/>
  <c r="AN196" i="2" s="1"/>
  <c r="BK196" i="2" s="1"/>
  <c r="AM196" i="2" a="1"/>
  <c r="AM196" i="2" s="1"/>
  <c r="AL196" i="2"/>
  <c r="BG196" i="2" s="1"/>
  <c r="AL196" i="2" a="1"/>
  <c r="AO195" i="2" a="1"/>
  <c r="AO195" i="2" s="1"/>
  <c r="AN195" i="2" a="1"/>
  <c r="AN195" i="2" s="1"/>
  <c r="BK195" i="2" s="1"/>
  <c r="AM195" i="2"/>
  <c r="AM195" i="2" a="1"/>
  <c r="AL195" i="2"/>
  <c r="BG195" i="2" s="1"/>
  <c r="AL195" i="2" a="1"/>
  <c r="AO194" i="2" a="1"/>
  <c r="AO194" i="2" s="1"/>
  <c r="AN194" i="2" a="1"/>
  <c r="AN194" i="2" s="1"/>
  <c r="BK194" i="2" s="1"/>
  <c r="AM194" i="2" a="1"/>
  <c r="AM194" i="2" s="1"/>
  <c r="AL194" i="2" a="1"/>
  <c r="AL194" i="2" s="1"/>
  <c r="BG194" i="2" s="1"/>
  <c r="AP193" i="2"/>
  <c r="AO193" i="2"/>
  <c r="AO193" i="2" a="1"/>
  <c r="AN193" i="2" a="1"/>
  <c r="AN193" i="2" s="1"/>
  <c r="BK193" i="2" s="1"/>
  <c r="AM193" i="2" a="1"/>
  <c r="AM193" i="2" s="1"/>
  <c r="AL193" i="2" a="1"/>
  <c r="AL193" i="2" s="1"/>
  <c r="BG193" i="2" s="1"/>
  <c r="AK193" i="2"/>
  <c r="AO192" i="2" a="1"/>
  <c r="AO192" i="2" s="1"/>
  <c r="AN192" i="2" a="1"/>
  <c r="AN192" i="2" s="1"/>
  <c r="BK192" i="2" s="1"/>
  <c r="AM192" i="2" a="1"/>
  <c r="AM192" i="2" s="1"/>
  <c r="AL192" i="2"/>
  <c r="BG192" i="2" s="1"/>
  <c r="BW192" i="2" s="1"/>
  <c r="AL192" i="2" a="1"/>
  <c r="AK192" i="2"/>
  <c r="AO191" i="2"/>
  <c r="AO191" i="2" a="1"/>
  <c r="AN191" i="2" a="1"/>
  <c r="AN191" i="2" s="1"/>
  <c r="BK191" i="2" s="1"/>
  <c r="AM191" i="2"/>
  <c r="AM191" i="2" a="1"/>
  <c r="AL191" i="2" a="1"/>
  <c r="AL191" i="2" s="1"/>
  <c r="BG191" i="2" s="1"/>
  <c r="BW191" i="2" s="1"/>
  <c r="AO190" i="2" a="1"/>
  <c r="AO190" i="2" s="1"/>
  <c r="AN190" i="2" a="1"/>
  <c r="AN190" i="2" s="1"/>
  <c r="BK190" i="2" s="1"/>
  <c r="AM190" i="2" a="1"/>
  <c r="AM190" i="2" s="1"/>
  <c r="AL190" i="2"/>
  <c r="BG190" i="2" s="1"/>
  <c r="BW190" i="2" s="1"/>
  <c r="AL190" i="2" a="1"/>
  <c r="AO189" i="2" a="1"/>
  <c r="AO189" i="2" s="1"/>
  <c r="AN189" i="2"/>
  <c r="BK189" i="2" s="1"/>
  <c r="AN189" i="2" a="1"/>
  <c r="AM189" i="2" a="1"/>
  <c r="AM189" i="2" s="1"/>
  <c r="AL189" i="2"/>
  <c r="BG189" i="2" s="1"/>
  <c r="BW189" i="2" s="1"/>
  <c r="AL189" i="2" a="1"/>
  <c r="AO188" i="2"/>
  <c r="AO188" i="2" a="1"/>
  <c r="AN188" i="2"/>
  <c r="BK188" i="2" s="1"/>
  <c r="AN188" i="2" a="1"/>
  <c r="AM188" i="2"/>
  <c r="AM188" i="2" a="1"/>
  <c r="AL188" i="2"/>
  <c r="BG188" i="2" s="1"/>
  <c r="AL188" i="2" a="1"/>
  <c r="AO187" i="2" a="1"/>
  <c r="AO187" i="2" s="1"/>
  <c r="AN187" i="2" a="1"/>
  <c r="AN187" i="2" s="1"/>
  <c r="BK187" i="2" s="1"/>
  <c r="AM187" i="2"/>
  <c r="AM187" i="2" a="1"/>
  <c r="AL187" i="2" a="1"/>
  <c r="AL187" i="2" s="1"/>
  <c r="BG187" i="2" s="1"/>
  <c r="BW187" i="2" s="1"/>
  <c r="AK187" i="2"/>
  <c r="AO186" i="2"/>
  <c r="AO186" i="2" a="1"/>
  <c r="AN186" i="2" a="1"/>
  <c r="AN186" i="2" s="1"/>
  <c r="BK186" i="2" s="1"/>
  <c r="AM186" i="2"/>
  <c r="AM186" i="2" a="1"/>
  <c r="AL186" i="2" a="1"/>
  <c r="AL186" i="2" s="1"/>
  <c r="BG186" i="2" s="1"/>
  <c r="BW186" i="2" s="1"/>
  <c r="AO185" i="2" a="1"/>
  <c r="AO185" i="2" s="1"/>
  <c r="AN185" i="2" a="1"/>
  <c r="AN185" i="2" s="1"/>
  <c r="BK185" i="2" s="1"/>
  <c r="AM185" i="2" a="1"/>
  <c r="AM185" i="2" s="1"/>
  <c r="AL185" i="2"/>
  <c r="BG185" i="2" s="1"/>
  <c r="BW185" i="2" s="1"/>
  <c r="AL185" i="2" a="1"/>
  <c r="AK185" i="2"/>
  <c r="CA185" i="2" s="1"/>
  <c r="CB185" i="2" s="1"/>
  <c r="AO184" i="2"/>
  <c r="AO184" i="2" a="1"/>
  <c r="AN184" i="2" a="1"/>
  <c r="AN184" i="2" s="1"/>
  <c r="BK184" i="2" s="1"/>
  <c r="AM184" i="2" a="1"/>
  <c r="AM184" i="2" s="1"/>
  <c r="AL184" i="2"/>
  <c r="BG184" i="2" s="1"/>
  <c r="AL184" i="2" a="1"/>
  <c r="AO183" i="2" a="1"/>
  <c r="AO183" i="2" s="1"/>
  <c r="AN183" i="2" a="1"/>
  <c r="AN183" i="2" s="1"/>
  <c r="BK183" i="2" s="1"/>
  <c r="AM183" i="2" a="1"/>
  <c r="AM183" i="2" s="1"/>
  <c r="AL183" i="2"/>
  <c r="BG183" i="2" s="1"/>
  <c r="BW183" i="2" s="1"/>
  <c r="AL183" i="2" a="1"/>
  <c r="AO182" i="2" a="1"/>
  <c r="AO182" i="2" s="1"/>
  <c r="AN182" i="2"/>
  <c r="BK182" i="2" s="1"/>
  <c r="AN182" i="2" a="1"/>
  <c r="AM182" i="2" a="1"/>
  <c r="AM182" i="2" s="1"/>
  <c r="AL182" i="2" a="1"/>
  <c r="AL182" i="2" s="1"/>
  <c r="BG182" i="2" s="1"/>
  <c r="AK182" i="2"/>
  <c r="AP182" i="2" s="1"/>
  <c r="AO181" i="2" a="1"/>
  <c r="AO181" i="2" s="1"/>
  <c r="AN181" i="2" a="1"/>
  <c r="AN181" i="2" s="1"/>
  <c r="BK181" i="2" s="1"/>
  <c r="AM181" i="2"/>
  <c r="AM181" i="2" a="1"/>
  <c r="AL181" i="2"/>
  <c r="BG181" i="2" s="1"/>
  <c r="AL181" i="2" a="1"/>
  <c r="AO180" i="2"/>
  <c r="AO180" i="2" a="1"/>
  <c r="AN180" i="2" a="1"/>
  <c r="AN180" i="2" s="1"/>
  <c r="BK180" i="2" s="1"/>
  <c r="AM180" i="2" a="1"/>
  <c r="AM180" i="2" s="1"/>
  <c r="AL180" i="2" a="1"/>
  <c r="AL180" i="2" s="1"/>
  <c r="BG180" i="2" s="1"/>
  <c r="BW180" i="2" s="1"/>
  <c r="BY180" i="2" s="1"/>
  <c r="AK180" i="2"/>
  <c r="AP180" i="2" s="1"/>
  <c r="AO179" i="2"/>
  <c r="AO179" i="2" a="1"/>
  <c r="AN179" i="2" a="1"/>
  <c r="AN179" i="2" s="1"/>
  <c r="BK179" i="2" s="1"/>
  <c r="AM179" i="2" a="1"/>
  <c r="AM179" i="2" s="1"/>
  <c r="AL179" i="2" a="1"/>
  <c r="AL179" i="2" s="1"/>
  <c r="BG179" i="2" s="1"/>
  <c r="BW179" i="2" s="1"/>
  <c r="BY179" i="2" s="1"/>
  <c r="AK179" i="2"/>
  <c r="AO178" i="2" a="1"/>
  <c r="AO178" i="2" s="1"/>
  <c r="AN178" i="2"/>
  <c r="AN178" i="2" a="1"/>
  <c r="AM178" i="2" a="1"/>
  <c r="AM178" i="2" s="1"/>
  <c r="AL178" i="2" a="1"/>
  <c r="AL178" i="2" s="1"/>
  <c r="BG178" i="2" s="1"/>
  <c r="BW178" i="2" s="1"/>
  <c r="BY178" i="2" s="1"/>
  <c r="AK178" i="2"/>
  <c r="AO177" i="2" a="1"/>
  <c r="AO177" i="2" s="1"/>
  <c r="AN177" i="2"/>
  <c r="BK177" i="2" s="1"/>
  <c r="AN177" i="2" a="1"/>
  <c r="AM177" i="2" a="1"/>
  <c r="AM177" i="2" s="1"/>
  <c r="AL177" i="2"/>
  <c r="BG177" i="2" s="1"/>
  <c r="AL177" i="2" a="1"/>
  <c r="AK177" i="2"/>
  <c r="AO176" i="2" a="1"/>
  <c r="AO176" i="2" s="1"/>
  <c r="AN176" i="2" a="1"/>
  <c r="AN176" i="2" s="1"/>
  <c r="BK176" i="2" s="1"/>
  <c r="AM176" i="2"/>
  <c r="AM176" i="2" a="1"/>
  <c r="AL176" i="2"/>
  <c r="BG176" i="2" s="1"/>
  <c r="BW176" i="2" s="1"/>
  <c r="AL176" i="2" a="1"/>
  <c r="AO175" i="2" a="1"/>
  <c r="AO175" i="2" s="1"/>
  <c r="AN175" i="2"/>
  <c r="BK175" i="2" s="1"/>
  <c r="AN175" i="2" a="1"/>
  <c r="AM175" i="2" a="1"/>
  <c r="AM175" i="2" s="1"/>
  <c r="AL175" i="2" a="1"/>
  <c r="AL175" i="2" s="1"/>
  <c r="BG175" i="2" s="1"/>
  <c r="AK175" i="2"/>
  <c r="AO174" i="2" a="1"/>
  <c r="AO174" i="2" s="1"/>
  <c r="AN174" i="2" a="1"/>
  <c r="AN174" i="2" s="1"/>
  <c r="BK174" i="2" s="1"/>
  <c r="AM174" i="2" a="1"/>
  <c r="AM174" i="2" s="1"/>
  <c r="AL174" i="2" a="1"/>
  <c r="AL174" i="2" s="1"/>
  <c r="BG174" i="2" s="1"/>
  <c r="AK174" i="2"/>
  <c r="AP174" i="2" s="1"/>
  <c r="AO173" i="2" a="1"/>
  <c r="AO173" i="2" s="1"/>
  <c r="AN173" i="2" a="1"/>
  <c r="AN173" i="2" s="1"/>
  <c r="BK173" i="2" s="1"/>
  <c r="AM173" i="2" a="1"/>
  <c r="AM173" i="2" s="1"/>
  <c r="AL173" i="2"/>
  <c r="BG173" i="2" s="1"/>
  <c r="BW173" i="2" s="1"/>
  <c r="AL173" i="2" a="1"/>
  <c r="AO172" i="2" a="1"/>
  <c r="AO172" i="2" s="1"/>
  <c r="AN172" i="2"/>
  <c r="BK172" i="2" s="1"/>
  <c r="AN172" i="2" a="1"/>
  <c r="AM172" i="2" a="1"/>
  <c r="AM172" i="2" s="1"/>
  <c r="AL172" i="2" a="1"/>
  <c r="AL172" i="2" s="1"/>
  <c r="BG172" i="2" s="1"/>
  <c r="AO171" i="2" a="1"/>
  <c r="AO171" i="2" s="1"/>
  <c r="AN171" i="2" a="1"/>
  <c r="AN171" i="2" s="1"/>
  <c r="BK171" i="2" s="1"/>
  <c r="AM171" i="2" a="1"/>
  <c r="AM171" i="2" s="1"/>
  <c r="AL171" i="2"/>
  <c r="BG171" i="2" s="1"/>
  <c r="AL171" i="2" a="1"/>
  <c r="AO170" i="2" a="1"/>
  <c r="AO170" i="2" s="1"/>
  <c r="AN170" i="2"/>
  <c r="BK170" i="2" s="1"/>
  <c r="AN170" i="2" a="1"/>
  <c r="AM170" i="2"/>
  <c r="AM170" i="2" a="1"/>
  <c r="AL170" i="2"/>
  <c r="BG170" i="2" s="1"/>
  <c r="AL170" i="2" a="1"/>
  <c r="AO169" i="2" a="1"/>
  <c r="AO169" i="2" s="1"/>
  <c r="AN169" i="2" a="1"/>
  <c r="AN169" i="2" s="1"/>
  <c r="BK169" i="2" s="1"/>
  <c r="AM169" i="2" a="1"/>
  <c r="AM169" i="2" s="1"/>
  <c r="AL169" i="2"/>
  <c r="BG169" i="2" s="1"/>
  <c r="AL169" i="2" a="1"/>
  <c r="AO168" i="2" a="1"/>
  <c r="AO168" i="2" s="1"/>
  <c r="AN168" i="2" a="1"/>
  <c r="AN168" i="2" s="1"/>
  <c r="BK168" i="2" s="1"/>
  <c r="AM168" i="2" a="1"/>
  <c r="AM168" i="2" s="1"/>
  <c r="AL168" i="2"/>
  <c r="BG168" i="2" s="1"/>
  <c r="BW168" i="2" s="1"/>
  <c r="AL168" i="2" a="1"/>
  <c r="AO167" i="2" a="1"/>
  <c r="AO167" i="2" s="1"/>
  <c r="AK167" i="2" s="1"/>
  <c r="AN167" i="2"/>
  <c r="BK167" i="2" s="1"/>
  <c r="AN167" i="2" a="1"/>
  <c r="AM167" i="2"/>
  <c r="AM167" i="2" a="1"/>
  <c r="AL167" i="2" a="1"/>
  <c r="AL167" i="2" s="1"/>
  <c r="BG167" i="2" s="1"/>
  <c r="AO166" i="2"/>
  <c r="AO166" i="2" a="1"/>
  <c r="AN166" i="2" a="1"/>
  <c r="AN166" i="2" s="1"/>
  <c r="BK166" i="2" s="1"/>
  <c r="AM166" i="2" a="1"/>
  <c r="AM166" i="2" s="1"/>
  <c r="AL166" i="2" a="1"/>
  <c r="AL166" i="2" s="1"/>
  <c r="BG166" i="2" s="1"/>
  <c r="BW166" i="2" s="1"/>
  <c r="AO165" i="2" a="1"/>
  <c r="AO165" i="2" s="1"/>
  <c r="AN165" i="2"/>
  <c r="AN165" i="2" a="1"/>
  <c r="AM165" i="2" a="1"/>
  <c r="AM165" i="2" s="1"/>
  <c r="AL165" i="2" a="1"/>
  <c r="AL165" i="2" s="1"/>
  <c r="BG165" i="2" s="1"/>
  <c r="AK165" i="2"/>
  <c r="AO164" i="2"/>
  <c r="AO164" i="2" a="1"/>
  <c r="AN164" i="2" a="1"/>
  <c r="AN164" i="2" s="1"/>
  <c r="BK164" i="2" s="1"/>
  <c r="AM164" i="2" a="1"/>
  <c r="AM164" i="2" s="1"/>
  <c r="AL164" i="2" a="1"/>
  <c r="AL164" i="2" s="1"/>
  <c r="BG164" i="2" s="1"/>
  <c r="BW164" i="2" s="1"/>
  <c r="AO163" i="2" a="1"/>
  <c r="AO163" i="2" s="1"/>
  <c r="AN163" i="2"/>
  <c r="BK163" i="2" s="1"/>
  <c r="AN163" i="2" a="1"/>
  <c r="AM163" i="2" a="1"/>
  <c r="AM163" i="2" s="1"/>
  <c r="BY163" i="2" s="1"/>
  <c r="AL163" i="2" a="1"/>
  <c r="AL163" i="2" s="1"/>
  <c r="BG163" i="2" s="1"/>
  <c r="BW163" i="2" s="1"/>
  <c r="AK163" i="2"/>
  <c r="AO162" i="2" a="1"/>
  <c r="AO162" i="2" s="1"/>
  <c r="AN162" i="2" a="1"/>
  <c r="AN162" i="2" s="1"/>
  <c r="BK162" i="2" s="1"/>
  <c r="AM162" i="2" a="1"/>
  <c r="AM162" i="2" s="1"/>
  <c r="AL162" i="2" a="1"/>
  <c r="AL162" i="2" s="1"/>
  <c r="BG162" i="2" s="1"/>
  <c r="BW162" i="2" s="1"/>
  <c r="AO161" i="2" a="1"/>
  <c r="AO161" i="2" s="1"/>
  <c r="AN161" i="2" a="1"/>
  <c r="AN161" i="2" s="1"/>
  <c r="BK161" i="2" s="1"/>
  <c r="AM161" i="2" a="1"/>
  <c r="AM161" i="2" s="1"/>
  <c r="AL161" i="2" a="1"/>
  <c r="AL161" i="2" s="1"/>
  <c r="BG161" i="2" s="1"/>
  <c r="BW161" i="2" s="1"/>
  <c r="AO160" i="2"/>
  <c r="BE160" i="2" s="1"/>
  <c r="BH160" i="2" s="1"/>
  <c r="AO160" i="2" a="1"/>
  <c r="AN160" i="2" a="1"/>
  <c r="AN160" i="2" s="1"/>
  <c r="BK160" i="2" s="1"/>
  <c r="AM160" i="2"/>
  <c r="AM160" i="2" a="1"/>
  <c r="AL160" i="2" a="1"/>
  <c r="AL160" i="2" s="1"/>
  <c r="BG160" i="2" s="1"/>
  <c r="AO159" i="2" a="1"/>
  <c r="AO159" i="2" s="1"/>
  <c r="AN159" i="2" a="1"/>
  <c r="AN159" i="2" s="1"/>
  <c r="BK159" i="2" s="1"/>
  <c r="AM159" i="2" a="1"/>
  <c r="AM159" i="2" s="1"/>
  <c r="AL159" i="2" a="1"/>
  <c r="AL159" i="2" s="1"/>
  <c r="BG159" i="2" s="1"/>
  <c r="AO158" i="2" a="1"/>
  <c r="AO158" i="2" s="1"/>
  <c r="AN158" i="2"/>
  <c r="BK158" i="2" s="1"/>
  <c r="AN158" i="2" a="1"/>
  <c r="AM158" i="2" a="1"/>
  <c r="AM158" i="2" s="1"/>
  <c r="AL158" i="2" a="1"/>
  <c r="AL158" i="2" s="1"/>
  <c r="BG158" i="2" s="1"/>
  <c r="BW158" i="2" s="1"/>
  <c r="AO157" i="2" a="1"/>
  <c r="AO157" i="2" s="1"/>
  <c r="AN157" i="2" a="1"/>
  <c r="AN157" i="2" s="1"/>
  <c r="BK157" i="2" s="1"/>
  <c r="AM157" i="2" a="1"/>
  <c r="AM157" i="2" s="1"/>
  <c r="AL157" i="2" a="1"/>
  <c r="AL157" i="2" s="1"/>
  <c r="BG157" i="2" s="1"/>
  <c r="BW157" i="2" s="1"/>
  <c r="AO156" i="2" a="1"/>
  <c r="AO156" i="2" s="1"/>
  <c r="AN156" i="2"/>
  <c r="BK156" i="2" s="1"/>
  <c r="AN156" i="2" a="1"/>
  <c r="AM156" i="2" a="1"/>
  <c r="AM156" i="2" s="1"/>
  <c r="AL156" i="2"/>
  <c r="AL156" i="2" a="1"/>
  <c r="AO155" i="2" a="1"/>
  <c r="AO155" i="2" s="1"/>
  <c r="AN155" i="2"/>
  <c r="BK155" i="2" s="1"/>
  <c r="AN155" i="2" a="1"/>
  <c r="AM155" i="2" a="1"/>
  <c r="AM155" i="2" s="1"/>
  <c r="AL155" i="2"/>
  <c r="BG155" i="2" s="1"/>
  <c r="AL155" i="2" a="1"/>
  <c r="AO154" i="2" a="1"/>
  <c r="AO154" i="2" s="1"/>
  <c r="AN154" i="2"/>
  <c r="BK154" i="2" s="1"/>
  <c r="AN154" i="2" a="1"/>
  <c r="AM154" i="2" a="1"/>
  <c r="AM154" i="2" s="1"/>
  <c r="AL154" i="2" a="1"/>
  <c r="AL154" i="2" s="1"/>
  <c r="BG154" i="2" s="1"/>
  <c r="AO153" i="2" a="1"/>
  <c r="AO153" i="2" s="1"/>
  <c r="AK153" i="2" s="1"/>
  <c r="AP153" i="2" s="1"/>
  <c r="AN153" i="2"/>
  <c r="BK153" i="2" s="1"/>
  <c r="AN153" i="2" a="1"/>
  <c r="AM153" i="2"/>
  <c r="AM153" i="2" a="1"/>
  <c r="AL153" i="2" a="1"/>
  <c r="AL153" i="2" s="1"/>
  <c r="BG153" i="2" s="1"/>
  <c r="AO152" i="2" a="1"/>
  <c r="AO152" i="2" s="1"/>
  <c r="AN152" i="2"/>
  <c r="BK152" i="2" s="1"/>
  <c r="AN152" i="2" a="1"/>
  <c r="AM152" i="2" a="1"/>
  <c r="AM152" i="2" s="1"/>
  <c r="AL152" i="2"/>
  <c r="AL152" i="2" a="1"/>
  <c r="AO151" i="2" a="1"/>
  <c r="AO151" i="2" s="1"/>
  <c r="AN151" i="2"/>
  <c r="BK151" i="2" s="1"/>
  <c r="AN151" i="2" a="1"/>
  <c r="AM151" i="2" a="1"/>
  <c r="AM151" i="2" s="1"/>
  <c r="AL151" i="2" a="1"/>
  <c r="AL151" i="2" s="1"/>
  <c r="BG151" i="2" s="1"/>
  <c r="BW151" i="2" s="1"/>
  <c r="AO150" i="2"/>
  <c r="AO150" i="2" a="1"/>
  <c r="AN150" i="2" a="1"/>
  <c r="AN150" i="2" s="1"/>
  <c r="BK150" i="2" s="1"/>
  <c r="AM150" i="2"/>
  <c r="AM150" i="2" a="1"/>
  <c r="AL150" i="2" a="1"/>
  <c r="AL150" i="2" s="1"/>
  <c r="BG150" i="2" s="1"/>
  <c r="AO149" i="2" a="1"/>
  <c r="AO149" i="2" s="1"/>
  <c r="AN149" i="2"/>
  <c r="BK149" i="2" s="1"/>
  <c r="AN149" i="2" a="1"/>
  <c r="AM149" i="2" a="1"/>
  <c r="AM149" i="2" s="1"/>
  <c r="AL149" i="2" a="1"/>
  <c r="AL149" i="2" s="1"/>
  <c r="BG149" i="2" s="1"/>
  <c r="AK149" i="2"/>
  <c r="AP149" i="2" s="1"/>
  <c r="AO148" i="2" a="1"/>
  <c r="AO148" i="2" s="1"/>
  <c r="AN148" i="2" a="1"/>
  <c r="AN148" i="2" s="1"/>
  <c r="BK148" i="2" s="1"/>
  <c r="AM148" i="2" a="1"/>
  <c r="AM148" i="2" s="1"/>
  <c r="AL148" i="2"/>
  <c r="BG148" i="2" s="1"/>
  <c r="AL148" i="2" a="1"/>
  <c r="AO147" i="2" a="1"/>
  <c r="AO147" i="2" s="1"/>
  <c r="AN147" i="2" a="1"/>
  <c r="AN147" i="2" s="1"/>
  <c r="BK147" i="2" s="1"/>
  <c r="AM147" i="2" a="1"/>
  <c r="AM147" i="2" s="1"/>
  <c r="AL147" i="2" a="1"/>
  <c r="AL147" i="2" s="1"/>
  <c r="BG147" i="2" s="1"/>
  <c r="BW147" i="2" s="1"/>
  <c r="BY147" i="2" s="1"/>
  <c r="AK147" i="2"/>
  <c r="AO146" i="2" a="1"/>
  <c r="AO146" i="2" s="1"/>
  <c r="AN146" i="2"/>
  <c r="AN146" i="2" a="1"/>
  <c r="AM146" i="2"/>
  <c r="AM146" i="2" a="1"/>
  <c r="AL146" i="2" a="1"/>
  <c r="AL146" i="2" s="1"/>
  <c r="BG146" i="2" s="1"/>
  <c r="BW146" i="2" s="1"/>
  <c r="AO145" i="2"/>
  <c r="AO145" i="2" a="1"/>
  <c r="AN145" i="2"/>
  <c r="BK145" i="2" s="1"/>
  <c r="AN145" i="2" a="1"/>
  <c r="AM145" i="2" a="1"/>
  <c r="AM145" i="2" s="1"/>
  <c r="AL145" i="2"/>
  <c r="BG145" i="2" s="1"/>
  <c r="AL145" i="2" a="1"/>
  <c r="AK145" i="2"/>
  <c r="AO144" i="2"/>
  <c r="AO144" i="2" a="1"/>
  <c r="AN144" i="2"/>
  <c r="AN144" i="2" a="1"/>
  <c r="AM144" i="2" a="1"/>
  <c r="AM144" i="2" s="1"/>
  <c r="AL144" i="2" a="1"/>
  <c r="AL144" i="2" s="1"/>
  <c r="BG144" i="2" s="1"/>
  <c r="AK144" i="2"/>
  <c r="AO143" i="2" a="1"/>
  <c r="AO143" i="2" s="1"/>
  <c r="AN143" i="2"/>
  <c r="BK143" i="2" s="1"/>
  <c r="AN143" i="2" a="1"/>
  <c r="AM143" i="2" a="1"/>
  <c r="AM143" i="2" s="1"/>
  <c r="AL143" i="2"/>
  <c r="BG143" i="2" s="1"/>
  <c r="AL143" i="2" a="1"/>
  <c r="AO142" i="2" a="1"/>
  <c r="AO142" i="2" s="1"/>
  <c r="AN142" i="2" a="1"/>
  <c r="AN142" i="2" s="1"/>
  <c r="BK142" i="2" s="1"/>
  <c r="AM142" i="2" a="1"/>
  <c r="AM142" i="2" s="1"/>
  <c r="AL142" i="2" a="1"/>
  <c r="AL142" i="2" s="1"/>
  <c r="BG142" i="2" s="1"/>
  <c r="AK142" i="2"/>
  <c r="AO141" i="2" a="1"/>
  <c r="AO141" i="2" s="1"/>
  <c r="BI141" i="2" s="1"/>
  <c r="AN141" i="2" a="1"/>
  <c r="AN141" i="2" s="1"/>
  <c r="BK141" i="2" s="1"/>
  <c r="AM141" i="2"/>
  <c r="AM141" i="2" a="1"/>
  <c r="AL141" i="2" a="1"/>
  <c r="AL141" i="2" s="1"/>
  <c r="BG141" i="2" s="1"/>
  <c r="AO140" i="2" a="1"/>
  <c r="AO140" i="2" s="1"/>
  <c r="AN140" i="2" a="1"/>
  <c r="AN140" i="2" s="1"/>
  <c r="BK140" i="2" s="1"/>
  <c r="AM140" i="2" a="1"/>
  <c r="AM140" i="2" s="1"/>
  <c r="AL140" i="2"/>
  <c r="BG140" i="2" s="1"/>
  <c r="AL140" i="2" a="1"/>
  <c r="AK140" i="2"/>
  <c r="AO139" i="2" a="1"/>
  <c r="AO139" i="2" s="1"/>
  <c r="AN139" i="2" a="1"/>
  <c r="AN139" i="2" s="1"/>
  <c r="BK139" i="2" s="1"/>
  <c r="AM139" i="2" a="1"/>
  <c r="AM139" i="2" s="1"/>
  <c r="AL139" i="2"/>
  <c r="BG139" i="2" s="1"/>
  <c r="AL139" i="2" a="1"/>
  <c r="AO138" i="2" a="1"/>
  <c r="AO138" i="2" s="1"/>
  <c r="BC138" i="2" s="1"/>
  <c r="AN138" i="2" a="1"/>
  <c r="AN138" i="2" s="1"/>
  <c r="BK138" i="2" s="1"/>
  <c r="AM138" i="2" a="1"/>
  <c r="AM138" i="2" s="1"/>
  <c r="AL138" i="2" a="1"/>
  <c r="AL138" i="2" s="1"/>
  <c r="BG138" i="2" s="1"/>
  <c r="AO137" i="2" a="1"/>
  <c r="AO137" i="2" s="1"/>
  <c r="AN137" i="2"/>
  <c r="AN137" i="2" a="1"/>
  <c r="AM137" i="2" a="1"/>
  <c r="AM137" i="2" s="1"/>
  <c r="AL137" i="2"/>
  <c r="BG137" i="2" s="1"/>
  <c r="BW137" i="2" s="1"/>
  <c r="AL137" i="2" a="1"/>
  <c r="AO136" i="2" a="1"/>
  <c r="AO136" i="2" s="1"/>
  <c r="AN136" i="2" a="1"/>
  <c r="AN136" i="2" s="1"/>
  <c r="BK136" i="2" s="1"/>
  <c r="AM136" i="2" a="1"/>
  <c r="AM136" i="2" s="1"/>
  <c r="AL136" i="2" a="1"/>
  <c r="AL136" i="2" s="1"/>
  <c r="BG136" i="2" s="1"/>
  <c r="BW136" i="2" s="1"/>
  <c r="AO135" i="2"/>
  <c r="BF135" i="2" s="1"/>
  <c r="BJ135" i="2" s="1"/>
  <c r="AO135" i="2" a="1"/>
  <c r="AN135" i="2" a="1"/>
  <c r="AN135" i="2" s="1"/>
  <c r="AM135" i="2" a="1"/>
  <c r="AM135" i="2" s="1"/>
  <c r="AL135" i="2"/>
  <c r="BG135" i="2" s="1"/>
  <c r="AL135" i="2" a="1"/>
  <c r="AK135" i="2"/>
  <c r="AO134" i="2" a="1"/>
  <c r="AO134" i="2" s="1"/>
  <c r="AN134" i="2" a="1"/>
  <c r="AN134" i="2" s="1"/>
  <c r="BK134" i="2" s="1"/>
  <c r="AM134" i="2" a="1"/>
  <c r="AM134" i="2" s="1"/>
  <c r="AL134" i="2"/>
  <c r="BG134" i="2" s="1"/>
  <c r="BW134" i="2" s="1"/>
  <c r="AL134" i="2" a="1"/>
  <c r="AK134" i="2"/>
  <c r="AO133" i="2" a="1"/>
  <c r="AO133" i="2" s="1"/>
  <c r="AN133" i="2"/>
  <c r="BK133" i="2" s="1"/>
  <c r="AN133" i="2" a="1"/>
  <c r="AM133" i="2" a="1"/>
  <c r="AM133" i="2" s="1"/>
  <c r="AL133" i="2" a="1"/>
  <c r="AL133" i="2" s="1"/>
  <c r="BG133" i="2" s="1"/>
  <c r="AO132" i="2" a="1"/>
  <c r="AO132" i="2" s="1"/>
  <c r="AN132" i="2"/>
  <c r="BK132" i="2" s="1"/>
  <c r="AN132" i="2" a="1"/>
  <c r="AM132" i="2" a="1"/>
  <c r="AM132" i="2" s="1"/>
  <c r="AL132" i="2"/>
  <c r="BG132" i="2" s="1"/>
  <c r="BW132" i="2" s="1"/>
  <c r="AL132" i="2" a="1"/>
  <c r="AO131" i="2" a="1"/>
  <c r="AO131" i="2" s="1"/>
  <c r="AN131" i="2"/>
  <c r="BK131" i="2" s="1"/>
  <c r="AN131" i="2" a="1"/>
  <c r="AM131" i="2" a="1"/>
  <c r="AM131" i="2" s="1"/>
  <c r="AL131" i="2"/>
  <c r="BG131" i="2" s="1"/>
  <c r="AL131" i="2" a="1"/>
  <c r="AO130" i="2" a="1"/>
  <c r="AO130" i="2" s="1"/>
  <c r="BD130" i="2" s="1"/>
  <c r="AN130" i="2"/>
  <c r="BK130" i="2" s="1"/>
  <c r="AN130" i="2" a="1"/>
  <c r="AM130" i="2" a="1"/>
  <c r="AM130" i="2" s="1"/>
  <c r="AL130" i="2" a="1"/>
  <c r="AL130" i="2" s="1"/>
  <c r="BG130" i="2" s="1"/>
  <c r="AO129" i="2" a="1"/>
  <c r="AO129" i="2" s="1"/>
  <c r="AN129" i="2"/>
  <c r="BK129" i="2" s="1"/>
  <c r="AN129" i="2" a="1"/>
  <c r="AM129" i="2" a="1"/>
  <c r="AM129" i="2" s="1"/>
  <c r="AL129" i="2" a="1"/>
  <c r="AL129" i="2" s="1"/>
  <c r="BG129" i="2" s="1"/>
  <c r="AO128" i="2"/>
  <c r="AO128" i="2" a="1"/>
  <c r="AN128" i="2"/>
  <c r="BK128" i="2" s="1"/>
  <c r="AN128" i="2" a="1"/>
  <c r="AM128" i="2" a="1"/>
  <c r="AM128" i="2" s="1"/>
  <c r="AL128" i="2"/>
  <c r="BG128" i="2" s="1"/>
  <c r="BW128" i="2" s="1"/>
  <c r="AL128" i="2" a="1"/>
  <c r="AK128" i="2"/>
  <c r="AO127" i="2" a="1"/>
  <c r="AO127" i="2" s="1"/>
  <c r="AN127" i="2"/>
  <c r="BK127" i="2" s="1"/>
  <c r="AN127" i="2" a="1"/>
  <c r="AM127" i="2" a="1"/>
  <c r="AM127" i="2" s="1"/>
  <c r="AL127" i="2" a="1"/>
  <c r="AL127" i="2" s="1"/>
  <c r="BG127" i="2" s="1"/>
  <c r="BW127" i="2" s="1"/>
  <c r="AK127" i="2"/>
  <c r="AP127" i="2" s="1"/>
  <c r="AO126" i="2"/>
  <c r="AO126" i="2" a="1"/>
  <c r="AN126" i="2" a="1"/>
  <c r="AN126" i="2" s="1"/>
  <c r="BK126" i="2" s="1"/>
  <c r="AM126" i="2" a="1"/>
  <c r="AM126" i="2" s="1"/>
  <c r="AL126" i="2" a="1"/>
  <c r="AL126" i="2" s="1"/>
  <c r="BG126" i="2" s="1"/>
  <c r="BW126" i="2" s="1"/>
  <c r="AO125" i="2"/>
  <c r="AO125" i="2" a="1"/>
  <c r="AN125" i="2" a="1"/>
  <c r="AN125" i="2" s="1"/>
  <c r="BK125" i="2" s="1"/>
  <c r="AM125" i="2" a="1"/>
  <c r="AM125" i="2" s="1"/>
  <c r="AL125" i="2"/>
  <c r="BG125" i="2" s="1"/>
  <c r="AL125" i="2" a="1"/>
  <c r="AK125" i="2"/>
  <c r="AO124" i="2" a="1"/>
  <c r="AO124" i="2" s="1"/>
  <c r="AN124" i="2"/>
  <c r="BK124" i="2" s="1"/>
  <c r="AN124" i="2" a="1"/>
  <c r="AM124" i="2" a="1"/>
  <c r="AM124" i="2" s="1"/>
  <c r="AL124" i="2" a="1"/>
  <c r="AL124" i="2" s="1"/>
  <c r="BG124" i="2" s="1"/>
  <c r="AO123" i="2" a="1"/>
  <c r="AO123" i="2" s="1"/>
  <c r="AN123" i="2"/>
  <c r="BK123" i="2" s="1"/>
  <c r="AN123" i="2" a="1"/>
  <c r="AM123" i="2" a="1"/>
  <c r="AM123" i="2" s="1"/>
  <c r="AL123" i="2" a="1"/>
  <c r="AL123" i="2" s="1"/>
  <c r="BG123" i="2" s="1"/>
  <c r="BW123" i="2" s="1"/>
  <c r="AO122" i="2" a="1"/>
  <c r="AO122" i="2" s="1"/>
  <c r="AN122" i="2" a="1"/>
  <c r="AN122" i="2" s="1"/>
  <c r="BK122" i="2" s="1"/>
  <c r="AM122" i="2" a="1"/>
  <c r="AM122" i="2" s="1"/>
  <c r="BI122" i="2" s="1"/>
  <c r="AL122" i="2" a="1"/>
  <c r="AL122" i="2" s="1"/>
  <c r="BG122" i="2" s="1"/>
  <c r="BW122" i="2" s="1"/>
  <c r="BY122" i="2" s="1"/>
  <c r="AK122" i="2"/>
  <c r="AO121" i="2"/>
  <c r="AO121" i="2" a="1"/>
  <c r="AN121" i="2" a="1"/>
  <c r="AN121" i="2" s="1"/>
  <c r="BK121" i="2" s="1"/>
  <c r="AM121" i="2"/>
  <c r="AM121" i="2" a="1"/>
  <c r="AL121" i="2" a="1"/>
  <c r="AL121" i="2" s="1"/>
  <c r="AO120" i="2" a="1"/>
  <c r="AO120" i="2" s="1"/>
  <c r="AN120" i="2" a="1"/>
  <c r="AN120" i="2" s="1"/>
  <c r="BK120" i="2" s="1"/>
  <c r="AM120" i="2"/>
  <c r="AM120" i="2" a="1"/>
  <c r="AL120" i="2" a="1"/>
  <c r="AL120" i="2" s="1"/>
  <c r="BG120" i="2" s="1"/>
  <c r="AK120" i="2"/>
  <c r="AO119" i="2" a="1"/>
  <c r="AO119" i="2" s="1"/>
  <c r="AN119" i="2" a="1"/>
  <c r="AN119" i="2" s="1"/>
  <c r="BK119" i="2" s="1"/>
  <c r="AM119" i="2" a="1"/>
  <c r="AM119" i="2" s="1"/>
  <c r="AL119" i="2" a="1"/>
  <c r="AL119" i="2" s="1"/>
  <c r="BG119" i="2" s="1"/>
  <c r="BW119" i="2" s="1"/>
  <c r="AO118" i="2" a="1"/>
  <c r="AO118" i="2" s="1"/>
  <c r="AN118" i="2" a="1"/>
  <c r="AN118" i="2" s="1"/>
  <c r="BK118" i="2" s="1"/>
  <c r="AM118" i="2" a="1"/>
  <c r="AM118" i="2" s="1"/>
  <c r="AL118" i="2"/>
  <c r="BG118" i="2" s="1"/>
  <c r="AL118" i="2" a="1"/>
  <c r="AO117" i="2" a="1"/>
  <c r="AO117" i="2" s="1"/>
  <c r="BE117" i="2" s="1"/>
  <c r="BH117" i="2" s="1"/>
  <c r="AN117" i="2" a="1"/>
  <c r="AN117" i="2" s="1"/>
  <c r="BK117" i="2" s="1"/>
  <c r="AM117" i="2" a="1"/>
  <c r="AM117" i="2" s="1"/>
  <c r="AL117" i="2" a="1"/>
  <c r="AL117" i="2" s="1"/>
  <c r="BG117" i="2" s="1"/>
  <c r="AK117" i="2"/>
  <c r="AP117" i="2" s="1"/>
  <c r="AO116" i="2"/>
  <c r="BE116" i="2" s="1"/>
  <c r="BH116" i="2" s="1"/>
  <c r="AO116" i="2" a="1"/>
  <c r="AN116" i="2"/>
  <c r="BK116" i="2" s="1"/>
  <c r="AN116" i="2" a="1"/>
  <c r="AM116" i="2" a="1"/>
  <c r="AM116" i="2" s="1"/>
  <c r="AL116" i="2" a="1"/>
  <c r="AL116" i="2" s="1"/>
  <c r="BG116" i="2" s="1"/>
  <c r="BW116" i="2" s="1"/>
  <c r="AO115" i="2" a="1"/>
  <c r="AO115" i="2" s="1"/>
  <c r="AN115" i="2" a="1"/>
  <c r="AN115" i="2" s="1"/>
  <c r="BK115" i="2" s="1"/>
  <c r="AM115" i="2" a="1"/>
  <c r="AM115" i="2" s="1"/>
  <c r="AL115" i="2" a="1"/>
  <c r="AL115" i="2" s="1"/>
  <c r="BG115" i="2" s="1"/>
  <c r="BW115" i="2" s="1"/>
  <c r="BY115" i="2" s="1"/>
  <c r="AK115" i="2"/>
  <c r="AO114" i="2"/>
  <c r="AO114" i="2" a="1"/>
  <c r="AN114" i="2" a="1"/>
  <c r="AN114" i="2" s="1"/>
  <c r="BK114" i="2" s="1"/>
  <c r="AM114" i="2" a="1"/>
  <c r="AM114" i="2" s="1"/>
  <c r="AL114" i="2" a="1"/>
  <c r="AL114" i="2" s="1"/>
  <c r="AK114" i="2"/>
  <c r="AP114" i="2" s="1"/>
  <c r="AO113" i="2"/>
  <c r="AO113" i="2" a="1"/>
  <c r="AN113" i="2" a="1"/>
  <c r="AN113" i="2" s="1"/>
  <c r="BK113" i="2" s="1"/>
  <c r="AM113" i="2"/>
  <c r="BI113" i="2" s="1"/>
  <c r="AM113" i="2" a="1"/>
  <c r="AL113" i="2"/>
  <c r="BG113" i="2" s="1"/>
  <c r="AL113" i="2" a="1"/>
  <c r="AK113" i="2"/>
  <c r="AO112" i="2" a="1"/>
  <c r="AO112" i="2" s="1"/>
  <c r="BA112" i="2" s="1"/>
  <c r="AN112" i="2"/>
  <c r="BK112" i="2" s="1"/>
  <c r="AN112" i="2" a="1"/>
  <c r="AM112" i="2"/>
  <c r="AM112" i="2" a="1"/>
  <c r="AL112" i="2"/>
  <c r="BG112" i="2" s="1"/>
  <c r="BW112" i="2" s="1"/>
  <c r="AL112" i="2" a="1"/>
  <c r="AO111" i="2" a="1"/>
  <c r="AO111" i="2" s="1"/>
  <c r="AN111" i="2" a="1"/>
  <c r="AN111" i="2" s="1"/>
  <c r="BK111" i="2" s="1"/>
  <c r="AM111" i="2" a="1"/>
  <c r="AM111" i="2" s="1"/>
  <c r="AL111" i="2"/>
  <c r="BG111" i="2" s="1"/>
  <c r="AL111" i="2" a="1"/>
  <c r="AO110" i="2"/>
  <c r="AO110" i="2" a="1"/>
  <c r="AN110" i="2" a="1"/>
  <c r="AN110" i="2" s="1"/>
  <c r="BK110" i="2" s="1"/>
  <c r="AM110" i="2" a="1"/>
  <c r="AM110" i="2" s="1"/>
  <c r="AL110" i="2" a="1"/>
  <c r="AL110" i="2" s="1"/>
  <c r="BG110" i="2" s="1"/>
  <c r="AO109" i="2" a="1"/>
  <c r="AO109" i="2" s="1"/>
  <c r="AN109" i="2"/>
  <c r="BK109" i="2" s="1"/>
  <c r="AN109" i="2" a="1"/>
  <c r="AM109" i="2" a="1"/>
  <c r="AM109" i="2" s="1"/>
  <c r="AL109" i="2" a="1"/>
  <c r="AL109" i="2" s="1"/>
  <c r="BG109" i="2" s="1"/>
  <c r="AK109" i="2"/>
  <c r="AO108" i="2"/>
  <c r="BI108" i="2" s="1"/>
  <c r="AO108" i="2" a="1"/>
  <c r="AN108" i="2" a="1"/>
  <c r="AN108" i="2" s="1"/>
  <c r="BK108" i="2" s="1"/>
  <c r="AM108" i="2"/>
  <c r="AM108" i="2" a="1"/>
  <c r="AL108" i="2" a="1"/>
  <c r="AL108" i="2" s="1"/>
  <c r="BG108" i="2" s="1"/>
  <c r="BW108" i="2" s="1"/>
  <c r="AO107" i="2" a="1"/>
  <c r="AO107" i="2" s="1"/>
  <c r="AN107" i="2" a="1"/>
  <c r="AN107" i="2" s="1"/>
  <c r="BK107" i="2" s="1"/>
  <c r="AM107" i="2" a="1"/>
  <c r="AM107" i="2" s="1"/>
  <c r="AL107" i="2" a="1"/>
  <c r="AL107" i="2" s="1"/>
  <c r="BG107" i="2" s="1"/>
  <c r="AK107" i="2"/>
  <c r="AO106" i="2" a="1"/>
  <c r="AO106" i="2" s="1"/>
  <c r="AN106" i="2"/>
  <c r="AN106" i="2" a="1"/>
  <c r="AM106" i="2" a="1"/>
  <c r="AM106" i="2" s="1"/>
  <c r="AL106" i="2" a="1"/>
  <c r="AL106" i="2" s="1"/>
  <c r="BG106" i="2" s="1"/>
  <c r="BW106" i="2" s="1"/>
  <c r="AO105" i="2" a="1"/>
  <c r="AO105" i="2" s="1"/>
  <c r="AN105" i="2" a="1"/>
  <c r="AN105" i="2" s="1"/>
  <c r="BK105" i="2" s="1"/>
  <c r="AM105" i="2"/>
  <c r="AM105" i="2" a="1"/>
  <c r="AL105" i="2" a="1"/>
  <c r="AL105" i="2" s="1"/>
  <c r="BG105" i="2" s="1"/>
  <c r="BW105" i="2" s="1"/>
  <c r="BY105" i="2" s="1"/>
  <c r="BZ105" i="2" s="1"/>
  <c r="AK105" i="2"/>
  <c r="AO104" i="2"/>
  <c r="AO104" i="2" a="1"/>
  <c r="AN104" i="2" a="1"/>
  <c r="AN104" i="2" s="1"/>
  <c r="BK104" i="2" s="1"/>
  <c r="AM104" i="2" a="1"/>
  <c r="AM104" i="2" s="1"/>
  <c r="AL104" i="2" a="1"/>
  <c r="AL104" i="2" s="1"/>
  <c r="BG104" i="2" s="1"/>
  <c r="AO103" i="2" a="1"/>
  <c r="AO103" i="2" s="1"/>
  <c r="AN103" i="2"/>
  <c r="BK103" i="2" s="1"/>
  <c r="AN103" i="2" a="1"/>
  <c r="AM103" i="2"/>
  <c r="AM103" i="2" a="1"/>
  <c r="AL103" i="2"/>
  <c r="BG103" i="2" s="1"/>
  <c r="AL103" i="2" a="1"/>
  <c r="AO102" i="2" a="1"/>
  <c r="AO102" i="2" s="1"/>
  <c r="AN102" i="2" a="1"/>
  <c r="AN102" i="2" s="1"/>
  <c r="BK102" i="2" s="1"/>
  <c r="AM102" i="2"/>
  <c r="AM102" i="2" a="1"/>
  <c r="AL102" i="2"/>
  <c r="BG102" i="2" s="1"/>
  <c r="BW102" i="2" s="1"/>
  <c r="AL102" i="2" a="1"/>
  <c r="AK102" i="2"/>
  <c r="AO101" i="2" a="1"/>
  <c r="AO101" i="2" s="1"/>
  <c r="AN101" i="2" a="1"/>
  <c r="AN101" i="2" s="1"/>
  <c r="BK101" i="2" s="1"/>
  <c r="AM101" i="2" a="1"/>
  <c r="AM101" i="2" s="1"/>
  <c r="AL101" i="2" a="1"/>
  <c r="AL101" i="2" s="1"/>
  <c r="BG101" i="2" s="1"/>
  <c r="AO100" i="2" a="1"/>
  <c r="AO100" i="2" s="1"/>
  <c r="AN100" i="2" a="1"/>
  <c r="AN100" i="2" s="1"/>
  <c r="BK100" i="2" s="1"/>
  <c r="AM100" i="2"/>
  <c r="AM100" i="2" a="1"/>
  <c r="AL100" i="2" a="1"/>
  <c r="AL100" i="2" s="1"/>
  <c r="BG100" i="2" s="1"/>
  <c r="AO99" i="2" a="1"/>
  <c r="AO99" i="2" s="1"/>
  <c r="AN99" i="2" a="1"/>
  <c r="AN99" i="2" s="1"/>
  <c r="BK99" i="2" s="1"/>
  <c r="AM99" i="2" a="1"/>
  <c r="AM99" i="2" s="1"/>
  <c r="AL99" i="2"/>
  <c r="BG99" i="2" s="1"/>
  <c r="BW99" i="2" s="1"/>
  <c r="AL99" i="2" a="1"/>
  <c r="AO98" i="2" a="1"/>
  <c r="AO98" i="2" s="1"/>
  <c r="AN98" i="2"/>
  <c r="BK98" i="2" s="1"/>
  <c r="AN98" i="2" a="1"/>
  <c r="AM98" i="2" a="1"/>
  <c r="AM98" i="2" s="1"/>
  <c r="AL98" i="2" a="1"/>
  <c r="AL98" i="2" s="1"/>
  <c r="BG98" i="2" s="1"/>
  <c r="BW98" i="2" s="1"/>
  <c r="AK98" i="2"/>
  <c r="AP98" i="2" s="1"/>
  <c r="AO97" i="2" a="1"/>
  <c r="AO97" i="2" s="1"/>
  <c r="BC97" i="2" s="1"/>
  <c r="AN97" i="2" a="1"/>
  <c r="AN97" i="2" s="1"/>
  <c r="BK97" i="2" s="1"/>
  <c r="AM97" i="2"/>
  <c r="AM97" i="2" a="1"/>
  <c r="AL97" i="2" a="1"/>
  <c r="AL97" i="2" s="1"/>
  <c r="BG97" i="2" s="1"/>
  <c r="BW97" i="2" s="1"/>
  <c r="AO96" i="2"/>
  <c r="AO96" i="2" a="1"/>
  <c r="AN96" i="2"/>
  <c r="BK96" i="2" s="1"/>
  <c r="AN96" i="2" a="1"/>
  <c r="AM96" i="2" a="1"/>
  <c r="AM96" i="2" s="1"/>
  <c r="AL96" i="2" a="1"/>
  <c r="AL96" i="2" s="1"/>
  <c r="BG96" i="2" s="1"/>
  <c r="BW96" i="2" s="1"/>
  <c r="AO95" i="2" a="1"/>
  <c r="AO95" i="2" s="1"/>
  <c r="AN95" i="2"/>
  <c r="BK95" i="2" s="1"/>
  <c r="AN95" i="2" a="1"/>
  <c r="AM95" i="2"/>
  <c r="AM95" i="2" a="1"/>
  <c r="AL95" i="2"/>
  <c r="BG95" i="2" s="1"/>
  <c r="BW95" i="2" s="1"/>
  <c r="BY95" i="2" s="1"/>
  <c r="AL95" i="2" a="1"/>
  <c r="AK95" i="2"/>
  <c r="AO94" i="2" a="1"/>
  <c r="AO94" i="2" s="1"/>
  <c r="AN94" i="2"/>
  <c r="BK94" i="2" s="1"/>
  <c r="AN94" i="2" a="1"/>
  <c r="AM94" i="2" a="1"/>
  <c r="AM94" i="2" s="1"/>
  <c r="AL94" i="2" a="1"/>
  <c r="AL94" i="2" s="1"/>
  <c r="BG94" i="2" s="1"/>
  <c r="AO93" i="2" a="1"/>
  <c r="AO93" i="2" s="1"/>
  <c r="AN93" i="2" a="1"/>
  <c r="AN93" i="2" s="1"/>
  <c r="BK93" i="2" s="1"/>
  <c r="AM93" i="2"/>
  <c r="AM93" i="2" a="1"/>
  <c r="AL93" i="2" a="1"/>
  <c r="AL93" i="2" s="1"/>
  <c r="BG93" i="2" s="1"/>
  <c r="BW93" i="2" s="1"/>
  <c r="AO92" i="2" a="1"/>
  <c r="AO92" i="2" s="1"/>
  <c r="AN92" i="2"/>
  <c r="BK92" i="2" s="1"/>
  <c r="AN92" i="2" a="1"/>
  <c r="AM92" i="2"/>
  <c r="AM92" i="2" a="1"/>
  <c r="AL92" i="2" a="1"/>
  <c r="AL92" i="2" s="1"/>
  <c r="BG92" i="2" s="1"/>
  <c r="BW92" i="2" s="1"/>
  <c r="AO91" i="2" a="1"/>
  <c r="AO91" i="2" s="1"/>
  <c r="AN91" i="2" a="1"/>
  <c r="AN91" i="2" s="1"/>
  <c r="BK91" i="2" s="1"/>
  <c r="AM91" i="2" a="1"/>
  <c r="AM91" i="2" s="1"/>
  <c r="BI91" i="2" s="1"/>
  <c r="AL91" i="2" a="1"/>
  <c r="AL91" i="2" s="1"/>
  <c r="BG91" i="2" s="1"/>
  <c r="AO90" i="2" a="1"/>
  <c r="AO90" i="2" s="1"/>
  <c r="AN90" i="2" a="1"/>
  <c r="AN90" i="2" s="1"/>
  <c r="BK90" i="2" s="1"/>
  <c r="AM90" i="2" a="1"/>
  <c r="AM90" i="2" s="1"/>
  <c r="AL90" i="2" a="1"/>
  <c r="AL90" i="2" s="1"/>
  <c r="BG90" i="2" s="1"/>
  <c r="AO89" i="2"/>
  <c r="AO89" i="2" a="1"/>
  <c r="AN89" i="2"/>
  <c r="BK89" i="2" s="1"/>
  <c r="AN89" i="2" a="1"/>
  <c r="AM89" i="2" a="1"/>
  <c r="AM89" i="2" s="1"/>
  <c r="AL89" i="2" a="1"/>
  <c r="AL89" i="2" s="1"/>
  <c r="BG89" i="2" s="1"/>
  <c r="AK89" i="2"/>
  <c r="AO88" i="2"/>
  <c r="AO88" i="2" a="1"/>
  <c r="AN88" i="2" a="1"/>
  <c r="AN88" i="2" s="1"/>
  <c r="BK88" i="2" s="1"/>
  <c r="AM88" i="2"/>
  <c r="AM88" i="2" a="1"/>
  <c r="AL88" i="2" a="1"/>
  <c r="AL88" i="2" s="1"/>
  <c r="BG88" i="2" s="1"/>
  <c r="AK88" i="2"/>
  <c r="CA88" i="2" s="1"/>
  <c r="CB88" i="2" s="1"/>
  <c r="AO87" i="2" a="1"/>
  <c r="AO87" i="2" s="1"/>
  <c r="AN87" i="2" a="1"/>
  <c r="AN87" i="2" s="1"/>
  <c r="BK87" i="2" s="1"/>
  <c r="AM87" i="2" a="1"/>
  <c r="AM87" i="2" s="1"/>
  <c r="AL87" i="2"/>
  <c r="BG87" i="2" s="1"/>
  <c r="BW87" i="2" s="1"/>
  <c r="BY87" i="2" s="1"/>
  <c r="AL87" i="2" a="1"/>
  <c r="AK87" i="2"/>
  <c r="AO86" i="2" a="1"/>
  <c r="AO86" i="2" s="1"/>
  <c r="AN86" i="2" a="1"/>
  <c r="AN86" i="2" s="1"/>
  <c r="BK86" i="2" s="1"/>
  <c r="AM86" i="2" a="1"/>
  <c r="AM86" i="2" s="1"/>
  <c r="AL86" i="2" a="1"/>
  <c r="AL86" i="2" s="1"/>
  <c r="BG86" i="2" s="1"/>
  <c r="BW86" i="2" s="1"/>
  <c r="AO85" i="2"/>
  <c r="AO85" i="2" a="1"/>
  <c r="AN85" i="2"/>
  <c r="BK85" i="2" s="1"/>
  <c r="AN85" i="2" a="1"/>
  <c r="AM85" i="2" a="1"/>
  <c r="AM85" i="2" s="1"/>
  <c r="AL85" i="2"/>
  <c r="BG85" i="2" s="1"/>
  <c r="AL85" i="2" a="1"/>
  <c r="AO84" i="2" a="1"/>
  <c r="AO84" i="2" s="1"/>
  <c r="AN84" i="2"/>
  <c r="BK84" i="2" s="1"/>
  <c r="AN84" i="2" a="1"/>
  <c r="AM84" i="2" a="1"/>
  <c r="AM84" i="2" s="1"/>
  <c r="AL84" i="2"/>
  <c r="BG84" i="2" s="1"/>
  <c r="AL84" i="2" a="1"/>
  <c r="AO83" i="2" a="1"/>
  <c r="AO83" i="2" s="1"/>
  <c r="AN83" i="2"/>
  <c r="BK83" i="2" s="1"/>
  <c r="AN83" i="2" a="1"/>
  <c r="AM83" i="2" a="1"/>
  <c r="AM83" i="2" s="1"/>
  <c r="AL83" i="2" a="1"/>
  <c r="AL83" i="2" s="1"/>
  <c r="AO82" i="2" a="1"/>
  <c r="AO82" i="2" s="1"/>
  <c r="AN82" i="2" a="1"/>
  <c r="AN82" i="2" s="1"/>
  <c r="BK82" i="2" s="1"/>
  <c r="AM82" i="2" a="1"/>
  <c r="AM82" i="2" s="1"/>
  <c r="CA82" i="2" s="1"/>
  <c r="CB82" i="2" s="1"/>
  <c r="AL82" i="2"/>
  <c r="BG82" i="2" s="1"/>
  <c r="BW82" i="2" s="1"/>
  <c r="BY82" i="2" s="1"/>
  <c r="AL82" i="2" a="1"/>
  <c r="AK82" i="2"/>
  <c r="AO81" i="2"/>
  <c r="AO81" i="2" a="1"/>
  <c r="AN81" i="2" a="1"/>
  <c r="AN81" i="2" s="1"/>
  <c r="BK81" i="2" s="1"/>
  <c r="AM81" i="2"/>
  <c r="AM81" i="2" a="1"/>
  <c r="AL81" i="2" a="1"/>
  <c r="AL81" i="2" s="1"/>
  <c r="BG81" i="2" s="1"/>
  <c r="AO80" i="2"/>
  <c r="AO80" i="2" a="1"/>
  <c r="AN80" i="2" a="1"/>
  <c r="AN80" i="2" s="1"/>
  <c r="BK80" i="2" s="1"/>
  <c r="AM80" i="2" a="1"/>
  <c r="AM80" i="2" s="1"/>
  <c r="AL80" i="2" a="1"/>
  <c r="AL80" i="2" s="1"/>
  <c r="BG80" i="2" s="1"/>
  <c r="AK80" i="2"/>
  <c r="AO79" i="2" a="1"/>
  <c r="AO79" i="2" s="1"/>
  <c r="AN79" i="2" a="1"/>
  <c r="AN79" i="2" s="1"/>
  <c r="BK79" i="2" s="1"/>
  <c r="AM79" i="2" a="1"/>
  <c r="AM79" i="2" s="1"/>
  <c r="AL79" i="2" a="1"/>
  <c r="AL79" i="2" s="1"/>
  <c r="BG79" i="2" s="1"/>
  <c r="BW79" i="2" s="1"/>
  <c r="AO78" i="2" a="1"/>
  <c r="AO78" i="2" s="1"/>
  <c r="AN78" i="2"/>
  <c r="BK78" i="2" s="1"/>
  <c r="AN78" i="2" a="1"/>
  <c r="AM78" i="2" a="1"/>
  <c r="AM78" i="2" s="1"/>
  <c r="AL78" i="2"/>
  <c r="BG78" i="2" s="1"/>
  <c r="AL78" i="2" a="1"/>
  <c r="AO77" i="2" a="1"/>
  <c r="AO77" i="2" s="1"/>
  <c r="AN77" i="2"/>
  <c r="BK77" i="2" s="1"/>
  <c r="AN77" i="2" a="1"/>
  <c r="AM77" i="2" a="1"/>
  <c r="AM77" i="2" s="1"/>
  <c r="AL77" i="2"/>
  <c r="BG77" i="2" s="1"/>
  <c r="AL77" i="2" a="1"/>
  <c r="AK77" i="2"/>
  <c r="AO76" i="2"/>
  <c r="BI76" i="2" s="1"/>
  <c r="AO76" i="2" a="1"/>
  <c r="AN76" i="2" a="1"/>
  <c r="AN76" i="2" s="1"/>
  <c r="AM76" i="2" a="1"/>
  <c r="AM76" i="2" s="1"/>
  <c r="AL76" i="2" a="1"/>
  <c r="AL76" i="2" s="1"/>
  <c r="BG76" i="2" s="1"/>
  <c r="AO75" i="2" a="1"/>
  <c r="AO75" i="2" s="1"/>
  <c r="AN75" i="2" a="1"/>
  <c r="AN75" i="2" s="1"/>
  <c r="BK75" i="2" s="1"/>
  <c r="AM75" i="2" a="1"/>
  <c r="AM75" i="2" s="1"/>
  <c r="AL75" i="2" a="1"/>
  <c r="AL75" i="2" s="1"/>
  <c r="BG75" i="2" s="1"/>
  <c r="AO74" i="2"/>
  <c r="AO74" i="2" a="1"/>
  <c r="AN74" i="2" a="1"/>
  <c r="AN74" i="2" s="1"/>
  <c r="BK74" i="2" s="1"/>
  <c r="AM74" i="2" a="1"/>
  <c r="AM74" i="2" s="1"/>
  <c r="AL74" i="2" a="1"/>
  <c r="AL74" i="2" s="1"/>
  <c r="BG74" i="2" s="1"/>
  <c r="AO73" i="2"/>
  <c r="AO73" i="2" a="1"/>
  <c r="AN73" i="2" a="1"/>
  <c r="AN73" i="2" s="1"/>
  <c r="BK73" i="2" s="1"/>
  <c r="AM73" i="2" a="1"/>
  <c r="AM73" i="2" s="1"/>
  <c r="AL73" i="2" a="1"/>
  <c r="AL73" i="2" s="1"/>
  <c r="BG73" i="2" s="1"/>
  <c r="BW73" i="2" s="1"/>
  <c r="BY73" i="2" s="1"/>
  <c r="AK73" i="2"/>
  <c r="AO72" i="2" a="1"/>
  <c r="AO72" i="2" s="1"/>
  <c r="AN72" i="2"/>
  <c r="AN72" i="2" a="1"/>
  <c r="AM72" i="2" a="1"/>
  <c r="AM72" i="2" s="1"/>
  <c r="AL72" i="2" a="1"/>
  <c r="AL72" i="2" s="1"/>
  <c r="BG72" i="2" s="1"/>
  <c r="BW72" i="2" s="1"/>
  <c r="BY72" i="2" s="1"/>
  <c r="AK72" i="2"/>
  <c r="AO71" i="2" a="1"/>
  <c r="AO71" i="2" s="1"/>
  <c r="AN71" i="2"/>
  <c r="BK71" i="2" s="1"/>
  <c r="AN71" i="2" a="1"/>
  <c r="AM71" i="2"/>
  <c r="AM71" i="2" a="1"/>
  <c r="AL71" i="2"/>
  <c r="BG71" i="2" s="1"/>
  <c r="AL71" i="2" a="1"/>
  <c r="AO70" i="2" a="1"/>
  <c r="AO70" i="2" s="1"/>
  <c r="AN70" i="2" a="1"/>
  <c r="AN70" i="2" s="1"/>
  <c r="BK70" i="2" s="1"/>
  <c r="AM70" i="2" a="1"/>
  <c r="AM70" i="2" s="1"/>
  <c r="AL70" i="2"/>
  <c r="BG70" i="2" s="1"/>
  <c r="BW70" i="2" s="1"/>
  <c r="AL70" i="2" a="1"/>
  <c r="AO69" i="2" a="1"/>
  <c r="AO69" i="2" s="1"/>
  <c r="AN69" i="2"/>
  <c r="BK69" i="2" s="1"/>
  <c r="AN69" i="2" a="1"/>
  <c r="AM69" i="2" a="1"/>
  <c r="AM69" i="2" s="1"/>
  <c r="AL69" i="2" a="1"/>
  <c r="AL69" i="2" s="1"/>
  <c r="BG69" i="2" s="1"/>
  <c r="AO68" i="2" a="1"/>
  <c r="AO68" i="2" s="1"/>
  <c r="AN68" i="2" a="1"/>
  <c r="AN68" i="2" s="1"/>
  <c r="BK68" i="2" s="1"/>
  <c r="AM68" i="2" a="1"/>
  <c r="AM68" i="2" s="1"/>
  <c r="AL68" i="2" a="1"/>
  <c r="AL68" i="2" s="1"/>
  <c r="BG68" i="2" s="1"/>
  <c r="AO67" i="2" a="1"/>
  <c r="AO67" i="2" s="1"/>
  <c r="AN67" i="2" a="1"/>
  <c r="AN67" i="2" s="1"/>
  <c r="BK67" i="2" s="1"/>
  <c r="AM67" i="2" a="1"/>
  <c r="AM67" i="2" s="1"/>
  <c r="AL67" i="2" a="1"/>
  <c r="AL67" i="2" s="1"/>
  <c r="BG67" i="2" s="1"/>
  <c r="AK67" i="2"/>
  <c r="AP67" i="2" s="1"/>
  <c r="AO66" i="2"/>
  <c r="BD66" i="2" s="1"/>
  <c r="AO66" i="2" a="1"/>
  <c r="AN66" i="2"/>
  <c r="BK66" i="2" s="1"/>
  <c r="AN66" i="2" a="1"/>
  <c r="AM66" i="2" a="1"/>
  <c r="AM66" i="2" s="1"/>
  <c r="AL66" i="2"/>
  <c r="BG66" i="2" s="1"/>
  <c r="BW66" i="2" s="1"/>
  <c r="AL66" i="2" a="1"/>
  <c r="AO65" i="2" a="1"/>
  <c r="AO65" i="2" s="1"/>
  <c r="BD65" i="2" s="1"/>
  <c r="AN65" i="2"/>
  <c r="BK65" i="2" s="1"/>
  <c r="AN65" i="2" a="1"/>
  <c r="AM65" i="2" a="1"/>
  <c r="AM65" i="2" s="1"/>
  <c r="AL65" i="2" a="1"/>
  <c r="AL65" i="2" s="1"/>
  <c r="BG65" i="2" s="1"/>
  <c r="AK65" i="2"/>
  <c r="AO64" i="2" a="1"/>
  <c r="AO64" i="2" s="1"/>
  <c r="AN64" i="2" a="1"/>
  <c r="AN64" i="2" s="1"/>
  <c r="BK64" i="2" s="1"/>
  <c r="AM64" i="2" a="1"/>
  <c r="AM64" i="2" s="1"/>
  <c r="AL64" i="2"/>
  <c r="BG64" i="2" s="1"/>
  <c r="AL64" i="2" a="1"/>
  <c r="AO63" i="2" a="1"/>
  <c r="AO63" i="2" s="1"/>
  <c r="AN63" i="2"/>
  <c r="BK63" i="2" s="1"/>
  <c r="AN63" i="2" a="1"/>
  <c r="AM63" i="2"/>
  <c r="AM63" i="2" a="1"/>
  <c r="AL63" i="2"/>
  <c r="BG63" i="2" s="1"/>
  <c r="AL63" i="2" a="1"/>
  <c r="AO62" i="2" a="1"/>
  <c r="AO62" i="2" s="1"/>
  <c r="AN62" i="2" a="1"/>
  <c r="AN62" i="2" s="1"/>
  <c r="BK62" i="2" s="1"/>
  <c r="AM62" i="2"/>
  <c r="AM62" i="2" a="1"/>
  <c r="AL62" i="2" a="1"/>
  <c r="AL62" i="2" s="1"/>
  <c r="BG62" i="2" s="1"/>
  <c r="BW62" i="2" s="1"/>
  <c r="AO61" i="2"/>
  <c r="AO61" i="2" a="1"/>
  <c r="AN61" i="2"/>
  <c r="BK61" i="2" s="1"/>
  <c r="AN61" i="2" a="1"/>
  <c r="AM61" i="2" a="1"/>
  <c r="AM61" i="2" s="1"/>
  <c r="AL61" i="2"/>
  <c r="BG61" i="2" s="1"/>
  <c r="BW61" i="2" s="1"/>
  <c r="AL61" i="2" a="1"/>
  <c r="AO60" i="2" a="1"/>
  <c r="AO60" i="2" s="1"/>
  <c r="AN60" i="2" a="1"/>
  <c r="AN60" i="2" s="1"/>
  <c r="BK60" i="2" s="1"/>
  <c r="AM60" i="2" a="1"/>
  <c r="AM60" i="2" s="1"/>
  <c r="AL60" i="2" a="1"/>
  <c r="AL60" i="2" s="1"/>
  <c r="BG60" i="2" s="1"/>
  <c r="BW60" i="2" s="1"/>
  <c r="AO59" i="2"/>
  <c r="BB59" i="2" s="1"/>
  <c r="AO59" i="2" a="1"/>
  <c r="AN59" i="2" a="1"/>
  <c r="AN59" i="2" s="1"/>
  <c r="BK59" i="2" s="1"/>
  <c r="AM59" i="2" a="1"/>
  <c r="AM59" i="2" s="1"/>
  <c r="AL59" i="2" a="1"/>
  <c r="AL59" i="2" s="1"/>
  <c r="BG59" i="2" s="1"/>
  <c r="BW59" i="2" s="1"/>
  <c r="AO58" i="2" a="1"/>
  <c r="AO58" i="2" s="1"/>
  <c r="AN58" i="2"/>
  <c r="BK58" i="2" s="1"/>
  <c r="AN58" i="2" a="1"/>
  <c r="AM58" i="2" a="1"/>
  <c r="AM58" i="2" s="1"/>
  <c r="AL58" i="2" a="1"/>
  <c r="AL58" i="2" s="1"/>
  <c r="BG58" i="2" s="1"/>
  <c r="BW58" i="2" s="1"/>
  <c r="BY58" i="2" s="1"/>
  <c r="AK58" i="2"/>
  <c r="AO57" i="2" a="1"/>
  <c r="AO57" i="2" s="1"/>
  <c r="AN57" i="2" a="1"/>
  <c r="AN57" i="2" s="1"/>
  <c r="BK57" i="2" s="1"/>
  <c r="AM57" i="2" a="1"/>
  <c r="AM57" i="2" s="1"/>
  <c r="AL57" i="2"/>
  <c r="BG57" i="2" s="1"/>
  <c r="AL57" i="2" a="1"/>
  <c r="AO56" i="2" a="1"/>
  <c r="AO56" i="2" s="1"/>
  <c r="AN56" i="2" a="1"/>
  <c r="AN56" i="2" s="1"/>
  <c r="BK56" i="2" s="1"/>
  <c r="AM56" i="2"/>
  <c r="BI56" i="2" s="1"/>
  <c r="AM56" i="2" a="1"/>
  <c r="AL56" i="2"/>
  <c r="BG56" i="2" s="1"/>
  <c r="AL56" i="2" a="1"/>
  <c r="AO55" i="2" a="1"/>
  <c r="AO55" i="2" s="1"/>
  <c r="AN55" i="2" a="1"/>
  <c r="AN55" i="2" s="1"/>
  <c r="BK55" i="2" s="1"/>
  <c r="AM55" i="2"/>
  <c r="AM55" i="2" a="1"/>
  <c r="AL55" i="2" a="1"/>
  <c r="AL55" i="2" s="1"/>
  <c r="BG55" i="2" s="1"/>
  <c r="BW55" i="2" s="1"/>
  <c r="AO54" i="2"/>
  <c r="BD54" i="2" s="1"/>
  <c r="AO54" i="2" a="1"/>
  <c r="AN54" i="2"/>
  <c r="BK54" i="2" s="1"/>
  <c r="AN54" i="2" a="1"/>
  <c r="AM54" i="2" a="1"/>
  <c r="AM54" i="2" s="1"/>
  <c r="AL54" i="2"/>
  <c r="BG54" i="2" s="1"/>
  <c r="BW54" i="2" s="1"/>
  <c r="AL54" i="2" a="1"/>
  <c r="AO53" i="2"/>
  <c r="AO53" i="2" a="1"/>
  <c r="AN53" i="2" a="1"/>
  <c r="AN53" i="2" s="1"/>
  <c r="BK53" i="2" s="1"/>
  <c r="AM53" i="2"/>
  <c r="AM53" i="2" a="1"/>
  <c r="AL53" i="2" a="1"/>
  <c r="AL53" i="2" s="1"/>
  <c r="BG53" i="2" s="1"/>
  <c r="AK53" i="2"/>
  <c r="AP53" i="2" s="1"/>
  <c r="AO52" i="2" a="1"/>
  <c r="AO52" i="2" s="1"/>
  <c r="AN52" i="2"/>
  <c r="BK52" i="2" s="1"/>
  <c r="AN52" i="2" a="1"/>
  <c r="AM52" i="2" a="1"/>
  <c r="AM52" i="2" s="1"/>
  <c r="BI52" i="2" s="1"/>
  <c r="AL52" i="2" a="1"/>
  <c r="AL52" i="2" s="1"/>
  <c r="AK52" i="2"/>
  <c r="AO51" i="2"/>
  <c r="BA51" i="2" s="1"/>
  <c r="AO51" i="2" a="1"/>
  <c r="AN51" i="2" a="1"/>
  <c r="AN51" i="2" s="1"/>
  <c r="BK51" i="2" s="1"/>
  <c r="AM51" i="2"/>
  <c r="AM51" i="2" a="1"/>
  <c r="AL51" i="2" a="1"/>
  <c r="AL51" i="2" s="1"/>
  <c r="BG51" i="2" s="1"/>
  <c r="BW51" i="2" s="1"/>
  <c r="BY51" i="2" s="1"/>
  <c r="AK51" i="2"/>
  <c r="AO50" i="2"/>
  <c r="AO50" i="2" a="1"/>
  <c r="AN50" i="2"/>
  <c r="BK50" i="2" s="1"/>
  <c r="AN50" i="2" a="1"/>
  <c r="AM50" i="2"/>
  <c r="AM50" i="2" a="1"/>
  <c r="AL50" i="2" a="1"/>
  <c r="AL50" i="2" s="1"/>
  <c r="BG50" i="2" s="1"/>
  <c r="BW50" i="2" s="1"/>
  <c r="AO49" i="2"/>
  <c r="AK49" i="2" s="1"/>
  <c r="AP49" i="2" s="1"/>
  <c r="AO49" i="2" a="1"/>
  <c r="AN49" i="2" a="1"/>
  <c r="AN49" i="2" s="1"/>
  <c r="BK49" i="2" s="1"/>
  <c r="AM49" i="2" a="1"/>
  <c r="AM49" i="2" s="1"/>
  <c r="AL49" i="2" a="1"/>
  <c r="AL49" i="2" s="1"/>
  <c r="BG49" i="2" s="1"/>
  <c r="AO48" i="2"/>
  <c r="AO48" i="2" a="1"/>
  <c r="AN48" i="2" a="1"/>
  <c r="AN48" i="2" s="1"/>
  <c r="BK48" i="2" s="1"/>
  <c r="AM48" i="2"/>
  <c r="AM48" i="2" a="1"/>
  <c r="AL48" i="2" a="1"/>
  <c r="AL48" i="2" s="1"/>
  <c r="BG48" i="2" s="1"/>
  <c r="AO47" i="2" a="1"/>
  <c r="AO47" i="2" s="1"/>
  <c r="AN47" i="2"/>
  <c r="BK47" i="2" s="1"/>
  <c r="AN47" i="2" a="1"/>
  <c r="AM47" i="2" a="1"/>
  <c r="AM47" i="2" s="1"/>
  <c r="AL47" i="2"/>
  <c r="BG47" i="2" s="1"/>
  <c r="AL47" i="2" a="1"/>
  <c r="AO46" i="2"/>
  <c r="AO46" i="2" a="1"/>
  <c r="AN46" i="2" a="1"/>
  <c r="AN46" i="2" s="1"/>
  <c r="BK46" i="2" s="1"/>
  <c r="AM46" i="2"/>
  <c r="BI46" i="2" s="1"/>
  <c r="AM46" i="2" a="1"/>
  <c r="AL46" i="2"/>
  <c r="BG46" i="2" s="1"/>
  <c r="AL46" i="2" a="1"/>
  <c r="AK46" i="2"/>
  <c r="AO45" i="2" a="1"/>
  <c r="AO45" i="2" s="1"/>
  <c r="AN45" i="2" a="1"/>
  <c r="AN45" i="2" s="1"/>
  <c r="BK45" i="2" s="1"/>
  <c r="AM45" i="2"/>
  <c r="AM45" i="2" a="1"/>
  <c r="AL45" i="2" a="1"/>
  <c r="AL45" i="2" s="1"/>
  <c r="BG45" i="2" s="1"/>
  <c r="AO44" i="2"/>
  <c r="AO44" i="2" a="1"/>
  <c r="AN44" i="2" a="1"/>
  <c r="AN44" i="2" s="1"/>
  <c r="BK44" i="2" s="1"/>
  <c r="AM44" i="2" a="1"/>
  <c r="AM44" i="2" s="1"/>
  <c r="AL44" i="2" a="1"/>
  <c r="AL44" i="2" s="1"/>
  <c r="BG44" i="2" s="1"/>
  <c r="AO43" i="2"/>
  <c r="AO43" i="2" a="1"/>
  <c r="AN43" i="2" a="1"/>
  <c r="AN43" i="2" s="1"/>
  <c r="BK43" i="2" s="1"/>
  <c r="AM43" i="2"/>
  <c r="AM43" i="2" a="1"/>
  <c r="AL43" i="2" a="1"/>
  <c r="AL43" i="2" s="1"/>
  <c r="BG43" i="2" s="1"/>
  <c r="BW43" i="2" s="1"/>
  <c r="BY43" i="2" s="1"/>
  <c r="AK43" i="2"/>
  <c r="AP43" i="2" s="1"/>
  <c r="AO42" i="2" a="1"/>
  <c r="AO42" i="2" s="1"/>
  <c r="BA42" i="2" s="1"/>
  <c r="AN42" i="2"/>
  <c r="BK42" i="2" s="1"/>
  <c r="AN42" i="2" a="1"/>
  <c r="AM42" i="2"/>
  <c r="AM42" i="2" a="1"/>
  <c r="AL42" i="2"/>
  <c r="BG42" i="2" s="1"/>
  <c r="AL42" i="2" a="1"/>
  <c r="AO41" i="2"/>
  <c r="BC41" i="2" s="1"/>
  <c r="AO41" i="2" a="1"/>
  <c r="AN41" i="2" a="1"/>
  <c r="AN41" i="2" s="1"/>
  <c r="BK41" i="2" s="1"/>
  <c r="AM41" i="2" a="1"/>
  <c r="AM41" i="2" s="1"/>
  <c r="AL41" i="2" a="1"/>
  <c r="AL41" i="2" s="1"/>
  <c r="BG41" i="2" s="1"/>
  <c r="BW41" i="2" s="1"/>
  <c r="BY41" i="2" s="1"/>
  <c r="AK41" i="2"/>
  <c r="AO40" i="2"/>
  <c r="AO40" i="2" a="1"/>
  <c r="AN40" i="2"/>
  <c r="BK40" i="2" s="1"/>
  <c r="AN40" i="2" a="1"/>
  <c r="AM40" i="2"/>
  <c r="AM40" i="2" a="1"/>
  <c r="AL40" i="2" a="1"/>
  <c r="AL40" i="2" s="1"/>
  <c r="AO39" i="2" a="1"/>
  <c r="AO39" i="2" s="1"/>
  <c r="BI39" i="2" s="1"/>
  <c r="AN39" i="2" a="1"/>
  <c r="AN39" i="2" s="1"/>
  <c r="BK39" i="2" s="1"/>
  <c r="AM39" i="2" a="1"/>
  <c r="AM39" i="2" s="1"/>
  <c r="AL39" i="2" a="1"/>
  <c r="AL39" i="2" s="1"/>
  <c r="BG39" i="2" s="1"/>
  <c r="AK39" i="2"/>
  <c r="AO38" i="2"/>
  <c r="AO38" i="2" a="1"/>
  <c r="AN38" i="2" a="1"/>
  <c r="AN38" i="2" s="1"/>
  <c r="BK38" i="2" s="1"/>
  <c r="AM38" i="2"/>
  <c r="AM38" i="2" a="1"/>
  <c r="AL38" i="2" a="1"/>
  <c r="AL38" i="2" s="1"/>
  <c r="BG38" i="2" s="1"/>
  <c r="AO37" i="2" a="1"/>
  <c r="AO37" i="2" s="1"/>
  <c r="AN37" i="2" a="1"/>
  <c r="AN37" i="2" s="1"/>
  <c r="BK37" i="2" s="1"/>
  <c r="AM37" i="2" a="1"/>
  <c r="AM37" i="2" s="1"/>
  <c r="AL37" i="2"/>
  <c r="BG37" i="2" s="1"/>
  <c r="AL37" i="2" a="1"/>
  <c r="AK37" i="2"/>
  <c r="AO36" i="2"/>
  <c r="AO36" i="2" a="1"/>
  <c r="AN36" i="2" a="1"/>
  <c r="AN36" i="2" s="1"/>
  <c r="BK36" i="2" s="1"/>
  <c r="AM36" i="2" a="1"/>
  <c r="AM36" i="2" s="1"/>
  <c r="BI36" i="2" s="1"/>
  <c r="AL36" i="2" a="1"/>
  <c r="AL36" i="2" s="1"/>
  <c r="BG36" i="2" s="1"/>
  <c r="AK36" i="2"/>
  <c r="AO35" i="2" a="1"/>
  <c r="AO35" i="2" s="1"/>
  <c r="AN35" i="2" a="1"/>
  <c r="AN35" i="2" s="1"/>
  <c r="BK35" i="2" s="1"/>
  <c r="AM35" i="2"/>
  <c r="AM35" i="2" a="1"/>
  <c r="AL35" i="2" a="1"/>
  <c r="AL35" i="2" s="1"/>
  <c r="BG35" i="2" s="1"/>
  <c r="AO34" i="2"/>
  <c r="BI34" i="2" s="1"/>
  <c r="AO34" i="2" a="1"/>
  <c r="AN34" i="2" a="1"/>
  <c r="AN34" i="2" s="1"/>
  <c r="BK34" i="2" s="1"/>
  <c r="AM34" i="2" a="1"/>
  <c r="AM34" i="2" s="1"/>
  <c r="AL34" i="2" a="1"/>
  <c r="AL34" i="2" s="1"/>
  <c r="AK34" i="2"/>
  <c r="AO33" i="2"/>
  <c r="AO33" i="2" a="1"/>
  <c r="AN33" i="2" a="1"/>
  <c r="AN33" i="2" s="1"/>
  <c r="BK33" i="2" s="1"/>
  <c r="AM33" i="2"/>
  <c r="AM33" i="2" a="1"/>
  <c r="AL33" i="2" a="1"/>
  <c r="AL33" i="2" s="1"/>
  <c r="BG33" i="2" s="1"/>
  <c r="BW33" i="2" s="1"/>
  <c r="AK33" i="2"/>
  <c r="AP33" i="2" s="1"/>
  <c r="AO32" i="2" a="1"/>
  <c r="AO32" i="2" s="1"/>
  <c r="AK32" i="2" s="1"/>
  <c r="AP32" i="2" s="1"/>
  <c r="AN32" i="2"/>
  <c r="BK32" i="2" s="1"/>
  <c r="AN32" i="2" a="1"/>
  <c r="AM32" i="2" a="1"/>
  <c r="AM32" i="2" s="1"/>
  <c r="AL32" i="2" a="1"/>
  <c r="AL32" i="2" s="1"/>
  <c r="BG32" i="2" s="1"/>
  <c r="AO31" i="2"/>
  <c r="BC31" i="2" s="1"/>
  <c r="AO31" i="2" a="1"/>
  <c r="AN31" i="2" a="1"/>
  <c r="AN31" i="2" s="1"/>
  <c r="AM31" i="2"/>
  <c r="AM31" i="2" a="1"/>
  <c r="AL31" i="2" a="1"/>
  <c r="AL31" i="2" s="1"/>
  <c r="BG31" i="2" s="1"/>
  <c r="AK31" i="2"/>
  <c r="AO30" i="2"/>
  <c r="AO30" i="2" a="1"/>
  <c r="AN30" i="2"/>
  <c r="BK30" i="2" s="1"/>
  <c r="AN30" i="2" a="1"/>
  <c r="AM30" i="2"/>
  <c r="AM30" i="2" a="1"/>
  <c r="AL30" i="2" a="1"/>
  <c r="AL30" i="2" s="1"/>
  <c r="BG30" i="2" s="1"/>
  <c r="AO29" i="2"/>
  <c r="BF29" i="2" s="1"/>
  <c r="BJ29" i="2" s="1"/>
  <c r="AO29" i="2" a="1"/>
  <c r="AN29" i="2" a="1"/>
  <c r="AN29" i="2" s="1"/>
  <c r="BK29" i="2" s="1"/>
  <c r="AM29" i="2" a="1"/>
  <c r="AM29" i="2" s="1"/>
  <c r="AL29" i="2" a="1"/>
  <c r="AL29" i="2" s="1"/>
  <c r="BG29" i="2" s="1"/>
  <c r="BW29" i="2" s="1"/>
  <c r="BY29" i="2" s="1"/>
  <c r="AK29" i="2"/>
  <c r="CA29" i="2" s="1"/>
  <c r="CB29" i="2" s="1"/>
  <c r="AO28" i="2"/>
  <c r="AO28" i="2" a="1"/>
  <c r="AN28" i="2" a="1"/>
  <c r="AN28" i="2" s="1"/>
  <c r="BK28" i="2" s="1"/>
  <c r="AM28" i="2"/>
  <c r="AM28" i="2" a="1"/>
  <c r="AL28" i="2" a="1"/>
  <c r="AL28" i="2" s="1"/>
  <c r="BG28" i="2" s="1"/>
  <c r="AO27" i="2" a="1"/>
  <c r="AO27" i="2" s="1"/>
  <c r="BB27" i="2" s="1"/>
  <c r="AN27" i="2"/>
  <c r="BK27" i="2" s="1"/>
  <c r="AN27" i="2" a="1"/>
  <c r="AM27" i="2" a="1"/>
  <c r="AM27" i="2" s="1"/>
  <c r="AL27" i="2" a="1"/>
  <c r="AL27" i="2" s="1"/>
  <c r="BG27" i="2" s="1"/>
  <c r="AK27" i="2"/>
  <c r="AO26" i="2"/>
  <c r="AO26" i="2" a="1"/>
  <c r="AN26" i="2" a="1"/>
  <c r="AN26" i="2" s="1"/>
  <c r="BK26" i="2" s="1"/>
  <c r="AM26" i="2" a="1"/>
  <c r="AM26" i="2" s="1"/>
  <c r="AL26" i="2"/>
  <c r="BG26" i="2" s="1"/>
  <c r="BW26" i="2" s="1"/>
  <c r="AL26" i="2" a="1"/>
  <c r="AK26" i="2"/>
  <c r="AO25" i="2" a="1"/>
  <c r="AO25" i="2" s="1"/>
  <c r="AN25" i="2" a="1"/>
  <c r="AN25" i="2" s="1"/>
  <c r="BK25" i="2" s="1"/>
  <c r="AM25" i="2"/>
  <c r="AM25" i="2" a="1"/>
  <c r="AL25" i="2" a="1"/>
  <c r="AL25" i="2" s="1"/>
  <c r="BG25" i="2" s="1"/>
  <c r="AO24" i="2" a="1"/>
  <c r="AO24" i="2" s="1"/>
  <c r="AN24" i="2" a="1"/>
  <c r="AN24" i="2" s="1"/>
  <c r="BK24" i="2" s="1"/>
  <c r="AM24" i="2" a="1"/>
  <c r="AM24" i="2" s="1"/>
  <c r="AL24" i="2" a="1"/>
  <c r="AL24" i="2" s="1"/>
  <c r="BG24" i="2" s="1"/>
  <c r="DL17" i="2"/>
  <c r="DJ16" i="2"/>
  <c r="DJ15" i="2"/>
  <c r="DJ14" i="2"/>
  <c r="AL17" i="2"/>
  <c r="AG16" i="2"/>
  <c r="AG15" i="2"/>
  <c r="AG14" i="2"/>
  <c r="AO23" i="2" a="1"/>
  <c r="AO23" i="2" s="1"/>
  <c r="AN23" i="2" a="1"/>
  <c r="AN23" i="2" s="1"/>
  <c r="AM23" i="2" a="1"/>
  <c r="AM23" i="2" s="1"/>
  <c r="AL23" i="2" a="1"/>
  <c r="AL23" i="2" s="1"/>
  <c r="BG23" i="2" s="1"/>
  <c r="U14" i="2" a="1"/>
  <c r="BO51" i="2" a="1"/>
  <c r="BO36" i="2" a="1"/>
  <c r="BP26" i="2" a="1"/>
  <c r="AJ236" i="2" a="1"/>
  <c r="AJ231" i="2" a="1"/>
  <c r="AJ226" i="2" a="1"/>
  <c r="AJ221" i="2" a="1"/>
  <c r="AJ216" i="2" a="1"/>
  <c r="AJ211" i="2" a="1"/>
  <c r="AJ206" i="2" a="1"/>
  <c r="AJ201" i="2" a="1"/>
  <c r="AJ199" i="2" a="1"/>
  <c r="AJ192" i="2" a="1"/>
  <c r="AJ185" i="2" a="1"/>
  <c r="AJ178" i="2" a="1"/>
  <c r="BP36" i="2" a="1"/>
  <c r="AJ234" i="2" a="1"/>
  <c r="AJ223" i="2" a="1"/>
  <c r="AJ210" i="2" a="1"/>
  <c r="AJ141" i="2" a="1"/>
  <c r="AJ134" i="2" a="1"/>
  <c r="AJ127" i="2" a="1"/>
  <c r="AJ120" i="2" a="1"/>
  <c r="AJ113" i="2" a="1"/>
  <c r="BO26" i="2" a="1"/>
  <c r="AJ232" i="2" a="1"/>
  <c r="AJ219" i="2" a="1"/>
  <c r="AJ208" i="2" a="1"/>
  <c r="AJ197" i="2" a="1"/>
  <c r="AJ190" i="2" a="1"/>
  <c r="AJ183" i="2" a="1"/>
  <c r="AJ146" i="2" a="1"/>
  <c r="AJ180" i="2" a="1"/>
  <c r="AJ176" i="2" a="1"/>
  <c r="AJ174" i="2" a="1"/>
  <c r="AJ145" i="2" a="1"/>
  <c r="AJ87" i="2" a="1"/>
  <c r="AJ80" i="2" a="1"/>
  <c r="AJ73" i="2" a="1"/>
  <c r="AJ37" i="2" a="1"/>
  <c r="AJ27" i="2" a="1"/>
  <c r="AJ123" i="2" a="1"/>
  <c r="AJ114" i="2" a="1"/>
  <c r="AJ105" i="2" a="1"/>
  <c r="AJ52" i="2" a="1"/>
  <c r="AJ47" i="2" a="1"/>
  <c r="AJ42" i="2" a="1"/>
  <c r="AJ32" i="2" a="1"/>
  <c r="AJ94" i="2" a="1"/>
  <c r="AJ71" i="2" a="1"/>
  <c r="AJ64" i="2" a="1"/>
  <c r="AJ85" i="2" a="1"/>
  <c r="AJ101" i="2" a="1"/>
  <c r="AJ69" i="2" a="1"/>
  <c r="AJ50" i="2" a="1"/>
  <c r="AJ35" i="2" a="1"/>
  <c r="BP51" i="2" a="1"/>
  <c r="AJ172" i="2" a="1"/>
  <c r="AJ132" i="2" a="1"/>
  <c r="AJ57" i="2" a="1"/>
  <c r="AJ170" i="2" a="1"/>
  <c r="AJ168" i="2" a="1"/>
  <c r="AJ166" i="2" a="1"/>
  <c r="AJ143" i="2" a="1"/>
  <c r="AJ121" i="2" a="1"/>
  <c r="AJ112" i="2" a="1"/>
  <c r="AJ103" i="2" a="1"/>
  <c r="AJ78" i="2" a="1"/>
  <c r="AJ76" i="2" a="1"/>
  <c r="AJ40" i="2" a="1"/>
  <c r="AJ162" i="2" a="1"/>
  <c r="AJ160" i="2" a="1"/>
  <c r="AJ130" i="2" a="1"/>
  <c r="AJ92" i="2" a="1"/>
  <c r="AJ164" i="2" a="1"/>
  <c r="AJ119" i="2" a="1"/>
  <c r="AJ62" i="2" a="1"/>
  <c r="AJ55" i="2" a="1"/>
  <c r="AJ45" i="2" a="1"/>
  <c r="AJ218" i="2" a="1"/>
  <c r="AJ207" i="2" a="1"/>
  <c r="AJ175" i="2" a="1"/>
  <c r="AJ144" i="2" a="1"/>
  <c r="AJ133" i="2" a="1"/>
  <c r="AJ104" i="2" a="1"/>
  <c r="AJ95" i="2" a="1"/>
  <c r="AJ86" i="2" a="1"/>
  <c r="AJ79" i="2" a="1"/>
  <c r="AJ72" i="2" a="1"/>
  <c r="AJ65" i="2" a="1"/>
  <c r="AJ58" i="2" a="1"/>
  <c r="AJ23" i="2" a="1"/>
  <c r="AJ222" i="2" a="1"/>
  <c r="AJ191" i="2" a="1"/>
  <c r="AJ182" i="2" a="1"/>
  <c r="AJ117" i="2" a="1"/>
  <c r="AJ106" i="2" a="1"/>
  <c r="AJ97" i="2" a="1"/>
  <c r="AJ88" i="2" a="1"/>
  <c r="AJ34" i="2" a="1"/>
  <c r="AJ155" i="2" a="1"/>
  <c r="AJ110" i="2" a="1"/>
  <c r="AJ99" i="2" a="1"/>
  <c r="AJ66" i="2" a="1"/>
  <c r="AJ36" i="2" a="1"/>
  <c r="AJ28" i="2" a="1"/>
  <c r="AJ24" i="2" a="1"/>
  <c r="AJ44" i="2" a="1"/>
  <c r="AJ200" i="2" a="1"/>
  <c r="AJ26" i="2" a="1"/>
  <c r="AJ61" i="2" a="1"/>
  <c r="AJ167" i="2" a="1"/>
  <c r="AJ126" i="2" a="1"/>
  <c r="AJ124" i="2" a="1"/>
  <c r="AJ108" i="2" a="1"/>
  <c r="AJ81" i="2" a="1"/>
  <c r="AJ68" i="2" a="1"/>
  <c r="AJ38" i="2" a="1"/>
  <c r="AJ224" i="2" a="1"/>
  <c r="AJ202" i="2" a="1"/>
  <c r="AJ193" i="2" a="1"/>
  <c r="AJ184" i="2" a="1"/>
  <c r="AJ148" i="2" a="1"/>
  <c r="AJ83" i="2" a="1"/>
  <c r="AJ195" i="2" a="1"/>
  <c r="AJ157" i="2" a="1"/>
  <c r="AJ70" i="2" a="1"/>
  <c r="AJ59" i="2" a="1"/>
  <c r="AJ212" i="2" a="1"/>
  <c r="AJ177" i="2" a="1"/>
  <c r="AJ139" i="2" a="1"/>
  <c r="AJ137" i="2" a="1"/>
  <c r="AJ135" i="2" a="1"/>
  <c r="AJ128" i="2" a="1"/>
  <c r="AJ46" i="2" a="1"/>
  <c r="AJ214" i="2" a="1"/>
  <c r="AJ209" i="2" a="1"/>
  <c r="AJ204" i="2" a="1"/>
  <c r="AJ186" i="2" a="1"/>
  <c r="AJ159" i="2" a="1"/>
  <c r="AJ235" i="2" a="1"/>
  <c r="AJ118" i="2" a="1"/>
  <c r="AJ109" i="2" a="1"/>
  <c r="AJ107" i="2" a="1"/>
  <c r="AJ100" i="2" a="1"/>
  <c r="AJ98" i="2" a="1"/>
  <c r="AJ153" i="2" a="1"/>
  <c r="AJ237" i="2" a="1"/>
  <c r="AJ215" i="2" a="1"/>
  <c r="AJ187" i="2" a="1"/>
  <c r="AJ179" i="2" a="1"/>
  <c r="AJ140" i="2" a="1"/>
  <c r="AJ129" i="2" a="1"/>
  <c r="AJ82" i="2" a="1"/>
  <c r="AJ77" i="2" a="1"/>
  <c r="AJ74" i="2" a="1"/>
  <c r="AJ56" i="2" a="1"/>
  <c r="AJ230" i="2" a="1"/>
  <c r="AJ227" i="2" a="1"/>
  <c r="AJ189" i="2" a="1"/>
  <c r="AJ173" i="2" a="1"/>
  <c r="AJ161" i="2" a="1"/>
  <c r="AJ147" i="2" a="1"/>
  <c r="AJ158" i="2" a="1"/>
  <c r="AJ54" i="2" a="1"/>
  <c r="AJ122" i="2" a="1"/>
  <c r="AJ93" i="2" a="1"/>
  <c r="AJ220" i="2" a="1"/>
  <c r="AJ181" i="2" a="1"/>
  <c r="AJ115" i="2" a="1"/>
  <c r="AJ169" i="2" a="1"/>
  <c r="AJ49" i="2" a="1"/>
  <c r="AJ51" i="2" a="1"/>
  <c r="AJ125" i="2" a="1"/>
  <c r="AJ238" i="2" a="1"/>
  <c r="AJ96" i="2" a="1"/>
  <c r="AJ53" i="2" a="1"/>
  <c r="AJ171" i="2" a="1"/>
  <c r="AJ228" i="2" a="1"/>
  <c r="AJ217" i="2" a="1"/>
  <c r="AJ203" i="2" a="1"/>
  <c r="AJ142" i="2" a="1"/>
  <c r="AJ131" i="2" a="1"/>
  <c r="AJ233" i="2" a="1"/>
  <c r="AJ63" i="2" a="1"/>
  <c r="AJ205" i="2" a="1"/>
  <c r="AJ188" i="2" a="1"/>
  <c r="AJ136" i="2" a="1"/>
  <c r="AJ39" i="2" a="1"/>
  <c r="AJ196" i="2" a="1"/>
  <c r="AJ149" i="2" a="1"/>
  <c r="AJ29" i="2" a="1"/>
  <c r="AJ150" i="2" a="1"/>
  <c r="AJ102" i="2" a="1"/>
  <c r="AJ89" i="2" a="1"/>
  <c r="AJ84" i="2" a="1"/>
  <c r="AJ30" i="2" a="1"/>
  <c r="AJ25" i="2" a="1"/>
  <c r="AJ194" i="2" a="1"/>
  <c r="AJ152" i="2" a="1"/>
  <c r="AJ91" i="2" a="1"/>
  <c r="AJ154" i="2" a="1"/>
  <c r="AJ163" i="2" a="1"/>
  <c r="AJ60" i="2" a="1"/>
  <c r="AJ225" i="2" a="1"/>
  <c r="AJ33" i="2" a="1"/>
  <c r="AJ111" i="2" a="1"/>
  <c r="AJ116" i="2" a="1"/>
  <c r="AJ213" i="2" a="1"/>
  <c r="AJ138" i="2" a="1"/>
  <c r="AJ198" i="2" a="1"/>
  <c r="AJ90" i="2" a="1"/>
  <c r="AJ41" i="2" a="1"/>
  <c r="AJ48" i="2" a="1"/>
  <c r="AJ67" i="2" a="1"/>
  <c r="AJ229" i="2" a="1"/>
  <c r="AJ151" i="2" a="1"/>
  <c r="AJ165" i="2" a="1"/>
  <c r="AJ156" i="2" a="1"/>
  <c r="AJ75" i="2" a="1"/>
  <c r="AJ43" i="2" a="1"/>
  <c r="AJ31" i="2" a="1"/>
  <c r="AJ31" i="2" l="1"/>
  <c r="AJ43" i="2"/>
  <c r="AJ75" i="2"/>
  <c r="AJ156" i="2"/>
  <c r="AJ165" i="2"/>
  <c r="AJ151" i="2"/>
  <c r="AJ229" i="2"/>
  <c r="AJ67" i="2"/>
  <c r="AJ48" i="2"/>
  <c r="AJ41" i="2"/>
  <c r="AJ90" i="2"/>
  <c r="AJ198" i="2"/>
  <c r="AJ138" i="2"/>
  <c r="AJ213" i="2"/>
  <c r="AJ116" i="2"/>
  <c r="AJ111" i="2"/>
  <c r="AJ33" i="2"/>
  <c r="AJ225" i="2"/>
  <c r="AJ60" i="2"/>
  <c r="AJ163" i="2"/>
  <c r="AJ154" i="2"/>
  <c r="AJ91" i="2"/>
  <c r="AJ152" i="2"/>
  <c r="AJ194" i="2"/>
  <c r="AJ25" i="2"/>
  <c r="AJ30" i="2"/>
  <c r="AJ84" i="2"/>
  <c r="AJ89" i="2"/>
  <c r="AJ102" i="2"/>
  <c r="AJ150" i="2"/>
  <c r="AJ29" i="2"/>
  <c r="AJ149" i="2"/>
  <c r="AJ196" i="2"/>
  <c r="AJ39" i="2"/>
  <c r="AJ136" i="2"/>
  <c r="AJ188" i="2"/>
  <c r="AJ205" i="2"/>
  <c r="AJ63" i="2"/>
  <c r="AJ233" i="2"/>
  <c r="AJ131" i="2"/>
  <c r="AJ142" i="2"/>
  <c r="AJ203" i="2"/>
  <c r="AJ217" i="2"/>
  <c r="AJ228" i="2"/>
  <c r="AJ171" i="2"/>
  <c r="AJ53" i="2"/>
  <c r="AJ96" i="2"/>
  <c r="AJ238" i="2"/>
  <c r="AJ125" i="2"/>
  <c r="AJ51" i="2"/>
  <c r="AJ49" i="2"/>
  <c r="AJ169" i="2"/>
  <c r="AJ115" i="2"/>
  <c r="AJ181" i="2"/>
  <c r="AJ220" i="2"/>
  <c r="AJ93" i="2"/>
  <c r="AJ122" i="2"/>
  <c r="AJ54" i="2"/>
  <c r="AJ158" i="2"/>
  <c r="AJ147" i="2"/>
  <c r="AJ161" i="2"/>
  <c r="AJ173" i="2"/>
  <c r="AJ189" i="2"/>
  <c r="AJ227" i="2"/>
  <c r="AJ230" i="2"/>
  <c r="AJ56" i="2"/>
  <c r="AJ74" i="2"/>
  <c r="AJ77" i="2"/>
  <c r="AJ82" i="2"/>
  <c r="AJ129" i="2"/>
  <c r="AJ140" i="2"/>
  <c r="AJ179" i="2"/>
  <c r="AJ187" i="2"/>
  <c r="AJ215" i="2"/>
  <c r="AJ237" i="2"/>
  <c r="AJ153" i="2"/>
  <c r="AJ98" i="2"/>
  <c r="AJ100" i="2"/>
  <c r="AJ107" i="2"/>
  <c r="AJ109" i="2"/>
  <c r="AJ118" i="2"/>
  <c r="AJ235" i="2"/>
  <c r="AJ159" i="2"/>
  <c r="AJ186" i="2"/>
  <c r="AJ204" i="2"/>
  <c r="AJ209" i="2"/>
  <c r="AJ214" i="2"/>
  <c r="AJ46" i="2"/>
  <c r="AJ128" i="2"/>
  <c r="AJ135" i="2"/>
  <c r="AJ137" i="2"/>
  <c r="AJ139" i="2"/>
  <c r="AJ177" i="2"/>
  <c r="AJ212" i="2"/>
  <c r="AJ59" i="2"/>
  <c r="AJ70" i="2"/>
  <c r="AJ157" i="2"/>
  <c r="AJ195" i="2"/>
  <c r="AJ83" i="2"/>
  <c r="AJ148" i="2"/>
  <c r="AJ184" i="2"/>
  <c r="AJ193" i="2"/>
  <c r="AJ202" i="2"/>
  <c r="AJ224" i="2"/>
  <c r="AJ38" i="2"/>
  <c r="AJ68" i="2"/>
  <c r="AJ81" i="2"/>
  <c r="AJ108" i="2"/>
  <c r="AJ124" i="2"/>
  <c r="AJ126" i="2"/>
  <c r="AJ167" i="2"/>
  <c r="AJ61" i="2"/>
  <c r="AJ26" i="2"/>
  <c r="AJ200" i="2"/>
  <c r="AJ44" i="2"/>
  <c r="AJ24" i="2"/>
  <c r="AJ28" i="2"/>
  <c r="AJ36" i="2"/>
  <c r="AJ66" i="2"/>
  <c r="AJ99" i="2"/>
  <c r="AJ110" i="2"/>
  <c r="AJ155" i="2"/>
  <c r="AJ34" i="2"/>
  <c r="AJ88" i="2"/>
  <c r="AJ97" i="2"/>
  <c r="AJ106" i="2"/>
  <c r="AJ117" i="2"/>
  <c r="AJ182" i="2"/>
  <c r="AJ191" i="2"/>
  <c r="AJ222" i="2"/>
  <c r="AJ58" i="2"/>
  <c r="AJ65" i="2"/>
  <c r="AJ72" i="2"/>
  <c r="AJ79" i="2"/>
  <c r="AJ86" i="2"/>
  <c r="AJ95" i="2"/>
  <c r="AJ104" i="2"/>
  <c r="AJ133" i="2"/>
  <c r="AJ144" i="2"/>
  <c r="AJ175" i="2"/>
  <c r="AJ207" i="2"/>
  <c r="AJ218" i="2"/>
  <c r="AJ45" i="2"/>
  <c r="AJ55" i="2"/>
  <c r="AJ62" i="2"/>
  <c r="AJ119" i="2"/>
  <c r="AJ164" i="2"/>
  <c r="AJ92" i="2"/>
  <c r="AJ130" i="2"/>
  <c r="AJ160" i="2"/>
  <c r="AJ162" i="2"/>
  <c r="AJ40" i="2"/>
  <c r="AJ76" i="2"/>
  <c r="AJ78" i="2"/>
  <c r="AJ103" i="2"/>
  <c r="AJ112" i="2"/>
  <c r="AJ121" i="2"/>
  <c r="AJ143" i="2"/>
  <c r="AJ166" i="2"/>
  <c r="AJ168" i="2"/>
  <c r="AJ170" i="2"/>
  <c r="AJ57" i="2"/>
  <c r="AJ132" i="2"/>
  <c r="AJ172" i="2"/>
  <c r="BP51" i="2"/>
  <c r="AJ35" i="2"/>
  <c r="AJ50" i="2"/>
  <c r="AJ69" i="2"/>
  <c r="AJ101" i="2"/>
  <c r="AJ85" i="2"/>
  <c r="AJ64" i="2"/>
  <c r="AJ71" i="2"/>
  <c r="AJ94" i="2"/>
  <c r="AJ32" i="2"/>
  <c r="AJ42" i="2"/>
  <c r="AJ47" i="2"/>
  <c r="AJ52" i="2"/>
  <c r="AJ105" i="2"/>
  <c r="AJ114" i="2"/>
  <c r="AJ123" i="2"/>
  <c r="AJ27" i="2"/>
  <c r="AJ37" i="2"/>
  <c r="AJ73" i="2"/>
  <c r="AJ80" i="2"/>
  <c r="AJ87" i="2"/>
  <c r="AJ145" i="2"/>
  <c r="AJ174" i="2"/>
  <c r="AJ176" i="2"/>
  <c r="AJ180" i="2"/>
  <c r="AJ146" i="2"/>
  <c r="AJ183" i="2"/>
  <c r="AJ190" i="2"/>
  <c r="AJ197" i="2"/>
  <c r="AJ208" i="2"/>
  <c r="AJ219" i="2"/>
  <c r="AJ232" i="2"/>
  <c r="BO26" i="2"/>
  <c r="AJ113" i="2"/>
  <c r="AJ120" i="2"/>
  <c r="AJ127" i="2"/>
  <c r="AJ134" i="2"/>
  <c r="AJ141" i="2"/>
  <c r="AJ210" i="2"/>
  <c r="AJ223" i="2"/>
  <c r="AJ234" i="2"/>
  <c r="BP36" i="2"/>
  <c r="AJ178" i="2"/>
  <c r="AJ185" i="2"/>
  <c r="AJ192" i="2"/>
  <c r="AJ199" i="2"/>
  <c r="AJ201" i="2"/>
  <c r="AJ206" i="2"/>
  <c r="AJ211" i="2"/>
  <c r="AJ216" i="2"/>
  <c r="AJ221" i="2"/>
  <c r="AJ226" i="2"/>
  <c r="AJ231" i="2"/>
  <c r="AJ236" i="2"/>
  <c r="BP26" i="2"/>
  <c r="BO36" i="2"/>
  <c r="BO51" i="2"/>
  <c r="BI26" i="2"/>
  <c r="CA26" i="2"/>
  <c r="CB26" i="2" s="1"/>
  <c r="BI155" i="2"/>
  <c r="BB155" i="2"/>
  <c r="BA155" i="2"/>
  <c r="BF155" i="2"/>
  <c r="BJ155" i="2" s="1"/>
  <c r="BE155" i="2"/>
  <c r="BH155" i="2" s="1"/>
  <c r="AK155" i="2"/>
  <c r="AP155" i="2" s="1"/>
  <c r="BC155" i="2"/>
  <c r="BD155" i="2"/>
  <c r="BI234" i="2"/>
  <c r="BE234" i="2"/>
  <c r="BH234" i="2" s="1"/>
  <c r="BF234" i="2"/>
  <c r="BJ234" i="2" s="1"/>
  <c r="BD234" i="2"/>
  <c r="BC234" i="2"/>
  <c r="BB234" i="2"/>
  <c r="BA234" i="2"/>
  <c r="AK234" i="2"/>
  <c r="AP234" i="2" s="1"/>
  <c r="BI69" i="2"/>
  <c r="BF69" i="2"/>
  <c r="BJ69" i="2" s="1"/>
  <c r="BE69" i="2"/>
  <c r="BH69" i="2" s="1"/>
  <c r="BD69" i="2"/>
  <c r="BC69" i="2"/>
  <c r="BB69" i="2"/>
  <c r="BA69" i="2"/>
  <c r="AK69" i="2"/>
  <c r="AP69" i="2" s="1"/>
  <c r="BB45" i="2"/>
  <c r="BA45" i="2"/>
  <c r="AK45" i="2"/>
  <c r="AP45" i="2" s="1"/>
  <c r="BI45" i="2"/>
  <c r="BF45" i="2"/>
  <c r="BJ45" i="2" s="1"/>
  <c r="BE45" i="2"/>
  <c r="BH45" i="2" s="1"/>
  <c r="BD45" i="2"/>
  <c r="BC45" i="2"/>
  <c r="BA158" i="2"/>
  <c r="BI158" i="2"/>
  <c r="BF158" i="2"/>
  <c r="BJ158" i="2" s="1"/>
  <c r="BE158" i="2"/>
  <c r="BH158" i="2" s="1"/>
  <c r="BD158" i="2"/>
  <c r="BC158" i="2"/>
  <c r="AK158" i="2"/>
  <c r="AP158" i="2" s="1"/>
  <c r="BB158" i="2"/>
  <c r="CC72" i="2"/>
  <c r="CD72" i="2" s="1"/>
  <c r="BZ72" i="2"/>
  <c r="CE72" i="2" s="1"/>
  <c r="CF72" i="2" s="1"/>
  <c r="BI173" i="2"/>
  <c r="BE173" i="2"/>
  <c r="BH173" i="2" s="1"/>
  <c r="BD173" i="2"/>
  <c r="BC173" i="2"/>
  <c r="BB173" i="2"/>
  <c r="BA173" i="2"/>
  <c r="BF173" i="2"/>
  <c r="BJ173" i="2" s="1"/>
  <c r="AK173" i="2"/>
  <c r="AP173" i="2" s="1"/>
  <c r="BB189" i="2"/>
  <c r="BA189" i="2"/>
  <c r="BF189" i="2"/>
  <c r="BJ189" i="2" s="1"/>
  <c r="BE189" i="2"/>
  <c r="BH189" i="2" s="1"/>
  <c r="BD189" i="2"/>
  <c r="BC189" i="2"/>
  <c r="BI189" i="2"/>
  <c r="AK189" i="2"/>
  <c r="AP189" i="2" s="1"/>
  <c r="BW69" i="2"/>
  <c r="BY69" i="2" s="1"/>
  <c r="BX69" i="2"/>
  <c r="BF24" i="2"/>
  <c r="BJ24" i="2" s="1"/>
  <c r="BE24" i="2"/>
  <c r="BH24" i="2" s="1"/>
  <c r="BB24" i="2"/>
  <c r="BI24" i="2"/>
  <c r="BD24" i="2"/>
  <c r="BC24" i="2"/>
  <c r="BA24" i="2"/>
  <c r="BC84" i="2"/>
  <c r="BI84" i="2"/>
  <c r="BF84" i="2"/>
  <c r="BJ84" i="2" s="1"/>
  <c r="BE84" i="2"/>
  <c r="BH84" i="2" s="1"/>
  <c r="BD84" i="2"/>
  <c r="BB84" i="2"/>
  <c r="BA84" i="2"/>
  <c r="AK84" i="2"/>
  <c r="AP84" i="2" s="1"/>
  <c r="BZ95" i="2"/>
  <c r="CC95" i="2"/>
  <c r="CD95" i="2" s="1"/>
  <c r="BY98" i="2"/>
  <c r="BK135" i="2"/>
  <c r="AP135" i="2"/>
  <c r="CA187" i="2"/>
  <c r="CB187" i="2" s="1"/>
  <c r="AP187" i="2"/>
  <c r="BC203" i="2"/>
  <c r="BB203" i="2"/>
  <c r="BA203" i="2"/>
  <c r="BF203" i="2"/>
  <c r="BJ203" i="2" s="1"/>
  <c r="BE203" i="2"/>
  <c r="BH203" i="2" s="1"/>
  <c r="BD203" i="2"/>
  <c r="BI203" i="2"/>
  <c r="AK203" i="2"/>
  <c r="AP203" i="2" s="1"/>
  <c r="BF74" i="2"/>
  <c r="BJ74" i="2" s="1"/>
  <c r="BE74" i="2"/>
  <c r="BH74" i="2" s="1"/>
  <c r="BA74" i="2"/>
  <c r="AK74" i="2"/>
  <c r="AP74" i="2" s="1"/>
  <c r="BI74" i="2"/>
  <c r="BD74" i="2"/>
  <c r="BC74" i="2"/>
  <c r="BB74" i="2"/>
  <c r="BZ122" i="2"/>
  <c r="BZ163" i="2"/>
  <c r="BY187" i="2"/>
  <c r="BE210" i="2"/>
  <c r="BH210" i="2" s="1"/>
  <c r="BD210" i="2"/>
  <c r="BC210" i="2"/>
  <c r="BA210" i="2"/>
  <c r="BF210" i="2"/>
  <c r="BJ210" i="2" s="1"/>
  <c r="BB210" i="2"/>
  <c r="BI210" i="2"/>
  <c r="AK210" i="2"/>
  <c r="AP210" i="2" s="1"/>
  <c r="CC53" i="2"/>
  <c r="CD53" i="2" s="1"/>
  <c r="BZ53" i="2"/>
  <c r="CE53" i="2" s="1"/>
  <c r="CF53" i="2" s="1"/>
  <c r="CC58" i="2"/>
  <c r="CD58" i="2" s="1"/>
  <c r="BZ58" i="2"/>
  <c r="CE58" i="2" s="1"/>
  <c r="CF58" i="2" s="1"/>
  <c r="BF64" i="2"/>
  <c r="BJ64" i="2" s="1"/>
  <c r="BE64" i="2"/>
  <c r="BH64" i="2" s="1"/>
  <c r="BD64" i="2"/>
  <c r="BC64" i="2"/>
  <c r="BI64" i="2"/>
  <c r="BB64" i="2"/>
  <c r="AK64" i="2"/>
  <c r="AP64" i="2" s="1"/>
  <c r="BA64" i="2"/>
  <c r="BD223" i="2"/>
  <c r="BC223" i="2"/>
  <c r="BB223" i="2"/>
  <c r="BA223" i="2"/>
  <c r="BF223" i="2"/>
  <c r="BJ223" i="2" s="1"/>
  <c r="BE223" i="2"/>
  <c r="BH223" i="2" s="1"/>
  <c r="BI223" i="2"/>
  <c r="AK223" i="2"/>
  <c r="AP223" i="2" s="1"/>
  <c r="BY139" i="2"/>
  <c r="BI61" i="2"/>
  <c r="AK61" i="2"/>
  <c r="AP61" i="2" s="1"/>
  <c r="BF61" i="2"/>
  <c r="BJ61" i="2" s="1"/>
  <c r="BE61" i="2"/>
  <c r="BH61" i="2" s="1"/>
  <c r="BD61" i="2"/>
  <c r="BC61" i="2"/>
  <c r="BB61" i="2"/>
  <c r="BA61" i="2"/>
  <c r="BF118" i="2"/>
  <c r="BJ118" i="2" s="1"/>
  <c r="BE118" i="2"/>
  <c r="BH118" i="2" s="1"/>
  <c r="BD118" i="2"/>
  <c r="BC118" i="2"/>
  <c r="BB118" i="2"/>
  <c r="BA118" i="2"/>
  <c r="BI118" i="2"/>
  <c r="AK118" i="2"/>
  <c r="AP118" i="2" s="1"/>
  <c r="BI71" i="2"/>
  <c r="AK71" i="2"/>
  <c r="AP71" i="2" s="1"/>
  <c r="BC71" i="2"/>
  <c r="BB71" i="2"/>
  <c r="BA71" i="2"/>
  <c r="BF71" i="2"/>
  <c r="BJ71" i="2" s="1"/>
  <c r="BE71" i="2"/>
  <c r="BH71" i="2" s="1"/>
  <c r="BD71" i="2"/>
  <c r="BB139" i="2"/>
  <c r="BA139" i="2"/>
  <c r="BI139" i="2"/>
  <c r="BF139" i="2"/>
  <c r="BJ139" i="2" s="1"/>
  <c r="BE139" i="2"/>
  <c r="BH139" i="2" s="1"/>
  <c r="BD139" i="2"/>
  <c r="BC139" i="2"/>
  <c r="AK139" i="2"/>
  <c r="AP139" i="2" s="1"/>
  <c r="BF159" i="2"/>
  <c r="BJ159" i="2" s="1"/>
  <c r="BE159" i="2"/>
  <c r="BH159" i="2" s="1"/>
  <c r="BD159" i="2"/>
  <c r="BI159" i="2"/>
  <c r="BC159" i="2"/>
  <c r="BB159" i="2"/>
  <c r="BA159" i="2"/>
  <c r="AK159" i="2"/>
  <c r="AP159" i="2" s="1"/>
  <c r="BI170" i="2"/>
  <c r="BC170" i="2"/>
  <c r="BB170" i="2"/>
  <c r="BA170" i="2"/>
  <c r="BD170" i="2"/>
  <c r="BE170" i="2"/>
  <c r="BH170" i="2" s="1"/>
  <c r="AK170" i="2"/>
  <c r="AP170" i="2" s="1"/>
  <c r="BF170" i="2"/>
  <c r="BJ170" i="2" s="1"/>
  <c r="AP218" i="2"/>
  <c r="CA32" i="2"/>
  <c r="CB32" i="2" s="1"/>
  <c r="BZ115" i="2"/>
  <c r="BI28" i="2"/>
  <c r="BF28" i="2"/>
  <c r="BJ28" i="2" s="1"/>
  <c r="BE28" i="2"/>
  <c r="BH28" i="2" s="1"/>
  <c r="BB28" i="2"/>
  <c r="BA28" i="2"/>
  <c r="AK28" i="2"/>
  <c r="AP28" i="2" s="1"/>
  <c r="BD28" i="2"/>
  <c r="BC28" i="2"/>
  <c r="BD40" i="2"/>
  <c r="BC40" i="2"/>
  <c r="BI40" i="2"/>
  <c r="BE40" i="2"/>
  <c r="BH40" i="2" s="1"/>
  <c r="BB40" i="2"/>
  <c r="AK40" i="2"/>
  <c r="BA40" i="2"/>
  <c r="BF40" i="2"/>
  <c r="BJ40" i="2" s="1"/>
  <c r="CC43" i="2"/>
  <c r="CD43" i="2" s="1"/>
  <c r="BZ43" i="2"/>
  <c r="CE43" i="2" s="1"/>
  <c r="CF43" i="2" s="1"/>
  <c r="CA52" i="2"/>
  <c r="CB52" i="2" s="1"/>
  <c r="BY62" i="2"/>
  <c r="BY106" i="2"/>
  <c r="AP115" i="2"/>
  <c r="BY123" i="2"/>
  <c r="AP140" i="2"/>
  <c r="AP178" i="2"/>
  <c r="BE200" i="2"/>
  <c r="BH200" i="2" s="1"/>
  <c r="BD200" i="2"/>
  <c r="BC200" i="2"/>
  <c r="BA200" i="2"/>
  <c r="BF200" i="2"/>
  <c r="BJ200" i="2" s="1"/>
  <c r="BB200" i="2"/>
  <c r="BI200" i="2"/>
  <c r="AK200" i="2"/>
  <c r="CC114" i="2"/>
  <c r="CD114" i="2" s="1"/>
  <c r="BZ114" i="2"/>
  <c r="BZ237" i="2"/>
  <c r="CC180" i="2"/>
  <c r="CD180" i="2" s="1"/>
  <c r="BZ180" i="2"/>
  <c r="CE180" i="2" s="1"/>
  <c r="CF180" i="2" s="1"/>
  <c r="AP52" i="2"/>
  <c r="BG52" i="2"/>
  <c r="BI68" i="2"/>
  <c r="BF68" i="2"/>
  <c r="BJ68" i="2" s="1"/>
  <c r="BE68" i="2"/>
  <c r="BH68" i="2" s="1"/>
  <c r="BD68" i="2"/>
  <c r="BC68" i="2"/>
  <c r="BB68" i="2"/>
  <c r="BA68" i="2"/>
  <c r="AK68" i="2"/>
  <c r="AP68" i="2" s="1"/>
  <c r="BY96" i="2"/>
  <c r="BD136" i="2"/>
  <c r="BC136" i="2"/>
  <c r="BB136" i="2"/>
  <c r="BA136" i="2"/>
  <c r="BI136" i="2"/>
  <c r="AK136" i="2"/>
  <c r="AP136" i="2" s="1"/>
  <c r="BF136" i="2"/>
  <c r="BJ136" i="2" s="1"/>
  <c r="BE136" i="2"/>
  <c r="BH136" i="2" s="1"/>
  <c r="CA215" i="2"/>
  <c r="CB215" i="2" s="1"/>
  <c r="AP215" i="2"/>
  <c r="BY26" i="2"/>
  <c r="BY86" i="2"/>
  <c r="CA63" i="2"/>
  <c r="CB63" i="2" s="1"/>
  <c r="BB99" i="2"/>
  <c r="BA99" i="2"/>
  <c r="BI99" i="2"/>
  <c r="BD99" i="2"/>
  <c r="BF99" i="2"/>
  <c r="BJ99" i="2" s="1"/>
  <c r="BE99" i="2"/>
  <c r="BH99" i="2" s="1"/>
  <c r="BC99" i="2"/>
  <c r="AK99" i="2"/>
  <c r="BF123" i="2"/>
  <c r="BJ123" i="2" s="1"/>
  <c r="BE123" i="2"/>
  <c r="BH123" i="2" s="1"/>
  <c r="BD123" i="2"/>
  <c r="BC123" i="2"/>
  <c r="BI123" i="2"/>
  <c r="BA123" i="2"/>
  <c r="BB123" i="2"/>
  <c r="AK123" i="2"/>
  <c r="CC147" i="2"/>
  <c r="CD147" i="2" s="1"/>
  <c r="BZ147" i="2"/>
  <c r="CE147" i="2" s="1"/>
  <c r="CF147" i="2" s="1"/>
  <c r="BY127" i="2"/>
  <c r="BA153" i="2"/>
  <c r="BF153" i="2"/>
  <c r="BJ153" i="2" s="1"/>
  <c r="BE153" i="2"/>
  <c r="BH153" i="2" s="1"/>
  <c r="BD153" i="2"/>
  <c r="BI153" i="2"/>
  <c r="BC153" i="2"/>
  <c r="BB153" i="2"/>
  <c r="AP73" i="2"/>
  <c r="BE225" i="2"/>
  <c r="BH225" i="2" s="1"/>
  <c r="BC225" i="2"/>
  <c r="BB225" i="2"/>
  <c r="BA225" i="2"/>
  <c r="BI225" i="2"/>
  <c r="BF225" i="2"/>
  <c r="BJ225" i="2" s="1"/>
  <c r="BD225" i="2"/>
  <c r="AK225" i="2"/>
  <c r="AP225" i="2" s="1"/>
  <c r="BB66" i="2"/>
  <c r="BF151" i="2"/>
  <c r="BJ151" i="2" s="1"/>
  <c r="BE151" i="2"/>
  <c r="BH151" i="2" s="1"/>
  <c r="BD151" i="2"/>
  <c r="BC151" i="2"/>
  <c r="BB151" i="2"/>
  <c r="BA151" i="2"/>
  <c r="BI151" i="2"/>
  <c r="AK151" i="2"/>
  <c r="AP151" i="2" s="1"/>
  <c r="BG34" i="2"/>
  <c r="BW34" i="2" s="1"/>
  <c r="BY34" i="2" s="1"/>
  <c r="AP34" i="2"/>
  <c r="CC82" i="2"/>
  <c r="CD82" i="2" s="1"/>
  <c r="BZ82" i="2"/>
  <c r="BA92" i="2"/>
  <c r="BD92" i="2"/>
  <c r="BE92" i="2"/>
  <c r="BH92" i="2" s="1"/>
  <c r="BC92" i="2"/>
  <c r="BB92" i="2"/>
  <c r="AK92" i="2"/>
  <c r="AP92" i="2" s="1"/>
  <c r="BI92" i="2"/>
  <c r="BF92" i="2"/>
  <c r="BJ92" i="2" s="1"/>
  <c r="CC178" i="2"/>
  <c r="CD178" i="2" s="1"/>
  <c r="BZ178" i="2"/>
  <c r="CE178" i="2" s="1"/>
  <c r="CF178" i="2" s="1"/>
  <c r="BI184" i="2"/>
  <c r="BF184" i="2"/>
  <c r="BJ184" i="2" s="1"/>
  <c r="BE184" i="2"/>
  <c r="BH184" i="2" s="1"/>
  <c r="BD184" i="2"/>
  <c r="BC184" i="2"/>
  <c r="BB184" i="2"/>
  <c r="AK184" i="2"/>
  <c r="AP184" i="2" s="1"/>
  <c r="BA184" i="2"/>
  <c r="BY79" i="2"/>
  <c r="BB119" i="2"/>
  <c r="BA119" i="2"/>
  <c r="BF119" i="2"/>
  <c r="BJ119" i="2" s="1"/>
  <c r="BE119" i="2"/>
  <c r="BH119" i="2" s="1"/>
  <c r="BD119" i="2"/>
  <c r="BC119" i="2"/>
  <c r="BI119" i="2"/>
  <c r="AK119" i="2"/>
  <c r="AP119" i="2" s="1"/>
  <c r="AP167" i="2"/>
  <c r="BI231" i="2"/>
  <c r="BA231" i="2"/>
  <c r="BF231" i="2"/>
  <c r="BJ231" i="2" s="1"/>
  <c r="BE231" i="2"/>
  <c r="BH231" i="2" s="1"/>
  <c r="BD231" i="2"/>
  <c r="BC231" i="2"/>
  <c r="BB231" i="2"/>
  <c r="AK231" i="2"/>
  <c r="AP231" i="2" s="1"/>
  <c r="CC29" i="2"/>
  <c r="CD29" i="2" s="1"/>
  <c r="BZ29" i="2"/>
  <c r="CE29" i="2" s="1"/>
  <c r="CF29" i="2" s="1"/>
  <c r="BI82" i="2"/>
  <c r="BC79" i="2"/>
  <c r="BB79" i="2"/>
  <c r="BA79" i="2"/>
  <c r="BE79" i="2"/>
  <c r="BH79" i="2" s="1"/>
  <c r="BD79" i="2"/>
  <c r="BI79" i="2"/>
  <c r="BF79" i="2"/>
  <c r="BJ79" i="2" s="1"/>
  <c r="AK79" i="2"/>
  <c r="AP79" i="2" s="1"/>
  <c r="BI208" i="2"/>
  <c r="BC208" i="2"/>
  <c r="BE208" i="2"/>
  <c r="BH208" i="2" s="1"/>
  <c r="BB208" i="2"/>
  <c r="BA208" i="2"/>
  <c r="BF208" i="2"/>
  <c r="BJ208" i="2" s="1"/>
  <c r="BD208" i="2"/>
  <c r="AK208" i="2"/>
  <c r="AP208" i="2" s="1"/>
  <c r="BZ73" i="2"/>
  <c r="AP80" i="2"/>
  <c r="BI137" i="2"/>
  <c r="BE137" i="2"/>
  <c r="BH137" i="2" s="1"/>
  <c r="BD137" i="2"/>
  <c r="BC137" i="2"/>
  <c r="BB137" i="2"/>
  <c r="BA137" i="2"/>
  <c r="AK137" i="2"/>
  <c r="AP137" i="2" s="1"/>
  <c r="BF137" i="2"/>
  <c r="BJ137" i="2" s="1"/>
  <c r="BI148" i="2"/>
  <c r="BF148" i="2"/>
  <c r="BJ148" i="2" s="1"/>
  <c r="BE148" i="2"/>
  <c r="BH148" i="2" s="1"/>
  <c r="BD148" i="2"/>
  <c r="BC148" i="2"/>
  <c r="BB148" i="2"/>
  <c r="BA148" i="2"/>
  <c r="AK148" i="2"/>
  <c r="AP148" i="2" s="1"/>
  <c r="BI176" i="2"/>
  <c r="BA176" i="2"/>
  <c r="BF176" i="2"/>
  <c r="BJ176" i="2" s="1"/>
  <c r="BE176" i="2"/>
  <c r="BH176" i="2" s="1"/>
  <c r="AK176" i="2"/>
  <c r="AP176" i="2" s="1"/>
  <c r="BD176" i="2"/>
  <c r="BC176" i="2"/>
  <c r="BB176" i="2"/>
  <c r="BC30" i="2"/>
  <c r="BB30" i="2"/>
  <c r="BA30" i="2"/>
  <c r="BF30" i="2"/>
  <c r="BJ30" i="2" s="1"/>
  <c r="BE30" i="2"/>
  <c r="BH30" i="2" s="1"/>
  <c r="BD30" i="2"/>
  <c r="AK30" i="2"/>
  <c r="AP30" i="2" s="1"/>
  <c r="BI30" i="2"/>
  <c r="BA101" i="2"/>
  <c r="AK101" i="2"/>
  <c r="AP101" i="2" s="1"/>
  <c r="BC101" i="2"/>
  <c r="BB101" i="2"/>
  <c r="BF101" i="2"/>
  <c r="BJ101" i="2" s="1"/>
  <c r="BE101" i="2"/>
  <c r="BH101" i="2" s="1"/>
  <c r="BD101" i="2"/>
  <c r="BI101" i="2"/>
  <c r="BI138" i="2"/>
  <c r="BA138" i="2"/>
  <c r="BB138" i="2"/>
  <c r="BD138" i="2"/>
  <c r="BF138" i="2"/>
  <c r="BJ138" i="2" s="1"/>
  <c r="BE138" i="2"/>
  <c r="BH138" i="2" s="1"/>
  <c r="AK138" i="2"/>
  <c r="BI55" i="2"/>
  <c r="BF55" i="2"/>
  <c r="BJ55" i="2" s="1"/>
  <c r="BE55" i="2"/>
  <c r="BH55" i="2" s="1"/>
  <c r="BD55" i="2"/>
  <c r="BC55" i="2"/>
  <c r="AK55" i="2"/>
  <c r="AP55" i="2" s="1"/>
  <c r="BB55" i="2"/>
  <c r="BA55" i="2"/>
  <c r="CC51" i="2"/>
  <c r="CD51" i="2" s="1"/>
  <c r="BZ51" i="2"/>
  <c r="CE51" i="2" s="1"/>
  <c r="CF51" i="2" s="1"/>
  <c r="BF103" i="2"/>
  <c r="BJ103" i="2" s="1"/>
  <c r="BE103" i="2"/>
  <c r="BH103" i="2" s="1"/>
  <c r="BD103" i="2"/>
  <c r="BC103" i="2"/>
  <c r="BB103" i="2"/>
  <c r="BA103" i="2"/>
  <c r="BI103" i="2"/>
  <c r="AK103" i="2"/>
  <c r="AP103" i="2" s="1"/>
  <c r="AP77" i="2"/>
  <c r="BF83" i="2"/>
  <c r="BJ83" i="2" s="1"/>
  <c r="BE83" i="2"/>
  <c r="BH83" i="2" s="1"/>
  <c r="BD83" i="2"/>
  <c r="BB83" i="2"/>
  <c r="BA83" i="2"/>
  <c r="BI83" i="2"/>
  <c r="AK83" i="2"/>
  <c r="AP83" i="2" s="1"/>
  <c r="BC83" i="2"/>
  <c r="BZ87" i="2"/>
  <c r="BI195" i="2"/>
  <c r="BA195" i="2"/>
  <c r="BF195" i="2"/>
  <c r="BJ195" i="2" s="1"/>
  <c r="BE195" i="2"/>
  <c r="BH195" i="2" s="1"/>
  <c r="BD195" i="2"/>
  <c r="BC195" i="2"/>
  <c r="BB195" i="2"/>
  <c r="AK195" i="2"/>
  <c r="CA66" i="2"/>
  <c r="CB66" i="2" s="1"/>
  <c r="BD126" i="2"/>
  <c r="BC126" i="2"/>
  <c r="BB126" i="2"/>
  <c r="BA126" i="2"/>
  <c r="BI126" i="2"/>
  <c r="BF126" i="2"/>
  <c r="BJ126" i="2" s="1"/>
  <c r="BE126" i="2"/>
  <c r="BH126" i="2" s="1"/>
  <c r="AK126" i="2"/>
  <c r="AP126" i="2" s="1"/>
  <c r="AK66" i="2"/>
  <c r="AP66" i="2" s="1"/>
  <c r="BI66" i="2"/>
  <c r="BF66" i="2"/>
  <c r="BJ66" i="2" s="1"/>
  <c r="BE66" i="2"/>
  <c r="BH66" i="2" s="1"/>
  <c r="BC66" i="2"/>
  <c r="BA66" i="2"/>
  <c r="BB236" i="2"/>
  <c r="BA236" i="2"/>
  <c r="BI236" i="2"/>
  <c r="BF236" i="2"/>
  <c r="BJ236" i="2" s="1"/>
  <c r="BE236" i="2"/>
  <c r="BH236" i="2" s="1"/>
  <c r="BD236" i="2"/>
  <c r="BC236" i="2"/>
  <c r="AK236" i="2"/>
  <c r="AP236" i="2" s="1"/>
  <c r="BF75" i="2"/>
  <c r="BJ75" i="2" s="1"/>
  <c r="BE75" i="2"/>
  <c r="BH75" i="2" s="1"/>
  <c r="BD75" i="2"/>
  <c r="BC75" i="2"/>
  <c r="BA75" i="2"/>
  <c r="BI75" i="2"/>
  <c r="BB75" i="2"/>
  <c r="AK75" i="2"/>
  <c r="AP75" i="2" s="1"/>
  <c r="BZ41" i="2"/>
  <c r="AK24" i="2"/>
  <c r="AP24" i="2" s="1"/>
  <c r="BF47" i="2"/>
  <c r="BJ47" i="2" s="1"/>
  <c r="BE47" i="2"/>
  <c r="BH47" i="2" s="1"/>
  <c r="BB47" i="2"/>
  <c r="BA47" i="2"/>
  <c r="BI47" i="2"/>
  <c r="BC47" i="2"/>
  <c r="BD47" i="2"/>
  <c r="AK47" i="2"/>
  <c r="AP47" i="2" s="1"/>
  <c r="BD60" i="2"/>
  <c r="BC60" i="2"/>
  <c r="BB60" i="2"/>
  <c r="BI60" i="2"/>
  <c r="BE60" i="2"/>
  <c r="BH60" i="2" s="1"/>
  <c r="BA60" i="2"/>
  <c r="AK60" i="2"/>
  <c r="CA60" i="2" s="1"/>
  <c r="CB60" i="2" s="1"/>
  <c r="BF60" i="2"/>
  <c r="BJ60" i="2" s="1"/>
  <c r="BF90" i="2"/>
  <c r="BJ90" i="2" s="1"/>
  <c r="BE90" i="2"/>
  <c r="BH90" i="2" s="1"/>
  <c r="BI90" i="2"/>
  <c r="BD90" i="2"/>
  <c r="BC90" i="2"/>
  <c r="BB90" i="2"/>
  <c r="BA90" i="2"/>
  <c r="AK90" i="2"/>
  <c r="AP90" i="2" s="1"/>
  <c r="BY173" i="2"/>
  <c r="CA237" i="2"/>
  <c r="CB237" i="2" s="1"/>
  <c r="AP237" i="2"/>
  <c r="BD62" i="2"/>
  <c r="BC62" i="2"/>
  <c r="BB62" i="2"/>
  <c r="AK62" i="2"/>
  <c r="AP62" i="2" s="1"/>
  <c r="BW170" i="2"/>
  <c r="BY170" i="2" s="1"/>
  <c r="BD85" i="2"/>
  <c r="BC85" i="2"/>
  <c r="BB85" i="2"/>
  <c r="BA85" i="2"/>
  <c r="AK85" i="2"/>
  <c r="AP85" i="2" s="1"/>
  <c r="BI85" i="2"/>
  <c r="BY227" i="2"/>
  <c r="BB54" i="2"/>
  <c r="BA59" i="2"/>
  <c r="CA139" i="2"/>
  <c r="CB139" i="2" s="1"/>
  <c r="BX171" i="2"/>
  <c r="BW171" i="2"/>
  <c r="BD213" i="2"/>
  <c r="BC213" i="2"/>
  <c r="BB213" i="2"/>
  <c r="BA213" i="2"/>
  <c r="BI213" i="2"/>
  <c r="BF213" i="2"/>
  <c r="BJ213" i="2" s="1"/>
  <c r="BE213" i="2"/>
  <c r="BH213" i="2" s="1"/>
  <c r="BF54" i="2"/>
  <c r="BJ54" i="2" s="1"/>
  <c r="CA210" i="2"/>
  <c r="CB210" i="2" s="1"/>
  <c r="AP222" i="2"/>
  <c r="CA41" i="2"/>
  <c r="CB41" i="2" s="1"/>
  <c r="BI54" i="2"/>
  <c r="BA62" i="2"/>
  <c r="CA125" i="2"/>
  <c r="CB125" i="2" s="1"/>
  <c r="AP36" i="2"/>
  <c r="AP41" i="2"/>
  <c r="BI124" i="2"/>
  <c r="BB124" i="2"/>
  <c r="BA124" i="2"/>
  <c r="BF124" i="2"/>
  <c r="BJ124" i="2" s="1"/>
  <c r="BE124" i="2"/>
  <c r="BH124" i="2" s="1"/>
  <c r="AK124" i="2"/>
  <c r="AP124" i="2" s="1"/>
  <c r="AP27" i="2"/>
  <c r="BI232" i="2"/>
  <c r="BF232" i="2"/>
  <c r="BJ232" i="2" s="1"/>
  <c r="BE232" i="2"/>
  <c r="BH232" i="2" s="1"/>
  <c r="BD232" i="2"/>
  <c r="BC232" i="2"/>
  <c r="BB232" i="2"/>
  <c r="BA232" i="2"/>
  <c r="AK232" i="2"/>
  <c r="AP232" i="2" s="1"/>
  <c r="CA87" i="2"/>
  <c r="CB87" i="2" s="1"/>
  <c r="BI127" i="2"/>
  <c r="BA127" i="2"/>
  <c r="BE127" i="2"/>
  <c r="BH127" i="2" s="1"/>
  <c r="BD127" i="2"/>
  <c r="BC127" i="2"/>
  <c r="BB127" i="2"/>
  <c r="BF127" i="2"/>
  <c r="BJ127" i="2" s="1"/>
  <c r="BF57" i="2"/>
  <c r="BJ57" i="2" s="1"/>
  <c r="BE57" i="2"/>
  <c r="BH57" i="2" s="1"/>
  <c r="BI57" i="2"/>
  <c r="BD57" i="2"/>
  <c r="AK57" i="2"/>
  <c r="AP57" i="2" s="1"/>
  <c r="BC57" i="2"/>
  <c r="BB57" i="2"/>
  <c r="BA57" i="2"/>
  <c r="BD70" i="2"/>
  <c r="BC70" i="2"/>
  <c r="BB70" i="2"/>
  <c r="BA70" i="2"/>
  <c r="BF70" i="2"/>
  <c r="BJ70" i="2" s="1"/>
  <c r="BE70" i="2"/>
  <c r="BH70" i="2" s="1"/>
  <c r="BI70" i="2"/>
  <c r="AK70" i="2"/>
  <c r="AP70" i="2" s="1"/>
  <c r="BA168" i="2"/>
  <c r="BF168" i="2"/>
  <c r="BJ168" i="2" s="1"/>
  <c r="BE168" i="2"/>
  <c r="BH168" i="2" s="1"/>
  <c r="BD168" i="2"/>
  <c r="BC168" i="2"/>
  <c r="BB168" i="2"/>
  <c r="BI168" i="2"/>
  <c r="AK168" i="2"/>
  <c r="AP168" i="2" s="1"/>
  <c r="BC185" i="2"/>
  <c r="BB185" i="2"/>
  <c r="BA185" i="2"/>
  <c r="BI185" i="2"/>
  <c r="BF185" i="2"/>
  <c r="BJ185" i="2" s="1"/>
  <c r="BE185" i="2"/>
  <c r="BH185" i="2" s="1"/>
  <c r="BD185" i="2"/>
  <c r="BX38" i="2"/>
  <c r="CA38" i="2" s="1"/>
  <c r="CB38" i="2" s="1"/>
  <c r="BW38" i="2"/>
  <c r="BY38" i="2" s="1"/>
  <c r="CA79" i="2"/>
  <c r="CB79" i="2" s="1"/>
  <c r="BD106" i="2"/>
  <c r="BC106" i="2"/>
  <c r="BB106" i="2"/>
  <c r="BA106" i="2"/>
  <c r="BI106" i="2"/>
  <c r="AK106" i="2"/>
  <c r="BF106" i="2"/>
  <c r="BJ106" i="2" s="1"/>
  <c r="BE106" i="2"/>
  <c r="BH106" i="2" s="1"/>
  <c r="BB146" i="2"/>
  <c r="BA146" i="2"/>
  <c r="BF146" i="2"/>
  <c r="BJ146" i="2" s="1"/>
  <c r="BE146" i="2"/>
  <c r="BH146" i="2" s="1"/>
  <c r="BD146" i="2"/>
  <c r="BC146" i="2"/>
  <c r="BI146" i="2"/>
  <c r="AK146" i="2"/>
  <c r="AP146" i="2" s="1"/>
  <c r="AP185" i="2"/>
  <c r="AP51" i="2"/>
  <c r="BF93" i="2"/>
  <c r="BJ93" i="2" s="1"/>
  <c r="BE93" i="2"/>
  <c r="BH93" i="2" s="1"/>
  <c r="BD93" i="2"/>
  <c r="BC93" i="2"/>
  <c r="BI93" i="2"/>
  <c r="BB93" i="2"/>
  <c r="BA93" i="2"/>
  <c r="AK93" i="2"/>
  <c r="BY93" i="2" s="1"/>
  <c r="AP163" i="2"/>
  <c r="AP58" i="2"/>
  <c r="AP107" i="2"/>
  <c r="AP120" i="2"/>
  <c r="AP134" i="2"/>
  <c r="AP147" i="2"/>
  <c r="BY211" i="2"/>
  <c r="BE62" i="2"/>
  <c r="BH62" i="2" s="1"/>
  <c r="BX84" i="2"/>
  <c r="CA84" i="2" s="1"/>
  <c r="CB84" i="2" s="1"/>
  <c r="BW84" i="2"/>
  <c r="BY84" i="2" s="1"/>
  <c r="BF108" i="2"/>
  <c r="BJ108" i="2" s="1"/>
  <c r="AP37" i="2"/>
  <c r="BB73" i="2"/>
  <c r="BA73" i="2"/>
  <c r="BD73" i="2"/>
  <c r="BC73" i="2"/>
  <c r="BF73" i="2"/>
  <c r="BJ73" i="2" s="1"/>
  <c r="BE73" i="2"/>
  <c r="BH73" i="2" s="1"/>
  <c r="BI73" i="2"/>
  <c r="BB109" i="2"/>
  <c r="BA109" i="2"/>
  <c r="BE109" i="2"/>
  <c r="BH109" i="2" s="1"/>
  <c r="BD109" i="2"/>
  <c r="BC109" i="2"/>
  <c r="BI109" i="2"/>
  <c r="BF109" i="2"/>
  <c r="BJ109" i="2" s="1"/>
  <c r="BE180" i="2"/>
  <c r="BH180" i="2" s="1"/>
  <c r="BD180" i="2"/>
  <c r="BC180" i="2"/>
  <c r="BB180" i="2"/>
  <c r="BA180" i="2"/>
  <c r="BI180" i="2"/>
  <c r="BF180" i="2"/>
  <c r="BJ180" i="2" s="1"/>
  <c r="BA196" i="2"/>
  <c r="BF196" i="2"/>
  <c r="BJ196" i="2" s="1"/>
  <c r="BE196" i="2"/>
  <c r="BH196" i="2" s="1"/>
  <c r="BD196" i="2"/>
  <c r="BC196" i="2"/>
  <c r="BB196" i="2"/>
  <c r="BI196" i="2"/>
  <c r="AK196" i="2"/>
  <c r="AP196" i="2" s="1"/>
  <c r="BI202" i="2"/>
  <c r="BF202" i="2"/>
  <c r="BJ202" i="2" s="1"/>
  <c r="BE202" i="2"/>
  <c r="BH202" i="2" s="1"/>
  <c r="BD202" i="2"/>
  <c r="BC202" i="2"/>
  <c r="BB202" i="2"/>
  <c r="BA202" i="2"/>
  <c r="AK202" i="2"/>
  <c r="BI219" i="2"/>
  <c r="BD219" i="2"/>
  <c r="BC219" i="2"/>
  <c r="BB219" i="2"/>
  <c r="BA219" i="2"/>
  <c r="BF219" i="2"/>
  <c r="BJ219" i="2" s="1"/>
  <c r="BE219" i="2"/>
  <c r="BH219" i="2" s="1"/>
  <c r="AK219" i="2"/>
  <c r="AP219" i="2" s="1"/>
  <c r="AP227" i="2"/>
  <c r="BY230" i="2"/>
  <c r="BI238" i="2"/>
  <c r="BC238" i="2"/>
  <c r="BB238" i="2"/>
  <c r="BA238" i="2"/>
  <c r="BF238" i="2"/>
  <c r="BJ238" i="2" s="1"/>
  <c r="BE238" i="2"/>
  <c r="BH238" i="2" s="1"/>
  <c r="BD238" i="2"/>
  <c r="AK238" i="2"/>
  <c r="AP238" i="2" s="1"/>
  <c r="BF62" i="2"/>
  <c r="BJ62" i="2" s="1"/>
  <c r="BX64" i="2"/>
  <c r="CA64" i="2" s="1"/>
  <c r="CB64" i="2" s="1"/>
  <c r="BW64" i="2"/>
  <c r="BY64" i="2" s="1"/>
  <c r="CA73" i="2"/>
  <c r="CB73" i="2" s="1"/>
  <c r="CA80" i="2"/>
  <c r="CB80" i="2" s="1"/>
  <c r="BE35" i="2"/>
  <c r="BH35" i="2" s="1"/>
  <c r="BD35" i="2"/>
  <c r="BC35" i="2"/>
  <c r="AK35" i="2"/>
  <c r="AP35" i="2" s="1"/>
  <c r="BI35" i="2"/>
  <c r="BF35" i="2"/>
  <c r="BJ35" i="2" s="1"/>
  <c r="BB35" i="2"/>
  <c r="BA35" i="2"/>
  <c r="BB129" i="2"/>
  <c r="BA129" i="2"/>
  <c r="BF129" i="2"/>
  <c r="BJ129" i="2" s="1"/>
  <c r="BE129" i="2"/>
  <c r="BH129" i="2" s="1"/>
  <c r="BD129" i="2"/>
  <c r="BC129" i="2"/>
  <c r="BI129" i="2"/>
  <c r="AK129" i="2"/>
  <c r="AP129" i="2" s="1"/>
  <c r="BF100" i="2"/>
  <c r="BJ100" i="2" s="1"/>
  <c r="BE100" i="2"/>
  <c r="BH100" i="2" s="1"/>
  <c r="BD100" i="2"/>
  <c r="BC100" i="2"/>
  <c r="BB100" i="2"/>
  <c r="BA100" i="2"/>
  <c r="BI100" i="2"/>
  <c r="BZ207" i="2"/>
  <c r="AP29" i="2"/>
  <c r="BY185" i="2"/>
  <c r="BE215" i="2"/>
  <c r="BH215" i="2" s="1"/>
  <c r="BI215" i="2"/>
  <c r="BF215" i="2"/>
  <c r="BJ215" i="2" s="1"/>
  <c r="BD215" i="2"/>
  <c r="BC215" i="2"/>
  <c r="BB215" i="2"/>
  <c r="BD50" i="2"/>
  <c r="BC50" i="2"/>
  <c r="BF50" i="2"/>
  <c r="BJ50" i="2" s="1"/>
  <c r="BE50" i="2"/>
  <c r="BH50" i="2" s="1"/>
  <c r="BB50" i="2"/>
  <c r="BI50" i="2"/>
  <c r="BA50" i="2"/>
  <c r="AK50" i="2"/>
  <c r="AP65" i="2"/>
  <c r="AP122" i="2"/>
  <c r="BF140" i="2"/>
  <c r="BJ140" i="2" s="1"/>
  <c r="BE140" i="2"/>
  <c r="BH140" i="2" s="1"/>
  <c r="BD140" i="2"/>
  <c r="BC140" i="2"/>
  <c r="BB140" i="2"/>
  <c r="BA140" i="2"/>
  <c r="BI140" i="2"/>
  <c r="BE162" i="2"/>
  <c r="BH162" i="2" s="1"/>
  <c r="BD162" i="2"/>
  <c r="BC162" i="2"/>
  <c r="BB162" i="2"/>
  <c r="BI162" i="2"/>
  <c r="BF162" i="2"/>
  <c r="BJ162" i="2" s="1"/>
  <c r="BA162" i="2"/>
  <c r="AK162" i="2"/>
  <c r="AP162" i="2" s="1"/>
  <c r="BI204" i="2"/>
  <c r="BE204" i="2"/>
  <c r="BH204" i="2" s="1"/>
  <c r="BD204" i="2"/>
  <c r="BC204" i="2"/>
  <c r="BB204" i="2"/>
  <c r="BA204" i="2"/>
  <c r="BF204" i="2"/>
  <c r="BJ204" i="2" s="1"/>
  <c r="AK204" i="2"/>
  <c r="AP204" i="2" s="1"/>
  <c r="BF130" i="2"/>
  <c r="BJ130" i="2" s="1"/>
  <c r="BE130" i="2"/>
  <c r="BH130" i="2" s="1"/>
  <c r="AK130" i="2"/>
  <c r="AP130" i="2" s="1"/>
  <c r="BC130" i="2"/>
  <c r="BB130" i="2"/>
  <c r="BA130" i="2"/>
  <c r="BE190" i="2"/>
  <c r="BH190" i="2" s="1"/>
  <c r="BD190" i="2"/>
  <c r="BC190" i="2"/>
  <c r="BA190" i="2"/>
  <c r="BI190" i="2"/>
  <c r="BF190" i="2"/>
  <c r="BJ190" i="2" s="1"/>
  <c r="BB190" i="2"/>
  <c r="AK190" i="2"/>
  <c r="AP190" i="2" s="1"/>
  <c r="BI130" i="2"/>
  <c r="BI98" i="2"/>
  <c r="BA98" i="2"/>
  <c r="BE98" i="2"/>
  <c r="BH98" i="2" s="1"/>
  <c r="BD98" i="2"/>
  <c r="BC98" i="2"/>
  <c r="BB98" i="2"/>
  <c r="BC165" i="2"/>
  <c r="BB165" i="2"/>
  <c r="BA165" i="2"/>
  <c r="BF165" i="2"/>
  <c r="BJ165" i="2" s="1"/>
  <c r="BE165" i="2"/>
  <c r="BH165" i="2" s="1"/>
  <c r="BD165" i="2"/>
  <c r="BI165" i="2"/>
  <c r="AK141" i="2"/>
  <c r="AP141" i="2" s="1"/>
  <c r="BB141" i="2"/>
  <c r="BA141" i="2"/>
  <c r="BF141" i="2"/>
  <c r="BJ141" i="2" s="1"/>
  <c r="BE141" i="2"/>
  <c r="BH141" i="2" s="1"/>
  <c r="BD141" i="2"/>
  <c r="BC141" i="2"/>
  <c r="BB149" i="2"/>
  <c r="BA149" i="2"/>
  <c r="BC149" i="2"/>
  <c r="BI149" i="2"/>
  <c r="BC39" i="2"/>
  <c r="BB39" i="2"/>
  <c r="BA39" i="2"/>
  <c r="BF39" i="2"/>
  <c r="BJ39" i="2" s="1"/>
  <c r="BE39" i="2"/>
  <c r="BH39" i="2" s="1"/>
  <c r="BD39" i="2"/>
  <c r="BB53" i="2"/>
  <c r="BA53" i="2"/>
  <c r="BI53" i="2"/>
  <c r="BF53" i="2"/>
  <c r="BJ53" i="2" s="1"/>
  <c r="BE53" i="2"/>
  <c r="BH53" i="2" s="1"/>
  <c r="BD53" i="2"/>
  <c r="BC53" i="2"/>
  <c r="BI78" i="2"/>
  <c r="BF78" i="2"/>
  <c r="BJ78" i="2" s="1"/>
  <c r="BE78" i="2"/>
  <c r="BH78" i="2" s="1"/>
  <c r="BD78" i="2"/>
  <c r="BC78" i="2"/>
  <c r="BB78" i="2"/>
  <c r="BA78" i="2"/>
  <c r="AK78" i="2"/>
  <c r="AP78" i="2" s="1"/>
  <c r="BY134" i="2"/>
  <c r="BF157" i="2"/>
  <c r="BJ157" i="2" s="1"/>
  <c r="BE157" i="2"/>
  <c r="BH157" i="2" s="1"/>
  <c r="BD157" i="2"/>
  <c r="BC157" i="2"/>
  <c r="BB157" i="2"/>
  <c r="BI157" i="2"/>
  <c r="BA157" i="2"/>
  <c r="AK157" i="2"/>
  <c r="AP157" i="2" s="1"/>
  <c r="BW80" i="2"/>
  <c r="BY80" i="2" s="1"/>
  <c r="BY33" i="2"/>
  <c r="BA108" i="2"/>
  <c r="BE108" i="2"/>
  <c r="BH108" i="2" s="1"/>
  <c r="BD108" i="2"/>
  <c r="BC108" i="2"/>
  <c r="BB108" i="2"/>
  <c r="AK108" i="2"/>
  <c r="AP108" i="2" s="1"/>
  <c r="BY119" i="2"/>
  <c r="BI38" i="2"/>
  <c r="BC38" i="2"/>
  <c r="BB38" i="2"/>
  <c r="BA38" i="2"/>
  <c r="AK38" i="2"/>
  <c r="AP38" i="2" s="1"/>
  <c r="BF38" i="2"/>
  <c r="BJ38" i="2" s="1"/>
  <c r="BE38" i="2"/>
  <c r="BH38" i="2" s="1"/>
  <c r="BD38" i="2"/>
  <c r="BY168" i="2"/>
  <c r="BC187" i="2"/>
  <c r="BB187" i="2"/>
  <c r="BA187" i="2"/>
  <c r="BF187" i="2"/>
  <c r="BJ187" i="2" s="1"/>
  <c r="BI187" i="2"/>
  <c r="BE187" i="2"/>
  <c r="BH187" i="2" s="1"/>
  <c r="BD187" i="2"/>
  <c r="AP109" i="2"/>
  <c r="BF143" i="2"/>
  <c r="BJ143" i="2" s="1"/>
  <c r="BE143" i="2"/>
  <c r="BH143" i="2" s="1"/>
  <c r="BD143" i="2"/>
  <c r="BC143" i="2"/>
  <c r="BB143" i="2"/>
  <c r="BI143" i="2"/>
  <c r="BA143" i="2"/>
  <c r="AK143" i="2"/>
  <c r="AP143" i="2" s="1"/>
  <c r="BF48" i="2"/>
  <c r="BJ48" i="2" s="1"/>
  <c r="BE48" i="2"/>
  <c r="BH48" i="2" s="1"/>
  <c r="BD48" i="2"/>
  <c r="BB48" i="2"/>
  <c r="BA48" i="2"/>
  <c r="BC48" i="2"/>
  <c r="AK48" i="2"/>
  <c r="BI48" i="2"/>
  <c r="AP125" i="2"/>
  <c r="AP144" i="2"/>
  <c r="BB43" i="2"/>
  <c r="BA43" i="2"/>
  <c r="BI43" i="2"/>
  <c r="BF43" i="2"/>
  <c r="BJ43" i="2" s="1"/>
  <c r="BE43" i="2"/>
  <c r="BH43" i="2" s="1"/>
  <c r="BD43" i="2"/>
  <c r="BC43" i="2"/>
  <c r="BY216" i="2"/>
  <c r="BF133" i="2"/>
  <c r="BJ133" i="2" s="1"/>
  <c r="BE133" i="2"/>
  <c r="BH133" i="2" s="1"/>
  <c r="BD133" i="2"/>
  <c r="BC133" i="2"/>
  <c r="BB133" i="2"/>
  <c r="BA133" i="2"/>
  <c r="BI133" i="2"/>
  <c r="AK133" i="2"/>
  <c r="BI44" i="2"/>
  <c r="BF44" i="2"/>
  <c r="BJ44" i="2" s="1"/>
  <c r="BD44" i="2"/>
  <c r="BC44" i="2"/>
  <c r="BB44" i="2"/>
  <c r="BA44" i="2"/>
  <c r="AK44" i="2"/>
  <c r="AP44" i="2" s="1"/>
  <c r="BE44" i="2"/>
  <c r="BH44" i="2" s="1"/>
  <c r="AP89" i="2"/>
  <c r="BC160" i="2"/>
  <c r="BB160" i="2"/>
  <c r="BA160" i="2"/>
  <c r="BI160" i="2"/>
  <c r="BF160" i="2"/>
  <c r="BJ160" i="2" s="1"/>
  <c r="AK160" i="2"/>
  <c r="AP160" i="2" s="1"/>
  <c r="BD160" i="2"/>
  <c r="BD172" i="2"/>
  <c r="BF172" i="2"/>
  <c r="BJ172" i="2" s="1"/>
  <c r="BE172" i="2"/>
  <c r="BH172" i="2" s="1"/>
  <c r="BC172" i="2"/>
  <c r="BB172" i="2"/>
  <c r="BA172" i="2"/>
  <c r="BI172" i="2"/>
  <c r="AK172" i="2"/>
  <c r="BI188" i="2"/>
  <c r="BC188" i="2"/>
  <c r="BB188" i="2"/>
  <c r="BA188" i="2"/>
  <c r="BF188" i="2"/>
  <c r="BJ188" i="2" s="1"/>
  <c r="BE188" i="2"/>
  <c r="BH188" i="2" s="1"/>
  <c r="BD188" i="2"/>
  <c r="AK188" i="2"/>
  <c r="AP188" i="2" s="1"/>
  <c r="BX49" i="2"/>
  <c r="CA49" i="2" s="1"/>
  <c r="CB49" i="2" s="1"/>
  <c r="BW49" i="2"/>
  <c r="BY49" i="2" s="1"/>
  <c r="BI62" i="2"/>
  <c r="BW141" i="2"/>
  <c r="BZ193" i="2"/>
  <c r="BE182" i="2"/>
  <c r="BH182" i="2" s="1"/>
  <c r="BD182" i="2"/>
  <c r="BC182" i="2"/>
  <c r="BB182" i="2"/>
  <c r="BA182" i="2"/>
  <c r="BF182" i="2"/>
  <c r="BJ182" i="2" s="1"/>
  <c r="BI182" i="2"/>
  <c r="BD81" i="2"/>
  <c r="BC81" i="2"/>
  <c r="BB81" i="2"/>
  <c r="BA81" i="2"/>
  <c r="AK81" i="2"/>
  <c r="AP81" i="2" s="1"/>
  <c r="BI81" i="2"/>
  <c r="BF81" i="2"/>
  <c r="BJ81" i="2" s="1"/>
  <c r="BE81" i="2"/>
  <c r="BH81" i="2" s="1"/>
  <c r="BD86" i="2"/>
  <c r="BC86" i="2"/>
  <c r="BB86" i="2"/>
  <c r="AK86" i="2"/>
  <c r="AP86" i="2" s="1"/>
  <c r="BI86" i="2"/>
  <c r="BA178" i="2"/>
  <c r="BF178" i="2"/>
  <c r="BJ178" i="2" s="1"/>
  <c r="BE178" i="2"/>
  <c r="BH178" i="2" s="1"/>
  <c r="BD178" i="2"/>
  <c r="BC178" i="2"/>
  <c r="BI178" i="2"/>
  <c r="BB178" i="2"/>
  <c r="BI186" i="2"/>
  <c r="BF186" i="2"/>
  <c r="BJ186" i="2" s="1"/>
  <c r="BE186" i="2"/>
  <c r="BH186" i="2" s="1"/>
  <c r="BD186" i="2"/>
  <c r="BC186" i="2"/>
  <c r="BB186" i="2"/>
  <c r="BA186" i="2"/>
  <c r="AK186" i="2"/>
  <c r="AP186" i="2" s="1"/>
  <c r="BE205" i="2"/>
  <c r="BH205" i="2" s="1"/>
  <c r="BI205" i="2"/>
  <c r="BB205" i="2"/>
  <c r="BF205" i="2"/>
  <c r="BJ205" i="2" s="1"/>
  <c r="BD205" i="2"/>
  <c r="BC205" i="2"/>
  <c r="BA205" i="2"/>
  <c r="BI214" i="2"/>
  <c r="BE214" i="2"/>
  <c r="BH214" i="2" s="1"/>
  <c r="BB214" i="2"/>
  <c r="BA214" i="2"/>
  <c r="BC214" i="2"/>
  <c r="BF214" i="2"/>
  <c r="BJ214" i="2" s="1"/>
  <c r="BD214" i="2"/>
  <c r="AK214" i="2"/>
  <c r="AP214" i="2" s="1"/>
  <c r="BX77" i="2"/>
  <c r="CA77" i="2" s="1"/>
  <c r="CB77" i="2" s="1"/>
  <c r="BW77" i="2"/>
  <c r="BY77" i="2" s="1"/>
  <c r="BE85" i="2"/>
  <c r="BH85" i="2" s="1"/>
  <c r="BA54" i="2"/>
  <c r="BE54" i="2"/>
  <c r="BH54" i="2" s="1"/>
  <c r="BC54" i="2"/>
  <c r="AP235" i="2"/>
  <c r="BY55" i="2"/>
  <c r="BC174" i="2"/>
  <c r="BB174" i="2"/>
  <c r="BA174" i="2"/>
  <c r="BI174" i="2"/>
  <c r="BF174" i="2"/>
  <c r="BJ174" i="2" s="1"/>
  <c r="BE174" i="2"/>
  <c r="BH174" i="2" s="1"/>
  <c r="BD174" i="2"/>
  <c r="BY61" i="2"/>
  <c r="BI117" i="2"/>
  <c r="BA117" i="2"/>
  <c r="BF117" i="2"/>
  <c r="BJ117" i="2" s="1"/>
  <c r="BD117" i="2"/>
  <c r="BC117" i="2"/>
  <c r="BB117" i="2"/>
  <c r="BY126" i="2"/>
  <c r="BB25" i="2"/>
  <c r="BA25" i="2"/>
  <c r="AK25" i="2"/>
  <c r="AP25" i="2" s="1"/>
  <c r="BI25" i="2"/>
  <c r="BF25" i="2"/>
  <c r="BJ25" i="2" s="1"/>
  <c r="BE25" i="2"/>
  <c r="BH25" i="2" s="1"/>
  <c r="BD25" i="2"/>
  <c r="BC25" i="2"/>
  <c r="BB63" i="2"/>
  <c r="BA63" i="2"/>
  <c r="BI63" i="2"/>
  <c r="BF63" i="2"/>
  <c r="BJ63" i="2" s="1"/>
  <c r="BE63" i="2"/>
  <c r="BH63" i="2" s="1"/>
  <c r="AK63" i="2"/>
  <c r="AP63" i="2" s="1"/>
  <c r="BD63" i="2"/>
  <c r="BI94" i="2"/>
  <c r="BD94" i="2"/>
  <c r="BC94" i="2"/>
  <c r="BF94" i="2"/>
  <c r="BJ94" i="2" s="1"/>
  <c r="BE94" i="2"/>
  <c r="BH94" i="2" s="1"/>
  <c r="BB94" i="2"/>
  <c r="BA94" i="2"/>
  <c r="AK94" i="2"/>
  <c r="AP94" i="2" s="1"/>
  <c r="BY102" i="2"/>
  <c r="AP128" i="2"/>
  <c r="AP145" i="2"/>
  <c r="BI163" i="2"/>
  <c r="BF163" i="2"/>
  <c r="BJ163" i="2" s="1"/>
  <c r="BE163" i="2"/>
  <c r="BH163" i="2" s="1"/>
  <c r="BD163" i="2"/>
  <c r="BC163" i="2"/>
  <c r="BB163" i="2"/>
  <c r="BA163" i="2"/>
  <c r="BY176" i="2"/>
  <c r="AP192" i="2"/>
  <c r="BI194" i="2"/>
  <c r="BE194" i="2"/>
  <c r="BH194" i="2" s="1"/>
  <c r="BF194" i="2"/>
  <c r="BJ194" i="2" s="1"/>
  <c r="BD194" i="2"/>
  <c r="BC194" i="2"/>
  <c r="BB194" i="2"/>
  <c r="BA194" i="2"/>
  <c r="AK194" i="2"/>
  <c r="AP194" i="2" s="1"/>
  <c r="CA65" i="2"/>
  <c r="CB65" i="2" s="1"/>
  <c r="BF85" i="2"/>
  <c r="BJ85" i="2" s="1"/>
  <c r="BW104" i="2"/>
  <c r="CA170" i="2"/>
  <c r="CB170" i="2" s="1"/>
  <c r="BI224" i="2"/>
  <c r="BE224" i="2"/>
  <c r="BH224" i="2" s="1"/>
  <c r="BD224" i="2"/>
  <c r="BC224" i="2"/>
  <c r="BB224" i="2"/>
  <c r="BA224" i="2"/>
  <c r="BF224" i="2"/>
  <c r="BJ224" i="2" s="1"/>
  <c r="AK224" i="2"/>
  <c r="AP224" i="2" s="1"/>
  <c r="AP39" i="2"/>
  <c r="BY136" i="2"/>
  <c r="BI221" i="2"/>
  <c r="BA221" i="2"/>
  <c r="BB221" i="2"/>
  <c r="BF221" i="2"/>
  <c r="BJ221" i="2" s="1"/>
  <c r="BE221" i="2"/>
  <c r="BH221" i="2" s="1"/>
  <c r="BD221" i="2"/>
  <c r="BC221" i="2"/>
  <c r="AK221" i="2"/>
  <c r="AP221" i="2" s="1"/>
  <c r="BY186" i="2"/>
  <c r="AP88" i="2"/>
  <c r="BY66" i="2"/>
  <c r="BI112" i="2"/>
  <c r="BF112" i="2"/>
  <c r="BJ112" i="2" s="1"/>
  <c r="BE112" i="2"/>
  <c r="BH112" i="2" s="1"/>
  <c r="BD112" i="2"/>
  <c r="BC112" i="2"/>
  <c r="BB112" i="2"/>
  <c r="AK112" i="2"/>
  <c r="BY112" i="2" s="1"/>
  <c r="AP26" i="2"/>
  <c r="BB34" i="2"/>
  <c r="BA34" i="2"/>
  <c r="AK54" i="2"/>
  <c r="AP54" i="2" s="1"/>
  <c r="AP87" i="2"/>
  <c r="AP95" i="2"/>
  <c r="AP105" i="2"/>
  <c r="AP113" i="2"/>
  <c r="BF120" i="2"/>
  <c r="BJ120" i="2" s="1"/>
  <c r="BE120" i="2"/>
  <c r="BH120" i="2" s="1"/>
  <c r="BI120" i="2"/>
  <c r="BD120" i="2"/>
  <c r="BB120" i="2"/>
  <c r="BC120" i="2"/>
  <c r="BI134" i="2"/>
  <c r="BF134" i="2"/>
  <c r="BJ134" i="2" s="1"/>
  <c r="BE134" i="2"/>
  <c r="BH134" i="2" s="1"/>
  <c r="BD134" i="2"/>
  <c r="BC134" i="2"/>
  <c r="BB134" i="2"/>
  <c r="BA134" i="2"/>
  <c r="BY200" i="2"/>
  <c r="CA71" i="2"/>
  <c r="CB71" i="2" s="1"/>
  <c r="BX142" i="2"/>
  <c r="CA142" i="2" s="1"/>
  <c r="CB142" i="2" s="1"/>
  <c r="BW142" i="2"/>
  <c r="BY142" i="2" s="1"/>
  <c r="BA215" i="2"/>
  <c r="CA150" i="2"/>
  <c r="CB150" i="2" s="1"/>
  <c r="AP31" i="2"/>
  <c r="BI59" i="2"/>
  <c r="BF59" i="2"/>
  <c r="BJ59" i="2" s="1"/>
  <c r="BE59" i="2"/>
  <c r="BH59" i="2" s="1"/>
  <c r="BC59" i="2"/>
  <c r="BD59" i="2"/>
  <c r="AK59" i="2"/>
  <c r="AP59" i="2" s="1"/>
  <c r="CA78" i="2"/>
  <c r="CB78" i="2" s="1"/>
  <c r="AP165" i="2"/>
  <c r="CA180" i="2"/>
  <c r="CB180" i="2" s="1"/>
  <c r="BY213" i="2"/>
  <c r="CA98" i="2"/>
  <c r="CB98" i="2" s="1"/>
  <c r="BI32" i="2"/>
  <c r="BD32" i="2"/>
  <c r="BF32" i="2"/>
  <c r="BJ32" i="2" s="1"/>
  <c r="BE32" i="2"/>
  <c r="BH32" i="2" s="1"/>
  <c r="BC32" i="2"/>
  <c r="BB32" i="2"/>
  <c r="BA32" i="2"/>
  <c r="BI42" i="2"/>
  <c r="BF42" i="2"/>
  <c r="BJ42" i="2" s="1"/>
  <c r="BE42" i="2"/>
  <c r="BH42" i="2" s="1"/>
  <c r="BB42" i="2"/>
  <c r="BD42" i="2"/>
  <c r="BC42" i="2"/>
  <c r="AK42" i="2"/>
  <c r="AP42" i="2" s="1"/>
  <c r="BI49" i="2"/>
  <c r="BF49" i="2"/>
  <c r="BJ49" i="2" s="1"/>
  <c r="BE49" i="2"/>
  <c r="BH49" i="2" s="1"/>
  <c r="BA49" i="2"/>
  <c r="BD49" i="2"/>
  <c r="BC49" i="2"/>
  <c r="BB49" i="2"/>
  <c r="BY59" i="2"/>
  <c r="AP82" i="2"/>
  <c r="AK100" i="2"/>
  <c r="AP100" i="2" s="1"/>
  <c r="BF110" i="2"/>
  <c r="BJ110" i="2" s="1"/>
  <c r="BE110" i="2"/>
  <c r="BH110" i="2" s="1"/>
  <c r="BI110" i="2"/>
  <c r="BD110" i="2"/>
  <c r="BB110" i="2"/>
  <c r="BA110" i="2"/>
  <c r="BC110" i="2"/>
  <c r="AK110" i="2"/>
  <c r="AP110" i="2" s="1"/>
  <c r="BI131" i="2"/>
  <c r="BF131" i="2"/>
  <c r="BJ131" i="2" s="1"/>
  <c r="BE131" i="2"/>
  <c r="BH131" i="2" s="1"/>
  <c r="AK131" i="2"/>
  <c r="AP131" i="2" s="1"/>
  <c r="BD131" i="2"/>
  <c r="BC131" i="2"/>
  <c r="BB131" i="2"/>
  <c r="BA131" i="2"/>
  <c r="BB150" i="2"/>
  <c r="BA150" i="2"/>
  <c r="BI150" i="2"/>
  <c r="BF150" i="2"/>
  <c r="BJ150" i="2" s="1"/>
  <c r="BE150" i="2"/>
  <c r="BH150" i="2" s="1"/>
  <c r="BD150" i="2"/>
  <c r="BC150" i="2"/>
  <c r="AK150" i="2"/>
  <c r="AP150" i="2" s="1"/>
  <c r="BY161" i="2"/>
  <c r="BY192" i="2"/>
  <c r="BF217" i="2"/>
  <c r="BJ217" i="2" s="1"/>
  <c r="BE217" i="2"/>
  <c r="BH217" i="2" s="1"/>
  <c r="BC217" i="2"/>
  <c r="BI217" i="2"/>
  <c r="BD217" i="2"/>
  <c r="BA217" i="2"/>
  <c r="AK217" i="2"/>
  <c r="BB217" i="2"/>
  <c r="BY220" i="2"/>
  <c r="BX47" i="2"/>
  <c r="BW47" i="2"/>
  <c r="CA62" i="2"/>
  <c r="CB62" i="2" s="1"/>
  <c r="BY85" i="2"/>
  <c r="BW109" i="2"/>
  <c r="BY109" i="2" s="1"/>
  <c r="BD149" i="2"/>
  <c r="BI88" i="2"/>
  <c r="BF88" i="2"/>
  <c r="BJ88" i="2" s="1"/>
  <c r="BE88" i="2"/>
  <c r="BH88" i="2" s="1"/>
  <c r="BD88" i="2"/>
  <c r="BC95" i="2"/>
  <c r="BB95" i="2"/>
  <c r="BA95" i="2"/>
  <c r="BI95" i="2"/>
  <c r="BF95" i="2"/>
  <c r="BJ95" i="2" s="1"/>
  <c r="BE95" i="2"/>
  <c r="BH95" i="2" s="1"/>
  <c r="BD95" i="2"/>
  <c r="CA102" i="2"/>
  <c r="CB102" i="2" s="1"/>
  <c r="AP102" i="2"/>
  <c r="BI115" i="2"/>
  <c r="BF115" i="2"/>
  <c r="BJ115" i="2" s="1"/>
  <c r="BE115" i="2"/>
  <c r="BH115" i="2" s="1"/>
  <c r="BC115" i="2"/>
  <c r="BD115" i="2"/>
  <c r="BB115" i="2"/>
  <c r="BA115" i="2"/>
  <c r="BI229" i="2"/>
  <c r="BB229" i="2"/>
  <c r="BA229" i="2"/>
  <c r="BE229" i="2"/>
  <c r="BH229" i="2" s="1"/>
  <c r="BD229" i="2"/>
  <c r="BC229" i="2"/>
  <c r="BF229" i="2"/>
  <c r="BJ229" i="2" s="1"/>
  <c r="CA40" i="2"/>
  <c r="CB40" i="2" s="1"/>
  <c r="BX111" i="2"/>
  <c r="BW111" i="2"/>
  <c r="CA117" i="2"/>
  <c r="CB117" i="2" s="1"/>
  <c r="BX131" i="2"/>
  <c r="BW131" i="2"/>
  <c r="BY164" i="2"/>
  <c r="BI211" i="2"/>
  <c r="BA211" i="2"/>
  <c r="BF211" i="2"/>
  <c r="BJ211" i="2" s="1"/>
  <c r="BE211" i="2"/>
  <c r="BH211" i="2" s="1"/>
  <c r="BD211" i="2"/>
  <c r="BC211" i="2"/>
  <c r="AK211" i="2"/>
  <c r="AP211" i="2" s="1"/>
  <c r="BB211" i="2"/>
  <c r="BW68" i="2"/>
  <c r="BY68" i="2" s="1"/>
  <c r="BY167" i="2"/>
  <c r="BY50" i="2"/>
  <c r="BC58" i="2"/>
  <c r="BF58" i="2"/>
  <c r="BJ58" i="2" s="1"/>
  <c r="BE58" i="2"/>
  <c r="BH58" i="2" s="1"/>
  <c r="BD58" i="2"/>
  <c r="BC82" i="2"/>
  <c r="BB82" i="2"/>
  <c r="BA82" i="2"/>
  <c r="AK111" i="2"/>
  <c r="AP111" i="2" s="1"/>
  <c r="BI111" i="2"/>
  <c r="BF111" i="2"/>
  <c r="BJ111" i="2" s="1"/>
  <c r="BB111" i="2"/>
  <c r="BE111" i="2"/>
  <c r="BH111" i="2" s="1"/>
  <c r="BD111" i="2"/>
  <c r="BC111" i="2"/>
  <c r="BB156" i="2"/>
  <c r="BA156" i="2"/>
  <c r="BF156" i="2"/>
  <c r="BJ156" i="2" s="1"/>
  <c r="BE156" i="2"/>
  <c r="BH156" i="2" s="1"/>
  <c r="BD156" i="2"/>
  <c r="BC156" i="2"/>
  <c r="AK156" i="2"/>
  <c r="AP156" i="2" s="1"/>
  <c r="BI171" i="2"/>
  <c r="BF171" i="2"/>
  <c r="BJ171" i="2" s="1"/>
  <c r="BD171" i="2"/>
  <c r="BC171" i="2"/>
  <c r="BB171" i="2"/>
  <c r="BA171" i="2"/>
  <c r="BE171" i="2"/>
  <c r="BH171" i="2" s="1"/>
  <c r="AK171" i="2"/>
  <c r="AP171" i="2" s="1"/>
  <c r="CA179" i="2"/>
  <c r="CB179" i="2" s="1"/>
  <c r="AP179" i="2"/>
  <c r="BI183" i="2"/>
  <c r="BF183" i="2"/>
  <c r="BJ183" i="2" s="1"/>
  <c r="BE183" i="2"/>
  <c r="BH183" i="2" s="1"/>
  <c r="BD183" i="2"/>
  <c r="BC183" i="2"/>
  <c r="BB183" i="2"/>
  <c r="BA183" i="2"/>
  <c r="AK183" i="2"/>
  <c r="AP183" i="2" s="1"/>
  <c r="BI192" i="2"/>
  <c r="BB192" i="2"/>
  <c r="BA192" i="2"/>
  <c r="BF192" i="2"/>
  <c r="BJ192" i="2" s="1"/>
  <c r="BE192" i="2"/>
  <c r="BH192" i="2" s="1"/>
  <c r="BC192" i="2"/>
  <c r="BD192" i="2"/>
  <c r="BI201" i="2"/>
  <c r="BA201" i="2"/>
  <c r="BD201" i="2"/>
  <c r="BC201" i="2"/>
  <c r="BB201" i="2"/>
  <c r="AK201" i="2"/>
  <c r="AP201" i="2" s="1"/>
  <c r="BF201" i="2"/>
  <c r="BJ201" i="2" s="1"/>
  <c r="BE201" i="2"/>
  <c r="BH201" i="2" s="1"/>
  <c r="BI218" i="2"/>
  <c r="BC218" i="2"/>
  <c r="BF218" i="2"/>
  <c r="BJ218" i="2" s="1"/>
  <c r="BE218" i="2"/>
  <c r="BH218" i="2" s="1"/>
  <c r="BD218" i="2"/>
  <c r="BB218" i="2"/>
  <c r="BA218" i="2"/>
  <c r="BE235" i="2"/>
  <c r="BH235" i="2" s="1"/>
  <c r="BD235" i="2"/>
  <c r="BA235" i="2"/>
  <c r="BI235" i="2"/>
  <c r="BF235" i="2"/>
  <c r="BJ235" i="2" s="1"/>
  <c r="BC235" i="2"/>
  <c r="BB235" i="2"/>
  <c r="CA27" i="2"/>
  <c r="CB27" i="2" s="1"/>
  <c r="BB29" i="2"/>
  <c r="BX44" i="2"/>
  <c r="CA44" i="2" s="1"/>
  <c r="CB44" i="2" s="1"/>
  <c r="BW44" i="2"/>
  <c r="BY44" i="2" s="1"/>
  <c r="BX68" i="2"/>
  <c r="CA68" i="2" s="1"/>
  <c r="CB68" i="2" s="1"/>
  <c r="BX74" i="2"/>
  <c r="BW74" i="2"/>
  <c r="BW91" i="2"/>
  <c r="CA136" i="2"/>
  <c r="CB136" i="2" s="1"/>
  <c r="CA162" i="2"/>
  <c r="CB162" i="2" s="1"/>
  <c r="BX167" i="2"/>
  <c r="CA167" i="2" s="1"/>
  <c r="CB167" i="2" s="1"/>
  <c r="BF37" i="2"/>
  <c r="BJ37" i="2" s="1"/>
  <c r="BE37" i="2"/>
  <c r="BH37" i="2" s="1"/>
  <c r="BC37" i="2"/>
  <c r="BB37" i="2"/>
  <c r="BA37" i="2"/>
  <c r="BI37" i="2"/>
  <c r="BY54" i="2"/>
  <c r="BF80" i="2"/>
  <c r="BJ80" i="2" s="1"/>
  <c r="BE80" i="2"/>
  <c r="BH80" i="2" s="1"/>
  <c r="BI80" i="2"/>
  <c r="BD80" i="2"/>
  <c r="BC80" i="2"/>
  <c r="BB80" i="2"/>
  <c r="BA80" i="2"/>
  <c r="BF91" i="2"/>
  <c r="BJ91" i="2" s="1"/>
  <c r="BB91" i="2"/>
  <c r="BE91" i="2"/>
  <c r="BH91" i="2" s="1"/>
  <c r="AK91" i="2"/>
  <c r="AP91" i="2" s="1"/>
  <c r="BD91" i="2"/>
  <c r="BC91" i="2"/>
  <c r="BA91" i="2"/>
  <c r="BF125" i="2"/>
  <c r="BJ125" i="2" s="1"/>
  <c r="BE125" i="2"/>
  <c r="BH125" i="2" s="1"/>
  <c r="BI125" i="2"/>
  <c r="BD125" i="2"/>
  <c r="BC125" i="2"/>
  <c r="BB125" i="2"/>
  <c r="BA125" i="2"/>
  <c r="BI166" i="2"/>
  <c r="BF166" i="2"/>
  <c r="BJ166" i="2" s="1"/>
  <c r="BC166" i="2"/>
  <c r="BB166" i="2"/>
  <c r="BA166" i="2"/>
  <c r="BD166" i="2"/>
  <c r="AK166" i="2"/>
  <c r="AP166" i="2" s="1"/>
  <c r="CC179" i="2"/>
  <c r="CD179" i="2" s="1"/>
  <c r="BZ179" i="2"/>
  <c r="CE179" i="2" s="1"/>
  <c r="CF179" i="2" s="1"/>
  <c r="BA206" i="2"/>
  <c r="BI206" i="2"/>
  <c r="BF206" i="2"/>
  <c r="BJ206" i="2" s="1"/>
  <c r="BE206" i="2"/>
  <c r="BH206" i="2" s="1"/>
  <c r="BD206" i="2"/>
  <c r="BC206" i="2"/>
  <c r="BB206" i="2"/>
  <c r="AK206" i="2"/>
  <c r="AP206" i="2" s="1"/>
  <c r="BY226" i="2"/>
  <c r="BF230" i="2"/>
  <c r="BJ230" i="2" s="1"/>
  <c r="BE230" i="2"/>
  <c r="BH230" i="2" s="1"/>
  <c r="BD230" i="2"/>
  <c r="BC230" i="2"/>
  <c r="BA230" i="2"/>
  <c r="BI230" i="2"/>
  <c r="BB230" i="2"/>
  <c r="AK230" i="2"/>
  <c r="BY233" i="2"/>
  <c r="BC29" i="2"/>
  <c r="CA54" i="2"/>
  <c r="CB54" i="2" s="1"/>
  <c r="BA58" i="2"/>
  <c r="CA59" i="2"/>
  <c r="CB59" i="2" s="1"/>
  <c r="BC65" i="2"/>
  <c r="BF67" i="2"/>
  <c r="BJ67" i="2" s="1"/>
  <c r="BE67" i="2"/>
  <c r="BH67" i="2" s="1"/>
  <c r="BD67" i="2"/>
  <c r="BC67" i="2"/>
  <c r="BI67" i="2"/>
  <c r="BB67" i="2"/>
  <c r="BA67" i="2"/>
  <c r="BE27" i="2"/>
  <c r="BH27" i="2" s="1"/>
  <c r="BD27" i="2"/>
  <c r="BC27" i="2"/>
  <c r="BI27" i="2"/>
  <c r="BF27" i="2"/>
  <c r="BJ27" i="2" s="1"/>
  <c r="BE132" i="2"/>
  <c r="BH132" i="2" s="1"/>
  <c r="BD132" i="2"/>
  <c r="BC132" i="2"/>
  <c r="BB132" i="2"/>
  <c r="BA132" i="2"/>
  <c r="BF132" i="2"/>
  <c r="BJ132" i="2" s="1"/>
  <c r="BI132" i="2"/>
  <c r="AK132" i="2"/>
  <c r="AP132" i="2" s="1"/>
  <c r="BF154" i="2"/>
  <c r="BJ154" i="2" s="1"/>
  <c r="BE154" i="2"/>
  <c r="BH154" i="2" s="1"/>
  <c r="BD154" i="2"/>
  <c r="BC154" i="2"/>
  <c r="BB154" i="2"/>
  <c r="BI154" i="2"/>
  <c r="BA154" i="2"/>
  <c r="AK154" i="2"/>
  <c r="AP177" i="2"/>
  <c r="BI199" i="2"/>
  <c r="BF199" i="2"/>
  <c r="BJ199" i="2" s="1"/>
  <c r="BE199" i="2"/>
  <c r="BH199" i="2" s="1"/>
  <c r="BD199" i="2"/>
  <c r="BC199" i="2"/>
  <c r="BB199" i="2"/>
  <c r="BA199" i="2"/>
  <c r="BE29" i="2"/>
  <c r="BH29" i="2" s="1"/>
  <c r="BW30" i="2"/>
  <c r="CA39" i="2"/>
  <c r="CB39" i="2" s="1"/>
  <c r="CA51" i="2"/>
  <c r="CB51" i="2" s="1"/>
  <c r="BB58" i="2"/>
  <c r="CA168" i="2"/>
  <c r="CB168" i="2" s="1"/>
  <c r="AP46" i="2"/>
  <c r="BB33" i="2"/>
  <c r="BA33" i="2"/>
  <c r="BF33" i="2"/>
  <c r="BJ33" i="2" s="1"/>
  <c r="BE33" i="2"/>
  <c r="BH33" i="2" s="1"/>
  <c r="BI33" i="2"/>
  <c r="BD33" i="2"/>
  <c r="BB65" i="2"/>
  <c r="BA65" i="2"/>
  <c r="BI65" i="2"/>
  <c r="BF65" i="2"/>
  <c r="BJ65" i="2" s="1"/>
  <c r="BD96" i="2"/>
  <c r="BC96" i="2"/>
  <c r="BB96" i="2"/>
  <c r="BA96" i="2"/>
  <c r="AK96" i="2"/>
  <c r="BI96" i="2"/>
  <c r="BF96" i="2"/>
  <c r="BJ96" i="2" s="1"/>
  <c r="BE96" i="2"/>
  <c r="BH96" i="2" s="1"/>
  <c r="BD116" i="2"/>
  <c r="BC116" i="2"/>
  <c r="BB116" i="2"/>
  <c r="BA116" i="2"/>
  <c r="AK116" i="2"/>
  <c r="BY116" i="2" s="1"/>
  <c r="BI116" i="2"/>
  <c r="BI145" i="2"/>
  <c r="BF145" i="2"/>
  <c r="BJ145" i="2" s="1"/>
  <c r="BE145" i="2"/>
  <c r="BH145" i="2" s="1"/>
  <c r="BD145" i="2"/>
  <c r="BB145" i="2"/>
  <c r="BA145" i="2"/>
  <c r="BC145" i="2"/>
  <c r="BF161" i="2"/>
  <c r="BJ161" i="2" s="1"/>
  <c r="BE161" i="2"/>
  <c r="BH161" i="2" s="1"/>
  <c r="BD161" i="2"/>
  <c r="AK161" i="2"/>
  <c r="AP161" i="2" s="1"/>
  <c r="BI161" i="2"/>
  <c r="BC161" i="2"/>
  <c r="BB161" i="2"/>
  <c r="BA161" i="2"/>
  <c r="BI181" i="2"/>
  <c r="BF181" i="2"/>
  <c r="BJ181" i="2" s="1"/>
  <c r="BE181" i="2"/>
  <c r="BH181" i="2" s="1"/>
  <c r="BD181" i="2"/>
  <c r="BC181" i="2"/>
  <c r="BB181" i="2"/>
  <c r="AK181" i="2"/>
  <c r="AP181" i="2" s="1"/>
  <c r="BA181" i="2"/>
  <c r="CA33" i="2"/>
  <c r="CB33" i="2" s="1"/>
  <c r="BI58" i="2"/>
  <c r="BE65" i="2"/>
  <c r="BH65" i="2" s="1"/>
  <c r="CA72" i="2"/>
  <c r="CB72" i="2" s="1"/>
  <c r="BW94" i="2"/>
  <c r="BF116" i="2"/>
  <c r="BJ116" i="2" s="1"/>
  <c r="CA207" i="2"/>
  <c r="CB207" i="2" s="1"/>
  <c r="AP207" i="2"/>
  <c r="BB216" i="2"/>
  <c r="BA216" i="2"/>
  <c r="BF216" i="2"/>
  <c r="BJ216" i="2" s="1"/>
  <c r="BI216" i="2"/>
  <c r="BE216" i="2"/>
  <c r="BH216" i="2" s="1"/>
  <c r="BD216" i="2"/>
  <c r="BC216" i="2"/>
  <c r="AK216" i="2"/>
  <c r="AP216" i="2" s="1"/>
  <c r="BI228" i="2"/>
  <c r="BC228" i="2"/>
  <c r="BE228" i="2"/>
  <c r="BH228" i="2" s="1"/>
  <c r="BD228" i="2"/>
  <c r="BB228" i="2"/>
  <c r="BA228" i="2"/>
  <c r="BF228" i="2"/>
  <c r="BJ228" i="2" s="1"/>
  <c r="BW36" i="2"/>
  <c r="BY36" i="2" s="1"/>
  <c r="BX36" i="2"/>
  <c r="CA36" i="2" s="1"/>
  <c r="CB36" i="2" s="1"/>
  <c r="CA86" i="2"/>
  <c r="CB86" i="2" s="1"/>
  <c r="CA103" i="2"/>
  <c r="CB103" i="2" s="1"/>
  <c r="CA126" i="2"/>
  <c r="CB126" i="2" s="1"/>
  <c r="AP72" i="2"/>
  <c r="BI29" i="2"/>
  <c r="BD29" i="2"/>
  <c r="BA56" i="2"/>
  <c r="AK56" i="2"/>
  <c r="AP56" i="2" s="1"/>
  <c r="BF56" i="2"/>
  <c r="BJ56" i="2" s="1"/>
  <c r="BE56" i="2"/>
  <c r="BH56" i="2" s="1"/>
  <c r="BD56" i="2"/>
  <c r="BC56" i="2"/>
  <c r="BB76" i="2"/>
  <c r="AK76" i="2"/>
  <c r="BA76" i="2"/>
  <c r="BF76" i="2"/>
  <c r="BJ76" i="2" s="1"/>
  <c r="BE76" i="2"/>
  <c r="BH76" i="2" s="1"/>
  <c r="BD76" i="2"/>
  <c r="BC76" i="2"/>
  <c r="BB89" i="2"/>
  <c r="BA89" i="2"/>
  <c r="BD89" i="2"/>
  <c r="BC89" i="2"/>
  <c r="BF89" i="2"/>
  <c r="BJ89" i="2" s="1"/>
  <c r="BE89" i="2"/>
  <c r="BH89" i="2" s="1"/>
  <c r="BI89" i="2"/>
  <c r="BD105" i="2"/>
  <c r="BC105" i="2"/>
  <c r="BI105" i="2"/>
  <c r="BF105" i="2"/>
  <c r="BJ105" i="2" s="1"/>
  <c r="BE105" i="2"/>
  <c r="BH105" i="2" s="1"/>
  <c r="BB105" i="2"/>
  <c r="BA105" i="2"/>
  <c r="BD164" i="2"/>
  <c r="BC164" i="2"/>
  <c r="BB164" i="2"/>
  <c r="BA164" i="2"/>
  <c r="BI164" i="2"/>
  <c r="BF164" i="2"/>
  <c r="BJ164" i="2" s="1"/>
  <c r="BE164" i="2"/>
  <c r="BH164" i="2" s="1"/>
  <c r="AK164" i="2"/>
  <c r="AP164" i="2" s="1"/>
  <c r="BF169" i="2"/>
  <c r="BJ169" i="2" s="1"/>
  <c r="BE169" i="2"/>
  <c r="BH169" i="2" s="1"/>
  <c r="BD169" i="2"/>
  <c r="BC169" i="2"/>
  <c r="BI169" i="2"/>
  <c r="BB169" i="2"/>
  <c r="BA169" i="2"/>
  <c r="AK169" i="2"/>
  <c r="BC52" i="2"/>
  <c r="BB52" i="2"/>
  <c r="BA52" i="2"/>
  <c r="BE52" i="2"/>
  <c r="BH52" i="2" s="1"/>
  <c r="BI114" i="2"/>
  <c r="BD114" i="2"/>
  <c r="BA114" i="2"/>
  <c r="BE121" i="2"/>
  <c r="BH121" i="2" s="1"/>
  <c r="BD121" i="2"/>
  <c r="BC121" i="2"/>
  <c r="BB121" i="2"/>
  <c r="BA121" i="2"/>
  <c r="AK121" i="2"/>
  <c r="AP121" i="2" s="1"/>
  <c r="BI121" i="2"/>
  <c r="BF121" i="2"/>
  <c r="BJ121" i="2" s="1"/>
  <c r="BI152" i="2"/>
  <c r="AK152" i="2"/>
  <c r="AP152" i="2" s="1"/>
  <c r="BD152" i="2"/>
  <c r="CA175" i="2"/>
  <c r="CB175" i="2" s="1"/>
  <c r="AP175" i="2"/>
  <c r="BI209" i="2"/>
  <c r="BF209" i="2"/>
  <c r="BJ209" i="2" s="1"/>
  <c r="BE209" i="2"/>
  <c r="BH209" i="2" s="1"/>
  <c r="BD209" i="2"/>
  <c r="BC209" i="2"/>
  <c r="BB209" i="2"/>
  <c r="BA209" i="2"/>
  <c r="AK209" i="2"/>
  <c r="AP209" i="2" s="1"/>
  <c r="BB226" i="2"/>
  <c r="BA226" i="2"/>
  <c r="BD226" i="2"/>
  <c r="BI226" i="2"/>
  <c r="BF226" i="2"/>
  <c r="BJ226" i="2" s="1"/>
  <c r="BE226" i="2"/>
  <c r="BH226" i="2" s="1"/>
  <c r="AK226" i="2"/>
  <c r="AP226" i="2" s="1"/>
  <c r="BC226" i="2"/>
  <c r="CA61" i="2"/>
  <c r="CB61" i="2" s="1"/>
  <c r="BW63" i="2"/>
  <c r="CA163" i="2"/>
  <c r="CB163" i="2" s="1"/>
  <c r="BI87" i="2"/>
  <c r="BB87" i="2"/>
  <c r="BF87" i="2"/>
  <c r="BJ87" i="2" s="1"/>
  <c r="BE87" i="2"/>
  <c r="BH87" i="2" s="1"/>
  <c r="BD87" i="2"/>
  <c r="BC87" i="2"/>
  <c r="BA87" i="2"/>
  <c r="BI107" i="2"/>
  <c r="BF107" i="2"/>
  <c r="BJ107" i="2" s="1"/>
  <c r="BC107" i="2"/>
  <c r="BB107" i="2"/>
  <c r="BE107" i="2"/>
  <c r="BH107" i="2" s="1"/>
  <c r="BD107" i="2"/>
  <c r="BA107" i="2"/>
  <c r="AP142" i="2"/>
  <c r="CA220" i="2"/>
  <c r="CB220" i="2" s="1"/>
  <c r="AP220" i="2"/>
  <c r="AP233" i="2"/>
  <c r="CA177" i="2"/>
  <c r="CB177" i="2" s="1"/>
  <c r="CA216" i="2"/>
  <c r="CB216" i="2" s="1"/>
  <c r="BF77" i="2"/>
  <c r="BJ77" i="2" s="1"/>
  <c r="BE77" i="2"/>
  <c r="BH77" i="2" s="1"/>
  <c r="BD77" i="2"/>
  <c r="BC77" i="2"/>
  <c r="BB77" i="2"/>
  <c r="BA77" i="2"/>
  <c r="BF102" i="2"/>
  <c r="BJ102" i="2" s="1"/>
  <c r="BB102" i="2"/>
  <c r="BD102" i="2"/>
  <c r="BC102" i="2"/>
  <c r="BA102" i="2"/>
  <c r="BI102" i="2"/>
  <c r="BW235" i="2"/>
  <c r="BY235" i="2" s="1"/>
  <c r="BF220" i="2"/>
  <c r="BJ220" i="2" s="1"/>
  <c r="BE220" i="2"/>
  <c r="BH220" i="2" s="1"/>
  <c r="BD220" i="2"/>
  <c r="BC220" i="2"/>
  <c r="BA220" i="2"/>
  <c r="BI220" i="2"/>
  <c r="BB220" i="2"/>
  <c r="BD233" i="2"/>
  <c r="BC233" i="2"/>
  <c r="BB233" i="2"/>
  <c r="BA233" i="2"/>
  <c r="BF233" i="2"/>
  <c r="BJ233" i="2" s="1"/>
  <c r="BE233" i="2"/>
  <c r="BH233" i="2" s="1"/>
  <c r="BI233" i="2"/>
  <c r="BX35" i="2"/>
  <c r="CA35" i="2" s="1"/>
  <c r="CB35" i="2" s="1"/>
  <c r="BW35" i="2"/>
  <c r="BY35" i="2" s="1"/>
  <c r="BI77" i="2"/>
  <c r="CA122" i="2"/>
  <c r="CB122" i="2" s="1"/>
  <c r="BW125" i="2"/>
  <c r="BY125" i="2" s="1"/>
  <c r="BX149" i="2"/>
  <c r="CA149" i="2" s="1"/>
  <c r="CB149" i="2" s="1"/>
  <c r="BW149" i="2"/>
  <c r="BY149" i="2" s="1"/>
  <c r="BX235" i="2"/>
  <c r="CA235" i="2" s="1"/>
  <c r="CB235" i="2" s="1"/>
  <c r="BI41" i="2"/>
  <c r="BI104" i="2"/>
  <c r="BF104" i="2"/>
  <c r="BJ104" i="2" s="1"/>
  <c r="BE104" i="2"/>
  <c r="BH104" i="2" s="1"/>
  <c r="BD104" i="2"/>
  <c r="BC104" i="2"/>
  <c r="BB104" i="2"/>
  <c r="BA104" i="2"/>
  <c r="AK104" i="2"/>
  <c r="AP104" i="2" s="1"/>
  <c r="BF113" i="2"/>
  <c r="BJ113" i="2" s="1"/>
  <c r="BE113" i="2"/>
  <c r="BH113" i="2" s="1"/>
  <c r="BD113" i="2"/>
  <c r="BC113" i="2"/>
  <c r="BB113" i="2"/>
  <c r="BD122" i="2"/>
  <c r="BC122" i="2"/>
  <c r="BB122" i="2"/>
  <c r="BA122" i="2"/>
  <c r="BF122" i="2"/>
  <c r="BJ122" i="2" s="1"/>
  <c r="BE122" i="2"/>
  <c r="BH122" i="2" s="1"/>
  <c r="BY128" i="2"/>
  <c r="BY137" i="2"/>
  <c r="BY158" i="2"/>
  <c r="BF207" i="2"/>
  <c r="BJ207" i="2" s="1"/>
  <c r="BE207" i="2"/>
  <c r="BH207" i="2" s="1"/>
  <c r="BC207" i="2"/>
  <c r="BA207" i="2"/>
  <c r="BD207" i="2"/>
  <c r="BB207" i="2"/>
  <c r="BI207" i="2"/>
  <c r="BY210" i="2"/>
  <c r="BD41" i="2"/>
  <c r="BX45" i="2"/>
  <c r="BW45" i="2"/>
  <c r="BX153" i="2"/>
  <c r="CA153" i="2" s="1"/>
  <c r="CB153" i="2" s="1"/>
  <c r="BW153" i="2"/>
  <c r="BY153" i="2" s="1"/>
  <c r="BI51" i="2"/>
  <c r="BI72" i="2"/>
  <c r="BF72" i="2"/>
  <c r="BJ72" i="2" s="1"/>
  <c r="BE72" i="2"/>
  <c r="BH72" i="2" s="1"/>
  <c r="BB72" i="2"/>
  <c r="BA72" i="2"/>
  <c r="BF144" i="2"/>
  <c r="BJ144" i="2" s="1"/>
  <c r="BE144" i="2"/>
  <c r="BH144" i="2" s="1"/>
  <c r="BD144" i="2"/>
  <c r="BB144" i="2"/>
  <c r="BC144" i="2"/>
  <c r="BA144" i="2"/>
  <c r="BI144" i="2"/>
  <c r="BC175" i="2"/>
  <c r="BB175" i="2"/>
  <c r="BI175" i="2"/>
  <c r="BF175" i="2"/>
  <c r="BJ175" i="2" s="1"/>
  <c r="BE175" i="2"/>
  <c r="BH175" i="2" s="1"/>
  <c r="BD175" i="2"/>
  <c r="BA175" i="2"/>
  <c r="BF179" i="2"/>
  <c r="BJ179" i="2" s="1"/>
  <c r="BE179" i="2"/>
  <c r="BH179" i="2" s="1"/>
  <c r="BD179" i="2"/>
  <c r="BB179" i="2"/>
  <c r="BI179" i="2"/>
  <c r="BC179" i="2"/>
  <c r="BA179" i="2"/>
  <c r="BX24" i="2"/>
  <c r="CA24" i="2" s="1"/>
  <c r="CB24" i="2" s="1"/>
  <c r="BW24" i="2"/>
  <c r="BY24" i="2" s="1"/>
  <c r="BE41" i="2"/>
  <c r="BH41" i="2" s="1"/>
  <c r="CA55" i="2"/>
  <c r="CB55" i="2" s="1"/>
  <c r="BW71" i="2"/>
  <c r="BY71" i="2" s="1"/>
  <c r="BB97" i="2"/>
  <c r="CA115" i="2"/>
  <c r="CB115" i="2" s="1"/>
  <c r="BX156" i="2"/>
  <c r="BW156" i="2"/>
  <c r="BI167" i="2"/>
  <c r="BB167" i="2"/>
  <c r="BA167" i="2"/>
  <c r="BF167" i="2"/>
  <c r="BJ167" i="2" s="1"/>
  <c r="BE167" i="2"/>
  <c r="BH167" i="2" s="1"/>
  <c r="BD167" i="2"/>
  <c r="BC167" i="2"/>
  <c r="BI31" i="2"/>
  <c r="BD31" i="2"/>
  <c r="BF46" i="2"/>
  <c r="BJ46" i="2" s="1"/>
  <c r="BD46" i="2"/>
  <c r="BC46" i="2"/>
  <c r="BI177" i="2"/>
  <c r="BE177" i="2"/>
  <c r="BH177" i="2" s="1"/>
  <c r="BD177" i="2"/>
  <c r="BC177" i="2"/>
  <c r="BB177" i="2"/>
  <c r="BA177" i="2"/>
  <c r="BF177" i="2"/>
  <c r="BJ177" i="2" s="1"/>
  <c r="BY208" i="2"/>
  <c r="BW32" i="2"/>
  <c r="BY32" i="2" s="1"/>
  <c r="BF41" i="2"/>
  <c r="BJ41" i="2" s="1"/>
  <c r="BW75" i="2"/>
  <c r="BW78" i="2"/>
  <c r="BY78" i="2" s="1"/>
  <c r="BX120" i="2"/>
  <c r="CA120" i="2" s="1"/>
  <c r="CB120" i="2" s="1"/>
  <c r="BW120" i="2"/>
  <c r="BY120" i="2" s="1"/>
  <c r="CA174" i="2"/>
  <c r="CB174" i="2" s="1"/>
  <c r="BY197" i="2"/>
  <c r="CA67" i="2"/>
  <c r="CB67" i="2" s="1"/>
  <c r="BI97" i="2"/>
  <c r="BA97" i="2"/>
  <c r="BD97" i="2"/>
  <c r="AK97" i="2"/>
  <c r="AP97" i="2" s="1"/>
  <c r="BC193" i="2"/>
  <c r="BB193" i="2"/>
  <c r="BA193" i="2"/>
  <c r="BF193" i="2"/>
  <c r="BJ193" i="2" s="1"/>
  <c r="BE193" i="2"/>
  <c r="BH193" i="2" s="1"/>
  <c r="BD193" i="2"/>
  <c r="BI193" i="2"/>
  <c r="BF197" i="2"/>
  <c r="BJ197" i="2" s="1"/>
  <c r="BE197" i="2"/>
  <c r="BH197" i="2" s="1"/>
  <c r="BC197" i="2"/>
  <c r="BI197" i="2"/>
  <c r="BD197" i="2"/>
  <c r="BA197" i="2"/>
  <c r="AK197" i="2"/>
  <c r="BI212" i="2"/>
  <c r="BB212" i="2"/>
  <c r="BA212" i="2"/>
  <c r="BF212" i="2"/>
  <c r="BJ212" i="2" s="1"/>
  <c r="BE212" i="2"/>
  <c r="BH212" i="2" s="1"/>
  <c r="BD212" i="2"/>
  <c r="BC212" i="2"/>
  <c r="BF227" i="2"/>
  <c r="BJ227" i="2" s="1"/>
  <c r="BE227" i="2"/>
  <c r="BH227" i="2" s="1"/>
  <c r="BC227" i="2"/>
  <c r="BI227" i="2"/>
  <c r="BD227" i="2"/>
  <c r="BB227" i="2"/>
  <c r="BA227" i="2"/>
  <c r="BW27" i="2"/>
  <c r="BY27" i="2" s="1"/>
  <c r="BW28" i="2"/>
  <c r="BW31" i="2"/>
  <c r="BY31" i="2" s="1"/>
  <c r="CA34" i="2"/>
  <c r="CB34" i="2" s="1"/>
  <c r="CA85" i="2"/>
  <c r="CB85" i="2" s="1"/>
  <c r="BE97" i="2"/>
  <c r="BH97" i="2" s="1"/>
  <c r="CA165" i="2"/>
  <c r="CB165" i="2" s="1"/>
  <c r="BD147" i="2"/>
  <c r="BC147" i="2"/>
  <c r="BB147" i="2"/>
  <c r="BA147" i="2"/>
  <c r="BW39" i="2"/>
  <c r="BY39" i="2" s="1"/>
  <c r="BI147" i="2"/>
  <c r="CA158" i="2"/>
  <c r="CB158" i="2" s="1"/>
  <c r="CA164" i="2"/>
  <c r="CB164" i="2" s="1"/>
  <c r="BI222" i="2"/>
  <c r="BF222" i="2"/>
  <c r="BJ222" i="2" s="1"/>
  <c r="BE222" i="2"/>
  <c r="BH222" i="2" s="1"/>
  <c r="BD222" i="2"/>
  <c r="BC222" i="2"/>
  <c r="BB222" i="2"/>
  <c r="BA222" i="2"/>
  <c r="BX57" i="2"/>
  <c r="CA57" i="2" s="1"/>
  <c r="CB57" i="2" s="1"/>
  <c r="BW57" i="2"/>
  <c r="BY57" i="2" s="1"/>
  <c r="CA128" i="2"/>
  <c r="CB128" i="2" s="1"/>
  <c r="BW138" i="2"/>
  <c r="BY138" i="2" s="1"/>
  <c r="BX236" i="2"/>
  <c r="CA236" i="2" s="1"/>
  <c r="CB236" i="2" s="1"/>
  <c r="BW236" i="2"/>
  <c r="BY236" i="2" s="1"/>
  <c r="BI191" i="2"/>
  <c r="BC191" i="2"/>
  <c r="BB191" i="2"/>
  <c r="BA191" i="2"/>
  <c r="BF191" i="2"/>
  <c r="BJ191" i="2" s="1"/>
  <c r="BE191" i="2"/>
  <c r="BH191" i="2" s="1"/>
  <c r="BD191" i="2"/>
  <c r="AK191" i="2"/>
  <c r="AP191" i="2" s="1"/>
  <c r="BI198" i="2"/>
  <c r="BC198" i="2"/>
  <c r="BA198" i="2"/>
  <c r="BF198" i="2"/>
  <c r="BJ198" i="2" s="1"/>
  <c r="BE198" i="2"/>
  <c r="BH198" i="2" s="1"/>
  <c r="BD198" i="2"/>
  <c r="BB198" i="2"/>
  <c r="CA81" i="2"/>
  <c r="CB81" i="2" s="1"/>
  <c r="BW88" i="2"/>
  <c r="BY88" i="2" s="1"/>
  <c r="BI142" i="2"/>
  <c r="BA142" i="2"/>
  <c r="BF142" i="2"/>
  <c r="BJ142" i="2" s="1"/>
  <c r="BE142" i="2"/>
  <c r="BH142" i="2" s="1"/>
  <c r="BD142" i="2"/>
  <c r="BC142" i="2"/>
  <c r="BF237" i="2"/>
  <c r="BJ237" i="2" s="1"/>
  <c r="BE237" i="2"/>
  <c r="BH237" i="2" s="1"/>
  <c r="BC237" i="2"/>
  <c r="BI237" i="2"/>
  <c r="BD237" i="2"/>
  <c r="BB237" i="2"/>
  <c r="BA237" i="2"/>
  <c r="BW25" i="2"/>
  <c r="BW52" i="2"/>
  <c r="BY52" i="2" s="1"/>
  <c r="BW81" i="2"/>
  <c r="CA105" i="2"/>
  <c r="BI128" i="2"/>
  <c r="BB128" i="2"/>
  <c r="BB135" i="2"/>
  <c r="BA135" i="2"/>
  <c r="BI135" i="2"/>
  <c r="BE135" i="2"/>
  <c r="BH135" i="2" s="1"/>
  <c r="BD135" i="2"/>
  <c r="BC135" i="2"/>
  <c r="BX46" i="2"/>
  <c r="CA46" i="2" s="1"/>
  <c r="CB46" i="2" s="1"/>
  <c r="BW46" i="2"/>
  <c r="BY46" i="2" s="1"/>
  <c r="CA192" i="2"/>
  <c r="CB192" i="2" s="1"/>
  <c r="BX101" i="2"/>
  <c r="CA101" i="2" s="1"/>
  <c r="CB101" i="2" s="1"/>
  <c r="BW101" i="2"/>
  <c r="BY101" i="2" s="1"/>
  <c r="CA108" i="2"/>
  <c r="CB108" i="2" s="1"/>
  <c r="BX181" i="2"/>
  <c r="BW181" i="2"/>
  <c r="CA193" i="2"/>
  <c r="CB193" i="2" s="1"/>
  <c r="CA134" i="2"/>
  <c r="CB134" i="2" s="1"/>
  <c r="BX100" i="2"/>
  <c r="CA100" i="2" s="1"/>
  <c r="CB100" i="2" s="1"/>
  <c r="BW100" i="2"/>
  <c r="BY100" i="2" s="1"/>
  <c r="CA127" i="2"/>
  <c r="CB127" i="2" s="1"/>
  <c r="BX143" i="2"/>
  <c r="CA143" i="2" s="1"/>
  <c r="CB143" i="2" s="1"/>
  <c r="BW143" i="2"/>
  <c r="BY143" i="2" s="1"/>
  <c r="CA161" i="2"/>
  <c r="CB161" i="2" s="1"/>
  <c r="BW76" i="2"/>
  <c r="BY76" i="2" s="1"/>
  <c r="CA89" i="2"/>
  <c r="CB89" i="2" s="1"/>
  <c r="CA159" i="2"/>
  <c r="CB159" i="2" s="1"/>
  <c r="CA178" i="2"/>
  <c r="CB178" i="2" s="1"/>
  <c r="BX37" i="2"/>
  <c r="CA37" i="2" s="1"/>
  <c r="CB37" i="2" s="1"/>
  <c r="BW37" i="2"/>
  <c r="BY37" i="2" s="1"/>
  <c r="BW65" i="2"/>
  <c r="BY65" i="2" s="1"/>
  <c r="BW89" i="2"/>
  <c r="BY89" i="2" s="1"/>
  <c r="CA107" i="2"/>
  <c r="CB107" i="2" s="1"/>
  <c r="BW117" i="2"/>
  <c r="BY117" i="2" s="1"/>
  <c r="CA147" i="2"/>
  <c r="CB147" i="2" s="1"/>
  <c r="BW107" i="2"/>
  <c r="BY107" i="2" s="1"/>
  <c r="BX130" i="2"/>
  <c r="BW130" i="2"/>
  <c r="CA166" i="2"/>
  <c r="CB166" i="2" s="1"/>
  <c r="BW195" i="2"/>
  <c r="CA213" i="2"/>
  <c r="CB213" i="2" s="1"/>
  <c r="BW174" i="2"/>
  <c r="BY174" i="2" s="1"/>
  <c r="CA176" i="2"/>
  <c r="CB176" i="2" s="1"/>
  <c r="CA232" i="2"/>
  <c r="CB232" i="2" s="1"/>
  <c r="CA218" i="2"/>
  <c r="CB218" i="2" s="1"/>
  <c r="CA208" i="2"/>
  <c r="CB208" i="2" s="1"/>
  <c r="CA212" i="2"/>
  <c r="CB212" i="2" s="1"/>
  <c r="BX145" i="2"/>
  <c r="CA145" i="2" s="1"/>
  <c r="CB145" i="2" s="1"/>
  <c r="BW145" i="2"/>
  <c r="BY145" i="2" s="1"/>
  <c r="BW67" i="2"/>
  <c r="BY67" i="2" s="1"/>
  <c r="BX90" i="2"/>
  <c r="BW90" i="2"/>
  <c r="BX129" i="2"/>
  <c r="BW129" i="2"/>
  <c r="CA157" i="2"/>
  <c r="CB157" i="2" s="1"/>
  <c r="CA113" i="2"/>
  <c r="CB113" i="2" s="1"/>
  <c r="BX118" i="2"/>
  <c r="CA118" i="2" s="1"/>
  <c r="CB118" i="2" s="1"/>
  <c r="BW118" i="2"/>
  <c r="BY118" i="2" s="1"/>
  <c r="CA140" i="2"/>
  <c r="CB140" i="2" s="1"/>
  <c r="CA198" i="2"/>
  <c r="CB198" i="2" s="1"/>
  <c r="BW155" i="2"/>
  <c r="BY155" i="2" s="1"/>
  <c r="CA211" i="2"/>
  <c r="CB211" i="2" s="1"/>
  <c r="BX110" i="2"/>
  <c r="BW110" i="2"/>
  <c r="BY110" i="2" s="1"/>
  <c r="BW150" i="2"/>
  <c r="BY150" i="2" s="1"/>
  <c r="BW152" i="2"/>
  <c r="CA155" i="2"/>
  <c r="CB155" i="2" s="1"/>
  <c r="CA221" i="2"/>
  <c r="CB221" i="2" s="1"/>
  <c r="BX201" i="2"/>
  <c r="CA201" i="2" s="1"/>
  <c r="CB201" i="2" s="1"/>
  <c r="BW201" i="2"/>
  <c r="BY201" i="2" s="1"/>
  <c r="CA204" i="2"/>
  <c r="CB204" i="2" s="1"/>
  <c r="CA137" i="2"/>
  <c r="CB137" i="2" s="1"/>
  <c r="BX148" i="2"/>
  <c r="CA148" i="2" s="1"/>
  <c r="CB148" i="2" s="1"/>
  <c r="BW148" i="2"/>
  <c r="BY148" i="2" s="1"/>
  <c r="BW165" i="2"/>
  <c r="BY165" i="2" s="1"/>
  <c r="BW124" i="2"/>
  <c r="BW135" i="2"/>
  <c r="BY135" i="2" s="1"/>
  <c r="BW175" i="2"/>
  <c r="BY175" i="2" s="1"/>
  <c r="BW182" i="2"/>
  <c r="BY182" i="2" s="1"/>
  <c r="CA184" i="2"/>
  <c r="CB184" i="2" s="1"/>
  <c r="CA199" i="2"/>
  <c r="CB199" i="2" s="1"/>
  <c r="BW222" i="2"/>
  <c r="BY222" i="2" s="1"/>
  <c r="CA182" i="2"/>
  <c r="CB182" i="2" s="1"/>
  <c r="BW184" i="2"/>
  <c r="BY184" i="2" s="1"/>
  <c r="CA186" i="2"/>
  <c r="CB186" i="2" s="1"/>
  <c r="BW199" i="2"/>
  <c r="BY199" i="2" s="1"/>
  <c r="BX222" i="2"/>
  <c r="CA222" i="2" s="1"/>
  <c r="CB222" i="2" s="1"/>
  <c r="CA188" i="2"/>
  <c r="CB188" i="2" s="1"/>
  <c r="CA190" i="2"/>
  <c r="CB190" i="2" s="1"/>
  <c r="CA231" i="2"/>
  <c r="CB231" i="2" s="1"/>
  <c r="BW140" i="2"/>
  <c r="BY140" i="2" s="1"/>
  <c r="CA229" i="2"/>
  <c r="CB229" i="2" s="1"/>
  <c r="BW231" i="2"/>
  <c r="BY231" i="2" s="1"/>
  <c r="BW196" i="2"/>
  <c r="BX219" i="2"/>
  <c r="CA219" i="2" s="1"/>
  <c r="CB219" i="2" s="1"/>
  <c r="BW219" i="2"/>
  <c r="BY219" i="2" s="1"/>
  <c r="BW83" i="2"/>
  <c r="BW103" i="2"/>
  <c r="BY103" i="2" s="1"/>
  <c r="BW113" i="2"/>
  <c r="BY113" i="2" s="1"/>
  <c r="BW133" i="2"/>
  <c r="BW177" i="2"/>
  <c r="BY177" i="2" s="1"/>
  <c r="BW221" i="2"/>
  <c r="BY221" i="2" s="1"/>
  <c r="BW194" i="2"/>
  <c r="BW209" i="2"/>
  <c r="BY209" i="2" s="1"/>
  <c r="BW160" i="2"/>
  <c r="BX194" i="2"/>
  <c r="BX209" i="2"/>
  <c r="CA209" i="2" s="1"/>
  <c r="CB209" i="2" s="1"/>
  <c r="BW144" i="2"/>
  <c r="BY144" i="2" s="1"/>
  <c r="BW154" i="2"/>
  <c r="BW225" i="2"/>
  <c r="BY225" i="2" s="1"/>
  <c r="BW206" i="2"/>
  <c r="BX225" i="2"/>
  <c r="CA225" i="2" s="1"/>
  <c r="CB225" i="2" s="1"/>
  <c r="BW159" i="2"/>
  <c r="BW169" i="2"/>
  <c r="BW172" i="2"/>
  <c r="BY172" i="2" s="1"/>
  <c r="BW198" i="2"/>
  <c r="BY198" i="2" s="1"/>
  <c r="BW205" i="2"/>
  <c r="BY205" i="2" s="1"/>
  <c r="BW218" i="2"/>
  <c r="BY218" i="2" s="1"/>
  <c r="BX205" i="2"/>
  <c r="CA205" i="2" s="1"/>
  <c r="CB205" i="2" s="1"/>
  <c r="BW212" i="2"/>
  <c r="BY212" i="2" s="1"/>
  <c r="CA228" i="2"/>
  <c r="CB228" i="2" s="1"/>
  <c r="CA183" i="2"/>
  <c r="CB183" i="2" s="1"/>
  <c r="BW204" i="2"/>
  <c r="BY204" i="2" s="1"/>
  <c r="BW228" i="2"/>
  <c r="BY228" i="2" s="1"/>
  <c r="CA233" i="2"/>
  <c r="CB233" i="2" s="1"/>
  <c r="BW214" i="2"/>
  <c r="BX214" i="2"/>
  <c r="BW229" i="2"/>
  <c r="BY229" i="2" s="1"/>
  <c r="BW188" i="2"/>
  <c r="BW224" i="2"/>
  <c r="BW215" i="2"/>
  <c r="BY215" i="2" s="1"/>
  <c r="BX224" i="2"/>
  <c r="BW234" i="2"/>
  <c r="U14" i="2"/>
  <c r="AK23" i="2"/>
  <c r="AP23" i="2" s="1"/>
  <c r="BE23" i="2"/>
  <c r="BF23" i="2"/>
  <c r="BA23" i="2"/>
  <c r="BB23" i="2"/>
  <c r="BC23" i="2"/>
  <c r="BD23" i="2"/>
  <c r="AJ23" i="2"/>
  <c r="BO158" i="2" a="1"/>
  <c r="BP158" i="2" a="1"/>
  <c r="BO99" i="2" a="1"/>
  <c r="BP99" i="2" a="1"/>
  <c r="BO148" i="2" a="1"/>
  <c r="BP148" i="2" a="1"/>
  <c r="BP62" i="2" a="1"/>
  <c r="BO62" i="2" a="1"/>
  <c r="BP50" i="2" a="1"/>
  <c r="BO50" i="2" a="1"/>
  <c r="BP235" i="2" a="1"/>
  <c r="BO235" i="2" a="1"/>
  <c r="BO233" i="2" a="1"/>
  <c r="BP233" i="2" a="1"/>
  <c r="BO142" i="2" a="1"/>
  <c r="BP142" i="2" a="1"/>
  <c r="BO135" i="2" a="1"/>
  <c r="BP135" i="2" a="1"/>
  <c r="BP187" i="2" a="1"/>
  <c r="BO187" i="2" a="1"/>
  <c r="BO198" i="2" a="1"/>
  <c r="BP198" i="2" a="1"/>
  <c r="BO156" i="2" a="1"/>
  <c r="BP156" i="2" a="1"/>
  <c r="BO209" i="2" a="1"/>
  <c r="BP209" i="2" a="1"/>
  <c r="BP188" i="2" a="1"/>
  <c r="BO188" i="2" a="1"/>
  <c r="BP87" i="2" a="1"/>
  <c r="BO87" i="2" a="1"/>
  <c r="BP177" i="2" a="1"/>
  <c r="BO177" i="2" a="1"/>
  <c r="BP98" i="2" a="1"/>
  <c r="BO98" i="2" a="1"/>
  <c r="BO211" i="2" a="1"/>
  <c r="BP211" i="2" a="1"/>
  <c r="BO170" i="2" a="1"/>
  <c r="BP170" i="2" a="1"/>
  <c r="BP218" i="2" a="1"/>
  <c r="BO218" i="2" a="1"/>
  <c r="BP136" i="2" a="1"/>
  <c r="BO136" i="2" a="1"/>
  <c r="BO194" i="2" a="1"/>
  <c r="BP194" i="2" a="1"/>
  <c r="BO193" i="2" a="1"/>
  <c r="BP193" i="2" a="1"/>
  <c r="BP167" i="2" a="1"/>
  <c r="BO167" i="2" a="1"/>
  <c r="BP118" i="2" a="1"/>
  <c r="BO118" i="2" a="1"/>
  <c r="BO101" i="2" a="1"/>
  <c r="BP101" i="2" a="1"/>
  <c r="BO106" i="2" a="1"/>
  <c r="BP106" i="2" a="1"/>
  <c r="BP73" i="2" a="1"/>
  <c r="BO73" i="2" a="1"/>
  <c r="BP149" i="2" a="1"/>
  <c r="BO149" i="2" a="1"/>
  <c r="BO186" i="2" a="1"/>
  <c r="BP186" i="2" a="1"/>
  <c r="BP32" i="2" a="1"/>
  <c r="BO32" i="2" a="1"/>
  <c r="BP131" i="2" a="1"/>
  <c r="BO131" i="2" a="1"/>
  <c r="BO37" i="2" a="1"/>
  <c r="BP37" i="2" a="1"/>
  <c r="BP145" i="2" a="1"/>
  <c r="BO145" i="2" a="1"/>
  <c r="BO105" i="2" a="1"/>
  <c r="BP105" i="2" a="1"/>
  <c r="BP107" i="2" a="1"/>
  <c r="BO107" i="2" a="1"/>
  <c r="BO41" i="2" a="1"/>
  <c r="BP41" i="2" a="1"/>
  <c r="BP42" i="2" a="1"/>
  <c r="BO42" i="2" a="1"/>
  <c r="BO164" i="2" a="1"/>
  <c r="BP164" i="2" a="1"/>
  <c r="BP138" i="2" a="1"/>
  <c r="BO138" i="2" a="1"/>
  <c r="BO133" i="2" a="1"/>
  <c r="BP133" i="2" a="1"/>
  <c r="BO221" i="2" a="1"/>
  <c r="BP221" i="2" a="1"/>
  <c r="BO153" i="2" a="1"/>
  <c r="BP153" i="2" a="1"/>
  <c r="BO137" i="2" a="1"/>
  <c r="BP137" i="2" a="1"/>
  <c r="BO103" i="2" a="1"/>
  <c r="BP103" i="2" a="1"/>
  <c r="BP93" i="2" a="1"/>
  <c r="BO93" i="2" a="1"/>
  <c r="BO196" i="2" a="1"/>
  <c r="BP196" i="2" a="1"/>
  <c r="BO219" i="2" a="1"/>
  <c r="BP219" i="2" a="1"/>
  <c r="BO100" i="2" a="1"/>
  <c r="BP100" i="2" a="1"/>
  <c r="BP157" i="2" a="1"/>
  <c r="BO157" i="2" a="1"/>
  <c r="BP38" i="2" a="1"/>
  <c r="BO38" i="2" a="1"/>
  <c r="BO34" i="2" a="1"/>
  <c r="BP34" i="2" a="1"/>
  <c r="BO216" i="2" a="1"/>
  <c r="BP216" i="2" a="1"/>
  <c r="BO114" i="2" a="1"/>
  <c r="BP114" i="2" a="1"/>
  <c r="BO56" i="2" a="1"/>
  <c r="BP56" i="2" a="1"/>
  <c r="BO236" i="2" a="1"/>
  <c r="BP236" i="2" a="1"/>
  <c r="BO190" i="2" a="1"/>
  <c r="BP190" i="2" a="1"/>
  <c r="BP165" i="2" a="1"/>
  <c r="BO165" i="2" a="1"/>
  <c r="BP78" i="2" a="1"/>
  <c r="BO78" i="2" a="1"/>
  <c r="BP43" i="2" a="1"/>
  <c r="BO43" i="2" a="1"/>
  <c r="BO86" i="2" a="1"/>
  <c r="BP86" i="2" a="1"/>
  <c r="BO150" i="2" a="1"/>
  <c r="BP150" i="2" a="1"/>
  <c r="BO171" i="2" a="1"/>
  <c r="BP171" i="2" a="1"/>
  <c r="BP230" i="2" a="1"/>
  <c r="BO230" i="2" a="1"/>
  <c r="BO67" i="2" a="1"/>
  <c r="BP67" i="2" a="1"/>
  <c r="BO96" i="2" a="1"/>
  <c r="BP96" i="2" a="1"/>
  <c r="BO76" i="2" a="1"/>
  <c r="BP76" i="2" a="1"/>
  <c r="BP52" i="2" a="1"/>
  <c r="BO52" i="2" a="1"/>
  <c r="BO102" i="2" a="1"/>
  <c r="BP102" i="2" a="1"/>
  <c r="BO227" i="2" a="1"/>
  <c r="BP227" i="2" a="1"/>
  <c r="BO191" i="2" a="1"/>
  <c r="BP191" i="2" a="1"/>
  <c r="BO40" i="2" a="1"/>
  <c r="BP40" i="2" a="1"/>
  <c r="BP200" i="2" a="1"/>
  <c r="BO200" i="2" a="1"/>
  <c r="BO176" i="2" a="1"/>
  <c r="BP176" i="2" a="1"/>
  <c r="BO201" i="2" a="1"/>
  <c r="BP201" i="2" a="1"/>
  <c r="BO124" i="2" a="1"/>
  <c r="BP124" i="2" a="1"/>
  <c r="BO182" i="2" a="1"/>
  <c r="BP182" i="2" a="1"/>
  <c r="BO161" i="2" a="1"/>
  <c r="BP161" i="2" a="1"/>
  <c r="BO80" i="2" a="1"/>
  <c r="BP80" i="2" a="1"/>
  <c r="BP28" i="2" a="1"/>
  <c r="BO28" i="2" a="1"/>
  <c r="BO141" i="2" a="1"/>
  <c r="BP141" i="2" a="1"/>
  <c r="BO228" i="2" a="1"/>
  <c r="BP228" i="2" a="1"/>
  <c r="BP83" i="2" a="1"/>
  <c r="BO83" i="2" a="1"/>
  <c r="BP65" i="2" a="1"/>
  <c r="BO65" i="2" a="1"/>
  <c r="BO60" i="2" a="1"/>
  <c r="BP60" i="2" a="1"/>
  <c r="BO94" i="2" a="1"/>
  <c r="BP94" i="2" a="1"/>
  <c r="BP155" i="2" a="1"/>
  <c r="BO155" i="2" a="1"/>
  <c r="BO92" i="2" a="1"/>
  <c r="BP92" i="2" a="1"/>
  <c r="BO63" i="2" a="1"/>
  <c r="BP63" i="2" a="1"/>
  <c r="BP111" i="2" a="1"/>
  <c r="BO111" i="2" a="1"/>
  <c r="BO31" i="2" a="1"/>
  <c r="BP31" i="2" a="1"/>
  <c r="BO54" i="2" a="1"/>
  <c r="BP54" i="2" a="1"/>
  <c r="BO85" i="2" a="1"/>
  <c r="BP85" i="2" a="1"/>
  <c r="BP88" i="2" a="1"/>
  <c r="BO88" i="2" a="1"/>
  <c r="BO30" i="2" a="1"/>
  <c r="BP30" i="2" a="1"/>
  <c r="BP72" i="2" a="1"/>
  <c r="BO72" i="2" a="1"/>
  <c r="BO49" i="2" a="1"/>
  <c r="BP49" i="2" a="1"/>
  <c r="BP183" i="2" a="1"/>
  <c r="BO183" i="2" a="1"/>
  <c r="BO160" i="2" a="1"/>
  <c r="BP160" i="2" a="1"/>
  <c r="BP215" i="2" a="1"/>
  <c r="BO215" i="2" a="1"/>
  <c r="BO95" i="2" a="1"/>
  <c r="BP95" i="2" a="1"/>
  <c r="BP75" i="2" a="1"/>
  <c r="BO75" i="2" a="1"/>
  <c r="BO174" i="2" a="1"/>
  <c r="BP174" i="2" a="1"/>
  <c r="BO199" i="2" a="1"/>
  <c r="BP199" i="2" a="1"/>
  <c r="BO130" i="2" a="1"/>
  <c r="BP130" i="2" a="1"/>
  <c r="BP25" i="2" a="1"/>
  <c r="BO25" i="2" a="1"/>
  <c r="BP120" i="2" a="1"/>
  <c r="BO120" i="2" a="1"/>
  <c r="BO217" i="2" a="1"/>
  <c r="BP217" i="2" a="1"/>
  <c r="BO234" i="2" a="1"/>
  <c r="BP234" i="2" a="1"/>
  <c r="BO77" i="2" a="1"/>
  <c r="BP77" i="2" a="1"/>
  <c r="BP225" i="2" a="1"/>
  <c r="BO225" i="2" a="1"/>
  <c r="BO91" i="2" a="1"/>
  <c r="BP91" i="2" a="1"/>
  <c r="BO184" i="2" a="1"/>
  <c r="BP184" i="2" a="1"/>
  <c r="BO208" i="2" a="1"/>
  <c r="BP208" i="2" a="1"/>
  <c r="BP195" i="2" a="1"/>
  <c r="BO195" i="2" a="1"/>
  <c r="BO232" i="2" a="1"/>
  <c r="BP232" i="2" a="1"/>
  <c r="BO185" i="2" a="1"/>
  <c r="BP185" i="2" a="1"/>
  <c r="BO204" i="2" a="1"/>
  <c r="BP204" i="2" a="1"/>
  <c r="BO39" i="2" a="1"/>
  <c r="BP39" i="2" a="1"/>
  <c r="BO29" i="2" a="1"/>
  <c r="BP29" i="2" a="1"/>
  <c r="BO154" i="2" a="1"/>
  <c r="BP154" i="2" a="1"/>
  <c r="BO104" i="2" a="1"/>
  <c r="BP104" i="2" a="1"/>
  <c r="BP175" i="2" a="1"/>
  <c r="BO175" i="2" a="1"/>
  <c r="BO129" i="2" a="1"/>
  <c r="BP129" i="2" a="1"/>
  <c r="BO58" i="2" a="1"/>
  <c r="BP58" i="2" a="1"/>
  <c r="BO207" i="2" a="1"/>
  <c r="BP207" i="2" a="1"/>
  <c r="BP45" i="2" a="1"/>
  <c r="BO45" i="2" a="1"/>
  <c r="BO222" i="2" a="1"/>
  <c r="BP222" i="2" a="1"/>
  <c r="BO127" i="2" a="1"/>
  <c r="BP127" i="2" a="1"/>
  <c r="BO229" i="2" a="1"/>
  <c r="BP229" i="2" a="1"/>
  <c r="BO79" i="2" a="1"/>
  <c r="BP79" i="2" a="1"/>
  <c r="BP231" i="2" a="1"/>
  <c r="BO231" i="2" a="1"/>
  <c r="BO181" i="2" a="1"/>
  <c r="BP181" i="2" a="1"/>
  <c r="BO152" i="2" a="1"/>
  <c r="BP152" i="2" a="1"/>
  <c r="BO139" i="2" a="1"/>
  <c r="BP139" i="2" a="1"/>
  <c r="BP126" i="2" a="1"/>
  <c r="BO126" i="2" a="1"/>
  <c r="BO59" i="2" a="1"/>
  <c r="BP59" i="2" a="1"/>
  <c r="BP162" i="2" a="1"/>
  <c r="BO162" i="2" a="1"/>
  <c r="BP24" i="2" a="1"/>
  <c r="BO24" i="2" a="1"/>
  <c r="BP203" i="2" a="1"/>
  <c r="BO203" i="2" a="1"/>
  <c r="BP64" i="2" a="1"/>
  <c r="BO64" i="2" a="1"/>
  <c r="BO55" i="2" a="1"/>
  <c r="BP55" i="2" a="1"/>
  <c r="BP57" i="2" a="1"/>
  <c r="BO57" i="2" a="1"/>
  <c r="BO146" i="2" a="1"/>
  <c r="BP146" i="2" a="1"/>
  <c r="BO44" i="2" a="1"/>
  <c r="BP44" i="2" a="1"/>
  <c r="BO172" i="2" a="1"/>
  <c r="BP172" i="2" a="1"/>
  <c r="BO117" i="2" a="1"/>
  <c r="BP117" i="2" a="1"/>
  <c r="BP108" i="2" a="1"/>
  <c r="BO108" i="2" a="1"/>
  <c r="BO125" i="2" a="1"/>
  <c r="BP125" i="2" a="1"/>
  <c r="BP121" i="2" a="1"/>
  <c r="BO121" i="2" a="1"/>
  <c r="BO113" i="2" a="1"/>
  <c r="BP113" i="2" a="1"/>
  <c r="BP179" i="2" a="1"/>
  <c r="BO179" i="2" a="1"/>
  <c r="BP214" i="2" a="1"/>
  <c r="BO214" i="2" a="1"/>
  <c r="BO66" i="2" a="1"/>
  <c r="BP66" i="2" a="1"/>
  <c r="BO168" i="2" a="1"/>
  <c r="BP168" i="2" a="1"/>
  <c r="BO81" i="2" a="1"/>
  <c r="BP81" i="2" a="1"/>
  <c r="BO132" i="2" a="1"/>
  <c r="BP132" i="2" a="1"/>
  <c r="BO69" i="2" a="1"/>
  <c r="BP69" i="2" a="1"/>
  <c r="BP173" i="2" a="1"/>
  <c r="BO173" i="2" a="1"/>
  <c r="BO47" i="2" a="1"/>
  <c r="BP47" i="2" a="1"/>
  <c r="BP109" i="2" a="1"/>
  <c r="BO109" i="2" a="1"/>
  <c r="BO35" i="2" a="1"/>
  <c r="BP35" i="2" a="1"/>
  <c r="BP143" i="2" a="1"/>
  <c r="BO143" i="2" a="1"/>
  <c r="BO178" i="2" a="1"/>
  <c r="BP178" i="2" a="1"/>
  <c r="BO134" i="2" a="1"/>
  <c r="BP134" i="2" a="1"/>
  <c r="BO115" i="2" a="1"/>
  <c r="BP115" i="2" a="1"/>
  <c r="BO206" i="2" a="1"/>
  <c r="BP206" i="2" a="1"/>
  <c r="BO27" i="2" a="1"/>
  <c r="BP27" i="2" a="1"/>
  <c r="BO46" i="2" a="1"/>
  <c r="BP46" i="2" a="1"/>
  <c r="BO197" i="2" a="1"/>
  <c r="BP197" i="2" a="1"/>
  <c r="BP89" i="2" a="1"/>
  <c r="BO89" i="2" a="1"/>
  <c r="BO123" i="2" a="1"/>
  <c r="BP123" i="2" a="1"/>
  <c r="BO223" i="2" a="1"/>
  <c r="BP223" i="2" a="1"/>
  <c r="BO226" i="2" a="1"/>
  <c r="BP226" i="2" a="1"/>
  <c r="BO82" i="2" a="1"/>
  <c r="BP82" i="2" a="1"/>
  <c r="BO192" i="2" a="1"/>
  <c r="BP192" i="2" a="1"/>
  <c r="BP210" i="2" a="1"/>
  <c r="BO210" i="2" a="1"/>
  <c r="BO119" i="2" a="1"/>
  <c r="BP119" i="2" a="1"/>
  <c r="BO213" i="2" a="1"/>
  <c r="BP213" i="2" a="1"/>
  <c r="BP163" i="2" a="1"/>
  <c r="BO163" i="2" a="1"/>
  <c r="BO68" i="2" a="1"/>
  <c r="BP68" i="2" a="1"/>
  <c r="BO112" i="2" a="1"/>
  <c r="BP112" i="2" a="1"/>
  <c r="BO212" i="2" a="1"/>
  <c r="BP212" i="2" a="1"/>
  <c r="BO97" i="2" a="1"/>
  <c r="BP97" i="2" a="1"/>
  <c r="BO84" i="2" a="1"/>
  <c r="BP84" i="2" a="1"/>
  <c r="BP220" i="2" a="1"/>
  <c r="BO220" i="2" a="1"/>
  <c r="BO74" i="2" a="1"/>
  <c r="BP74" i="2" a="1"/>
  <c r="BO202" i="2" a="1"/>
  <c r="BP202" i="2" a="1"/>
  <c r="BO48" i="2" a="1"/>
  <c r="BP48" i="2" a="1"/>
  <c r="BO122" i="2" a="1"/>
  <c r="BP122" i="2" a="1"/>
  <c r="BP128" i="2" a="1"/>
  <c r="BO128" i="2" a="1"/>
  <c r="BO180" i="2" a="1"/>
  <c r="BP180" i="2" a="1"/>
  <c r="BP169" i="2" a="1"/>
  <c r="BO169" i="2" a="1"/>
  <c r="BO166" i="2" a="1"/>
  <c r="BP166" i="2" a="1"/>
  <c r="BO144" i="2" a="1"/>
  <c r="BP144" i="2" a="1"/>
  <c r="BO151" i="2" a="1"/>
  <c r="BP151" i="2" a="1"/>
  <c r="BO90" i="2" a="1"/>
  <c r="BP90" i="2" a="1"/>
  <c r="BP70" i="2" a="1"/>
  <c r="BO70" i="2" a="1"/>
  <c r="BO238" i="2" a="1"/>
  <c r="BP238" i="2" a="1"/>
  <c r="BO140" i="2" a="1"/>
  <c r="BP140" i="2" a="1"/>
  <c r="BO53" i="2" a="1"/>
  <c r="BP53" i="2" a="1"/>
  <c r="BP205" i="2" a="1"/>
  <c r="BO205" i="2" a="1"/>
  <c r="BO224" i="2" a="1"/>
  <c r="BP224" i="2" a="1"/>
  <c r="BO110" i="2" a="1"/>
  <c r="BP110" i="2" a="1"/>
  <c r="BO33" i="2" a="1"/>
  <c r="BP33" i="2" a="1"/>
  <c r="BO116" i="2" a="1"/>
  <c r="BP116" i="2" a="1"/>
  <c r="BO237" i="2" a="1"/>
  <c r="BP237" i="2" a="1"/>
  <c r="BO189" i="2" a="1"/>
  <c r="BP189" i="2" a="1"/>
  <c r="BO61" i="2" a="1"/>
  <c r="BP61" i="2" a="1"/>
  <c r="BP71" i="2" a="1"/>
  <c r="BO71" i="2" a="1"/>
  <c r="BP159" i="2" a="1"/>
  <c r="BO159" i="2" a="1"/>
  <c r="BP147" i="2" a="1"/>
  <c r="BO147" i="2" a="1"/>
  <c r="BO147" i="2" l="1"/>
  <c r="BP147" i="2"/>
  <c r="BO159" i="2"/>
  <c r="BP159" i="2"/>
  <c r="BO71" i="2"/>
  <c r="BP71" i="2"/>
  <c r="BP61" i="2"/>
  <c r="BO61" i="2"/>
  <c r="BP189" i="2"/>
  <c r="BO189" i="2"/>
  <c r="BP237" i="2"/>
  <c r="BO237" i="2"/>
  <c r="BP116" i="2"/>
  <c r="BO116" i="2"/>
  <c r="BP33" i="2"/>
  <c r="BO33" i="2"/>
  <c r="BP110" i="2"/>
  <c r="BO110" i="2"/>
  <c r="BP224" i="2"/>
  <c r="BO224" i="2"/>
  <c r="BO205" i="2"/>
  <c r="BP205" i="2"/>
  <c r="BP53" i="2"/>
  <c r="BO53" i="2"/>
  <c r="BP140" i="2"/>
  <c r="BO140" i="2"/>
  <c r="BP238" i="2"/>
  <c r="BO238" i="2"/>
  <c r="BO70" i="2"/>
  <c r="BP70" i="2"/>
  <c r="BP90" i="2"/>
  <c r="BO90" i="2"/>
  <c r="BP151" i="2"/>
  <c r="BO151" i="2"/>
  <c r="BP144" i="2"/>
  <c r="BO144" i="2"/>
  <c r="BP166" i="2"/>
  <c r="BO166" i="2"/>
  <c r="BO169" i="2"/>
  <c r="BP169" i="2"/>
  <c r="BP180" i="2"/>
  <c r="BO180" i="2"/>
  <c r="BO128" i="2"/>
  <c r="BP128" i="2"/>
  <c r="BP122" i="2"/>
  <c r="BO122" i="2"/>
  <c r="BP48" i="2"/>
  <c r="BO48" i="2"/>
  <c r="BP202" i="2"/>
  <c r="BO202" i="2"/>
  <c r="BP74" i="2"/>
  <c r="BO74" i="2"/>
  <c r="BO220" i="2"/>
  <c r="BP220" i="2"/>
  <c r="BP84" i="2"/>
  <c r="BO84" i="2"/>
  <c r="BP97" i="2"/>
  <c r="BO97" i="2"/>
  <c r="BP212" i="2"/>
  <c r="BO212" i="2"/>
  <c r="BP112" i="2"/>
  <c r="BO112" i="2"/>
  <c r="BP68" i="2"/>
  <c r="BO68" i="2"/>
  <c r="BO163" i="2"/>
  <c r="BP163" i="2"/>
  <c r="BP213" i="2"/>
  <c r="BO213" i="2"/>
  <c r="BP119" i="2"/>
  <c r="BO119" i="2"/>
  <c r="BO210" i="2"/>
  <c r="BP210" i="2"/>
  <c r="BP192" i="2"/>
  <c r="BO192" i="2"/>
  <c r="BP82" i="2"/>
  <c r="BO82" i="2"/>
  <c r="BP226" i="2"/>
  <c r="BO226" i="2"/>
  <c r="BP223" i="2"/>
  <c r="BO223" i="2"/>
  <c r="BP123" i="2"/>
  <c r="BO123" i="2"/>
  <c r="BO89" i="2"/>
  <c r="BP89" i="2"/>
  <c r="BP197" i="2"/>
  <c r="BO197" i="2"/>
  <c r="BP46" i="2"/>
  <c r="BO46" i="2"/>
  <c r="BP27" i="2"/>
  <c r="BO27" i="2"/>
  <c r="BP206" i="2"/>
  <c r="BO206" i="2"/>
  <c r="BP115" i="2"/>
  <c r="BO115" i="2"/>
  <c r="BP134" i="2"/>
  <c r="BO134" i="2"/>
  <c r="BP178" i="2"/>
  <c r="BO178" i="2"/>
  <c r="BO143" i="2"/>
  <c r="BP143" i="2"/>
  <c r="BP35" i="2"/>
  <c r="BO35" i="2"/>
  <c r="BO109" i="2"/>
  <c r="BP109" i="2"/>
  <c r="BP47" i="2"/>
  <c r="BO47" i="2"/>
  <c r="BO173" i="2"/>
  <c r="BP173" i="2"/>
  <c r="BP69" i="2"/>
  <c r="BO69" i="2"/>
  <c r="BP132" i="2"/>
  <c r="BO132" i="2"/>
  <c r="BP81" i="2"/>
  <c r="BO81" i="2"/>
  <c r="BP168" i="2"/>
  <c r="BO168" i="2"/>
  <c r="BP66" i="2"/>
  <c r="BO66" i="2"/>
  <c r="BO214" i="2"/>
  <c r="BP214" i="2"/>
  <c r="BO179" i="2"/>
  <c r="BP179" i="2"/>
  <c r="BP113" i="2"/>
  <c r="BO113" i="2"/>
  <c r="BO121" i="2"/>
  <c r="BP121" i="2"/>
  <c r="BP125" i="2"/>
  <c r="BO125" i="2"/>
  <c r="BO108" i="2"/>
  <c r="BP108" i="2"/>
  <c r="BP117" i="2"/>
  <c r="BO117" i="2"/>
  <c r="BP172" i="2"/>
  <c r="BO172" i="2"/>
  <c r="BP44" i="2"/>
  <c r="BO44" i="2"/>
  <c r="BP146" i="2"/>
  <c r="BO146" i="2"/>
  <c r="BO57" i="2"/>
  <c r="BP57" i="2"/>
  <c r="BP55" i="2"/>
  <c r="BO55" i="2"/>
  <c r="BO64" i="2"/>
  <c r="BP64" i="2"/>
  <c r="BO203" i="2"/>
  <c r="BP203" i="2"/>
  <c r="BO24" i="2"/>
  <c r="BP24" i="2"/>
  <c r="BO162" i="2"/>
  <c r="BP162" i="2"/>
  <c r="BP59" i="2"/>
  <c r="BO59" i="2"/>
  <c r="BO126" i="2"/>
  <c r="BP126" i="2"/>
  <c r="BP139" i="2"/>
  <c r="BO139" i="2"/>
  <c r="BP152" i="2"/>
  <c r="BO152" i="2"/>
  <c r="BP181" i="2"/>
  <c r="BO181" i="2"/>
  <c r="BO231" i="2"/>
  <c r="BP231" i="2"/>
  <c r="BP79" i="2"/>
  <c r="BO79" i="2"/>
  <c r="BP229" i="2"/>
  <c r="BO229" i="2"/>
  <c r="BP127" i="2"/>
  <c r="BO127" i="2"/>
  <c r="BP222" i="2"/>
  <c r="BO222" i="2"/>
  <c r="BO45" i="2"/>
  <c r="BP45" i="2"/>
  <c r="BP207" i="2"/>
  <c r="BO207" i="2"/>
  <c r="BP58" i="2"/>
  <c r="BO58" i="2"/>
  <c r="BP129" i="2"/>
  <c r="BO129" i="2"/>
  <c r="BO175" i="2"/>
  <c r="BP175" i="2"/>
  <c r="BP104" i="2"/>
  <c r="BO104" i="2"/>
  <c r="BP154" i="2"/>
  <c r="BO154" i="2"/>
  <c r="BP29" i="2"/>
  <c r="BO29" i="2"/>
  <c r="BP39" i="2"/>
  <c r="BO39" i="2"/>
  <c r="BP204" i="2"/>
  <c r="BO204" i="2"/>
  <c r="BP185" i="2"/>
  <c r="BO185" i="2"/>
  <c r="BP232" i="2"/>
  <c r="BO232" i="2"/>
  <c r="BO195" i="2"/>
  <c r="BP195" i="2"/>
  <c r="BP208" i="2"/>
  <c r="BO208" i="2"/>
  <c r="BP184" i="2"/>
  <c r="BO184" i="2"/>
  <c r="BP91" i="2"/>
  <c r="BO91" i="2"/>
  <c r="BO225" i="2"/>
  <c r="BP225" i="2"/>
  <c r="BP77" i="2"/>
  <c r="BO77" i="2"/>
  <c r="BP234" i="2"/>
  <c r="BO234" i="2"/>
  <c r="BP217" i="2"/>
  <c r="BO217" i="2"/>
  <c r="BO120" i="2"/>
  <c r="BP120" i="2"/>
  <c r="BO25" i="2"/>
  <c r="BP25" i="2"/>
  <c r="BP130" i="2"/>
  <c r="BO130" i="2"/>
  <c r="BP199" i="2"/>
  <c r="BO199" i="2"/>
  <c r="BP174" i="2"/>
  <c r="BO174" i="2"/>
  <c r="BO75" i="2"/>
  <c r="BP75" i="2"/>
  <c r="BP95" i="2"/>
  <c r="BO95" i="2"/>
  <c r="BO215" i="2"/>
  <c r="BP215" i="2"/>
  <c r="BP160" i="2"/>
  <c r="BO160" i="2"/>
  <c r="BO183" i="2"/>
  <c r="BP183" i="2"/>
  <c r="BP49" i="2"/>
  <c r="BO49" i="2"/>
  <c r="BO72" i="2"/>
  <c r="BP72" i="2"/>
  <c r="BP30" i="2"/>
  <c r="BO30" i="2"/>
  <c r="BO88" i="2"/>
  <c r="BP88" i="2"/>
  <c r="BP85" i="2"/>
  <c r="BO85" i="2"/>
  <c r="BP54" i="2"/>
  <c r="BO54" i="2"/>
  <c r="BP31" i="2"/>
  <c r="BO31" i="2"/>
  <c r="BO111" i="2"/>
  <c r="BP111" i="2"/>
  <c r="BP63" i="2"/>
  <c r="BO63" i="2"/>
  <c r="BP92" i="2"/>
  <c r="BO92" i="2"/>
  <c r="BO155" i="2"/>
  <c r="BP155" i="2"/>
  <c r="BP94" i="2"/>
  <c r="BO94" i="2"/>
  <c r="BP60" i="2"/>
  <c r="BO60" i="2"/>
  <c r="BO65" i="2"/>
  <c r="BP65" i="2"/>
  <c r="BO83" i="2"/>
  <c r="BP83" i="2"/>
  <c r="BP228" i="2"/>
  <c r="BO228" i="2"/>
  <c r="BP141" i="2"/>
  <c r="BO141" i="2"/>
  <c r="BO28" i="2"/>
  <c r="BP28" i="2"/>
  <c r="BP80" i="2"/>
  <c r="BO80" i="2"/>
  <c r="BP161" i="2"/>
  <c r="BO161" i="2"/>
  <c r="BP182" i="2"/>
  <c r="BO182" i="2"/>
  <c r="BP124" i="2"/>
  <c r="BO124" i="2"/>
  <c r="BP201" i="2"/>
  <c r="BO201" i="2"/>
  <c r="BP176" i="2"/>
  <c r="BO176" i="2"/>
  <c r="BO200" i="2"/>
  <c r="BP200" i="2"/>
  <c r="BP40" i="2"/>
  <c r="BO40" i="2"/>
  <c r="BP191" i="2"/>
  <c r="BO191" i="2"/>
  <c r="BP227" i="2"/>
  <c r="BO227" i="2"/>
  <c r="BP102" i="2"/>
  <c r="BO102" i="2"/>
  <c r="BO52" i="2"/>
  <c r="BP52" i="2"/>
  <c r="BP76" i="2"/>
  <c r="BO76" i="2"/>
  <c r="BP96" i="2"/>
  <c r="BO96" i="2"/>
  <c r="BP67" i="2"/>
  <c r="BO67" i="2"/>
  <c r="BO230" i="2"/>
  <c r="BP230" i="2"/>
  <c r="BP171" i="2"/>
  <c r="BO171" i="2"/>
  <c r="BP150" i="2"/>
  <c r="BO150" i="2"/>
  <c r="BP86" i="2"/>
  <c r="BO86" i="2"/>
  <c r="BO43" i="2"/>
  <c r="BP43" i="2"/>
  <c r="BO78" i="2"/>
  <c r="BP78" i="2"/>
  <c r="BO165" i="2"/>
  <c r="BP165" i="2"/>
  <c r="BP190" i="2"/>
  <c r="BO190" i="2"/>
  <c r="BP236" i="2"/>
  <c r="BO236" i="2"/>
  <c r="BP56" i="2"/>
  <c r="BO56" i="2"/>
  <c r="BP114" i="2"/>
  <c r="BO114" i="2"/>
  <c r="BP216" i="2"/>
  <c r="BO216" i="2"/>
  <c r="BP34" i="2"/>
  <c r="BO34" i="2"/>
  <c r="BO38" i="2"/>
  <c r="BP38" i="2"/>
  <c r="BO157" i="2"/>
  <c r="BP157" i="2"/>
  <c r="BP100" i="2"/>
  <c r="BO100" i="2"/>
  <c r="BP219" i="2"/>
  <c r="BO219" i="2"/>
  <c r="BP196" i="2"/>
  <c r="BO196" i="2"/>
  <c r="BO93" i="2"/>
  <c r="BP93" i="2"/>
  <c r="BP103" i="2"/>
  <c r="BO103" i="2"/>
  <c r="BP137" i="2"/>
  <c r="BO137" i="2"/>
  <c r="BP153" i="2"/>
  <c r="BO153" i="2"/>
  <c r="BP221" i="2"/>
  <c r="BO221" i="2"/>
  <c r="BP133" i="2"/>
  <c r="BO133" i="2"/>
  <c r="BO138" i="2"/>
  <c r="BP138" i="2"/>
  <c r="BP164" i="2"/>
  <c r="BO164" i="2"/>
  <c r="BO42" i="2"/>
  <c r="BP42" i="2"/>
  <c r="BP41" i="2"/>
  <c r="BO41" i="2"/>
  <c r="BO107" i="2"/>
  <c r="BP107" i="2"/>
  <c r="BP105" i="2"/>
  <c r="BO105" i="2"/>
  <c r="BO145" i="2"/>
  <c r="BP145" i="2"/>
  <c r="BP37" i="2"/>
  <c r="BO37" i="2"/>
  <c r="BO131" i="2"/>
  <c r="BP131" i="2"/>
  <c r="BO32" i="2"/>
  <c r="BP32" i="2"/>
  <c r="BP186" i="2"/>
  <c r="BO186" i="2"/>
  <c r="BO149" i="2"/>
  <c r="BP149" i="2"/>
  <c r="BO73" i="2"/>
  <c r="BP73" i="2"/>
  <c r="BP106" i="2"/>
  <c r="BO106" i="2"/>
  <c r="BP101" i="2"/>
  <c r="BO101" i="2"/>
  <c r="BO118" i="2"/>
  <c r="BP118" i="2"/>
  <c r="BO167" i="2"/>
  <c r="BP167" i="2"/>
  <c r="BP193" i="2"/>
  <c r="BO193" i="2"/>
  <c r="BP194" i="2"/>
  <c r="BO194" i="2"/>
  <c r="BO136" i="2"/>
  <c r="BP136" i="2"/>
  <c r="BO218" i="2"/>
  <c r="BP218" i="2"/>
  <c r="BP170" i="2"/>
  <c r="BO170" i="2"/>
  <c r="BP211" i="2"/>
  <c r="BO211" i="2"/>
  <c r="BO98" i="2"/>
  <c r="BP98" i="2"/>
  <c r="BO177" i="2"/>
  <c r="BP177" i="2"/>
  <c r="BO87" i="2"/>
  <c r="BP87" i="2"/>
  <c r="BO188" i="2"/>
  <c r="BP188" i="2"/>
  <c r="BP209" i="2"/>
  <c r="BO209" i="2"/>
  <c r="BP156" i="2"/>
  <c r="BO156" i="2"/>
  <c r="BP198" i="2"/>
  <c r="BO198" i="2"/>
  <c r="BO187" i="2"/>
  <c r="BP187" i="2"/>
  <c r="BP135" i="2"/>
  <c r="BO135" i="2"/>
  <c r="BP142" i="2"/>
  <c r="BO142" i="2"/>
  <c r="BP233" i="2"/>
  <c r="BO233" i="2"/>
  <c r="BO235" i="2"/>
  <c r="BP235" i="2"/>
  <c r="BO50" i="2"/>
  <c r="BP50" i="2"/>
  <c r="BO62" i="2"/>
  <c r="BP62" i="2"/>
  <c r="BP148" i="2"/>
  <c r="BO148" i="2"/>
  <c r="BP99" i="2"/>
  <c r="BO99" i="2"/>
  <c r="BP158" i="2"/>
  <c r="BO158" i="2"/>
  <c r="CC116" i="2"/>
  <c r="CD116" i="2" s="1"/>
  <c r="BZ116" i="2"/>
  <c r="CC93" i="2"/>
  <c r="CD93" i="2" s="1"/>
  <c r="BZ93" i="2"/>
  <c r="BZ112" i="2"/>
  <c r="CC112" i="2"/>
  <c r="CD112" i="2" s="1"/>
  <c r="CC55" i="2"/>
  <c r="CD55" i="2" s="1"/>
  <c r="BZ55" i="2"/>
  <c r="CE55" i="2" s="1"/>
  <c r="CF55" i="2" s="1"/>
  <c r="CA195" i="2"/>
  <c r="CB195" i="2" s="1"/>
  <c r="AP195" i="2"/>
  <c r="BZ96" i="2"/>
  <c r="CA141" i="2"/>
  <c r="CB141" i="2" s="1"/>
  <c r="CC198" i="2"/>
  <c r="CD198" i="2" s="1"/>
  <c r="BZ198" i="2"/>
  <c r="CE198" i="2" s="1"/>
  <c r="CF198" i="2" s="1"/>
  <c r="CC113" i="2"/>
  <c r="CD113" i="2" s="1"/>
  <c r="BZ113" i="2"/>
  <c r="CE113" i="2" s="1"/>
  <c r="CF113" i="2" s="1"/>
  <c r="CC174" i="2"/>
  <c r="CD174" i="2" s="1"/>
  <c r="BZ174" i="2"/>
  <c r="BY74" i="2"/>
  <c r="CC192" i="2"/>
  <c r="CD192" i="2" s="1"/>
  <c r="BZ192" i="2"/>
  <c r="CE192" i="2" s="1"/>
  <c r="CF192" i="2" s="1"/>
  <c r="CC213" i="2"/>
  <c r="CD213" i="2" s="1"/>
  <c r="BZ213" i="2"/>
  <c r="CE213" i="2" s="1"/>
  <c r="CF213" i="2" s="1"/>
  <c r="BY92" i="2"/>
  <c r="CE114" i="2"/>
  <c r="CF114" i="2" s="1"/>
  <c r="BZ204" i="2"/>
  <c r="CE204" i="2" s="1"/>
  <c r="CF204" i="2" s="1"/>
  <c r="CC204" i="2"/>
  <c r="CD204" i="2" s="1"/>
  <c r="BZ69" i="2"/>
  <c r="BQ36" i="2"/>
  <c r="BL36" i="2"/>
  <c r="BM36" i="2" s="1"/>
  <c r="BN36" i="2" s="1"/>
  <c r="AP48" i="2"/>
  <c r="CA48" i="2"/>
  <c r="CB48" i="2" s="1"/>
  <c r="BY48" i="2"/>
  <c r="CC199" i="2"/>
  <c r="CD199" i="2" s="1"/>
  <c r="BZ199" i="2"/>
  <c r="CE199" i="2" s="1"/>
  <c r="CF199" i="2" s="1"/>
  <c r="CA223" i="2"/>
  <c r="CB223" i="2" s="1"/>
  <c r="CC136" i="2"/>
  <c r="CD136" i="2" s="1"/>
  <c r="BZ136" i="2"/>
  <c r="CE136" i="2" s="1"/>
  <c r="CF136" i="2" s="1"/>
  <c r="CA75" i="2"/>
  <c r="CB75" i="2" s="1"/>
  <c r="CC222" i="2"/>
  <c r="CD222" i="2" s="1"/>
  <c r="BZ222" i="2"/>
  <c r="CE222" i="2" s="1"/>
  <c r="CF222" i="2" s="1"/>
  <c r="CC134" i="2"/>
  <c r="CD134" i="2" s="1"/>
  <c r="BZ134" i="2"/>
  <c r="CE134" i="2" s="1"/>
  <c r="CF134" i="2" s="1"/>
  <c r="CA110" i="2"/>
  <c r="CB110" i="2" s="1"/>
  <c r="CC149" i="2"/>
  <c r="CD149" i="2" s="1"/>
  <c r="BZ149" i="2"/>
  <c r="CE149" i="2" s="1"/>
  <c r="CF149" i="2" s="1"/>
  <c r="AP116" i="2"/>
  <c r="CA116" i="2"/>
  <c r="CB116" i="2" s="1"/>
  <c r="BY91" i="2"/>
  <c r="BY234" i="2"/>
  <c r="BZ197" i="2"/>
  <c r="CA224" i="2"/>
  <c r="CB224" i="2" s="1"/>
  <c r="CA172" i="2"/>
  <c r="CB172" i="2" s="1"/>
  <c r="AP172" i="2"/>
  <c r="CC216" i="2"/>
  <c r="CD216" i="2" s="1"/>
  <c r="BZ216" i="2"/>
  <c r="CE216" i="2" s="1"/>
  <c r="CF216" i="2" s="1"/>
  <c r="BZ33" i="2"/>
  <c r="CC33" i="2"/>
  <c r="CD33" i="2" s="1"/>
  <c r="CA42" i="2"/>
  <c r="CB42" i="2" s="1"/>
  <c r="BZ62" i="2"/>
  <c r="CC62" i="2"/>
  <c r="CD62" i="2" s="1"/>
  <c r="CE115" i="2"/>
  <c r="CF115" i="2" s="1"/>
  <c r="AP133" i="2"/>
  <c r="CA133" i="2"/>
  <c r="CB133" i="2" s="1"/>
  <c r="CC37" i="2"/>
  <c r="CD37" i="2" s="1"/>
  <c r="BZ37" i="2"/>
  <c r="BZ138" i="2"/>
  <c r="BY156" i="2"/>
  <c r="BY25" i="2"/>
  <c r="BZ172" i="2"/>
  <c r="BZ176" i="2"/>
  <c r="CE176" i="2" s="1"/>
  <c r="CF176" i="2" s="1"/>
  <c r="CC176" i="2"/>
  <c r="CD176" i="2" s="1"/>
  <c r="BZ200" i="2"/>
  <c r="CC200" i="2"/>
  <c r="CD200" i="2" s="1"/>
  <c r="BZ120" i="2"/>
  <c r="CC120" i="2"/>
  <c r="CD120" i="2" s="1"/>
  <c r="BZ44" i="2"/>
  <c r="CC44" i="2"/>
  <c r="CD44" i="2" s="1"/>
  <c r="CC167" i="2"/>
  <c r="CD167" i="2" s="1"/>
  <c r="BZ167" i="2"/>
  <c r="CE167" i="2" s="1"/>
  <c r="CF167" i="2" s="1"/>
  <c r="BY146" i="2"/>
  <c r="BZ80" i="2"/>
  <c r="CE80" i="2" s="1"/>
  <c r="CF80" i="2" s="1"/>
  <c r="CC80" i="2"/>
  <c r="CD80" i="2" s="1"/>
  <c r="BY191" i="2"/>
  <c r="BY121" i="2"/>
  <c r="CA200" i="2"/>
  <c r="CB200" i="2" s="1"/>
  <c r="AP200" i="2"/>
  <c r="CC115" i="2"/>
  <c r="CD115" i="2" s="1"/>
  <c r="CC67" i="2"/>
  <c r="CD67" i="2" s="1"/>
  <c r="BZ67" i="2"/>
  <c r="CE67" i="2" s="1"/>
  <c r="CF67" i="2" s="1"/>
  <c r="CE95" i="2"/>
  <c r="CF95" i="2" s="1"/>
  <c r="BZ184" i="2"/>
  <c r="CC184" i="2"/>
  <c r="CD184" i="2" s="1"/>
  <c r="CB105" i="2"/>
  <c r="CC105" i="2"/>
  <c r="CD105" i="2" s="1"/>
  <c r="CA156" i="2"/>
  <c r="CB156" i="2" s="1"/>
  <c r="BZ46" i="2"/>
  <c r="CC46" i="2"/>
  <c r="CD46" i="2" s="1"/>
  <c r="CC211" i="2"/>
  <c r="CD211" i="2" s="1"/>
  <c r="BZ211" i="2"/>
  <c r="CE211" i="2" s="1"/>
  <c r="CF211" i="2" s="1"/>
  <c r="BZ110" i="2"/>
  <c r="CA25" i="2"/>
  <c r="CB25" i="2" s="1"/>
  <c r="CC155" i="2"/>
  <c r="CD155" i="2" s="1"/>
  <c r="BZ155" i="2"/>
  <c r="CE155" i="2" s="1"/>
  <c r="CF155" i="2" s="1"/>
  <c r="CA146" i="2"/>
  <c r="CB146" i="2" s="1"/>
  <c r="CC161" i="2"/>
  <c r="CD161" i="2" s="1"/>
  <c r="BZ161" i="2"/>
  <c r="CE161" i="2" s="1"/>
  <c r="CF161" i="2" s="1"/>
  <c r="BZ26" i="2"/>
  <c r="CE26" i="2" s="1"/>
  <c r="CF26" i="2" s="1"/>
  <c r="CC26" i="2"/>
  <c r="CD26" i="2" s="1"/>
  <c r="CC175" i="2"/>
  <c r="CD175" i="2" s="1"/>
  <c r="BZ175" i="2"/>
  <c r="CE175" i="2" s="1"/>
  <c r="CF175" i="2" s="1"/>
  <c r="BZ24" i="2"/>
  <c r="CC24" i="2"/>
  <c r="CD24" i="2" s="1"/>
  <c r="BY94" i="2"/>
  <c r="CA154" i="2"/>
  <c r="CB154" i="2" s="1"/>
  <c r="AP154" i="2"/>
  <c r="CC233" i="2"/>
  <c r="CD233" i="2" s="1"/>
  <c r="BZ233" i="2"/>
  <c r="CA91" i="2"/>
  <c r="CB91" i="2" s="1"/>
  <c r="CC168" i="2"/>
  <c r="CD168" i="2" s="1"/>
  <c r="BZ168" i="2"/>
  <c r="CC185" i="2"/>
  <c r="CD185" i="2" s="1"/>
  <c r="BZ185" i="2"/>
  <c r="BZ230" i="2"/>
  <c r="BY56" i="2"/>
  <c r="BZ79" i="2"/>
  <c r="CC79" i="2"/>
  <c r="CD79" i="2" s="1"/>
  <c r="BZ39" i="2"/>
  <c r="CC39" i="2"/>
  <c r="CD39" i="2" s="1"/>
  <c r="CC145" i="2"/>
  <c r="CD145" i="2" s="1"/>
  <c r="BZ145" i="2"/>
  <c r="CE145" i="2" s="1"/>
  <c r="CF145" i="2" s="1"/>
  <c r="BY223" i="2"/>
  <c r="AP202" i="2"/>
  <c r="CA202" i="2"/>
  <c r="CB202" i="2" s="1"/>
  <c r="BZ209" i="2"/>
  <c r="CE209" i="2" s="1"/>
  <c r="CF209" i="2" s="1"/>
  <c r="CC209" i="2"/>
  <c r="CD209" i="2" s="1"/>
  <c r="BZ173" i="2"/>
  <c r="CA152" i="2"/>
  <c r="CB152" i="2" s="1"/>
  <c r="BY189" i="2"/>
  <c r="BZ150" i="2"/>
  <c r="CC150" i="2"/>
  <c r="CD150" i="2" s="1"/>
  <c r="CC218" i="2"/>
  <c r="CD218" i="2" s="1"/>
  <c r="BZ218" i="2"/>
  <c r="CA112" i="2"/>
  <c r="CB112" i="2" s="1"/>
  <c r="AP112" i="2"/>
  <c r="BZ71" i="2"/>
  <c r="CC71" i="2"/>
  <c r="CD71" i="2" s="1"/>
  <c r="CC103" i="2"/>
  <c r="CD103" i="2" s="1"/>
  <c r="BZ103" i="2"/>
  <c r="CE103" i="2" s="1"/>
  <c r="CF103" i="2" s="1"/>
  <c r="CA197" i="2"/>
  <c r="CB197" i="2" s="1"/>
  <c r="AP197" i="2"/>
  <c r="BY195" i="2"/>
  <c r="CC118" i="2"/>
  <c r="CD118" i="2" s="1"/>
  <c r="BZ118" i="2"/>
  <c r="BY188" i="2"/>
  <c r="BY206" i="2"/>
  <c r="BY196" i="2"/>
  <c r="CA151" i="2"/>
  <c r="CB151" i="2" s="1"/>
  <c r="BY130" i="2"/>
  <c r="CA121" i="2"/>
  <c r="CB121" i="2" s="1"/>
  <c r="CC31" i="2"/>
  <c r="CD31" i="2" s="1"/>
  <c r="BZ31" i="2"/>
  <c r="CE31" i="2" s="1"/>
  <c r="CF31" i="2" s="1"/>
  <c r="CC78" i="2"/>
  <c r="CD78" i="2" s="1"/>
  <c r="BZ78" i="2"/>
  <c r="CE78" i="2" s="1"/>
  <c r="CF78" i="2" s="1"/>
  <c r="CA226" i="2"/>
  <c r="CB226" i="2" s="1"/>
  <c r="CA230" i="2"/>
  <c r="CB230" i="2" s="1"/>
  <c r="AP230" i="2"/>
  <c r="CA83" i="2"/>
  <c r="CB83" i="2" s="1"/>
  <c r="BZ109" i="2"/>
  <c r="CC109" i="2"/>
  <c r="CD109" i="2" s="1"/>
  <c r="BY232" i="2"/>
  <c r="BZ66" i="2"/>
  <c r="CE66" i="2" s="1"/>
  <c r="CF66" i="2" s="1"/>
  <c r="CC66" i="2"/>
  <c r="CD66" i="2" s="1"/>
  <c r="BY70" i="2"/>
  <c r="CC170" i="2"/>
  <c r="CD170" i="2" s="1"/>
  <c r="BZ170" i="2"/>
  <c r="AP99" i="2"/>
  <c r="CA99" i="2"/>
  <c r="CB99" i="2" s="1"/>
  <c r="BY99" i="2"/>
  <c r="CA169" i="2"/>
  <c r="CB169" i="2" s="1"/>
  <c r="AP169" i="2"/>
  <c r="CC101" i="2"/>
  <c r="CD101" i="2" s="1"/>
  <c r="BZ101" i="2"/>
  <c r="CE101" i="2" s="1"/>
  <c r="CF101" i="2" s="1"/>
  <c r="BZ227" i="2"/>
  <c r="CC227" i="2"/>
  <c r="CD227" i="2" s="1"/>
  <c r="AP123" i="2"/>
  <c r="CA123" i="2"/>
  <c r="CB123" i="2" s="1"/>
  <c r="BQ26" i="2"/>
  <c r="BL26" i="2"/>
  <c r="BM26" i="2" s="1"/>
  <c r="BN26" i="2" s="1"/>
  <c r="BY194" i="2"/>
  <c r="CC57" i="2"/>
  <c r="CD57" i="2" s="1"/>
  <c r="BZ57" i="2"/>
  <c r="CE57" i="2" s="1"/>
  <c r="CF57" i="2" s="1"/>
  <c r="CC126" i="2"/>
  <c r="CD126" i="2" s="1"/>
  <c r="BZ126" i="2"/>
  <c r="AP138" i="2"/>
  <c r="CA138" i="2"/>
  <c r="CB138" i="2" s="1"/>
  <c r="BY81" i="2"/>
  <c r="CC210" i="2"/>
  <c r="CD210" i="2" s="1"/>
  <c r="BZ210" i="2"/>
  <c r="CE210" i="2" s="1"/>
  <c r="CF210" i="2" s="1"/>
  <c r="CA94" i="2"/>
  <c r="CB94" i="2" s="1"/>
  <c r="CC38" i="2"/>
  <c r="CD38" i="2" s="1"/>
  <c r="BZ38" i="2"/>
  <c r="CC76" i="2"/>
  <c r="CD76" i="2" s="1"/>
  <c r="BZ76" i="2"/>
  <c r="CE76" i="2" s="1"/>
  <c r="CF76" i="2" s="1"/>
  <c r="CC73" i="2"/>
  <c r="CD73" i="2" s="1"/>
  <c r="CE73" i="2" s="1"/>
  <c r="CF73" i="2" s="1"/>
  <c r="CC205" i="2"/>
  <c r="CD205" i="2" s="1"/>
  <c r="BZ205" i="2"/>
  <c r="CE205" i="2" s="1"/>
  <c r="CF205" i="2" s="1"/>
  <c r="CC164" i="2"/>
  <c r="CD164" i="2" s="1"/>
  <c r="BZ164" i="2"/>
  <c r="CE164" i="2" s="1"/>
  <c r="CF164" i="2" s="1"/>
  <c r="CC135" i="2"/>
  <c r="CD135" i="2" s="1"/>
  <c r="BZ135" i="2"/>
  <c r="CE135" i="2" s="1"/>
  <c r="CF135" i="2" s="1"/>
  <c r="CA124" i="2"/>
  <c r="CB124" i="2" s="1"/>
  <c r="BZ229" i="2"/>
  <c r="CC229" i="2"/>
  <c r="CD229" i="2" s="1"/>
  <c r="CC225" i="2"/>
  <c r="CD225" i="2" s="1"/>
  <c r="BZ225" i="2"/>
  <c r="CE225" i="2" s="1"/>
  <c r="CF225" i="2" s="1"/>
  <c r="CC231" i="2"/>
  <c r="CD231" i="2" s="1"/>
  <c r="BZ231" i="2"/>
  <c r="CE231" i="2" s="1"/>
  <c r="CF231" i="2" s="1"/>
  <c r="CA234" i="2"/>
  <c r="CB234" i="2" s="1"/>
  <c r="CA130" i="2"/>
  <c r="CB130" i="2" s="1"/>
  <c r="BZ100" i="2"/>
  <c r="CC100" i="2"/>
  <c r="CD100" i="2" s="1"/>
  <c r="BY28" i="2"/>
  <c r="BY75" i="2"/>
  <c r="CC153" i="2"/>
  <c r="CD153" i="2" s="1"/>
  <c r="BZ153" i="2"/>
  <c r="CE153" i="2" s="1"/>
  <c r="CF153" i="2" s="1"/>
  <c r="CC35" i="2"/>
  <c r="CD35" i="2" s="1"/>
  <c r="BZ35" i="2"/>
  <c r="CE35" i="2" s="1"/>
  <c r="CF35" i="2" s="1"/>
  <c r="CC235" i="2"/>
  <c r="CD235" i="2" s="1"/>
  <c r="BZ235" i="2"/>
  <c r="BY63" i="2"/>
  <c r="BY202" i="2"/>
  <c r="CA70" i="2"/>
  <c r="CB70" i="2" s="1"/>
  <c r="BY131" i="2"/>
  <c r="BZ85" i="2"/>
  <c r="CC85" i="2"/>
  <c r="CD85" i="2" s="1"/>
  <c r="BY108" i="2"/>
  <c r="CA104" i="2"/>
  <c r="CB104" i="2" s="1"/>
  <c r="CC207" i="2"/>
  <c r="CD207" i="2" s="1"/>
  <c r="BY151" i="2"/>
  <c r="BY42" i="2"/>
  <c r="CC187" i="2"/>
  <c r="CD187" i="2" s="1"/>
  <c r="BZ187" i="2"/>
  <c r="CE187" i="2" s="1"/>
  <c r="CF187" i="2" s="1"/>
  <c r="CC201" i="2"/>
  <c r="CD201" i="2" s="1"/>
  <c r="BZ201" i="2"/>
  <c r="CE201" i="2" s="1"/>
  <c r="CF201" i="2" s="1"/>
  <c r="CC236" i="2"/>
  <c r="CD236" i="2" s="1"/>
  <c r="BZ236" i="2"/>
  <c r="CE236" i="2" s="1"/>
  <c r="CF236" i="2" s="1"/>
  <c r="CA194" i="2"/>
  <c r="CB194" i="2" s="1"/>
  <c r="CC88" i="2"/>
  <c r="CD88" i="2" s="1"/>
  <c r="BZ88" i="2"/>
  <c r="BZ123" i="2"/>
  <c r="CC84" i="2"/>
  <c r="CD84" i="2" s="1"/>
  <c r="BZ84" i="2"/>
  <c r="CE84" i="2" s="1"/>
  <c r="CF84" i="2" s="1"/>
  <c r="BZ106" i="2"/>
  <c r="BY152" i="2"/>
  <c r="CC221" i="2"/>
  <c r="CD221" i="2" s="1"/>
  <c r="BZ221" i="2"/>
  <c r="BY97" i="2"/>
  <c r="CA189" i="2"/>
  <c r="CB189" i="2" s="1"/>
  <c r="CA160" i="2"/>
  <c r="CB160" i="2" s="1"/>
  <c r="CA119" i="2"/>
  <c r="CB119" i="2" s="1"/>
  <c r="CA74" i="2"/>
  <c r="CB74" i="2" s="1"/>
  <c r="BY83" i="2"/>
  <c r="BY159" i="2"/>
  <c r="CA214" i="2"/>
  <c r="CB214" i="2" s="1"/>
  <c r="CA206" i="2"/>
  <c r="CB206" i="2" s="1"/>
  <c r="CC165" i="2"/>
  <c r="CD165" i="2" s="1"/>
  <c r="BZ165" i="2"/>
  <c r="BZ107" i="2"/>
  <c r="CC107" i="2"/>
  <c r="CD107" i="2" s="1"/>
  <c r="CC27" i="2"/>
  <c r="CD27" i="2" s="1"/>
  <c r="BZ27" i="2"/>
  <c r="CE27" i="2" s="1"/>
  <c r="CF27" i="2" s="1"/>
  <c r="CC158" i="2"/>
  <c r="CD158" i="2" s="1"/>
  <c r="BZ158" i="2"/>
  <c r="CE158" i="2" s="1"/>
  <c r="CF158" i="2" s="1"/>
  <c r="AP96" i="2"/>
  <c r="CA96" i="2"/>
  <c r="CB96" i="2" s="1"/>
  <c r="CC68" i="2"/>
  <c r="CD68" i="2" s="1"/>
  <c r="BZ68" i="2"/>
  <c r="CE68" i="2" s="1"/>
  <c r="CF68" i="2" s="1"/>
  <c r="CA131" i="2"/>
  <c r="CB131" i="2" s="1"/>
  <c r="BZ186" i="2"/>
  <c r="CC186" i="2"/>
  <c r="CD186" i="2" s="1"/>
  <c r="BY104" i="2"/>
  <c r="CC193" i="2"/>
  <c r="CD193" i="2" s="1"/>
  <c r="CE193" i="2" s="1"/>
  <c r="CF193" i="2" s="1"/>
  <c r="CE207" i="2"/>
  <c r="CF207" i="2" s="1"/>
  <c r="CE82" i="2"/>
  <c r="CF82" i="2" s="1"/>
  <c r="CA56" i="2"/>
  <c r="CB56" i="2" s="1"/>
  <c r="BZ226" i="2"/>
  <c r="CC86" i="2"/>
  <c r="CD86" i="2" s="1"/>
  <c r="BZ86" i="2"/>
  <c r="CE86" i="2" s="1"/>
  <c r="CF86" i="2" s="1"/>
  <c r="BZ143" i="2"/>
  <c r="CC143" i="2"/>
  <c r="CD143" i="2" s="1"/>
  <c r="BZ125" i="2"/>
  <c r="CC125" i="2"/>
  <c r="CD125" i="2" s="1"/>
  <c r="BY124" i="2"/>
  <c r="CA203" i="2"/>
  <c r="CB203" i="2" s="1"/>
  <c r="BY129" i="2"/>
  <c r="CC32" i="2"/>
  <c r="CD32" i="2" s="1"/>
  <c r="BZ32" i="2"/>
  <c r="CE32" i="2" s="1"/>
  <c r="CF32" i="2" s="1"/>
  <c r="BY45" i="2"/>
  <c r="BZ137" i="2"/>
  <c r="CC137" i="2"/>
  <c r="CD137" i="2" s="1"/>
  <c r="BZ54" i="2"/>
  <c r="CE54" i="2" s="1"/>
  <c r="CF54" i="2" s="1"/>
  <c r="CC54" i="2"/>
  <c r="CD54" i="2" s="1"/>
  <c r="BY47" i="2"/>
  <c r="BZ61" i="2"/>
  <c r="CC61" i="2"/>
  <c r="CD61" i="2" s="1"/>
  <c r="BZ77" i="2"/>
  <c r="CE77" i="2" s="1"/>
  <c r="CF77" i="2" s="1"/>
  <c r="CC77" i="2"/>
  <c r="CD77" i="2" s="1"/>
  <c r="CA173" i="2"/>
  <c r="CB173" i="2" s="1"/>
  <c r="AP93" i="2"/>
  <c r="CA93" i="2"/>
  <c r="CB93" i="2" s="1"/>
  <c r="AP106" i="2"/>
  <c r="CA106" i="2"/>
  <c r="CB106" i="2" s="1"/>
  <c r="BY171" i="2"/>
  <c r="BY40" i="2"/>
  <c r="AP40" i="2"/>
  <c r="CC163" i="2"/>
  <c r="CD163" i="2" s="1"/>
  <c r="CE163" i="2" s="1"/>
  <c r="CF163" i="2" s="1"/>
  <c r="CC208" i="2"/>
  <c r="CD208" i="2" s="1"/>
  <c r="BZ208" i="2"/>
  <c r="CE208" i="2" s="1"/>
  <c r="CF208" i="2" s="1"/>
  <c r="CC182" i="2"/>
  <c r="CD182" i="2" s="1"/>
  <c r="BZ182" i="2"/>
  <c r="CE182" i="2" s="1"/>
  <c r="CF182" i="2" s="1"/>
  <c r="BZ140" i="2"/>
  <c r="CC140" i="2"/>
  <c r="CD140" i="2" s="1"/>
  <c r="BZ117" i="2"/>
  <c r="CC117" i="2"/>
  <c r="CD117" i="2" s="1"/>
  <c r="CA28" i="2"/>
  <c r="CB28" i="2" s="1"/>
  <c r="CA45" i="2"/>
  <c r="CB45" i="2" s="1"/>
  <c r="AP76" i="2"/>
  <c r="CA76" i="2"/>
  <c r="CB76" i="2" s="1"/>
  <c r="BY111" i="2"/>
  <c r="CA47" i="2"/>
  <c r="CB47" i="2" s="1"/>
  <c r="BY141" i="2"/>
  <c r="CA171" i="2"/>
  <c r="CB171" i="2" s="1"/>
  <c r="CC87" i="2"/>
  <c r="CD87" i="2" s="1"/>
  <c r="BY166" i="2"/>
  <c r="CC139" i="2"/>
  <c r="CD139" i="2" s="1"/>
  <c r="BZ139" i="2"/>
  <c r="CE139" i="2" s="1"/>
  <c r="CF139" i="2" s="1"/>
  <c r="BY169" i="2"/>
  <c r="CC215" i="2"/>
  <c r="CD215" i="2" s="1"/>
  <c r="BZ215" i="2"/>
  <c r="CE215" i="2" s="1"/>
  <c r="CF215" i="2" s="1"/>
  <c r="BY214" i="2"/>
  <c r="CA196" i="2"/>
  <c r="CB196" i="2" s="1"/>
  <c r="CA238" i="2"/>
  <c r="CB238" i="2" s="1"/>
  <c r="BY154" i="2"/>
  <c r="BY90" i="2"/>
  <c r="BY181" i="2"/>
  <c r="CA132" i="2"/>
  <c r="CB132" i="2" s="1"/>
  <c r="CA111" i="2"/>
  <c r="CB111" i="2" s="1"/>
  <c r="CA30" i="2"/>
  <c r="CB30" i="2" s="1"/>
  <c r="CA50" i="2"/>
  <c r="CB50" i="2" s="1"/>
  <c r="AP50" i="2"/>
  <c r="BY183" i="2"/>
  <c r="BY190" i="2"/>
  <c r="CC41" i="2"/>
  <c r="CD41" i="2" s="1"/>
  <c r="CE41" i="2" s="1"/>
  <c r="CF41" i="2" s="1"/>
  <c r="BY162" i="2"/>
  <c r="CE87" i="2"/>
  <c r="CF87" i="2" s="1"/>
  <c r="BZ127" i="2"/>
  <c r="CC127" i="2"/>
  <c r="CD127" i="2" s="1"/>
  <c r="CC122" i="2"/>
  <c r="CD122" i="2" s="1"/>
  <c r="CE122" i="2" s="1"/>
  <c r="CF122" i="2" s="1"/>
  <c r="CC65" i="2"/>
  <c r="CD65" i="2" s="1"/>
  <c r="BZ65" i="2"/>
  <c r="AP60" i="2"/>
  <c r="BY60" i="2"/>
  <c r="BY132" i="2"/>
  <c r="CA217" i="2"/>
  <c r="CB217" i="2" s="1"/>
  <c r="AP217" i="2"/>
  <c r="CC59" i="2"/>
  <c r="CD59" i="2" s="1"/>
  <c r="BZ59" i="2"/>
  <c r="CE59" i="2" s="1"/>
  <c r="CF59" i="2" s="1"/>
  <c r="BY217" i="2"/>
  <c r="BZ64" i="2"/>
  <c r="CC64" i="2"/>
  <c r="CD64" i="2" s="1"/>
  <c r="BZ98" i="2"/>
  <c r="CC98" i="2"/>
  <c r="CD98" i="2" s="1"/>
  <c r="BY160" i="2"/>
  <c r="CC119" i="2"/>
  <c r="CD119" i="2" s="1"/>
  <c r="BZ119" i="2"/>
  <c r="CE119" i="2" s="1"/>
  <c r="CF119" i="2" s="1"/>
  <c r="BZ212" i="2"/>
  <c r="CC212" i="2"/>
  <c r="CD212" i="2" s="1"/>
  <c r="CC142" i="2"/>
  <c r="CD142" i="2" s="1"/>
  <c r="BZ142" i="2"/>
  <c r="CE142" i="2" s="1"/>
  <c r="CF142" i="2" s="1"/>
  <c r="CC237" i="2"/>
  <c r="CD237" i="2" s="1"/>
  <c r="CE237" i="2" s="1"/>
  <c r="CF237" i="2" s="1"/>
  <c r="CC177" i="2"/>
  <c r="CD177" i="2" s="1"/>
  <c r="BZ177" i="2"/>
  <c r="CE177" i="2" s="1"/>
  <c r="CF177" i="2" s="1"/>
  <c r="BZ52" i="2"/>
  <c r="CC52" i="2"/>
  <c r="CD52" i="2" s="1"/>
  <c r="BY133" i="2"/>
  <c r="BZ50" i="2"/>
  <c r="CC219" i="2"/>
  <c r="CD219" i="2" s="1"/>
  <c r="BZ219" i="2"/>
  <c r="BY224" i="2"/>
  <c r="CA92" i="2"/>
  <c r="CB92" i="2" s="1"/>
  <c r="BZ148" i="2"/>
  <c r="CC148" i="2"/>
  <c r="CD148" i="2" s="1"/>
  <c r="CA191" i="2"/>
  <c r="CB191" i="2" s="1"/>
  <c r="CA129" i="2"/>
  <c r="CB129" i="2" s="1"/>
  <c r="CC228" i="2"/>
  <c r="CD228" i="2" s="1"/>
  <c r="BZ228" i="2"/>
  <c r="CE228" i="2" s="1"/>
  <c r="CF228" i="2" s="1"/>
  <c r="CC144" i="2"/>
  <c r="CD144" i="2" s="1"/>
  <c r="BZ144" i="2"/>
  <c r="CE144" i="2" s="1"/>
  <c r="CF144" i="2" s="1"/>
  <c r="CA90" i="2"/>
  <c r="CB90" i="2" s="1"/>
  <c r="CC89" i="2"/>
  <c r="CD89" i="2" s="1"/>
  <c r="BZ89" i="2"/>
  <c r="CE89" i="2" s="1"/>
  <c r="CF89" i="2" s="1"/>
  <c r="CA181" i="2"/>
  <c r="CB181" i="2" s="1"/>
  <c r="CA97" i="2"/>
  <c r="CB97" i="2" s="1"/>
  <c r="BY238" i="2"/>
  <c r="CC128" i="2"/>
  <c r="CD128" i="2" s="1"/>
  <c r="BZ128" i="2"/>
  <c r="CE128" i="2" s="1"/>
  <c r="CF128" i="2" s="1"/>
  <c r="BZ36" i="2"/>
  <c r="CE36" i="2" s="1"/>
  <c r="CF36" i="2" s="1"/>
  <c r="CC36" i="2"/>
  <c r="CD36" i="2" s="1"/>
  <c r="BY30" i="2"/>
  <c r="BZ220" i="2"/>
  <c r="CC220" i="2"/>
  <c r="CD220" i="2" s="1"/>
  <c r="BY203" i="2"/>
  <c r="CC102" i="2"/>
  <c r="CD102" i="2" s="1"/>
  <c r="BZ102" i="2"/>
  <c r="CE102" i="2" s="1"/>
  <c r="CF102" i="2" s="1"/>
  <c r="CC49" i="2"/>
  <c r="CD49" i="2" s="1"/>
  <c r="BZ49" i="2"/>
  <c r="CE49" i="2" s="1"/>
  <c r="CF49" i="2" s="1"/>
  <c r="BY157" i="2"/>
  <c r="BZ34" i="2"/>
  <c r="CC34" i="2"/>
  <c r="CD34" i="2" s="1"/>
  <c r="CA69" i="2"/>
  <c r="CB69" i="2" s="1"/>
  <c r="BQ51" i="2"/>
  <c r="BL51" i="2"/>
  <c r="BM51" i="2" s="1"/>
  <c r="BN51" i="2" s="1"/>
  <c r="P30" i="2"/>
  <c r="R29" i="2"/>
  <c r="R19" i="2" s="1"/>
  <c r="R28" i="2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R52" i="2" a="1"/>
  <c r="R52" i="2" s="1"/>
  <c r="BQ209" i="2" l="1"/>
  <c r="BL209" i="2"/>
  <c r="BM209" i="2" s="1"/>
  <c r="BN209" i="2" s="1"/>
  <c r="BQ57" i="2"/>
  <c r="BL57" i="2"/>
  <c r="BM57" i="2" s="1"/>
  <c r="BN57" i="2" s="1"/>
  <c r="CE137" i="2"/>
  <c r="CF137" i="2" s="1"/>
  <c r="BL65" i="2"/>
  <c r="BM65" i="2" s="1"/>
  <c r="BN65" i="2" s="1"/>
  <c r="BQ65" i="2"/>
  <c r="BQ44" i="2"/>
  <c r="BL44" i="2"/>
  <c r="BM44" i="2" s="1"/>
  <c r="BN44" i="2" s="1"/>
  <c r="CE71" i="2"/>
  <c r="CF71" i="2" s="1"/>
  <c r="BQ116" i="2"/>
  <c r="BL116" i="2"/>
  <c r="BM116" i="2" s="1"/>
  <c r="BN116" i="2" s="1"/>
  <c r="CC30" i="2"/>
  <c r="CD30" i="2" s="1"/>
  <c r="BZ30" i="2"/>
  <c r="CE30" i="2" s="1"/>
  <c r="CF30" i="2" s="1"/>
  <c r="BZ224" i="2"/>
  <c r="CC224" i="2"/>
  <c r="CD224" i="2" s="1"/>
  <c r="CC190" i="2"/>
  <c r="CD190" i="2" s="1"/>
  <c r="BZ190" i="2"/>
  <c r="CE190" i="2" s="1"/>
  <c r="CF190" i="2" s="1"/>
  <c r="BZ40" i="2"/>
  <c r="CC40" i="2"/>
  <c r="CD40" i="2" s="1"/>
  <c r="BZ97" i="2"/>
  <c r="CC97" i="2"/>
  <c r="CD97" i="2" s="1"/>
  <c r="BZ151" i="2"/>
  <c r="CC151" i="2"/>
  <c r="CD151" i="2" s="1"/>
  <c r="CE200" i="2"/>
  <c r="CF200" i="2" s="1"/>
  <c r="BZ74" i="2"/>
  <c r="CC74" i="2"/>
  <c r="CD74" i="2" s="1"/>
  <c r="BQ235" i="2"/>
  <c r="BL235" i="2"/>
  <c r="BM235" i="2" s="1"/>
  <c r="BN235" i="2" s="1"/>
  <c r="BL177" i="2"/>
  <c r="BM177" i="2" s="1"/>
  <c r="BN177" i="2" s="1"/>
  <c r="BQ177" i="2"/>
  <c r="BQ107" i="2"/>
  <c r="BL107" i="2"/>
  <c r="BM107" i="2" s="1"/>
  <c r="BN107" i="2" s="1"/>
  <c r="BL93" i="2"/>
  <c r="BM93" i="2" s="1"/>
  <c r="BN93" i="2" s="1"/>
  <c r="BQ93" i="2"/>
  <c r="BQ72" i="2"/>
  <c r="BL72" i="2"/>
  <c r="BM72" i="2" s="1"/>
  <c r="BN72" i="2" s="1"/>
  <c r="BL25" i="2"/>
  <c r="BM25" i="2" s="1"/>
  <c r="BN25" i="2" s="1"/>
  <c r="BQ25" i="2"/>
  <c r="BL126" i="2"/>
  <c r="BM126" i="2" s="1"/>
  <c r="BN126" i="2" s="1"/>
  <c r="BQ126" i="2"/>
  <c r="BQ220" i="2"/>
  <c r="BL220" i="2"/>
  <c r="BM220" i="2" s="1"/>
  <c r="BN220" i="2" s="1"/>
  <c r="CE219" i="2"/>
  <c r="CF219" i="2" s="1"/>
  <c r="CE64" i="2"/>
  <c r="CF64" i="2" s="1"/>
  <c r="CC183" i="2"/>
  <c r="CD183" i="2" s="1"/>
  <c r="BZ183" i="2"/>
  <c r="CE183" i="2" s="1"/>
  <c r="CF183" i="2" s="1"/>
  <c r="CC171" i="2"/>
  <c r="CD171" i="2" s="1"/>
  <c r="BZ171" i="2"/>
  <c r="CE171" i="2" s="1"/>
  <c r="CF171" i="2" s="1"/>
  <c r="CC124" i="2"/>
  <c r="CD124" i="2" s="1"/>
  <c r="BZ124" i="2"/>
  <c r="CE124" i="2" s="1"/>
  <c r="CF124" i="2" s="1"/>
  <c r="CE221" i="2"/>
  <c r="CF221" i="2" s="1"/>
  <c r="CE100" i="2"/>
  <c r="CF100" i="2" s="1"/>
  <c r="CE38" i="2"/>
  <c r="CF38" i="2" s="1"/>
  <c r="CE218" i="2"/>
  <c r="CF218" i="2" s="1"/>
  <c r="CE39" i="2"/>
  <c r="CF39" i="2" s="1"/>
  <c r="CE184" i="2"/>
  <c r="CF184" i="2" s="1"/>
  <c r="CE174" i="2"/>
  <c r="CF174" i="2" s="1"/>
  <c r="BQ233" i="2"/>
  <c r="BL233" i="2"/>
  <c r="BM233" i="2" s="1"/>
  <c r="BN233" i="2" s="1"/>
  <c r="BQ106" i="2"/>
  <c r="BL106" i="2"/>
  <c r="BM106" i="2" s="1"/>
  <c r="BN106" i="2" s="1"/>
  <c r="BL41" i="2"/>
  <c r="BM41" i="2" s="1"/>
  <c r="BN41" i="2" s="1"/>
  <c r="BQ41" i="2"/>
  <c r="BQ196" i="2"/>
  <c r="BL196" i="2"/>
  <c r="BM196" i="2" s="1"/>
  <c r="BN196" i="2" s="1"/>
  <c r="BQ190" i="2"/>
  <c r="BL190" i="2"/>
  <c r="BM190" i="2" s="1"/>
  <c r="BN190" i="2" s="1"/>
  <c r="BQ76" i="2"/>
  <c r="BL76" i="2"/>
  <c r="BM76" i="2" s="1"/>
  <c r="BN76" i="2" s="1"/>
  <c r="BL182" i="2"/>
  <c r="BM182" i="2" s="1"/>
  <c r="BN182" i="2" s="1"/>
  <c r="BQ182" i="2"/>
  <c r="BL49" i="2"/>
  <c r="BM49" i="2" s="1"/>
  <c r="BN49" i="2" s="1"/>
  <c r="BQ49" i="2"/>
  <c r="BQ185" i="2"/>
  <c r="BL185" i="2"/>
  <c r="BM185" i="2" s="1"/>
  <c r="BN185" i="2" s="1"/>
  <c r="BL59" i="2"/>
  <c r="BM59" i="2" s="1"/>
  <c r="BN59" i="2" s="1"/>
  <c r="BQ59" i="2"/>
  <c r="BL117" i="2"/>
  <c r="BM117" i="2" s="1"/>
  <c r="BN117" i="2" s="1"/>
  <c r="BQ117" i="2"/>
  <c r="BQ132" i="2"/>
  <c r="BL132" i="2"/>
  <c r="BM132" i="2" s="1"/>
  <c r="BN132" i="2" s="1"/>
  <c r="BQ206" i="2"/>
  <c r="BL206" i="2"/>
  <c r="BM206" i="2" s="1"/>
  <c r="BN206" i="2" s="1"/>
  <c r="BQ74" i="2"/>
  <c r="BL74" i="2"/>
  <c r="BM74" i="2" s="1"/>
  <c r="BN74" i="2" s="1"/>
  <c r="BL90" i="2"/>
  <c r="BM90" i="2" s="1"/>
  <c r="BN90" i="2" s="1"/>
  <c r="BQ90" i="2"/>
  <c r="BQ237" i="2"/>
  <c r="BL237" i="2"/>
  <c r="BM237" i="2" s="1"/>
  <c r="BN237" i="2" s="1"/>
  <c r="BZ194" i="2"/>
  <c r="CE194" i="2" s="1"/>
  <c r="CF194" i="2" s="1"/>
  <c r="CC194" i="2"/>
  <c r="CD194" i="2" s="1"/>
  <c r="BQ223" i="2"/>
  <c r="BL223" i="2"/>
  <c r="BM223" i="2" s="1"/>
  <c r="BN223" i="2" s="1"/>
  <c r="CE212" i="2"/>
  <c r="CF212" i="2" s="1"/>
  <c r="BQ83" i="2"/>
  <c r="BL83" i="2"/>
  <c r="BM83" i="2" s="1"/>
  <c r="BN83" i="2" s="1"/>
  <c r="BQ214" i="2"/>
  <c r="BL214" i="2"/>
  <c r="BM214" i="2" s="1"/>
  <c r="BN214" i="2" s="1"/>
  <c r="CE109" i="2"/>
  <c r="CF109" i="2" s="1"/>
  <c r="CC92" i="2"/>
  <c r="CD92" i="2" s="1"/>
  <c r="BZ92" i="2"/>
  <c r="CE92" i="2" s="1"/>
  <c r="CF92" i="2" s="1"/>
  <c r="BQ176" i="2"/>
  <c r="BL176" i="2"/>
  <c r="BM176" i="2" s="1"/>
  <c r="BN176" i="2" s="1"/>
  <c r="BL110" i="2"/>
  <c r="BM110" i="2" s="1"/>
  <c r="BN110" i="2" s="1"/>
  <c r="BQ110" i="2"/>
  <c r="BL62" i="2"/>
  <c r="BM62" i="2" s="1"/>
  <c r="BN62" i="2" s="1"/>
  <c r="BQ62" i="2"/>
  <c r="BQ103" i="2"/>
  <c r="BL103" i="2"/>
  <c r="BM103" i="2" s="1"/>
  <c r="BN103" i="2" s="1"/>
  <c r="BQ130" i="2"/>
  <c r="BL130" i="2"/>
  <c r="BM130" i="2" s="1"/>
  <c r="BN130" i="2" s="1"/>
  <c r="BQ168" i="2"/>
  <c r="BL168" i="2"/>
  <c r="BM168" i="2" s="1"/>
  <c r="BN168" i="2" s="1"/>
  <c r="CE24" i="2"/>
  <c r="CF24" i="2" s="1"/>
  <c r="BL50" i="2"/>
  <c r="BM50" i="2" s="1"/>
  <c r="BN50" i="2" s="1"/>
  <c r="BQ50" i="2"/>
  <c r="CC129" i="2"/>
  <c r="CD129" i="2" s="1"/>
  <c r="BZ129" i="2"/>
  <c r="CE129" i="2" s="1"/>
  <c r="CF129" i="2" s="1"/>
  <c r="BL124" i="2"/>
  <c r="BM124" i="2" s="1"/>
  <c r="BN124" i="2" s="1"/>
  <c r="BQ124" i="2"/>
  <c r="BQ207" i="2"/>
  <c r="BL207" i="2"/>
  <c r="BM207" i="2" s="1"/>
  <c r="BN207" i="2" s="1"/>
  <c r="BL81" i="2"/>
  <c r="BM81" i="2" s="1"/>
  <c r="BN81" i="2" s="1"/>
  <c r="BQ81" i="2"/>
  <c r="CC152" i="2"/>
  <c r="CD152" i="2" s="1"/>
  <c r="BZ152" i="2"/>
  <c r="CE152" i="2" s="1"/>
  <c r="CF152" i="2" s="1"/>
  <c r="CE79" i="2"/>
  <c r="CF79" i="2" s="1"/>
  <c r="BL217" i="2"/>
  <c r="BM217" i="2" s="1"/>
  <c r="BN217" i="2" s="1"/>
  <c r="BQ217" i="2"/>
  <c r="BQ27" i="2"/>
  <c r="BL27" i="2"/>
  <c r="BM27" i="2" s="1"/>
  <c r="BN27" i="2" s="1"/>
  <c r="BL80" i="2"/>
  <c r="BM80" i="2" s="1"/>
  <c r="BN80" i="2" s="1"/>
  <c r="BQ80" i="2"/>
  <c r="BQ213" i="2"/>
  <c r="BL213" i="2"/>
  <c r="BM213" i="2" s="1"/>
  <c r="BN213" i="2" s="1"/>
  <c r="BL149" i="2"/>
  <c r="BM149" i="2" s="1"/>
  <c r="BN149" i="2" s="1"/>
  <c r="BQ149" i="2"/>
  <c r="BL78" i="2"/>
  <c r="BM78" i="2" s="1"/>
  <c r="BN78" i="2" s="1"/>
  <c r="BQ78" i="2"/>
  <c r="BL24" i="2"/>
  <c r="BM24" i="2" s="1"/>
  <c r="BN24" i="2" s="1"/>
  <c r="BQ24" i="2"/>
  <c r="CE52" i="2"/>
  <c r="CF52" i="2" s="1"/>
  <c r="BZ132" i="2"/>
  <c r="CE132" i="2" s="1"/>
  <c r="CF132" i="2" s="1"/>
  <c r="CC132" i="2"/>
  <c r="CD132" i="2" s="1"/>
  <c r="CC181" i="2"/>
  <c r="CD181" i="2" s="1"/>
  <c r="BZ181" i="2"/>
  <c r="CE181" i="2" s="1"/>
  <c r="CF181" i="2" s="1"/>
  <c r="CC131" i="2"/>
  <c r="CD131" i="2" s="1"/>
  <c r="BZ131" i="2"/>
  <c r="CE131" i="2" s="1"/>
  <c r="CF131" i="2" s="1"/>
  <c r="CE170" i="2"/>
  <c r="CF170" i="2" s="1"/>
  <c r="CC196" i="2"/>
  <c r="CD196" i="2" s="1"/>
  <c r="BZ196" i="2"/>
  <c r="CC189" i="2"/>
  <c r="CD189" i="2" s="1"/>
  <c r="BZ189" i="2"/>
  <c r="CE189" i="2" s="1"/>
  <c r="CF189" i="2" s="1"/>
  <c r="CE185" i="2"/>
  <c r="CF185" i="2" s="1"/>
  <c r="BZ156" i="2"/>
  <c r="CC156" i="2"/>
  <c r="CD156" i="2" s="1"/>
  <c r="BZ234" i="2"/>
  <c r="CC234" i="2"/>
  <c r="CD234" i="2" s="1"/>
  <c r="BL186" i="2"/>
  <c r="BM186" i="2" s="1"/>
  <c r="BN186" i="2" s="1"/>
  <c r="BQ186" i="2"/>
  <c r="BL227" i="2"/>
  <c r="BM227" i="2" s="1"/>
  <c r="BN227" i="2" s="1"/>
  <c r="BQ227" i="2"/>
  <c r="BQ77" i="2"/>
  <c r="BL77" i="2"/>
  <c r="BM77" i="2" s="1"/>
  <c r="BN77" i="2" s="1"/>
  <c r="BL29" i="2"/>
  <c r="BM29" i="2" s="1"/>
  <c r="BN29" i="2" s="1"/>
  <c r="BQ29" i="2"/>
  <c r="BQ229" i="2"/>
  <c r="BL229" i="2"/>
  <c r="BM229" i="2" s="1"/>
  <c r="BN229" i="2" s="1"/>
  <c r="BQ47" i="2"/>
  <c r="BL47" i="2"/>
  <c r="BM47" i="2" s="1"/>
  <c r="BN47" i="2" s="1"/>
  <c r="BQ197" i="2"/>
  <c r="BL197" i="2"/>
  <c r="BM197" i="2" s="1"/>
  <c r="BN197" i="2" s="1"/>
  <c r="BQ122" i="2"/>
  <c r="BL122" i="2"/>
  <c r="BM122" i="2" s="1"/>
  <c r="BN122" i="2" s="1"/>
  <c r="BQ140" i="2"/>
  <c r="BL140" i="2"/>
  <c r="BM140" i="2" s="1"/>
  <c r="BN140" i="2" s="1"/>
  <c r="BQ169" i="2"/>
  <c r="BL169" i="2"/>
  <c r="BM169" i="2" s="1"/>
  <c r="BN169" i="2" s="1"/>
  <c r="BZ83" i="2"/>
  <c r="CE83" i="2" s="1"/>
  <c r="CF83" i="2" s="1"/>
  <c r="CC83" i="2"/>
  <c r="CD83" i="2" s="1"/>
  <c r="BL208" i="2"/>
  <c r="BM208" i="2" s="1"/>
  <c r="BN208" i="2" s="1"/>
  <c r="BQ208" i="2"/>
  <c r="BQ66" i="2"/>
  <c r="BL66" i="2"/>
  <c r="BM66" i="2" s="1"/>
  <c r="BN66" i="2" s="1"/>
  <c r="CC94" i="2"/>
  <c r="CD94" i="2" s="1"/>
  <c r="BZ94" i="2"/>
  <c r="CE94" i="2" s="1"/>
  <c r="CF94" i="2" s="1"/>
  <c r="CE112" i="2"/>
  <c r="CF112" i="2" s="1"/>
  <c r="BL145" i="2"/>
  <c r="BM145" i="2" s="1"/>
  <c r="BN145" i="2" s="1"/>
  <c r="BQ145" i="2"/>
  <c r="BQ230" i="2"/>
  <c r="BL230" i="2"/>
  <c r="BM230" i="2" s="1"/>
  <c r="BN230" i="2" s="1"/>
  <c r="BL88" i="2"/>
  <c r="BM88" i="2" s="1"/>
  <c r="BN88" i="2" s="1"/>
  <c r="BQ88" i="2"/>
  <c r="BQ56" i="2"/>
  <c r="BL56" i="2"/>
  <c r="BM56" i="2" s="1"/>
  <c r="BN56" i="2" s="1"/>
  <c r="BQ33" i="2"/>
  <c r="BL33" i="2"/>
  <c r="BM33" i="2" s="1"/>
  <c r="BN33" i="2" s="1"/>
  <c r="CC162" i="2"/>
  <c r="CD162" i="2" s="1"/>
  <c r="BZ162" i="2"/>
  <c r="CE162" i="2" s="1"/>
  <c r="CF162" i="2" s="1"/>
  <c r="BZ166" i="2"/>
  <c r="CE166" i="2" s="1"/>
  <c r="CF166" i="2" s="1"/>
  <c r="CC166" i="2"/>
  <c r="CD166" i="2" s="1"/>
  <c r="CC28" i="2"/>
  <c r="CD28" i="2" s="1"/>
  <c r="BZ28" i="2"/>
  <c r="CE28" i="2" s="1"/>
  <c r="CF28" i="2" s="1"/>
  <c r="CE105" i="2"/>
  <c r="CF105" i="2" s="1"/>
  <c r="BL192" i="2"/>
  <c r="BM192" i="2" s="1"/>
  <c r="BN192" i="2" s="1"/>
  <c r="BQ192" i="2"/>
  <c r="BL120" i="2"/>
  <c r="BM120" i="2" s="1"/>
  <c r="BN120" i="2" s="1"/>
  <c r="BQ120" i="2"/>
  <c r="CE125" i="2"/>
  <c r="CF125" i="2" s="1"/>
  <c r="BQ211" i="2"/>
  <c r="BL211" i="2"/>
  <c r="BM211" i="2" s="1"/>
  <c r="BN211" i="2" s="1"/>
  <c r="BQ92" i="2"/>
  <c r="BL92" i="2"/>
  <c r="BM92" i="2" s="1"/>
  <c r="BN92" i="2" s="1"/>
  <c r="BL69" i="2"/>
  <c r="BM69" i="2" s="1"/>
  <c r="BN69" i="2" s="1"/>
  <c r="BQ69" i="2"/>
  <c r="BQ165" i="2"/>
  <c r="BL165" i="2"/>
  <c r="BM165" i="2" s="1"/>
  <c r="BN165" i="2" s="1"/>
  <c r="BL164" i="2"/>
  <c r="BM164" i="2" s="1"/>
  <c r="BN164" i="2" s="1"/>
  <c r="BQ164" i="2"/>
  <c r="BQ234" i="2"/>
  <c r="BL234" i="2"/>
  <c r="BM234" i="2" s="1"/>
  <c r="BN234" i="2" s="1"/>
  <c r="BL61" i="2"/>
  <c r="BM61" i="2" s="1"/>
  <c r="BN61" i="2" s="1"/>
  <c r="BQ61" i="2"/>
  <c r="BZ81" i="2"/>
  <c r="CC81" i="2"/>
  <c r="CD81" i="2" s="1"/>
  <c r="CC230" i="2"/>
  <c r="CD230" i="2" s="1"/>
  <c r="BL173" i="2"/>
  <c r="BM173" i="2" s="1"/>
  <c r="BN173" i="2" s="1"/>
  <c r="BQ173" i="2"/>
  <c r="CC206" i="2"/>
  <c r="CD206" i="2" s="1"/>
  <c r="BZ206" i="2"/>
  <c r="CE206" i="2" s="1"/>
  <c r="CF206" i="2" s="1"/>
  <c r="CC121" i="2"/>
  <c r="CD121" i="2" s="1"/>
  <c r="BZ121" i="2"/>
  <c r="CE121" i="2" s="1"/>
  <c r="CF121" i="2" s="1"/>
  <c r="CC138" i="2"/>
  <c r="CD138" i="2" s="1"/>
  <c r="CE138" i="2" s="1"/>
  <c r="CF138" i="2" s="1"/>
  <c r="CC91" i="2"/>
  <c r="CD91" i="2" s="1"/>
  <c r="BZ91" i="2"/>
  <c r="CE91" i="2" s="1"/>
  <c r="CF91" i="2" s="1"/>
  <c r="CE96" i="2"/>
  <c r="CF96" i="2" s="1"/>
  <c r="BL187" i="2"/>
  <c r="BM187" i="2" s="1"/>
  <c r="BN187" i="2" s="1"/>
  <c r="BQ187" i="2"/>
  <c r="BL218" i="2"/>
  <c r="BM218" i="2" s="1"/>
  <c r="BN218" i="2" s="1"/>
  <c r="BQ218" i="2"/>
  <c r="BQ138" i="2"/>
  <c r="BL138" i="2"/>
  <c r="BM138" i="2" s="1"/>
  <c r="BN138" i="2" s="1"/>
  <c r="BL157" i="2"/>
  <c r="BM157" i="2" s="1"/>
  <c r="BN157" i="2" s="1"/>
  <c r="BQ157" i="2"/>
  <c r="BQ43" i="2"/>
  <c r="BL43" i="2"/>
  <c r="BM43" i="2" s="1"/>
  <c r="BN43" i="2" s="1"/>
  <c r="BQ28" i="2"/>
  <c r="BL28" i="2"/>
  <c r="BM28" i="2" s="1"/>
  <c r="BN28" i="2" s="1"/>
  <c r="BL111" i="2"/>
  <c r="BM111" i="2" s="1"/>
  <c r="BN111" i="2" s="1"/>
  <c r="BQ111" i="2"/>
  <c r="BQ215" i="2"/>
  <c r="BL215" i="2"/>
  <c r="BM215" i="2" s="1"/>
  <c r="BN215" i="2" s="1"/>
  <c r="BQ203" i="2"/>
  <c r="BL203" i="2"/>
  <c r="BM203" i="2" s="1"/>
  <c r="BN203" i="2" s="1"/>
  <c r="BL121" i="2"/>
  <c r="BM121" i="2" s="1"/>
  <c r="BN121" i="2" s="1"/>
  <c r="BQ121" i="2"/>
  <c r="BL163" i="2"/>
  <c r="BM163" i="2" s="1"/>
  <c r="BN163" i="2" s="1"/>
  <c r="BQ163" i="2"/>
  <c r="BQ71" i="2"/>
  <c r="BL71" i="2"/>
  <c r="BM71" i="2" s="1"/>
  <c r="BN71" i="2" s="1"/>
  <c r="BQ148" i="2"/>
  <c r="BL148" i="2"/>
  <c r="BM148" i="2" s="1"/>
  <c r="BN148" i="2" s="1"/>
  <c r="BQ171" i="2"/>
  <c r="BL171" i="2"/>
  <c r="BM171" i="2" s="1"/>
  <c r="BN171" i="2" s="1"/>
  <c r="BQ174" i="2"/>
  <c r="BL174" i="2"/>
  <c r="BM174" i="2" s="1"/>
  <c r="BN174" i="2" s="1"/>
  <c r="BQ166" i="2"/>
  <c r="BL166" i="2"/>
  <c r="BM166" i="2" s="1"/>
  <c r="BN166" i="2" s="1"/>
  <c r="CC104" i="2"/>
  <c r="CD104" i="2" s="1"/>
  <c r="BZ104" i="2"/>
  <c r="CE104" i="2" s="1"/>
  <c r="CF104" i="2" s="1"/>
  <c r="CE62" i="2"/>
  <c r="CF62" i="2" s="1"/>
  <c r="CC160" i="2"/>
  <c r="CD160" i="2" s="1"/>
  <c r="BZ160" i="2"/>
  <c r="CE160" i="2" s="1"/>
  <c r="CF160" i="2" s="1"/>
  <c r="BQ201" i="2"/>
  <c r="BL201" i="2"/>
  <c r="BM201" i="2" s="1"/>
  <c r="BN201" i="2" s="1"/>
  <c r="BQ82" i="2"/>
  <c r="BL82" i="2"/>
  <c r="BM82" i="2" s="1"/>
  <c r="BN82" i="2" s="1"/>
  <c r="CE186" i="2"/>
  <c r="CF186" i="2" s="1"/>
  <c r="BQ236" i="2"/>
  <c r="BL236" i="2"/>
  <c r="BM236" i="2" s="1"/>
  <c r="BN236" i="2" s="1"/>
  <c r="BQ151" i="2"/>
  <c r="BL151" i="2"/>
  <c r="BM151" i="2" s="1"/>
  <c r="BN151" i="2" s="1"/>
  <c r="CC141" i="2"/>
  <c r="CD141" i="2" s="1"/>
  <c r="BZ141" i="2"/>
  <c r="CE141" i="2" s="1"/>
  <c r="CF141" i="2" s="1"/>
  <c r="BQ45" i="2"/>
  <c r="BL45" i="2"/>
  <c r="BM45" i="2" s="1"/>
  <c r="BN45" i="2" s="1"/>
  <c r="BQ189" i="2"/>
  <c r="BL189" i="2"/>
  <c r="BM189" i="2" s="1"/>
  <c r="BN189" i="2" s="1"/>
  <c r="CC111" i="2"/>
  <c r="CD111" i="2" s="1"/>
  <c r="BZ111" i="2"/>
  <c r="CE111" i="2" s="1"/>
  <c r="CF111" i="2" s="1"/>
  <c r="CC108" i="2"/>
  <c r="CD108" i="2" s="1"/>
  <c r="BZ108" i="2"/>
  <c r="CE108" i="2" s="1"/>
  <c r="CF108" i="2" s="1"/>
  <c r="CC172" i="2"/>
  <c r="CD172" i="2" s="1"/>
  <c r="CE172" i="2" s="1"/>
  <c r="CF172" i="2" s="1"/>
  <c r="CC197" i="2"/>
  <c r="CD197" i="2" s="1"/>
  <c r="CE197" i="2" s="1"/>
  <c r="CF197" i="2" s="1"/>
  <c r="BQ135" i="2"/>
  <c r="BL135" i="2"/>
  <c r="BM135" i="2" s="1"/>
  <c r="BN135" i="2" s="1"/>
  <c r="BQ46" i="2"/>
  <c r="BL46" i="2"/>
  <c r="BM46" i="2" s="1"/>
  <c r="BN46" i="2" s="1"/>
  <c r="CE85" i="2"/>
  <c r="CF85" i="2" s="1"/>
  <c r="CE150" i="2"/>
  <c r="CF150" i="2" s="1"/>
  <c r="BR51" i="2"/>
  <c r="BS51" i="2" s="1"/>
  <c r="BT51" i="2"/>
  <c r="BU51" i="2" s="1"/>
  <c r="BZ90" i="2"/>
  <c r="CC90" i="2"/>
  <c r="CD90" i="2" s="1"/>
  <c r="CC154" i="2"/>
  <c r="CD154" i="2" s="1"/>
  <c r="BZ154" i="2"/>
  <c r="CE154" i="2" s="1"/>
  <c r="CF154" i="2" s="1"/>
  <c r="CC226" i="2"/>
  <c r="CD226" i="2" s="1"/>
  <c r="CE226" i="2" s="1"/>
  <c r="CF226" i="2" s="1"/>
  <c r="CE107" i="2"/>
  <c r="CF107" i="2" s="1"/>
  <c r="CC123" i="2"/>
  <c r="CD123" i="2" s="1"/>
  <c r="CE123" i="2" s="1"/>
  <c r="CF123" i="2" s="1"/>
  <c r="CE229" i="2"/>
  <c r="CF229" i="2" s="1"/>
  <c r="CE126" i="2"/>
  <c r="CF126" i="2" s="1"/>
  <c r="BZ70" i="2"/>
  <c r="CC70" i="2"/>
  <c r="CD70" i="2" s="1"/>
  <c r="CC188" i="2"/>
  <c r="CD188" i="2" s="1"/>
  <c r="BZ188" i="2"/>
  <c r="CE188" i="2" s="1"/>
  <c r="CF188" i="2" s="1"/>
  <c r="CE168" i="2"/>
  <c r="CF168" i="2" s="1"/>
  <c r="CC191" i="2"/>
  <c r="CD191" i="2" s="1"/>
  <c r="BZ191" i="2"/>
  <c r="BR36" i="2"/>
  <c r="BS36" i="2" s="1"/>
  <c r="BT36" i="2"/>
  <c r="BU36" i="2" s="1"/>
  <c r="CC96" i="2"/>
  <c r="CD96" i="2" s="1"/>
  <c r="BQ158" i="2"/>
  <c r="BL158" i="2"/>
  <c r="BM158" i="2" s="1"/>
  <c r="BN158" i="2" s="1"/>
  <c r="BL198" i="2"/>
  <c r="BM198" i="2" s="1"/>
  <c r="BN198" i="2" s="1"/>
  <c r="BQ198" i="2"/>
  <c r="BQ133" i="2"/>
  <c r="BL133" i="2"/>
  <c r="BM133" i="2" s="1"/>
  <c r="BN133" i="2" s="1"/>
  <c r="BL86" i="2"/>
  <c r="BM86" i="2" s="1"/>
  <c r="BN86" i="2" s="1"/>
  <c r="BQ86" i="2"/>
  <c r="BQ191" i="2"/>
  <c r="BL191" i="2"/>
  <c r="BM191" i="2" s="1"/>
  <c r="BN191" i="2" s="1"/>
  <c r="BL141" i="2"/>
  <c r="BM141" i="2" s="1"/>
  <c r="BN141" i="2" s="1"/>
  <c r="BQ141" i="2"/>
  <c r="BQ31" i="2"/>
  <c r="BL31" i="2"/>
  <c r="BM31" i="2" s="1"/>
  <c r="BN31" i="2" s="1"/>
  <c r="BL95" i="2"/>
  <c r="BM95" i="2" s="1"/>
  <c r="BN95" i="2" s="1"/>
  <c r="BQ95" i="2"/>
  <c r="BQ154" i="2"/>
  <c r="BL154" i="2"/>
  <c r="BM154" i="2" s="1"/>
  <c r="BN154" i="2" s="1"/>
  <c r="BQ79" i="2"/>
  <c r="BL79" i="2"/>
  <c r="BM79" i="2" s="1"/>
  <c r="BN79" i="2" s="1"/>
  <c r="BQ113" i="2"/>
  <c r="BL113" i="2"/>
  <c r="BM113" i="2" s="1"/>
  <c r="BN113" i="2" s="1"/>
  <c r="BL68" i="2"/>
  <c r="BM68" i="2" s="1"/>
  <c r="BN68" i="2" s="1"/>
  <c r="BQ68" i="2"/>
  <c r="BL53" i="2"/>
  <c r="BM53" i="2" s="1"/>
  <c r="BN53" i="2" s="1"/>
  <c r="BQ53" i="2"/>
  <c r="BQ193" i="2"/>
  <c r="BL193" i="2"/>
  <c r="BM193" i="2" s="1"/>
  <c r="BN193" i="2" s="1"/>
  <c r="BQ85" i="2"/>
  <c r="BL85" i="2"/>
  <c r="BM85" i="2" s="1"/>
  <c r="BN85" i="2" s="1"/>
  <c r="BQ143" i="2"/>
  <c r="BL143" i="2"/>
  <c r="BM143" i="2" s="1"/>
  <c r="BN143" i="2" s="1"/>
  <c r="BR26" i="2"/>
  <c r="BS26" i="2" s="1"/>
  <c r="BT26" i="2"/>
  <c r="BU26" i="2" s="1"/>
  <c r="BL114" i="2"/>
  <c r="BM114" i="2" s="1"/>
  <c r="BN114" i="2" s="1"/>
  <c r="BQ114" i="2"/>
  <c r="BQ129" i="2"/>
  <c r="BL129" i="2"/>
  <c r="BM129" i="2" s="1"/>
  <c r="BN129" i="2" s="1"/>
  <c r="BQ178" i="2"/>
  <c r="BL178" i="2"/>
  <c r="BM178" i="2" s="1"/>
  <c r="BN178" i="2" s="1"/>
  <c r="CE127" i="2"/>
  <c r="CF127" i="2" s="1"/>
  <c r="CE44" i="2"/>
  <c r="CF44" i="2" s="1"/>
  <c r="BL167" i="2"/>
  <c r="BM167" i="2" s="1"/>
  <c r="BN167" i="2" s="1"/>
  <c r="BQ167" i="2"/>
  <c r="BL84" i="2"/>
  <c r="BM84" i="2" s="1"/>
  <c r="BN84" i="2" s="1"/>
  <c r="BQ84" i="2"/>
  <c r="BQ87" i="2"/>
  <c r="BL87" i="2"/>
  <c r="BM87" i="2" s="1"/>
  <c r="BN87" i="2" s="1"/>
  <c r="CE220" i="2"/>
  <c r="CF220" i="2" s="1"/>
  <c r="CE227" i="2"/>
  <c r="CF227" i="2" s="1"/>
  <c r="CE33" i="2"/>
  <c r="CF33" i="2" s="1"/>
  <c r="BL96" i="2"/>
  <c r="BM96" i="2" s="1"/>
  <c r="BN96" i="2" s="1"/>
  <c r="BQ96" i="2"/>
  <c r="BQ232" i="2"/>
  <c r="BL232" i="2"/>
  <c r="BM232" i="2" s="1"/>
  <c r="BN232" i="2" s="1"/>
  <c r="BQ115" i="2"/>
  <c r="BL115" i="2"/>
  <c r="BM115" i="2" s="1"/>
  <c r="BN115" i="2" s="1"/>
  <c r="BL210" i="2"/>
  <c r="BM210" i="2" s="1"/>
  <c r="BN210" i="2" s="1"/>
  <c r="BQ210" i="2"/>
  <c r="BQ222" i="2"/>
  <c r="BL222" i="2"/>
  <c r="BM222" i="2" s="1"/>
  <c r="BN222" i="2" s="1"/>
  <c r="BL202" i="2"/>
  <c r="BM202" i="2" s="1"/>
  <c r="BN202" i="2" s="1"/>
  <c r="BQ202" i="2"/>
  <c r="CE106" i="2"/>
  <c r="CF106" i="2" s="1"/>
  <c r="BQ70" i="2"/>
  <c r="BL70" i="2"/>
  <c r="BM70" i="2" s="1"/>
  <c r="BN70" i="2" s="1"/>
  <c r="BZ130" i="2"/>
  <c r="CC130" i="2"/>
  <c r="CD130" i="2" s="1"/>
  <c r="BQ100" i="2"/>
  <c r="BL100" i="2"/>
  <c r="BM100" i="2" s="1"/>
  <c r="BN100" i="2" s="1"/>
  <c r="BQ102" i="2"/>
  <c r="BL102" i="2"/>
  <c r="BM102" i="2" s="1"/>
  <c r="BN102" i="2" s="1"/>
  <c r="BQ63" i="2"/>
  <c r="BL63" i="2"/>
  <c r="BM63" i="2" s="1"/>
  <c r="BN63" i="2" s="1"/>
  <c r="BQ39" i="2"/>
  <c r="BL39" i="2"/>
  <c r="BM39" i="2" s="1"/>
  <c r="BN39" i="2" s="1"/>
  <c r="BL48" i="2"/>
  <c r="BM48" i="2" s="1"/>
  <c r="BN48" i="2" s="1"/>
  <c r="BQ48" i="2"/>
  <c r="CC25" i="2"/>
  <c r="CD25" i="2" s="1"/>
  <c r="BZ25" i="2"/>
  <c r="CE25" i="2" s="1"/>
  <c r="CF25" i="2" s="1"/>
  <c r="CE34" i="2"/>
  <c r="CF34" i="2" s="1"/>
  <c r="BZ60" i="2"/>
  <c r="CE60" i="2" s="1"/>
  <c r="CF60" i="2" s="1"/>
  <c r="CC60" i="2"/>
  <c r="CD60" i="2" s="1"/>
  <c r="CE117" i="2"/>
  <c r="CF117" i="2" s="1"/>
  <c r="CE61" i="2"/>
  <c r="CF61" i="2" s="1"/>
  <c r="CE165" i="2"/>
  <c r="CF165" i="2" s="1"/>
  <c r="CE88" i="2"/>
  <c r="CF88" i="2" s="1"/>
  <c r="CC202" i="2"/>
  <c r="CD202" i="2" s="1"/>
  <c r="BZ202" i="2"/>
  <c r="CE202" i="2" s="1"/>
  <c r="CF202" i="2" s="1"/>
  <c r="CE118" i="2"/>
  <c r="CF118" i="2" s="1"/>
  <c r="CC173" i="2"/>
  <c r="CD173" i="2" s="1"/>
  <c r="CE173" i="2" s="1"/>
  <c r="CF173" i="2" s="1"/>
  <c r="CE37" i="2"/>
  <c r="CF37" i="2" s="1"/>
  <c r="BL136" i="2"/>
  <c r="BM136" i="2" s="1"/>
  <c r="BN136" i="2" s="1"/>
  <c r="BQ136" i="2"/>
  <c r="BQ32" i="2"/>
  <c r="BL32" i="2"/>
  <c r="BM32" i="2" s="1"/>
  <c r="BN32" i="2" s="1"/>
  <c r="BL38" i="2"/>
  <c r="BM38" i="2" s="1"/>
  <c r="BN38" i="2" s="1"/>
  <c r="BQ38" i="2"/>
  <c r="BQ225" i="2"/>
  <c r="BL225" i="2"/>
  <c r="BM225" i="2" s="1"/>
  <c r="BN225" i="2" s="1"/>
  <c r="BL64" i="2"/>
  <c r="BM64" i="2" s="1"/>
  <c r="BN64" i="2" s="1"/>
  <c r="BQ64" i="2"/>
  <c r="BQ109" i="2"/>
  <c r="BL109" i="2"/>
  <c r="BM109" i="2" s="1"/>
  <c r="BN109" i="2" s="1"/>
  <c r="BQ89" i="2"/>
  <c r="BL89" i="2"/>
  <c r="BM89" i="2" s="1"/>
  <c r="BN89" i="2" s="1"/>
  <c r="BL128" i="2"/>
  <c r="BM128" i="2" s="1"/>
  <c r="BN128" i="2" s="1"/>
  <c r="BQ128" i="2"/>
  <c r="BL159" i="2"/>
  <c r="BM159" i="2" s="1"/>
  <c r="BN159" i="2" s="1"/>
  <c r="BQ159" i="2"/>
  <c r="BL37" i="2"/>
  <c r="BM37" i="2" s="1"/>
  <c r="BN37" i="2" s="1"/>
  <c r="BQ37" i="2"/>
  <c r="BQ216" i="2"/>
  <c r="BL216" i="2"/>
  <c r="BM216" i="2" s="1"/>
  <c r="BN216" i="2" s="1"/>
  <c r="BL184" i="2"/>
  <c r="BM184" i="2" s="1"/>
  <c r="BN184" i="2" s="1"/>
  <c r="BQ184" i="2"/>
  <c r="BQ181" i="2"/>
  <c r="BL181" i="2"/>
  <c r="BM181" i="2" s="1"/>
  <c r="BN181" i="2" s="1"/>
  <c r="BQ224" i="2"/>
  <c r="BL224" i="2"/>
  <c r="BM224" i="2" s="1"/>
  <c r="BN224" i="2" s="1"/>
  <c r="BZ159" i="2"/>
  <c r="CE159" i="2" s="1"/>
  <c r="CF159" i="2" s="1"/>
  <c r="CC159" i="2"/>
  <c r="CD159" i="2" s="1"/>
  <c r="BL175" i="2"/>
  <c r="BM175" i="2" s="1"/>
  <c r="BN175" i="2" s="1"/>
  <c r="BQ175" i="2"/>
  <c r="BQ137" i="2"/>
  <c r="BL137" i="2"/>
  <c r="BM137" i="2" s="1"/>
  <c r="BN137" i="2" s="1"/>
  <c r="BQ199" i="2"/>
  <c r="BL199" i="2"/>
  <c r="BM199" i="2" s="1"/>
  <c r="BN199" i="2" s="1"/>
  <c r="BL152" i="2"/>
  <c r="BM152" i="2" s="1"/>
  <c r="BN152" i="2" s="1"/>
  <c r="BQ152" i="2"/>
  <c r="BQ146" i="2"/>
  <c r="BL146" i="2"/>
  <c r="BM146" i="2" s="1"/>
  <c r="BN146" i="2" s="1"/>
  <c r="BQ226" i="2"/>
  <c r="BL226" i="2"/>
  <c r="BM226" i="2" s="1"/>
  <c r="BN226" i="2" s="1"/>
  <c r="CE46" i="2"/>
  <c r="CF46" i="2" s="1"/>
  <c r="CC203" i="2"/>
  <c r="CD203" i="2" s="1"/>
  <c r="BZ203" i="2"/>
  <c r="CE203" i="2" s="1"/>
  <c r="CF203" i="2" s="1"/>
  <c r="BL67" i="2"/>
  <c r="BM67" i="2" s="1"/>
  <c r="BN67" i="2" s="1"/>
  <c r="BQ67" i="2"/>
  <c r="BQ30" i="2"/>
  <c r="BL30" i="2"/>
  <c r="BM30" i="2" s="1"/>
  <c r="BN30" i="2" s="1"/>
  <c r="BQ139" i="2"/>
  <c r="BL139" i="2"/>
  <c r="BM139" i="2" s="1"/>
  <c r="BN139" i="2" s="1"/>
  <c r="BQ144" i="2"/>
  <c r="BL144" i="2"/>
  <c r="BM144" i="2" s="1"/>
  <c r="BN144" i="2" s="1"/>
  <c r="CC75" i="2"/>
  <c r="CD75" i="2" s="1"/>
  <c r="BZ75" i="2"/>
  <c r="CE75" i="2" s="1"/>
  <c r="CF75" i="2" s="1"/>
  <c r="CE120" i="2"/>
  <c r="CF120" i="2" s="1"/>
  <c r="CE98" i="2"/>
  <c r="CF98" i="2" s="1"/>
  <c r="CC42" i="2"/>
  <c r="CD42" i="2" s="1"/>
  <c r="BZ42" i="2"/>
  <c r="BL94" i="2"/>
  <c r="BM94" i="2" s="1"/>
  <c r="BN94" i="2" s="1"/>
  <c r="BQ94" i="2"/>
  <c r="BZ217" i="2"/>
  <c r="CE217" i="2" s="1"/>
  <c r="CF217" i="2" s="1"/>
  <c r="CC217" i="2"/>
  <c r="CD217" i="2" s="1"/>
  <c r="BQ142" i="2"/>
  <c r="BL142" i="2"/>
  <c r="BM142" i="2" s="1"/>
  <c r="BN142" i="2" s="1"/>
  <c r="BQ161" i="2"/>
  <c r="BL161" i="2"/>
  <c r="BM161" i="2" s="1"/>
  <c r="BN161" i="2" s="1"/>
  <c r="BQ204" i="2"/>
  <c r="BL204" i="2"/>
  <c r="BM204" i="2" s="1"/>
  <c r="BN204" i="2" s="1"/>
  <c r="BZ99" i="2"/>
  <c r="CC99" i="2"/>
  <c r="CD99" i="2" s="1"/>
  <c r="BQ73" i="2"/>
  <c r="BL73" i="2"/>
  <c r="BM73" i="2" s="1"/>
  <c r="BN73" i="2" s="1"/>
  <c r="BZ133" i="2"/>
  <c r="CC133" i="2"/>
  <c r="CD133" i="2" s="1"/>
  <c r="CE143" i="2"/>
  <c r="CF143" i="2" s="1"/>
  <c r="CE230" i="2"/>
  <c r="CF230" i="2" s="1"/>
  <c r="CC48" i="2"/>
  <c r="CD48" i="2" s="1"/>
  <c r="BZ48" i="2"/>
  <c r="BL170" i="2"/>
  <c r="BM170" i="2" s="1"/>
  <c r="BN170" i="2" s="1"/>
  <c r="BQ170" i="2"/>
  <c r="BL160" i="2"/>
  <c r="BM160" i="2" s="1"/>
  <c r="BN160" i="2" s="1"/>
  <c r="BQ160" i="2"/>
  <c r="BQ127" i="2"/>
  <c r="BL127" i="2"/>
  <c r="BM127" i="2" s="1"/>
  <c r="BN127" i="2" s="1"/>
  <c r="BQ125" i="2"/>
  <c r="BL125" i="2"/>
  <c r="BM125" i="2" s="1"/>
  <c r="BN125" i="2" s="1"/>
  <c r="BL238" i="2"/>
  <c r="BM238" i="2" s="1"/>
  <c r="BN238" i="2" s="1"/>
  <c r="BQ238" i="2"/>
  <c r="CC47" i="2"/>
  <c r="CD47" i="2" s="1"/>
  <c r="BZ47" i="2"/>
  <c r="CE47" i="2" s="1"/>
  <c r="CF47" i="2" s="1"/>
  <c r="CC63" i="2"/>
  <c r="CD63" i="2" s="1"/>
  <c r="BZ63" i="2"/>
  <c r="CE63" i="2" s="1"/>
  <c r="CF63" i="2" s="1"/>
  <c r="CC110" i="2"/>
  <c r="CD110" i="2" s="1"/>
  <c r="CC69" i="2"/>
  <c r="CD69" i="2" s="1"/>
  <c r="CE69" i="2" s="1"/>
  <c r="CF69" i="2" s="1"/>
  <c r="BQ99" i="2"/>
  <c r="BL99" i="2"/>
  <c r="BM99" i="2" s="1"/>
  <c r="BN99" i="2" s="1"/>
  <c r="BQ156" i="2"/>
  <c r="BL156" i="2"/>
  <c r="BM156" i="2" s="1"/>
  <c r="BN156" i="2" s="1"/>
  <c r="BQ194" i="2"/>
  <c r="BL194" i="2"/>
  <c r="BM194" i="2" s="1"/>
  <c r="BN194" i="2" s="1"/>
  <c r="BL221" i="2"/>
  <c r="BM221" i="2" s="1"/>
  <c r="BN221" i="2" s="1"/>
  <c r="BQ221" i="2"/>
  <c r="BL34" i="2"/>
  <c r="BM34" i="2" s="1"/>
  <c r="BN34" i="2" s="1"/>
  <c r="BQ34" i="2"/>
  <c r="BL150" i="2"/>
  <c r="BM150" i="2" s="1"/>
  <c r="BN150" i="2" s="1"/>
  <c r="BQ150" i="2"/>
  <c r="BL40" i="2"/>
  <c r="BM40" i="2" s="1"/>
  <c r="BN40" i="2" s="1"/>
  <c r="BQ40" i="2"/>
  <c r="BL228" i="2"/>
  <c r="BM228" i="2" s="1"/>
  <c r="BN228" i="2" s="1"/>
  <c r="BQ228" i="2"/>
  <c r="BQ54" i="2"/>
  <c r="BL54" i="2"/>
  <c r="BM54" i="2" s="1"/>
  <c r="BN54" i="2" s="1"/>
  <c r="BL91" i="2"/>
  <c r="BM91" i="2" s="1"/>
  <c r="BN91" i="2" s="1"/>
  <c r="BQ91" i="2"/>
  <c r="BL104" i="2"/>
  <c r="BM104" i="2" s="1"/>
  <c r="BN104" i="2" s="1"/>
  <c r="BQ104" i="2"/>
  <c r="BL55" i="2"/>
  <c r="BM55" i="2" s="1"/>
  <c r="BN55" i="2" s="1"/>
  <c r="BQ55" i="2"/>
  <c r="BQ35" i="2"/>
  <c r="BL35" i="2"/>
  <c r="BM35" i="2" s="1"/>
  <c r="BN35" i="2" s="1"/>
  <c r="BL123" i="2"/>
  <c r="BM123" i="2" s="1"/>
  <c r="BN123" i="2" s="1"/>
  <c r="BQ123" i="2"/>
  <c r="BQ112" i="2"/>
  <c r="BL112" i="2"/>
  <c r="BM112" i="2" s="1"/>
  <c r="BN112" i="2" s="1"/>
  <c r="BL180" i="2"/>
  <c r="BM180" i="2" s="1"/>
  <c r="BN180" i="2" s="1"/>
  <c r="BQ180" i="2"/>
  <c r="BQ153" i="2"/>
  <c r="BL153" i="2"/>
  <c r="BM153" i="2" s="1"/>
  <c r="BN153" i="2" s="1"/>
  <c r="BL212" i="2"/>
  <c r="BM212" i="2" s="1"/>
  <c r="BN212" i="2" s="1"/>
  <c r="BQ212" i="2"/>
  <c r="BQ200" i="2"/>
  <c r="BL200" i="2"/>
  <c r="BM200" i="2" s="1"/>
  <c r="BN200" i="2" s="1"/>
  <c r="BZ169" i="2"/>
  <c r="CC169" i="2"/>
  <c r="CD169" i="2" s="1"/>
  <c r="BQ97" i="2"/>
  <c r="BL97" i="2"/>
  <c r="BM97" i="2" s="1"/>
  <c r="BN97" i="2" s="1"/>
  <c r="BZ45" i="2"/>
  <c r="CE45" i="2" s="1"/>
  <c r="CF45" i="2" s="1"/>
  <c r="CC45" i="2"/>
  <c r="CD45" i="2" s="1"/>
  <c r="CC223" i="2"/>
  <c r="CD223" i="2" s="1"/>
  <c r="BZ223" i="2"/>
  <c r="BL188" i="2"/>
  <c r="BM188" i="2" s="1"/>
  <c r="BN188" i="2" s="1"/>
  <c r="BQ188" i="2"/>
  <c r="BL105" i="2"/>
  <c r="BM105" i="2" s="1"/>
  <c r="BN105" i="2" s="1"/>
  <c r="BQ105" i="2"/>
  <c r="BQ60" i="2"/>
  <c r="BL60" i="2"/>
  <c r="BM60" i="2" s="1"/>
  <c r="BN60" i="2" s="1"/>
  <c r="BL58" i="2"/>
  <c r="BM58" i="2" s="1"/>
  <c r="BN58" i="2" s="1"/>
  <c r="BQ58" i="2"/>
  <c r="BL134" i="2"/>
  <c r="BM134" i="2" s="1"/>
  <c r="BN134" i="2" s="1"/>
  <c r="BQ134" i="2"/>
  <c r="CE148" i="2"/>
  <c r="CF148" i="2" s="1"/>
  <c r="BL118" i="2"/>
  <c r="BM118" i="2" s="1"/>
  <c r="BN118" i="2" s="1"/>
  <c r="BQ118" i="2"/>
  <c r="BL195" i="2"/>
  <c r="BM195" i="2" s="1"/>
  <c r="BN195" i="2" s="1"/>
  <c r="BQ195" i="2"/>
  <c r="BL101" i="2"/>
  <c r="BM101" i="2" s="1"/>
  <c r="BN101" i="2" s="1"/>
  <c r="BQ101" i="2"/>
  <c r="BQ172" i="2"/>
  <c r="BL172" i="2"/>
  <c r="BM172" i="2" s="1"/>
  <c r="BN172" i="2" s="1"/>
  <c r="BQ98" i="2"/>
  <c r="BL98" i="2"/>
  <c r="BM98" i="2" s="1"/>
  <c r="BN98" i="2" s="1"/>
  <c r="BL155" i="2"/>
  <c r="BM155" i="2" s="1"/>
  <c r="BN155" i="2" s="1"/>
  <c r="BQ155" i="2"/>
  <c r="BQ219" i="2"/>
  <c r="BL219" i="2"/>
  <c r="BM219" i="2" s="1"/>
  <c r="BN219" i="2" s="1"/>
  <c r="BQ119" i="2"/>
  <c r="BL119" i="2"/>
  <c r="BM119" i="2" s="1"/>
  <c r="BN119" i="2" s="1"/>
  <c r="CC50" i="2"/>
  <c r="CD50" i="2" s="1"/>
  <c r="CE50" i="2" s="1"/>
  <c r="CF50" i="2" s="1"/>
  <c r="CC56" i="2"/>
  <c r="CD56" i="2" s="1"/>
  <c r="BZ56" i="2"/>
  <c r="CE56" i="2" s="1"/>
  <c r="CF56" i="2" s="1"/>
  <c r="BL42" i="2"/>
  <c r="BM42" i="2" s="1"/>
  <c r="BN42" i="2" s="1"/>
  <c r="BQ42" i="2"/>
  <c r="BQ52" i="2"/>
  <c r="BL52" i="2"/>
  <c r="BM52" i="2" s="1"/>
  <c r="BN52" i="2" s="1"/>
  <c r="BL183" i="2"/>
  <c r="BM183" i="2" s="1"/>
  <c r="BN183" i="2" s="1"/>
  <c r="BQ183" i="2"/>
  <c r="BL162" i="2"/>
  <c r="BM162" i="2" s="1"/>
  <c r="BN162" i="2" s="1"/>
  <c r="BQ162" i="2"/>
  <c r="BQ108" i="2"/>
  <c r="BL108" i="2"/>
  <c r="BM108" i="2" s="1"/>
  <c r="BN108" i="2" s="1"/>
  <c r="CC238" i="2"/>
  <c r="CD238" i="2" s="1"/>
  <c r="BZ238" i="2"/>
  <c r="CC106" i="2"/>
  <c r="CD106" i="2" s="1"/>
  <c r="BZ157" i="2"/>
  <c r="CC157" i="2"/>
  <c r="CD157" i="2" s="1"/>
  <c r="CE65" i="2"/>
  <c r="CF65" i="2" s="1"/>
  <c r="BZ214" i="2"/>
  <c r="CC214" i="2"/>
  <c r="CD214" i="2" s="1"/>
  <c r="CE140" i="2"/>
  <c r="CF140" i="2" s="1"/>
  <c r="CE235" i="2"/>
  <c r="CF235" i="2" s="1"/>
  <c r="CC232" i="2"/>
  <c r="CD232" i="2" s="1"/>
  <c r="BZ232" i="2"/>
  <c r="CE232" i="2" s="1"/>
  <c r="CF232" i="2" s="1"/>
  <c r="CC195" i="2"/>
  <c r="CD195" i="2" s="1"/>
  <c r="BZ195" i="2"/>
  <c r="CE195" i="2" s="1"/>
  <c r="CF195" i="2" s="1"/>
  <c r="CE233" i="2"/>
  <c r="CF233" i="2" s="1"/>
  <c r="CE110" i="2"/>
  <c r="CF110" i="2" s="1"/>
  <c r="CC146" i="2"/>
  <c r="CD146" i="2" s="1"/>
  <c r="BZ146" i="2"/>
  <c r="CE93" i="2"/>
  <c r="CF93" i="2" s="1"/>
  <c r="CE116" i="2"/>
  <c r="CF116" i="2" s="1"/>
  <c r="BL131" i="2"/>
  <c r="BM131" i="2" s="1"/>
  <c r="BN131" i="2" s="1"/>
  <c r="BQ131" i="2"/>
  <c r="BL75" i="2"/>
  <c r="BM75" i="2" s="1"/>
  <c r="BN75" i="2" s="1"/>
  <c r="BQ75" i="2"/>
  <c r="BL231" i="2"/>
  <c r="BM231" i="2" s="1"/>
  <c r="BN231" i="2" s="1"/>
  <c r="BQ231" i="2"/>
  <c r="BQ179" i="2"/>
  <c r="BL179" i="2"/>
  <c r="BM179" i="2" s="1"/>
  <c r="BN179" i="2" s="1"/>
  <c r="BL205" i="2"/>
  <c r="BM205" i="2" s="1"/>
  <c r="BN205" i="2" s="1"/>
  <c r="BQ205" i="2"/>
  <c r="BL147" i="2"/>
  <c r="BM147" i="2" s="1"/>
  <c r="BN147" i="2" s="1"/>
  <c r="BQ147" i="2"/>
  <c r="DL15" i="2"/>
  <c r="AL15" i="2"/>
  <c r="R31" i="2"/>
  <c r="BR195" i="2" l="1"/>
  <c r="BS195" i="2" s="1"/>
  <c r="BT195" i="2"/>
  <c r="BU195" i="2" s="1"/>
  <c r="BR169" i="2"/>
  <c r="BS169" i="2" s="1"/>
  <c r="BT169" i="2"/>
  <c r="BU169" i="2" s="1"/>
  <c r="BR91" i="2"/>
  <c r="BS91" i="2" s="1"/>
  <c r="BT91" i="2"/>
  <c r="BU91" i="2" s="1"/>
  <c r="BR140" i="2"/>
  <c r="BS140" i="2" s="1"/>
  <c r="BT140" i="2"/>
  <c r="BU140" i="2" s="1"/>
  <c r="BR215" i="2"/>
  <c r="BS215" i="2" s="1"/>
  <c r="BT215" i="2"/>
  <c r="BU215" i="2" s="1"/>
  <c r="BR109" i="2"/>
  <c r="BS109" i="2" s="1"/>
  <c r="BT109" i="2"/>
  <c r="BU109" i="2" s="1"/>
  <c r="BR223" i="2"/>
  <c r="BS223" i="2" s="1"/>
  <c r="BT223" i="2"/>
  <c r="BU223" i="2" s="1"/>
  <c r="CE99" i="2"/>
  <c r="CF99" i="2" s="1"/>
  <c r="BR139" i="2"/>
  <c r="BS139" i="2" s="1"/>
  <c r="BT139" i="2"/>
  <c r="BU139" i="2" s="1"/>
  <c r="BR64" i="2"/>
  <c r="BS64" i="2" s="1"/>
  <c r="BT64" i="2"/>
  <c r="BU64" i="2" s="1"/>
  <c r="BR133" i="2"/>
  <c r="BS133" i="2" s="1"/>
  <c r="BT133" i="2"/>
  <c r="BU133" i="2" s="1"/>
  <c r="BR211" i="2"/>
  <c r="BS211" i="2" s="1"/>
  <c r="BT211" i="2"/>
  <c r="BU211" i="2" s="1"/>
  <c r="BR197" i="2"/>
  <c r="BS197" i="2" s="1"/>
  <c r="BT197" i="2"/>
  <c r="BU197" i="2" s="1"/>
  <c r="CE196" i="2"/>
  <c r="CF196" i="2" s="1"/>
  <c r="BR182" i="2"/>
  <c r="BS182" i="2" s="1"/>
  <c r="BT182" i="2"/>
  <c r="BU182" i="2" s="1"/>
  <c r="BR107" i="2"/>
  <c r="BS107" i="2" s="1"/>
  <c r="BT107" i="2"/>
  <c r="BU107" i="2" s="1"/>
  <c r="BR152" i="2"/>
  <c r="BS152" i="2" s="1"/>
  <c r="BT152" i="2"/>
  <c r="BU152" i="2" s="1"/>
  <c r="BR82" i="2"/>
  <c r="BS82" i="2" s="1"/>
  <c r="BT82" i="2"/>
  <c r="BU82" i="2" s="1"/>
  <c r="BR128" i="2"/>
  <c r="BS128" i="2" s="1"/>
  <c r="BT128" i="2"/>
  <c r="BU128" i="2" s="1"/>
  <c r="BR191" i="2"/>
  <c r="BS191" i="2" s="1"/>
  <c r="BT191" i="2"/>
  <c r="BU191" i="2" s="1"/>
  <c r="CE156" i="2"/>
  <c r="CF156" i="2" s="1"/>
  <c r="BR233" i="2"/>
  <c r="BS233" i="2" s="1"/>
  <c r="BT233" i="2"/>
  <c r="BU233" i="2" s="1"/>
  <c r="BR99" i="2"/>
  <c r="BS99" i="2" s="1"/>
  <c r="BT99" i="2"/>
  <c r="BU99" i="2" s="1"/>
  <c r="BR214" i="2"/>
  <c r="BS214" i="2" s="1"/>
  <c r="BT214" i="2"/>
  <c r="BU214" i="2" s="1"/>
  <c r="BR199" i="2"/>
  <c r="BS199" i="2" s="1"/>
  <c r="BT199" i="2"/>
  <c r="BU199" i="2" s="1"/>
  <c r="BR52" i="2"/>
  <c r="BS52" i="2" s="1"/>
  <c r="BT52" i="2"/>
  <c r="BU52" i="2" s="1"/>
  <c r="CE133" i="2"/>
  <c r="CF133" i="2" s="1"/>
  <c r="BR147" i="2"/>
  <c r="BS147" i="2" s="1"/>
  <c r="BT147" i="2"/>
  <c r="BU147" i="2" s="1"/>
  <c r="BR93" i="2"/>
  <c r="BS93" i="2" s="1"/>
  <c r="BT93" i="2"/>
  <c r="BU93" i="2" s="1"/>
  <c r="BR54" i="2"/>
  <c r="BS54" i="2" s="1"/>
  <c r="BT54" i="2"/>
  <c r="BU54" i="2" s="1"/>
  <c r="BR168" i="2"/>
  <c r="BS168" i="2" s="1"/>
  <c r="BT168" i="2"/>
  <c r="BU168" i="2" s="1"/>
  <c r="BR40" i="2"/>
  <c r="BS40" i="2" s="1"/>
  <c r="BT40" i="2"/>
  <c r="BU40" i="2" s="1"/>
  <c r="BR130" i="2"/>
  <c r="BS130" i="2" s="1"/>
  <c r="BT130" i="2"/>
  <c r="BU130" i="2" s="1"/>
  <c r="BR179" i="2"/>
  <c r="BS179" i="2" s="1"/>
  <c r="BT179" i="2"/>
  <c r="BU179" i="2" s="1"/>
  <c r="BR166" i="2"/>
  <c r="BS166" i="2" s="1"/>
  <c r="BT166" i="2"/>
  <c r="BU166" i="2" s="1"/>
  <c r="BR217" i="2"/>
  <c r="BS217" i="2" s="1"/>
  <c r="BT217" i="2"/>
  <c r="BU217" i="2" s="1"/>
  <c r="BR150" i="2"/>
  <c r="BS150" i="2" s="1"/>
  <c r="BT150" i="2"/>
  <c r="BU150" i="2" s="1"/>
  <c r="BR38" i="2"/>
  <c r="BS38" i="2" s="1"/>
  <c r="BT38" i="2"/>
  <c r="BU38" i="2" s="1"/>
  <c r="BR174" i="2"/>
  <c r="BS174" i="2" s="1"/>
  <c r="BT174" i="2"/>
  <c r="BU174" i="2" s="1"/>
  <c r="BR29" i="2"/>
  <c r="BS29" i="2" s="1"/>
  <c r="BT29" i="2"/>
  <c r="BU29" i="2" s="1"/>
  <c r="BR190" i="2"/>
  <c r="BS190" i="2" s="1"/>
  <c r="BT190" i="2"/>
  <c r="BU190" i="2" s="1"/>
  <c r="BR65" i="2"/>
  <c r="BS65" i="2" s="1"/>
  <c r="BT65" i="2"/>
  <c r="BU65" i="2" s="1"/>
  <c r="BR156" i="2"/>
  <c r="BS156" i="2" s="1"/>
  <c r="BT156" i="2"/>
  <c r="BU156" i="2" s="1"/>
  <c r="BR46" i="2"/>
  <c r="BS46" i="2" s="1"/>
  <c r="BT46" i="2"/>
  <c r="BU46" i="2" s="1"/>
  <c r="BR104" i="2"/>
  <c r="BS104" i="2" s="1"/>
  <c r="BT104" i="2"/>
  <c r="BU104" i="2" s="1"/>
  <c r="BR213" i="2"/>
  <c r="BS213" i="2" s="1"/>
  <c r="BT213" i="2"/>
  <c r="BU213" i="2" s="1"/>
  <c r="BR185" i="2"/>
  <c r="BS185" i="2" s="1"/>
  <c r="BT185" i="2"/>
  <c r="BU185" i="2" s="1"/>
  <c r="BR144" i="2"/>
  <c r="BS144" i="2" s="1"/>
  <c r="BT144" i="2"/>
  <c r="BU144" i="2" s="1"/>
  <c r="BR122" i="2"/>
  <c r="BS122" i="2" s="1"/>
  <c r="BT122" i="2"/>
  <c r="BU122" i="2" s="1"/>
  <c r="BR49" i="2"/>
  <c r="BS49" i="2" s="1"/>
  <c r="BT49" i="2"/>
  <c r="BU49" i="2" s="1"/>
  <c r="BR198" i="2"/>
  <c r="BS198" i="2" s="1"/>
  <c r="BT198" i="2"/>
  <c r="BU198" i="2" s="1"/>
  <c r="BR230" i="2"/>
  <c r="BS230" i="2" s="1"/>
  <c r="BT230" i="2"/>
  <c r="BU230" i="2" s="1"/>
  <c r="BR30" i="2"/>
  <c r="BS30" i="2" s="1"/>
  <c r="BT30" i="2"/>
  <c r="BU30" i="2" s="1"/>
  <c r="BR145" i="2"/>
  <c r="BS145" i="2" s="1"/>
  <c r="BT145" i="2"/>
  <c r="BU145" i="2" s="1"/>
  <c r="BR119" i="2"/>
  <c r="BS119" i="2" s="1"/>
  <c r="BT119" i="2"/>
  <c r="BU119" i="2" s="1"/>
  <c r="BR224" i="2"/>
  <c r="BS224" i="2" s="1"/>
  <c r="BT224" i="2"/>
  <c r="BU224" i="2" s="1"/>
  <c r="BR120" i="2"/>
  <c r="BS120" i="2" s="1"/>
  <c r="BT120" i="2"/>
  <c r="BU120" i="2" s="1"/>
  <c r="BR60" i="2"/>
  <c r="BS60" i="2" s="1"/>
  <c r="BT60" i="2"/>
  <c r="BU60" i="2" s="1"/>
  <c r="BR158" i="2"/>
  <c r="BS158" i="2" s="1"/>
  <c r="BT158" i="2"/>
  <c r="BU158" i="2" s="1"/>
  <c r="BR219" i="2"/>
  <c r="BS219" i="2" s="1"/>
  <c r="BT219" i="2"/>
  <c r="BU219" i="2" s="1"/>
  <c r="BR110" i="2"/>
  <c r="BS110" i="2" s="1"/>
  <c r="BT110" i="2"/>
  <c r="BU110" i="2" s="1"/>
  <c r="CE74" i="2"/>
  <c r="CF74" i="2" s="1"/>
  <c r="BR143" i="2"/>
  <c r="BS143" i="2" s="1"/>
  <c r="BT143" i="2"/>
  <c r="BU143" i="2" s="1"/>
  <c r="BR165" i="2"/>
  <c r="BS165" i="2" s="1"/>
  <c r="BT165" i="2"/>
  <c r="BU165" i="2" s="1"/>
  <c r="BR59" i="2"/>
  <c r="BS59" i="2" s="1"/>
  <c r="BT59" i="2"/>
  <c r="BU59" i="2" s="1"/>
  <c r="BR85" i="2"/>
  <c r="BS85" i="2" s="1"/>
  <c r="BT85" i="2"/>
  <c r="BU85" i="2" s="1"/>
  <c r="CE130" i="2"/>
  <c r="CF130" i="2" s="1"/>
  <c r="BR73" i="2"/>
  <c r="BS73" i="2" s="1"/>
  <c r="BT73" i="2"/>
  <c r="BU73" i="2" s="1"/>
  <c r="BR88" i="2"/>
  <c r="BS88" i="2" s="1"/>
  <c r="BT88" i="2"/>
  <c r="BU88" i="2" s="1"/>
  <c r="BR80" i="2"/>
  <c r="BS80" i="2" s="1"/>
  <c r="BT80" i="2"/>
  <c r="BU80" i="2" s="1"/>
  <c r="BR205" i="2"/>
  <c r="BS205" i="2" s="1"/>
  <c r="BT205" i="2"/>
  <c r="BU205" i="2" s="1"/>
  <c r="BR53" i="2"/>
  <c r="BS53" i="2" s="1"/>
  <c r="BT53" i="2"/>
  <c r="BU53" i="2" s="1"/>
  <c r="BR238" i="2"/>
  <c r="BS238" i="2" s="1"/>
  <c r="BT238" i="2"/>
  <c r="BU238" i="2" s="1"/>
  <c r="BR202" i="2"/>
  <c r="BS202" i="2" s="1"/>
  <c r="BT202" i="2"/>
  <c r="BU202" i="2" s="1"/>
  <c r="BR27" i="2"/>
  <c r="BS27" i="2" s="1"/>
  <c r="BT27" i="2"/>
  <c r="BU27" i="2" s="1"/>
  <c r="BR173" i="2"/>
  <c r="BS173" i="2" s="1"/>
  <c r="BT173" i="2"/>
  <c r="BU173" i="2" s="1"/>
  <c r="BR180" i="2"/>
  <c r="BS180" i="2" s="1"/>
  <c r="BT180" i="2"/>
  <c r="BU180" i="2" s="1"/>
  <c r="BR67" i="2"/>
  <c r="BS67" i="2" s="1"/>
  <c r="BT67" i="2"/>
  <c r="BU67" i="2" s="1"/>
  <c r="BR237" i="2"/>
  <c r="BS237" i="2" s="1"/>
  <c r="BT237" i="2"/>
  <c r="BU237" i="2" s="1"/>
  <c r="BR113" i="2"/>
  <c r="BS113" i="2" s="1"/>
  <c r="BT113" i="2"/>
  <c r="BU113" i="2" s="1"/>
  <c r="BR62" i="2"/>
  <c r="BS62" i="2" s="1"/>
  <c r="BT62" i="2"/>
  <c r="BU62" i="2" s="1"/>
  <c r="BR90" i="2"/>
  <c r="BS90" i="2" s="1"/>
  <c r="BT90" i="2"/>
  <c r="BU90" i="2" s="1"/>
  <c r="BR75" i="2"/>
  <c r="BS75" i="2" s="1"/>
  <c r="BT75" i="2"/>
  <c r="BU75" i="2" s="1"/>
  <c r="BR34" i="2"/>
  <c r="BS34" i="2" s="1"/>
  <c r="BT34" i="2"/>
  <c r="BU34" i="2" s="1"/>
  <c r="BR112" i="2"/>
  <c r="BS112" i="2" s="1"/>
  <c r="BT112" i="2"/>
  <c r="BU112" i="2" s="1"/>
  <c r="BR184" i="2"/>
  <c r="BS184" i="2" s="1"/>
  <c r="BT184" i="2"/>
  <c r="BU184" i="2" s="1"/>
  <c r="BR178" i="2"/>
  <c r="BS178" i="2" s="1"/>
  <c r="BT178" i="2"/>
  <c r="BU178" i="2" s="1"/>
  <c r="BR131" i="2"/>
  <c r="BS131" i="2" s="1"/>
  <c r="BT131" i="2"/>
  <c r="BU131" i="2" s="1"/>
  <c r="CE238" i="2"/>
  <c r="CF238" i="2" s="1"/>
  <c r="BR188" i="2"/>
  <c r="BS188" i="2" s="1"/>
  <c r="BT188" i="2"/>
  <c r="BU188" i="2" s="1"/>
  <c r="BR123" i="2"/>
  <c r="BS123" i="2" s="1"/>
  <c r="BT123" i="2"/>
  <c r="BU123" i="2" s="1"/>
  <c r="BR221" i="2"/>
  <c r="BS221" i="2" s="1"/>
  <c r="BT221" i="2"/>
  <c r="BU221" i="2" s="1"/>
  <c r="BR160" i="2"/>
  <c r="BS160" i="2" s="1"/>
  <c r="BT160" i="2"/>
  <c r="BU160" i="2" s="1"/>
  <c r="BR32" i="2"/>
  <c r="BS32" i="2" s="1"/>
  <c r="BT32" i="2"/>
  <c r="BU32" i="2" s="1"/>
  <c r="BR61" i="2"/>
  <c r="BS61" i="2" s="1"/>
  <c r="BT61" i="2"/>
  <c r="BU61" i="2" s="1"/>
  <c r="BR81" i="2"/>
  <c r="BS81" i="2" s="1"/>
  <c r="BT81" i="2"/>
  <c r="BU81" i="2" s="1"/>
  <c r="BR74" i="2"/>
  <c r="BS74" i="2" s="1"/>
  <c r="BT74" i="2"/>
  <c r="BU74" i="2" s="1"/>
  <c r="BR196" i="2"/>
  <c r="BS196" i="2" s="1"/>
  <c r="BT196" i="2"/>
  <c r="BU196" i="2" s="1"/>
  <c r="BR117" i="2"/>
  <c r="BS117" i="2" s="1"/>
  <c r="BT117" i="2"/>
  <c r="BU117" i="2" s="1"/>
  <c r="BR121" i="2"/>
  <c r="BS121" i="2" s="1"/>
  <c r="BT121" i="2"/>
  <c r="BU121" i="2" s="1"/>
  <c r="CE40" i="2"/>
  <c r="CF40" i="2" s="1"/>
  <c r="BR97" i="2"/>
  <c r="BS97" i="2" s="1"/>
  <c r="BT97" i="2"/>
  <c r="BU97" i="2" s="1"/>
  <c r="BR135" i="2"/>
  <c r="BS135" i="2" s="1"/>
  <c r="BT135" i="2"/>
  <c r="BU135" i="2" s="1"/>
  <c r="CE234" i="2"/>
  <c r="CF234" i="2" s="1"/>
  <c r="BR201" i="2"/>
  <c r="BS201" i="2" s="1"/>
  <c r="BT201" i="2"/>
  <c r="BU201" i="2" s="1"/>
  <c r="BR118" i="2"/>
  <c r="BS118" i="2" s="1"/>
  <c r="BT118" i="2"/>
  <c r="BU118" i="2" s="1"/>
  <c r="BR42" i="2"/>
  <c r="BS42" i="2" s="1"/>
  <c r="BT42" i="2"/>
  <c r="BU42" i="2" s="1"/>
  <c r="BR89" i="2"/>
  <c r="BS89" i="2" s="1"/>
  <c r="BT89" i="2"/>
  <c r="BU89" i="2" s="1"/>
  <c r="BR228" i="2"/>
  <c r="BS228" i="2" s="1"/>
  <c r="BT228" i="2"/>
  <c r="BU228" i="2" s="1"/>
  <c r="BR48" i="2"/>
  <c r="BS48" i="2" s="1"/>
  <c r="BT48" i="2"/>
  <c r="BU48" i="2" s="1"/>
  <c r="BR171" i="2"/>
  <c r="BS171" i="2" s="1"/>
  <c r="BT171" i="2"/>
  <c r="BU171" i="2" s="1"/>
  <c r="BR129" i="2"/>
  <c r="BS129" i="2" s="1"/>
  <c r="BT129" i="2"/>
  <c r="BU129" i="2" s="1"/>
  <c r="BR154" i="2"/>
  <c r="BS154" i="2" s="1"/>
  <c r="BT154" i="2"/>
  <c r="BU154" i="2" s="1"/>
  <c r="BR151" i="2"/>
  <c r="BS151" i="2" s="1"/>
  <c r="BT151" i="2"/>
  <c r="BU151" i="2" s="1"/>
  <c r="BR148" i="2"/>
  <c r="BS148" i="2" s="1"/>
  <c r="BT148" i="2"/>
  <c r="BU148" i="2" s="1"/>
  <c r="BR138" i="2"/>
  <c r="BS138" i="2" s="1"/>
  <c r="BT138" i="2"/>
  <c r="BU138" i="2" s="1"/>
  <c r="BR66" i="2"/>
  <c r="BS66" i="2" s="1"/>
  <c r="BT66" i="2"/>
  <c r="BU66" i="2" s="1"/>
  <c r="BR77" i="2"/>
  <c r="BS77" i="2" s="1"/>
  <c r="BT77" i="2"/>
  <c r="BU77" i="2" s="1"/>
  <c r="BR41" i="2"/>
  <c r="BS41" i="2" s="1"/>
  <c r="BT41" i="2"/>
  <c r="BU41" i="2" s="1"/>
  <c r="BR141" i="2"/>
  <c r="BS141" i="2" s="1"/>
  <c r="BT141" i="2"/>
  <c r="BU141" i="2" s="1"/>
  <c r="BR69" i="2"/>
  <c r="BS69" i="2" s="1"/>
  <c r="BT69" i="2"/>
  <c r="BU69" i="2" s="1"/>
  <c r="BR203" i="2"/>
  <c r="BS203" i="2" s="1"/>
  <c r="BT203" i="2"/>
  <c r="BU203" i="2" s="1"/>
  <c r="BR86" i="2"/>
  <c r="BS86" i="2" s="1"/>
  <c r="BT86" i="2"/>
  <c r="BU86" i="2" s="1"/>
  <c r="BR56" i="2"/>
  <c r="BS56" i="2" s="1"/>
  <c r="BT56" i="2"/>
  <c r="BU56" i="2" s="1"/>
  <c r="BR200" i="2"/>
  <c r="BS200" i="2" s="1"/>
  <c r="BT200" i="2"/>
  <c r="BU200" i="2" s="1"/>
  <c r="BR175" i="2"/>
  <c r="BS175" i="2" s="1"/>
  <c r="BT175" i="2"/>
  <c r="BU175" i="2" s="1"/>
  <c r="BR193" i="2"/>
  <c r="BS193" i="2" s="1"/>
  <c r="BT193" i="2"/>
  <c r="BU193" i="2" s="1"/>
  <c r="BR212" i="2"/>
  <c r="BS212" i="2" s="1"/>
  <c r="BT212" i="2"/>
  <c r="BU212" i="2" s="1"/>
  <c r="BR84" i="2"/>
  <c r="BS84" i="2" s="1"/>
  <c r="BT84" i="2"/>
  <c r="BU84" i="2" s="1"/>
  <c r="BR167" i="2"/>
  <c r="BS167" i="2" s="1"/>
  <c r="BT167" i="2"/>
  <c r="BU167" i="2" s="1"/>
  <c r="BR189" i="2"/>
  <c r="BS189" i="2" s="1"/>
  <c r="BT189" i="2"/>
  <c r="BU189" i="2" s="1"/>
  <c r="BR231" i="2"/>
  <c r="BS231" i="2" s="1"/>
  <c r="BT231" i="2"/>
  <c r="BU231" i="2" s="1"/>
  <c r="BR161" i="2"/>
  <c r="BS161" i="2" s="1"/>
  <c r="BT161" i="2"/>
  <c r="BU161" i="2" s="1"/>
  <c r="BR43" i="2"/>
  <c r="BS43" i="2" s="1"/>
  <c r="BT43" i="2"/>
  <c r="BU43" i="2" s="1"/>
  <c r="BR44" i="2"/>
  <c r="BS44" i="2" s="1"/>
  <c r="BT44" i="2"/>
  <c r="BU44" i="2" s="1"/>
  <c r="BR105" i="2"/>
  <c r="BS105" i="2" s="1"/>
  <c r="BT105" i="2"/>
  <c r="BU105" i="2" s="1"/>
  <c r="BR181" i="2"/>
  <c r="BS181" i="2" s="1"/>
  <c r="BT181" i="2"/>
  <c r="BU181" i="2" s="1"/>
  <c r="BR155" i="2"/>
  <c r="BS155" i="2" s="1"/>
  <c r="BT155" i="2"/>
  <c r="BU155" i="2" s="1"/>
  <c r="BR142" i="2"/>
  <c r="BS142" i="2" s="1"/>
  <c r="BT142" i="2"/>
  <c r="BU142" i="2" s="1"/>
  <c r="BR79" i="2"/>
  <c r="BS79" i="2" s="1"/>
  <c r="BT79" i="2"/>
  <c r="BU79" i="2" s="1"/>
  <c r="BR136" i="2"/>
  <c r="BS136" i="2" s="1"/>
  <c r="BT136" i="2"/>
  <c r="BU136" i="2" s="1"/>
  <c r="BR98" i="2"/>
  <c r="BS98" i="2" s="1"/>
  <c r="BT98" i="2"/>
  <c r="BU98" i="2" s="1"/>
  <c r="CE223" i="2"/>
  <c r="CF223" i="2" s="1"/>
  <c r="BR170" i="2"/>
  <c r="BS170" i="2" s="1"/>
  <c r="BT170" i="2"/>
  <c r="BU170" i="2" s="1"/>
  <c r="BR94" i="2"/>
  <c r="BS94" i="2" s="1"/>
  <c r="BT94" i="2"/>
  <c r="BU94" i="2" s="1"/>
  <c r="BR226" i="2"/>
  <c r="BS226" i="2" s="1"/>
  <c r="BT226" i="2"/>
  <c r="BU226" i="2" s="1"/>
  <c r="BR216" i="2"/>
  <c r="BS216" i="2" s="1"/>
  <c r="BT216" i="2"/>
  <c r="BU216" i="2" s="1"/>
  <c r="BR39" i="2"/>
  <c r="BS39" i="2" s="1"/>
  <c r="BT39" i="2"/>
  <c r="BU39" i="2" s="1"/>
  <c r="BR115" i="2"/>
  <c r="BS115" i="2" s="1"/>
  <c r="BT115" i="2"/>
  <c r="BU115" i="2" s="1"/>
  <c r="BR114" i="2"/>
  <c r="BS114" i="2" s="1"/>
  <c r="BT114" i="2"/>
  <c r="BU114" i="2" s="1"/>
  <c r="BR95" i="2"/>
  <c r="BS95" i="2" s="1"/>
  <c r="BT95" i="2"/>
  <c r="BU95" i="2" s="1"/>
  <c r="CE191" i="2"/>
  <c r="CF191" i="2" s="1"/>
  <c r="BR218" i="2"/>
  <c r="BS218" i="2" s="1"/>
  <c r="BT218" i="2"/>
  <c r="BU218" i="2" s="1"/>
  <c r="BR208" i="2"/>
  <c r="BS208" i="2" s="1"/>
  <c r="BT208" i="2"/>
  <c r="BU208" i="2" s="1"/>
  <c r="BR227" i="2"/>
  <c r="BS227" i="2" s="1"/>
  <c r="BT227" i="2"/>
  <c r="BU227" i="2" s="1"/>
  <c r="BR176" i="2"/>
  <c r="BS176" i="2" s="1"/>
  <c r="BT176" i="2"/>
  <c r="BU176" i="2" s="1"/>
  <c r="BR206" i="2"/>
  <c r="BS206" i="2" s="1"/>
  <c r="BT206" i="2"/>
  <c r="BU206" i="2" s="1"/>
  <c r="CE151" i="2"/>
  <c r="CF151" i="2" s="1"/>
  <c r="BR57" i="2"/>
  <c r="BS57" i="2" s="1"/>
  <c r="BT57" i="2"/>
  <c r="BU57" i="2" s="1"/>
  <c r="BR96" i="2"/>
  <c r="BS96" i="2" s="1"/>
  <c r="BT96" i="2"/>
  <c r="BU96" i="2" s="1"/>
  <c r="BR25" i="2"/>
  <c r="BS25" i="2" s="1"/>
  <c r="BT25" i="2"/>
  <c r="BU25" i="2" s="1"/>
  <c r="BR33" i="2"/>
  <c r="BS33" i="2" s="1"/>
  <c r="BT33" i="2"/>
  <c r="BU33" i="2" s="1"/>
  <c r="BR50" i="2"/>
  <c r="BS50" i="2" s="1"/>
  <c r="BT50" i="2"/>
  <c r="BU50" i="2" s="1"/>
  <c r="BR72" i="2"/>
  <c r="BS72" i="2" s="1"/>
  <c r="BT72" i="2"/>
  <c r="BU72" i="2" s="1"/>
  <c r="BR70" i="2"/>
  <c r="BS70" i="2" s="1"/>
  <c r="BT70" i="2"/>
  <c r="BU70" i="2" s="1"/>
  <c r="BR111" i="2"/>
  <c r="BS111" i="2" s="1"/>
  <c r="BT111" i="2"/>
  <c r="BU111" i="2" s="1"/>
  <c r="BR58" i="2"/>
  <c r="BS58" i="2" s="1"/>
  <c r="BT58" i="2"/>
  <c r="BU58" i="2" s="1"/>
  <c r="BR116" i="2"/>
  <c r="BS116" i="2" s="1"/>
  <c r="BT116" i="2"/>
  <c r="BU116" i="2" s="1"/>
  <c r="CE214" i="2"/>
  <c r="CF214" i="2" s="1"/>
  <c r="BR204" i="2"/>
  <c r="BS204" i="2" s="1"/>
  <c r="BT204" i="2"/>
  <c r="BU204" i="2" s="1"/>
  <c r="BR28" i="2"/>
  <c r="BS28" i="2" s="1"/>
  <c r="BT28" i="2"/>
  <c r="BU28" i="2" s="1"/>
  <c r="BR103" i="2"/>
  <c r="BS103" i="2" s="1"/>
  <c r="BT103" i="2"/>
  <c r="BU103" i="2" s="1"/>
  <c r="BR125" i="2"/>
  <c r="BS125" i="2" s="1"/>
  <c r="BT125" i="2"/>
  <c r="BU125" i="2" s="1"/>
  <c r="BR222" i="2"/>
  <c r="BS222" i="2" s="1"/>
  <c r="BT222" i="2"/>
  <c r="BU222" i="2" s="1"/>
  <c r="BR235" i="2"/>
  <c r="BS235" i="2" s="1"/>
  <c r="BT235" i="2"/>
  <c r="BU235" i="2" s="1"/>
  <c r="CE157" i="2"/>
  <c r="CF157" i="2" s="1"/>
  <c r="CE90" i="2"/>
  <c r="CF90" i="2" s="1"/>
  <c r="BR157" i="2"/>
  <c r="BS157" i="2" s="1"/>
  <c r="BT157" i="2"/>
  <c r="BU157" i="2" s="1"/>
  <c r="BR108" i="2"/>
  <c r="BS108" i="2" s="1"/>
  <c r="BT108" i="2"/>
  <c r="BU108" i="2" s="1"/>
  <c r="BR35" i="2"/>
  <c r="BS35" i="2" s="1"/>
  <c r="BT35" i="2"/>
  <c r="BU35" i="2" s="1"/>
  <c r="BR194" i="2"/>
  <c r="BS194" i="2" s="1"/>
  <c r="BT194" i="2"/>
  <c r="BU194" i="2" s="1"/>
  <c r="BR37" i="2"/>
  <c r="BS37" i="2" s="1"/>
  <c r="BT37" i="2"/>
  <c r="BU37" i="2" s="1"/>
  <c r="BR236" i="2"/>
  <c r="BS236" i="2" s="1"/>
  <c r="BT236" i="2"/>
  <c r="BU236" i="2" s="1"/>
  <c r="BR71" i="2"/>
  <c r="BS71" i="2" s="1"/>
  <c r="BT71" i="2"/>
  <c r="BU71" i="2" s="1"/>
  <c r="BR234" i="2"/>
  <c r="BS234" i="2" s="1"/>
  <c r="BT234" i="2"/>
  <c r="BU234" i="2" s="1"/>
  <c r="BR24" i="2"/>
  <c r="BS24" i="2" s="1"/>
  <c r="BT24" i="2"/>
  <c r="BU24" i="2" s="1"/>
  <c r="BR207" i="2"/>
  <c r="BS207" i="2" s="1"/>
  <c r="BT207" i="2"/>
  <c r="BU207" i="2" s="1"/>
  <c r="BR220" i="2"/>
  <c r="BS220" i="2" s="1"/>
  <c r="BT220" i="2"/>
  <c r="BU220" i="2" s="1"/>
  <c r="BR101" i="2"/>
  <c r="BS101" i="2" s="1"/>
  <c r="BT101" i="2"/>
  <c r="BU101" i="2" s="1"/>
  <c r="BR159" i="2"/>
  <c r="BS159" i="2" s="1"/>
  <c r="BT159" i="2"/>
  <c r="BU159" i="2" s="1"/>
  <c r="BR31" i="2"/>
  <c r="BS31" i="2" s="1"/>
  <c r="BT31" i="2"/>
  <c r="BU31" i="2" s="1"/>
  <c r="BR78" i="2"/>
  <c r="BS78" i="2" s="1"/>
  <c r="BT78" i="2"/>
  <c r="BU78" i="2" s="1"/>
  <c r="BR183" i="2"/>
  <c r="BS183" i="2" s="1"/>
  <c r="BT183" i="2"/>
  <c r="BU183" i="2" s="1"/>
  <c r="BR102" i="2"/>
  <c r="BS102" i="2" s="1"/>
  <c r="BT102" i="2"/>
  <c r="BU102" i="2" s="1"/>
  <c r="BR149" i="2"/>
  <c r="BS149" i="2" s="1"/>
  <c r="BT149" i="2"/>
  <c r="BU149" i="2" s="1"/>
  <c r="BR100" i="2"/>
  <c r="BS100" i="2" s="1"/>
  <c r="BT100" i="2"/>
  <c r="BU100" i="2" s="1"/>
  <c r="CE169" i="2"/>
  <c r="CF169" i="2" s="1"/>
  <c r="CE70" i="2"/>
  <c r="CF70" i="2" s="1"/>
  <c r="BR83" i="2"/>
  <c r="BS83" i="2" s="1"/>
  <c r="BT83" i="2"/>
  <c r="BU83" i="2" s="1"/>
  <c r="BR137" i="2"/>
  <c r="BS137" i="2" s="1"/>
  <c r="BT137" i="2"/>
  <c r="BU137" i="2" s="1"/>
  <c r="CE224" i="2"/>
  <c r="CF224" i="2" s="1"/>
  <c r="BR87" i="2"/>
  <c r="BS87" i="2" s="1"/>
  <c r="BT87" i="2"/>
  <c r="BU87" i="2" s="1"/>
  <c r="BR92" i="2"/>
  <c r="BS92" i="2" s="1"/>
  <c r="BT92" i="2"/>
  <c r="BU92" i="2" s="1"/>
  <c r="BR134" i="2"/>
  <c r="BS134" i="2" s="1"/>
  <c r="BT134" i="2"/>
  <c r="BU134" i="2" s="1"/>
  <c r="BR68" i="2"/>
  <c r="BS68" i="2" s="1"/>
  <c r="BT68" i="2"/>
  <c r="BU68" i="2" s="1"/>
  <c r="BR177" i="2"/>
  <c r="BS177" i="2" s="1"/>
  <c r="BT177" i="2"/>
  <c r="BU177" i="2" s="1"/>
  <c r="BR153" i="2"/>
  <c r="BS153" i="2" s="1"/>
  <c r="BT153" i="2"/>
  <c r="BU153" i="2" s="1"/>
  <c r="BR47" i="2"/>
  <c r="BS47" i="2" s="1"/>
  <c r="BT47" i="2"/>
  <c r="BU47" i="2" s="1"/>
  <c r="BR225" i="2"/>
  <c r="BS225" i="2" s="1"/>
  <c r="BT225" i="2"/>
  <c r="BU225" i="2" s="1"/>
  <c r="BR76" i="2"/>
  <c r="BS76" i="2" s="1"/>
  <c r="BT76" i="2"/>
  <c r="BU76" i="2" s="1"/>
  <c r="BR45" i="2"/>
  <c r="BS45" i="2" s="1"/>
  <c r="BT45" i="2"/>
  <c r="BU45" i="2" s="1"/>
  <c r="BR229" i="2"/>
  <c r="BS229" i="2" s="1"/>
  <c r="BT229" i="2"/>
  <c r="BU229" i="2" s="1"/>
  <c r="BR192" i="2"/>
  <c r="BS192" i="2" s="1"/>
  <c r="BT192" i="2"/>
  <c r="BU192" i="2" s="1"/>
  <c r="BR127" i="2"/>
  <c r="BS127" i="2" s="1"/>
  <c r="BT127" i="2"/>
  <c r="BU127" i="2" s="1"/>
  <c r="BR210" i="2"/>
  <c r="BS210" i="2" s="1"/>
  <c r="BT210" i="2"/>
  <c r="BU210" i="2" s="1"/>
  <c r="CE81" i="2"/>
  <c r="CF81" i="2" s="1"/>
  <c r="CE146" i="2"/>
  <c r="CF146" i="2" s="1"/>
  <c r="BR162" i="2"/>
  <c r="BS162" i="2" s="1"/>
  <c r="BT162" i="2"/>
  <c r="BU162" i="2" s="1"/>
  <c r="BR172" i="2"/>
  <c r="BS172" i="2" s="1"/>
  <c r="BT172" i="2"/>
  <c r="BU172" i="2" s="1"/>
  <c r="BR55" i="2"/>
  <c r="BS55" i="2" s="1"/>
  <c r="BT55" i="2"/>
  <c r="BU55" i="2" s="1"/>
  <c r="CE48" i="2"/>
  <c r="CF48" i="2" s="1"/>
  <c r="CE42" i="2"/>
  <c r="CF42" i="2" s="1"/>
  <c r="BR146" i="2"/>
  <c r="BS146" i="2" s="1"/>
  <c r="BT146" i="2"/>
  <c r="BU146" i="2" s="1"/>
  <c r="BR63" i="2"/>
  <c r="BS63" i="2" s="1"/>
  <c r="BT63" i="2"/>
  <c r="BU63" i="2" s="1"/>
  <c r="BR232" i="2"/>
  <c r="BS232" i="2" s="1"/>
  <c r="BT232" i="2"/>
  <c r="BU232" i="2" s="1"/>
  <c r="BR163" i="2"/>
  <c r="BS163" i="2" s="1"/>
  <c r="BT163" i="2"/>
  <c r="BU163" i="2" s="1"/>
  <c r="BR187" i="2"/>
  <c r="BS187" i="2" s="1"/>
  <c r="BT187" i="2"/>
  <c r="BU187" i="2" s="1"/>
  <c r="BR164" i="2"/>
  <c r="BS164" i="2" s="1"/>
  <c r="BT164" i="2"/>
  <c r="BU164" i="2" s="1"/>
  <c r="BR186" i="2"/>
  <c r="BS186" i="2" s="1"/>
  <c r="BT186" i="2"/>
  <c r="BU186" i="2" s="1"/>
  <c r="BR124" i="2"/>
  <c r="BS124" i="2" s="1"/>
  <c r="BT124" i="2"/>
  <c r="BU124" i="2" s="1"/>
  <c r="BR132" i="2"/>
  <c r="BS132" i="2" s="1"/>
  <c r="BT132" i="2"/>
  <c r="BU132" i="2" s="1"/>
  <c r="BR106" i="2"/>
  <c r="BS106" i="2" s="1"/>
  <c r="BT106" i="2"/>
  <c r="BU106" i="2" s="1"/>
  <c r="BR126" i="2"/>
  <c r="BS126" i="2" s="1"/>
  <c r="BT126" i="2"/>
  <c r="BU126" i="2" s="1"/>
  <c r="CE97" i="2"/>
  <c r="CF97" i="2" s="1"/>
  <c r="BR209" i="2"/>
  <c r="BS209" i="2" s="1"/>
  <c r="BT209" i="2"/>
  <c r="BU209" i="2" s="1"/>
  <c r="F34" i="2" a="1"/>
  <c r="F34" i="2" s="1"/>
  <c r="R50" i="2" s="1"/>
  <c r="R49" i="2" l="1"/>
  <c r="R20" i="2"/>
  <c r="BV23" i="2" l="1"/>
  <c r="BX23" i="2" s="1"/>
  <c r="CA23" i="2" l="1"/>
  <c r="CB23" i="2" s="1"/>
  <c r="BW23" i="2"/>
  <c r="BO23" i="2" a="1"/>
  <c r="BP23" i="2" a="1"/>
  <c r="BO23" i="2" l="1"/>
  <c r="BL23" i="2" s="1"/>
  <c r="BP23" i="2"/>
  <c r="BY23" i="2"/>
  <c r="CC23" i="2" s="1"/>
  <c r="H76" i="2" l="1"/>
  <c r="R18" i="2"/>
  <c r="R17" i="2"/>
  <c r="R46" i="2"/>
  <c r="DL14" i="2" l="1"/>
  <c r="AL14" i="2"/>
  <c r="DL18" i="2"/>
  <c r="AL18" i="2"/>
  <c r="R47" i="2"/>
  <c r="R83" i="2" s="1"/>
  <c r="BK23" i="2"/>
  <c r="R71" i="2"/>
  <c r="BQ23" i="2"/>
  <c r="N101" i="2" l="1"/>
  <c r="M103" i="2"/>
  <c r="N102" i="2"/>
  <c r="H95" i="2"/>
  <c r="L102" i="2"/>
  <c r="L103" i="2"/>
  <c r="M102" i="2"/>
  <c r="M101" i="2"/>
  <c r="L101" i="2"/>
  <c r="H94" i="2"/>
  <c r="P103" i="2" l="1"/>
  <c r="Q103" i="2" s="1"/>
  <c r="O101" i="2"/>
  <c r="P101" i="2"/>
  <c r="Q101" i="2" s="1"/>
  <c r="O102" i="2"/>
  <c r="P102" i="2" s="1"/>
  <c r="Q102" i="2" s="1"/>
  <c r="O103" i="2"/>
  <c r="H93" i="2"/>
  <c r="Q57" i="2"/>
  <c r="O57" i="2"/>
  <c r="H91" i="2"/>
  <c r="H88" i="2"/>
  <c r="H87" i="2"/>
  <c r="H89" i="2"/>
  <c r="H90" i="2"/>
  <c r="H86" i="2"/>
  <c r="H85" i="2"/>
  <c r="H84" i="2"/>
  <c r="R85" i="2"/>
  <c r="H83" i="2"/>
  <c r="H77" i="2"/>
  <c r="H69" i="2"/>
  <c r="R25" i="2"/>
  <c r="I25" i="2"/>
  <c r="I24" i="2"/>
  <c r="R24" i="2"/>
  <c r="R53" i="2"/>
  <c r="R84" i="2" s="1"/>
  <c r="R55" i="2"/>
  <c r="Q55" i="2"/>
  <c r="P55" i="2"/>
  <c r="O55" i="2"/>
  <c r="G11" i="2"/>
  <c r="S55" i="2" a="1"/>
  <c r="R93" i="2" l="1"/>
  <c r="R68" i="2"/>
  <c r="BJ23" i="2"/>
  <c r="BR23" i="2" s="1"/>
  <c r="BS23" i="2" s="1"/>
  <c r="BI23" i="2"/>
  <c r="R51" i="2"/>
  <c r="R88" i="2" s="1"/>
  <c r="R89" i="2" s="1"/>
  <c r="S55" i="2"/>
  <c r="P57" i="2"/>
  <c r="L57" i="2"/>
  <c r="R72" i="2" s="1"/>
  <c r="R73" i="2" s="1"/>
  <c r="M57" i="2"/>
  <c r="N57" i="2" s="1"/>
  <c r="R95" i="2"/>
  <c r="R96" i="2" s="1"/>
  <c r="R94" i="2"/>
  <c r="S57" i="2"/>
  <c r="R57" i="2" s="1"/>
  <c r="I31" i="2"/>
  <c r="H97" i="2"/>
  <c r="H96" i="2"/>
  <c r="H71" i="2"/>
  <c r="R86" i="2" l="1"/>
  <c r="R90" i="2" s="1"/>
  <c r="S89" i="2"/>
  <c r="H67" i="2"/>
  <c r="I21" i="2"/>
  <c r="H68" i="2"/>
  <c r="R36" i="2"/>
  <c r="R35" i="2"/>
  <c r="R37" i="2"/>
  <c r="R30" i="2"/>
  <c r="AL16" i="2" l="1"/>
  <c r="DL16" i="2"/>
  <c r="R39" i="2"/>
  <c r="R87" i="2"/>
  <c r="S87" i="2" s="1"/>
  <c r="CD23" i="2"/>
  <c r="BZ23" i="2"/>
  <c r="CE23" i="2" s="1"/>
  <c r="CF23" i="2" s="1"/>
  <c r="R91" i="2"/>
  <c r="S91" i="2" s="1"/>
  <c r="R58" i="2"/>
  <c r="R76" i="2" s="1"/>
  <c r="I27" i="2"/>
  <c r="R22" i="2"/>
  <c r="R69" i="2" s="1"/>
  <c r="Q33" i="1"/>
  <c r="P33" i="1"/>
  <c r="O33" i="1"/>
  <c r="N33" i="1"/>
  <c r="M33" i="1"/>
  <c r="L33" i="1"/>
  <c r="K33" i="1"/>
  <c r="J33" i="1"/>
  <c r="R21" i="2" s="1"/>
  <c r="I33" i="1"/>
  <c r="H33" i="1"/>
  <c r="BH23" i="2" s="1"/>
  <c r="G15" i="1"/>
  <c r="G16" i="1" s="1"/>
  <c r="G17" i="1" s="1"/>
  <c r="G19" i="1" s="1"/>
  <c r="G20" i="1" s="1"/>
  <c r="G21" i="1" s="1"/>
  <c r="G22" i="1" s="1"/>
  <c r="G23" i="1" s="1"/>
  <c r="G24" i="1" s="1"/>
  <c r="I19" i="2"/>
  <c r="I18" i="2"/>
  <c r="I17" i="2"/>
  <c r="BM23" i="2" l="1"/>
  <c r="BN23" i="2" s="1"/>
  <c r="BT23" i="2"/>
  <c r="BU23" i="2" s="1"/>
  <c r="R80" i="2"/>
  <c r="R67" i="2"/>
  <c r="R97" i="2"/>
  <c r="S97" i="2" s="1"/>
  <c r="R77" i="2"/>
  <c r="S77" i="2" s="1"/>
  <c r="H74" i="2"/>
  <c r="I39" i="2"/>
  <c r="I38" i="2"/>
  <c r="I37" i="2"/>
  <c r="I36" i="2"/>
  <c r="I35" i="2"/>
  <c r="I34" i="2"/>
  <c r="I32" i="2"/>
  <c r="I30" i="2"/>
  <c r="I29" i="2"/>
  <c r="I28" i="2"/>
  <c r="I22" i="2"/>
  <c r="I20" i="2"/>
  <c r="I16" i="2"/>
  <c r="R74" i="2" l="1"/>
  <c r="S74" i="2" s="1"/>
  <c r="R79" i="2"/>
  <c r="R81" i="2" s="1"/>
  <c r="S81" i="2" s="1"/>
  <c r="H9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G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S1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BL21" authorId="1" shapeId="0" xr:uid="{88AA470E-B5F3-4473-868A-A5C280628538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tăng lên bằng cách chia cho b = 1 - 0,005*(L/d - 16), lấy không nhỏ hơn 0,75. Lấy L = hmax (khoảng cách giữa 2 bu lông ngoài cùng dọc theo lực trượt). Đồng bộ với ô R71 của phần thuyết minh.</t>
        </r>
      </text>
    </comment>
    <comment ref="EL21" authorId="1" shapeId="0" xr:uid="{B1ABBA53-CF3C-48C4-A831-2D5EB3F03689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tăng lên bằng cách chia cho b = 1 - 0,005*(L/d - 16), lấy không nhỏ hơn 0,75. Lấy L = hmax (khoảng cách giữa 2 bu lông ngoài cùng dọc theo lực trượt). Đồng bộ với ô R71 của phần thuyết minh.</t>
        </r>
      </text>
    </comment>
    <comment ref="EV23" authorId="1" shapeId="0" xr:uid="{E1BDFA4D-E5A7-4EE2-A7E8-2FDAE9CD0D1F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Cánh tay đòn lấy bằng (h - tf), đồng bộ với ô R81 của phần thuyết minh.</t>
        </r>
      </text>
    </comment>
    <comment ref="R31" authorId="1" shapeId="0" xr:uid="{CE752CC5-7792-4BF5-917E-16B3262D9BF5}">
      <text>
        <r>
          <rPr>
            <b/>
            <sz val="9"/>
            <color indexed="81"/>
            <rFont val="Tahoma"/>
            <charset val="1"/>
          </rPr>
          <t>Toan:</t>
        </r>
        <r>
          <rPr>
            <sz val="9"/>
            <color indexed="81"/>
            <rFont val="Tahoma"/>
            <charset val="1"/>
          </rPr>
          <t xml:space="preserve">
fv = 0.58*fy/γm theo TCVN 5575:2024 (trước đây gõ cứng 135 MPa).</t>
        </r>
      </text>
    </comment>
    <comment ref="R39" authorId="1" shapeId="0" xr:uid="{1BD4CA74-C93C-4F2C-9431-65AAA26C3FC6}">
      <text>
        <r>
          <rPr>
            <b/>
            <sz val="9"/>
            <color indexed="81"/>
            <rFont val="Tahoma"/>
            <charset val="1"/>
          </rPr>
          <t>Toan:</t>
        </r>
        <r>
          <rPr>
            <sz val="9"/>
            <color indexed="81"/>
            <rFont val="Tahoma"/>
            <charset val="1"/>
          </rPr>
          <t xml:space="preserve">
(β.fw)min*γc - đã bỏ hệ số 1.15 để đồng bộ với file 215.</t>
        </r>
      </text>
    </comment>
    <comment ref="P64" authorId="0" shapeId="0" xr:uid="{00000000-0006-0000-0100-000005000000}">
      <text>
        <r>
          <rPr>
            <sz val="9"/>
            <color indexed="81"/>
            <rFont val="Tahoma"/>
            <family val="2"/>
          </rPr>
          <t xml:space="preserve">Toàn:
N &gt; 0: Lực kéo
N &lt; 0: Lực nén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<sst xmlns="http://schemas.openxmlformats.org/spreadsheetml/2006/main" count="1178" uniqueCount="298">
  <si>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</si>
  <si>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</si>
  <si>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</si>
  <si>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</si>
  <si>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</si>
  <si>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</si>
  <si>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</si>
  <si>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</si>
  <si>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</si>
  <si>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</si>
  <si>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</si>
  <si>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</si>
  <si>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</si>
  <si>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</si>
  <si>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</si>
  <si>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</si>
  <si>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</si>
  <si>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</si>
  <si>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</si>
  <si>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</si>
  <si>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</si>
  <si>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kNm</t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</si>
  <si>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</si>
  <si>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</si>
  <si>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</si>
  <si>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</si>
  <si>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</si>
  <si>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r>
      <t>Bảng C.5 Cường độ chịu ép mặt tính toán f</t>
    </r>
    <r>
      <rPr>
        <b/>
        <vertAlign val="subscript"/>
        <sz val="10"/>
        <color theme="0"/>
        <rFont val="Calibri"/>
        <family val="2"/>
        <scheme val="minor"/>
      </rPr>
      <t>cb</t>
    </r>
    <r>
      <rPr>
        <b/>
        <sz val="10"/>
        <color theme="0"/>
        <rFont val="Calibri"/>
        <family val="2"/>
        <scheme val="minor"/>
      </rPr>
      <t xml:space="preserve"> của các cấu kiện được liên kết bằng bu lông</t>
    </r>
  </si>
  <si>
    <t>A</t>
  </si>
  <si>
    <t>B</t>
  </si>
  <si>
    <t>fcb (MPa)</t>
  </si>
  <si>
    <t>Bảng C.6 Diện tích tiết diện bu lông</t>
  </si>
  <si>
    <t>D</t>
  </si>
  <si>
    <t>p</t>
  </si>
  <si>
    <t>Ab</t>
  </si>
  <si>
    <t>Abn</t>
  </si>
  <si>
    <t>z</t>
  </si>
  <si>
    <r>
      <t>f</t>
    </r>
    <r>
      <rPr>
        <vertAlign val="subscript"/>
        <sz val="11"/>
        <color theme="1"/>
        <rFont val="Calibri"/>
        <family val="2"/>
        <scheme val="minor"/>
      </rPr>
      <t>vb</t>
    </r>
  </si>
  <si>
    <r>
      <t>f</t>
    </r>
    <r>
      <rPr>
        <vertAlign val="subscript"/>
        <sz val="11"/>
        <color theme="1"/>
        <rFont val="Calibri"/>
        <family val="2"/>
        <scheme val="minor"/>
      </rPr>
      <t>tb</t>
    </r>
  </si>
  <si>
    <r>
      <t>f</t>
    </r>
    <r>
      <rPr>
        <vertAlign val="subscript"/>
        <sz val="11"/>
        <color theme="1"/>
        <rFont val="Calibri"/>
        <family val="2"/>
        <scheme val="minor"/>
      </rPr>
      <t>yb</t>
    </r>
  </si>
  <si>
    <r>
      <t>f</t>
    </r>
    <r>
      <rPr>
        <vertAlign val="subscript"/>
        <sz val="11"/>
        <color theme="1"/>
        <rFont val="Calibri"/>
        <family val="2"/>
        <scheme val="minor"/>
      </rPr>
      <t>ub</t>
    </r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</si>
  <si>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
(MPa)</t>
    </r>
  </si>
  <si>
    <t>2. Thông số liên kết</t>
  </si>
  <si>
    <t>2.1 Dầm: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</si>
  <si>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</si>
  <si>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</si>
  <si>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</si>
  <si>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</si>
  <si>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</si>
  <si>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</si>
  <si>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</si>
  <si>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</si>
  <si>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</si>
  <si>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</si>
  <si>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</si>
  <si>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</si>
  <si>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</si>
  <si>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</si>
  <si>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</si>
  <si>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</si>
  <si>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</si>
  <si>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</si>
  <si>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</si>
  <si>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</si>
  <si>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</si>
  <si>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</si>
  <si>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</si>
  <si>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</si>
  <si>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</si>
  <si>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</si>
  <si>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</si>
  <si>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</si>
  <si>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</si>
  <si>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</si>
  <si>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</si>
  <si>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</si>
  <si>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</si>
  <si>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</si>
  <si>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</si>
  <si>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1. Kiểm tra liên kết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</si>
  <si>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</si>
  <si>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</si>
  <si>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</si>
  <si>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</si>
  <si>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bu lông</t>
  </si>
  <si>
    <t>F</t>
  </si>
  <si>
    <t>C</t>
  </si>
  <si>
    <t>P</t>
  </si>
  <si>
    <t>Bảng tra khoảng cách bu lông</t>
  </si>
  <si>
    <t>EQ</t>
  </si>
  <si>
    <t>Tổng số lượng bu lông, n =</t>
  </si>
  <si>
    <t>Khoảng cách, G =</t>
  </si>
  <si>
    <r>
      <t>Chiều cao đường hàn bản mã với cánh dầm, h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</si>
  <si>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Chiều cao đường hàn bản mã với bụng dầm, 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 xml:space="preserve"> =</t>
    </r>
  </si>
  <si>
    <t>W</t>
  </si>
  <si>
    <r>
      <t>h</t>
    </r>
    <r>
      <rPr>
        <vertAlign val="subscript"/>
        <sz val="10"/>
        <color theme="1"/>
        <rFont val="Calibri"/>
        <family val="2"/>
        <scheme val="minor"/>
      </rPr>
      <t>1</t>
    </r>
  </si>
  <si>
    <r>
      <t>h</t>
    </r>
    <r>
      <rPr>
        <vertAlign val="subscript"/>
        <sz val="10"/>
        <color theme="1"/>
        <rFont val="Calibri"/>
        <family val="2"/>
        <scheme val="minor"/>
      </rPr>
      <t>2</t>
    </r>
  </si>
  <si>
    <r>
      <t>h</t>
    </r>
    <r>
      <rPr>
        <vertAlign val="subscript"/>
        <sz val="10"/>
        <color theme="1"/>
        <rFont val="Calibri"/>
        <family val="2"/>
        <scheme val="minor"/>
      </rPr>
      <t>3</t>
    </r>
  </si>
  <si>
    <r>
      <t>h</t>
    </r>
    <r>
      <rPr>
        <vertAlign val="subscript"/>
        <sz val="10"/>
        <color theme="1"/>
        <rFont val="Calibri"/>
        <family val="2"/>
        <scheme val="minor"/>
      </rPr>
      <t>4</t>
    </r>
  </si>
  <si>
    <r>
      <t>h</t>
    </r>
    <r>
      <rPr>
        <vertAlign val="subscript"/>
        <sz val="10"/>
        <color theme="1"/>
        <rFont val="Calibri"/>
        <family val="2"/>
        <scheme val="minor"/>
      </rPr>
      <t>5</t>
    </r>
  </si>
  <si>
    <r>
      <t>h</t>
    </r>
    <r>
      <rPr>
        <vertAlign val="subscript"/>
        <sz val="10"/>
        <color theme="1"/>
        <rFont val="Calibri"/>
        <family val="2"/>
        <scheme val="minor"/>
      </rPr>
      <t>6</t>
    </r>
  </si>
  <si>
    <r>
      <t>h</t>
    </r>
    <r>
      <rPr>
        <vertAlign val="subscript"/>
        <sz val="10"/>
        <color theme="1"/>
        <rFont val="Calibri"/>
        <family val="2"/>
        <scheme val="minor"/>
      </rPr>
      <t>7</t>
    </r>
  </si>
  <si>
    <r>
      <t>h</t>
    </r>
    <r>
      <rPr>
        <vertAlign val="subscript"/>
        <sz val="10"/>
        <color theme="1"/>
        <rFont val="Calibri"/>
        <family val="2"/>
        <scheme val="minor"/>
      </rPr>
      <t>8</t>
    </r>
  </si>
  <si>
    <r>
      <t>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bn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</si>
  <si>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1.1. Kiểm tra khả năng chịu cắt của một bu lông</t>
  </si>
  <si>
    <t>1.2. Kiểm tra khả năng chịu kéo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</si>
  <si>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=</t>
    </r>
  </si>
  <si>
    <t>2.2 Mặt bích, bu lông, đường hàn:</t>
  </si>
  <si>
    <r>
      <t>Chiều cao mặt bích, 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</si>
  <si>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Chiều dày mặt bích, 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</si>
  <si>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Bề rộng mặt bích, B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</si>
  <si>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t>Chiều cao tiết diện, h =</t>
  </si>
  <si>
    <t>Bề rộng bản cánh, b =</t>
  </si>
  <si>
    <r>
      <t>Chiều dày bản bụng,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</si>
  <si>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cánh, 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</si>
  <si>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Khoảng cách bu lông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</si>
  <si>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</si>
  <si>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=P*G/8=</t>
    </r>
  </si>
  <si>
    <r>
      <t>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=P/2=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</si>
  <si>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</si>
  <si>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</si>
  <si>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= (</t>
    </r>
    <r>
      <rPr>
        <sz val="10"/>
        <color theme="1"/>
        <rFont val="Symbol"/>
        <family val="1"/>
        <charset val="2"/>
      </rPr>
      <t>s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+3</t>
    </r>
    <r>
      <rPr>
        <sz val="10"/>
        <color theme="1"/>
        <rFont val="Symbol"/>
        <family val="1"/>
        <charset val="2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</si>
  <si>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/(1.15.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</si>
  <si>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  6M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</si>
  <si>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 = 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</si>
  <si>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</si>
  <si>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Mặt ngoài cánh</t>
  </si>
  <si>
    <t>Mặt trong cánh</t>
  </si>
  <si>
    <t>Bụng</t>
  </si>
  <si>
    <t>b</t>
  </si>
  <si>
    <t>h</t>
  </si>
  <si>
    <t>d</t>
  </si>
  <si>
    <t>d: Cánh tay đòn từ tâm đến trục trung hòa</t>
  </si>
  <si>
    <t>Số lượng</t>
  </si>
  <si>
    <t>J</t>
  </si>
  <si>
    <r>
      <t>J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</si>
  <si>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</si>
  <si>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</si>
  <si>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Thông số đường hàn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</si>
  <si>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=[(M/W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+N/A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+(V/A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]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</si>
  <si>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/[(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]</t>
    </r>
    <r>
      <rPr>
        <sz val="10"/>
        <color theme="1"/>
        <rFont val="Calibri"/>
        <family val="1"/>
        <charset val="2"/>
        <scheme val="minor"/>
      </rPr>
      <t>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</si>
  <si>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</si>
  <si>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THIẾT KẾ LIÊN KẾT MẶT BÍCH ĐỈNH KÈO THEO TCVN 5575:2024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</si>
  <si>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</si>
  <si>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</si>
  <si>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</si>
  <si>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</si>
  <si>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</si>
  <si>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</si>
  <si>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</si>
  <si>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</si>
  <si>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r>
      <rPr>
        <sz val="10"/>
        <color theme="1"/>
        <rFont val="Symbol"/>
        <family val="1"/>
        <charset val="2"/>
      </rPr>
      <t>a</t>
    </r>
    <r>
      <rPr>
        <sz val="14.5"/>
        <color theme="1"/>
        <rFont val="Calibri"/>
        <family val="2"/>
      </rPr>
      <t xml:space="preserve"> </t>
    </r>
    <r>
      <rPr>
        <sz val="10"/>
        <color theme="1"/>
        <rFont val="Calibri"/>
        <family val="2"/>
        <scheme val="minor"/>
      </rPr>
      <t>=</t>
    </r>
  </si>
  <si>
    <t>i =</t>
  </si>
  <si>
    <t>deg</t>
  </si>
  <si>
    <r>
      <t>Chiều cao hình chiếu lên mặt bích, h/cos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</si>
  <si>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t>1.2 Mặt bích liên kết: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</si>
  <si>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 (Vcos</t>
    </r>
    <r>
      <rPr>
        <sz val="10"/>
        <color theme="1"/>
        <rFont val="Symbol"/>
        <family val="1"/>
        <charset val="2"/>
      </rPr>
      <t>a±</t>
    </r>
    <r>
      <rPr>
        <sz val="10"/>
        <color theme="1"/>
        <rFont val="Calibri"/>
        <family val="2"/>
      </rPr>
      <t>Nsin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)/n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</si>
  <si>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= M.l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/(m.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Symbol"/>
        <family val="1"/>
        <charset val="2"/>
      </rPr>
      <t xml:space="preserve"> ± (</t>
    </r>
    <r>
      <rPr>
        <sz val="10"/>
        <color theme="1"/>
        <rFont val="Calibri"/>
        <family val="2"/>
      </rPr>
      <t>Ncos</t>
    </r>
    <r>
      <rPr>
        <sz val="10"/>
        <color theme="1"/>
        <rFont val="Symbol"/>
        <family val="1"/>
        <charset val="2"/>
      </rPr>
      <t>a±</t>
    </r>
    <r>
      <rPr>
        <sz val="10"/>
        <color theme="1"/>
        <rFont val="Calibri"/>
        <family val="2"/>
        <scheme val="minor"/>
      </rPr>
      <t>Vsin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</rPr>
      <t>)/n</t>
    </r>
    <r>
      <rPr>
        <sz val="10"/>
        <color theme="1"/>
        <rFont val="Calibri"/>
        <family val="2"/>
        <scheme val="minor"/>
      </rPr>
      <t xml:space="preserve"> =</t>
    </r>
  </si>
  <si>
    <t>Phần tử</t>
  </si>
  <si>
    <t>Vị trí</t>
  </si>
  <si>
    <t>Tổ hợp</t>
  </si>
  <si>
    <t>N</t>
  </si>
  <si>
    <t>V</t>
  </si>
  <si>
    <t>M</t>
  </si>
  <si>
    <t>(m)</t>
  </si>
  <si>
    <t>(kN)</t>
  </si>
  <si>
    <t>(kNm)</t>
  </si>
  <si>
    <t>(Theo TCVN 5575-2024)</t>
  </si>
  <si>
    <t>A. THÔNG SỐ THIẾT KẾ</t>
  </si>
  <si>
    <t>1.1 Bu lông</t>
  </si>
  <si>
    <t>1.2 Thép tấm</t>
  </si>
  <si>
    <t>B. TÍNH TOÁN</t>
  </si>
  <si>
    <t>Thông số cấu kiện</t>
  </si>
  <si>
    <t>Thông số bản bích</t>
  </si>
  <si>
    <t>Thông số lực</t>
  </si>
  <si>
    <t>Thông số bu lông</t>
  </si>
  <si>
    <t>Kiểm tra 
N bu lông</t>
  </si>
  <si>
    <t>Kiểm tra V</t>
  </si>
  <si>
    <t>Kiểm tra M</t>
  </si>
  <si>
    <t>Kiểm tra chiều dày mặt bích</t>
  </si>
  <si>
    <t>Tên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</si>
  <si>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</si>
  <si>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</si>
  <si>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</si>
  <si>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</si>
  <si>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</si>
  <si>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</si>
  <si>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t>Bu lông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</si>
  <si>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</si>
  <si>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</si>
  <si>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</si>
  <si>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</si>
  <si>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</si>
  <si>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</si>
  <si>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</si>
  <si>
    <t>G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</si>
  <si>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</si>
  <si>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cb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</si>
  <si>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tb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</si>
  <si>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</t>
    </r>
  </si>
  <si>
    <t>D/C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</si>
  <si>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</si>
  <si>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</si>
  <si>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</si>
  <si>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</si>
  <si>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</si>
  <si>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rPr>
        <b/>
        <sz val="10"/>
        <color rgb="FF0070C0"/>
        <rFont val="Symbol"/>
        <family val="1"/>
        <charset val="2"/>
      </rPr>
      <t>t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</si>
  <si>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tđ</t>
    </r>
  </si>
  <si>
    <t>(mm)</t>
  </si>
  <si>
    <t>n</t>
  </si>
  <si>
    <t>CT1</t>
  </si>
  <si>
    <t>Bề rộng mặt bích</t>
  </si>
  <si>
    <r>
      <t>B</t>
    </r>
    <r>
      <rPr>
        <vertAlign val="subscript"/>
        <sz val="11"/>
        <color theme="1"/>
        <rFont val="Calibri"/>
        <family val="2"/>
        <scheme val="minor"/>
      </rPr>
      <t>mặt bích</t>
    </r>
  </si>
  <si>
    <t>Bảng tra bản bích</t>
  </si>
  <si>
    <t>thk</t>
  </si>
  <si>
    <r>
      <t>H</t>
    </r>
    <r>
      <rPr>
        <vertAlign val="subscript"/>
        <sz val="11"/>
        <rFont val="Calibri"/>
        <family val="2"/>
        <scheme val="minor"/>
      </rPr>
      <t>ck</t>
    </r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</si>
  <si>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</si>
  <si>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</si>
  <si>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</si>
  <si>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</si>
  <si>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</si>
  <si>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- Số mặt cắt tính toán của một bu lông:</t>
  </si>
  <si>
    <t>mặt cắt</t>
  </si>
  <si>
    <t>- Khoảng cách 2 bu lông ngoài cùng dọc theo lực trượt:</t>
  </si>
  <si>
    <t>L = h1 =</t>
  </si>
  <si>
    <t>- Hệ số giảm khi L &gt; 16d (14.2.10):</t>
  </si>
  <si>
    <t>β =</t>
  </si>
  <si>
    <t>1.3. Kiểm tra khả năng chịu cắt và kéo của một bu lông</t>
  </si>
  <si>
    <t>- Tỷ số huy động cấu kiện khi chịu cắt:</t>
  </si>
  <si>
    <t>- Tỷ số huy động cấu kiện khi chịu kéo:</t>
  </si>
  <si>
    <t>- Tỷ số huy động cấu kiện khi chịu cắt và kéo đồng thời:</t>
  </si>
  <si>
    <t>P = M/(h/cosa - tf) ± Ncosa+Vsina=</t>
  </si>
  <si>
    <t>1.4. Kiểm tra chiều dày mặt bích</t>
  </si>
  <si>
    <t>1.5. Kiểm tra liên kết hàn bản mã với dầm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</si>
  <si>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</si>
  <si>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Label</t>
  </si>
  <si>
    <t>Uni.</t>
  </si>
  <si>
    <t>B217</t>
  </si>
  <si>
    <t>B248</t>
  </si>
  <si>
    <t>B376</t>
  </si>
  <si>
    <t>B378</t>
  </si>
  <si>
    <t>Tiết diện</t>
  </si>
  <si>
    <t>1_LRFD1 (1.4D)</t>
  </si>
  <si>
    <t>1_LRFD2 (1.2D+1.6L+0.5Lr)</t>
  </si>
  <si>
    <t>1_LRFD30 (1.2D+1.6Lr+L)</t>
  </si>
  <si>
    <t>1_LRFD31 (1.2D+1.6Lr+0.5W)</t>
  </si>
  <si>
    <t>1_LRFD32 (1.2D+1.6Lr+0.5W)</t>
  </si>
  <si>
    <t>1_LRFD33 (1.2D+1.6Lr+0.5W)</t>
  </si>
  <si>
    <t>1_LRFD34 (1.2D+1.6Lr+0.5W)</t>
  </si>
  <si>
    <t>1_LRFD35 (1.2D+1.6Lr+0.5W)</t>
  </si>
  <si>
    <t>1_LRFD36 (1.2D+1.6Lr+0.5W)</t>
  </si>
  <si>
    <t>1_LRFD37 (1.2D+1.6Lr+0.5W)</t>
  </si>
  <si>
    <t>1_LRFD38 (1.2D+1.6Lr+0.5W)</t>
  </si>
  <si>
    <t>1_LRFD41 (1.2D+1.0W+L+0.5Lr)</t>
  </si>
  <si>
    <t>1_LRFD42 (1.2D+1.0W+L+0.5Lr)</t>
  </si>
  <si>
    <t>1_LRFD43 (1.2D+1.0W+L+0.5Lr)</t>
  </si>
  <si>
    <t>1_LRFD44 (1.2D+1.0W+L+0.5Lr)</t>
  </si>
  <si>
    <t>1_LRFD45 (1.2D+1.0W+L+0.5Lr)</t>
  </si>
  <si>
    <t>1_LRFD46 (1.2D+1.0W+L+0.5Lr)</t>
  </si>
  <si>
    <t>1_LRFD47 (1.2D+1.0W+L+0.5Lr)</t>
  </si>
  <si>
    <t>1_LRFD48 (1.2D+1.0W+L+0.5Lr)</t>
  </si>
  <si>
    <t>1_LRFD51(0.9D+1.0W)</t>
  </si>
  <si>
    <t>1_LRFD52(0.9D+1.0W)</t>
  </si>
  <si>
    <t>1_LRFD53(0.9D+1.0W)</t>
  </si>
  <si>
    <t>1_LRFD54(0.9D+1.0W)</t>
  </si>
  <si>
    <t>1_LRFD55(0.9D+1.0W)</t>
  </si>
  <si>
    <t>1_LRFD56(0.9D+1.0W)</t>
  </si>
  <si>
    <t>1_LRFD57(0.9D+1.0W)</t>
  </si>
  <si>
    <t>1_LRFD58(0.9D+1.0W)</t>
  </si>
  <si>
    <t>Kết luận</t>
  </si>
  <si>
    <t>Kiểm tra M &amp; V</t>
  </si>
  <si>
    <t>BẢNG TỔNG HỢP CHI TIẾT  - THUYẾT MINH LIÊN KẾT MOMENT ĐỈNH MẢI</t>
  </si>
  <si>
    <t>BẢNG TỔNG HỢP CHI TIẾT  - THUYẾT MINH LIÊN KẾT ĐỈNH MÁI</t>
  </si>
  <si>
    <t>Kiểm tra
(3)</t>
  </si>
  <si>
    <t>Kiểm tra
(4)</t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</si>
  <si>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</si>
  <si>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t>(1) Kiểm tra khả năng chịu cắt của một bu lông</t>
  </si>
  <si>
    <t>(2) Kiểm tra khả năng chịu kéo của một bu lông</t>
  </si>
  <si>
    <t>(3) Kiểm tra khả năng chịu cắt và kéo của một bu lông</t>
  </si>
  <si>
    <t>(4) Kiểm tra chiều dày mặt bích</t>
  </si>
  <si>
    <t>D/C: Chỉ số huy động của cấu kiện</t>
  </si>
  <si>
    <t>500x300x10x14</t>
  </si>
  <si>
    <t>760x300x25 + 8M24</t>
  </si>
  <si>
    <t>OK</t>
  </si>
  <si>
    <t>O/S</t>
  </si>
  <si>
    <t>1100x350x14x18</t>
  </si>
  <si>
    <t>Kiểm tra
(1)</t>
  </si>
  <si>
    <t>Kiểm tra
(2)</t>
  </si>
  <si>
    <t>Tên tiết diện</t>
  </si>
  <si>
    <t>Cột AA</t>
  </si>
  <si>
    <t>H Tổng</t>
  </si>
  <si>
    <t>Tùy chọn</t>
  </si>
  <si>
    <t>CTxxx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</si>
  <si>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/(β.min(N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,N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))=</t>
    </r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</si>
  <si>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</si>
  <si>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</si>
  <si>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[(N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/N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)2+(N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>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)2]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</si>
  <si>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t>1360x350x25 + 12M24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</si>
</sst>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4.5"/>
      <color theme="1"/>
      <name val="Calibri"/>
      <family val="2"/>
    </font>
    <font>
      <b/>
      <sz val="13"/>
      <color theme="0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  <scheme val="minor"/>
    </font>
    <font>
      <b/>
      <sz val="10"/>
      <color rgb="FF0070C0"/>
      <name val="Symbol"/>
      <family val="1"/>
      <charset val="2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rgb="FF0000CC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</patternFill>
    </fill>
    <fill>
      <patternFill patternType="solid">
        <fgColor rgb="FFDDEBF7"/>
        <bgColor indexed="64"/>
      </patternFill>
    </fill>
  </fills>
  <borders count="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indexed="64"/>
      </bottom>
      <diagonal/>
    </border>
    <border>
      <left style="thin">
        <color rgb="FFBFBFBF"/>
      </left>
      <right/>
      <top style="thin">
        <color rgb="FFBFBFB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rgb="FF636363"/>
      </left>
      <right style="thin">
        <color rgb="FF636363"/>
      </right>
      <top style="thin">
        <color rgb="FF636363"/>
      </top>
      <bottom style="thin">
        <color rgb="FF636363"/>
      </bottom>
      <diagonal/>
    </border>
    <border>
      <left/>
      <right/>
      <top/>
      <bottom style="thin">
        <color rgb="FF636363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0" fillId="9" borderId="0" applyNumberFormat="0" applyBorder="0" applyAlignment="0" applyProtection="0"/>
    <xf numFmtId="9" fontId="1" fillId="0" borderId="0" applyFont="0" applyFill="0" applyBorder="0" applyAlignment="0" applyProtection="0"/>
  </cellStyleXfs>
  <cellXfs count="291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3" fillId="7" borderId="9" xfId="0" applyFont="1" applyFill="1" applyBorder="1" applyAlignment="1">
      <alignment vertical="top"/>
    </xf>
    <xf numFmtId="0" fontId="8" fillId="7" borderId="10" xfId="0" applyFont="1" applyFill="1" applyBorder="1" applyAlignment="1">
      <alignment horizontal="left" indent="1"/>
    </xf>
    <xf numFmtId="0" fontId="3" fillId="7" borderId="10" xfId="0" applyFont="1" applyFill="1" applyBorder="1" applyAlignment="1">
      <alignment horizontal="left" vertical="top" indent="2"/>
    </xf>
    <xf numFmtId="0" fontId="3" fillId="7" borderId="9" xfId="0" applyFont="1" applyFill="1" applyBorder="1"/>
    <xf numFmtId="0" fontId="3" fillId="7" borderId="9" xfId="0" applyFont="1" applyFill="1" applyBorder="1" applyAlignment="1">
      <alignment vertical="center"/>
    </xf>
    <xf numFmtId="0" fontId="3" fillId="7" borderId="11" xfId="0" applyFont="1" applyFill="1" applyBorder="1" applyAlignment="1">
      <alignment horizontal="center" vertical="center"/>
    </xf>
    <xf numFmtId="0" fontId="16" fillId="7" borderId="11" xfId="0" applyFont="1" applyFill="1" applyBorder="1" applyAlignment="1">
      <alignment horizontal="center" vertical="center"/>
    </xf>
    <xf numFmtId="0" fontId="18" fillId="7" borderId="9" xfId="0" applyFont="1" applyFill="1" applyBorder="1" applyAlignment="1">
      <alignment horizontal="center" vertical="center"/>
    </xf>
    <xf numFmtId="0" fontId="22" fillId="7" borderId="10" xfId="0" applyFont="1" applyFill="1" applyBorder="1" applyAlignment="1">
      <alignment horizontal="left" indent="1"/>
    </xf>
    <xf numFmtId="0" fontId="22" fillId="7" borderId="14" xfId="0" applyFont="1" applyFill="1" applyBorder="1" applyAlignment="1">
      <alignment horizontal="left" indent="1"/>
    </xf>
    <xf numFmtId="0" fontId="3" fillId="7" borderId="15" xfId="0" applyFont="1" applyFill="1" applyBorder="1"/>
    <xf numFmtId="0" fontId="15" fillId="7" borderId="15" xfId="0" applyFont="1" applyFill="1" applyBorder="1" applyAlignment="1">
      <alignment horizontal="center"/>
    </xf>
    <xf numFmtId="0" fontId="18" fillId="7" borderId="15" xfId="0" applyFont="1" applyFill="1" applyBorder="1" applyAlignment="1">
      <alignment horizontal="left" vertical="center"/>
    </xf>
    <xf numFmtId="0" fontId="3" fillId="7" borderId="15" xfId="0" applyFont="1" applyFill="1" applyBorder="1" applyAlignment="1">
      <alignment horizontal="center" vertical="center"/>
    </xf>
    <xf numFmtId="2" fontId="3" fillId="7" borderId="15" xfId="0" applyNumberFormat="1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0" fontId="3" fillId="7" borderId="16" xfId="0" applyFont="1" applyFill="1" applyBorder="1"/>
    <xf numFmtId="0" fontId="0" fillId="0" borderId="11" xfId="0" applyBorder="1" applyAlignment="1">
      <alignment horizontal="center" vertical="center"/>
    </xf>
    <xf numFmtId="0" fontId="1" fillId="3" borderId="11" xfId="2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/>
    </xf>
    <xf numFmtId="1" fontId="3" fillId="7" borderId="11" xfId="0" applyNumberFormat="1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0" fillId="3" borderId="11" xfId="2" applyFont="1" applyBorder="1" applyAlignment="1">
      <alignment horizontal="center" vertical="center"/>
    </xf>
    <xf numFmtId="0" fontId="24" fillId="8" borderId="21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right" vertical="center"/>
    </xf>
    <xf numFmtId="0" fontId="3" fillId="7" borderId="21" xfId="0" applyFont="1" applyFill="1" applyBorder="1" applyAlignment="1">
      <alignment horizontal="center"/>
    </xf>
    <xf numFmtId="0" fontId="3" fillId="7" borderId="26" xfId="0" applyFont="1" applyFill="1" applyBorder="1" applyAlignment="1">
      <alignment horizontal="center" vertical="center"/>
    </xf>
    <xf numFmtId="0" fontId="3" fillId="7" borderId="27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0" fontId="16" fillId="7" borderId="31" xfId="0" applyFont="1" applyFill="1" applyBorder="1" applyAlignment="1">
      <alignment horizontal="center" vertical="center"/>
    </xf>
    <xf numFmtId="0" fontId="16" fillId="7" borderId="3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left" vertical="top" indent="3"/>
    </xf>
    <xf numFmtId="0" fontId="3" fillId="0" borderId="11" xfId="0" applyFont="1" applyBorder="1"/>
    <xf numFmtId="0" fontId="3" fillId="0" borderId="11" xfId="0" applyFont="1" applyBorder="1" applyAlignment="1">
      <alignment horizontal="center" vertical="center"/>
    </xf>
    <xf numFmtId="11" fontId="3" fillId="0" borderId="11" xfId="0" applyNumberFormat="1" applyFont="1" applyBorder="1" applyAlignment="1">
      <alignment horizontal="center" vertical="center"/>
    </xf>
    <xf numFmtId="1" fontId="3" fillId="7" borderId="29" xfId="0" applyNumberFormat="1" applyFont="1" applyFill="1" applyBorder="1" applyAlignment="1">
      <alignment horizontal="center" vertical="center"/>
    </xf>
    <xf numFmtId="1" fontId="3" fillId="7" borderId="30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vertical="top"/>
    </xf>
    <xf numFmtId="0" fontId="3" fillId="7" borderId="0" xfId="0" applyFont="1" applyFill="1" applyAlignment="1">
      <alignment horizontal="right" vertical="top"/>
    </xf>
    <xf numFmtId="0" fontId="9" fillId="7" borderId="0" xfId="0" applyFont="1" applyFill="1" applyAlignment="1">
      <alignment vertical="top"/>
    </xf>
    <xf numFmtId="0" fontId="3" fillId="7" borderId="0" xfId="0" applyFont="1" applyFill="1"/>
    <xf numFmtId="0" fontId="10" fillId="7" borderId="0" xfId="0" applyFont="1" applyFill="1" applyAlignment="1">
      <alignment horizontal="right" vertical="center"/>
    </xf>
    <xf numFmtId="0" fontId="10" fillId="7" borderId="0" xfId="0" applyFont="1" applyFill="1" applyAlignment="1">
      <alignment horizontal="center" vertical="center"/>
    </xf>
    <xf numFmtId="0" fontId="10" fillId="7" borderId="9" xfId="0" applyFont="1" applyFill="1" applyBorder="1" applyAlignment="1">
      <alignment horizontal="left" vertical="center"/>
    </xf>
    <xf numFmtId="0" fontId="11" fillId="7" borderId="0" xfId="0" applyFont="1" applyFill="1"/>
    <xf numFmtId="0" fontId="3" fillId="7" borderId="0" xfId="0" applyFont="1" applyFill="1" applyAlignment="1">
      <alignment horizontal="right" vertical="center"/>
    </xf>
    <xf numFmtId="0" fontId="16" fillId="7" borderId="0" xfId="0" applyFont="1" applyFill="1" applyAlignment="1">
      <alignment horizontal="center" vertical="center"/>
    </xf>
    <xf numFmtId="1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right" vertical="center"/>
    </xf>
    <xf numFmtId="0" fontId="10" fillId="7" borderId="0" xfId="0" applyFont="1" applyFill="1"/>
    <xf numFmtId="1" fontId="16" fillId="7" borderId="0" xfId="0" applyNumberFormat="1" applyFont="1" applyFill="1" applyAlignment="1">
      <alignment horizontal="center" vertical="center"/>
    </xf>
    <xf numFmtId="0" fontId="3" fillId="7" borderId="10" xfId="0" applyFont="1" applyFill="1" applyBorder="1"/>
    <xf numFmtId="0" fontId="8" fillId="7" borderId="0" xfId="0" applyFont="1" applyFill="1" applyAlignment="1">
      <alignment horizontal="left" indent="1"/>
    </xf>
    <xf numFmtId="0" fontId="3" fillId="7" borderId="0" xfId="0" applyFont="1" applyFill="1" applyAlignment="1">
      <alignment horizontal="left" vertical="center"/>
    </xf>
    <xf numFmtId="9" fontId="10" fillId="7" borderId="0" xfId="4" applyFont="1" applyFill="1" applyBorder="1" applyAlignment="1">
      <alignment horizontal="center" vertical="center"/>
    </xf>
    <xf numFmtId="2" fontId="16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right"/>
    </xf>
    <xf numFmtId="165" fontId="16" fillId="7" borderId="0" xfId="0" applyNumberFormat="1" applyFont="1" applyFill="1" applyAlignment="1">
      <alignment horizontal="center" vertical="center"/>
    </xf>
    <xf numFmtId="2" fontId="10" fillId="7" borderId="0" xfId="0" applyNumberFormat="1" applyFont="1" applyFill="1" applyAlignment="1">
      <alignment horizontal="right" vertical="center"/>
    </xf>
    <xf numFmtId="0" fontId="7" fillId="7" borderId="0" xfId="0" applyFont="1" applyFill="1" applyAlignment="1">
      <alignment horizontal="left" vertical="center"/>
    </xf>
    <xf numFmtId="164" fontId="16" fillId="7" borderId="0" xfId="0" applyNumberFormat="1" applyFont="1" applyFill="1" applyAlignment="1">
      <alignment horizontal="center" vertical="center"/>
    </xf>
    <xf numFmtId="2" fontId="17" fillId="2" borderId="1" xfId="1" applyNumberFormat="1" applyFont="1" applyAlignment="1">
      <alignment horizontal="center" vertical="center"/>
    </xf>
    <xf numFmtId="164" fontId="3" fillId="7" borderId="0" xfId="0" applyNumberFormat="1" applyFont="1" applyFill="1"/>
    <xf numFmtId="0" fontId="3" fillId="7" borderId="0" xfId="0" applyFont="1" applyFill="1" applyAlignment="1">
      <alignment horizontal="center"/>
    </xf>
    <xf numFmtId="165" fontId="3" fillId="7" borderId="0" xfId="0" applyNumberFormat="1" applyFont="1" applyFill="1" applyAlignment="1">
      <alignment horizontal="center"/>
    </xf>
    <xf numFmtId="11" fontId="3" fillId="7" borderId="0" xfId="0" applyNumberFormat="1" applyFont="1" applyFill="1" applyAlignment="1">
      <alignment horizontal="center"/>
    </xf>
    <xf numFmtId="0" fontId="20" fillId="7" borderId="0" xfId="0" applyFont="1" applyFill="1" applyAlignment="1">
      <alignment horizontal="right"/>
    </xf>
    <xf numFmtId="164" fontId="3" fillId="7" borderId="0" xfId="0" applyNumberFormat="1" applyFont="1" applyFill="1" applyAlignment="1">
      <alignment horizontal="center"/>
    </xf>
    <xf numFmtId="0" fontId="21" fillId="7" borderId="0" xfId="0" applyFont="1" applyFill="1" applyAlignment="1">
      <alignment horizontal="right" vertical="center"/>
    </xf>
    <xf numFmtId="164" fontId="3" fillId="7" borderId="0" xfId="0" applyNumberFormat="1" applyFont="1" applyFill="1" applyAlignment="1">
      <alignment horizontal="center" vertical="center"/>
    </xf>
    <xf numFmtId="0" fontId="15" fillId="7" borderId="0" xfId="0" applyFont="1" applyFill="1" applyAlignment="1">
      <alignment horizontal="center"/>
    </xf>
    <xf numFmtId="0" fontId="18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0" fontId="16" fillId="7" borderId="11" xfId="0" applyFont="1" applyFill="1" applyBorder="1" applyAlignment="1">
      <alignment horizontal="center"/>
    </xf>
    <xf numFmtId="0" fontId="10" fillId="7" borderId="11" xfId="0" applyFont="1" applyFill="1" applyBorder="1" applyAlignment="1">
      <alignment horizontal="center" vertical="center"/>
    </xf>
    <xf numFmtId="2" fontId="10" fillId="7" borderId="11" xfId="0" applyNumberFormat="1" applyFont="1" applyFill="1" applyBorder="1" applyAlignment="1">
      <alignment horizontal="center" vertical="center"/>
    </xf>
    <xf numFmtId="2" fontId="10" fillId="7" borderId="0" xfId="0" applyNumberFormat="1" applyFont="1" applyFill="1"/>
    <xf numFmtId="2" fontId="10" fillId="7" borderId="0" xfId="0" applyNumberFormat="1" applyFont="1" applyFill="1" applyAlignment="1">
      <alignment horizontal="center" vertical="center"/>
    </xf>
    <xf numFmtId="0" fontId="33" fillId="5" borderId="3" xfId="0" applyFont="1" applyFill="1" applyBorder="1" applyAlignment="1">
      <alignment horizontal="centerContinuous"/>
    </xf>
    <xf numFmtId="0" fontId="33" fillId="5" borderId="4" xfId="0" applyFont="1" applyFill="1" applyBorder="1" applyAlignment="1">
      <alignment horizontal="centerContinuous"/>
    </xf>
    <xf numFmtId="0" fontId="24" fillId="5" borderId="15" xfId="0" applyFont="1" applyFill="1" applyBorder="1" applyAlignment="1">
      <alignment horizontal="centerContinuous"/>
    </xf>
    <xf numFmtId="0" fontId="24" fillId="5" borderId="16" xfId="0" applyFont="1" applyFill="1" applyBorder="1" applyAlignment="1">
      <alignment horizontal="centerContinuous"/>
    </xf>
    <xf numFmtId="0" fontId="34" fillId="7" borderId="0" xfId="0" applyFont="1" applyFill="1" applyAlignment="1">
      <alignment horizontal="left" indent="1"/>
    </xf>
    <xf numFmtId="0" fontId="3" fillId="7" borderId="0" xfId="0" applyFont="1" applyFill="1" applyAlignment="1">
      <alignment horizontal="left" indent="1"/>
    </xf>
    <xf numFmtId="0" fontId="16" fillId="7" borderId="0" xfId="0" applyFont="1" applyFill="1" applyAlignment="1">
      <alignment horizontal="left"/>
    </xf>
    <xf numFmtId="0" fontId="3" fillId="7" borderId="0" xfId="0" applyFont="1" applyFill="1" applyAlignment="1">
      <alignment vertical="center"/>
    </xf>
    <xf numFmtId="0" fontId="10" fillId="7" borderId="11" xfId="0" applyFont="1" applyFill="1" applyBorder="1"/>
    <xf numFmtId="2" fontId="10" fillId="7" borderId="11" xfId="0" applyNumberFormat="1" applyFont="1" applyFill="1" applyBorder="1"/>
    <xf numFmtId="1" fontId="10" fillId="7" borderId="11" xfId="0" applyNumberFormat="1" applyFont="1" applyFill="1" applyBorder="1" applyAlignment="1">
      <alignment horizontal="center" vertical="center"/>
    </xf>
    <xf numFmtId="1" fontId="16" fillId="7" borderId="11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horizontal="center" vertical="center"/>
    </xf>
    <xf numFmtId="164" fontId="17" fillId="2" borderId="1" xfId="1" applyNumberFormat="1" applyFont="1" applyAlignment="1">
      <alignment horizontal="center" vertical="center"/>
    </xf>
    <xf numFmtId="0" fontId="3" fillId="7" borderId="11" xfId="0" applyFont="1" applyFill="1" applyBorder="1"/>
    <xf numFmtId="11" fontId="3" fillId="7" borderId="11" xfId="0" applyNumberFormat="1" applyFont="1" applyFill="1" applyBorder="1"/>
    <xf numFmtId="1" fontId="3" fillId="7" borderId="11" xfId="0" applyNumberFormat="1" applyFont="1" applyFill="1" applyBorder="1"/>
    <xf numFmtId="2" fontId="3" fillId="7" borderId="11" xfId="0" applyNumberFormat="1" applyFont="1" applyFill="1" applyBorder="1" applyAlignment="1">
      <alignment horizontal="center" vertical="center"/>
    </xf>
    <xf numFmtId="2" fontId="3" fillId="7" borderId="11" xfId="0" applyNumberFormat="1" applyFont="1" applyFill="1" applyBorder="1"/>
    <xf numFmtId="164" fontId="17" fillId="2" borderId="33" xfId="1" applyNumberFormat="1" applyFont="1" applyBorder="1" applyAlignment="1">
      <alignment horizontal="center" vertical="center"/>
    </xf>
    <xf numFmtId="0" fontId="16" fillId="9" borderId="11" xfId="3" applyFont="1" applyBorder="1" applyAlignment="1">
      <alignment horizontal="center" vertical="center"/>
    </xf>
    <xf numFmtId="0" fontId="38" fillId="3" borderId="11" xfId="2" applyFont="1" applyBorder="1" applyAlignment="1">
      <alignment horizontal="center" vertical="center"/>
    </xf>
    <xf numFmtId="164" fontId="17" fillId="2" borderId="34" xfId="1" applyNumberFormat="1" applyFont="1" applyBorder="1" applyAlignment="1">
      <alignment horizontal="center" vertical="center"/>
    </xf>
    <xf numFmtId="0" fontId="24" fillId="8" borderId="20" xfId="0" applyFont="1" applyFill="1" applyBorder="1" applyAlignment="1">
      <alignment horizontal="center" vertical="center"/>
    </xf>
    <xf numFmtId="0" fontId="24" fillId="8" borderId="22" xfId="0" applyFont="1" applyFill="1" applyBorder="1" applyAlignment="1">
      <alignment horizontal="center" vertical="center"/>
    </xf>
    <xf numFmtId="0" fontId="40" fillId="8" borderId="21" xfId="0" applyFont="1" applyFill="1" applyBorder="1" applyAlignment="1">
      <alignment horizontal="center"/>
    </xf>
    <xf numFmtId="0" fontId="24" fillId="8" borderId="3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11" xfId="0" applyFont="1" applyFill="1" applyBorder="1" applyAlignment="1">
      <alignment horizontal="center"/>
    </xf>
    <xf numFmtId="0" fontId="0" fillId="4" borderId="0" xfId="0" applyFill="1"/>
    <xf numFmtId="3" fontId="16" fillId="7" borderId="0" xfId="0" applyNumberFormat="1" applyFont="1" applyFill="1" applyAlignment="1">
      <alignment horizontal="center" vertical="center"/>
    </xf>
    <xf numFmtId="166" fontId="16" fillId="7" borderId="0" xfId="0" applyNumberFormat="1" applyFont="1" applyFill="1" applyAlignment="1">
      <alignment horizontal="center" vertical="center"/>
    </xf>
    <xf numFmtId="0" fontId="7" fillId="6" borderId="36" xfId="0" applyFont="1" applyFill="1" applyBorder="1" applyAlignment="1">
      <alignment horizontal="center" vertical="top"/>
    </xf>
    <xf numFmtId="2" fontId="7" fillId="6" borderId="37" xfId="0" applyNumberFormat="1" applyFont="1" applyFill="1" applyBorder="1" applyAlignment="1">
      <alignment horizontal="center"/>
    </xf>
    <xf numFmtId="0" fontId="7" fillId="6" borderId="38" xfId="0" applyFont="1" applyFill="1" applyBorder="1" applyAlignment="1">
      <alignment horizontal="center" vertical="top"/>
    </xf>
    <xf numFmtId="0" fontId="7" fillId="6" borderId="38" xfId="0" applyFont="1" applyFill="1" applyBorder="1" applyAlignment="1">
      <alignment vertical="top" wrapText="1"/>
    </xf>
    <xf numFmtId="0" fontId="7" fillId="6" borderId="38" xfId="0" applyFont="1" applyFill="1" applyBorder="1" applyAlignment="1">
      <alignment horizontal="center" vertical="top" wrapText="1"/>
    </xf>
    <xf numFmtId="2" fontId="7" fillId="6" borderId="0" xfId="0" applyNumberFormat="1" applyFont="1" applyFill="1" applyAlignment="1">
      <alignment horizontal="center" vertical="center"/>
    </xf>
    <xf numFmtId="0" fontId="33" fillId="5" borderId="36" xfId="0" applyFont="1" applyFill="1" applyBorder="1" applyAlignment="1">
      <alignment horizontal="centerContinuous"/>
    </xf>
    <xf numFmtId="0" fontId="33" fillId="5" borderId="37" xfId="0" applyFont="1" applyFill="1" applyBorder="1" applyAlignment="1">
      <alignment horizontal="centerContinuous"/>
    </xf>
    <xf numFmtId="0" fontId="24" fillId="5" borderId="38" xfId="0" applyFont="1" applyFill="1" applyBorder="1" applyAlignment="1">
      <alignment horizontal="centerContinuous"/>
    </xf>
    <xf numFmtId="0" fontId="24" fillId="5" borderId="0" xfId="0" applyFont="1" applyFill="1" applyAlignment="1">
      <alignment horizontal="centerContinuous"/>
    </xf>
    <xf numFmtId="0" fontId="34" fillId="7" borderId="36" xfId="0" applyFont="1" applyFill="1" applyBorder="1" applyAlignment="1">
      <alignment horizontal="left" indent="1"/>
    </xf>
    <xf numFmtId="0" fontId="34" fillId="7" borderId="37" xfId="0" applyFont="1" applyFill="1" applyBorder="1" applyAlignment="1">
      <alignment horizontal="left" indent="1"/>
    </xf>
    <xf numFmtId="2" fontId="10" fillId="7" borderId="37" xfId="0" applyNumberFormat="1" applyFont="1" applyFill="1" applyBorder="1"/>
    <xf numFmtId="0" fontId="10" fillId="7" borderId="38" xfId="0" applyFont="1" applyFill="1" applyBorder="1"/>
    <xf numFmtId="0" fontId="34" fillId="7" borderId="38" xfId="0" applyFont="1" applyFill="1" applyBorder="1" applyAlignment="1">
      <alignment horizontal="left" indent="1"/>
    </xf>
    <xf numFmtId="0" fontId="7" fillId="6" borderId="36" xfId="0" applyFont="1" applyFill="1" applyBorder="1"/>
    <xf numFmtId="0" fontId="7" fillId="6" borderId="37" xfId="0" applyFont="1" applyFill="1" applyBorder="1"/>
    <xf numFmtId="0" fontId="7" fillId="6" borderId="38" xfId="0" applyFont="1" applyFill="1" applyBorder="1"/>
    <xf numFmtId="0" fontId="7" fillId="6" borderId="0" xfId="0" applyFont="1" applyFill="1"/>
    <xf numFmtId="0" fontId="10" fillId="7" borderId="36" xfId="0" applyFont="1" applyFill="1" applyBorder="1"/>
    <xf numFmtId="2" fontId="10" fillId="7" borderId="36" xfId="0" applyNumberFormat="1" applyFont="1" applyFill="1" applyBorder="1"/>
    <xf numFmtId="0" fontId="10" fillId="7" borderId="39" xfId="0" applyFont="1" applyFill="1" applyBorder="1"/>
    <xf numFmtId="2" fontId="10" fillId="7" borderId="39" xfId="0" applyNumberFormat="1" applyFont="1" applyFill="1" applyBorder="1"/>
    <xf numFmtId="0" fontId="10" fillId="7" borderId="32" xfId="0" applyFont="1" applyFill="1" applyBorder="1"/>
    <xf numFmtId="2" fontId="10" fillId="7" borderId="32" xfId="0" applyNumberFormat="1" applyFont="1" applyFill="1" applyBorder="1"/>
    <xf numFmtId="0" fontId="10" fillId="7" borderId="37" xfId="0" applyFont="1" applyFill="1" applyBorder="1" applyAlignment="1">
      <alignment horizontal="center" vertical="center"/>
    </xf>
    <xf numFmtId="0" fontId="7" fillId="6" borderId="36" xfId="0" applyFont="1" applyFill="1" applyBorder="1" applyAlignment="1">
      <alignment horizontal="center" vertical="center"/>
    </xf>
    <xf numFmtId="0" fontId="7" fillId="6" borderId="38" xfId="0" applyFont="1" applyFill="1" applyBorder="1" applyAlignment="1">
      <alignment horizontal="center" vertical="center"/>
    </xf>
    <xf numFmtId="2" fontId="7" fillId="6" borderId="36" xfId="0" applyNumberFormat="1" applyFont="1" applyFill="1" applyBorder="1" applyAlignment="1">
      <alignment horizontal="center" vertical="center"/>
    </xf>
    <xf numFmtId="2" fontId="7" fillId="6" borderId="38" xfId="0" applyNumberFormat="1" applyFont="1" applyFill="1" applyBorder="1" applyAlignment="1">
      <alignment horizontal="center" vertical="center"/>
    </xf>
    <xf numFmtId="1" fontId="10" fillId="7" borderId="36" xfId="0" applyNumberFormat="1" applyFont="1" applyFill="1" applyBorder="1" applyAlignment="1">
      <alignment horizontal="center" vertical="center"/>
    </xf>
    <xf numFmtId="0" fontId="10" fillId="7" borderId="36" xfId="0" applyFont="1" applyFill="1" applyBorder="1" applyAlignment="1">
      <alignment horizontal="center" vertical="center"/>
    </xf>
    <xf numFmtId="0" fontId="3" fillId="7" borderId="37" xfId="0" applyFont="1" applyFill="1" applyBorder="1" applyAlignment="1">
      <alignment horizontal="center" vertical="center"/>
    </xf>
    <xf numFmtId="0" fontId="3" fillId="7" borderId="36" xfId="0" applyFont="1" applyFill="1" applyBorder="1" applyAlignment="1">
      <alignment horizontal="center" vertical="center"/>
    </xf>
    <xf numFmtId="1" fontId="10" fillId="7" borderId="39" xfId="0" applyNumberFormat="1" applyFont="1" applyFill="1" applyBorder="1" applyAlignment="1">
      <alignment horizontal="center" vertical="center"/>
    </xf>
    <xf numFmtId="0" fontId="10" fillId="7" borderId="39" xfId="0" applyFont="1" applyFill="1" applyBorder="1" applyAlignment="1">
      <alignment horizontal="center" vertical="center"/>
    </xf>
    <xf numFmtId="1" fontId="10" fillId="7" borderId="32" xfId="0" applyNumberFormat="1" applyFont="1" applyFill="1" applyBorder="1" applyAlignment="1">
      <alignment horizontal="center" vertical="center"/>
    </xf>
    <xf numFmtId="0" fontId="10" fillId="7" borderId="32" xfId="0" applyFont="1" applyFill="1" applyBorder="1" applyAlignment="1">
      <alignment horizontal="center" vertical="center"/>
    </xf>
    <xf numFmtId="0" fontId="10" fillId="7" borderId="37" xfId="0" applyFont="1" applyFill="1" applyBorder="1"/>
    <xf numFmtId="2" fontId="7" fillId="6" borderId="36" xfId="0" applyNumberFormat="1" applyFont="1" applyFill="1" applyBorder="1" applyAlignment="1">
      <alignment horizontal="center"/>
    </xf>
    <xf numFmtId="1" fontId="16" fillId="7" borderId="36" xfId="0" applyNumberFormat="1" applyFont="1" applyFill="1" applyBorder="1" applyAlignment="1">
      <alignment horizontal="center" vertical="center"/>
    </xf>
    <xf numFmtId="0" fontId="16" fillId="7" borderId="36" xfId="0" applyFont="1" applyFill="1" applyBorder="1" applyAlignment="1">
      <alignment horizontal="center" vertical="center"/>
    </xf>
    <xf numFmtId="0" fontId="16" fillId="7" borderId="37" xfId="0" applyFont="1" applyFill="1" applyBorder="1" applyAlignment="1">
      <alignment horizontal="center" vertical="center"/>
    </xf>
    <xf numFmtId="1" fontId="16" fillId="7" borderId="39" xfId="0" applyNumberFormat="1" applyFont="1" applyFill="1" applyBorder="1" applyAlignment="1">
      <alignment horizontal="center" vertical="center"/>
    </xf>
    <xf numFmtId="0" fontId="16" fillId="7" borderId="39" xfId="0" applyFont="1" applyFill="1" applyBorder="1" applyAlignment="1">
      <alignment horizontal="center" vertical="center"/>
    </xf>
    <xf numFmtId="1" fontId="16" fillId="7" borderId="32" xfId="0" applyNumberFormat="1" applyFont="1" applyFill="1" applyBorder="1" applyAlignment="1">
      <alignment horizontal="center" vertical="center"/>
    </xf>
    <xf numFmtId="0" fontId="16" fillId="7" borderId="32" xfId="0" applyFont="1" applyFill="1" applyBorder="1" applyAlignment="1">
      <alignment horizontal="center" vertical="center"/>
    </xf>
    <xf numFmtId="164" fontId="10" fillId="7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" fontId="33" fillId="5" borderId="37" xfId="0" applyNumberFormat="1" applyFont="1" applyFill="1" applyBorder="1" applyAlignment="1">
      <alignment horizontal="centerContinuous"/>
    </xf>
    <xf numFmtId="1" fontId="24" fillId="5" borderId="0" xfId="0" applyNumberFormat="1" applyFont="1" applyFill="1" applyAlignment="1">
      <alignment horizontal="centerContinuous"/>
    </xf>
    <xf numFmtId="1" fontId="10" fillId="7" borderId="37" xfId="0" applyNumberFormat="1" applyFont="1" applyFill="1" applyBorder="1" applyAlignment="1">
      <alignment horizontal="center" vertical="center"/>
    </xf>
    <xf numFmtId="1" fontId="7" fillId="6" borderId="36" xfId="0" applyNumberFormat="1" applyFont="1" applyFill="1" applyBorder="1" applyAlignment="1">
      <alignment horizontal="center" vertical="center"/>
    </xf>
    <xf numFmtId="1" fontId="7" fillId="6" borderId="38" xfId="0" applyNumberFormat="1" applyFont="1" applyFill="1" applyBorder="1" applyAlignment="1">
      <alignment horizontal="center" vertical="center"/>
    </xf>
    <xf numFmtId="1" fontId="33" fillId="5" borderId="0" xfId="0" applyNumberFormat="1" applyFont="1" applyFill="1" applyAlignment="1">
      <alignment horizontal="centerContinuous"/>
    </xf>
    <xf numFmtId="1" fontId="10" fillId="7" borderId="15" xfId="0" applyNumberFormat="1" applyFont="1" applyFill="1" applyBorder="1" applyAlignment="1">
      <alignment horizontal="center" vertical="center"/>
    </xf>
    <xf numFmtId="2" fontId="10" fillId="7" borderId="37" xfId="0" applyNumberFormat="1" applyFont="1" applyFill="1" applyBorder="1" applyAlignment="1">
      <alignment horizontal="center" vertical="center"/>
    </xf>
    <xf numFmtId="2" fontId="7" fillId="6" borderId="37" xfId="0" applyNumberFormat="1" applyFont="1" applyFill="1" applyBorder="1" applyAlignment="1">
      <alignment horizontal="center" vertical="center"/>
    </xf>
    <xf numFmtId="1" fontId="16" fillId="7" borderId="37" xfId="0" applyNumberFormat="1" applyFont="1" applyFill="1" applyBorder="1" applyAlignment="1">
      <alignment horizontal="center" vertical="center"/>
    </xf>
    <xf numFmtId="2" fontId="10" fillId="7" borderId="15" xfId="0" applyNumberFormat="1" applyFont="1" applyFill="1" applyBorder="1" applyAlignment="1">
      <alignment horizontal="center" vertical="center"/>
    </xf>
    <xf numFmtId="164" fontId="37" fillId="10" borderId="36" xfId="0" applyNumberFormat="1" applyFont="1" applyFill="1" applyBorder="1" applyAlignment="1">
      <alignment horizontal="center" vertical="center"/>
    </xf>
    <xf numFmtId="164" fontId="7" fillId="10" borderId="38" xfId="0" applyNumberFormat="1" applyFont="1" applyFill="1" applyBorder="1" applyAlignment="1">
      <alignment horizontal="center" vertical="center"/>
    </xf>
    <xf numFmtId="164" fontId="7" fillId="6" borderId="36" xfId="0" applyNumberFormat="1" applyFont="1" applyFill="1" applyBorder="1" applyAlignment="1">
      <alignment horizontal="center" vertical="center"/>
    </xf>
    <xf numFmtId="164" fontId="7" fillId="6" borderId="38" xfId="0" applyNumberFormat="1" applyFont="1" applyFill="1" applyBorder="1" applyAlignment="1">
      <alignment horizontal="center" vertical="center"/>
    </xf>
    <xf numFmtId="1" fontId="16" fillId="7" borderId="38" xfId="0" applyNumberFormat="1" applyFont="1" applyFill="1" applyBorder="1" applyAlignment="1">
      <alignment horizontal="center" vertical="center"/>
    </xf>
    <xf numFmtId="2" fontId="16" fillId="7" borderId="38" xfId="0" applyNumberFormat="1" applyFont="1" applyFill="1" applyBorder="1" applyAlignment="1">
      <alignment horizontal="center" vertical="center"/>
    </xf>
    <xf numFmtId="164" fontId="17" fillId="2" borderId="36" xfId="1" applyNumberFormat="1" applyFont="1" applyBorder="1" applyAlignment="1">
      <alignment horizontal="center" vertical="center"/>
    </xf>
    <xf numFmtId="164" fontId="17" fillId="2" borderId="40" xfId="1" applyNumberFormat="1" applyFont="1" applyBorder="1" applyAlignment="1">
      <alignment horizontal="center" vertical="center"/>
    </xf>
    <xf numFmtId="164" fontId="17" fillId="2" borderId="41" xfId="1" applyNumberFormat="1" applyFont="1" applyBorder="1" applyAlignment="1">
      <alignment horizontal="center" vertical="center"/>
    </xf>
    <xf numFmtId="1" fontId="3" fillId="7" borderId="32" xfId="0" applyNumberFormat="1" applyFont="1" applyFill="1" applyBorder="1"/>
    <xf numFmtId="164" fontId="3" fillId="7" borderId="32" xfId="0" applyNumberFormat="1" applyFont="1" applyFill="1" applyBorder="1" applyAlignment="1">
      <alignment horizontal="center" vertical="center"/>
    </xf>
    <xf numFmtId="2" fontId="3" fillId="7" borderId="32" xfId="0" applyNumberFormat="1" applyFont="1" applyFill="1" applyBorder="1" applyAlignment="1">
      <alignment horizontal="center" vertical="center"/>
    </xf>
    <xf numFmtId="2" fontId="3" fillId="7" borderId="32" xfId="0" applyNumberFormat="1" applyFont="1" applyFill="1" applyBorder="1"/>
    <xf numFmtId="0" fontId="3" fillId="7" borderId="38" xfId="0" applyFont="1" applyFill="1" applyBorder="1" applyAlignment="1">
      <alignment horizontal="center" vertical="center"/>
    </xf>
    <xf numFmtId="0" fontId="3" fillId="7" borderId="43" xfId="0" applyFont="1" applyFill="1" applyBorder="1"/>
    <xf numFmtId="9" fontId="3" fillId="7" borderId="0" xfId="0" applyNumberFormat="1" applyFont="1" applyFill="1" applyAlignment="1">
      <alignment horizontal="center" vertical="center"/>
    </xf>
    <xf numFmtId="164" fontId="7" fillId="6" borderId="37" xfId="0" applyNumberFormat="1" applyFont="1" applyFill="1" applyBorder="1" applyAlignment="1">
      <alignment horizontal="center" vertical="center"/>
    </xf>
    <xf numFmtId="2" fontId="36" fillId="6" borderId="36" xfId="0" applyNumberFormat="1" applyFont="1" applyFill="1" applyBorder="1" applyAlignment="1">
      <alignment horizontal="center" vertical="center"/>
    </xf>
    <xf numFmtId="2" fontId="36" fillId="6" borderId="36" xfId="0" applyNumberFormat="1" applyFont="1" applyFill="1" applyBorder="1" applyAlignment="1">
      <alignment vertical="center"/>
    </xf>
    <xf numFmtId="2" fontId="37" fillId="6" borderId="36" xfId="0" applyNumberFormat="1" applyFont="1" applyFill="1" applyBorder="1" applyAlignment="1">
      <alignment vertical="center"/>
    </xf>
    <xf numFmtId="164" fontId="7" fillId="6" borderId="0" xfId="0" applyNumberFormat="1" applyFont="1" applyFill="1" applyAlignment="1">
      <alignment horizontal="center" vertical="center"/>
    </xf>
    <xf numFmtId="2" fontId="7" fillId="6" borderId="36" xfId="0" applyNumberFormat="1" applyFont="1" applyFill="1" applyBorder="1" applyAlignment="1">
      <alignment vertical="center"/>
    </xf>
    <xf numFmtId="2" fontId="7" fillId="6" borderId="38" xfId="0" applyNumberFormat="1" applyFont="1" applyFill="1" applyBorder="1" applyAlignment="1">
      <alignment vertical="center"/>
    </xf>
    <xf numFmtId="0" fontId="3" fillId="7" borderId="37" xfId="0" quotePrefix="1" applyFont="1" applyFill="1" applyBorder="1"/>
    <xf numFmtId="0" fontId="3" fillId="7" borderId="0" xfId="0" quotePrefix="1" applyFont="1" applyFill="1"/>
    <xf numFmtId="0" fontId="3" fillId="7" borderId="36" xfId="0" applyFont="1" applyFill="1" applyBorder="1"/>
    <xf numFmtId="2" fontId="3" fillId="7" borderId="36" xfId="0" applyNumberFormat="1" applyFont="1" applyFill="1" applyBorder="1"/>
    <xf numFmtId="1" fontId="3" fillId="7" borderId="36" xfId="0" applyNumberFormat="1" applyFont="1" applyFill="1" applyBorder="1" applyAlignment="1">
      <alignment horizontal="center" vertical="center"/>
    </xf>
    <xf numFmtId="164" fontId="3" fillId="7" borderId="36" xfId="0" applyNumberFormat="1" applyFont="1" applyFill="1" applyBorder="1" applyAlignment="1">
      <alignment horizontal="center" vertical="center"/>
    </xf>
    <xf numFmtId="1" fontId="3" fillId="7" borderId="36" xfId="0" applyNumberFormat="1" applyFont="1" applyFill="1" applyBorder="1"/>
    <xf numFmtId="2" fontId="3" fillId="7" borderId="36" xfId="0" applyNumberFormat="1" applyFont="1" applyFill="1" applyBorder="1" applyAlignment="1">
      <alignment horizontal="center" vertical="center"/>
    </xf>
    <xf numFmtId="11" fontId="3" fillId="7" borderId="36" xfId="0" applyNumberFormat="1" applyFont="1" applyFill="1" applyBorder="1"/>
    <xf numFmtId="164" fontId="3" fillId="7" borderId="38" xfId="0" applyNumberFormat="1" applyFont="1" applyFill="1" applyBorder="1" applyAlignment="1">
      <alignment horizontal="center" vertical="center"/>
    </xf>
    <xf numFmtId="164" fontId="3" fillId="7" borderId="39" xfId="0" applyNumberFormat="1" applyFont="1" applyFill="1" applyBorder="1" applyAlignment="1">
      <alignment horizontal="center" vertical="center"/>
    </xf>
    <xf numFmtId="0" fontId="3" fillId="7" borderId="39" xfId="0" applyFont="1" applyFill="1" applyBorder="1"/>
    <xf numFmtId="11" fontId="3" fillId="7" borderId="39" xfId="0" applyNumberFormat="1" applyFont="1" applyFill="1" applyBorder="1"/>
    <xf numFmtId="1" fontId="3" fillId="7" borderId="39" xfId="0" applyNumberFormat="1" applyFont="1" applyFill="1" applyBorder="1" applyAlignment="1">
      <alignment horizontal="center" vertical="center"/>
    </xf>
    <xf numFmtId="1" fontId="3" fillId="7" borderId="39" xfId="0" applyNumberFormat="1" applyFont="1" applyFill="1" applyBorder="1"/>
    <xf numFmtId="2" fontId="3" fillId="7" borderId="39" xfId="0" applyNumberFormat="1" applyFont="1" applyFill="1" applyBorder="1" applyAlignment="1">
      <alignment horizontal="center" vertical="center"/>
    </xf>
    <xf numFmtId="2" fontId="3" fillId="7" borderId="39" xfId="0" applyNumberFormat="1" applyFont="1" applyFill="1" applyBorder="1"/>
    <xf numFmtId="0" fontId="3" fillId="7" borderId="32" xfId="0" applyFont="1" applyFill="1" applyBorder="1"/>
    <xf numFmtId="11" fontId="3" fillId="7" borderId="32" xfId="0" applyNumberFormat="1" applyFont="1" applyFill="1" applyBorder="1"/>
    <xf numFmtId="1" fontId="3" fillId="7" borderId="32" xfId="0" applyNumberFormat="1" applyFont="1" applyFill="1" applyBorder="1" applyAlignment="1">
      <alignment horizontal="center" vertical="center"/>
    </xf>
    <xf numFmtId="0" fontId="3" fillId="0" borderId="42" xfId="0" applyFont="1" applyBorder="1"/>
    <xf numFmtId="0" fontId="10" fillId="0" borderId="42" xfId="0" applyFont="1" applyBorder="1"/>
    <xf numFmtId="1" fontId="3" fillId="7" borderId="37" xfId="0" applyNumberFormat="1" applyFont="1" applyFill="1" applyBorder="1" applyAlignment="1">
      <alignment horizontal="center" vertical="center"/>
    </xf>
    <xf numFmtId="0" fontId="16" fillId="9" borderId="11" xfId="3" applyFont="1" applyBorder="1" applyAlignment="1">
      <alignment horizontal="center" vertical="center"/>
    </xf>
    <xf numFmtId="0" fontId="29" fillId="5" borderId="2" xfId="0" applyFont="1" applyFill="1" applyBorder="1" applyAlignment="1">
      <alignment horizontal="center" vertical="center"/>
    </xf>
    <xf numFmtId="0" fontId="29" fillId="5" borderId="3" xfId="0" applyFont="1" applyFill="1" applyBorder="1" applyAlignment="1">
      <alignment horizontal="center" vertical="center"/>
    </xf>
    <xf numFmtId="0" fontId="29" fillId="5" borderId="5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7" fillId="6" borderId="8" xfId="0" applyFont="1" applyFill="1" applyBorder="1" applyAlignment="1">
      <alignment horizontal="left" vertical="center"/>
    </xf>
    <xf numFmtId="0" fontId="30" fillId="9" borderId="11" xfId="3" applyBorder="1" applyAlignment="1">
      <alignment horizontal="center" vertical="center"/>
    </xf>
    <xf numFmtId="0" fontId="6" fillId="9" borderId="11" xfId="3" applyFont="1" applyBorder="1" applyAlignment="1">
      <alignment horizontal="center" vertical="center"/>
    </xf>
    <xf numFmtId="0" fontId="7" fillId="6" borderId="36" xfId="0" applyFont="1" applyFill="1" applyBorder="1" applyAlignment="1">
      <alignment horizontal="center" vertical="top" wrapText="1"/>
    </xf>
    <xf numFmtId="0" fontId="7" fillId="6" borderId="36" xfId="0" applyFont="1" applyFill="1" applyBorder="1" applyAlignment="1">
      <alignment horizontal="center" vertical="center"/>
    </xf>
    <xf numFmtId="0" fontId="7" fillId="6" borderId="37" xfId="0" applyFont="1" applyFill="1" applyBorder="1" applyAlignment="1">
      <alignment horizontal="center" vertical="center"/>
    </xf>
    <xf numFmtId="0" fontId="7" fillId="6" borderId="38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11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7" fillId="6" borderId="12" xfId="0" applyFont="1" applyFill="1" applyBorder="1" applyAlignment="1">
      <alignment horizontal="left" vertical="center"/>
    </xf>
    <xf numFmtId="0" fontId="7" fillId="6" borderId="13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center" vertical="center"/>
    </xf>
    <xf numFmtId="0" fontId="16" fillId="7" borderId="3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center" vertical="center"/>
    </xf>
    <xf numFmtId="0" fontId="16" fillId="7" borderId="11" xfId="0" applyFont="1" applyFill="1" applyBorder="1" applyAlignment="1">
      <alignment horizontal="center" vertical="top" wrapText="1"/>
    </xf>
    <xf numFmtId="0" fontId="16" fillId="7" borderId="11" xfId="0" applyFont="1" applyFill="1" applyBorder="1" applyAlignment="1">
      <alignment horizontal="center" vertical="top"/>
    </xf>
    <xf numFmtId="0" fontId="10" fillId="7" borderId="11" xfId="0" applyFont="1" applyFill="1" applyBorder="1" applyAlignment="1">
      <alignment horizontal="center" vertical="center"/>
    </xf>
    <xf numFmtId="2" fontId="7" fillId="6" borderId="37" xfId="0" applyNumberFormat="1" applyFont="1" applyFill="1" applyBorder="1" applyAlignment="1">
      <alignment horizontal="center" vertical="center" wrapText="1"/>
    </xf>
    <xf numFmtId="2" fontId="7" fillId="6" borderId="0" xfId="0" applyNumberFormat="1" applyFont="1" applyFill="1" applyAlignment="1">
      <alignment horizontal="center" vertical="center" wrapText="1"/>
    </xf>
    <xf numFmtId="164" fontId="7" fillId="6" borderId="36" xfId="0" applyNumberFormat="1" applyFont="1" applyFill="1" applyBorder="1" applyAlignment="1">
      <alignment horizontal="center" vertical="center" wrapText="1"/>
    </xf>
    <xf numFmtId="164" fontId="7" fillId="6" borderId="38" xfId="0" applyNumberFormat="1" applyFont="1" applyFill="1" applyBorder="1" applyAlignment="1">
      <alignment horizontal="center" vertical="center" wrapText="1"/>
    </xf>
    <xf numFmtId="0" fontId="7" fillId="6" borderId="36" xfId="0" applyFont="1" applyFill="1" applyBorder="1" applyAlignment="1">
      <alignment horizontal="center" vertical="center" wrapText="1"/>
    </xf>
    <xf numFmtId="0" fontId="7" fillId="6" borderId="38" xfId="0" applyFont="1" applyFill="1" applyBorder="1" applyAlignment="1">
      <alignment horizontal="center" vertical="center" wrapText="1"/>
    </xf>
    <xf numFmtId="2" fontId="7" fillId="6" borderId="36" xfId="0" applyNumberFormat="1" applyFont="1" applyFill="1" applyBorder="1" applyAlignment="1">
      <alignment horizontal="center" vertical="top"/>
    </xf>
    <xf numFmtId="0" fontId="7" fillId="6" borderId="38" xfId="0" applyFont="1" applyFill="1" applyBorder="1" applyAlignment="1">
      <alignment horizontal="center" vertical="top" wrapText="1"/>
    </xf>
    <xf numFmtId="164" fontId="7" fillId="6" borderId="36" xfId="0" applyNumberFormat="1" applyFont="1" applyFill="1" applyBorder="1" applyAlignment="1">
      <alignment horizontal="center" vertical="center"/>
    </xf>
    <xf numFmtId="164" fontId="7" fillId="6" borderId="38" xfId="0" applyNumberFormat="1" applyFont="1" applyFill="1" applyBorder="1" applyAlignment="1">
      <alignment horizontal="center" vertical="center"/>
    </xf>
    <xf numFmtId="0" fontId="7" fillId="6" borderId="37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164" fontId="7" fillId="6" borderId="37" xfId="0" applyNumberFormat="1" applyFont="1" applyFill="1" applyBorder="1" applyAlignment="1">
      <alignment horizontal="center" vertical="center" wrapText="1"/>
    </xf>
    <xf numFmtId="164" fontId="7" fillId="6" borderId="0" xfId="0" applyNumberFormat="1" applyFont="1" applyFill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164" fontId="7" fillId="10" borderId="36" xfId="0" applyNumberFormat="1" applyFont="1" applyFill="1" applyBorder="1" applyAlignment="1">
      <alignment horizontal="center" vertical="center"/>
    </xf>
    <xf numFmtId="164" fontId="7" fillId="10" borderId="38" xfId="0" applyNumberFormat="1" applyFont="1" applyFill="1" applyBorder="1" applyAlignment="1">
      <alignment horizontal="center" vertical="center"/>
    </xf>
    <xf numFmtId="0" fontId="44" fillId="7" borderId="42" xfId="0" applyFont="1" applyFill="1" applyBorder="1" applyAlignment="1">
      <alignment horizontal="center" vertical="center"/>
    </xf>
    <xf numFmtId="0" fontId="24" fillId="8" borderId="23" xfId="0" applyFont="1" applyFill="1" applyBorder="1" applyAlignment="1">
      <alignment horizontal="center"/>
    </xf>
    <xf numFmtId="0" fontId="24" fillId="8" borderId="24" xfId="0" applyFont="1" applyFill="1" applyBorder="1" applyAlignment="1">
      <alignment horizontal="center"/>
    </xf>
    <xf numFmtId="0" fontId="24" fillId="8" borderId="25" xfId="0" applyFont="1" applyFill="1" applyBorder="1" applyAlignment="1">
      <alignment horizontal="center"/>
    </xf>
    <xf numFmtId="0" fontId="24" fillId="8" borderId="17" xfId="0" applyFont="1" applyFill="1" applyBorder="1" applyAlignment="1">
      <alignment horizontal="center" wrapText="1"/>
    </xf>
    <xf numFmtId="0" fontId="24" fillId="8" borderId="18" xfId="0" applyFont="1" applyFill="1" applyBorder="1" applyAlignment="1">
      <alignment horizontal="center" wrapText="1"/>
    </xf>
    <xf numFmtId="0" fontId="24" fillId="8" borderId="19" xfId="0" applyFont="1" applyFill="1" applyBorder="1" applyAlignment="1">
      <alignment horizontal="center" wrapText="1"/>
    </xf>
    <xf numFmtId="0" fontId="24" fillId="8" borderId="0" xfId="0" applyFont="1" applyFill="1" applyAlignment="1">
      <alignment horizontal="center" wrapText="1"/>
    </xf>
    <xf numFmtId="0" fontId="0" fillId="3" borderId="11" xfId="2" applyFont="1" applyBorder="1" applyAlignment="1">
      <alignment horizontal="center" vertical="center" wrapText="1"/>
    </xf>
    <xf numFmtId="0" fontId="1" fillId="3" borderId="11" xfId="2" applyBorder="1" applyAlignment="1">
      <alignment horizontal="center" vertical="center"/>
    </xf>
    <xf numFmtId="0" fontId="24" fillId="8" borderId="11" xfId="0" applyFont="1" applyFill="1" applyBorder="1" applyAlignment="1">
      <alignment horizontal="center"/>
    </xf>
  </cellXfs>
  <cellStyles count="5">
    <cellStyle name="20% - Accent1" xfId="2" builtinId="30"/>
    <cellStyle name="Accent5" xfId="3" builtinId="45"/>
    <cellStyle name="Calculation" xfId="1" builtinId="22"/>
    <cellStyle name="Normal" xfId="0" builtinId="0"/>
    <cellStyle name="Percent" xfId="4" builtinId="5"/>
  </cellStyles>
  <dxfs count="34">
    <dxf>
      <font>
        <color theme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3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388326</xdr:colOff>
      <xdr:row>0</xdr:row>
      <xdr:rowOff>0</xdr:rowOff>
    </xdr:from>
    <xdr:to>
      <xdr:col>18</xdr:col>
      <xdr:colOff>175848</xdr:colOff>
      <xdr:row>11</xdr:row>
      <xdr:rowOff>32368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6C3EB1-ACBB-7F2B-DE7A-4A39CC5D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8999" y="0"/>
          <a:ext cx="4044464" cy="2176226"/>
        </a:xfrm>
        <a:prstGeom prst="rect">
          <a:avLst/>
        </a:prstGeom>
      </xdr:spPr>
    </xdr:pic>
    <xdr:clientData/>
  </xdr:twoCellAnchor>
  <xdr:twoCellAnchor editAs="oneCell">
    <xdr:from>
      <xdr:col>11</xdr:col>
      <xdr:colOff>332465</xdr:colOff>
      <xdr:row>11</xdr:row>
      <xdr:rowOff>139212</xdr:rowOff>
    </xdr:from>
    <xdr:to>
      <xdr:col>18</xdr:col>
      <xdr:colOff>189167</xdr:colOff>
      <xdr:row>24</xdr:row>
      <xdr:rowOff>20699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318137-AA0D-198F-0921-2DC73ADBC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73138" y="2234712"/>
          <a:ext cx="4113644" cy="2357987"/>
        </a:xfrm>
        <a:prstGeom prst="rect">
          <a:avLst/>
        </a:prstGeom>
      </xdr:spPr>
    </xdr:pic>
    <xdr:clientData/>
  </xdr:twoCellAnchor>
  <xdr:twoCellAnchor editAs="oneCell">
    <xdr:from>
      <xdr:col>19</xdr:col>
      <xdr:colOff>29309</xdr:colOff>
      <xdr:row>0</xdr:row>
      <xdr:rowOff>56418</xdr:rowOff>
    </xdr:from>
    <xdr:to>
      <xdr:col>26</xdr:col>
      <xdr:colOff>413765</xdr:colOff>
      <xdr:row>23</xdr:row>
      <xdr:rowOff>105508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BF8E5B-34A1-1E7C-A5D3-A24195158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35059" y="56418"/>
          <a:ext cx="4641398" cy="44789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138804</xdr:rowOff>
    </xdr:from>
    <xdr:to>
      <xdr:col>4</xdr:col>
      <xdr:colOff>221808</xdr:colOff>
      <xdr:row>38</xdr:row>
      <xdr:rowOff>53279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6ABB0F-DA57-4E5E-B333-E042396F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6" name="Picture 5">
          <a:extLst>
            <a:ext uri="{FF2B5EF4-FFF2-40B4-BE49-F238E27FC236}">
              <a16:creationId xmlns:a16="http://schemas.microsoft.com/office/drawing/2014/main" id="{5016042F-4F00-4302-A5B6-93110F20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52262</xdr:colOff>
      <xdr:row>40</xdr:row>
      <xdr:rowOff>16328</xdr:rowOff>
    </xdr:from>
    <xdr:to>
      <xdr:col>10</xdr:col>
      <xdr:colOff>453258</xdr:colOff>
      <xdr:row>60</xdr:row>
      <xdr:rowOff>11388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B8831EB-CDF7-FB93-F8A1-8F4095102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1314" y="5028449"/>
          <a:ext cx="1938134" cy="3279542"/>
        </a:xfrm>
        <a:prstGeom prst="rect">
          <a:avLst/>
        </a:prstGeom>
      </xdr:spPr>
    </xdr:pic>
    <xdr:clientData/>
  </xdr:twoCellAnchor>
  <xdr:twoCellAnchor editAs="oneCell">
    <xdr:from>
      <xdr:col>11</xdr:col>
      <xdr:colOff>354724</xdr:colOff>
      <xdr:row>15</xdr:row>
      <xdr:rowOff>26532</xdr:rowOff>
    </xdr:from>
    <xdr:to>
      <xdr:col>16</xdr:col>
      <xdr:colOff>141609</xdr:colOff>
      <xdr:row>21</xdr:row>
      <xdr:rowOff>150075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9E5EDD-F0BA-B9F7-A8CF-85455FF4B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07017" y="1097273"/>
          <a:ext cx="2388194" cy="11088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83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27A06FE-7E2B-4C72-BACC-00A137F65C65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1a0052c0-236b-48c7-a04a-eac009f1d0a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5.png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Q43"/>
  <sheetViews>
    <sheetView showGridLines="0" zoomScale="130" zoomScaleNormal="130" workbookViewId="0">
      <selection activeCell="I44" sqref="I44"/>
    </sheetView>
  </sheetViews>
  <sheetFormatPr defaultRowHeight="15"/>
  <cols>
    <col min="1" max="1" width="9.85546875" style="1" customWidth="1"/>
    <col min="2" max="4" width="7.28515625" style="1"/>
    <col min="5" max="5" width="7.28515625" style="1" customWidth="1"/>
    <col min="6" max="6" width="3.42578125" style="118" customWidth="1"/>
    <col min="7" max="7" width="9.5703125" bestFit="1" customWidth="1"/>
    <col min="19" max="19" width="11.5703125" bestFit="1" customWidth="1"/>
  </cols>
  <sheetData>
    <row r="1" spans="1:11">
      <c r="A1" s="112" t="s">
        <v>46</v>
      </c>
      <c r="B1" s="31" t="s">
        <v>47</v>
      </c>
      <c r="C1" s="31" t="s">
        <v>48</v>
      </c>
      <c r="D1" s="31" t="s">
        <v>49</v>
      </c>
      <c r="E1" s="114" t="s">
        <v>216</v>
      </c>
      <c r="G1" s="284" t="s">
        <v>22</v>
      </c>
      <c r="H1" s="285"/>
      <c r="I1" s="285"/>
      <c r="J1" s="285"/>
      <c r="K1" s="285"/>
    </row>
    <row r="2" spans="1:11">
      <c r="A2" s="113"/>
      <c r="B2" s="31" t="s">
        <v>50</v>
      </c>
      <c r="C2" s="31" t="s">
        <v>50</v>
      </c>
      <c r="D2" s="31" t="s">
        <v>50</v>
      </c>
      <c r="E2" s="115"/>
      <c r="G2" s="286"/>
      <c r="H2" s="287"/>
      <c r="I2" s="287"/>
      <c r="J2" s="287"/>
      <c r="K2" s="287"/>
    </row>
    <row r="3" spans="1:11" ht="18">
      <c r="A3" s="32" t="s">
        <v>51</v>
      </c>
      <c r="B3" s="33">
        <f>2.06*10^5</f>
        <v>206000</v>
      </c>
      <c r="C3" s="33">
        <v>235</v>
      </c>
      <c r="D3" s="116">
        <v>370</v>
      </c>
      <c r="E3" s="117">
        <v>1.1000000000000001</v>
      </c>
      <c r="G3" s="24" t="s">
        <v>23</v>
      </c>
      <c r="H3" s="30" t="s">
        <v>40</v>
      </c>
      <c r="I3" s="30" t="s">
        <v>39</v>
      </c>
      <c r="J3" s="30" t="s">
        <v>37</v>
      </c>
      <c r="K3" s="30" t="s">
        <v>38</v>
      </c>
    </row>
    <row r="4" spans="1:11">
      <c r="A4" s="32" t="s">
        <v>52</v>
      </c>
      <c r="B4" s="33">
        <f t="shared" ref="B4:B33" si="0">2.06*10^5</f>
        <v>206000</v>
      </c>
      <c r="C4" s="33">
        <v>345</v>
      </c>
      <c r="D4" s="116">
        <v>510</v>
      </c>
      <c r="E4" s="117">
        <v>1.1000000000000001</v>
      </c>
      <c r="G4" s="24">
        <v>5.6</v>
      </c>
      <c r="H4" s="11">
        <v>500</v>
      </c>
      <c r="I4" s="11">
        <v>300</v>
      </c>
      <c r="J4" s="11">
        <v>210</v>
      </c>
      <c r="K4" s="11">
        <v>225</v>
      </c>
    </row>
    <row r="5" spans="1:11">
      <c r="A5" s="32" t="s">
        <v>217</v>
      </c>
      <c r="B5" s="33">
        <f t="shared" si="0"/>
        <v>206000</v>
      </c>
      <c r="C5" s="33">
        <v>355</v>
      </c>
      <c r="D5" s="116">
        <v>510</v>
      </c>
      <c r="E5" s="117">
        <v>1.1000000000000001</v>
      </c>
      <c r="G5" s="24">
        <v>5.8</v>
      </c>
      <c r="H5" s="11">
        <v>500</v>
      </c>
      <c r="I5" s="11">
        <v>400</v>
      </c>
      <c r="J5" s="11">
        <v>210</v>
      </c>
      <c r="K5" s="11">
        <v>210</v>
      </c>
    </row>
    <row r="6" spans="1:11">
      <c r="A6" s="32" t="s">
        <v>53</v>
      </c>
      <c r="B6" s="33">
        <f t="shared" si="0"/>
        <v>206000</v>
      </c>
      <c r="C6" s="33">
        <v>250</v>
      </c>
      <c r="D6" s="116">
        <v>400</v>
      </c>
      <c r="E6" s="117">
        <v>1.1000000000000001</v>
      </c>
      <c r="G6" s="24">
        <v>8.8000000000000007</v>
      </c>
      <c r="H6" s="11">
        <v>830</v>
      </c>
      <c r="I6" s="11">
        <v>660</v>
      </c>
      <c r="J6" s="11">
        <v>332</v>
      </c>
      <c r="K6" s="11">
        <v>448</v>
      </c>
    </row>
    <row r="7" spans="1:11">
      <c r="A7" s="32" t="s">
        <v>54</v>
      </c>
      <c r="B7" s="33">
        <f t="shared" si="0"/>
        <v>206000</v>
      </c>
      <c r="C7" s="33">
        <v>345</v>
      </c>
      <c r="D7" s="116">
        <v>450</v>
      </c>
      <c r="E7" s="117">
        <v>1.1000000000000001</v>
      </c>
      <c r="G7" s="24">
        <v>10.9</v>
      </c>
      <c r="H7" s="11">
        <v>1040</v>
      </c>
      <c r="I7" s="11">
        <v>940</v>
      </c>
      <c r="J7" s="11">
        <v>416</v>
      </c>
      <c r="K7" s="11">
        <v>728</v>
      </c>
    </row>
    <row r="8" spans="1:11">
      <c r="A8" s="32" t="s">
        <v>55</v>
      </c>
      <c r="B8" s="33">
        <f t="shared" si="0"/>
        <v>206000</v>
      </c>
      <c r="C8" s="33">
        <v>235</v>
      </c>
      <c r="D8" s="116">
        <v>360</v>
      </c>
      <c r="E8" s="117">
        <v>1.05</v>
      </c>
      <c r="G8" s="24">
        <v>12.9</v>
      </c>
      <c r="H8" s="11">
        <v>1220</v>
      </c>
      <c r="I8" s="11">
        <v>1100</v>
      </c>
      <c r="J8" s="11">
        <v>427</v>
      </c>
      <c r="K8" s="11">
        <v>854</v>
      </c>
    </row>
    <row r="9" spans="1:11">
      <c r="A9" s="32" t="s">
        <v>56</v>
      </c>
      <c r="B9" s="33">
        <f t="shared" si="0"/>
        <v>206000</v>
      </c>
      <c r="C9" s="33">
        <v>225</v>
      </c>
      <c r="D9" s="116">
        <v>360</v>
      </c>
      <c r="E9" s="117">
        <v>1.05</v>
      </c>
    </row>
    <row r="10" spans="1:11">
      <c r="A10" s="32" t="s">
        <v>57</v>
      </c>
      <c r="B10" s="33">
        <f t="shared" si="0"/>
        <v>206000</v>
      </c>
      <c r="C10" s="33">
        <v>215</v>
      </c>
      <c r="D10" s="116">
        <v>360</v>
      </c>
      <c r="E10" s="117">
        <v>1.05</v>
      </c>
      <c r="G10" s="284" t="s">
        <v>27</v>
      </c>
      <c r="H10" s="285"/>
      <c r="I10" s="285"/>
      <c r="J10" s="285"/>
      <c r="K10" s="285"/>
    </row>
    <row r="11" spans="1:11">
      <c r="A11" s="32" t="s">
        <v>58</v>
      </c>
      <c r="B11" s="33">
        <f t="shared" si="0"/>
        <v>206000</v>
      </c>
      <c r="C11" s="33">
        <v>215</v>
      </c>
      <c r="D11" s="116">
        <v>360</v>
      </c>
      <c r="E11" s="117">
        <v>1.05</v>
      </c>
      <c r="G11" s="286"/>
      <c r="H11" s="287"/>
      <c r="I11" s="287"/>
      <c r="J11" s="287"/>
      <c r="K11" s="287"/>
    </row>
    <row r="12" spans="1:11">
      <c r="A12" s="32" t="s">
        <v>59</v>
      </c>
      <c r="B12" s="33">
        <f t="shared" si="0"/>
        <v>206000</v>
      </c>
      <c r="C12" s="33">
        <v>215</v>
      </c>
      <c r="D12" s="116">
        <v>360</v>
      </c>
      <c r="E12" s="117">
        <v>1.05</v>
      </c>
      <c r="G12" s="288" t="s">
        <v>41</v>
      </c>
      <c r="H12" s="289" t="s">
        <v>30</v>
      </c>
      <c r="I12" s="289"/>
    </row>
    <row r="13" spans="1:11">
      <c r="A13" s="32" t="s">
        <v>60</v>
      </c>
      <c r="B13" s="33">
        <f t="shared" si="0"/>
        <v>206000</v>
      </c>
      <c r="C13" s="33">
        <v>275</v>
      </c>
      <c r="D13" s="116">
        <v>410</v>
      </c>
      <c r="E13" s="117">
        <v>1.05</v>
      </c>
      <c r="G13" s="289"/>
      <c r="H13" s="24" t="s">
        <v>28</v>
      </c>
      <c r="I13" s="24" t="s">
        <v>29</v>
      </c>
    </row>
    <row r="14" spans="1:11">
      <c r="A14" s="32" t="s">
        <v>61</v>
      </c>
      <c r="B14" s="33">
        <f t="shared" si="0"/>
        <v>206000</v>
      </c>
      <c r="C14" s="33">
        <v>265</v>
      </c>
      <c r="D14" s="116">
        <v>410</v>
      </c>
      <c r="E14" s="117">
        <v>1.05</v>
      </c>
      <c r="G14" s="23">
        <v>360</v>
      </c>
      <c r="H14" s="25">
        <v>560</v>
      </c>
      <c r="I14" s="23">
        <v>475</v>
      </c>
    </row>
    <row r="15" spans="1:11">
      <c r="A15" s="32" t="s">
        <v>62</v>
      </c>
      <c r="B15" s="33">
        <f t="shared" si="0"/>
        <v>206000</v>
      </c>
      <c r="C15" s="33">
        <v>255</v>
      </c>
      <c r="D15" s="116">
        <v>410</v>
      </c>
      <c r="E15" s="117">
        <v>1.05</v>
      </c>
      <c r="G15" s="23">
        <f>G14+10</f>
        <v>370</v>
      </c>
      <c r="H15" s="25">
        <v>580</v>
      </c>
      <c r="I15" s="23">
        <v>485</v>
      </c>
    </row>
    <row r="16" spans="1:11">
      <c r="A16" s="32" t="s">
        <v>63</v>
      </c>
      <c r="B16" s="33">
        <f t="shared" si="0"/>
        <v>206000</v>
      </c>
      <c r="C16" s="33">
        <v>245</v>
      </c>
      <c r="D16" s="116">
        <v>410</v>
      </c>
      <c r="E16" s="117">
        <v>1.05</v>
      </c>
      <c r="G16" s="23">
        <f t="shared" ref="G16:G24" si="1">G15+10</f>
        <v>380</v>
      </c>
      <c r="H16" s="25">
        <v>590</v>
      </c>
      <c r="I16" s="23">
        <v>500</v>
      </c>
    </row>
    <row r="17" spans="1:17">
      <c r="A17" s="32" t="s">
        <v>64</v>
      </c>
      <c r="B17" s="33">
        <f t="shared" si="0"/>
        <v>206000</v>
      </c>
      <c r="C17" s="33">
        <v>235</v>
      </c>
      <c r="D17" s="116">
        <v>410</v>
      </c>
      <c r="E17" s="117">
        <v>1.05</v>
      </c>
      <c r="G17" s="23">
        <f t="shared" si="1"/>
        <v>390</v>
      </c>
      <c r="H17" s="25">
        <v>610</v>
      </c>
      <c r="I17" s="23">
        <v>515</v>
      </c>
    </row>
    <row r="18" spans="1:17">
      <c r="A18" s="32" t="s">
        <v>65</v>
      </c>
      <c r="B18" s="33">
        <f t="shared" si="0"/>
        <v>206000</v>
      </c>
      <c r="C18" s="33">
        <v>355</v>
      </c>
      <c r="D18" s="116">
        <v>470</v>
      </c>
      <c r="E18" s="117">
        <v>1.05</v>
      </c>
      <c r="G18" s="23">
        <v>430</v>
      </c>
      <c r="H18" s="25">
        <v>670</v>
      </c>
      <c r="I18" s="23">
        <v>565</v>
      </c>
    </row>
    <row r="19" spans="1:17">
      <c r="A19" s="32" t="s">
        <v>66</v>
      </c>
      <c r="B19" s="33">
        <f t="shared" si="0"/>
        <v>206000</v>
      </c>
      <c r="C19" s="33">
        <v>345</v>
      </c>
      <c r="D19" s="116">
        <v>470</v>
      </c>
      <c r="E19" s="117">
        <v>1.05</v>
      </c>
      <c r="G19" s="23">
        <f t="shared" si="1"/>
        <v>440</v>
      </c>
      <c r="H19" s="25">
        <v>685</v>
      </c>
      <c r="I19" s="23">
        <v>580</v>
      </c>
    </row>
    <row r="20" spans="1:17">
      <c r="A20" s="32" t="s">
        <v>67</v>
      </c>
      <c r="B20" s="33">
        <f t="shared" si="0"/>
        <v>206000</v>
      </c>
      <c r="C20" s="33">
        <v>335</v>
      </c>
      <c r="D20" s="116">
        <v>470</v>
      </c>
      <c r="E20" s="117">
        <v>1.05</v>
      </c>
      <c r="G20" s="23">
        <f t="shared" si="1"/>
        <v>450</v>
      </c>
      <c r="H20" s="25">
        <v>700</v>
      </c>
      <c r="I20" s="23">
        <v>595</v>
      </c>
    </row>
    <row r="21" spans="1:17">
      <c r="A21" s="32" t="s">
        <v>68</v>
      </c>
      <c r="B21" s="33">
        <f t="shared" si="0"/>
        <v>206000</v>
      </c>
      <c r="C21" s="33">
        <v>325</v>
      </c>
      <c r="D21" s="116">
        <v>470</v>
      </c>
      <c r="E21" s="117">
        <v>1.05</v>
      </c>
      <c r="G21" s="23">
        <f t="shared" si="1"/>
        <v>460</v>
      </c>
      <c r="H21" s="25">
        <v>720</v>
      </c>
      <c r="I21" s="23">
        <v>605</v>
      </c>
    </row>
    <row r="22" spans="1:17">
      <c r="A22" s="32" t="s">
        <v>69</v>
      </c>
      <c r="B22" s="33">
        <f t="shared" si="0"/>
        <v>206000</v>
      </c>
      <c r="C22" s="33">
        <v>315</v>
      </c>
      <c r="D22" s="116">
        <v>470</v>
      </c>
      <c r="E22" s="117">
        <v>1.05</v>
      </c>
      <c r="G22" s="23">
        <f t="shared" si="1"/>
        <v>470</v>
      </c>
      <c r="H22" s="25">
        <v>735</v>
      </c>
      <c r="I22" s="23">
        <v>620</v>
      </c>
    </row>
    <row r="23" spans="1:17">
      <c r="A23" s="32" t="s">
        <v>143</v>
      </c>
      <c r="B23" s="33">
        <f t="shared" si="0"/>
        <v>206000</v>
      </c>
      <c r="C23" s="33">
        <v>205</v>
      </c>
      <c r="D23" s="116">
        <v>330</v>
      </c>
      <c r="E23" s="117">
        <v>1.05</v>
      </c>
      <c r="G23" s="23">
        <f t="shared" si="1"/>
        <v>480</v>
      </c>
      <c r="H23" s="25">
        <v>750</v>
      </c>
      <c r="I23" s="23">
        <v>630</v>
      </c>
    </row>
    <row r="24" spans="1:17">
      <c r="A24" s="32" t="s">
        <v>144</v>
      </c>
      <c r="B24" s="33">
        <f t="shared" si="0"/>
        <v>206000</v>
      </c>
      <c r="C24" s="33">
        <v>195</v>
      </c>
      <c r="D24" s="116">
        <v>330</v>
      </c>
      <c r="E24" s="117">
        <v>1.05</v>
      </c>
      <c r="G24" s="23">
        <f t="shared" si="1"/>
        <v>490</v>
      </c>
      <c r="H24" s="25">
        <v>765</v>
      </c>
      <c r="I24" s="23">
        <v>645</v>
      </c>
    </row>
    <row r="25" spans="1:17">
      <c r="A25" s="32" t="s">
        <v>145</v>
      </c>
      <c r="B25" s="33">
        <f t="shared" si="0"/>
        <v>206000</v>
      </c>
      <c r="C25" s="33">
        <v>245</v>
      </c>
      <c r="D25" s="116">
        <v>400</v>
      </c>
      <c r="E25" s="117">
        <v>1.05</v>
      </c>
      <c r="G25" s="23">
        <v>510</v>
      </c>
      <c r="H25" s="25">
        <v>795</v>
      </c>
      <c r="I25" s="23">
        <v>670</v>
      </c>
    </row>
    <row r="26" spans="1:17">
      <c r="A26" s="32" t="s">
        <v>146</v>
      </c>
      <c r="B26" s="33">
        <f t="shared" si="0"/>
        <v>206000</v>
      </c>
      <c r="C26" s="33">
        <v>235</v>
      </c>
      <c r="D26" s="116">
        <v>400</v>
      </c>
      <c r="E26" s="117">
        <v>1.05</v>
      </c>
      <c r="G26" s="23">
        <v>540</v>
      </c>
      <c r="H26" s="25">
        <v>845</v>
      </c>
      <c r="I26" s="23">
        <v>710</v>
      </c>
    </row>
    <row r="27" spans="1:17">
      <c r="A27" s="32" t="s">
        <v>147</v>
      </c>
      <c r="B27" s="33">
        <f t="shared" si="0"/>
        <v>206000</v>
      </c>
      <c r="C27" s="33">
        <v>285</v>
      </c>
      <c r="D27" s="116">
        <v>490</v>
      </c>
      <c r="E27" s="117">
        <v>1.05</v>
      </c>
      <c r="G27" s="23">
        <v>570</v>
      </c>
      <c r="H27" s="25">
        <v>890</v>
      </c>
      <c r="I27" s="23">
        <v>750</v>
      </c>
    </row>
    <row r="28" spans="1:17">
      <c r="A28" s="32" t="s">
        <v>148</v>
      </c>
      <c r="B28" s="33">
        <f t="shared" si="0"/>
        <v>206000</v>
      </c>
      <c r="C28" s="33">
        <v>275</v>
      </c>
      <c r="D28" s="116">
        <v>490</v>
      </c>
      <c r="E28" s="117">
        <v>1.05</v>
      </c>
      <c r="G28" s="23">
        <v>590</v>
      </c>
      <c r="H28" s="25">
        <v>920</v>
      </c>
      <c r="I28" s="23">
        <v>775</v>
      </c>
    </row>
    <row r="29" spans="1:17">
      <c r="A29" s="32" t="s">
        <v>149</v>
      </c>
      <c r="B29" s="33">
        <f t="shared" si="0"/>
        <v>206000</v>
      </c>
      <c r="C29" s="33">
        <v>400</v>
      </c>
      <c r="D29" s="116">
        <v>540</v>
      </c>
      <c r="E29" s="117">
        <v>1.05</v>
      </c>
    </row>
    <row r="30" spans="1:17">
      <c r="A30" s="32" t="s">
        <v>150</v>
      </c>
      <c r="B30" s="33">
        <f t="shared" si="0"/>
        <v>206000</v>
      </c>
      <c r="C30" s="33">
        <v>390</v>
      </c>
      <c r="D30" s="116">
        <v>540</v>
      </c>
      <c r="E30" s="117">
        <v>1.05</v>
      </c>
      <c r="G30" s="290" t="s">
        <v>31</v>
      </c>
      <c r="H30" s="290"/>
      <c r="I30" s="290"/>
      <c r="J30" s="290"/>
      <c r="K30" s="290"/>
      <c r="L30" s="290"/>
      <c r="M30" s="290"/>
      <c r="N30" s="290"/>
      <c r="O30" s="290"/>
      <c r="P30" s="290"/>
      <c r="Q30" s="290"/>
    </row>
    <row r="31" spans="1:17">
      <c r="A31" s="32" t="s">
        <v>218</v>
      </c>
      <c r="B31" s="33">
        <f t="shared" si="0"/>
        <v>206000</v>
      </c>
      <c r="C31" s="33">
        <v>220</v>
      </c>
      <c r="D31" s="116">
        <v>340</v>
      </c>
      <c r="E31" s="117">
        <v>1.05</v>
      </c>
      <c r="G31" s="26" t="s">
        <v>32</v>
      </c>
      <c r="H31" s="27">
        <v>16</v>
      </c>
      <c r="I31" s="27">
        <v>18</v>
      </c>
      <c r="J31" s="27">
        <v>20</v>
      </c>
      <c r="K31" s="27">
        <v>22</v>
      </c>
      <c r="L31" s="27">
        <v>24</v>
      </c>
      <c r="M31" s="27">
        <v>27</v>
      </c>
      <c r="N31" s="27">
        <v>30</v>
      </c>
      <c r="O31" s="27">
        <v>36</v>
      </c>
      <c r="P31" s="27">
        <v>42</v>
      </c>
      <c r="Q31" s="27">
        <v>48</v>
      </c>
    </row>
    <row r="32" spans="1:17">
      <c r="A32" s="32" t="s">
        <v>219</v>
      </c>
      <c r="B32" s="33">
        <f t="shared" si="0"/>
        <v>206000</v>
      </c>
      <c r="C32" s="33">
        <v>240</v>
      </c>
      <c r="D32" s="116">
        <v>380</v>
      </c>
      <c r="E32" s="117">
        <v>1.05</v>
      </c>
      <c r="G32" s="26" t="s">
        <v>33</v>
      </c>
      <c r="H32" s="10">
        <v>2</v>
      </c>
      <c r="I32" s="10">
        <v>2.5</v>
      </c>
      <c r="J32" s="10">
        <v>2.5</v>
      </c>
      <c r="K32" s="10">
        <v>2.5</v>
      </c>
      <c r="L32" s="10">
        <v>3</v>
      </c>
      <c r="M32" s="10">
        <v>3</v>
      </c>
      <c r="N32" s="10">
        <v>3.5</v>
      </c>
      <c r="O32" s="10">
        <v>4</v>
      </c>
      <c r="P32" s="10">
        <v>4.5</v>
      </c>
      <c r="Q32" s="10">
        <v>5</v>
      </c>
    </row>
    <row r="33" spans="1:17">
      <c r="A33" s="32" t="s">
        <v>220</v>
      </c>
      <c r="B33" s="33">
        <f t="shared" si="0"/>
        <v>206000</v>
      </c>
      <c r="C33" s="33">
        <v>260</v>
      </c>
      <c r="D33" s="116">
        <v>420</v>
      </c>
      <c r="E33" s="117">
        <v>1.05</v>
      </c>
      <c r="G33" s="26" t="s">
        <v>34</v>
      </c>
      <c r="H33" s="28">
        <f>PI()*H31^2/4</f>
        <v>201.06192982974676</v>
      </c>
      <c r="I33" s="28">
        <f t="shared" ref="I33:Q33" si="2">PI()*I31^2/4</f>
        <v>254.46900494077323</v>
      </c>
      <c r="J33" s="28">
        <f t="shared" si="2"/>
        <v>314.15926535897933</v>
      </c>
      <c r="K33" s="28">
        <f t="shared" si="2"/>
        <v>380.13271108436498</v>
      </c>
      <c r="L33" s="28">
        <f t="shared" si="2"/>
        <v>452.38934211693021</v>
      </c>
      <c r="M33" s="28">
        <f t="shared" si="2"/>
        <v>572.55526111673976</v>
      </c>
      <c r="N33" s="28">
        <f t="shared" si="2"/>
        <v>706.85834705770344</v>
      </c>
      <c r="O33" s="28">
        <f t="shared" si="2"/>
        <v>1017.8760197630929</v>
      </c>
      <c r="P33" s="28">
        <f t="shared" si="2"/>
        <v>1385.4423602330987</v>
      </c>
      <c r="Q33" s="28">
        <f t="shared" si="2"/>
        <v>1809.5573684677208</v>
      </c>
    </row>
    <row r="34" spans="1:17">
      <c r="G34" s="26" t="s">
        <v>35</v>
      </c>
      <c r="H34" s="10">
        <v>157</v>
      </c>
      <c r="I34" s="10">
        <v>192</v>
      </c>
      <c r="J34" s="10">
        <v>245</v>
      </c>
      <c r="K34" s="10">
        <v>303</v>
      </c>
      <c r="L34" s="10">
        <v>353</v>
      </c>
      <c r="M34" s="10">
        <v>459</v>
      </c>
      <c r="N34" s="10">
        <v>561</v>
      </c>
      <c r="O34" s="10">
        <v>816</v>
      </c>
      <c r="P34" s="10">
        <v>1120</v>
      </c>
      <c r="Q34" s="10">
        <v>1472</v>
      </c>
    </row>
    <row r="35" spans="1:17">
      <c r="G35" s="29" t="s">
        <v>36</v>
      </c>
      <c r="H35" s="10">
        <v>1</v>
      </c>
      <c r="I35" s="10">
        <v>1.05</v>
      </c>
      <c r="J35" s="10">
        <v>1.1000000000000001</v>
      </c>
      <c r="K35" s="10">
        <v>1.1000000000000001</v>
      </c>
      <c r="L35" s="10">
        <v>1.1000000000000001</v>
      </c>
      <c r="M35" s="10">
        <v>1.2</v>
      </c>
      <c r="N35" s="10">
        <v>1.3</v>
      </c>
      <c r="O35" s="10">
        <v>1.3</v>
      </c>
      <c r="P35" s="10">
        <v>1.6</v>
      </c>
      <c r="Q35" s="10">
        <v>1.6</v>
      </c>
    </row>
    <row r="37" spans="1:17">
      <c r="L37" s="281" t="s">
        <v>70</v>
      </c>
      <c r="M37" s="282"/>
      <c r="N37" s="283"/>
    </row>
    <row r="38" spans="1:17">
      <c r="L38" s="31" t="s">
        <v>71</v>
      </c>
      <c r="M38" s="31" t="s">
        <v>72</v>
      </c>
      <c r="N38" s="31" t="s">
        <v>73</v>
      </c>
    </row>
    <row r="39" spans="1:17">
      <c r="L39" s="10" t="s">
        <v>74</v>
      </c>
      <c r="M39" s="10">
        <v>430</v>
      </c>
      <c r="N39" s="10">
        <v>180</v>
      </c>
    </row>
    <row r="40" spans="1:17">
      <c r="L40" s="10" t="s">
        <v>75</v>
      </c>
      <c r="M40" s="10">
        <v>510</v>
      </c>
      <c r="N40" s="10">
        <v>225</v>
      </c>
    </row>
    <row r="41" spans="1:17">
      <c r="L41" s="10" t="s">
        <v>13</v>
      </c>
      <c r="M41" s="10">
        <v>410</v>
      </c>
      <c r="N41" s="10">
        <v>180</v>
      </c>
    </row>
    <row r="42" spans="1:17">
      <c r="L42" s="10" t="s">
        <v>76</v>
      </c>
      <c r="M42" s="10">
        <v>450</v>
      </c>
      <c r="N42" s="10">
        <v>200</v>
      </c>
    </row>
    <row r="43" spans="1:17">
      <c r="L43" s="10" t="s">
        <v>77</v>
      </c>
      <c r="M43" s="10">
        <v>490</v>
      </c>
      <c r="N43" s="10">
        <v>215</v>
      </c>
    </row>
  </sheetData>
  <customSheetViews>
    <customSheetView guid="{811F7E87-3F01-4CA8-BC58-02D3A05CE88F}" scale="130" showGridLines="0">
      <selection activeCell="N58" sqref="N58"/>
      <pageMargins left="0.7" right="0.7" top="0.75" bottom="0.75" header="0.3" footer="0.3"/>
    </customSheetView>
  </customSheetViews>
  <mergeCells count="6">
    <mergeCell ref="L37:N37"/>
    <mergeCell ref="G1:K2"/>
    <mergeCell ref="G10:K11"/>
    <mergeCell ref="G12:G13"/>
    <mergeCell ref="H12:I12"/>
    <mergeCell ref="G30:Q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</sheetPr>
  <dimension ref="B1:FF892"/>
  <sheetViews>
    <sheetView showGridLines="0" tabSelected="1" topLeftCell="B11" zoomScale="160" zoomScaleNormal="160" zoomScaleSheetLayoutView="115" workbookViewId="0">
      <selection activeCell="F27" sqref="F27"/>
    </sheetView>
  </sheetViews>
  <sheetFormatPr defaultColWidth="7.28515625" defaultRowHeight="12.75"/>
  <cols>
    <col min="1" max="1" width="2.140625" style="1" customWidth="1"/>
    <col min="2" max="6" width="6.7109375" style="1" customWidth="1"/>
    <col min="7" max="7" width="3" style="2" customWidth="1"/>
    <col min="8" max="9" width="7.28515625" style="1"/>
    <col min="10" max="10" width="8.42578125" style="1" bestFit="1" customWidth="1"/>
    <col min="11" max="11" width="7.28515625" style="1"/>
    <col min="12" max="12" width="7.28515625" style="1" customWidth="1"/>
    <col min="13" max="13" width="7.28515625" style="1"/>
    <col min="14" max="14" width="8.5703125" style="1" customWidth="1"/>
    <col min="15" max="15" width="7.7109375" style="1" customWidth="1"/>
    <col min="16" max="16" width="8.140625" style="1" bestFit="1" customWidth="1"/>
    <col min="17" max="17" width="8.140625" style="1" customWidth="1"/>
    <col min="18" max="18" width="8.5703125" style="1" bestFit="1" customWidth="1"/>
    <col min="19" max="19" width="7.7109375" style="1" customWidth="1"/>
    <col min="20" max="22" width="7.28515625" style="1" customWidth="1"/>
    <col min="23" max="25" width="7.28515625" style="1" hidden="1" customWidth="1"/>
    <col min="26" max="26" width="2.85546875" style="2" customWidth="1"/>
    <col min="27" max="29" width="5.28515625" style="97" customWidth="1"/>
    <col min="30" max="30" width="5.28515625" style="98" customWidth="1"/>
    <col min="31" max="35" width="5.28515625" style="85" customWidth="1"/>
    <col min="36" max="36" width="13.7109375" style="85" customWidth="1"/>
    <col min="37" max="41" width="5.28515625" style="97" customWidth="1"/>
    <col min="42" max="42" width="17.5703125" style="97" customWidth="1"/>
    <col min="43" max="43" width="6.140625" style="97" customWidth="1"/>
    <col min="44" max="45" width="6.140625" style="99" customWidth="1"/>
    <col min="46" max="48" width="6.140625" style="99" hidden="1" customWidth="1"/>
    <col min="49" max="49" width="6.140625" style="99" customWidth="1"/>
    <col min="50" max="52" width="6.140625" style="169" hidden="1" customWidth="1"/>
    <col min="53" max="59" width="4.5703125" style="88" customWidth="1"/>
    <col min="60" max="62" width="4.7109375" style="88" customWidth="1"/>
    <col min="63" max="63" width="4.7109375" style="50" customWidth="1"/>
    <col min="64" max="64" width="5.42578125" style="50" bestFit="1" customWidth="1"/>
    <col min="65" max="67" width="4.7109375" style="50" customWidth="1"/>
    <col min="68" max="68" width="8.140625" style="50" bestFit="1" customWidth="1"/>
    <col min="69" max="77" width="4.7109375" style="50" customWidth="1"/>
    <col min="78" max="78" width="5.42578125" style="50" bestFit="1" customWidth="1"/>
    <col min="79" max="79" width="6" style="50" bestFit="1" customWidth="1"/>
    <col min="80" max="84" width="4.7109375" style="50" customWidth="1"/>
    <col min="85" max="103" width="7.28515625" style="1" hidden="1" customWidth="1"/>
    <col min="104" max="104" width="3.140625" style="2" customWidth="1"/>
    <col min="105" max="107" width="5.28515625" style="97" customWidth="1"/>
    <col min="108" max="108" width="5.28515625" style="98" customWidth="1"/>
    <col min="109" max="113" width="5.28515625" style="85" hidden="1" customWidth="1"/>
    <col min="114" max="114" width="13.7109375" style="85" customWidth="1"/>
    <col min="115" max="119" width="5.28515625" style="97" hidden="1" customWidth="1"/>
    <col min="120" max="120" width="19.28515625" style="97" bestFit="1" customWidth="1"/>
    <col min="121" max="121" width="6.140625" style="97" customWidth="1"/>
    <col min="122" max="123" width="6.140625" style="99" customWidth="1"/>
    <col min="124" max="126" width="6.140625" style="99" hidden="1" customWidth="1"/>
    <col min="127" max="127" width="6.140625" style="99" customWidth="1"/>
    <col min="128" max="130" width="6.140625" style="169" hidden="1" customWidth="1"/>
    <col min="131" max="137" width="4.5703125" style="88" hidden="1" customWidth="1"/>
    <col min="138" max="140" width="4.7109375" style="88" hidden="1" customWidth="1"/>
    <col min="141" max="141" width="4.7109375" style="50" hidden="1" customWidth="1"/>
    <col min="142" max="142" width="5.42578125" style="50" hidden="1" customWidth="1"/>
    <col min="143" max="143" width="5.140625" style="50" customWidth="1"/>
    <col min="144" max="144" width="4.7109375" style="50" customWidth="1"/>
    <col min="145" max="145" width="4.7109375" style="50" hidden="1" customWidth="1"/>
    <col min="146" max="146" width="8.140625" style="50" hidden="1" customWidth="1"/>
    <col min="147" max="147" width="4.7109375" style="50" hidden="1" customWidth="1"/>
    <col min="148" max="148" width="5.28515625" style="50" customWidth="1"/>
    <col min="149" max="149" width="5.5703125" style="50" customWidth="1"/>
    <col min="150" max="151" width="5.28515625" style="50" customWidth="1"/>
    <col min="152" max="155" width="4.7109375" style="50" hidden="1" customWidth="1"/>
    <col min="156" max="156" width="5.42578125" style="50" hidden="1" customWidth="1"/>
    <col min="157" max="157" width="6" style="50" hidden="1" customWidth="1"/>
    <col min="158" max="160" width="4.7109375" style="50" hidden="1" customWidth="1"/>
    <col min="161" max="162" width="5.140625" style="50" customWidth="1"/>
    <col min="163" max="16384" width="7.28515625" style="1"/>
  </cols>
  <sheetData>
    <row r="1" spans="2:162" ht="12.75" hidden="1" customHeight="1">
      <c r="AA1" s="60"/>
      <c r="AB1" s="60"/>
      <c r="AC1" s="60"/>
      <c r="AD1" s="87"/>
      <c r="AE1" s="52"/>
      <c r="AF1" s="52"/>
      <c r="AG1" s="52"/>
      <c r="AH1" s="52"/>
      <c r="AI1" s="52"/>
      <c r="AJ1" s="52"/>
      <c r="AK1" s="60"/>
      <c r="AL1" s="60"/>
      <c r="AM1" s="60"/>
      <c r="AN1" s="60"/>
      <c r="AO1" s="60"/>
      <c r="AP1" s="60"/>
      <c r="AQ1" s="60"/>
      <c r="AR1" s="169"/>
      <c r="AS1" s="169"/>
      <c r="AT1" s="169"/>
      <c r="AU1" s="169"/>
      <c r="AV1" s="169"/>
      <c r="AW1" s="169"/>
      <c r="DA1" s="60"/>
      <c r="DB1" s="60"/>
      <c r="DC1" s="60"/>
      <c r="DD1" s="87"/>
      <c r="DE1" s="52"/>
      <c r="DF1" s="52"/>
      <c r="DG1" s="52"/>
      <c r="DH1" s="52"/>
      <c r="DI1" s="52"/>
      <c r="DJ1" s="52"/>
      <c r="DK1" s="60"/>
      <c r="DL1" s="60"/>
      <c r="DM1" s="60"/>
      <c r="DN1" s="60"/>
      <c r="DO1" s="60"/>
      <c r="DP1" s="60"/>
      <c r="DQ1" s="60"/>
      <c r="DR1" s="169"/>
      <c r="DS1" s="169"/>
      <c r="DT1" s="169"/>
      <c r="DU1" s="169"/>
      <c r="DV1" s="169"/>
      <c r="DW1" s="169"/>
    </row>
    <row r="2" spans="2:162" ht="12.75" hidden="1" customHeight="1">
      <c r="AA2" s="60"/>
      <c r="AB2" s="60"/>
      <c r="AC2" s="60"/>
      <c r="AD2" s="87"/>
      <c r="AE2" s="52"/>
      <c r="AF2" s="52"/>
      <c r="AG2" s="52"/>
      <c r="AH2" s="52"/>
      <c r="AI2" s="52"/>
      <c r="AJ2" s="52"/>
      <c r="AK2" s="60"/>
      <c r="AL2" s="60"/>
      <c r="AM2" s="60"/>
      <c r="AN2" s="60"/>
      <c r="AO2" s="60"/>
      <c r="AP2" s="60"/>
      <c r="AQ2" s="60"/>
      <c r="AR2" s="169"/>
      <c r="AS2" s="169"/>
      <c r="AT2" s="169"/>
      <c r="AU2" s="169"/>
      <c r="AV2" s="169"/>
      <c r="AW2" s="169"/>
      <c r="DA2" s="60"/>
      <c r="DB2" s="60"/>
      <c r="DC2" s="60"/>
      <c r="DD2" s="87"/>
      <c r="DE2" s="52"/>
      <c r="DF2" s="52"/>
      <c r="DG2" s="52"/>
      <c r="DH2" s="52"/>
      <c r="DI2" s="52"/>
      <c r="DJ2" s="52"/>
      <c r="DK2" s="60"/>
      <c r="DL2" s="60"/>
      <c r="DM2" s="60"/>
      <c r="DN2" s="60"/>
      <c r="DO2" s="60"/>
      <c r="DP2" s="60"/>
      <c r="DQ2" s="60"/>
      <c r="DR2" s="169"/>
      <c r="DS2" s="169"/>
      <c r="DT2" s="169"/>
      <c r="DU2" s="169"/>
      <c r="DV2" s="169"/>
      <c r="DW2" s="169"/>
    </row>
    <row r="3" spans="2:162" ht="12.75" hidden="1" customHeight="1">
      <c r="AA3" s="60"/>
      <c r="AB3" s="60"/>
      <c r="AC3" s="60"/>
      <c r="AD3" s="87"/>
      <c r="AE3" s="52"/>
      <c r="AF3" s="52"/>
      <c r="AG3" s="52"/>
      <c r="AH3" s="52"/>
      <c r="AI3" s="52"/>
      <c r="AJ3" s="52"/>
      <c r="AK3" s="60"/>
      <c r="AL3" s="60"/>
      <c r="AM3" s="60"/>
      <c r="AN3" s="60"/>
      <c r="AO3" s="60"/>
      <c r="AP3" s="60"/>
      <c r="AQ3" s="60"/>
      <c r="AR3" s="169"/>
      <c r="AS3" s="169"/>
      <c r="AT3" s="169"/>
      <c r="AU3" s="169"/>
      <c r="AV3" s="169"/>
      <c r="AW3" s="169"/>
      <c r="DA3" s="60"/>
      <c r="DB3" s="60"/>
      <c r="DC3" s="60"/>
      <c r="DD3" s="87"/>
      <c r="DE3" s="52"/>
      <c r="DF3" s="52"/>
      <c r="DG3" s="52"/>
      <c r="DH3" s="52"/>
      <c r="DI3" s="52"/>
      <c r="DJ3" s="52"/>
      <c r="DK3" s="60"/>
      <c r="DL3" s="60"/>
      <c r="DM3" s="60"/>
      <c r="DN3" s="60"/>
      <c r="DO3" s="60"/>
      <c r="DP3" s="60"/>
      <c r="DQ3" s="60"/>
      <c r="DR3" s="169"/>
      <c r="DS3" s="169"/>
      <c r="DT3" s="169"/>
      <c r="DU3" s="169"/>
      <c r="DV3" s="169"/>
      <c r="DW3" s="169"/>
    </row>
    <row r="4" spans="2:162" ht="12.75" hidden="1" customHeight="1">
      <c r="AA4" s="60"/>
      <c r="AB4" s="60"/>
      <c r="AC4" s="60"/>
      <c r="AD4" s="87"/>
      <c r="AE4" s="52"/>
      <c r="AF4" s="52"/>
      <c r="AG4" s="52"/>
      <c r="AH4" s="52"/>
      <c r="AI4" s="52"/>
      <c r="AJ4" s="52"/>
      <c r="AK4" s="60"/>
      <c r="AL4" s="60"/>
      <c r="AM4" s="60"/>
      <c r="AN4" s="60"/>
      <c r="AO4" s="60"/>
      <c r="AP4" s="60"/>
      <c r="AQ4" s="60"/>
      <c r="AR4" s="169"/>
      <c r="AS4" s="169"/>
      <c r="AT4" s="169"/>
      <c r="AU4" s="169"/>
      <c r="AV4" s="169"/>
      <c r="AW4" s="169"/>
      <c r="DA4" s="60"/>
      <c r="DB4" s="60"/>
      <c r="DC4" s="60"/>
      <c r="DD4" s="87"/>
      <c r="DE4" s="52"/>
      <c r="DF4" s="52"/>
      <c r="DG4" s="52"/>
      <c r="DH4" s="52"/>
      <c r="DI4" s="52"/>
      <c r="DJ4" s="52"/>
      <c r="DK4" s="60"/>
      <c r="DL4" s="60"/>
      <c r="DM4" s="60"/>
      <c r="DN4" s="60"/>
      <c r="DO4" s="60"/>
      <c r="DP4" s="60"/>
      <c r="DQ4" s="60"/>
      <c r="DR4" s="169"/>
      <c r="DS4" s="169"/>
      <c r="DT4" s="169"/>
      <c r="DU4" s="169"/>
      <c r="DV4" s="169"/>
      <c r="DW4" s="169"/>
    </row>
    <row r="5" spans="2:162" ht="12.75" hidden="1" customHeight="1">
      <c r="AA5" s="60"/>
      <c r="AB5" s="60"/>
      <c r="AC5" s="60"/>
      <c r="AD5" s="87"/>
      <c r="AE5" s="52"/>
      <c r="AF5" s="52"/>
      <c r="AG5" s="52"/>
      <c r="AH5" s="52"/>
      <c r="AI5" s="52"/>
      <c r="AJ5" s="52"/>
      <c r="AK5" s="60"/>
      <c r="AL5" s="60"/>
      <c r="AM5" s="60"/>
      <c r="AN5" s="60"/>
      <c r="AO5" s="60"/>
      <c r="AP5" s="60"/>
      <c r="AQ5" s="60"/>
      <c r="AR5" s="169"/>
      <c r="AS5" s="169"/>
      <c r="AT5" s="169"/>
      <c r="AU5" s="169"/>
      <c r="AV5" s="169"/>
      <c r="AW5" s="169"/>
      <c r="DA5" s="60"/>
      <c r="DB5" s="60"/>
      <c r="DC5" s="60"/>
      <c r="DD5" s="87"/>
      <c r="DE5" s="52"/>
      <c r="DF5" s="52"/>
      <c r="DG5" s="52"/>
      <c r="DH5" s="52"/>
      <c r="DI5" s="52"/>
      <c r="DJ5" s="52"/>
      <c r="DK5" s="60"/>
      <c r="DL5" s="60"/>
      <c r="DM5" s="60"/>
      <c r="DN5" s="60"/>
      <c r="DO5" s="60"/>
      <c r="DP5" s="60"/>
      <c r="DQ5" s="60"/>
      <c r="DR5" s="169"/>
      <c r="DS5" s="169"/>
      <c r="DT5" s="169"/>
      <c r="DU5" s="169"/>
      <c r="DV5" s="169"/>
      <c r="DW5" s="169"/>
    </row>
    <row r="6" spans="2:162" ht="12.75" hidden="1" customHeight="1">
      <c r="AA6" s="60"/>
      <c r="AB6" s="60"/>
      <c r="AC6" s="60"/>
      <c r="AD6" s="87"/>
      <c r="AE6" s="52"/>
      <c r="AF6" s="52"/>
      <c r="AG6" s="52"/>
      <c r="AH6" s="52"/>
      <c r="AI6" s="52"/>
      <c r="AJ6" s="52"/>
      <c r="AK6" s="60"/>
      <c r="AL6" s="60"/>
      <c r="AM6" s="60"/>
      <c r="AN6" s="60"/>
      <c r="AO6" s="60"/>
      <c r="AP6" s="60"/>
      <c r="AQ6" s="60"/>
      <c r="AR6" s="169"/>
      <c r="AS6" s="169"/>
      <c r="AT6" s="169"/>
      <c r="AU6" s="169"/>
      <c r="AV6" s="169"/>
      <c r="AW6" s="169"/>
      <c r="DA6" s="60"/>
      <c r="DB6" s="60"/>
      <c r="DC6" s="60"/>
      <c r="DD6" s="87"/>
      <c r="DE6" s="52"/>
      <c r="DF6" s="52"/>
      <c r="DG6" s="52"/>
      <c r="DH6" s="52"/>
      <c r="DI6" s="52"/>
      <c r="DJ6" s="52"/>
      <c r="DK6" s="60"/>
      <c r="DL6" s="60"/>
      <c r="DM6" s="60"/>
      <c r="DN6" s="60"/>
      <c r="DO6" s="60"/>
      <c r="DP6" s="60"/>
      <c r="DQ6" s="60"/>
      <c r="DR6" s="169"/>
      <c r="DS6" s="169"/>
      <c r="DT6" s="169"/>
      <c r="DU6" s="169"/>
      <c r="DV6" s="169"/>
      <c r="DW6" s="169"/>
    </row>
    <row r="7" spans="2:162" ht="12.75" hidden="1" customHeight="1">
      <c r="AA7" s="60"/>
      <c r="AB7" s="60"/>
      <c r="AC7" s="60"/>
      <c r="AD7" s="87"/>
      <c r="AE7" s="52"/>
      <c r="AF7" s="52"/>
      <c r="AG7" s="52"/>
      <c r="AH7" s="52"/>
      <c r="AI7" s="52"/>
      <c r="AJ7" s="52"/>
      <c r="AK7" s="60"/>
      <c r="AL7" s="60"/>
      <c r="AM7" s="60"/>
      <c r="AN7" s="60"/>
      <c r="AO7" s="60"/>
      <c r="AP7" s="60"/>
      <c r="AQ7" s="60"/>
      <c r="AR7" s="169"/>
      <c r="AS7" s="169"/>
      <c r="AT7" s="169"/>
      <c r="AU7" s="169"/>
      <c r="AV7" s="169"/>
      <c r="AW7" s="169"/>
      <c r="DA7" s="60"/>
      <c r="DB7" s="60"/>
      <c r="DC7" s="60"/>
      <c r="DD7" s="87"/>
      <c r="DE7" s="52"/>
      <c r="DF7" s="52"/>
      <c r="DG7" s="52"/>
      <c r="DH7" s="52"/>
      <c r="DI7" s="52"/>
      <c r="DJ7" s="52"/>
      <c r="DK7" s="60"/>
      <c r="DL7" s="60"/>
      <c r="DM7" s="60"/>
      <c r="DN7" s="60"/>
      <c r="DO7" s="60"/>
      <c r="DP7" s="60"/>
      <c r="DQ7" s="60"/>
      <c r="DR7" s="169"/>
      <c r="DS7" s="169"/>
      <c r="DT7" s="169"/>
      <c r="DU7" s="169"/>
      <c r="DV7" s="169"/>
      <c r="DW7" s="169"/>
    </row>
    <row r="8" spans="2:162" ht="12.75" hidden="1" customHeight="1">
      <c r="AA8" s="60"/>
      <c r="AB8" s="60"/>
      <c r="AC8" s="60"/>
      <c r="AD8" s="87"/>
      <c r="AE8" s="52"/>
      <c r="AF8" s="52"/>
      <c r="AG8" s="52"/>
      <c r="AH8" s="52"/>
      <c r="AI8" s="52"/>
      <c r="AJ8" s="52"/>
      <c r="AK8" s="60"/>
      <c r="AL8" s="60"/>
      <c r="AM8" s="60"/>
      <c r="AN8" s="60"/>
      <c r="AO8" s="60"/>
      <c r="AP8" s="60"/>
      <c r="AQ8" s="60"/>
      <c r="AR8" s="169"/>
      <c r="AS8" s="169"/>
      <c r="AT8" s="169"/>
      <c r="AU8" s="169"/>
      <c r="AV8" s="169"/>
      <c r="AW8" s="169"/>
      <c r="DA8" s="60"/>
      <c r="DB8" s="60"/>
      <c r="DC8" s="60"/>
      <c r="DD8" s="87"/>
      <c r="DE8" s="52"/>
      <c r="DF8" s="52"/>
      <c r="DG8" s="52"/>
      <c r="DH8" s="52"/>
      <c r="DI8" s="52"/>
      <c r="DJ8" s="52"/>
      <c r="DK8" s="60"/>
      <c r="DL8" s="60"/>
      <c r="DM8" s="60"/>
      <c r="DN8" s="60"/>
      <c r="DO8" s="60"/>
      <c r="DP8" s="60"/>
      <c r="DQ8" s="60"/>
      <c r="DR8" s="169"/>
      <c r="DS8" s="169"/>
      <c r="DT8" s="169"/>
      <c r="DU8" s="169"/>
      <c r="DV8" s="169"/>
      <c r="DW8" s="169"/>
    </row>
    <row r="9" spans="2:162" ht="12.75" hidden="1" customHeight="1">
      <c r="AA9" s="60"/>
      <c r="AB9" s="60"/>
      <c r="AC9" s="60"/>
      <c r="AD9" s="87"/>
      <c r="AE9" s="52"/>
      <c r="AF9" s="52"/>
      <c r="AG9" s="52"/>
      <c r="AH9" s="52"/>
      <c r="AI9" s="52"/>
      <c r="AJ9" s="52"/>
      <c r="AK9" s="60"/>
      <c r="AL9" s="60"/>
      <c r="AM9" s="60"/>
      <c r="AN9" s="60"/>
      <c r="AO9" s="60"/>
      <c r="AP9" s="60"/>
      <c r="AQ9" s="60"/>
      <c r="AR9" s="169"/>
      <c r="AS9" s="169"/>
      <c r="AT9" s="169"/>
      <c r="AU9" s="169"/>
      <c r="AV9" s="169"/>
      <c r="AW9" s="169"/>
      <c r="DA9" s="60"/>
      <c r="DB9" s="60"/>
      <c r="DC9" s="60"/>
      <c r="DD9" s="87"/>
      <c r="DE9" s="52"/>
      <c r="DF9" s="52"/>
      <c r="DG9" s="52"/>
      <c r="DH9" s="52"/>
      <c r="DI9" s="52"/>
      <c r="DJ9" s="52"/>
      <c r="DK9" s="60"/>
      <c r="DL9" s="60"/>
      <c r="DM9" s="60"/>
      <c r="DN9" s="60"/>
      <c r="DO9" s="60"/>
      <c r="DP9" s="60"/>
      <c r="DQ9" s="60"/>
      <c r="DR9" s="169"/>
      <c r="DS9" s="169"/>
      <c r="DT9" s="169"/>
      <c r="DU9" s="169"/>
      <c r="DV9" s="169"/>
      <c r="DW9" s="169"/>
    </row>
    <row r="10" spans="2:162" ht="10.5" hidden="1" customHeight="1">
      <c r="AA10" s="60"/>
      <c r="AB10" s="60"/>
      <c r="AC10" s="60"/>
      <c r="AD10" s="87"/>
      <c r="AE10" s="52"/>
      <c r="AF10" s="52"/>
      <c r="AG10" s="52"/>
      <c r="AH10" s="52"/>
      <c r="AI10" s="52"/>
      <c r="AJ10" s="52"/>
      <c r="AK10" s="60"/>
      <c r="AL10" s="60"/>
      <c r="AM10" s="60"/>
      <c r="AN10" s="60"/>
      <c r="AO10" s="60"/>
      <c r="AP10" s="60"/>
      <c r="AQ10" s="60"/>
      <c r="AR10" s="169"/>
      <c r="AS10" s="169"/>
      <c r="AT10" s="169"/>
      <c r="AU10" s="169"/>
      <c r="AV10" s="169"/>
      <c r="AW10" s="169"/>
      <c r="DA10" s="60"/>
      <c r="DB10" s="60"/>
      <c r="DC10" s="60"/>
      <c r="DD10" s="87"/>
      <c r="DE10" s="52"/>
      <c r="DF10" s="52"/>
      <c r="DG10" s="52"/>
      <c r="DH10" s="52"/>
      <c r="DI10" s="52"/>
      <c r="DJ10" s="52"/>
      <c r="DK10" s="60"/>
      <c r="DL10" s="60"/>
      <c r="DM10" s="60"/>
      <c r="DN10" s="60"/>
      <c r="DO10" s="60"/>
      <c r="DP10" s="60"/>
      <c r="DQ10" s="60"/>
      <c r="DR10" s="169"/>
      <c r="DS10" s="169"/>
      <c r="DT10" s="169"/>
      <c r="DU10" s="169"/>
      <c r="DV10" s="169"/>
      <c r="DW10" s="169"/>
    </row>
    <row r="11" spans="2:162" ht="20.25" customHeight="1">
      <c r="B11" s="236" t="s">
        <v>88</v>
      </c>
      <c r="C11" s="236"/>
      <c r="D11" s="236"/>
      <c r="E11" s="236"/>
      <c r="F11" s="236"/>
      <c r="G11" s="3">
        <f>MAX(COUNTA(#REF!)+21,23)</f>
        <v>23</v>
      </c>
      <c r="H11" s="228" t="s">
        <v>142</v>
      </c>
      <c r="I11" s="229"/>
      <c r="J11" s="229"/>
      <c r="K11" s="229"/>
      <c r="L11" s="229"/>
      <c r="M11" s="229"/>
      <c r="N11" s="229"/>
      <c r="O11" s="229"/>
      <c r="P11" s="229"/>
      <c r="Q11" s="232"/>
      <c r="R11" s="232"/>
      <c r="S11" s="232"/>
      <c r="T11" s="280" t="s">
        <v>288</v>
      </c>
      <c r="U11" s="280"/>
      <c r="V11" s="280"/>
      <c r="Z11" s="3"/>
      <c r="AA11" s="127" t="s">
        <v>271</v>
      </c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  <c r="AR11" s="170"/>
      <c r="AS11" s="170"/>
      <c r="AT11" s="170"/>
      <c r="AU11" s="170"/>
      <c r="AV11" s="170"/>
      <c r="AW11" s="170"/>
      <c r="AX11" s="175"/>
      <c r="AY11" s="175"/>
      <c r="AZ11" s="175"/>
      <c r="BA11" s="128"/>
      <c r="BB11" s="128"/>
      <c r="BC11" s="128"/>
      <c r="BD11" s="128"/>
      <c r="BE11" s="128"/>
      <c r="BF11" s="128"/>
      <c r="BG11" s="128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90"/>
      <c r="CF11" s="127"/>
      <c r="DA11" s="127" t="s">
        <v>272</v>
      </c>
      <c r="DB11" s="128"/>
      <c r="DC11" s="128"/>
      <c r="DD11" s="128"/>
      <c r="DE11" s="128"/>
      <c r="DF11" s="128"/>
      <c r="DG11" s="128"/>
      <c r="DH11" s="128"/>
      <c r="DI11" s="128"/>
      <c r="DJ11" s="128"/>
      <c r="DK11" s="128"/>
      <c r="DL11" s="128"/>
      <c r="DM11" s="128"/>
      <c r="DN11" s="128"/>
      <c r="DO11" s="128"/>
      <c r="DP11" s="128"/>
      <c r="DQ11" s="128"/>
      <c r="DR11" s="170"/>
      <c r="DS11" s="170"/>
      <c r="DT11" s="170"/>
      <c r="DU11" s="170"/>
      <c r="DV11" s="170"/>
      <c r="DW11" s="170"/>
      <c r="DX11" s="175"/>
      <c r="DY11" s="175"/>
      <c r="DZ11" s="175"/>
      <c r="EA11" s="128"/>
      <c r="EB11" s="128"/>
      <c r="EC11" s="128"/>
      <c r="ED11" s="128"/>
      <c r="EE11" s="128"/>
      <c r="EF11" s="128"/>
      <c r="EG11" s="128"/>
      <c r="EH11" s="89"/>
      <c r="EI11" s="89"/>
      <c r="EJ11" s="89"/>
      <c r="EK11" s="89"/>
      <c r="EL11" s="89"/>
      <c r="EM11" s="89"/>
      <c r="EN11" s="89"/>
      <c r="EO11" s="89"/>
      <c r="EP11" s="89"/>
      <c r="EQ11" s="89"/>
      <c r="ER11" s="89"/>
      <c r="ES11" s="89"/>
      <c r="ET11" s="89"/>
      <c r="EU11" s="89"/>
      <c r="EV11" s="89"/>
      <c r="EW11" s="89"/>
      <c r="EX11" s="89"/>
      <c r="EY11" s="89"/>
      <c r="EZ11" s="89"/>
      <c r="FA11" s="89"/>
      <c r="FB11" s="89"/>
      <c r="FC11" s="89"/>
      <c r="FD11" s="89"/>
      <c r="FE11" s="90"/>
      <c r="FF11" s="127"/>
    </row>
    <row r="12" spans="2:162" ht="12.75" customHeight="1">
      <c r="B12" s="10"/>
      <c r="C12" s="24" t="s">
        <v>85</v>
      </c>
      <c r="D12" s="24" t="s">
        <v>29</v>
      </c>
      <c r="E12" s="24" t="s">
        <v>86</v>
      </c>
      <c r="F12" s="24" t="s">
        <v>87</v>
      </c>
      <c r="G12" s="4"/>
      <c r="H12" s="230"/>
      <c r="I12" s="231"/>
      <c r="J12" s="231"/>
      <c r="K12" s="231"/>
      <c r="L12" s="231"/>
      <c r="M12" s="231"/>
      <c r="N12" s="231"/>
      <c r="O12" s="231"/>
      <c r="P12" s="231"/>
      <c r="Q12" s="233"/>
      <c r="R12" s="233"/>
      <c r="S12" s="233"/>
      <c r="T12" s="280"/>
      <c r="U12" s="280"/>
      <c r="V12" s="280"/>
      <c r="Z12" s="4"/>
      <c r="AA12" s="129" t="s">
        <v>167</v>
      </c>
      <c r="AB12" s="130"/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/>
      <c r="AO12" s="130"/>
      <c r="AP12" s="130"/>
      <c r="AQ12" s="130"/>
      <c r="AR12" s="171"/>
      <c r="AS12" s="171"/>
      <c r="AT12" s="171"/>
      <c r="AU12" s="171"/>
      <c r="AV12" s="171"/>
      <c r="AW12" s="171"/>
      <c r="AX12" s="171"/>
      <c r="AY12" s="171"/>
      <c r="AZ12" s="171"/>
      <c r="BA12" s="130"/>
      <c r="BB12" s="130"/>
      <c r="BC12" s="130"/>
      <c r="BD12" s="130"/>
      <c r="BE12" s="130"/>
      <c r="BF12" s="130"/>
      <c r="BG12" s="130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1"/>
      <c r="CC12" s="91"/>
      <c r="CD12" s="91"/>
      <c r="CE12" s="92"/>
      <c r="CF12" s="129"/>
      <c r="DA12" s="129" t="s">
        <v>167</v>
      </c>
      <c r="DB12" s="130"/>
      <c r="DC12" s="130"/>
      <c r="DD12" s="130"/>
      <c r="DE12" s="130"/>
      <c r="DF12" s="130"/>
      <c r="DG12" s="130"/>
      <c r="DH12" s="130"/>
      <c r="DI12" s="130"/>
      <c r="DJ12" s="130"/>
      <c r="DK12" s="130"/>
      <c r="DL12" s="130"/>
      <c r="DM12" s="130"/>
      <c r="DN12" s="130"/>
      <c r="DO12" s="130"/>
      <c r="DP12" s="130"/>
      <c r="DQ12" s="130"/>
      <c r="DR12" s="171"/>
      <c r="DS12" s="171"/>
      <c r="DT12" s="171"/>
      <c r="DU12" s="171"/>
      <c r="DV12" s="171"/>
      <c r="DW12" s="171"/>
      <c r="DX12" s="171"/>
      <c r="DY12" s="171"/>
      <c r="DZ12" s="171"/>
      <c r="EA12" s="130"/>
      <c r="EB12" s="130"/>
      <c r="EC12" s="130"/>
      <c r="ED12" s="130"/>
      <c r="EE12" s="130"/>
      <c r="EF12" s="130"/>
      <c r="EG12" s="130"/>
      <c r="EH12" s="91"/>
      <c r="EI12" s="91"/>
      <c r="EJ12" s="91"/>
      <c r="EK12" s="91"/>
      <c r="EL12" s="91"/>
      <c r="EM12" s="91"/>
      <c r="EN12" s="91"/>
      <c r="EO12" s="91"/>
      <c r="EP12" s="91"/>
      <c r="EQ12" s="91"/>
      <c r="ER12" s="91"/>
      <c r="ES12" s="91"/>
      <c r="ET12" s="91"/>
      <c r="EU12" s="91"/>
      <c r="EV12" s="91"/>
      <c r="EW12" s="91"/>
      <c r="EX12" s="91"/>
      <c r="EY12" s="91"/>
      <c r="EZ12" s="91"/>
      <c r="FA12" s="91"/>
      <c r="FB12" s="91"/>
      <c r="FC12" s="91"/>
      <c r="FD12" s="91"/>
      <c r="FE12" s="92"/>
      <c r="FF12" s="129"/>
    </row>
    <row r="13" spans="2:162" ht="15" customHeight="1">
      <c r="B13" s="24">
        <v>12</v>
      </c>
      <c r="C13" s="10">
        <v>50</v>
      </c>
      <c r="D13" s="10">
        <v>50</v>
      </c>
      <c r="E13" s="10">
        <v>60</v>
      </c>
      <c r="F13" s="10">
        <v>120</v>
      </c>
      <c r="H13" s="234" t="s">
        <v>0</v>
      </c>
      <c r="I13" s="235"/>
      <c r="J13" s="235"/>
      <c r="K13" s="47"/>
      <c r="L13" s="47"/>
      <c r="M13" s="47"/>
      <c r="N13" s="47"/>
      <c r="O13" s="47"/>
      <c r="P13" s="47"/>
      <c r="Q13" s="47"/>
      <c r="R13" s="47"/>
      <c r="S13" s="47"/>
      <c r="T13" s="224" t="s">
        <v>289</v>
      </c>
      <c r="U13" s="225" t="s">
        <v>210</v>
      </c>
      <c r="V13" s="224"/>
      <c r="AA13" s="131" t="s">
        <v>168</v>
      </c>
      <c r="AB13" s="132"/>
      <c r="AC13" s="132"/>
      <c r="AD13" s="133"/>
      <c r="AE13" s="146"/>
      <c r="AF13" s="146"/>
      <c r="AG13" s="146"/>
      <c r="AH13" s="146"/>
      <c r="AI13" s="146"/>
      <c r="AJ13" s="146"/>
      <c r="AK13" s="159"/>
      <c r="AL13" s="159"/>
      <c r="AM13" s="159"/>
      <c r="AN13" s="159"/>
      <c r="AO13" s="159"/>
      <c r="AP13" s="159"/>
      <c r="AQ13" s="159"/>
      <c r="AR13" s="172"/>
      <c r="AS13" s="172"/>
      <c r="AT13" s="172"/>
      <c r="AU13" s="172"/>
      <c r="AV13" s="172"/>
      <c r="AW13" s="172"/>
      <c r="BA13" s="177"/>
      <c r="BB13" s="177"/>
      <c r="BC13" s="177"/>
      <c r="BD13" s="177"/>
      <c r="BE13" s="177"/>
      <c r="BF13" s="177"/>
      <c r="BG13" s="177"/>
      <c r="DA13" s="131" t="s">
        <v>168</v>
      </c>
      <c r="DB13" s="132"/>
      <c r="DC13" s="132"/>
      <c r="DD13" s="133"/>
      <c r="DE13" s="146"/>
      <c r="DF13" s="146"/>
      <c r="DG13" s="146"/>
      <c r="DH13" s="146"/>
      <c r="DI13" s="146"/>
      <c r="DJ13" s="146"/>
      <c r="DK13" s="159"/>
      <c r="DL13" s="159"/>
      <c r="DM13" s="159"/>
      <c r="DN13" s="159"/>
      <c r="DO13" s="159"/>
      <c r="DP13" s="159"/>
      <c r="DQ13" s="159"/>
      <c r="DR13" s="172"/>
      <c r="DS13" s="172"/>
      <c r="DT13" s="172"/>
      <c r="DU13" s="172"/>
      <c r="DV13" s="172"/>
      <c r="DW13" s="172"/>
      <c r="EA13" s="177"/>
      <c r="EB13" s="177"/>
      <c r="EC13" s="177"/>
      <c r="ED13" s="177"/>
      <c r="EE13" s="177"/>
      <c r="EF13" s="177"/>
      <c r="EG13" s="177"/>
      <c r="EM13" s="204" t="s">
        <v>276</v>
      </c>
    </row>
    <row r="14" spans="2:162" ht="12.75" customHeight="1">
      <c r="B14" s="24">
        <v>16</v>
      </c>
      <c r="C14" s="10">
        <v>50</v>
      </c>
      <c r="D14" s="10">
        <v>50</v>
      </c>
      <c r="E14" s="10">
        <v>60</v>
      </c>
      <c r="F14" s="10">
        <v>120</v>
      </c>
      <c r="H14" s="6" t="s">
        <v>45</v>
      </c>
      <c r="I14" s="47"/>
      <c r="J14" s="47"/>
      <c r="K14" s="47"/>
      <c r="L14" s="47"/>
      <c r="M14" s="47"/>
      <c r="N14" s="48"/>
      <c r="O14" s="49"/>
      <c r="P14" s="47"/>
      <c r="Q14" s="50"/>
      <c r="R14" s="50"/>
      <c r="S14" s="47"/>
      <c r="T14" s="224" t="s">
        <v>288</v>
      </c>
      <c r="U14" s="224" t="str" cm="1">
        <f t="array" ref="U14">_xll.Dce_Name_SectI(R42, R42, R43, R44, R45, "x", "-", V14)</f>
        <v>1100x350x14x18</v>
      </c>
      <c r="V14" s="225" t="s">
        <v>290</v>
      </c>
      <c r="AA14" s="134"/>
      <c r="AB14" s="60"/>
      <c r="AC14" s="60"/>
      <c r="AD14" s="94" t="s">
        <v>169</v>
      </c>
      <c r="AE14" s="52"/>
      <c r="AF14" s="52"/>
      <c r="AG14" s="95">
        <f>$R$16</f>
        <v>8.8000000000000007</v>
      </c>
      <c r="AH14" s="52"/>
      <c r="AI14" s="52"/>
      <c r="AJ14" s="52"/>
      <c r="AK14" s="55" t="s">
        <v>1</v>
      </c>
      <c r="AL14" s="58">
        <f>$R$17</f>
        <v>332</v>
      </c>
      <c r="AM14" s="96" t="s">
        <v>2</v>
      </c>
      <c r="AN14" s="60"/>
      <c r="AO14" s="60"/>
      <c r="AP14" s="60"/>
      <c r="AQ14" s="60"/>
      <c r="AR14" s="169"/>
      <c r="AS14" s="169"/>
      <c r="AT14" s="169"/>
      <c r="AU14" s="169"/>
      <c r="AV14" s="169"/>
      <c r="AW14" s="169"/>
      <c r="DA14" s="134"/>
      <c r="DB14" s="94" t="s">
        <v>169</v>
      </c>
      <c r="DC14" s="60"/>
      <c r="DD14" s="87"/>
      <c r="DE14" s="52"/>
      <c r="DF14" s="52"/>
      <c r="DG14" s="52"/>
      <c r="DH14" s="52"/>
      <c r="DI14" s="52"/>
      <c r="DJ14" s="95">
        <f>$R$16</f>
        <v>8.8000000000000007</v>
      </c>
      <c r="DK14" s="55" t="s">
        <v>1</v>
      </c>
      <c r="DL14" s="58">
        <f>$R$17</f>
        <v>332</v>
      </c>
      <c r="DM14" s="96" t="s">
        <v>2</v>
      </c>
      <c r="DN14" s="60"/>
      <c r="DO14" s="60"/>
      <c r="DP14" s="60"/>
      <c r="DQ14" s="60"/>
      <c r="DR14" s="169"/>
      <c r="DS14" s="169"/>
      <c r="DT14" s="169"/>
      <c r="DU14" s="169"/>
      <c r="DV14" s="169"/>
      <c r="DW14" s="169"/>
      <c r="EM14" s="205" t="s">
        <v>277</v>
      </c>
    </row>
    <row r="15" spans="2:162" ht="12.75" customHeight="1">
      <c r="B15" s="24">
        <v>18</v>
      </c>
      <c r="C15" s="10">
        <v>50</v>
      </c>
      <c r="D15" s="10">
        <v>50</v>
      </c>
      <c r="E15" s="10">
        <v>60</v>
      </c>
      <c r="F15" s="10">
        <v>120</v>
      </c>
      <c r="H15" s="6" t="s">
        <v>44</v>
      </c>
      <c r="I15" s="47"/>
      <c r="J15" s="47"/>
      <c r="K15" s="47"/>
      <c r="L15" s="47"/>
      <c r="M15" s="47"/>
      <c r="N15" s="48"/>
      <c r="O15" s="49"/>
      <c r="P15" s="47"/>
      <c r="Q15" s="50"/>
      <c r="R15" s="50"/>
      <c r="S15" s="47"/>
      <c r="T15" s="224" t="s">
        <v>291</v>
      </c>
      <c r="U15" s="225" t="s">
        <v>292</v>
      </c>
      <c r="V15" s="224"/>
      <c r="AA15" s="134"/>
      <c r="AB15" s="60"/>
      <c r="AC15" s="60"/>
      <c r="AD15" s="94" t="s">
        <v>170</v>
      </c>
      <c r="AE15" s="52"/>
      <c r="AF15" s="52"/>
      <c r="AG15" s="95" t="str">
        <f>$R$27</f>
        <v>CCT38</v>
      </c>
      <c r="AH15" s="52"/>
      <c r="AI15" s="52"/>
      <c r="AJ15" s="52"/>
      <c r="AK15" s="55" t="s">
        <v>1</v>
      </c>
      <c r="AL15" s="58">
        <f>$R$28</f>
        <v>240</v>
      </c>
      <c r="AM15" s="96" t="s">
        <v>2</v>
      </c>
      <c r="AN15" s="60"/>
      <c r="AO15" s="60"/>
      <c r="AP15" s="60"/>
      <c r="AQ15" s="60"/>
      <c r="AR15" s="169"/>
      <c r="AS15" s="169"/>
      <c r="AT15" s="169"/>
      <c r="AU15" s="169"/>
      <c r="AV15" s="169"/>
      <c r="AW15" s="169"/>
      <c r="DA15" s="134"/>
      <c r="DB15" s="94" t="s">
        <v>170</v>
      </c>
      <c r="DC15" s="60"/>
      <c r="DD15" s="87"/>
      <c r="DE15" s="52"/>
      <c r="DF15" s="52"/>
      <c r="DG15" s="52"/>
      <c r="DH15" s="52"/>
      <c r="DI15" s="52"/>
      <c r="DJ15" s="95" t="str">
        <f>$R$27</f>
        <v>CCT38</v>
      </c>
      <c r="DK15" s="55" t="s">
        <v>1</v>
      </c>
      <c r="DL15" s="58">
        <f>$R$28</f>
        <v>240</v>
      </c>
      <c r="DM15" s="96" t="s">
        <v>2</v>
      </c>
      <c r="DN15" s="60"/>
      <c r="DO15" s="60"/>
      <c r="DP15" s="60"/>
      <c r="DQ15" s="60"/>
      <c r="DR15" s="169"/>
      <c r="DS15" s="169"/>
      <c r="DT15" s="169"/>
      <c r="DU15" s="169"/>
      <c r="DV15" s="169"/>
      <c r="DW15" s="169"/>
      <c r="EM15" s="205" t="s">
        <v>278</v>
      </c>
    </row>
    <row r="16" spans="2:162" ht="12.75" customHeight="1">
      <c r="B16" s="24">
        <v>20</v>
      </c>
      <c r="C16" s="10">
        <v>50</v>
      </c>
      <c r="D16" s="10">
        <v>50</v>
      </c>
      <c r="E16" s="10">
        <v>60</v>
      </c>
      <c r="F16" s="10">
        <v>120</v>
      </c>
      <c r="H16" s="7"/>
      <c r="I16" s="47" t="str">
        <f>"- Cấp độ bền bu lông:"</f>
        <v>- Cấp độ bền bu lông:</v>
      </c>
      <c r="J16" s="47"/>
      <c r="K16" s="48"/>
      <c r="L16" s="51"/>
      <c r="M16" s="47"/>
      <c r="N16" s="50"/>
      <c r="O16" s="50"/>
      <c r="P16" s="50"/>
      <c r="Q16" s="50"/>
      <c r="R16" s="52">
        <v>8.8000000000000007</v>
      </c>
      <c r="S16" s="53" t="s">
        <v>29</v>
      </c>
      <c r="AA16" s="134"/>
      <c r="AB16" s="60"/>
      <c r="AC16" s="60"/>
      <c r="AD16" s="94" t="s">
        <v>12</v>
      </c>
      <c r="AE16" s="52"/>
      <c r="AF16" s="52"/>
      <c r="AG16" s="95" t="str">
        <f>$R$34</f>
        <v>N46</v>
      </c>
      <c r="AH16" s="52"/>
      <c r="AI16" s="52"/>
      <c r="AJ16" s="52"/>
      <c r="AK16" s="55" t="s">
        <v>14</v>
      </c>
      <c r="AL16" s="58">
        <f>$R$35</f>
        <v>450</v>
      </c>
      <c r="AM16" s="96" t="s">
        <v>2</v>
      </c>
      <c r="AN16" s="60"/>
      <c r="AO16" s="60"/>
      <c r="AP16" s="60"/>
      <c r="AQ16" s="60"/>
      <c r="AR16" s="169"/>
      <c r="AS16" s="169"/>
      <c r="AT16" s="169"/>
      <c r="AU16" s="169"/>
      <c r="AV16" s="169"/>
      <c r="AW16" s="169"/>
      <c r="DA16" s="134"/>
      <c r="DB16" s="94" t="s">
        <v>12</v>
      </c>
      <c r="DC16" s="60"/>
      <c r="DD16" s="87"/>
      <c r="DE16" s="52"/>
      <c r="DF16" s="52"/>
      <c r="DG16" s="52"/>
      <c r="DH16" s="52"/>
      <c r="DI16" s="52"/>
      <c r="DJ16" s="95" t="str">
        <f>$R$34</f>
        <v>N46</v>
      </c>
      <c r="DK16" s="55" t="s">
        <v>14</v>
      </c>
      <c r="DL16" s="58">
        <f>$R$35</f>
        <v>450</v>
      </c>
      <c r="DM16" s="96" t="s">
        <v>2</v>
      </c>
      <c r="DN16" s="60"/>
      <c r="DO16" s="60"/>
      <c r="DP16" s="60"/>
      <c r="DQ16" s="60"/>
      <c r="DR16" s="169"/>
      <c r="DS16" s="169"/>
      <c r="DT16" s="169"/>
      <c r="DU16" s="169"/>
      <c r="DV16" s="169"/>
      <c r="DW16" s="169"/>
      <c r="EM16" s="205" t="s">
        <v>279</v>
      </c>
    </row>
    <row r="17" spans="2:162" ht="12.75" customHeight="1">
      <c r="B17" s="24">
        <v>24</v>
      </c>
      <c r="C17" s="10">
        <v>60</v>
      </c>
      <c r="D17" s="10">
        <v>70</v>
      </c>
      <c r="E17" s="10">
        <v>80</v>
      </c>
      <c r="F17" s="10">
        <v>150</v>
      </c>
      <c r="H17" s="7"/>
      <c r="I17" s="47" t="str">
        <f>"- Cường độ tính toán chịu cắt:"</f>
        <v>- Cường độ tính toán chịu cắt:</v>
      </c>
      <c r="J17" s="47"/>
      <c r="K17" s="48"/>
      <c r="L17" s="51"/>
      <c r="M17" s="47"/>
      <c r="N17" s="50"/>
      <c r="O17" s="50"/>
      <c r="P17" s="54"/>
      <c r="Q17" s="55" t="s">
        <v>24</v>
      </c>
      <c r="R17" s="56">
        <f>VLOOKUP(R16,Data!$G$4:$K$8,4,FALSE)</f>
        <v>332</v>
      </c>
      <c r="S17" s="9" t="s">
        <v>2</v>
      </c>
      <c r="AA17" s="134"/>
      <c r="AB17" s="60"/>
      <c r="AC17" s="60"/>
      <c r="AD17" s="94"/>
      <c r="AE17" s="52"/>
      <c r="AF17" s="52"/>
      <c r="AG17" s="95"/>
      <c r="AH17" s="52"/>
      <c r="AI17" s="52"/>
      <c r="AJ17" s="52"/>
      <c r="AK17" s="55" t="s">
        <v>152</v>
      </c>
      <c r="AL17" s="196">
        <f>$P$46</f>
        <v>0.1</v>
      </c>
      <c r="AM17" s="168"/>
      <c r="AN17" s="60"/>
      <c r="AO17" s="60"/>
      <c r="AP17" s="60"/>
      <c r="AQ17" s="60"/>
      <c r="AR17" s="169"/>
      <c r="AS17" s="169"/>
      <c r="AT17" s="169"/>
      <c r="AU17" s="169"/>
      <c r="AV17" s="169"/>
      <c r="AW17" s="169"/>
      <c r="DA17" s="134"/>
      <c r="DB17" s="60"/>
      <c r="DC17" s="60"/>
      <c r="DD17" s="94"/>
      <c r="DE17" s="52"/>
      <c r="DF17" s="52"/>
      <c r="DG17" s="95"/>
      <c r="DH17" s="52"/>
      <c r="DI17" s="52"/>
      <c r="DJ17" s="52"/>
      <c r="DK17" s="55" t="s">
        <v>152</v>
      </c>
      <c r="DL17" s="196">
        <f>$P$46</f>
        <v>0.1</v>
      </c>
      <c r="DM17" s="168"/>
      <c r="DN17" s="60"/>
      <c r="DO17" s="60"/>
      <c r="DP17" s="60"/>
      <c r="DQ17" s="60"/>
      <c r="DR17" s="169"/>
      <c r="DS17" s="169"/>
      <c r="DT17" s="169"/>
      <c r="DU17" s="169"/>
      <c r="DV17" s="169"/>
      <c r="DW17" s="169"/>
      <c r="EM17" s="50" t="s">
        <v>280</v>
      </c>
    </row>
    <row r="18" spans="2:162" ht="12.75" customHeight="1">
      <c r="B18" s="24">
        <v>27</v>
      </c>
      <c r="C18" s="10">
        <v>60</v>
      </c>
      <c r="D18" s="10">
        <v>70</v>
      </c>
      <c r="E18" s="10">
        <v>80</v>
      </c>
      <c r="F18" s="10">
        <v>160</v>
      </c>
      <c r="H18" s="7"/>
      <c r="I18" s="47" t="str">
        <f>"- Cường độ tính toán chịu kéo:"</f>
        <v>- Cường độ tính toán chịu kéo:</v>
      </c>
      <c r="J18" s="47"/>
      <c r="K18" s="48"/>
      <c r="L18" s="51"/>
      <c r="M18" s="47"/>
      <c r="N18" s="50"/>
      <c r="O18" s="50"/>
      <c r="P18" s="50"/>
      <c r="Q18" s="55" t="s">
        <v>25</v>
      </c>
      <c r="R18" s="56">
        <f>VLOOKUP(R16,Data!$G$4:$K$8,5,FALSE)</f>
        <v>448</v>
      </c>
      <c r="S18" s="9" t="s">
        <v>2</v>
      </c>
      <c r="AA18" s="135" t="s">
        <v>171</v>
      </c>
      <c r="AB18" s="93"/>
      <c r="AC18" s="93"/>
      <c r="AD18" s="87"/>
      <c r="AE18" s="52"/>
      <c r="AF18" s="52"/>
      <c r="AG18" s="52"/>
      <c r="AH18" s="52"/>
      <c r="AI18" s="52"/>
      <c r="AJ18" s="52"/>
      <c r="AK18" s="59" t="s">
        <v>151</v>
      </c>
      <c r="AL18" s="66">
        <f>$R$46</f>
        <v>5.710593137499643</v>
      </c>
      <c r="AM18" s="96" t="s">
        <v>153</v>
      </c>
      <c r="AN18" s="60"/>
      <c r="AO18" s="60"/>
      <c r="AP18" s="60"/>
      <c r="AQ18" s="60"/>
      <c r="AR18" s="169"/>
      <c r="AS18" s="169"/>
      <c r="AT18" s="169"/>
      <c r="AU18" s="169"/>
      <c r="AV18" s="169"/>
      <c r="AW18" s="169"/>
      <c r="CE18" s="195"/>
      <c r="CF18" s="195"/>
      <c r="DA18" s="135" t="s">
        <v>171</v>
      </c>
      <c r="DB18" s="93"/>
      <c r="DC18" s="93"/>
      <c r="DD18" s="87"/>
      <c r="DE18" s="52"/>
      <c r="DF18" s="52"/>
      <c r="DG18" s="52"/>
      <c r="DH18" s="52"/>
      <c r="DI18" s="52"/>
      <c r="DJ18" s="52"/>
      <c r="DK18" s="59" t="s">
        <v>151</v>
      </c>
      <c r="DL18" s="66">
        <f>$R$46</f>
        <v>5.710593137499643</v>
      </c>
      <c r="DM18" s="96" t="s">
        <v>153</v>
      </c>
      <c r="DN18" s="60"/>
      <c r="DO18" s="60"/>
      <c r="DP18" s="60"/>
      <c r="DQ18" s="60"/>
      <c r="DR18" s="169"/>
      <c r="DS18" s="169"/>
      <c r="DT18" s="169"/>
      <c r="DU18" s="169"/>
      <c r="DV18" s="169"/>
      <c r="DW18" s="169"/>
      <c r="FE18" s="195"/>
      <c r="FF18" s="195"/>
    </row>
    <row r="19" spans="2:162" ht="12.75" customHeight="1">
      <c r="B19" s="24">
        <v>30</v>
      </c>
      <c r="C19" s="10">
        <v>60</v>
      </c>
      <c r="D19" s="10">
        <v>70</v>
      </c>
      <c r="E19" s="10">
        <v>80</v>
      </c>
      <c r="F19" s="10">
        <v>200</v>
      </c>
      <c r="H19" s="7"/>
      <c r="I19" s="47" t="str">
        <f>"- Cường độ tính toán chịu ép mặt:"</f>
        <v>- Cường độ tính toán chịu ép mặt:</v>
      </c>
      <c r="J19" s="47"/>
      <c r="K19" s="48"/>
      <c r="L19" s="51"/>
      <c r="M19" s="47"/>
      <c r="N19" s="50"/>
      <c r="O19" s="50"/>
      <c r="P19" s="50"/>
      <c r="Q19" s="55" t="s">
        <v>26</v>
      </c>
      <c r="R19" s="56">
        <f>IFERROR(VLOOKUP(R29,Data!$G$14:$I$28,MATCH(S16,Data!$G$13:$I$13,0),FALSE),IF(S16="A",1.6,1.35)*R29/P30)</f>
        <v>500</v>
      </c>
      <c r="S19" s="9" t="s">
        <v>2</v>
      </c>
      <c r="AA19" s="136"/>
      <c r="AB19" s="137"/>
      <c r="AC19" s="137"/>
      <c r="AD19" s="137"/>
      <c r="AE19" s="239" t="s">
        <v>172</v>
      </c>
      <c r="AF19" s="240"/>
      <c r="AG19" s="240"/>
      <c r="AH19" s="240"/>
      <c r="AI19" s="240"/>
      <c r="AJ19" s="240"/>
      <c r="AK19" s="239" t="s">
        <v>173</v>
      </c>
      <c r="AL19" s="240"/>
      <c r="AM19" s="240"/>
      <c r="AN19" s="240"/>
      <c r="AO19" s="240"/>
      <c r="AP19" s="240"/>
      <c r="AQ19" s="239" t="s">
        <v>174</v>
      </c>
      <c r="AR19" s="239"/>
      <c r="AS19" s="239"/>
      <c r="AT19" s="239"/>
      <c r="AU19" s="239"/>
      <c r="AV19" s="239"/>
      <c r="AW19" s="239"/>
      <c r="AX19" s="147"/>
      <c r="AY19" s="147"/>
      <c r="AZ19" s="147"/>
      <c r="BA19" s="239" t="s">
        <v>175</v>
      </c>
      <c r="BB19" s="240"/>
      <c r="BC19" s="240"/>
      <c r="BD19" s="240"/>
      <c r="BE19" s="240"/>
      <c r="BF19" s="240"/>
      <c r="BG19" s="240"/>
      <c r="BH19" s="266" t="s">
        <v>176</v>
      </c>
      <c r="BI19" s="272"/>
      <c r="BJ19" s="272"/>
      <c r="BK19" s="266" t="s">
        <v>177</v>
      </c>
      <c r="BL19" s="266"/>
      <c r="BM19" s="266"/>
      <c r="BN19" s="266"/>
      <c r="BO19" s="266" t="s">
        <v>178</v>
      </c>
      <c r="BP19" s="266"/>
      <c r="BQ19" s="266"/>
      <c r="BR19" s="266"/>
      <c r="BS19" s="272"/>
      <c r="BT19" s="276" t="s">
        <v>270</v>
      </c>
      <c r="BU19" s="276"/>
      <c r="BV19" s="266" t="s">
        <v>179</v>
      </c>
      <c r="BW19" s="266"/>
      <c r="BX19" s="266"/>
      <c r="BY19" s="266"/>
      <c r="BZ19" s="266"/>
      <c r="CA19" s="266"/>
      <c r="CB19" s="266"/>
      <c r="CC19" s="266"/>
      <c r="CD19" s="266"/>
      <c r="CE19" s="266"/>
      <c r="CF19" s="266"/>
      <c r="DA19" s="239" t="s">
        <v>172</v>
      </c>
      <c r="DB19" s="240"/>
      <c r="DC19" s="240"/>
      <c r="DD19" s="240"/>
      <c r="DE19" s="240"/>
      <c r="DF19" s="240"/>
      <c r="DG19" s="240"/>
      <c r="DH19" s="240"/>
      <c r="DI19" s="240"/>
      <c r="DJ19" s="240"/>
      <c r="DK19" s="239" t="s">
        <v>173</v>
      </c>
      <c r="DL19" s="240"/>
      <c r="DM19" s="240"/>
      <c r="DN19" s="240"/>
      <c r="DO19" s="240"/>
      <c r="DP19" s="240"/>
      <c r="DQ19" s="239" t="s">
        <v>174</v>
      </c>
      <c r="DR19" s="239"/>
      <c r="DS19" s="239"/>
      <c r="DT19" s="239"/>
      <c r="DU19" s="239"/>
      <c r="DV19" s="239"/>
      <c r="DW19" s="239"/>
      <c r="DX19" s="147"/>
      <c r="DY19" s="147"/>
      <c r="DZ19" s="147"/>
      <c r="EA19" s="239" t="s">
        <v>175</v>
      </c>
      <c r="EB19" s="240"/>
      <c r="EC19" s="240"/>
      <c r="ED19" s="240"/>
      <c r="EE19" s="240"/>
      <c r="EF19" s="240"/>
      <c r="EG19" s="240"/>
      <c r="EH19" s="266" t="s">
        <v>176</v>
      </c>
      <c r="EI19" s="272"/>
      <c r="EJ19" s="272"/>
      <c r="EK19" s="266" t="s">
        <v>286</v>
      </c>
      <c r="EL19" s="266"/>
      <c r="EM19" s="266"/>
      <c r="EN19" s="266"/>
      <c r="EO19" s="266" t="s">
        <v>287</v>
      </c>
      <c r="EP19" s="266"/>
      <c r="EQ19" s="266"/>
      <c r="ER19" s="266"/>
      <c r="ES19" s="266"/>
      <c r="ET19" s="276" t="s">
        <v>273</v>
      </c>
      <c r="EU19" s="276"/>
      <c r="EV19" s="266" t="s">
        <v>274</v>
      </c>
      <c r="EW19" s="266"/>
      <c r="EX19" s="266"/>
      <c r="EY19" s="266"/>
      <c r="EZ19" s="266"/>
      <c r="FA19" s="266"/>
      <c r="FB19" s="266"/>
      <c r="FC19" s="266"/>
      <c r="FD19" s="266"/>
      <c r="FE19" s="266"/>
      <c r="FF19" s="272"/>
    </row>
    <row r="20" spans="2:162" ht="12.75" customHeight="1">
      <c r="B20" s="24">
        <v>33</v>
      </c>
      <c r="C20" s="10">
        <v>60</v>
      </c>
      <c r="D20" s="10">
        <v>70</v>
      </c>
      <c r="E20" s="10">
        <v>80</v>
      </c>
      <c r="F20" s="10">
        <v>200</v>
      </c>
      <c r="H20" s="7"/>
      <c r="I20" s="47" t="str">
        <f>"- Đường kính ngoài bu lông:"</f>
        <v>- Đường kính ngoài bu lông:</v>
      </c>
      <c r="J20" s="47"/>
      <c r="K20" s="48"/>
      <c r="L20" s="51"/>
      <c r="M20" s="47"/>
      <c r="N20" s="50"/>
      <c r="O20" s="50"/>
      <c r="P20" s="50"/>
      <c r="Q20" s="55" t="s">
        <v>3</v>
      </c>
      <c r="R20" s="56">
        <f>VLOOKUP(F34,$B$36:$E$47,3,FALSE)</f>
        <v>24</v>
      </c>
      <c r="S20" s="9" t="s">
        <v>4</v>
      </c>
      <c r="AA20" s="138"/>
      <c r="AB20" s="139"/>
      <c r="AC20" s="139"/>
      <c r="AD20" s="139"/>
      <c r="AE20" s="241"/>
      <c r="AF20" s="242"/>
      <c r="AG20" s="242"/>
      <c r="AH20" s="242"/>
      <c r="AI20" s="242"/>
      <c r="AJ20" s="242"/>
      <c r="AK20" s="241"/>
      <c r="AL20" s="242"/>
      <c r="AM20" s="242"/>
      <c r="AN20" s="242"/>
      <c r="AO20" s="242"/>
      <c r="AP20" s="242"/>
      <c r="AQ20" s="241"/>
      <c r="AR20" s="241"/>
      <c r="AS20" s="241"/>
      <c r="AT20" s="241"/>
      <c r="AU20" s="241"/>
      <c r="AV20" s="241"/>
      <c r="AW20" s="241"/>
      <c r="AX20" s="148"/>
      <c r="AY20" s="148"/>
      <c r="AZ20" s="148"/>
      <c r="BA20" s="241"/>
      <c r="BB20" s="242"/>
      <c r="BC20" s="242"/>
      <c r="BD20" s="242"/>
      <c r="BE20" s="242"/>
      <c r="BF20" s="242"/>
      <c r="BG20" s="242"/>
      <c r="BH20" s="267"/>
      <c r="BI20" s="273"/>
      <c r="BJ20" s="273"/>
      <c r="BK20" s="267"/>
      <c r="BL20" s="267"/>
      <c r="BM20" s="267"/>
      <c r="BN20" s="267"/>
      <c r="BO20" s="267"/>
      <c r="BP20" s="267"/>
      <c r="BQ20" s="267"/>
      <c r="BR20" s="267"/>
      <c r="BS20" s="273"/>
      <c r="BT20" s="277"/>
      <c r="BU20" s="277"/>
      <c r="BV20" s="267"/>
      <c r="BW20" s="267"/>
      <c r="BX20" s="267"/>
      <c r="BY20" s="267"/>
      <c r="BZ20" s="267"/>
      <c r="CA20" s="267"/>
      <c r="CB20" s="267"/>
      <c r="CC20" s="267"/>
      <c r="CD20" s="267"/>
      <c r="CE20" s="267"/>
      <c r="CF20" s="267"/>
      <c r="DA20" s="241"/>
      <c r="DB20" s="242"/>
      <c r="DC20" s="242"/>
      <c r="DD20" s="242"/>
      <c r="DE20" s="242"/>
      <c r="DF20" s="242"/>
      <c r="DG20" s="242"/>
      <c r="DH20" s="242"/>
      <c r="DI20" s="242"/>
      <c r="DJ20" s="242"/>
      <c r="DK20" s="241"/>
      <c r="DL20" s="242"/>
      <c r="DM20" s="242"/>
      <c r="DN20" s="242"/>
      <c r="DO20" s="242"/>
      <c r="DP20" s="242"/>
      <c r="DQ20" s="241"/>
      <c r="DR20" s="241"/>
      <c r="DS20" s="241"/>
      <c r="DT20" s="241"/>
      <c r="DU20" s="241"/>
      <c r="DV20" s="241"/>
      <c r="DW20" s="241"/>
      <c r="DX20" s="148"/>
      <c r="DY20" s="148"/>
      <c r="DZ20" s="148"/>
      <c r="EA20" s="241"/>
      <c r="EB20" s="242"/>
      <c r="EC20" s="242"/>
      <c r="ED20" s="242"/>
      <c r="EE20" s="242"/>
      <c r="EF20" s="242"/>
      <c r="EG20" s="242"/>
      <c r="EH20" s="267"/>
      <c r="EI20" s="273"/>
      <c r="EJ20" s="273"/>
      <c r="EK20" s="267"/>
      <c r="EL20" s="267"/>
      <c r="EM20" s="267"/>
      <c r="EN20" s="267"/>
      <c r="EO20" s="267"/>
      <c r="EP20" s="267"/>
      <c r="EQ20" s="267"/>
      <c r="ER20" s="267"/>
      <c r="ES20" s="267"/>
      <c r="ET20" s="277"/>
      <c r="EU20" s="277"/>
      <c r="EV20" s="267"/>
      <c r="EW20" s="267"/>
      <c r="EX20" s="267"/>
      <c r="EY20" s="267"/>
      <c r="EZ20" s="267"/>
      <c r="FA20" s="267"/>
      <c r="FB20" s="267"/>
      <c r="FC20" s="267"/>
      <c r="FD20" s="267"/>
      <c r="FE20" s="267"/>
      <c r="FF20" s="273"/>
    </row>
    <row r="21" spans="2:162" ht="12.75" customHeight="1">
      <c r="B21" s="24">
        <v>36</v>
      </c>
      <c r="C21" s="10">
        <v>60</v>
      </c>
      <c r="D21" s="10">
        <v>70</v>
      </c>
      <c r="E21" s="10">
        <v>80</v>
      </c>
      <c r="F21" s="10">
        <v>200</v>
      </c>
      <c r="H21" s="7"/>
      <c r="I21" s="47" t="str">
        <f>"- Diện tích tiết diện nguyên bu lông:"</f>
        <v>- Diện tích tiết diện nguyên bu lông:</v>
      </c>
      <c r="J21" s="47"/>
      <c r="K21" s="48"/>
      <c r="L21" s="51"/>
      <c r="M21" s="47"/>
      <c r="N21" s="50"/>
      <c r="O21" s="50"/>
      <c r="P21" s="50"/>
      <c r="Q21" s="55" t="s">
        <v>81</v>
      </c>
      <c r="R21" s="57">
        <f>HLOOKUP(R20,Data!$H$31:$Q$35,3,FALSE)</f>
        <v>452.38934211693021</v>
      </c>
      <c r="S21" s="9" t="s">
        <v>6</v>
      </c>
      <c r="AA21" s="121" t="s">
        <v>180</v>
      </c>
      <c r="AB21" s="238" t="s">
        <v>158</v>
      </c>
      <c r="AC21" s="238"/>
      <c r="AD21" s="122" t="s">
        <v>159</v>
      </c>
      <c r="AE21" s="149" t="s">
        <v>130</v>
      </c>
      <c r="AF21" s="149" t="s">
        <v>129</v>
      </c>
      <c r="AG21" s="149" t="s">
        <v>181</v>
      </c>
      <c r="AH21" s="149" t="s">
        <v>182</v>
      </c>
      <c r="AI21" s="149" t="s">
        <v>183</v>
      </c>
      <c r="AJ21" s="262" t="s">
        <v>241</v>
      </c>
      <c r="AK21" s="160" t="s">
        <v>184</v>
      </c>
      <c r="AL21" s="160" t="s">
        <v>185</v>
      </c>
      <c r="AM21" s="160" t="s">
        <v>186</v>
      </c>
      <c r="AN21" s="268" t="s">
        <v>187</v>
      </c>
      <c r="AO21" s="268"/>
      <c r="AP21" s="262" t="s">
        <v>241</v>
      </c>
      <c r="AQ21" s="238" t="s">
        <v>160</v>
      </c>
      <c r="AR21" s="173" t="s">
        <v>161</v>
      </c>
      <c r="AS21" s="173" t="s">
        <v>188</v>
      </c>
      <c r="AT21" s="173" t="s">
        <v>189</v>
      </c>
      <c r="AU21" s="173" t="s">
        <v>190</v>
      </c>
      <c r="AV21" s="173" t="s">
        <v>191</v>
      </c>
      <c r="AW21" s="173" t="s">
        <v>192</v>
      </c>
      <c r="AX21" s="173"/>
      <c r="AY21" s="173"/>
      <c r="AZ21" s="173"/>
      <c r="BA21" s="149" t="s">
        <v>85</v>
      </c>
      <c r="BB21" s="149" t="s">
        <v>29</v>
      </c>
      <c r="BC21" s="149" t="s">
        <v>86</v>
      </c>
      <c r="BD21" s="149" t="s">
        <v>87</v>
      </c>
      <c r="BE21" s="149" t="s">
        <v>193</v>
      </c>
      <c r="BF21" s="149" t="s">
        <v>194</v>
      </c>
      <c r="BG21" s="178" t="s">
        <v>195</v>
      </c>
      <c r="BH21" s="183" t="s">
        <v>196</v>
      </c>
      <c r="BI21" s="183" t="s">
        <v>197</v>
      </c>
      <c r="BJ21" s="197" t="s">
        <v>198</v>
      </c>
      <c r="BK21" s="183" t="s">
        <v>199</v>
      </c>
      <c r="BL21" s="181" t="s">
        <v>129</v>
      </c>
      <c r="BM21" s="270" t="s">
        <v>200</v>
      </c>
      <c r="BN21" s="264" t="s">
        <v>269</v>
      </c>
      <c r="BO21" s="183" t="s">
        <v>275</v>
      </c>
      <c r="BP21" s="183" t="s">
        <v>201</v>
      </c>
      <c r="BQ21" s="183" t="s">
        <v>202</v>
      </c>
      <c r="BR21" s="270" t="s">
        <v>200</v>
      </c>
      <c r="BS21" s="274" t="s">
        <v>269</v>
      </c>
      <c r="BT21" s="278" t="s">
        <v>200</v>
      </c>
      <c r="BU21" s="264" t="s">
        <v>269</v>
      </c>
      <c r="BV21" s="183" t="s">
        <v>87</v>
      </c>
      <c r="BW21" s="183" t="s">
        <v>203</v>
      </c>
      <c r="BX21" s="183" t="s">
        <v>204</v>
      </c>
      <c r="BY21" s="198" t="s">
        <v>205</v>
      </c>
      <c r="BZ21" s="198" t="s">
        <v>205</v>
      </c>
      <c r="CA21" s="199" t="s">
        <v>206</v>
      </c>
      <c r="CB21" s="199" t="s">
        <v>206</v>
      </c>
      <c r="CC21" s="200" t="s">
        <v>207</v>
      </c>
      <c r="CD21" s="200" t="s">
        <v>207</v>
      </c>
      <c r="CE21" s="270" t="s">
        <v>200</v>
      </c>
      <c r="CF21" s="264" t="s">
        <v>269</v>
      </c>
      <c r="DA21" s="121" t="s">
        <v>180</v>
      </c>
      <c r="DB21" s="238" t="s">
        <v>158</v>
      </c>
      <c r="DC21" s="238"/>
      <c r="DD21" s="160" t="s">
        <v>159</v>
      </c>
      <c r="DE21" s="202"/>
      <c r="DF21" s="149"/>
      <c r="DG21" s="149"/>
      <c r="DH21" s="149"/>
      <c r="DI21" s="149"/>
      <c r="DJ21" s="262" t="s">
        <v>241</v>
      </c>
      <c r="DK21" s="160" t="s">
        <v>184</v>
      </c>
      <c r="DL21" s="160" t="s">
        <v>185</v>
      </c>
      <c r="DM21" s="160" t="s">
        <v>186</v>
      </c>
      <c r="DN21" s="268" t="s">
        <v>187</v>
      </c>
      <c r="DO21" s="268"/>
      <c r="DP21" s="262" t="s">
        <v>241</v>
      </c>
      <c r="DQ21" s="238" t="s">
        <v>160</v>
      </c>
      <c r="DR21" s="173" t="s">
        <v>161</v>
      </c>
      <c r="DS21" s="173" t="s">
        <v>188</v>
      </c>
      <c r="DT21" s="173" t="s">
        <v>189</v>
      </c>
      <c r="DU21" s="173" t="s">
        <v>190</v>
      </c>
      <c r="DV21" s="173" t="s">
        <v>191</v>
      </c>
      <c r="DW21" s="173" t="s">
        <v>192</v>
      </c>
      <c r="DX21" s="173"/>
      <c r="DY21" s="173"/>
      <c r="DZ21" s="173"/>
      <c r="EA21" s="149" t="s">
        <v>85</v>
      </c>
      <c r="EB21" s="149" t="s">
        <v>29</v>
      </c>
      <c r="EC21" s="149" t="s">
        <v>86</v>
      </c>
      <c r="ED21" s="149" t="s">
        <v>87</v>
      </c>
      <c r="EE21" s="149" t="s">
        <v>193</v>
      </c>
      <c r="EF21" s="149" t="s">
        <v>194</v>
      </c>
      <c r="EG21" s="178" t="s">
        <v>195</v>
      </c>
      <c r="EH21" s="183" t="s">
        <v>196</v>
      </c>
      <c r="EI21" s="183" t="s">
        <v>197</v>
      </c>
      <c r="EJ21" s="197" t="s">
        <v>198</v>
      </c>
      <c r="EK21" s="183" t="s">
        <v>199</v>
      </c>
      <c r="EL21" s="181" t="s">
        <v>129</v>
      </c>
      <c r="EM21" s="270" t="s">
        <v>200</v>
      </c>
      <c r="EN21" s="264" t="s">
        <v>269</v>
      </c>
      <c r="EO21" s="183" t="s">
        <v>275</v>
      </c>
      <c r="EP21" s="183" t="s">
        <v>201</v>
      </c>
      <c r="EQ21" s="183" t="s">
        <v>202</v>
      </c>
      <c r="ER21" s="270" t="s">
        <v>200</v>
      </c>
      <c r="ES21" s="264" t="s">
        <v>269</v>
      </c>
      <c r="ET21" s="270" t="s">
        <v>200</v>
      </c>
      <c r="EU21" s="264" t="s">
        <v>269</v>
      </c>
      <c r="EV21" s="183" t="s">
        <v>87</v>
      </c>
      <c r="EW21" s="183" t="s">
        <v>203</v>
      </c>
      <c r="EX21" s="183" t="s">
        <v>204</v>
      </c>
      <c r="EY21" s="198" t="s">
        <v>205</v>
      </c>
      <c r="EZ21" s="198" t="s">
        <v>205</v>
      </c>
      <c r="FA21" s="199" t="s">
        <v>206</v>
      </c>
      <c r="FB21" s="199" t="s">
        <v>206</v>
      </c>
      <c r="FC21" s="200" t="s">
        <v>207</v>
      </c>
      <c r="FD21" s="200" t="s">
        <v>207</v>
      </c>
      <c r="FE21" s="270" t="s">
        <v>200</v>
      </c>
      <c r="FF21" s="274" t="s">
        <v>269</v>
      </c>
    </row>
    <row r="22" spans="2:162" ht="12.75" customHeight="1">
      <c r="H22" s="7"/>
      <c r="I22" s="47" t="str">
        <f>"- Diện tích thực thân bu lông:"</f>
        <v>- Diện tích thực thân bu lông:</v>
      </c>
      <c r="J22" s="47"/>
      <c r="K22" s="48"/>
      <c r="L22" s="51"/>
      <c r="M22" s="47"/>
      <c r="N22" s="50"/>
      <c r="O22" s="50"/>
      <c r="P22" s="50"/>
      <c r="Q22" s="55" t="s">
        <v>5</v>
      </c>
      <c r="R22" s="58">
        <f>HLOOKUP(R20,Data!$H$31:$Q$35,4,FALSE)</f>
        <v>353</v>
      </c>
      <c r="S22" s="9" t="s">
        <v>6</v>
      </c>
      <c r="AA22" s="123"/>
      <c r="AB22" s="124" t="s">
        <v>235</v>
      </c>
      <c r="AC22" s="125" t="s">
        <v>236</v>
      </c>
      <c r="AD22" s="126" t="s">
        <v>164</v>
      </c>
      <c r="AE22" s="150" t="s">
        <v>208</v>
      </c>
      <c r="AF22" s="150" t="s">
        <v>208</v>
      </c>
      <c r="AG22" s="150" t="s">
        <v>208</v>
      </c>
      <c r="AH22" s="150" t="s">
        <v>208</v>
      </c>
      <c r="AI22" s="150" t="s">
        <v>208</v>
      </c>
      <c r="AJ22" s="263"/>
      <c r="AK22" s="150" t="s">
        <v>208</v>
      </c>
      <c r="AL22" s="150" t="s">
        <v>208</v>
      </c>
      <c r="AM22" s="150" t="s">
        <v>208</v>
      </c>
      <c r="AN22" s="150" t="s">
        <v>209</v>
      </c>
      <c r="AO22" s="150" t="s">
        <v>131</v>
      </c>
      <c r="AP22" s="263"/>
      <c r="AQ22" s="269"/>
      <c r="AR22" s="174" t="s">
        <v>20</v>
      </c>
      <c r="AS22" s="174" t="s">
        <v>20</v>
      </c>
      <c r="AT22" s="174" t="s">
        <v>20</v>
      </c>
      <c r="AU22" s="174" t="s">
        <v>21</v>
      </c>
      <c r="AV22" s="174" t="s">
        <v>21</v>
      </c>
      <c r="AW22" s="174" t="s">
        <v>21</v>
      </c>
      <c r="AX22" s="174"/>
      <c r="AY22" s="174"/>
      <c r="AZ22" s="174"/>
      <c r="BA22" s="150" t="s">
        <v>208</v>
      </c>
      <c r="BB22" s="150" t="s">
        <v>208</v>
      </c>
      <c r="BC22" s="150" t="s">
        <v>208</v>
      </c>
      <c r="BD22" s="150" t="s">
        <v>208</v>
      </c>
      <c r="BE22" s="150" t="s">
        <v>6</v>
      </c>
      <c r="BF22" s="150" t="s">
        <v>6</v>
      </c>
      <c r="BG22" s="126" t="s">
        <v>208</v>
      </c>
      <c r="BH22" s="184" t="s">
        <v>20</v>
      </c>
      <c r="BI22" s="184" t="s">
        <v>20</v>
      </c>
      <c r="BJ22" s="201" t="s">
        <v>20</v>
      </c>
      <c r="BK22" s="184" t="s">
        <v>20</v>
      </c>
      <c r="BL22" s="182"/>
      <c r="BM22" s="271"/>
      <c r="BN22" s="265"/>
      <c r="BO22" s="150" t="s">
        <v>208</v>
      </c>
      <c r="BP22" s="150" t="s">
        <v>208</v>
      </c>
      <c r="BQ22" s="184" t="s">
        <v>20</v>
      </c>
      <c r="BR22" s="271"/>
      <c r="BS22" s="275"/>
      <c r="BT22" s="279"/>
      <c r="BU22" s="265"/>
      <c r="BV22" s="184" t="s">
        <v>20</v>
      </c>
      <c r="BW22" s="184" t="s">
        <v>21</v>
      </c>
      <c r="BX22" s="184" t="s">
        <v>20</v>
      </c>
      <c r="BY22" s="184" t="s">
        <v>2</v>
      </c>
      <c r="BZ22" s="184" t="s">
        <v>200</v>
      </c>
      <c r="CA22" s="184" t="s">
        <v>2</v>
      </c>
      <c r="CB22" s="184" t="s">
        <v>200</v>
      </c>
      <c r="CC22" s="184" t="s">
        <v>2</v>
      </c>
      <c r="CD22" s="184" t="s">
        <v>200</v>
      </c>
      <c r="CE22" s="271"/>
      <c r="CF22" s="265"/>
      <c r="DA22" s="123"/>
      <c r="DB22" s="124" t="s">
        <v>235</v>
      </c>
      <c r="DC22" s="125" t="s">
        <v>236</v>
      </c>
      <c r="DD22" s="150" t="s">
        <v>164</v>
      </c>
      <c r="DE22" s="203"/>
      <c r="DF22" s="150"/>
      <c r="DG22" s="150"/>
      <c r="DH22" s="150"/>
      <c r="DI22" s="150"/>
      <c r="DJ22" s="263"/>
      <c r="DK22" s="150" t="s">
        <v>208</v>
      </c>
      <c r="DL22" s="150" t="s">
        <v>208</v>
      </c>
      <c r="DM22" s="150" t="s">
        <v>208</v>
      </c>
      <c r="DN22" s="150" t="s">
        <v>209</v>
      </c>
      <c r="DO22" s="150" t="s">
        <v>131</v>
      </c>
      <c r="DP22" s="263"/>
      <c r="DQ22" s="269"/>
      <c r="DR22" s="174" t="s">
        <v>20</v>
      </c>
      <c r="DS22" s="174" t="s">
        <v>20</v>
      </c>
      <c r="DT22" s="174" t="s">
        <v>20</v>
      </c>
      <c r="DU22" s="174" t="s">
        <v>21</v>
      </c>
      <c r="DV22" s="174" t="s">
        <v>21</v>
      </c>
      <c r="DW22" s="174" t="s">
        <v>21</v>
      </c>
      <c r="DX22" s="174"/>
      <c r="DY22" s="174"/>
      <c r="DZ22" s="174"/>
      <c r="EA22" s="150" t="s">
        <v>208</v>
      </c>
      <c r="EB22" s="150" t="s">
        <v>208</v>
      </c>
      <c r="EC22" s="150" t="s">
        <v>208</v>
      </c>
      <c r="ED22" s="150" t="s">
        <v>208</v>
      </c>
      <c r="EE22" s="150" t="s">
        <v>6</v>
      </c>
      <c r="EF22" s="150" t="s">
        <v>6</v>
      </c>
      <c r="EG22" s="126" t="s">
        <v>208</v>
      </c>
      <c r="EH22" s="184" t="s">
        <v>20</v>
      </c>
      <c r="EI22" s="184" t="s">
        <v>20</v>
      </c>
      <c r="EJ22" s="201" t="s">
        <v>20</v>
      </c>
      <c r="EK22" s="184" t="s">
        <v>20</v>
      </c>
      <c r="EL22" s="182"/>
      <c r="EM22" s="271"/>
      <c r="EN22" s="265"/>
      <c r="EO22" s="150" t="s">
        <v>208</v>
      </c>
      <c r="EP22" s="150" t="s">
        <v>208</v>
      </c>
      <c r="EQ22" s="184" t="s">
        <v>20</v>
      </c>
      <c r="ER22" s="271"/>
      <c r="ES22" s="265"/>
      <c r="ET22" s="271"/>
      <c r="EU22" s="265"/>
      <c r="EV22" s="184" t="s">
        <v>20</v>
      </c>
      <c r="EW22" s="184" t="s">
        <v>21</v>
      </c>
      <c r="EX22" s="184" t="s">
        <v>20</v>
      </c>
      <c r="EY22" s="184" t="s">
        <v>2</v>
      </c>
      <c r="EZ22" s="184" t="s">
        <v>200</v>
      </c>
      <c r="FA22" s="184" t="s">
        <v>2</v>
      </c>
      <c r="FB22" s="184" t="s">
        <v>200</v>
      </c>
      <c r="FC22" s="184" t="s">
        <v>2</v>
      </c>
      <c r="FD22" s="184" t="s">
        <v>200</v>
      </c>
      <c r="FE22" s="271"/>
      <c r="FF22" s="275"/>
    </row>
    <row r="23" spans="2:162" ht="12.75" customHeight="1">
      <c r="B23" s="237" t="s">
        <v>211</v>
      </c>
      <c r="C23" s="237"/>
      <c r="H23" s="7"/>
      <c r="I23" s="47" t="s">
        <v>221</v>
      </c>
      <c r="J23" s="47"/>
      <c r="K23" s="48"/>
      <c r="L23" s="51"/>
      <c r="M23" s="47"/>
      <c r="N23" s="50"/>
      <c r="O23" s="50"/>
      <c r="P23" s="50"/>
      <c r="Q23" s="55" t="s">
        <v>234</v>
      </c>
      <c r="R23" s="57">
        <v>1</v>
      </c>
      <c r="S23" s="9" t="s">
        <v>222</v>
      </c>
      <c r="AA23" s="140" t="s">
        <v>210</v>
      </c>
      <c r="AB23" s="140" t="s">
        <v>237</v>
      </c>
      <c r="AC23" s="140">
        <v>44</v>
      </c>
      <c r="AD23" s="133">
        <v>0.3</v>
      </c>
      <c r="AE23" s="151">
        <v>500</v>
      </c>
      <c r="AF23" s="152">
        <v>300</v>
      </c>
      <c r="AG23" s="152">
        <v>10</v>
      </c>
      <c r="AH23" s="152">
        <v>14</v>
      </c>
      <c r="AI23" s="152">
        <v>472</v>
      </c>
      <c r="AJ23" s="153" t="str" cm="1">
        <f t="array" ref="AJ23">_xll.Dce_Name_SectI(AE23, AE23, AF23, AG23, AH23, "x", "-", "H Tổng")</f>
        <v>500x300x10x14</v>
      </c>
      <c r="AK23" s="161">
        <f t="shared" ref="AK23" si="0">AE23+2*(VLOOKUP(AO23,$B$13:$F$21,2,FALSE)+VLOOKUP(AO23,$B$13:$F$21,3,FALSE))</f>
        <v>760</v>
      </c>
      <c r="AL23" s="162" cm="1">
        <f t="array" ref="AL23">IFERROR(INDEX($B$25:$B$32,IFERROR(MATCH(AF23,$B$25:$B$32,0),MATCH(AF23,$B$25:$B$32,1)+1)),$B$25)</f>
        <v>300</v>
      </c>
      <c r="AM23" s="162" cm="1">
        <f t="array" ref="AM23">IFERROR(VLOOKUP(AE23,$B$36:$E$47,4,FALSE),INDEX($E$36:$E$47,MATCH(AE23,$B$36:$B$47,1)+1))</f>
        <v>25</v>
      </c>
      <c r="AN23" s="162" cm="1">
        <f t="array" ref="AN23">IFERROR(VLOOKUP(AE23,$B$36:$E$47,2,FALSE),INDEX($C$36:$C$47,MATCH(AE23,$B$36:$B$47,1)+1))</f>
        <v>8</v>
      </c>
      <c r="AO23" s="162" cm="1">
        <f t="array" ref="AO23">IFERROR(VLOOKUP(AE23,$B$36:$E$47,3,FALSE),INDEX($D$36:$D$47,MATCH(AE23,$B$36:$B$47,1)+1))</f>
        <v>24</v>
      </c>
      <c r="AP23" s="163" t="str">
        <f>AK23&amp;"x"&amp;AL23&amp;"x"&amp;AM23&amp;" + "&amp;AN23&amp;"M"&amp;AO23</f>
        <v>760x300x25 + 8M24</v>
      </c>
      <c r="AQ23" s="140" t="s">
        <v>242</v>
      </c>
      <c r="AR23" s="151">
        <v>0</v>
      </c>
      <c r="AS23" s="151">
        <v>-268.10675282921193</v>
      </c>
      <c r="AT23" s="151">
        <v>-1.8144419300369912E-13</v>
      </c>
      <c r="AU23" s="151">
        <v>-2.4997601063826954E-3</v>
      </c>
      <c r="AV23" s="151">
        <v>-3.558126991265452E-13</v>
      </c>
      <c r="AW23" s="151">
        <v>-506.97096502920334</v>
      </c>
      <c r="BA23" s="161">
        <f t="shared" ref="BA23" si="1">VLOOKUP(AO23,$B$13:$F$21,2,FALSE)</f>
        <v>60</v>
      </c>
      <c r="BB23" s="161">
        <f t="shared" ref="BB23" si="2">VLOOKUP(AO23,$B$13:$F$21,3,FALSE)</f>
        <v>70</v>
      </c>
      <c r="BC23" s="161">
        <f t="shared" ref="BC23" si="3">VLOOKUP(AO23,$B$13:$F$21,4,FALSE)</f>
        <v>80</v>
      </c>
      <c r="BD23" s="161">
        <f t="shared" ref="BD23" si="4">VLOOKUP(AO23,$B$13:$F$21,5,FALSE)</f>
        <v>150</v>
      </c>
      <c r="BE23" s="161">
        <f>HLOOKUP(AO23,Data!$H$31:$Q$35,3,FALSE)</f>
        <v>452.38934211693021</v>
      </c>
      <c r="BF23" s="161">
        <f>HLOOKUP(AO23,Data!$H$31:$Q$35,4,FALSE)</f>
        <v>353</v>
      </c>
      <c r="BG23" s="179">
        <f t="shared" ref="BG23" si="5">VLOOKUP(AL23,$B$25:$C$32,2,FALSE)</f>
        <v>150</v>
      </c>
      <c r="BH23" s="185">
        <f>$R$17*BE23*$R$24*$R$25/1000</f>
        <v>121.65654188208487</v>
      </c>
      <c r="BI23" s="185">
        <f>$R$19*AO23*AM23*$R$24*$R$25/1000</f>
        <v>243</v>
      </c>
      <c r="BJ23" s="185">
        <f>$R$18*BF23*$R$24/1000</f>
        <v>142.3296</v>
      </c>
      <c r="BK23" s="185">
        <f>(ABS(AS23)*COS(RADIANS($R$46))+AR23*SIN(RADIANS($R$46)))/AN23</f>
        <v>33.347023751437888</v>
      </c>
      <c r="BL23" s="186">
        <f>IF(BO23&lt;=16*AO23,1,MAX(0.75,1-0.005*(BO23/AO23-16)))</f>
        <v>0.94666666666666666</v>
      </c>
      <c r="BM23" s="186">
        <f>ABS(BK23/(BL23*MIN(BH23,BI23)))</f>
        <v>0.28955063796767772</v>
      </c>
      <c r="BN23" s="185" t="str">
        <f>IF(BM23&lt;=1,"OK","O/S")</f>
        <v>OK</v>
      </c>
      <c r="BO23" s="185" cm="1">
        <f t="array" ref="BO23">_xll.DCEBoltDisRS(AN23, AE23, BA23, BB23, BC23, BD23, "h1")</f>
        <v>640</v>
      </c>
      <c r="BP23" s="185" cm="1">
        <f t="array" ref="BP23">_xll.DCEBoltDisRS(AN23, AE23, BA23, BB23, BC23, BD23, "Tong")</f>
        <v>672200</v>
      </c>
      <c r="BQ23" s="185">
        <f>ABS(AW23)*1000*BO23/(2*BP23)+(AR23*COS(RADIANS($R$46))+ABS(AS23)*SIN(RADIANS($R$46)))/AN23</f>
        <v>244.67761937803738</v>
      </c>
      <c r="BR23" s="186">
        <f>ABS(BQ23/BJ23)</f>
        <v>1.7190915970960179</v>
      </c>
      <c r="BS23" s="185" t="str">
        <f>IF(BR23&lt;=1,"OK","O/S")</f>
        <v>O/S</v>
      </c>
      <c r="BT23" s="186">
        <f>SQRT((BK23/BH23)^2+(BQ23/BJ23)^2)</f>
        <v>1.740807594331975</v>
      </c>
      <c r="BU23" s="185" t="str">
        <f>IF(BT23&lt;=1,"OK","O/S")</f>
        <v>O/S</v>
      </c>
      <c r="BV23" s="190">
        <f>ABS(ABS(AW23)/(AE23/1000)+AR23)</f>
        <v>1013.9419300584067</v>
      </c>
      <c r="BW23" s="191">
        <f>BV23*(BG23/1000)/8</f>
        <v>19.011411188595126</v>
      </c>
      <c r="BX23" s="190">
        <f>BV23/2</f>
        <v>506.97096502920334</v>
      </c>
      <c r="BY23" s="167">
        <f>6*BW23*1000000/(AK23*AM23^2)</f>
        <v>240.14414132962264</v>
      </c>
      <c r="BZ23" s="192">
        <f>BY23/($R$32*$R$30)</f>
        <v>1.1673673536856657</v>
      </c>
      <c r="CA23" s="191">
        <f>BX23*1000/(AK23*AM23)</f>
        <v>26.682682369958069</v>
      </c>
      <c r="CB23" s="193">
        <f>CA23/($R$32*$R$31)</f>
        <v>0.2236335926600892</v>
      </c>
      <c r="CC23" s="167">
        <f>SQRT(BY23^2+3*CA23^2)</f>
        <v>244.55082340959311</v>
      </c>
      <c r="CD23" s="191">
        <f>CC23/(1.15*$R$32*$R$30)</f>
        <v>1.0337293260067344</v>
      </c>
      <c r="CE23" s="189">
        <f>ABS(MAX(BZ23,CB23,CD23))</f>
        <v>1.1673673536856657</v>
      </c>
      <c r="CF23" s="194" t="str">
        <f>IF(CE23&lt;=1,"OK","O/S")</f>
        <v>O/S</v>
      </c>
      <c r="DA23" s="206" t="s">
        <v>210</v>
      </c>
      <c r="DB23" s="206" t="s">
        <v>237</v>
      </c>
      <c r="DC23" s="206">
        <v>44</v>
      </c>
      <c r="DD23" s="207">
        <v>0.3</v>
      </c>
      <c r="DE23" s="208">
        <v>500</v>
      </c>
      <c r="DF23" s="154">
        <v>300</v>
      </c>
      <c r="DG23" s="154">
        <v>10</v>
      </c>
      <c r="DH23" s="154">
        <v>14</v>
      </c>
      <c r="DI23" s="154">
        <v>472</v>
      </c>
      <c r="DJ23" s="154" t="s">
        <v>281</v>
      </c>
      <c r="DK23" s="208">
        <v>760</v>
      </c>
      <c r="DL23" s="154">
        <v>300</v>
      </c>
      <c r="DM23" s="154">
        <v>25</v>
      </c>
      <c r="DN23" s="154">
        <v>8</v>
      </c>
      <c r="DO23" s="154">
        <v>24</v>
      </c>
      <c r="DP23" s="154" t="s">
        <v>282</v>
      </c>
      <c r="DQ23" s="206" t="s">
        <v>243</v>
      </c>
      <c r="DR23" s="208">
        <v>0</v>
      </c>
      <c r="DS23" s="208">
        <v>-732.27641330101324</v>
      </c>
      <c r="DT23" s="208">
        <v>-4.871225200986372E-13</v>
      </c>
      <c r="DU23" s="208">
        <v>-6.3338582843880343E-3</v>
      </c>
      <c r="DV23" s="208">
        <v>-9.8326282227390008E-13</v>
      </c>
      <c r="DW23" s="208">
        <v>-1402.2123925579715</v>
      </c>
      <c r="DX23" s="208"/>
      <c r="DY23" s="208"/>
      <c r="DZ23" s="208"/>
      <c r="EA23" s="208">
        <v>60</v>
      </c>
      <c r="EB23" s="208">
        <v>70</v>
      </c>
      <c r="EC23" s="208">
        <v>80</v>
      </c>
      <c r="ED23" s="208">
        <v>150</v>
      </c>
      <c r="EE23" s="208">
        <v>452.38934211693021</v>
      </c>
      <c r="EF23" s="208">
        <v>353</v>
      </c>
      <c r="EG23" s="226">
        <v>150</v>
      </c>
      <c r="EH23" s="208">
        <v>121.65654188208487</v>
      </c>
      <c r="EI23" s="208">
        <v>243</v>
      </c>
      <c r="EJ23" s="226">
        <v>142.3296</v>
      </c>
      <c r="EK23" s="209">
        <v>91.080283093511113</v>
      </c>
      <c r="EL23" s="211">
        <v>0.94666666666666666</v>
      </c>
      <c r="EM23" s="209">
        <v>0.79084581198541548</v>
      </c>
      <c r="EN23" s="209" t="s">
        <v>283</v>
      </c>
      <c r="EO23" s="209">
        <v>640</v>
      </c>
      <c r="EP23" s="209">
        <v>672200</v>
      </c>
      <c r="EQ23" s="209">
        <v>676.62954812272631</v>
      </c>
      <c r="ER23" s="209">
        <v>4.753962268725032</v>
      </c>
      <c r="ES23" s="209" t="s">
        <v>284</v>
      </c>
      <c r="ET23" s="209">
        <v>4.8125523458334225</v>
      </c>
      <c r="EU23" s="209" t="s">
        <v>284</v>
      </c>
      <c r="EV23" s="210">
        <v>2804.424785115943</v>
      </c>
      <c r="EW23" s="209">
        <v>52.582964720923933</v>
      </c>
      <c r="EX23" s="210">
        <v>1402.2123925579715</v>
      </c>
      <c r="EY23" s="154">
        <v>664.20587015903914</v>
      </c>
      <c r="EZ23" s="211">
        <v>3.2287785354953296</v>
      </c>
      <c r="FA23" s="209">
        <v>73.800652239893239</v>
      </c>
      <c r="FB23" s="207">
        <v>0.61853994932860723</v>
      </c>
      <c r="FC23" s="154">
        <v>676.39415045284602</v>
      </c>
      <c r="FD23" s="209">
        <v>2.8591540176146877</v>
      </c>
      <c r="FE23" s="209">
        <v>3.2287785354953296</v>
      </c>
      <c r="FF23" s="153" t="s">
        <v>284</v>
      </c>
    </row>
    <row r="24" spans="2:162" ht="12.75" customHeight="1">
      <c r="B24" s="24" t="s">
        <v>94</v>
      </c>
      <c r="C24" s="30" t="s">
        <v>212</v>
      </c>
      <c r="H24" s="7"/>
      <c r="I24" s="47" t="str">
        <f>"- Hệ số điều kiện làm việc (bảng 1):"</f>
        <v>- Hệ số điều kiện làm việc (bảng 1):</v>
      </c>
      <c r="J24" s="47"/>
      <c r="K24" s="48"/>
      <c r="L24" s="51"/>
      <c r="M24" s="47"/>
      <c r="N24" s="50"/>
      <c r="O24" s="50"/>
      <c r="P24" s="50"/>
      <c r="Q24" s="59" t="s">
        <v>11</v>
      </c>
      <c r="R24" s="56">
        <f>IF(S16="A",1,0.9)</f>
        <v>0.9</v>
      </c>
      <c r="S24" s="8"/>
      <c r="AA24" s="140" t="s">
        <v>210</v>
      </c>
      <c r="AB24" s="140" t="s">
        <v>237</v>
      </c>
      <c r="AC24" s="140">
        <v>44</v>
      </c>
      <c r="AD24" s="133">
        <v>3</v>
      </c>
      <c r="AE24" s="151">
        <v>500</v>
      </c>
      <c r="AF24" s="152">
        <v>300</v>
      </c>
      <c r="AG24" s="152">
        <v>10</v>
      </c>
      <c r="AH24" s="152">
        <v>14</v>
      </c>
      <c r="AI24" s="152">
        <v>472</v>
      </c>
      <c r="AJ24" s="153" t="str" cm="1">
        <f t="array" ref="AJ24">_xll.Dce_Name_SectI(AE24, AE24, AF24, AG24, AH24, "x", "-", "H Tổng")</f>
        <v>500x300x10x14</v>
      </c>
      <c r="AK24" s="161">
        <f t="shared" ref="AK24:AK87" si="6">AE24+2*(VLOOKUP(AO24,$B$13:$F$21,2,FALSE)+VLOOKUP(AO24,$B$13:$F$21,3,FALSE))</f>
        <v>760</v>
      </c>
      <c r="AL24" s="162" cm="1">
        <f t="array" ref="AL24">IFERROR(INDEX($B$25:$B$32,IFERROR(MATCH(AF24,$B$25:$B$32,0),MATCH(AF24,$B$25:$B$32,1)+1)),$B$25)</f>
        <v>300</v>
      </c>
      <c r="AM24" s="162" cm="1">
        <f t="array" ref="AM24">IFERROR(VLOOKUP(AE24,$B$36:$E$47,4,FALSE),INDEX($E$36:$E$47,MATCH(AE24,$B$36:$B$47,1)+1))</f>
        <v>25</v>
      </c>
      <c r="AN24" s="162" cm="1">
        <f t="array" ref="AN24">IFERROR(VLOOKUP(AE24,$B$36:$E$47,2,FALSE),INDEX($C$36:$C$47,MATCH(AE24,$B$36:$B$47,1)+1))</f>
        <v>8</v>
      </c>
      <c r="AO24" s="162" cm="1">
        <f t="array" ref="AO24">IFERROR(VLOOKUP(AE24,$B$36:$E$47,3,FALSE),INDEX($D$36:$D$47,MATCH(AE24,$B$36:$B$47,1)+1))</f>
        <v>24</v>
      </c>
      <c r="AP24" s="163" t="str">
        <f t="shared" ref="AP24:AP87" si="7">AK24&amp;"x"&amp;AL24&amp;"x"&amp;AM24&amp;" + "&amp;AN24&amp;"M"&amp;AO24</f>
        <v>760x300x25 + 8M24</v>
      </c>
      <c r="AQ24" s="140" t="s">
        <v>242</v>
      </c>
      <c r="AR24" s="151">
        <v>0</v>
      </c>
      <c r="AS24" s="151">
        <v>-180.49405113589657</v>
      </c>
      <c r="AT24" s="151">
        <v>-1.0440999176353214E-13</v>
      </c>
      <c r="AU24" s="151">
        <v>-2.4990088123500857E-3</v>
      </c>
      <c r="AV24" s="151">
        <v>7.4691342888399936E-14</v>
      </c>
      <c r="AW24" s="151">
        <v>119.58351424904521</v>
      </c>
      <c r="BA24" s="161">
        <f t="shared" ref="BA24:BA87" si="8">VLOOKUP(AO24,$B$13:$F$21,2,FALSE)</f>
        <v>60</v>
      </c>
      <c r="BB24" s="161">
        <f t="shared" ref="BB24:BB87" si="9">VLOOKUP(AO24,$B$13:$F$21,3,FALSE)</f>
        <v>70</v>
      </c>
      <c r="BC24" s="161">
        <f t="shared" ref="BC24:BC87" si="10">VLOOKUP(AO24,$B$13:$F$21,4,FALSE)</f>
        <v>80</v>
      </c>
      <c r="BD24" s="161">
        <f t="shared" ref="BD24:BD87" si="11">VLOOKUP(AO24,$B$13:$F$21,5,FALSE)</f>
        <v>150</v>
      </c>
      <c r="BE24" s="161">
        <f>HLOOKUP(AO24,Data!$H$31:$Q$35,3,FALSE)</f>
        <v>452.38934211693021</v>
      </c>
      <c r="BF24" s="161">
        <f>HLOOKUP(AO24,Data!$H$31:$Q$35,4,FALSE)</f>
        <v>353</v>
      </c>
      <c r="BG24" s="179">
        <f t="shared" ref="BG24:BG87" si="12">VLOOKUP(AL24,$B$25:$C$32,2,FALSE)</f>
        <v>150</v>
      </c>
      <c r="BH24" s="185">
        <f t="shared" ref="BH24:BH87" si="13">$R$17*BE24*$R$24*$R$25/1000</f>
        <v>121.65654188208487</v>
      </c>
      <c r="BI24" s="185">
        <f t="shared" ref="BI24:BI87" si="14">$R$19*AO24*AM24*$R$24*$R$25/1000</f>
        <v>243</v>
      </c>
      <c r="BJ24" s="185">
        <f t="shared" ref="BJ24:BJ87" si="15">$R$18*BF24*$R$24/1000</f>
        <v>142.3296</v>
      </c>
      <c r="BK24" s="185">
        <f t="shared" ref="BK24:BK87" si="16">(ABS(AS24)*COS(RADIANS($R$46))+AR24*SIN(RADIANS($R$46)))/AN24</f>
        <v>22.449786686485076</v>
      </c>
      <c r="BL24" s="186">
        <f t="shared" ref="BL24:BL87" si="17">IF(BO24&lt;=16*AO24,1,MAX(0.75,1-0.005*(BO24/AO24-16)))</f>
        <v>0.94666666666666666</v>
      </c>
      <c r="BM24" s="186">
        <f t="shared" ref="BM24:BM87" si="18">ABS(BK24/(BL24*MIN(BH24,BI24)))</f>
        <v>0.19493044134200263</v>
      </c>
      <c r="BN24" s="185" t="str">
        <f t="shared" ref="BN24:BN87" si="19">IF(BM24&lt;=1,"OK","O/S")</f>
        <v>OK</v>
      </c>
      <c r="BO24" s="185" cm="1">
        <f t="array" ref="BO24">_xll.DCEBoltDisRS(AN24, AE24, BA24, BB24, BC24, BD24, "h1")</f>
        <v>640</v>
      </c>
      <c r="BP24" s="185" cm="1">
        <f t="array" ref="BP24">_xll.DCEBoltDisRS(AN24, AE24, BA24, BB24, BC24, BD24, "Tong")</f>
        <v>672200</v>
      </c>
      <c r="BQ24" s="185">
        <f t="shared" ref="BQ24:BQ87" si="20">ABS(AW24)*1000*BO24/(2*BP24)+(AR24*COS(RADIANS($R$46))+ABS(AS24)*SIN(RADIANS($R$46)))/AN24</f>
        <v>59.172566528949709</v>
      </c>
      <c r="BR24" s="186">
        <f t="shared" ref="BR24:BR87" si="21">ABS(BQ24/BJ24)</f>
        <v>0.4157432222738609</v>
      </c>
      <c r="BS24" s="185" t="str">
        <f t="shared" ref="BS24:BS87" si="22">IF(BR24&lt;=1,"OK","O/S")</f>
        <v>OK</v>
      </c>
      <c r="BT24" s="186">
        <f t="shared" ref="BT24:BT87" si="23">SQRT((BK24/BH24)^2+(BQ24/BJ24)^2)</f>
        <v>0.45485742799534606</v>
      </c>
      <c r="BU24" s="185" t="str">
        <f t="shared" ref="BU24:BU87" si="24">IF(BT24&lt;=1,"OK","O/S")</f>
        <v>OK</v>
      </c>
      <c r="BV24" s="190">
        <f t="shared" ref="BV24:BV87" si="25">ABS(ABS(AW24)/(AE24/1000)+AR24)</f>
        <v>239.16702849809042</v>
      </c>
      <c r="BW24" s="191">
        <f t="shared" ref="BW24:BW87" si="26">BV24*(BG24/1000)/8</f>
        <v>4.4843817843391953</v>
      </c>
      <c r="BX24" s="190">
        <f t="shared" ref="BX24:BX87" si="27">BV24/2</f>
        <v>119.58351424904521</v>
      </c>
      <c r="BY24" s="167">
        <f t="shared" ref="BY24:BY87" si="28">6*BW24*1000000/(AK24*AM24^2)</f>
        <v>56.644822539021412</v>
      </c>
      <c r="BZ24" s="192">
        <f t="shared" ref="BZ24:BZ87" si="29">BY24/($R$32*$R$30)</f>
        <v>0.27535677623135413</v>
      </c>
      <c r="CA24" s="191">
        <f t="shared" ref="CA24:CA87" si="30">BX24*1000/(AK24*AM24)</f>
        <v>6.2938691710023793</v>
      </c>
      <c r="CB24" s="193">
        <f t="shared" ref="CB24:CB87" si="31">CA24/($R$32*$R$31)</f>
        <v>5.2750340274205769E-2</v>
      </c>
      <c r="CC24" s="167">
        <f t="shared" ref="CC24:CC87" si="32">SQRT(BY24^2+3*CA24^2)</f>
        <v>57.684263780534728</v>
      </c>
      <c r="CD24" s="191">
        <f t="shared" ref="CD24:CD87" si="33">CC24/(1.15*$R$32*$R$30)</f>
        <v>0.24383444834767098</v>
      </c>
      <c r="CE24" s="189">
        <f t="shared" ref="CE24:CE87" si="34">ABS(MAX(BZ24,CB24,CD24))</f>
        <v>0.27535677623135413</v>
      </c>
      <c r="CF24" s="194" t="str">
        <f t="shared" ref="CF24:CF87" si="35">IF(CE24&lt;=1,"OK","O/S")</f>
        <v>OK</v>
      </c>
      <c r="DA24" s="206" t="s">
        <v>210</v>
      </c>
      <c r="DB24" s="206" t="s">
        <v>238</v>
      </c>
      <c r="DC24" s="206">
        <v>46</v>
      </c>
      <c r="DD24" s="207">
        <v>2.6850000000000001</v>
      </c>
      <c r="DE24" s="208">
        <v>1100</v>
      </c>
      <c r="DF24" s="154">
        <v>350</v>
      </c>
      <c r="DG24" s="154">
        <v>14</v>
      </c>
      <c r="DH24" s="154">
        <v>18.000000000000004</v>
      </c>
      <c r="DI24" s="154">
        <v>1064</v>
      </c>
      <c r="DJ24" s="154" t="s">
        <v>285</v>
      </c>
      <c r="DK24" s="208">
        <v>1360</v>
      </c>
      <c r="DL24" s="154">
        <v>350</v>
      </c>
      <c r="DM24" s="154">
        <v>25</v>
      </c>
      <c r="DN24" s="154">
        <v>12</v>
      </c>
      <c r="DO24" s="154">
        <v>24</v>
      </c>
      <c r="DP24" s="154" t="s">
        <v>297</v>
      </c>
      <c r="DQ24" s="206" t="s">
        <v>243</v>
      </c>
      <c r="DR24" s="208">
        <v>0</v>
      </c>
      <c r="DS24" s="208">
        <v>949.10171212260161</v>
      </c>
      <c r="DT24" s="208">
        <v>-1.7212187231052665E-14</v>
      </c>
      <c r="DU24" s="208">
        <v>-6.3338343419524689E-3</v>
      </c>
      <c r="DV24" s="208">
        <v>1.3151043276593553E-14</v>
      </c>
      <c r="DW24" s="208">
        <v>-2902.6552283151536</v>
      </c>
      <c r="DX24" s="208"/>
      <c r="DY24" s="208"/>
      <c r="DZ24" s="208"/>
      <c r="EA24" s="208">
        <v>60</v>
      </c>
      <c r="EB24" s="208">
        <v>70</v>
      </c>
      <c r="EC24" s="208">
        <v>80</v>
      </c>
      <c r="ED24" s="208">
        <v>150</v>
      </c>
      <c r="EE24" s="208">
        <v>452.38934211693021</v>
      </c>
      <c r="EF24" s="208">
        <v>353</v>
      </c>
      <c r="EG24" s="226">
        <v>180</v>
      </c>
      <c r="EH24" s="208">
        <v>121.65654188208487</v>
      </c>
      <c r="EI24" s="208">
        <v>243</v>
      </c>
      <c r="EJ24" s="226">
        <v>142.3296</v>
      </c>
      <c r="EK24" s="209">
        <v>78.699291737830293</v>
      </c>
      <c r="EL24" s="208">
        <v>0.82166666666666666</v>
      </c>
      <c r="EM24" s="209">
        <v>0.7872989779156977</v>
      </c>
      <c r="EN24" s="209" t="s">
        <v>283</v>
      </c>
      <c r="EO24" s="209">
        <v>1240</v>
      </c>
      <c r="EP24" s="209">
        <v>3721800</v>
      </c>
      <c r="EQ24" s="209">
        <v>491.41182867278764</v>
      </c>
      <c r="ER24" s="209">
        <v>3.4526326826801146</v>
      </c>
      <c r="ES24" s="209" t="s">
        <v>284</v>
      </c>
      <c r="ET24" s="209">
        <v>3.512712426744014</v>
      </c>
      <c r="EU24" s="209" t="s">
        <v>284</v>
      </c>
      <c r="EV24" s="210">
        <v>2638.7774802865033</v>
      </c>
      <c r="EW24" s="209">
        <v>59.372493306446323</v>
      </c>
      <c r="EX24" s="210">
        <v>1319.3887401432517</v>
      </c>
      <c r="EY24" s="154">
        <v>419.09995275138584</v>
      </c>
      <c r="EZ24" s="211">
        <v>2.0372914369859036</v>
      </c>
      <c r="FA24" s="209">
        <v>38.805551180683871</v>
      </c>
      <c r="FB24" s="207">
        <v>0.32523809658140218</v>
      </c>
      <c r="FC24" s="154">
        <v>424.45539554059604</v>
      </c>
      <c r="FD24" s="209">
        <v>1.7941955125508291</v>
      </c>
      <c r="FE24" s="209">
        <v>2.0372914369859036</v>
      </c>
      <c r="FF24" s="153" t="s">
        <v>284</v>
      </c>
    </row>
    <row r="25" spans="2:162" ht="12.75" customHeight="1">
      <c r="B25" s="10">
        <v>184</v>
      </c>
      <c r="C25" s="10">
        <v>100</v>
      </c>
      <c r="H25" s="7"/>
      <c r="I25" s="47" t="str">
        <f>"- Hệ số điều kiện làm việc của liên kết một bu lông (bảng 44):"</f>
        <v>- Hệ số điều kiện làm việc của liên kết một bu lông (bảng 44):</v>
      </c>
      <c r="J25" s="47"/>
      <c r="K25" s="48"/>
      <c r="L25" s="51"/>
      <c r="M25" s="47"/>
      <c r="N25" s="50"/>
      <c r="O25" s="50"/>
      <c r="P25" s="50"/>
      <c r="Q25" s="59" t="s">
        <v>7</v>
      </c>
      <c r="R25" s="56">
        <f>IF(S16="A",1,0.9)</f>
        <v>0.9</v>
      </c>
      <c r="S25" s="8"/>
      <c r="AA25" s="140" t="s">
        <v>210</v>
      </c>
      <c r="AB25" s="140" t="s">
        <v>237</v>
      </c>
      <c r="AC25" s="140">
        <v>44</v>
      </c>
      <c r="AD25" s="133">
        <v>0.3</v>
      </c>
      <c r="AE25" s="151">
        <v>500</v>
      </c>
      <c r="AF25" s="152">
        <v>300</v>
      </c>
      <c r="AG25" s="152">
        <v>10</v>
      </c>
      <c r="AH25" s="152">
        <v>14</v>
      </c>
      <c r="AI25" s="152">
        <v>472</v>
      </c>
      <c r="AJ25" s="153" t="str" cm="1">
        <f t="array" ref="AJ25">_xll.Dce_Name_SectI(AE25, AE25, AF25, AG25, AH25, "x", "-", "H Tổng")</f>
        <v>500x300x10x14</v>
      </c>
      <c r="AK25" s="161">
        <f t="shared" si="6"/>
        <v>760</v>
      </c>
      <c r="AL25" s="162" cm="1">
        <f t="array" ref="AL25">IFERROR(INDEX($B$25:$B$32,IFERROR(MATCH(AF25,$B$25:$B$32,0),MATCH(AF25,$B$25:$B$32,1)+1)),$B$25)</f>
        <v>300</v>
      </c>
      <c r="AM25" s="162" cm="1">
        <f t="array" ref="AM25">IFERROR(VLOOKUP(AE25,$B$36:$E$47,4,FALSE),INDEX($E$36:$E$47,MATCH(AE25,$B$36:$B$47,1)+1))</f>
        <v>25</v>
      </c>
      <c r="AN25" s="162" cm="1">
        <f t="array" ref="AN25">IFERROR(VLOOKUP(AE25,$B$36:$E$47,2,FALSE),INDEX($C$36:$C$47,MATCH(AE25,$B$36:$B$47,1)+1))</f>
        <v>8</v>
      </c>
      <c r="AO25" s="162" cm="1">
        <f t="array" ref="AO25">IFERROR(VLOOKUP(AE25,$B$36:$E$47,3,FALSE),INDEX($D$36:$D$47,MATCH(AE25,$B$36:$B$47,1)+1))</f>
        <v>24</v>
      </c>
      <c r="AP25" s="163" t="str">
        <f t="shared" si="7"/>
        <v>760x300x25 + 8M24</v>
      </c>
      <c r="AQ25" s="140" t="s">
        <v>243</v>
      </c>
      <c r="AR25" s="151">
        <v>0</v>
      </c>
      <c r="AS25" s="151">
        <v>-732.27641330101324</v>
      </c>
      <c r="AT25" s="151">
        <v>-4.871225200986372E-13</v>
      </c>
      <c r="AU25" s="151">
        <v>-6.3338582843880343E-3</v>
      </c>
      <c r="AV25" s="151">
        <v>-9.8326282227390008E-13</v>
      </c>
      <c r="AW25" s="151">
        <v>-1402.2123925579715</v>
      </c>
      <c r="BA25" s="161">
        <f t="shared" si="8"/>
        <v>60</v>
      </c>
      <c r="BB25" s="161">
        <f t="shared" si="9"/>
        <v>70</v>
      </c>
      <c r="BC25" s="161">
        <f t="shared" si="10"/>
        <v>80</v>
      </c>
      <c r="BD25" s="161">
        <f t="shared" si="11"/>
        <v>150</v>
      </c>
      <c r="BE25" s="161">
        <f>HLOOKUP(AO25,Data!$H$31:$Q$35,3,FALSE)</f>
        <v>452.38934211693021</v>
      </c>
      <c r="BF25" s="161">
        <f>HLOOKUP(AO25,Data!$H$31:$Q$35,4,FALSE)</f>
        <v>353</v>
      </c>
      <c r="BG25" s="179">
        <f t="shared" si="12"/>
        <v>150</v>
      </c>
      <c r="BH25" s="185">
        <f t="shared" si="13"/>
        <v>121.65654188208487</v>
      </c>
      <c r="BI25" s="185">
        <f t="shared" si="14"/>
        <v>243</v>
      </c>
      <c r="BJ25" s="185">
        <f t="shared" si="15"/>
        <v>142.3296</v>
      </c>
      <c r="BK25" s="185">
        <f t="shared" si="16"/>
        <v>91.080283093511113</v>
      </c>
      <c r="BL25" s="186">
        <f t="shared" si="17"/>
        <v>0.94666666666666666</v>
      </c>
      <c r="BM25" s="186">
        <f t="shared" si="18"/>
        <v>0.79084581198541548</v>
      </c>
      <c r="BN25" s="185" t="str">
        <f t="shared" si="19"/>
        <v>OK</v>
      </c>
      <c r="BO25" s="185" cm="1">
        <f t="array" ref="BO25">_xll.DCEBoltDisRS(AN25, AE25, BA25, BB25, BC25, BD25, "h1")</f>
        <v>640</v>
      </c>
      <c r="BP25" s="185" cm="1">
        <f t="array" ref="BP25">_xll.DCEBoltDisRS(AN25, AE25, BA25, BB25, BC25, BD25, "Tong")</f>
        <v>672200</v>
      </c>
      <c r="BQ25" s="185">
        <f t="shared" si="20"/>
        <v>676.62954812272631</v>
      </c>
      <c r="BR25" s="186">
        <f t="shared" si="21"/>
        <v>4.753962268725032</v>
      </c>
      <c r="BS25" s="185" t="str">
        <f t="shared" si="22"/>
        <v>O/S</v>
      </c>
      <c r="BT25" s="186">
        <f t="shared" si="23"/>
        <v>4.8125523458334225</v>
      </c>
      <c r="BU25" s="185" t="str">
        <f t="shared" si="24"/>
        <v>O/S</v>
      </c>
      <c r="BV25" s="190">
        <f t="shared" si="25"/>
        <v>2804.424785115943</v>
      </c>
      <c r="BW25" s="191">
        <f t="shared" si="26"/>
        <v>52.582964720923933</v>
      </c>
      <c r="BX25" s="190">
        <f t="shared" si="27"/>
        <v>1402.2123925579715</v>
      </c>
      <c r="BY25" s="167">
        <f t="shared" si="28"/>
        <v>664.20587015903914</v>
      </c>
      <c r="BZ25" s="192">
        <f t="shared" si="29"/>
        <v>3.2287785354953296</v>
      </c>
      <c r="CA25" s="191">
        <f t="shared" si="30"/>
        <v>73.800652239893239</v>
      </c>
      <c r="CB25" s="193">
        <f t="shared" si="31"/>
        <v>0.61853994932860723</v>
      </c>
      <c r="CC25" s="167">
        <f t="shared" si="32"/>
        <v>676.39415045284602</v>
      </c>
      <c r="CD25" s="191">
        <f t="shared" si="33"/>
        <v>2.8591540176146877</v>
      </c>
      <c r="CE25" s="189">
        <f t="shared" si="34"/>
        <v>3.2287785354953296</v>
      </c>
      <c r="CF25" s="194" t="str">
        <f t="shared" si="35"/>
        <v>O/S</v>
      </c>
      <c r="DA25" s="206" t="s">
        <v>210</v>
      </c>
      <c r="DB25" s="206" t="s">
        <v>239</v>
      </c>
      <c r="DC25" s="206">
        <v>102</v>
      </c>
      <c r="DD25" s="207">
        <v>0.3</v>
      </c>
      <c r="DE25" s="208">
        <v>1100</v>
      </c>
      <c r="DF25" s="154">
        <v>350</v>
      </c>
      <c r="DG25" s="154">
        <v>14</v>
      </c>
      <c r="DH25" s="154">
        <v>18.000000000000004</v>
      </c>
      <c r="DI25" s="154">
        <v>1064</v>
      </c>
      <c r="DJ25" s="154" t="s">
        <v>285</v>
      </c>
      <c r="DK25" s="208">
        <v>1360</v>
      </c>
      <c r="DL25" s="154">
        <v>350</v>
      </c>
      <c r="DM25" s="154">
        <v>25</v>
      </c>
      <c r="DN25" s="154">
        <v>12</v>
      </c>
      <c r="DO25" s="154">
        <v>24</v>
      </c>
      <c r="DP25" s="154" t="s">
        <v>297</v>
      </c>
      <c r="DQ25" s="206" t="s">
        <v>243</v>
      </c>
      <c r="DR25" s="208">
        <v>0</v>
      </c>
      <c r="DS25" s="208">
        <v>-835.66879041449158</v>
      </c>
      <c r="DT25" s="208">
        <v>3.6664005165221163E-15</v>
      </c>
      <c r="DU25" s="208">
        <v>1.835721973380223E-3</v>
      </c>
      <c r="DV25" s="208">
        <v>-2.8909425964229748E-16</v>
      </c>
      <c r="DW25" s="208">
        <v>-2440.3613046296405</v>
      </c>
      <c r="DX25" s="208"/>
      <c r="DY25" s="208"/>
      <c r="DZ25" s="208"/>
      <c r="EA25" s="208">
        <v>60</v>
      </c>
      <c r="EB25" s="208">
        <v>70</v>
      </c>
      <c r="EC25" s="208">
        <v>80</v>
      </c>
      <c r="ED25" s="208">
        <v>150</v>
      </c>
      <c r="EE25" s="208">
        <v>452.38934211693021</v>
      </c>
      <c r="EF25" s="208">
        <v>353</v>
      </c>
      <c r="EG25" s="226">
        <v>180</v>
      </c>
      <c r="EH25" s="208">
        <v>121.65654188208487</v>
      </c>
      <c r="EI25" s="208">
        <v>243</v>
      </c>
      <c r="EJ25" s="226">
        <v>142.3296</v>
      </c>
      <c r="EK25" s="209">
        <v>69.293460430018001</v>
      </c>
      <c r="EL25" s="208">
        <v>0.82166666666666666</v>
      </c>
      <c r="EM25" s="209">
        <v>0.6932040856801116</v>
      </c>
      <c r="EN25" s="209" t="s">
        <v>283</v>
      </c>
      <c r="EO25" s="209">
        <v>1240</v>
      </c>
      <c r="EP25" s="209">
        <v>3721800</v>
      </c>
      <c r="EQ25" s="209">
        <v>413.45952199828616</v>
      </c>
      <c r="ER25" s="209">
        <v>2.9049440313068131</v>
      </c>
      <c r="ES25" s="209" t="s">
        <v>284</v>
      </c>
      <c r="ET25" s="209">
        <v>2.9602574662060972</v>
      </c>
      <c r="EU25" s="209" t="s">
        <v>284</v>
      </c>
      <c r="EV25" s="210">
        <v>2218.5102769360365</v>
      </c>
      <c r="EW25" s="209">
        <v>49.916481231060821</v>
      </c>
      <c r="EX25" s="210">
        <v>1109.2551384680182</v>
      </c>
      <c r="EY25" s="154">
        <v>352.35163221925285</v>
      </c>
      <c r="EZ25" s="211">
        <v>1.712820434399146</v>
      </c>
      <c r="FA25" s="209">
        <v>32.625151131412302</v>
      </c>
      <c r="FB25" s="207">
        <v>0.27343876666653033</v>
      </c>
      <c r="FC25" s="154">
        <v>356.85413572861125</v>
      </c>
      <c r="FD25" s="209">
        <v>1.5084413949880913</v>
      </c>
      <c r="FE25" s="209">
        <v>1.712820434399146</v>
      </c>
      <c r="FF25" s="153" t="s">
        <v>284</v>
      </c>
    </row>
    <row r="26" spans="2:162" ht="12.75" customHeight="1">
      <c r="B26" s="10">
        <v>212</v>
      </c>
      <c r="C26" s="10">
        <v>120</v>
      </c>
      <c r="H26" s="6" t="s">
        <v>155</v>
      </c>
      <c r="I26" s="47"/>
      <c r="J26" s="47"/>
      <c r="K26" s="47"/>
      <c r="L26" s="47"/>
      <c r="M26" s="47"/>
      <c r="N26" s="48"/>
      <c r="O26" s="49"/>
      <c r="P26" s="47"/>
      <c r="Q26" s="50"/>
      <c r="R26" s="50"/>
      <c r="S26" s="5"/>
      <c r="AA26" s="140" t="s">
        <v>210</v>
      </c>
      <c r="AB26" s="140" t="s">
        <v>237</v>
      </c>
      <c r="AC26" s="140">
        <v>44</v>
      </c>
      <c r="AD26" s="133">
        <v>3</v>
      </c>
      <c r="AE26" s="151">
        <v>500</v>
      </c>
      <c r="AF26" s="152">
        <v>300</v>
      </c>
      <c r="AG26" s="152">
        <v>10</v>
      </c>
      <c r="AH26" s="152">
        <v>14</v>
      </c>
      <c r="AI26" s="152">
        <v>472</v>
      </c>
      <c r="AJ26" s="153" t="str" cm="1">
        <f t="array" ref="AJ26">_xll.Dce_Name_SectI(AE26, AE26, AF26, AG26, AH26, "x", "-", "H Tổng")</f>
        <v>500x300x10x14</v>
      </c>
      <c r="AK26" s="161">
        <f t="shared" si="6"/>
        <v>760</v>
      </c>
      <c r="AL26" s="162" cm="1">
        <f t="array" ref="AL26">IFERROR(INDEX($B$25:$B$32,IFERROR(MATCH(AF26,$B$25:$B$32,0),MATCH(AF26,$B$25:$B$32,1)+1)),$B$25)</f>
        <v>300</v>
      </c>
      <c r="AM26" s="162" cm="1">
        <f t="array" ref="AM26">IFERROR(VLOOKUP(AE26,$B$36:$E$47,4,FALSE),INDEX($E$36:$E$47,MATCH(AE26,$B$36:$B$47,1)+1))</f>
        <v>25</v>
      </c>
      <c r="AN26" s="162" cm="1">
        <f t="array" ref="AN26">IFERROR(VLOOKUP(AE26,$B$36:$E$47,2,FALSE),INDEX($C$36:$C$47,MATCH(AE26,$B$36:$B$47,1)+1))</f>
        <v>8</v>
      </c>
      <c r="AO26" s="162" cm="1">
        <f t="array" ref="AO26">IFERROR(VLOOKUP(AE26,$B$36:$E$47,3,FALSE),INDEX($D$36:$D$47,MATCH(AE26,$B$36:$B$47,1)+1))</f>
        <v>24</v>
      </c>
      <c r="AP26" s="163" t="str">
        <f t="shared" si="7"/>
        <v>760x300x25 + 8M24</v>
      </c>
      <c r="AQ26" s="140" t="s">
        <v>243</v>
      </c>
      <c r="AR26" s="151">
        <v>0</v>
      </c>
      <c r="AS26" s="151">
        <v>-491.74263625139804</v>
      </c>
      <c r="AT26" s="151">
        <v>-2.9892817110521713E-13</v>
      </c>
      <c r="AU26" s="151">
        <v>-6.3319540854827588E-3</v>
      </c>
      <c r="AV26" s="151">
        <v>1.9862468434439499E-13</v>
      </c>
      <c r="AW26" s="151">
        <v>309.51489731442513</v>
      </c>
      <c r="BA26" s="161">
        <f t="shared" si="8"/>
        <v>60</v>
      </c>
      <c r="BB26" s="161">
        <f t="shared" si="9"/>
        <v>70</v>
      </c>
      <c r="BC26" s="161">
        <f t="shared" si="10"/>
        <v>80</v>
      </c>
      <c r="BD26" s="161">
        <f t="shared" si="11"/>
        <v>150</v>
      </c>
      <c r="BE26" s="161">
        <f>HLOOKUP(AO26,Data!$H$31:$Q$35,3,FALSE)</f>
        <v>452.38934211693021</v>
      </c>
      <c r="BF26" s="161">
        <f>HLOOKUP(AO26,Data!$H$31:$Q$35,4,FALSE)</f>
        <v>353</v>
      </c>
      <c r="BG26" s="179">
        <f t="shared" si="12"/>
        <v>150</v>
      </c>
      <c r="BH26" s="185">
        <f t="shared" si="13"/>
        <v>121.65654188208487</v>
      </c>
      <c r="BI26" s="185">
        <f t="shared" si="14"/>
        <v>243</v>
      </c>
      <c r="BJ26" s="185">
        <f t="shared" si="15"/>
        <v>142.3296</v>
      </c>
      <c r="BK26" s="185">
        <f t="shared" si="16"/>
        <v>61.162776385255484</v>
      </c>
      <c r="BL26" s="186">
        <f t="shared" si="17"/>
        <v>0.94666666666666666</v>
      </c>
      <c r="BM26" s="186">
        <f t="shared" si="18"/>
        <v>0.53107350911523299</v>
      </c>
      <c r="BN26" s="185" t="str">
        <f t="shared" si="19"/>
        <v>OK</v>
      </c>
      <c r="BO26" s="185" cm="1">
        <f t="array" ref="BO26">_xll.DCEBoltDisRS(AN26, AE26, BA26, BB26, BC26, BD26, "h1")</f>
        <v>640</v>
      </c>
      <c r="BP26" s="185" cm="1">
        <f t="array" ref="BP26">_xll.DCEBoltDisRS(AN26, AE26, BA26, BB26, BC26, BD26, "Tong")</f>
        <v>672200</v>
      </c>
      <c r="BQ26" s="185">
        <f t="shared" si="20"/>
        <v>153.46047154006683</v>
      </c>
      <c r="BR26" s="186">
        <f t="shared" si="21"/>
        <v>1.078204895819751</v>
      </c>
      <c r="BS26" s="185" t="str">
        <f t="shared" si="22"/>
        <v>O/S</v>
      </c>
      <c r="BT26" s="186">
        <f t="shared" si="23"/>
        <v>1.189656650566203</v>
      </c>
      <c r="BU26" s="185" t="str">
        <f t="shared" si="24"/>
        <v>O/S</v>
      </c>
      <c r="BV26" s="190">
        <f t="shared" si="25"/>
        <v>619.02979462885025</v>
      </c>
      <c r="BW26" s="191">
        <f t="shared" si="26"/>
        <v>11.606808649290942</v>
      </c>
      <c r="BX26" s="190">
        <f t="shared" si="27"/>
        <v>309.51489731442513</v>
      </c>
      <c r="BY26" s="167">
        <f t="shared" si="28"/>
        <v>146.61231978051717</v>
      </c>
      <c r="BZ26" s="192">
        <f t="shared" si="29"/>
        <v>0.71269877671084747</v>
      </c>
      <c r="CA26" s="191">
        <f t="shared" si="30"/>
        <v>16.290257753390797</v>
      </c>
      <c r="CB26" s="193">
        <f t="shared" si="31"/>
        <v>0.13653233270322748</v>
      </c>
      <c r="CC26" s="167">
        <f t="shared" si="32"/>
        <v>149.30267849050918</v>
      </c>
      <c r="CD26" s="191">
        <f t="shared" si="33"/>
        <v>0.6311103559381428</v>
      </c>
      <c r="CE26" s="189">
        <f t="shared" si="34"/>
        <v>0.71269877671084747</v>
      </c>
      <c r="CF26" s="194" t="str">
        <f t="shared" si="35"/>
        <v>OK</v>
      </c>
      <c r="DA26" s="206" t="s">
        <v>210</v>
      </c>
      <c r="DB26" s="206" t="s">
        <v>240</v>
      </c>
      <c r="DC26" s="206">
        <v>104</v>
      </c>
      <c r="DD26" s="207">
        <v>2.6850000000000001</v>
      </c>
      <c r="DE26" s="208">
        <v>1100</v>
      </c>
      <c r="DF26" s="154">
        <v>350</v>
      </c>
      <c r="DG26" s="154">
        <v>14</v>
      </c>
      <c r="DH26" s="154">
        <v>18.000000000000004</v>
      </c>
      <c r="DI26" s="154">
        <v>1064</v>
      </c>
      <c r="DJ26" s="154" t="s">
        <v>285</v>
      </c>
      <c r="DK26" s="208">
        <v>1360</v>
      </c>
      <c r="DL26" s="154">
        <v>350</v>
      </c>
      <c r="DM26" s="154">
        <v>25</v>
      </c>
      <c r="DN26" s="154">
        <v>12</v>
      </c>
      <c r="DO26" s="154">
        <v>24</v>
      </c>
      <c r="DP26" s="154" t="s">
        <v>297</v>
      </c>
      <c r="DQ26" s="206" t="s">
        <v>243</v>
      </c>
      <c r="DR26" s="208">
        <v>0</v>
      </c>
      <c r="DS26" s="208">
        <v>848.68463625298341</v>
      </c>
      <c r="DT26" s="208">
        <v>-1.7212187231052665E-14</v>
      </c>
      <c r="DU26" s="208">
        <v>1.4196519898438649E-3</v>
      </c>
      <c r="DV26" s="208">
        <v>1.3151043276593553E-14</v>
      </c>
      <c r="DW26" s="208">
        <v>-2480.5121279980167</v>
      </c>
      <c r="DX26" s="208"/>
      <c r="DY26" s="208"/>
      <c r="DZ26" s="208"/>
      <c r="EA26" s="208">
        <v>60</v>
      </c>
      <c r="EB26" s="208">
        <v>70</v>
      </c>
      <c r="EC26" s="208">
        <v>80</v>
      </c>
      <c r="ED26" s="208">
        <v>150</v>
      </c>
      <c r="EE26" s="208">
        <v>452.38934211693021</v>
      </c>
      <c r="EF26" s="208">
        <v>353</v>
      </c>
      <c r="EG26" s="226">
        <v>180</v>
      </c>
      <c r="EH26" s="208">
        <v>121.65654188208487</v>
      </c>
      <c r="EI26" s="208">
        <v>243</v>
      </c>
      <c r="EJ26" s="226">
        <v>142.3296</v>
      </c>
      <c r="EK26" s="209">
        <v>70.372731319296278</v>
      </c>
      <c r="EL26" s="208">
        <v>0.82166666666666666</v>
      </c>
      <c r="EM26" s="209">
        <v>0.70400099184355691</v>
      </c>
      <c r="EN26" s="209" t="s">
        <v>283</v>
      </c>
      <c r="EO26" s="209">
        <v>1240</v>
      </c>
      <c r="EP26" s="209">
        <v>3721800</v>
      </c>
      <c r="EQ26" s="209">
        <v>420.25601657831857</v>
      </c>
      <c r="ER26" s="209">
        <v>2.9526958312137359</v>
      </c>
      <c r="ES26" s="209" t="s">
        <v>284</v>
      </c>
      <c r="ET26" s="209">
        <v>3.0088240017239762</v>
      </c>
      <c r="EU26" s="209" t="s">
        <v>284</v>
      </c>
      <c r="EV26" s="210">
        <v>2255.0110254527422</v>
      </c>
      <c r="EW26" s="209">
        <v>50.737748072686699</v>
      </c>
      <c r="EX26" s="210">
        <v>1127.5055127263711</v>
      </c>
      <c r="EY26" s="154">
        <v>358.14880992484723</v>
      </c>
      <c r="EZ26" s="211">
        <v>1.7410011593568964</v>
      </c>
      <c r="FA26" s="209">
        <v>33.161926844893273</v>
      </c>
      <c r="FB26" s="207">
        <v>0.27793760526131817</v>
      </c>
      <c r="FC26" s="154">
        <v>362.72539231046744</v>
      </c>
      <c r="FD26" s="209">
        <v>1.5332595085587395</v>
      </c>
      <c r="FE26" s="209">
        <v>1.7410011593568964</v>
      </c>
      <c r="FF26" s="153" t="s">
        <v>284</v>
      </c>
    </row>
    <row r="27" spans="2:162" ht="12.75" customHeight="1">
      <c r="B27" s="10">
        <v>298</v>
      </c>
      <c r="C27" s="10">
        <v>150</v>
      </c>
      <c r="H27" s="7"/>
      <c r="I27" s="47" t="str">
        <f>"- Loại thép:"</f>
        <v>- Loại thép:</v>
      </c>
      <c r="J27" s="47"/>
      <c r="K27" s="48"/>
      <c r="L27" s="51"/>
      <c r="M27" s="47"/>
      <c r="N27" s="50"/>
      <c r="O27" s="50"/>
      <c r="P27" s="50"/>
      <c r="Q27" s="50"/>
      <c r="R27" s="60" t="s">
        <v>219</v>
      </c>
      <c r="S27" s="8"/>
      <c r="AA27" s="140" t="s">
        <v>210</v>
      </c>
      <c r="AB27" s="140" t="s">
        <v>237</v>
      </c>
      <c r="AC27" s="140">
        <v>44</v>
      </c>
      <c r="AD27" s="133">
        <v>0.3</v>
      </c>
      <c r="AE27" s="151">
        <v>500</v>
      </c>
      <c r="AF27" s="152">
        <v>300</v>
      </c>
      <c r="AG27" s="152">
        <v>10</v>
      </c>
      <c r="AH27" s="152">
        <v>14</v>
      </c>
      <c r="AI27" s="152">
        <v>472</v>
      </c>
      <c r="AJ27" s="153" t="str" cm="1">
        <f t="array" ref="AJ27">_xll.Dce_Name_SectI(AE27, AE27, AF27, AG27, AH27, "x", "-", "H Tổng")</f>
        <v>500x300x10x14</v>
      </c>
      <c r="AK27" s="161">
        <f t="shared" si="6"/>
        <v>760</v>
      </c>
      <c r="AL27" s="162" cm="1">
        <f t="array" ref="AL27">IFERROR(INDEX($B$25:$B$32,IFERROR(MATCH(AF27,$B$25:$B$32,0),MATCH(AF27,$B$25:$B$32,1)+1)),$B$25)</f>
        <v>300</v>
      </c>
      <c r="AM27" s="162" cm="1">
        <f t="array" ref="AM27">IFERROR(VLOOKUP(AE27,$B$36:$E$47,4,FALSE),INDEX($E$36:$E$47,MATCH(AE27,$B$36:$B$47,1)+1))</f>
        <v>25</v>
      </c>
      <c r="AN27" s="162" cm="1">
        <f t="array" ref="AN27">IFERROR(VLOOKUP(AE27,$B$36:$E$47,2,FALSE),INDEX($C$36:$C$47,MATCH(AE27,$B$36:$B$47,1)+1))</f>
        <v>8</v>
      </c>
      <c r="AO27" s="162" cm="1">
        <f t="array" ref="AO27">IFERROR(VLOOKUP(AE27,$B$36:$E$47,3,FALSE),INDEX($D$36:$D$47,MATCH(AE27,$B$36:$B$47,1)+1))</f>
        <v>24</v>
      </c>
      <c r="AP27" s="163" t="str">
        <f t="shared" si="7"/>
        <v>760x300x25 + 8M24</v>
      </c>
      <c r="AQ27" s="140" t="s">
        <v>244</v>
      </c>
      <c r="AR27" s="151">
        <v>0</v>
      </c>
      <c r="AS27" s="151">
        <v>-543.20865845266292</v>
      </c>
      <c r="AT27" s="151">
        <v>-3.622972144512459E-13</v>
      </c>
      <c r="AU27" s="151">
        <v>-4.7863980518434678E-3</v>
      </c>
      <c r="AV27" s="151">
        <v>-7.2413686211802965E-13</v>
      </c>
      <c r="AW27" s="151">
        <v>-1032.615253905318</v>
      </c>
      <c r="BA27" s="161">
        <f t="shared" si="8"/>
        <v>60</v>
      </c>
      <c r="BB27" s="161">
        <f t="shared" si="9"/>
        <v>70</v>
      </c>
      <c r="BC27" s="161">
        <f t="shared" si="10"/>
        <v>80</v>
      </c>
      <c r="BD27" s="161">
        <f t="shared" si="11"/>
        <v>150</v>
      </c>
      <c r="BE27" s="161">
        <f>HLOOKUP(AO27,Data!$H$31:$Q$35,3,FALSE)</f>
        <v>452.38934211693021</v>
      </c>
      <c r="BF27" s="161">
        <f>HLOOKUP(AO27,Data!$H$31:$Q$35,4,FALSE)</f>
        <v>353</v>
      </c>
      <c r="BG27" s="179">
        <f t="shared" si="12"/>
        <v>150</v>
      </c>
      <c r="BH27" s="185">
        <f t="shared" si="13"/>
        <v>121.65654188208487</v>
      </c>
      <c r="BI27" s="185">
        <f t="shared" si="14"/>
        <v>243</v>
      </c>
      <c r="BJ27" s="185">
        <f t="shared" si="15"/>
        <v>142.3296</v>
      </c>
      <c r="BK27" s="185">
        <f t="shared" si="16"/>
        <v>67.564102150559421</v>
      </c>
      <c r="BL27" s="186">
        <f t="shared" si="17"/>
        <v>0.94666666666666666</v>
      </c>
      <c r="BM27" s="186">
        <f t="shared" si="18"/>
        <v>0.58665591949759177</v>
      </c>
      <c r="BN27" s="185" t="str">
        <f t="shared" si="19"/>
        <v>OK</v>
      </c>
      <c r="BO27" s="185" cm="1">
        <f t="array" ref="BO27">_xll.DCEBoltDisRS(AN27, AE27, BA27, BB27, BC27, BD27, "h1")</f>
        <v>640</v>
      </c>
      <c r="BP27" s="185" cm="1">
        <f t="array" ref="BP27">_xll.DCEBoltDisRS(AN27, AE27, BA27, BB27, BC27, BD27, "Tong")</f>
        <v>672200</v>
      </c>
      <c r="BQ27" s="185">
        <f t="shared" si="20"/>
        <v>498.33165753683778</v>
      </c>
      <c r="BR27" s="186">
        <f t="shared" si="21"/>
        <v>3.5012510225338778</v>
      </c>
      <c r="BS27" s="185" t="str">
        <f t="shared" si="22"/>
        <v>O/S</v>
      </c>
      <c r="BT27" s="186">
        <f t="shared" si="23"/>
        <v>3.5450235398562788</v>
      </c>
      <c r="BU27" s="185" t="str">
        <f t="shared" si="24"/>
        <v>O/S</v>
      </c>
      <c r="BV27" s="190">
        <f t="shared" si="25"/>
        <v>2065.230507810636</v>
      </c>
      <c r="BW27" s="191">
        <f t="shared" si="26"/>
        <v>38.723072021449426</v>
      </c>
      <c r="BX27" s="190">
        <f t="shared" si="27"/>
        <v>1032.615253905318</v>
      </c>
      <c r="BY27" s="167">
        <f t="shared" si="28"/>
        <v>489.13354132357171</v>
      </c>
      <c r="BZ27" s="192">
        <f t="shared" si="29"/>
        <v>2.3777324925451406</v>
      </c>
      <c r="CA27" s="191">
        <f t="shared" si="30"/>
        <v>54.348171258174631</v>
      </c>
      <c r="CB27" s="193">
        <f t="shared" si="31"/>
        <v>0.45550430891669352</v>
      </c>
      <c r="CC27" s="167">
        <f t="shared" si="32"/>
        <v>498.10921734601726</v>
      </c>
      <c r="CD27" s="191">
        <f t="shared" si="33"/>
        <v>2.1055341312935516</v>
      </c>
      <c r="CE27" s="189">
        <f t="shared" si="34"/>
        <v>2.3777324925451406</v>
      </c>
      <c r="CF27" s="194" t="str">
        <f t="shared" si="35"/>
        <v>O/S</v>
      </c>
      <c r="DA27" s="206"/>
      <c r="DB27" s="206"/>
      <c r="DC27" s="206"/>
      <c r="DD27" s="207"/>
      <c r="DE27" s="208"/>
      <c r="DF27" s="154"/>
      <c r="DG27" s="154"/>
      <c r="DH27" s="154"/>
      <c r="DI27" s="154"/>
      <c r="DJ27" s="154"/>
      <c r="DK27" s="208"/>
      <c r="DL27" s="154"/>
      <c r="DM27" s="154"/>
      <c r="DN27" s="154"/>
      <c r="DO27" s="154"/>
      <c r="DP27" s="154"/>
      <c r="DQ27" s="206"/>
      <c r="DR27" s="208"/>
      <c r="DS27" s="208"/>
      <c r="DT27" s="208"/>
      <c r="DU27" s="208"/>
      <c r="DV27" s="208"/>
      <c r="DW27" s="208"/>
      <c r="DX27" s="208"/>
      <c r="DY27" s="208"/>
      <c r="DZ27" s="208"/>
      <c r="EA27" s="208"/>
      <c r="EB27" s="208"/>
      <c r="EC27" s="208"/>
      <c r="ED27" s="208"/>
      <c r="EE27" s="208"/>
      <c r="EF27" s="208"/>
      <c r="EG27" s="226"/>
      <c r="EH27" s="208"/>
      <c r="EI27" s="208"/>
      <c r="EJ27" s="226"/>
      <c r="EK27" s="209"/>
      <c r="EL27" s="208"/>
      <c r="EM27" s="209"/>
      <c r="EN27" s="209"/>
      <c r="EO27" s="209"/>
      <c r="EP27" s="209"/>
      <c r="EQ27" s="209"/>
      <c r="ER27" s="209"/>
      <c r="ES27" s="209"/>
      <c r="ET27" s="209"/>
      <c r="EU27" s="209"/>
      <c r="EV27" s="210"/>
      <c r="EW27" s="209"/>
      <c r="EX27" s="210"/>
      <c r="EY27" s="154"/>
      <c r="EZ27" s="211"/>
      <c r="FA27" s="209"/>
      <c r="FB27" s="207"/>
      <c r="FC27" s="154"/>
      <c r="FD27" s="209"/>
      <c r="FE27" s="209"/>
      <c r="FF27" s="153"/>
    </row>
    <row r="28" spans="2:162" ht="12.75" customHeight="1">
      <c r="B28" s="10">
        <v>300</v>
      </c>
      <c r="C28" s="10">
        <v>150</v>
      </c>
      <c r="H28" s="7"/>
      <c r="I28" s="47" t="str">
        <f>"- Cường độ tiêu chuẩn của thép:"</f>
        <v>- Cường độ tiêu chuẩn của thép:</v>
      </c>
      <c r="J28" s="47"/>
      <c r="K28" s="48"/>
      <c r="L28" s="51"/>
      <c r="M28" s="47"/>
      <c r="N28" s="50"/>
      <c r="O28" s="50"/>
      <c r="P28" s="50"/>
      <c r="Q28" s="55" t="s">
        <v>1</v>
      </c>
      <c r="R28" s="56">
        <f>VLOOKUP(R27,Data!$A$3:$E$99,3,FALSE)</f>
        <v>240</v>
      </c>
      <c r="S28" s="9" t="s">
        <v>2</v>
      </c>
      <c r="AA28" s="140" t="s">
        <v>210</v>
      </c>
      <c r="AB28" s="140" t="s">
        <v>237</v>
      </c>
      <c r="AC28" s="140">
        <v>44</v>
      </c>
      <c r="AD28" s="133">
        <v>3</v>
      </c>
      <c r="AE28" s="151">
        <v>500</v>
      </c>
      <c r="AF28" s="152">
        <v>300</v>
      </c>
      <c r="AG28" s="152">
        <v>10</v>
      </c>
      <c r="AH28" s="152">
        <v>14</v>
      </c>
      <c r="AI28" s="152">
        <v>472</v>
      </c>
      <c r="AJ28" s="153" t="str" cm="1">
        <f t="array" ref="AJ28">_xll.Dce_Name_SectI(AE28, AE28, AF28, AG28, AH28, "x", "-", "H Tổng")</f>
        <v>500x300x10x14</v>
      </c>
      <c r="AK28" s="161">
        <f t="shared" si="6"/>
        <v>760</v>
      </c>
      <c r="AL28" s="162" cm="1">
        <f t="array" ref="AL28">IFERROR(INDEX($B$25:$B$32,IFERROR(MATCH(AF28,$B$25:$B$32,0),MATCH(AF28,$B$25:$B$32,1)+1)),$B$25)</f>
        <v>300</v>
      </c>
      <c r="AM28" s="162" cm="1">
        <f t="array" ref="AM28">IFERROR(VLOOKUP(AE28,$B$36:$E$47,4,FALSE),INDEX($E$36:$E$47,MATCH(AE28,$B$36:$B$47,1)+1))</f>
        <v>25</v>
      </c>
      <c r="AN28" s="162" cm="1">
        <f t="array" ref="AN28">IFERROR(VLOOKUP(AE28,$B$36:$E$47,2,FALSE),INDEX($C$36:$C$47,MATCH(AE28,$B$36:$B$47,1)+1))</f>
        <v>8</v>
      </c>
      <c r="AO28" s="162" cm="1">
        <f t="array" ref="AO28">IFERROR(VLOOKUP(AE28,$B$36:$E$47,3,FALSE),INDEX($D$36:$D$47,MATCH(AE28,$B$36:$B$47,1)+1))</f>
        <v>24</v>
      </c>
      <c r="AP28" s="163" t="str">
        <f t="shared" si="7"/>
        <v>760x300x25 + 8M24</v>
      </c>
      <c r="AQ28" s="140" t="s">
        <v>244</v>
      </c>
      <c r="AR28" s="151">
        <v>0</v>
      </c>
      <c r="AS28" s="151">
        <v>-364.71382166729825</v>
      </c>
      <c r="AT28" s="151">
        <v>-2.200977178290486E-13</v>
      </c>
      <c r="AU28" s="151">
        <v>-4.7849592530946816E-3</v>
      </c>
      <c r="AV28" s="151">
        <v>1.5217592590488489E-13</v>
      </c>
      <c r="AW28" s="151">
        <v>236.87535293999892</v>
      </c>
      <c r="BA28" s="161">
        <f t="shared" si="8"/>
        <v>60</v>
      </c>
      <c r="BB28" s="161">
        <f t="shared" si="9"/>
        <v>70</v>
      </c>
      <c r="BC28" s="161">
        <f t="shared" si="10"/>
        <v>80</v>
      </c>
      <c r="BD28" s="161">
        <f t="shared" si="11"/>
        <v>150</v>
      </c>
      <c r="BE28" s="161">
        <f>HLOOKUP(AO28,Data!$H$31:$Q$35,3,FALSE)</f>
        <v>452.38934211693021</v>
      </c>
      <c r="BF28" s="161">
        <f>HLOOKUP(AO28,Data!$H$31:$Q$35,4,FALSE)</f>
        <v>353</v>
      </c>
      <c r="BG28" s="179">
        <f t="shared" si="12"/>
        <v>150</v>
      </c>
      <c r="BH28" s="185">
        <f t="shared" si="13"/>
        <v>121.65654188208487</v>
      </c>
      <c r="BI28" s="185">
        <f t="shared" si="14"/>
        <v>243</v>
      </c>
      <c r="BJ28" s="185">
        <f t="shared" si="15"/>
        <v>142.3296</v>
      </c>
      <c r="BK28" s="185">
        <f t="shared" si="16"/>
        <v>45.362977042821939</v>
      </c>
      <c r="BL28" s="186">
        <f t="shared" si="17"/>
        <v>0.94666666666666666</v>
      </c>
      <c r="BM28" s="186">
        <f t="shared" si="18"/>
        <v>0.39388459494217526</v>
      </c>
      <c r="BN28" s="185" t="str">
        <f t="shared" si="19"/>
        <v>OK</v>
      </c>
      <c r="BO28" s="185" cm="1">
        <f t="array" ref="BO28">_xll.DCEBoltDisRS(AN28, AE28, BA28, BB28, BC28, BD28, "h1")</f>
        <v>640</v>
      </c>
      <c r="BP28" s="185" cm="1">
        <f t="array" ref="BP28">_xll.DCEBoltDisRS(AN28, AE28, BA28, BB28, BC28, BD28, "Tong")</f>
        <v>672200</v>
      </c>
      <c r="BQ28" s="185">
        <f t="shared" si="20"/>
        <v>117.30052403692078</v>
      </c>
      <c r="BR28" s="186">
        <f t="shared" si="21"/>
        <v>0.82414707859026359</v>
      </c>
      <c r="BS28" s="185" t="str">
        <f t="shared" si="22"/>
        <v>OK</v>
      </c>
      <c r="BT28" s="186">
        <f t="shared" si="23"/>
        <v>0.90457502448295179</v>
      </c>
      <c r="BU28" s="185" t="str">
        <f t="shared" si="24"/>
        <v>OK</v>
      </c>
      <c r="BV28" s="190">
        <f t="shared" si="25"/>
        <v>473.75070587999784</v>
      </c>
      <c r="BW28" s="191">
        <f t="shared" si="26"/>
        <v>8.8828257352499591</v>
      </c>
      <c r="BX28" s="190">
        <f t="shared" si="27"/>
        <v>236.87535293999892</v>
      </c>
      <c r="BY28" s="167">
        <f t="shared" si="28"/>
        <v>112.2041145505258</v>
      </c>
      <c r="BZ28" s="192">
        <f t="shared" si="29"/>
        <v>0.54543666795394496</v>
      </c>
      <c r="CA28" s="191">
        <f t="shared" si="30"/>
        <v>12.467123838947311</v>
      </c>
      <c r="CB28" s="193">
        <f t="shared" si="31"/>
        <v>0.10448978313293963</v>
      </c>
      <c r="CC28" s="167">
        <f t="shared" si="32"/>
        <v>114.26307738072899</v>
      </c>
      <c r="CD28" s="191">
        <f t="shared" si="33"/>
        <v>0.48299610003931343</v>
      </c>
      <c r="CE28" s="189">
        <f t="shared" si="34"/>
        <v>0.54543666795394496</v>
      </c>
      <c r="CF28" s="194" t="str">
        <f t="shared" si="35"/>
        <v>OK</v>
      </c>
      <c r="DA28" s="206"/>
      <c r="DB28" s="206"/>
      <c r="DC28" s="206"/>
      <c r="DD28" s="207"/>
      <c r="DE28" s="208"/>
      <c r="DF28" s="154"/>
      <c r="DG28" s="154"/>
      <c r="DH28" s="154"/>
      <c r="DI28" s="154"/>
      <c r="DJ28" s="154"/>
      <c r="DK28" s="208"/>
      <c r="DL28" s="154"/>
      <c r="DM28" s="154"/>
      <c r="DN28" s="154"/>
      <c r="DO28" s="154"/>
      <c r="DP28" s="154"/>
      <c r="DQ28" s="206"/>
      <c r="DR28" s="208"/>
      <c r="DS28" s="208"/>
      <c r="DT28" s="208"/>
      <c r="DU28" s="208"/>
      <c r="DV28" s="208"/>
      <c r="DW28" s="208"/>
      <c r="DX28" s="208"/>
      <c r="DY28" s="208"/>
      <c r="DZ28" s="208"/>
      <c r="EA28" s="208"/>
      <c r="EB28" s="208"/>
      <c r="EC28" s="208"/>
      <c r="ED28" s="208"/>
      <c r="EE28" s="208"/>
      <c r="EF28" s="208"/>
      <c r="EG28" s="226"/>
      <c r="EH28" s="208"/>
      <c r="EI28" s="208"/>
      <c r="EJ28" s="226"/>
      <c r="EK28" s="209"/>
      <c r="EL28" s="208"/>
      <c r="EM28" s="209"/>
      <c r="EN28" s="209"/>
      <c r="EO28" s="209"/>
      <c r="EP28" s="209"/>
      <c r="EQ28" s="209"/>
      <c r="ER28" s="209"/>
      <c r="ES28" s="209"/>
      <c r="ET28" s="209"/>
      <c r="EU28" s="209"/>
      <c r="EV28" s="210"/>
      <c r="EW28" s="209"/>
      <c r="EX28" s="210"/>
      <c r="EY28" s="154"/>
      <c r="EZ28" s="211"/>
      <c r="FA28" s="209"/>
      <c r="FB28" s="207"/>
      <c r="FC28" s="154"/>
      <c r="FD28" s="209"/>
      <c r="FE28" s="209"/>
      <c r="FF28" s="153"/>
    </row>
    <row r="29" spans="2:162" ht="12.75" customHeight="1">
      <c r="B29" s="10">
        <v>350</v>
      </c>
      <c r="C29" s="10">
        <v>180</v>
      </c>
      <c r="H29" s="7"/>
      <c r="I29" s="47" t="str">
        <f>"- Cường độ tiêu chuẩn kéo đứt của thép:"</f>
        <v>- Cường độ tiêu chuẩn kéo đứt của thép:</v>
      </c>
      <c r="J29" s="47"/>
      <c r="K29" s="48"/>
      <c r="L29" s="51"/>
      <c r="M29" s="47"/>
      <c r="N29" s="50"/>
      <c r="O29" s="50"/>
      <c r="P29" s="50"/>
      <c r="Q29" s="55" t="s">
        <v>8</v>
      </c>
      <c r="R29" s="56">
        <f>VLOOKUP(R27,Data!$A$3:$E$99,4,FALSE)</f>
        <v>380</v>
      </c>
      <c r="S29" s="9" t="s">
        <v>2</v>
      </c>
      <c r="AA29" s="140" t="s">
        <v>210</v>
      </c>
      <c r="AB29" s="140" t="s">
        <v>237</v>
      </c>
      <c r="AC29" s="140">
        <v>44</v>
      </c>
      <c r="AD29" s="133">
        <v>0.3</v>
      </c>
      <c r="AE29" s="151">
        <v>500</v>
      </c>
      <c r="AF29" s="152">
        <v>300</v>
      </c>
      <c r="AG29" s="152">
        <v>10</v>
      </c>
      <c r="AH29" s="152">
        <v>14</v>
      </c>
      <c r="AI29" s="152">
        <v>472</v>
      </c>
      <c r="AJ29" s="153" t="str" cm="1">
        <f t="array" ref="AJ29">_xll.Dce_Name_SectI(AE29, AE29, AF29, AG29, AH29, "x", "-", "H Tổng")</f>
        <v>500x300x10x14</v>
      </c>
      <c r="AK29" s="161">
        <f t="shared" si="6"/>
        <v>760</v>
      </c>
      <c r="AL29" s="162" cm="1">
        <f t="array" ref="AL29">IFERROR(INDEX($B$25:$B$32,IFERROR(MATCH(AF29,$B$25:$B$32,0),MATCH(AF29,$B$25:$B$32,1)+1)),$B$25)</f>
        <v>300</v>
      </c>
      <c r="AM29" s="162" cm="1">
        <f t="array" ref="AM29">IFERROR(VLOOKUP(AE29,$B$36:$E$47,4,FALSE),INDEX($E$36:$E$47,MATCH(AE29,$B$36:$B$47,1)+1))</f>
        <v>25</v>
      </c>
      <c r="AN29" s="162" cm="1">
        <f t="array" ref="AN29">IFERROR(VLOOKUP(AE29,$B$36:$E$47,2,FALSE),INDEX($C$36:$C$47,MATCH(AE29,$B$36:$B$47,1)+1))</f>
        <v>8</v>
      </c>
      <c r="AO29" s="162" cm="1">
        <f t="array" ref="AO29">IFERROR(VLOOKUP(AE29,$B$36:$E$47,3,FALSE),INDEX($D$36:$D$47,MATCH(AE29,$B$36:$B$47,1)+1))</f>
        <v>24</v>
      </c>
      <c r="AP29" s="163" t="str">
        <f t="shared" si="7"/>
        <v>760x300x25 + 8M24</v>
      </c>
      <c r="AQ29" s="140" t="s">
        <v>245</v>
      </c>
      <c r="AR29" s="151">
        <v>0</v>
      </c>
      <c r="AS29" s="151">
        <v>-231.23627838170344</v>
      </c>
      <c r="AT29" s="151">
        <v>-1.4765646483283487E-13</v>
      </c>
      <c r="AU29" s="151">
        <v>-2.0929947304664767E-3</v>
      </c>
      <c r="AV29" s="151">
        <v>-3.1606477932655239E-13</v>
      </c>
      <c r="AW29" s="151">
        <v>-445.31410269539288</v>
      </c>
      <c r="BA29" s="161">
        <f t="shared" si="8"/>
        <v>60</v>
      </c>
      <c r="BB29" s="161">
        <f t="shared" si="9"/>
        <v>70</v>
      </c>
      <c r="BC29" s="161">
        <f t="shared" si="10"/>
        <v>80</v>
      </c>
      <c r="BD29" s="161">
        <f t="shared" si="11"/>
        <v>150</v>
      </c>
      <c r="BE29" s="161">
        <f>HLOOKUP(AO29,Data!$H$31:$Q$35,3,FALSE)</f>
        <v>452.38934211693021</v>
      </c>
      <c r="BF29" s="161">
        <f>HLOOKUP(AO29,Data!$H$31:$Q$35,4,FALSE)</f>
        <v>353</v>
      </c>
      <c r="BG29" s="179">
        <f t="shared" si="12"/>
        <v>150</v>
      </c>
      <c r="BH29" s="185">
        <f t="shared" si="13"/>
        <v>121.65654188208487</v>
      </c>
      <c r="BI29" s="185">
        <f t="shared" si="14"/>
        <v>243</v>
      </c>
      <c r="BJ29" s="185">
        <f t="shared" si="15"/>
        <v>142.3296</v>
      </c>
      <c r="BK29" s="185">
        <f t="shared" si="16"/>
        <v>28.76108708944313</v>
      </c>
      <c r="BL29" s="186">
        <f t="shared" si="17"/>
        <v>0.94666666666666666</v>
      </c>
      <c r="BM29" s="186">
        <f t="shared" si="18"/>
        <v>0.24973116573958454</v>
      </c>
      <c r="BN29" s="185" t="str">
        <f t="shared" si="19"/>
        <v>OK</v>
      </c>
      <c r="BO29" s="185" cm="1">
        <f t="array" ref="BO29">_xll.DCEBoltDisRS(AN29, AE29, BA29, BB29, BC29, BD29, "h1")</f>
        <v>640</v>
      </c>
      <c r="BP29" s="185" cm="1">
        <f t="array" ref="BP29">_xll.DCEBoltDisRS(AN29, AE29, BA29, BB29, BC29, BD29, "Tong")</f>
        <v>672200</v>
      </c>
      <c r="BQ29" s="185">
        <f t="shared" si="20"/>
        <v>214.86735069425478</v>
      </c>
      <c r="BR29" s="186">
        <f t="shared" si="21"/>
        <v>1.5096462766301233</v>
      </c>
      <c r="BS29" s="185" t="str">
        <f t="shared" si="22"/>
        <v>O/S</v>
      </c>
      <c r="BT29" s="186">
        <f t="shared" si="23"/>
        <v>1.528045351021263</v>
      </c>
      <c r="BU29" s="185" t="str">
        <f t="shared" si="24"/>
        <v>O/S</v>
      </c>
      <c r="BV29" s="190">
        <f t="shared" si="25"/>
        <v>890.62820539078575</v>
      </c>
      <c r="BW29" s="191">
        <f t="shared" si="26"/>
        <v>16.699278851077231</v>
      </c>
      <c r="BX29" s="190">
        <f t="shared" si="27"/>
        <v>445.31410269539288</v>
      </c>
      <c r="BY29" s="167">
        <f t="shared" si="28"/>
        <v>210.93825917150187</v>
      </c>
      <c r="BZ29" s="192">
        <f t="shared" si="29"/>
        <v>1.0253943154170231</v>
      </c>
      <c r="CA29" s="191">
        <f t="shared" si="30"/>
        <v>23.437584352389099</v>
      </c>
      <c r="CB29" s="193">
        <f t="shared" si="31"/>
        <v>0.19643569260862512</v>
      </c>
      <c r="CC29" s="167">
        <f t="shared" si="32"/>
        <v>214.80900880347119</v>
      </c>
      <c r="CD29" s="191">
        <f t="shared" si="33"/>
        <v>0.90800909518375517</v>
      </c>
      <c r="CE29" s="189">
        <f t="shared" si="34"/>
        <v>1.0253943154170231</v>
      </c>
      <c r="CF29" s="194" t="str">
        <f t="shared" si="35"/>
        <v>O/S</v>
      </c>
      <c r="DA29" s="206"/>
      <c r="DB29" s="206"/>
      <c r="DC29" s="206"/>
      <c r="DD29" s="207"/>
      <c r="DE29" s="208"/>
      <c r="DF29" s="154"/>
      <c r="DG29" s="154"/>
      <c r="DH29" s="154"/>
      <c r="DI29" s="154"/>
      <c r="DJ29" s="154"/>
      <c r="DK29" s="208"/>
      <c r="DL29" s="154"/>
      <c r="DM29" s="154"/>
      <c r="DN29" s="154"/>
      <c r="DO29" s="154"/>
      <c r="DP29" s="154"/>
      <c r="DQ29" s="206"/>
      <c r="DR29" s="208"/>
      <c r="DS29" s="208"/>
      <c r="DT29" s="208"/>
      <c r="DU29" s="208"/>
      <c r="DV29" s="208"/>
      <c r="DW29" s="208"/>
      <c r="DX29" s="208"/>
      <c r="DY29" s="208"/>
      <c r="DZ29" s="208"/>
      <c r="EA29" s="208"/>
      <c r="EB29" s="208"/>
      <c r="EC29" s="208"/>
      <c r="ED29" s="208"/>
      <c r="EE29" s="208"/>
      <c r="EF29" s="208"/>
      <c r="EG29" s="226"/>
      <c r="EH29" s="208"/>
      <c r="EI29" s="208"/>
      <c r="EJ29" s="226"/>
      <c r="EK29" s="209"/>
      <c r="EL29" s="208"/>
      <c r="EM29" s="209"/>
      <c r="EN29" s="209"/>
      <c r="EO29" s="209"/>
      <c r="EP29" s="209"/>
      <c r="EQ29" s="209"/>
      <c r="ER29" s="209"/>
      <c r="ES29" s="209"/>
      <c r="ET29" s="209"/>
      <c r="EU29" s="209"/>
      <c r="EV29" s="210"/>
      <c r="EW29" s="209"/>
      <c r="EX29" s="210"/>
      <c r="EY29" s="154"/>
      <c r="EZ29" s="211"/>
      <c r="FA29" s="209"/>
      <c r="FB29" s="207"/>
      <c r="FC29" s="154"/>
      <c r="FD29" s="209"/>
      <c r="FE29" s="209"/>
      <c r="FF29" s="153"/>
    </row>
    <row r="30" spans="2:162" ht="12.75" customHeight="1">
      <c r="B30" s="10">
        <v>370</v>
      </c>
      <c r="C30" s="10">
        <v>200</v>
      </c>
      <c r="H30" s="7"/>
      <c r="I30" s="47" t="str">
        <f>"- Cường độ tính toán của thép:"</f>
        <v>- Cường độ tính toán của thép:</v>
      </c>
      <c r="J30" s="47"/>
      <c r="K30" s="48"/>
      <c r="L30" s="51"/>
      <c r="M30" s="50"/>
      <c r="N30" s="50"/>
      <c r="O30" s="59" t="s">
        <v>9</v>
      </c>
      <c r="P30" s="56">
        <f>VLOOKUP(R27,Data!$A$3:$E$99,5,FALSE)</f>
        <v>1.05</v>
      </c>
      <c r="Q30" s="55" t="s">
        <v>10</v>
      </c>
      <c r="R30" s="61">
        <f>R28/P30</f>
        <v>228.57142857142856</v>
      </c>
      <c r="S30" s="9" t="s">
        <v>2</v>
      </c>
      <c r="AA30" s="140" t="s">
        <v>210</v>
      </c>
      <c r="AB30" s="140" t="s">
        <v>237</v>
      </c>
      <c r="AC30" s="140">
        <v>44</v>
      </c>
      <c r="AD30" s="133">
        <v>3</v>
      </c>
      <c r="AE30" s="151">
        <v>500</v>
      </c>
      <c r="AF30" s="152">
        <v>300</v>
      </c>
      <c r="AG30" s="152">
        <v>10</v>
      </c>
      <c r="AH30" s="152">
        <v>14</v>
      </c>
      <c r="AI30" s="152">
        <v>472</v>
      </c>
      <c r="AJ30" s="153" t="str" cm="1">
        <f t="array" ref="AJ30">_xll.Dce_Name_SectI(AE30, AE30, AF30, AG30, AH30, "x", "-", "H Tổng")</f>
        <v>500x300x10x14</v>
      </c>
      <c r="AK30" s="161">
        <f t="shared" si="6"/>
        <v>760</v>
      </c>
      <c r="AL30" s="162" cm="1">
        <f t="array" ref="AL30">IFERROR(INDEX($B$25:$B$32,IFERROR(MATCH(AF30,$B$25:$B$32,0),MATCH(AF30,$B$25:$B$32,1)+1)),$B$25)</f>
        <v>300</v>
      </c>
      <c r="AM30" s="162" cm="1">
        <f t="array" ref="AM30">IFERROR(VLOOKUP(AE30,$B$36:$E$47,4,FALSE),INDEX($E$36:$E$47,MATCH(AE30,$B$36:$B$47,1)+1))</f>
        <v>25</v>
      </c>
      <c r="AN30" s="162" cm="1">
        <f t="array" ref="AN30">IFERROR(VLOOKUP(AE30,$B$36:$E$47,2,FALSE),INDEX($C$36:$C$47,MATCH(AE30,$B$36:$B$47,1)+1))</f>
        <v>8</v>
      </c>
      <c r="AO30" s="162" cm="1">
        <f t="array" ref="AO30">IFERROR(VLOOKUP(AE30,$B$36:$E$47,3,FALSE),INDEX($D$36:$D$47,MATCH(AE30,$B$36:$B$47,1)+1))</f>
        <v>24</v>
      </c>
      <c r="AP30" s="163" t="str">
        <f t="shared" si="7"/>
        <v>760x300x25 + 8M24</v>
      </c>
      <c r="AQ30" s="140" t="s">
        <v>245</v>
      </c>
      <c r="AR30" s="151">
        <v>0</v>
      </c>
      <c r="AS30" s="151">
        <v>-156.13967721379601</v>
      </c>
      <c r="AT30" s="151">
        <v>2.7284841053187843E-14</v>
      </c>
      <c r="AU30" s="151">
        <v>-2.0923653566947979E-3</v>
      </c>
      <c r="AV30" s="151">
        <v>-5.78664185013622E-14</v>
      </c>
      <c r="AW30" s="151">
        <v>95.594920261956233</v>
      </c>
      <c r="BA30" s="161">
        <f t="shared" si="8"/>
        <v>60</v>
      </c>
      <c r="BB30" s="161">
        <f t="shared" si="9"/>
        <v>70</v>
      </c>
      <c r="BC30" s="161">
        <f t="shared" si="10"/>
        <v>80</v>
      </c>
      <c r="BD30" s="161">
        <f t="shared" si="11"/>
        <v>150</v>
      </c>
      <c r="BE30" s="161">
        <f>HLOOKUP(AO30,Data!$H$31:$Q$35,3,FALSE)</f>
        <v>452.38934211693021</v>
      </c>
      <c r="BF30" s="161">
        <f>HLOOKUP(AO30,Data!$H$31:$Q$35,4,FALSE)</f>
        <v>353</v>
      </c>
      <c r="BG30" s="179">
        <f t="shared" si="12"/>
        <v>150</v>
      </c>
      <c r="BH30" s="185">
        <f t="shared" si="13"/>
        <v>121.65654188208487</v>
      </c>
      <c r="BI30" s="185">
        <f t="shared" si="14"/>
        <v>243</v>
      </c>
      <c r="BJ30" s="185">
        <f t="shared" si="15"/>
        <v>142.3296</v>
      </c>
      <c r="BK30" s="185">
        <f t="shared" si="16"/>
        <v>19.42059821188878</v>
      </c>
      <c r="BL30" s="186">
        <f t="shared" si="17"/>
        <v>0.94666666666666666</v>
      </c>
      <c r="BM30" s="186">
        <f t="shared" si="18"/>
        <v>0.16862814036661575</v>
      </c>
      <c r="BN30" s="185" t="str">
        <f t="shared" si="19"/>
        <v>OK</v>
      </c>
      <c r="BO30" s="185" cm="1">
        <f t="array" ref="BO30">_xll.DCEBoltDisRS(AN30, AE30, BA30, BB30, BC30, BD30, "h1")</f>
        <v>640</v>
      </c>
      <c r="BP30" s="185" cm="1">
        <f t="array" ref="BP30">_xll.DCEBoltDisRS(AN30, AE30, BA30, BB30, BC30, BD30, "Tong")</f>
        <v>672200</v>
      </c>
      <c r="BQ30" s="185">
        <f t="shared" si="20"/>
        <v>47.449906420156438</v>
      </c>
      <c r="BR30" s="186">
        <f t="shared" si="21"/>
        <v>0.33338045227525714</v>
      </c>
      <c r="BS30" s="185" t="str">
        <f t="shared" si="22"/>
        <v>OK</v>
      </c>
      <c r="BT30" s="186">
        <f t="shared" si="23"/>
        <v>0.36962919811965034</v>
      </c>
      <c r="BU30" s="185" t="str">
        <f t="shared" si="24"/>
        <v>OK</v>
      </c>
      <c r="BV30" s="190">
        <f t="shared" si="25"/>
        <v>191.18984052391247</v>
      </c>
      <c r="BW30" s="191">
        <f t="shared" si="26"/>
        <v>3.5848095098233586</v>
      </c>
      <c r="BX30" s="190">
        <f t="shared" si="27"/>
        <v>95.594920261956233</v>
      </c>
      <c r="BY30" s="167">
        <f t="shared" si="28"/>
        <v>45.28180433461084</v>
      </c>
      <c r="BZ30" s="192">
        <f t="shared" si="29"/>
        <v>0.22011988218213605</v>
      </c>
      <c r="CA30" s="191">
        <f t="shared" si="30"/>
        <v>5.0313115927345384</v>
      </c>
      <c r="CB30" s="193">
        <f t="shared" si="31"/>
        <v>4.216855980500691E-2</v>
      </c>
      <c r="CC30" s="167">
        <f t="shared" si="32"/>
        <v>46.112732437229695</v>
      </c>
      <c r="CD30" s="191">
        <f t="shared" si="33"/>
        <v>0.194920970447227</v>
      </c>
      <c r="CE30" s="189">
        <f t="shared" si="34"/>
        <v>0.22011988218213605</v>
      </c>
      <c r="CF30" s="194" t="str">
        <f t="shared" si="35"/>
        <v>OK</v>
      </c>
      <c r="DA30" s="206"/>
      <c r="DB30" s="206"/>
      <c r="DC30" s="206"/>
      <c r="DD30" s="207"/>
      <c r="DE30" s="208"/>
      <c r="DF30" s="154"/>
      <c r="DG30" s="154"/>
      <c r="DH30" s="154"/>
      <c r="DI30" s="154"/>
      <c r="DJ30" s="154"/>
      <c r="DK30" s="208"/>
      <c r="DL30" s="154"/>
      <c r="DM30" s="154"/>
      <c r="DN30" s="154"/>
      <c r="DO30" s="154"/>
      <c r="DP30" s="154"/>
      <c r="DQ30" s="206"/>
      <c r="DR30" s="208"/>
      <c r="DS30" s="208"/>
      <c r="DT30" s="208"/>
      <c r="DU30" s="208"/>
      <c r="DV30" s="208"/>
      <c r="DW30" s="208"/>
      <c r="DX30" s="208"/>
      <c r="DY30" s="208"/>
      <c r="DZ30" s="208"/>
      <c r="EA30" s="208"/>
      <c r="EB30" s="208"/>
      <c r="EC30" s="208"/>
      <c r="ED30" s="208"/>
      <c r="EE30" s="208"/>
      <c r="EF30" s="208"/>
      <c r="EG30" s="226"/>
      <c r="EH30" s="208"/>
      <c r="EI30" s="208"/>
      <c r="EJ30" s="226"/>
      <c r="EK30" s="209"/>
      <c r="EL30" s="208"/>
      <c r="EM30" s="209"/>
      <c r="EN30" s="209"/>
      <c r="EO30" s="209"/>
      <c r="EP30" s="209"/>
      <c r="EQ30" s="209"/>
      <c r="ER30" s="209"/>
      <c r="ES30" s="209"/>
      <c r="ET30" s="209"/>
      <c r="EU30" s="209"/>
      <c r="EV30" s="210"/>
      <c r="EW30" s="209"/>
      <c r="EX30" s="210"/>
      <c r="EY30" s="154"/>
      <c r="EZ30" s="211"/>
      <c r="FA30" s="209"/>
      <c r="FB30" s="207"/>
      <c r="FC30" s="154"/>
      <c r="FD30" s="209"/>
      <c r="FE30" s="209"/>
      <c r="FF30" s="153"/>
    </row>
    <row r="31" spans="2:162" ht="12.75" customHeight="1">
      <c r="B31" s="10">
        <v>400</v>
      </c>
      <c r="C31" s="10">
        <v>200</v>
      </c>
      <c r="H31" s="7"/>
      <c r="I31" s="47" t="str">
        <f>"- Cường độ tính toán chịu cắt của thép:"</f>
        <v>- Cường độ tính toán chịu cắt của thép:</v>
      </c>
      <c r="J31" s="47"/>
      <c r="K31" s="48"/>
      <c r="L31" s="51"/>
      <c r="M31" s="47"/>
      <c r="N31" s="50"/>
      <c r="O31" s="50"/>
      <c r="P31" s="50"/>
      <c r="Q31" s="55" t="s">
        <v>83</v>
      </c>
      <c r="R31" s="56">
        <f>0.58*R28/P30</f>
        <v>132.57142857142856</v>
      </c>
      <c r="S31" s="9" t="s">
        <v>2</v>
      </c>
      <c r="AA31" s="140" t="s">
        <v>210</v>
      </c>
      <c r="AB31" s="140" t="s">
        <v>237</v>
      </c>
      <c r="AC31" s="140">
        <v>44</v>
      </c>
      <c r="AD31" s="133">
        <v>0.3</v>
      </c>
      <c r="AE31" s="151">
        <v>500</v>
      </c>
      <c r="AF31" s="152">
        <v>300</v>
      </c>
      <c r="AG31" s="152">
        <v>10</v>
      </c>
      <c r="AH31" s="152">
        <v>14</v>
      </c>
      <c r="AI31" s="152">
        <v>472</v>
      </c>
      <c r="AJ31" s="153" t="str" cm="1">
        <f t="array" ref="AJ31">_xll.Dce_Name_SectI(AE31, AE31, AF31, AG31, AH31, "x", "-", "H Tổng")</f>
        <v>500x300x10x14</v>
      </c>
      <c r="AK31" s="161">
        <f t="shared" si="6"/>
        <v>760</v>
      </c>
      <c r="AL31" s="162" cm="1">
        <f t="array" ref="AL31">IFERROR(INDEX($B$25:$B$32,IFERROR(MATCH(AF31,$B$25:$B$32,0),MATCH(AF31,$B$25:$B$32,1)+1)),$B$25)</f>
        <v>300</v>
      </c>
      <c r="AM31" s="162" cm="1">
        <f t="array" ref="AM31">IFERROR(VLOOKUP(AE31,$B$36:$E$47,4,FALSE),INDEX($E$36:$E$47,MATCH(AE31,$B$36:$B$47,1)+1))</f>
        <v>25</v>
      </c>
      <c r="AN31" s="162" cm="1">
        <f t="array" ref="AN31">IFERROR(VLOOKUP(AE31,$B$36:$E$47,2,FALSE),INDEX($C$36:$C$47,MATCH(AE31,$B$36:$B$47,1)+1))</f>
        <v>8</v>
      </c>
      <c r="AO31" s="162" cm="1">
        <f t="array" ref="AO31">IFERROR(VLOOKUP(AE31,$B$36:$E$47,3,FALSE),INDEX($D$36:$D$47,MATCH(AE31,$B$36:$B$47,1)+1))</f>
        <v>24</v>
      </c>
      <c r="AP31" s="163" t="str">
        <f t="shared" si="7"/>
        <v>760x300x25 + 8M24</v>
      </c>
      <c r="AQ31" s="140" t="s">
        <v>246</v>
      </c>
      <c r="AR31" s="151">
        <v>0</v>
      </c>
      <c r="AS31" s="151">
        <v>-230.70799999143375</v>
      </c>
      <c r="AT31" s="151">
        <v>-1.258285919902846E-13</v>
      </c>
      <c r="AU31" s="151">
        <v>-2.0894670370732054E-3</v>
      </c>
      <c r="AV31" s="151">
        <v>-3.0749370125704432E-13</v>
      </c>
      <c r="AW31" s="151">
        <v>-439.15689432400029</v>
      </c>
      <c r="BA31" s="161">
        <f t="shared" si="8"/>
        <v>60</v>
      </c>
      <c r="BB31" s="161">
        <f t="shared" si="9"/>
        <v>70</v>
      </c>
      <c r="BC31" s="161">
        <f t="shared" si="10"/>
        <v>80</v>
      </c>
      <c r="BD31" s="161">
        <f t="shared" si="11"/>
        <v>150</v>
      </c>
      <c r="BE31" s="161">
        <f>HLOOKUP(AO31,Data!$H$31:$Q$35,3,FALSE)</f>
        <v>452.38934211693021</v>
      </c>
      <c r="BF31" s="161">
        <f>HLOOKUP(AO31,Data!$H$31:$Q$35,4,FALSE)</f>
        <v>353</v>
      </c>
      <c r="BG31" s="179">
        <f t="shared" si="12"/>
        <v>150</v>
      </c>
      <c r="BH31" s="185">
        <f t="shared" si="13"/>
        <v>121.65654188208487</v>
      </c>
      <c r="BI31" s="185">
        <f t="shared" si="14"/>
        <v>243</v>
      </c>
      <c r="BJ31" s="185">
        <f t="shared" si="15"/>
        <v>142.3296</v>
      </c>
      <c r="BK31" s="185">
        <f t="shared" si="16"/>
        <v>28.695380008805305</v>
      </c>
      <c r="BL31" s="186">
        <f t="shared" si="17"/>
        <v>0.94666666666666666</v>
      </c>
      <c r="BM31" s="186">
        <f t="shared" si="18"/>
        <v>0.24916063425049309</v>
      </c>
      <c r="BN31" s="185" t="str">
        <f t="shared" si="19"/>
        <v>OK</v>
      </c>
      <c r="BO31" s="185" cm="1">
        <f t="array" ref="BO31">_xll.DCEBoltDisRS(AN31, AE31, BA31, BB31, BC31, BD31, "h1")</f>
        <v>640</v>
      </c>
      <c r="BP31" s="185" cm="1">
        <f t="array" ref="BP31">_xll.DCEBoltDisRS(AN31, AE31, BA31, BB31, BC31, BD31, "Tong")</f>
        <v>672200</v>
      </c>
      <c r="BQ31" s="185">
        <f t="shared" si="20"/>
        <v>211.92964836041651</v>
      </c>
      <c r="BR31" s="186">
        <f t="shared" si="21"/>
        <v>1.489006140398178</v>
      </c>
      <c r="BS31" s="185" t="str">
        <f t="shared" si="22"/>
        <v>O/S</v>
      </c>
      <c r="BT31" s="186">
        <f t="shared" si="23"/>
        <v>1.5075725250139738</v>
      </c>
      <c r="BU31" s="185" t="str">
        <f t="shared" si="24"/>
        <v>O/S</v>
      </c>
      <c r="BV31" s="190">
        <f t="shared" si="25"/>
        <v>878.31378864800058</v>
      </c>
      <c r="BW31" s="191">
        <f t="shared" si="26"/>
        <v>16.468383537150011</v>
      </c>
      <c r="BX31" s="190">
        <f t="shared" si="27"/>
        <v>439.15689432400029</v>
      </c>
      <c r="BY31" s="167">
        <f t="shared" si="28"/>
        <v>208.02168678505276</v>
      </c>
      <c r="BZ31" s="192">
        <f t="shared" si="29"/>
        <v>1.0112165329828955</v>
      </c>
      <c r="CA31" s="191">
        <f t="shared" si="30"/>
        <v>23.11352075389475</v>
      </c>
      <c r="CB31" s="193">
        <f t="shared" si="31"/>
        <v>0.19371964233388803</v>
      </c>
      <c r="CC31" s="167">
        <f t="shared" si="32"/>
        <v>211.83891686331094</v>
      </c>
      <c r="CD31" s="191">
        <f t="shared" si="33"/>
        <v>0.89545435872172519</v>
      </c>
      <c r="CE31" s="189">
        <f t="shared" si="34"/>
        <v>1.0112165329828955</v>
      </c>
      <c r="CF31" s="194" t="str">
        <f t="shared" si="35"/>
        <v>O/S</v>
      </c>
      <c r="DA31" s="206"/>
      <c r="DB31" s="206"/>
      <c r="DC31" s="206"/>
      <c r="DD31" s="207"/>
      <c r="DE31" s="208"/>
      <c r="DF31" s="154"/>
      <c r="DG31" s="154"/>
      <c r="DH31" s="154"/>
      <c r="DI31" s="154"/>
      <c r="DJ31" s="154"/>
      <c r="DK31" s="208"/>
      <c r="DL31" s="154"/>
      <c r="DM31" s="154"/>
      <c r="DN31" s="154"/>
      <c r="DO31" s="154"/>
      <c r="DP31" s="154"/>
      <c r="DQ31" s="206"/>
      <c r="DR31" s="208"/>
      <c r="DS31" s="208"/>
      <c r="DT31" s="208"/>
      <c r="DU31" s="208"/>
      <c r="DV31" s="208"/>
      <c r="DW31" s="208"/>
      <c r="DX31" s="208"/>
      <c r="DY31" s="208"/>
      <c r="DZ31" s="208"/>
      <c r="EA31" s="208"/>
      <c r="EB31" s="208"/>
      <c r="EC31" s="208"/>
      <c r="ED31" s="208"/>
      <c r="EE31" s="208"/>
      <c r="EF31" s="208"/>
      <c r="EG31" s="226"/>
      <c r="EH31" s="208"/>
      <c r="EI31" s="208"/>
      <c r="EJ31" s="226"/>
      <c r="EK31" s="209"/>
      <c r="EL31" s="208"/>
      <c r="EM31" s="209"/>
      <c r="EN31" s="209"/>
      <c r="EO31" s="209"/>
      <c r="EP31" s="209"/>
      <c r="EQ31" s="209"/>
      <c r="ER31" s="209"/>
      <c r="ES31" s="209"/>
      <c r="ET31" s="209"/>
      <c r="EU31" s="209"/>
      <c r="EV31" s="210"/>
      <c r="EW31" s="209"/>
      <c r="EX31" s="210"/>
      <c r="EY31" s="154"/>
      <c r="EZ31" s="211"/>
      <c r="FA31" s="209"/>
      <c r="FB31" s="207"/>
      <c r="FC31" s="154"/>
      <c r="FD31" s="209"/>
      <c r="FE31" s="209"/>
      <c r="FF31" s="153"/>
    </row>
    <row r="32" spans="2:162" ht="12.75" customHeight="1">
      <c r="B32" s="10">
        <v>500</v>
      </c>
      <c r="C32" s="10">
        <v>250</v>
      </c>
      <c r="H32" s="7"/>
      <c r="I32" s="47" t="str">
        <f>"- Hệ số điều kiện làm việc của kết cấu (Bảng 1 - Mục 9):"</f>
        <v>- Hệ số điều kiện làm việc của kết cấu (Bảng 1 - Mục 9):</v>
      </c>
      <c r="J32" s="47"/>
      <c r="K32" s="48"/>
      <c r="L32" s="51"/>
      <c r="M32" s="47"/>
      <c r="N32" s="50"/>
      <c r="O32" s="50"/>
      <c r="P32" s="50"/>
      <c r="Q32" s="59" t="s">
        <v>11</v>
      </c>
      <c r="R32" s="52">
        <v>0.9</v>
      </c>
      <c r="S32" s="9" t="s">
        <v>2</v>
      </c>
      <c r="AA32" s="140" t="s">
        <v>210</v>
      </c>
      <c r="AB32" s="140" t="s">
        <v>237</v>
      </c>
      <c r="AC32" s="140">
        <v>44</v>
      </c>
      <c r="AD32" s="133">
        <v>3</v>
      </c>
      <c r="AE32" s="151">
        <v>500</v>
      </c>
      <c r="AF32" s="152">
        <v>300</v>
      </c>
      <c r="AG32" s="152">
        <v>10</v>
      </c>
      <c r="AH32" s="152">
        <v>14</v>
      </c>
      <c r="AI32" s="152">
        <v>472</v>
      </c>
      <c r="AJ32" s="153" t="str" cm="1">
        <f t="array" ref="AJ32">_xll.Dce_Name_SectI(AE32, AE32, AF32, AG32, AH32, "x", "-", "H Tổng")</f>
        <v>500x300x10x14</v>
      </c>
      <c r="AK32" s="161">
        <f t="shared" si="6"/>
        <v>760</v>
      </c>
      <c r="AL32" s="162" cm="1">
        <f t="array" ref="AL32">IFERROR(INDEX($B$25:$B$32,IFERROR(MATCH(AF32,$B$25:$B$32,0),MATCH(AF32,$B$25:$B$32,1)+1)),$B$25)</f>
        <v>300</v>
      </c>
      <c r="AM32" s="162" cm="1">
        <f t="array" ref="AM32">IFERROR(VLOOKUP(AE32,$B$36:$E$47,4,FALSE),INDEX($E$36:$E$47,MATCH(AE32,$B$36:$B$47,1)+1))</f>
        <v>25</v>
      </c>
      <c r="AN32" s="162" cm="1">
        <f t="array" ref="AN32">IFERROR(VLOOKUP(AE32,$B$36:$E$47,2,FALSE),INDEX($C$36:$C$47,MATCH(AE32,$B$36:$B$47,1)+1))</f>
        <v>8</v>
      </c>
      <c r="AO32" s="162" cm="1">
        <f t="array" ref="AO32">IFERROR(VLOOKUP(AE32,$B$36:$E$47,3,FALSE),INDEX($D$36:$D$47,MATCH(AE32,$B$36:$B$47,1)+1))</f>
        <v>24</v>
      </c>
      <c r="AP32" s="163" t="str">
        <f t="shared" si="7"/>
        <v>760x300x25 + 8M24</v>
      </c>
      <c r="AQ32" s="140" t="s">
        <v>246</v>
      </c>
      <c r="AR32" s="151">
        <v>0</v>
      </c>
      <c r="AS32" s="151">
        <v>-155.61139819193087</v>
      </c>
      <c r="AT32" s="151">
        <v>1.4370016288012264E-13</v>
      </c>
      <c r="AU32" s="151">
        <v>-2.0888385411702566E-3</v>
      </c>
      <c r="AV32" s="151">
        <v>-6.5549829741939895E-14</v>
      </c>
      <c r="AW32" s="151">
        <v>100.3257394671402</v>
      </c>
      <c r="BA32" s="161">
        <f t="shared" si="8"/>
        <v>60</v>
      </c>
      <c r="BB32" s="161">
        <f t="shared" si="9"/>
        <v>70</v>
      </c>
      <c r="BC32" s="161">
        <f t="shared" si="10"/>
        <v>80</v>
      </c>
      <c r="BD32" s="161">
        <f t="shared" si="11"/>
        <v>150</v>
      </c>
      <c r="BE32" s="161">
        <f>HLOOKUP(AO32,Data!$H$31:$Q$35,3,FALSE)</f>
        <v>452.38934211693021</v>
      </c>
      <c r="BF32" s="161">
        <f>HLOOKUP(AO32,Data!$H$31:$Q$35,4,FALSE)</f>
        <v>353</v>
      </c>
      <c r="BG32" s="179">
        <f t="shared" si="12"/>
        <v>150</v>
      </c>
      <c r="BH32" s="185">
        <f t="shared" si="13"/>
        <v>121.65654188208487</v>
      </c>
      <c r="BI32" s="185">
        <f t="shared" si="14"/>
        <v>243</v>
      </c>
      <c r="BJ32" s="185">
        <f t="shared" si="15"/>
        <v>142.3296</v>
      </c>
      <c r="BK32" s="185">
        <f t="shared" si="16"/>
        <v>19.354891052693336</v>
      </c>
      <c r="BL32" s="186">
        <f t="shared" si="17"/>
        <v>0.94666666666666666</v>
      </c>
      <c r="BM32" s="186">
        <f t="shared" si="18"/>
        <v>0.16805760819541218</v>
      </c>
      <c r="BN32" s="185" t="str">
        <f t="shared" si="19"/>
        <v>OK</v>
      </c>
      <c r="BO32" s="185" cm="1">
        <f t="array" ref="BO32">_xll.DCEBoltDisRS(AN32, AE32, BA32, BB32, BC32, BD32, "h1")</f>
        <v>640</v>
      </c>
      <c r="BP32" s="185" cm="1">
        <f t="array" ref="BP32">_xll.DCEBoltDisRS(AN32, AE32, BA32, BB32, BC32, BD32, "Tong")</f>
        <v>672200</v>
      </c>
      <c r="BQ32" s="185">
        <f t="shared" si="20"/>
        <v>49.695436486234613</v>
      </c>
      <c r="BR32" s="186">
        <f t="shared" si="21"/>
        <v>0.34915742393876337</v>
      </c>
      <c r="BS32" s="185" t="str">
        <f t="shared" si="22"/>
        <v>OK</v>
      </c>
      <c r="BT32" s="186">
        <f t="shared" si="23"/>
        <v>0.38369516285680461</v>
      </c>
      <c r="BU32" s="185" t="str">
        <f t="shared" si="24"/>
        <v>OK</v>
      </c>
      <c r="BV32" s="190">
        <f t="shared" si="25"/>
        <v>200.65147893428039</v>
      </c>
      <c r="BW32" s="191">
        <f t="shared" si="26"/>
        <v>3.7622152300177572</v>
      </c>
      <c r="BX32" s="190">
        <f t="shared" si="27"/>
        <v>100.3257394671402</v>
      </c>
      <c r="BY32" s="167">
        <f t="shared" si="28"/>
        <v>47.522718694961142</v>
      </c>
      <c r="BZ32" s="192">
        <f t="shared" si="29"/>
        <v>0.23101321587828336</v>
      </c>
      <c r="CA32" s="191">
        <f t="shared" si="30"/>
        <v>5.2803020772179057</v>
      </c>
      <c r="CB32" s="193">
        <f t="shared" si="31"/>
        <v>4.4255405340667318E-2</v>
      </c>
      <c r="CC32" s="167">
        <f t="shared" si="32"/>
        <v>48.394767922167212</v>
      </c>
      <c r="CD32" s="191">
        <f t="shared" si="33"/>
        <v>0.20456725570964404</v>
      </c>
      <c r="CE32" s="189">
        <f t="shared" si="34"/>
        <v>0.23101321587828336</v>
      </c>
      <c r="CF32" s="194" t="str">
        <f t="shared" si="35"/>
        <v>OK</v>
      </c>
      <c r="DA32" s="206"/>
      <c r="DB32" s="206"/>
      <c r="DC32" s="206"/>
      <c r="DD32" s="207"/>
      <c r="DE32" s="208"/>
      <c r="DF32" s="154"/>
      <c r="DG32" s="154"/>
      <c r="DH32" s="154"/>
      <c r="DI32" s="154"/>
      <c r="DJ32" s="154"/>
      <c r="DK32" s="208"/>
      <c r="DL32" s="154"/>
      <c r="DM32" s="154"/>
      <c r="DN32" s="154"/>
      <c r="DO32" s="154"/>
      <c r="DP32" s="154"/>
      <c r="DQ32" s="206"/>
      <c r="DR32" s="208"/>
      <c r="DS32" s="208"/>
      <c r="DT32" s="208"/>
      <c r="DU32" s="208"/>
      <c r="DV32" s="208"/>
      <c r="DW32" s="208"/>
      <c r="DX32" s="208"/>
      <c r="DY32" s="208"/>
      <c r="DZ32" s="208"/>
      <c r="EA32" s="208"/>
      <c r="EB32" s="208"/>
      <c r="EC32" s="208"/>
      <c r="ED32" s="208"/>
      <c r="EE32" s="208"/>
      <c r="EF32" s="208"/>
      <c r="EG32" s="226"/>
      <c r="EH32" s="208"/>
      <c r="EI32" s="208"/>
      <c r="EJ32" s="226"/>
      <c r="EK32" s="209"/>
      <c r="EL32" s="208"/>
      <c r="EM32" s="209"/>
      <c r="EN32" s="209"/>
      <c r="EO32" s="209"/>
      <c r="EP32" s="209"/>
      <c r="EQ32" s="209"/>
      <c r="ER32" s="209"/>
      <c r="ES32" s="209"/>
      <c r="ET32" s="209"/>
      <c r="EU32" s="209"/>
      <c r="EV32" s="210"/>
      <c r="EW32" s="209"/>
      <c r="EX32" s="210"/>
      <c r="EY32" s="154"/>
      <c r="EZ32" s="211"/>
      <c r="FA32" s="209"/>
      <c r="FB32" s="207"/>
      <c r="FC32" s="154"/>
      <c r="FD32" s="209"/>
      <c r="FE32" s="209"/>
      <c r="FF32" s="153"/>
    </row>
    <row r="33" spans="2:162" ht="12.75" customHeight="1">
      <c r="H33" s="6" t="s">
        <v>12</v>
      </c>
      <c r="I33" s="47"/>
      <c r="J33" s="47"/>
      <c r="K33" s="47"/>
      <c r="L33" s="47"/>
      <c r="M33" s="47"/>
      <c r="N33" s="48"/>
      <c r="O33" s="49"/>
      <c r="P33" s="47"/>
      <c r="Q33" s="50"/>
      <c r="R33" s="50"/>
      <c r="S33" s="5"/>
      <c r="AA33" s="140" t="s">
        <v>210</v>
      </c>
      <c r="AB33" s="140" t="s">
        <v>237</v>
      </c>
      <c r="AC33" s="140">
        <v>44</v>
      </c>
      <c r="AD33" s="133">
        <v>0.3</v>
      </c>
      <c r="AE33" s="151">
        <v>500</v>
      </c>
      <c r="AF33" s="152">
        <v>300</v>
      </c>
      <c r="AG33" s="152">
        <v>10</v>
      </c>
      <c r="AH33" s="152">
        <v>14</v>
      </c>
      <c r="AI33" s="152">
        <v>472</v>
      </c>
      <c r="AJ33" s="153" t="str" cm="1">
        <f t="array" ref="AJ33">_xll.Dce_Name_SectI(AE33, AE33, AF33, AG33, AH33, "x", "-", "H Tổng")</f>
        <v>500x300x10x14</v>
      </c>
      <c r="AK33" s="161">
        <f t="shared" si="6"/>
        <v>760</v>
      </c>
      <c r="AL33" s="162" cm="1">
        <f t="array" ref="AL33">IFERROR(INDEX($B$25:$B$32,IFERROR(MATCH(AF33,$B$25:$B$32,0),MATCH(AF33,$B$25:$B$32,1)+1)),$B$25)</f>
        <v>300</v>
      </c>
      <c r="AM33" s="162" cm="1">
        <f t="array" ref="AM33">IFERROR(VLOOKUP(AE33,$B$36:$E$47,4,FALSE),INDEX($E$36:$E$47,MATCH(AE33,$B$36:$B$47,1)+1))</f>
        <v>25</v>
      </c>
      <c r="AN33" s="162" cm="1">
        <f t="array" ref="AN33">IFERROR(VLOOKUP(AE33,$B$36:$E$47,2,FALSE),INDEX($C$36:$C$47,MATCH(AE33,$B$36:$B$47,1)+1))</f>
        <v>8</v>
      </c>
      <c r="AO33" s="162" cm="1">
        <f t="array" ref="AO33">IFERROR(VLOOKUP(AE33,$B$36:$E$47,3,FALSE),INDEX($D$36:$D$47,MATCH(AE33,$B$36:$B$47,1)+1))</f>
        <v>24</v>
      </c>
      <c r="AP33" s="163" t="str">
        <f t="shared" si="7"/>
        <v>760x300x25 + 8M24</v>
      </c>
      <c r="AQ33" s="140" t="s">
        <v>247</v>
      </c>
      <c r="AR33" s="151">
        <v>0</v>
      </c>
      <c r="AS33" s="151">
        <v>-229.21448465575961</v>
      </c>
      <c r="AT33" s="151">
        <v>-1.4038050721865144E-13</v>
      </c>
      <c r="AU33" s="151">
        <v>-2.1691883958355972E-3</v>
      </c>
      <c r="AV33" s="151">
        <v>-3.0327364584081796E-13</v>
      </c>
      <c r="AW33" s="151">
        <v>-433.23389380225149</v>
      </c>
      <c r="BA33" s="161">
        <f t="shared" si="8"/>
        <v>60</v>
      </c>
      <c r="BB33" s="161">
        <f t="shared" si="9"/>
        <v>70</v>
      </c>
      <c r="BC33" s="161">
        <f t="shared" si="10"/>
        <v>80</v>
      </c>
      <c r="BD33" s="161">
        <f t="shared" si="11"/>
        <v>150</v>
      </c>
      <c r="BE33" s="161">
        <f>HLOOKUP(AO33,Data!$H$31:$Q$35,3,FALSE)</f>
        <v>452.38934211693021</v>
      </c>
      <c r="BF33" s="161">
        <f>HLOOKUP(AO33,Data!$H$31:$Q$35,4,FALSE)</f>
        <v>353</v>
      </c>
      <c r="BG33" s="179">
        <f t="shared" si="12"/>
        <v>150</v>
      </c>
      <c r="BH33" s="185">
        <f t="shared" si="13"/>
        <v>121.65654188208487</v>
      </c>
      <c r="BI33" s="185">
        <f t="shared" si="14"/>
        <v>243</v>
      </c>
      <c r="BJ33" s="185">
        <f t="shared" si="15"/>
        <v>142.3296</v>
      </c>
      <c r="BK33" s="185">
        <f t="shared" si="16"/>
        <v>28.509617095912215</v>
      </c>
      <c r="BL33" s="186">
        <f t="shared" si="17"/>
        <v>0.94666666666666666</v>
      </c>
      <c r="BM33" s="186">
        <f t="shared" si="18"/>
        <v>0.24754766361959507</v>
      </c>
      <c r="BN33" s="185" t="str">
        <f t="shared" si="19"/>
        <v>OK</v>
      </c>
      <c r="BO33" s="185" cm="1">
        <f t="array" ref="BO33">_xll.DCEBoltDisRS(AN33, AE33, BA33, BB33, BC33, BD33, "h1")</f>
        <v>640</v>
      </c>
      <c r="BP33" s="185" cm="1">
        <f t="array" ref="BP33">_xll.DCEBoltDisRS(AN33, AE33, BA33, BB33, BC33, BD33, "Tong")</f>
        <v>672200</v>
      </c>
      <c r="BQ33" s="185">
        <f t="shared" si="20"/>
        <v>209.09143480795549</v>
      </c>
      <c r="BR33" s="186">
        <f t="shared" si="21"/>
        <v>1.4690650069132176</v>
      </c>
      <c r="BS33" s="185" t="str">
        <f t="shared" si="22"/>
        <v>O/S</v>
      </c>
      <c r="BT33" s="186">
        <f t="shared" si="23"/>
        <v>1.4876389449513105</v>
      </c>
      <c r="BU33" s="185" t="str">
        <f t="shared" si="24"/>
        <v>O/S</v>
      </c>
      <c r="BV33" s="190">
        <f t="shared" si="25"/>
        <v>866.46778760450297</v>
      </c>
      <c r="BW33" s="191">
        <f t="shared" si="26"/>
        <v>16.24627101758443</v>
      </c>
      <c r="BX33" s="190">
        <f t="shared" si="27"/>
        <v>433.23389380225149</v>
      </c>
      <c r="BY33" s="167">
        <f t="shared" si="28"/>
        <v>205.21605495896119</v>
      </c>
      <c r="BZ33" s="192">
        <f t="shared" si="29"/>
        <v>0.99757804493939484</v>
      </c>
      <c r="CA33" s="191">
        <f t="shared" si="30"/>
        <v>22.801783884329026</v>
      </c>
      <c r="CB33" s="193">
        <f t="shared" si="31"/>
        <v>0.19110690516080364</v>
      </c>
      <c r="CC33" s="167">
        <f t="shared" si="32"/>
        <v>208.98180125992388</v>
      </c>
      <c r="CD33" s="191">
        <f t="shared" si="33"/>
        <v>0.88337717923880887</v>
      </c>
      <c r="CE33" s="189">
        <f t="shared" si="34"/>
        <v>0.99757804493939484</v>
      </c>
      <c r="CF33" s="194" t="str">
        <f t="shared" si="35"/>
        <v>OK</v>
      </c>
      <c r="DA33" s="206"/>
      <c r="DB33" s="206"/>
      <c r="DC33" s="206"/>
      <c r="DD33" s="207"/>
      <c r="DE33" s="208"/>
      <c r="DF33" s="154"/>
      <c r="DG33" s="154"/>
      <c r="DH33" s="154"/>
      <c r="DI33" s="154"/>
      <c r="DJ33" s="154"/>
      <c r="DK33" s="208"/>
      <c r="DL33" s="154"/>
      <c r="DM33" s="154"/>
      <c r="DN33" s="154"/>
      <c r="DO33" s="154"/>
      <c r="DP33" s="154"/>
      <c r="DQ33" s="206"/>
      <c r="DR33" s="208"/>
      <c r="DS33" s="208"/>
      <c r="DT33" s="208"/>
      <c r="DU33" s="208"/>
      <c r="DV33" s="208"/>
      <c r="DW33" s="208"/>
      <c r="DX33" s="208"/>
      <c r="DY33" s="208"/>
      <c r="DZ33" s="208"/>
      <c r="EA33" s="208"/>
      <c r="EB33" s="208"/>
      <c r="EC33" s="208"/>
      <c r="ED33" s="208"/>
      <c r="EE33" s="208"/>
      <c r="EF33" s="208"/>
      <c r="EG33" s="226"/>
      <c r="EH33" s="208"/>
      <c r="EI33" s="208"/>
      <c r="EJ33" s="226"/>
      <c r="EK33" s="209"/>
      <c r="EL33" s="208"/>
      <c r="EM33" s="209"/>
      <c r="EN33" s="209"/>
      <c r="EO33" s="209"/>
      <c r="EP33" s="209"/>
      <c r="EQ33" s="209"/>
      <c r="ER33" s="209"/>
      <c r="ES33" s="209"/>
      <c r="ET33" s="209"/>
      <c r="EU33" s="209"/>
      <c r="EV33" s="210"/>
      <c r="EW33" s="209"/>
      <c r="EX33" s="210"/>
      <c r="EY33" s="154"/>
      <c r="EZ33" s="211"/>
      <c r="FA33" s="209"/>
      <c r="FB33" s="207"/>
      <c r="FC33" s="154"/>
      <c r="FD33" s="209"/>
      <c r="FE33" s="209"/>
      <c r="FF33" s="153"/>
    </row>
    <row r="34" spans="2:162" ht="12.75" customHeight="1">
      <c r="B34" s="227" t="s">
        <v>213</v>
      </c>
      <c r="C34" s="227"/>
      <c r="D34" s="227"/>
      <c r="E34" s="227"/>
      <c r="F34" s="109" cm="1">
        <f t="array" ref="F34">INDEX($B$36:$B$47,IFERROR(MATCH(R42,$B$36:$B$47,0),MATCH(R42,$B$36:$B$47,1)+1))</f>
        <v>1500</v>
      </c>
      <c r="H34" s="7"/>
      <c r="I34" s="47" t="str">
        <f>"- Que hàn:"</f>
        <v>- Que hàn:</v>
      </c>
      <c r="J34" s="47"/>
      <c r="K34" s="48"/>
      <c r="L34" s="51"/>
      <c r="M34" s="47"/>
      <c r="N34" s="50"/>
      <c r="O34" s="50"/>
      <c r="P34" s="50"/>
      <c r="Q34" s="50"/>
      <c r="R34" s="52" t="s">
        <v>76</v>
      </c>
      <c r="S34" s="8"/>
      <c r="AA34" s="140" t="s">
        <v>210</v>
      </c>
      <c r="AB34" s="140" t="s">
        <v>237</v>
      </c>
      <c r="AC34" s="140">
        <v>44</v>
      </c>
      <c r="AD34" s="133">
        <v>3</v>
      </c>
      <c r="AE34" s="151">
        <v>500</v>
      </c>
      <c r="AF34" s="152">
        <v>300</v>
      </c>
      <c r="AG34" s="152">
        <v>10</v>
      </c>
      <c r="AH34" s="152">
        <v>14</v>
      </c>
      <c r="AI34" s="152">
        <v>472</v>
      </c>
      <c r="AJ34" s="153" t="str" cm="1">
        <f t="array" ref="AJ34">_xll.Dce_Name_SectI(AE34, AE34, AF34, AG34, AH34, "x", "-", "H Tổng")</f>
        <v>500x300x10x14</v>
      </c>
      <c r="AK34" s="161">
        <f t="shared" si="6"/>
        <v>760</v>
      </c>
      <c r="AL34" s="162" cm="1">
        <f t="array" ref="AL34">IFERROR(INDEX($B$25:$B$32,IFERROR(MATCH(AF34,$B$25:$B$32,0),MATCH(AF34,$B$25:$B$32,1)+1)),$B$25)</f>
        <v>300</v>
      </c>
      <c r="AM34" s="162" cm="1">
        <f t="array" ref="AM34">IFERROR(VLOOKUP(AE34,$B$36:$E$47,4,FALSE),INDEX($E$36:$E$47,MATCH(AE34,$B$36:$B$47,1)+1))</f>
        <v>25</v>
      </c>
      <c r="AN34" s="162" cm="1">
        <f t="array" ref="AN34">IFERROR(VLOOKUP(AE34,$B$36:$E$47,2,FALSE),INDEX($C$36:$C$47,MATCH(AE34,$B$36:$B$47,1)+1))</f>
        <v>8</v>
      </c>
      <c r="AO34" s="162" cm="1">
        <f t="array" ref="AO34">IFERROR(VLOOKUP(AE34,$B$36:$E$47,3,FALSE),INDEX($D$36:$D$47,MATCH(AE34,$B$36:$B$47,1)+1))</f>
        <v>24</v>
      </c>
      <c r="AP34" s="163" t="str">
        <f t="shared" si="7"/>
        <v>760x300x25 + 8M24</v>
      </c>
      <c r="AQ34" s="140" t="s">
        <v>247</v>
      </c>
      <c r="AR34" s="151">
        <v>0</v>
      </c>
      <c r="AS34" s="151">
        <v>-154.11788384540262</v>
      </c>
      <c r="AT34" s="151">
        <v>-2.0554580260068174E-13</v>
      </c>
      <c r="AU34" s="151">
        <v>-2.168536836371358E-3</v>
      </c>
      <c r="AV34" s="151">
        <v>1.9591898308135562E-13</v>
      </c>
      <c r="AW34" s="151">
        <v>102.21633416803377</v>
      </c>
      <c r="BA34" s="161">
        <f t="shared" si="8"/>
        <v>60</v>
      </c>
      <c r="BB34" s="161">
        <f t="shared" si="9"/>
        <v>70</v>
      </c>
      <c r="BC34" s="161">
        <f t="shared" si="10"/>
        <v>80</v>
      </c>
      <c r="BD34" s="161">
        <f t="shared" si="11"/>
        <v>150</v>
      </c>
      <c r="BE34" s="161">
        <f>HLOOKUP(AO34,Data!$H$31:$Q$35,3,FALSE)</f>
        <v>452.38934211693021</v>
      </c>
      <c r="BF34" s="161">
        <f>HLOOKUP(AO34,Data!$H$31:$Q$35,4,FALSE)</f>
        <v>353</v>
      </c>
      <c r="BG34" s="179">
        <f t="shared" si="12"/>
        <v>150</v>
      </c>
      <c r="BH34" s="185">
        <f t="shared" si="13"/>
        <v>121.65654188208487</v>
      </c>
      <c r="BI34" s="185">
        <f t="shared" si="14"/>
        <v>243</v>
      </c>
      <c r="BJ34" s="185">
        <f t="shared" si="15"/>
        <v>142.3296</v>
      </c>
      <c r="BK34" s="185">
        <f t="shared" si="16"/>
        <v>19.169128262829862</v>
      </c>
      <c r="BL34" s="186">
        <f t="shared" si="17"/>
        <v>0.94666666666666666</v>
      </c>
      <c r="BM34" s="186">
        <f t="shared" si="18"/>
        <v>0.16644463863277453</v>
      </c>
      <c r="BN34" s="185" t="str">
        <f t="shared" si="19"/>
        <v>OK</v>
      </c>
      <c r="BO34" s="185" cm="1">
        <f t="array" ref="BO34">_xll.DCEBoltDisRS(AN34, AE34, BA34, BB34, BC34, BD34, "h1")</f>
        <v>640</v>
      </c>
      <c r="BP34" s="185" cm="1">
        <f t="array" ref="BP34">_xll.DCEBoltDisRS(AN34, AE34, BA34, BB34, BC34, BD34, "Tong")</f>
        <v>672200</v>
      </c>
      <c r="BQ34" s="185">
        <f t="shared" si="20"/>
        <v>50.576875536444852</v>
      </c>
      <c r="BR34" s="186">
        <f t="shared" si="21"/>
        <v>0.35535036658885327</v>
      </c>
      <c r="BS34" s="185" t="str">
        <f t="shared" si="22"/>
        <v>OK</v>
      </c>
      <c r="BT34" s="186">
        <f t="shared" si="23"/>
        <v>0.38871767240981131</v>
      </c>
      <c r="BU34" s="185" t="str">
        <f t="shared" si="24"/>
        <v>OK</v>
      </c>
      <c r="BV34" s="190">
        <f t="shared" si="25"/>
        <v>204.43266833606754</v>
      </c>
      <c r="BW34" s="191">
        <f t="shared" si="26"/>
        <v>3.8331125313012659</v>
      </c>
      <c r="BX34" s="190">
        <f t="shared" si="27"/>
        <v>102.21633416803377</v>
      </c>
      <c r="BY34" s="167">
        <f t="shared" si="28"/>
        <v>48.418263553279154</v>
      </c>
      <c r="BZ34" s="192">
        <f t="shared" si="29"/>
        <v>0.23536655893955147</v>
      </c>
      <c r="CA34" s="191">
        <f t="shared" si="30"/>
        <v>5.3798070614754607</v>
      </c>
      <c r="CB34" s="193">
        <f t="shared" si="31"/>
        <v>4.508937910719376E-2</v>
      </c>
      <c r="CC34" s="167">
        <f t="shared" si="32"/>
        <v>49.306746166938503</v>
      </c>
      <c r="CD34" s="191">
        <f t="shared" si="33"/>
        <v>0.20842223621290434</v>
      </c>
      <c r="CE34" s="189">
        <f t="shared" si="34"/>
        <v>0.23536655893955147</v>
      </c>
      <c r="CF34" s="194" t="str">
        <f t="shared" si="35"/>
        <v>OK</v>
      </c>
      <c r="DA34" s="206"/>
      <c r="DB34" s="206"/>
      <c r="DC34" s="206"/>
      <c r="DD34" s="207"/>
      <c r="DE34" s="208"/>
      <c r="DF34" s="154"/>
      <c r="DG34" s="154"/>
      <c r="DH34" s="154"/>
      <c r="DI34" s="154"/>
      <c r="DJ34" s="154"/>
      <c r="DK34" s="208"/>
      <c r="DL34" s="154"/>
      <c r="DM34" s="154"/>
      <c r="DN34" s="154"/>
      <c r="DO34" s="154"/>
      <c r="DP34" s="154"/>
      <c r="DQ34" s="206"/>
      <c r="DR34" s="208"/>
      <c r="DS34" s="208"/>
      <c r="DT34" s="208"/>
      <c r="DU34" s="208"/>
      <c r="DV34" s="208"/>
      <c r="DW34" s="208"/>
      <c r="DX34" s="208"/>
      <c r="DY34" s="208"/>
      <c r="DZ34" s="208"/>
      <c r="EA34" s="208"/>
      <c r="EB34" s="208"/>
      <c r="EC34" s="208"/>
      <c r="ED34" s="208"/>
      <c r="EE34" s="208"/>
      <c r="EF34" s="208"/>
      <c r="EG34" s="226"/>
      <c r="EH34" s="208"/>
      <c r="EI34" s="208"/>
      <c r="EJ34" s="226"/>
      <c r="EK34" s="209"/>
      <c r="EL34" s="208"/>
      <c r="EM34" s="209"/>
      <c r="EN34" s="209"/>
      <c r="EO34" s="209"/>
      <c r="EP34" s="209"/>
      <c r="EQ34" s="209"/>
      <c r="ER34" s="209"/>
      <c r="ES34" s="209"/>
      <c r="ET34" s="209"/>
      <c r="EU34" s="209"/>
      <c r="EV34" s="210"/>
      <c r="EW34" s="209"/>
      <c r="EX34" s="210"/>
      <c r="EY34" s="154"/>
      <c r="EZ34" s="211"/>
      <c r="FA34" s="209"/>
      <c r="FB34" s="207"/>
      <c r="FC34" s="154"/>
      <c r="FD34" s="209"/>
      <c r="FE34" s="209"/>
      <c r="FF34" s="153"/>
    </row>
    <row r="35" spans="2:162" ht="12.75" customHeight="1">
      <c r="B35" s="110" t="s">
        <v>215</v>
      </c>
      <c r="C35" s="110" t="s">
        <v>209</v>
      </c>
      <c r="D35" s="110" t="s">
        <v>32</v>
      </c>
      <c r="E35" s="110" t="s">
        <v>214</v>
      </c>
      <c r="F35" s="110"/>
      <c r="H35" s="7"/>
      <c r="I35" s="47" t="str">
        <f>"- Cường độ tiêu chuẩn theo giới hạn bền:"</f>
        <v>- Cường độ tiêu chuẩn theo giới hạn bền:</v>
      </c>
      <c r="J35" s="47"/>
      <c r="K35" s="48"/>
      <c r="L35" s="51"/>
      <c r="M35" s="47"/>
      <c r="N35" s="50"/>
      <c r="O35" s="50"/>
      <c r="P35" s="50"/>
      <c r="Q35" s="55" t="s">
        <v>14</v>
      </c>
      <c r="R35" s="58">
        <f>VLOOKUP(R34,Data!$L$39:$N$43,2,FALSE)</f>
        <v>450</v>
      </c>
      <c r="S35" s="9" t="s">
        <v>2</v>
      </c>
      <c r="AA35" s="140" t="s">
        <v>210</v>
      </c>
      <c r="AB35" s="140" t="s">
        <v>237</v>
      </c>
      <c r="AC35" s="140">
        <v>44</v>
      </c>
      <c r="AD35" s="133">
        <v>0.3</v>
      </c>
      <c r="AE35" s="151">
        <v>500</v>
      </c>
      <c r="AF35" s="152">
        <v>300</v>
      </c>
      <c r="AG35" s="152">
        <v>10</v>
      </c>
      <c r="AH35" s="152">
        <v>14</v>
      </c>
      <c r="AI35" s="152">
        <v>472</v>
      </c>
      <c r="AJ35" s="153" t="str" cm="1">
        <f t="array" ref="AJ35">_xll.Dce_Name_SectI(AE35, AE35, AF35, AG35, AH35, "x", "-", "H Tổng")</f>
        <v>500x300x10x14</v>
      </c>
      <c r="AK35" s="161">
        <f t="shared" si="6"/>
        <v>760</v>
      </c>
      <c r="AL35" s="162" cm="1">
        <f t="array" ref="AL35">IFERROR(INDEX($B$25:$B$32,IFERROR(MATCH(AF35,$B$25:$B$32,0),MATCH(AF35,$B$25:$B$32,1)+1)),$B$25)</f>
        <v>300</v>
      </c>
      <c r="AM35" s="162" cm="1">
        <f t="array" ref="AM35">IFERROR(VLOOKUP(AE35,$B$36:$E$47,4,FALSE),INDEX($E$36:$E$47,MATCH(AE35,$B$36:$B$47,1)+1))</f>
        <v>25</v>
      </c>
      <c r="AN35" s="162" cm="1">
        <f t="array" ref="AN35">IFERROR(VLOOKUP(AE35,$B$36:$E$47,2,FALSE),INDEX($C$36:$C$47,MATCH(AE35,$B$36:$B$47,1)+1))</f>
        <v>8</v>
      </c>
      <c r="AO35" s="162" cm="1">
        <f t="array" ref="AO35">IFERROR(VLOOKUP(AE35,$B$36:$E$47,3,FALSE),INDEX($D$36:$D$47,MATCH(AE35,$B$36:$B$47,1)+1))</f>
        <v>24</v>
      </c>
      <c r="AP35" s="163" t="str">
        <f t="shared" si="7"/>
        <v>760x300x25 + 8M24</v>
      </c>
      <c r="AQ35" s="140" t="s">
        <v>248</v>
      </c>
      <c r="AR35" s="151">
        <v>0</v>
      </c>
      <c r="AS35" s="151">
        <v>-228.70333530308034</v>
      </c>
      <c r="AT35" s="151">
        <v>-1.4038050721865144E-13</v>
      </c>
      <c r="AU35" s="151">
        <v>-2.1667775174077151E-3</v>
      </c>
      <c r="AV35" s="151">
        <v>-3.0327364584081796E-13</v>
      </c>
      <c r="AW35" s="151">
        <v>-427.18556131712347</v>
      </c>
      <c r="BA35" s="161">
        <f t="shared" si="8"/>
        <v>60</v>
      </c>
      <c r="BB35" s="161">
        <f t="shared" si="9"/>
        <v>70</v>
      </c>
      <c r="BC35" s="161">
        <f t="shared" si="10"/>
        <v>80</v>
      </c>
      <c r="BD35" s="161">
        <f t="shared" si="11"/>
        <v>150</v>
      </c>
      <c r="BE35" s="161">
        <f>HLOOKUP(AO35,Data!$H$31:$Q$35,3,FALSE)</f>
        <v>452.38934211693021</v>
      </c>
      <c r="BF35" s="161">
        <f>HLOOKUP(AO35,Data!$H$31:$Q$35,4,FALSE)</f>
        <v>353</v>
      </c>
      <c r="BG35" s="179">
        <f t="shared" si="12"/>
        <v>150</v>
      </c>
      <c r="BH35" s="185">
        <f t="shared" si="13"/>
        <v>121.65654188208487</v>
      </c>
      <c r="BI35" s="185">
        <f t="shared" si="14"/>
        <v>243</v>
      </c>
      <c r="BJ35" s="185">
        <f t="shared" si="15"/>
        <v>142.3296</v>
      </c>
      <c r="BK35" s="185">
        <f t="shared" si="16"/>
        <v>28.446040518953758</v>
      </c>
      <c r="BL35" s="186">
        <f t="shared" si="17"/>
        <v>0.94666666666666666</v>
      </c>
      <c r="BM35" s="186">
        <f t="shared" si="18"/>
        <v>0.24699563119369292</v>
      </c>
      <c r="BN35" s="185" t="str">
        <f t="shared" si="19"/>
        <v>OK</v>
      </c>
      <c r="BO35" s="185" cm="1">
        <f t="array" ref="BO35">_xll.DCEBoltDisRS(AN35, AE35, BA35, BB35, BC35, BD35, "h1")</f>
        <v>640</v>
      </c>
      <c r="BP35" s="185" cm="1">
        <f t="array" ref="BP35">_xll.DCEBoltDisRS(AN35, AE35, BA35, BB35, BC35, BD35, "Tong")</f>
        <v>672200</v>
      </c>
      <c r="BQ35" s="185">
        <f t="shared" si="20"/>
        <v>206.20577575894612</v>
      </c>
      <c r="BR35" s="186">
        <f t="shared" si="21"/>
        <v>1.4487905239595005</v>
      </c>
      <c r="BS35" s="185" t="str">
        <f t="shared" si="22"/>
        <v>O/S</v>
      </c>
      <c r="BT35" s="186">
        <f t="shared" si="23"/>
        <v>1.4675377195337065</v>
      </c>
      <c r="BU35" s="185" t="str">
        <f t="shared" si="24"/>
        <v>O/S</v>
      </c>
      <c r="BV35" s="190">
        <f t="shared" si="25"/>
        <v>854.37112263424694</v>
      </c>
      <c r="BW35" s="191">
        <f t="shared" si="26"/>
        <v>16.01945854939213</v>
      </c>
      <c r="BX35" s="190">
        <f t="shared" si="27"/>
        <v>427.18556131712347</v>
      </c>
      <c r="BY35" s="167">
        <f t="shared" si="28"/>
        <v>202.35105536074272</v>
      </c>
      <c r="BZ35" s="192">
        <f t="shared" si="29"/>
        <v>0.98365096355916615</v>
      </c>
      <c r="CA35" s="191">
        <f t="shared" si="30"/>
        <v>22.483450595638079</v>
      </c>
      <c r="CB35" s="193">
        <f t="shared" si="31"/>
        <v>0.18843888190788621</v>
      </c>
      <c r="CC35" s="167">
        <f t="shared" si="32"/>
        <v>206.06422847662293</v>
      </c>
      <c r="CD35" s="191">
        <f t="shared" si="33"/>
        <v>0.87104444404369608</v>
      </c>
      <c r="CE35" s="189">
        <f t="shared" si="34"/>
        <v>0.98365096355916615</v>
      </c>
      <c r="CF35" s="194" t="str">
        <f t="shared" si="35"/>
        <v>OK</v>
      </c>
      <c r="DA35" s="206"/>
      <c r="DB35" s="206"/>
      <c r="DC35" s="206"/>
      <c r="DD35" s="207"/>
      <c r="DE35" s="208"/>
      <c r="DF35" s="154"/>
      <c r="DG35" s="154"/>
      <c r="DH35" s="154"/>
      <c r="DI35" s="154"/>
      <c r="DJ35" s="154"/>
      <c r="DK35" s="208"/>
      <c r="DL35" s="154"/>
      <c r="DM35" s="154"/>
      <c r="DN35" s="154"/>
      <c r="DO35" s="154"/>
      <c r="DP35" s="154"/>
      <c r="DQ35" s="206"/>
      <c r="DR35" s="208"/>
      <c r="DS35" s="208"/>
      <c r="DT35" s="208"/>
      <c r="DU35" s="208"/>
      <c r="DV35" s="208"/>
      <c r="DW35" s="208"/>
      <c r="DX35" s="208"/>
      <c r="DY35" s="208"/>
      <c r="DZ35" s="208"/>
      <c r="EA35" s="208"/>
      <c r="EB35" s="208"/>
      <c r="EC35" s="208"/>
      <c r="ED35" s="208"/>
      <c r="EE35" s="208"/>
      <c r="EF35" s="208"/>
      <c r="EG35" s="226"/>
      <c r="EH35" s="208"/>
      <c r="EI35" s="208"/>
      <c r="EJ35" s="226"/>
      <c r="EK35" s="209"/>
      <c r="EL35" s="208"/>
      <c r="EM35" s="209"/>
      <c r="EN35" s="209"/>
      <c r="EO35" s="209"/>
      <c r="EP35" s="209"/>
      <c r="EQ35" s="209"/>
      <c r="ER35" s="209"/>
      <c r="ES35" s="209"/>
      <c r="ET35" s="209"/>
      <c r="EU35" s="209"/>
      <c r="EV35" s="210"/>
      <c r="EW35" s="209"/>
      <c r="EX35" s="210"/>
      <c r="EY35" s="154"/>
      <c r="EZ35" s="211"/>
      <c r="FA35" s="209"/>
      <c r="FB35" s="207"/>
      <c r="FC35" s="154"/>
      <c r="FD35" s="209"/>
      <c r="FE35" s="209"/>
      <c r="FF35" s="153"/>
    </row>
    <row r="36" spans="2:162" ht="12.75" customHeight="1">
      <c r="B36" s="10">
        <v>250</v>
      </c>
      <c r="C36" s="10">
        <v>8</v>
      </c>
      <c r="D36" s="10">
        <v>20</v>
      </c>
      <c r="E36" s="10">
        <v>16</v>
      </c>
      <c r="F36" s="10"/>
      <c r="H36" s="7"/>
      <c r="I36" s="47" t="str">
        <f>"- Cường độ tính toán theo kim loại đường hàn:"</f>
        <v>- Cường độ tính toán theo kim loại đường hàn:</v>
      </c>
      <c r="J36" s="47"/>
      <c r="K36" s="48"/>
      <c r="L36" s="51"/>
      <c r="M36" s="47"/>
      <c r="N36" s="50"/>
      <c r="O36" s="59" t="s">
        <v>15</v>
      </c>
      <c r="P36" s="52">
        <v>0.7</v>
      </c>
      <c r="Q36" s="55" t="s">
        <v>16</v>
      </c>
      <c r="R36" s="58">
        <f>VLOOKUP(R34,Data!$L$39:$N$43,3,FALSE)</f>
        <v>200</v>
      </c>
      <c r="S36" s="9" t="s">
        <v>2</v>
      </c>
      <c r="AA36" s="140" t="s">
        <v>210</v>
      </c>
      <c r="AB36" s="140" t="s">
        <v>237</v>
      </c>
      <c r="AC36" s="140">
        <v>44</v>
      </c>
      <c r="AD36" s="133">
        <v>3</v>
      </c>
      <c r="AE36" s="151">
        <v>500</v>
      </c>
      <c r="AF36" s="152">
        <v>300</v>
      </c>
      <c r="AG36" s="152">
        <v>10</v>
      </c>
      <c r="AH36" s="152">
        <v>14</v>
      </c>
      <c r="AI36" s="152">
        <v>472</v>
      </c>
      <c r="AJ36" s="153" t="str" cm="1">
        <f t="array" ref="AJ36">_xll.Dce_Name_SectI(AE36, AE36, AF36, AG36, AH36, "x", "-", "H Tổng")</f>
        <v>500x300x10x14</v>
      </c>
      <c r="AK36" s="161">
        <f t="shared" si="6"/>
        <v>760</v>
      </c>
      <c r="AL36" s="162" cm="1">
        <f t="array" ref="AL36">IFERROR(INDEX($B$25:$B$32,IFERROR(MATCH(AF36,$B$25:$B$32,0),MATCH(AF36,$B$25:$B$32,1)+1)),$B$25)</f>
        <v>300</v>
      </c>
      <c r="AM36" s="162" cm="1">
        <f t="array" ref="AM36">IFERROR(VLOOKUP(AE36,$B$36:$E$47,4,FALSE),INDEX($E$36:$E$47,MATCH(AE36,$B$36:$B$47,1)+1))</f>
        <v>25</v>
      </c>
      <c r="AN36" s="162" cm="1">
        <f t="array" ref="AN36">IFERROR(VLOOKUP(AE36,$B$36:$E$47,2,FALSE),INDEX($C$36:$C$47,MATCH(AE36,$B$36:$B$47,1)+1))</f>
        <v>8</v>
      </c>
      <c r="AO36" s="162" cm="1">
        <f t="array" ref="AO36">IFERROR(VLOOKUP(AE36,$B$36:$E$47,3,FALSE),INDEX($D$36:$D$47,MATCH(AE36,$B$36:$B$47,1)+1))</f>
        <v>24</v>
      </c>
      <c r="AP36" s="163" t="str">
        <f t="shared" si="7"/>
        <v>760x300x25 + 8M24</v>
      </c>
      <c r="AQ36" s="140" t="s">
        <v>248</v>
      </c>
      <c r="AR36" s="151">
        <v>0</v>
      </c>
      <c r="AS36" s="151">
        <v>-153.60673385967635</v>
      </c>
      <c r="AT36" s="151">
        <v>-1.4733814168721435E-13</v>
      </c>
      <c r="AU36" s="151">
        <v>-2.1661264968625151E-3</v>
      </c>
      <c r="AV36" s="151">
        <v>1.3247263268567618E-13</v>
      </c>
      <c r="AW36" s="151">
        <v>106.88452538762974</v>
      </c>
      <c r="BA36" s="161">
        <f t="shared" si="8"/>
        <v>60</v>
      </c>
      <c r="BB36" s="161">
        <f t="shared" si="9"/>
        <v>70</v>
      </c>
      <c r="BC36" s="161">
        <f t="shared" si="10"/>
        <v>80</v>
      </c>
      <c r="BD36" s="161">
        <f t="shared" si="11"/>
        <v>150</v>
      </c>
      <c r="BE36" s="161">
        <f>HLOOKUP(AO36,Data!$H$31:$Q$35,3,FALSE)</f>
        <v>452.38934211693021</v>
      </c>
      <c r="BF36" s="161">
        <f>HLOOKUP(AO36,Data!$H$31:$Q$35,4,FALSE)</f>
        <v>353</v>
      </c>
      <c r="BG36" s="179">
        <f t="shared" si="12"/>
        <v>150</v>
      </c>
      <c r="BH36" s="185">
        <f t="shared" si="13"/>
        <v>121.65654188208487</v>
      </c>
      <c r="BI36" s="185">
        <f t="shared" si="14"/>
        <v>243</v>
      </c>
      <c r="BJ36" s="185">
        <f t="shared" si="15"/>
        <v>142.3296</v>
      </c>
      <c r="BK36" s="185">
        <f t="shared" si="16"/>
        <v>19.105551607133243</v>
      </c>
      <c r="BL36" s="186">
        <f t="shared" si="17"/>
        <v>0.94666666666666666</v>
      </c>
      <c r="BM36" s="186">
        <f t="shared" si="18"/>
        <v>0.16589260552319263</v>
      </c>
      <c r="BN36" s="185" t="str">
        <f t="shared" si="19"/>
        <v>OK</v>
      </c>
      <c r="BO36" s="185" cm="1">
        <f t="array" ref="BO36">_xll.DCEBoltDisRS(AN36, AE36, BA36, BB36, BC36, BD36, "h1")</f>
        <v>640</v>
      </c>
      <c r="BP36" s="185" cm="1">
        <f t="array" ref="BP36">_xll.DCEBoltDisRS(AN36, AE36, BA36, BB36, BC36, BD36, "Tong")</f>
        <v>672200</v>
      </c>
      <c r="BQ36" s="185">
        <f t="shared" si="20"/>
        <v>52.792804675800369</v>
      </c>
      <c r="BR36" s="186">
        <f t="shared" si="21"/>
        <v>0.37091936375708473</v>
      </c>
      <c r="BS36" s="185" t="str">
        <f t="shared" si="22"/>
        <v>OK</v>
      </c>
      <c r="BT36" s="186">
        <f t="shared" si="23"/>
        <v>0.40279561368276079</v>
      </c>
      <c r="BU36" s="185" t="str">
        <f t="shared" si="24"/>
        <v>OK</v>
      </c>
      <c r="BV36" s="190">
        <f t="shared" si="25"/>
        <v>213.76905077525947</v>
      </c>
      <c r="BW36" s="191">
        <f t="shared" si="26"/>
        <v>4.0081697020361151</v>
      </c>
      <c r="BX36" s="190">
        <f t="shared" si="27"/>
        <v>106.88452538762974</v>
      </c>
      <c r="BY36" s="167">
        <f t="shared" si="28"/>
        <v>50.62951202571935</v>
      </c>
      <c r="BZ36" s="192">
        <f t="shared" si="29"/>
        <v>0.24611568345835796</v>
      </c>
      <c r="CA36" s="191">
        <f t="shared" si="30"/>
        <v>5.6255013361910384</v>
      </c>
      <c r="CB36" s="193">
        <f t="shared" si="31"/>
        <v>4.7148598363670108E-2</v>
      </c>
      <c r="CC36" s="167">
        <f t="shared" si="32"/>
        <v>51.558571390341321</v>
      </c>
      <c r="CD36" s="191">
        <f t="shared" si="33"/>
        <v>0.21794082109443799</v>
      </c>
      <c r="CE36" s="189">
        <f t="shared" si="34"/>
        <v>0.24611568345835796</v>
      </c>
      <c r="CF36" s="194" t="str">
        <f t="shared" si="35"/>
        <v>OK</v>
      </c>
      <c r="DA36" s="206"/>
      <c r="DB36" s="206"/>
      <c r="DC36" s="206"/>
      <c r="DD36" s="207"/>
      <c r="DE36" s="208"/>
      <c r="DF36" s="154"/>
      <c r="DG36" s="154"/>
      <c r="DH36" s="154"/>
      <c r="DI36" s="154"/>
      <c r="DJ36" s="154"/>
      <c r="DK36" s="208"/>
      <c r="DL36" s="154"/>
      <c r="DM36" s="154"/>
      <c r="DN36" s="154"/>
      <c r="DO36" s="154"/>
      <c r="DP36" s="154"/>
      <c r="DQ36" s="206"/>
      <c r="DR36" s="208"/>
      <c r="DS36" s="208"/>
      <c r="DT36" s="208"/>
      <c r="DU36" s="208"/>
      <c r="DV36" s="208"/>
      <c r="DW36" s="208"/>
      <c r="DX36" s="208"/>
      <c r="DY36" s="208"/>
      <c r="DZ36" s="208"/>
      <c r="EA36" s="208"/>
      <c r="EB36" s="208"/>
      <c r="EC36" s="208"/>
      <c r="ED36" s="208"/>
      <c r="EE36" s="208"/>
      <c r="EF36" s="208"/>
      <c r="EG36" s="226"/>
      <c r="EH36" s="208"/>
      <c r="EI36" s="208"/>
      <c r="EJ36" s="226"/>
      <c r="EK36" s="209"/>
      <c r="EL36" s="208"/>
      <c r="EM36" s="209"/>
      <c r="EN36" s="209"/>
      <c r="EO36" s="209"/>
      <c r="EP36" s="209"/>
      <c r="EQ36" s="209"/>
      <c r="ER36" s="209"/>
      <c r="ES36" s="209"/>
      <c r="ET36" s="209"/>
      <c r="EU36" s="209"/>
      <c r="EV36" s="210"/>
      <c r="EW36" s="209"/>
      <c r="EX36" s="210"/>
      <c r="EY36" s="154"/>
      <c r="EZ36" s="211"/>
      <c r="FA36" s="209"/>
      <c r="FB36" s="207"/>
      <c r="FC36" s="154"/>
      <c r="FD36" s="209"/>
      <c r="FE36" s="209"/>
      <c r="FF36" s="153"/>
    </row>
    <row r="37" spans="2:162" ht="12.75" customHeight="1">
      <c r="B37" s="10">
        <v>300</v>
      </c>
      <c r="C37" s="10">
        <v>8</v>
      </c>
      <c r="D37" s="10">
        <v>20</v>
      </c>
      <c r="E37" s="10">
        <v>20</v>
      </c>
      <c r="F37" s="10"/>
      <c r="H37" s="7"/>
      <c r="I37" s="47" t="str">
        <f>"- Cường độ tính toán theo kim loại biên nóng chảy:"</f>
        <v>- Cường độ tính toán theo kim loại biên nóng chảy:</v>
      </c>
      <c r="J37" s="47"/>
      <c r="K37" s="48"/>
      <c r="L37" s="51"/>
      <c r="M37" s="47"/>
      <c r="N37" s="50"/>
      <c r="O37" s="59" t="s">
        <v>17</v>
      </c>
      <c r="P37" s="57">
        <v>1</v>
      </c>
      <c r="Q37" s="55" t="s">
        <v>18</v>
      </c>
      <c r="R37" s="58">
        <f>0.45*R29</f>
        <v>171</v>
      </c>
      <c r="S37" s="9" t="s">
        <v>2</v>
      </c>
      <c r="AA37" s="140" t="s">
        <v>210</v>
      </c>
      <c r="AB37" s="140" t="s">
        <v>237</v>
      </c>
      <c r="AC37" s="140">
        <v>44</v>
      </c>
      <c r="AD37" s="133">
        <v>0.3</v>
      </c>
      <c r="AE37" s="151">
        <v>500</v>
      </c>
      <c r="AF37" s="152">
        <v>300</v>
      </c>
      <c r="AG37" s="152">
        <v>10</v>
      </c>
      <c r="AH37" s="152">
        <v>14</v>
      </c>
      <c r="AI37" s="152">
        <v>472</v>
      </c>
      <c r="AJ37" s="153" t="str" cm="1">
        <f t="array" ref="AJ37">_xll.Dce_Name_SectI(AE37, AE37, AF37, AG37, AH37, "x", "-", "H Tổng")</f>
        <v>500x300x10x14</v>
      </c>
      <c r="AK37" s="161">
        <f t="shared" si="6"/>
        <v>760</v>
      </c>
      <c r="AL37" s="162" cm="1">
        <f t="array" ref="AL37">IFERROR(INDEX($B$25:$B$32,IFERROR(MATCH(AF37,$B$25:$B$32,0),MATCH(AF37,$B$25:$B$32,1)+1)),$B$25)</f>
        <v>300</v>
      </c>
      <c r="AM37" s="162" cm="1">
        <f t="array" ref="AM37">IFERROR(VLOOKUP(AE37,$B$36:$E$47,4,FALSE),INDEX($E$36:$E$47,MATCH(AE37,$B$36:$B$47,1)+1))</f>
        <v>25</v>
      </c>
      <c r="AN37" s="162" cm="1">
        <f t="array" ref="AN37">IFERROR(VLOOKUP(AE37,$B$36:$E$47,2,FALSE),INDEX($C$36:$C$47,MATCH(AE37,$B$36:$B$47,1)+1))</f>
        <v>8</v>
      </c>
      <c r="AO37" s="162" cm="1">
        <f t="array" ref="AO37">IFERROR(VLOOKUP(AE37,$B$36:$E$47,3,FALSE),INDEX($D$36:$D$47,MATCH(AE37,$B$36:$B$47,1)+1))</f>
        <v>24</v>
      </c>
      <c r="AP37" s="163" t="str">
        <f t="shared" si="7"/>
        <v>760x300x25 + 8M24</v>
      </c>
      <c r="AQ37" s="140" t="s">
        <v>249</v>
      </c>
      <c r="AR37" s="151">
        <v>0</v>
      </c>
      <c r="AS37" s="151">
        <v>-227.92534622662407</v>
      </c>
      <c r="AT37" s="151">
        <v>-1.542503014206886E-13</v>
      </c>
      <c r="AU37" s="151">
        <v>-2.1309149473195048E-3</v>
      </c>
      <c r="AV37" s="151">
        <v>-3.0041555874049654E-13</v>
      </c>
      <c r="AW37" s="151">
        <v>-428.20850653048029</v>
      </c>
      <c r="BA37" s="161">
        <f t="shared" si="8"/>
        <v>60</v>
      </c>
      <c r="BB37" s="161">
        <f t="shared" si="9"/>
        <v>70</v>
      </c>
      <c r="BC37" s="161">
        <f t="shared" si="10"/>
        <v>80</v>
      </c>
      <c r="BD37" s="161">
        <f t="shared" si="11"/>
        <v>150</v>
      </c>
      <c r="BE37" s="161">
        <f>HLOOKUP(AO37,Data!$H$31:$Q$35,3,FALSE)</f>
        <v>452.38934211693021</v>
      </c>
      <c r="BF37" s="161">
        <f>HLOOKUP(AO37,Data!$H$31:$Q$35,4,FALSE)</f>
        <v>353</v>
      </c>
      <c r="BG37" s="179">
        <f t="shared" si="12"/>
        <v>150</v>
      </c>
      <c r="BH37" s="185">
        <f t="shared" si="13"/>
        <v>121.65654188208487</v>
      </c>
      <c r="BI37" s="185">
        <f t="shared" si="14"/>
        <v>243</v>
      </c>
      <c r="BJ37" s="185">
        <f t="shared" si="15"/>
        <v>142.3296</v>
      </c>
      <c r="BK37" s="185">
        <f t="shared" si="16"/>
        <v>28.34927451087237</v>
      </c>
      <c r="BL37" s="186">
        <f t="shared" si="17"/>
        <v>0.94666666666666666</v>
      </c>
      <c r="BM37" s="186">
        <f t="shared" si="18"/>
        <v>0.24615541649920034</v>
      </c>
      <c r="BN37" s="185" t="str">
        <f t="shared" si="19"/>
        <v>OK</v>
      </c>
      <c r="BO37" s="185" cm="1">
        <f t="array" ref="BO37">_xll.DCEBoltDisRS(AN37, AE37, BA37, BB37, BC37, BD37, "h1")</f>
        <v>640</v>
      </c>
      <c r="BP37" s="185" cm="1">
        <f t="array" ref="BP37">_xll.DCEBoltDisRS(AN37, AE37, BA37, BB37, BC37, BD37, "Tong")</f>
        <v>672200</v>
      </c>
      <c r="BQ37" s="185">
        <f t="shared" si="20"/>
        <v>206.68307099430902</v>
      </c>
      <c r="BR37" s="186">
        <f t="shared" si="21"/>
        <v>1.452143974228193</v>
      </c>
      <c r="BS37" s="185" t="str">
        <f t="shared" si="22"/>
        <v>O/S</v>
      </c>
      <c r="BT37" s="186">
        <f t="shared" si="23"/>
        <v>1.4707221913378901</v>
      </c>
      <c r="BU37" s="185" t="str">
        <f t="shared" si="24"/>
        <v>O/S</v>
      </c>
      <c r="BV37" s="190">
        <f t="shared" si="25"/>
        <v>856.41701306096058</v>
      </c>
      <c r="BW37" s="191">
        <f t="shared" si="26"/>
        <v>16.057818994893012</v>
      </c>
      <c r="BX37" s="190">
        <f t="shared" si="27"/>
        <v>428.20850653048029</v>
      </c>
      <c r="BY37" s="167">
        <f t="shared" si="28"/>
        <v>202.8356083565433</v>
      </c>
      <c r="BZ37" s="192">
        <f t="shared" si="29"/>
        <v>0.9860064295109745</v>
      </c>
      <c r="CA37" s="191">
        <f t="shared" si="30"/>
        <v>22.537289817393699</v>
      </c>
      <c r="CB37" s="193">
        <f t="shared" si="31"/>
        <v>0.1888901205959721</v>
      </c>
      <c r="CC37" s="167">
        <f t="shared" si="32"/>
        <v>206.55767309472822</v>
      </c>
      <c r="CD37" s="191">
        <f t="shared" si="33"/>
        <v>0.87313026066612187</v>
      </c>
      <c r="CE37" s="189">
        <f t="shared" si="34"/>
        <v>0.9860064295109745</v>
      </c>
      <c r="CF37" s="194" t="str">
        <f t="shared" si="35"/>
        <v>OK</v>
      </c>
      <c r="DA37" s="206"/>
      <c r="DB37" s="206"/>
      <c r="DC37" s="206"/>
      <c r="DD37" s="207"/>
      <c r="DE37" s="208"/>
      <c r="DF37" s="154"/>
      <c r="DG37" s="154"/>
      <c r="DH37" s="154"/>
      <c r="DI37" s="154"/>
      <c r="DJ37" s="154"/>
      <c r="DK37" s="208"/>
      <c r="DL37" s="154"/>
      <c r="DM37" s="154"/>
      <c r="DN37" s="154"/>
      <c r="DO37" s="154"/>
      <c r="DP37" s="154"/>
      <c r="DQ37" s="206"/>
      <c r="DR37" s="208"/>
      <c r="DS37" s="208"/>
      <c r="DT37" s="208"/>
      <c r="DU37" s="208"/>
      <c r="DV37" s="208"/>
      <c r="DW37" s="208"/>
      <c r="DX37" s="208"/>
      <c r="DY37" s="208"/>
      <c r="DZ37" s="208"/>
      <c r="EA37" s="208"/>
      <c r="EB37" s="208"/>
      <c r="EC37" s="208"/>
      <c r="ED37" s="208"/>
      <c r="EE37" s="208"/>
      <c r="EF37" s="208"/>
      <c r="EG37" s="226"/>
      <c r="EH37" s="208"/>
      <c r="EI37" s="208"/>
      <c r="EJ37" s="226"/>
      <c r="EK37" s="209"/>
      <c r="EL37" s="208"/>
      <c r="EM37" s="209"/>
      <c r="EN37" s="209"/>
      <c r="EO37" s="209"/>
      <c r="EP37" s="209"/>
      <c r="EQ37" s="209"/>
      <c r="ER37" s="209"/>
      <c r="ES37" s="209"/>
      <c r="ET37" s="209"/>
      <c r="EU37" s="209"/>
      <c r="EV37" s="210"/>
      <c r="EW37" s="209"/>
      <c r="EX37" s="210"/>
      <c r="EY37" s="154"/>
      <c r="EZ37" s="211"/>
      <c r="FA37" s="209"/>
      <c r="FB37" s="207"/>
      <c r="FC37" s="154"/>
      <c r="FD37" s="209"/>
      <c r="FE37" s="209"/>
      <c r="FF37" s="153"/>
    </row>
    <row r="38" spans="2:162" ht="12.75" customHeight="1">
      <c r="B38" s="10">
        <v>350</v>
      </c>
      <c r="C38" s="10">
        <v>8</v>
      </c>
      <c r="D38" s="10">
        <v>16</v>
      </c>
      <c r="E38" s="10">
        <v>20</v>
      </c>
      <c r="F38" s="10"/>
      <c r="H38" s="7"/>
      <c r="I38" s="47" t="str">
        <f>"- Hệ số điều kiện làm việc :"</f>
        <v>- Hệ số điều kiện làm việc :</v>
      </c>
      <c r="J38" s="47"/>
      <c r="K38" s="48"/>
      <c r="L38" s="51"/>
      <c r="M38" s="47"/>
      <c r="N38" s="50"/>
      <c r="O38" s="50"/>
      <c r="P38" s="50"/>
      <c r="Q38" s="59" t="s">
        <v>11</v>
      </c>
      <c r="R38" s="52">
        <v>0.9</v>
      </c>
      <c r="S38" s="9" t="s">
        <v>2</v>
      </c>
      <c r="AA38" s="140" t="s">
        <v>210</v>
      </c>
      <c r="AB38" s="140" t="s">
        <v>237</v>
      </c>
      <c r="AC38" s="140">
        <v>44</v>
      </c>
      <c r="AD38" s="133">
        <v>3</v>
      </c>
      <c r="AE38" s="151">
        <v>500</v>
      </c>
      <c r="AF38" s="152">
        <v>300</v>
      </c>
      <c r="AG38" s="152">
        <v>10</v>
      </c>
      <c r="AH38" s="152">
        <v>14</v>
      </c>
      <c r="AI38" s="152">
        <v>472</v>
      </c>
      <c r="AJ38" s="153" t="str" cm="1">
        <f t="array" ref="AJ38">_xll.Dce_Name_SectI(AE38, AE38, AF38, AG38, AH38, "x", "-", "H Tổng")</f>
        <v>500x300x10x14</v>
      </c>
      <c r="AK38" s="161">
        <f t="shared" si="6"/>
        <v>760</v>
      </c>
      <c r="AL38" s="162" cm="1">
        <f t="array" ref="AL38">IFERROR(INDEX($B$25:$B$32,IFERROR(MATCH(AF38,$B$25:$B$32,0),MATCH(AF38,$B$25:$B$32,1)+1)),$B$25)</f>
        <v>300</v>
      </c>
      <c r="AM38" s="162" cm="1">
        <f t="array" ref="AM38">IFERROR(VLOOKUP(AE38,$B$36:$E$47,4,FALSE),INDEX($E$36:$E$47,MATCH(AE38,$B$36:$B$47,1)+1))</f>
        <v>25</v>
      </c>
      <c r="AN38" s="162" cm="1">
        <f t="array" ref="AN38">IFERROR(VLOOKUP(AE38,$B$36:$E$47,2,FALSE),INDEX($C$36:$C$47,MATCH(AE38,$B$36:$B$47,1)+1))</f>
        <v>8</v>
      </c>
      <c r="AO38" s="162" cm="1">
        <f t="array" ref="AO38">IFERROR(VLOOKUP(AE38,$B$36:$E$47,3,FALSE),INDEX($D$36:$D$47,MATCH(AE38,$B$36:$B$47,1)+1))</f>
        <v>24</v>
      </c>
      <c r="AP38" s="163" t="str">
        <f t="shared" si="7"/>
        <v>760x300x25 + 8M24</v>
      </c>
      <c r="AQ38" s="140" t="s">
        <v>249</v>
      </c>
      <c r="AR38" s="151">
        <v>0</v>
      </c>
      <c r="AS38" s="151">
        <v>-152.82874629110597</v>
      </c>
      <c r="AT38" s="151">
        <v>-8.7766238721087552E-14</v>
      </c>
      <c r="AU38" s="151">
        <v>-2.1302744169116252E-3</v>
      </c>
      <c r="AV38" s="151">
        <v>6.4978121372405401E-14</v>
      </c>
      <c r="AW38" s="151">
        <v>103.76115476034022</v>
      </c>
      <c r="BA38" s="161">
        <f t="shared" si="8"/>
        <v>60</v>
      </c>
      <c r="BB38" s="161">
        <f t="shared" si="9"/>
        <v>70</v>
      </c>
      <c r="BC38" s="161">
        <f t="shared" si="10"/>
        <v>80</v>
      </c>
      <c r="BD38" s="161">
        <f t="shared" si="11"/>
        <v>150</v>
      </c>
      <c r="BE38" s="161">
        <f>HLOOKUP(AO38,Data!$H$31:$Q$35,3,FALSE)</f>
        <v>452.38934211693021</v>
      </c>
      <c r="BF38" s="161">
        <f>HLOOKUP(AO38,Data!$H$31:$Q$35,4,FALSE)</f>
        <v>353</v>
      </c>
      <c r="BG38" s="179">
        <f t="shared" si="12"/>
        <v>150</v>
      </c>
      <c r="BH38" s="185">
        <f t="shared" si="13"/>
        <v>121.65654188208487</v>
      </c>
      <c r="BI38" s="185">
        <f t="shared" si="14"/>
        <v>243</v>
      </c>
      <c r="BJ38" s="185">
        <f t="shared" si="15"/>
        <v>142.3296</v>
      </c>
      <c r="BK38" s="185">
        <f t="shared" si="16"/>
        <v>19.008785786602175</v>
      </c>
      <c r="BL38" s="186">
        <f t="shared" si="17"/>
        <v>0.94666666666666666</v>
      </c>
      <c r="BM38" s="186">
        <f t="shared" si="18"/>
        <v>0.16505239245719064</v>
      </c>
      <c r="BN38" s="185" t="str">
        <f t="shared" si="19"/>
        <v>OK</v>
      </c>
      <c r="BO38" s="185" cm="1">
        <f t="array" ref="BO38">_xll.DCEBoltDisRS(AN38, AE38, BA38, BB38, BC38, BD38, "h1")</f>
        <v>640</v>
      </c>
      <c r="BP38" s="185" cm="1">
        <f t="array" ref="BP38">_xll.DCEBoltDisRS(AN38, AE38, BA38, BB38, BC38, BD38, "Tong")</f>
        <v>672200</v>
      </c>
      <c r="BQ38" s="185">
        <f t="shared" si="20"/>
        <v>51.296251270283051</v>
      </c>
      <c r="BR38" s="186">
        <f t="shared" si="21"/>
        <v>0.36040466122495285</v>
      </c>
      <c r="BS38" s="185" t="str">
        <f t="shared" si="22"/>
        <v>OK</v>
      </c>
      <c r="BT38" s="186">
        <f t="shared" si="23"/>
        <v>0.39281733257086138</v>
      </c>
      <c r="BU38" s="185" t="str">
        <f t="shared" si="24"/>
        <v>OK</v>
      </c>
      <c r="BV38" s="190">
        <f t="shared" si="25"/>
        <v>207.52230952068044</v>
      </c>
      <c r="BW38" s="191">
        <f t="shared" si="26"/>
        <v>3.8910433035127578</v>
      </c>
      <c r="BX38" s="190">
        <f t="shared" si="27"/>
        <v>103.76115476034022</v>
      </c>
      <c r="BY38" s="167">
        <f t="shared" si="28"/>
        <v>49.150020675950621</v>
      </c>
      <c r="BZ38" s="192">
        <f t="shared" si="29"/>
        <v>0.23892371161920442</v>
      </c>
      <c r="CA38" s="191">
        <f t="shared" si="30"/>
        <v>5.4611134084389583</v>
      </c>
      <c r="CB38" s="193">
        <f t="shared" si="31"/>
        <v>4.5770825980690509E-2</v>
      </c>
      <c r="CC38" s="167">
        <f t="shared" si="32"/>
        <v>50.051931145819623</v>
      </c>
      <c r="CD38" s="191">
        <f t="shared" si="33"/>
        <v>0.2115721727178366</v>
      </c>
      <c r="CE38" s="189">
        <f t="shared" si="34"/>
        <v>0.23892371161920442</v>
      </c>
      <c r="CF38" s="194" t="str">
        <f t="shared" si="35"/>
        <v>OK</v>
      </c>
      <c r="DA38" s="206"/>
      <c r="DB38" s="206"/>
      <c r="DC38" s="206"/>
      <c r="DD38" s="207"/>
      <c r="DE38" s="208"/>
      <c r="DF38" s="154"/>
      <c r="DG38" s="154"/>
      <c r="DH38" s="154"/>
      <c r="DI38" s="154"/>
      <c r="DJ38" s="154"/>
      <c r="DK38" s="208"/>
      <c r="DL38" s="154"/>
      <c r="DM38" s="154"/>
      <c r="DN38" s="154"/>
      <c r="DO38" s="154"/>
      <c r="DP38" s="154"/>
      <c r="DQ38" s="206"/>
      <c r="DR38" s="208"/>
      <c r="DS38" s="208"/>
      <c r="DT38" s="208"/>
      <c r="DU38" s="208"/>
      <c r="DV38" s="208"/>
      <c r="DW38" s="208"/>
      <c r="DX38" s="208"/>
      <c r="DY38" s="208"/>
      <c r="DZ38" s="208"/>
      <c r="EA38" s="208"/>
      <c r="EB38" s="208"/>
      <c r="EC38" s="208"/>
      <c r="ED38" s="208"/>
      <c r="EE38" s="208"/>
      <c r="EF38" s="208"/>
      <c r="EG38" s="226"/>
      <c r="EH38" s="208"/>
      <c r="EI38" s="208"/>
      <c r="EJ38" s="226"/>
      <c r="EK38" s="209"/>
      <c r="EL38" s="208"/>
      <c r="EM38" s="209"/>
      <c r="EN38" s="209"/>
      <c r="EO38" s="209"/>
      <c r="EP38" s="209"/>
      <c r="EQ38" s="209"/>
      <c r="ER38" s="209"/>
      <c r="ES38" s="209"/>
      <c r="ET38" s="209"/>
      <c r="EU38" s="209"/>
      <c r="EV38" s="210"/>
      <c r="EW38" s="209"/>
      <c r="EX38" s="210"/>
      <c r="EY38" s="154"/>
      <c r="EZ38" s="211"/>
      <c r="FA38" s="209"/>
      <c r="FB38" s="207"/>
      <c r="FC38" s="154"/>
      <c r="FD38" s="209"/>
      <c r="FE38" s="209"/>
      <c r="FF38" s="153"/>
    </row>
    <row r="39" spans="2:162" ht="12.75" customHeight="1">
      <c r="B39" s="10">
        <v>400</v>
      </c>
      <c r="C39" s="10">
        <v>8</v>
      </c>
      <c r="D39" s="10">
        <v>20</v>
      </c>
      <c r="E39" s="10">
        <v>25</v>
      </c>
      <c r="F39" s="10"/>
      <c r="H39" s="7"/>
      <c r="I39" s="47" t="str">
        <f>"- Cường độ tính toán của đường hàn:"</f>
        <v>- Cường độ tính toán của đường hàn:</v>
      </c>
      <c r="J39" s="47"/>
      <c r="K39" s="48"/>
      <c r="L39" s="51"/>
      <c r="M39" s="47"/>
      <c r="N39" s="50"/>
      <c r="O39" s="59"/>
      <c r="P39" s="52"/>
      <c r="Q39" s="55" t="s">
        <v>141</v>
      </c>
      <c r="R39" s="57">
        <f>MIN(P36*R36,P37*R37)*R38</f>
        <v>126</v>
      </c>
      <c r="S39" s="9" t="s">
        <v>2</v>
      </c>
      <c r="AA39" s="140" t="s">
        <v>210</v>
      </c>
      <c r="AB39" s="140" t="s">
        <v>237</v>
      </c>
      <c r="AC39" s="140">
        <v>44</v>
      </c>
      <c r="AD39" s="133">
        <v>0.3</v>
      </c>
      <c r="AE39" s="151">
        <v>500</v>
      </c>
      <c r="AF39" s="152">
        <v>300</v>
      </c>
      <c r="AG39" s="152">
        <v>10</v>
      </c>
      <c r="AH39" s="152">
        <v>14</v>
      </c>
      <c r="AI39" s="152">
        <v>472</v>
      </c>
      <c r="AJ39" s="153" t="str" cm="1">
        <f t="array" ref="AJ39">_xll.Dce_Name_SectI(AE39, AE39, AF39, AG39, AH39, "x", "-", "H Tổng")</f>
        <v>500x300x10x14</v>
      </c>
      <c r="AK39" s="161">
        <f t="shared" si="6"/>
        <v>760</v>
      </c>
      <c r="AL39" s="162" cm="1">
        <f t="array" ref="AL39">IFERROR(INDEX($B$25:$B$32,IFERROR(MATCH(AF39,$B$25:$B$32,0),MATCH(AF39,$B$25:$B$32,1)+1)),$B$25)</f>
        <v>300</v>
      </c>
      <c r="AM39" s="162" cm="1">
        <f t="array" ref="AM39">IFERROR(VLOOKUP(AE39,$B$36:$E$47,4,FALSE),INDEX($E$36:$E$47,MATCH(AE39,$B$36:$B$47,1)+1))</f>
        <v>25</v>
      </c>
      <c r="AN39" s="162" cm="1">
        <f t="array" ref="AN39">IFERROR(VLOOKUP(AE39,$B$36:$E$47,2,FALSE),INDEX($C$36:$C$47,MATCH(AE39,$B$36:$B$47,1)+1))</f>
        <v>8</v>
      </c>
      <c r="AO39" s="162" cm="1">
        <f t="array" ref="AO39">IFERROR(VLOOKUP(AE39,$B$36:$E$47,3,FALSE),INDEX($D$36:$D$47,MATCH(AE39,$B$36:$B$47,1)+1))</f>
        <v>24</v>
      </c>
      <c r="AP39" s="163" t="str">
        <f t="shared" si="7"/>
        <v>760x300x25 + 8M24</v>
      </c>
      <c r="AQ39" s="140" t="s">
        <v>250</v>
      </c>
      <c r="AR39" s="151">
        <v>0</v>
      </c>
      <c r="AS39" s="151">
        <v>-227.29251244891134</v>
      </c>
      <c r="AT39" s="151">
        <v>-1.5379555406980214E-13</v>
      </c>
      <c r="AU39" s="151">
        <v>-2.1562346022872608E-3</v>
      </c>
      <c r="AV39" s="151">
        <v>-2.9577440727734926E-13</v>
      </c>
      <c r="AW39" s="151">
        <v>-421.4747994904597</v>
      </c>
      <c r="BA39" s="161">
        <f t="shared" si="8"/>
        <v>60</v>
      </c>
      <c r="BB39" s="161">
        <f t="shared" si="9"/>
        <v>70</v>
      </c>
      <c r="BC39" s="161">
        <f t="shared" si="10"/>
        <v>80</v>
      </c>
      <c r="BD39" s="161">
        <f t="shared" si="11"/>
        <v>150</v>
      </c>
      <c r="BE39" s="161">
        <f>HLOOKUP(AO39,Data!$H$31:$Q$35,3,FALSE)</f>
        <v>452.38934211693021</v>
      </c>
      <c r="BF39" s="161">
        <f>HLOOKUP(AO39,Data!$H$31:$Q$35,4,FALSE)</f>
        <v>353</v>
      </c>
      <c r="BG39" s="179">
        <f t="shared" si="12"/>
        <v>150</v>
      </c>
      <c r="BH39" s="185">
        <f t="shared" si="13"/>
        <v>121.65654188208487</v>
      </c>
      <c r="BI39" s="185">
        <f t="shared" si="14"/>
        <v>243</v>
      </c>
      <c r="BJ39" s="185">
        <f t="shared" si="15"/>
        <v>142.3296</v>
      </c>
      <c r="BK39" s="185">
        <f t="shared" si="16"/>
        <v>28.270562867866715</v>
      </c>
      <c r="BL39" s="186">
        <f t="shared" si="17"/>
        <v>0.94666666666666666</v>
      </c>
      <c r="BM39" s="186">
        <f t="shared" si="18"/>
        <v>0.24547196700704624</v>
      </c>
      <c r="BN39" s="185" t="str">
        <f t="shared" si="19"/>
        <v>OK</v>
      </c>
      <c r="BO39" s="185" cm="1">
        <f t="array" ref="BO39">_xll.DCEBoltDisRS(AN39, AE39, BA39, BB39, BC39, BD39, "h1")</f>
        <v>640</v>
      </c>
      <c r="BP39" s="185" cm="1">
        <f t="array" ref="BP39">_xll.DCEBoltDisRS(AN39, AE39, BA39, BB39, BC39, BD39, "Tong")</f>
        <v>672200</v>
      </c>
      <c r="BQ39" s="185">
        <f t="shared" si="20"/>
        <v>203.46962670771364</v>
      </c>
      <c r="BR39" s="186">
        <f t="shared" si="21"/>
        <v>1.4295664900885947</v>
      </c>
      <c r="BS39" s="185" t="str">
        <f t="shared" si="22"/>
        <v>O/S</v>
      </c>
      <c r="BT39" s="186">
        <f t="shared" si="23"/>
        <v>1.4483303745450617</v>
      </c>
      <c r="BU39" s="185" t="str">
        <f t="shared" si="24"/>
        <v>O/S</v>
      </c>
      <c r="BV39" s="190">
        <f t="shared" si="25"/>
        <v>842.9495989809194</v>
      </c>
      <c r="BW39" s="191">
        <f t="shared" si="26"/>
        <v>15.805304980892238</v>
      </c>
      <c r="BX39" s="190">
        <f t="shared" si="27"/>
        <v>421.4747994904597</v>
      </c>
      <c r="BY39" s="167">
        <f t="shared" si="28"/>
        <v>199.64595765337563</v>
      </c>
      <c r="BZ39" s="192">
        <f t="shared" si="29"/>
        <v>0.97050118303724275</v>
      </c>
      <c r="CA39" s="191">
        <f t="shared" si="30"/>
        <v>22.182884183708406</v>
      </c>
      <c r="CB39" s="193">
        <f t="shared" si="31"/>
        <v>0.1859197668653722</v>
      </c>
      <c r="CC39" s="167">
        <f t="shared" si="32"/>
        <v>203.3094918085649</v>
      </c>
      <c r="CD39" s="191">
        <f t="shared" si="33"/>
        <v>0.85940002576084218</v>
      </c>
      <c r="CE39" s="189">
        <f t="shared" si="34"/>
        <v>0.97050118303724275</v>
      </c>
      <c r="CF39" s="194" t="str">
        <f t="shared" si="35"/>
        <v>OK</v>
      </c>
      <c r="DA39" s="206"/>
      <c r="DB39" s="206"/>
      <c r="DC39" s="206"/>
      <c r="DD39" s="207"/>
      <c r="DE39" s="208"/>
      <c r="DF39" s="154"/>
      <c r="DG39" s="154"/>
      <c r="DH39" s="154"/>
      <c r="DI39" s="154"/>
      <c r="DJ39" s="154"/>
      <c r="DK39" s="208"/>
      <c r="DL39" s="154"/>
      <c r="DM39" s="154"/>
      <c r="DN39" s="154"/>
      <c r="DO39" s="154"/>
      <c r="DP39" s="154"/>
      <c r="DQ39" s="206"/>
      <c r="DR39" s="208"/>
      <c r="DS39" s="208"/>
      <c r="DT39" s="208"/>
      <c r="DU39" s="208"/>
      <c r="DV39" s="208"/>
      <c r="DW39" s="208"/>
      <c r="DX39" s="208"/>
      <c r="DY39" s="208"/>
      <c r="DZ39" s="208"/>
      <c r="EA39" s="208"/>
      <c r="EB39" s="208"/>
      <c r="EC39" s="208"/>
      <c r="ED39" s="208"/>
      <c r="EE39" s="208"/>
      <c r="EF39" s="208"/>
      <c r="EG39" s="226"/>
      <c r="EH39" s="208"/>
      <c r="EI39" s="208"/>
      <c r="EJ39" s="226"/>
      <c r="EK39" s="209"/>
      <c r="EL39" s="208"/>
      <c r="EM39" s="209"/>
      <c r="EN39" s="209"/>
      <c r="EO39" s="209"/>
      <c r="EP39" s="209"/>
      <c r="EQ39" s="209"/>
      <c r="ER39" s="209"/>
      <c r="ES39" s="209"/>
      <c r="ET39" s="209"/>
      <c r="EU39" s="209"/>
      <c r="EV39" s="210"/>
      <c r="EW39" s="209"/>
      <c r="EX39" s="210"/>
      <c r="EY39" s="154"/>
      <c r="EZ39" s="211"/>
      <c r="FA39" s="209"/>
      <c r="FB39" s="207"/>
      <c r="FC39" s="154"/>
      <c r="FD39" s="209"/>
      <c r="FE39" s="209"/>
      <c r="FF39" s="153"/>
    </row>
    <row r="40" spans="2:162" ht="12.75" customHeight="1">
      <c r="B40" s="10">
        <v>450</v>
      </c>
      <c r="C40" s="10">
        <v>8</v>
      </c>
      <c r="D40" s="10">
        <v>20</v>
      </c>
      <c r="E40" s="10">
        <v>25</v>
      </c>
      <c r="F40" s="10"/>
      <c r="H40" s="6" t="s">
        <v>42</v>
      </c>
      <c r="I40" s="47"/>
      <c r="J40" s="47"/>
      <c r="K40" s="47"/>
      <c r="L40" s="47"/>
      <c r="M40" s="47"/>
      <c r="N40" s="47"/>
      <c r="O40" s="49"/>
      <c r="P40" s="47"/>
      <c r="Q40" s="50"/>
      <c r="R40" s="50"/>
      <c r="S40" s="5"/>
      <c r="AA40" s="140" t="s">
        <v>210</v>
      </c>
      <c r="AB40" s="140" t="s">
        <v>237</v>
      </c>
      <c r="AC40" s="140">
        <v>44</v>
      </c>
      <c r="AD40" s="133">
        <v>3</v>
      </c>
      <c r="AE40" s="151">
        <v>500</v>
      </c>
      <c r="AF40" s="152">
        <v>300</v>
      </c>
      <c r="AG40" s="152">
        <v>10</v>
      </c>
      <c r="AH40" s="152">
        <v>14</v>
      </c>
      <c r="AI40" s="152">
        <v>472</v>
      </c>
      <c r="AJ40" s="153" t="str" cm="1">
        <f t="array" ref="AJ40">_xll.Dce_Name_SectI(AE40, AE40, AF40, AG40, AH40, "x", "-", "H Tổng")</f>
        <v>500x300x10x14</v>
      </c>
      <c r="AK40" s="161">
        <f t="shared" si="6"/>
        <v>760</v>
      </c>
      <c r="AL40" s="162" cm="1">
        <f t="array" ref="AL40">IFERROR(INDEX($B$25:$B$32,IFERROR(MATCH(AF40,$B$25:$B$32,0),MATCH(AF40,$B$25:$B$32,1)+1)),$B$25)</f>
        <v>300</v>
      </c>
      <c r="AM40" s="162" cm="1">
        <f t="array" ref="AM40">IFERROR(VLOOKUP(AE40,$B$36:$E$47,4,FALSE),INDEX($E$36:$E$47,MATCH(AE40,$B$36:$B$47,1)+1))</f>
        <v>25</v>
      </c>
      <c r="AN40" s="162" cm="1">
        <f t="array" ref="AN40">IFERROR(VLOOKUP(AE40,$B$36:$E$47,2,FALSE),INDEX($C$36:$C$47,MATCH(AE40,$B$36:$B$47,1)+1))</f>
        <v>8</v>
      </c>
      <c r="AO40" s="162" cm="1">
        <f t="array" ref="AO40">IFERROR(VLOOKUP(AE40,$B$36:$E$47,3,FALSE),INDEX($D$36:$D$47,MATCH(AE40,$B$36:$B$47,1)+1))</f>
        <v>24</v>
      </c>
      <c r="AP40" s="163" t="str">
        <f t="shared" si="7"/>
        <v>760x300x25 + 8M24</v>
      </c>
      <c r="AQ40" s="140" t="s">
        <v>250</v>
      </c>
      <c r="AR40" s="151">
        <v>0</v>
      </c>
      <c r="AS40" s="151">
        <v>-152.19591191192487</v>
      </c>
      <c r="AT40" s="151">
        <v>-8.7311491370201087E-14</v>
      </c>
      <c r="AU40" s="151">
        <v>-2.1555865622914722E-3</v>
      </c>
      <c r="AV40" s="151">
        <v>6.8440567702054943E-14</v>
      </c>
      <c r="AW40" s="151">
        <v>108.78617769163374</v>
      </c>
      <c r="BA40" s="161">
        <f t="shared" si="8"/>
        <v>60</v>
      </c>
      <c r="BB40" s="161">
        <f t="shared" si="9"/>
        <v>70</v>
      </c>
      <c r="BC40" s="161">
        <f t="shared" si="10"/>
        <v>80</v>
      </c>
      <c r="BD40" s="161">
        <f t="shared" si="11"/>
        <v>150</v>
      </c>
      <c r="BE40" s="161">
        <f>HLOOKUP(AO40,Data!$H$31:$Q$35,3,FALSE)</f>
        <v>452.38934211693021</v>
      </c>
      <c r="BF40" s="161">
        <f>HLOOKUP(AO40,Data!$H$31:$Q$35,4,FALSE)</f>
        <v>353</v>
      </c>
      <c r="BG40" s="179">
        <f t="shared" si="12"/>
        <v>150</v>
      </c>
      <c r="BH40" s="185">
        <f t="shared" si="13"/>
        <v>121.65654188208487</v>
      </c>
      <c r="BI40" s="185">
        <f t="shared" si="14"/>
        <v>243</v>
      </c>
      <c r="BJ40" s="185">
        <f t="shared" si="15"/>
        <v>142.3296</v>
      </c>
      <c r="BK40" s="185">
        <f t="shared" si="16"/>
        <v>18.930074068786091</v>
      </c>
      <c r="BL40" s="186">
        <f t="shared" si="17"/>
        <v>0.94666666666666666</v>
      </c>
      <c r="BM40" s="186">
        <f t="shared" si="18"/>
        <v>0.16436894231546109</v>
      </c>
      <c r="BN40" s="185" t="str">
        <f t="shared" si="19"/>
        <v>OK</v>
      </c>
      <c r="BO40" s="185" cm="1">
        <f t="array" ref="BO40">_xll.DCEBoltDisRS(AN40, AE40, BA40, BB40, BC40, BD40, "h1")</f>
        <v>640</v>
      </c>
      <c r="BP40" s="185" cm="1">
        <f t="array" ref="BP40">_xll.DCEBoltDisRS(AN40, AE40, BA40, BB40, BC40, BD40, "Tong")</f>
        <v>672200</v>
      </c>
      <c r="BQ40" s="185">
        <f t="shared" si="20"/>
        <v>53.680536209798568</v>
      </c>
      <c r="BR40" s="186">
        <f t="shared" si="21"/>
        <v>0.37715651705476982</v>
      </c>
      <c r="BS40" s="185" t="str">
        <f t="shared" si="22"/>
        <v>OK</v>
      </c>
      <c r="BT40" s="186">
        <f t="shared" si="23"/>
        <v>0.40799412628976978</v>
      </c>
      <c r="BU40" s="185" t="str">
        <f t="shared" si="24"/>
        <v>OK</v>
      </c>
      <c r="BV40" s="190">
        <f t="shared" si="25"/>
        <v>217.57235538326748</v>
      </c>
      <c r="BW40" s="191">
        <f t="shared" si="26"/>
        <v>4.0794816634362654</v>
      </c>
      <c r="BX40" s="190">
        <f t="shared" si="27"/>
        <v>108.78617769163374</v>
      </c>
      <c r="BY40" s="167">
        <f t="shared" si="28"/>
        <v>51.530294696037039</v>
      </c>
      <c r="BZ40" s="192">
        <f t="shared" si="29"/>
        <v>0.25049448810573566</v>
      </c>
      <c r="CA40" s="191">
        <f t="shared" si="30"/>
        <v>5.7255882995596705</v>
      </c>
      <c r="CB40" s="193">
        <f t="shared" si="31"/>
        <v>4.7987449828684983E-2</v>
      </c>
      <c r="CC40" s="167">
        <f t="shared" si="32"/>
        <v>52.475883561771369</v>
      </c>
      <c r="CD40" s="191">
        <f t="shared" si="33"/>
        <v>0.22181834838913023</v>
      </c>
      <c r="CE40" s="189">
        <f t="shared" si="34"/>
        <v>0.25049448810573566</v>
      </c>
      <c r="CF40" s="194" t="str">
        <f t="shared" si="35"/>
        <v>OK</v>
      </c>
      <c r="DA40" s="206"/>
      <c r="DB40" s="206"/>
      <c r="DC40" s="206"/>
      <c r="DD40" s="207"/>
      <c r="DE40" s="208"/>
      <c r="DF40" s="154"/>
      <c r="DG40" s="154"/>
      <c r="DH40" s="154"/>
      <c r="DI40" s="154"/>
      <c r="DJ40" s="154"/>
      <c r="DK40" s="208"/>
      <c r="DL40" s="154"/>
      <c r="DM40" s="154"/>
      <c r="DN40" s="154"/>
      <c r="DO40" s="154"/>
      <c r="DP40" s="154"/>
      <c r="DQ40" s="206"/>
      <c r="DR40" s="208"/>
      <c r="DS40" s="208"/>
      <c r="DT40" s="208"/>
      <c r="DU40" s="208"/>
      <c r="DV40" s="208"/>
      <c r="DW40" s="208"/>
      <c r="DX40" s="208"/>
      <c r="DY40" s="208"/>
      <c r="DZ40" s="208"/>
      <c r="EA40" s="208"/>
      <c r="EB40" s="208"/>
      <c r="EC40" s="208"/>
      <c r="ED40" s="208"/>
      <c r="EE40" s="208"/>
      <c r="EF40" s="208"/>
      <c r="EG40" s="226"/>
      <c r="EH40" s="208"/>
      <c r="EI40" s="208"/>
      <c r="EJ40" s="226"/>
      <c r="EK40" s="209"/>
      <c r="EL40" s="208"/>
      <c r="EM40" s="209"/>
      <c r="EN40" s="209"/>
      <c r="EO40" s="209"/>
      <c r="EP40" s="209"/>
      <c r="EQ40" s="209"/>
      <c r="ER40" s="209"/>
      <c r="ES40" s="209"/>
      <c r="ET40" s="209"/>
      <c r="EU40" s="209"/>
      <c r="EV40" s="210"/>
      <c r="EW40" s="209"/>
      <c r="EX40" s="210"/>
      <c r="EY40" s="154"/>
      <c r="EZ40" s="211"/>
      <c r="FA40" s="209"/>
      <c r="FB40" s="207"/>
      <c r="FC40" s="154"/>
      <c r="FD40" s="209"/>
      <c r="FE40" s="209"/>
      <c r="FF40" s="153"/>
    </row>
    <row r="41" spans="2:162" ht="12.75" customHeight="1">
      <c r="B41" s="10">
        <v>500</v>
      </c>
      <c r="C41" s="10">
        <v>8</v>
      </c>
      <c r="D41" s="10">
        <v>24</v>
      </c>
      <c r="E41" s="10">
        <v>25</v>
      </c>
      <c r="F41" s="10"/>
      <c r="H41" s="62"/>
      <c r="I41" s="47"/>
      <c r="J41" s="47"/>
      <c r="K41" s="50"/>
      <c r="L41" s="63" t="s">
        <v>43</v>
      </c>
      <c r="M41" s="47"/>
      <c r="N41" s="48"/>
      <c r="O41" s="49"/>
      <c r="P41" s="47"/>
      <c r="Q41" s="50"/>
      <c r="R41" s="50"/>
      <c r="S41" s="5"/>
      <c r="AA41" s="140" t="s">
        <v>210</v>
      </c>
      <c r="AB41" s="140" t="s">
        <v>237</v>
      </c>
      <c r="AC41" s="140">
        <v>44</v>
      </c>
      <c r="AD41" s="133">
        <v>0.3</v>
      </c>
      <c r="AE41" s="151">
        <v>500</v>
      </c>
      <c r="AF41" s="152">
        <v>300</v>
      </c>
      <c r="AG41" s="152">
        <v>10</v>
      </c>
      <c r="AH41" s="152">
        <v>14</v>
      </c>
      <c r="AI41" s="152">
        <v>472</v>
      </c>
      <c r="AJ41" s="153" t="str" cm="1">
        <f t="array" ref="AJ41">_xll.Dce_Name_SectI(AE41, AE41, AF41, AG41, AH41, "x", "-", "H Tổng")</f>
        <v>500x300x10x14</v>
      </c>
      <c r="AK41" s="161">
        <f t="shared" si="6"/>
        <v>760</v>
      </c>
      <c r="AL41" s="162" cm="1">
        <f t="array" ref="AL41">IFERROR(INDEX($B$25:$B$32,IFERROR(MATCH(AF41,$B$25:$B$32,0),MATCH(AF41,$B$25:$B$32,1)+1)),$B$25)</f>
        <v>300</v>
      </c>
      <c r="AM41" s="162" cm="1">
        <f t="array" ref="AM41">IFERROR(VLOOKUP(AE41,$B$36:$E$47,4,FALSE),INDEX($E$36:$E$47,MATCH(AE41,$B$36:$B$47,1)+1))</f>
        <v>25</v>
      </c>
      <c r="AN41" s="162" cm="1">
        <f t="array" ref="AN41">IFERROR(VLOOKUP(AE41,$B$36:$E$47,2,FALSE),INDEX($C$36:$C$47,MATCH(AE41,$B$36:$B$47,1)+1))</f>
        <v>8</v>
      </c>
      <c r="AO41" s="162" cm="1">
        <f t="array" ref="AO41">IFERROR(VLOOKUP(AE41,$B$36:$E$47,3,FALSE),INDEX($D$36:$D$47,MATCH(AE41,$B$36:$B$47,1)+1))</f>
        <v>24</v>
      </c>
      <c r="AP41" s="163" t="str">
        <f t="shared" si="7"/>
        <v>760x300x25 + 8M24</v>
      </c>
      <c r="AQ41" s="140" t="s">
        <v>251</v>
      </c>
      <c r="AR41" s="151">
        <v>0</v>
      </c>
      <c r="AS41" s="151">
        <v>-232.6214377464506</v>
      </c>
      <c r="AT41" s="151">
        <v>-1.5740511116746344E-13</v>
      </c>
      <c r="AU41" s="151">
        <v>-2.1091922725713502E-3</v>
      </c>
      <c r="AV41" s="151">
        <v>-3.1665737196817635E-13</v>
      </c>
      <c r="AW41" s="151">
        <v>-450.94104596770848</v>
      </c>
      <c r="BA41" s="161">
        <f t="shared" si="8"/>
        <v>60</v>
      </c>
      <c r="BB41" s="161">
        <f t="shared" si="9"/>
        <v>70</v>
      </c>
      <c r="BC41" s="161">
        <f t="shared" si="10"/>
        <v>80</v>
      </c>
      <c r="BD41" s="161">
        <f t="shared" si="11"/>
        <v>150</v>
      </c>
      <c r="BE41" s="161">
        <f>HLOOKUP(AO41,Data!$H$31:$Q$35,3,FALSE)</f>
        <v>452.38934211693021</v>
      </c>
      <c r="BF41" s="161">
        <f>HLOOKUP(AO41,Data!$H$31:$Q$35,4,FALSE)</f>
        <v>353</v>
      </c>
      <c r="BG41" s="179">
        <f t="shared" si="12"/>
        <v>150</v>
      </c>
      <c r="BH41" s="185">
        <f t="shared" si="13"/>
        <v>121.65654188208487</v>
      </c>
      <c r="BI41" s="185">
        <f t="shared" si="14"/>
        <v>243</v>
      </c>
      <c r="BJ41" s="185">
        <f t="shared" si="15"/>
        <v>142.3296</v>
      </c>
      <c r="BK41" s="185">
        <f t="shared" si="16"/>
        <v>28.933372724729512</v>
      </c>
      <c r="BL41" s="186">
        <f t="shared" si="17"/>
        <v>0.94666666666666666</v>
      </c>
      <c r="BM41" s="186">
        <f t="shared" si="18"/>
        <v>0.25122711380324608</v>
      </c>
      <c r="BN41" s="185" t="str">
        <f t="shared" si="19"/>
        <v>OK</v>
      </c>
      <c r="BO41" s="185" cm="1">
        <f t="array" ref="BO41">_xll.DCEBoltDisRS(AN41, AE41, BA41, BB41, BC41, BD41, "h1")</f>
        <v>640</v>
      </c>
      <c r="BP41" s="185" cm="1">
        <f t="array" ref="BP41">_xll.DCEBoltDisRS(AN41, AE41, BA41, BB41, BC41, BD41, "Tong")</f>
        <v>672200</v>
      </c>
      <c r="BQ41" s="185">
        <f t="shared" si="20"/>
        <v>217.56327882211102</v>
      </c>
      <c r="BR41" s="186">
        <f t="shared" si="21"/>
        <v>1.5285877204889988</v>
      </c>
      <c r="BS41" s="185" t="str">
        <f t="shared" si="22"/>
        <v>O/S</v>
      </c>
      <c r="BT41" s="186">
        <f t="shared" si="23"/>
        <v>1.5469785828748326</v>
      </c>
      <c r="BU41" s="185" t="str">
        <f t="shared" si="24"/>
        <v>O/S</v>
      </c>
      <c r="BV41" s="190">
        <f t="shared" si="25"/>
        <v>901.88209193541695</v>
      </c>
      <c r="BW41" s="191">
        <f t="shared" si="26"/>
        <v>16.910289223789068</v>
      </c>
      <c r="BX41" s="190">
        <f t="shared" si="27"/>
        <v>450.94104596770848</v>
      </c>
      <c r="BY41" s="167">
        <f t="shared" si="28"/>
        <v>213.60365335312508</v>
      </c>
      <c r="BZ41" s="192">
        <f t="shared" si="29"/>
        <v>1.0383510926888027</v>
      </c>
      <c r="CA41" s="191">
        <f t="shared" si="30"/>
        <v>23.733739261458339</v>
      </c>
      <c r="CB41" s="193">
        <f t="shared" si="31"/>
        <v>0.19891783384842959</v>
      </c>
      <c r="CC41" s="167">
        <f t="shared" si="32"/>
        <v>217.52331337995633</v>
      </c>
      <c r="CD41" s="191">
        <f t="shared" si="33"/>
        <v>0.91948260486696531</v>
      </c>
      <c r="CE41" s="189">
        <f t="shared" si="34"/>
        <v>1.0383510926888027</v>
      </c>
      <c r="CF41" s="194" t="str">
        <f t="shared" si="35"/>
        <v>O/S</v>
      </c>
      <c r="DA41" s="206"/>
      <c r="DB41" s="206"/>
      <c r="DC41" s="206"/>
      <c r="DD41" s="207"/>
      <c r="DE41" s="208"/>
      <c r="DF41" s="154"/>
      <c r="DG41" s="154"/>
      <c r="DH41" s="154"/>
      <c r="DI41" s="154"/>
      <c r="DJ41" s="154"/>
      <c r="DK41" s="208"/>
      <c r="DL41" s="154"/>
      <c r="DM41" s="154"/>
      <c r="DN41" s="154"/>
      <c r="DO41" s="154"/>
      <c r="DP41" s="154"/>
      <c r="DQ41" s="206"/>
      <c r="DR41" s="208"/>
      <c r="DS41" s="208"/>
      <c r="DT41" s="208"/>
      <c r="DU41" s="208"/>
      <c r="DV41" s="208"/>
      <c r="DW41" s="208"/>
      <c r="DX41" s="208"/>
      <c r="DY41" s="208"/>
      <c r="DZ41" s="208"/>
      <c r="EA41" s="208"/>
      <c r="EB41" s="208"/>
      <c r="EC41" s="208"/>
      <c r="ED41" s="208"/>
      <c r="EE41" s="208"/>
      <c r="EF41" s="208"/>
      <c r="EG41" s="226"/>
      <c r="EH41" s="208"/>
      <c r="EI41" s="208"/>
      <c r="EJ41" s="226"/>
      <c r="EK41" s="209"/>
      <c r="EL41" s="208"/>
      <c r="EM41" s="209"/>
      <c r="EN41" s="209"/>
      <c r="EO41" s="209"/>
      <c r="EP41" s="209"/>
      <c r="EQ41" s="209"/>
      <c r="ER41" s="209"/>
      <c r="ES41" s="209"/>
      <c r="ET41" s="209"/>
      <c r="EU41" s="209"/>
      <c r="EV41" s="210"/>
      <c r="EW41" s="209"/>
      <c r="EX41" s="210"/>
      <c r="EY41" s="154"/>
      <c r="EZ41" s="211"/>
      <c r="FA41" s="209"/>
      <c r="FB41" s="207"/>
      <c r="FC41" s="154"/>
      <c r="FD41" s="209"/>
      <c r="FE41" s="209"/>
      <c r="FF41" s="153"/>
    </row>
    <row r="42" spans="2:162" ht="12.75" customHeight="1">
      <c r="B42" s="10">
        <v>550</v>
      </c>
      <c r="C42" s="10">
        <v>8</v>
      </c>
      <c r="D42" s="10">
        <v>24</v>
      </c>
      <c r="E42" s="10">
        <v>25</v>
      </c>
      <c r="F42" s="10"/>
      <c r="H42" s="7"/>
      <c r="I42" s="50"/>
      <c r="J42" s="47"/>
      <c r="K42" s="48"/>
      <c r="L42" s="47"/>
      <c r="M42" s="47"/>
      <c r="N42" s="50"/>
      <c r="O42" s="50"/>
      <c r="P42" s="50"/>
      <c r="Q42" s="55" t="s">
        <v>111</v>
      </c>
      <c r="R42" s="52">
        <v>1100</v>
      </c>
      <c r="S42" s="9" t="s">
        <v>4</v>
      </c>
      <c r="AA42" s="140" t="s">
        <v>210</v>
      </c>
      <c r="AB42" s="140" t="s">
        <v>237</v>
      </c>
      <c r="AC42" s="140">
        <v>44</v>
      </c>
      <c r="AD42" s="133">
        <v>3</v>
      </c>
      <c r="AE42" s="151">
        <v>500</v>
      </c>
      <c r="AF42" s="152">
        <v>300</v>
      </c>
      <c r="AG42" s="152">
        <v>10</v>
      </c>
      <c r="AH42" s="152">
        <v>14</v>
      </c>
      <c r="AI42" s="152">
        <v>472</v>
      </c>
      <c r="AJ42" s="153" t="str" cm="1">
        <f t="array" ref="AJ42">_xll.Dce_Name_SectI(AE42, AE42, AF42, AG42, AH42, "x", "-", "H Tổng")</f>
        <v>500x300x10x14</v>
      </c>
      <c r="AK42" s="161">
        <f t="shared" si="6"/>
        <v>760</v>
      </c>
      <c r="AL42" s="162" cm="1">
        <f t="array" ref="AL42">IFERROR(INDEX($B$25:$B$32,IFERROR(MATCH(AF42,$B$25:$B$32,0),MATCH(AF42,$B$25:$B$32,1)+1)),$B$25)</f>
        <v>300</v>
      </c>
      <c r="AM42" s="162" cm="1">
        <f t="array" ref="AM42">IFERROR(VLOOKUP(AE42,$B$36:$E$47,4,FALSE),INDEX($E$36:$E$47,MATCH(AE42,$B$36:$B$47,1)+1))</f>
        <v>25</v>
      </c>
      <c r="AN42" s="162" cm="1">
        <f t="array" ref="AN42">IFERROR(VLOOKUP(AE42,$B$36:$E$47,2,FALSE),INDEX($C$36:$C$47,MATCH(AE42,$B$36:$B$47,1)+1))</f>
        <v>8</v>
      </c>
      <c r="AO42" s="162" cm="1">
        <f t="array" ref="AO42">IFERROR(VLOOKUP(AE42,$B$36:$E$47,3,FALSE),INDEX($D$36:$D$47,MATCH(AE42,$B$36:$B$47,1)+1))</f>
        <v>24</v>
      </c>
      <c r="AP42" s="163" t="str">
        <f t="shared" si="7"/>
        <v>760x300x25 + 8M24</v>
      </c>
      <c r="AQ42" s="140" t="s">
        <v>251</v>
      </c>
      <c r="AR42" s="151">
        <v>0</v>
      </c>
      <c r="AS42" s="151">
        <v>-157.52483569345978</v>
      </c>
      <c r="AT42" s="151">
        <v>-9.1290530690457652E-14</v>
      </c>
      <c r="AU42" s="151">
        <v>-2.1085583038116802E-3</v>
      </c>
      <c r="AV42" s="151">
        <v>5.8080286180484082E-14</v>
      </c>
      <c r="AW42" s="151">
        <v>93.707791324025692</v>
      </c>
      <c r="BA42" s="161">
        <f t="shared" si="8"/>
        <v>60</v>
      </c>
      <c r="BB42" s="161">
        <f t="shared" si="9"/>
        <v>70</v>
      </c>
      <c r="BC42" s="161">
        <f t="shared" si="10"/>
        <v>80</v>
      </c>
      <c r="BD42" s="161">
        <f t="shared" si="11"/>
        <v>150</v>
      </c>
      <c r="BE42" s="161">
        <f>HLOOKUP(AO42,Data!$H$31:$Q$35,3,FALSE)</f>
        <v>452.38934211693021</v>
      </c>
      <c r="BF42" s="161">
        <f>HLOOKUP(AO42,Data!$H$31:$Q$35,4,FALSE)</f>
        <v>353</v>
      </c>
      <c r="BG42" s="179">
        <f t="shared" si="12"/>
        <v>150</v>
      </c>
      <c r="BH42" s="185">
        <f t="shared" si="13"/>
        <v>121.65654188208487</v>
      </c>
      <c r="BI42" s="185">
        <f t="shared" si="14"/>
        <v>243</v>
      </c>
      <c r="BJ42" s="185">
        <f t="shared" si="15"/>
        <v>142.3296</v>
      </c>
      <c r="BK42" s="185">
        <f t="shared" si="16"/>
        <v>19.592883737088805</v>
      </c>
      <c r="BL42" s="186">
        <f t="shared" si="17"/>
        <v>0.94666666666666666</v>
      </c>
      <c r="BM42" s="186">
        <f t="shared" si="18"/>
        <v>0.17012408747440261</v>
      </c>
      <c r="BN42" s="185" t="str">
        <f t="shared" si="19"/>
        <v>OK</v>
      </c>
      <c r="BO42" s="185" cm="1">
        <f t="array" ref="BO42">_xll.DCEBoltDisRS(AN42, AE42, BA42, BB42, BC42, BD42, "h1")</f>
        <v>640</v>
      </c>
      <c r="BP42" s="185" cm="1">
        <f t="array" ref="BP42">_xll.DCEBoltDisRS(AN42, AE42, BA42, BB42, BC42, BD42, "Tong")</f>
        <v>672200</v>
      </c>
      <c r="BQ42" s="185">
        <f t="shared" si="20"/>
        <v>46.56876951576217</v>
      </c>
      <c r="BR42" s="186">
        <f t="shared" si="21"/>
        <v>0.32718963248517646</v>
      </c>
      <c r="BS42" s="185" t="str">
        <f t="shared" si="22"/>
        <v>OK</v>
      </c>
      <c r="BT42" s="186">
        <f t="shared" si="23"/>
        <v>0.36467851141963492</v>
      </c>
      <c r="BU42" s="185" t="str">
        <f t="shared" si="24"/>
        <v>OK</v>
      </c>
      <c r="BV42" s="190">
        <f t="shared" si="25"/>
        <v>187.41558264805138</v>
      </c>
      <c r="BW42" s="191">
        <f t="shared" si="26"/>
        <v>3.5140421746509634</v>
      </c>
      <c r="BX42" s="190">
        <f t="shared" si="27"/>
        <v>93.707791324025692</v>
      </c>
      <c r="BY42" s="167">
        <f t="shared" si="28"/>
        <v>44.387901153485856</v>
      </c>
      <c r="BZ42" s="192">
        <f t="shared" si="29"/>
        <v>0.21577451949611182</v>
      </c>
      <c r="CA42" s="191">
        <f t="shared" si="30"/>
        <v>4.9319890170539837</v>
      </c>
      <c r="CB42" s="193">
        <f t="shared" si="31"/>
        <v>4.1336114845998431E-2</v>
      </c>
      <c r="CC42" s="167">
        <f t="shared" si="32"/>
        <v>45.202425994681462</v>
      </c>
      <c r="CD42" s="191">
        <f t="shared" si="33"/>
        <v>0.19107305674080333</v>
      </c>
      <c r="CE42" s="189">
        <f t="shared" si="34"/>
        <v>0.21577451949611182</v>
      </c>
      <c r="CF42" s="194" t="str">
        <f t="shared" si="35"/>
        <v>OK</v>
      </c>
      <c r="DA42" s="206"/>
      <c r="DB42" s="206"/>
      <c r="DC42" s="206"/>
      <c r="DD42" s="207"/>
      <c r="DE42" s="208"/>
      <c r="DF42" s="154"/>
      <c r="DG42" s="154"/>
      <c r="DH42" s="154"/>
      <c r="DI42" s="154"/>
      <c r="DJ42" s="154"/>
      <c r="DK42" s="208"/>
      <c r="DL42" s="154"/>
      <c r="DM42" s="154"/>
      <c r="DN42" s="154"/>
      <c r="DO42" s="154"/>
      <c r="DP42" s="154"/>
      <c r="DQ42" s="206"/>
      <c r="DR42" s="208"/>
      <c r="DS42" s="208"/>
      <c r="DT42" s="208"/>
      <c r="DU42" s="208"/>
      <c r="DV42" s="208"/>
      <c r="DW42" s="208"/>
      <c r="DX42" s="208"/>
      <c r="DY42" s="208"/>
      <c r="DZ42" s="208"/>
      <c r="EA42" s="208"/>
      <c r="EB42" s="208"/>
      <c r="EC42" s="208"/>
      <c r="ED42" s="208"/>
      <c r="EE42" s="208"/>
      <c r="EF42" s="208"/>
      <c r="EG42" s="226"/>
      <c r="EH42" s="208"/>
      <c r="EI42" s="208"/>
      <c r="EJ42" s="226"/>
      <c r="EK42" s="209"/>
      <c r="EL42" s="208"/>
      <c r="EM42" s="209"/>
      <c r="EN42" s="209"/>
      <c r="EO42" s="209"/>
      <c r="EP42" s="209"/>
      <c r="EQ42" s="209"/>
      <c r="ER42" s="209"/>
      <c r="ES42" s="209"/>
      <c r="ET42" s="209"/>
      <c r="EU42" s="209"/>
      <c r="EV42" s="210"/>
      <c r="EW42" s="209"/>
      <c r="EX42" s="210"/>
      <c r="EY42" s="154"/>
      <c r="EZ42" s="211"/>
      <c r="FA42" s="209"/>
      <c r="FB42" s="207"/>
      <c r="FC42" s="154"/>
      <c r="FD42" s="209"/>
      <c r="FE42" s="209"/>
      <c r="FF42" s="153"/>
    </row>
    <row r="43" spans="2:162" ht="12.75" customHeight="1">
      <c r="B43" s="10">
        <v>600</v>
      </c>
      <c r="C43" s="10">
        <v>8</v>
      </c>
      <c r="D43" s="10">
        <v>24</v>
      </c>
      <c r="E43" s="10">
        <v>25</v>
      </c>
      <c r="F43" s="10"/>
      <c r="H43" s="7"/>
      <c r="I43" s="50"/>
      <c r="J43" s="47"/>
      <c r="K43" s="48"/>
      <c r="L43" s="47"/>
      <c r="M43" s="47"/>
      <c r="N43" s="50"/>
      <c r="O43" s="50"/>
      <c r="P43" s="54"/>
      <c r="Q43" s="55" t="s">
        <v>112</v>
      </c>
      <c r="R43" s="52">
        <v>350</v>
      </c>
      <c r="S43" s="9" t="s">
        <v>4</v>
      </c>
      <c r="AA43" s="140" t="s">
        <v>210</v>
      </c>
      <c r="AB43" s="140" t="s">
        <v>237</v>
      </c>
      <c r="AC43" s="140">
        <v>44</v>
      </c>
      <c r="AD43" s="133">
        <v>0.3</v>
      </c>
      <c r="AE43" s="151">
        <v>500</v>
      </c>
      <c r="AF43" s="152">
        <v>300</v>
      </c>
      <c r="AG43" s="152">
        <v>10</v>
      </c>
      <c r="AH43" s="152">
        <v>14</v>
      </c>
      <c r="AI43" s="152">
        <v>472</v>
      </c>
      <c r="AJ43" s="153" t="str" cm="1">
        <f t="array" ref="AJ43">_xll.Dce_Name_SectI(AE43, AE43, AF43, AG43, AH43, "x", "-", "H Tổng")</f>
        <v>500x300x10x14</v>
      </c>
      <c r="AK43" s="161">
        <f t="shared" si="6"/>
        <v>760</v>
      </c>
      <c r="AL43" s="162" cm="1">
        <f t="array" ref="AL43">IFERROR(INDEX($B$25:$B$32,IFERROR(MATCH(AF43,$B$25:$B$32,0),MATCH(AF43,$B$25:$B$32,1)+1)),$B$25)</f>
        <v>300</v>
      </c>
      <c r="AM43" s="162" cm="1">
        <f t="array" ref="AM43">IFERROR(VLOOKUP(AE43,$B$36:$E$47,4,FALSE),INDEX($E$36:$E$47,MATCH(AE43,$B$36:$B$47,1)+1))</f>
        <v>25</v>
      </c>
      <c r="AN43" s="162" cm="1">
        <f t="array" ref="AN43">IFERROR(VLOOKUP(AE43,$B$36:$E$47,2,FALSE),INDEX($C$36:$C$47,MATCH(AE43,$B$36:$B$47,1)+1))</f>
        <v>8</v>
      </c>
      <c r="AO43" s="162" cm="1">
        <f t="array" ref="AO43">IFERROR(VLOOKUP(AE43,$B$36:$E$47,3,FALSE),INDEX($D$36:$D$47,MATCH(AE43,$B$36:$B$47,1)+1))</f>
        <v>24</v>
      </c>
      <c r="AP43" s="163" t="str">
        <f t="shared" si="7"/>
        <v>760x300x25 + 8M24</v>
      </c>
      <c r="AQ43" s="140" t="s">
        <v>252</v>
      </c>
      <c r="AR43" s="151">
        <v>0</v>
      </c>
      <c r="AS43" s="151">
        <v>-231.98194460226773</v>
      </c>
      <c r="AT43" s="151">
        <v>-1.5698589095336498E-13</v>
      </c>
      <c r="AU43" s="151">
        <v>-2.1345361504376769E-3</v>
      </c>
      <c r="AV43" s="151">
        <v>-3.1186767444069109E-13</v>
      </c>
      <c r="AW43" s="151">
        <v>-444.19249517008893</v>
      </c>
      <c r="BA43" s="161">
        <f t="shared" si="8"/>
        <v>60</v>
      </c>
      <c r="BB43" s="161">
        <f t="shared" si="9"/>
        <v>70</v>
      </c>
      <c r="BC43" s="161">
        <f t="shared" si="10"/>
        <v>80</v>
      </c>
      <c r="BD43" s="161">
        <f t="shared" si="11"/>
        <v>150</v>
      </c>
      <c r="BE43" s="161">
        <f>HLOOKUP(AO43,Data!$H$31:$Q$35,3,FALSE)</f>
        <v>452.38934211693021</v>
      </c>
      <c r="BF43" s="161">
        <f>HLOOKUP(AO43,Data!$H$31:$Q$35,4,FALSE)</f>
        <v>353</v>
      </c>
      <c r="BG43" s="179">
        <f t="shared" si="12"/>
        <v>150</v>
      </c>
      <c r="BH43" s="185">
        <f t="shared" si="13"/>
        <v>121.65654188208487</v>
      </c>
      <c r="BI43" s="185">
        <f t="shared" si="14"/>
        <v>243</v>
      </c>
      <c r="BJ43" s="185">
        <f t="shared" si="15"/>
        <v>142.3296</v>
      </c>
      <c r="BK43" s="185">
        <f t="shared" si="16"/>
        <v>28.85383279206123</v>
      </c>
      <c r="BL43" s="186">
        <f t="shared" si="17"/>
        <v>0.94666666666666666</v>
      </c>
      <c r="BM43" s="186">
        <f t="shared" si="18"/>
        <v>0.25053647231092957</v>
      </c>
      <c r="BN43" s="185" t="str">
        <f t="shared" si="19"/>
        <v>OK</v>
      </c>
      <c r="BO43" s="185" cm="1">
        <f t="array" ref="BO43">_xll.DCEBoltDisRS(AN43, AE43, BA43, BB43, BC43, BD43, "h1")</f>
        <v>640</v>
      </c>
      <c r="BP43" s="185" cm="1">
        <f t="array" ref="BP43">_xll.DCEBoltDisRS(AN43, AE43, BA43, BB43, BC43, BD43, "Tong")</f>
        <v>672200</v>
      </c>
      <c r="BQ43" s="185">
        <f t="shared" si="20"/>
        <v>214.34268535363108</v>
      </c>
      <c r="BR43" s="186">
        <f t="shared" si="21"/>
        <v>1.5059600065877448</v>
      </c>
      <c r="BS43" s="185" t="str">
        <f t="shared" si="22"/>
        <v>O/S</v>
      </c>
      <c r="BT43" s="186">
        <f t="shared" si="23"/>
        <v>1.5245219899223614</v>
      </c>
      <c r="BU43" s="185" t="str">
        <f t="shared" si="24"/>
        <v>O/S</v>
      </c>
      <c r="BV43" s="190">
        <f t="shared" si="25"/>
        <v>888.38499034017786</v>
      </c>
      <c r="BW43" s="191">
        <f t="shared" si="26"/>
        <v>16.657218568878335</v>
      </c>
      <c r="BX43" s="190">
        <f t="shared" si="27"/>
        <v>444.19249517008893</v>
      </c>
      <c r="BY43" s="167">
        <f t="shared" si="28"/>
        <v>210.40697139635793</v>
      </c>
      <c r="BZ43" s="192">
        <f t="shared" si="29"/>
        <v>1.0228116665100733</v>
      </c>
      <c r="CA43" s="191">
        <f t="shared" si="30"/>
        <v>23.378552377373104</v>
      </c>
      <c r="CB43" s="193">
        <f t="shared" si="31"/>
        <v>0.19594093228162326</v>
      </c>
      <c r="CC43" s="167">
        <f t="shared" si="32"/>
        <v>214.26797181560411</v>
      </c>
      <c r="CD43" s="191">
        <f t="shared" si="33"/>
        <v>0.90572210308528323</v>
      </c>
      <c r="CE43" s="189">
        <f t="shared" si="34"/>
        <v>1.0228116665100733</v>
      </c>
      <c r="CF43" s="194" t="str">
        <f t="shared" si="35"/>
        <v>O/S</v>
      </c>
      <c r="DA43" s="206"/>
      <c r="DB43" s="206"/>
      <c r="DC43" s="206"/>
      <c r="DD43" s="207"/>
      <c r="DE43" s="208"/>
      <c r="DF43" s="154"/>
      <c r="DG43" s="154"/>
      <c r="DH43" s="154"/>
      <c r="DI43" s="154"/>
      <c r="DJ43" s="154"/>
      <c r="DK43" s="208"/>
      <c r="DL43" s="154"/>
      <c r="DM43" s="154"/>
      <c r="DN43" s="154"/>
      <c r="DO43" s="154"/>
      <c r="DP43" s="154"/>
      <c r="DQ43" s="206"/>
      <c r="DR43" s="208"/>
      <c r="DS43" s="208"/>
      <c r="DT43" s="208"/>
      <c r="DU43" s="208"/>
      <c r="DV43" s="208"/>
      <c r="DW43" s="208"/>
      <c r="DX43" s="208"/>
      <c r="DY43" s="208"/>
      <c r="DZ43" s="208"/>
      <c r="EA43" s="208"/>
      <c r="EB43" s="208"/>
      <c r="EC43" s="208"/>
      <c r="ED43" s="208"/>
      <c r="EE43" s="208"/>
      <c r="EF43" s="208"/>
      <c r="EG43" s="226"/>
      <c r="EH43" s="208"/>
      <c r="EI43" s="208"/>
      <c r="EJ43" s="226"/>
      <c r="EK43" s="209"/>
      <c r="EL43" s="208"/>
      <c r="EM43" s="209"/>
      <c r="EN43" s="209"/>
      <c r="EO43" s="209"/>
      <c r="EP43" s="209"/>
      <c r="EQ43" s="209"/>
      <c r="ER43" s="209"/>
      <c r="ES43" s="209"/>
      <c r="ET43" s="209"/>
      <c r="EU43" s="209"/>
      <c r="EV43" s="210"/>
      <c r="EW43" s="209"/>
      <c r="EX43" s="210"/>
      <c r="EY43" s="154"/>
      <c r="EZ43" s="211"/>
      <c r="FA43" s="209"/>
      <c r="FB43" s="207"/>
      <c r="FC43" s="154"/>
      <c r="FD43" s="209"/>
      <c r="FE43" s="209"/>
      <c r="FF43" s="153"/>
    </row>
    <row r="44" spans="2:162" ht="12.75" customHeight="1">
      <c r="B44" s="10">
        <v>700</v>
      </c>
      <c r="C44" s="10">
        <v>12</v>
      </c>
      <c r="D44" s="10">
        <v>24</v>
      </c>
      <c r="E44" s="10">
        <v>25</v>
      </c>
      <c r="F44" s="10"/>
      <c r="H44" s="7"/>
      <c r="I44" s="50"/>
      <c r="J44" s="47"/>
      <c r="K44" s="48"/>
      <c r="L44" s="47"/>
      <c r="M44" s="47"/>
      <c r="N44" s="50"/>
      <c r="O44" s="50"/>
      <c r="P44" s="50"/>
      <c r="Q44" s="55" t="s">
        <v>113</v>
      </c>
      <c r="R44" s="52">
        <v>14</v>
      </c>
      <c r="S44" s="9" t="s">
        <v>4</v>
      </c>
      <c r="AA44" s="140" t="s">
        <v>210</v>
      </c>
      <c r="AB44" s="140" t="s">
        <v>237</v>
      </c>
      <c r="AC44" s="140">
        <v>44</v>
      </c>
      <c r="AD44" s="133">
        <v>3</v>
      </c>
      <c r="AE44" s="151">
        <v>500</v>
      </c>
      <c r="AF44" s="152">
        <v>300</v>
      </c>
      <c r="AG44" s="152">
        <v>10</v>
      </c>
      <c r="AH44" s="152">
        <v>14</v>
      </c>
      <c r="AI44" s="152">
        <v>472</v>
      </c>
      <c r="AJ44" s="153" t="str" cm="1">
        <f t="array" ref="AJ44">_xll.Dce_Name_SectI(AE44, AE44, AF44, AG44, AH44, "x", "-", "H Tổng")</f>
        <v>500x300x10x14</v>
      </c>
      <c r="AK44" s="161">
        <f t="shared" si="6"/>
        <v>760</v>
      </c>
      <c r="AL44" s="162" cm="1">
        <f t="array" ref="AL44">IFERROR(INDEX($B$25:$B$32,IFERROR(MATCH(AF44,$B$25:$B$32,0),MATCH(AF44,$B$25:$B$32,1)+1)),$B$25)</f>
        <v>300</v>
      </c>
      <c r="AM44" s="162" cm="1">
        <f t="array" ref="AM44">IFERROR(VLOOKUP(AE44,$B$36:$E$47,4,FALSE),INDEX($E$36:$E$47,MATCH(AE44,$B$36:$B$47,1)+1))</f>
        <v>25</v>
      </c>
      <c r="AN44" s="162" cm="1">
        <f t="array" ref="AN44">IFERROR(VLOOKUP(AE44,$B$36:$E$47,2,FALSE),INDEX($C$36:$C$47,MATCH(AE44,$B$36:$B$47,1)+1))</f>
        <v>8</v>
      </c>
      <c r="AO44" s="162" cm="1">
        <f t="array" ref="AO44">IFERROR(VLOOKUP(AE44,$B$36:$E$47,3,FALSE),INDEX($D$36:$D$47,MATCH(AE44,$B$36:$B$47,1)+1))</f>
        <v>24</v>
      </c>
      <c r="AP44" s="163" t="str">
        <f t="shared" si="7"/>
        <v>760x300x25 + 8M24</v>
      </c>
      <c r="AQ44" s="140" t="s">
        <v>252</v>
      </c>
      <c r="AR44" s="151">
        <v>0</v>
      </c>
      <c r="AS44" s="151">
        <v>-156.88534195501342</v>
      </c>
      <c r="AT44" s="151">
        <v>-9.0921048467862403E-14</v>
      </c>
      <c r="AU44" s="151">
        <v>-2.1338946647219809E-3</v>
      </c>
      <c r="AV44" s="151">
        <v>6.1722982991341236E-14</v>
      </c>
      <c r="AW44" s="151">
        <v>98.729678560913243</v>
      </c>
      <c r="BA44" s="161">
        <f t="shared" si="8"/>
        <v>60</v>
      </c>
      <c r="BB44" s="161">
        <f t="shared" si="9"/>
        <v>70</v>
      </c>
      <c r="BC44" s="161">
        <f t="shared" si="10"/>
        <v>80</v>
      </c>
      <c r="BD44" s="161">
        <f t="shared" si="11"/>
        <v>150</v>
      </c>
      <c r="BE44" s="161">
        <f>HLOOKUP(AO44,Data!$H$31:$Q$35,3,FALSE)</f>
        <v>452.38934211693021</v>
      </c>
      <c r="BF44" s="161">
        <f>HLOOKUP(AO44,Data!$H$31:$Q$35,4,FALSE)</f>
        <v>353</v>
      </c>
      <c r="BG44" s="179">
        <f t="shared" si="12"/>
        <v>150</v>
      </c>
      <c r="BH44" s="185">
        <f t="shared" si="13"/>
        <v>121.65654188208487</v>
      </c>
      <c r="BI44" s="185">
        <f t="shared" si="14"/>
        <v>243</v>
      </c>
      <c r="BJ44" s="185">
        <f t="shared" si="15"/>
        <v>142.3296</v>
      </c>
      <c r="BK44" s="185">
        <f t="shared" si="16"/>
        <v>19.513343730506236</v>
      </c>
      <c r="BL44" s="186">
        <f t="shared" si="17"/>
        <v>0.94666666666666666</v>
      </c>
      <c r="BM44" s="186">
        <f t="shared" si="18"/>
        <v>0.16943344534029184</v>
      </c>
      <c r="BN44" s="185" t="str">
        <f t="shared" si="19"/>
        <v>OK</v>
      </c>
      <c r="BO44" s="185" cm="1">
        <f t="array" ref="BO44">_xll.DCEBoltDisRS(AN44, AE44, BA44, BB44, BC44, BD44, "h1")</f>
        <v>640</v>
      </c>
      <c r="BP44" s="185" cm="1">
        <f t="array" ref="BP44">_xll.DCEBoltDisRS(AN44, AE44, BA44, BB44, BC44, BD44, "Tong")</f>
        <v>672200</v>
      </c>
      <c r="BQ44" s="185">
        <f t="shared" si="20"/>
        <v>48.951478882857586</v>
      </c>
      <c r="BR44" s="186">
        <f t="shared" si="21"/>
        <v>0.34393041842917838</v>
      </c>
      <c r="BS44" s="185" t="str">
        <f t="shared" si="22"/>
        <v>OK</v>
      </c>
      <c r="BT44" s="186">
        <f t="shared" si="23"/>
        <v>0.3794935160196069</v>
      </c>
      <c r="BU44" s="185" t="str">
        <f t="shared" si="24"/>
        <v>OK</v>
      </c>
      <c r="BV44" s="190">
        <f t="shared" si="25"/>
        <v>197.45935712182649</v>
      </c>
      <c r="BW44" s="191">
        <f t="shared" si="26"/>
        <v>3.7023629460342464</v>
      </c>
      <c r="BX44" s="190">
        <f t="shared" si="27"/>
        <v>98.729678560913243</v>
      </c>
      <c r="BY44" s="167">
        <f t="shared" si="28"/>
        <v>46.766689844643111</v>
      </c>
      <c r="BZ44" s="192">
        <f t="shared" si="29"/>
        <v>0.2273380756336818</v>
      </c>
      <c r="CA44" s="191">
        <f t="shared" si="30"/>
        <v>5.1962988716270129</v>
      </c>
      <c r="CB44" s="193">
        <f t="shared" si="31"/>
        <v>4.355135548537966E-2</v>
      </c>
      <c r="CC44" s="167">
        <f t="shared" si="32"/>
        <v>47.624865825688808</v>
      </c>
      <c r="CD44" s="191">
        <f t="shared" si="33"/>
        <v>0.20131283863515803</v>
      </c>
      <c r="CE44" s="189">
        <f t="shared" si="34"/>
        <v>0.2273380756336818</v>
      </c>
      <c r="CF44" s="194" t="str">
        <f t="shared" si="35"/>
        <v>OK</v>
      </c>
      <c r="DA44" s="206"/>
      <c r="DB44" s="206"/>
      <c r="DC44" s="206"/>
      <c r="DD44" s="207"/>
      <c r="DE44" s="208"/>
      <c r="DF44" s="154"/>
      <c r="DG44" s="154"/>
      <c r="DH44" s="154"/>
      <c r="DI44" s="154"/>
      <c r="DJ44" s="154"/>
      <c r="DK44" s="208"/>
      <c r="DL44" s="154"/>
      <c r="DM44" s="154"/>
      <c r="DN44" s="154"/>
      <c r="DO44" s="154"/>
      <c r="DP44" s="154"/>
      <c r="DQ44" s="206"/>
      <c r="DR44" s="208"/>
      <c r="DS44" s="208"/>
      <c r="DT44" s="208"/>
      <c r="DU44" s="208"/>
      <c r="DV44" s="208"/>
      <c r="DW44" s="208"/>
      <c r="DX44" s="208"/>
      <c r="DY44" s="208"/>
      <c r="DZ44" s="208"/>
      <c r="EA44" s="208"/>
      <c r="EB44" s="208"/>
      <c r="EC44" s="208"/>
      <c r="ED44" s="208"/>
      <c r="EE44" s="208"/>
      <c r="EF44" s="208"/>
      <c r="EG44" s="226"/>
      <c r="EH44" s="208"/>
      <c r="EI44" s="208"/>
      <c r="EJ44" s="226"/>
      <c r="EK44" s="209"/>
      <c r="EL44" s="208"/>
      <c r="EM44" s="209"/>
      <c r="EN44" s="209"/>
      <c r="EO44" s="209"/>
      <c r="EP44" s="209"/>
      <c r="EQ44" s="209"/>
      <c r="ER44" s="209"/>
      <c r="ES44" s="209"/>
      <c r="ET44" s="209"/>
      <c r="EU44" s="209"/>
      <c r="EV44" s="210"/>
      <c r="EW44" s="209"/>
      <c r="EX44" s="210"/>
      <c r="EY44" s="154"/>
      <c r="EZ44" s="211"/>
      <c r="FA44" s="209"/>
      <c r="FB44" s="207"/>
      <c r="FC44" s="154"/>
      <c r="FD44" s="209"/>
      <c r="FE44" s="209"/>
      <c r="FF44" s="153"/>
    </row>
    <row r="45" spans="2:162" ht="12.75" customHeight="1">
      <c r="B45" s="10">
        <v>800</v>
      </c>
      <c r="C45" s="10">
        <v>12</v>
      </c>
      <c r="D45" s="10">
        <v>24</v>
      </c>
      <c r="E45" s="10">
        <v>25</v>
      </c>
      <c r="F45" s="10"/>
      <c r="H45" s="7"/>
      <c r="I45" s="50"/>
      <c r="J45" s="50"/>
      <c r="K45" s="55"/>
      <c r="L45" s="47"/>
      <c r="M45" s="64"/>
      <c r="N45" s="50"/>
      <c r="O45" s="50"/>
      <c r="P45" s="50"/>
      <c r="Q45" s="55" t="s">
        <v>114</v>
      </c>
      <c r="R45" s="52">
        <v>18.000000000000004</v>
      </c>
      <c r="S45" s="9" t="s">
        <v>4</v>
      </c>
      <c r="AA45" s="140" t="s">
        <v>210</v>
      </c>
      <c r="AB45" s="140" t="s">
        <v>237</v>
      </c>
      <c r="AC45" s="140">
        <v>44</v>
      </c>
      <c r="AD45" s="133">
        <v>0.3</v>
      </c>
      <c r="AE45" s="151">
        <v>500</v>
      </c>
      <c r="AF45" s="152">
        <v>300</v>
      </c>
      <c r="AG45" s="152">
        <v>10</v>
      </c>
      <c r="AH45" s="152">
        <v>14</v>
      </c>
      <c r="AI45" s="152">
        <v>472</v>
      </c>
      <c r="AJ45" s="153" t="str" cm="1">
        <f t="array" ref="AJ45">_xll.Dce_Name_SectI(AE45, AE45, AF45, AG45, AH45, "x", "-", "H Tổng")</f>
        <v>500x300x10x14</v>
      </c>
      <c r="AK45" s="161">
        <f t="shared" si="6"/>
        <v>760</v>
      </c>
      <c r="AL45" s="162" cm="1">
        <f t="array" ref="AL45">IFERROR(INDEX($B$25:$B$32,IFERROR(MATCH(AF45,$B$25:$B$32,0),MATCH(AF45,$B$25:$B$32,1)+1)),$B$25)</f>
        <v>300</v>
      </c>
      <c r="AM45" s="162" cm="1">
        <f t="array" ref="AM45">IFERROR(VLOOKUP(AE45,$B$36:$E$47,4,FALSE),INDEX($E$36:$E$47,MATCH(AE45,$B$36:$B$47,1)+1))</f>
        <v>25</v>
      </c>
      <c r="AN45" s="162" cm="1">
        <f t="array" ref="AN45">IFERROR(VLOOKUP(AE45,$B$36:$E$47,2,FALSE),INDEX($C$36:$C$47,MATCH(AE45,$B$36:$B$47,1)+1))</f>
        <v>8</v>
      </c>
      <c r="AO45" s="162" cm="1">
        <f t="array" ref="AO45">IFERROR(VLOOKUP(AE45,$B$36:$E$47,3,FALSE),INDEX($D$36:$D$47,MATCH(AE45,$B$36:$B$47,1)+1))</f>
        <v>24</v>
      </c>
      <c r="AP45" s="163" t="str">
        <f t="shared" si="7"/>
        <v>760x300x25 + 8M24</v>
      </c>
      <c r="AQ45" s="140" t="s">
        <v>253</v>
      </c>
      <c r="AR45" s="151">
        <v>0</v>
      </c>
      <c r="AS45" s="151">
        <v>-548.21135759736887</v>
      </c>
      <c r="AT45" s="151">
        <v>-3.4815172966773382E-13</v>
      </c>
      <c r="AU45" s="151">
        <v>-4.6061198845047356E-3</v>
      </c>
      <c r="AV45" s="151">
        <v>-7.6223523706175893E-13</v>
      </c>
      <c r="AW45" s="151">
        <v>-1076.6020356515121</v>
      </c>
      <c r="BA45" s="161">
        <f t="shared" si="8"/>
        <v>60</v>
      </c>
      <c r="BB45" s="161">
        <f t="shared" si="9"/>
        <v>70</v>
      </c>
      <c r="BC45" s="161">
        <f t="shared" si="10"/>
        <v>80</v>
      </c>
      <c r="BD45" s="161">
        <f t="shared" si="11"/>
        <v>150</v>
      </c>
      <c r="BE45" s="161">
        <f>HLOOKUP(AO45,Data!$H$31:$Q$35,3,FALSE)</f>
        <v>452.38934211693021</v>
      </c>
      <c r="BF45" s="161">
        <f>HLOOKUP(AO45,Data!$H$31:$Q$35,4,FALSE)</f>
        <v>353</v>
      </c>
      <c r="BG45" s="179">
        <f t="shared" si="12"/>
        <v>150</v>
      </c>
      <c r="BH45" s="185">
        <f t="shared" si="13"/>
        <v>121.65654188208487</v>
      </c>
      <c r="BI45" s="185">
        <f t="shared" si="14"/>
        <v>243</v>
      </c>
      <c r="BJ45" s="185">
        <f t="shared" si="15"/>
        <v>142.3296</v>
      </c>
      <c r="BK45" s="185">
        <f t="shared" si="16"/>
        <v>68.186336113111196</v>
      </c>
      <c r="BL45" s="186">
        <f t="shared" si="17"/>
        <v>0.94666666666666666</v>
      </c>
      <c r="BM45" s="186">
        <f t="shared" si="18"/>
        <v>0.59205874771293598</v>
      </c>
      <c r="BN45" s="185" t="str">
        <f t="shared" si="19"/>
        <v>OK</v>
      </c>
      <c r="BO45" s="185" cm="1">
        <f t="array" ref="BO45">_xll.DCEBoltDisRS(AN45, AE45, BA45, BB45, BC45, BD45, "h1")</f>
        <v>640</v>
      </c>
      <c r="BP45" s="185" cm="1">
        <f t="array" ref="BP45">_xll.DCEBoltDisRS(AN45, AE45, BA45, BB45, BC45, BD45, "Tong")</f>
        <v>672200</v>
      </c>
      <c r="BQ45" s="185">
        <f t="shared" si="20"/>
        <v>519.33373537936222</v>
      </c>
      <c r="BR45" s="186">
        <f t="shared" si="21"/>
        <v>3.6488104749775325</v>
      </c>
      <c r="BS45" s="185" t="str">
        <f t="shared" si="22"/>
        <v>O/S</v>
      </c>
      <c r="BT45" s="186">
        <f t="shared" si="23"/>
        <v>3.6916064619362294</v>
      </c>
      <c r="BU45" s="185" t="str">
        <f t="shared" si="24"/>
        <v>O/S</v>
      </c>
      <c r="BV45" s="190">
        <f t="shared" si="25"/>
        <v>2153.2040713030242</v>
      </c>
      <c r="BW45" s="191">
        <f t="shared" si="26"/>
        <v>40.372576336931701</v>
      </c>
      <c r="BX45" s="190">
        <f t="shared" si="27"/>
        <v>1076.6020356515121</v>
      </c>
      <c r="BY45" s="167">
        <f t="shared" si="28"/>
        <v>509.96938530861098</v>
      </c>
      <c r="BZ45" s="192">
        <f t="shared" si="29"/>
        <v>2.4790178452501923</v>
      </c>
      <c r="CA45" s="191">
        <f t="shared" si="30"/>
        <v>56.663265034290113</v>
      </c>
      <c r="CB45" s="193">
        <f t="shared" si="31"/>
        <v>0.47490763318969209</v>
      </c>
      <c r="CC45" s="167">
        <f t="shared" si="32"/>
        <v>519.32740228595787</v>
      </c>
      <c r="CD45" s="191">
        <f t="shared" si="33"/>
        <v>2.1952245265710784</v>
      </c>
      <c r="CE45" s="189">
        <f t="shared" si="34"/>
        <v>2.4790178452501923</v>
      </c>
      <c r="CF45" s="194" t="str">
        <f t="shared" si="35"/>
        <v>O/S</v>
      </c>
      <c r="DA45" s="206"/>
      <c r="DB45" s="206"/>
      <c r="DC45" s="206"/>
      <c r="DD45" s="207"/>
      <c r="DE45" s="208"/>
      <c r="DF45" s="154"/>
      <c r="DG45" s="154"/>
      <c r="DH45" s="154"/>
      <c r="DI45" s="154"/>
      <c r="DJ45" s="154"/>
      <c r="DK45" s="208"/>
      <c r="DL45" s="154"/>
      <c r="DM45" s="154"/>
      <c r="DN45" s="154"/>
      <c r="DO45" s="154"/>
      <c r="DP45" s="154"/>
      <c r="DQ45" s="206"/>
      <c r="DR45" s="208"/>
      <c r="DS45" s="208"/>
      <c r="DT45" s="208"/>
      <c r="DU45" s="208"/>
      <c r="DV45" s="208"/>
      <c r="DW45" s="208"/>
      <c r="DX45" s="208"/>
      <c r="DY45" s="208"/>
      <c r="DZ45" s="208"/>
      <c r="EA45" s="208"/>
      <c r="EB45" s="208"/>
      <c r="EC45" s="208"/>
      <c r="ED45" s="208"/>
      <c r="EE45" s="208"/>
      <c r="EF45" s="208"/>
      <c r="EG45" s="226"/>
      <c r="EH45" s="208"/>
      <c r="EI45" s="208"/>
      <c r="EJ45" s="226"/>
      <c r="EK45" s="209"/>
      <c r="EL45" s="208"/>
      <c r="EM45" s="209"/>
      <c r="EN45" s="209"/>
      <c r="EO45" s="209"/>
      <c r="EP45" s="209"/>
      <c r="EQ45" s="209"/>
      <c r="ER45" s="209"/>
      <c r="ES45" s="209"/>
      <c r="ET45" s="209"/>
      <c r="EU45" s="209"/>
      <c r="EV45" s="210"/>
      <c r="EW45" s="209"/>
      <c r="EX45" s="210"/>
      <c r="EY45" s="154"/>
      <c r="EZ45" s="211"/>
      <c r="FA45" s="209"/>
      <c r="FB45" s="207"/>
      <c r="FC45" s="154"/>
      <c r="FD45" s="209"/>
      <c r="FE45" s="209"/>
      <c r="FF45" s="153"/>
    </row>
    <row r="46" spans="2:162" ht="12.75" customHeight="1">
      <c r="B46" s="10">
        <v>900</v>
      </c>
      <c r="C46" s="10">
        <v>12</v>
      </c>
      <c r="D46" s="10">
        <v>24</v>
      </c>
      <c r="E46" s="10">
        <v>25</v>
      </c>
      <c r="F46" s="10"/>
      <c r="H46" s="7"/>
      <c r="I46" s="50"/>
      <c r="J46" s="50"/>
      <c r="K46" s="55"/>
      <c r="L46" s="47"/>
      <c r="M46" s="64"/>
      <c r="N46" s="50"/>
      <c r="O46" s="55" t="s">
        <v>152</v>
      </c>
      <c r="P46" s="65">
        <v>0.1</v>
      </c>
      <c r="Q46" s="59" t="s">
        <v>151</v>
      </c>
      <c r="R46" s="66">
        <f>DEGREES(ATAN(P46))</f>
        <v>5.710593137499643</v>
      </c>
      <c r="S46" s="9" t="s">
        <v>153</v>
      </c>
      <c r="AA46" s="140" t="s">
        <v>210</v>
      </c>
      <c r="AB46" s="140" t="s">
        <v>237</v>
      </c>
      <c r="AC46" s="140">
        <v>44</v>
      </c>
      <c r="AD46" s="133">
        <v>3</v>
      </c>
      <c r="AE46" s="151">
        <v>500</v>
      </c>
      <c r="AF46" s="152">
        <v>300</v>
      </c>
      <c r="AG46" s="152">
        <v>10</v>
      </c>
      <c r="AH46" s="152">
        <v>14</v>
      </c>
      <c r="AI46" s="152">
        <v>472</v>
      </c>
      <c r="AJ46" s="153" t="str" cm="1">
        <f t="array" ref="AJ46">_xll.Dce_Name_SectI(AE46, AE46, AF46, AG46, AH46, "x", "-", "H Tổng")</f>
        <v>500x300x10x14</v>
      </c>
      <c r="AK46" s="161">
        <f t="shared" si="6"/>
        <v>760</v>
      </c>
      <c r="AL46" s="162" cm="1">
        <f t="array" ref="AL46">IFERROR(INDEX($B$25:$B$32,IFERROR(MATCH(AF46,$B$25:$B$32,0),MATCH(AF46,$B$25:$B$32,1)+1)),$B$25)</f>
        <v>300</v>
      </c>
      <c r="AM46" s="162" cm="1">
        <f t="array" ref="AM46">IFERROR(VLOOKUP(AE46,$B$36:$E$47,4,FALSE),INDEX($E$36:$E$47,MATCH(AE46,$B$36:$B$47,1)+1))</f>
        <v>25</v>
      </c>
      <c r="AN46" s="162" cm="1">
        <f t="array" ref="AN46">IFERROR(VLOOKUP(AE46,$B$36:$E$47,2,FALSE),INDEX($C$36:$C$47,MATCH(AE46,$B$36:$B$47,1)+1))</f>
        <v>8</v>
      </c>
      <c r="AO46" s="162" cm="1">
        <f t="array" ref="AO46">IFERROR(VLOOKUP(AE46,$B$36:$E$47,3,FALSE),INDEX($D$36:$D$47,MATCH(AE46,$B$36:$B$47,1)+1))</f>
        <v>24</v>
      </c>
      <c r="AP46" s="163" t="str">
        <f t="shared" si="7"/>
        <v>760x300x25 + 8M24</v>
      </c>
      <c r="AQ46" s="140" t="s">
        <v>253</v>
      </c>
      <c r="AR46" s="151">
        <v>0</v>
      </c>
      <c r="AS46" s="151">
        <v>-369.71652333305332</v>
      </c>
      <c r="AT46" s="151">
        <v>1.2482814781833433E-14</v>
      </c>
      <c r="AU46" s="151">
        <v>-4.604734274242692E-3</v>
      </c>
      <c r="AV46" s="151">
        <v>-1.0505050340725572E-13</v>
      </c>
      <c r="AW46" s="151">
        <v>206.39596599599665</v>
      </c>
      <c r="BA46" s="161">
        <f t="shared" si="8"/>
        <v>60</v>
      </c>
      <c r="BB46" s="161">
        <f t="shared" si="9"/>
        <v>70</v>
      </c>
      <c r="BC46" s="161">
        <f t="shared" si="10"/>
        <v>80</v>
      </c>
      <c r="BD46" s="161">
        <f t="shared" si="11"/>
        <v>150</v>
      </c>
      <c r="BE46" s="161">
        <f>HLOOKUP(AO46,Data!$H$31:$Q$35,3,FALSE)</f>
        <v>452.38934211693021</v>
      </c>
      <c r="BF46" s="161">
        <f>HLOOKUP(AO46,Data!$H$31:$Q$35,4,FALSE)</f>
        <v>353</v>
      </c>
      <c r="BG46" s="179">
        <f t="shared" si="12"/>
        <v>150</v>
      </c>
      <c r="BH46" s="185">
        <f t="shared" si="13"/>
        <v>121.65654188208487</v>
      </c>
      <c r="BI46" s="185">
        <f t="shared" si="14"/>
        <v>243</v>
      </c>
      <c r="BJ46" s="185">
        <f t="shared" si="15"/>
        <v>142.3296</v>
      </c>
      <c r="BK46" s="185">
        <f t="shared" si="16"/>
        <v>45.985211318940905</v>
      </c>
      <c r="BL46" s="186">
        <f t="shared" si="17"/>
        <v>0.94666666666666666</v>
      </c>
      <c r="BM46" s="186">
        <f t="shared" si="18"/>
        <v>0.39928742588020866</v>
      </c>
      <c r="BN46" s="185" t="str">
        <f t="shared" si="19"/>
        <v>OK</v>
      </c>
      <c r="BO46" s="185" cm="1">
        <f t="array" ref="BO46">_xll.DCEBoltDisRS(AN46, AE46, BA46, BB46, BC46, BD46, "h1")</f>
        <v>640</v>
      </c>
      <c r="BP46" s="185" cm="1">
        <f t="array" ref="BP46">_xll.DCEBoltDisRS(AN46, AE46, BA46, BB46, BC46, BD46, "Tong")</f>
        <v>672200</v>
      </c>
      <c r="BQ46" s="185">
        <f t="shared" si="20"/>
        <v>102.8530720374563</v>
      </c>
      <c r="BR46" s="186">
        <f t="shared" si="21"/>
        <v>0.72264006951088389</v>
      </c>
      <c r="BS46" s="185" t="str">
        <f t="shared" si="22"/>
        <v>OK</v>
      </c>
      <c r="BT46" s="186">
        <f t="shared" si="23"/>
        <v>0.81552847594618549</v>
      </c>
      <c r="BU46" s="185" t="str">
        <f t="shared" si="24"/>
        <v>OK</v>
      </c>
      <c r="BV46" s="190">
        <f t="shared" si="25"/>
        <v>412.79193199199329</v>
      </c>
      <c r="BW46" s="191">
        <f t="shared" si="26"/>
        <v>7.7398487248498737</v>
      </c>
      <c r="BX46" s="190">
        <f t="shared" si="27"/>
        <v>206.39596599599665</v>
      </c>
      <c r="BY46" s="167">
        <f t="shared" si="28"/>
        <v>97.766510208629981</v>
      </c>
      <c r="BZ46" s="192">
        <f t="shared" si="29"/>
        <v>0.47525386906972911</v>
      </c>
      <c r="CA46" s="191">
        <f t="shared" si="30"/>
        <v>10.862945578736666</v>
      </c>
      <c r="CB46" s="193">
        <f t="shared" si="31"/>
        <v>9.104480250377954E-2</v>
      </c>
      <c r="CC46" s="167">
        <f t="shared" si="32"/>
        <v>99.560540769493272</v>
      </c>
      <c r="CD46" s="191">
        <f t="shared" si="33"/>
        <v>0.42084769648940401</v>
      </c>
      <c r="CE46" s="189">
        <f t="shared" si="34"/>
        <v>0.47525386906972911</v>
      </c>
      <c r="CF46" s="194" t="str">
        <f t="shared" si="35"/>
        <v>OK</v>
      </c>
      <c r="DA46" s="206"/>
      <c r="DB46" s="206"/>
      <c r="DC46" s="206"/>
      <c r="DD46" s="207"/>
      <c r="DE46" s="208"/>
      <c r="DF46" s="154"/>
      <c r="DG46" s="154"/>
      <c r="DH46" s="154"/>
      <c r="DI46" s="154"/>
      <c r="DJ46" s="154"/>
      <c r="DK46" s="208"/>
      <c r="DL46" s="154"/>
      <c r="DM46" s="154"/>
      <c r="DN46" s="154"/>
      <c r="DO46" s="154"/>
      <c r="DP46" s="154"/>
      <c r="DQ46" s="206"/>
      <c r="DR46" s="208"/>
      <c r="DS46" s="208"/>
      <c r="DT46" s="208"/>
      <c r="DU46" s="208"/>
      <c r="DV46" s="208"/>
      <c r="DW46" s="208"/>
      <c r="DX46" s="208"/>
      <c r="DY46" s="208"/>
      <c r="DZ46" s="208"/>
      <c r="EA46" s="208"/>
      <c r="EB46" s="208"/>
      <c r="EC46" s="208"/>
      <c r="ED46" s="208"/>
      <c r="EE46" s="208"/>
      <c r="EF46" s="208"/>
      <c r="EG46" s="226"/>
      <c r="EH46" s="208"/>
      <c r="EI46" s="208"/>
      <c r="EJ46" s="226"/>
      <c r="EK46" s="209"/>
      <c r="EL46" s="208"/>
      <c r="EM46" s="209"/>
      <c r="EN46" s="209"/>
      <c r="EO46" s="209"/>
      <c r="EP46" s="209"/>
      <c r="EQ46" s="209"/>
      <c r="ER46" s="209"/>
      <c r="ES46" s="209"/>
      <c r="ET46" s="209"/>
      <c r="EU46" s="209"/>
      <c r="EV46" s="210"/>
      <c r="EW46" s="209"/>
      <c r="EX46" s="210"/>
      <c r="EY46" s="154"/>
      <c r="EZ46" s="211"/>
      <c r="FA46" s="209"/>
      <c r="FB46" s="207"/>
      <c r="FC46" s="154"/>
      <c r="FD46" s="209"/>
      <c r="FE46" s="209"/>
      <c r="FF46" s="153"/>
    </row>
    <row r="47" spans="2:162" ht="12.75" customHeight="1">
      <c r="B47" s="10">
        <v>1500</v>
      </c>
      <c r="C47" s="10">
        <v>12</v>
      </c>
      <c r="D47" s="10">
        <v>24</v>
      </c>
      <c r="E47" s="10">
        <v>25</v>
      </c>
      <c r="F47" s="10"/>
      <c r="H47" s="7"/>
      <c r="I47" s="50"/>
      <c r="J47" s="50"/>
      <c r="K47" s="55"/>
      <c r="L47" s="47"/>
      <c r="M47" s="64"/>
      <c r="N47" s="50"/>
      <c r="O47" s="55"/>
      <c r="P47" s="50"/>
      <c r="Q47" s="55" t="s">
        <v>154</v>
      </c>
      <c r="R47" s="61">
        <f>R42/COS(RADIANS(R46))</f>
        <v>1105.4863183232978</v>
      </c>
      <c r="S47" s="9" t="s">
        <v>4</v>
      </c>
      <c r="AA47" s="140" t="s">
        <v>210</v>
      </c>
      <c r="AB47" s="140" t="s">
        <v>237</v>
      </c>
      <c r="AC47" s="140">
        <v>44</v>
      </c>
      <c r="AD47" s="133">
        <v>0.3</v>
      </c>
      <c r="AE47" s="151">
        <v>500</v>
      </c>
      <c r="AF47" s="152">
        <v>300</v>
      </c>
      <c r="AG47" s="152">
        <v>10</v>
      </c>
      <c r="AH47" s="152">
        <v>14</v>
      </c>
      <c r="AI47" s="152">
        <v>472</v>
      </c>
      <c r="AJ47" s="153" t="str" cm="1">
        <f t="array" ref="AJ47">_xll.Dce_Name_SectI(AE47, AE47, AF47, AG47, AH47, "x", "-", "H Tổng")</f>
        <v>500x300x10x14</v>
      </c>
      <c r="AK47" s="161">
        <f t="shared" si="6"/>
        <v>760</v>
      </c>
      <c r="AL47" s="162" cm="1">
        <f t="array" ref="AL47">IFERROR(INDEX($B$25:$B$32,IFERROR(MATCH(AF47,$B$25:$B$32,0),MATCH(AF47,$B$25:$B$32,1)+1)),$B$25)</f>
        <v>300</v>
      </c>
      <c r="AM47" s="162" cm="1">
        <f t="array" ref="AM47">IFERROR(VLOOKUP(AE47,$B$36:$E$47,4,FALSE),INDEX($E$36:$E$47,MATCH(AE47,$B$36:$B$47,1)+1))</f>
        <v>25</v>
      </c>
      <c r="AN47" s="162" cm="1">
        <f t="array" ref="AN47">IFERROR(VLOOKUP(AE47,$B$36:$E$47,2,FALSE),INDEX($C$36:$C$47,MATCH(AE47,$B$36:$B$47,1)+1))</f>
        <v>8</v>
      </c>
      <c r="AO47" s="162" cm="1">
        <f t="array" ref="AO47">IFERROR(VLOOKUP(AE47,$B$36:$E$47,3,FALSE),INDEX($D$36:$D$47,MATCH(AE47,$B$36:$B$47,1)+1))</f>
        <v>24</v>
      </c>
      <c r="AP47" s="163" t="str">
        <f t="shared" si="7"/>
        <v>760x300x25 + 8M24</v>
      </c>
      <c r="AQ47" s="140" t="s">
        <v>254</v>
      </c>
      <c r="AR47" s="151">
        <v>0</v>
      </c>
      <c r="AS47" s="151">
        <v>-547.15480081682972</v>
      </c>
      <c r="AT47" s="151">
        <v>-3.0449598398263328E-13</v>
      </c>
      <c r="AU47" s="151">
        <v>-4.5990644977181938E-3</v>
      </c>
      <c r="AV47" s="151">
        <v>-7.450930809227427E-13</v>
      </c>
      <c r="AW47" s="151">
        <v>-1064.2876189087267</v>
      </c>
      <c r="BA47" s="161">
        <f t="shared" si="8"/>
        <v>60</v>
      </c>
      <c r="BB47" s="161">
        <f t="shared" si="9"/>
        <v>70</v>
      </c>
      <c r="BC47" s="161">
        <f t="shared" si="10"/>
        <v>80</v>
      </c>
      <c r="BD47" s="161">
        <f t="shared" si="11"/>
        <v>150</v>
      </c>
      <c r="BE47" s="161">
        <f>HLOOKUP(AO47,Data!$H$31:$Q$35,3,FALSE)</f>
        <v>452.38934211693021</v>
      </c>
      <c r="BF47" s="161">
        <f>HLOOKUP(AO47,Data!$H$31:$Q$35,4,FALSE)</f>
        <v>353</v>
      </c>
      <c r="BG47" s="179">
        <f t="shared" si="12"/>
        <v>150</v>
      </c>
      <c r="BH47" s="185">
        <f t="shared" si="13"/>
        <v>121.65654188208487</v>
      </c>
      <c r="BI47" s="185">
        <f t="shared" si="14"/>
        <v>243</v>
      </c>
      <c r="BJ47" s="185">
        <f t="shared" si="15"/>
        <v>142.3296</v>
      </c>
      <c r="BK47" s="185">
        <f t="shared" si="16"/>
        <v>68.054921951835567</v>
      </c>
      <c r="BL47" s="186">
        <f t="shared" si="17"/>
        <v>0.94666666666666666</v>
      </c>
      <c r="BM47" s="186">
        <f t="shared" si="18"/>
        <v>0.59091768473475326</v>
      </c>
      <c r="BN47" s="185" t="str">
        <f t="shared" si="19"/>
        <v>OK</v>
      </c>
      <c r="BO47" s="185" cm="1">
        <f t="array" ref="BO47">_xll.DCEBoltDisRS(AN47, AE47, BA47, BB47, BC47, BD47, "h1")</f>
        <v>640</v>
      </c>
      <c r="BP47" s="185" cm="1">
        <f t="array" ref="BP47">_xll.DCEBoltDisRS(AN47, AE47, BA47, BB47, BC47, BD47, "Tong")</f>
        <v>672200</v>
      </c>
      <c r="BQ47" s="185">
        <f t="shared" si="20"/>
        <v>513.45833071168533</v>
      </c>
      <c r="BR47" s="186">
        <f t="shared" si="21"/>
        <v>3.6075302025136398</v>
      </c>
      <c r="BS47" s="185" t="str">
        <f t="shared" si="22"/>
        <v>O/S</v>
      </c>
      <c r="BT47" s="186">
        <f t="shared" si="23"/>
        <v>3.6506444422088893</v>
      </c>
      <c r="BU47" s="185" t="str">
        <f t="shared" si="24"/>
        <v>O/S</v>
      </c>
      <c r="BV47" s="190">
        <f t="shared" si="25"/>
        <v>2128.5752378174534</v>
      </c>
      <c r="BW47" s="191">
        <f t="shared" si="26"/>
        <v>39.910785709077253</v>
      </c>
      <c r="BX47" s="190">
        <f t="shared" si="27"/>
        <v>1064.2876189087267</v>
      </c>
      <c r="BY47" s="167">
        <f t="shared" si="28"/>
        <v>504.1362405357126</v>
      </c>
      <c r="BZ47" s="192">
        <f t="shared" si="29"/>
        <v>2.4506622803819367</v>
      </c>
      <c r="CA47" s="191">
        <f t="shared" si="30"/>
        <v>56.015137837301403</v>
      </c>
      <c r="CB47" s="193">
        <f t="shared" si="31"/>
        <v>0.46947553264021774</v>
      </c>
      <c r="CC47" s="167">
        <f t="shared" si="32"/>
        <v>513.38721840563733</v>
      </c>
      <c r="CD47" s="191">
        <f t="shared" si="33"/>
        <v>2.170115053647018</v>
      </c>
      <c r="CE47" s="189">
        <f t="shared" si="34"/>
        <v>2.4506622803819367</v>
      </c>
      <c r="CF47" s="194" t="str">
        <f t="shared" si="35"/>
        <v>O/S</v>
      </c>
      <c r="DA47" s="206"/>
      <c r="DB47" s="206"/>
      <c r="DC47" s="206"/>
      <c r="DD47" s="207"/>
      <c r="DE47" s="208"/>
      <c r="DF47" s="154"/>
      <c r="DG47" s="154"/>
      <c r="DH47" s="154"/>
      <c r="DI47" s="154"/>
      <c r="DJ47" s="154"/>
      <c r="DK47" s="208"/>
      <c r="DL47" s="154"/>
      <c r="DM47" s="154"/>
      <c r="DN47" s="154"/>
      <c r="DO47" s="154"/>
      <c r="DP47" s="154"/>
      <c r="DQ47" s="206"/>
      <c r="DR47" s="208"/>
      <c r="DS47" s="208"/>
      <c r="DT47" s="208"/>
      <c r="DU47" s="208"/>
      <c r="DV47" s="208"/>
      <c r="DW47" s="208"/>
      <c r="DX47" s="208"/>
      <c r="DY47" s="208"/>
      <c r="DZ47" s="208"/>
      <c r="EA47" s="208"/>
      <c r="EB47" s="208"/>
      <c r="EC47" s="208"/>
      <c r="ED47" s="208"/>
      <c r="EE47" s="208"/>
      <c r="EF47" s="208"/>
      <c r="EG47" s="226"/>
      <c r="EH47" s="208"/>
      <c r="EI47" s="208"/>
      <c r="EJ47" s="226"/>
      <c r="EK47" s="209"/>
      <c r="EL47" s="208"/>
      <c r="EM47" s="209"/>
      <c r="EN47" s="209"/>
      <c r="EO47" s="209"/>
      <c r="EP47" s="209"/>
      <c r="EQ47" s="209"/>
      <c r="ER47" s="209"/>
      <c r="ES47" s="209"/>
      <c r="ET47" s="209"/>
      <c r="EU47" s="209"/>
      <c r="EV47" s="210"/>
      <c r="EW47" s="209"/>
      <c r="EX47" s="210"/>
      <c r="EY47" s="154"/>
      <c r="EZ47" s="211"/>
      <c r="FA47" s="209"/>
      <c r="FB47" s="207"/>
      <c r="FC47" s="154"/>
      <c r="FD47" s="209"/>
      <c r="FE47" s="209"/>
      <c r="FF47" s="153"/>
    </row>
    <row r="48" spans="2:162" ht="12.75" customHeight="1">
      <c r="H48" s="62"/>
      <c r="I48" s="47"/>
      <c r="J48" s="47"/>
      <c r="K48" s="50"/>
      <c r="L48" s="63" t="s">
        <v>107</v>
      </c>
      <c r="M48" s="47"/>
      <c r="N48" s="48"/>
      <c r="O48" s="49"/>
      <c r="P48" s="47"/>
      <c r="Q48" s="50"/>
      <c r="R48" s="50"/>
      <c r="S48" s="5"/>
      <c r="AA48" s="140" t="s">
        <v>210</v>
      </c>
      <c r="AB48" s="140" t="s">
        <v>237</v>
      </c>
      <c r="AC48" s="140">
        <v>44</v>
      </c>
      <c r="AD48" s="133">
        <v>3</v>
      </c>
      <c r="AE48" s="151">
        <v>500</v>
      </c>
      <c r="AF48" s="152">
        <v>300</v>
      </c>
      <c r="AG48" s="152">
        <v>10</v>
      </c>
      <c r="AH48" s="152">
        <v>14</v>
      </c>
      <c r="AI48" s="152">
        <v>472</v>
      </c>
      <c r="AJ48" s="153" t="str" cm="1">
        <f t="array" ref="AJ48">_xll.Dce_Name_SectI(AE48, AE48, AF48, AG48, AH48, "x", "-", "H Tổng")</f>
        <v>500x300x10x14</v>
      </c>
      <c r="AK48" s="161">
        <f t="shared" si="6"/>
        <v>760</v>
      </c>
      <c r="AL48" s="162" cm="1">
        <f t="array" ref="AL48">IFERROR(INDEX($B$25:$B$32,IFERROR(MATCH(AF48,$B$25:$B$32,0),MATCH(AF48,$B$25:$B$32,1)+1)),$B$25)</f>
        <v>300</v>
      </c>
      <c r="AM48" s="162" cm="1">
        <f t="array" ref="AM48">IFERROR(VLOOKUP(AE48,$B$36:$E$47,4,FALSE),INDEX($E$36:$E$47,MATCH(AE48,$B$36:$B$47,1)+1))</f>
        <v>25</v>
      </c>
      <c r="AN48" s="162" cm="1">
        <f t="array" ref="AN48">IFERROR(VLOOKUP(AE48,$B$36:$E$47,2,FALSE),INDEX($C$36:$C$47,MATCH(AE48,$B$36:$B$47,1)+1))</f>
        <v>8</v>
      </c>
      <c r="AO48" s="162" cm="1">
        <f t="array" ref="AO48">IFERROR(VLOOKUP(AE48,$B$36:$E$47,3,FALSE),INDEX($D$36:$D$47,MATCH(AE48,$B$36:$B$47,1)+1))</f>
        <v>24</v>
      </c>
      <c r="AP48" s="163" t="str">
        <f t="shared" si="7"/>
        <v>760x300x25 + 8M24</v>
      </c>
      <c r="AQ48" s="140" t="s">
        <v>254</v>
      </c>
      <c r="AR48" s="151">
        <v>0</v>
      </c>
      <c r="AS48" s="151">
        <v>-368.65996528932305</v>
      </c>
      <c r="AT48" s="151">
        <v>2.4531345843570306E-13</v>
      </c>
      <c r="AU48" s="151">
        <v>-4.5976806431936102E-3</v>
      </c>
      <c r="AV48" s="151">
        <v>-1.2041732588841111E-13</v>
      </c>
      <c r="AW48" s="151">
        <v>215.8576044063646</v>
      </c>
      <c r="BA48" s="161">
        <f t="shared" si="8"/>
        <v>60</v>
      </c>
      <c r="BB48" s="161">
        <f t="shared" si="9"/>
        <v>70</v>
      </c>
      <c r="BC48" s="161">
        <f t="shared" si="10"/>
        <v>80</v>
      </c>
      <c r="BD48" s="161">
        <f t="shared" si="11"/>
        <v>150</v>
      </c>
      <c r="BE48" s="161">
        <f>HLOOKUP(AO48,Data!$H$31:$Q$35,3,FALSE)</f>
        <v>452.38934211693021</v>
      </c>
      <c r="BF48" s="161">
        <f>HLOOKUP(AO48,Data!$H$31:$Q$35,4,FALSE)</f>
        <v>353</v>
      </c>
      <c r="BG48" s="179">
        <f t="shared" si="12"/>
        <v>150</v>
      </c>
      <c r="BH48" s="185">
        <f t="shared" si="13"/>
        <v>121.65654188208487</v>
      </c>
      <c r="BI48" s="185">
        <f t="shared" si="14"/>
        <v>243</v>
      </c>
      <c r="BJ48" s="185">
        <f t="shared" si="15"/>
        <v>142.3296</v>
      </c>
      <c r="BK48" s="185">
        <f t="shared" si="16"/>
        <v>45.853797000550017</v>
      </c>
      <c r="BL48" s="186">
        <f t="shared" si="17"/>
        <v>0.94666666666666666</v>
      </c>
      <c r="BM48" s="186">
        <f t="shared" si="18"/>
        <v>0.39814636153780153</v>
      </c>
      <c r="BN48" s="185" t="str">
        <f t="shared" si="19"/>
        <v>OK</v>
      </c>
      <c r="BO48" s="185" cm="1">
        <f t="array" ref="BO48">_xll.DCEBoltDisRS(AN48, AE48, BA48, BB48, BC48, BD48, "h1")</f>
        <v>640</v>
      </c>
      <c r="BP48" s="185" cm="1">
        <f t="array" ref="BP48">_xll.DCEBoltDisRS(AN48, AE48, BA48, BB48, BC48, BD48, "Tong")</f>
        <v>672200</v>
      </c>
      <c r="BQ48" s="185">
        <f t="shared" si="20"/>
        <v>107.34413216961269</v>
      </c>
      <c r="BR48" s="186">
        <f t="shared" si="21"/>
        <v>0.75419401283789667</v>
      </c>
      <c r="BS48" s="185" t="str">
        <f t="shared" si="22"/>
        <v>OK</v>
      </c>
      <c r="BT48" s="186">
        <f t="shared" si="23"/>
        <v>0.84313176966095893</v>
      </c>
      <c r="BU48" s="185" t="str">
        <f t="shared" si="24"/>
        <v>OK</v>
      </c>
      <c r="BV48" s="190">
        <f t="shared" si="25"/>
        <v>431.7152088127292</v>
      </c>
      <c r="BW48" s="191">
        <f t="shared" si="26"/>
        <v>8.0946601652386718</v>
      </c>
      <c r="BX48" s="190">
        <f t="shared" si="27"/>
        <v>215.8576044063646</v>
      </c>
      <c r="BY48" s="167">
        <f t="shared" si="28"/>
        <v>102.2483389293306</v>
      </c>
      <c r="BZ48" s="192">
        <f t="shared" si="29"/>
        <v>0.49704053646202379</v>
      </c>
      <c r="CA48" s="191">
        <f t="shared" si="30"/>
        <v>11.3609265477034</v>
      </c>
      <c r="CB48" s="193">
        <f t="shared" si="31"/>
        <v>9.5218493575100344E-2</v>
      </c>
      <c r="CC48" s="167">
        <f t="shared" si="32"/>
        <v>104.12461173936833</v>
      </c>
      <c r="CD48" s="191">
        <f t="shared" si="33"/>
        <v>0.4401402670142382</v>
      </c>
      <c r="CE48" s="189">
        <f t="shared" si="34"/>
        <v>0.49704053646202379</v>
      </c>
      <c r="CF48" s="194" t="str">
        <f t="shared" si="35"/>
        <v>OK</v>
      </c>
      <c r="DA48" s="206"/>
      <c r="DB48" s="206"/>
      <c r="DC48" s="206"/>
      <c r="DD48" s="207"/>
      <c r="DE48" s="208"/>
      <c r="DF48" s="154"/>
      <c r="DG48" s="154"/>
      <c r="DH48" s="154"/>
      <c r="DI48" s="154"/>
      <c r="DJ48" s="154"/>
      <c r="DK48" s="208"/>
      <c r="DL48" s="154"/>
      <c r="DM48" s="154"/>
      <c r="DN48" s="154"/>
      <c r="DO48" s="154"/>
      <c r="DP48" s="154"/>
      <c r="DQ48" s="206"/>
      <c r="DR48" s="208"/>
      <c r="DS48" s="208"/>
      <c r="DT48" s="208"/>
      <c r="DU48" s="208"/>
      <c r="DV48" s="208"/>
      <c r="DW48" s="208"/>
      <c r="DX48" s="208"/>
      <c r="DY48" s="208"/>
      <c r="DZ48" s="208"/>
      <c r="EA48" s="208"/>
      <c r="EB48" s="208"/>
      <c r="EC48" s="208"/>
      <c r="ED48" s="208"/>
      <c r="EE48" s="208"/>
      <c r="EF48" s="208"/>
      <c r="EG48" s="226"/>
      <c r="EH48" s="208"/>
      <c r="EI48" s="208"/>
      <c r="EJ48" s="226"/>
      <c r="EK48" s="209"/>
      <c r="EL48" s="208"/>
      <c r="EM48" s="209"/>
      <c r="EN48" s="209"/>
      <c r="EO48" s="209"/>
      <c r="EP48" s="209"/>
      <c r="EQ48" s="209"/>
      <c r="ER48" s="209"/>
      <c r="ES48" s="209"/>
      <c r="ET48" s="209"/>
      <c r="EU48" s="209"/>
      <c r="EV48" s="210"/>
      <c r="EW48" s="209"/>
      <c r="EX48" s="210"/>
      <c r="EY48" s="154"/>
      <c r="EZ48" s="211"/>
      <c r="FA48" s="209"/>
      <c r="FB48" s="207"/>
      <c r="FC48" s="154"/>
      <c r="FD48" s="209"/>
      <c r="FE48" s="209"/>
      <c r="FF48" s="153"/>
    </row>
    <row r="49" spans="8:162" ht="12.75" customHeight="1">
      <c r="H49" s="6"/>
      <c r="I49" s="47"/>
      <c r="J49" s="47"/>
      <c r="K49" s="51"/>
      <c r="L49" s="51"/>
      <c r="M49" s="51"/>
      <c r="N49" s="47"/>
      <c r="O49" s="50"/>
      <c r="P49" s="50"/>
      <c r="Q49" s="55" t="s">
        <v>90</v>
      </c>
      <c r="R49" s="56">
        <f>VLOOKUP(F34,$B$36:$E$47,2,FALSE)</f>
        <v>12</v>
      </c>
      <c r="S49" s="9" t="s">
        <v>84</v>
      </c>
      <c r="AA49" s="140" t="s">
        <v>210</v>
      </c>
      <c r="AB49" s="140" t="s">
        <v>237</v>
      </c>
      <c r="AC49" s="140">
        <v>44</v>
      </c>
      <c r="AD49" s="133">
        <v>0.3</v>
      </c>
      <c r="AE49" s="151">
        <v>500</v>
      </c>
      <c r="AF49" s="152">
        <v>300</v>
      </c>
      <c r="AG49" s="152">
        <v>10</v>
      </c>
      <c r="AH49" s="152">
        <v>14</v>
      </c>
      <c r="AI49" s="152">
        <v>472</v>
      </c>
      <c r="AJ49" s="153" t="str" cm="1">
        <f t="array" ref="AJ49">_xll.Dce_Name_SectI(AE49, AE49, AF49, AG49, AH49, "x", "-", "H Tổng")</f>
        <v>500x300x10x14</v>
      </c>
      <c r="AK49" s="161">
        <f t="shared" si="6"/>
        <v>760</v>
      </c>
      <c r="AL49" s="162" cm="1">
        <f t="array" ref="AL49">IFERROR(INDEX($B$25:$B$32,IFERROR(MATCH(AF49,$B$25:$B$32,0),MATCH(AF49,$B$25:$B$32,1)+1)),$B$25)</f>
        <v>300</v>
      </c>
      <c r="AM49" s="162" cm="1">
        <f t="array" ref="AM49">IFERROR(VLOOKUP(AE49,$B$36:$E$47,4,FALSE),INDEX($E$36:$E$47,MATCH(AE49,$B$36:$B$47,1)+1))</f>
        <v>25</v>
      </c>
      <c r="AN49" s="162" cm="1">
        <f t="array" ref="AN49">IFERROR(VLOOKUP(AE49,$B$36:$E$47,2,FALSE),INDEX($C$36:$C$47,MATCH(AE49,$B$36:$B$47,1)+1))</f>
        <v>8</v>
      </c>
      <c r="AO49" s="162" cm="1">
        <f t="array" ref="AO49">IFERROR(VLOOKUP(AE49,$B$36:$E$47,3,FALSE),INDEX($D$36:$D$47,MATCH(AE49,$B$36:$B$47,1)+1))</f>
        <v>24</v>
      </c>
      <c r="AP49" s="163" t="str">
        <f t="shared" si="7"/>
        <v>760x300x25 + 8M24</v>
      </c>
      <c r="AQ49" s="140" t="s">
        <v>255</v>
      </c>
      <c r="AR49" s="151">
        <v>0</v>
      </c>
      <c r="AS49" s="151">
        <v>-544.1677701454812</v>
      </c>
      <c r="AT49" s="151">
        <v>-3.3359981443936696E-13</v>
      </c>
      <c r="AU49" s="151">
        <v>-4.7585072152429774E-3</v>
      </c>
      <c r="AV49" s="151">
        <v>-7.3665297009028997E-13</v>
      </c>
      <c r="AW49" s="151">
        <v>-1052.4416178652293</v>
      </c>
      <c r="BA49" s="161">
        <f t="shared" si="8"/>
        <v>60</v>
      </c>
      <c r="BB49" s="161">
        <f t="shared" si="9"/>
        <v>70</v>
      </c>
      <c r="BC49" s="161">
        <f t="shared" si="10"/>
        <v>80</v>
      </c>
      <c r="BD49" s="161">
        <f t="shared" si="11"/>
        <v>150</v>
      </c>
      <c r="BE49" s="161">
        <f>HLOOKUP(AO49,Data!$H$31:$Q$35,3,FALSE)</f>
        <v>452.38934211693021</v>
      </c>
      <c r="BF49" s="161">
        <f>HLOOKUP(AO49,Data!$H$31:$Q$35,4,FALSE)</f>
        <v>353</v>
      </c>
      <c r="BG49" s="179">
        <f t="shared" si="12"/>
        <v>150</v>
      </c>
      <c r="BH49" s="185">
        <f t="shared" si="13"/>
        <v>121.65654188208487</v>
      </c>
      <c r="BI49" s="185">
        <f t="shared" si="14"/>
        <v>243</v>
      </c>
      <c r="BJ49" s="185">
        <f t="shared" si="15"/>
        <v>142.3296</v>
      </c>
      <c r="BK49" s="185">
        <f t="shared" si="16"/>
        <v>67.68339612604936</v>
      </c>
      <c r="BL49" s="186">
        <f t="shared" si="17"/>
        <v>0.94666666666666666</v>
      </c>
      <c r="BM49" s="186">
        <f t="shared" si="18"/>
        <v>0.58769174347295694</v>
      </c>
      <c r="BN49" s="185" t="str">
        <f t="shared" si="19"/>
        <v>OK</v>
      </c>
      <c r="BO49" s="185" cm="1">
        <f t="array" ref="BO49">_xll.DCEBoltDisRS(AN49, AE49, BA49, BB49, BC49, BD49, "h1")</f>
        <v>640</v>
      </c>
      <c r="BP49" s="185" cm="1">
        <f t="array" ref="BP49">_xll.DCEBoltDisRS(AN49, AE49, BA49, BB49, BC49, BD49, "Tong")</f>
        <v>672200</v>
      </c>
      <c r="BQ49" s="185">
        <f t="shared" si="20"/>
        <v>507.78190360676348</v>
      </c>
      <c r="BR49" s="186">
        <f t="shared" si="21"/>
        <v>3.5676479355437203</v>
      </c>
      <c r="BS49" s="185" t="str">
        <f t="shared" si="22"/>
        <v>O/S</v>
      </c>
      <c r="BT49" s="186">
        <f t="shared" si="23"/>
        <v>3.6107665520814782</v>
      </c>
      <c r="BU49" s="185" t="str">
        <f t="shared" si="24"/>
        <v>O/S</v>
      </c>
      <c r="BV49" s="190">
        <f t="shared" si="25"/>
        <v>2104.8832357304586</v>
      </c>
      <c r="BW49" s="191">
        <f t="shared" si="26"/>
        <v>39.466560669946098</v>
      </c>
      <c r="BX49" s="190">
        <f t="shared" si="27"/>
        <v>1052.4416178652293</v>
      </c>
      <c r="BY49" s="167">
        <f t="shared" si="28"/>
        <v>498.52497688352969</v>
      </c>
      <c r="BZ49" s="192">
        <f t="shared" si="29"/>
        <v>2.423385304294936</v>
      </c>
      <c r="CA49" s="191">
        <f t="shared" si="30"/>
        <v>55.391664098169962</v>
      </c>
      <c r="CB49" s="193">
        <f t="shared" si="31"/>
        <v>0.46425005829404903</v>
      </c>
      <c r="CC49" s="167">
        <f t="shared" si="32"/>
        <v>507.67298719886338</v>
      </c>
      <c r="CD49" s="191">
        <f t="shared" si="33"/>
        <v>2.145960694681186</v>
      </c>
      <c r="CE49" s="189">
        <f t="shared" si="34"/>
        <v>2.423385304294936</v>
      </c>
      <c r="CF49" s="194" t="str">
        <f t="shared" si="35"/>
        <v>O/S</v>
      </c>
      <c r="DA49" s="206"/>
      <c r="DB49" s="206"/>
      <c r="DC49" s="206"/>
      <c r="DD49" s="207"/>
      <c r="DE49" s="208"/>
      <c r="DF49" s="154"/>
      <c r="DG49" s="154"/>
      <c r="DH49" s="154"/>
      <c r="DI49" s="154"/>
      <c r="DJ49" s="154"/>
      <c r="DK49" s="208"/>
      <c r="DL49" s="154"/>
      <c r="DM49" s="154"/>
      <c r="DN49" s="154"/>
      <c r="DO49" s="154"/>
      <c r="DP49" s="154"/>
      <c r="DQ49" s="206"/>
      <c r="DR49" s="208"/>
      <c r="DS49" s="208"/>
      <c r="DT49" s="208"/>
      <c r="DU49" s="208"/>
      <c r="DV49" s="208"/>
      <c r="DW49" s="208"/>
      <c r="DX49" s="208"/>
      <c r="DY49" s="208"/>
      <c r="DZ49" s="208"/>
      <c r="EA49" s="208"/>
      <c r="EB49" s="208"/>
      <c r="EC49" s="208"/>
      <c r="ED49" s="208"/>
      <c r="EE49" s="208"/>
      <c r="EF49" s="208"/>
      <c r="EG49" s="226"/>
      <c r="EH49" s="208"/>
      <c r="EI49" s="208"/>
      <c r="EJ49" s="226"/>
      <c r="EK49" s="209"/>
      <c r="EL49" s="208"/>
      <c r="EM49" s="209"/>
      <c r="EN49" s="209"/>
      <c r="EO49" s="209"/>
      <c r="EP49" s="209"/>
      <c r="EQ49" s="209"/>
      <c r="ER49" s="209"/>
      <c r="ES49" s="209"/>
      <c r="ET49" s="209"/>
      <c r="EU49" s="209"/>
      <c r="EV49" s="210"/>
      <c r="EW49" s="209"/>
      <c r="EX49" s="210"/>
      <c r="EY49" s="154"/>
      <c r="EZ49" s="211"/>
      <c r="FA49" s="209"/>
      <c r="FB49" s="207"/>
      <c r="FC49" s="154"/>
      <c r="FD49" s="209"/>
      <c r="FE49" s="209"/>
      <c r="FF49" s="153"/>
    </row>
    <row r="50" spans="8:162" ht="12.75" customHeight="1">
      <c r="H50" s="6"/>
      <c r="I50" s="47"/>
      <c r="J50" s="47"/>
      <c r="K50" s="51"/>
      <c r="L50" s="51"/>
      <c r="M50" s="48"/>
      <c r="N50" s="50"/>
      <c r="O50" s="52"/>
      <c r="P50" s="50"/>
      <c r="Q50" s="55" t="s">
        <v>109</v>
      </c>
      <c r="R50" s="56">
        <f>VLOOKUP(F34,$B$36:$E$47,4,FALSE)</f>
        <v>25</v>
      </c>
      <c r="S50" s="9" t="s">
        <v>4</v>
      </c>
      <c r="AA50" s="140" t="s">
        <v>210</v>
      </c>
      <c r="AB50" s="140" t="s">
        <v>237</v>
      </c>
      <c r="AC50" s="140">
        <v>44</v>
      </c>
      <c r="AD50" s="133">
        <v>3</v>
      </c>
      <c r="AE50" s="151">
        <v>500</v>
      </c>
      <c r="AF50" s="152">
        <v>300</v>
      </c>
      <c r="AG50" s="152">
        <v>10</v>
      </c>
      <c r="AH50" s="152">
        <v>14</v>
      </c>
      <c r="AI50" s="152">
        <v>472</v>
      </c>
      <c r="AJ50" s="153" t="str" cm="1">
        <f t="array" ref="AJ50">_xll.Dce_Name_SectI(AE50, AE50, AF50, AG50, AH50, "x", "-", "H Tổng")</f>
        <v>500x300x10x14</v>
      </c>
      <c r="AK50" s="161">
        <f t="shared" si="6"/>
        <v>760</v>
      </c>
      <c r="AL50" s="162" cm="1">
        <f t="array" ref="AL50">IFERROR(INDEX($B$25:$B$32,IFERROR(MATCH(AF50,$B$25:$B$32,0),MATCH(AF50,$B$25:$B$32,1)+1)),$B$25)</f>
        <v>300</v>
      </c>
      <c r="AM50" s="162" cm="1">
        <f t="array" ref="AM50">IFERROR(VLOOKUP(AE50,$B$36:$E$47,4,FALSE),INDEX($E$36:$E$47,MATCH(AE50,$B$36:$B$47,1)+1))</f>
        <v>25</v>
      </c>
      <c r="AN50" s="162" cm="1">
        <f t="array" ref="AN50">IFERROR(VLOOKUP(AE50,$B$36:$E$47,2,FALSE),INDEX($C$36:$C$47,MATCH(AE50,$B$36:$B$47,1)+1))</f>
        <v>8</v>
      </c>
      <c r="AO50" s="162" cm="1">
        <f t="array" ref="AO50">IFERROR(VLOOKUP(AE50,$B$36:$E$47,3,FALSE),INDEX($D$36:$D$47,MATCH(AE50,$B$36:$B$47,1)+1))</f>
        <v>24</v>
      </c>
      <c r="AP50" s="163" t="str">
        <f t="shared" si="7"/>
        <v>760x300x25 + 8M24</v>
      </c>
      <c r="AQ50" s="140" t="s">
        <v>255</v>
      </c>
      <c r="AR50" s="151">
        <v>0</v>
      </c>
      <c r="AS50" s="151">
        <v>-365.67293659626654</v>
      </c>
      <c r="AT50" s="151">
        <v>-4.5317847252590569E-13</v>
      </c>
      <c r="AU50" s="151">
        <v>-4.757077233595813E-3</v>
      </c>
      <c r="AV50" s="151">
        <v>4.0252029975817993E-13</v>
      </c>
      <c r="AW50" s="151">
        <v>219.63879380815175</v>
      </c>
      <c r="BA50" s="161">
        <f t="shared" si="8"/>
        <v>60</v>
      </c>
      <c r="BB50" s="161">
        <f t="shared" si="9"/>
        <v>70</v>
      </c>
      <c r="BC50" s="161">
        <f t="shared" si="10"/>
        <v>80</v>
      </c>
      <c r="BD50" s="161">
        <f t="shared" si="11"/>
        <v>150</v>
      </c>
      <c r="BE50" s="161">
        <f>HLOOKUP(AO50,Data!$H$31:$Q$35,3,FALSE)</f>
        <v>452.38934211693021</v>
      </c>
      <c r="BF50" s="161">
        <f>HLOOKUP(AO50,Data!$H$31:$Q$35,4,FALSE)</f>
        <v>353</v>
      </c>
      <c r="BG50" s="179">
        <f t="shared" si="12"/>
        <v>150</v>
      </c>
      <c r="BH50" s="185">
        <f t="shared" si="13"/>
        <v>121.65654188208487</v>
      </c>
      <c r="BI50" s="185">
        <f t="shared" si="14"/>
        <v>243</v>
      </c>
      <c r="BJ50" s="185">
        <f t="shared" si="15"/>
        <v>142.3296</v>
      </c>
      <c r="BK50" s="185">
        <f t="shared" si="16"/>
        <v>45.482271420823068</v>
      </c>
      <c r="BL50" s="186">
        <f t="shared" si="17"/>
        <v>0.94666666666666666</v>
      </c>
      <c r="BM50" s="186">
        <f t="shared" si="18"/>
        <v>0.39492042241252623</v>
      </c>
      <c r="BN50" s="185" t="str">
        <f t="shared" si="19"/>
        <v>OK</v>
      </c>
      <c r="BO50" s="185" cm="1">
        <f t="array" ref="BO50">_xll.DCEBoltDisRS(AN50, AE50, BA50, BB50, BC50, BD50, "h1")</f>
        <v>640</v>
      </c>
      <c r="BP50" s="185" cm="1">
        <f t="array" ref="BP50">_xll.DCEBoltDisRS(AN50, AE50, BA50, BB50, BC50, BD50, "Tong")</f>
        <v>672200</v>
      </c>
      <c r="BQ50" s="185">
        <f t="shared" si="20"/>
        <v>109.10701027003316</v>
      </c>
      <c r="BR50" s="186">
        <f t="shared" si="21"/>
        <v>0.76657989813807637</v>
      </c>
      <c r="BS50" s="185" t="str">
        <f t="shared" si="22"/>
        <v>OK</v>
      </c>
      <c r="BT50" s="186">
        <f t="shared" si="23"/>
        <v>0.85288600897572608</v>
      </c>
      <c r="BU50" s="185" t="str">
        <f t="shared" si="24"/>
        <v>OK</v>
      </c>
      <c r="BV50" s="190">
        <f t="shared" si="25"/>
        <v>439.27758761630349</v>
      </c>
      <c r="BW50" s="191">
        <f t="shared" si="26"/>
        <v>8.2364547678056894</v>
      </c>
      <c r="BX50" s="190">
        <f t="shared" si="27"/>
        <v>219.63879380815175</v>
      </c>
      <c r="BY50" s="167">
        <f t="shared" si="28"/>
        <v>104.03942864596659</v>
      </c>
      <c r="BZ50" s="192">
        <f t="shared" si="29"/>
        <v>0.50574722258455984</v>
      </c>
      <c r="CA50" s="191">
        <f t="shared" si="30"/>
        <v>11.559936516218512</v>
      </c>
      <c r="CB50" s="193">
        <f t="shared" si="31"/>
        <v>9.688644110815324E-2</v>
      </c>
      <c r="CC50" s="167">
        <f t="shared" si="32"/>
        <v>105.94856822891087</v>
      </c>
      <c r="CD50" s="191">
        <f t="shared" si="33"/>
        <v>0.44785022802075858</v>
      </c>
      <c r="CE50" s="189">
        <f t="shared" si="34"/>
        <v>0.50574722258455984</v>
      </c>
      <c r="CF50" s="194" t="str">
        <f t="shared" si="35"/>
        <v>OK</v>
      </c>
      <c r="DA50" s="206"/>
      <c r="DB50" s="206"/>
      <c r="DC50" s="206"/>
      <c r="DD50" s="207"/>
      <c r="DE50" s="208"/>
      <c r="DF50" s="154"/>
      <c r="DG50" s="154"/>
      <c r="DH50" s="154"/>
      <c r="DI50" s="154"/>
      <c r="DJ50" s="154"/>
      <c r="DK50" s="208"/>
      <c r="DL50" s="154"/>
      <c r="DM50" s="154"/>
      <c r="DN50" s="154"/>
      <c r="DO50" s="154"/>
      <c r="DP50" s="154"/>
      <c r="DQ50" s="206"/>
      <c r="DR50" s="208"/>
      <c r="DS50" s="208"/>
      <c r="DT50" s="208"/>
      <c r="DU50" s="208"/>
      <c r="DV50" s="208"/>
      <c r="DW50" s="208"/>
      <c r="DX50" s="208"/>
      <c r="DY50" s="208"/>
      <c r="DZ50" s="208"/>
      <c r="EA50" s="208"/>
      <c r="EB50" s="208"/>
      <c r="EC50" s="208"/>
      <c r="ED50" s="208"/>
      <c r="EE50" s="208"/>
      <c r="EF50" s="208"/>
      <c r="EG50" s="226"/>
      <c r="EH50" s="208"/>
      <c r="EI50" s="208"/>
      <c r="EJ50" s="226"/>
      <c r="EK50" s="209"/>
      <c r="EL50" s="208"/>
      <c r="EM50" s="209"/>
      <c r="EN50" s="209"/>
      <c r="EO50" s="209"/>
      <c r="EP50" s="209"/>
      <c r="EQ50" s="209"/>
      <c r="ER50" s="209"/>
      <c r="ES50" s="209"/>
      <c r="ET50" s="209"/>
      <c r="EU50" s="209"/>
      <c r="EV50" s="210"/>
      <c r="EW50" s="209"/>
      <c r="EX50" s="210"/>
      <c r="EY50" s="154"/>
      <c r="EZ50" s="211"/>
      <c r="FA50" s="209"/>
      <c r="FB50" s="207"/>
      <c r="FC50" s="154"/>
      <c r="FD50" s="209"/>
      <c r="FE50" s="209"/>
      <c r="FF50" s="153"/>
    </row>
    <row r="51" spans="8:162" ht="12.75" customHeight="1">
      <c r="H51" s="6"/>
      <c r="I51" s="47"/>
      <c r="J51" s="67"/>
      <c r="K51" s="48"/>
      <c r="L51" s="51"/>
      <c r="M51" s="51"/>
      <c r="N51" s="50"/>
      <c r="O51" s="52"/>
      <c r="P51" s="50"/>
      <c r="Q51" s="55" t="s">
        <v>108</v>
      </c>
      <c r="R51" s="61">
        <f>R47+2*(O55+P55)</f>
        <v>1365.4863183232978</v>
      </c>
      <c r="S51" s="9" t="s">
        <v>4</v>
      </c>
      <c r="AA51" s="140" t="s">
        <v>210</v>
      </c>
      <c r="AB51" s="140" t="s">
        <v>237</v>
      </c>
      <c r="AC51" s="140">
        <v>44</v>
      </c>
      <c r="AD51" s="133">
        <v>0.3</v>
      </c>
      <c r="AE51" s="151">
        <v>500</v>
      </c>
      <c r="AF51" s="152">
        <v>300</v>
      </c>
      <c r="AG51" s="152">
        <v>10</v>
      </c>
      <c r="AH51" s="152">
        <v>14</v>
      </c>
      <c r="AI51" s="152">
        <v>472</v>
      </c>
      <c r="AJ51" s="153" t="str" cm="1">
        <f t="array" ref="AJ51">_xll.Dce_Name_SectI(AE51, AE51, AF51, AG51, AH51, "x", "-", "H Tổng")</f>
        <v>500x300x10x14</v>
      </c>
      <c r="AK51" s="161">
        <f t="shared" si="6"/>
        <v>760</v>
      </c>
      <c r="AL51" s="162" cm="1">
        <f t="array" ref="AL51">IFERROR(INDEX($B$25:$B$32,IFERROR(MATCH(AF51,$B$25:$B$32,0),MATCH(AF51,$B$25:$B$32,1)+1)),$B$25)</f>
        <v>300</v>
      </c>
      <c r="AM51" s="162" cm="1">
        <f t="array" ref="AM51">IFERROR(VLOOKUP(AE51,$B$36:$E$47,4,FALSE),INDEX($E$36:$E$47,MATCH(AE51,$B$36:$B$47,1)+1))</f>
        <v>25</v>
      </c>
      <c r="AN51" s="162" cm="1">
        <f t="array" ref="AN51">IFERROR(VLOOKUP(AE51,$B$36:$E$47,2,FALSE),INDEX($C$36:$C$47,MATCH(AE51,$B$36:$B$47,1)+1))</f>
        <v>8</v>
      </c>
      <c r="AO51" s="162" cm="1">
        <f t="array" ref="AO51">IFERROR(VLOOKUP(AE51,$B$36:$E$47,3,FALSE),INDEX($D$36:$D$47,MATCH(AE51,$B$36:$B$47,1)+1))</f>
        <v>24</v>
      </c>
      <c r="AP51" s="163" t="str">
        <f t="shared" si="7"/>
        <v>760x300x25 + 8M24</v>
      </c>
      <c r="AQ51" s="140" t="s">
        <v>256</v>
      </c>
      <c r="AR51" s="151">
        <v>0</v>
      </c>
      <c r="AS51" s="151">
        <v>-543.14547144012283</v>
      </c>
      <c r="AT51" s="151">
        <v>-3.3359981443936696E-13</v>
      </c>
      <c r="AU51" s="151">
        <v>-4.7536854583872124E-3</v>
      </c>
      <c r="AV51" s="151">
        <v>-7.3665297009028997E-13</v>
      </c>
      <c r="AW51" s="151">
        <v>-1040.3449528949732</v>
      </c>
      <c r="BA51" s="161">
        <f t="shared" si="8"/>
        <v>60</v>
      </c>
      <c r="BB51" s="161">
        <f t="shared" si="9"/>
        <v>70</v>
      </c>
      <c r="BC51" s="161">
        <f t="shared" si="10"/>
        <v>80</v>
      </c>
      <c r="BD51" s="161">
        <f t="shared" si="11"/>
        <v>150</v>
      </c>
      <c r="BE51" s="161">
        <f>HLOOKUP(AO51,Data!$H$31:$Q$35,3,FALSE)</f>
        <v>452.38934211693021</v>
      </c>
      <c r="BF51" s="161">
        <f>HLOOKUP(AO51,Data!$H$31:$Q$35,4,FALSE)</f>
        <v>353</v>
      </c>
      <c r="BG51" s="179">
        <f t="shared" si="12"/>
        <v>150</v>
      </c>
      <c r="BH51" s="185">
        <f t="shared" si="13"/>
        <v>121.65654188208487</v>
      </c>
      <c r="BI51" s="185">
        <f t="shared" si="14"/>
        <v>243</v>
      </c>
      <c r="BJ51" s="185">
        <f t="shared" si="15"/>
        <v>142.3296</v>
      </c>
      <c r="BK51" s="185">
        <f t="shared" si="16"/>
        <v>67.556242972132466</v>
      </c>
      <c r="BL51" s="186">
        <f t="shared" si="17"/>
        <v>0.94666666666666666</v>
      </c>
      <c r="BM51" s="186">
        <f t="shared" si="18"/>
        <v>0.58658767862115291</v>
      </c>
      <c r="BN51" s="185" t="str">
        <f t="shared" si="19"/>
        <v>OK</v>
      </c>
      <c r="BO51" s="185" cm="1">
        <f t="array" ref="BO51">_xll.DCEBoltDisRS(AN51, AE51, BA51, BB51, BC51, BD51, "h1")</f>
        <v>640</v>
      </c>
      <c r="BP51" s="185" cm="1">
        <f t="array" ref="BP51">_xll.DCEBoltDisRS(AN51, AE51, BA51, BB51, BC51, BD51, "Tong")</f>
        <v>672200</v>
      </c>
      <c r="BQ51" s="185">
        <f t="shared" si="20"/>
        <v>502.01058550874473</v>
      </c>
      <c r="BR51" s="186">
        <f t="shared" si="21"/>
        <v>3.527098969636286</v>
      </c>
      <c r="BS51" s="185" t="str">
        <f t="shared" si="22"/>
        <v>O/S</v>
      </c>
      <c r="BT51" s="186">
        <f t="shared" si="23"/>
        <v>3.5705445755675602</v>
      </c>
      <c r="BU51" s="185" t="str">
        <f t="shared" si="24"/>
        <v>O/S</v>
      </c>
      <c r="BV51" s="190">
        <f t="shared" si="25"/>
        <v>2080.6899057899464</v>
      </c>
      <c r="BW51" s="191">
        <f t="shared" si="26"/>
        <v>39.012935733561491</v>
      </c>
      <c r="BX51" s="190">
        <f t="shared" si="27"/>
        <v>1040.3449528949732</v>
      </c>
      <c r="BY51" s="167">
        <f t="shared" si="28"/>
        <v>492.79497768709251</v>
      </c>
      <c r="BZ51" s="192">
        <f t="shared" si="29"/>
        <v>2.3955311415344775</v>
      </c>
      <c r="CA51" s="191">
        <f t="shared" si="30"/>
        <v>54.754997520788066</v>
      </c>
      <c r="CB51" s="193">
        <f t="shared" si="31"/>
        <v>0.45891401178821423</v>
      </c>
      <c r="CC51" s="167">
        <f t="shared" si="32"/>
        <v>501.83784163226125</v>
      </c>
      <c r="CD51" s="191">
        <f t="shared" si="33"/>
        <v>2.12129522429096</v>
      </c>
      <c r="CE51" s="189">
        <f t="shared" si="34"/>
        <v>2.3955311415344775</v>
      </c>
      <c r="CF51" s="194" t="str">
        <f t="shared" si="35"/>
        <v>O/S</v>
      </c>
      <c r="DA51" s="206"/>
      <c r="DB51" s="206"/>
      <c r="DC51" s="206"/>
      <c r="DD51" s="207"/>
      <c r="DE51" s="208"/>
      <c r="DF51" s="154"/>
      <c r="DG51" s="154"/>
      <c r="DH51" s="154"/>
      <c r="DI51" s="154"/>
      <c r="DJ51" s="154"/>
      <c r="DK51" s="208"/>
      <c r="DL51" s="154"/>
      <c r="DM51" s="154"/>
      <c r="DN51" s="154"/>
      <c r="DO51" s="154"/>
      <c r="DP51" s="154"/>
      <c r="DQ51" s="206"/>
      <c r="DR51" s="208"/>
      <c r="DS51" s="208"/>
      <c r="DT51" s="208"/>
      <c r="DU51" s="208"/>
      <c r="DV51" s="208"/>
      <c r="DW51" s="208"/>
      <c r="DX51" s="208"/>
      <c r="DY51" s="208"/>
      <c r="DZ51" s="208"/>
      <c r="EA51" s="208"/>
      <c r="EB51" s="208"/>
      <c r="EC51" s="208"/>
      <c r="ED51" s="208"/>
      <c r="EE51" s="208"/>
      <c r="EF51" s="208"/>
      <c r="EG51" s="226"/>
      <c r="EH51" s="208"/>
      <c r="EI51" s="208"/>
      <c r="EJ51" s="226"/>
      <c r="EK51" s="209"/>
      <c r="EL51" s="208"/>
      <c r="EM51" s="209"/>
      <c r="EN51" s="209"/>
      <c r="EO51" s="209"/>
      <c r="EP51" s="209"/>
      <c r="EQ51" s="209"/>
      <c r="ER51" s="209"/>
      <c r="ES51" s="209"/>
      <c r="ET51" s="209"/>
      <c r="EU51" s="209"/>
      <c r="EV51" s="210"/>
      <c r="EW51" s="209"/>
      <c r="EX51" s="210"/>
      <c r="EY51" s="154"/>
      <c r="EZ51" s="211"/>
      <c r="FA51" s="209"/>
      <c r="FB51" s="207"/>
      <c r="FC51" s="154"/>
      <c r="FD51" s="209"/>
      <c r="FE51" s="209"/>
      <c r="FF51" s="153"/>
    </row>
    <row r="52" spans="8:162" ht="12.75" customHeight="1">
      <c r="H52" s="6"/>
      <c r="I52" s="47"/>
      <c r="J52" s="47"/>
      <c r="K52" s="48"/>
      <c r="L52" s="51"/>
      <c r="M52" s="47"/>
      <c r="N52" s="55"/>
      <c r="O52" s="52"/>
      <c r="P52" s="50"/>
      <c r="Q52" s="55" t="s">
        <v>110</v>
      </c>
      <c r="R52" s="56" cm="1">
        <f t="array" ref="R52">INDEX(B25:B32,IFERROR(MATCH(R43,$B$25:$B$32,0),MATCH(R43,$B$25:$B$32,1)+1))</f>
        <v>350</v>
      </c>
      <c r="S52" s="9" t="s">
        <v>4</v>
      </c>
      <c r="AA52" s="140" t="s">
        <v>210</v>
      </c>
      <c r="AB52" s="140" t="s">
        <v>237</v>
      </c>
      <c r="AC52" s="140">
        <v>44</v>
      </c>
      <c r="AD52" s="133">
        <v>3</v>
      </c>
      <c r="AE52" s="151">
        <v>500</v>
      </c>
      <c r="AF52" s="152">
        <v>300</v>
      </c>
      <c r="AG52" s="152">
        <v>10</v>
      </c>
      <c r="AH52" s="152">
        <v>14</v>
      </c>
      <c r="AI52" s="152">
        <v>472</v>
      </c>
      <c r="AJ52" s="153" t="str" cm="1">
        <f t="array" ref="AJ52">_xll.Dce_Name_SectI(AE52, AE52, AF52, AG52, AH52, "x", "-", "H Tổng")</f>
        <v>500x300x10x14</v>
      </c>
      <c r="AK52" s="161">
        <f t="shared" si="6"/>
        <v>760</v>
      </c>
      <c r="AL52" s="162" cm="1">
        <f t="array" ref="AL52">IFERROR(INDEX($B$25:$B$32,IFERROR(MATCH(AF52,$B$25:$B$32,0),MATCH(AF52,$B$25:$B$32,1)+1)),$B$25)</f>
        <v>300</v>
      </c>
      <c r="AM52" s="162" cm="1">
        <f t="array" ref="AM52">IFERROR(VLOOKUP(AE52,$B$36:$E$47,4,FALSE),INDEX($E$36:$E$47,MATCH(AE52,$B$36:$B$47,1)+1))</f>
        <v>25</v>
      </c>
      <c r="AN52" s="162" cm="1">
        <f t="array" ref="AN52">IFERROR(VLOOKUP(AE52,$B$36:$E$47,2,FALSE),INDEX($C$36:$C$47,MATCH(AE52,$B$36:$B$47,1)+1))</f>
        <v>8</v>
      </c>
      <c r="AO52" s="162" cm="1">
        <f t="array" ref="AO52">IFERROR(VLOOKUP(AE52,$B$36:$E$47,3,FALSE),INDEX($D$36:$D$47,MATCH(AE52,$B$36:$B$47,1)+1))</f>
        <v>24</v>
      </c>
      <c r="AP52" s="163" t="str">
        <f t="shared" si="7"/>
        <v>760x300x25 + 8M24</v>
      </c>
      <c r="AQ52" s="140" t="s">
        <v>256</v>
      </c>
      <c r="AR52" s="151">
        <v>0</v>
      </c>
      <c r="AS52" s="151">
        <v>-364.65063662481401</v>
      </c>
      <c r="AT52" s="151">
        <v>-3.3676315069897092E-13</v>
      </c>
      <c r="AU52" s="151">
        <v>-4.7522565545781263E-3</v>
      </c>
      <c r="AV52" s="151">
        <v>2.7562759896682101E-13</v>
      </c>
      <c r="AW52" s="151">
        <v>228.97517624734365</v>
      </c>
      <c r="BA52" s="161">
        <f t="shared" si="8"/>
        <v>60</v>
      </c>
      <c r="BB52" s="161">
        <f t="shared" si="9"/>
        <v>70</v>
      </c>
      <c r="BC52" s="161">
        <f t="shared" si="10"/>
        <v>80</v>
      </c>
      <c r="BD52" s="161">
        <f t="shared" si="11"/>
        <v>150</v>
      </c>
      <c r="BE52" s="161">
        <f>HLOOKUP(AO52,Data!$H$31:$Q$35,3,FALSE)</f>
        <v>452.38934211693021</v>
      </c>
      <c r="BF52" s="161">
        <f>HLOOKUP(AO52,Data!$H$31:$Q$35,4,FALSE)</f>
        <v>353</v>
      </c>
      <c r="BG52" s="179">
        <f t="shared" si="12"/>
        <v>150</v>
      </c>
      <c r="BH52" s="185">
        <f t="shared" si="13"/>
        <v>121.65654188208487</v>
      </c>
      <c r="BI52" s="185">
        <f t="shared" si="14"/>
        <v>243</v>
      </c>
      <c r="BJ52" s="185">
        <f t="shared" si="15"/>
        <v>142.3296</v>
      </c>
      <c r="BK52" s="185">
        <f t="shared" si="16"/>
        <v>45.355118109429839</v>
      </c>
      <c r="BL52" s="186">
        <f t="shared" si="17"/>
        <v>0.94666666666666666</v>
      </c>
      <c r="BM52" s="186">
        <f t="shared" si="18"/>
        <v>0.39381635619336253</v>
      </c>
      <c r="BN52" s="185" t="str">
        <f t="shared" si="19"/>
        <v>OK</v>
      </c>
      <c r="BO52" s="185" cm="1">
        <f t="array" ref="BO52">_xll.DCEBoltDisRS(AN52, AE52, BA52, BB52, BC52, BD52, "h1")</f>
        <v>640</v>
      </c>
      <c r="BP52" s="185" cm="1">
        <f t="array" ref="BP52">_xll.DCEBoltDisRS(AN52, AE52, BA52, BB52, BC52, BD52, "Tong")</f>
        <v>672200</v>
      </c>
      <c r="BQ52" s="185">
        <f t="shared" si="20"/>
        <v>113.53886854874418</v>
      </c>
      <c r="BR52" s="186">
        <f t="shared" si="21"/>
        <v>0.79771789247453917</v>
      </c>
      <c r="BS52" s="185" t="str">
        <f t="shared" si="22"/>
        <v>OK</v>
      </c>
      <c r="BT52" s="186">
        <f t="shared" si="23"/>
        <v>0.88053576454333993</v>
      </c>
      <c r="BU52" s="185" t="str">
        <f t="shared" si="24"/>
        <v>OK</v>
      </c>
      <c r="BV52" s="190">
        <f t="shared" si="25"/>
        <v>457.95035249468731</v>
      </c>
      <c r="BW52" s="191">
        <f t="shared" si="26"/>
        <v>8.586569109275386</v>
      </c>
      <c r="BX52" s="190">
        <f t="shared" si="27"/>
        <v>228.97517624734365</v>
      </c>
      <c r="BY52" s="167">
        <f t="shared" si="28"/>
        <v>108.46192559084697</v>
      </c>
      <c r="BZ52" s="192">
        <f t="shared" si="29"/>
        <v>0.52724547162217283</v>
      </c>
      <c r="CA52" s="191">
        <f t="shared" si="30"/>
        <v>12.051325065649666</v>
      </c>
      <c r="CB52" s="193">
        <f t="shared" si="31"/>
        <v>0.10100487962110592</v>
      </c>
      <c r="CC52" s="167">
        <f t="shared" si="32"/>
        <v>110.45221867571649</v>
      </c>
      <c r="CD52" s="191">
        <f t="shared" si="33"/>
        <v>0.46688739778382587</v>
      </c>
      <c r="CE52" s="189">
        <f t="shared" si="34"/>
        <v>0.52724547162217283</v>
      </c>
      <c r="CF52" s="194" t="str">
        <f t="shared" si="35"/>
        <v>OK</v>
      </c>
      <c r="DA52" s="206"/>
      <c r="DB52" s="206"/>
      <c r="DC52" s="206"/>
      <c r="DD52" s="207"/>
      <c r="DE52" s="208"/>
      <c r="DF52" s="154"/>
      <c r="DG52" s="154"/>
      <c r="DH52" s="154"/>
      <c r="DI52" s="154"/>
      <c r="DJ52" s="154"/>
      <c r="DK52" s="208"/>
      <c r="DL52" s="154"/>
      <c r="DM52" s="154"/>
      <c r="DN52" s="154"/>
      <c r="DO52" s="154"/>
      <c r="DP52" s="154"/>
      <c r="DQ52" s="206"/>
      <c r="DR52" s="208"/>
      <c r="DS52" s="208"/>
      <c r="DT52" s="208"/>
      <c r="DU52" s="208"/>
      <c r="DV52" s="208"/>
      <c r="DW52" s="208"/>
      <c r="DX52" s="208"/>
      <c r="DY52" s="208"/>
      <c r="DZ52" s="208"/>
      <c r="EA52" s="208"/>
      <c r="EB52" s="208"/>
      <c r="EC52" s="208"/>
      <c r="ED52" s="208"/>
      <c r="EE52" s="208"/>
      <c r="EF52" s="208"/>
      <c r="EG52" s="226"/>
      <c r="EH52" s="208"/>
      <c r="EI52" s="208"/>
      <c r="EJ52" s="226"/>
      <c r="EK52" s="209"/>
      <c r="EL52" s="208"/>
      <c r="EM52" s="209"/>
      <c r="EN52" s="209"/>
      <c r="EO52" s="209"/>
      <c r="EP52" s="209"/>
      <c r="EQ52" s="209"/>
      <c r="ER52" s="209"/>
      <c r="ES52" s="209"/>
      <c r="ET52" s="209"/>
      <c r="EU52" s="209"/>
      <c r="EV52" s="210"/>
      <c r="EW52" s="209"/>
      <c r="EX52" s="210"/>
      <c r="EY52" s="154"/>
      <c r="EZ52" s="211"/>
      <c r="FA52" s="209"/>
      <c r="FB52" s="207"/>
      <c r="FC52" s="154"/>
      <c r="FD52" s="209"/>
      <c r="FE52" s="209"/>
      <c r="FF52" s="153"/>
    </row>
    <row r="53" spans="8:162" ht="12.75" customHeight="1">
      <c r="H53" s="6"/>
      <c r="I53" s="47"/>
      <c r="J53" s="47"/>
      <c r="K53" s="48"/>
      <c r="L53" s="51"/>
      <c r="M53" s="47"/>
      <c r="N53" s="55"/>
      <c r="O53" s="52"/>
      <c r="P53" s="50"/>
      <c r="Q53" s="55" t="s">
        <v>91</v>
      </c>
      <c r="R53" s="56">
        <f>VLOOKUP(R52,$B$25:$C$32,2,FALSE)</f>
        <v>180</v>
      </c>
      <c r="S53" s="9" t="s">
        <v>4</v>
      </c>
      <c r="AA53" s="140" t="s">
        <v>210</v>
      </c>
      <c r="AB53" s="140" t="s">
        <v>237</v>
      </c>
      <c r="AC53" s="140">
        <v>44</v>
      </c>
      <c r="AD53" s="133">
        <v>0.3</v>
      </c>
      <c r="AE53" s="151">
        <v>500</v>
      </c>
      <c r="AF53" s="152">
        <v>300</v>
      </c>
      <c r="AG53" s="152">
        <v>10</v>
      </c>
      <c r="AH53" s="152">
        <v>14</v>
      </c>
      <c r="AI53" s="152">
        <v>472</v>
      </c>
      <c r="AJ53" s="153" t="str" cm="1">
        <f t="array" ref="AJ53">_xll.Dce_Name_SectI(AE53, AE53, AF53, AG53, AH53, "x", "-", "H Tổng")</f>
        <v>500x300x10x14</v>
      </c>
      <c r="AK53" s="161">
        <f t="shared" si="6"/>
        <v>760</v>
      </c>
      <c r="AL53" s="162" cm="1">
        <f t="array" ref="AL53">IFERROR(INDEX($B$25:$B$32,IFERROR(MATCH(AF53,$B$25:$B$32,0),MATCH(AF53,$B$25:$B$32,1)+1)),$B$25)</f>
        <v>300</v>
      </c>
      <c r="AM53" s="162" cm="1">
        <f t="array" ref="AM53">IFERROR(VLOOKUP(AE53,$B$36:$E$47,4,FALSE),INDEX($E$36:$E$47,MATCH(AE53,$B$36:$B$47,1)+1))</f>
        <v>25</v>
      </c>
      <c r="AN53" s="162" cm="1">
        <f t="array" ref="AN53">IFERROR(VLOOKUP(AE53,$B$36:$E$47,2,FALSE),INDEX($C$36:$C$47,MATCH(AE53,$B$36:$B$47,1)+1))</f>
        <v>8</v>
      </c>
      <c r="AO53" s="162" cm="1">
        <f t="array" ref="AO53">IFERROR(VLOOKUP(AE53,$B$36:$E$47,3,FALSE),INDEX($D$36:$D$47,MATCH(AE53,$B$36:$B$47,1)+1))</f>
        <v>24</v>
      </c>
      <c r="AP53" s="163" t="str">
        <f t="shared" si="7"/>
        <v>760x300x25 + 8M24</v>
      </c>
      <c r="AQ53" s="140" t="s">
        <v>257</v>
      </c>
      <c r="AR53" s="151">
        <v>0</v>
      </c>
      <c r="AS53" s="151">
        <v>-541.5894932872103</v>
      </c>
      <c r="AT53" s="151">
        <v>-3.6133940284344129E-13</v>
      </c>
      <c r="AU53" s="151">
        <v>-4.6819603182107917E-3</v>
      </c>
      <c r="AV53" s="151">
        <v>-7.3093679588964713E-13</v>
      </c>
      <c r="AW53" s="151">
        <v>-1042.3908433216868</v>
      </c>
      <c r="BA53" s="161">
        <f t="shared" si="8"/>
        <v>60</v>
      </c>
      <c r="BB53" s="161">
        <f t="shared" si="9"/>
        <v>70</v>
      </c>
      <c r="BC53" s="161">
        <f t="shared" si="10"/>
        <v>80</v>
      </c>
      <c r="BD53" s="161">
        <f t="shared" si="11"/>
        <v>150</v>
      </c>
      <c r="BE53" s="161">
        <f>HLOOKUP(AO53,Data!$H$31:$Q$35,3,FALSE)</f>
        <v>452.38934211693021</v>
      </c>
      <c r="BF53" s="161">
        <f>HLOOKUP(AO53,Data!$H$31:$Q$35,4,FALSE)</f>
        <v>353</v>
      </c>
      <c r="BG53" s="179">
        <f t="shared" si="12"/>
        <v>150</v>
      </c>
      <c r="BH53" s="185">
        <f t="shared" si="13"/>
        <v>121.65654188208487</v>
      </c>
      <c r="BI53" s="185">
        <f t="shared" si="14"/>
        <v>243</v>
      </c>
      <c r="BJ53" s="185">
        <f t="shared" si="15"/>
        <v>142.3296</v>
      </c>
      <c r="BK53" s="185">
        <f t="shared" si="16"/>
        <v>67.362710955969689</v>
      </c>
      <c r="BL53" s="186">
        <f t="shared" si="17"/>
        <v>0.94666666666666666</v>
      </c>
      <c r="BM53" s="186">
        <f t="shared" si="18"/>
        <v>0.58490724923216775</v>
      </c>
      <c r="BN53" s="185" t="str">
        <f t="shared" si="19"/>
        <v>OK</v>
      </c>
      <c r="BO53" s="185" cm="1">
        <f t="array" ref="BO53">_xll.DCEBoltDisRS(AN53, AE53, BA53, BB53, BC53, BD53, "h1")</f>
        <v>640</v>
      </c>
      <c r="BP53" s="185" cm="1">
        <f t="array" ref="BP53">_xll.DCEBoltDisRS(AN53, AE53, BA53, BB53, BC53, BD53, "Tong")</f>
        <v>672200</v>
      </c>
      <c r="BQ53" s="185">
        <f t="shared" si="20"/>
        <v>502.96517597947047</v>
      </c>
      <c r="BR53" s="186">
        <f t="shared" si="21"/>
        <v>3.5338058701736705</v>
      </c>
      <c r="BS53" s="185" t="str">
        <f t="shared" si="22"/>
        <v>O/S</v>
      </c>
      <c r="BT53" s="186">
        <f t="shared" si="23"/>
        <v>3.5769234160107977</v>
      </c>
      <c r="BU53" s="185" t="str">
        <f t="shared" si="24"/>
        <v>O/S</v>
      </c>
      <c r="BV53" s="190">
        <f t="shared" si="25"/>
        <v>2084.7816866433736</v>
      </c>
      <c r="BW53" s="191">
        <f t="shared" si="26"/>
        <v>39.089656624563254</v>
      </c>
      <c r="BX53" s="190">
        <f t="shared" si="27"/>
        <v>1042.3908433216868</v>
      </c>
      <c r="BY53" s="167">
        <f t="shared" si="28"/>
        <v>493.76408367869379</v>
      </c>
      <c r="BZ53" s="192">
        <f t="shared" si="29"/>
        <v>2.4002420734380951</v>
      </c>
      <c r="CA53" s="191">
        <f t="shared" si="30"/>
        <v>54.862675964299306</v>
      </c>
      <c r="CB53" s="193">
        <f t="shared" si="31"/>
        <v>0.459816489164386</v>
      </c>
      <c r="CC53" s="167">
        <f t="shared" si="32"/>
        <v>502.82473086847193</v>
      </c>
      <c r="CD53" s="191">
        <f t="shared" si="33"/>
        <v>2.1254668575358115</v>
      </c>
      <c r="CE53" s="189">
        <f t="shared" si="34"/>
        <v>2.4002420734380951</v>
      </c>
      <c r="CF53" s="194" t="str">
        <f t="shared" si="35"/>
        <v>O/S</v>
      </c>
      <c r="DA53" s="206"/>
      <c r="DB53" s="206"/>
      <c r="DC53" s="206"/>
      <c r="DD53" s="207"/>
      <c r="DE53" s="208"/>
      <c r="DF53" s="154"/>
      <c r="DG53" s="154"/>
      <c r="DH53" s="154"/>
      <c r="DI53" s="154"/>
      <c r="DJ53" s="154"/>
      <c r="DK53" s="208"/>
      <c r="DL53" s="154"/>
      <c r="DM53" s="154"/>
      <c r="DN53" s="154"/>
      <c r="DO53" s="154"/>
      <c r="DP53" s="154"/>
      <c r="DQ53" s="206"/>
      <c r="DR53" s="208"/>
      <c r="DS53" s="208"/>
      <c r="DT53" s="208"/>
      <c r="DU53" s="208"/>
      <c r="DV53" s="208"/>
      <c r="DW53" s="208"/>
      <c r="DX53" s="208"/>
      <c r="DY53" s="208"/>
      <c r="DZ53" s="208"/>
      <c r="EA53" s="208"/>
      <c r="EB53" s="208"/>
      <c r="EC53" s="208"/>
      <c r="ED53" s="208"/>
      <c r="EE53" s="208"/>
      <c r="EF53" s="208"/>
      <c r="EG53" s="226"/>
      <c r="EH53" s="208"/>
      <c r="EI53" s="208"/>
      <c r="EJ53" s="226"/>
      <c r="EK53" s="209"/>
      <c r="EL53" s="208"/>
      <c r="EM53" s="209"/>
      <c r="EN53" s="209"/>
      <c r="EO53" s="209"/>
      <c r="EP53" s="209"/>
      <c r="EQ53" s="209"/>
      <c r="ER53" s="209"/>
      <c r="ES53" s="209"/>
      <c r="ET53" s="209"/>
      <c r="EU53" s="209"/>
      <c r="EV53" s="210"/>
      <c r="EW53" s="209"/>
      <c r="EX53" s="210"/>
      <c r="EY53" s="154"/>
      <c r="EZ53" s="211"/>
      <c r="FA53" s="209"/>
      <c r="FB53" s="207"/>
      <c r="FC53" s="154"/>
      <c r="FD53" s="209"/>
      <c r="FE53" s="209"/>
      <c r="FF53" s="153"/>
    </row>
    <row r="54" spans="8:162" ht="12.75" customHeight="1">
      <c r="H54" s="6"/>
      <c r="I54" s="47"/>
      <c r="J54" s="47"/>
      <c r="K54" s="48"/>
      <c r="L54" s="253" t="s">
        <v>115</v>
      </c>
      <c r="M54" s="254"/>
      <c r="N54" s="255"/>
      <c r="O54" s="34" t="s">
        <v>85</v>
      </c>
      <c r="P54" s="35" t="s">
        <v>29</v>
      </c>
      <c r="Q54" s="35" t="s">
        <v>86</v>
      </c>
      <c r="R54" s="35" t="s">
        <v>87</v>
      </c>
      <c r="S54" s="36" t="s">
        <v>89</v>
      </c>
      <c r="AA54" s="140" t="s">
        <v>210</v>
      </c>
      <c r="AB54" s="140" t="s">
        <v>237</v>
      </c>
      <c r="AC54" s="140">
        <v>44</v>
      </c>
      <c r="AD54" s="133">
        <v>3</v>
      </c>
      <c r="AE54" s="151">
        <v>500</v>
      </c>
      <c r="AF54" s="152">
        <v>300</v>
      </c>
      <c r="AG54" s="152">
        <v>10</v>
      </c>
      <c r="AH54" s="152">
        <v>14</v>
      </c>
      <c r="AI54" s="152">
        <v>472</v>
      </c>
      <c r="AJ54" s="153" t="str" cm="1">
        <f t="array" ref="AJ54">_xll.Dce_Name_SectI(AE54, AE54, AF54, AG54, AH54, "x", "-", "H Tổng")</f>
        <v>500x300x10x14</v>
      </c>
      <c r="AK54" s="161">
        <f t="shared" si="6"/>
        <v>760</v>
      </c>
      <c r="AL54" s="162" cm="1">
        <f t="array" ref="AL54">IFERROR(INDEX($B$25:$B$32,IFERROR(MATCH(AF54,$B$25:$B$32,0),MATCH(AF54,$B$25:$B$32,1)+1)),$B$25)</f>
        <v>300</v>
      </c>
      <c r="AM54" s="162" cm="1">
        <f t="array" ref="AM54">IFERROR(VLOOKUP(AE54,$B$36:$E$47,4,FALSE),INDEX($E$36:$E$47,MATCH(AE54,$B$36:$B$47,1)+1))</f>
        <v>25</v>
      </c>
      <c r="AN54" s="162" cm="1">
        <f t="array" ref="AN54">IFERROR(VLOOKUP(AE54,$B$36:$E$47,2,FALSE),INDEX($C$36:$C$47,MATCH(AE54,$B$36:$B$47,1)+1))</f>
        <v>8</v>
      </c>
      <c r="AO54" s="162" cm="1">
        <f t="array" ref="AO54">IFERROR(VLOOKUP(AE54,$B$36:$E$47,3,FALSE),INDEX($D$36:$D$47,MATCH(AE54,$B$36:$B$47,1)+1))</f>
        <v>24</v>
      </c>
      <c r="AP54" s="163" t="str">
        <f t="shared" si="7"/>
        <v>760x300x25 + 8M24</v>
      </c>
      <c r="AQ54" s="140" t="s">
        <v>257</v>
      </c>
      <c r="AR54" s="151">
        <v>0</v>
      </c>
      <c r="AS54" s="151">
        <v>-363.09466148767331</v>
      </c>
      <c r="AT54" s="151">
        <v>-2.1761934476671737E-13</v>
      </c>
      <c r="AU54" s="151">
        <v>-4.6805523946763482E-3</v>
      </c>
      <c r="AV54" s="151">
        <v>1.406385763402795E-13</v>
      </c>
      <c r="AW54" s="151">
        <v>222.72843499276462</v>
      </c>
      <c r="BA54" s="161">
        <f t="shared" si="8"/>
        <v>60</v>
      </c>
      <c r="BB54" s="161">
        <f t="shared" si="9"/>
        <v>70</v>
      </c>
      <c r="BC54" s="161">
        <f t="shared" si="10"/>
        <v>80</v>
      </c>
      <c r="BD54" s="161">
        <f t="shared" si="11"/>
        <v>150</v>
      </c>
      <c r="BE54" s="161">
        <f>HLOOKUP(AO54,Data!$H$31:$Q$35,3,FALSE)</f>
        <v>452.38934211693021</v>
      </c>
      <c r="BF54" s="161">
        <f>HLOOKUP(AO54,Data!$H$31:$Q$35,4,FALSE)</f>
        <v>353</v>
      </c>
      <c r="BG54" s="179">
        <f t="shared" si="12"/>
        <v>150</v>
      </c>
      <c r="BH54" s="185">
        <f t="shared" si="13"/>
        <v>121.65654188208487</v>
      </c>
      <c r="BI54" s="185">
        <f t="shared" si="14"/>
        <v>243</v>
      </c>
      <c r="BJ54" s="185">
        <f t="shared" si="15"/>
        <v>142.3296</v>
      </c>
      <c r="BK54" s="185">
        <f t="shared" si="16"/>
        <v>45.161586468367702</v>
      </c>
      <c r="BL54" s="186">
        <f t="shared" si="17"/>
        <v>0.94666666666666666</v>
      </c>
      <c r="BM54" s="186">
        <f t="shared" si="18"/>
        <v>0.39213593006135855</v>
      </c>
      <c r="BN54" s="185" t="str">
        <f t="shared" si="19"/>
        <v>OK</v>
      </c>
      <c r="BO54" s="185" cm="1">
        <f t="array" ref="BO54">_xll.DCEBoltDisRS(AN54, AE54, BA54, BB54, BC54, BD54, "h1")</f>
        <v>640</v>
      </c>
      <c r="BP54" s="185" cm="1">
        <f t="array" ref="BP54">_xll.DCEBoltDisRS(AN54, AE54, BA54, BB54, BC54, BD54, "Tong")</f>
        <v>672200</v>
      </c>
      <c r="BQ54" s="185">
        <f t="shared" si="20"/>
        <v>110.54576173770954</v>
      </c>
      <c r="BR54" s="186">
        <f t="shared" si="21"/>
        <v>0.77668848741027541</v>
      </c>
      <c r="BS54" s="185" t="str">
        <f t="shared" si="22"/>
        <v>OK</v>
      </c>
      <c r="BT54" s="186">
        <f t="shared" si="23"/>
        <v>0.86084306932159149</v>
      </c>
      <c r="BU54" s="185" t="str">
        <f t="shared" si="24"/>
        <v>OK</v>
      </c>
      <c r="BV54" s="190">
        <f t="shared" si="25"/>
        <v>445.45686998552924</v>
      </c>
      <c r="BW54" s="191">
        <f t="shared" si="26"/>
        <v>8.3523163122286732</v>
      </c>
      <c r="BX54" s="190">
        <f t="shared" si="27"/>
        <v>222.72843499276462</v>
      </c>
      <c r="BY54" s="167">
        <f t="shared" si="28"/>
        <v>105.50294289130956</v>
      </c>
      <c r="BZ54" s="192">
        <f t="shared" si="29"/>
        <v>0.51286152794386597</v>
      </c>
      <c r="CA54" s="191">
        <f t="shared" si="30"/>
        <v>11.722549210145505</v>
      </c>
      <c r="CB54" s="193">
        <f t="shared" si="31"/>
        <v>9.8249334855146725E-2</v>
      </c>
      <c r="CC54" s="167">
        <f t="shared" si="32"/>
        <v>107.43893818667316</v>
      </c>
      <c r="CD54" s="191">
        <f t="shared" si="33"/>
        <v>0.45415010103062331</v>
      </c>
      <c r="CE54" s="189">
        <f t="shared" si="34"/>
        <v>0.51286152794386597</v>
      </c>
      <c r="CF54" s="194" t="str">
        <f t="shared" si="35"/>
        <v>OK</v>
      </c>
      <c r="DA54" s="206"/>
      <c r="DB54" s="206"/>
      <c r="DC54" s="206"/>
      <c r="DD54" s="207"/>
      <c r="DE54" s="208"/>
      <c r="DF54" s="154"/>
      <c r="DG54" s="154"/>
      <c r="DH54" s="154"/>
      <c r="DI54" s="154"/>
      <c r="DJ54" s="154"/>
      <c r="DK54" s="208"/>
      <c r="DL54" s="154"/>
      <c r="DM54" s="154"/>
      <c r="DN54" s="154"/>
      <c r="DO54" s="154"/>
      <c r="DP54" s="154"/>
      <c r="DQ54" s="206"/>
      <c r="DR54" s="208"/>
      <c r="DS54" s="208"/>
      <c r="DT54" s="208"/>
      <c r="DU54" s="208"/>
      <c r="DV54" s="208"/>
      <c r="DW54" s="208"/>
      <c r="DX54" s="208"/>
      <c r="DY54" s="208"/>
      <c r="DZ54" s="208"/>
      <c r="EA54" s="208"/>
      <c r="EB54" s="208"/>
      <c r="EC54" s="208"/>
      <c r="ED54" s="208"/>
      <c r="EE54" s="208"/>
      <c r="EF54" s="208"/>
      <c r="EG54" s="226"/>
      <c r="EH54" s="208"/>
      <c r="EI54" s="208"/>
      <c r="EJ54" s="226"/>
      <c r="EK54" s="209"/>
      <c r="EL54" s="208"/>
      <c r="EM54" s="209"/>
      <c r="EN54" s="209"/>
      <c r="EO54" s="209"/>
      <c r="EP54" s="209"/>
      <c r="EQ54" s="209"/>
      <c r="ER54" s="209"/>
      <c r="ES54" s="209"/>
      <c r="ET54" s="209"/>
      <c r="EU54" s="209"/>
      <c r="EV54" s="210"/>
      <c r="EW54" s="209"/>
      <c r="EX54" s="210"/>
      <c r="EY54" s="154"/>
      <c r="EZ54" s="211"/>
      <c r="FA54" s="209"/>
      <c r="FB54" s="207"/>
      <c r="FC54" s="154"/>
      <c r="FD54" s="209"/>
      <c r="FE54" s="209"/>
      <c r="FF54" s="153"/>
    </row>
    <row r="55" spans="8:162" ht="12.75" customHeight="1">
      <c r="H55" s="6"/>
      <c r="I55" s="47"/>
      <c r="J55" s="47"/>
      <c r="K55" s="48"/>
      <c r="L55" s="256"/>
      <c r="M55" s="257"/>
      <c r="N55" s="258"/>
      <c r="O55" s="37">
        <f>VLOOKUP(R20,$B$13:$F$21,2,FALSE)</f>
        <v>60</v>
      </c>
      <c r="P55" s="38">
        <f>VLOOKUP(R20,$B$13:$F$21,3,FALSE)</f>
        <v>70</v>
      </c>
      <c r="Q55" s="38">
        <f>VLOOKUP(R20,$B$13:$F$21,4,FALSE)</f>
        <v>80</v>
      </c>
      <c r="R55" s="38">
        <f>VLOOKUP(R20,$B$13:$F$21,5,FALSE)</f>
        <v>150</v>
      </c>
      <c r="S55" s="39" cm="1">
        <f t="array" ref="S55">DCETinhEQ(R49, R47, P55, Q55, R55)</f>
        <v>645.486328125</v>
      </c>
      <c r="AA55" s="140" t="s">
        <v>210</v>
      </c>
      <c r="AB55" s="140" t="s">
        <v>237</v>
      </c>
      <c r="AC55" s="140">
        <v>44</v>
      </c>
      <c r="AD55" s="133">
        <v>0.3</v>
      </c>
      <c r="AE55" s="151">
        <v>500</v>
      </c>
      <c r="AF55" s="152">
        <v>300</v>
      </c>
      <c r="AG55" s="152">
        <v>10</v>
      </c>
      <c r="AH55" s="152">
        <v>14</v>
      </c>
      <c r="AI55" s="152">
        <v>472</v>
      </c>
      <c r="AJ55" s="153" t="str" cm="1">
        <f t="array" ref="AJ55">_xll.Dce_Name_SectI(AE55, AE55, AF55, AG55, AH55, "x", "-", "H Tổng")</f>
        <v>500x300x10x14</v>
      </c>
      <c r="AK55" s="161">
        <f t="shared" si="6"/>
        <v>760</v>
      </c>
      <c r="AL55" s="162" cm="1">
        <f t="array" ref="AL55">IFERROR(INDEX($B$25:$B$32,IFERROR(MATCH(AF55,$B$25:$B$32,0),MATCH(AF55,$B$25:$B$32,1)+1)),$B$25)</f>
        <v>300</v>
      </c>
      <c r="AM55" s="162" cm="1">
        <f t="array" ref="AM55">IFERROR(VLOOKUP(AE55,$B$36:$E$47,4,FALSE),INDEX($E$36:$E$47,MATCH(AE55,$B$36:$B$47,1)+1))</f>
        <v>25</v>
      </c>
      <c r="AN55" s="162" cm="1">
        <f t="array" ref="AN55">IFERROR(VLOOKUP(AE55,$B$36:$E$47,2,FALSE),INDEX($C$36:$C$47,MATCH(AE55,$B$36:$B$47,1)+1))</f>
        <v>8</v>
      </c>
      <c r="AO55" s="162" cm="1">
        <f t="array" ref="AO55">IFERROR(VLOOKUP(AE55,$B$36:$E$47,3,FALSE),INDEX($D$36:$D$47,MATCH(AE55,$B$36:$B$47,1)+1))</f>
        <v>24</v>
      </c>
      <c r="AP55" s="163" t="str">
        <f t="shared" si="7"/>
        <v>760x300x25 + 8M24</v>
      </c>
      <c r="AQ55" s="140" t="s">
        <v>258</v>
      </c>
      <c r="AR55" s="151">
        <v>0</v>
      </c>
      <c r="AS55" s="151">
        <v>-540.32382573178472</v>
      </c>
      <c r="AT55" s="151">
        <v>-3.6042990814166836E-13</v>
      </c>
      <c r="AU55" s="151">
        <v>-4.7325996281463037E-3</v>
      </c>
      <c r="AV55" s="151">
        <v>-7.2165449296335258E-13</v>
      </c>
      <c r="AW55" s="151">
        <v>-1028.9234292416456</v>
      </c>
      <c r="BA55" s="161">
        <f t="shared" si="8"/>
        <v>60</v>
      </c>
      <c r="BB55" s="161">
        <f t="shared" si="9"/>
        <v>70</v>
      </c>
      <c r="BC55" s="161">
        <f t="shared" si="10"/>
        <v>80</v>
      </c>
      <c r="BD55" s="161">
        <f t="shared" si="11"/>
        <v>150</v>
      </c>
      <c r="BE55" s="161">
        <f>HLOOKUP(AO55,Data!$H$31:$Q$35,3,FALSE)</f>
        <v>452.38934211693021</v>
      </c>
      <c r="BF55" s="161">
        <f>HLOOKUP(AO55,Data!$H$31:$Q$35,4,FALSE)</f>
        <v>353</v>
      </c>
      <c r="BG55" s="179">
        <f t="shared" si="12"/>
        <v>150</v>
      </c>
      <c r="BH55" s="185">
        <f t="shared" si="13"/>
        <v>121.65654188208487</v>
      </c>
      <c r="BI55" s="185">
        <f t="shared" si="14"/>
        <v>243</v>
      </c>
      <c r="BJ55" s="185">
        <f t="shared" si="15"/>
        <v>142.3296</v>
      </c>
      <c r="BK55" s="185">
        <f t="shared" si="16"/>
        <v>67.205287669958366</v>
      </c>
      <c r="BL55" s="186">
        <f t="shared" si="17"/>
        <v>0.94666666666666666</v>
      </c>
      <c r="BM55" s="186">
        <f t="shared" si="18"/>
        <v>0.58354035024785933</v>
      </c>
      <c r="BN55" s="185" t="str">
        <f t="shared" si="19"/>
        <v>OK</v>
      </c>
      <c r="BO55" s="185" cm="1">
        <f t="array" ref="BO55">_xll.DCEBoltDisRS(AN55, AE55, BA55, BB55, BC55, BD55, "h1")</f>
        <v>640</v>
      </c>
      <c r="BP55" s="185" cm="1">
        <f t="array" ref="BP55">_xll.DCEBoltDisRS(AN55, AE55, BA55, BB55, BC55, BD55, "Tong")</f>
        <v>672200</v>
      </c>
      <c r="BQ55" s="185">
        <f t="shared" si="20"/>
        <v>496.53828740627972</v>
      </c>
      <c r="BR55" s="186">
        <f t="shared" si="21"/>
        <v>3.488650901894474</v>
      </c>
      <c r="BS55" s="185" t="str">
        <f t="shared" si="22"/>
        <v>O/S</v>
      </c>
      <c r="BT55" s="186">
        <f t="shared" si="23"/>
        <v>3.5321170678546219</v>
      </c>
      <c r="BU55" s="185" t="str">
        <f t="shared" si="24"/>
        <v>O/S</v>
      </c>
      <c r="BV55" s="190">
        <f t="shared" si="25"/>
        <v>2057.8468584832913</v>
      </c>
      <c r="BW55" s="191">
        <f t="shared" si="26"/>
        <v>38.584628596561707</v>
      </c>
      <c r="BX55" s="190">
        <f t="shared" si="27"/>
        <v>1028.9234292416456</v>
      </c>
      <c r="BY55" s="167">
        <f t="shared" si="28"/>
        <v>487.38478227235839</v>
      </c>
      <c r="BZ55" s="192">
        <f t="shared" si="29"/>
        <v>2.3692315804906312</v>
      </c>
      <c r="CA55" s="191">
        <f t="shared" si="30"/>
        <v>54.153864696928714</v>
      </c>
      <c r="CB55" s="193">
        <f t="shared" si="31"/>
        <v>0.4538757817031861</v>
      </c>
      <c r="CC55" s="167">
        <f t="shared" si="32"/>
        <v>496.32836829614524</v>
      </c>
      <c r="CD55" s="191">
        <f t="shared" si="33"/>
        <v>2.0980063877252522</v>
      </c>
      <c r="CE55" s="189">
        <f t="shared" si="34"/>
        <v>2.3692315804906312</v>
      </c>
      <c r="CF55" s="194" t="str">
        <f t="shared" si="35"/>
        <v>O/S</v>
      </c>
      <c r="DA55" s="206"/>
      <c r="DB55" s="206"/>
      <c r="DC55" s="206"/>
      <c r="DD55" s="207"/>
      <c r="DE55" s="208"/>
      <c r="DF55" s="154"/>
      <c r="DG55" s="154"/>
      <c r="DH55" s="154"/>
      <c r="DI55" s="154"/>
      <c r="DJ55" s="154"/>
      <c r="DK55" s="208"/>
      <c r="DL55" s="154"/>
      <c r="DM55" s="154"/>
      <c r="DN55" s="154"/>
      <c r="DO55" s="154"/>
      <c r="DP55" s="154"/>
      <c r="DQ55" s="206"/>
      <c r="DR55" s="208"/>
      <c r="DS55" s="208"/>
      <c r="DT55" s="208"/>
      <c r="DU55" s="208"/>
      <c r="DV55" s="208"/>
      <c r="DW55" s="208"/>
      <c r="DX55" s="208"/>
      <c r="DY55" s="208"/>
      <c r="DZ55" s="208"/>
      <c r="EA55" s="208"/>
      <c r="EB55" s="208"/>
      <c r="EC55" s="208"/>
      <c r="ED55" s="208"/>
      <c r="EE55" s="208"/>
      <c r="EF55" s="208"/>
      <c r="EG55" s="226"/>
      <c r="EH55" s="208"/>
      <c r="EI55" s="208"/>
      <c r="EJ55" s="226"/>
      <c r="EK55" s="209"/>
      <c r="EL55" s="208"/>
      <c r="EM55" s="209"/>
      <c r="EN55" s="209"/>
      <c r="EO55" s="209"/>
      <c r="EP55" s="209"/>
      <c r="EQ55" s="209"/>
      <c r="ER55" s="209"/>
      <c r="ES55" s="209"/>
      <c r="ET55" s="209"/>
      <c r="EU55" s="209"/>
      <c r="EV55" s="210"/>
      <c r="EW55" s="209"/>
      <c r="EX55" s="210"/>
      <c r="EY55" s="154"/>
      <c r="EZ55" s="211"/>
      <c r="FA55" s="209"/>
      <c r="FB55" s="207"/>
      <c r="FC55" s="154"/>
      <c r="FD55" s="209"/>
      <c r="FE55" s="209"/>
      <c r="FF55" s="153"/>
    </row>
    <row r="56" spans="8:162" ht="12.75" customHeight="1">
      <c r="H56" s="7"/>
      <c r="I56" s="47"/>
      <c r="J56" s="47"/>
      <c r="K56" s="48"/>
      <c r="L56" s="34" t="s">
        <v>95</v>
      </c>
      <c r="M56" s="35" t="s">
        <v>96</v>
      </c>
      <c r="N56" s="35" t="s">
        <v>97</v>
      </c>
      <c r="O56" s="35" t="s">
        <v>98</v>
      </c>
      <c r="P56" s="35" t="s">
        <v>99</v>
      </c>
      <c r="Q56" s="35" t="s">
        <v>100</v>
      </c>
      <c r="R56" s="35" t="s">
        <v>101</v>
      </c>
      <c r="S56" s="36" t="s">
        <v>102</v>
      </c>
      <c r="AA56" s="140" t="s">
        <v>210</v>
      </c>
      <c r="AB56" s="140" t="s">
        <v>237</v>
      </c>
      <c r="AC56" s="140">
        <v>44</v>
      </c>
      <c r="AD56" s="133">
        <v>3</v>
      </c>
      <c r="AE56" s="151">
        <v>500</v>
      </c>
      <c r="AF56" s="152">
        <v>300</v>
      </c>
      <c r="AG56" s="152">
        <v>10</v>
      </c>
      <c r="AH56" s="152">
        <v>14</v>
      </c>
      <c r="AI56" s="152">
        <v>472</v>
      </c>
      <c r="AJ56" s="153" t="str" cm="1">
        <f t="array" ref="AJ56">_xll.Dce_Name_SectI(AE56, AE56, AF56, AG56, AH56, "x", "-", "H Tổng")</f>
        <v>500x300x10x14</v>
      </c>
      <c r="AK56" s="161">
        <f t="shared" si="6"/>
        <v>760</v>
      </c>
      <c r="AL56" s="162" cm="1">
        <f t="array" ref="AL56">IFERROR(INDEX($B$25:$B$32,IFERROR(MATCH(AF56,$B$25:$B$32,0),MATCH(AF56,$B$25:$B$32,1)+1)),$B$25)</f>
        <v>300</v>
      </c>
      <c r="AM56" s="162" cm="1">
        <f t="array" ref="AM56">IFERROR(VLOOKUP(AE56,$B$36:$E$47,4,FALSE),INDEX($E$36:$E$47,MATCH(AE56,$B$36:$B$47,1)+1))</f>
        <v>25</v>
      </c>
      <c r="AN56" s="162" cm="1">
        <f t="array" ref="AN56">IFERROR(VLOOKUP(AE56,$B$36:$E$47,2,FALSE),INDEX($C$36:$C$47,MATCH(AE56,$B$36:$B$47,1)+1))</f>
        <v>8</v>
      </c>
      <c r="AO56" s="162" cm="1">
        <f t="array" ref="AO56">IFERROR(VLOOKUP(AE56,$B$36:$E$47,3,FALSE),INDEX($D$36:$D$47,MATCH(AE56,$B$36:$B$47,1)+1))</f>
        <v>24</v>
      </c>
      <c r="AP56" s="163" t="str">
        <f t="shared" si="7"/>
        <v>760x300x25 + 8M24</v>
      </c>
      <c r="AQ56" s="140" t="s">
        <v>258</v>
      </c>
      <c r="AR56" s="151">
        <v>0</v>
      </c>
      <c r="AS56" s="151">
        <v>-361.82899272931098</v>
      </c>
      <c r="AT56" s="151">
        <v>-2.1670985006494444E-13</v>
      </c>
      <c r="AU56" s="151">
        <v>-4.7311766854360405E-3</v>
      </c>
      <c r="AV56" s="151">
        <v>1.4756346899957859E-13</v>
      </c>
      <c r="AW56" s="151">
        <v>232.77848085535169</v>
      </c>
      <c r="BA56" s="161">
        <f t="shared" si="8"/>
        <v>60</v>
      </c>
      <c r="BB56" s="161">
        <f t="shared" si="9"/>
        <v>70</v>
      </c>
      <c r="BC56" s="161">
        <f t="shared" si="10"/>
        <v>80</v>
      </c>
      <c r="BD56" s="161">
        <f t="shared" si="11"/>
        <v>150</v>
      </c>
      <c r="BE56" s="161">
        <f>HLOOKUP(AO56,Data!$H$31:$Q$35,3,FALSE)</f>
        <v>452.38934211693021</v>
      </c>
      <c r="BF56" s="161">
        <f>HLOOKUP(AO56,Data!$H$31:$Q$35,4,FALSE)</f>
        <v>353</v>
      </c>
      <c r="BG56" s="179">
        <f t="shared" si="12"/>
        <v>150</v>
      </c>
      <c r="BH56" s="185">
        <f t="shared" si="13"/>
        <v>121.65654188208487</v>
      </c>
      <c r="BI56" s="185">
        <f t="shared" si="14"/>
        <v>243</v>
      </c>
      <c r="BJ56" s="185">
        <f t="shared" si="15"/>
        <v>142.3296</v>
      </c>
      <c r="BK56" s="185">
        <f t="shared" si="16"/>
        <v>45.004163032735526</v>
      </c>
      <c r="BL56" s="186">
        <f t="shared" si="17"/>
        <v>0.94666666666666666</v>
      </c>
      <c r="BM56" s="186">
        <f t="shared" si="18"/>
        <v>0.39076902977789935</v>
      </c>
      <c r="BN56" s="185" t="str">
        <f t="shared" si="19"/>
        <v>OK</v>
      </c>
      <c r="BO56" s="185" cm="1">
        <f t="array" ref="BO56">_xll.DCEBoltDisRS(AN56, AE56, BA56, BB56, BC56, BD56, "h1")</f>
        <v>640</v>
      </c>
      <c r="BP56" s="185" cm="1">
        <f t="array" ref="BP56">_xll.DCEBoltDisRS(AN56, AE56, BA56, BB56, BC56, BD56, "Tong")</f>
        <v>672200</v>
      </c>
      <c r="BQ56" s="185">
        <f t="shared" si="20"/>
        <v>115.31433161674059</v>
      </c>
      <c r="BR56" s="186">
        <f t="shared" si="21"/>
        <v>0.81019219906990947</v>
      </c>
      <c r="BS56" s="185" t="str">
        <f t="shared" si="22"/>
        <v>OK</v>
      </c>
      <c r="BT56" s="186">
        <f t="shared" si="23"/>
        <v>0.89065040033075893</v>
      </c>
      <c r="BU56" s="185" t="str">
        <f t="shared" si="24"/>
        <v>OK</v>
      </c>
      <c r="BV56" s="190">
        <f t="shared" si="25"/>
        <v>465.55696171070338</v>
      </c>
      <c r="BW56" s="191">
        <f t="shared" si="26"/>
        <v>8.7291930320756883</v>
      </c>
      <c r="BX56" s="190">
        <f t="shared" si="27"/>
        <v>232.77848085535169</v>
      </c>
      <c r="BY56" s="167">
        <f t="shared" si="28"/>
        <v>110.26349093148238</v>
      </c>
      <c r="BZ56" s="192">
        <f t="shared" si="29"/>
        <v>0.53600308091692828</v>
      </c>
      <c r="CA56" s="191">
        <f t="shared" si="30"/>
        <v>12.251498992386932</v>
      </c>
      <c r="CB56" s="193">
        <f t="shared" si="31"/>
        <v>0.10268258255113569</v>
      </c>
      <c r="CC56" s="167">
        <f t="shared" si="32"/>
        <v>112.28684301857663</v>
      </c>
      <c r="CD56" s="191">
        <f t="shared" si="33"/>
        <v>0.47464245237321051</v>
      </c>
      <c r="CE56" s="189">
        <f t="shared" si="34"/>
        <v>0.53600308091692828</v>
      </c>
      <c r="CF56" s="194" t="str">
        <f t="shared" si="35"/>
        <v>OK</v>
      </c>
      <c r="DA56" s="206"/>
      <c r="DB56" s="206"/>
      <c r="DC56" s="206"/>
      <c r="DD56" s="207"/>
      <c r="DE56" s="208"/>
      <c r="DF56" s="154"/>
      <c r="DG56" s="154"/>
      <c r="DH56" s="154"/>
      <c r="DI56" s="154"/>
      <c r="DJ56" s="154"/>
      <c r="DK56" s="208"/>
      <c r="DL56" s="154"/>
      <c r="DM56" s="154"/>
      <c r="DN56" s="154"/>
      <c r="DO56" s="154"/>
      <c r="DP56" s="154"/>
      <c r="DQ56" s="206"/>
      <c r="DR56" s="208"/>
      <c r="DS56" s="208"/>
      <c r="DT56" s="208"/>
      <c r="DU56" s="208"/>
      <c r="DV56" s="208"/>
      <c r="DW56" s="208"/>
      <c r="DX56" s="208"/>
      <c r="DY56" s="208"/>
      <c r="DZ56" s="208"/>
      <c r="EA56" s="208"/>
      <c r="EB56" s="208"/>
      <c r="EC56" s="208"/>
      <c r="ED56" s="208"/>
      <c r="EE56" s="208"/>
      <c r="EF56" s="208"/>
      <c r="EG56" s="226"/>
      <c r="EH56" s="208"/>
      <c r="EI56" s="208"/>
      <c r="EJ56" s="226"/>
      <c r="EK56" s="209"/>
      <c r="EL56" s="208"/>
      <c r="EM56" s="209"/>
      <c r="EN56" s="209"/>
      <c r="EO56" s="209"/>
      <c r="EP56" s="209"/>
      <c r="EQ56" s="209"/>
      <c r="ER56" s="209"/>
      <c r="ES56" s="209"/>
      <c r="ET56" s="209"/>
      <c r="EU56" s="209"/>
      <c r="EV56" s="210"/>
      <c r="EW56" s="209"/>
      <c r="EX56" s="210"/>
      <c r="EY56" s="154"/>
      <c r="EZ56" s="211"/>
      <c r="FA56" s="209"/>
      <c r="FB56" s="207"/>
      <c r="FC56" s="154"/>
      <c r="FD56" s="209"/>
      <c r="FE56" s="209"/>
      <c r="FF56" s="153"/>
    </row>
    <row r="57" spans="8:162" ht="12.75" customHeight="1">
      <c r="H57" s="7"/>
      <c r="I57" s="47"/>
      <c r="J57" s="47"/>
      <c r="K57" s="48"/>
      <c r="L57" s="45">
        <f>R47+2*P55</f>
        <v>1245.4863183232978</v>
      </c>
      <c r="M57" s="46">
        <f>IF(R49&gt;=8,R47-Q55+P55,"-")</f>
        <v>1095.4863183232978</v>
      </c>
      <c r="N57" s="38">
        <f>IF(R49&gt;=12,M57-R55,"-")</f>
        <v>945.48631832329784</v>
      </c>
      <c r="O57" s="38" t="str">
        <f>IF(R49&gt;=16,N57-R55,"-")</f>
        <v>-</v>
      </c>
      <c r="P57" s="46" t="str">
        <f>IF(MOD(R49/2,2)=1,R47/2+P55,"-")</f>
        <v>-</v>
      </c>
      <c r="Q57" s="40" t="str">
        <f>IF(R49&gt;=16,R57+R55,"-")</f>
        <v>-</v>
      </c>
      <c r="R57" s="40">
        <f>IF(R49&gt;=12,S57+R55,"-")</f>
        <v>300</v>
      </c>
      <c r="S57" s="39">
        <f>IF(R49&gt;=8,P55+Q55,0)</f>
        <v>150</v>
      </c>
      <c r="AA57" s="140" t="s">
        <v>210</v>
      </c>
      <c r="AB57" s="140" t="s">
        <v>237</v>
      </c>
      <c r="AC57" s="140">
        <v>44</v>
      </c>
      <c r="AD57" s="141">
        <v>0.3</v>
      </c>
      <c r="AE57" s="151">
        <v>500</v>
      </c>
      <c r="AF57" s="152">
        <v>300</v>
      </c>
      <c r="AG57" s="152">
        <v>10</v>
      </c>
      <c r="AH57" s="152">
        <v>14</v>
      </c>
      <c r="AI57" s="152">
        <v>472</v>
      </c>
      <c r="AJ57" s="153" t="str" cm="1">
        <f t="array" ref="AJ57">_xll.Dce_Name_SectI(AE57, AE57, AF57, AG57, AH57, "x", "-", "H Tổng")</f>
        <v>500x300x10x14</v>
      </c>
      <c r="AK57" s="161">
        <f t="shared" si="6"/>
        <v>760</v>
      </c>
      <c r="AL57" s="162" cm="1">
        <f t="array" ref="AL57">IFERROR(INDEX($B$25:$B$32,IFERROR(MATCH(AF57,$B$25:$B$32,0),MATCH(AF57,$B$25:$B$32,1)+1)),$B$25)</f>
        <v>300</v>
      </c>
      <c r="AM57" s="162" cm="1">
        <f t="array" ref="AM57">IFERROR(VLOOKUP(AE57,$B$36:$E$47,4,FALSE),INDEX($E$36:$E$47,MATCH(AE57,$B$36:$B$47,1)+1))</f>
        <v>25</v>
      </c>
      <c r="AN57" s="162" cm="1">
        <f t="array" ref="AN57">IFERROR(VLOOKUP(AE57,$B$36:$E$47,2,FALSE),INDEX($C$36:$C$47,MATCH(AE57,$B$36:$B$47,1)+1))</f>
        <v>8</v>
      </c>
      <c r="AO57" s="162" cm="1">
        <f t="array" ref="AO57">IFERROR(VLOOKUP(AE57,$B$36:$E$47,3,FALSE),INDEX($D$36:$D$47,MATCH(AE57,$B$36:$B$47,1)+1))</f>
        <v>24</v>
      </c>
      <c r="AP57" s="163" t="str">
        <f t="shared" si="7"/>
        <v>760x300x25 + 8M24</v>
      </c>
      <c r="AQ57" s="140" t="s">
        <v>259</v>
      </c>
      <c r="AR57" s="151">
        <v>0</v>
      </c>
      <c r="AS57" s="151">
        <v>-550.98167632686341</v>
      </c>
      <c r="AT57" s="151">
        <v>-3.6764902233699097E-13</v>
      </c>
      <c r="AU57" s="151">
        <v>-4.6385149687144817E-3</v>
      </c>
      <c r="AV57" s="151">
        <v>-7.6342042234500674E-13</v>
      </c>
      <c r="AW57" s="151">
        <v>-1087.8559221961434</v>
      </c>
      <c r="BA57" s="161">
        <f t="shared" si="8"/>
        <v>60</v>
      </c>
      <c r="BB57" s="161">
        <f t="shared" si="9"/>
        <v>70</v>
      </c>
      <c r="BC57" s="161">
        <f t="shared" si="10"/>
        <v>80</v>
      </c>
      <c r="BD57" s="161">
        <f t="shared" si="11"/>
        <v>150</v>
      </c>
      <c r="BE57" s="161">
        <f>HLOOKUP(AO57,Data!$H$31:$Q$35,3,FALSE)</f>
        <v>452.38934211693021</v>
      </c>
      <c r="BF57" s="161">
        <f>HLOOKUP(AO57,Data!$H$31:$Q$35,4,FALSE)</f>
        <v>353</v>
      </c>
      <c r="BG57" s="179">
        <f t="shared" si="12"/>
        <v>150</v>
      </c>
      <c r="BH57" s="185">
        <f t="shared" si="13"/>
        <v>121.65654188208487</v>
      </c>
      <c r="BI57" s="185">
        <f t="shared" si="14"/>
        <v>243</v>
      </c>
      <c r="BJ57" s="185">
        <f t="shared" si="15"/>
        <v>142.3296</v>
      </c>
      <c r="BK57" s="185">
        <f t="shared" si="16"/>
        <v>68.530907383683981</v>
      </c>
      <c r="BL57" s="186">
        <f t="shared" si="17"/>
        <v>0.94666666666666666</v>
      </c>
      <c r="BM57" s="186">
        <f t="shared" si="18"/>
        <v>0.5950506438402593</v>
      </c>
      <c r="BN57" s="185" t="str">
        <f t="shared" si="19"/>
        <v>OK</v>
      </c>
      <c r="BO57" s="185" cm="1">
        <f t="array" ref="BO57">_xll.DCEBoltDisRS(AN57, AE57, BA57, BB57, BC57, BD57, "h1")</f>
        <v>640</v>
      </c>
      <c r="BP57" s="185" cm="1">
        <f t="array" ref="BP57">_xll.DCEBoltDisRS(AN57, AE57, BA57, BB57, BC57, BD57, "Tong")</f>
        <v>672200</v>
      </c>
      <c r="BQ57" s="185">
        <f t="shared" si="20"/>
        <v>524.72559163507458</v>
      </c>
      <c r="BR57" s="186">
        <f t="shared" si="21"/>
        <v>3.6866933626952831</v>
      </c>
      <c r="BS57" s="185" t="str">
        <f t="shared" si="22"/>
        <v>O/S</v>
      </c>
      <c r="BT57" s="186">
        <f t="shared" si="23"/>
        <v>3.7294813714268598</v>
      </c>
      <c r="BU57" s="185" t="str">
        <f t="shared" si="24"/>
        <v>O/S</v>
      </c>
      <c r="BV57" s="190">
        <f t="shared" si="25"/>
        <v>2175.7118443922868</v>
      </c>
      <c r="BW57" s="191">
        <f t="shared" si="26"/>
        <v>40.794597082355374</v>
      </c>
      <c r="BX57" s="190">
        <f t="shared" si="27"/>
        <v>1087.8559221961434</v>
      </c>
      <c r="BY57" s="167">
        <f t="shared" si="28"/>
        <v>515.30017367185735</v>
      </c>
      <c r="BZ57" s="192">
        <f t="shared" si="29"/>
        <v>2.5049313997937515</v>
      </c>
      <c r="CA57" s="191">
        <f t="shared" si="30"/>
        <v>57.255574852428595</v>
      </c>
      <c r="CB57" s="193">
        <f t="shared" si="31"/>
        <v>0.47987191566930099</v>
      </c>
      <c r="CC57" s="167">
        <f t="shared" si="32"/>
        <v>524.75601143892823</v>
      </c>
      <c r="CD57" s="191">
        <f t="shared" si="33"/>
        <v>2.2181715459374991</v>
      </c>
      <c r="CE57" s="189">
        <f t="shared" si="34"/>
        <v>2.5049313997937515</v>
      </c>
      <c r="CF57" s="194" t="str">
        <f t="shared" si="35"/>
        <v>O/S</v>
      </c>
      <c r="DA57" s="206"/>
      <c r="DB57" s="206"/>
      <c r="DC57" s="206"/>
      <c r="DD57" s="207"/>
      <c r="DE57" s="208"/>
      <c r="DF57" s="154"/>
      <c r="DG57" s="154"/>
      <c r="DH57" s="154"/>
      <c r="DI57" s="154"/>
      <c r="DJ57" s="154"/>
      <c r="DK57" s="208"/>
      <c r="DL57" s="154"/>
      <c r="DM57" s="154"/>
      <c r="DN57" s="154"/>
      <c r="DO57" s="154"/>
      <c r="DP57" s="154"/>
      <c r="DQ57" s="206"/>
      <c r="DR57" s="208"/>
      <c r="DS57" s="208"/>
      <c r="DT57" s="208"/>
      <c r="DU57" s="208"/>
      <c r="DV57" s="208"/>
      <c r="DW57" s="208"/>
      <c r="DX57" s="208"/>
      <c r="DY57" s="208"/>
      <c r="DZ57" s="208"/>
      <c r="EA57" s="208"/>
      <c r="EB57" s="208"/>
      <c r="EC57" s="208"/>
      <c r="ED57" s="208"/>
      <c r="EE57" s="208"/>
      <c r="EF57" s="208"/>
      <c r="EG57" s="208"/>
      <c r="EH57" s="208"/>
      <c r="EI57" s="208"/>
      <c r="EJ57" s="208"/>
      <c r="EK57" s="209"/>
      <c r="EL57" s="208"/>
      <c r="EM57" s="209"/>
      <c r="EN57" s="209"/>
      <c r="EO57" s="209"/>
      <c r="EP57" s="209"/>
      <c r="EQ57" s="209"/>
      <c r="ER57" s="209"/>
      <c r="ES57" s="209"/>
      <c r="ET57" s="209"/>
      <c r="EU57" s="209"/>
      <c r="EV57" s="210"/>
      <c r="EW57" s="209"/>
      <c r="EX57" s="210"/>
      <c r="EY57" s="154"/>
      <c r="EZ57" s="211"/>
      <c r="FA57" s="209"/>
      <c r="FB57" s="207"/>
      <c r="FC57" s="154"/>
      <c r="FD57" s="209"/>
      <c r="FE57" s="209"/>
      <c r="FF57" s="154"/>
    </row>
    <row r="58" spans="8:162" ht="12.75" customHeight="1">
      <c r="H58" s="7"/>
      <c r="I58" s="47"/>
      <c r="J58" s="47"/>
      <c r="K58" s="48"/>
      <c r="L58" s="51"/>
      <c r="M58" s="50"/>
      <c r="N58" s="50"/>
      <c r="O58" s="50"/>
      <c r="P58" s="50"/>
      <c r="Q58" s="59" t="s">
        <v>116</v>
      </c>
      <c r="R58" s="68">
        <f>SUMSQ(L57:S57)</f>
        <v>3757770.8209006013</v>
      </c>
      <c r="S58" s="9" t="s">
        <v>6</v>
      </c>
      <c r="AA58" s="140" t="s">
        <v>210</v>
      </c>
      <c r="AB58" s="140" t="s">
        <v>237</v>
      </c>
      <c r="AC58" s="140">
        <v>44</v>
      </c>
      <c r="AD58" s="141">
        <v>3</v>
      </c>
      <c r="AE58" s="151">
        <v>500</v>
      </c>
      <c r="AF58" s="152">
        <v>300</v>
      </c>
      <c r="AG58" s="152">
        <v>10</v>
      </c>
      <c r="AH58" s="152">
        <v>14</v>
      </c>
      <c r="AI58" s="152">
        <v>472</v>
      </c>
      <c r="AJ58" s="153" t="str" cm="1">
        <f t="array" ref="AJ58">_xll.Dce_Name_SectI(AE58, AE58, AF58, AG58, AH58, "x", "-", "H Tổng")</f>
        <v>500x300x10x14</v>
      </c>
      <c r="AK58" s="161">
        <f t="shared" si="6"/>
        <v>760</v>
      </c>
      <c r="AL58" s="162" cm="1">
        <f t="array" ref="AL58">IFERROR(INDEX($B$25:$B$32,IFERROR(MATCH(AF58,$B$25:$B$32,0),MATCH(AF58,$B$25:$B$32,1)+1)),$B$25)</f>
        <v>300</v>
      </c>
      <c r="AM58" s="162" cm="1">
        <f t="array" ref="AM58">IFERROR(VLOOKUP(AE58,$B$36:$E$47,4,FALSE),INDEX($E$36:$E$47,MATCH(AE58,$B$36:$B$47,1)+1))</f>
        <v>25</v>
      </c>
      <c r="AN58" s="162" cm="1">
        <f t="array" ref="AN58">IFERROR(VLOOKUP(AE58,$B$36:$E$47,2,FALSE),INDEX($C$36:$C$47,MATCH(AE58,$B$36:$B$47,1)+1))</f>
        <v>8</v>
      </c>
      <c r="AO58" s="162" cm="1">
        <f t="array" ref="AO58">IFERROR(VLOOKUP(AE58,$B$36:$E$47,3,FALSE),INDEX($D$36:$D$47,MATCH(AE58,$B$36:$B$47,1)+1))</f>
        <v>24</v>
      </c>
      <c r="AP58" s="163" t="str">
        <f t="shared" si="7"/>
        <v>760x300x25 + 8M24</v>
      </c>
      <c r="AQ58" s="140" t="s">
        <v>259</v>
      </c>
      <c r="AR58" s="151">
        <v>0</v>
      </c>
      <c r="AS58" s="151">
        <v>-372.48684029238086</v>
      </c>
      <c r="AT58" s="151">
        <v>-2.2466792870545757E-13</v>
      </c>
      <c r="AU58" s="151">
        <v>-4.6371201684764574E-3</v>
      </c>
      <c r="AV58" s="151">
        <v>1.2684290595643684E-13</v>
      </c>
      <c r="AW58" s="151">
        <v>202.62170812013562</v>
      </c>
      <c r="BA58" s="161">
        <f t="shared" si="8"/>
        <v>60</v>
      </c>
      <c r="BB58" s="161">
        <f t="shared" si="9"/>
        <v>70</v>
      </c>
      <c r="BC58" s="161">
        <f t="shared" si="10"/>
        <v>80</v>
      </c>
      <c r="BD58" s="161">
        <f t="shared" si="11"/>
        <v>150</v>
      </c>
      <c r="BE58" s="161">
        <f>HLOOKUP(AO58,Data!$H$31:$Q$35,3,FALSE)</f>
        <v>452.38934211693021</v>
      </c>
      <c r="BF58" s="161">
        <f>HLOOKUP(AO58,Data!$H$31:$Q$35,4,FALSE)</f>
        <v>353</v>
      </c>
      <c r="BG58" s="179">
        <f t="shared" si="12"/>
        <v>150</v>
      </c>
      <c r="BH58" s="185">
        <f t="shared" si="13"/>
        <v>121.65654188208487</v>
      </c>
      <c r="BI58" s="185">
        <f t="shared" si="14"/>
        <v>243</v>
      </c>
      <c r="BJ58" s="185">
        <f t="shared" si="15"/>
        <v>142.3296</v>
      </c>
      <c r="BK58" s="185">
        <f t="shared" si="16"/>
        <v>46.329782369340954</v>
      </c>
      <c r="BL58" s="186">
        <f t="shared" si="17"/>
        <v>0.94666666666666666</v>
      </c>
      <c r="BM58" s="186">
        <f t="shared" si="18"/>
        <v>0.40227932009578238</v>
      </c>
      <c r="BN58" s="185" t="str">
        <f t="shared" si="19"/>
        <v>OK</v>
      </c>
      <c r="BO58" s="185" cm="1">
        <f t="array" ref="BO58">_xll.DCEBoltDisRS(AN58, AE58, BA58, BB58, BC58, BD58, "h1")</f>
        <v>640</v>
      </c>
      <c r="BP58" s="185" cm="1">
        <f t="array" ref="BP58">_xll.DCEBoltDisRS(AN58, AE58, BA58, BB58, BC58, BD58, "Tong")</f>
        <v>672200</v>
      </c>
      <c r="BQ58" s="185">
        <f t="shared" si="20"/>
        <v>101.09079822866779</v>
      </c>
      <c r="BR58" s="186">
        <f t="shared" si="21"/>
        <v>0.71025842993072275</v>
      </c>
      <c r="BS58" s="185" t="str">
        <f t="shared" si="22"/>
        <v>OK</v>
      </c>
      <c r="BT58" s="186">
        <f t="shared" si="23"/>
        <v>0.80591207861603831</v>
      </c>
      <c r="BU58" s="185" t="str">
        <f t="shared" si="24"/>
        <v>OK</v>
      </c>
      <c r="BV58" s="190">
        <f t="shared" si="25"/>
        <v>405.24341624027124</v>
      </c>
      <c r="BW58" s="191">
        <f t="shared" si="26"/>
        <v>7.5983140545050851</v>
      </c>
      <c r="BX58" s="190">
        <f t="shared" si="27"/>
        <v>202.62170812013562</v>
      </c>
      <c r="BY58" s="167">
        <f t="shared" si="28"/>
        <v>95.978703846380014</v>
      </c>
      <c r="BZ58" s="192">
        <f t="shared" si="29"/>
        <v>0.46656314369768065</v>
      </c>
      <c r="CA58" s="191">
        <f t="shared" si="30"/>
        <v>10.66430042737556</v>
      </c>
      <c r="CB58" s="193">
        <f t="shared" si="31"/>
        <v>8.9379912585762597E-2</v>
      </c>
      <c r="CC58" s="167">
        <f t="shared" si="32"/>
        <v>97.739927884396806</v>
      </c>
      <c r="CD58" s="191">
        <f t="shared" si="33"/>
        <v>0.4131518690765566</v>
      </c>
      <c r="CE58" s="189">
        <f t="shared" si="34"/>
        <v>0.46656314369768065</v>
      </c>
      <c r="CF58" s="194" t="str">
        <f t="shared" si="35"/>
        <v>OK</v>
      </c>
      <c r="DA58" s="206"/>
      <c r="DB58" s="206"/>
      <c r="DC58" s="206"/>
      <c r="DD58" s="207"/>
      <c r="DE58" s="208"/>
      <c r="DF58" s="154"/>
      <c r="DG58" s="154"/>
      <c r="DH58" s="154"/>
      <c r="DI58" s="154"/>
      <c r="DJ58" s="154"/>
      <c r="DK58" s="208"/>
      <c r="DL58" s="154"/>
      <c r="DM58" s="154"/>
      <c r="DN58" s="154"/>
      <c r="DO58" s="154"/>
      <c r="DP58" s="154"/>
      <c r="DQ58" s="206"/>
      <c r="DR58" s="208"/>
      <c r="DS58" s="208"/>
      <c r="DT58" s="208"/>
      <c r="DU58" s="208"/>
      <c r="DV58" s="208"/>
      <c r="DW58" s="208"/>
      <c r="DX58" s="208"/>
      <c r="DY58" s="208"/>
      <c r="DZ58" s="208"/>
      <c r="EA58" s="208"/>
      <c r="EB58" s="208"/>
      <c r="EC58" s="208"/>
      <c r="ED58" s="208"/>
      <c r="EE58" s="208"/>
      <c r="EF58" s="208"/>
      <c r="EG58" s="208"/>
      <c r="EH58" s="208"/>
      <c r="EI58" s="208"/>
      <c r="EJ58" s="208"/>
      <c r="EK58" s="209"/>
      <c r="EL58" s="208"/>
      <c r="EM58" s="209"/>
      <c r="EN58" s="209"/>
      <c r="EO58" s="209"/>
      <c r="EP58" s="209"/>
      <c r="EQ58" s="209"/>
      <c r="ER58" s="209"/>
      <c r="ES58" s="209"/>
      <c r="ET58" s="209"/>
      <c r="EU58" s="209"/>
      <c r="EV58" s="210"/>
      <c r="EW58" s="209"/>
      <c r="EX58" s="210"/>
      <c r="EY58" s="154"/>
      <c r="EZ58" s="211"/>
      <c r="FA58" s="209"/>
      <c r="FB58" s="207"/>
      <c r="FC58" s="154"/>
      <c r="FD58" s="209"/>
      <c r="FE58" s="209"/>
      <c r="FF58" s="154"/>
    </row>
    <row r="59" spans="8:162" ht="12.75" customHeight="1">
      <c r="H59" s="7"/>
      <c r="I59" s="47"/>
      <c r="J59" s="47"/>
      <c r="K59" s="48"/>
      <c r="L59" s="51"/>
      <c r="M59" s="47"/>
      <c r="N59" s="50"/>
      <c r="O59" s="50"/>
      <c r="P59" s="54"/>
      <c r="Q59" s="55" t="s">
        <v>92</v>
      </c>
      <c r="R59" s="52">
        <v>8</v>
      </c>
      <c r="S59" s="9" t="s">
        <v>4</v>
      </c>
      <c r="AA59" s="140" t="s">
        <v>210</v>
      </c>
      <c r="AB59" s="140" t="s">
        <v>237</v>
      </c>
      <c r="AC59" s="140">
        <v>44</v>
      </c>
      <c r="AD59" s="141">
        <v>0.3</v>
      </c>
      <c r="AE59" s="151">
        <v>500</v>
      </c>
      <c r="AF59" s="152">
        <v>300</v>
      </c>
      <c r="AG59" s="152">
        <v>10</v>
      </c>
      <c r="AH59" s="152">
        <v>14</v>
      </c>
      <c r="AI59" s="152">
        <v>472</v>
      </c>
      <c r="AJ59" s="153" t="str" cm="1">
        <f t="array" ref="AJ59">_xll.Dce_Name_SectI(AE59, AE59, AF59, AG59, AH59, "x", "-", "H Tổng")</f>
        <v>500x300x10x14</v>
      </c>
      <c r="AK59" s="161">
        <f t="shared" si="6"/>
        <v>760</v>
      </c>
      <c r="AL59" s="162" cm="1">
        <f t="array" ref="AL59">IFERROR(INDEX($B$25:$B$32,IFERROR(MATCH(AF59,$B$25:$B$32,0),MATCH(AF59,$B$25:$B$32,1)+1)),$B$25)</f>
        <v>300</v>
      </c>
      <c r="AM59" s="162" cm="1">
        <f t="array" ref="AM59">IFERROR(VLOOKUP(AE59,$B$36:$E$47,4,FALSE),INDEX($E$36:$E$47,MATCH(AE59,$B$36:$B$47,1)+1))</f>
        <v>25</v>
      </c>
      <c r="AN59" s="162" cm="1">
        <f t="array" ref="AN59">IFERROR(VLOOKUP(AE59,$B$36:$E$47,2,FALSE),INDEX($C$36:$C$47,MATCH(AE59,$B$36:$B$47,1)+1))</f>
        <v>8</v>
      </c>
      <c r="AO59" s="162" cm="1">
        <f t="array" ref="AO59">IFERROR(VLOOKUP(AE59,$B$36:$E$47,3,FALSE),INDEX($D$36:$D$47,MATCH(AE59,$B$36:$B$47,1)+1))</f>
        <v>24</v>
      </c>
      <c r="AP59" s="163" t="str">
        <f t="shared" si="7"/>
        <v>760x300x25 + 8M24</v>
      </c>
      <c r="AQ59" s="140" t="s">
        <v>260</v>
      </c>
      <c r="AR59" s="151">
        <v>0</v>
      </c>
      <c r="AS59" s="151">
        <v>-549.70269003849762</v>
      </c>
      <c r="AT59" s="151">
        <v>-3.6681058190879404E-13</v>
      </c>
      <c r="AU59" s="151">
        <v>-4.6892027244471359E-3</v>
      </c>
      <c r="AV59" s="151">
        <v>-7.5384102729003623E-13</v>
      </c>
      <c r="AW59" s="151">
        <v>-1074.3588206009042</v>
      </c>
      <c r="BA59" s="161">
        <f t="shared" si="8"/>
        <v>60</v>
      </c>
      <c r="BB59" s="161">
        <f t="shared" si="9"/>
        <v>70</v>
      </c>
      <c r="BC59" s="161">
        <f t="shared" si="10"/>
        <v>80</v>
      </c>
      <c r="BD59" s="161">
        <f t="shared" si="11"/>
        <v>150</v>
      </c>
      <c r="BE59" s="161">
        <f>HLOOKUP(AO59,Data!$H$31:$Q$35,3,FALSE)</f>
        <v>452.38934211693021</v>
      </c>
      <c r="BF59" s="161">
        <f>HLOOKUP(AO59,Data!$H$31:$Q$35,4,FALSE)</f>
        <v>353</v>
      </c>
      <c r="BG59" s="179">
        <f t="shared" si="12"/>
        <v>150</v>
      </c>
      <c r="BH59" s="185">
        <f t="shared" si="13"/>
        <v>121.65654188208487</v>
      </c>
      <c r="BI59" s="185">
        <f t="shared" si="14"/>
        <v>243</v>
      </c>
      <c r="BJ59" s="185">
        <f t="shared" si="15"/>
        <v>142.3296</v>
      </c>
      <c r="BK59" s="185">
        <f t="shared" si="16"/>
        <v>68.371827518347402</v>
      </c>
      <c r="BL59" s="186">
        <f t="shared" si="17"/>
        <v>0.94666666666666666</v>
      </c>
      <c r="BM59" s="186">
        <f t="shared" si="18"/>
        <v>0.59366936085562605</v>
      </c>
      <c r="BN59" s="185" t="str">
        <f t="shared" si="19"/>
        <v>OK</v>
      </c>
      <c r="BO59" s="185" cm="1">
        <f t="array" ref="BO59">_xll.DCEBoltDisRS(AN59, AE59, BA59, BB59, BC59, BD59, "h1")</f>
        <v>640</v>
      </c>
      <c r="BP59" s="185" cm="1">
        <f t="array" ref="BP59">_xll.DCEBoltDisRS(AN59, AE59, BA59, BB59, BC59, BD59, "Tong")</f>
        <v>672200</v>
      </c>
      <c r="BQ59" s="185">
        <f t="shared" si="20"/>
        <v>518.28440469811471</v>
      </c>
      <c r="BR59" s="186">
        <f t="shared" si="21"/>
        <v>3.641437934892775</v>
      </c>
      <c r="BS59" s="185" t="str">
        <f t="shared" si="22"/>
        <v>O/S</v>
      </c>
      <c r="BT59" s="186">
        <f t="shared" si="23"/>
        <v>3.684551817526982</v>
      </c>
      <c r="BU59" s="185" t="str">
        <f t="shared" si="24"/>
        <v>O/S</v>
      </c>
      <c r="BV59" s="190">
        <f t="shared" si="25"/>
        <v>2148.7176412018084</v>
      </c>
      <c r="BW59" s="191">
        <f t="shared" si="26"/>
        <v>40.288455772533908</v>
      </c>
      <c r="BX59" s="190">
        <f t="shared" si="27"/>
        <v>1074.3588206009042</v>
      </c>
      <c r="BY59" s="167">
        <f t="shared" si="28"/>
        <v>508.90680975832305</v>
      </c>
      <c r="BZ59" s="192">
        <f t="shared" si="29"/>
        <v>2.4738525474362927</v>
      </c>
      <c r="CA59" s="191">
        <f t="shared" si="30"/>
        <v>56.545201084258117</v>
      </c>
      <c r="CB59" s="193">
        <f t="shared" si="31"/>
        <v>0.47391811253568827</v>
      </c>
      <c r="CC59" s="167">
        <f t="shared" si="32"/>
        <v>518.24532831022373</v>
      </c>
      <c r="CD59" s="191">
        <f t="shared" si="33"/>
        <v>2.1906505423741347</v>
      </c>
      <c r="CE59" s="189">
        <f t="shared" si="34"/>
        <v>2.4738525474362927</v>
      </c>
      <c r="CF59" s="194" t="str">
        <f t="shared" si="35"/>
        <v>O/S</v>
      </c>
      <c r="DA59" s="206"/>
      <c r="DB59" s="206"/>
      <c r="DC59" s="206"/>
      <c r="DD59" s="207"/>
      <c r="DE59" s="208"/>
      <c r="DF59" s="154"/>
      <c r="DG59" s="154"/>
      <c r="DH59" s="154"/>
      <c r="DI59" s="154"/>
      <c r="DJ59" s="154"/>
      <c r="DK59" s="208"/>
      <c r="DL59" s="154"/>
      <c r="DM59" s="154"/>
      <c r="DN59" s="154"/>
      <c r="DO59" s="154"/>
      <c r="DP59" s="154"/>
      <c r="DQ59" s="206"/>
      <c r="DR59" s="208"/>
      <c r="DS59" s="208"/>
      <c r="DT59" s="208"/>
      <c r="DU59" s="208"/>
      <c r="DV59" s="208"/>
      <c r="DW59" s="208"/>
      <c r="DX59" s="208"/>
      <c r="DY59" s="208"/>
      <c r="DZ59" s="208"/>
      <c r="EA59" s="208"/>
      <c r="EB59" s="208"/>
      <c r="EC59" s="208"/>
      <c r="ED59" s="208"/>
      <c r="EE59" s="208"/>
      <c r="EF59" s="208"/>
      <c r="EG59" s="208"/>
      <c r="EH59" s="208"/>
      <c r="EI59" s="208"/>
      <c r="EJ59" s="208"/>
      <c r="EK59" s="209"/>
      <c r="EL59" s="208"/>
      <c r="EM59" s="209"/>
      <c r="EN59" s="209"/>
      <c r="EO59" s="209"/>
      <c r="EP59" s="209"/>
      <c r="EQ59" s="209"/>
      <c r="ER59" s="209"/>
      <c r="ES59" s="209"/>
      <c r="ET59" s="209"/>
      <c r="EU59" s="209"/>
      <c r="EV59" s="210"/>
      <c r="EW59" s="209"/>
      <c r="EX59" s="210"/>
      <c r="EY59" s="154"/>
      <c r="EZ59" s="211"/>
      <c r="FA59" s="209"/>
      <c r="FB59" s="207"/>
      <c r="FC59" s="154"/>
      <c r="FD59" s="209"/>
      <c r="FE59" s="209"/>
      <c r="FF59" s="154"/>
    </row>
    <row r="60" spans="8:162" ht="12.75" customHeight="1">
      <c r="H60" s="7"/>
      <c r="I60" s="47"/>
      <c r="J60" s="47"/>
      <c r="K60" s="48"/>
      <c r="L60" s="51"/>
      <c r="M60" s="47"/>
      <c r="N60" s="50"/>
      <c r="O60" s="50"/>
      <c r="P60" s="54"/>
      <c r="Q60" s="55" t="s">
        <v>93</v>
      </c>
      <c r="R60" s="52">
        <v>6</v>
      </c>
      <c r="S60" s="9" t="s">
        <v>4</v>
      </c>
      <c r="AA60" s="140" t="s">
        <v>210</v>
      </c>
      <c r="AB60" s="140" t="s">
        <v>237</v>
      </c>
      <c r="AC60" s="140">
        <v>44</v>
      </c>
      <c r="AD60" s="141">
        <v>3</v>
      </c>
      <c r="AE60" s="151">
        <v>500</v>
      </c>
      <c r="AF60" s="152">
        <v>300</v>
      </c>
      <c r="AG60" s="152">
        <v>10</v>
      </c>
      <c r="AH60" s="152">
        <v>14</v>
      </c>
      <c r="AI60" s="152">
        <v>472</v>
      </c>
      <c r="AJ60" s="153" t="str" cm="1">
        <f t="array" ref="AJ60">_xll.Dce_Name_SectI(AE60, AE60, AF60, AG60, AH60, "x", "-", "H Tổng")</f>
        <v>500x300x10x14</v>
      </c>
      <c r="AK60" s="161">
        <f t="shared" si="6"/>
        <v>760</v>
      </c>
      <c r="AL60" s="162" cm="1">
        <f t="array" ref="AL60">IFERROR(INDEX($B$25:$B$32,IFERROR(MATCH(AF60,$B$25:$B$32,0),MATCH(AF60,$B$25:$B$32,1)+1)),$B$25)</f>
        <v>300</v>
      </c>
      <c r="AM60" s="162" cm="1">
        <f t="array" ref="AM60">IFERROR(VLOOKUP(AE60,$B$36:$E$47,4,FALSE),INDEX($E$36:$E$47,MATCH(AE60,$B$36:$B$47,1)+1))</f>
        <v>25</v>
      </c>
      <c r="AN60" s="162" cm="1">
        <f t="array" ref="AN60">IFERROR(VLOOKUP(AE60,$B$36:$E$47,2,FALSE),INDEX($C$36:$C$47,MATCH(AE60,$B$36:$B$47,1)+1))</f>
        <v>8</v>
      </c>
      <c r="AO60" s="162" cm="1">
        <f t="array" ref="AO60">IFERROR(VLOOKUP(AE60,$B$36:$E$47,3,FALSE),INDEX($D$36:$D$47,MATCH(AE60,$B$36:$B$47,1)+1))</f>
        <v>24</v>
      </c>
      <c r="AP60" s="163" t="str">
        <f t="shared" si="7"/>
        <v>760x300x25 + 8M24</v>
      </c>
      <c r="AQ60" s="140" t="s">
        <v>260</v>
      </c>
      <c r="AR60" s="151">
        <v>0</v>
      </c>
      <c r="AS60" s="151">
        <v>-371.20785281548814</v>
      </c>
      <c r="AT60" s="151">
        <v>-2.2392896426026704E-13</v>
      </c>
      <c r="AU60" s="151">
        <v>-4.6877928902970588E-3</v>
      </c>
      <c r="AV60" s="151">
        <v>1.3412829957815117E-13</v>
      </c>
      <c r="AW60" s="151">
        <v>212.6654825939107</v>
      </c>
      <c r="BA60" s="161">
        <f t="shared" si="8"/>
        <v>60</v>
      </c>
      <c r="BB60" s="161">
        <f t="shared" si="9"/>
        <v>70</v>
      </c>
      <c r="BC60" s="161">
        <f t="shared" si="10"/>
        <v>80</v>
      </c>
      <c r="BD60" s="161">
        <f t="shared" si="11"/>
        <v>150</v>
      </c>
      <c r="BE60" s="161">
        <f>HLOOKUP(AO60,Data!$H$31:$Q$35,3,FALSE)</f>
        <v>452.38934211693021</v>
      </c>
      <c r="BF60" s="161">
        <f>HLOOKUP(AO60,Data!$H$31:$Q$35,4,FALSE)</f>
        <v>353</v>
      </c>
      <c r="BG60" s="179">
        <f t="shared" si="12"/>
        <v>150</v>
      </c>
      <c r="BH60" s="185">
        <f t="shared" si="13"/>
        <v>121.65654188208487</v>
      </c>
      <c r="BI60" s="185">
        <f t="shared" si="14"/>
        <v>243</v>
      </c>
      <c r="BJ60" s="185">
        <f t="shared" si="15"/>
        <v>142.3296</v>
      </c>
      <c r="BK60" s="185">
        <f t="shared" si="16"/>
        <v>46.170702356175816</v>
      </c>
      <c r="BL60" s="186">
        <f t="shared" si="17"/>
        <v>0.94666666666666666</v>
      </c>
      <c r="BM60" s="186">
        <f t="shared" si="18"/>
        <v>0.40089803582756084</v>
      </c>
      <c r="BN60" s="185" t="str">
        <f t="shared" si="19"/>
        <v>OK</v>
      </c>
      <c r="BO60" s="185" cm="1">
        <f t="array" ref="BO60">_xll.DCEBoltDisRS(AN60, AE60, BA60, BB60, BC60, BD60, "h1")</f>
        <v>640</v>
      </c>
      <c r="BP60" s="185" cm="1">
        <f t="array" ref="BP60">_xll.DCEBoltDisRS(AN60, AE60, BA60, BB60, BC60, BD60, "Tong")</f>
        <v>672200</v>
      </c>
      <c r="BQ60" s="185">
        <f t="shared" si="20"/>
        <v>105.85621696285861</v>
      </c>
      <c r="BR60" s="186">
        <f t="shared" si="21"/>
        <v>0.74374000181872646</v>
      </c>
      <c r="BS60" s="185" t="str">
        <f t="shared" si="22"/>
        <v>OK</v>
      </c>
      <c r="BT60" s="186">
        <f t="shared" si="23"/>
        <v>0.83497436924172819</v>
      </c>
      <c r="BU60" s="185" t="str">
        <f t="shared" si="24"/>
        <v>OK</v>
      </c>
      <c r="BV60" s="190">
        <f t="shared" si="25"/>
        <v>425.33096518782139</v>
      </c>
      <c r="BW60" s="191">
        <f t="shared" si="26"/>
        <v>7.9749555972716504</v>
      </c>
      <c r="BX60" s="190">
        <f t="shared" si="27"/>
        <v>212.6654825939107</v>
      </c>
      <c r="BY60" s="167">
        <f t="shared" si="28"/>
        <v>100.73628122869452</v>
      </c>
      <c r="BZ60" s="192">
        <f t="shared" si="29"/>
        <v>0.48969025597282062</v>
      </c>
      <c r="CA60" s="191">
        <f t="shared" si="30"/>
        <v>11.192920136521614</v>
      </c>
      <c r="CB60" s="193">
        <f t="shared" si="31"/>
        <v>9.3810393864525041E-2</v>
      </c>
      <c r="CC60" s="167">
        <f t="shared" si="32"/>
        <v>102.5848075464115</v>
      </c>
      <c r="CD60" s="191">
        <f t="shared" si="33"/>
        <v>0.43363143286526606</v>
      </c>
      <c r="CE60" s="189">
        <f t="shared" si="34"/>
        <v>0.48969025597282062</v>
      </c>
      <c r="CF60" s="194" t="str">
        <f t="shared" si="35"/>
        <v>OK</v>
      </c>
      <c r="DA60" s="206"/>
      <c r="DB60" s="206"/>
      <c r="DC60" s="206"/>
      <c r="DD60" s="207"/>
      <c r="DE60" s="208"/>
      <c r="DF60" s="154"/>
      <c r="DG60" s="154"/>
      <c r="DH60" s="154"/>
      <c r="DI60" s="154"/>
      <c r="DJ60" s="154"/>
      <c r="DK60" s="208"/>
      <c r="DL60" s="154"/>
      <c r="DM60" s="154"/>
      <c r="DN60" s="154"/>
      <c r="DO60" s="154"/>
      <c r="DP60" s="154"/>
      <c r="DQ60" s="206"/>
      <c r="DR60" s="208"/>
      <c r="DS60" s="208"/>
      <c r="DT60" s="208"/>
      <c r="DU60" s="208"/>
      <c r="DV60" s="208"/>
      <c r="DW60" s="208"/>
      <c r="DX60" s="208"/>
      <c r="DY60" s="208"/>
      <c r="DZ60" s="208"/>
      <c r="EA60" s="208"/>
      <c r="EB60" s="208"/>
      <c r="EC60" s="208"/>
      <c r="ED60" s="208"/>
      <c r="EE60" s="208"/>
      <c r="EF60" s="208"/>
      <c r="EG60" s="208"/>
      <c r="EH60" s="208"/>
      <c r="EI60" s="208"/>
      <c r="EJ60" s="208"/>
      <c r="EK60" s="209"/>
      <c r="EL60" s="208"/>
      <c r="EM60" s="209"/>
      <c r="EN60" s="209"/>
      <c r="EO60" s="209"/>
      <c r="EP60" s="209"/>
      <c r="EQ60" s="209"/>
      <c r="ER60" s="209"/>
      <c r="ES60" s="209"/>
      <c r="ET60" s="209"/>
      <c r="EU60" s="209"/>
      <c r="EV60" s="210"/>
      <c r="EW60" s="209"/>
      <c r="EX60" s="210"/>
      <c r="EY60" s="154"/>
      <c r="EZ60" s="211"/>
      <c r="FA60" s="209"/>
      <c r="FB60" s="207"/>
      <c r="FC60" s="154"/>
      <c r="FD60" s="209"/>
      <c r="FE60" s="209"/>
      <c r="FF60" s="154"/>
    </row>
    <row r="61" spans="8:162" ht="12.75" customHeight="1">
      <c r="H61" s="6" t="s">
        <v>78</v>
      </c>
      <c r="I61" s="47"/>
      <c r="J61" s="47"/>
      <c r="K61" s="47"/>
      <c r="L61" s="47"/>
      <c r="M61" s="47"/>
      <c r="N61" s="48"/>
      <c r="O61" s="49"/>
      <c r="P61" s="47"/>
      <c r="Q61" s="50"/>
      <c r="R61" s="50"/>
      <c r="S61" s="5"/>
      <c r="AA61" s="140" t="s">
        <v>210</v>
      </c>
      <c r="AB61" s="140" t="s">
        <v>237</v>
      </c>
      <c r="AC61" s="140">
        <v>44</v>
      </c>
      <c r="AD61" s="141">
        <v>0.3</v>
      </c>
      <c r="AE61" s="151">
        <v>500</v>
      </c>
      <c r="AF61" s="152">
        <v>300</v>
      </c>
      <c r="AG61" s="152">
        <v>10</v>
      </c>
      <c r="AH61" s="152">
        <v>14</v>
      </c>
      <c r="AI61" s="152">
        <v>472</v>
      </c>
      <c r="AJ61" s="153" t="str" cm="1">
        <f t="array" ref="AJ61">_xll.Dce_Name_SectI(AE61, AE61, AF61, AG61, AH61, "x", "-", "H Tổng")</f>
        <v>500x300x10x14</v>
      </c>
      <c r="AK61" s="161">
        <f t="shared" si="6"/>
        <v>760</v>
      </c>
      <c r="AL61" s="162" cm="1">
        <f t="array" ref="AL61">IFERROR(INDEX($B$25:$B$32,IFERROR(MATCH(AF61,$B$25:$B$32,0),MATCH(AF61,$B$25:$B$32,1)+1)),$B$25)</f>
        <v>300</v>
      </c>
      <c r="AM61" s="162" cm="1">
        <f t="array" ref="AM61">IFERROR(VLOOKUP(AE61,$B$36:$E$47,4,FALSE),INDEX($E$36:$E$47,MATCH(AE61,$B$36:$B$47,1)+1))</f>
        <v>25</v>
      </c>
      <c r="AN61" s="162" cm="1">
        <f t="array" ref="AN61">IFERROR(VLOOKUP(AE61,$B$36:$E$47,2,FALSE),INDEX($C$36:$C$47,MATCH(AE61,$B$36:$B$47,1)+1))</f>
        <v>8</v>
      </c>
      <c r="AO61" s="162" cm="1">
        <f t="array" ref="AO61">IFERROR(VLOOKUP(AE61,$B$36:$E$47,3,FALSE),INDEX($D$36:$D$47,MATCH(AE61,$B$36:$B$47,1)+1))</f>
        <v>24</v>
      </c>
      <c r="AP61" s="163" t="str">
        <f t="shared" si="7"/>
        <v>760x300x25 + 8M24</v>
      </c>
      <c r="AQ61" s="140" t="s">
        <v>261</v>
      </c>
      <c r="AR61" s="151">
        <v>0</v>
      </c>
      <c r="AS61" s="151">
        <v>-176.8091587315383</v>
      </c>
      <c r="AT61" s="151">
        <v>-1.0209078027401117E-13</v>
      </c>
      <c r="AU61" s="151">
        <v>-1.4474223440215845E-3</v>
      </c>
      <c r="AV61" s="151">
        <v>-2.6275911295670081E-13</v>
      </c>
      <c r="AW61" s="151">
        <v>-364.15324011805296</v>
      </c>
      <c r="BA61" s="161">
        <f t="shared" si="8"/>
        <v>60</v>
      </c>
      <c r="BB61" s="161">
        <f t="shared" si="9"/>
        <v>70</v>
      </c>
      <c r="BC61" s="161">
        <f t="shared" si="10"/>
        <v>80</v>
      </c>
      <c r="BD61" s="161">
        <f t="shared" si="11"/>
        <v>150</v>
      </c>
      <c r="BE61" s="161">
        <f>HLOOKUP(AO61,Data!$H$31:$Q$35,3,FALSE)</f>
        <v>452.38934211693021</v>
      </c>
      <c r="BF61" s="161">
        <f>HLOOKUP(AO61,Data!$H$31:$Q$35,4,FALSE)</f>
        <v>353</v>
      </c>
      <c r="BG61" s="179">
        <f t="shared" si="12"/>
        <v>150</v>
      </c>
      <c r="BH61" s="185">
        <f t="shared" si="13"/>
        <v>121.65654188208487</v>
      </c>
      <c r="BI61" s="185">
        <f t="shared" si="14"/>
        <v>243</v>
      </c>
      <c r="BJ61" s="185">
        <f t="shared" si="15"/>
        <v>142.3296</v>
      </c>
      <c r="BK61" s="185">
        <f t="shared" si="16"/>
        <v>21.991461063452732</v>
      </c>
      <c r="BL61" s="186">
        <f t="shared" si="17"/>
        <v>0.94666666666666666</v>
      </c>
      <c r="BM61" s="186">
        <f t="shared" si="18"/>
        <v>0.19095082152539977</v>
      </c>
      <c r="BN61" s="185" t="str">
        <f t="shared" si="19"/>
        <v>OK</v>
      </c>
      <c r="BO61" s="185" cm="1">
        <f t="array" ref="BO61">_xll.DCEBoltDisRS(AN61, AE61, BA61, BB61, BC61, BD61, "h1")</f>
        <v>640</v>
      </c>
      <c r="BP61" s="185" cm="1">
        <f t="array" ref="BP61">_xll.DCEBoltDisRS(AN61, AE61, BA61, BB61, BC61, BD61, "Tong")</f>
        <v>672200</v>
      </c>
      <c r="BQ61" s="185">
        <f t="shared" si="20"/>
        <v>175.55385726043178</v>
      </c>
      <c r="BR61" s="186">
        <f t="shared" si="21"/>
        <v>1.2334318178399419</v>
      </c>
      <c r="BS61" s="185" t="str">
        <f t="shared" si="22"/>
        <v>O/S</v>
      </c>
      <c r="BT61" s="186">
        <f t="shared" si="23"/>
        <v>1.2466076677061864</v>
      </c>
      <c r="BU61" s="185" t="str">
        <f t="shared" si="24"/>
        <v>O/S</v>
      </c>
      <c r="BV61" s="190">
        <f t="shared" si="25"/>
        <v>728.30648023610593</v>
      </c>
      <c r="BW61" s="191">
        <f t="shared" si="26"/>
        <v>13.655746504426986</v>
      </c>
      <c r="BX61" s="190">
        <f t="shared" si="27"/>
        <v>364.15324011805296</v>
      </c>
      <c r="BY61" s="167">
        <f t="shared" si="28"/>
        <v>172.49364005591983</v>
      </c>
      <c r="BZ61" s="192">
        <f t="shared" si="29"/>
        <v>0.83851075027183253</v>
      </c>
      <c r="CA61" s="191">
        <f t="shared" si="30"/>
        <v>19.165960006213314</v>
      </c>
      <c r="CB61" s="193">
        <f t="shared" si="31"/>
        <v>0.16063424334709436</v>
      </c>
      <c r="CC61" s="167">
        <f t="shared" si="32"/>
        <v>175.65892498993762</v>
      </c>
      <c r="CD61" s="191">
        <f t="shared" si="33"/>
        <v>0.74251961046471227</v>
      </c>
      <c r="CE61" s="189">
        <f t="shared" si="34"/>
        <v>0.83851075027183253</v>
      </c>
      <c r="CF61" s="194" t="str">
        <f t="shared" si="35"/>
        <v>OK</v>
      </c>
      <c r="DA61" s="206"/>
      <c r="DB61" s="206"/>
      <c r="DC61" s="206"/>
      <c r="DD61" s="207"/>
      <c r="DE61" s="208"/>
      <c r="DF61" s="154"/>
      <c r="DG61" s="154"/>
      <c r="DH61" s="154"/>
      <c r="DI61" s="154"/>
      <c r="DJ61" s="154"/>
      <c r="DK61" s="208"/>
      <c r="DL61" s="154"/>
      <c r="DM61" s="154"/>
      <c r="DN61" s="154"/>
      <c r="DO61" s="154"/>
      <c r="DP61" s="154"/>
      <c r="DQ61" s="206"/>
      <c r="DR61" s="208"/>
      <c r="DS61" s="208"/>
      <c r="DT61" s="208"/>
      <c r="DU61" s="208"/>
      <c r="DV61" s="208"/>
      <c r="DW61" s="208"/>
      <c r="DX61" s="208"/>
      <c r="DY61" s="208"/>
      <c r="DZ61" s="208"/>
      <c r="EA61" s="208"/>
      <c r="EB61" s="208"/>
      <c r="EC61" s="208"/>
      <c r="ED61" s="208"/>
      <c r="EE61" s="208"/>
      <c r="EF61" s="208"/>
      <c r="EG61" s="208"/>
      <c r="EH61" s="208"/>
      <c r="EI61" s="208"/>
      <c r="EJ61" s="208"/>
      <c r="EK61" s="209"/>
      <c r="EL61" s="208"/>
      <c r="EM61" s="209"/>
      <c r="EN61" s="209"/>
      <c r="EO61" s="209"/>
      <c r="EP61" s="209"/>
      <c r="EQ61" s="209"/>
      <c r="ER61" s="209"/>
      <c r="ES61" s="209"/>
      <c r="ET61" s="209"/>
      <c r="EU61" s="209"/>
      <c r="EV61" s="210"/>
      <c r="EW61" s="209"/>
      <c r="EX61" s="210"/>
      <c r="EY61" s="154"/>
      <c r="EZ61" s="211"/>
      <c r="FA61" s="209"/>
      <c r="FB61" s="207"/>
      <c r="FC61" s="154"/>
      <c r="FD61" s="209"/>
      <c r="FE61" s="209"/>
      <c r="FF61" s="154"/>
    </row>
    <row r="62" spans="8:162" ht="12.75" customHeight="1">
      <c r="H62" s="6"/>
      <c r="I62" s="47"/>
      <c r="J62" s="50"/>
      <c r="K62" s="50"/>
      <c r="L62" s="259" t="s">
        <v>158</v>
      </c>
      <c r="M62" s="84" t="s">
        <v>159</v>
      </c>
      <c r="N62" s="260" t="s">
        <v>160</v>
      </c>
      <c r="O62" s="260"/>
      <c r="P62" s="10" t="s">
        <v>161</v>
      </c>
      <c r="Q62" s="10" t="s">
        <v>162</v>
      </c>
      <c r="R62" s="10" t="s">
        <v>163</v>
      </c>
      <c r="S62" s="5"/>
      <c r="AA62" s="140" t="s">
        <v>210</v>
      </c>
      <c r="AB62" s="140" t="s">
        <v>237</v>
      </c>
      <c r="AC62" s="140">
        <v>44</v>
      </c>
      <c r="AD62" s="141">
        <v>3</v>
      </c>
      <c r="AE62" s="151">
        <v>500</v>
      </c>
      <c r="AF62" s="152">
        <v>300</v>
      </c>
      <c r="AG62" s="152">
        <v>10</v>
      </c>
      <c r="AH62" s="152">
        <v>14</v>
      </c>
      <c r="AI62" s="152">
        <v>472</v>
      </c>
      <c r="AJ62" s="153" t="str" cm="1">
        <f t="array" ref="AJ62">_xll.Dce_Name_SectI(AE62, AE62, AF62, AG62, AH62, "x", "-", "H Tổng")</f>
        <v>500x300x10x14</v>
      </c>
      <c r="AK62" s="161">
        <f t="shared" si="6"/>
        <v>760</v>
      </c>
      <c r="AL62" s="162" cm="1">
        <f t="array" ref="AL62">IFERROR(INDEX($B$25:$B$32,IFERROR(MATCH(AF62,$B$25:$B$32,0),MATCH(AF62,$B$25:$B$32,1)+1)),$B$25)</f>
        <v>300</v>
      </c>
      <c r="AM62" s="162" cm="1">
        <f t="array" ref="AM62">IFERROR(VLOOKUP(AE62,$B$36:$E$47,4,FALSE),INDEX($E$36:$E$47,MATCH(AE62,$B$36:$B$47,1)+1))</f>
        <v>25</v>
      </c>
      <c r="AN62" s="162" cm="1">
        <f t="array" ref="AN62">IFERROR(VLOOKUP(AE62,$B$36:$E$47,2,FALSE),INDEX($C$36:$C$47,MATCH(AE62,$B$36:$B$47,1)+1))</f>
        <v>8</v>
      </c>
      <c r="AO62" s="162" cm="1">
        <f t="array" ref="AO62">IFERROR(VLOOKUP(AE62,$B$36:$E$47,3,FALSE),INDEX($D$36:$D$47,MATCH(AE62,$B$36:$B$47,1)+1))</f>
        <v>24</v>
      </c>
      <c r="AP62" s="163" t="str">
        <f t="shared" si="7"/>
        <v>760x300x25 + 8M24</v>
      </c>
      <c r="AQ62" s="140" t="s">
        <v>261</v>
      </c>
      <c r="AR62" s="151">
        <v>0</v>
      </c>
      <c r="AS62" s="151">
        <v>-120.48670966415733</v>
      </c>
      <c r="AT62" s="151">
        <v>1.6570993466302748E-13</v>
      </c>
      <c r="AU62" s="151">
        <v>-1.4469864173677189E-3</v>
      </c>
      <c r="AV62" s="151">
        <v>-2.0576953829731787E-13</v>
      </c>
      <c r="AW62" s="151">
        <v>50.659871000667884</v>
      </c>
      <c r="BA62" s="161">
        <f t="shared" si="8"/>
        <v>60</v>
      </c>
      <c r="BB62" s="161">
        <f t="shared" si="9"/>
        <v>70</v>
      </c>
      <c r="BC62" s="161">
        <f t="shared" si="10"/>
        <v>80</v>
      </c>
      <c r="BD62" s="161">
        <f t="shared" si="11"/>
        <v>150</v>
      </c>
      <c r="BE62" s="161">
        <f>HLOOKUP(AO62,Data!$H$31:$Q$35,3,FALSE)</f>
        <v>452.38934211693021</v>
      </c>
      <c r="BF62" s="161">
        <f>HLOOKUP(AO62,Data!$H$31:$Q$35,4,FALSE)</f>
        <v>353</v>
      </c>
      <c r="BG62" s="179">
        <f t="shared" si="12"/>
        <v>150</v>
      </c>
      <c r="BH62" s="185">
        <f t="shared" si="13"/>
        <v>121.65654188208487</v>
      </c>
      <c r="BI62" s="185">
        <f t="shared" si="14"/>
        <v>243</v>
      </c>
      <c r="BJ62" s="185">
        <f t="shared" si="15"/>
        <v>142.3296</v>
      </c>
      <c r="BK62" s="185">
        <f t="shared" si="16"/>
        <v>14.986094630233731</v>
      </c>
      <c r="BL62" s="186">
        <f t="shared" si="17"/>
        <v>0.94666666666666666</v>
      </c>
      <c r="BM62" s="186">
        <f t="shared" si="18"/>
        <v>0.1301235544488753</v>
      </c>
      <c r="BN62" s="185" t="str">
        <f t="shared" si="19"/>
        <v>OK</v>
      </c>
      <c r="BO62" s="185" cm="1">
        <f t="array" ref="BO62">_xll.DCEBoltDisRS(AN62, AE62, BA62, BB62, BC62, BD62, "h1")</f>
        <v>640</v>
      </c>
      <c r="BP62" s="185" cm="1">
        <f t="array" ref="BP62">_xll.DCEBoltDisRS(AN62, AE62, BA62, BB62, BC62, BD62, "Tong")</f>
        <v>672200</v>
      </c>
      <c r="BQ62" s="185">
        <f t="shared" si="20"/>
        <v>25.615180007822129</v>
      </c>
      <c r="BR62" s="186">
        <f t="shared" si="21"/>
        <v>0.17997085643339214</v>
      </c>
      <c r="BS62" s="185" t="str">
        <f t="shared" si="22"/>
        <v>OK</v>
      </c>
      <c r="BT62" s="186">
        <f t="shared" si="23"/>
        <v>0.21809107328354141</v>
      </c>
      <c r="BU62" s="185" t="str">
        <f t="shared" si="24"/>
        <v>OK</v>
      </c>
      <c r="BV62" s="190">
        <f t="shared" si="25"/>
        <v>101.31974200133577</v>
      </c>
      <c r="BW62" s="191">
        <f t="shared" si="26"/>
        <v>1.8997451625250457</v>
      </c>
      <c r="BX62" s="190">
        <f t="shared" si="27"/>
        <v>50.659871000667884</v>
      </c>
      <c r="BY62" s="167">
        <f t="shared" si="28"/>
        <v>23.996781000316368</v>
      </c>
      <c r="BZ62" s="192">
        <f t="shared" si="29"/>
        <v>0.11665101875153791</v>
      </c>
      <c r="CA62" s="191">
        <f t="shared" si="30"/>
        <v>2.6663090000351515</v>
      </c>
      <c r="CB62" s="193">
        <f t="shared" si="31"/>
        <v>2.2346938458149022E-2</v>
      </c>
      <c r="CC62" s="167">
        <f t="shared" si="32"/>
        <v>24.437125637606194</v>
      </c>
      <c r="CD62" s="191">
        <f t="shared" si="33"/>
        <v>0.10329702866137885</v>
      </c>
      <c r="CE62" s="189">
        <f t="shared" si="34"/>
        <v>0.11665101875153791</v>
      </c>
      <c r="CF62" s="194" t="str">
        <f t="shared" si="35"/>
        <v>OK</v>
      </c>
      <c r="DA62" s="140"/>
      <c r="DB62" s="140"/>
      <c r="DC62" s="140"/>
      <c r="DD62" s="141"/>
      <c r="DE62" s="151"/>
      <c r="DF62" s="152"/>
      <c r="DG62" s="152"/>
      <c r="DH62" s="152"/>
      <c r="DI62" s="152"/>
      <c r="DJ62" s="152"/>
      <c r="DK62" s="161"/>
      <c r="DL62" s="162"/>
      <c r="DM62" s="162"/>
      <c r="DN62" s="162"/>
      <c r="DO62" s="162"/>
      <c r="DP62" s="162"/>
      <c r="DQ62" s="140"/>
      <c r="DR62" s="151"/>
      <c r="DS62" s="151"/>
      <c r="DT62" s="151"/>
      <c r="DU62" s="151"/>
      <c r="DV62" s="151"/>
      <c r="DW62" s="151"/>
      <c r="DX62" s="151"/>
      <c r="DY62" s="151"/>
      <c r="DZ62" s="151"/>
      <c r="EA62" s="161"/>
      <c r="EB62" s="161"/>
      <c r="EC62" s="161"/>
      <c r="ED62" s="161"/>
      <c r="EE62" s="161"/>
      <c r="EF62" s="161"/>
      <c r="EG62" s="161"/>
      <c r="EH62" s="161"/>
      <c r="EI62" s="161"/>
      <c r="EJ62" s="161"/>
      <c r="EK62" s="209"/>
      <c r="EL62" s="161"/>
      <c r="EM62" s="209"/>
      <c r="EN62" s="209"/>
      <c r="EO62" s="209"/>
      <c r="EP62" s="209"/>
      <c r="EQ62" s="209"/>
      <c r="ER62" s="209"/>
      <c r="ES62" s="209"/>
      <c r="ET62" s="209"/>
      <c r="EU62" s="209"/>
      <c r="EV62" s="210"/>
      <c r="EW62" s="209"/>
      <c r="EX62" s="210"/>
      <c r="EY62" s="162"/>
      <c r="EZ62" s="211"/>
      <c r="FA62" s="209"/>
      <c r="FB62" s="207"/>
      <c r="FC62" s="162"/>
      <c r="FD62" s="209"/>
      <c r="FE62" s="209"/>
      <c r="FF62" s="154"/>
    </row>
    <row r="63" spans="8:162" ht="12.75" customHeight="1">
      <c r="H63" s="6"/>
      <c r="I63" s="50"/>
      <c r="J63" s="50"/>
      <c r="K63" s="50"/>
      <c r="L63" s="259"/>
      <c r="M63" s="11" t="s">
        <v>164</v>
      </c>
      <c r="N63" s="260"/>
      <c r="O63" s="260"/>
      <c r="P63" s="10" t="s">
        <v>165</v>
      </c>
      <c r="Q63" s="10" t="s">
        <v>165</v>
      </c>
      <c r="R63" s="10" t="s">
        <v>166</v>
      </c>
      <c r="S63" s="5"/>
      <c r="AA63" s="140" t="s">
        <v>210</v>
      </c>
      <c r="AB63" s="140" t="s">
        <v>237</v>
      </c>
      <c r="AC63" s="140">
        <v>44</v>
      </c>
      <c r="AD63" s="141">
        <v>0.3</v>
      </c>
      <c r="AE63" s="151">
        <v>500</v>
      </c>
      <c r="AF63" s="152">
        <v>300</v>
      </c>
      <c r="AG63" s="152">
        <v>10</v>
      </c>
      <c r="AH63" s="152">
        <v>14</v>
      </c>
      <c r="AI63" s="152">
        <v>472</v>
      </c>
      <c r="AJ63" s="153" t="str" cm="1">
        <f t="array" ref="AJ63">_xll.Dce_Name_SectI(AE63, AE63, AF63, AG63, AH63, "x", "-", "H Tổng")</f>
        <v>500x300x10x14</v>
      </c>
      <c r="AK63" s="161">
        <f t="shared" si="6"/>
        <v>760</v>
      </c>
      <c r="AL63" s="162" cm="1">
        <f t="array" ref="AL63">IFERROR(INDEX($B$25:$B$32,IFERROR(MATCH(AF63,$B$25:$B$32,0),MATCH(AF63,$B$25:$B$32,1)+1)),$B$25)</f>
        <v>300</v>
      </c>
      <c r="AM63" s="162" cm="1">
        <f t="array" ref="AM63">IFERROR(VLOOKUP(AE63,$B$36:$E$47,4,FALSE),INDEX($E$36:$E$47,MATCH(AE63,$B$36:$B$47,1)+1))</f>
        <v>25</v>
      </c>
      <c r="AN63" s="162" cm="1">
        <f t="array" ref="AN63">IFERROR(VLOOKUP(AE63,$B$36:$E$47,2,FALSE),INDEX($C$36:$C$47,MATCH(AE63,$B$36:$B$47,1)+1))</f>
        <v>8</v>
      </c>
      <c r="AO63" s="162" cm="1">
        <f t="array" ref="AO63">IFERROR(VLOOKUP(AE63,$B$36:$E$47,3,FALSE),INDEX($D$36:$D$47,MATCH(AE63,$B$36:$B$47,1)+1))</f>
        <v>24</v>
      </c>
      <c r="AP63" s="163" t="str">
        <f t="shared" si="7"/>
        <v>760x300x25 + 8M24</v>
      </c>
      <c r="AQ63" s="140" t="s">
        <v>262</v>
      </c>
      <c r="AR63" s="151">
        <v>0</v>
      </c>
      <c r="AS63" s="151">
        <v>-175.75260195099898</v>
      </c>
      <c r="AT63" s="151">
        <v>-5.8435034588910628E-14</v>
      </c>
      <c r="AU63" s="151">
        <v>-1.4403669572350421E-3</v>
      </c>
      <c r="AV63" s="151">
        <v>-2.4561695681768463E-13</v>
      </c>
      <c r="AW63" s="151">
        <v>-351.83882337526796</v>
      </c>
      <c r="BA63" s="161">
        <f t="shared" si="8"/>
        <v>60</v>
      </c>
      <c r="BB63" s="161">
        <f t="shared" si="9"/>
        <v>70</v>
      </c>
      <c r="BC63" s="161">
        <f t="shared" si="10"/>
        <v>80</v>
      </c>
      <c r="BD63" s="161">
        <f t="shared" si="11"/>
        <v>150</v>
      </c>
      <c r="BE63" s="161">
        <f>HLOOKUP(AO63,Data!$H$31:$Q$35,3,FALSE)</f>
        <v>452.38934211693021</v>
      </c>
      <c r="BF63" s="161">
        <f>HLOOKUP(AO63,Data!$H$31:$Q$35,4,FALSE)</f>
        <v>353</v>
      </c>
      <c r="BG63" s="179">
        <f t="shared" si="12"/>
        <v>150</v>
      </c>
      <c r="BH63" s="185">
        <f t="shared" si="13"/>
        <v>121.65654188208487</v>
      </c>
      <c r="BI63" s="185">
        <f t="shared" si="14"/>
        <v>243</v>
      </c>
      <c r="BJ63" s="185">
        <f t="shared" si="15"/>
        <v>142.3296</v>
      </c>
      <c r="BK63" s="185">
        <f t="shared" si="16"/>
        <v>21.860046902177086</v>
      </c>
      <c r="BL63" s="186">
        <f t="shared" si="17"/>
        <v>0.94666666666666666</v>
      </c>
      <c r="BM63" s="186">
        <f t="shared" si="18"/>
        <v>0.18980975854721688</v>
      </c>
      <c r="BN63" s="185" t="str">
        <f t="shared" si="19"/>
        <v>OK</v>
      </c>
      <c r="BO63" s="185" cm="1">
        <f t="array" ref="BO63">_xll.DCEBoltDisRS(AN63, AE63, BA63, BB63, BC63, BD63, "h1")</f>
        <v>640</v>
      </c>
      <c r="BP63" s="185" cm="1">
        <f t="array" ref="BP63">_xll.DCEBoltDisRS(AN63, AE63, BA63, BB63, BC63, BD63, "Tong")</f>
        <v>672200</v>
      </c>
      <c r="BQ63" s="185">
        <f t="shared" si="20"/>
        <v>169.67845259275526</v>
      </c>
      <c r="BR63" s="186">
        <f t="shared" si="21"/>
        <v>1.1921515453760516</v>
      </c>
      <c r="BS63" s="185" t="str">
        <f t="shared" si="22"/>
        <v>O/S</v>
      </c>
      <c r="BT63" s="186">
        <f t="shared" si="23"/>
        <v>1.2056170914070816</v>
      </c>
      <c r="BU63" s="185" t="str">
        <f t="shared" si="24"/>
        <v>O/S</v>
      </c>
      <c r="BV63" s="190">
        <f t="shared" si="25"/>
        <v>703.67764675053593</v>
      </c>
      <c r="BW63" s="191">
        <f t="shared" si="26"/>
        <v>13.193955876572549</v>
      </c>
      <c r="BX63" s="190">
        <f t="shared" si="27"/>
        <v>351.83882337526796</v>
      </c>
      <c r="BY63" s="167">
        <f t="shared" si="28"/>
        <v>166.66049528302167</v>
      </c>
      <c r="BZ63" s="192">
        <f t="shared" si="29"/>
        <v>0.81015518540357767</v>
      </c>
      <c r="CA63" s="191">
        <f t="shared" si="30"/>
        <v>18.517832809224629</v>
      </c>
      <c r="CB63" s="193">
        <f t="shared" si="31"/>
        <v>0.15520214279762024</v>
      </c>
      <c r="CC63" s="167">
        <f t="shared" si="32"/>
        <v>169.71874110961724</v>
      </c>
      <c r="CD63" s="191">
        <f t="shared" si="33"/>
        <v>0.71741013754065275</v>
      </c>
      <c r="CE63" s="189">
        <f t="shared" si="34"/>
        <v>0.81015518540357767</v>
      </c>
      <c r="CF63" s="194" t="str">
        <f t="shared" si="35"/>
        <v>OK</v>
      </c>
      <c r="DA63" s="140"/>
      <c r="DB63" s="140"/>
      <c r="DC63" s="140"/>
      <c r="DD63" s="141"/>
      <c r="DE63" s="151"/>
      <c r="DF63" s="152"/>
      <c r="DG63" s="152"/>
      <c r="DH63" s="152"/>
      <c r="DI63" s="152"/>
      <c r="DJ63" s="152"/>
      <c r="DK63" s="161"/>
      <c r="DL63" s="162"/>
      <c r="DM63" s="162"/>
      <c r="DN63" s="162"/>
      <c r="DO63" s="162"/>
      <c r="DP63" s="162"/>
      <c r="DQ63" s="140"/>
      <c r="DR63" s="151"/>
      <c r="DS63" s="151"/>
      <c r="DT63" s="151"/>
      <c r="DU63" s="151"/>
      <c r="DV63" s="151"/>
      <c r="DW63" s="151"/>
      <c r="DX63" s="151"/>
      <c r="DY63" s="151"/>
      <c r="DZ63" s="151"/>
      <c r="EA63" s="161"/>
      <c r="EB63" s="161"/>
      <c r="EC63" s="161"/>
      <c r="ED63" s="161"/>
      <c r="EE63" s="161"/>
      <c r="EF63" s="161"/>
      <c r="EG63" s="161"/>
      <c r="EH63" s="161"/>
      <c r="EI63" s="161"/>
      <c r="EJ63" s="161"/>
      <c r="EK63" s="209"/>
      <c r="EL63" s="161"/>
      <c r="EM63" s="209"/>
      <c r="EN63" s="209"/>
      <c r="EO63" s="209"/>
      <c r="EP63" s="209"/>
      <c r="EQ63" s="209"/>
      <c r="ER63" s="209"/>
      <c r="ES63" s="209"/>
      <c r="ET63" s="209"/>
      <c r="EU63" s="209"/>
      <c r="EV63" s="210"/>
      <c r="EW63" s="209"/>
      <c r="EX63" s="210"/>
      <c r="EY63" s="162"/>
      <c r="EZ63" s="211"/>
      <c r="FA63" s="209"/>
      <c r="FB63" s="207"/>
      <c r="FC63" s="162"/>
      <c r="FD63" s="209"/>
      <c r="FE63" s="209"/>
      <c r="FF63" s="154"/>
    </row>
    <row r="64" spans="8:162">
      <c r="H64" s="6"/>
      <c r="I64" s="47"/>
      <c r="J64" s="50"/>
      <c r="K64" s="50"/>
      <c r="L64" s="85" t="s">
        <v>238</v>
      </c>
      <c r="M64" s="86">
        <v>2.6850000000000001</v>
      </c>
      <c r="N64" s="261" t="s">
        <v>243</v>
      </c>
      <c r="O64" s="261"/>
      <c r="P64" s="85">
        <v>0</v>
      </c>
      <c r="Q64" s="85">
        <v>949.10171212260161</v>
      </c>
      <c r="R64" s="85">
        <v>2902.6552283151536</v>
      </c>
      <c r="S64" s="5"/>
      <c r="AA64" s="140" t="s">
        <v>210</v>
      </c>
      <c r="AB64" s="140" t="s">
        <v>237</v>
      </c>
      <c r="AC64" s="140">
        <v>44</v>
      </c>
      <c r="AD64" s="141">
        <v>3</v>
      </c>
      <c r="AE64" s="151">
        <v>500</v>
      </c>
      <c r="AF64" s="152">
        <v>300</v>
      </c>
      <c r="AG64" s="152">
        <v>10</v>
      </c>
      <c r="AH64" s="152">
        <v>14</v>
      </c>
      <c r="AI64" s="152">
        <v>472</v>
      </c>
      <c r="AJ64" s="153" t="str" cm="1">
        <f t="array" ref="AJ64">_xll.Dce_Name_SectI(AE64, AE64, AF64, AG64, AH64, "x", "-", "H Tổng")</f>
        <v>500x300x10x14</v>
      </c>
      <c r="AK64" s="161">
        <f t="shared" si="6"/>
        <v>760</v>
      </c>
      <c r="AL64" s="162" cm="1">
        <f t="array" ref="AL64">IFERROR(INDEX($B$25:$B$32,IFERROR(MATCH(AF64,$B$25:$B$32,0),MATCH(AF64,$B$25:$B$32,1)+1)),$B$25)</f>
        <v>300</v>
      </c>
      <c r="AM64" s="162" cm="1">
        <f t="array" ref="AM64">IFERROR(VLOOKUP(AE64,$B$36:$E$47,4,FALSE),INDEX($E$36:$E$47,MATCH(AE64,$B$36:$B$47,1)+1))</f>
        <v>25</v>
      </c>
      <c r="AN64" s="162" cm="1">
        <f t="array" ref="AN64">IFERROR(VLOOKUP(AE64,$B$36:$E$47,2,FALSE),INDEX($C$36:$C$47,MATCH(AE64,$B$36:$B$47,1)+1))</f>
        <v>8</v>
      </c>
      <c r="AO64" s="162" cm="1">
        <f t="array" ref="AO64">IFERROR(VLOOKUP(AE64,$B$36:$E$47,3,FALSE),INDEX($D$36:$D$47,MATCH(AE64,$B$36:$B$47,1)+1))</f>
        <v>24</v>
      </c>
      <c r="AP64" s="163" t="str">
        <f t="shared" si="7"/>
        <v>760x300x25 + 8M24</v>
      </c>
      <c r="AQ64" s="140" t="s">
        <v>262</v>
      </c>
      <c r="AR64" s="151">
        <v>0</v>
      </c>
      <c r="AS64" s="151">
        <v>-119.43015162042707</v>
      </c>
      <c r="AT64" s="151">
        <v>3.9854057831689708E-13</v>
      </c>
      <c r="AU64" s="151">
        <v>-1.4399327863186364E-3</v>
      </c>
      <c r="AV64" s="151">
        <v>-2.2113636077847326E-13</v>
      </c>
      <c r="AW64" s="151">
        <v>60.121509411035802</v>
      </c>
      <c r="BA64" s="161">
        <f t="shared" si="8"/>
        <v>60</v>
      </c>
      <c r="BB64" s="161">
        <f t="shared" si="9"/>
        <v>70</v>
      </c>
      <c r="BC64" s="161">
        <f t="shared" si="10"/>
        <v>80</v>
      </c>
      <c r="BD64" s="161">
        <f t="shared" si="11"/>
        <v>150</v>
      </c>
      <c r="BE64" s="161">
        <f>HLOOKUP(AO64,Data!$H$31:$Q$35,3,FALSE)</f>
        <v>452.38934211693021</v>
      </c>
      <c r="BF64" s="161">
        <f>HLOOKUP(AO64,Data!$H$31:$Q$35,4,FALSE)</f>
        <v>353</v>
      </c>
      <c r="BG64" s="179">
        <f t="shared" si="12"/>
        <v>150</v>
      </c>
      <c r="BH64" s="185">
        <f t="shared" si="13"/>
        <v>121.65654188208487</v>
      </c>
      <c r="BI64" s="185">
        <f t="shared" si="14"/>
        <v>243</v>
      </c>
      <c r="BJ64" s="185">
        <f t="shared" si="15"/>
        <v>142.3296</v>
      </c>
      <c r="BK64" s="185">
        <f t="shared" si="16"/>
        <v>14.854680311842841</v>
      </c>
      <c r="BL64" s="186">
        <f t="shared" si="17"/>
        <v>0.94666666666666666</v>
      </c>
      <c r="BM64" s="186">
        <f t="shared" si="18"/>
        <v>0.12898249010646817</v>
      </c>
      <c r="BN64" s="185" t="str">
        <f t="shared" si="19"/>
        <v>OK</v>
      </c>
      <c r="BO64" s="185" cm="1">
        <f t="array" ref="BO64">_xll.DCEBoltDisRS(AN64, AE64, BA64, BB64, BC64, BD64, "h1")</f>
        <v>640</v>
      </c>
      <c r="BP64" s="185" cm="1">
        <f t="array" ref="BP64">_xll.DCEBoltDisRS(AN64, AE64, BA64, BB64, BC64, BD64, "Tong")</f>
        <v>672200</v>
      </c>
      <c r="BQ64" s="185">
        <f t="shared" si="20"/>
        <v>30.106240139978478</v>
      </c>
      <c r="BR64" s="186">
        <f t="shared" si="21"/>
        <v>0.21152479976040456</v>
      </c>
      <c r="BS64" s="185" t="str">
        <f t="shared" si="22"/>
        <v>OK</v>
      </c>
      <c r="BT64" s="186">
        <f t="shared" si="23"/>
        <v>0.24423756275040021</v>
      </c>
      <c r="BU64" s="185" t="str">
        <f t="shared" si="24"/>
        <v>OK</v>
      </c>
      <c r="BV64" s="190">
        <f t="shared" si="25"/>
        <v>120.2430188220716</v>
      </c>
      <c r="BW64" s="191">
        <f t="shared" si="26"/>
        <v>2.2545566029138424</v>
      </c>
      <c r="BX64" s="190">
        <f t="shared" si="27"/>
        <v>60.121509411035802</v>
      </c>
      <c r="BY64" s="167">
        <f t="shared" si="28"/>
        <v>28.478609721016959</v>
      </c>
      <c r="BZ64" s="192">
        <f t="shared" si="29"/>
        <v>0.13843768614383245</v>
      </c>
      <c r="CA64" s="191">
        <f t="shared" si="30"/>
        <v>3.1642899690018846</v>
      </c>
      <c r="CB64" s="193">
        <f t="shared" si="31"/>
        <v>2.6520629529469823E-2</v>
      </c>
      <c r="CC64" s="167">
        <f t="shared" si="32"/>
        <v>29.001196607481205</v>
      </c>
      <c r="CD64" s="191">
        <f t="shared" si="33"/>
        <v>0.12258959918621284</v>
      </c>
      <c r="CE64" s="189">
        <f t="shared" si="34"/>
        <v>0.13843768614383245</v>
      </c>
      <c r="CF64" s="194" t="str">
        <f t="shared" si="35"/>
        <v>OK</v>
      </c>
      <c r="DA64" s="140"/>
      <c r="DB64" s="140"/>
      <c r="DC64" s="140"/>
      <c r="DD64" s="141"/>
      <c r="DE64" s="151"/>
      <c r="DF64" s="152"/>
      <c r="DG64" s="152"/>
      <c r="DH64" s="152"/>
      <c r="DI64" s="152"/>
      <c r="DJ64" s="152"/>
      <c r="DK64" s="161"/>
      <c r="DL64" s="162"/>
      <c r="DM64" s="162"/>
      <c r="DN64" s="162"/>
      <c r="DO64" s="162"/>
      <c r="DP64" s="162"/>
      <c r="DQ64" s="140"/>
      <c r="DR64" s="151"/>
      <c r="DS64" s="151"/>
      <c r="DT64" s="151"/>
      <c r="DU64" s="151"/>
      <c r="DV64" s="151"/>
      <c r="DW64" s="151"/>
      <c r="DX64" s="151"/>
      <c r="DY64" s="151"/>
      <c r="DZ64" s="151"/>
      <c r="EA64" s="161"/>
      <c r="EB64" s="161"/>
      <c r="EC64" s="161"/>
      <c r="ED64" s="161"/>
      <c r="EE64" s="161"/>
      <c r="EF64" s="161"/>
      <c r="EG64" s="161"/>
      <c r="EH64" s="161"/>
      <c r="EI64" s="161"/>
      <c r="EJ64" s="161"/>
      <c r="EK64" s="209"/>
      <c r="EL64" s="161"/>
      <c r="EM64" s="187"/>
      <c r="EN64" s="187"/>
      <c r="EO64" s="206"/>
      <c r="EP64" s="212"/>
      <c r="EQ64" s="208"/>
      <c r="ER64" s="187"/>
      <c r="ES64" s="187"/>
      <c r="ET64" s="187"/>
      <c r="EU64" s="187"/>
      <c r="EV64" s="210"/>
      <c r="EW64" s="209"/>
      <c r="EX64" s="210"/>
      <c r="EY64" s="162"/>
      <c r="EZ64" s="211"/>
      <c r="FA64" s="209"/>
      <c r="FB64" s="207"/>
      <c r="FC64" s="162"/>
      <c r="FD64" s="209"/>
      <c r="FE64" s="187"/>
      <c r="FF64" s="187"/>
    </row>
    <row r="65" spans="8:162" ht="12.75" customHeight="1">
      <c r="H65" s="251" t="s">
        <v>19</v>
      </c>
      <c r="I65" s="252"/>
      <c r="J65" s="252"/>
      <c r="K65" s="55"/>
      <c r="L65" s="69"/>
      <c r="M65" s="64"/>
      <c r="N65" s="50"/>
      <c r="O65" s="50"/>
      <c r="P65" s="50"/>
      <c r="Q65" s="50"/>
      <c r="R65" s="50"/>
      <c r="S65" s="8"/>
      <c r="AA65" s="140" t="s">
        <v>210</v>
      </c>
      <c r="AB65" s="140" t="s">
        <v>237</v>
      </c>
      <c r="AC65" s="140">
        <v>44</v>
      </c>
      <c r="AD65" s="141">
        <v>0.3</v>
      </c>
      <c r="AE65" s="151">
        <v>500</v>
      </c>
      <c r="AF65" s="152">
        <v>300</v>
      </c>
      <c r="AG65" s="152">
        <v>10</v>
      </c>
      <c r="AH65" s="152">
        <v>14</v>
      </c>
      <c r="AI65" s="152">
        <v>472</v>
      </c>
      <c r="AJ65" s="153" t="str" cm="1">
        <f t="array" ref="AJ65">_xll.Dce_Name_SectI(AE65, AE65, AF65, AG65, AH65, "x", "-", "H Tổng")</f>
        <v>500x300x10x14</v>
      </c>
      <c r="AK65" s="161">
        <f t="shared" si="6"/>
        <v>760</v>
      </c>
      <c r="AL65" s="162" cm="1">
        <f t="array" ref="AL65">IFERROR(INDEX($B$25:$B$32,IFERROR(MATCH(AF65,$B$25:$B$32,0),MATCH(AF65,$B$25:$B$32,1)+1)),$B$25)</f>
        <v>300</v>
      </c>
      <c r="AM65" s="162" cm="1">
        <f t="array" ref="AM65">IFERROR(VLOOKUP(AE65,$B$36:$E$47,4,FALSE),INDEX($E$36:$E$47,MATCH(AE65,$B$36:$B$47,1)+1))</f>
        <v>25</v>
      </c>
      <c r="AN65" s="162" cm="1">
        <f t="array" ref="AN65">IFERROR(VLOOKUP(AE65,$B$36:$E$47,2,FALSE),INDEX($C$36:$C$47,MATCH(AE65,$B$36:$B$47,1)+1))</f>
        <v>8</v>
      </c>
      <c r="AO65" s="162" cm="1">
        <f t="array" ref="AO65">IFERROR(VLOOKUP(AE65,$B$36:$E$47,3,FALSE),INDEX($D$36:$D$47,MATCH(AE65,$B$36:$B$47,1)+1))</f>
        <v>24</v>
      </c>
      <c r="AP65" s="163" t="str">
        <f t="shared" si="7"/>
        <v>760x300x25 + 8M24</v>
      </c>
      <c r="AQ65" s="140" t="s">
        <v>263</v>
      </c>
      <c r="AR65" s="151">
        <v>0</v>
      </c>
      <c r="AS65" s="151">
        <v>-172.7655712796506</v>
      </c>
      <c r="AT65" s="151">
        <v>-8.753886504564432E-14</v>
      </c>
      <c r="AU65" s="151">
        <v>-1.5998096747598259E-3</v>
      </c>
      <c r="AV65" s="151">
        <v>-2.3717684598523185E-13</v>
      </c>
      <c r="AW65" s="151">
        <v>-339.9928223317703</v>
      </c>
      <c r="BA65" s="161">
        <f t="shared" si="8"/>
        <v>60</v>
      </c>
      <c r="BB65" s="161">
        <f t="shared" si="9"/>
        <v>70</v>
      </c>
      <c r="BC65" s="161">
        <f t="shared" si="10"/>
        <v>80</v>
      </c>
      <c r="BD65" s="161">
        <f t="shared" si="11"/>
        <v>150</v>
      </c>
      <c r="BE65" s="161">
        <f>HLOOKUP(AO65,Data!$H$31:$Q$35,3,FALSE)</f>
        <v>452.38934211693021</v>
      </c>
      <c r="BF65" s="161">
        <f>HLOOKUP(AO65,Data!$H$31:$Q$35,4,FALSE)</f>
        <v>353</v>
      </c>
      <c r="BG65" s="179">
        <f t="shared" si="12"/>
        <v>150</v>
      </c>
      <c r="BH65" s="185">
        <f t="shared" si="13"/>
        <v>121.65654188208487</v>
      </c>
      <c r="BI65" s="185">
        <f t="shared" si="14"/>
        <v>243</v>
      </c>
      <c r="BJ65" s="185">
        <f t="shared" si="15"/>
        <v>142.3296</v>
      </c>
      <c r="BK65" s="185">
        <f t="shared" si="16"/>
        <v>21.488521076390892</v>
      </c>
      <c r="BL65" s="186">
        <f t="shared" si="17"/>
        <v>0.94666666666666666</v>
      </c>
      <c r="BM65" s="186">
        <f t="shared" si="18"/>
        <v>0.1865838172854207</v>
      </c>
      <c r="BN65" s="185" t="str">
        <f t="shared" si="19"/>
        <v>OK</v>
      </c>
      <c r="BO65" s="185" cm="1">
        <f t="array" ref="BO65">_xll.DCEBoltDisRS(AN65, AE65, BA65, BB65, BC65, BD65, "h1")</f>
        <v>640</v>
      </c>
      <c r="BP65" s="185" cm="1">
        <f t="array" ref="BP65">_xll.DCEBoltDisRS(AN65, AE65, BA65, BB65, BC65, BD65, "Tong")</f>
        <v>672200</v>
      </c>
      <c r="BQ65" s="185">
        <f t="shared" si="20"/>
        <v>164.00202548783324</v>
      </c>
      <c r="BR65" s="186">
        <f t="shared" si="21"/>
        <v>1.1522692784061308</v>
      </c>
      <c r="BS65" s="185" t="str">
        <f t="shared" si="22"/>
        <v>O/S</v>
      </c>
      <c r="BT65" s="186">
        <f t="shared" si="23"/>
        <v>1.1657287822349549</v>
      </c>
      <c r="BU65" s="185" t="str">
        <f t="shared" si="24"/>
        <v>O/S</v>
      </c>
      <c r="BV65" s="190">
        <f t="shared" si="25"/>
        <v>679.9856446635406</v>
      </c>
      <c r="BW65" s="191">
        <f t="shared" si="26"/>
        <v>12.749730837441385</v>
      </c>
      <c r="BX65" s="190">
        <f t="shared" si="27"/>
        <v>339.9928223317703</v>
      </c>
      <c r="BY65" s="167">
        <f t="shared" si="28"/>
        <v>161.04923163083853</v>
      </c>
      <c r="BZ65" s="192">
        <f t="shared" si="29"/>
        <v>0.78287820931657626</v>
      </c>
      <c r="CA65" s="191">
        <f t="shared" si="30"/>
        <v>17.894359070093174</v>
      </c>
      <c r="CB65" s="193">
        <f t="shared" si="31"/>
        <v>0.14997666845145141</v>
      </c>
      <c r="CC65" s="167">
        <f t="shared" si="32"/>
        <v>164.0045099028431</v>
      </c>
      <c r="CD65" s="191">
        <f t="shared" si="33"/>
        <v>0.69325577857482001</v>
      </c>
      <c r="CE65" s="189">
        <f t="shared" si="34"/>
        <v>0.78287820931657626</v>
      </c>
      <c r="CF65" s="194" t="str">
        <f t="shared" si="35"/>
        <v>OK</v>
      </c>
      <c r="DA65" s="140"/>
      <c r="DB65" s="140"/>
      <c r="DC65" s="140"/>
      <c r="DD65" s="141"/>
      <c r="DE65" s="151"/>
      <c r="DF65" s="152"/>
      <c r="DG65" s="152"/>
      <c r="DH65" s="152"/>
      <c r="DI65" s="152"/>
      <c r="DJ65" s="152"/>
      <c r="DK65" s="161"/>
      <c r="DL65" s="162"/>
      <c r="DM65" s="162"/>
      <c r="DN65" s="162"/>
      <c r="DO65" s="162"/>
      <c r="DP65" s="162"/>
      <c r="DQ65" s="140"/>
      <c r="DR65" s="151"/>
      <c r="DS65" s="151"/>
      <c r="DT65" s="151"/>
      <c r="DU65" s="151"/>
      <c r="DV65" s="151"/>
      <c r="DW65" s="151"/>
      <c r="DX65" s="151"/>
      <c r="DY65" s="151"/>
      <c r="DZ65" s="151"/>
      <c r="EA65" s="161"/>
      <c r="EB65" s="161"/>
      <c r="EC65" s="161"/>
      <c r="ED65" s="161"/>
      <c r="EE65" s="161"/>
      <c r="EF65" s="161"/>
      <c r="EG65" s="161"/>
      <c r="EH65" s="161"/>
      <c r="EI65" s="161"/>
      <c r="EJ65" s="161"/>
      <c r="EK65" s="209"/>
      <c r="EL65" s="161"/>
      <c r="EM65" s="187"/>
      <c r="EN65" s="187"/>
      <c r="EO65" s="206"/>
      <c r="EP65" s="212"/>
      <c r="EQ65" s="208"/>
      <c r="ER65" s="187"/>
      <c r="ES65" s="187"/>
      <c r="ET65" s="187"/>
      <c r="EU65" s="187"/>
      <c r="EV65" s="210"/>
      <c r="EW65" s="209"/>
      <c r="EX65" s="210"/>
      <c r="EY65" s="162"/>
      <c r="EZ65" s="211"/>
      <c r="FA65" s="209"/>
      <c r="FB65" s="207"/>
      <c r="FC65" s="162"/>
      <c r="FD65" s="209"/>
      <c r="FE65" s="187"/>
      <c r="FF65" s="187"/>
    </row>
    <row r="66" spans="8:162">
      <c r="H66" s="6" t="s">
        <v>79</v>
      </c>
      <c r="I66" s="47"/>
      <c r="J66" s="47"/>
      <c r="K66" s="47"/>
      <c r="L66" s="47"/>
      <c r="M66" s="47"/>
      <c r="N66" s="48"/>
      <c r="O66" s="49"/>
      <c r="P66" s="47"/>
      <c r="Q66" s="50"/>
      <c r="R66" s="50"/>
      <c r="S66" s="5"/>
      <c r="AA66" s="140" t="s">
        <v>210</v>
      </c>
      <c r="AB66" s="140" t="s">
        <v>237</v>
      </c>
      <c r="AC66" s="140">
        <v>44</v>
      </c>
      <c r="AD66" s="141">
        <v>3</v>
      </c>
      <c r="AE66" s="151">
        <v>500</v>
      </c>
      <c r="AF66" s="152">
        <v>300</v>
      </c>
      <c r="AG66" s="152">
        <v>10</v>
      </c>
      <c r="AH66" s="152">
        <v>14</v>
      </c>
      <c r="AI66" s="152">
        <v>472</v>
      </c>
      <c r="AJ66" s="153" t="str" cm="1">
        <f t="array" ref="AJ66">_xll.Dce_Name_SectI(AE66, AE66, AF66, AG66, AH66, "x", "-", "H Tổng")</f>
        <v>500x300x10x14</v>
      </c>
      <c r="AK66" s="161">
        <f t="shared" si="6"/>
        <v>760</v>
      </c>
      <c r="AL66" s="162" cm="1">
        <f t="array" ref="AL66">IFERROR(INDEX($B$25:$B$32,IFERROR(MATCH(AF66,$B$25:$B$32,0),MATCH(AF66,$B$25:$B$32,1)+1)),$B$25)</f>
        <v>300</v>
      </c>
      <c r="AM66" s="162" cm="1">
        <f t="array" ref="AM66">IFERROR(VLOOKUP(AE66,$B$36:$E$47,4,FALSE),INDEX($E$36:$E$47,MATCH(AE66,$B$36:$B$47,1)+1))</f>
        <v>25</v>
      </c>
      <c r="AN66" s="162" cm="1">
        <f t="array" ref="AN66">IFERROR(VLOOKUP(AE66,$B$36:$E$47,2,FALSE),INDEX($C$36:$C$47,MATCH(AE66,$B$36:$B$47,1)+1))</f>
        <v>8</v>
      </c>
      <c r="AO66" s="162" cm="1">
        <f t="array" ref="AO66">IFERROR(VLOOKUP(AE66,$B$36:$E$47,3,FALSE),INDEX($D$36:$D$47,MATCH(AE66,$B$36:$B$47,1)+1))</f>
        <v>24</v>
      </c>
      <c r="AP66" s="163" t="str">
        <f t="shared" si="7"/>
        <v>760x300x25 + 8M24</v>
      </c>
      <c r="AQ66" s="140" t="s">
        <v>263</v>
      </c>
      <c r="AR66" s="151">
        <v>0</v>
      </c>
      <c r="AS66" s="151">
        <v>-116.44312292737058</v>
      </c>
      <c r="AT66" s="151">
        <v>-2.9995135264471167E-13</v>
      </c>
      <c r="AU66" s="151">
        <v>-1.5993293767208397E-3</v>
      </c>
      <c r="AV66" s="151">
        <v>3.0180126486811778E-13</v>
      </c>
      <c r="AW66" s="151">
        <v>63.902698812822969</v>
      </c>
      <c r="BA66" s="161">
        <f t="shared" si="8"/>
        <v>60</v>
      </c>
      <c r="BB66" s="161">
        <f t="shared" si="9"/>
        <v>70</v>
      </c>
      <c r="BC66" s="161">
        <f t="shared" si="10"/>
        <v>80</v>
      </c>
      <c r="BD66" s="161">
        <f t="shared" si="11"/>
        <v>150</v>
      </c>
      <c r="BE66" s="161">
        <f>HLOOKUP(AO66,Data!$H$31:$Q$35,3,FALSE)</f>
        <v>452.38934211693021</v>
      </c>
      <c r="BF66" s="161">
        <f>HLOOKUP(AO66,Data!$H$31:$Q$35,4,FALSE)</f>
        <v>353</v>
      </c>
      <c r="BG66" s="179">
        <f t="shared" si="12"/>
        <v>150</v>
      </c>
      <c r="BH66" s="185">
        <f t="shared" si="13"/>
        <v>121.65654188208487</v>
      </c>
      <c r="BI66" s="185">
        <f t="shared" si="14"/>
        <v>243</v>
      </c>
      <c r="BJ66" s="185">
        <f t="shared" si="15"/>
        <v>142.3296</v>
      </c>
      <c r="BK66" s="185">
        <f t="shared" si="16"/>
        <v>14.483154732115899</v>
      </c>
      <c r="BL66" s="186">
        <f t="shared" si="17"/>
        <v>0.94666666666666666</v>
      </c>
      <c r="BM66" s="186">
        <f t="shared" si="18"/>
        <v>0.1257565509811929</v>
      </c>
      <c r="BN66" s="185" t="str">
        <f t="shared" si="19"/>
        <v>OK</v>
      </c>
      <c r="BO66" s="185" cm="1">
        <f t="array" ref="BO66">_xll.DCEBoltDisRS(AN66, AE66, BA66, BB66, BC66, BD66, "h1")</f>
        <v>640</v>
      </c>
      <c r="BP66" s="185" cm="1">
        <f t="array" ref="BP66">_xll.DCEBoltDisRS(AN66, AE66, BA66, BB66, BC66, BD66, "Tong")</f>
        <v>672200</v>
      </c>
      <c r="BQ66" s="185">
        <f t="shared" si="20"/>
        <v>31.869118240398961</v>
      </c>
      <c r="BR66" s="186">
        <f t="shared" si="21"/>
        <v>0.22391068506058445</v>
      </c>
      <c r="BS66" s="185" t="str">
        <f t="shared" si="22"/>
        <v>OK</v>
      </c>
      <c r="BT66" s="186">
        <f t="shared" si="23"/>
        <v>0.25359177165491537</v>
      </c>
      <c r="BU66" s="185" t="str">
        <f t="shared" si="24"/>
        <v>OK</v>
      </c>
      <c r="BV66" s="190">
        <f t="shared" si="25"/>
        <v>127.80539762564594</v>
      </c>
      <c r="BW66" s="191">
        <f t="shared" si="26"/>
        <v>2.3963512054808613</v>
      </c>
      <c r="BX66" s="190">
        <f t="shared" si="27"/>
        <v>63.902698812822969</v>
      </c>
      <c r="BY66" s="167">
        <f t="shared" si="28"/>
        <v>30.269699437652982</v>
      </c>
      <c r="BZ66" s="192">
        <f t="shared" si="29"/>
        <v>0.14714437226636867</v>
      </c>
      <c r="CA66" s="191">
        <f t="shared" si="30"/>
        <v>3.3632999375169983</v>
      </c>
      <c r="CB66" s="193">
        <f t="shared" si="31"/>
        <v>2.8188577062522736E-2</v>
      </c>
      <c r="CC66" s="167">
        <f t="shared" si="32"/>
        <v>30.825153097023783</v>
      </c>
      <c r="CD66" s="191">
        <f t="shared" si="33"/>
        <v>0.13029956019273339</v>
      </c>
      <c r="CE66" s="189">
        <f t="shared" si="34"/>
        <v>0.14714437226636867</v>
      </c>
      <c r="CF66" s="194" t="str">
        <f t="shared" si="35"/>
        <v>OK</v>
      </c>
      <c r="DA66" s="140"/>
      <c r="DB66" s="140"/>
      <c r="DC66" s="140"/>
      <c r="DD66" s="141"/>
      <c r="DE66" s="151"/>
      <c r="DF66" s="152"/>
      <c r="DG66" s="152"/>
      <c r="DH66" s="152"/>
      <c r="DI66" s="152"/>
      <c r="DJ66" s="152"/>
      <c r="DK66" s="161"/>
      <c r="DL66" s="162"/>
      <c r="DM66" s="162"/>
      <c r="DN66" s="162"/>
      <c r="DO66" s="162"/>
      <c r="DP66" s="162"/>
      <c r="DQ66" s="140"/>
      <c r="DR66" s="151"/>
      <c r="DS66" s="151"/>
      <c r="DT66" s="151"/>
      <c r="DU66" s="151"/>
      <c r="DV66" s="151"/>
      <c r="DW66" s="151"/>
      <c r="DX66" s="151"/>
      <c r="DY66" s="151"/>
      <c r="DZ66" s="151"/>
      <c r="EA66" s="161"/>
      <c r="EB66" s="161"/>
      <c r="EC66" s="161"/>
      <c r="ED66" s="161"/>
      <c r="EE66" s="161"/>
      <c r="EF66" s="161"/>
      <c r="EG66" s="161"/>
      <c r="EH66" s="161"/>
      <c r="EI66" s="161"/>
      <c r="EJ66" s="161"/>
      <c r="EK66" s="209"/>
      <c r="EL66" s="161"/>
      <c r="EM66" s="187"/>
      <c r="EN66" s="187"/>
      <c r="EO66" s="206"/>
      <c r="EP66" s="212"/>
      <c r="EQ66" s="208"/>
      <c r="ER66" s="187"/>
      <c r="ES66" s="187"/>
      <c r="ET66" s="187"/>
      <c r="EU66" s="187"/>
      <c r="EV66" s="210"/>
      <c r="EW66" s="209"/>
      <c r="EX66" s="210"/>
      <c r="EY66" s="162"/>
      <c r="EZ66" s="211"/>
      <c r="FA66" s="209"/>
      <c r="FB66" s="207"/>
      <c r="FC66" s="162"/>
      <c r="FD66" s="209"/>
      <c r="FE66" s="187"/>
      <c r="FF66" s="187"/>
    </row>
    <row r="67" spans="8:162" ht="14.25">
      <c r="H67" s="7" t="str">
        <f>"- Khả năng chịu cắt của 1 bu lông:"</f>
        <v>- Khả năng chịu cắt của 1 bu lông:</v>
      </c>
      <c r="I67" s="70"/>
      <c r="J67" s="70"/>
      <c r="K67" s="55"/>
      <c r="L67" s="69"/>
      <c r="M67" s="64"/>
      <c r="N67" s="50"/>
      <c r="O67" s="50"/>
      <c r="P67" s="50"/>
      <c r="Q67" s="55" t="s">
        <v>80</v>
      </c>
      <c r="R67" s="71">
        <f>R17*R21*R23*R24*R25/1000</f>
        <v>121.65654188208487</v>
      </c>
      <c r="S67" s="9" t="s">
        <v>20</v>
      </c>
      <c r="AA67" s="140" t="s">
        <v>210</v>
      </c>
      <c r="AB67" s="140" t="s">
        <v>237</v>
      </c>
      <c r="AC67" s="140">
        <v>44</v>
      </c>
      <c r="AD67" s="141">
        <v>0.3</v>
      </c>
      <c r="AE67" s="151">
        <v>500</v>
      </c>
      <c r="AF67" s="152">
        <v>300</v>
      </c>
      <c r="AG67" s="152">
        <v>10</v>
      </c>
      <c r="AH67" s="152">
        <v>14</v>
      </c>
      <c r="AI67" s="152">
        <v>472</v>
      </c>
      <c r="AJ67" s="153" t="str" cm="1">
        <f t="array" ref="AJ67">_xll.Dce_Name_SectI(AE67, AE67, AF67, AG67, AH67, "x", "-", "H Tổng")</f>
        <v>500x300x10x14</v>
      </c>
      <c r="AK67" s="161">
        <f t="shared" si="6"/>
        <v>760</v>
      </c>
      <c r="AL67" s="162" cm="1">
        <f t="array" ref="AL67">IFERROR(INDEX($B$25:$B$32,IFERROR(MATCH(AF67,$B$25:$B$32,0),MATCH(AF67,$B$25:$B$32,1)+1)),$B$25)</f>
        <v>300</v>
      </c>
      <c r="AM67" s="162" cm="1">
        <f t="array" ref="AM67">IFERROR(VLOOKUP(AE67,$B$36:$E$47,4,FALSE),INDEX($E$36:$E$47,MATCH(AE67,$B$36:$B$47,1)+1))</f>
        <v>25</v>
      </c>
      <c r="AN67" s="162" cm="1">
        <f t="array" ref="AN67">IFERROR(VLOOKUP(AE67,$B$36:$E$47,2,FALSE),INDEX($C$36:$C$47,MATCH(AE67,$B$36:$B$47,1)+1))</f>
        <v>8</v>
      </c>
      <c r="AO67" s="162" cm="1">
        <f t="array" ref="AO67">IFERROR(VLOOKUP(AE67,$B$36:$E$47,3,FALSE),INDEX($D$36:$D$47,MATCH(AE67,$B$36:$B$47,1)+1))</f>
        <v>24</v>
      </c>
      <c r="AP67" s="163" t="str">
        <f t="shared" si="7"/>
        <v>760x300x25 + 8M24</v>
      </c>
      <c r="AQ67" s="140" t="s">
        <v>264</v>
      </c>
      <c r="AR67" s="151">
        <v>0</v>
      </c>
      <c r="AS67" s="151">
        <v>-171.74327257429215</v>
      </c>
      <c r="AT67" s="151">
        <v>-8.753886504564432E-14</v>
      </c>
      <c r="AU67" s="151">
        <v>-1.5949879179040611E-3</v>
      </c>
      <c r="AV67" s="151">
        <v>-2.3717684598523185E-13</v>
      </c>
      <c r="AW67" s="151">
        <v>-327.89615736151427</v>
      </c>
      <c r="BA67" s="161">
        <f t="shared" si="8"/>
        <v>60</v>
      </c>
      <c r="BB67" s="161">
        <f t="shared" si="9"/>
        <v>70</v>
      </c>
      <c r="BC67" s="161">
        <f t="shared" si="10"/>
        <v>80</v>
      </c>
      <c r="BD67" s="161">
        <f t="shared" si="11"/>
        <v>150</v>
      </c>
      <c r="BE67" s="161">
        <f>HLOOKUP(AO67,Data!$H$31:$Q$35,3,FALSE)</f>
        <v>452.38934211693021</v>
      </c>
      <c r="BF67" s="161">
        <f>HLOOKUP(AO67,Data!$H$31:$Q$35,4,FALSE)</f>
        <v>353</v>
      </c>
      <c r="BG67" s="179">
        <f t="shared" si="12"/>
        <v>150</v>
      </c>
      <c r="BH67" s="185">
        <f t="shared" si="13"/>
        <v>121.65654188208487</v>
      </c>
      <c r="BI67" s="185">
        <f t="shared" si="14"/>
        <v>243</v>
      </c>
      <c r="BJ67" s="185">
        <f t="shared" si="15"/>
        <v>142.3296</v>
      </c>
      <c r="BK67" s="185">
        <f t="shared" si="16"/>
        <v>21.361367922473995</v>
      </c>
      <c r="BL67" s="186">
        <f t="shared" si="17"/>
        <v>0.94666666666666666</v>
      </c>
      <c r="BM67" s="186">
        <f t="shared" si="18"/>
        <v>0.18547975243361658</v>
      </c>
      <c r="BN67" s="185" t="str">
        <f t="shared" si="19"/>
        <v>OK</v>
      </c>
      <c r="BO67" s="185" cm="1">
        <f t="array" ref="BO67">_xll.DCEBoltDisRS(AN67, AE67, BA67, BB67, BC67, BD67, "h1")</f>
        <v>640</v>
      </c>
      <c r="BP67" s="185" cm="1">
        <f t="array" ref="BP67">_xll.DCEBoltDisRS(AN67, AE67, BA67, BB67, BC67, BD67, "Tong")</f>
        <v>672200</v>
      </c>
      <c r="BQ67" s="185">
        <f t="shared" si="20"/>
        <v>158.23070738981448</v>
      </c>
      <c r="BR67" s="186">
        <f t="shared" si="21"/>
        <v>1.1117203124986965</v>
      </c>
      <c r="BS67" s="185" t="str">
        <f t="shared" si="22"/>
        <v>O/S</v>
      </c>
      <c r="BT67" s="186">
        <f t="shared" si="23"/>
        <v>1.1255012319037734</v>
      </c>
      <c r="BU67" s="185" t="str">
        <f t="shared" si="24"/>
        <v>O/S</v>
      </c>
      <c r="BV67" s="190">
        <f t="shared" si="25"/>
        <v>655.79231472302854</v>
      </c>
      <c r="BW67" s="191">
        <f t="shared" si="26"/>
        <v>12.296105901056785</v>
      </c>
      <c r="BX67" s="190">
        <f t="shared" si="27"/>
        <v>327.89615736151427</v>
      </c>
      <c r="BY67" s="167">
        <f t="shared" si="28"/>
        <v>155.3192324344015</v>
      </c>
      <c r="BZ67" s="192">
        <f t="shared" si="29"/>
        <v>0.75502404655611843</v>
      </c>
      <c r="CA67" s="191">
        <f t="shared" si="30"/>
        <v>17.257692492711278</v>
      </c>
      <c r="CB67" s="193">
        <f t="shared" si="31"/>
        <v>0.14464062194561658</v>
      </c>
      <c r="CC67" s="167">
        <f t="shared" si="32"/>
        <v>158.16936433624113</v>
      </c>
      <c r="CD67" s="191">
        <f t="shared" si="33"/>
        <v>0.66859030818459431</v>
      </c>
      <c r="CE67" s="189">
        <f t="shared" si="34"/>
        <v>0.75502404655611843</v>
      </c>
      <c r="CF67" s="194" t="str">
        <f t="shared" si="35"/>
        <v>OK</v>
      </c>
      <c r="DA67" s="140"/>
      <c r="DB67" s="140"/>
      <c r="DC67" s="140"/>
      <c r="DD67" s="141"/>
      <c r="DE67" s="151"/>
      <c r="DF67" s="152"/>
      <c r="DG67" s="152"/>
      <c r="DH67" s="152"/>
      <c r="DI67" s="152"/>
      <c r="DJ67" s="152"/>
      <c r="DK67" s="161"/>
      <c r="DL67" s="162"/>
      <c r="DM67" s="162"/>
      <c r="DN67" s="162"/>
      <c r="DO67" s="162"/>
      <c r="DP67" s="162"/>
      <c r="DQ67" s="140"/>
      <c r="DR67" s="151"/>
      <c r="DS67" s="151"/>
      <c r="DT67" s="151"/>
      <c r="DU67" s="151"/>
      <c r="DV67" s="151"/>
      <c r="DW67" s="151"/>
      <c r="DX67" s="151"/>
      <c r="DY67" s="151"/>
      <c r="DZ67" s="151"/>
      <c r="EA67" s="161"/>
      <c r="EB67" s="161"/>
      <c r="EC67" s="161"/>
      <c r="ED67" s="161"/>
      <c r="EE67" s="161"/>
      <c r="EF67" s="161"/>
      <c r="EG67" s="161"/>
      <c r="EH67" s="161"/>
      <c r="EI67" s="161"/>
      <c r="EJ67" s="161"/>
      <c r="EK67" s="209"/>
      <c r="EL67" s="161"/>
      <c r="EM67" s="187"/>
      <c r="EN67" s="187"/>
      <c r="EO67" s="206"/>
      <c r="EP67" s="212"/>
      <c r="EQ67" s="208"/>
      <c r="ER67" s="187"/>
      <c r="ES67" s="187"/>
      <c r="ET67" s="187"/>
      <c r="EU67" s="187"/>
      <c r="EV67" s="210"/>
      <c r="EW67" s="209"/>
      <c r="EX67" s="210"/>
      <c r="EY67" s="162"/>
      <c r="EZ67" s="211"/>
      <c r="FA67" s="209"/>
      <c r="FB67" s="207"/>
      <c r="FC67" s="162"/>
      <c r="FD67" s="209"/>
      <c r="FE67" s="187"/>
      <c r="FF67" s="187"/>
    </row>
    <row r="68" spans="8:162" ht="14.25">
      <c r="H68" s="7" t="str">
        <f>"- Khả năng chịu ép mặt của 1 bu lông:"</f>
        <v>- Khả năng chịu ép mặt của 1 bu lông:</v>
      </c>
      <c r="I68" s="70"/>
      <c r="J68" s="70"/>
      <c r="K68" s="55"/>
      <c r="L68" s="69"/>
      <c r="M68" s="59"/>
      <c r="N68" s="52"/>
      <c r="O68" s="52"/>
      <c r="P68" s="50"/>
      <c r="Q68" s="55" t="s">
        <v>82</v>
      </c>
      <c r="R68" s="71">
        <f>R19*R20*R50*R24*R25/1000</f>
        <v>243</v>
      </c>
      <c r="S68" s="9" t="s">
        <v>20</v>
      </c>
      <c r="AA68" s="140" t="s">
        <v>210</v>
      </c>
      <c r="AB68" s="140" t="s">
        <v>237</v>
      </c>
      <c r="AC68" s="140">
        <v>44</v>
      </c>
      <c r="AD68" s="141">
        <v>3</v>
      </c>
      <c r="AE68" s="151">
        <v>500</v>
      </c>
      <c r="AF68" s="152">
        <v>300</v>
      </c>
      <c r="AG68" s="152">
        <v>10</v>
      </c>
      <c r="AH68" s="152">
        <v>14</v>
      </c>
      <c r="AI68" s="152">
        <v>472</v>
      </c>
      <c r="AJ68" s="153" t="str" cm="1">
        <f t="array" ref="AJ68">_xll.Dce_Name_SectI(AE68, AE68, AF68, AG68, AH68, "x", "-", "H Tổng")</f>
        <v>500x300x10x14</v>
      </c>
      <c r="AK68" s="161">
        <f t="shared" si="6"/>
        <v>760</v>
      </c>
      <c r="AL68" s="162" cm="1">
        <f t="array" ref="AL68">IFERROR(INDEX($B$25:$B$32,IFERROR(MATCH(AF68,$B$25:$B$32,0),MATCH(AF68,$B$25:$B$32,1)+1)),$B$25)</f>
        <v>300</v>
      </c>
      <c r="AM68" s="162" cm="1">
        <f t="array" ref="AM68">IFERROR(VLOOKUP(AE68,$B$36:$E$47,4,FALSE),INDEX($E$36:$E$47,MATCH(AE68,$B$36:$B$47,1)+1))</f>
        <v>25</v>
      </c>
      <c r="AN68" s="162" cm="1">
        <f t="array" ref="AN68">IFERROR(VLOOKUP(AE68,$B$36:$E$47,2,FALSE),INDEX($C$36:$C$47,MATCH(AE68,$B$36:$B$47,1)+1))</f>
        <v>8</v>
      </c>
      <c r="AO68" s="162" cm="1">
        <f t="array" ref="AO68">IFERROR(VLOOKUP(AE68,$B$36:$E$47,3,FALSE),INDEX($D$36:$D$47,MATCH(AE68,$B$36:$B$47,1)+1))</f>
        <v>24</v>
      </c>
      <c r="AP68" s="163" t="str">
        <f t="shared" si="7"/>
        <v>760x300x25 + 8M24</v>
      </c>
      <c r="AQ68" s="140" t="s">
        <v>264</v>
      </c>
      <c r="AR68" s="151">
        <v>0</v>
      </c>
      <c r="AS68" s="151">
        <v>-115.42082295591801</v>
      </c>
      <c r="AT68" s="151">
        <v>-1.835360308177769E-13</v>
      </c>
      <c r="AU68" s="151">
        <v>-1.594508697703153E-3</v>
      </c>
      <c r="AV68" s="151">
        <v>1.7490856407675888E-13</v>
      </c>
      <c r="AW68" s="151">
        <v>73.239081252014884</v>
      </c>
      <c r="BA68" s="161">
        <f t="shared" si="8"/>
        <v>60</v>
      </c>
      <c r="BB68" s="161">
        <f t="shared" si="9"/>
        <v>70</v>
      </c>
      <c r="BC68" s="161">
        <f t="shared" si="10"/>
        <v>80</v>
      </c>
      <c r="BD68" s="161">
        <f t="shared" si="11"/>
        <v>150</v>
      </c>
      <c r="BE68" s="161">
        <f>HLOOKUP(AO68,Data!$H$31:$Q$35,3,FALSE)</f>
        <v>452.38934211693021</v>
      </c>
      <c r="BF68" s="161">
        <f>HLOOKUP(AO68,Data!$H$31:$Q$35,4,FALSE)</f>
        <v>353</v>
      </c>
      <c r="BG68" s="179">
        <f t="shared" si="12"/>
        <v>150</v>
      </c>
      <c r="BH68" s="185">
        <f t="shared" si="13"/>
        <v>121.65654188208487</v>
      </c>
      <c r="BI68" s="185">
        <f t="shared" si="14"/>
        <v>243</v>
      </c>
      <c r="BJ68" s="185">
        <f t="shared" si="15"/>
        <v>142.3296</v>
      </c>
      <c r="BK68" s="185">
        <f t="shared" si="16"/>
        <v>14.356001420722659</v>
      </c>
      <c r="BL68" s="186">
        <f t="shared" si="17"/>
        <v>0.94666666666666666</v>
      </c>
      <c r="BM68" s="186">
        <f t="shared" si="18"/>
        <v>0.1246524847620291</v>
      </c>
      <c r="BN68" s="185" t="str">
        <f t="shared" si="19"/>
        <v>OK</v>
      </c>
      <c r="BO68" s="185" cm="1">
        <f t="array" ref="BO68">_xll.DCEBoltDisRS(AN68, AE68, BA68, BB68, BC68, BD68, "h1")</f>
        <v>640</v>
      </c>
      <c r="BP68" s="185" cm="1">
        <f t="array" ref="BP68">_xll.DCEBoltDisRS(AN68, AE68, BA68, BB68, BC68, BD68, "Tong")</f>
        <v>672200</v>
      </c>
      <c r="BQ68" s="185">
        <f t="shared" si="20"/>
        <v>36.300976519110002</v>
      </c>
      <c r="BR68" s="186">
        <f t="shared" si="21"/>
        <v>0.25504867939704745</v>
      </c>
      <c r="BS68" s="185" t="str">
        <f t="shared" si="22"/>
        <v>OK</v>
      </c>
      <c r="BT68" s="186">
        <f t="shared" si="23"/>
        <v>0.2810246537407125</v>
      </c>
      <c r="BU68" s="185" t="str">
        <f t="shared" si="24"/>
        <v>OK</v>
      </c>
      <c r="BV68" s="190">
        <f t="shared" si="25"/>
        <v>146.47816250402977</v>
      </c>
      <c r="BW68" s="191">
        <f t="shared" si="26"/>
        <v>2.7464655469505579</v>
      </c>
      <c r="BX68" s="190">
        <f t="shared" si="27"/>
        <v>73.239081252014884</v>
      </c>
      <c r="BY68" s="167">
        <f t="shared" si="28"/>
        <v>34.692196382533361</v>
      </c>
      <c r="BZ68" s="192">
        <f t="shared" si="29"/>
        <v>0.16864262130398164</v>
      </c>
      <c r="CA68" s="191">
        <f t="shared" si="30"/>
        <v>3.8546884869481519</v>
      </c>
      <c r="CB68" s="193">
        <f t="shared" si="31"/>
        <v>3.2307015575475412E-2</v>
      </c>
      <c r="CC68" s="167">
        <f t="shared" si="32"/>
        <v>35.328803543829395</v>
      </c>
      <c r="CD68" s="191">
        <f t="shared" si="33"/>
        <v>0.14933672995580061</v>
      </c>
      <c r="CE68" s="189">
        <f t="shared" si="34"/>
        <v>0.16864262130398164</v>
      </c>
      <c r="CF68" s="194" t="str">
        <f t="shared" si="35"/>
        <v>OK</v>
      </c>
      <c r="DA68" s="140"/>
      <c r="DB68" s="140"/>
      <c r="DC68" s="140"/>
      <c r="DD68" s="141"/>
      <c r="DE68" s="151"/>
      <c r="DF68" s="152"/>
      <c r="DG68" s="152"/>
      <c r="DH68" s="152"/>
      <c r="DI68" s="152"/>
      <c r="DJ68" s="152"/>
      <c r="DK68" s="161"/>
      <c r="DL68" s="162"/>
      <c r="DM68" s="162"/>
      <c r="DN68" s="162"/>
      <c r="DO68" s="162"/>
      <c r="DP68" s="162"/>
      <c r="DQ68" s="140"/>
      <c r="DR68" s="151"/>
      <c r="DS68" s="151"/>
      <c r="DT68" s="151"/>
      <c r="DU68" s="151"/>
      <c r="DV68" s="151"/>
      <c r="DW68" s="151"/>
      <c r="DX68" s="151"/>
      <c r="DY68" s="151"/>
      <c r="DZ68" s="151"/>
      <c r="EA68" s="161"/>
      <c r="EB68" s="161"/>
      <c r="EC68" s="161"/>
      <c r="ED68" s="161"/>
      <c r="EE68" s="161"/>
      <c r="EF68" s="161"/>
      <c r="EG68" s="161"/>
      <c r="EH68" s="161"/>
      <c r="EI68" s="161"/>
      <c r="EJ68" s="161"/>
      <c r="EK68" s="209"/>
      <c r="EL68" s="161"/>
      <c r="EM68" s="187"/>
      <c r="EN68" s="187"/>
      <c r="EO68" s="206"/>
      <c r="EP68" s="212"/>
      <c r="EQ68" s="208"/>
      <c r="ER68" s="187"/>
      <c r="ES68" s="187"/>
      <c r="ET68" s="187"/>
      <c r="EU68" s="187"/>
      <c r="EV68" s="210"/>
      <c r="EW68" s="209"/>
      <c r="EX68" s="210"/>
      <c r="EY68" s="162"/>
      <c r="EZ68" s="211"/>
      <c r="FA68" s="209"/>
      <c r="FB68" s="207"/>
      <c r="FC68" s="162"/>
      <c r="FD68" s="209"/>
      <c r="FE68" s="187"/>
      <c r="FF68" s="187"/>
    </row>
    <row r="69" spans="8:162" ht="14.25">
      <c r="H69" s="7" t="str">
        <f>"- Khả năng chịu kéo của 1 bu lông:"</f>
        <v>- Khả năng chịu kéo của 1 bu lông:</v>
      </c>
      <c r="I69" s="70"/>
      <c r="J69" s="70"/>
      <c r="K69" s="55"/>
      <c r="L69" s="69"/>
      <c r="M69" s="59"/>
      <c r="N69" s="52"/>
      <c r="O69" s="52"/>
      <c r="P69" s="50"/>
      <c r="Q69" s="55" t="s">
        <v>103</v>
      </c>
      <c r="R69" s="71">
        <f>R18*R22*R24/1000</f>
        <v>142.3296</v>
      </c>
      <c r="S69" s="9" t="s">
        <v>20</v>
      </c>
      <c r="AA69" s="140" t="s">
        <v>210</v>
      </c>
      <c r="AB69" s="140" t="s">
        <v>237</v>
      </c>
      <c r="AC69" s="140">
        <v>44</v>
      </c>
      <c r="AD69" s="141">
        <v>0.3</v>
      </c>
      <c r="AE69" s="151">
        <v>500</v>
      </c>
      <c r="AF69" s="152">
        <v>300</v>
      </c>
      <c r="AG69" s="152">
        <v>10</v>
      </c>
      <c r="AH69" s="152">
        <v>14</v>
      </c>
      <c r="AI69" s="152">
        <v>472</v>
      </c>
      <c r="AJ69" s="153" t="str" cm="1">
        <f t="array" ref="AJ69">_xll.Dce_Name_SectI(AE69, AE69, AF69, AG69, AH69, "x", "-", "H Tổng")</f>
        <v>500x300x10x14</v>
      </c>
      <c r="AK69" s="161">
        <f t="shared" si="6"/>
        <v>760</v>
      </c>
      <c r="AL69" s="162" cm="1">
        <f t="array" ref="AL69">IFERROR(INDEX($B$25:$B$32,IFERROR(MATCH(AF69,$B$25:$B$32,0),MATCH(AF69,$B$25:$B$32,1)+1)),$B$25)</f>
        <v>300</v>
      </c>
      <c r="AM69" s="162" cm="1">
        <f t="array" ref="AM69">IFERROR(VLOOKUP(AE69,$B$36:$E$47,4,FALSE),INDEX($E$36:$E$47,MATCH(AE69,$B$36:$B$47,1)+1))</f>
        <v>25</v>
      </c>
      <c r="AN69" s="162" cm="1">
        <f t="array" ref="AN69">IFERROR(VLOOKUP(AE69,$B$36:$E$47,2,FALSE),INDEX($C$36:$C$47,MATCH(AE69,$B$36:$B$47,1)+1))</f>
        <v>8</v>
      </c>
      <c r="AO69" s="162" cm="1">
        <f t="array" ref="AO69">IFERROR(VLOOKUP(AE69,$B$36:$E$47,3,FALSE),INDEX($D$36:$D$47,MATCH(AE69,$B$36:$B$47,1)+1))</f>
        <v>24</v>
      </c>
      <c r="AP69" s="163" t="str">
        <f t="shared" si="7"/>
        <v>760x300x25 + 8M24</v>
      </c>
      <c r="AQ69" s="140" t="s">
        <v>265</v>
      </c>
      <c r="AR69" s="151">
        <v>0</v>
      </c>
      <c r="AS69" s="151">
        <v>-170.18729442137959</v>
      </c>
      <c r="AT69" s="151">
        <v>-1.1527845344971863E-13</v>
      </c>
      <c r="AU69" s="151">
        <v>-1.5232627777276406E-3</v>
      </c>
      <c r="AV69" s="151">
        <v>-2.3146067178458901E-13</v>
      </c>
      <c r="AW69" s="151">
        <v>-329.94204778822791</v>
      </c>
      <c r="BA69" s="161">
        <f t="shared" si="8"/>
        <v>60</v>
      </c>
      <c r="BB69" s="161">
        <f t="shared" si="9"/>
        <v>70</v>
      </c>
      <c r="BC69" s="161">
        <f t="shared" si="10"/>
        <v>80</v>
      </c>
      <c r="BD69" s="161">
        <f t="shared" si="11"/>
        <v>150</v>
      </c>
      <c r="BE69" s="161">
        <f>HLOOKUP(AO69,Data!$H$31:$Q$35,3,FALSE)</f>
        <v>452.38934211693021</v>
      </c>
      <c r="BF69" s="161">
        <f>HLOOKUP(AO69,Data!$H$31:$Q$35,4,FALSE)</f>
        <v>353</v>
      </c>
      <c r="BG69" s="179">
        <f t="shared" si="12"/>
        <v>150</v>
      </c>
      <c r="BH69" s="185">
        <f t="shared" si="13"/>
        <v>121.65654188208487</v>
      </c>
      <c r="BI69" s="185">
        <f t="shared" si="14"/>
        <v>243</v>
      </c>
      <c r="BJ69" s="185">
        <f t="shared" si="15"/>
        <v>142.3296</v>
      </c>
      <c r="BK69" s="185">
        <f t="shared" si="16"/>
        <v>21.167835906311215</v>
      </c>
      <c r="BL69" s="186">
        <f t="shared" si="17"/>
        <v>0.94666666666666666</v>
      </c>
      <c r="BM69" s="186">
        <f t="shared" si="18"/>
        <v>0.18379932304463137</v>
      </c>
      <c r="BN69" s="185" t="str">
        <f t="shared" si="19"/>
        <v>OK</v>
      </c>
      <c r="BO69" s="185" cm="1">
        <f t="array" ref="BO69">_xll.DCEBoltDisRS(AN69, AE69, BA69, BB69, BC69, BD69, "h1")</f>
        <v>640</v>
      </c>
      <c r="BP69" s="185" cm="1">
        <f t="array" ref="BP69">_xll.DCEBoltDisRS(AN69, AE69, BA69, BB69, BC69, BD69, "Tong")</f>
        <v>672200</v>
      </c>
      <c r="BQ69" s="185">
        <f t="shared" si="20"/>
        <v>159.18529786054026</v>
      </c>
      <c r="BR69" s="186">
        <f t="shared" si="21"/>
        <v>1.1184272130360815</v>
      </c>
      <c r="BS69" s="185" t="str">
        <f t="shared" si="22"/>
        <v>O/S</v>
      </c>
      <c r="BT69" s="186">
        <f t="shared" si="23"/>
        <v>1.1318808593904306</v>
      </c>
      <c r="BU69" s="185" t="str">
        <f t="shared" si="24"/>
        <v>O/S</v>
      </c>
      <c r="BV69" s="190">
        <f t="shared" si="25"/>
        <v>659.88409557645582</v>
      </c>
      <c r="BW69" s="191">
        <f t="shared" si="26"/>
        <v>12.372826792058547</v>
      </c>
      <c r="BX69" s="190">
        <f t="shared" si="27"/>
        <v>329.94204778822791</v>
      </c>
      <c r="BY69" s="167">
        <f t="shared" si="28"/>
        <v>156.2883384260027</v>
      </c>
      <c r="BZ69" s="192">
        <f t="shared" si="29"/>
        <v>0.75973497845973537</v>
      </c>
      <c r="CA69" s="191">
        <f t="shared" si="30"/>
        <v>17.365370936222522</v>
      </c>
      <c r="CB69" s="193">
        <f t="shared" si="31"/>
        <v>0.14554309932178838</v>
      </c>
      <c r="CC69" s="167">
        <f t="shared" si="32"/>
        <v>159.15625357245173</v>
      </c>
      <c r="CD69" s="191">
        <f t="shared" si="33"/>
        <v>0.6727619414294459</v>
      </c>
      <c r="CE69" s="189">
        <f t="shared" si="34"/>
        <v>0.75973497845973537</v>
      </c>
      <c r="CF69" s="194" t="str">
        <f t="shared" si="35"/>
        <v>OK</v>
      </c>
      <c r="DA69" s="140"/>
      <c r="DB69" s="140"/>
      <c r="DC69" s="140"/>
      <c r="DD69" s="141"/>
      <c r="DE69" s="151"/>
      <c r="DF69" s="152"/>
      <c r="DG69" s="152"/>
      <c r="DH69" s="152"/>
      <c r="DI69" s="152"/>
      <c r="DJ69" s="152"/>
      <c r="DK69" s="161"/>
      <c r="DL69" s="162"/>
      <c r="DM69" s="162"/>
      <c r="DN69" s="162"/>
      <c r="DO69" s="162"/>
      <c r="DP69" s="162"/>
      <c r="DQ69" s="140"/>
      <c r="DR69" s="151"/>
      <c r="DS69" s="151"/>
      <c r="DT69" s="151"/>
      <c r="DU69" s="151"/>
      <c r="DV69" s="151"/>
      <c r="DW69" s="151"/>
      <c r="DX69" s="151"/>
      <c r="DY69" s="151"/>
      <c r="DZ69" s="151"/>
      <c r="EA69" s="161"/>
      <c r="EB69" s="161"/>
      <c r="EC69" s="161"/>
      <c r="ED69" s="161"/>
      <c r="EE69" s="161"/>
      <c r="EF69" s="161"/>
      <c r="EG69" s="161"/>
      <c r="EH69" s="161"/>
      <c r="EI69" s="161"/>
      <c r="EJ69" s="161"/>
      <c r="EK69" s="209"/>
      <c r="EL69" s="161"/>
      <c r="EM69" s="187"/>
      <c r="EN69" s="187"/>
      <c r="EO69" s="206"/>
      <c r="EP69" s="212"/>
      <c r="EQ69" s="208"/>
      <c r="ER69" s="187"/>
      <c r="ES69" s="187"/>
      <c r="ET69" s="187"/>
      <c r="EU69" s="187"/>
      <c r="EV69" s="210"/>
      <c r="EW69" s="209"/>
      <c r="EX69" s="210"/>
      <c r="EY69" s="162"/>
      <c r="EZ69" s="211"/>
      <c r="FA69" s="209"/>
      <c r="FB69" s="207"/>
      <c r="FC69" s="162"/>
      <c r="FD69" s="209"/>
      <c r="FE69" s="187"/>
      <c r="FF69" s="187"/>
    </row>
    <row r="70" spans="8:162">
      <c r="H70" s="6" t="s">
        <v>104</v>
      </c>
      <c r="I70" s="70"/>
      <c r="J70" s="70"/>
      <c r="K70" s="55"/>
      <c r="L70" s="69"/>
      <c r="M70" s="64"/>
      <c r="N70" s="50"/>
      <c r="O70" s="50"/>
      <c r="P70" s="50"/>
      <c r="Q70" s="55"/>
      <c r="R70" s="61"/>
      <c r="S70" s="9"/>
      <c r="AA70" s="140" t="s">
        <v>210</v>
      </c>
      <c r="AB70" s="140" t="s">
        <v>237</v>
      </c>
      <c r="AC70" s="140">
        <v>44</v>
      </c>
      <c r="AD70" s="141">
        <v>3</v>
      </c>
      <c r="AE70" s="151">
        <v>500</v>
      </c>
      <c r="AF70" s="152">
        <v>300</v>
      </c>
      <c r="AG70" s="152">
        <v>10</v>
      </c>
      <c r="AH70" s="152">
        <v>14</v>
      </c>
      <c r="AI70" s="152">
        <v>472</v>
      </c>
      <c r="AJ70" s="153" t="str" cm="1">
        <f t="array" ref="AJ70">_xll.Dce_Name_SectI(AE70, AE70, AF70, AG70, AH70, "x", "-", "H Tổng")</f>
        <v>500x300x10x14</v>
      </c>
      <c r="AK70" s="161">
        <f t="shared" si="6"/>
        <v>760</v>
      </c>
      <c r="AL70" s="162" cm="1">
        <f t="array" ref="AL70">IFERROR(INDEX($B$25:$B$32,IFERROR(MATCH(AF70,$B$25:$B$32,0),MATCH(AF70,$B$25:$B$32,1)+1)),$B$25)</f>
        <v>300</v>
      </c>
      <c r="AM70" s="162" cm="1">
        <f t="array" ref="AM70">IFERROR(VLOOKUP(AE70,$B$36:$E$47,4,FALSE),INDEX($E$36:$E$47,MATCH(AE70,$B$36:$B$47,1)+1))</f>
        <v>25</v>
      </c>
      <c r="AN70" s="162" cm="1">
        <f t="array" ref="AN70">IFERROR(VLOOKUP(AE70,$B$36:$E$47,2,FALSE),INDEX($C$36:$C$47,MATCH(AE70,$B$36:$B$47,1)+1))</f>
        <v>8</v>
      </c>
      <c r="AO70" s="162" cm="1">
        <f t="array" ref="AO70">IFERROR(VLOOKUP(AE70,$B$36:$E$47,3,FALSE),INDEX($D$36:$D$47,MATCH(AE70,$B$36:$B$47,1)+1))</f>
        <v>24</v>
      </c>
      <c r="AP70" s="163" t="str">
        <f t="shared" si="7"/>
        <v>760x300x25 + 8M24</v>
      </c>
      <c r="AQ70" s="140" t="s">
        <v>265</v>
      </c>
      <c r="AR70" s="151">
        <v>0</v>
      </c>
      <c r="AS70" s="151">
        <v>-113.86484781877729</v>
      </c>
      <c r="AT70" s="151">
        <v>-6.4392224885523308E-14</v>
      </c>
      <c r="AU70" s="151">
        <v>-1.5228045378013744E-3</v>
      </c>
      <c r="AV70" s="151">
        <v>3.991954145021736E-14</v>
      </c>
      <c r="AW70" s="151">
        <v>66.992339997435849</v>
      </c>
      <c r="BA70" s="161">
        <f t="shared" si="8"/>
        <v>60</v>
      </c>
      <c r="BB70" s="161">
        <f t="shared" si="9"/>
        <v>70</v>
      </c>
      <c r="BC70" s="161">
        <f t="shared" si="10"/>
        <v>80</v>
      </c>
      <c r="BD70" s="161">
        <f t="shared" si="11"/>
        <v>150</v>
      </c>
      <c r="BE70" s="161">
        <f>HLOOKUP(AO70,Data!$H$31:$Q$35,3,FALSE)</f>
        <v>452.38934211693021</v>
      </c>
      <c r="BF70" s="161">
        <f>HLOOKUP(AO70,Data!$H$31:$Q$35,4,FALSE)</f>
        <v>353</v>
      </c>
      <c r="BG70" s="179">
        <f t="shared" si="12"/>
        <v>150</v>
      </c>
      <c r="BH70" s="185">
        <f t="shared" si="13"/>
        <v>121.65654188208487</v>
      </c>
      <c r="BI70" s="185">
        <f t="shared" si="14"/>
        <v>243</v>
      </c>
      <c r="BJ70" s="185">
        <f t="shared" si="15"/>
        <v>142.3296</v>
      </c>
      <c r="BK70" s="185">
        <f t="shared" si="16"/>
        <v>14.162469779660521</v>
      </c>
      <c r="BL70" s="186">
        <f t="shared" si="17"/>
        <v>0.94666666666666666</v>
      </c>
      <c r="BM70" s="186">
        <f t="shared" si="18"/>
        <v>0.12297205863002511</v>
      </c>
      <c r="BN70" s="185" t="str">
        <f t="shared" si="19"/>
        <v>OK</v>
      </c>
      <c r="BO70" s="185" cm="1">
        <f t="array" ref="BO70">_xll.DCEBoltDisRS(AN70, AE70, BA70, BB70, BC70, BD70, "h1")</f>
        <v>640</v>
      </c>
      <c r="BP70" s="185" cm="1">
        <f t="array" ref="BP70">_xll.DCEBoltDisRS(AN70, AE70, BA70, BB70, BC70, BD70, "Tong")</f>
        <v>672200</v>
      </c>
      <c r="BQ70" s="185">
        <f t="shared" si="20"/>
        <v>33.307869708075351</v>
      </c>
      <c r="BR70" s="186">
        <f t="shared" si="21"/>
        <v>0.23401927433278358</v>
      </c>
      <c r="BS70" s="185" t="str">
        <f t="shared" si="22"/>
        <v>OK</v>
      </c>
      <c r="BT70" s="186">
        <f t="shared" si="23"/>
        <v>0.26137546769337983</v>
      </c>
      <c r="BU70" s="185" t="str">
        <f t="shared" si="24"/>
        <v>OK</v>
      </c>
      <c r="BV70" s="190">
        <f t="shared" si="25"/>
        <v>133.9846799948717</v>
      </c>
      <c r="BW70" s="191">
        <f t="shared" si="26"/>
        <v>2.5122127499038442</v>
      </c>
      <c r="BX70" s="190">
        <f t="shared" si="27"/>
        <v>66.992339997435849</v>
      </c>
      <c r="BY70" s="167">
        <f t="shared" si="28"/>
        <v>31.733213682995927</v>
      </c>
      <c r="BZ70" s="192">
        <f t="shared" si="29"/>
        <v>0.15425867762567466</v>
      </c>
      <c r="CA70" s="191">
        <f t="shared" si="30"/>
        <v>3.5259126314439921</v>
      </c>
      <c r="CB70" s="193">
        <f t="shared" si="31"/>
        <v>2.9551470809516221E-2</v>
      </c>
      <c r="CC70" s="167">
        <f t="shared" si="32"/>
        <v>32.315523054786048</v>
      </c>
      <c r="CD70" s="191">
        <f t="shared" si="33"/>
        <v>0.13659943320259807</v>
      </c>
      <c r="CE70" s="189">
        <f t="shared" si="34"/>
        <v>0.15425867762567466</v>
      </c>
      <c r="CF70" s="194" t="str">
        <f t="shared" si="35"/>
        <v>OK</v>
      </c>
      <c r="DA70" s="140"/>
      <c r="DB70" s="140"/>
      <c r="DC70" s="140"/>
      <c r="DD70" s="141"/>
      <c r="DE70" s="151"/>
      <c r="DF70" s="152"/>
      <c r="DG70" s="152"/>
      <c r="DH70" s="152"/>
      <c r="DI70" s="152"/>
      <c r="DJ70" s="152"/>
      <c r="DK70" s="161"/>
      <c r="DL70" s="162"/>
      <c r="DM70" s="162"/>
      <c r="DN70" s="162"/>
      <c r="DO70" s="162"/>
      <c r="DP70" s="162"/>
      <c r="DQ70" s="140"/>
      <c r="DR70" s="151"/>
      <c r="DS70" s="151"/>
      <c r="DT70" s="151"/>
      <c r="DU70" s="151"/>
      <c r="DV70" s="151"/>
      <c r="DW70" s="151"/>
      <c r="DX70" s="151"/>
      <c r="DY70" s="151"/>
      <c r="DZ70" s="151"/>
      <c r="EA70" s="161"/>
      <c r="EB70" s="161"/>
      <c r="EC70" s="161"/>
      <c r="ED70" s="161"/>
      <c r="EE70" s="161"/>
      <c r="EF70" s="161"/>
      <c r="EG70" s="161"/>
      <c r="EH70" s="161"/>
      <c r="EI70" s="161"/>
      <c r="EJ70" s="161"/>
      <c r="EK70" s="209"/>
      <c r="EL70" s="161"/>
      <c r="EM70" s="187"/>
      <c r="EN70" s="187"/>
      <c r="EO70" s="206"/>
      <c r="EP70" s="212"/>
      <c r="EQ70" s="208"/>
      <c r="ER70" s="187"/>
      <c r="ES70" s="187"/>
      <c r="ET70" s="187"/>
      <c r="EU70" s="187"/>
      <c r="EV70" s="210"/>
      <c r="EW70" s="209"/>
      <c r="EX70" s="210"/>
      <c r="EY70" s="162"/>
      <c r="EZ70" s="211"/>
      <c r="FA70" s="209"/>
      <c r="FB70" s="207"/>
      <c r="FC70" s="162"/>
      <c r="FD70" s="209"/>
      <c r="FE70" s="187"/>
      <c r="FF70" s="187"/>
    </row>
    <row r="71" spans="8:162" ht="14.25">
      <c r="H71" s="7" t="str">
        <f>"- Lực tác dụng lên một bu lông do lực cắt V:"</f>
        <v>- Lực tác dụng lên một bu lông do lực cắt V:</v>
      </c>
      <c r="I71" s="70"/>
      <c r="J71" s="70"/>
      <c r="K71" s="55"/>
      <c r="L71" s="69"/>
      <c r="M71" s="64"/>
      <c r="N71" s="50"/>
      <c r="O71" s="50"/>
      <c r="P71" s="50"/>
      <c r="Q71" s="55" t="s">
        <v>156</v>
      </c>
      <c r="R71" s="71">
        <f>(ABS(Q64)*COS(RADIANS(R46))+P64*SIN(RADIANS(R46)))/R49</f>
        <v>78.699291737830293</v>
      </c>
      <c r="S71" s="9" t="s">
        <v>20</v>
      </c>
      <c r="AA71" s="140" t="s">
        <v>210</v>
      </c>
      <c r="AB71" s="140" t="s">
        <v>237</v>
      </c>
      <c r="AC71" s="140">
        <v>44</v>
      </c>
      <c r="AD71" s="141">
        <v>0.3</v>
      </c>
      <c r="AE71" s="151">
        <v>500</v>
      </c>
      <c r="AF71" s="152">
        <v>300</v>
      </c>
      <c r="AG71" s="152">
        <v>10</v>
      </c>
      <c r="AH71" s="152">
        <v>14</v>
      </c>
      <c r="AI71" s="152">
        <v>472</v>
      </c>
      <c r="AJ71" s="153" t="str" cm="1">
        <f t="array" ref="AJ71">_xll.Dce_Name_SectI(AE71, AE71, AF71, AG71, AH71, "x", "-", "H Tổng")</f>
        <v>500x300x10x14</v>
      </c>
      <c r="AK71" s="161">
        <f t="shared" si="6"/>
        <v>760</v>
      </c>
      <c r="AL71" s="162" cm="1">
        <f t="array" ref="AL71">IFERROR(INDEX($B$25:$B$32,IFERROR(MATCH(AF71,$B$25:$B$32,0),MATCH(AF71,$B$25:$B$32,1)+1)),$B$25)</f>
        <v>300</v>
      </c>
      <c r="AM71" s="162" cm="1">
        <f t="array" ref="AM71">IFERROR(VLOOKUP(AE71,$B$36:$E$47,4,FALSE),INDEX($E$36:$E$47,MATCH(AE71,$B$36:$B$47,1)+1))</f>
        <v>25</v>
      </c>
      <c r="AN71" s="162" cm="1">
        <f t="array" ref="AN71">IFERROR(VLOOKUP(AE71,$B$36:$E$47,2,FALSE),INDEX($C$36:$C$47,MATCH(AE71,$B$36:$B$47,1)+1))</f>
        <v>8</v>
      </c>
      <c r="AO71" s="162" cm="1">
        <f t="array" ref="AO71">IFERROR(VLOOKUP(AE71,$B$36:$E$47,3,FALSE),INDEX($D$36:$D$47,MATCH(AE71,$B$36:$B$47,1)+1))</f>
        <v>24</v>
      </c>
      <c r="AP71" s="163" t="str">
        <f t="shared" si="7"/>
        <v>760x300x25 + 8M24</v>
      </c>
      <c r="AQ71" s="140" t="s">
        <v>266</v>
      </c>
      <c r="AR71" s="151">
        <v>0</v>
      </c>
      <c r="AS71" s="151">
        <v>-168.9216268659541</v>
      </c>
      <c r="AT71" s="151">
        <v>-1.143689587479457E-13</v>
      </c>
      <c r="AU71" s="151">
        <v>-1.5739020876631528E-3</v>
      </c>
      <c r="AV71" s="151">
        <v>-2.2217836885829451E-13</v>
      </c>
      <c r="AW71" s="151">
        <v>-316.47463370818667</v>
      </c>
      <c r="BA71" s="161">
        <f t="shared" si="8"/>
        <v>60</v>
      </c>
      <c r="BB71" s="161">
        <f t="shared" si="9"/>
        <v>70</v>
      </c>
      <c r="BC71" s="161">
        <f t="shared" si="10"/>
        <v>80</v>
      </c>
      <c r="BD71" s="161">
        <f t="shared" si="11"/>
        <v>150</v>
      </c>
      <c r="BE71" s="161">
        <f>HLOOKUP(AO71,Data!$H$31:$Q$35,3,FALSE)</f>
        <v>452.38934211693021</v>
      </c>
      <c r="BF71" s="161">
        <f>HLOOKUP(AO71,Data!$H$31:$Q$35,4,FALSE)</f>
        <v>353</v>
      </c>
      <c r="BG71" s="179">
        <f t="shared" si="12"/>
        <v>150</v>
      </c>
      <c r="BH71" s="185">
        <f t="shared" si="13"/>
        <v>121.65654188208487</v>
      </c>
      <c r="BI71" s="185">
        <f t="shared" si="14"/>
        <v>243</v>
      </c>
      <c r="BJ71" s="185">
        <f t="shared" si="15"/>
        <v>142.3296</v>
      </c>
      <c r="BK71" s="185">
        <f t="shared" si="16"/>
        <v>21.010412620299899</v>
      </c>
      <c r="BL71" s="186">
        <f t="shared" si="17"/>
        <v>0.94666666666666666</v>
      </c>
      <c r="BM71" s="186">
        <f t="shared" si="18"/>
        <v>0.18243242406032309</v>
      </c>
      <c r="BN71" s="185" t="str">
        <f t="shared" si="19"/>
        <v>OK</v>
      </c>
      <c r="BO71" s="185" cm="1">
        <f t="array" ref="BO71">_xll.DCEBoltDisRS(AN71, AE71, BA71, BB71, BC71, BD71, "h1")</f>
        <v>640</v>
      </c>
      <c r="BP71" s="185" cm="1">
        <f t="array" ref="BP71">_xll.DCEBoltDisRS(AN71, AE71, BA71, BB71, BC71, BD71, "Tong")</f>
        <v>672200</v>
      </c>
      <c r="BQ71" s="185">
        <f t="shared" si="20"/>
        <v>152.75840928734942</v>
      </c>
      <c r="BR71" s="186">
        <f t="shared" si="21"/>
        <v>1.0732722447568841</v>
      </c>
      <c r="BS71" s="185" t="str">
        <f t="shared" si="22"/>
        <v>O/S</v>
      </c>
      <c r="BT71" s="186">
        <f t="shared" si="23"/>
        <v>1.0870784388206562</v>
      </c>
      <c r="BU71" s="185" t="str">
        <f t="shared" si="24"/>
        <v>O/S</v>
      </c>
      <c r="BV71" s="190">
        <f t="shared" si="25"/>
        <v>632.94926741637335</v>
      </c>
      <c r="BW71" s="191">
        <f t="shared" si="26"/>
        <v>11.867798764057</v>
      </c>
      <c r="BX71" s="190">
        <f t="shared" si="27"/>
        <v>316.47463370818667</v>
      </c>
      <c r="BY71" s="167">
        <f t="shared" si="28"/>
        <v>149.90903701966738</v>
      </c>
      <c r="BZ71" s="192">
        <f t="shared" si="29"/>
        <v>0.72872448551227209</v>
      </c>
      <c r="CA71" s="191">
        <f t="shared" si="30"/>
        <v>16.65655966885193</v>
      </c>
      <c r="CB71" s="193">
        <f t="shared" si="31"/>
        <v>0.13960239186058851</v>
      </c>
      <c r="CC71" s="167">
        <f t="shared" si="32"/>
        <v>152.6598910001251</v>
      </c>
      <c r="CD71" s="191">
        <f t="shared" si="33"/>
        <v>0.6453014716188864</v>
      </c>
      <c r="CE71" s="189">
        <f t="shared" si="34"/>
        <v>0.72872448551227209</v>
      </c>
      <c r="CF71" s="194" t="str">
        <f t="shared" si="35"/>
        <v>OK</v>
      </c>
      <c r="DA71" s="140"/>
      <c r="DB71" s="140"/>
      <c r="DC71" s="140"/>
      <c r="DD71" s="141"/>
      <c r="DE71" s="151"/>
      <c r="DF71" s="152"/>
      <c r="DG71" s="152"/>
      <c r="DH71" s="152"/>
      <c r="DI71" s="152"/>
      <c r="DJ71" s="152"/>
      <c r="DK71" s="161"/>
      <c r="DL71" s="162"/>
      <c r="DM71" s="162"/>
      <c r="DN71" s="162"/>
      <c r="DO71" s="162"/>
      <c r="DP71" s="162"/>
      <c r="DQ71" s="140"/>
      <c r="DR71" s="151"/>
      <c r="DS71" s="151"/>
      <c r="DT71" s="151"/>
      <c r="DU71" s="151"/>
      <c r="DV71" s="151"/>
      <c r="DW71" s="151"/>
      <c r="DX71" s="151"/>
      <c r="DY71" s="151"/>
      <c r="DZ71" s="151"/>
      <c r="EA71" s="161"/>
      <c r="EB71" s="161"/>
      <c r="EC71" s="161"/>
      <c r="ED71" s="161"/>
      <c r="EE71" s="161"/>
      <c r="EF71" s="161"/>
      <c r="EG71" s="161"/>
      <c r="EH71" s="161"/>
      <c r="EI71" s="161"/>
      <c r="EJ71" s="161"/>
      <c r="EK71" s="209"/>
      <c r="EL71" s="161"/>
      <c r="EM71" s="187"/>
      <c r="EN71" s="187"/>
      <c r="EO71" s="206"/>
      <c r="EP71" s="212"/>
      <c r="EQ71" s="208"/>
      <c r="ER71" s="187"/>
      <c r="ES71" s="187"/>
      <c r="ET71" s="187"/>
      <c r="EU71" s="187"/>
      <c r="EV71" s="210"/>
      <c r="EW71" s="209"/>
      <c r="EX71" s="210"/>
      <c r="EY71" s="162"/>
      <c r="EZ71" s="211"/>
      <c r="FA71" s="209"/>
      <c r="FB71" s="207"/>
      <c r="FC71" s="162"/>
      <c r="FD71" s="209"/>
      <c r="FE71" s="187"/>
      <c r="FF71" s="187"/>
    </row>
    <row r="72" spans="8:162">
      <c r="H72" s="7" t="s">
        <v>223</v>
      </c>
      <c r="I72" s="70"/>
      <c r="J72" s="70"/>
      <c r="K72" s="55"/>
      <c r="L72" s="69"/>
      <c r="M72" s="64"/>
      <c r="N72" s="50"/>
      <c r="O72" s="50"/>
      <c r="P72" s="50"/>
      <c r="Q72" s="55" t="s">
        <v>224</v>
      </c>
      <c r="R72" s="119">
        <f>L57</f>
        <v>1245.4863183232978</v>
      </c>
      <c r="S72" s="9" t="s">
        <v>4</v>
      </c>
      <c r="AA72" s="140" t="s">
        <v>210</v>
      </c>
      <c r="AB72" s="140" t="s">
        <v>237</v>
      </c>
      <c r="AC72" s="140">
        <v>44</v>
      </c>
      <c r="AD72" s="141">
        <v>3</v>
      </c>
      <c r="AE72" s="151">
        <v>500</v>
      </c>
      <c r="AF72" s="152">
        <v>300</v>
      </c>
      <c r="AG72" s="152">
        <v>10</v>
      </c>
      <c r="AH72" s="152">
        <v>14</v>
      </c>
      <c r="AI72" s="152">
        <v>472</v>
      </c>
      <c r="AJ72" s="153" t="str" cm="1">
        <f t="array" ref="AJ72">_xll.Dce_Name_SectI(AE72, AE72, AF72, AG72, AH72, "x", "-", "H Tổng")</f>
        <v>500x300x10x14</v>
      </c>
      <c r="AK72" s="161">
        <f t="shared" si="6"/>
        <v>760</v>
      </c>
      <c r="AL72" s="162" cm="1">
        <f t="array" ref="AL72">IFERROR(INDEX($B$25:$B$32,IFERROR(MATCH(AF72,$B$25:$B$32,0),MATCH(AF72,$B$25:$B$32,1)+1)),$B$25)</f>
        <v>300</v>
      </c>
      <c r="AM72" s="162" cm="1">
        <f t="array" ref="AM72">IFERROR(VLOOKUP(AE72,$B$36:$E$47,4,FALSE),INDEX($E$36:$E$47,MATCH(AE72,$B$36:$B$47,1)+1))</f>
        <v>25</v>
      </c>
      <c r="AN72" s="162" cm="1">
        <f t="array" ref="AN72">IFERROR(VLOOKUP(AE72,$B$36:$E$47,2,FALSE),INDEX($C$36:$C$47,MATCH(AE72,$B$36:$B$47,1)+1))</f>
        <v>8</v>
      </c>
      <c r="AO72" s="162" cm="1">
        <f t="array" ref="AO72">IFERROR(VLOOKUP(AE72,$B$36:$E$47,3,FALSE),INDEX($D$36:$D$47,MATCH(AE72,$B$36:$B$47,1)+1))</f>
        <v>24</v>
      </c>
      <c r="AP72" s="163" t="str">
        <f t="shared" si="7"/>
        <v>760x300x25 + 8M24</v>
      </c>
      <c r="AQ72" s="140" t="s">
        <v>266</v>
      </c>
      <c r="AR72" s="151">
        <v>0</v>
      </c>
      <c r="AS72" s="151">
        <v>-112.59917906041503</v>
      </c>
      <c r="AT72" s="151">
        <v>-6.3482730183750379E-14</v>
      </c>
      <c r="AU72" s="151">
        <v>-1.5734288285610676E-3</v>
      </c>
      <c r="AV72" s="151">
        <v>4.6844434109516438E-14</v>
      </c>
      <c r="AW72" s="151">
        <v>77.042385860022904</v>
      </c>
      <c r="BA72" s="161">
        <f t="shared" si="8"/>
        <v>60</v>
      </c>
      <c r="BB72" s="161">
        <f t="shared" si="9"/>
        <v>70</v>
      </c>
      <c r="BC72" s="161">
        <f t="shared" si="10"/>
        <v>80</v>
      </c>
      <c r="BD72" s="161">
        <f t="shared" si="11"/>
        <v>150</v>
      </c>
      <c r="BE72" s="161">
        <f>HLOOKUP(AO72,Data!$H$31:$Q$35,3,FALSE)</f>
        <v>452.38934211693021</v>
      </c>
      <c r="BF72" s="161">
        <f>HLOOKUP(AO72,Data!$H$31:$Q$35,4,FALSE)</f>
        <v>353</v>
      </c>
      <c r="BG72" s="179">
        <f t="shared" si="12"/>
        <v>150</v>
      </c>
      <c r="BH72" s="185">
        <f t="shared" si="13"/>
        <v>121.65654188208487</v>
      </c>
      <c r="BI72" s="185">
        <f t="shared" si="14"/>
        <v>243</v>
      </c>
      <c r="BJ72" s="185">
        <f t="shared" si="15"/>
        <v>142.3296</v>
      </c>
      <c r="BK72" s="185">
        <f t="shared" si="16"/>
        <v>14.005046344028351</v>
      </c>
      <c r="BL72" s="186">
        <f t="shared" si="17"/>
        <v>0.94666666666666666</v>
      </c>
      <c r="BM72" s="186">
        <f t="shared" si="18"/>
        <v>0.12160515834656599</v>
      </c>
      <c r="BN72" s="185" t="str">
        <f t="shared" si="19"/>
        <v>OK</v>
      </c>
      <c r="BO72" s="185" cm="1">
        <f t="array" ref="BO72">_xll.DCEBoltDisRS(AN72, AE72, BA72, BB72, BC72, BD72, "h1")</f>
        <v>640</v>
      </c>
      <c r="BP72" s="185" cm="1">
        <f t="array" ref="BP72">_xll.DCEBoltDisRS(AN72, AE72, BA72, BB72, BC72, BD72, "Tong")</f>
        <v>672200</v>
      </c>
      <c r="BQ72" s="185">
        <f t="shared" si="20"/>
        <v>38.076439587106393</v>
      </c>
      <c r="BR72" s="186">
        <f t="shared" si="21"/>
        <v>0.26752298599241753</v>
      </c>
      <c r="BS72" s="185" t="str">
        <f t="shared" si="22"/>
        <v>OK</v>
      </c>
      <c r="BT72" s="186">
        <f t="shared" si="23"/>
        <v>0.29124055144125072</v>
      </c>
      <c r="BU72" s="185" t="str">
        <f t="shared" si="24"/>
        <v>OK</v>
      </c>
      <c r="BV72" s="190">
        <f t="shared" si="25"/>
        <v>154.08477172004581</v>
      </c>
      <c r="BW72" s="191">
        <f t="shared" si="26"/>
        <v>2.8890894697508589</v>
      </c>
      <c r="BX72" s="190">
        <f t="shared" si="27"/>
        <v>77.042385860022904</v>
      </c>
      <c r="BY72" s="167">
        <f t="shared" si="28"/>
        <v>36.493761723168745</v>
      </c>
      <c r="BZ72" s="192">
        <f t="shared" si="29"/>
        <v>0.17740023059873697</v>
      </c>
      <c r="CA72" s="191">
        <f t="shared" si="30"/>
        <v>4.0548624136854157</v>
      </c>
      <c r="CB72" s="193">
        <f t="shared" si="31"/>
        <v>3.3984718505505163E-2</v>
      </c>
      <c r="CC72" s="167">
        <f t="shared" si="32"/>
        <v>37.163427886689519</v>
      </c>
      <c r="CD72" s="191">
        <f t="shared" si="33"/>
        <v>0.15709178454518519</v>
      </c>
      <c r="CE72" s="189">
        <f t="shared" si="34"/>
        <v>0.17740023059873697</v>
      </c>
      <c r="CF72" s="194" t="str">
        <f t="shared" si="35"/>
        <v>OK</v>
      </c>
      <c r="DA72" s="140"/>
      <c r="DB72" s="140"/>
      <c r="DC72" s="140"/>
      <c r="DD72" s="141"/>
      <c r="DE72" s="151"/>
      <c r="DF72" s="152"/>
      <c r="DG72" s="152"/>
      <c r="DH72" s="152"/>
      <c r="DI72" s="152"/>
      <c r="DJ72" s="152"/>
      <c r="DK72" s="161"/>
      <c r="DL72" s="162"/>
      <c r="DM72" s="162"/>
      <c r="DN72" s="162"/>
      <c r="DO72" s="162"/>
      <c r="DP72" s="162"/>
      <c r="DQ72" s="140"/>
      <c r="DR72" s="151"/>
      <c r="DS72" s="151"/>
      <c r="DT72" s="151"/>
      <c r="DU72" s="151"/>
      <c r="DV72" s="151"/>
      <c r="DW72" s="151"/>
      <c r="DX72" s="151"/>
      <c r="DY72" s="151"/>
      <c r="DZ72" s="151"/>
      <c r="EA72" s="161"/>
      <c r="EB72" s="161"/>
      <c r="EC72" s="161"/>
      <c r="ED72" s="161"/>
      <c r="EE72" s="161"/>
      <c r="EF72" s="161"/>
      <c r="EG72" s="161"/>
      <c r="EH72" s="161"/>
      <c r="EI72" s="161"/>
      <c r="EJ72" s="161"/>
      <c r="EK72" s="209"/>
      <c r="EL72" s="161"/>
      <c r="EM72" s="187"/>
      <c r="EN72" s="187"/>
      <c r="EO72" s="206"/>
      <c r="EP72" s="212"/>
      <c r="EQ72" s="208"/>
      <c r="ER72" s="187"/>
      <c r="ES72" s="187"/>
      <c r="ET72" s="187"/>
      <c r="EU72" s="187"/>
      <c r="EV72" s="210"/>
      <c r="EW72" s="209"/>
      <c r="EX72" s="210"/>
      <c r="EY72" s="162"/>
      <c r="EZ72" s="211"/>
      <c r="FA72" s="209"/>
      <c r="FB72" s="207"/>
      <c r="FC72" s="162"/>
      <c r="FD72" s="209"/>
      <c r="FE72" s="187"/>
      <c r="FF72" s="187"/>
    </row>
    <row r="73" spans="8:162">
      <c r="H73" s="7" t="s">
        <v>225</v>
      </c>
      <c r="I73" s="70"/>
      <c r="J73" s="70"/>
      <c r="K73" s="55"/>
      <c r="L73" s="69"/>
      <c r="M73" s="64"/>
      <c r="N73" s="50"/>
      <c r="O73" s="50"/>
      <c r="P73" s="50"/>
      <c r="Q73" s="55" t="s">
        <v>226</v>
      </c>
      <c r="R73" s="120">
        <f>IF(R72&lt;=16*R20,1,1-0.005*(R72/R20-16))</f>
        <v>0.82052368368264628</v>
      </c>
      <c r="S73" s="9"/>
      <c r="AA73" s="140" t="s">
        <v>210</v>
      </c>
      <c r="AB73" s="140" t="s">
        <v>237</v>
      </c>
      <c r="AC73" s="140">
        <v>44</v>
      </c>
      <c r="AD73" s="141">
        <v>0.3</v>
      </c>
      <c r="AE73" s="151">
        <v>500</v>
      </c>
      <c r="AF73" s="152">
        <v>300</v>
      </c>
      <c r="AG73" s="152">
        <v>10</v>
      </c>
      <c r="AH73" s="152">
        <v>14</v>
      </c>
      <c r="AI73" s="152">
        <v>472</v>
      </c>
      <c r="AJ73" s="153" t="str" cm="1">
        <f t="array" ref="AJ73">_xll.Dce_Name_SectI(AE73, AE73, AF73, AG73, AH73, "x", "-", "H Tổng")</f>
        <v>500x300x10x14</v>
      </c>
      <c r="AK73" s="161">
        <f t="shared" si="6"/>
        <v>760</v>
      </c>
      <c r="AL73" s="162" cm="1">
        <f t="array" ref="AL73">IFERROR(INDEX($B$25:$B$32,IFERROR(MATCH(AF73,$B$25:$B$32,0),MATCH(AF73,$B$25:$B$32,1)+1)),$B$25)</f>
        <v>300</v>
      </c>
      <c r="AM73" s="162" cm="1">
        <f t="array" ref="AM73">IFERROR(VLOOKUP(AE73,$B$36:$E$47,4,FALSE),INDEX($E$36:$E$47,MATCH(AE73,$B$36:$B$47,1)+1))</f>
        <v>25</v>
      </c>
      <c r="AN73" s="162" cm="1">
        <f t="array" ref="AN73">IFERROR(VLOOKUP(AE73,$B$36:$E$47,2,FALSE),INDEX($C$36:$C$47,MATCH(AE73,$B$36:$B$47,1)+1))</f>
        <v>8</v>
      </c>
      <c r="AO73" s="162" cm="1">
        <f t="array" ref="AO73">IFERROR(VLOOKUP(AE73,$B$36:$E$47,3,FALSE),INDEX($D$36:$D$47,MATCH(AE73,$B$36:$B$47,1)+1))</f>
        <v>24</v>
      </c>
      <c r="AP73" s="163" t="str">
        <f t="shared" si="7"/>
        <v>760x300x25 + 8M24</v>
      </c>
      <c r="AQ73" s="140" t="s">
        <v>267</v>
      </c>
      <c r="AR73" s="151">
        <v>0</v>
      </c>
      <c r="AS73" s="151">
        <v>-179.57947746103267</v>
      </c>
      <c r="AT73" s="151">
        <v>-1.2158807294326833E-13</v>
      </c>
      <c r="AU73" s="151">
        <v>-1.4798174282313311E-3</v>
      </c>
      <c r="AV73" s="151">
        <v>-2.6394429823994862E-13</v>
      </c>
      <c r="AW73" s="151">
        <v>-375.40712666268433</v>
      </c>
      <c r="BA73" s="161">
        <f t="shared" si="8"/>
        <v>60</v>
      </c>
      <c r="BB73" s="161">
        <f t="shared" si="9"/>
        <v>70</v>
      </c>
      <c r="BC73" s="161">
        <f t="shared" si="10"/>
        <v>80</v>
      </c>
      <c r="BD73" s="161">
        <f t="shared" si="11"/>
        <v>150</v>
      </c>
      <c r="BE73" s="161">
        <f>HLOOKUP(AO73,Data!$H$31:$Q$35,3,FALSE)</f>
        <v>452.38934211693021</v>
      </c>
      <c r="BF73" s="161">
        <f>HLOOKUP(AO73,Data!$H$31:$Q$35,4,FALSE)</f>
        <v>353</v>
      </c>
      <c r="BG73" s="179">
        <f t="shared" si="12"/>
        <v>150</v>
      </c>
      <c r="BH73" s="185">
        <f t="shared" si="13"/>
        <v>121.65654188208487</v>
      </c>
      <c r="BI73" s="185">
        <f t="shared" si="14"/>
        <v>243</v>
      </c>
      <c r="BJ73" s="185">
        <f t="shared" si="15"/>
        <v>142.3296</v>
      </c>
      <c r="BK73" s="185">
        <f t="shared" si="16"/>
        <v>22.336032334025504</v>
      </c>
      <c r="BL73" s="186">
        <f t="shared" si="17"/>
        <v>0.94666666666666666</v>
      </c>
      <c r="BM73" s="186">
        <f t="shared" si="18"/>
        <v>0.19394271765272289</v>
      </c>
      <c r="BN73" s="185" t="str">
        <f t="shared" si="19"/>
        <v>OK</v>
      </c>
      <c r="BO73" s="185" cm="1">
        <f t="array" ref="BO73">_xll.DCEBoltDisRS(AN73, AE73, BA73, BB73, BC73, BD73, "h1")</f>
        <v>640</v>
      </c>
      <c r="BP73" s="185" cm="1">
        <f t="array" ref="BP73">_xll.DCEBoltDisRS(AN73, AE73, BA73, BB73, BC73, BD73, "Tong")</f>
        <v>672200</v>
      </c>
      <c r="BQ73" s="185">
        <f t="shared" si="20"/>
        <v>180.94571351614428</v>
      </c>
      <c r="BR73" s="186">
        <f t="shared" si="21"/>
        <v>1.2713147055576934</v>
      </c>
      <c r="BS73" s="185" t="str">
        <f t="shared" si="22"/>
        <v>O/S</v>
      </c>
      <c r="BT73" s="186">
        <f t="shared" si="23"/>
        <v>1.2845036832596521</v>
      </c>
      <c r="BU73" s="185" t="str">
        <f t="shared" si="24"/>
        <v>O/S</v>
      </c>
      <c r="BV73" s="190">
        <f t="shared" si="25"/>
        <v>750.81425332536867</v>
      </c>
      <c r="BW73" s="191">
        <f t="shared" si="26"/>
        <v>14.077767249850663</v>
      </c>
      <c r="BX73" s="190">
        <f t="shared" si="27"/>
        <v>375.40712666268433</v>
      </c>
      <c r="BY73" s="167">
        <f t="shared" si="28"/>
        <v>177.82442841916622</v>
      </c>
      <c r="BZ73" s="192">
        <f t="shared" si="29"/>
        <v>0.86442430481539145</v>
      </c>
      <c r="CA73" s="191">
        <f t="shared" si="30"/>
        <v>19.758269824351807</v>
      </c>
      <c r="CB73" s="193">
        <f t="shared" si="31"/>
        <v>0.16559852582670337</v>
      </c>
      <c r="CC73" s="167">
        <f t="shared" si="32"/>
        <v>181.08753414290794</v>
      </c>
      <c r="CD73" s="191">
        <f t="shared" si="33"/>
        <v>0.76546662983113278</v>
      </c>
      <c r="CE73" s="189">
        <f t="shared" si="34"/>
        <v>0.86442430481539145</v>
      </c>
      <c r="CF73" s="194" t="str">
        <f t="shared" si="35"/>
        <v>OK</v>
      </c>
      <c r="DA73" s="140"/>
      <c r="DB73" s="140"/>
      <c r="DC73" s="140"/>
      <c r="DD73" s="141"/>
      <c r="DE73" s="151"/>
      <c r="DF73" s="152"/>
      <c r="DG73" s="152"/>
      <c r="DH73" s="152"/>
      <c r="DI73" s="152"/>
      <c r="DJ73" s="152"/>
      <c r="DK73" s="161"/>
      <c r="DL73" s="162"/>
      <c r="DM73" s="162"/>
      <c r="DN73" s="162"/>
      <c r="DO73" s="162"/>
      <c r="DP73" s="162"/>
      <c r="DQ73" s="140"/>
      <c r="DR73" s="151"/>
      <c r="DS73" s="151"/>
      <c r="DT73" s="151"/>
      <c r="DU73" s="151"/>
      <c r="DV73" s="151"/>
      <c r="DW73" s="151"/>
      <c r="DX73" s="151"/>
      <c r="DY73" s="151"/>
      <c r="DZ73" s="151"/>
      <c r="EA73" s="161"/>
      <c r="EB73" s="161"/>
      <c r="EC73" s="161"/>
      <c r="ED73" s="161"/>
      <c r="EE73" s="161"/>
      <c r="EF73" s="161"/>
      <c r="EG73" s="161"/>
      <c r="EH73" s="161"/>
      <c r="EI73" s="161"/>
      <c r="EJ73" s="161"/>
      <c r="EK73" s="209"/>
      <c r="EL73" s="161"/>
      <c r="EM73" s="187"/>
      <c r="EN73" s="187"/>
      <c r="EO73" s="206"/>
      <c r="EP73" s="212"/>
      <c r="EQ73" s="208"/>
      <c r="ER73" s="187"/>
      <c r="ES73" s="187"/>
      <c r="ET73" s="187"/>
      <c r="EU73" s="187"/>
      <c r="EV73" s="210"/>
      <c r="EW73" s="209"/>
      <c r="EX73" s="210"/>
      <c r="EY73" s="162"/>
      <c r="EZ73" s="211"/>
      <c r="FA73" s="209"/>
      <c r="FB73" s="207"/>
      <c r="FC73" s="162"/>
      <c r="FD73" s="209"/>
      <c r="FE73" s="187"/>
      <c r="FF73" s="187"/>
    </row>
    <row r="74" spans="8:162" ht="14.25">
      <c r="H74" s="7" t="str">
        <f>"- Tỷ số huy động cấu kiện:"</f>
        <v>- Tỷ số huy động cấu kiện:</v>
      </c>
      <c r="I74" s="50"/>
      <c r="J74" s="50"/>
      <c r="K74" s="55"/>
      <c r="L74" s="69"/>
      <c r="M74" s="64"/>
      <c r="N74" s="50"/>
      <c r="O74" s="50"/>
      <c r="P74" s="50"/>
      <c r="Q74" s="55" t="s">
        <v>293</v>
      </c>
      <c r="R74" s="72">
        <f>R71/(R73*MIN(R67,R68))</f>
        <v>0.78839567914808073</v>
      </c>
      <c r="S74" s="12" t="str">
        <f>IF(R74&lt;=1,"OK","Check")</f>
        <v>OK</v>
      </c>
      <c r="AA74" s="140" t="s">
        <v>210</v>
      </c>
      <c r="AB74" s="140" t="s">
        <v>237</v>
      </c>
      <c r="AC74" s="140">
        <v>44</v>
      </c>
      <c r="AD74" s="141">
        <v>3</v>
      </c>
      <c r="AE74" s="151">
        <v>500</v>
      </c>
      <c r="AF74" s="152">
        <v>300</v>
      </c>
      <c r="AG74" s="152">
        <v>10</v>
      </c>
      <c r="AH74" s="152">
        <v>14</v>
      </c>
      <c r="AI74" s="152">
        <v>472</v>
      </c>
      <c r="AJ74" s="153" t="str" cm="1">
        <f t="array" ref="AJ74">_xll.Dce_Name_SectI(AE74, AE74, AF74, AG74, AH74, "x", "-", "H Tổng")</f>
        <v>500x300x10x14</v>
      </c>
      <c r="AK74" s="161">
        <f t="shared" si="6"/>
        <v>760</v>
      </c>
      <c r="AL74" s="162" cm="1">
        <f t="array" ref="AL74">IFERROR(INDEX($B$25:$B$32,IFERROR(MATCH(AF74,$B$25:$B$32,0),MATCH(AF74,$B$25:$B$32,1)+1)),$B$25)</f>
        <v>300</v>
      </c>
      <c r="AM74" s="162" cm="1">
        <f t="array" ref="AM74">IFERROR(VLOOKUP(AE74,$B$36:$E$47,4,FALSE),INDEX($E$36:$E$47,MATCH(AE74,$B$36:$B$47,1)+1))</f>
        <v>25</v>
      </c>
      <c r="AN74" s="162" cm="1">
        <f t="array" ref="AN74">IFERROR(VLOOKUP(AE74,$B$36:$E$47,2,FALSE),INDEX($C$36:$C$47,MATCH(AE74,$B$36:$B$47,1)+1))</f>
        <v>8</v>
      </c>
      <c r="AO74" s="162" cm="1">
        <f t="array" ref="AO74">IFERROR(VLOOKUP(AE74,$B$36:$E$47,3,FALSE),INDEX($D$36:$D$47,MATCH(AE74,$B$36:$B$47,1)+1))</f>
        <v>24</v>
      </c>
      <c r="AP74" s="163" t="str">
        <f t="shared" si="7"/>
        <v>760x300x25 + 8M24</v>
      </c>
      <c r="AQ74" s="140" t="s">
        <v>267</v>
      </c>
      <c r="AR74" s="151">
        <v>0</v>
      </c>
      <c r="AS74" s="151">
        <v>-123.25702662348489</v>
      </c>
      <c r="AT74" s="151">
        <v>-7.1440808824263496E-14</v>
      </c>
      <c r="AU74" s="151">
        <v>-1.4793723116014836E-3</v>
      </c>
      <c r="AV74" s="151">
        <v>2.6123871066374703E-14</v>
      </c>
      <c r="AW74" s="151">
        <v>46.885613124806824</v>
      </c>
      <c r="BA74" s="161">
        <f t="shared" si="8"/>
        <v>60</v>
      </c>
      <c r="BB74" s="161">
        <f t="shared" si="9"/>
        <v>70</v>
      </c>
      <c r="BC74" s="161">
        <f t="shared" si="10"/>
        <v>80</v>
      </c>
      <c r="BD74" s="161">
        <f t="shared" si="11"/>
        <v>150</v>
      </c>
      <c r="BE74" s="161">
        <f>HLOOKUP(AO74,Data!$H$31:$Q$35,3,FALSE)</f>
        <v>452.38934211693021</v>
      </c>
      <c r="BF74" s="161">
        <f>HLOOKUP(AO74,Data!$H$31:$Q$35,4,FALSE)</f>
        <v>353</v>
      </c>
      <c r="BG74" s="179">
        <f t="shared" si="12"/>
        <v>150</v>
      </c>
      <c r="BH74" s="185">
        <f t="shared" si="13"/>
        <v>121.65654188208487</v>
      </c>
      <c r="BI74" s="185">
        <f t="shared" si="14"/>
        <v>243</v>
      </c>
      <c r="BJ74" s="185">
        <f t="shared" si="15"/>
        <v>142.3296</v>
      </c>
      <c r="BK74" s="185">
        <f t="shared" si="16"/>
        <v>15.330665680633778</v>
      </c>
      <c r="BL74" s="186">
        <f t="shared" si="17"/>
        <v>0.94666666666666666</v>
      </c>
      <c r="BM74" s="186">
        <f t="shared" si="18"/>
        <v>0.13311544866444902</v>
      </c>
      <c r="BN74" s="185" t="str">
        <f t="shared" si="19"/>
        <v>OK</v>
      </c>
      <c r="BO74" s="185" cm="1">
        <f t="array" ref="BO74">_xll.DCEBoltDisRS(AN74, AE74, BA74, BB74, BC74, BD74, "h1")</f>
        <v>640</v>
      </c>
      <c r="BP74" s="185" cm="1">
        <f t="array" ref="BP74">_xll.DCEBoltDisRS(AN74, AE74, BA74, BB74, BC74, BD74, "Tong")</f>
        <v>672200</v>
      </c>
      <c r="BQ74" s="185">
        <f t="shared" si="20"/>
        <v>23.852906199033605</v>
      </c>
      <c r="BR74" s="186">
        <f t="shared" si="21"/>
        <v>0.16758921685323083</v>
      </c>
      <c r="BS74" s="185" t="str">
        <f t="shared" si="22"/>
        <v>OK</v>
      </c>
      <c r="BT74" s="186">
        <f t="shared" si="23"/>
        <v>0.20968110857568967</v>
      </c>
      <c r="BU74" s="185" t="str">
        <f t="shared" si="24"/>
        <v>OK</v>
      </c>
      <c r="BV74" s="190">
        <f t="shared" si="25"/>
        <v>93.771226249613647</v>
      </c>
      <c r="BW74" s="191">
        <f t="shared" si="26"/>
        <v>1.7582104921802559</v>
      </c>
      <c r="BX74" s="190">
        <f t="shared" si="27"/>
        <v>46.885613124806824</v>
      </c>
      <c r="BY74" s="167">
        <f t="shared" si="28"/>
        <v>22.20897463806639</v>
      </c>
      <c r="BZ74" s="192">
        <f t="shared" si="29"/>
        <v>0.10796029337948941</v>
      </c>
      <c r="CA74" s="191">
        <f t="shared" si="30"/>
        <v>2.4676638486740434</v>
      </c>
      <c r="CB74" s="193">
        <f t="shared" si="31"/>
        <v>2.0682048540132073E-2</v>
      </c>
      <c r="CC74" s="167">
        <f t="shared" si="32"/>
        <v>22.616512752509713</v>
      </c>
      <c r="CD74" s="191">
        <f t="shared" si="33"/>
        <v>9.5601201248531414E-2</v>
      </c>
      <c r="CE74" s="189">
        <f t="shared" si="34"/>
        <v>0.10796029337948941</v>
      </c>
      <c r="CF74" s="194" t="str">
        <f t="shared" si="35"/>
        <v>OK</v>
      </c>
      <c r="DA74" s="140"/>
      <c r="DB74" s="140"/>
      <c r="DC74" s="140"/>
      <c r="DD74" s="141"/>
      <c r="DE74" s="151"/>
      <c r="DF74" s="152"/>
      <c r="DG74" s="152"/>
      <c r="DH74" s="152"/>
      <c r="DI74" s="152"/>
      <c r="DJ74" s="152"/>
      <c r="DK74" s="161"/>
      <c r="DL74" s="162"/>
      <c r="DM74" s="162"/>
      <c r="DN74" s="162"/>
      <c r="DO74" s="162"/>
      <c r="DP74" s="162"/>
      <c r="DQ74" s="140"/>
      <c r="DR74" s="151"/>
      <c r="DS74" s="151"/>
      <c r="DT74" s="151"/>
      <c r="DU74" s="151"/>
      <c r="DV74" s="151"/>
      <c r="DW74" s="151"/>
      <c r="DX74" s="151"/>
      <c r="DY74" s="151"/>
      <c r="DZ74" s="151"/>
      <c r="EA74" s="161"/>
      <c r="EB74" s="161"/>
      <c r="EC74" s="161"/>
      <c r="ED74" s="161"/>
      <c r="EE74" s="161"/>
      <c r="EF74" s="161"/>
      <c r="EG74" s="161"/>
      <c r="EH74" s="161"/>
      <c r="EI74" s="161"/>
      <c r="EJ74" s="161"/>
      <c r="EK74" s="209"/>
      <c r="EL74" s="161"/>
      <c r="EM74" s="187"/>
      <c r="EN74" s="187"/>
      <c r="EO74" s="206"/>
      <c r="EP74" s="212"/>
      <c r="EQ74" s="208"/>
      <c r="ER74" s="187"/>
      <c r="ES74" s="187"/>
      <c r="ET74" s="187"/>
      <c r="EU74" s="187"/>
      <c r="EV74" s="210"/>
      <c r="EW74" s="209"/>
      <c r="EX74" s="210"/>
      <c r="EY74" s="162"/>
      <c r="EZ74" s="211"/>
      <c r="FA74" s="209"/>
      <c r="FB74" s="207"/>
      <c r="FC74" s="162"/>
      <c r="FD74" s="209"/>
      <c r="FE74" s="187"/>
      <c r="FF74" s="187"/>
    </row>
    <row r="75" spans="8:162">
      <c r="H75" s="6" t="s">
        <v>105</v>
      </c>
      <c r="I75" s="70"/>
      <c r="J75" s="70"/>
      <c r="K75" s="55"/>
      <c r="L75" s="69"/>
      <c r="M75" s="64"/>
      <c r="N75" s="50"/>
      <c r="O75" s="50"/>
      <c r="P75" s="50"/>
      <c r="Q75" s="55"/>
      <c r="R75" s="61"/>
      <c r="S75" s="9"/>
      <c r="AA75" s="140" t="s">
        <v>210</v>
      </c>
      <c r="AB75" s="140" t="s">
        <v>237</v>
      </c>
      <c r="AC75" s="140">
        <v>44</v>
      </c>
      <c r="AD75" s="141">
        <v>0.3</v>
      </c>
      <c r="AE75" s="151">
        <v>500</v>
      </c>
      <c r="AF75" s="152">
        <v>300</v>
      </c>
      <c r="AG75" s="152">
        <v>10</v>
      </c>
      <c r="AH75" s="152">
        <v>14</v>
      </c>
      <c r="AI75" s="152">
        <v>472</v>
      </c>
      <c r="AJ75" s="153" t="str" cm="1">
        <f t="array" ref="AJ75">_xll.Dce_Name_SectI(AE75, AE75, AF75, AG75, AH75, "x", "-", "H Tổng")</f>
        <v>500x300x10x14</v>
      </c>
      <c r="AK75" s="161">
        <f t="shared" si="6"/>
        <v>760</v>
      </c>
      <c r="AL75" s="162" cm="1">
        <f t="array" ref="AL75">IFERROR(INDEX($B$25:$B$32,IFERROR(MATCH(AF75,$B$25:$B$32,0),MATCH(AF75,$B$25:$B$32,1)+1)),$B$25)</f>
        <v>300</v>
      </c>
      <c r="AM75" s="162" cm="1">
        <f t="array" ref="AM75">IFERROR(VLOOKUP(AE75,$B$36:$E$47,4,FALSE),INDEX($E$36:$E$47,MATCH(AE75,$B$36:$B$47,1)+1))</f>
        <v>25</v>
      </c>
      <c r="AN75" s="162" cm="1">
        <f t="array" ref="AN75">IFERROR(VLOOKUP(AE75,$B$36:$E$47,2,FALSE),INDEX($C$36:$C$47,MATCH(AE75,$B$36:$B$47,1)+1))</f>
        <v>8</v>
      </c>
      <c r="AO75" s="162" cm="1">
        <f t="array" ref="AO75">IFERROR(VLOOKUP(AE75,$B$36:$E$47,3,FALSE),INDEX($D$36:$D$47,MATCH(AE75,$B$36:$B$47,1)+1))</f>
        <v>24</v>
      </c>
      <c r="AP75" s="163" t="str">
        <f t="shared" si="7"/>
        <v>760x300x25 + 8M24</v>
      </c>
      <c r="AQ75" s="140" t="s">
        <v>268</v>
      </c>
      <c r="AR75" s="151">
        <v>0</v>
      </c>
      <c r="AS75" s="151">
        <v>-178.30049117266691</v>
      </c>
      <c r="AT75" s="151">
        <v>-1.207496325150714E-13</v>
      </c>
      <c r="AU75" s="151">
        <v>-1.5305051839639846E-3</v>
      </c>
      <c r="AV75" s="151">
        <v>-2.5436490318497811E-13</v>
      </c>
      <c r="AW75" s="151">
        <v>-361.91002506744525</v>
      </c>
      <c r="BA75" s="161">
        <f t="shared" si="8"/>
        <v>60</v>
      </c>
      <c r="BB75" s="161">
        <f t="shared" si="9"/>
        <v>70</v>
      </c>
      <c r="BC75" s="161">
        <f t="shared" si="10"/>
        <v>80</v>
      </c>
      <c r="BD75" s="161">
        <f t="shared" si="11"/>
        <v>150</v>
      </c>
      <c r="BE75" s="161">
        <f>HLOOKUP(AO75,Data!$H$31:$Q$35,3,FALSE)</f>
        <v>452.38934211693021</v>
      </c>
      <c r="BF75" s="161">
        <f>HLOOKUP(AO75,Data!$H$31:$Q$35,4,FALSE)</f>
        <v>353</v>
      </c>
      <c r="BG75" s="179">
        <f t="shared" si="12"/>
        <v>150</v>
      </c>
      <c r="BH75" s="185">
        <f t="shared" si="13"/>
        <v>121.65654188208487</v>
      </c>
      <c r="BI75" s="185">
        <f t="shared" si="14"/>
        <v>243</v>
      </c>
      <c r="BJ75" s="185">
        <f t="shared" si="15"/>
        <v>142.3296</v>
      </c>
      <c r="BK75" s="185">
        <f t="shared" si="16"/>
        <v>22.176952468688931</v>
      </c>
      <c r="BL75" s="186">
        <f t="shared" si="17"/>
        <v>0.94666666666666666</v>
      </c>
      <c r="BM75" s="186">
        <f t="shared" si="18"/>
        <v>0.19256143466808978</v>
      </c>
      <c r="BN75" s="185" t="str">
        <f t="shared" si="19"/>
        <v>OK</v>
      </c>
      <c r="BO75" s="185" cm="1">
        <f t="array" ref="BO75">_xll.DCEBoltDisRS(AN75, AE75, BA75, BB75, BC75, BD75, "h1")</f>
        <v>640</v>
      </c>
      <c r="BP75" s="185" cm="1">
        <f t="array" ref="BP75">_xll.DCEBoltDisRS(AN75, AE75, BA75, BB75, BC75, BD75, "Tong")</f>
        <v>672200</v>
      </c>
      <c r="BQ75" s="185">
        <f t="shared" si="20"/>
        <v>174.50452657918439</v>
      </c>
      <c r="BR75" s="186">
        <f t="shared" si="21"/>
        <v>1.2260592777551851</v>
      </c>
      <c r="BS75" s="185" t="str">
        <f t="shared" si="22"/>
        <v>O/S</v>
      </c>
      <c r="BT75" s="186">
        <f t="shared" si="23"/>
        <v>1.2395368249623246</v>
      </c>
      <c r="BU75" s="185" t="str">
        <f t="shared" si="24"/>
        <v>O/S</v>
      </c>
      <c r="BV75" s="190">
        <f t="shared" si="25"/>
        <v>723.82005013489049</v>
      </c>
      <c r="BW75" s="191">
        <f t="shared" si="26"/>
        <v>13.571625940029197</v>
      </c>
      <c r="BX75" s="190">
        <f t="shared" si="27"/>
        <v>361.91002506744525</v>
      </c>
      <c r="BY75" s="167">
        <f t="shared" si="28"/>
        <v>171.43106450563198</v>
      </c>
      <c r="BZ75" s="192">
        <f t="shared" si="29"/>
        <v>0.83334545245793334</v>
      </c>
      <c r="CA75" s="191">
        <f t="shared" si="30"/>
        <v>19.04789605618133</v>
      </c>
      <c r="CB75" s="193">
        <f t="shared" si="31"/>
        <v>0.15964472269309066</v>
      </c>
      <c r="CC75" s="167">
        <f t="shared" si="32"/>
        <v>174.57685101420353</v>
      </c>
      <c r="CD75" s="191">
        <f t="shared" si="33"/>
        <v>0.73794562626776872</v>
      </c>
      <c r="CE75" s="189">
        <f t="shared" si="34"/>
        <v>0.83334545245793334</v>
      </c>
      <c r="CF75" s="194" t="str">
        <f t="shared" si="35"/>
        <v>OK</v>
      </c>
      <c r="DA75" s="140"/>
      <c r="DB75" s="140"/>
      <c r="DC75" s="140"/>
      <c r="DD75" s="141"/>
      <c r="DE75" s="151"/>
      <c r="DF75" s="152"/>
      <c r="DG75" s="152"/>
      <c r="DH75" s="152"/>
      <c r="DI75" s="152"/>
      <c r="DJ75" s="152"/>
      <c r="DK75" s="161"/>
      <c r="DL75" s="162"/>
      <c r="DM75" s="162"/>
      <c r="DN75" s="162"/>
      <c r="DO75" s="162"/>
      <c r="DP75" s="162"/>
      <c r="DQ75" s="140"/>
      <c r="DR75" s="151"/>
      <c r="DS75" s="151"/>
      <c r="DT75" s="151"/>
      <c r="DU75" s="151"/>
      <c r="DV75" s="151"/>
      <c r="DW75" s="151"/>
      <c r="DX75" s="151"/>
      <c r="DY75" s="151"/>
      <c r="DZ75" s="151"/>
      <c r="EA75" s="161"/>
      <c r="EB75" s="161"/>
      <c r="EC75" s="161"/>
      <c r="ED75" s="161"/>
      <c r="EE75" s="161"/>
      <c r="EF75" s="161"/>
      <c r="EG75" s="161"/>
      <c r="EH75" s="161"/>
      <c r="EI75" s="161"/>
      <c r="EJ75" s="161"/>
      <c r="EK75" s="209"/>
      <c r="EL75" s="161"/>
      <c r="EM75" s="187"/>
      <c r="EN75" s="187"/>
      <c r="EO75" s="206"/>
      <c r="EP75" s="212"/>
      <c r="EQ75" s="208"/>
      <c r="ER75" s="187"/>
      <c r="ES75" s="187"/>
      <c r="ET75" s="187"/>
      <c r="EU75" s="187"/>
      <c r="EV75" s="210"/>
      <c r="EW75" s="209"/>
      <c r="EX75" s="210"/>
      <c r="EY75" s="162"/>
      <c r="EZ75" s="211"/>
      <c r="FA75" s="209"/>
      <c r="FB75" s="207"/>
      <c r="FC75" s="162"/>
      <c r="FD75" s="209"/>
      <c r="FE75" s="187"/>
      <c r="FF75" s="187"/>
    </row>
    <row r="76" spans="8:162" ht="15">
      <c r="H76" s="7" t="str">
        <f>"- Lực kéo tác dụng vào 1 bu lông ở dãy ngoài cùng:"</f>
        <v>- Lực kéo tác dụng vào 1 bu lông ở dãy ngoài cùng:</v>
      </c>
      <c r="I76" s="70"/>
      <c r="J76" s="70"/>
      <c r="K76" s="55"/>
      <c r="L76" s="69"/>
      <c r="M76" s="64"/>
      <c r="N76" s="50"/>
      <c r="O76" s="50"/>
      <c r="P76" s="50"/>
      <c r="Q76" s="55" t="s">
        <v>157</v>
      </c>
      <c r="R76" s="71">
        <f>ABS(R64)*1000*L57/(2*R58)+(P64*COS(RADIANS(R46))+ABS(Q64)*SIN(RADIANS(R46)))/R49</f>
        <v>488.90210835410829</v>
      </c>
      <c r="S76" s="9" t="s">
        <v>20</v>
      </c>
      <c r="AA76" s="140" t="s">
        <v>210</v>
      </c>
      <c r="AB76" s="140" t="s">
        <v>237</v>
      </c>
      <c r="AC76" s="140">
        <v>44</v>
      </c>
      <c r="AD76" s="141">
        <v>3</v>
      </c>
      <c r="AE76" s="151">
        <v>500</v>
      </c>
      <c r="AF76" s="152">
        <v>300</v>
      </c>
      <c r="AG76" s="152">
        <v>10</v>
      </c>
      <c r="AH76" s="152">
        <v>14</v>
      </c>
      <c r="AI76" s="152">
        <v>472</v>
      </c>
      <c r="AJ76" s="153" t="str" cm="1">
        <f t="array" ref="AJ76">_xll.Dce_Name_SectI(AE76, AE76, AF76, AG76, AH76, "x", "-", "H Tổng")</f>
        <v>500x300x10x14</v>
      </c>
      <c r="AK76" s="161">
        <f t="shared" si="6"/>
        <v>760</v>
      </c>
      <c r="AL76" s="162" cm="1">
        <f t="array" ref="AL76">IFERROR(INDEX($B$25:$B$32,IFERROR(MATCH(AF76,$B$25:$B$32,0),MATCH(AF76,$B$25:$B$32,1)+1)),$B$25)</f>
        <v>300</v>
      </c>
      <c r="AM76" s="162" cm="1">
        <f t="array" ref="AM76">IFERROR(VLOOKUP(AE76,$B$36:$E$47,4,FALSE),INDEX($E$36:$E$47,MATCH(AE76,$B$36:$B$47,1)+1))</f>
        <v>25</v>
      </c>
      <c r="AN76" s="162" cm="1">
        <f t="array" ref="AN76">IFERROR(VLOOKUP(AE76,$B$36:$E$47,2,FALSE),INDEX($C$36:$C$47,MATCH(AE76,$B$36:$B$47,1)+1))</f>
        <v>8</v>
      </c>
      <c r="AO76" s="162" cm="1">
        <f t="array" ref="AO76">IFERROR(VLOOKUP(AE76,$B$36:$E$47,3,FALSE),INDEX($D$36:$D$47,MATCH(AE76,$B$36:$B$47,1)+1))</f>
        <v>24</v>
      </c>
      <c r="AP76" s="163" t="str">
        <f t="shared" si="7"/>
        <v>760x300x25 + 8M24</v>
      </c>
      <c r="AQ76" s="140" t="s">
        <v>268</v>
      </c>
      <c r="AR76" s="151">
        <v>0</v>
      </c>
      <c r="AS76" s="151">
        <v>-121.97803914659218</v>
      </c>
      <c r="AT76" s="151">
        <v>-7.0701844379072997E-14</v>
      </c>
      <c r="AU76" s="151">
        <v>-1.530045033422085E-3</v>
      </c>
      <c r="AV76" s="151">
        <v>3.3409264688089024E-14</v>
      </c>
      <c r="AW76" s="151">
        <v>56.929387598581897</v>
      </c>
      <c r="BA76" s="161">
        <f t="shared" si="8"/>
        <v>60</v>
      </c>
      <c r="BB76" s="161">
        <f t="shared" si="9"/>
        <v>70</v>
      </c>
      <c r="BC76" s="161">
        <f t="shared" si="10"/>
        <v>80</v>
      </c>
      <c r="BD76" s="161">
        <f t="shared" si="11"/>
        <v>150</v>
      </c>
      <c r="BE76" s="161">
        <f>HLOOKUP(AO76,Data!$H$31:$Q$35,3,FALSE)</f>
        <v>452.38934211693021</v>
      </c>
      <c r="BF76" s="161">
        <f>HLOOKUP(AO76,Data!$H$31:$Q$35,4,FALSE)</f>
        <v>353</v>
      </c>
      <c r="BG76" s="179">
        <f t="shared" si="12"/>
        <v>150</v>
      </c>
      <c r="BH76" s="185">
        <f t="shared" si="13"/>
        <v>121.65654188208487</v>
      </c>
      <c r="BI76" s="185">
        <f t="shared" si="14"/>
        <v>243</v>
      </c>
      <c r="BJ76" s="185">
        <f t="shared" si="15"/>
        <v>142.3296</v>
      </c>
      <c r="BK76" s="185">
        <f t="shared" si="16"/>
        <v>15.171585667468644</v>
      </c>
      <c r="BL76" s="186">
        <f t="shared" si="17"/>
        <v>0.94666666666666666</v>
      </c>
      <c r="BM76" s="186">
        <f t="shared" si="18"/>
        <v>0.13173416439622748</v>
      </c>
      <c r="BN76" s="185" t="str">
        <f t="shared" si="19"/>
        <v>OK</v>
      </c>
      <c r="BO76" s="185" cm="1">
        <f t="array" ref="BO76">_xll.DCEBoltDisRS(AN76, AE76, BA76, BB76, BC76, BD76, "h1")</f>
        <v>640</v>
      </c>
      <c r="BP76" s="185" cm="1">
        <f t="array" ref="BP76">_xll.DCEBoltDisRS(AN76, AE76, BA76, BB76, BC76, BD76, "Tong")</f>
        <v>672200</v>
      </c>
      <c r="BQ76" s="185">
        <f t="shared" si="20"/>
        <v>28.618324933224407</v>
      </c>
      <c r="BR76" s="186">
        <f t="shared" si="21"/>
        <v>0.20107078874123449</v>
      </c>
      <c r="BS76" s="185" t="str">
        <f t="shared" si="22"/>
        <v>OK</v>
      </c>
      <c r="BT76" s="186">
        <f t="shared" si="23"/>
        <v>0.23660438018560184</v>
      </c>
      <c r="BU76" s="185" t="str">
        <f t="shared" si="24"/>
        <v>OK</v>
      </c>
      <c r="BV76" s="190">
        <f t="shared" si="25"/>
        <v>113.85877519716379</v>
      </c>
      <c r="BW76" s="191">
        <f t="shared" si="26"/>
        <v>2.134852034946821</v>
      </c>
      <c r="BX76" s="190">
        <f t="shared" si="27"/>
        <v>56.929387598581897</v>
      </c>
      <c r="BY76" s="167">
        <f t="shared" si="28"/>
        <v>26.966552020380895</v>
      </c>
      <c r="BZ76" s="192">
        <f t="shared" si="29"/>
        <v>0.13108740565462937</v>
      </c>
      <c r="CA76" s="191">
        <f t="shared" si="30"/>
        <v>2.9962835578200999</v>
      </c>
      <c r="CB76" s="193">
        <f t="shared" si="31"/>
        <v>2.511252981889452E-2</v>
      </c>
      <c r="CC76" s="167">
        <f t="shared" si="32"/>
        <v>27.461392414524397</v>
      </c>
      <c r="CD76" s="191">
        <f t="shared" si="33"/>
        <v>0.11608076503724082</v>
      </c>
      <c r="CE76" s="189">
        <f t="shared" si="34"/>
        <v>0.13108740565462937</v>
      </c>
      <c r="CF76" s="194" t="str">
        <f t="shared" si="35"/>
        <v>OK</v>
      </c>
      <c r="DA76" s="140"/>
      <c r="DB76" s="140"/>
      <c r="DC76" s="140"/>
      <c r="DD76" s="141"/>
      <c r="DE76" s="151"/>
      <c r="DF76" s="152"/>
      <c r="DG76" s="152"/>
      <c r="DH76" s="152"/>
      <c r="DI76" s="152"/>
      <c r="DJ76" s="152"/>
      <c r="DK76" s="161"/>
      <c r="DL76" s="162"/>
      <c r="DM76" s="162"/>
      <c r="DN76" s="162"/>
      <c r="DO76" s="162"/>
      <c r="DP76" s="162"/>
      <c r="DQ76" s="140"/>
      <c r="DR76" s="151"/>
      <c r="DS76" s="151"/>
      <c r="DT76" s="151"/>
      <c r="DU76" s="151"/>
      <c r="DV76" s="151"/>
      <c r="DW76" s="151"/>
      <c r="DX76" s="151"/>
      <c r="DY76" s="151"/>
      <c r="DZ76" s="151"/>
      <c r="EA76" s="161"/>
      <c r="EB76" s="161"/>
      <c r="EC76" s="161"/>
      <c r="ED76" s="161"/>
      <c r="EE76" s="161"/>
      <c r="EF76" s="161"/>
      <c r="EG76" s="161"/>
      <c r="EH76" s="161"/>
      <c r="EI76" s="161"/>
      <c r="EJ76" s="161"/>
      <c r="EK76" s="209"/>
      <c r="EL76" s="161"/>
      <c r="EM76" s="187"/>
      <c r="EN76" s="187"/>
      <c r="EO76" s="206"/>
      <c r="EP76" s="212"/>
      <c r="EQ76" s="208"/>
      <c r="ER76" s="187"/>
      <c r="ES76" s="187"/>
      <c r="ET76" s="187"/>
      <c r="EU76" s="187"/>
      <c r="EV76" s="210"/>
      <c r="EW76" s="209"/>
      <c r="EX76" s="210"/>
      <c r="EY76" s="162"/>
      <c r="EZ76" s="211"/>
      <c r="FA76" s="209"/>
      <c r="FB76" s="207"/>
      <c r="FC76" s="162"/>
      <c r="FD76" s="209"/>
      <c r="FE76" s="187"/>
      <c r="FF76" s="187"/>
    </row>
    <row r="77" spans="8:162" ht="14.25">
      <c r="H77" s="7" t="str">
        <f>"- Tỷ số huy động cấu kiện:"</f>
        <v>- Tỷ số huy động cấu kiện:</v>
      </c>
      <c r="I77" s="50"/>
      <c r="J77" s="50"/>
      <c r="K77" s="55"/>
      <c r="L77" s="69"/>
      <c r="M77" s="64"/>
      <c r="N77" s="50"/>
      <c r="O77" s="50"/>
      <c r="P77" s="50"/>
      <c r="Q77" s="55" t="s">
        <v>106</v>
      </c>
      <c r="R77" s="72">
        <f>R76/R69</f>
        <v>3.4349995247236578</v>
      </c>
      <c r="S77" s="12" t="str">
        <f>IF(R77&lt;=1,"OK","Check")</f>
        <v>Check</v>
      </c>
      <c r="AA77" s="140" t="s">
        <v>210</v>
      </c>
      <c r="AB77" s="140" t="s">
        <v>238</v>
      </c>
      <c r="AC77" s="140">
        <v>46</v>
      </c>
      <c r="AD77" s="141">
        <v>0</v>
      </c>
      <c r="AE77" s="151">
        <v>750</v>
      </c>
      <c r="AF77" s="152">
        <v>350</v>
      </c>
      <c r="AG77" s="152">
        <v>14</v>
      </c>
      <c r="AH77" s="152">
        <v>18.000000000000004</v>
      </c>
      <c r="AI77" s="152">
        <v>714</v>
      </c>
      <c r="AJ77" s="153" t="str" cm="1">
        <f t="array" ref="AJ77">_xll.Dce_Name_SectI(AE77, AE77, AF77, AG77, AH77, "x", "-", "H Tổng")</f>
        <v>750x350x14x18</v>
      </c>
      <c r="AK77" s="161">
        <f t="shared" si="6"/>
        <v>1010</v>
      </c>
      <c r="AL77" s="162" cm="1">
        <f t="array" ref="AL77">IFERROR(INDEX($B$25:$B$32,IFERROR(MATCH(AF77,$B$25:$B$32,0),MATCH(AF77,$B$25:$B$32,1)+1)),$B$25)</f>
        <v>350</v>
      </c>
      <c r="AM77" s="162" cm="1">
        <f t="array" ref="AM77">IFERROR(VLOOKUP(AE77,$B$36:$E$47,4,FALSE),INDEX($E$36:$E$47,MATCH(AE77,$B$36:$B$47,1)+1))</f>
        <v>25</v>
      </c>
      <c r="AN77" s="162" cm="1">
        <f t="array" ref="AN77">IFERROR(VLOOKUP(AE77,$B$36:$E$47,2,FALSE),INDEX($C$36:$C$47,MATCH(AE77,$B$36:$B$47,1)+1))</f>
        <v>12</v>
      </c>
      <c r="AO77" s="162" cm="1">
        <f t="array" ref="AO77">IFERROR(VLOOKUP(AE77,$B$36:$E$47,3,FALSE),INDEX($D$36:$D$47,MATCH(AE77,$B$36:$B$47,1)+1))</f>
        <v>24</v>
      </c>
      <c r="AP77" s="163" t="str">
        <f t="shared" si="7"/>
        <v>1010x350x25 + 12M24</v>
      </c>
      <c r="AQ77" s="140" t="s">
        <v>242</v>
      </c>
      <c r="AR77" s="151">
        <v>0</v>
      </c>
      <c r="AS77" s="151">
        <v>256.38343897226935</v>
      </c>
      <c r="AT77" s="151">
        <v>-3.0559021979570381E-14</v>
      </c>
      <c r="AU77" s="151">
        <v>-2.5001251753249925E-3</v>
      </c>
      <c r="AV77" s="151">
        <v>2.0861625671386711E-14</v>
      </c>
      <c r="AW77" s="151">
        <v>-209.70737740730777</v>
      </c>
      <c r="BA77" s="161">
        <f t="shared" si="8"/>
        <v>60</v>
      </c>
      <c r="BB77" s="161">
        <f t="shared" si="9"/>
        <v>70</v>
      </c>
      <c r="BC77" s="161">
        <f t="shared" si="10"/>
        <v>80</v>
      </c>
      <c r="BD77" s="161">
        <f t="shared" si="11"/>
        <v>150</v>
      </c>
      <c r="BE77" s="161">
        <f>HLOOKUP(AO77,Data!$H$31:$Q$35,3,FALSE)</f>
        <v>452.38934211693021</v>
      </c>
      <c r="BF77" s="161">
        <f>HLOOKUP(AO77,Data!$H$31:$Q$35,4,FALSE)</f>
        <v>353</v>
      </c>
      <c r="BG77" s="179">
        <f t="shared" si="12"/>
        <v>180</v>
      </c>
      <c r="BH77" s="185">
        <f t="shared" si="13"/>
        <v>121.65654188208487</v>
      </c>
      <c r="BI77" s="185">
        <f t="shared" si="14"/>
        <v>243</v>
      </c>
      <c r="BJ77" s="185">
        <f t="shared" si="15"/>
        <v>142.3296</v>
      </c>
      <c r="BK77" s="185">
        <f t="shared" si="16"/>
        <v>21.259254727611758</v>
      </c>
      <c r="BL77" s="186">
        <f t="shared" si="17"/>
        <v>0.89458333333333329</v>
      </c>
      <c r="BM77" s="186">
        <f t="shared" si="18"/>
        <v>0.19534026185931699</v>
      </c>
      <c r="BN77" s="185" t="str">
        <f t="shared" si="19"/>
        <v>OK</v>
      </c>
      <c r="BO77" s="185" cm="1">
        <f t="array" ref="BO77">_xll.DCEBoltDisRS(AN77, AE77, BA77, BB77, BC77, BD77, "h1")</f>
        <v>890</v>
      </c>
      <c r="BP77" s="185" cm="1">
        <f t="array" ref="BP77">_xll.DCEBoltDisRS(AN77, AE77, BA77, BB77, BC77, BD77, "Tong")</f>
        <v>1800300</v>
      </c>
      <c r="BQ77" s="185">
        <f t="shared" si="20"/>
        <v>53.961610051026994</v>
      </c>
      <c r="BR77" s="186">
        <f t="shared" si="21"/>
        <v>0.37913132651976111</v>
      </c>
      <c r="BS77" s="185" t="str">
        <f t="shared" si="22"/>
        <v>OK</v>
      </c>
      <c r="BT77" s="186">
        <f t="shared" si="23"/>
        <v>0.41746553880134757</v>
      </c>
      <c r="BU77" s="185" t="str">
        <f t="shared" si="24"/>
        <v>OK</v>
      </c>
      <c r="BV77" s="190">
        <f t="shared" si="25"/>
        <v>279.60983654307705</v>
      </c>
      <c r="BW77" s="191">
        <f t="shared" si="26"/>
        <v>6.2912213222192337</v>
      </c>
      <c r="BX77" s="190">
        <f t="shared" si="27"/>
        <v>139.80491827153853</v>
      </c>
      <c r="BY77" s="167">
        <f t="shared" si="28"/>
        <v>59.797747221093708</v>
      </c>
      <c r="BZ77" s="192">
        <f t="shared" si="29"/>
        <v>0.29068349343587224</v>
      </c>
      <c r="CA77" s="191">
        <f t="shared" si="30"/>
        <v>5.5368284463975659</v>
      </c>
      <c r="CB77" s="193">
        <f t="shared" si="31"/>
        <v>4.6405410829481519E-2</v>
      </c>
      <c r="CC77" s="167">
        <f t="shared" si="32"/>
        <v>60.561869030375313</v>
      </c>
      <c r="CD77" s="191">
        <f t="shared" si="33"/>
        <v>0.25599823865496818</v>
      </c>
      <c r="CE77" s="189">
        <f t="shared" si="34"/>
        <v>0.29068349343587224</v>
      </c>
      <c r="CF77" s="194" t="str">
        <f t="shared" si="35"/>
        <v>OK</v>
      </c>
      <c r="DA77" s="140"/>
      <c r="DB77" s="140"/>
      <c r="DC77" s="140"/>
      <c r="DD77" s="141"/>
      <c r="DE77" s="151"/>
      <c r="DF77" s="152"/>
      <c r="DG77" s="152"/>
      <c r="DH77" s="152"/>
      <c r="DI77" s="152"/>
      <c r="DJ77" s="152"/>
      <c r="DK77" s="161"/>
      <c r="DL77" s="162"/>
      <c r="DM77" s="162"/>
      <c r="DN77" s="162"/>
      <c r="DO77" s="162"/>
      <c r="DP77" s="162"/>
      <c r="DQ77" s="140"/>
      <c r="DR77" s="151"/>
      <c r="DS77" s="151"/>
      <c r="DT77" s="151"/>
      <c r="DU77" s="151"/>
      <c r="DV77" s="151"/>
      <c r="DW77" s="151"/>
      <c r="DX77" s="151"/>
      <c r="DY77" s="151"/>
      <c r="DZ77" s="151"/>
      <c r="EA77" s="161"/>
      <c r="EB77" s="161"/>
      <c r="EC77" s="161"/>
      <c r="ED77" s="161"/>
      <c r="EE77" s="161"/>
      <c r="EF77" s="161"/>
      <c r="EG77" s="161"/>
      <c r="EH77" s="161"/>
      <c r="EI77" s="161"/>
      <c r="EJ77" s="161"/>
      <c r="EK77" s="209"/>
      <c r="EL77" s="161"/>
      <c r="EM77" s="187"/>
      <c r="EN77" s="187"/>
      <c r="EO77" s="206"/>
      <c r="EP77" s="212"/>
      <c r="EQ77" s="208"/>
      <c r="ER77" s="187"/>
      <c r="ES77" s="187"/>
      <c r="ET77" s="187"/>
      <c r="EU77" s="187"/>
      <c r="EV77" s="210"/>
      <c r="EW77" s="209"/>
      <c r="EX77" s="210"/>
      <c r="EY77" s="162"/>
      <c r="EZ77" s="211"/>
      <c r="FA77" s="209"/>
      <c r="FB77" s="207"/>
      <c r="FC77" s="162"/>
      <c r="FD77" s="209"/>
      <c r="FE77" s="187"/>
      <c r="FF77" s="187"/>
    </row>
    <row r="78" spans="8:162">
      <c r="H78" s="6" t="s">
        <v>227</v>
      </c>
      <c r="I78" s="70"/>
      <c r="J78" s="70"/>
      <c r="K78" s="55"/>
      <c r="L78" s="69"/>
      <c r="M78" s="64"/>
      <c r="N78" s="50"/>
      <c r="O78" s="50"/>
      <c r="P78" s="50"/>
      <c r="Q78" s="55"/>
      <c r="R78" s="61"/>
      <c r="S78" s="9"/>
      <c r="AA78" s="140" t="s">
        <v>210</v>
      </c>
      <c r="AB78" s="140" t="s">
        <v>238</v>
      </c>
      <c r="AC78" s="140">
        <v>46</v>
      </c>
      <c r="AD78" s="141">
        <v>2.6850000000000001</v>
      </c>
      <c r="AE78" s="151">
        <v>1100</v>
      </c>
      <c r="AF78" s="152">
        <v>350</v>
      </c>
      <c r="AG78" s="152">
        <v>14</v>
      </c>
      <c r="AH78" s="152">
        <v>18.000000000000004</v>
      </c>
      <c r="AI78" s="152">
        <v>1064</v>
      </c>
      <c r="AJ78" s="153" t="str" cm="1">
        <f t="array" ref="AJ78">_xll.Dce_Name_SectI(AE78, AE78, AF78, AG78, AH78, "x", "-", "H Tổng")</f>
        <v>1100x350x14x18</v>
      </c>
      <c r="AK78" s="161">
        <f t="shared" si="6"/>
        <v>1360</v>
      </c>
      <c r="AL78" s="162" cm="1">
        <f t="array" ref="AL78">IFERROR(INDEX($B$25:$B$32,IFERROR(MATCH(AF78,$B$25:$B$32,0),MATCH(AF78,$B$25:$B$32,1)+1)),$B$25)</f>
        <v>350</v>
      </c>
      <c r="AM78" s="162" cm="1">
        <f t="array" ref="AM78">IFERROR(VLOOKUP(AE78,$B$36:$E$47,4,FALSE),INDEX($E$36:$E$47,MATCH(AE78,$B$36:$B$47,1)+1))</f>
        <v>25</v>
      </c>
      <c r="AN78" s="162" cm="1">
        <f t="array" ref="AN78">IFERROR(VLOOKUP(AE78,$B$36:$E$47,2,FALSE),INDEX($C$36:$C$47,MATCH(AE78,$B$36:$B$47,1)+1))</f>
        <v>12</v>
      </c>
      <c r="AO78" s="162" cm="1">
        <f t="array" ref="AO78">IFERROR(VLOOKUP(AE78,$B$36:$E$47,3,FALSE),INDEX($D$36:$D$47,MATCH(AE78,$B$36:$B$47,1)+1))</f>
        <v>24</v>
      </c>
      <c r="AP78" s="163" t="str">
        <f t="shared" si="7"/>
        <v>1360x350x25 + 12M24</v>
      </c>
      <c r="AQ78" s="140" t="s">
        <v>242</v>
      </c>
      <c r="AR78" s="151">
        <v>0</v>
      </c>
      <c r="AS78" s="151">
        <v>345.98930289644835</v>
      </c>
      <c r="AT78" s="151">
        <v>-6.3664629124104962E-15</v>
      </c>
      <c r="AU78" s="151">
        <v>-2.4997532783090372E-3</v>
      </c>
      <c r="AV78" s="151">
        <v>1.7584170564077791E-15</v>
      </c>
      <c r="AW78" s="151">
        <v>-1031.4583211890797</v>
      </c>
      <c r="BA78" s="161">
        <f t="shared" si="8"/>
        <v>60</v>
      </c>
      <c r="BB78" s="161">
        <f t="shared" si="9"/>
        <v>70</v>
      </c>
      <c r="BC78" s="161">
        <f t="shared" si="10"/>
        <v>80</v>
      </c>
      <c r="BD78" s="161">
        <f t="shared" si="11"/>
        <v>150</v>
      </c>
      <c r="BE78" s="161">
        <f>HLOOKUP(AO78,Data!$H$31:$Q$35,3,FALSE)</f>
        <v>452.38934211693021</v>
      </c>
      <c r="BF78" s="161">
        <f>HLOOKUP(AO78,Data!$H$31:$Q$35,4,FALSE)</f>
        <v>353</v>
      </c>
      <c r="BG78" s="179">
        <f t="shared" si="12"/>
        <v>180</v>
      </c>
      <c r="BH78" s="185">
        <f t="shared" si="13"/>
        <v>121.65654188208487</v>
      </c>
      <c r="BI78" s="185">
        <f t="shared" si="14"/>
        <v>243</v>
      </c>
      <c r="BJ78" s="185">
        <f t="shared" si="15"/>
        <v>142.3296</v>
      </c>
      <c r="BK78" s="185">
        <f t="shared" si="16"/>
        <v>28.689351983066235</v>
      </c>
      <c r="BL78" s="186">
        <f t="shared" si="17"/>
        <v>0.82166666666666666</v>
      </c>
      <c r="BM78" s="186">
        <f t="shared" si="18"/>
        <v>0.28700509235300087</v>
      </c>
      <c r="BN78" s="185" t="str">
        <f t="shared" si="19"/>
        <v>OK</v>
      </c>
      <c r="BO78" s="185" cm="1">
        <f t="array" ref="BO78">_xll.DCEBoltDisRS(AN78, AE78, BA78, BB78, BC78, BD78, "h1")</f>
        <v>1240</v>
      </c>
      <c r="BP78" s="185" cm="1">
        <f t="array" ref="BP78">_xll.DCEBoltDisRS(AN78, AE78, BA78, BB78, BC78, BD78, "Tong")</f>
        <v>3721800</v>
      </c>
      <c r="BQ78" s="185">
        <f t="shared" si="20"/>
        <v>174.69551350375812</v>
      </c>
      <c r="BR78" s="186">
        <f t="shared" si="21"/>
        <v>1.2274011414614958</v>
      </c>
      <c r="BS78" s="185" t="str">
        <f t="shared" si="22"/>
        <v>O/S</v>
      </c>
      <c r="BT78" s="186">
        <f t="shared" si="23"/>
        <v>1.2498503197761828</v>
      </c>
      <c r="BU78" s="185" t="str">
        <f t="shared" si="24"/>
        <v>O/S</v>
      </c>
      <c r="BV78" s="190">
        <f t="shared" si="25"/>
        <v>937.68938289916332</v>
      </c>
      <c r="BW78" s="191">
        <f t="shared" si="26"/>
        <v>21.098011115231174</v>
      </c>
      <c r="BX78" s="190">
        <f t="shared" si="27"/>
        <v>468.84469144958166</v>
      </c>
      <c r="BY78" s="167">
        <f t="shared" si="28"/>
        <v>148.92713728398476</v>
      </c>
      <c r="BZ78" s="192">
        <f t="shared" si="29"/>
        <v>0.72395136179714825</v>
      </c>
      <c r="CA78" s="191">
        <f t="shared" si="30"/>
        <v>13.789549748517107</v>
      </c>
      <c r="CB78" s="193">
        <f t="shared" si="31"/>
        <v>0.11557333362023439</v>
      </c>
      <c r="CC78" s="167">
        <f t="shared" si="32"/>
        <v>150.83019348394183</v>
      </c>
      <c r="CD78" s="191">
        <f t="shared" si="33"/>
        <v>0.63756724298767697</v>
      </c>
      <c r="CE78" s="189">
        <f t="shared" si="34"/>
        <v>0.72395136179714825</v>
      </c>
      <c r="CF78" s="194" t="str">
        <f t="shared" si="35"/>
        <v>OK</v>
      </c>
      <c r="DA78" s="140"/>
      <c r="DB78" s="140"/>
      <c r="DC78" s="140"/>
      <c r="DD78" s="141"/>
      <c r="DE78" s="151"/>
      <c r="DF78" s="152"/>
      <c r="DG78" s="152"/>
      <c r="DH78" s="152"/>
      <c r="DI78" s="152"/>
      <c r="DJ78" s="152"/>
      <c r="DK78" s="161"/>
      <c r="DL78" s="162"/>
      <c r="DM78" s="162"/>
      <c r="DN78" s="162"/>
      <c r="DO78" s="162"/>
      <c r="DP78" s="162"/>
      <c r="DQ78" s="140"/>
      <c r="DR78" s="151"/>
      <c r="DS78" s="151"/>
      <c r="DT78" s="151"/>
      <c r="DU78" s="151"/>
      <c r="DV78" s="151"/>
      <c r="DW78" s="151"/>
      <c r="DX78" s="151"/>
      <c r="DY78" s="151"/>
      <c r="DZ78" s="151"/>
      <c r="EA78" s="161"/>
      <c r="EB78" s="161"/>
      <c r="EC78" s="161"/>
      <c r="ED78" s="161"/>
      <c r="EE78" s="161"/>
      <c r="EF78" s="161"/>
      <c r="EG78" s="161"/>
      <c r="EH78" s="161"/>
      <c r="EI78" s="161"/>
      <c r="EJ78" s="161"/>
      <c r="EK78" s="209"/>
      <c r="EL78" s="161"/>
      <c r="EM78" s="187"/>
      <c r="EN78" s="187"/>
      <c r="EO78" s="206"/>
      <c r="EP78" s="212"/>
      <c r="EQ78" s="208"/>
      <c r="ER78" s="187"/>
      <c r="ES78" s="187"/>
      <c r="ET78" s="187"/>
      <c r="EU78" s="187"/>
      <c r="EV78" s="210"/>
      <c r="EW78" s="209"/>
      <c r="EX78" s="210"/>
      <c r="EY78" s="162"/>
      <c r="EZ78" s="211"/>
      <c r="FA78" s="209"/>
      <c r="FB78" s="207"/>
      <c r="FC78" s="162"/>
      <c r="FD78" s="209"/>
      <c r="FE78" s="187"/>
      <c r="FF78" s="187"/>
    </row>
    <row r="79" spans="8:162" ht="14.25">
      <c r="H79" s="7" t="s">
        <v>228</v>
      </c>
      <c r="I79" s="50"/>
      <c r="J79" s="50"/>
      <c r="K79" s="55"/>
      <c r="L79" s="69"/>
      <c r="M79" s="64"/>
      <c r="N79" s="50"/>
      <c r="O79" s="50"/>
      <c r="P79" s="50"/>
      <c r="Q79" s="55" t="s">
        <v>294</v>
      </c>
      <c r="R79" s="71">
        <f>R71/R67</f>
        <v>0.64689732685406498</v>
      </c>
      <c r="S79" s="12"/>
      <c r="AA79" s="140" t="s">
        <v>210</v>
      </c>
      <c r="AB79" s="140" t="s">
        <v>238</v>
      </c>
      <c r="AC79" s="140">
        <v>46</v>
      </c>
      <c r="AD79" s="141">
        <v>0</v>
      </c>
      <c r="AE79" s="151">
        <v>750</v>
      </c>
      <c r="AF79" s="152">
        <v>350</v>
      </c>
      <c r="AG79" s="152">
        <v>14</v>
      </c>
      <c r="AH79" s="152">
        <v>18.000000000000004</v>
      </c>
      <c r="AI79" s="152">
        <v>714</v>
      </c>
      <c r="AJ79" s="153" t="str" cm="1">
        <f t="array" ref="AJ79">_xll.Dce_Name_SectI(AE79, AE79, AF79, AG79, AH79, "x", "-", "H Tổng")</f>
        <v>750x350x14x18</v>
      </c>
      <c r="AK79" s="161">
        <f t="shared" si="6"/>
        <v>1010</v>
      </c>
      <c r="AL79" s="162" cm="1">
        <f t="array" ref="AL79">IFERROR(INDEX($B$25:$B$32,IFERROR(MATCH(AF79,$B$25:$B$32,0),MATCH(AF79,$B$25:$B$32,1)+1)),$B$25)</f>
        <v>350</v>
      </c>
      <c r="AM79" s="162" cm="1">
        <f t="array" ref="AM79">IFERROR(VLOOKUP(AE79,$B$36:$E$47,4,FALSE),INDEX($E$36:$E$47,MATCH(AE79,$B$36:$B$47,1)+1))</f>
        <v>25</v>
      </c>
      <c r="AN79" s="162" cm="1">
        <f t="array" ref="AN79">IFERROR(VLOOKUP(AE79,$B$36:$E$47,2,FALSE),INDEX($C$36:$C$47,MATCH(AE79,$B$36:$B$47,1)+1))</f>
        <v>12</v>
      </c>
      <c r="AO79" s="162" cm="1">
        <f t="array" ref="AO79">IFERROR(VLOOKUP(AE79,$B$36:$E$47,3,FALSE),INDEX($D$36:$D$47,MATCH(AE79,$B$36:$B$47,1)+1))</f>
        <v>24</v>
      </c>
      <c r="AP79" s="163" t="str">
        <f t="shared" si="7"/>
        <v>1010x350x25 + 12M24</v>
      </c>
      <c r="AQ79" s="140" t="s">
        <v>243</v>
      </c>
      <c r="AR79" s="151">
        <v>0</v>
      </c>
      <c r="AS79" s="151">
        <v>709.90729019714524</v>
      </c>
      <c r="AT79" s="151">
        <v>-7.2759576141834248E-14</v>
      </c>
      <c r="AU79" s="151">
        <v>-6.3347770678496883E-3</v>
      </c>
      <c r="AV79" s="151">
        <v>7.7602453529834728E-14</v>
      </c>
      <c r="AW79" s="151">
        <v>-637.84835083924156</v>
      </c>
      <c r="BA79" s="161">
        <f t="shared" si="8"/>
        <v>60</v>
      </c>
      <c r="BB79" s="161">
        <f t="shared" si="9"/>
        <v>70</v>
      </c>
      <c r="BC79" s="161">
        <f t="shared" si="10"/>
        <v>80</v>
      </c>
      <c r="BD79" s="161">
        <f t="shared" si="11"/>
        <v>150</v>
      </c>
      <c r="BE79" s="161">
        <f>HLOOKUP(AO79,Data!$H$31:$Q$35,3,FALSE)</f>
        <v>452.38934211693021</v>
      </c>
      <c r="BF79" s="161">
        <f>HLOOKUP(AO79,Data!$H$31:$Q$35,4,FALSE)</f>
        <v>353</v>
      </c>
      <c r="BG79" s="179">
        <f t="shared" si="12"/>
        <v>180</v>
      </c>
      <c r="BH79" s="185">
        <f t="shared" si="13"/>
        <v>121.65654188208487</v>
      </c>
      <c r="BI79" s="185">
        <f t="shared" si="14"/>
        <v>243</v>
      </c>
      <c r="BJ79" s="185">
        <f t="shared" si="15"/>
        <v>142.3296</v>
      </c>
      <c r="BK79" s="185">
        <f t="shared" si="16"/>
        <v>58.865346278946227</v>
      </c>
      <c r="BL79" s="186">
        <f t="shared" si="17"/>
        <v>0.89458333333333329</v>
      </c>
      <c r="BM79" s="186">
        <f t="shared" si="18"/>
        <v>0.54088312614430423</v>
      </c>
      <c r="BN79" s="185" t="str">
        <f t="shared" si="19"/>
        <v>OK</v>
      </c>
      <c r="BO79" s="185" cm="1">
        <f t="array" ref="BO79">_xll.DCEBoltDisRS(AN79, AE79, BA79, BB79, BC79, BD79, "h1")</f>
        <v>890</v>
      </c>
      <c r="BP79" s="185" cm="1">
        <f t="array" ref="BP79">_xll.DCEBoltDisRS(AN79, AE79, BA79, BB79, BC79, BD79, "Tong")</f>
        <v>1800300</v>
      </c>
      <c r="BQ79" s="185">
        <f t="shared" si="20"/>
        <v>163.55054402825152</v>
      </c>
      <c r="BR79" s="186">
        <f t="shared" si="21"/>
        <v>1.1490971943169341</v>
      </c>
      <c r="BS79" s="185" t="str">
        <f t="shared" si="22"/>
        <v>O/S</v>
      </c>
      <c r="BT79" s="186">
        <f t="shared" si="23"/>
        <v>1.2468158361105852</v>
      </c>
      <c r="BU79" s="185" t="str">
        <f t="shared" si="24"/>
        <v>O/S</v>
      </c>
      <c r="BV79" s="190">
        <f t="shared" si="25"/>
        <v>850.46446778565542</v>
      </c>
      <c r="BW79" s="191">
        <f t="shared" si="26"/>
        <v>19.135450525177244</v>
      </c>
      <c r="BX79" s="190">
        <f t="shared" si="27"/>
        <v>425.23223389282771</v>
      </c>
      <c r="BY79" s="167">
        <f t="shared" si="28"/>
        <v>181.88150994227874</v>
      </c>
      <c r="BZ79" s="192">
        <f t="shared" si="29"/>
        <v>0.8841462288860773</v>
      </c>
      <c r="CA79" s="191">
        <f t="shared" si="30"/>
        <v>16.840880550210997</v>
      </c>
      <c r="CB79" s="193">
        <f t="shared" si="31"/>
        <v>0.14114722683366498</v>
      </c>
      <c r="CC79" s="167">
        <f t="shared" si="32"/>
        <v>184.20567155221542</v>
      </c>
      <c r="CD79" s="191">
        <f t="shared" si="33"/>
        <v>0.7786471623583987</v>
      </c>
      <c r="CE79" s="189">
        <f t="shared" si="34"/>
        <v>0.8841462288860773</v>
      </c>
      <c r="CF79" s="194" t="str">
        <f t="shared" si="35"/>
        <v>OK</v>
      </c>
      <c r="DA79" s="140"/>
      <c r="DB79" s="140"/>
      <c r="DC79" s="140"/>
      <c r="DD79" s="141"/>
      <c r="DE79" s="151"/>
      <c r="DF79" s="152"/>
      <c r="DG79" s="152"/>
      <c r="DH79" s="152"/>
      <c r="DI79" s="152"/>
      <c r="DJ79" s="152"/>
      <c r="DK79" s="161"/>
      <c r="DL79" s="162"/>
      <c r="DM79" s="162"/>
      <c r="DN79" s="162"/>
      <c r="DO79" s="162"/>
      <c r="DP79" s="162"/>
      <c r="DQ79" s="140"/>
      <c r="DR79" s="151"/>
      <c r="DS79" s="151"/>
      <c r="DT79" s="151"/>
      <c r="DU79" s="151"/>
      <c r="DV79" s="151"/>
      <c r="DW79" s="151"/>
      <c r="DX79" s="151"/>
      <c r="DY79" s="151"/>
      <c r="DZ79" s="151"/>
      <c r="EA79" s="161"/>
      <c r="EB79" s="161"/>
      <c r="EC79" s="161"/>
      <c r="ED79" s="161"/>
      <c r="EE79" s="161"/>
      <c r="EF79" s="161"/>
      <c r="EG79" s="161"/>
      <c r="EH79" s="161"/>
      <c r="EI79" s="161"/>
      <c r="EJ79" s="161"/>
      <c r="EK79" s="209"/>
      <c r="EL79" s="161"/>
      <c r="EM79" s="187"/>
      <c r="EN79" s="187"/>
      <c r="EO79" s="206"/>
      <c r="EP79" s="212"/>
      <c r="EQ79" s="208"/>
      <c r="ER79" s="187"/>
      <c r="ES79" s="187"/>
      <c r="ET79" s="187"/>
      <c r="EU79" s="187"/>
      <c r="EV79" s="210"/>
      <c r="EW79" s="209"/>
      <c r="EX79" s="210"/>
      <c r="EY79" s="162"/>
      <c r="EZ79" s="211"/>
      <c r="FA79" s="209"/>
      <c r="FB79" s="207"/>
      <c r="FC79" s="162"/>
      <c r="FD79" s="209"/>
      <c r="FE79" s="187"/>
      <c r="FF79" s="187"/>
    </row>
    <row r="80" spans="8:162" ht="14.25">
      <c r="H80" s="7" t="s">
        <v>229</v>
      </c>
      <c r="I80" s="50"/>
      <c r="J80" s="50"/>
      <c r="K80" s="55"/>
      <c r="L80" s="69"/>
      <c r="M80" s="64"/>
      <c r="N80" s="50"/>
      <c r="O80" s="50"/>
      <c r="P80" s="50"/>
      <c r="Q80" s="55" t="s">
        <v>295</v>
      </c>
      <c r="R80" s="71">
        <f>R76/R69</f>
        <v>3.4349995247236578</v>
      </c>
      <c r="S80" s="12"/>
      <c r="AA80" s="140" t="s">
        <v>210</v>
      </c>
      <c r="AB80" s="140" t="s">
        <v>238</v>
      </c>
      <c r="AC80" s="140">
        <v>46</v>
      </c>
      <c r="AD80" s="141">
        <v>2.6850000000000001</v>
      </c>
      <c r="AE80" s="151">
        <v>1100</v>
      </c>
      <c r="AF80" s="152">
        <v>350</v>
      </c>
      <c r="AG80" s="152">
        <v>14</v>
      </c>
      <c r="AH80" s="152">
        <v>18.000000000000004</v>
      </c>
      <c r="AI80" s="152">
        <v>1064</v>
      </c>
      <c r="AJ80" s="153" t="str" cm="1">
        <f t="array" ref="AJ80">_xll.Dce_Name_SectI(AE80, AE80, AF80, AG80, AH80, "x", "-", "H Tổng")</f>
        <v>1100x350x14x18</v>
      </c>
      <c r="AK80" s="161">
        <f t="shared" si="6"/>
        <v>1360</v>
      </c>
      <c r="AL80" s="162" cm="1">
        <f t="array" ref="AL80">IFERROR(INDEX($B$25:$B$32,IFERROR(MATCH(AF80,$B$25:$B$32,0),MATCH(AF80,$B$25:$B$32,1)+1)),$B$25)</f>
        <v>350</v>
      </c>
      <c r="AM80" s="162" cm="1">
        <f t="array" ref="AM80">IFERROR(VLOOKUP(AE80,$B$36:$E$47,4,FALSE),INDEX($E$36:$E$47,MATCH(AE80,$B$36:$B$47,1)+1))</f>
        <v>25</v>
      </c>
      <c r="AN80" s="162" cm="1">
        <f t="array" ref="AN80">IFERROR(VLOOKUP(AE80,$B$36:$E$47,2,FALSE),INDEX($C$36:$C$47,MATCH(AE80,$B$36:$B$47,1)+1))</f>
        <v>12</v>
      </c>
      <c r="AO80" s="162" cm="1">
        <f t="array" ref="AO80">IFERROR(VLOOKUP(AE80,$B$36:$E$47,3,FALSE),INDEX($D$36:$D$47,MATCH(AE80,$B$36:$B$47,1)+1))</f>
        <v>24</v>
      </c>
      <c r="AP80" s="163" t="str">
        <f t="shared" si="7"/>
        <v>1360x350x25 + 12M24</v>
      </c>
      <c r="AQ80" s="140" t="s">
        <v>243</v>
      </c>
      <c r="AR80" s="151">
        <v>0</v>
      </c>
      <c r="AS80" s="151">
        <v>949.10171212260161</v>
      </c>
      <c r="AT80" s="151">
        <v>-1.7212187231052665E-14</v>
      </c>
      <c r="AU80" s="151">
        <v>-6.3338343419524689E-3</v>
      </c>
      <c r="AV80" s="151">
        <v>1.3151043276593553E-14</v>
      </c>
      <c r="AW80" s="151">
        <v>-2902.6552283151536</v>
      </c>
      <c r="BA80" s="161">
        <f t="shared" si="8"/>
        <v>60</v>
      </c>
      <c r="BB80" s="161">
        <f t="shared" si="9"/>
        <v>70</v>
      </c>
      <c r="BC80" s="161">
        <f t="shared" si="10"/>
        <v>80</v>
      </c>
      <c r="BD80" s="161">
        <f t="shared" si="11"/>
        <v>150</v>
      </c>
      <c r="BE80" s="161">
        <f>HLOOKUP(AO80,Data!$H$31:$Q$35,3,FALSE)</f>
        <v>452.38934211693021</v>
      </c>
      <c r="BF80" s="161">
        <f>HLOOKUP(AO80,Data!$H$31:$Q$35,4,FALSE)</f>
        <v>353</v>
      </c>
      <c r="BG80" s="179">
        <f t="shared" si="12"/>
        <v>180</v>
      </c>
      <c r="BH80" s="185">
        <f t="shared" si="13"/>
        <v>121.65654188208487</v>
      </c>
      <c r="BI80" s="185">
        <f t="shared" si="14"/>
        <v>243</v>
      </c>
      <c r="BJ80" s="185">
        <f t="shared" si="15"/>
        <v>142.3296</v>
      </c>
      <c r="BK80" s="185">
        <f t="shared" si="16"/>
        <v>78.699291737830293</v>
      </c>
      <c r="BL80" s="186">
        <f t="shared" si="17"/>
        <v>0.82166666666666666</v>
      </c>
      <c r="BM80" s="186">
        <f t="shared" si="18"/>
        <v>0.7872989779156977</v>
      </c>
      <c r="BN80" s="185" t="str">
        <f t="shared" si="19"/>
        <v>OK</v>
      </c>
      <c r="BO80" s="185" cm="1">
        <f t="array" ref="BO80">_xll.DCEBoltDisRS(AN80, AE80, BA80, BB80, BC80, BD80, "h1")</f>
        <v>1240</v>
      </c>
      <c r="BP80" s="185" cm="1">
        <f t="array" ref="BP80">_xll.DCEBoltDisRS(AN80, AE80, BA80, BB80, BC80, BD80, "Tong")</f>
        <v>3721800</v>
      </c>
      <c r="BQ80" s="185">
        <f t="shared" si="20"/>
        <v>491.41182867278764</v>
      </c>
      <c r="BR80" s="186">
        <f t="shared" si="21"/>
        <v>3.4526326826801146</v>
      </c>
      <c r="BS80" s="185" t="str">
        <f t="shared" si="22"/>
        <v>O/S</v>
      </c>
      <c r="BT80" s="186">
        <f t="shared" si="23"/>
        <v>3.512712426744014</v>
      </c>
      <c r="BU80" s="185" t="str">
        <f t="shared" si="24"/>
        <v>O/S</v>
      </c>
      <c r="BV80" s="190">
        <f t="shared" si="25"/>
        <v>2638.7774802865033</v>
      </c>
      <c r="BW80" s="191">
        <f t="shared" si="26"/>
        <v>59.372493306446323</v>
      </c>
      <c r="BX80" s="190">
        <f t="shared" si="27"/>
        <v>1319.3887401432517</v>
      </c>
      <c r="BY80" s="167">
        <f t="shared" si="28"/>
        <v>419.09995275138584</v>
      </c>
      <c r="BZ80" s="192">
        <f t="shared" si="29"/>
        <v>2.0372914369859036</v>
      </c>
      <c r="CA80" s="191">
        <f t="shared" si="30"/>
        <v>38.805551180683871</v>
      </c>
      <c r="CB80" s="193">
        <f t="shared" si="31"/>
        <v>0.32523809658140218</v>
      </c>
      <c r="CC80" s="167">
        <f t="shared" si="32"/>
        <v>424.45539554059604</v>
      </c>
      <c r="CD80" s="191">
        <f t="shared" si="33"/>
        <v>1.7941955125508291</v>
      </c>
      <c r="CE80" s="189">
        <f t="shared" si="34"/>
        <v>2.0372914369859036</v>
      </c>
      <c r="CF80" s="194" t="str">
        <f t="shared" si="35"/>
        <v>O/S</v>
      </c>
      <c r="DA80" s="140"/>
      <c r="DB80" s="140"/>
      <c r="DC80" s="140"/>
      <c r="DD80" s="141"/>
      <c r="DE80" s="151"/>
      <c r="DF80" s="152"/>
      <c r="DG80" s="152"/>
      <c r="DH80" s="152"/>
      <c r="DI80" s="152"/>
      <c r="DJ80" s="152"/>
      <c r="DK80" s="161"/>
      <c r="DL80" s="162"/>
      <c r="DM80" s="162"/>
      <c r="DN80" s="162"/>
      <c r="DO80" s="162"/>
      <c r="DP80" s="162"/>
      <c r="DQ80" s="140"/>
      <c r="DR80" s="151"/>
      <c r="DS80" s="151"/>
      <c r="DT80" s="151"/>
      <c r="DU80" s="151"/>
      <c r="DV80" s="151"/>
      <c r="DW80" s="151"/>
      <c r="DX80" s="151"/>
      <c r="DY80" s="151"/>
      <c r="DZ80" s="151"/>
      <c r="EA80" s="161"/>
      <c r="EB80" s="161"/>
      <c r="EC80" s="161"/>
      <c r="ED80" s="161"/>
      <c r="EE80" s="161"/>
      <c r="EF80" s="161"/>
      <c r="EG80" s="161"/>
      <c r="EH80" s="161"/>
      <c r="EI80" s="161"/>
      <c r="EJ80" s="161"/>
      <c r="EK80" s="209"/>
      <c r="EL80" s="161"/>
      <c r="EM80" s="187"/>
      <c r="EN80" s="187"/>
      <c r="EO80" s="206"/>
      <c r="EP80" s="212"/>
      <c r="EQ80" s="208"/>
      <c r="ER80" s="187"/>
      <c r="ES80" s="187"/>
      <c r="ET80" s="187"/>
      <c r="EU80" s="187"/>
      <c r="EV80" s="210"/>
      <c r="EW80" s="209"/>
      <c r="EX80" s="210"/>
      <c r="EY80" s="162"/>
      <c r="EZ80" s="211"/>
      <c r="FA80" s="209"/>
      <c r="FB80" s="207"/>
      <c r="FC80" s="162"/>
      <c r="FD80" s="209"/>
      <c r="FE80" s="187"/>
      <c r="FF80" s="187"/>
    </row>
    <row r="81" spans="8:162" ht="15">
      <c r="H81" s="7" t="s">
        <v>230</v>
      </c>
      <c r="I81" s="50"/>
      <c r="J81" s="50"/>
      <c r="K81" s="55"/>
      <c r="L81" s="69"/>
      <c r="M81" s="64"/>
      <c r="N81" s="50"/>
      <c r="O81" s="50"/>
      <c r="P81" s="50"/>
      <c r="Q81" s="55" t="s">
        <v>296</v>
      </c>
      <c r="R81" s="72">
        <f>SQRT(R79^2+R80^2)</f>
        <v>3.49538236625733</v>
      </c>
      <c r="S81" s="12" t="str">
        <f>IF(R81&lt;=1,"OK","Check")</f>
        <v>Check</v>
      </c>
      <c r="AA81" s="140" t="s">
        <v>210</v>
      </c>
      <c r="AB81" s="140" t="s">
        <v>238</v>
      </c>
      <c r="AC81" s="140">
        <v>46</v>
      </c>
      <c r="AD81" s="141">
        <v>0</v>
      </c>
      <c r="AE81" s="151">
        <v>750</v>
      </c>
      <c r="AF81" s="152">
        <v>350</v>
      </c>
      <c r="AG81" s="152">
        <v>14</v>
      </c>
      <c r="AH81" s="152">
        <v>18.000000000000004</v>
      </c>
      <c r="AI81" s="152">
        <v>714</v>
      </c>
      <c r="AJ81" s="153" t="str" cm="1">
        <f t="array" ref="AJ81">_xll.Dce_Name_SectI(AE81, AE81, AF81, AG81, AH81, "x", "-", "H Tổng")</f>
        <v>750x350x14x18</v>
      </c>
      <c r="AK81" s="161">
        <f t="shared" si="6"/>
        <v>1010</v>
      </c>
      <c r="AL81" s="162" cm="1">
        <f t="array" ref="AL81">IFERROR(INDEX($B$25:$B$32,IFERROR(MATCH(AF81,$B$25:$B$32,0),MATCH(AF81,$B$25:$B$32,1)+1)),$B$25)</f>
        <v>350</v>
      </c>
      <c r="AM81" s="162" cm="1">
        <f t="array" ref="AM81">IFERROR(VLOOKUP(AE81,$B$36:$E$47,4,FALSE),INDEX($E$36:$E$47,MATCH(AE81,$B$36:$B$47,1)+1))</f>
        <v>25</v>
      </c>
      <c r="AN81" s="162" cm="1">
        <f t="array" ref="AN81">IFERROR(VLOOKUP(AE81,$B$36:$E$47,2,FALSE),INDEX($C$36:$C$47,MATCH(AE81,$B$36:$B$47,1)+1))</f>
        <v>12</v>
      </c>
      <c r="AO81" s="162" cm="1">
        <f t="array" ref="AO81">IFERROR(VLOOKUP(AE81,$B$36:$E$47,3,FALSE),INDEX($D$36:$D$47,MATCH(AE81,$B$36:$B$47,1)+1))</f>
        <v>24</v>
      </c>
      <c r="AP81" s="163" t="str">
        <f t="shared" si="7"/>
        <v>1010x350x25 + 12M24</v>
      </c>
      <c r="AQ81" s="140" t="s">
        <v>244</v>
      </c>
      <c r="AR81" s="151">
        <v>0</v>
      </c>
      <c r="AS81" s="151">
        <v>526.74228915985111</v>
      </c>
      <c r="AT81" s="151">
        <v>-5.5297277867794024E-14</v>
      </c>
      <c r="AU81" s="151">
        <v>-4.7870939890918562E-3</v>
      </c>
      <c r="AV81" s="151">
        <v>5.5506825447082499E-14</v>
      </c>
      <c r="AW81" s="151">
        <v>-466.91842230292707</v>
      </c>
      <c r="BA81" s="161">
        <f t="shared" si="8"/>
        <v>60</v>
      </c>
      <c r="BB81" s="161">
        <f t="shared" si="9"/>
        <v>70</v>
      </c>
      <c r="BC81" s="161">
        <f t="shared" si="10"/>
        <v>80</v>
      </c>
      <c r="BD81" s="161">
        <f t="shared" si="11"/>
        <v>150</v>
      </c>
      <c r="BE81" s="161">
        <f>HLOOKUP(AO81,Data!$H$31:$Q$35,3,FALSE)</f>
        <v>452.38934211693021</v>
      </c>
      <c r="BF81" s="161">
        <f>HLOOKUP(AO81,Data!$H$31:$Q$35,4,FALSE)</f>
        <v>353</v>
      </c>
      <c r="BG81" s="179">
        <f t="shared" si="12"/>
        <v>180</v>
      </c>
      <c r="BH81" s="185">
        <f t="shared" si="13"/>
        <v>121.65654188208487</v>
      </c>
      <c r="BI81" s="185">
        <f t="shared" si="14"/>
        <v>243</v>
      </c>
      <c r="BJ81" s="185">
        <f t="shared" si="15"/>
        <v>142.3296</v>
      </c>
      <c r="BK81" s="185">
        <f t="shared" si="16"/>
        <v>43.677347280866321</v>
      </c>
      <c r="BL81" s="186">
        <f t="shared" si="17"/>
        <v>0.89458333333333329</v>
      </c>
      <c r="BM81" s="186">
        <f t="shared" si="18"/>
        <v>0.40132848326443771</v>
      </c>
      <c r="BN81" s="185" t="str">
        <f t="shared" si="19"/>
        <v>OK</v>
      </c>
      <c r="BO81" s="185" cm="1">
        <f t="array" ref="BO81">_xll.DCEBoltDisRS(AN81, AE81, BA81, BB81, BC81, BD81, "h1")</f>
        <v>890</v>
      </c>
      <c r="BP81" s="185" cm="1">
        <f t="array" ref="BP81">_xll.DCEBoltDisRS(AN81, AE81, BA81, BB81, BC81, BD81, "Tong")</f>
        <v>1800300</v>
      </c>
      <c r="BQ81" s="185">
        <f t="shared" si="20"/>
        <v>119.78110912391097</v>
      </c>
      <c r="BR81" s="186">
        <f t="shared" si="21"/>
        <v>0.84157553399932949</v>
      </c>
      <c r="BS81" s="185" t="str">
        <f t="shared" si="22"/>
        <v>OK</v>
      </c>
      <c r="BT81" s="186">
        <f t="shared" si="23"/>
        <v>0.91495683637331993</v>
      </c>
      <c r="BU81" s="185" t="str">
        <f t="shared" si="24"/>
        <v>OK</v>
      </c>
      <c r="BV81" s="190">
        <f t="shared" si="25"/>
        <v>622.55789640390276</v>
      </c>
      <c r="BW81" s="191">
        <f t="shared" si="26"/>
        <v>14.007552669087811</v>
      </c>
      <c r="BX81" s="190">
        <f t="shared" si="27"/>
        <v>311.27894820195138</v>
      </c>
      <c r="BY81" s="167">
        <f t="shared" si="28"/>
        <v>133.14109467647819</v>
      </c>
      <c r="BZ81" s="192">
        <f t="shared" si="29"/>
        <v>0.64721365467732461</v>
      </c>
      <c r="CA81" s="191">
        <f t="shared" si="30"/>
        <v>12.327879136710946</v>
      </c>
      <c r="CB81" s="193">
        <f t="shared" si="31"/>
        <v>0.10332274180672489</v>
      </c>
      <c r="CC81" s="167">
        <f t="shared" si="32"/>
        <v>134.84242990868634</v>
      </c>
      <c r="CD81" s="191">
        <f t="shared" si="33"/>
        <v>0.56998611676377087</v>
      </c>
      <c r="CE81" s="189">
        <f t="shared" si="34"/>
        <v>0.64721365467732461</v>
      </c>
      <c r="CF81" s="194" t="str">
        <f t="shared" si="35"/>
        <v>OK</v>
      </c>
      <c r="DA81" s="140"/>
      <c r="DB81" s="140"/>
      <c r="DC81" s="140"/>
      <c r="DD81" s="141"/>
      <c r="DE81" s="151"/>
      <c r="DF81" s="152"/>
      <c r="DG81" s="152"/>
      <c r="DH81" s="152"/>
      <c r="DI81" s="152"/>
      <c r="DJ81" s="152"/>
      <c r="DK81" s="161"/>
      <c r="DL81" s="162"/>
      <c r="DM81" s="162"/>
      <c r="DN81" s="162"/>
      <c r="DO81" s="162"/>
      <c r="DP81" s="162"/>
      <c r="DQ81" s="140"/>
      <c r="DR81" s="151"/>
      <c r="DS81" s="151"/>
      <c r="DT81" s="151"/>
      <c r="DU81" s="151"/>
      <c r="DV81" s="151"/>
      <c r="DW81" s="151"/>
      <c r="DX81" s="151"/>
      <c r="DY81" s="151"/>
      <c r="DZ81" s="151"/>
      <c r="EA81" s="161"/>
      <c r="EB81" s="161"/>
      <c r="EC81" s="161"/>
      <c r="ED81" s="161"/>
      <c r="EE81" s="161"/>
      <c r="EF81" s="161"/>
      <c r="EG81" s="161"/>
      <c r="EH81" s="161"/>
      <c r="EI81" s="161"/>
      <c r="EJ81" s="161"/>
      <c r="EK81" s="209"/>
      <c r="EL81" s="161"/>
      <c r="EM81" s="187"/>
      <c r="EN81" s="187"/>
      <c r="EO81" s="206"/>
      <c r="EP81" s="212"/>
      <c r="EQ81" s="208"/>
      <c r="ER81" s="187"/>
      <c r="ES81" s="187"/>
      <c r="ET81" s="187"/>
      <c r="EU81" s="187"/>
      <c r="EV81" s="210"/>
      <c r="EW81" s="209"/>
      <c r="EX81" s="210"/>
      <c r="EY81" s="162"/>
      <c r="EZ81" s="211"/>
      <c r="FA81" s="209"/>
      <c r="FB81" s="207"/>
      <c r="FC81" s="162"/>
      <c r="FD81" s="209"/>
      <c r="FE81" s="187"/>
      <c r="FF81" s="187"/>
    </row>
    <row r="82" spans="8:162">
      <c r="H82" s="6" t="s">
        <v>232</v>
      </c>
      <c r="I82" s="50"/>
      <c r="J82" s="50"/>
      <c r="K82" s="55"/>
      <c r="L82" s="69"/>
      <c r="M82" s="64"/>
      <c r="N82" s="50"/>
      <c r="O82" s="50"/>
      <c r="P82" s="50"/>
      <c r="Q82" s="55"/>
      <c r="R82" s="50"/>
      <c r="S82" s="12"/>
      <c r="AA82" s="140" t="s">
        <v>210</v>
      </c>
      <c r="AB82" s="140" t="s">
        <v>238</v>
      </c>
      <c r="AC82" s="140">
        <v>46</v>
      </c>
      <c r="AD82" s="141">
        <v>2.6850000000000001</v>
      </c>
      <c r="AE82" s="151">
        <v>1100</v>
      </c>
      <c r="AF82" s="152">
        <v>350</v>
      </c>
      <c r="AG82" s="152">
        <v>14</v>
      </c>
      <c r="AH82" s="152">
        <v>18.000000000000004</v>
      </c>
      <c r="AI82" s="152">
        <v>1064</v>
      </c>
      <c r="AJ82" s="153" t="str" cm="1">
        <f t="array" ref="AJ82">_xll.Dce_Name_SectI(AE82, AE82, AF82, AG82, AH82, "x", "-", "H Tổng")</f>
        <v>1100x350x14x18</v>
      </c>
      <c r="AK82" s="161">
        <f t="shared" si="6"/>
        <v>1360</v>
      </c>
      <c r="AL82" s="162" cm="1">
        <f t="array" ref="AL82">IFERROR(INDEX($B$25:$B$32,IFERROR(MATCH(AF82,$B$25:$B$32,0),MATCH(AF82,$B$25:$B$32,1)+1)),$B$25)</f>
        <v>350</v>
      </c>
      <c r="AM82" s="162" cm="1">
        <f t="array" ref="AM82">IFERROR(VLOOKUP(AE82,$B$36:$E$47,4,FALSE),INDEX($E$36:$E$47,MATCH(AE82,$B$36:$B$47,1)+1))</f>
        <v>25</v>
      </c>
      <c r="AN82" s="162" cm="1">
        <f t="array" ref="AN82">IFERROR(VLOOKUP(AE82,$B$36:$E$47,2,FALSE),INDEX($C$36:$C$47,MATCH(AE82,$B$36:$B$47,1)+1))</f>
        <v>12</v>
      </c>
      <c r="AO82" s="162" cm="1">
        <f t="array" ref="AO82">IFERROR(VLOOKUP(AE82,$B$36:$E$47,3,FALSE),INDEX($D$36:$D$47,MATCH(AE82,$B$36:$B$47,1)+1))</f>
        <v>24</v>
      </c>
      <c r="AP82" s="163" t="str">
        <f t="shared" si="7"/>
        <v>1360x350x25 + 12M24</v>
      </c>
      <c r="AQ82" s="140" t="s">
        <v>244</v>
      </c>
      <c r="AR82" s="151">
        <v>0</v>
      </c>
      <c r="AS82" s="151">
        <v>705.04068785163724</v>
      </c>
      <c r="AT82" s="151">
        <v>-1.3096723705530165E-14</v>
      </c>
      <c r="AU82" s="151">
        <v>-4.7863816671616741E-3</v>
      </c>
      <c r="AV82" s="151">
        <v>9.0003595687448949E-15</v>
      </c>
      <c r="AW82" s="151">
        <v>-2148.2787585235797</v>
      </c>
      <c r="BA82" s="161">
        <f t="shared" si="8"/>
        <v>60</v>
      </c>
      <c r="BB82" s="161">
        <f t="shared" si="9"/>
        <v>70</v>
      </c>
      <c r="BC82" s="161">
        <f t="shared" si="10"/>
        <v>80</v>
      </c>
      <c r="BD82" s="161">
        <f t="shared" si="11"/>
        <v>150</v>
      </c>
      <c r="BE82" s="161">
        <f>HLOOKUP(AO82,Data!$H$31:$Q$35,3,FALSE)</f>
        <v>452.38934211693021</v>
      </c>
      <c r="BF82" s="161">
        <f>HLOOKUP(AO82,Data!$H$31:$Q$35,4,FALSE)</f>
        <v>353</v>
      </c>
      <c r="BG82" s="179">
        <f t="shared" si="12"/>
        <v>180</v>
      </c>
      <c r="BH82" s="185">
        <f t="shared" si="13"/>
        <v>121.65654188208487</v>
      </c>
      <c r="BI82" s="185">
        <f t="shared" si="14"/>
        <v>243</v>
      </c>
      <c r="BJ82" s="185">
        <f t="shared" si="15"/>
        <v>142.3296</v>
      </c>
      <c r="BK82" s="185">
        <f t="shared" si="16"/>
        <v>58.461808751967595</v>
      </c>
      <c r="BL82" s="186">
        <f t="shared" si="17"/>
        <v>0.82166666666666666</v>
      </c>
      <c r="BM82" s="186">
        <f t="shared" si="18"/>
        <v>0.58484544474499001</v>
      </c>
      <c r="BN82" s="185" t="str">
        <f t="shared" si="19"/>
        <v>OK</v>
      </c>
      <c r="BO82" s="185" cm="1">
        <f t="array" ref="BO82">_xll.DCEBoltDisRS(AN82, AE82, BA82, BB82, BC82, BD82, "h1")</f>
        <v>1240</v>
      </c>
      <c r="BP82" s="185" cm="1">
        <f t="array" ref="BP82">_xll.DCEBoltDisRS(AN82, AE82, BA82, BB82, BC82, BD82, "Tong")</f>
        <v>3721800</v>
      </c>
      <c r="BQ82" s="185">
        <f t="shared" si="20"/>
        <v>363.71947613142203</v>
      </c>
      <c r="BR82" s="186">
        <f t="shared" si="21"/>
        <v>2.5554731842949185</v>
      </c>
      <c r="BS82" s="185" t="str">
        <f t="shared" si="22"/>
        <v>O/S</v>
      </c>
      <c r="BT82" s="186">
        <f t="shared" si="23"/>
        <v>2.600263367964299</v>
      </c>
      <c r="BU82" s="185" t="str">
        <f t="shared" si="24"/>
        <v>O/S</v>
      </c>
      <c r="BV82" s="190">
        <f t="shared" si="25"/>
        <v>1952.9806895668905</v>
      </c>
      <c r="BW82" s="191">
        <f t="shared" si="26"/>
        <v>43.942065515255038</v>
      </c>
      <c r="BX82" s="190">
        <f t="shared" si="27"/>
        <v>976.49034478344527</v>
      </c>
      <c r="BY82" s="167">
        <f t="shared" si="28"/>
        <v>310.17928599003562</v>
      </c>
      <c r="BZ82" s="192">
        <f t="shared" si="29"/>
        <v>1.5078159735626733</v>
      </c>
      <c r="CA82" s="191">
        <f t="shared" si="30"/>
        <v>28.720304258336625</v>
      </c>
      <c r="CB82" s="193">
        <f t="shared" si="31"/>
        <v>0.24071136231843437</v>
      </c>
      <c r="CC82" s="167">
        <f t="shared" si="32"/>
        <v>314.14289278505504</v>
      </c>
      <c r="CD82" s="191">
        <f t="shared" si="33"/>
        <v>1.3278987013861026</v>
      </c>
      <c r="CE82" s="189">
        <f t="shared" si="34"/>
        <v>1.5078159735626733</v>
      </c>
      <c r="CF82" s="194" t="str">
        <f t="shared" si="35"/>
        <v>O/S</v>
      </c>
      <c r="DA82" s="140"/>
      <c r="DB82" s="140"/>
      <c r="DC82" s="140"/>
      <c r="DD82" s="141"/>
      <c r="DE82" s="151"/>
      <c r="DF82" s="152"/>
      <c r="DG82" s="152"/>
      <c r="DH82" s="152"/>
      <c r="DI82" s="152"/>
      <c r="DJ82" s="152"/>
      <c r="DK82" s="161"/>
      <c r="DL82" s="162"/>
      <c r="DM82" s="162"/>
      <c r="DN82" s="162"/>
      <c r="DO82" s="162"/>
      <c r="DP82" s="162"/>
      <c r="DQ82" s="140"/>
      <c r="DR82" s="151"/>
      <c r="DS82" s="151"/>
      <c r="DT82" s="151"/>
      <c r="DU82" s="151"/>
      <c r="DV82" s="151"/>
      <c r="DW82" s="151"/>
      <c r="DX82" s="151"/>
      <c r="DY82" s="151"/>
      <c r="DZ82" s="151"/>
      <c r="EA82" s="161"/>
      <c r="EB82" s="161"/>
      <c r="EC82" s="161"/>
      <c r="ED82" s="161"/>
      <c r="EE82" s="161"/>
      <c r="EF82" s="161"/>
      <c r="EG82" s="161"/>
      <c r="EH82" s="161"/>
      <c r="EI82" s="161"/>
      <c r="EJ82" s="161"/>
      <c r="EK82" s="209"/>
      <c r="EL82" s="161"/>
      <c r="EM82" s="187"/>
      <c r="EN82" s="187"/>
      <c r="EO82" s="206"/>
      <c r="EP82" s="212"/>
      <c r="EQ82" s="208"/>
      <c r="ER82" s="187"/>
      <c r="ES82" s="187"/>
      <c r="ET82" s="187"/>
      <c r="EU82" s="187"/>
      <c r="EV82" s="210"/>
      <c r="EW82" s="209"/>
      <c r="EX82" s="210"/>
      <c r="EY82" s="162"/>
      <c r="EZ82" s="211"/>
      <c r="FA82" s="209"/>
      <c r="FB82" s="207"/>
      <c r="FC82" s="162"/>
      <c r="FD82" s="209"/>
      <c r="FE82" s="187"/>
      <c r="FF82" s="187"/>
    </row>
    <row r="83" spans="8:162">
      <c r="H83" s="7" t="str">
        <f>"- Mặt bích ngàm bởi 2 cột bu lông, chịu lực tập trung P tại giữa thanh:"</f>
        <v>- Mặt bích ngàm bởi 2 cột bu lông, chịu lực tập trung P tại giữa thanh:</v>
      </c>
      <c r="I83" s="50"/>
      <c r="J83" s="50"/>
      <c r="K83" s="55"/>
      <c r="L83" s="69"/>
      <c r="M83" s="64"/>
      <c r="N83" s="50"/>
      <c r="O83" s="50"/>
      <c r="P83" s="50"/>
      <c r="Q83" s="55" t="s">
        <v>231</v>
      </c>
      <c r="R83" s="73">
        <f>ABS(R64)/((R47-R45)/1000)+P64*COS(RADIANS(R46))+Q64*SIN(RADIANS(R46))</f>
        <v>2763.5809860861555</v>
      </c>
      <c r="S83" s="9" t="s">
        <v>20</v>
      </c>
      <c r="AA83" s="140" t="s">
        <v>210</v>
      </c>
      <c r="AB83" s="140" t="s">
        <v>238</v>
      </c>
      <c r="AC83" s="140">
        <v>46</v>
      </c>
      <c r="AD83" s="141">
        <v>0</v>
      </c>
      <c r="AE83" s="151">
        <v>750</v>
      </c>
      <c r="AF83" s="152">
        <v>350</v>
      </c>
      <c r="AG83" s="152">
        <v>14</v>
      </c>
      <c r="AH83" s="152">
        <v>18.000000000000004</v>
      </c>
      <c r="AI83" s="152">
        <v>714</v>
      </c>
      <c r="AJ83" s="153" t="str" cm="1">
        <f t="array" ref="AJ83">_xll.Dce_Name_SectI(AE83, AE83, AF83, AG83, AH83, "x", "-", "H Tổng")</f>
        <v>750x350x14x18</v>
      </c>
      <c r="AK83" s="161">
        <f t="shared" si="6"/>
        <v>1010</v>
      </c>
      <c r="AL83" s="162" cm="1">
        <f t="array" ref="AL83">IFERROR(INDEX($B$25:$B$32,IFERROR(MATCH(AF83,$B$25:$B$32,0),MATCH(AF83,$B$25:$B$32,1)+1)),$B$25)</f>
        <v>350</v>
      </c>
      <c r="AM83" s="162" cm="1">
        <f t="array" ref="AM83">IFERROR(VLOOKUP(AE83,$B$36:$E$47,4,FALSE),INDEX($E$36:$E$47,MATCH(AE83,$B$36:$B$47,1)+1))</f>
        <v>25</v>
      </c>
      <c r="AN83" s="162" cm="1">
        <f t="array" ref="AN83">IFERROR(VLOOKUP(AE83,$B$36:$E$47,2,FALSE),INDEX($C$36:$C$47,MATCH(AE83,$B$36:$B$47,1)+1))</f>
        <v>12</v>
      </c>
      <c r="AO83" s="162" cm="1">
        <f t="array" ref="AO83">IFERROR(VLOOKUP(AE83,$B$36:$E$47,3,FALSE),INDEX($D$36:$D$47,MATCH(AE83,$B$36:$B$47,1)+1))</f>
        <v>24</v>
      </c>
      <c r="AP83" s="163" t="str">
        <f t="shared" si="7"/>
        <v>1010x350x25 + 12M24</v>
      </c>
      <c r="AQ83" s="140" t="s">
        <v>245</v>
      </c>
      <c r="AR83" s="151">
        <v>0</v>
      </c>
      <c r="AS83" s="151">
        <v>218.32674357194458</v>
      </c>
      <c r="AT83" s="151">
        <v>-2.6193447411060326E-14</v>
      </c>
      <c r="AU83" s="151">
        <v>-2.0932977989750975E-3</v>
      </c>
      <c r="AV83" s="151">
        <v>1.8253922462463371E-14</v>
      </c>
      <c r="AW83" s="151">
        <v>-173.60844283013404</v>
      </c>
      <c r="BA83" s="161">
        <f t="shared" si="8"/>
        <v>60</v>
      </c>
      <c r="BB83" s="161">
        <f t="shared" si="9"/>
        <v>70</v>
      </c>
      <c r="BC83" s="161">
        <f t="shared" si="10"/>
        <v>80</v>
      </c>
      <c r="BD83" s="161">
        <f t="shared" si="11"/>
        <v>150</v>
      </c>
      <c r="BE83" s="161">
        <f>HLOOKUP(AO83,Data!$H$31:$Q$35,3,FALSE)</f>
        <v>452.38934211693021</v>
      </c>
      <c r="BF83" s="161">
        <f>HLOOKUP(AO83,Data!$H$31:$Q$35,4,FALSE)</f>
        <v>353</v>
      </c>
      <c r="BG83" s="179">
        <f t="shared" si="12"/>
        <v>180</v>
      </c>
      <c r="BH83" s="185">
        <f t="shared" si="13"/>
        <v>121.65654188208487</v>
      </c>
      <c r="BI83" s="185">
        <f t="shared" si="14"/>
        <v>243</v>
      </c>
      <c r="BJ83" s="185">
        <f t="shared" si="15"/>
        <v>142.3296</v>
      </c>
      <c r="BK83" s="185">
        <f t="shared" si="16"/>
        <v>18.103602455960377</v>
      </c>
      <c r="BL83" s="186">
        <f t="shared" si="17"/>
        <v>0.89458333333333329</v>
      </c>
      <c r="BM83" s="186">
        <f t="shared" si="18"/>
        <v>0.16634461036638351</v>
      </c>
      <c r="BN83" s="185" t="str">
        <f t="shared" si="19"/>
        <v>OK</v>
      </c>
      <c r="BO83" s="185" cm="1">
        <f t="array" ref="BO83">_xll.DCEBoltDisRS(AN83, AE83, BA83, BB83, BC83, BD83, "h1")</f>
        <v>890</v>
      </c>
      <c r="BP83" s="185" cm="1">
        <f t="array" ref="BP83">_xll.DCEBoltDisRS(AN83, AE83, BA83, BB83, BC83, BD83, "Tong")</f>
        <v>1800300</v>
      </c>
      <c r="BQ83" s="185">
        <f t="shared" si="20"/>
        <v>44.723073159782366</v>
      </c>
      <c r="BR83" s="186">
        <f t="shared" si="21"/>
        <v>0.31422187064238477</v>
      </c>
      <c r="BS83" s="185" t="str">
        <f t="shared" si="22"/>
        <v>OK</v>
      </c>
      <c r="BT83" s="186">
        <f t="shared" si="23"/>
        <v>0.34767734611522078</v>
      </c>
      <c r="BU83" s="185" t="str">
        <f t="shared" si="24"/>
        <v>OK</v>
      </c>
      <c r="BV83" s="190">
        <f t="shared" si="25"/>
        <v>231.47792377351206</v>
      </c>
      <c r="BW83" s="191">
        <f t="shared" si="26"/>
        <v>5.2082532849040213</v>
      </c>
      <c r="BX83" s="190">
        <f t="shared" si="27"/>
        <v>115.73896188675603</v>
      </c>
      <c r="BY83" s="167">
        <f t="shared" si="28"/>
        <v>49.504189638691685</v>
      </c>
      <c r="BZ83" s="192">
        <f t="shared" si="29"/>
        <v>0.24064536629919572</v>
      </c>
      <c r="CA83" s="191">
        <f t="shared" si="30"/>
        <v>4.5837212628418236</v>
      </c>
      <c r="CB83" s="193">
        <f t="shared" si="31"/>
        <v>3.8417204070752838E-2</v>
      </c>
      <c r="CC83" s="167">
        <f t="shared" si="32"/>
        <v>50.136775859939718</v>
      </c>
      <c r="CD83" s="191">
        <f t="shared" si="33"/>
        <v>0.21193081583307855</v>
      </c>
      <c r="CE83" s="189">
        <f t="shared" si="34"/>
        <v>0.24064536629919572</v>
      </c>
      <c r="CF83" s="194" t="str">
        <f t="shared" si="35"/>
        <v>OK</v>
      </c>
      <c r="DA83" s="140"/>
      <c r="DB83" s="140"/>
      <c r="DC83" s="140"/>
      <c r="DD83" s="141"/>
      <c r="DE83" s="151"/>
      <c r="DF83" s="152"/>
      <c r="DG83" s="152"/>
      <c r="DH83" s="152"/>
      <c r="DI83" s="152"/>
      <c r="DJ83" s="152"/>
      <c r="DK83" s="161"/>
      <c r="DL83" s="162"/>
      <c r="DM83" s="162"/>
      <c r="DN83" s="162"/>
      <c r="DO83" s="162"/>
      <c r="DP83" s="162"/>
      <c r="DQ83" s="140"/>
      <c r="DR83" s="151"/>
      <c r="DS83" s="151"/>
      <c r="DT83" s="151"/>
      <c r="DU83" s="151"/>
      <c r="DV83" s="151"/>
      <c r="DW83" s="151"/>
      <c r="DX83" s="151"/>
      <c r="DY83" s="151"/>
      <c r="DZ83" s="151"/>
      <c r="EA83" s="161"/>
      <c r="EB83" s="161"/>
      <c r="EC83" s="161"/>
      <c r="ED83" s="161"/>
      <c r="EE83" s="161"/>
      <c r="EF83" s="161"/>
      <c r="EG83" s="161"/>
      <c r="EH83" s="161"/>
      <c r="EI83" s="161"/>
      <c r="EJ83" s="161"/>
      <c r="EK83" s="209"/>
      <c r="EL83" s="161"/>
      <c r="EM83" s="187"/>
      <c r="EN83" s="187"/>
      <c r="EO83" s="206"/>
      <c r="EP83" s="212"/>
      <c r="EQ83" s="208"/>
      <c r="ER83" s="187"/>
      <c r="ES83" s="187"/>
      <c r="ET83" s="187"/>
      <c r="EU83" s="187"/>
      <c r="EV83" s="210"/>
      <c r="EW83" s="209"/>
      <c r="EX83" s="210"/>
      <c r="EY83" s="162"/>
      <c r="EZ83" s="211"/>
      <c r="FA83" s="209"/>
      <c r="FB83" s="207"/>
      <c r="FC83" s="162"/>
      <c r="FD83" s="209"/>
      <c r="FE83" s="187"/>
      <c r="FF83" s="187"/>
    </row>
    <row r="84" spans="8:162" ht="14.25">
      <c r="H84" s="7" t="str">
        <f>"- Moment gây uốn mặt bích:"</f>
        <v>- Moment gây uốn mặt bích:</v>
      </c>
      <c r="I84" s="50"/>
      <c r="J84" s="50"/>
      <c r="K84" s="55"/>
      <c r="L84" s="69"/>
      <c r="M84" s="64"/>
      <c r="N84" s="50"/>
      <c r="O84" s="50"/>
      <c r="P84" s="50"/>
      <c r="Q84" s="55" t="s">
        <v>117</v>
      </c>
      <c r="R84" s="73">
        <f>R83*(R53/1000)/8</f>
        <v>62.180572186938498</v>
      </c>
      <c r="S84" s="9" t="s">
        <v>21</v>
      </c>
      <c r="AA84" s="140" t="s">
        <v>210</v>
      </c>
      <c r="AB84" s="140" t="s">
        <v>238</v>
      </c>
      <c r="AC84" s="140">
        <v>46</v>
      </c>
      <c r="AD84" s="141">
        <v>2.6850000000000001</v>
      </c>
      <c r="AE84" s="151">
        <v>1100</v>
      </c>
      <c r="AF84" s="152">
        <v>350</v>
      </c>
      <c r="AG84" s="152">
        <v>14</v>
      </c>
      <c r="AH84" s="152">
        <v>18.000000000000004</v>
      </c>
      <c r="AI84" s="152">
        <v>1064</v>
      </c>
      <c r="AJ84" s="153" t="str" cm="1">
        <f t="array" ref="AJ84">_xll.Dce_Name_SectI(AE84, AE84, AF84, AG84, AH84, "x", "-", "H Tổng")</f>
        <v>1100x350x14x18</v>
      </c>
      <c r="AK84" s="161">
        <f t="shared" si="6"/>
        <v>1360</v>
      </c>
      <c r="AL84" s="162" cm="1">
        <f t="array" ref="AL84">IFERROR(INDEX($B$25:$B$32,IFERROR(MATCH(AF84,$B$25:$B$32,0),MATCH(AF84,$B$25:$B$32,1)+1)),$B$25)</f>
        <v>350</v>
      </c>
      <c r="AM84" s="162" cm="1">
        <f t="array" ref="AM84">IFERROR(VLOOKUP(AE84,$B$36:$E$47,4,FALSE),INDEX($E$36:$E$47,MATCH(AE84,$B$36:$B$47,1)+1))</f>
        <v>25</v>
      </c>
      <c r="AN84" s="162" cm="1">
        <f t="array" ref="AN84">IFERROR(VLOOKUP(AE84,$B$36:$E$47,2,FALSE),INDEX($C$36:$C$47,MATCH(AE84,$B$36:$B$47,1)+1))</f>
        <v>12</v>
      </c>
      <c r="AO84" s="162" cm="1">
        <f t="array" ref="AO84">IFERROR(VLOOKUP(AE84,$B$36:$E$47,3,FALSE),INDEX($D$36:$D$47,MATCH(AE84,$B$36:$B$47,1)+1))</f>
        <v>24</v>
      </c>
      <c r="AP84" s="163" t="str">
        <f t="shared" si="7"/>
        <v>1360x350x25 + 12M24</v>
      </c>
      <c r="AQ84" s="140" t="s">
        <v>245</v>
      </c>
      <c r="AR84" s="151">
        <v>0</v>
      </c>
      <c r="AS84" s="151">
        <v>295.13176937685228</v>
      </c>
      <c r="AT84" s="151">
        <v>-5.8207660913467402E-15</v>
      </c>
      <c r="AU84" s="151">
        <v>-2.092986085893428E-3</v>
      </c>
      <c r="AV84" s="151">
        <v>3.1577656045556063E-14</v>
      </c>
      <c r="AW84" s="151">
        <v>-874.1255557452007</v>
      </c>
      <c r="BA84" s="161">
        <f t="shared" si="8"/>
        <v>60</v>
      </c>
      <c r="BB84" s="161">
        <f t="shared" si="9"/>
        <v>70</v>
      </c>
      <c r="BC84" s="161">
        <f t="shared" si="10"/>
        <v>80</v>
      </c>
      <c r="BD84" s="161">
        <f t="shared" si="11"/>
        <v>150</v>
      </c>
      <c r="BE84" s="161">
        <f>HLOOKUP(AO84,Data!$H$31:$Q$35,3,FALSE)</f>
        <v>452.38934211693021</v>
      </c>
      <c r="BF84" s="161">
        <f>HLOOKUP(AO84,Data!$H$31:$Q$35,4,FALSE)</f>
        <v>353</v>
      </c>
      <c r="BG84" s="179">
        <f t="shared" si="12"/>
        <v>180</v>
      </c>
      <c r="BH84" s="185">
        <f t="shared" si="13"/>
        <v>121.65654188208487</v>
      </c>
      <c r="BI84" s="185">
        <f t="shared" si="14"/>
        <v>243</v>
      </c>
      <c r="BJ84" s="185">
        <f t="shared" si="15"/>
        <v>142.3296</v>
      </c>
      <c r="BK84" s="185">
        <f t="shared" si="16"/>
        <v>24.472257211870467</v>
      </c>
      <c r="BL84" s="186">
        <f t="shared" si="17"/>
        <v>0.82166666666666666</v>
      </c>
      <c r="BM84" s="186">
        <f t="shared" si="18"/>
        <v>0.2448177444135009</v>
      </c>
      <c r="BN84" s="185" t="str">
        <f t="shared" si="19"/>
        <v>OK</v>
      </c>
      <c r="BO84" s="185" cm="1">
        <f t="array" ref="BO84">_xll.DCEBoltDisRS(AN84, AE84, BA84, BB84, BC84, BD84, "h1")</f>
        <v>1240</v>
      </c>
      <c r="BP84" s="185" cm="1">
        <f t="array" ref="BP84">_xll.DCEBoltDisRS(AN84, AE84, BA84, BB84, BC84, BD84, "Tong")</f>
        <v>3721800</v>
      </c>
      <c r="BQ84" s="185">
        <f t="shared" si="20"/>
        <v>148.06435844245752</v>
      </c>
      <c r="BR84" s="186">
        <f t="shared" si="21"/>
        <v>1.0402920997632081</v>
      </c>
      <c r="BS84" s="185" t="str">
        <f t="shared" si="22"/>
        <v>O/S</v>
      </c>
      <c r="BT84" s="186">
        <f t="shared" si="23"/>
        <v>1.0595623752920742</v>
      </c>
      <c r="BU84" s="185" t="str">
        <f t="shared" si="24"/>
        <v>O/S</v>
      </c>
      <c r="BV84" s="190">
        <f t="shared" si="25"/>
        <v>794.65959613200062</v>
      </c>
      <c r="BW84" s="191">
        <f t="shared" si="26"/>
        <v>17.879840912970014</v>
      </c>
      <c r="BX84" s="190">
        <f t="shared" si="27"/>
        <v>397.32979806600031</v>
      </c>
      <c r="BY84" s="167">
        <f t="shared" si="28"/>
        <v>126.21064173861188</v>
      </c>
      <c r="BZ84" s="192">
        <f t="shared" si="29"/>
        <v>0.61352395289603001</v>
      </c>
      <c r="CA84" s="191">
        <f t="shared" si="30"/>
        <v>11.68617053135295</v>
      </c>
      <c r="CB84" s="193">
        <f t="shared" si="31"/>
        <v>9.7944436924653558E-2</v>
      </c>
      <c r="CC84" s="167">
        <f t="shared" si="32"/>
        <v>127.82341660719223</v>
      </c>
      <c r="CD84" s="191">
        <f t="shared" si="33"/>
        <v>0.5403163745473103</v>
      </c>
      <c r="CE84" s="189">
        <f t="shared" si="34"/>
        <v>0.61352395289603001</v>
      </c>
      <c r="CF84" s="194" t="str">
        <f t="shared" si="35"/>
        <v>OK</v>
      </c>
      <c r="DA84" s="140"/>
      <c r="DB84" s="140"/>
      <c r="DC84" s="140"/>
      <c r="DD84" s="141"/>
      <c r="DE84" s="151"/>
      <c r="DF84" s="152"/>
      <c r="DG84" s="152"/>
      <c r="DH84" s="152"/>
      <c r="DI84" s="152"/>
      <c r="DJ84" s="152"/>
      <c r="DK84" s="161"/>
      <c r="DL84" s="162"/>
      <c r="DM84" s="162"/>
      <c r="DN84" s="162"/>
      <c r="DO84" s="162"/>
      <c r="DP84" s="162"/>
      <c r="DQ84" s="140"/>
      <c r="DR84" s="151"/>
      <c r="DS84" s="151"/>
      <c r="DT84" s="151"/>
      <c r="DU84" s="151"/>
      <c r="DV84" s="151"/>
      <c r="DW84" s="151"/>
      <c r="DX84" s="151"/>
      <c r="DY84" s="151"/>
      <c r="DZ84" s="151"/>
      <c r="EA84" s="161"/>
      <c r="EB84" s="161"/>
      <c r="EC84" s="161"/>
      <c r="ED84" s="161"/>
      <c r="EE84" s="161"/>
      <c r="EF84" s="161"/>
      <c r="EG84" s="161"/>
      <c r="EH84" s="161"/>
      <c r="EI84" s="161"/>
      <c r="EJ84" s="161"/>
      <c r="EK84" s="209"/>
      <c r="EL84" s="161"/>
      <c r="EM84" s="187"/>
      <c r="EN84" s="187"/>
      <c r="EO84" s="206"/>
      <c r="EP84" s="212"/>
      <c r="EQ84" s="208"/>
      <c r="ER84" s="187"/>
      <c r="ES84" s="187"/>
      <c r="ET84" s="187"/>
      <c r="EU84" s="187"/>
      <c r="EV84" s="210"/>
      <c r="EW84" s="209"/>
      <c r="EX84" s="210"/>
      <c r="EY84" s="162"/>
      <c r="EZ84" s="211"/>
      <c r="FA84" s="209"/>
      <c r="FB84" s="207"/>
      <c r="FC84" s="162"/>
      <c r="FD84" s="209"/>
      <c r="FE84" s="187"/>
      <c r="FF84" s="187"/>
    </row>
    <row r="85" spans="8:162" ht="12.75" customHeight="1">
      <c r="H85" s="7" t="str">
        <f>"- Lực cắt trong mặt bích:"</f>
        <v>- Lực cắt trong mặt bích:</v>
      </c>
      <c r="I85" s="50"/>
      <c r="J85" s="50"/>
      <c r="K85" s="55"/>
      <c r="L85" s="69"/>
      <c r="M85" s="64"/>
      <c r="N85" s="50"/>
      <c r="O85" s="50"/>
      <c r="P85" s="50"/>
      <c r="Q85" s="55" t="s">
        <v>118</v>
      </c>
      <c r="R85" s="73">
        <f>R83/2</f>
        <v>1381.7904930430777</v>
      </c>
      <c r="S85" s="9" t="s">
        <v>20</v>
      </c>
      <c r="AA85" s="140" t="s">
        <v>210</v>
      </c>
      <c r="AB85" s="140" t="s">
        <v>238</v>
      </c>
      <c r="AC85" s="140">
        <v>46</v>
      </c>
      <c r="AD85" s="141">
        <v>0</v>
      </c>
      <c r="AE85" s="151">
        <v>750</v>
      </c>
      <c r="AF85" s="152">
        <v>350</v>
      </c>
      <c r="AG85" s="152">
        <v>14</v>
      </c>
      <c r="AH85" s="152">
        <v>18.000000000000004</v>
      </c>
      <c r="AI85" s="152">
        <v>714</v>
      </c>
      <c r="AJ85" s="153" t="str" cm="1">
        <f t="array" ref="AJ85">_xll.Dce_Name_SectI(AE85, AE85, AF85, AG85, AH85, "x", "-", "H Tổng")</f>
        <v>750x350x14x18</v>
      </c>
      <c r="AK85" s="161">
        <f t="shared" si="6"/>
        <v>1010</v>
      </c>
      <c r="AL85" s="162" cm="1">
        <f t="array" ref="AL85">IFERROR(INDEX($B$25:$B$32,IFERROR(MATCH(AF85,$B$25:$B$32,0),MATCH(AF85,$B$25:$B$32,1)+1)),$B$25)</f>
        <v>350</v>
      </c>
      <c r="AM85" s="162" cm="1">
        <f t="array" ref="AM85">IFERROR(VLOOKUP(AE85,$B$36:$E$47,4,FALSE),INDEX($E$36:$E$47,MATCH(AE85,$B$36:$B$47,1)+1))</f>
        <v>25</v>
      </c>
      <c r="AN85" s="162" cm="1">
        <f t="array" ref="AN85">IFERROR(VLOOKUP(AE85,$B$36:$E$47,2,FALSE),INDEX($C$36:$C$47,MATCH(AE85,$B$36:$B$47,1)+1))</f>
        <v>12</v>
      </c>
      <c r="AO85" s="162" cm="1">
        <f t="array" ref="AO85">IFERROR(VLOOKUP(AE85,$B$36:$E$47,3,FALSE),INDEX($D$36:$D$47,MATCH(AE85,$B$36:$B$47,1)+1))</f>
        <v>24</v>
      </c>
      <c r="AP85" s="163" t="str">
        <f t="shared" si="7"/>
        <v>1010x350x25 + 12M24</v>
      </c>
      <c r="AQ85" s="140" t="s">
        <v>246</v>
      </c>
      <c r="AR85" s="151">
        <v>0</v>
      </c>
      <c r="AS85" s="151">
        <v>218.85502184621441</v>
      </c>
      <c r="AT85" s="151">
        <v>-2.5902409106492991E-13</v>
      </c>
      <c r="AU85" s="151">
        <v>-2.0897684796314427E-3</v>
      </c>
      <c r="AV85" s="151">
        <v>-1.0095536708831785E-13</v>
      </c>
      <c r="AW85" s="151">
        <v>-173.69538316574994</v>
      </c>
      <c r="BA85" s="161">
        <f t="shared" si="8"/>
        <v>60</v>
      </c>
      <c r="BB85" s="161">
        <f t="shared" si="9"/>
        <v>70</v>
      </c>
      <c r="BC85" s="161">
        <f t="shared" si="10"/>
        <v>80</v>
      </c>
      <c r="BD85" s="161">
        <f t="shared" si="11"/>
        <v>150</v>
      </c>
      <c r="BE85" s="161">
        <f>HLOOKUP(AO85,Data!$H$31:$Q$35,3,FALSE)</f>
        <v>452.38934211693021</v>
      </c>
      <c r="BF85" s="161">
        <f>HLOOKUP(AO85,Data!$H$31:$Q$35,4,FALSE)</f>
        <v>353</v>
      </c>
      <c r="BG85" s="179">
        <f t="shared" si="12"/>
        <v>180</v>
      </c>
      <c r="BH85" s="185">
        <f t="shared" si="13"/>
        <v>121.65654188208487</v>
      </c>
      <c r="BI85" s="185">
        <f t="shared" si="14"/>
        <v>243</v>
      </c>
      <c r="BJ85" s="185">
        <f t="shared" si="15"/>
        <v>142.3296</v>
      </c>
      <c r="BK85" s="185">
        <f t="shared" si="16"/>
        <v>18.147407166766914</v>
      </c>
      <c r="BL85" s="186">
        <f t="shared" si="17"/>
        <v>0.89458333333333329</v>
      </c>
      <c r="BM85" s="186">
        <f t="shared" si="18"/>
        <v>0.16674710912700594</v>
      </c>
      <c r="BN85" s="185" t="str">
        <f t="shared" si="19"/>
        <v>OK</v>
      </c>
      <c r="BO85" s="185" cm="1">
        <f t="array" ref="BO85">_xll.DCEBoltDisRS(AN85, AE85, BA85, BB85, BC85, BD85, "h1")</f>
        <v>890</v>
      </c>
      <c r="BP85" s="185" cm="1">
        <f t="array" ref="BP85">_xll.DCEBoltDisRS(AN85, AE85, BA85, BB85, BC85, BD85, "Tong")</f>
        <v>1800300</v>
      </c>
      <c r="BQ85" s="185">
        <f t="shared" si="20"/>
        <v>44.748943632167851</v>
      </c>
      <c r="BR85" s="186">
        <f t="shared" si="21"/>
        <v>0.3144036351691275</v>
      </c>
      <c r="BS85" s="185" t="str">
        <f t="shared" si="22"/>
        <v>OK</v>
      </c>
      <c r="BT85" s="186">
        <f t="shared" si="23"/>
        <v>0.34799582105762977</v>
      </c>
      <c r="BU85" s="185" t="str">
        <f t="shared" si="24"/>
        <v>OK</v>
      </c>
      <c r="BV85" s="190">
        <f t="shared" si="25"/>
        <v>231.59384422099993</v>
      </c>
      <c r="BW85" s="191">
        <f t="shared" si="26"/>
        <v>5.2108614949724981</v>
      </c>
      <c r="BX85" s="190">
        <f t="shared" si="27"/>
        <v>115.79692211049996</v>
      </c>
      <c r="BY85" s="167">
        <f t="shared" si="28"/>
        <v>49.528980546273246</v>
      </c>
      <c r="BZ85" s="192">
        <f t="shared" si="29"/>
        <v>0.24076587765549498</v>
      </c>
      <c r="CA85" s="191">
        <f t="shared" si="30"/>
        <v>4.5860167172475235</v>
      </c>
      <c r="CB85" s="193">
        <f t="shared" si="31"/>
        <v>3.8436442793022829E-2</v>
      </c>
      <c r="CC85" s="167">
        <f t="shared" si="32"/>
        <v>50.161883556598376</v>
      </c>
      <c r="CD85" s="191">
        <f t="shared" si="33"/>
        <v>0.21203694740108014</v>
      </c>
      <c r="CE85" s="189">
        <f t="shared" si="34"/>
        <v>0.24076587765549498</v>
      </c>
      <c r="CF85" s="194" t="str">
        <f t="shared" si="35"/>
        <v>OK</v>
      </c>
      <c r="DA85" s="140"/>
      <c r="DB85" s="140"/>
      <c r="DC85" s="140"/>
      <c r="DD85" s="141"/>
      <c r="DE85" s="151"/>
      <c r="DF85" s="152"/>
      <c r="DG85" s="152"/>
      <c r="DH85" s="152"/>
      <c r="DI85" s="152"/>
      <c r="DJ85" s="152"/>
      <c r="DK85" s="161"/>
      <c r="DL85" s="162"/>
      <c r="DM85" s="162"/>
      <c r="DN85" s="162"/>
      <c r="DO85" s="162"/>
      <c r="DP85" s="162"/>
      <c r="DQ85" s="140"/>
      <c r="DR85" s="151"/>
      <c r="DS85" s="151"/>
      <c r="DT85" s="151"/>
      <c r="DU85" s="151"/>
      <c r="DV85" s="151"/>
      <c r="DW85" s="151"/>
      <c r="DX85" s="151"/>
      <c r="DY85" s="151"/>
      <c r="DZ85" s="151"/>
      <c r="EA85" s="161"/>
      <c r="EB85" s="161"/>
      <c r="EC85" s="161"/>
      <c r="ED85" s="161"/>
      <c r="EE85" s="161"/>
      <c r="EF85" s="161"/>
      <c r="EG85" s="161"/>
      <c r="EH85" s="161"/>
      <c r="EI85" s="161"/>
      <c r="EJ85" s="161"/>
      <c r="EK85" s="209"/>
      <c r="EL85" s="161"/>
      <c r="EM85" s="187"/>
      <c r="EN85" s="187"/>
      <c r="EO85" s="206"/>
      <c r="EP85" s="212"/>
      <c r="EQ85" s="208"/>
      <c r="ER85" s="187"/>
      <c r="ES85" s="187"/>
      <c r="ET85" s="187"/>
      <c r="EU85" s="187"/>
      <c r="EV85" s="210"/>
      <c r="EW85" s="209"/>
      <c r="EX85" s="210"/>
      <c r="EY85" s="162"/>
      <c r="EZ85" s="211"/>
      <c r="FA85" s="209"/>
      <c r="FB85" s="207"/>
      <c r="FC85" s="162"/>
      <c r="FD85" s="209"/>
      <c r="FE85" s="187"/>
      <c r="FF85" s="187"/>
    </row>
    <row r="86" spans="8:162" ht="15">
      <c r="H86" s="7" t="str">
        <f>"- Ứng suất pháp:"</f>
        <v>- Ứng suất pháp:</v>
      </c>
      <c r="I86" s="50"/>
      <c r="J86" s="50"/>
      <c r="K86" s="55"/>
      <c r="L86" s="69"/>
      <c r="M86" s="64"/>
      <c r="N86" s="50"/>
      <c r="O86" s="50"/>
      <c r="P86" s="50"/>
      <c r="Q86" s="59" t="s">
        <v>123</v>
      </c>
      <c r="R86" s="73">
        <f>6*R84*1000000/(R51*R50^2)</f>
        <v>437.15816481236789</v>
      </c>
      <c r="S86" s="9" t="s">
        <v>2</v>
      </c>
      <c r="AA86" s="140" t="s">
        <v>210</v>
      </c>
      <c r="AB86" s="140" t="s">
        <v>238</v>
      </c>
      <c r="AC86" s="140">
        <v>46</v>
      </c>
      <c r="AD86" s="141">
        <v>2.6850000000000001</v>
      </c>
      <c r="AE86" s="151">
        <v>1100</v>
      </c>
      <c r="AF86" s="152">
        <v>350</v>
      </c>
      <c r="AG86" s="152">
        <v>14</v>
      </c>
      <c r="AH86" s="152">
        <v>18.000000000000004</v>
      </c>
      <c r="AI86" s="152">
        <v>1064</v>
      </c>
      <c r="AJ86" s="153" t="str" cm="1">
        <f t="array" ref="AJ86">_xll.Dce_Name_SectI(AE86, AE86, AF86, AG86, AH86, "x", "-", "H Tổng")</f>
        <v>1100x350x14x18</v>
      </c>
      <c r="AK86" s="161">
        <f t="shared" si="6"/>
        <v>1360</v>
      </c>
      <c r="AL86" s="162" cm="1">
        <f t="array" ref="AL86">IFERROR(INDEX($B$25:$B$32,IFERROR(MATCH(AF86,$B$25:$B$32,0),MATCH(AF86,$B$25:$B$32,1)+1)),$B$25)</f>
        <v>350</v>
      </c>
      <c r="AM86" s="162" cm="1">
        <f t="array" ref="AM86">IFERROR(VLOOKUP(AE86,$B$36:$E$47,4,FALSE),INDEX($E$36:$E$47,MATCH(AE86,$B$36:$B$47,1)+1))</f>
        <v>25</v>
      </c>
      <c r="AN86" s="162" cm="1">
        <f t="array" ref="AN86">IFERROR(VLOOKUP(AE86,$B$36:$E$47,2,FALSE),INDEX($C$36:$C$47,MATCH(AE86,$B$36:$B$47,1)+1))</f>
        <v>12</v>
      </c>
      <c r="AO86" s="162" cm="1">
        <f t="array" ref="AO86">IFERROR(VLOOKUP(AE86,$B$36:$E$47,3,FALSE),INDEX($D$36:$D$47,MATCH(AE86,$B$36:$B$47,1)+1))</f>
        <v>24</v>
      </c>
      <c r="AP86" s="163" t="str">
        <f t="shared" si="7"/>
        <v>1360x350x25 + 12M24</v>
      </c>
      <c r="AQ86" s="140" t="s">
        <v>246</v>
      </c>
      <c r="AR86" s="151">
        <v>0</v>
      </c>
      <c r="AS86" s="151">
        <v>295.66004776923046</v>
      </c>
      <c r="AT86" s="151">
        <v>-5.8207660913467402E-15</v>
      </c>
      <c r="AU86" s="151">
        <v>-2.0894569741202883E-3</v>
      </c>
      <c r="AV86" s="151">
        <v>6.1379978433251361E-14</v>
      </c>
      <c r="AW86" s="151">
        <v>-875.6309182439677</v>
      </c>
      <c r="BA86" s="161">
        <f t="shared" si="8"/>
        <v>60</v>
      </c>
      <c r="BB86" s="161">
        <f t="shared" si="9"/>
        <v>70</v>
      </c>
      <c r="BC86" s="161">
        <f t="shared" si="10"/>
        <v>80</v>
      </c>
      <c r="BD86" s="161">
        <f t="shared" si="11"/>
        <v>150</v>
      </c>
      <c r="BE86" s="161">
        <f>HLOOKUP(AO86,Data!$H$31:$Q$35,3,FALSE)</f>
        <v>452.38934211693021</v>
      </c>
      <c r="BF86" s="161">
        <f>HLOOKUP(AO86,Data!$H$31:$Q$35,4,FALSE)</f>
        <v>353</v>
      </c>
      <c r="BG86" s="179">
        <f t="shared" si="12"/>
        <v>180</v>
      </c>
      <c r="BH86" s="185">
        <f t="shared" si="13"/>
        <v>121.65654188208487</v>
      </c>
      <c r="BI86" s="185">
        <f t="shared" si="14"/>
        <v>243</v>
      </c>
      <c r="BJ86" s="185">
        <f t="shared" si="15"/>
        <v>142.3296</v>
      </c>
      <c r="BK86" s="185">
        <f t="shared" si="16"/>
        <v>24.516061932470521</v>
      </c>
      <c r="BL86" s="186">
        <f t="shared" si="17"/>
        <v>0.82166666666666666</v>
      </c>
      <c r="BM86" s="186">
        <f t="shared" si="18"/>
        <v>0.2452559619754987</v>
      </c>
      <c r="BN86" s="185" t="str">
        <f t="shared" si="19"/>
        <v>OK</v>
      </c>
      <c r="BO86" s="185" cm="1">
        <f t="array" ref="BO86">_xll.DCEBoltDisRS(AN86, AE86, BA86, BB86, BC86, BD86, "h1")</f>
        <v>1240</v>
      </c>
      <c r="BP86" s="185" cm="1">
        <f t="array" ref="BP86">_xll.DCEBoltDisRS(AN86, AE86, BA86, BB86, BC86, BD86, "Tong")</f>
        <v>3721800</v>
      </c>
      <c r="BQ86" s="185">
        <f t="shared" si="20"/>
        <v>148.31951132282413</v>
      </c>
      <c r="BR86" s="186">
        <f t="shared" si="21"/>
        <v>1.0420847899721781</v>
      </c>
      <c r="BS86" s="185" t="str">
        <f t="shared" si="22"/>
        <v>O/S</v>
      </c>
      <c r="BT86" s="186">
        <f t="shared" si="23"/>
        <v>1.061390821181349</v>
      </c>
      <c r="BU86" s="185" t="str">
        <f t="shared" si="24"/>
        <v>O/S</v>
      </c>
      <c r="BV86" s="190">
        <f t="shared" si="25"/>
        <v>796.02810749451601</v>
      </c>
      <c r="BW86" s="191">
        <f t="shared" si="26"/>
        <v>17.910632418626609</v>
      </c>
      <c r="BX86" s="190">
        <f t="shared" si="27"/>
        <v>398.014053747258</v>
      </c>
      <c r="BY86" s="167">
        <f t="shared" si="28"/>
        <v>126.42799354324666</v>
      </c>
      <c r="BZ86" s="192">
        <f t="shared" si="29"/>
        <v>0.61458052416856024</v>
      </c>
      <c r="CA86" s="191">
        <f t="shared" si="30"/>
        <v>11.706295698448766</v>
      </c>
      <c r="CB86" s="193">
        <f t="shared" si="31"/>
        <v>9.8113110499450873E-2</v>
      </c>
      <c r="CC86" s="167">
        <f t="shared" si="32"/>
        <v>128.04354582840082</v>
      </c>
      <c r="CD86" s="191">
        <f t="shared" si="33"/>
        <v>0.54124687246304704</v>
      </c>
      <c r="CE86" s="189">
        <f t="shared" si="34"/>
        <v>0.61458052416856024</v>
      </c>
      <c r="CF86" s="194" t="str">
        <f t="shared" si="35"/>
        <v>OK</v>
      </c>
      <c r="DA86" s="140"/>
      <c r="DB86" s="140"/>
      <c r="DC86" s="140"/>
      <c r="DD86" s="141"/>
      <c r="DE86" s="151"/>
      <c r="DF86" s="152"/>
      <c r="DG86" s="152"/>
      <c r="DH86" s="152"/>
      <c r="DI86" s="152"/>
      <c r="DJ86" s="152"/>
      <c r="DK86" s="161"/>
      <c r="DL86" s="162"/>
      <c r="DM86" s="162"/>
      <c r="DN86" s="162"/>
      <c r="DO86" s="162"/>
      <c r="DP86" s="162"/>
      <c r="DQ86" s="140"/>
      <c r="DR86" s="151"/>
      <c r="DS86" s="151"/>
      <c r="DT86" s="151"/>
      <c r="DU86" s="151"/>
      <c r="DV86" s="151"/>
      <c r="DW86" s="151"/>
      <c r="DX86" s="151"/>
      <c r="DY86" s="151"/>
      <c r="DZ86" s="151"/>
      <c r="EA86" s="161"/>
      <c r="EB86" s="161"/>
      <c r="EC86" s="161"/>
      <c r="ED86" s="161"/>
      <c r="EE86" s="161"/>
      <c r="EF86" s="161"/>
      <c r="EG86" s="161"/>
      <c r="EH86" s="161"/>
      <c r="EI86" s="161"/>
      <c r="EJ86" s="161"/>
      <c r="EK86" s="209"/>
      <c r="EL86" s="161"/>
      <c r="EM86" s="187"/>
      <c r="EN86" s="187"/>
      <c r="EO86" s="206"/>
      <c r="EP86" s="212"/>
      <c r="EQ86" s="208"/>
      <c r="ER86" s="187"/>
      <c r="ES86" s="187"/>
      <c r="ET86" s="187"/>
      <c r="EU86" s="187"/>
      <c r="EV86" s="210"/>
      <c r="EW86" s="209"/>
      <c r="EX86" s="210"/>
      <c r="EY86" s="162"/>
      <c r="EZ86" s="211"/>
      <c r="FA86" s="209"/>
      <c r="FB86" s="207"/>
      <c r="FC86" s="162"/>
      <c r="FD86" s="209"/>
      <c r="FE86" s="187"/>
      <c r="FF86" s="187"/>
    </row>
    <row r="87" spans="8:162" ht="14.25">
      <c r="H87" s="41" t="str">
        <f>"+ Tỷ số huy động:"</f>
        <v>+ Tỷ số huy động:</v>
      </c>
      <c r="I87" s="50"/>
      <c r="J87" s="50"/>
      <c r="K87" s="55"/>
      <c r="L87" s="69"/>
      <c r="M87" s="64"/>
      <c r="N87" s="50"/>
      <c r="O87" s="50"/>
      <c r="P87" s="50"/>
      <c r="Q87" s="59" t="s">
        <v>119</v>
      </c>
      <c r="R87" s="72">
        <f>R86/(R32*R30)</f>
        <v>2.1250744122823439</v>
      </c>
      <c r="S87" s="12" t="str">
        <f>IF(R87&lt;=1,"OK","Check")</f>
        <v>Check</v>
      </c>
      <c r="AA87" s="140" t="s">
        <v>210</v>
      </c>
      <c r="AB87" s="140" t="s">
        <v>238</v>
      </c>
      <c r="AC87" s="140">
        <v>46</v>
      </c>
      <c r="AD87" s="141">
        <v>0</v>
      </c>
      <c r="AE87" s="151">
        <v>750</v>
      </c>
      <c r="AF87" s="152">
        <v>350</v>
      </c>
      <c r="AG87" s="152">
        <v>14</v>
      </c>
      <c r="AH87" s="152">
        <v>18.000000000000004</v>
      </c>
      <c r="AI87" s="152">
        <v>714</v>
      </c>
      <c r="AJ87" s="153" t="str" cm="1">
        <f t="array" ref="AJ87">_xll.Dce_Name_SectI(AE87, AE87, AF87, AG87, AH87, "x", "-", "H Tổng")</f>
        <v>750x350x14x18</v>
      </c>
      <c r="AK87" s="161">
        <f t="shared" si="6"/>
        <v>1010</v>
      </c>
      <c r="AL87" s="162" cm="1">
        <f t="array" ref="AL87">IFERROR(INDEX($B$25:$B$32,IFERROR(MATCH(AF87,$B$25:$B$32,0),MATCH(AF87,$B$25:$B$32,1)+1)),$B$25)</f>
        <v>350</v>
      </c>
      <c r="AM87" s="162" cm="1">
        <f t="array" ref="AM87">IFERROR(VLOOKUP(AE87,$B$36:$E$47,4,FALSE),INDEX($E$36:$E$47,MATCH(AE87,$B$36:$B$47,1)+1))</f>
        <v>25</v>
      </c>
      <c r="AN87" s="162" cm="1">
        <f t="array" ref="AN87">IFERROR(VLOOKUP(AE87,$B$36:$E$47,2,FALSE),INDEX($C$36:$C$47,MATCH(AE87,$B$36:$B$47,1)+1))</f>
        <v>12</v>
      </c>
      <c r="AO87" s="162" cm="1">
        <f t="array" ref="AO87">IFERROR(VLOOKUP(AE87,$B$36:$E$47,3,FALSE),INDEX($D$36:$D$47,MATCH(AE87,$B$36:$B$47,1)+1))</f>
        <v>24</v>
      </c>
      <c r="AP87" s="163" t="str">
        <f t="shared" si="7"/>
        <v>1010x350x25 + 12M24</v>
      </c>
      <c r="AQ87" s="140" t="s">
        <v>247</v>
      </c>
      <c r="AR87" s="151">
        <v>0</v>
      </c>
      <c r="AS87" s="151">
        <v>220.34853666828735</v>
      </c>
      <c r="AT87" s="151">
        <v>-1.4260876923799512E-13</v>
      </c>
      <c r="AU87" s="151">
        <v>-2.1695078507934272E-3</v>
      </c>
      <c r="AV87" s="151">
        <v>-1.0095536708831785E-13</v>
      </c>
      <c r="AW87" s="151">
        <v>-185.42579016954679</v>
      </c>
      <c r="BA87" s="161">
        <f t="shared" si="8"/>
        <v>60</v>
      </c>
      <c r="BB87" s="161">
        <f t="shared" si="9"/>
        <v>70</v>
      </c>
      <c r="BC87" s="161">
        <f t="shared" si="10"/>
        <v>80</v>
      </c>
      <c r="BD87" s="161">
        <f t="shared" si="11"/>
        <v>150</v>
      </c>
      <c r="BE87" s="161">
        <f>HLOOKUP(AO87,Data!$H$31:$Q$35,3,FALSE)</f>
        <v>452.38934211693021</v>
      </c>
      <c r="BF87" s="161">
        <f>HLOOKUP(AO87,Data!$H$31:$Q$35,4,FALSE)</f>
        <v>353</v>
      </c>
      <c r="BG87" s="179">
        <f t="shared" si="12"/>
        <v>180</v>
      </c>
      <c r="BH87" s="185">
        <f t="shared" si="13"/>
        <v>121.65654188208487</v>
      </c>
      <c r="BI87" s="185">
        <f t="shared" si="14"/>
        <v>243</v>
      </c>
      <c r="BJ87" s="185">
        <f t="shared" si="15"/>
        <v>142.3296</v>
      </c>
      <c r="BK87" s="185">
        <f t="shared" si="16"/>
        <v>18.271249066107952</v>
      </c>
      <c r="BL87" s="186">
        <f t="shared" si="17"/>
        <v>0.89458333333333329</v>
      </c>
      <c r="BM87" s="186">
        <f t="shared" si="18"/>
        <v>0.16788502808777805</v>
      </c>
      <c r="BN87" s="185" t="str">
        <f t="shared" si="19"/>
        <v>OK</v>
      </c>
      <c r="BO87" s="185" cm="1">
        <f t="array" ref="BO87">_xll.DCEBoltDisRS(AN87, AE87, BA87, BB87, BC87, BD87, "h1")</f>
        <v>890</v>
      </c>
      <c r="BP87" s="185" cm="1">
        <f t="array" ref="BP87">_xll.DCEBoltDisRS(AN87, AE87, BA87, BB87, BC87, BD87, "Tong")</f>
        <v>1800300</v>
      </c>
      <c r="BQ87" s="185">
        <f t="shared" si="20"/>
        <v>47.66086185347983</v>
      </c>
      <c r="BR87" s="186">
        <f t="shared" si="21"/>
        <v>0.33486261363398639</v>
      </c>
      <c r="BS87" s="185" t="str">
        <f t="shared" si="22"/>
        <v>OK</v>
      </c>
      <c r="BT87" s="186">
        <f t="shared" si="23"/>
        <v>0.36700020360652674</v>
      </c>
      <c r="BU87" s="185" t="str">
        <f t="shared" si="24"/>
        <v>OK</v>
      </c>
      <c r="BV87" s="190">
        <f t="shared" si="25"/>
        <v>247.23438689272905</v>
      </c>
      <c r="BW87" s="191">
        <f t="shared" si="26"/>
        <v>5.5627737050864035</v>
      </c>
      <c r="BX87" s="190">
        <f t="shared" si="27"/>
        <v>123.61719344636452</v>
      </c>
      <c r="BY87" s="167">
        <f t="shared" si="28"/>
        <v>52.87388868200938</v>
      </c>
      <c r="BZ87" s="192">
        <f t="shared" si="29"/>
        <v>0.25702584775976783</v>
      </c>
      <c r="CA87" s="191">
        <f t="shared" si="30"/>
        <v>4.895730433519387</v>
      </c>
      <c r="CB87" s="193">
        <f t="shared" si="31"/>
        <v>4.1032223461010195E-2</v>
      </c>
      <c r="CC87" s="167">
        <f t="shared" si="32"/>
        <v>53.549534393779588</v>
      </c>
      <c r="CD87" s="191">
        <f t="shared" si="33"/>
        <v>0.22635672750993791</v>
      </c>
      <c r="CE87" s="189">
        <f t="shared" si="34"/>
        <v>0.25702584775976783</v>
      </c>
      <c r="CF87" s="194" t="str">
        <f t="shared" si="35"/>
        <v>OK</v>
      </c>
      <c r="DA87" s="140"/>
      <c r="DB87" s="140"/>
      <c r="DC87" s="140"/>
      <c r="DD87" s="141"/>
      <c r="DE87" s="151"/>
      <c r="DF87" s="152"/>
      <c r="DG87" s="152"/>
      <c r="DH87" s="152"/>
      <c r="DI87" s="152"/>
      <c r="DJ87" s="152"/>
      <c r="DK87" s="161"/>
      <c r="DL87" s="162"/>
      <c r="DM87" s="162"/>
      <c r="DN87" s="162"/>
      <c r="DO87" s="162"/>
      <c r="DP87" s="162"/>
      <c r="DQ87" s="140"/>
      <c r="DR87" s="151"/>
      <c r="DS87" s="151"/>
      <c r="DT87" s="151"/>
      <c r="DU87" s="151"/>
      <c r="DV87" s="151"/>
      <c r="DW87" s="151"/>
      <c r="DX87" s="151"/>
      <c r="DY87" s="151"/>
      <c r="DZ87" s="151"/>
      <c r="EA87" s="161"/>
      <c r="EB87" s="161"/>
      <c r="EC87" s="161"/>
      <c r="ED87" s="161"/>
      <c r="EE87" s="161"/>
      <c r="EF87" s="161"/>
      <c r="EG87" s="161"/>
      <c r="EH87" s="161"/>
      <c r="EI87" s="161"/>
      <c r="EJ87" s="161"/>
      <c r="EK87" s="209"/>
      <c r="EL87" s="161"/>
      <c r="EM87" s="187"/>
      <c r="EN87" s="187"/>
      <c r="EO87" s="206"/>
      <c r="EP87" s="212"/>
      <c r="EQ87" s="208"/>
      <c r="ER87" s="187"/>
      <c r="ES87" s="187"/>
      <c r="ET87" s="187"/>
      <c r="EU87" s="187"/>
      <c r="EV87" s="210"/>
      <c r="EW87" s="209"/>
      <c r="EX87" s="210"/>
      <c r="EY87" s="162"/>
      <c r="EZ87" s="211"/>
      <c r="FA87" s="209"/>
      <c r="FB87" s="207"/>
      <c r="FC87" s="162"/>
      <c r="FD87" s="209"/>
      <c r="FE87" s="187"/>
      <c r="FF87" s="187"/>
    </row>
    <row r="88" spans="8:162" ht="14.25">
      <c r="H88" s="7" t="str">
        <f>"+ Ứng suất tiếp:"</f>
        <v>+ Ứng suất tiếp:</v>
      </c>
      <c r="I88" s="50"/>
      <c r="J88" s="50"/>
      <c r="K88" s="55"/>
      <c r="L88" s="69"/>
      <c r="M88" s="64"/>
      <c r="N88" s="50"/>
      <c r="O88" s="50"/>
      <c r="P88" s="50"/>
      <c r="Q88" s="59" t="s">
        <v>124</v>
      </c>
      <c r="R88" s="73">
        <f>R85*1000/(R51*R50)</f>
        <v>40.477607852997018</v>
      </c>
      <c r="S88" s="9" t="s">
        <v>2</v>
      </c>
      <c r="AA88" s="140" t="s">
        <v>210</v>
      </c>
      <c r="AB88" s="140" t="s">
        <v>238</v>
      </c>
      <c r="AC88" s="140">
        <v>46</v>
      </c>
      <c r="AD88" s="141">
        <v>2.6850000000000001</v>
      </c>
      <c r="AE88" s="151">
        <v>1100</v>
      </c>
      <c r="AF88" s="152">
        <v>350</v>
      </c>
      <c r="AG88" s="152">
        <v>14</v>
      </c>
      <c r="AH88" s="152">
        <v>18.000000000000004</v>
      </c>
      <c r="AI88" s="152">
        <v>1064</v>
      </c>
      <c r="AJ88" s="153" t="str" cm="1">
        <f t="array" ref="AJ88">_xll.Dce_Name_SectI(AE88, AE88, AF88, AG88, AH88, "x", "-", "H Tổng")</f>
        <v>1100x350x14x18</v>
      </c>
      <c r="AK88" s="161">
        <f t="shared" ref="AK88:AK151" si="36">AE88+2*(VLOOKUP(AO88,$B$13:$F$21,2,FALSE)+VLOOKUP(AO88,$B$13:$F$21,3,FALSE))</f>
        <v>1360</v>
      </c>
      <c r="AL88" s="162" cm="1">
        <f t="array" ref="AL88">IFERROR(INDEX($B$25:$B$32,IFERROR(MATCH(AF88,$B$25:$B$32,0),MATCH(AF88,$B$25:$B$32,1)+1)),$B$25)</f>
        <v>350</v>
      </c>
      <c r="AM88" s="162" cm="1">
        <f t="array" ref="AM88">IFERROR(VLOOKUP(AE88,$B$36:$E$47,4,FALSE),INDEX($E$36:$E$47,MATCH(AE88,$B$36:$B$47,1)+1))</f>
        <v>25</v>
      </c>
      <c r="AN88" s="162" cm="1">
        <f t="array" ref="AN88">IFERROR(VLOOKUP(AE88,$B$36:$E$47,2,FALSE),INDEX($C$36:$C$47,MATCH(AE88,$B$36:$B$47,1)+1))</f>
        <v>12</v>
      </c>
      <c r="AO88" s="162" cm="1">
        <f t="array" ref="AO88">IFERROR(VLOOKUP(AE88,$B$36:$E$47,3,FALSE),INDEX($D$36:$D$47,MATCH(AE88,$B$36:$B$47,1)+1))</f>
        <v>24</v>
      </c>
      <c r="AP88" s="163" t="str">
        <f t="shared" ref="AP88:AP151" si="37">AK88&amp;"x"&amp;AL88&amp;"x"&amp;AM88&amp;" + "&amp;AN88&amp;"M"&amp;AO88</f>
        <v>1360x350x25 + 12M24</v>
      </c>
      <c r="AQ88" s="140" t="s">
        <v>247</v>
      </c>
      <c r="AR88" s="151">
        <v>0</v>
      </c>
      <c r="AS88" s="151">
        <v>297.15356311189993</v>
      </c>
      <c r="AT88" s="151">
        <v>2.3283064365386961E-14</v>
      </c>
      <c r="AU88" s="151">
        <v>-2.1691856549715186E-3</v>
      </c>
      <c r="AV88" s="151">
        <v>-4.2025931179523455E-14</v>
      </c>
      <c r="AW88" s="151">
        <v>-891.37138363794395</v>
      </c>
      <c r="BA88" s="161">
        <f t="shared" ref="BA88:BA151" si="38">VLOOKUP(AO88,$B$13:$F$21,2,FALSE)</f>
        <v>60</v>
      </c>
      <c r="BB88" s="161">
        <f t="shared" ref="BB88:BB151" si="39">VLOOKUP(AO88,$B$13:$F$21,3,FALSE)</f>
        <v>70</v>
      </c>
      <c r="BC88" s="161">
        <f t="shared" ref="BC88:BC151" si="40">VLOOKUP(AO88,$B$13:$F$21,4,FALSE)</f>
        <v>80</v>
      </c>
      <c r="BD88" s="161">
        <f t="shared" ref="BD88:BD151" si="41">VLOOKUP(AO88,$B$13:$F$21,5,FALSE)</f>
        <v>150</v>
      </c>
      <c r="BE88" s="161">
        <f>HLOOKUP(AO88,Data!$H$31:$Q$35,3,FALSE)</f>
        <v>452.38934211693021</v>
      </c>
      <c r="BF88" s="161">
        <f>HLOOKUP(AO88,Data!$H$31:$Q$35,4,FALSE)</f>
        <v>353</v>
      </c>
      <c r="BG88" s="179">
        <f t="shared" ref="BG88:BG151" si="42">VLOOKUP(AL88,$B$25:$C$32,2,FALSE)</f>
        <v>180</v>
      </c>
      <c r="BH88" s="185">
        <f t="shared" ref="BH88:BH151" si="43">$R$17*BE88*$R$24*$R$25/1000</f>
        <v>121.65654188208487</v>
      </c>
      <c r="BI88" s="185">
        <f t="shared" ref="BI88:BI151" si="44">$R$19*AO88*AM88*$R$24*$R$25/1000</f>
        <v>243</v>
      </c>
      <c r="BJ88" s="185">
        <f t="shared" ref="BJ88:BJ151" si="45">$R$18*BF88*$R$24/1000</f>
        <v>142.3296</v>
      </c>
      <c r="BK88" s="185">
        <f t="shared" ref="BK88:BK151" si="46">(ABS(AS88)*COS(RADIANS($R$46))+AR88*SIN(RADIANS($R$46)))/AN88</f>
        <v>24.639903874979296</v>
      </c>
      <c r="BL88" s="186">
        <f t="shared" ref="BL88:BL151" si="47">IF(BO88&lt;=16*AO88,1,MAX(0.75,1-0.005*(BO88/AO88-16)))</f>
        <v>0.82166666666666666</v>
      </c>
      <c r="BM88" s="186">
        <f t="shared" ref="BM88:BM151" si="48">ABS(BK88/(BL88*MIN(BH88,BI88)))</f>
        <v>0.2464948630203144</v>
      </c>
      <c r="BN88" s="185" t="str">
        <f t="shared" ref="BN88:BN151" si="49">IF(BM88&lt;=1,"OK","O/S")</f>
        <v>OK</v>
      </c>
      <c r="BO88" s="185" cm="1">
        <f t="array" ref="BO88">_xll.DCEBoltDisRS(AN88, AE88, BA88, BB88, BC88, BD88, "h1")</f>
        <v>1240</v>
      </c>
      <c r="BP88" s="185" cm="1">
        <f t="array" ref="BP88">_xll.DCEBoltDisRS(AN88, AE88, BA88, BB88, BC88, BD88, "Tong")</f>
        <v>3721800</v>
      </c>
      <c r="BQ88" s="185">
        <f t="shared" ref="BQ88:BQ151" si="50">ABS(AW88)*1000*BO88/(2*BP88)+(AR88*COS(RADIANS($R$46))+ABS(AS88)*SIN(RADIANS($R$46)))/AN88</f>
        <v>150.95403763762565</v>
      </c>
      <c r="BR88" s="186">
        <f t="shared" ref="BR88:BR151" si="51">ABS(BQ88/BJ88)</f>
        <v>1.0605948280443818</v>
      </c>
      <c r="BS88" s="185" t="str">
        <f t="shared" ref="BS88:BS151" si="52">IF(BR88&lt;=1,"OK","O/S")</f>
        <v>O/S</v>
      </c>
      <c r="BT88" s="186">
        <f t="shared" ref="BT88:BT151" si="53">SQRT((BK88/BH88)^2+(BQ88/BJ88)^2)</f>
        <v>1.0797603755725378</v>
      </c>
      <c r="BU88" s="185" t="str">
        <f t="shared" ref="BU88:BU151" si="54">IF(BT88&lt;=1,"OK","O/S")</f>
        <v>O/S</v>
      </c>
      <c r="BV88" s="190">
        <f t="shared" ref="BV88:BV151" si="55">ABS(ABS(AW88)/(AE88/1000)+AR88)</f>
        <v>810.33762148903986</v>
      </c>
      <c r="BW88" s="191">
        <f t="shared" ref="BW88:BW151" si="56">BV88*(BG88/1000)/8</f>
        <v>18.232596483503396</v>
      </c>
      <c r="BX88" s="190">
        <f t="shared" ref="BX88:BX151" si="57">BV88/2</f>
        <v>405.16881074451993</v>
      </c>
      <c r="BY88" s="167">
        <f t="shared" ref="BY88:BY151" si="58">6*BW88*1000000/(AK88*AM88^2)</f>
        <v>128.70068106002398</v>
      </c>
      <c r="BZ88" s="192">
        <f t="shared" ref="BZ88:BZ151" si="59">BY88/($R$32*$R$30)</f>
        <v>0.62562831070844993</v>
      </c>
      <c r="CA88" s="191">
        <f t="shared" ref="CA88:CA151" si="60">BX88*1000/(AK88*AM88)</f>
        <v>11.916729727779998</v>
      </c>
      <c r="CB88" s="193">
        <f t="shared" ref="CB88:CB151" si="61">CA88/($R$32*$R$31)</f>
        <v>9.9876805668654214E-2</v>
      </c>
      <c r="CC88" s="167">
        <f t="shared" ref="CC88:CC151" si="62">SQRT(BY88^2+3*CA88^2)</f>
        <v>130.34527474185199</v>
      </c>
      <c r="CD88" s="191">
        <f t="shared" ref="CD88:CD151" si="63">CC88/(1.15*$R$32*$R$30)</f>
        <v>0.55097640289430205</v>
      </c>
      <c r="CE88" s="189">
        <f t="shared" ref="CE88:CE151" si="64">ABS(MAX(BZ88,CB88,CD88))</f>
        <v>0.62562831070844993</v>
      </c>
      <c r="CF88" s="194" t="str">
        <f t="shared" ref="CF88:CF151" si="65">IF(CE88&lt;=1,"OK","O/S")</f>
        <v>OK</v>
      </c>
      <c r="DA88" s="140"/>
      <c r="DB88" s="140"/>
      <c r="DC88" s="140"/>
      <c r="DD88" s="141"/>
      <c r="DE88" s="151"/>
      <c r="DF88" s="152"/>
      <c r="DG88" s="152"/>
      <c r="DH88" s="152"/>
      <c r="DI88" s="152"/>
      <c r="DJ88" s="152"/>
      <c r="DK88" s="161"/>
      <c r="DL88" s="162"/>
      <c r="DM88" s="162"/>
      <c r="DN88" s="162"/>
      <c r="DO88" s="162"/>
      <c r="DP88" s="162"/>
      <c r="DQ88" s="140"/>
      <c r="DR88" s="151"/>
      <c r="DS88" s="151"/>
      <c r="DT88" s="151"/>
      <c r="DU88" s="151"/>
      <c r="DV88" s="151"/>
      <c r="DW88" s="151"/>
      <c r="DX88" s="151"/>
      <c r="DY88" s="151"/>
      <c r="DZ88" s="151"/>
      <c r="EA88" s="161"/>
      <c r="EB88" s="161"/>
      <c r="EC88" s="161"/>
      <c r="ED88" s="161"/>
      <c r="EE88" s="161"/>
      <c r="EF88" s="161"/>
      <c r="EG88" s="161"/>
      <c r="EH88" s="161"/>
      <c r="EI88" s="161"/>
      <c r="EJ88" s="161"/>
      <c r="EK88" s="209"/>
      <c r="EL88" s="161"/>
      <c r="EM88" s="187"/>
      <c r="EN88" s="187"/>
      <c r="EO88" s="206"/>
      <c r="EP88" s="212"/>
      <c r="EQ88" s="208"/>
      <c r="ER88" s="187"/>
      <c r="ES88" s="187"/>
      <c r="ET88" s="187"/>
      <c r="EU88" s="187"/>
      <c r="EV88" s="210"/>
      <c r="EW88" s="209"/>
      <c r="EX88" s="210"/>
      <c r="EY88" s="162"/>
      <c r="EZ88" s="211"/>
      <c r="FA88" s="209"/>
      <c r="FB88" s="207"/>
      <c r="FC88" s="162"/>
      <c r="FD88" s="209"/>
      <c r="FE88" s="187"/>
      <c r="FF88" s="187"/>
    </row>
    <row r="89" spans="8:162" ht="12.75" customHeight="1">
      <c r="H89" s="41" t="str">
        <f>"- Tỷ số huy động:"</f>
        <v>- Tỷ số huy động:</v>
      </c>
      <c r="I89" s="50"/>
      <c r="J89" s="50"/>
      <c r="K89" s="55"/>
      <c r="L89" s="69"/>
      <c r="M89" s="64"/>
      <c r="N89" s="50"/>
      <c r="O89" s="50"/>
      <c r="P89" s="50"/>
      <c r="Q89" s="59" t="s">
        <v>120</v>
      </c>
      <c r="R89" s="72">
        <f>R88/(R32*R31)</f>
        <v>0.3392519815265555</v>
      </c>
      <c r="S89" s="12" t="str">
        <f>IF(R89&lt;=1,"OK","Check")</f>
        <v>OK</v>
      </c>
      <c r="AA89" s="140" t="s">
        <v>210</v>
      </c>
      <c r="AB89" s="140" t="s">
        <v>238</v>
      </c>
      <c r="AC89" s="140">
        <v>46</v>
      </c>
      <c r="AD89" s="141">
        <v>0</v>
      </c>
      <c r="AE89" s="151">
        <v>750</v>
      </c>
      <c r="AF89" s="152">
        <v>350</v>
      </c>
      <c r="AG89" s="152">
        <v>14</v>
      </c>
      <c r="AH89" s="152">
        <v>18.000000000000004</v>
      </c>
      <c r="AI89" s="152">
        <v>714</v>
      </c>
      <c r="AJ89" s="153" t="str" cm="1">
        <f t="array" ref="AJ89">_xll.Dce_Name_SectI(AE89, AE89, AF89, AG89, AH89, "x", "-", "H Tổng")</f>
        <v>750x350x14x18</v>
      </c>
      <c r="AK89" s="161">
        <f t="shared" si="36"/>
        <v>1010</v>
      </c>
      <c r="AL89" s="162" cm="1">
        <f t="array" ref="AL89">IFERROR(INDEX($B$25:$B$32,IFERROR(MATCH(AF89,$B$25:$B$32,0),MATCH(AF89,$B$25:$B$32,1)+1)),$B$25)</f>
        <v>350</v>
      </c>
      <c r="AM89" s="162" cm="1">
        <f t="array" ref="AM89">IFERROR(VLOOKUP(AE89,$B$36:$E$47,4,FALSE),INDEX($E$36:$E$47,MATCH(AE89,$B$36:$B$47,1)+1))</f>
        <v>25</v>
      </c>
      <c r="AN89" s="162" cm="1">
        <f t="array" ref="AN89">IFERROR(VLOOKUP(AE89,$B$36:$E$47,2,FALSE),INDEX($C$36:$C$47,MATCH(AE89,$B$36:$B$47,1)+1))</f>
        <v>12</v>
      </c>
      <c r="AO89" s="162" cm="1">
        <f t="array" ref="AO89">IFERROR(VLOOKUP(AE89,$B$36:$E$47,3,FALSE),INDEX($D$36:$D$47,MATCH(AE89,$B$36:$B$47,1)+1))</f>
        <v>24</v>
      </c>
      <c r="AP89" s="163" t="str">
        <f t="shared" si="37"/>
        <v>1010x350x25 + 12M24</v>
      </c>
      <c r="AQ89" s="140" t="s">
        <v>248</v>
      </c>
      <c r="AR89" s="151">
        <v>0</v>
      </c>
      <c r="AS89" s="151">
        <v>220.85968591019508</v>
      </c>
      <c r="AT89" s="151">
        <v>-2.6193447411060326E-14</v>
      </c>
      <c r="AU89" s="151">
        <v>-2.1670954940282024E-3</v>
      </c>
      <c r="AV89" s="151">
        <v>-1.1548399925231932E-14</v>
      </c>
      <c r="AW89" s="151">
        <v>-185.41914265537687</v>
      </c>
      <c r="BA89" s="161">
        <f t="shared" si="38"/>
        <v>60</v>
      </c>
      <c r="BB89" s="161">
        <f t="shared" si="39"/>
        <v>70</v>
      </c>
      <c r="BC89" s="161">
        <f t="shared" si="40"/>
        <v>80</v>
      </c>
      <c r="BD89" s="161">
        <f t="shared" si="41"/>
        <v>150</v>
      </c>
      <c r="BE89" s="161">
        <f>HLOOKUP(AO89,Data!$H$31:$Q$35,3,FALSE)</f>
        <v>452.38934211693021</v>
      </c>
      <c r="BF89" s="161">
        <f>HLOOKUP(AO89,Data!$H$31:$Q$35,4,FALSE)</f>
        <v>353</v>
      </c>
      <c r="BG89" s="179">
        <f t="shared" si="42"/>
        <v>180</v>
      </c>
      <c r="BH89" s="185">
        <f t="shared" si="43"/>
        <v>121.65654188208487</v>
      </c>
      <c r="BI89" s="185">
        <f t="shared" si="44"/>
        <v>243</v>
      </c>
      <c r="BJ89" s="185">
        <f t="shared" si="45"/>
        <v>142.3296</v>
      </c>
      <c r="BK89" s="185">
        <f t="shared" si="46"/>
        <v>18.31363344156177</v>
      </c>
      <c r="BL89" s="186">
        <f t="shared" si="47"/>
        <v>0.89458333333333329</v>
      </c>
      <c r="BM89" s="186">
        <f t="shared" si="48"/>
        <v>0.16827447612374985</v>
      </c>
      <c r="BN89" s="185" t="str">
        <f t="shared" si="49"/>
        <v>OK</v>
      </c>
      <c r="BO89" s="185" cm="1">
        <f t="array" ref="BO89">_xll.DCEBoltDisRS(AN89, AE89, BA89, BB89, BC89, BD89, "h1")</f>
        <v>890</v>
      </c>
      <c r="BP89" s="185" cm="1">
        <f t="array" ref="BP89">_xll.DCEBoltDisRS(AN89, AE89, BA89, BB89, BC89, BD89, "Tong")</f>
        <v>1800300</v>
      </c>
      <c r="BQ89" s="185">
        <f t="shared" si="50"/>
        <v>47.663457151656438</v>
      </c>
      <c r="BR89" s="186">
        <f t="shared" si="51"/>
        <v>0.33488084805730106</v>
      </c>
      <c r="BS89" s="185" t="str">
        <f t="shared" si="52"/>
        <v>OK</v>
      </c>
      <c r="BT89" s="186">
        <f t="shared" si="53"/>
        <v>0.36715954533454709</v>
      </c>
      <c r="BU89" s="185" t="str">
        <f t="shared" si="54"/>
        <v>OK</v>
      </c>
      <c r="BV89" s="190">
        <f t="shared" si="55"/>
        <v>247.22552354050251</v>
      </c>
      <c r="BW89" s="191">
        <f t="shared" si="56"/>
        <v>5.5625742796613062</v>
      </c>
      <c r="BX89" s="190">
        <f t="shared" si="57"/>
        <v>123.61276177025125</v>
      </c>
      <c r="BY89" s="167">
        <f t="shared" si="58"/>
        <v>52.87199315321638</v>
      </c>
      <c r="BZ89" s="192">
        <f t="shared" si="59"/>
        <v>0.25701663338369074</v>
      </c>
      <c r="CA89" s="191">
        <f t="shared" si="60"/>
        <v>4.8955549215941092</v>
      </c>
      <c r="CB89" s="193">
        <f t="shared" si="61"/>
        <v>4.103075245588933E-2</v>
      </c>
      <c r="CC89" s="167">
        <f t="shared" si="62"/>
        <v>53.547614643089311</v>
      </c>
      <c r="CD89" s="191">
        <f t="shared" si="63"/>
        <v>0.22634861262175437</v>
      </c>
      <c r="CE89" s="189">
        <f t="shared" si="64"/>
        <v>0.25701663338369074</v>
      </c>
      <c r="CF89" s="194" t="str">
        <f t="shared" si="65"/>
        <v>OK</v>
      </c>
      <c r="DA89" s="140"/>
      <c r="DB89" s="140"/>
      <c r="DC89" s="140"/>
      <c r="DD89" s="141"/>
      <c r="DE89" s="151"/>
      <c r="DF89" s="152"/>
      <c r="DG89" s="152"/>
      <c r="DH89" s="152"/>
      <c r="DI89" s="152"/>
      <c r="DJ89" s="152"/>
      <c r="DK89" s="161"/>
      <c r="DL89" s="162"/>
      <c r="DM89" s="162"/>
      <c r="DN89" s="162"/>
      <c r="DO89" s="162"/>
      <c r="DP89" s="162"/>
      <c r="DQ89" s="140"/>
      <c r="DR89" s="151"/>
      <c r="DS89" s="151"/>
      <c r="DT89" s="151"/>
      <c r="DU89" s="151"/>
      <c r="DV89" s="151"/>
      <c r="DW89" s="151"/>
      <c r="DX89" s="151"/>
      <c r="DY89" s="151"/>
      <c r="DZ89" s="151"/>
      <c r="EA89" s="161"/>
      <c r="EB89" s="161"/>
      <c r="EC89" s="161"/>
      <c r="ED89" s="161"/>
      <c r="EE89" s="161"/>
      <c r="EF89" s="161"/>
      <c r="EG89" s="161"/>
      <c r="EH89" s="161"/>
      <c r="EI89" s="161"/>
      <c r="EJ89" s="161"/>
      <c r="EK89" s="209"/>
      <c r="EL89" s="161"/>
      <c r="EM89" s="187"/>
      <c r="EN89" s="187"/>
      <c r="EO89" s="206"/>
      <c r="EP89" s="212"/>
      <c r="EQ89" s="208"/>
      <c r="ER89" s="187"/>
      <c r="ES89" s="187"/>
      <c r="ET89" s="187"/>
      <c r="EU89" s="187"/>
      <c r="EV89" s="210"/>
      <c r="EW89" s="209"/>
      <c r="EX89" s="210"/>
      <c r="EY89" s="162"/>
      <c r="EZ89" s="211"/>
      <c r="FA89" s="209"/>
      <c r="FB89" s="207"/>
      <c r="FC89" s="162"/>
      <c r="FD89" s="209"/>
      <c r="FE89" s="187"/>
      <c r="FF89" s="187"/>
    </row>
    <row r="90" spans="8:162" ht="15">
      <c r="H90" s="7" t="str">
        <f>"- Ứng suất tương đương:"</f>
        <v>- Ứng suất tương đương:</v>
      </c>
      <c r="I90" s="50"/>
      <c r="J90" s="50"/>
      <c r="K90" s="55"/>
      <c r="L90" s="69"/>
      <c r="M90" s="64"/>
      <c r="N90" s="50"/>
      <c r="O90" s="50"/>
      <c r="P90" s="50"/>
      <c r="Q90" s="59" t="s">
        <v>121</v>
      </c>
      <c r="R90" s="73">
        <f>SQRT(R86^2+3*R88^2)</f>
        <v>442.74436334596112</v>
      </c>
      <c r="S90" s="9" t="s">
        <v>2</v>
      </c>
      <c r="AA90" s="140" t="s">
        <v>210</v>
      </c>
      <c r="AB90" s="140" t="s">
        <v>238</v>
      </c>
      <c r="AC90" s="140">
        <v>46</v>
      </c>
      <c r="AD90" s="141">
        <v>2.6850000000000001</v>
      </c>
      <c r="AE90" s="151">
        <v>1100</v>
      </c>
      <c r="AF90" s="152">
        <v>350</v>
      </c>
      <c r="AG90" s="152">
        <v>14</v>
      </c>
      <c r="AH90" s="152">
        <v>18.000000000000004</v>
      </c>
      <c r="AI90" s="152">
        <v>1064</v>
      </c>
      <c r="AJ90" s="153" t="str" cm="1">
        <f t="array" ref="AJ90">_xll.Dce_Name_SectI(AE90, AE90, AF90, AG90, AH90, "x", "-", "H Tổng")</f>
        <v>1100x350x14x18</v>
      </c>
      <c r="AK90" s="161">
        <f t="shared" si="36"/>
        <v>1360</v>
      </c>
      <c r="AL90" s="162" cm="1">
        <f t="array" ref="AL90">IFERROR(INDEX($B$25:$B$32,IFERROR(MATCH(AF90,$B$25:$B$32,0),MATCH(AF90,$B$25:$B$32,1)+1)),$B$25)</f>
        <v>350</v>
      </c>
      <c r="AM90" s="162" cm="1">
        <f t="array" ref="AM90">IFERROR(VLOOKUP(AE90,$B$36:$E$47,4,FALSE),INDEX($E$36:$E$47,MATCH(AE90,$B$36:$B$47,1)+1))</f>
        <v>25</v>
      </c>
      <c r="AN90" s="162" cm="1">
        <f t="array" ref="AN90">IFERROR(VLOOKUP(AE90,$B$36:$E$47,2,FALSE),INDEX($C$36:$C$47,MATCH(AE90,$B$36:$B$47,1)+1))</f>
        <v>12</v>
      </c>
      <c r="AO90" s="162" cm="1">
        <f t="array" ref="AO90">IFERROR(VLOOKUP(AE90,$B$36:$E$47,3,FALSE),INDEX($D$36:$D$47,MATCH(AE90,$B$36:$B$47,1)+1))</f>
        <v>24</v>
      </c>
      <c r="AP90" s="163" t="str">
        <f t="shared" si="37"/>
        <v>1360x350x25 + 12M24</v>
      </c>
      <c r="AQ90" s="140" t="s">
        <v>248</v>
      </c>
      <c r="AR90" s="151">
        <v>0</v>
      </c>
      <c r="AS90" s="151">
        <v>297.66471246661058</v>
      </c>
      <c r="AT90" s="151">
        <v>-5.8207660913467402E-15</v>
      </c>
      <c r="AU90" s="151">
        <v>-2.1667733381845328E-3</v>
      </c>
      <c r="AV90" s="151">
        <v>1.7753336578607555E-15</v>
      </c>
      <c r="AW90" s="151">
        <v>-892.73716666329574</v>
      </c>
      <c r="BA90" s="161">
        <f t="shared" si="38"/>
        <v>60</v>
      </c>
      <c r="BB90" s="161">
        <f t="shared" si="39"/>
        <v>70</v>
      </c>
      <c r="BC90" s="161">
        <f t="shared" si="40"/>
        <v>80</v>
      </c>
      <c r="BD90" s="161">
        <f t="shared" si="41"/>
        <v>150</v>
      </c>
      <c r="BE90" s="161">
        <f>HLOOKUP(AO90,Data!$H$31:$Q$35,3,FALSE)</f>
        <v>452.38934211693021</v>
      </c>
      <c r="BF90" s="161">
        <f>HLOOKUP(AO90,Data!$H$31:$Q$35,4,FALSE)</f>
        <v>353</v>
      </c>
      <c r="BG90" s="179">
        <f t="shared" si="42"/>
        <v>180</v>
      </c>
      <c r="BH90" s="185">
        <f t="shared" si="43"/>
        <v>121.65654188208487</v>
      </c>
      <c r="BI90" s="185">
        <f t="shared" si="44"/>
        <v>243</v>
      </c>
      <c r="BJ90" s="185">
        <f t="shared" si="45"/>
        <v>142.3296</v>
      </c>
      <c r="BK90" s="185">
        <f t="shared" si="46"/>
        <v>24.682288259786713</v>
      </c>
      <c r="BL90" s="186">
        <f t="shared" si="47"/>
        <v>0.82166666666666666</v>
      </c>
      <c r="BM90" s="186">
        <f t="shared" si="48"/>
        <v>0.24691887170071811</v>
      </c>
      <c r="BN90" s="185" t="str">
        <f t="shared" si="49"/>
        <v>OK</v>
      </c>
      <c r="BO90" s="185" cm="1">
        <f t="array" ref="BO90">_xll.DCEBoltDisRS(AN90, AE90, BA90, BB90, BC90, BD90, "h1")</f>
        <v>1240</v>
      </c>
      <c r="BP90" s="185" cm="1">
        <f t="array" ref="BP90">_xll.DCEBoltDisRS(AN90, AE90, BA90, BB90, BC90, BD90, "Tong")</f>
        <v>3721800</v>
      </c>
      <c r="BQ90" s="185">
        <f t="shared" si="50"/>
        <v>151.18579648980892</v>
      </c>
      <c r="BR90" s="186">
        <f t="shared" si="51"/>
        <v>1.0622231530883872</v>
      </c>
      <c r="BS90" s="185" t="str">
        <f t="shared" si="52"/>
        <v>O/S</v>
      </c>
      <c r="BT90" s="186">
        <f t="shared" si="53"/>
        <v>1.0814251489201887</v>
      </c>
      <c r="BU90" s="185" t="str">
        <f t="shared" si="54"/>
        <v>O/S</v>
      </c>
      <c r="BV90" s="190">
        <f t="shared" si="55"/>
        <v>811.57924242117792</v>
      </c>
      <c r="BW90" s="191">
        <f t="shared" si="56"/>
        <v>18.260532954476503</v>
      </c>
      <c r="BX90" s="190">
        <f t="shared" si="57"/>
        <v>405.78962121058896</v>
      </c>
      <c r="BY90" s="167">
        <f t="shared" si="58"/>
        <v>128.89787967865766</v>
      </c>
      <c r="BZ90" s="192">
        <f t="shared" si="59"/>
        <v>0.62658691510458586</v>
      </c>
      <c r="CA90" s="191">
        <f t="shared" si="60"/>
        <v>11.93498885913497</v>
      </c>
      <c r="CB90" s="193">
        <f t="shared" si="61"/>
        <v>0.10002983957608333</v>
      </c>
      <c r="CC90" s="167">
        <f t="shared" si="62"/>
        <v>130.54499325082037</v>
      </c>
      <c r="CD90" s="191">
        <f t="shared" si="63"/>
        <v>0.55182062364477225</v>
      </c>
      <c r="CE90" s="189">
        <f t="shared" si="64"/>
        <v>0.62658691510458586</v>
      </c>
      <c r="CF90" s="194" t="str">
        <f t="shared" si="65"/>
        <v>OK</v>
      </c>
      <c r="DA90" s="140"/>
      <c r="DB90" s="140"/>
      <c r="DC90" s="140"/>
      <c r="DD90" s="141"/>
      <c r="DE90" s="151"/>
      <c r="DF90" s="152"/>
      <c r="DG90" s="152"/>
      <c r="DH90" s="152"/>
      <c r="DI90" s="152"/>
      <c r="DJ90" s="152"/>
      <c r="DK90" s="161"/>
      <c r="DL90" s="162"/>
      <c r="DM90" s="162"/>
      <c r="DN90" s="162"/>
      <c r="DO90" s="162"/>
      <c r="DP90" s="162"/>
      <c r="DQ90" s="140"/>
      <c r="DR90" s="151"/>
      <c r="DS90" s="151"/>
      <c r="DT90" s="151"/>
      <c r="DU90" s="151"/>
      <c r="DV90" s="151"/>
      <c r="DW90" s="151"/>
      <c r="DX90" s="151"/>
      <c r="DY90" s="151"/>
      <c r="DZ90" s="151"/>
      <c r="EA90" s="161"/>
      <c r="EB90" s="161"/>
      <c r="EC90" s="161"/>
      <c r="ED90" s="161"/>
      <c r="EE90" s="161"/>
      <c r="EF90" s="161"/>
      <c r="EG90" s="161"/>
      <c r="EH90" s="161"/>
      <c r="EI90" s="161"/>
      <c r="EJ90" s="161"/>
      <c r="EK90" s="209"/>
      <c r="EL90" s="161"/>
      <c r="EM90" s="187"/>
      <c r="EN90" s="187"/>
      <c r="EO90" s="206"/>
      <c r="EP90" s="212"/>
      <c r="EQ90" s="208"/>
      <c r="ER90" s="187"/>
      <c r="ES90" s="187"/>
      <c r="ET90" s="187"/>
      <c r="EU90" s="187"/>
      <c r="EV90" s="210"/>
      <c r="EW90" s="209"/>
      <c r="EX90" s="210"/>
      <c r="EY90" s="162"/>
      <c r="EZ90" s="211"/>
      <c r="FA90" s="209"/>
      <c r="FB90" s="207"/>
      <c r="FC90" s="162"/>
      <c r="FD90" s="209"/>
      <c r="FE90" s="187"/>
      <c r="FF90" s="187"/>
    </row>
    <row r="91" spans="8:162" ht="14.25">
      <c r="H91" s="41" t="str">
        <f>"+ Tỷ số huy động:"</f>
        <v>+ Tỷ số huy động:</v>
      </c>
      <c r="I91" s="50"/>
      <c r="J91" s="50"/>
      <c r="K91" s="55"/>
      <c r="L91" s="69"/>
      <c r="M91" s="64"/>
      <c r="N91" s="50"/>
      <c r="O91" s="50"/>
      <c r="P91" s="50"/>
      <c r="Q91" s="59" t="s">
        <v>122</v>
      </c>
      <c r="R91" s="72">
        <f>R90/(1.15*R32*R30)</f>
        <v>1.8715039513416234</v>
      </c>
      <c r="S91" s="12" t="str">
        <f>IF(R91&lt;=1,"OK","Check")</f>
        <v>Check</v>
      </c>
      <c r="AA91" s="140" t="s">
        <v>210</v>
      </c>
      <c r="AB91" s="140" t="s">
        <v>238</v>
      </c>
      <c r="AC91" s="140">
        <v>46</v>
      </c>
      <c r="AD91" s="141">
        <v>0</v>
      </c>
      <c r="AE91" s="151">
        <v>750</v>
      </c>
      <c r="AF91" s="152">
        <v>350</v>
      </c>
      <c r="AG91" s="152">
        <v>14</v>
      </c>
      <c r="AH91" s="152">
        <v>18.000000000000004</v>
      </c>
      <c r="AI91" s="152">
        <v>714</v>
      </c>
      <c r="AJ91" s="153" t="str" cm="1">
        <f t="array" ref="AJ91">_xll.Dce_Name_SectI(AE91, AE91, AF91, AG91, AH91, "x", "-", "H Tổng")</f>
        <v>750x350x14x18</v>
      </c>
      <c r="AK91" s="161">
        <f t="shared" si="36"/>
        <v>1010</v>
      </c>
      <c r="AL91" s="162" cm="1">
        <f t="array" ref="AL91">IFERROR(INDEX($B$25:$B$32,IFERROR(MATCH(AF91,$B$25:$B$32,0),MATCH(AF91,$B$25:$B$32,1)+1)),$B$25)</f>
        <v>350</v>
      </c>
      <c r="AM91" s="162" cm="1">
        <f t="array" ref="AM91">IFERROR(VLOOKUP(AE91,$B$36:$E$47,4,FALSE),INDEX($E$36:$E$47,MATCH(AE91,$B$36:$B$47,1)+1))</f>
        <v>25</v>
      </c>
      <c r="AN91" s="162" cm="1">
        <f t="array" ref="AN91">IFERROR(VLOOKUP(AE91,$B$36:$E$47,2,FALSE),INDEX($C$36:$C$47,MATCH(AE91,$B$36:$B$47,1)+1))</f>
        <v>12</v>
      </c>
      <c r="AO91" s="162" cm="1">
        <f t="array" ref="AO91">IFERROR(VLOOKUP(AE91,$B$36:$E$47,3,FALSE),INDEX($D$36:$D$47,MATCH(AE91,$B$36:$B$47,1)+1))</f>
        <v>24</v>
      </c>
      <c r="AP91" s="163" t="str">
        <f t="shared" si="37"/>
        <v>1010x350x25 + 12M24</v>
      </c>
      <c r="AQ91" s="140" t="s">
        <v>249</v>
      </c>
      <c r="AR91" s="151">
        <v>0</v>
      </c>
      <c r="AS91" s="151">
        <v>221.63767465249296</v>
      </c>
      <c r="AT91" s="151">
        <v>-2.7102942112833252E-14</v>
      </c>
      <c r="AU91" s="151">
        <v>-2.131225934620712E-3</v>
      </c>
      <c r="AV91" s="151">
        <v>2.1047890186309809E-14</v>
      </c>
      <c r="AW91" s="151">
        <v>-195.63811070873984</v>
      </c>
      <c r="BA91" s="161">
        <f t="shared" si="38"/>
        <v>60</v>
      </c>
      <c r="BB91" s="161">
        <f t="shared" si="39"/>
        <v>70</v>
      </c>
      <c r="BC91" s="161">
        <f t="shared" si="40"/>
        <v>80</v>
      </c>
      <c r="BD91" s="161">
        <f t="shared" si="41"/>
        <v>150</v>
      </c>
      <c r="BE91" s="161">
        <f>HLOOKUP(AO91,Data!$H$31:$Q$35,3,FALSE)</f>
        <v>452.38934211693021</v>
      </c>
      <c r="BF91" s="161">
        <f>HLOOKUP(AO91,Data!$H$31:$Q$35,4,FALSE)</f>
        <v>353</v>
      </c>
      <c r="BG91" s="179">
        <f t="shared" si="42"/>
        <v>180</v>
      </c>
      <c r="BH91" s="185">
        <f t="shared" si="43"/>
        <v>121.65654188208487</v>
      </c>
      <c r="BI91" s="185">
        <f t="shared" si="44"/>
        <v>243</v>
      </c>
      <c r="BJ91" s="185">
        <f t="shared" si="45"/>
        <v>142.3296</v>
      </c>
      <c r="BK91" s="185">
        <f t="shared" si="46"/>
        <v>18.378144085907696</v>
      </c>
      <c r="BL91" s="186">
        <f t="shared" si="47"/>
        <v>0.89458333333333329</v>
      </c>
      <c r="BM91" s="186">
        <f t="shared" si="48"/>
        <v>0.16886723096490988</v>
      </c>
      <c r="BN91" s="185" t="str">
        <f t="shared" si="49"/>
        <v>OK</v>
      </c>
      <c r="BO91" s="185" cm="1">
        <f t="array" ref="BO91">_xll.DCEBoltDisRS(AN91, AE91, BA91, BB91, BC91, BD91, "h1")</f>
        <v>890</v>
      </c>
      <c r="BP91" s="185" cm="1">
        <f t="array" ref="BP91">_xll.DCEBoltDisRS(AN91, AE91, BA91, BB91, BC91, BD91, "Tong")</f>
        <v>1800300</v>
      </c>
      <c r="BQ91" s="185">
        <f t="shared" si="50"/>
        <v>50.195843217894343</v>
      </c>
      <c r="BR91" s="186">
        <f t="shared" si="51"/>
        <v>0.35267325431880892</v>
      </c>
      <c r="BS91" s="185" t="str">
        <f t="shared" si="52"/>
        <v>OK</v>
      </c>
      <c r="BT91" s="186">
        <f t="shared" si="53"/>
        <v>0.38366561401012489</v>
      </c>
      <c r="BU91" s="185" t="str">
        <f t="shared" si="54"/>
        <v>OK</v>
      </c>
      <c r="BV91" s="190">
        <f t="shared" si="55"/>
        <v>260.85081427831977</v>
      </c>
      <c r="BW91" s="191">
        <f t="shared" si="56"/>
        <v>5.8691433212621948</v>
      </c>
      <c r="BX91" s="190">
        <f t="shared" si="57"/>
        <v>130.42540713915989</v>
      </c>
      <c r="BY91" s="167">
        <f t="shared" si="58"/>
        <v>55.785916716947604</v>
      </c>
      <c r="BZ91" s="192">
        <f t="shared" si="59"/>
        <v>0.27118153959627311</v>
      </c>
      <c r="CA91" s="191">
        <f t="shared" si="60"/>
        <v>5.1653626589766288</v>
      </c>
      <c r="CB91" s="193">
        <f t="shared" si="61"/>
        <v>4.3292072093913322E-2</v>
      </c>
      <c r="CC91" s="167">
        <f t="shared" si="62"/>
        <v>56.498773598605347</v>
      </c>
      <c r="CD91" s="191">
        <f t="shared" si="63"/>
        <v>0.23882331835159271</v>
      </c>
      <c r="CE91" s="189">
        <f t="shared" si="64"/>
        <v>0.27118153959627311</v>
      </c>
      <c r="CF91" s="194" t="str">
        <f t="shared" si="65"/>
        <v>OK</v>
      </c>
      <c r="DA91" s="140"/>
      <c r="DB91" s="140"/>
      <c r="DC91" s="140"/>
      <c r="DD91" s="141"/>
      <c r="DE91" s="151"/>
      <c r="DF91" s="152"/>
      <c r="DG91" s="152"/>
      <c r="DH91" s="152"/>
      <c r="DI91" s="152"/>
      <c r="DJ91" s="152"/>
      <c r="DK91" s="161"/>
      <c r="DL91" s="162"/>
      <c r="DM91" s="162"/>
      <c r="DN91" s="162"/>
      <c r="DO91" s="162"/>
      <c r="DP91" s="162"/>
      <c r="DQ91" s="140"/>
      <c r="DR91" s="151"/>
      <c r="DS91" s="151"/>
      <c r="DT91" s="151"/>
      <c r="DU91" s="151"/>
      <c r="DV91" s="151"/>
      <c r="DW91" s="151"/>
      <c r="DX91" s="151"/>
      <c r="DY91" s="151"/>
      <c r="DZ91" s="151"/>
      <c r="EA91" s="161"/>
      <c r="EB91" s="161"/>
      <c r="EC91" s="161"/>
      <c r="ED91" s="161"/>
      <c r="EE91" s="161"/>
      <c r="EF91" s="161"/>
      <c r="EG91" s="161"/>
      <c r="EH91" s="161"/>
      <c r="EI91" s="161"/>
      <c r="EJ91" s="161"/>
      <c r="EK91" s="209"/>
      <c r="EL91" s="161"/>
      <c r="EM91" s="187"/>
      <c r="EN91" s="187"/>
      <c r="EO91" s="206"/>
      <c r="EP91" s="212"/>
      <c r="EQ91" s="208"/>
      <c r="ER91" s="187"/>
      <c r="ES91" s="187"/>
      <c r="ET91" s="187"/>
      <c r="EU91" s="187"/>
      <c r="EV91" s="210"/>
      <c r="EW91" s="209"/>
      <c r="EX91" s="210"/>
      <c r="EY91" s="162"/>
      <c r="EZ91" s="211"/>
      <c r="FA91" s="209"/>
      <c r="FB91" s="207"/>
      <c r="FC91" s="162"/>
      <c r="FD91" s="209"/>
      <c r="FE91" s="187"/>
      <c r="FF91" s="187"/>
    </row>
    <row r="92" spans="8:162">
      <c r="H92" s="6" t="s">
        <v>233</v>
      </c>
      <c r="I92" s="47"/>
      <c r="J92" s="47"/>
      <c r="K92" s="47"/>
      <c r="L92" s="47"/>
      <c r="M92" s="47"/>
      <c r="N92" s="48"/>
      <c r="O92" s="49"/>
      <c r="P92" s="47"/>
      <c r="Q92" s="50"/>
      <c r="R92" s="50"/>
      <c r="S92" s="5"/>
      <c r="AA92" s="140" t="s">
        <v>210</v>
      </c>
      <c r="AB92" s="140" t="s">
        <v>238</v>
      </c>
      <c r="AC92" s="140">
        <v>46</v>
      </c>
      <c r="AD92" s="141">
        <v>2.6850000000000001</v>
      </c>
      <c r="AE92" s="151">
        <v>1100</v>
      </c>
      <c r="AF92" s="152">
        <v>350</v>
      </c>
      <c r="AG92" s="152">
        <v>14</v>
      </c>
      <c r="AH92" s="152">
        <v>18.000000000000004</v>
      </c>
      <c r="AI92" s="152">
        <v>1064</v>
      </c>
      <c r="AJ92" s="153" t="str" cm="1">
        <f t="array" ref="AJ92">_xll.Dce_Name_SectI(AE92, AE92, AF92, AG92, AH92, "x", "-", "H Tổng")</f>
        <v>1100x350x14x18</v>
      </c>
      <c r="AK92" s="161">
        <f t="shared" si="36"/>
        <v>1360</v>
      </c>
      <c r="AL92" s="162" cm="1">
        <f t="array" ref="AL92">IFERROR(INDEX($B$25:$B$32,IFERROR(MATCH(AF92,$B$25:$B$32,0),MATCH(AF92,$B$25:$B$32,1)+1)),$B$25)</f>
        <v>350</v>
      </c>
      <c r="AM92" s="162" cm="1">
        <f t="array" ref="AM92">IFERROR(VLOOKUP(AE92,$B$36:$E$47,4,FALSE),INDEX($E$36:$E$47,MATCH(AE92,$B$36:$B$47,1)+1))</f>
        <v>25</v>
      </c>
      <c r="AN92" s="162" cm="1">
        <f t="array" ref="AN92">IFERROR(VLOOKUP(AE92,$B$36:$E$47,2,FALSE),INDEX($C$36:$C$47,MATCH(AE92,$B$36:$B$47,1)+1))</f>
        <v>12</v>
      </c>
      <c r="AO92" s="162" cm="1">
        <f t="array" ref="AO92">IFERROR(VLOOKUP(AE92,$B$36:$E$47,3,FALSE),INDEX($D$36:$D$47,MATCH(AE92,$B$36:$B$47,1)+1))</f>
        <v>24</v>
      </c>
      <c r="AP92" s="163" t="str">
        <f t="shared" si="37"/>
        <v>1360x350x25 + 12M24</v>
      </c>
      <c r="AQ92" s="140" t="s">
        <v>249</v>
      </c>
      <c r="AR92" s="151">
        <v>0</v>
      </c>
      <c r="AS92" s="151">
        <v>298.44270154681737</v>
      </c>
      <c r="AT92" s="151">
        <v>-5.3660187404602757E-15</v>
      </c>
      <c r="AU92" s="151">
        <v>-2.1309089782600228E-3</v>
      </c>
      <c r="AV92" s="151">
        <v>1.0909388947766271E-15</v>
      </c>
      <c r="AW92" s="151">
        <v>-905.04500149523221</v>
      </c>
      <c r="BA92" s="161">
        <f t="shared" si="38"/>
        <v>60</v>
      </c>
      <c r="BB92" s="161">
        <f t="shared" si="39"/>
        <v>70</v>
      </c>
      <c r="BC92" s="161">
        <f t="shared" si="40"/>
        <v>80</v>
      </c>
      <c r="BD92" s="161">
        <f t="shared" si="41"/>
        <v>150</v>
      </c>
      <c r="BE92" s="161">
        <f>HLOOKUP(AO92,Data!$H$31:$Q$35,3,FALSE)</f>
        <v>452.38934211693021</v>
      </c>
      <c r="BF92" s="161">
        <f>HLOOKUP(AO92,Data!$H$31:$Q$35,4,FALSE)</f>
        <v>353</v>
      </c>
      <c r="BG92" s="179">
        <f t="shared" si="42"/>
        <v>180</v>
      </c>
      <c r="BH92" s="185">
        <f t="shared" si="43"/>
        <v>121.65654188208487</v>
      </c>
      <c r="BI92" s="185">
        <f t="shared" si="44"/>
        <v>243</v>
      </c>
      <c r="BJ92" s="185">
        <f t="shared" si="45"/>
        <v>142.3296</v>
      </c>
      <c r="BK92" s="185">
        <f t="shared" si="46"/>
        <v>24.746798932151961</v>
      </c>
      <c r="BL92" s="186">
        <f t="shared" si="47"/>
        <v>0.82166666666666666</v>
      </c>
      <c r="BM92" s="186">
        <f t="shared" si="48"/>
        <v>0.247564229305549</v>
      </c>
      <c r="BN92" s="185" t="str">
        <f t="shared" si="49"/>
        <v>OK</v>
      </c>
      <c r="BO92" s="185" cm="1">
        <f t="array" ref="BO92">_xll.DCEBoltDisRS(AN92, AE92, BA92, BB92, BC92, BD92, "h1")</f>
        <v>1240</v>
      </c>
      <c r="BP92" s="185" cm="1">
        <f t="array" ref="BP92">_xll.DCEBoltDisRS(AN92, AE92, BA92, BB92, BC92, BD92, "Tong")</f>
        <v>3721800</v>
      </c>
      <c r="BQ92" s="185">
        <f t="shared" si="50"/>
        <v>153.24256127508528</v>
      </c>
      <c r="BR92" s="186">
        <f t="shared" si="51"/>
        <v>1.0766738701934473</v>
      </c>
      <c r="BS92" s="185" t="str">
        <f t="shared" si="52"/>
        <v>O/S</v>
      </c>
      <c r="BT92" s="186">
        <f t="shared" si="53"/>
        <v>1.0957209484594885</v>
      </c>
      <c r="BU92" s="185" t="str">
        <f t="shared" si="54"/>
        <v>O/S</v>
      </c>
      <c r="BV92" s="190">
        <f t="shared" si="55"/>
        <v>822.76818317748382</v>
      </c>
      <c r="BW92" s="191">
        <f t="shared" si="56"/>
        <v>18.512284121493384</v>
      </c>
      <c r="BX92" s="190">
        <f t="shared" si="57"/>
        <v>411.38409158874191</v>
      </c>
      <c r="BY92" s="167">
        <f t="shared" si="58"/>
        <v>130.6749467399533</v>
      </c>
      <c r="BZ92" s="192">
        <f t="shared" si="59"/>
        <v>0.63522543554143973</v>
      </c>
      <c r="CA92" s="191">
        <f t="shared" si="60"/>
        <v>12.099532105551233</v>
      </c>
      <c r="CB92" s="193">
        <f t="shared" si="61"/>
        <v>0.1014089137198978</v>
      </c>
      <c r="CC92" s="167">
        <f t="shared" si="62"/>
        <v>132.34476845349585</v>
      </c>
      <c r="CD92" s="191">
        <f t="shared" si="63"/>
        <v>0.55942836906670956</v>
      </c>
      <c r="CE92" s="189">
        <f t="shared" si="64"/>
        <v>0.63522543554143973</v>
      </c>
      <c r="CF92" s="194" t="str">
        <f t="shared" si="65"/>
        <v>OK</v>
      </c>
      <c r="DA92" s="140"/>
      <c r="DB92" s="140"/>
      <c r="DC92" s="140"/>
      <c r="DD92" s="141"/>
      <c r="DE92" s="151"/>
      <c r="DF92" s="152"/>
      <c r="DG92" s="152"/>
      <c r="DH92" s="152"/>
      <c r="DI92" s="152"/>
      <c r="DJ92" s="152"/>
      <c r="DK92" s="161"/>
      <c r="DL92" s="162"/>
      <c r="DM92" s="162"/>
      <c r="DN92" s="162"/>
      <c r="DO92" s="162"/>
      <c r="DP92" s="162"/>
      <c r="DQ92" s="140"/>
      <c r="DR92" s="151"/>
      <c r="DS92" s="151"/>
      <c r="DT92" s="151"/>
      <c r="DU92" s="151"/>
      <c r="DV92" s="151"/>
      <c r="DW92" s="151"/>
      <c r="DX92" s="151"/>
      <c r="DY92" s="151"/>
      <c r="DZ92" s="151"/>
      <c r="EA92" s="161"/>
      <c r="EB92" s="161"/>
      <c r="EC92" s="161"/>
      <c r="ED92" s="161"/>
      <c r="EE92" s="161"/>
      <c r="EF92" s="161"/>
      <c r="EG92" s="161"/>
      <c r="EH92" s="161"/>
      <c r="EI92" s="161"/>
      <c r="EJ92" s="161"/>
      <c r="EK92" s="209"/>
      <c r="EL92" s="161"/>
      <c r="EM92" s="187"/>
      <c r="EN92" s="187"/>
      <c r="EO92" s="206"/>
      <c r="EP92" s="212"/>
      <c r="EQ92" s="208"/>
      <c r="ER92" s="187"/>
      <c r="ES92" s="187"/>
      <c r="ET92" s="187"/>
      <c r="EU92" s="187"/>
      <c r="EV92" s="210"/>
      <c r="EW92" s="209"/>
      <c r="EX92" s="210"/>
      <c r="EY92" s="162"/>
      <c r="EZ92" s="211"/>
      <c r="FA92" s="209"/>
      <c r="FB92" s="207"/>
      <c r="FC92" s="162"/>
      <c r="FD92" s="209"/>
      <c r="FE92" s="187"/>
      <c r="FF92" s="187"/>
    </row>
    <row r="93" spans="8:162" ht="15">
      <c r="H93" s="7" t="str">
        <f>"- Diện tích mặt cắt tiết diện đường hàn:"</f>
        <v>- Diện tích mặt cắt tiết diện đường hàn:</v>
      </c>
      <c r="I93" s="70"/>
      <c r="J93" s="70"/>
      <c r="K93" s="55"/>
      <c r="L93" s="69"/>
      <c r="M93" s="55"/>
      <c r="N93" s="74"/>
      <c r="O93" s="55"/>
      <c r="P93" s="74"/>
      <c r="Q93" s="55" t="s">
        <v>125</v>
      </c>
      <c r="R93" s="74">
        <f>O101+O102+O103</f>
        <v>23209.835819879576</v>
      </c>
      <c r="S93" s="9" t="s">
        <v>6</v>
      </c>
      <c r="AA93" s="140" t="s">
        <v>210</v>
      </c>
      <c r="AB93" s="140" t="s">
        <v>238</v>
      </c>
      <c r="AC93" s="140">
        <v>46</v>
      </c>
      <c r="AD93" s="141">
        <v>0</v>
      </c>
      <c r="AE93" s="151">
        <v>750</v>
      </c>
      <c r="AF93" s="152">
        <v>350</v>
      </c>
      <c r="AG93" s="152">
        <v>14</v>
      </c>
      <c r="AH93" s="152">
        <v>18.000000000000004</v>
      </c>
      <c r="AI93" s="152">
        <v>714</v>
      </c>
      <c r="AJ93" s="153" t="str" cm="1">
        <f t="array" ref="AJ93">_xll.Dce_Name_SectI(AE93, AE93, AF93, AG93, AH93, "x", "-", "H Tổng")</f>
        <v>750x350x14x18</v>
      </c>
      <c r="AK93" s="161">
        <f t="shared" si="36"/>
        <v>1010</v>
      </c>
      <c r="AL93" s="162" cm="1">
        <f t="array" ref="AL93">IFERROR(INDEX($B$25:$B$32,IFERROR(MATCH(AF93,$B$25:$B$32,0),MATCH(AF93,$B$25:$B$32,1)+1)),$B$25)</f>
        <v>350</v>
      </c>
      <c r="AM93" s="162" cm="1">
        <f t="array" ref="AM93">IFERROR(VLOOKUP(AE93,$B$36:$E$47,4,FALSE),INDEX($E$36:$E$47,MATCH(AE93,$B$36:$B$47,1)+1))</f>
        <v>25</v>
      </c>
      <c r="AN93" s="162" cm="1">
        <f t="array" ref="AN93">IFERROR(VLOOKUP(AE93,$B$36:$E$47,2,FALSE),INDEX($C$36:$C$47,MATCH(AE93,$B$36:$B$47,1)+1))</f>
        <v>12</v>
      </c>
      <c r="AO93" s="162" cm="1">
        <f t="array" ref="AO93">IFERROR(VLOOKUP(AE93,$B$36:$E$47,3,FALSE),INDEX($D$36:$D$47,MATCH(AE93,$B$36:$B$47,1)+1))</f>
        <v>24</v>
      </c>
      <c r="AP93" s="163" t="str">
        <f t="shared" si="37"/>
        <v>1010x350x25 + 12M24</v>
      </c>
      <c r="AQ93" s="140" t="s">
        <v>250</v>
      </c>
      <c r="AR93" s="151">
        <v>0</v>
      </c>
      <c r="AS93" s="151">
        <v>222.270508280944</v>
      </c>
      <c r="AT93" s="151">
        <v>-3.1650415621697894E-14</v>
      </c>
      <c r="AU93" s="151">
        <v>-2.1565501373348936E-3</v>
      </c>
      <c r="AV93" s="151">
        <v>1.918524503707885E-14</v>
      </c>
      <c r="AW93" s="151">
        <v>-196.38439310943812</v>
      </c>
      <c r="BA93" s="161">
        <f t="shared" si="38"/>
        <v>60</v>
      </c>
      <c r="BB93" s="161">
        <f t="shared" si="39"/>
        <v>70</v>
      </c>
      <c r="BC93" s="161">
        <f t="shared" si="40"/>
        <v>80</v>
      </c>
      <c r="BD93" s="161">
        <f t="shared" si="41"/>
        <v>150</v>
      </c>
      <c r="BE93" s="161">
        <f>HLOOKUP(AO93,Data!$H$31:$Q$35,3,FALSE)</f>
        <v>452.38934211693021</v>
      </c>
      <c r="BF93" s="161">
        <f>HLOOKUP(AO93,Data!$H$31:$Q$35,4,FALSE)</f>
        <v>353</v>
      </c>
      <c r="BG93" s="179">
        <f t="shared" si="42"/>
        <v>180</v>
      </c>
      <c r="BH93" s="185">
        <f t="shared" si="43"/>
        <v>121.65654188208487</v>
      </c>
      <c r="BI93" s="185">
        <f t="shared" si="44"/>
        <v>243</v>
      </c>
      <c r="BJ93" s="185">
        <f t="shared" si="45"/>
        <v>142.3296</v>
      </c>
      <c r="BK93" s="185">
        <f t="shared" si="46"/>
        <v>18.430618502201387</v>
      </c>
      <c r="BL93" s="186">
        <f t="shared" si="47"/>
        <v>0.89458333333333329</v>
      </c>
      <c r="BM93" s="186">
        <f t="shared" si="48"/>
        <v>0.16934939115119391</v>
      </c>
      <c r="BN93" s="185" t="str">
        <f t="shared" si="49"/>
        <v>OK</v>
      </c>
      <c r="BO93" s="185" cm="1">
        <f t="array" ref="BO93">_xll.DCEBoltDisRS(AN93, AE93, BA93, BB93, BC93, BD93, "h1")</f>
        <v>890</v>
      </c>
      <c r="BP93" s="185" cm="1">
        <f t="array" ref="BP93">_xll.DCEBoltDisRS(AN93, AE93, BA93, BB93, BC93, BD93, "Tong")</f>
        <v>1800300</v>
      </c>
      <c r="BQ93" s="185">
        <f t="shared" si="50"/>
        <v>50.38555750855484</v>
      </c>
      <c r="BR93" s="186">
        <f t="shared" si="51"/>
        <v>0.35400617656871686</v>
      </c>
      <c r="BS93" s="185" t="str">
        <f t="shared" si="52"/>
        <v>OK</v>
      </c>
      <c r="BT93" s="186">
        <f t="shared" si="53"/>
        <v>0.38506071902450478</v>
      </c>
      <c r="BU93" s="185" t="str">
        <f t="shared" si="54"/>
        <v>OK</v>
      </c>
      <c r="BV93" s="190">
        <f t="shared" si="55"/>
        <v>261.84585747925081</v>
      </c>
      <c r="BW93" s="191">
        <f t="shared" si="56"/>
        <v>5.8915317932831428</v>
      </c>
      <c r="BX93" s="190">
        <f t="shared" si="57"/>
        <v>130.92292873962541</v>
      </c>
      <c r="BY93" s="167">
        <f t="shared" si="58"/>
        <v>55.998718035166512</v>
      </c>
      <c r="BZ93" s="192">
        <f t="shared" si="59"/>
        <v>0.27221599044872613</v>
      </c>
      <c r="CA93" s="191">
        <f t="shared" si="60"/>
        <v>5.1850664847376402</v>
      </c>
      <c r="CB93" s="193">
        <f t="shared" si="61"/>
        <v>4.3457214311737886E-2</v>
      </c>
      <c r="CC93" s="167">
        <f t="shared" si="62"/>
        <v>56.714294185289226</v>
      </c>
      <c r="CD93" s="191">
        <f t="shared" si="63"/>
        <v>0.23973433532429025</v>
      </c>
      <c r="CE93" s="189">
        <f t="shared" si="64"/>
        <v>0.27221599044872613</v>
      </c>
      <c r="CF93" s="194" t="str">
        <f t="shared" si="65"/>
        <v>OK</v>
      </c>
      <c r="DA93" s="140"/>
      <c r="DB93" s="140"/>
      <c r="DC93" s="140"/>
      <c r="DD93" s="141"/>
      <c r="DE93" s="151"/>
      <c r="DF93" s="152"/>
      <c r="DG93" s="152"/>
      <c r="DH93" s="152"/>
      <c r="DI93" s="152"/>
      <c r="DJ93" s="152"/>
      <c r="DK93" s="161"/>
      <c r="DL93" s="162"/>
      <c r="DM93" s="162"/>
      <c r="DN93" s="162"/>
      <c r="DO93" s="162"/>
      <c r="DP93" s="162"/>
      <c r="DQ93" s="140"/>
      <c r="DR93" s="151"/>
      <c r="DS93" s="151"/>
      <c r="DT93" s="151"/>
      <c r="DU93" s="151"/>
      <c r="DV93" s="151"/>
      <c r="DW93" s="151"/>
      <c r="DX93" s="151"/>
      <c r="DY93" s="151"/>
      <c r="DZ93" s="151"/>
      <c r="EA93" s="161"/>
      <c r="EB93" s="161"/>
      <c r="EC93" s="161"/>
      <c r="ED93" s="161"/>
      <c r="EE93" s="161"/>
      <c r="EF93" s="161"/>
      <c r="EG93" s="161"/>
      <c r="EH93" s="161"/>
      <c r="EI93" s="161"/>
      <c r="EJ93" s="161"/>
      <c r="EK93" s="209"/>
      <c r="EL93" s="161"/>
      <c r="EM93" s="187"/>
      <c r="EN93" s="187"/>
      <c r="EO93" s="206"/>
      <c r="EP93" s="212"/>
      <c r="EQ93" s="208"/>
      <c r="ER93" s="187"/>
      <c r="ES93" s="187"/>
      <c r="ET93" s="187"/>
      <c r="EU93" s="187"/>
      <c r="EV93" s="210"/>
      <c r="EW93" s="209"/>
      <c r="EX93" s="210"/>
      <c r="EY93" s="162"/>
      <c r="EZ93" s="211"/>
      <c r="FA93" s="209"/>
      <c r="FB93" s="207"/>
      <c r="FC93" s="162"/>
      <c r="FD93" s="209"/>
      <c r="FE93" s="187"/>
      <c r="FF93" s="187"/>
    </row>
    <row r="94" spans="8:162" ht="15">
      <c r="H94" s="7" t="str">
        <f>"- Moment quán tính tiết diện đường hàn:"</f>
        <v>- Moment quán tính tiết diện đường hàn:</v>
      </c>
      <c r="I94" s="70"/>
      <c r="J94" s="70"/>
      <c r="K94" s="55"/>
      <c r="L94" s="69"/>
      <c r="M94" s="55"/>
      <c r="N94" s="75"/>
      <c r="O94" s="55"/>
      <c r="P94" s="75"/>
      <c r="Q94" s="55" t="s">
        <v>135</v>
      </c>
      <c r="R94" s="76">
        <f>P101+P102+P103</f>
        <v>10258602343.372765</v>
      </c>
      <c r="S94" s="9" t="s">
        <v>136</v>
      </c>
      <c r="AA94" s="140" t="s">
        <v>210</v>
      </c>
      <c r="AB94" s="140" t="s">
        <v>238</v>
      </c>
      <c r="AC94" s="140">
        <v>46</v>
      </c>
      <c r="AD94" s="141">
        <v>2.6850000000000001</v>
      </c>
      <c r="AE94" s="151">
        <v>1100</v>
      </c>
      <c r="AF94" s="152">
        <v>350</v>
      </c>
      <c r="AG94" s="152">
        <v>14</v>
      </c>
      <c r="AH94" s="152">
        <v>18.000000000000004</v>
      </c>
      <c r="AI94" s="152">
        <v>1064</v>
      </c>
      <c r="AJ94" s="153" t="str" cm="1">
        <f t="array" ref="AJ94">_xll.Dce_Name_SectI(AE94, AE94, AF94, AG94, AH94, "x", "-", "H Tổng")</f>
        <v>1100x350x14x18</v>
      </c>
      <c r="AK94" s="161">
        <f t="shared" si="36"/>
        <v>1360</v>
      </c>
      <c r="AL94" s="162" cm="1">
        <f t="array" ref="AL94">IFERROR(INDEX($B$25:$B$32,IFERROR(MATCH(AF94,$B$25:$B$32,0),MATCH(AF94,$B$25:$B$32,1)+1)),$B$25)</f>
        <v>350</v>
      </c>
      <c r="AM94" s="162" cm="1">
        <f t="array" ref="AM94">IFERROR(VLOOKUP(AE94,$B$36:$E$47,4,FALSE),INDEX($E$36:$E$47,MATCH(AE94,$B$36:$B$47,1)+1))</f>
        <v>25</v>
      </c>
      <c r="AN94" s="162" cm="1">
        <f t="array" ref="AN94">IFERROR(VLOOKUP(AE94,$B$36:$E$47,2,FALSE),INDEX($C$36:$C$47,MATCH(AE94,$B$36:$B$47,1)+1))</f>
        <v>12</v>
      </c>
      <c r="AO94" s="162" cm="1">
        <f t="array" ref="AO94">IFERROR(VLOOKUP(AE94,$B$36:$E$47,3,FALSE),INDEX($D$36:$D$47,MATCH(AE94,$B$36:$B$47,1)+1))</f>
        <v>24</v>
      </c>
      <c r="AP94" s="163" t="str">
        <f t="shared" si="37"/>
        <v>1360x350x25 + 12M24</v>
      </c>
      <c r="AQ94" s="140" t="s">
        <v>250</v>
      </c>
      <c r="AR94" s="151">
        <v>0</v>
      </c>
      <c r="AS94" s="151">
        <v>299.07553532720209</v>
      </c>
      <c r="AT94" s="151">
        <v>-5.8207660913467402E-15</v>
      </c>
      <c r="AU94" s="151">
        <v>-2.1562294459145054E-3</v>
      </c>
      <c r="AV94" s="151">
        <v>1.7753336578607555E-15</v>
      </c>
      <c r="AW94" s="151">
        <v>-907.49043295583431</v>
      </c>
      <c r="BA94" s="161">
        <f t="shared" si="38"/>
        <v>60</v>
      </c>
      <c r="BB94" s="161">
        <f t="shared" si="39"/>
        <v>70</v>
      </c>
      <c r="BC94" s="161">
        <f t="shared" si="40"/>
        <v>80</v>
      </c>
      <c r="BD94" s="161">
        <f t="shared" si="41"/>
        <v>150</v>
      </c>
      <c r="BE94" s="161">
        <f>HLOOKUP(AO94,Data!$H$31:$Q$35,3,FALSE)</f>
        <v>452.38934211693021</v>
      </c>
      <c r="BF94" s="161">
        <f>HLOOKUP(AO94,Data!$H$31:$Q$35,4,FALSE)</f>
        <v>353</v>
      </c>
      <c r="BG94" s="179">
        <f t="shared" si="42"/>
        <v>180</v>
      </c>
      <c r="BH94" s="185">
        <f t="shared" si="43"/>
        <v>121.65654188208487</v>
      </c>
      <c r="BI94" s="185">
        <f t="shared" si="44"/>
        <v>243</v>
      </c>
      <c r="BJ94" s="185">
        <f t="shared" si="45"/>
        <v>142.3296</v>
      </c>
      <c r="BK94" s="185">
        <f t="shared" si="46"/>
        <v>24.799273361043959</v>
      </c>
      <c r="BL94" s="186">
        <f t="shared" si="47"/>
        <v>0.82166666666666666</v>
      </c>
      <c r="BM94" s="186">
        <f t="shared" si="48"/>
        <v>0.24808917766685074</v>
      </c>
      <c r="BN94" s="185" t="str">
        <f t="shared" si="49"/>
        <v>OK</v>
      </c>
      <c r="BO94" s="185" cm="1">
        <f t="array" ref="BO94">_xll.DCEBoltDisRS(AN94, AE94, BA94, BB94, BC94, BD94, "h1")</f>
        <v>1240</v>
      </c>
      <c r="BP94" s="185" cm="1">
        <f t="array" ref="BP94">_xll.DCEBoltDisRS(AN94, AE94, BA94, BB94, BC94, BD94, "Tong")</f>
        <v>3721800</v>
      </c>
      <c r="BQ94" s="185">
        <f t="shared" si="50"/>
        <v>153.65518351123936</v>
      </c>
      <c r="BR94" s="186">
        <f t="shared" si="51"/>
        <v>1.0795729315001192</v>
      </c>
      <c r="BS94" s="185" t="str">
        <f t="shared" si="52"/>
        <v>O/S</v>
      </c>
      <c r="BT94" s="186">
        <f t="shared" si="53"/>
        <v>1.0986496957074212</v>
      </c>
      <c r="BU94" s="185" t="str">
        <f t="shared" si="54"/>
        <v>O/S</v>
      </c>
      <c r="BV94" s="190">
        <f t="shared" si="55"/>
        <v>824.99130268712202</v>
      </c>
      <c r="BW94" s="191">
        <f t="shared" si="56"/>
        <v>18.562304310460245</v>
      </c>
      <c r="BX94" s="190">
        <f t="shared" si="57"/>
        <v>412.49565134356101</v>
      </c>
      <c r="BY94" s="167">
        <f t="shared" si="58"/>
        <v>131.0280304267782</v>
      </c>
      <c r="BZ94" s="192">
        <f t="shared" si="59"/>
        <v>0.63694181457461629</v>
      </c>
      <c r="CA94" s="191">
        <f t="shared" si="60"/>
        <v>12.1322250395165</v>
      </c>
      <c r="CB94" s="193">
        <f t="shared" si="61"/>
        <v>0.10168292058981743</v>
      </c>
      <c r="CC94" s="167">
        <f t="shared" si="62"/>
        <v>132.70236399834454</v>
      </c>
      <c r="CD94" s="191">
        <f t="shared" si="63"/>
        <v>0.56093994443744677</v>
      </c>
      <c r="CE94" s="189">
        <f t="shared" si="64"/>
        <v>0.63694181457461629</v>
      </c>
      <c r="CF94" s="194" t="str">
        <f t="shared" si="65"/>
        <v>OK</v>
      </c>
      <c r="DA94" s="140"/>
      <c r="DB94" s="140"/>
      <c r="DC94" s="140"/>
      <c r="DD94" s="141"/>
      <c r="DE94" s="151"/>
      <c r="DF94" s="152"/>
      <c r="DG94" s="152"/>
      <c r="DH94" s="152"/>
      <c r="DI94" s="152"/>
      <c r="DJ94" s="152"/>
      <c r="DK94" s="161"/>
      <c r="DL94" s="162"/>
      <c r="DM94" s="162"/>
      <c r="DN94" s="162"/>
      <c r="DO94" s="162"/>
      <c r="DP94" s="162"/>
      <c r="DQ94" s="140"/>
      <c r="DR94" s="151"/>
      <c r="DS94" s="151"/>
      <c r="DT94" s="151"/>
      <c r="DU94" s="151"/>
      <c r="DV94" s="151"/>
      <c r="DW94" s="151"/>
      <c r="DX94" s="151"/>
      <c r="DY94" s="151"/>
      <c r="DZ94" s="151"/>
      <c r="EA94" s="161"/>
      <c r="EB94" s="161"/>
      <c r="EC94" s="161"/>
      <c r="ED94" s="161"/>
      <c r="EE94" s="161"/>
      <c r="EF94" s="161"/>
      <c r="EG94" s="161"/>
      <c r="EH94" s="161"/>
      <c r="EI94" s="161"/>
      <c r="EJ94" s="161"/>
      <c r="EK94" s="209"/>
      <c r="EL94" s="161"/>
      <c r="EM94" s="187"/>
      <c r="EN94" s="187"/>
      <c r="EO94" s="206"/>
      <c r="EP94" s="212"/>
      <c r="EQ94" s="208"/>
      <c r="ER94" s="187"/>
      <c r="ES94" s="187"/>
      <c r="ET94" s="187"/>
      <c r="EU94" s="187"/>
      <c r="EV94" s="210"/>
      <c r="EW94" s="209"/>
      <c r="EX94" s="210"/>
      <c r="EY94" s="162"/>
      <c r="EZ94" s="211"/>
      <c r="FA94" s="209"/>
      <c r="FB94" s="207"/>
      <c r="FC94" s="162"/>
      <c r="FD94" s="209"/>
      <c r="FE94" s="187"/>
      <c r="FF94" s="187"/>
    </row>
    <row r="95" spans="8:162" ht="15">
      <c r="H95" s="7" t="str">
        <f>"- Moment kháng uốn tiết diện đường hàn:"</f>
        <v>- Moment kháng uốn tiết diện đường hàn:</v>
      </c>
      <c r="I95" s="70"/>
      <c r="J95" s="70"/>
      <c r="K95" s="55"/>
      <c r="L95" s="69"/>
      <c r="M95" s="55"/>
      <c r="N95" s="75"/>
      <c r="O95" s="55"/>
      <c r="P95" s="75"/>
      <c r="Q95" s="55" t="s">
        <v>137</v>
      </c>
      <c r="R95" s="76">
        <f>Q101+Q102+Q103</f>
        <v>19036240.659338899</v>
      </c>
      <c r="S95" s="9" t="s">
        <v>136</v>
      </c>
      <c r="AA95" s="140" t="s">
        <v>210</v>
      </c>
      <c r="AB95" s="140" t="s">
        <v>238</v>
      </c>
      <c r="AC95" s="140">
        <v>46</v>
      </c>
      <c r="AD95" s="141">
        <v>0</v>
      </c>
      <c r="AE95" s="151">
        <v>750</v>
      </c>
      <c r="AF95" s="152">
        <v>350</v>
      </c>
      <c r="AG95" s="152">
        <v>14</v>
      </c>
      <c r="AH95" s="152">
        <v>18.000000000000004</v>
      </c>
      <c r="AI95" s="152">
        <v>714</v>
      </c>
      <c r="AJ95" s="153" t="str" cm="1">
        <f t="array" ref="AJ95">_xll.Dce_Name_SectI(AE95, AE95, AF95, AG95, AH95, "x", "-", "H Tổng")</f>
        <v>750x350x14x18</v>
      </c>
      <c r="AK95" s="161">
        <f t="shared" si="36"/>
        <v>1010</v>
      </c>
      <c r="AL95" s="162" cm="1">
        <f t="array" ref="AL95">IFERROR(INDEX($B$25:$B$32,IFERROR(MATCH(AF95,$B$25:$B$32,0),MATCH(AF95,$B$25:$B$32,1)+1)),$B$25)</f>
        <v>350</v>
      </c>
      <c r="AM95" s="162" cm="1">
        <f t="array" ref="AM95">IFERROR(VLOOKUP(AE95,$B$36:$E$47,4,FALSE),INDEX($E$36:$E$47,MATCH(AE95,$B$36:$B$47,1)+1))</f>
        <v>25</v>
      </c>
      <c r="AN95" s="162" cm="1">
        <f t="array" ref="AN95">IFERROR(VLOOKUP(AE95,$B$36:$E$47,2,FALSE),INDEX($C$36:$C$47,MATCH(AE95,$B$36:$B$47,1)+1))</f>
        <v>12</v>
      </c>
      <c r="AO95" s="162" cm="1">
        <f t="array" ref="AO95">IFERROR(VLOOKUP(AE95,$B$36:$E$47,3,FALSE),INDEX($D$36:$D$47,MATCH(AE95,$B$36:$B$47,1)+1))</f>
        <v>24</v>
      </c>
      <c r="AP95" s="163" t="str">
        <f t="shared" si="37"/>
        <v>1010x350x25 + 12M24</v>
      </c>
      <c r="AQ95" s="140" t="s">
        <v>251</v>
      </c>
      <c r="AR95" s="151">
        <v>0</v>
      </c>
      <c r="AS95" s="151">
        <v>216.94158468149547</v>
      </c>
      <c r="AT95" s="151">
        <v>-2.4147084332071236E-14</v>
      </c>
      <c r="AU95" s="151">
        <v>-2.1094992597105251E-3</v>
      </c>
      <c r="AV95" s="151">
        <v>1.6973353922367089E-14</v>
      </c>
      <c r="AW95" s="151">
        <v>-162.86273964199981</v>
      </c>
      <c r="BA95" s="161">
        <f t="shared" si="38"/>
        <v>60</v>
      </c>
      <c r="BB95" s="161">
        <f t="shared" si="39"/>
        <v>70</v>
      </c>
      <c r="BC95" s="161">
        <f t="shared" si="40"/>
        <v>80</v>
      </c>
      <c r="BD95" s="161">
        <f t="shared" si="41"/>
        <v>150</v>
      </c>
      <c r="BE95" s="161">
        <f>HLOOKUP(AO95,Data!$H$31:$Q$35,3,FALSE)</f>
        <v>452.38934211693021</v>
      </c>
      <c r="BF95" s="161">
        <f>HLOOKUP(AO95,Data!$H$31:$Q$35,4,FALSE)</f>
        <v>353</v>
      </c>
      <c r="BG95" s="179">
        <f t="shared" si="42"/>
        <v>180</v>
      </c>
      <c r="BH95" s="185">
        <f t="shared" si="43"/>
        <v>121.65654188208487</v>
      </c>
      <c r="BI95" s="185">
        <f t="shared" si="44"/>
        <v>243</v>
      </c>
      <c r="BJ95" s="185">
        <f t="shared" si="45"/>
        <v>142.3296</v>
      </c>
      <c r="BK95" s="185">
        <f t="shared" si="46"/>
        <v>17.98874540509814</v>
      </c>
      <c r="BL95" s="186">
        <f t="shared" si="47"/>
        <v>0.89458333333333329</v>
      </c>
      <c r="BM95" s="186">
        <f t="shared" si="48"/>
        <v>0.16528924851671914</v>
      </c>
      <c r="BN95" s="185" t="str">
        <f t="shared" si="49"/>
        <v>OK</v>
      </c>
      <c r="BO95" s="185" cm="1">
        <f t="array" ref="BO95">_xll.DCEBoltDisRS(AN95, AE95, BA95, BB95, BC95, BD95, "h1")</f>
        <v>890</v>
      </c>
      <c r="BP95" s="185" cm="1">
        <f t="array" ref="BP95">_xll.DCEBoltDisRS(AN95, AE95, BA95, BB95, BC95, BD95, "Tong")</f>
        <v>1800300</v>
      </c>
      <c r="BQ95" s="185">
        <f t="shared" si="50"/>
        <v>42.055453522173934</v>
      </c>
      <c r="BR95" s="186">
        <f t="shared" si="51"/>
        <v>0.29547932069066402</v>
      </c>
      <c r="BS95" s="185" t="str">
        <f t="shared" si="52"/>
        <v>OK</v>
      </c>
      <c r="BT95" s="186">
        <f t="shared" si="53"/>
        <v>0.33041199921010467</v>
      </c>
      <c r="BU95" s="185" t="str">
        <f t="shared" si="54"/>
        <v>OK</v>
      </c>
      <c r="BV95" s="190">
        <f t="shared" si="55"/>
        <v>217.15031952266642</v>
      </c>
      <c r="BW95" s="191">
        <f t="shared" si="56"/>
        <v>4.885882189259994</v>
      </c>
      <c r="BX95" s="190">
        <f t="shared" si="57"/>
        <v>108.57515976133321</v>
      </c>
      <c r="BY95" s="167">
        <f t="shared" si="58"/>
        <v>46.440068333560333</v>
      </c>
      <c r="BZ95" s="192">
        <f t="shared" si="59"/>
        <v>0.22575033217702942</v>
      </c>
      <c r="CA95" s="191">
        <f t="shared" si="60"/>
        <v>4.3000063271815137</v>
      </c>
      <c r="CB95" s="193">
        <f t="shared" si="61"/>
        <v>3.6039325060189892E-2</v>
      </c>
      <c r="CC95" s="167">
        <f t="shared" si="62"/>
        <v>47.033499870487589</v>
      </c>
      <c r="CD95" s="191">
        <f t="shared" si="63"/>
        <v>0.1988131033172785</v>
      </c>
      <c r="CE95" s="189">
        <f t="shared" si="64"/>
        <v>0.22575033217702942</v>
      </c>
      <c r="CF95" s="194" t="str">
        <f t="shared" si="65"/>
        <v>OK</v>
      </c>
      <c r="DA95" s="140"/>
      <c r="DB95" s="140"/>
      <c r="DC95" s="140"/>
      <c r="DD95" s="141"/>
      <c r="DE95" s="151"/>
      <c r="DF95" s="152"/>
      <c r="DG95" s="152"/>
      <c r="DH95" s="152"/>
      <c r="DI95" s="152"/>
      <c r="DJ95" s="152"/>
      <c r="DK95" s="161"/>
      <c r="DL95" s="162"/>
      <c r="DM95" s="162"/>
      <c r="DN95" s="162"/>
      <c r="DO95" s="162"/>
      <c r="DP95" s="162"/>
      <c r="DQ95" s="140"/>
      <c r="DR95" s="151"/>
      <c r="DS95" s="151"/>
      <c r="DT95" s="151"/>
      <c r="DU95" s="151"/>
      <c r="DV95" s="151"/>
      <c r="DW95" s="151"/>
      <c r="DX95" s="151"/>
      <c r="DY95" s="151"/>
      <c r="DZ95" s="151"/>
      <c r="EA95" s="161"/>
      <c r="EB95" s="161"/>
      <c r="EC95" s="161"/>
      <c r="ED95" s="161"/>
      <c r="EE95" s="161"/>
      <c r="EF95" s="161"/>
      <c r="EG95" s="161"/>
      <c r="EH95" s="161"/>
      <c r="EI95" s="161"/>
      <c r="EJ95" s="161"/>
      <c r="EK95" s="209"/>
      <c r="EL95" s="161"/>
      <c r="EM95" s="187"/>
      <c r="EN95" s="187"/>
      <c r="EO95" s="206"/>
      <c r="EP95" s="212"/>
      <c r="EQ95" s="208"/>
      <c r="ER95" s="187"/>
      <c r="ES95" s="187"/>
      <c r="ET95" s="187"/>
      <c r="EU95" s="187"/>
      <c r="EV95" s="210"/>
      <c r="EW95" s="209"/>
      <c r="EX95" s="210"/>
      <c r="EY95" s="162"/>
      <c r="EZ95" s="211"/>
      <c r="FA95" s="209"/>
      <c r="FB95" s="207"/>
      <c r="FC95" s="162"/>
      <c r="FD95" s="209"/>
      <c r="FE95" s="187"/>
      <c r="FF95" s="187"/>
    </row>
    <row r="96" spans="8:162" ht="15">
      <c r="H96" s="7" t="str">
        <f>"- Ứng suất tương đương:"</f>
        <v>- Ứng suất tương đương:</v>
      </c>
      <c r="I96" s="50"/>
      <c r="J96" s="50"/>
      <c r="K96" s="77"/>
      <c r="L96" s="78"/>
      <c r="M96" s="79"/>
      <c r="N96" s="80"/>
      <c r="O96" s="64"/>
      <c r="P96" s="50"/>
      <c r="Q96" s="59" t="s">
        <v>139</v>
      </c>
      <c r="R96" s="73">
        <f>SQRT((ABS(R64)*1000000/R95+P64*1000/R93)^2+(Q64*1000/R93)^2)</f>
        <v>157.86852847048596</v>
      </c>
      <c r="S96" s="9" t="s">
        <v>2</v>
      </c>
      <c r="AA96" s="140" t="s">
        <v>210</v>
      </c>
      <c r="AB96" s="140" t="s">
        <v>238</v>
      </c>
      <c r="AC96" s="140">
        <v>46</v>
      </c>
      <c r="AD96" s="141">
        <v>2.6850000000000001</v>
      </c>
      <c r="AE96" s="151">
        <v>1100</v>
      </c>
      <c r="AF96" s="152">
        <v>350</v>
      </c>
      <c r="AG96" s="152">
        <v>14</v>
      </c>
      <c r="AH96" s="152">
        <v>18.000000000000004</v>
      </c>
      <c r="AI96" s="152">
        <v>1064</v>
      </c>
      <c r="AJ96" s="153" t="str" cm="1">
        <f t="array" ref="AJ96">_xll.Dce_Name_SectI(AE96, AE96, AF96, AG96, AH96, "x", "-", "H Tổng")</f>
        <v>1100x350x14x18</v>
      </c>
      <c r="AK96" s="161">
        <f t="shared" si="36"/>
        <v>1360</v>
      </c>
      <c r="AL96" s="162" cm="1">
        <f t="array" ref="AL96">IFERROR(INDEX($B$25:$B$32,IFERROR(MATCH(AF96,$B$25:$B$32,0),MATCH(AF96,$B$25:$B$32,1)+1)),$B$25)</f>
        <v>350</v>
      </c>
      <c r="AM96" s="162" cm="1">
        <f t="array" ref="AM96">IFERROR(VLOOKUP(AE96,$B$36:$E$47,4,FALSE),INDEX($E$36:$E$47,MATCH(AE96,$B$36:$B$47,1)+1))</f>
        <v>25</v>
      </c>
      <c r="AN96" s="162" cm="1">
        <f t="array" ref="AN96">IFERROR(VLOOKUP(AE96,$B$36:$E$47,2,FALSE),INDEX($C$36:$C$47,MATCH(AE96,$B$36:$B$47,1)+1))</f>
        <v>12</v>
      </c>
      <c r="AO96" s="162" cm="1">
        <f t="array" ref="AO96">IFERROR(VLOOKUP(AE96,$B$36:$E$47,3,FALSE),INDEX($D$36:$D$47,MATCH(AE96,$B$36:$B$47,1)+1))</f>
        <v>24</v>
      </c>
      <c r="AP96" s="163" t="str">
        <f t="shared" si="37"/>
        <v>1360x350x25 + 12M24</v>
      </c>
      <c r="AQ96" s="140" t="s">
        <v>251</v>
      </c>
      <c r="AR96" s="151">
        <v>0</v>
      </c>
      <c r="AS96" s="151">
        <v>293.74661000579169</v>
      </c>
      <c r="AT96" s="151">
        <v>-6.0481397667899717E-15</v>
      </c>
      <c r="AU96" s="151">
        <v>-2.1091853569811443E-3</v>
      </c>
      <c r="AV96" s="151">
        <v>1.88470039574895E-15</v>
      </c>
      <c r="AW96" s="151">
        <v>-859.66072844232644</v>
      </c>
      <c r="BA96" s="161">
        <f t="shared" si="38"/>
        <v>60</v>
      </c>
      <c r="BB96" s="161">
        <f t="shared" si="39"/>
        <v>70</v>
      </c>
      <c r="BC96" s="161">
        <f t="shared" si="40"/>
        <v>80</v>
      </c>
      <c r="BD96" s="161">
        <f t="shared" si="41"/>
        <v>150</v>
      </c>
      <c r="BE96" s="161">
        <f>HLOOKUP(AO96,Data!$H$31:$Q$35,3,FALSE)</f>
        <v>452.38934211693021</v>
      </c>
      <c r="BF96" s="161">
        <f>HLOOKUP(AO96,Data!$H$31:$Q$35,4,FALSE)</f>
        <v>353</v>
      </c>
      <c r="BG96" s="179">
        <f t="shared" si="42"/>
        <v>180</v>
      </c>
      <c r="BH96" s="185">
        <f t="shared" si="43"/>
        <v>121.65654188208487</v>
      </c>
      <c r="BI96" s="185">
        <f t="shared" si="44"/>
        <v>243</v>
      </c>
      <c r="BJ96" s="185">
        <f t="shared" si="45"/>
        <v>142.3296</v>
      </c>
      <c r="BK96" s="185">
        <f t="shared" si="46"/>
        <v>24.357400121156036</v>
      </c>
      <c r="BL96" s="186">
        <f t="shared" si="47"/>
        <v>0.82166666666666666</v>
      </c>
      <c r="BM96" s="186">
        <f t="shared" si="48"/>
        <v>0.24366872682860219</v>
      </c>
      <c r="BN96" s="185" t="str">
        <f t="shared" si="49"/>
        <v>OK</v>
      </c>
      <c r="BO96" s="185" cm="1">
        <f t="array" ref="BO96">_xll.DCEBoltDisRS(AN96, AE96, BA96, BB96, BC96, BD96, "h1")</f>
        <v>1240</v>
      </c>
      <c r="BP96" s="185" cm="1">
        <f t="array" ref="BP96">_xll.DCEBoltDisRS(AN96, AE96, BA96, BB96, BC96, BD96, "Tong")</f>
        <v>3721800</v>
      </c>
      <c r="BQ96" s="185">
        <f t="shared" si="50"/>
        <v>145.64323413706654</v>
      </c>
      <c r="BR96" s="186">
        <f t="shared" si="51"/>
        <v>1.0232814125597665</v>
      </c>
      <c r="BS96" s="185" t="str">
        <f t="shared" si="52"/>
        <v>O/S</v>
      </c>
      <c r="BT96" s="186">
        <f t="shared" si="53"/>
        <v>1.0426843642759742</v>
      </c>
      <c r="BU96" s="185" t="str">
        <f t="shared" si="54"/>
        <v>O/S</v>
      </c>
      <c r="BV96" s="190">
        <f t="shared" si="55"/>
        <v>781.5097531293876</v>
      </c>
      <c r="BW96" s="191">
        <f t="shared" si="56"/>
        <v>17.583969445411221</v>
      </c>
      <c r="BX96" s="190">
        <f t="shared" si="57"/>
        <v>390.7548765646938</v>
      </c>
      <c r="BY96" s="167">
        <f t="shared" si="58"/>
        <v>124.12213726172627</v>
      </c>
      <c r="BZ96" s="192">
        <f t="shared" si="59"/>
        <v>0.60337150057783606</v>
      </c>
      <c r="CA96" s="191">
        <f t="shared" si="60"/>
        <v>11.492790487196876</v>
      </c>
      <c r="CB96" s="193">
        <f t="shared" si="61"/>
        <v>9.632367506031865E-2</v>
      </c>
      <c r="CC96" s="167">
        <f t="shared" si="62"/>
        <v>125.70822430520059</v>
      </c>
      <c r="CD96" s="191">
        <f t="shared" si="63"/>
        <v>0.53137534428526834</v>
      </c>
      <c r="CE96" s="189">
        <f t="shared" si="64"/>
        <v>0.60337150057783606</v>
      </c>
      <c r="CF96" s="194" t="str">
        <f t="shared" si="65"/>
        <v>OK</v>
      </c>
      <c r="DA96" s="140"/>
      <c r="DB96" s="140"/>
      <c r="DC96" s="140"/>
      <c r="DD96" s="141"/>
      <c r="DE96" s="151"/>
      <c r="DF96" s="152"/>
      <c r="DG96" s="152"/>
      <c r="DH96" s="152"/>
      <c r="DI96" s="152"/>
      <c r="DJ96" s="152"/>
      <c r="DK96" s="161"/>
      <c r="DL96" s="162"/>
      <c r="DM96" s="162"/>
      <c r="DN96" s="162"/>
      <c r="DO96" s="162"/>
      <c r="DP96" s="162"/>
      <c r="DQ96" s="140"/>
      <c r="DR96" s="151"/>
      <c r="DS96" s="151"/>
      <c r="DT96" s="151"/>
      <c r="DU96" s="151"/>
      <c r="DV96" s="151"/>
      <c r="DW96" s="151"/>
      <c r="DX96" s="151"/>
      <c r="DY96" s="151"/>
      <c r="DZ96" s="151"/>
      <c r="EA96" s="161"/>
      <c r="EB96" s="161"/>
      <c r="EC96" s="161"/>
      <c r="ED96" s="161"/>
      <c r="EE96" s="161"/>
      <c r="EF96" s="161"/>
      <c r="EG96" s="161"/>
      <c r="EH96" s="161"/>
      <c r="EI96" s="161"/>
      <c r="EJ96" s="161"/>
      <c r="EK96" s="209"/>
      <c r="EL96" s="161"/>
      <c r="EM96" s="187"/>
      <c r="EN96" s="187"/>
      <c r="EO96" s="206"/>
      <c r="EP96" s="212"/>
      <c r="EQ96" s="208"/>
      <c r="ER96" s="187"/>
      <c r="ES96" s="187"/>
      <c r="ET96" s="187"/>
      <c r="EU96" s="187"/>
      <c r="EV96" s="210"/>
      <c r="EW96" s="209"/>
      <c r="EX96" s="210"/>
      <c r="EY96" s="162"/>
      <c r="EZ96" s="211"/>
      <c r="FA96" s="209"/>
      <c r="FB96" s="207"/>
      <c r="FC96" s="162"/>
      <c r="FD96" s="209"/>
      <c r="FE96" s="187"/>
      <c r="FF96" s="187"/>
    </row>
    <row r="97" spans="8:162" ht="14.25">
      <c r="H97" s="7" t="str">
        <f>"- Tỷ số huy động cấu kiện:"</f>
        <v>- Tỷ số huy động cấu kiện:</v>
      </c>
      <c r="I97" s="50"/>
      <c r="J97" s="50"/>
      <c r="K97" s="55"/>
      <c r="L97" s="69"/>
      <c r="M97" s="64"/>
      <c r="N97" s="50"/>
      <c r="O97" s="50"/>
      <c r="P97" s="50"/>
      <c r="Q97" s="59" t="s">
        <v>140</v>
      </c>
      <c r="R97" s="72">
        <f>R96/(R39)</f>
        <v>1.252924829130841</v>
      </c>
      <c r="S97" s="12" t="str">
        <f>IF(R97&lt;=1,"OK","Check")</f>
        <v>Check</v>
      </c>
      <c r="AA97" s="140" t="s">
        <v>210</v>
      </c>
      <c r="AB97" s="140" t="s">
        <v>238</v>
      </c>
      <c r="AC97" s="140">
        <v>46</v>
      </c>
      <c r="AD97" s="141">
        <v>0</v>
      </c>
      <c r="AE97" s="151">
        <v>750</v>
      </c>
      <c r="AF97" s="152">
        <v>350</v>
      </c>
      <c r="AG97" s="152">
        <v>14</v>
      </c>
      <c r="AH97" s="152">
        <v>18.000000000000004</v>
      </c>
      <c r="AI97" s="152">
        <v>714</v>
      </c>
      <c r="AJ97" s="153" t="str" cm="1">
        <f t="array" ref="AJ97">_xll.Dce_Name_SectI(AE97, AE97, AF97, AG97, AH97, "x", "-", "H Tổng")</f>
        <v>750x350x14x18</v>
      </c>
      <c r="AK97" s="161">
        <f t="shared" si="36"/>
        <v>1010</v>
      </c>
      <c r="AL97" s="162" cm="1">
        <f t="array" ref="AL97">IFERROR(INDEX($B$25:$B$32,IFERROR(MATCH(AF97,$B$25:$B$32,0),MATCH(AF97,$B$25:$B$32,1)+1)),$B$25)</f>
        <v>350</v>
      </c>
      <c r="AM97" s="162" cm="1">
        <f t="array" ref="AM97">IFERROR(VLOOKUP(AE97,$B$36:$E$47,4,FALSE),INDEX($E$36:$E$47,MATCH(AE97,$B$36:$B$47,1)+1))</f>
        <v>25</v>
      </c>
      <c r="AN97" s="162" cm="1">
        <f t="array" ref="AN97">IFERROR(VLOOKUP(AE97,$B$36:$E$47,2,FALSE),INDEX($C$36:$C$47,MATCH(AE97,$B$36:$B$47,1)+1))</f>
        <v>12</v>
      </c>
      <c r="AO97" s="162" cm="1">
        <f t="array" ref="AO97">IFERROR(VLOOKUP(AE97,$B$36:$E$47,3,FALSE),INDEX($D$36:$D$47,MATCH(AE97,$B$36:$B$47,1)+1))</f>
        <v>24</v>
      </c>
      <c r="AP97" s="163" t="str">
        <f t="shared" si="37"/>
        <v>1010x350x25 + 12M24</v>
      </c>
      <c r="AQ97" s="140" t="s">
        <v>252</v>
      </c>
      <c r="AR97" s="151">
        <v>0</v>
      </c>
      <c r="AS97" s="151">
        <v>217.58107767393898</v>
      </c>
      <c r="AT97" s="151">
        <v>-2.5511326384730629E-14</v>
      </c>
      <c r="AU97" s="151">
        <v>-2.1348476897602819E-3</v>
      </c>
      <c r="AV97" s="151">
        <v>1.6624107956886285E-14</v>
      </c>
      <c r="AW97" s="151">
        <v>-163.67289303779958</v>
      </c>
      <c r="BA97" s="161">
        <f t="shared" si="38"/>
        <v>60</v>
      </c>
      <c r="BB97" s="161">
        <f t="shared" si="39"/>
        <v>70</v>
      </c>
      <c r="BC97" s="161">
        <f t="shared" si="40"/>
        <v>80</v>
      </c>
      <c r="BD97" s="161">
        <f t="shared" si="41"/>
        <v>150</v>
      </c>
      <c r="BE97" s="161">
        <f>HLOOKUP(AO97,Data!$H$31:$Q$35,3,FALSE)</f>
        <v>452.38934211693021</v>
      </c>
      <c r="BF97" s="161">
        <f>HLOOKUP(AO97,Data!$H$31:$Q$35,4,FALSE)</f>
        <v>353</v>
      </c>
      <c r="BG97" s="179">
        <f t="shared" si="42"/>
        <v>180</v>
      </c>
      <c r="BH97" s="185">
        <f t="shared" si="43"/>
        <v>121.65654188208487</v>
      </c>
      <c r="BI97" s="185">
        <f t="shared" si="44"/>
        <v>243</v>
      </c>
      <c r="BJ97" s="185">
        <f t="shared" si="45"/>
        <v>142.3296</v>
      </c>
      <c r="BK97" s="185">
        <f t="shared" si="46"/>
        <v>18.041772014294803</v>
      </c>
      <c r="BL97" s="186">
        <f t="shared" si="47"/>
        <v>0.89458333333333329</v>
      </c>
      <c r="BM97" s="186">
        <f t="shared" si="48"/>
        <v>0.16577648251709706</v>
      </c>
      <c r="BN97" s="185" t="str">
        <f t="shared" si="49"/>
        <v>OK</v>
      </c>
      <c r="BO97" s="185" cm="1">
        <f t="array" ref="BO97">_xll.DCEBoltDisRS(AN97, AE97, BA97, BB97, BC97, BD97, "h1")</f>
        <v>890</v>
      </c>
      <c r="BP97" s="185" cm="1">
        <f t="array" ref="BP97">_xll.DCEBoltDisRS(AN97, AE97, BA97, BB97, BC97, BD97, "Tong")</f>
        <v>1800300</v>
      </c>
      <c r="BQ97" s="185">
        <f t="shared" si="50"/>
        <v>42.26101073018625</v>
      </c>
      <c r="BR97" s="186">
        <f t="shared" si="51"/>
        <v>0.29692355441304025</v>
      </c>
      <c r="BS97" s="185" t="str">
        <f t="shared" si="52"/>
        <v>OK</v>
      </c>
      <c r="BT97" s="186">
        <f t="shared" si="53"/>
        <v>0.33189870092437601</v>
      </c>
      <c r="BU97" s="185" t="str">
        <f t="shared" si="54"/>
        <v>OK</v>
      </c>
      <c r="BV97" s="190">
        <f t="shared" si="55"/>
        <v>218.23052405039945</v>
      </c>
      <c r="BW97" s="191">
        <f t="shared" si="56"/>
        <v>4.9101867911339871</v>
      </c>
      <c r="BX97" s="190">
        <f t="shared" si="57"/>
        <v>109.11526202519973</v>
      </c>
      <c r="BY97" s="167">
        <f t="shared" si="58"/>
        <v>46.671082371174528</v>
      </c>
      <c r="BZ97" s="192">
        <f t="shared" si="59"/>
        <v>0.22687331708209843</v>
      </c>
      <c r="CA97" s="191">
        <f t="shared" si="60"/>
        <v>4.3213965158494938</v>
      </c>
      <c r="CB97" s="193">
        <f t="shared" si="61"/>
        <v>3.6218601066746237E-2</v>
      </c>
      <c r="CC97" s="167">
        <f t="shared" si="62"/>
        <v>47.267465906673543</v>
      </c>
      <c r="CD97" s="191">
        <f t="shared" si="63"/>
        <v>0.19980209018521428</v>
      </c>
      <c r="CE97" s="189">
        <f t="shared" si="64"/>
        <v>0.22687331708209843</v>
      </c>
      <c r="CF97" s="194" t="str">
        <f t="shared" si="65"/>
        <v>OK</v>
      </c>
      <c r="DA97" s="140"/>
      <c r="DB97" s="140"/>
      <c r="DC97" s="140"/>
      <c r="DD97" s="141"/>
      <c r="DE97" s="151"/>
      <c r="DF97" s="152"/>
      <c r="DG97" s="152"/>
      <c r="DH97" s="152"/>
      <c r="DI97" s="152"/>
      <c r="DJ97" s="152"/>
      <c r="DK97" s="161"/>
      <c r="DL97" s="162"/>
      <c r="DM97" s="162"/>
      <c r="DN97" s="162"/>
      <c r="DO97" s="162"/>
      <c r="DP97" s="162"/>
      <c r="DQ97" s="140"/>
      <c r="DR97" s="151"/>
      <c r="DS97" s="151"/>
      <c r="DT97" s="151"/>
      <c r="DU97" s="151"/>
      <c r="DV97" s="151"/>
      <c r="DW97" s="151"/>
      <c r="DX97" s="151"/>
      <c r="DY97" s="151"/>
      <c r="DZ97" s="151"/>
      <c r="EA97" s="161"/>
      <c r="EB97" s="161"/>
      <c r="EC97" s="161"/>
      <c r="ED97" s="161"/>
      <c r="EE97" s="161"/>
      <c r="EF97" s="161"/>
      <c r="EG97" s="161"/>
      <c r="EH97" s="161"/>
      <c r="EI97" s="161"/>
      <c r="EJ97" s="161"/>
      <c r="EK97" s="209"/>
      <c r="EL97" s="161"/>
      <c r="EM97" s="187"/>
      <c r="EN97" s="187"/>
      <c r="EO97" s="206"/>
      <c r="EP97" s="212"/>
      <c r="EQ97" s="208"/>
      <c r="ER97" s="187"/>
      <c r="ES97" s="187"/>
      <c r="ET97" s="187"/>
      <c r="EU97" s="187"/>
      <c r="EV97" s="210"/>
      <c r="EW97" s="209"/>
      <c r="EX97" s="210"/>
      <c r="EY97" s="162"/>
      <c r="EZ97" s="211"/>
      <c r="FA97" s="209"/>
      <c r="FB97" s="207"/>
      <c r="FC97" s="162"/>
      <c r="FD97" s="209"/>
      <c r="FE97" s="187"/>
      <c r="FF97" s="187"/>
    </row>
    <row r="98" spans="8:162">
      <c r="H98" s="13" t="str">
        <f>IF(MAX(R74,R77,R81,R87,R89,R91,R97)&lt;=1,"Kết luận: Cấu kiện đảm bảo khả năng chịu lực","Kết luận: Cấu kiện KHÔNG đảm bảo khả năng chịu lực")</f>
        <v>Kết luận: Cấu kiện KHÔNG đảm bảo khả năng chịu lực</v>
      </c>
      <c r="I98" s="50"/>
      <c r="J98" s="50"/>
      <c r="K98" s="81"/>
      <c r="L98" s="82"/>
      <c r="M98" s="58"/>
      <c r="N98" s="58"/>
      <c r="O98" s="83"/>
      <c r="P98" s="59"/>
      <c r="Q98" s="73"/>
      <c r="R98" s="50"/>
      <c r="S98" s="8"/>
      <c r="AA98" s="140" t="s">
        <v>210</v>
      </c>
      <c r="AB98" s="140" t="s">
        <v>238</v>
      </c>
      <c r="AC98" s="140">
        <v>46</v>
      </c>
      <c r="AD98" s="141">
        <v>2.6850000000000001</v>
      </c>
      <c r="AE98" s="151">
        <v>1100</v>
      </c>
      <c r="AF98" s="152">
        <v>350</v>
      </c>
      <c r="AG98" s="152">
        <v>14</v>
      </c>
      <c r="AH98" s="152">
        <v>18.000000000000004</v>
      </c>
      <c r="AI98" s="152">
        <v>1064</v>
      </c>
      <c r="AJ98" s="153" t="str" cm="1">
        <f t="array" ref="AJ98">_xll.Dce_Name_SectI(AE98, AE98, AF98, AG98, AH98, "x", "-", "H Tổng")</f>
        <v>1100x350x14x18</v>
      </c>
      <c r="AK98" s="161">
        <f t="shared" si="36"/>
        <v>1360</v>
      </c>
      <c r="AL98" s="162" cm="1">
        <f t="array" ref="AL98">IFERROR(INDEX($B$25:$B$32,IFERROR(MATCH(AF98,$B$25:$B$32,0),MATCH(AF98,$B$25:$B$32,1)+1)),$B$25)</f>
        <v>350</v>
      </c>
      <c r="AM98" s="162" cm="1">
        <f t="array" ref="AM98">IFERROR(VLOOKUP(AE98,$B$36:$E$47,4,FALSE),INDEX($E$36:$E$47,MATCH(AE98,$B$36:$B$47,1)+1))</f>
        <v>25</v>
      </c>
      <c r="AN98" s="162" cm="1">
        <f t="array" ref="AN98">IFERROR(VLOOKUP(AE98,$B$36:$E$47,2,FALSE),INDEX($C$36:$C$47,MATCH(AE98,$B$36:$B$47,1)+1))</f>
        <v>12</v>
      </c>
      <c r="AO98" s="162" cm="1">
        <f t="array" ref="AO98">IFERROR(VLOOKUP(AE98,$B$36:$E$47,3,FALSE),INDEX($D$36:$D$47,MATCH(AE98,$B$36:$B$47,1)+1))</f>
        <v>24</v>
      </c>
      <c r="AP98" s="163" t="str">
        <f t="shared" si="37"/>
        <v>1360x350x25 + 12M24</v>
      </c>
      <c r="AQ98" s="140" t="s">
        <v>252</v>
      </c>
      <c r="AR98" s="151">
        <v>0</v>
      </c>
      <c r="AS98" s="151">
        <v>294.38610315267806</v>
      </c>
      <c r="AT98" s="151">
        <v>-5.8207660913467402E-15</v>
      </c>
      <c r="AU98" s="151">
        <v>-2.1345300492149034E-3</v>
      </c>
      <c r="AV98" s="151">
        <v>1.717125996947288E-15</v>
      </c>
      <c r="AW98" s="151">
        <v>-862.18791109566223</v>
      </c>
      <c r="BA98" s="161">
        <f t="shared" si="38"/>
        <v>60</v>
      </c>
      <c r="BB98" s="161">
        <f t="shared" si="39"/>
        <v>70</v>
      </c>
      <c r="BC98" s="161">
        <f t="shared" si="40"/>
        <v>80</v>
      </c>
      <c r="BD98" s="161">
        <f t="shared" si="41"/>
        <v>150</v>
      </c>
      <c r="BE98" s="161">
        <f>HLOOKUP(AO98,Data!$H$31:$Q$35,3,FALSE)</f>
        <v>452.38934211693021</v>
      </c>
      <c r="BF98" s="161">
        <f>HLOOKUP(AO98,Data!$H$31:$Q$35,4,FALSE)</f>
        <v>353</v>
      </c>
      <c r="BG98" s="179">
        <f t="shared" si="42"/>
        <v>180</v>
      </c>
      <c r="BH98" s="185">
        <f t="shared" si="43"/>
        <v>121.65654188208487</v>
      </c>
      <c r="BI98" s="185">
        <f t="shared" si="44"/>
        <v>243</v>
      </c>
      <c r="BJ98" s="185">
        <f t="shared" si="45"/>
        <v>142.3296</v>
      </c>
      <c r="BK98" s="185">
        <f t="shared" si="46"/>
        <v>24.410426743159068</v>
      </c>
      <c r="BL98" s="186">
        <f t="shared" si="47"/>
        <v>0.82166666666666666</v>
      </c>
      <c r="BM98" s="186">
        <f t="shared" si="48"/>
        <v>0.24419919926848616</v>
      </c>
      <c r="BN98" s="185" t="str">
        <f t="shared" si="49"/>
        <v>OK</v>
      </c>
      <c r="BO98" s="185" cm="1">
        <f t="array" ref="BO98">_xll.DCEBoltDisRS(AN98, AE98, BA98, BB98, BC98, BD98, "h1")</f>
        <v>1240</v>
      </c>
      <c r="BP98" s="185" cm="1">
        <f t="array" ref="BP98">_xll.DCEBoltDisRS(AN98, AE98, BA98, BB98, BC98, BD98, "Tong")</f>
        <v>3721800</v>
      </c>
      <c r="BQ98" s="185">
        <f t="shared" si="50"/>
        <v>146.06953020167111</v>
      </c>
      <c r="BR98" s="186">
        <f t="shared" si="51"/>
        <v>1.0262765454386937</v>
      </c>
      <c r="BS98" s="185" t="str">
        <f t="shared" si="52"/>
        <v>O/S</v>
      </c>
      <c r="BT98" s="186">
        <f t="shared" si="53"/>
        <v>1.0457074674537923</v>
      </c>
      <c r="BU98" s="185" t="str">
        <f t="shared" si="54"/>
        <v>O/S</v>
      </c>
      <c r="BV98" s="190">
        <f t="shared" si="55"/>
        <v>783.80719190514742</v>
      </c>
      <c r="BW98" s="191">
        <f t="shared" si="56"/>
        <v>17.635661817865817</v>
      </c>
      <c r="BX98" s="190">
        <f t="shared" si="57"/>
        <v>391.90359595257371</v>
      </c>
      <c r="BY98" s="167">
        <f t="shared" si="58"/>
        <v>124.48702459669988</v>
      </c>
      <c r="BZ98" s="192">
        <f t="shared" si="59"/>
        <v>0.60514525845618006</v>
      </c>
      <c r="CA98" s="191">
        <f t="shared" si="60"/>
        <v>11.526576351546286</v>
      </c>
      <c r="CB98" s="193">
        <f t="shared" si="61"/>
        <v>9.6606842026848674E-2</v>
      </c>
      <c r="CC98" s="167">
        <f t="shared" si="62"/>
        <v>126.07777433038481</v>
      </c>
      <c r="CD98" s="191">
        <f t="shared" si="63"/>
        <v>0.53293745187964603</v>
      </c>
      <c r="CE98" s="189">
        <f t="shared" si="64"/>
        <v>0.60514525845618006</v>
      </c>
      <c r="CF98" s="194" t="str">
        <f t="shared" si="65"/>
        <v>OK</v>
      </c>
      <c r="DA98" s="140"/>
      <c r="DB98" s="140"/>
      <c r="DC98" s="140"/>
      <c r="DD98" s="141"/>
      <c r="DE98" s="151"/>
      <c r="DF98" s="152"/>
      <c r="DG98" s="152"/>
      <c r="DH98" s="152"/>
      <c r="DI98" s="152"/>
      <c r="DJ98" s="152"/>
      <c r="DK98" s="161"/>
      <c r="DL98" s="162"/>
      <c r="DM98" s="162"/>
      <c r="DN98" s="162"/>
      <c r="DO98" s="162"/>
      <c r="DP98" s="162"/>
      <c r="DQ98" s="140"/>
      <c r="DR98" s="151"/>
      <c r="DS98" s="151"/>
      <c r="DT98" s="151"/>
      <c r="DU98" s="151"/>
      <c r="DV98" s="151"/>
      <c r="DW98" s="151"/>
      <c r="DX98" s="151"/>
      <c r="DY98" s="151"/>
      <c r="DZ98" s="151"/>
      <c r="EA98" s="161"/>
      <c r="EB98" s="161"/>
      <c r="EC98" s="161"/>
      <c r="ED98" s="161"/>
      <c r="EE98" s="161"/>
      <c r="EF98" s="161"/>
      <c r="EG98" s="161"/>
      <c r="EH98" s="161"/>
      <c r="EI98" s="161"/>
      <c r="EJ98" s="161"/>
      <c r="EK98" s="209"/>
      <c r="EL98" s="161"/>
      <c r="EM98" s="187"/>
      <c r="EN98" s="187"/>
      <c r="EO98" s="206"/>
      <c r="EP98" s="212"/>
      <c r="EQ98" s="208"/>
      <c r="ER98" s="187"/>
      <c r="ES98" s="187"/>
      <c r="ET98" s="187"/>
      <c r="EU98" s="187"/>
      <c r="EV98" s="210"/>
      <c r="EW98" s="209"/>
      <c r="EX98" s="210"/>
      <c r="EY98" s="162"/>
      <c r="EZ98" s="211"/>
      <c r="FA98" s="209"/>
      <c r="FB98" s="207"/>
      <c r="FC98" s="162"/>
      <c r="FD98" s="209"/>
      <c r="FE98" s="187"/>
      <c r="FF98" s="187"/>
    </row>
    <row r="99" spans="8:162">
      <c r="H99" s="14"/>
      <c r="I99" s="15"/>
      <c r="J99" s="15"/>
      <c r="K99" s="16"/>
      <c r="L99" s="17"/>
      <c r="M99" s="18"/>
      <c r="N99" s="18"/>
      <c r="O99" s="19"/>
      <c r="P99" s="20"/>
      <c r="Q99" s="21"/>
      <c r="R99" s="21"/>
      <c r="S99" s="22"/>
      <c r="AA99" s="140" t="s">
        <v>210</v>
      </c>
      <c r="AB99" s="140" t="s">
        <v>238</v>
      </c>
      <c r="AC99" s="140">
        <v>46</v>
      </c>
      <c r="AD99" s="141">
        <v>0</v>
      </c>
      <c r="AE99" s="151">
        <v>750</v>
      </c>
      <c r="AF99" s="152">
        <v>350</v>
      </c>
      <c r="AG99" s="152">
        <v>14</v>
      </c>
      <c r="AH99" s="152">
        <v>18.000000000000004</v>
      </c>
      <c r="AI99" s="152">
        <v>714</v>
      </c>
      <c r="AJ99" s="153" t="str" cm="1">
        <f t="array" ref="AJ99">_xll.Dce_Name_SectI(AE99, AE99, AF99, AG99, AH99, "x", "-", "H Tổng")</f>
        <v>750x350x14x18</v>
      </c>
      <c r="AK99" s="161">
        <f t="shared" si="36"/>
        <v>1010</v>
      </c>
      <c r="AL99" s="162" cm="1">
        <f t="array" ref="AL99">IFERROR(INDEX($B$25:$B$32,IFERROR(MATCH(AF99,$B$25:$B$32,0),MATCH(AF99,$B$25:$B$32,1)+1)),$B$25)</f>
        <v>350</v>
      </c>
      <c r="AM99" s="162" cm="1">
        <f t="array" ref="AM99">IFERROR(VLOOKUP(AE99,$B$36:$E$47,4,FALSE),INDEX($E$36:$E$47,MATCH(AE99,$B$36:$B$47,1)+1))</f>
        <v>25</v>
      </c>
      <c r="AN99" s="162" cm="1">
        <f t="array" ref="AN99">IFERROR(VLOOKUP(AE99,$B$36:$E$47,2,FALSE),INDEX($C$36:$C$47,MATCH(AE99,$B$36:$B$47,1)+1))</f>
        <v>12</v>
      </c>
      <c r="AO99" s="162" cm="1">
        <f t="array" ref="AO99">IFERROR(VLOOKUP(AE99,$B$36:$E$47,3,FALSE),INDEX($D$36:$D$47,MATCH(AE99,$B$36:$B$47,1)+1))</f>
        <v>24</v>
      </c>
      <c r="AP99" s="163" t="str">
        <f t="shared" si="37"/>
        <v>1010x350x25 + 12M24</v>
      </c>
      <c r="AQ99" s="140" t="s">
        <v>253</v>
      </c>
      <c r="AR99" s="151">
        <v>0</v>
      </c>
      <c r="AS99" s="151">
        <v>521.73959134478559</v>
      </c>
      <c r="AT99" s="151">
        <v>-5.5297277867794024E-14</v>
      </c>
      <c r="AU99" s="151">
        <v>-4.6067815847957898E-3</v>
      </c>
      <c r="AV99" s="151">
        <v>5.5250711739063249E-14</v>
      </c>
      <c r="AW99" s="151">
        <v>-451.77386378210514</v>
      </c>
      <c r="BA99" s="161">
        <f t="shared" si="38"/>
        <v>60</v>
      </c>
      <c r="BB99" s="161">
        <f t="shared" si="39"/>
        <v>70</v>
      </c>
      <c r="BC99" s="161">
        <f t="shared" si="40"/>
        <v>80</v>
      </c>
      <c r="BD99" s="161">
        <f t="shared" si="41"/>
        <v>150</v>
      </c>
      <c r="BE99" s="161">
        <f>HLOOKUP(AO99,Data!$H$31:$Q$35,3,FALSE)</f>
        <v>452.38934211693021</v>
      </c>
      <c r="BF99" s="161">
        <f>HLOOKUP(AO99,Data!$H$31:$Q$35,4,FALSE)</f>
        <v>353</v>
      </c>
      <c r="BG99" s="179">
        <f t="shared" si="42"/>
        <v>180</v>
      </c>
      <c r="BH99" s="185">
        <f t="shared" si="43"/>
        <v>121.65654188208487</v>
      </c>
      <c r="BI99" s="185">
        <f t="shared" si="44"/>
        <v>243</v>
      </c>
      <c r="BJ99" s="185">
        <f t="shared" si="45"/>
        <v>142.3296</v>
      </c>
      <c r="BK99" s="185">
        <f t="shared" si="46"/>
        <v>43.262524749418617</v>
      </c>
      <c r="BL99" s="186">
        <f t="shared" si="47"/>
        <v>0.89458333333333329</v>
      </c>
      <c r="BM99" s="186">
        <f t="shared" si="48"/>
        <v>0.3975168942432622</v>
      </c>
      <c r="BN99" s="185" t="str">
        <f t="shared" si="49"/>
        <v>OK</v>
      </c>
      <c r="BO99" s="185" cm="1">
        <f t="array" ref="BO99">_xll.DCEBoltDisRS(AN99, AE99, BA99, BB99, BC99, BD99, "h1")</f>
        <v>890</v>
      </c>
      <c r="BP99" s="185" cm="1">
        <f t="array" ref="BP99">_xll.DCEBoltDisRS(AN99, AE99, BA99, BB99, BC99, BD99, "Tong")</f>
        <v>1800300</v>
      </c>
      <c r="BQ99" s="185">
        <f t="shared" si="50"/>
        <v>115.99617936659148</v>
      </c>
      <c r="BR99" s="186">
        <f t="shared" si="51"/>
        <v>0.81498282413912126</v>
      </c>
      <c r="BS99" s="185" t="str">
        <f t="shared" si="52"/>
        <v>OK</v>
      </c>
      <c r="BT99" s="186">
        <f t="shared" si="53"/>
        <v>0.88918889436973292</v>
      </c>
      <c r="BU99" s="185" t="str">
        <f t="shared" si="54"/>
        <v>OK</v>
      </c>
      <c r="BV99" s="190">
        <f t="shared" si="55"/>
        <v>602.36515170947348</v>
      </c>
      <c r="BW99" s="191">
        <f t="shared" si="56"/>
        <v>13.553215913463152</v>
      </c>
      <c r="BX99" s="190">
        <f t="shared" si="57"/>
        <v>301.18257585473674</v>
      </c>
      <c r="BY99" s="167">
        <f t="shared" si="58"/>
        <v>128.82264630618442</v>
      </c>
      <c r="BZ99" s="192">
        <f t="shared" si="59"/>
        <v>0.62622119732172987</v>
      </c>
      <c r="CA99" s="191">
        <f t="shared" si="60"/>
        <v>11.928022806128187</v>
      </c>
      <c r="CB99" s="193">
        <f t="shared" si="61"/>
        <v>9.9971455511131846E-2</v>
      </c>
      <c r="CC99" s="167">
        <f t="shared" si="62"/>
        <v>130.46879851335657</v>
      </c>
      <c r="CD99" s="191">
        <f t="shared" si="63"/>
        <v>0.55149854444051705</v>
      </c>
      <c r="CE99" s="189">
        <f t="shared" si="64"/>
        <v>0.62622119732172987</v>
      </c>
      <c r="CF99" s="194" t="str">
        <f t="shared" si="65"/>
        <v>OK</v>
      </c>
      <c r="DA99" s="140"/>
      <c r="DB99" s="140"/>
      <c r="DC99" s="140"/>
      <c r="DD99" s="141"/>
      <c r="DE99" s="151"/>
      <c r="DF99" s="152"/>
      <c r="DG99" s="152"/>
      <c r="DH99" s="152"/>
      <c r="DI99" s="152"/>
      <c r="DJ99" s="152"/>
      <c r="DK99" s="161"/>
      <c r="DL99" s="162"/>
      <c r="DM99" s="162"/>
      <c r="DN99" s="162"/>
      <c r="DO99" s="162"/>
      <c r="DP99" s="162"/>
      <c r="DQ99" s="140"/>
      <c r="DR99" s="151"/>
      <c r="DS99" s="151"/>
      <c r="DT99" s="151"/>
      <c r="DU99" s="151"/>
      <c r="DV99" s="151"/>
      <c r="DW99" s="151"/>
      <c r="DX99" s="151"/>
      <c r="DY99" s="151"/>
      <c r="DZ99" s="151"/>
      <c r="EA99" s="161"/>
      <c r="EB99" s="161"/>
      <c r="EC99" s="161"/>
      <c r="ED99" s="161"/>
      <c r="EE99" s="161"/>
      <c r="EF99" s="161"/>
      <c r="EG99" s="161"/>
      <c r="EH99" s="161"/>
      <c r="EI99" s="161"/>
      <c r="EJ99" s="161"/>
      <c r="EK99" s="209"/>
      <c r="EL99" s="161"/>
      <c r="EM99" s="187"/>
      <c r="EN99" s="187"/>
      <c r="EO99" s="206"/>
      <c r="EP99" s="212"/>
      <c r="EQ99" s="208"/>
      <c r="ER99" s="187"/>
      <c r="ES99" s="187"/>
      <c r="ET99" s="187"/>
      <c r="EU99" s="187"/>
      <c r="EV99" s="210"/>
      <c r="EW99" s="209"/>
      <c r="EX99" s="210"/>
      <c r="EY99" s="162"/>
      <c r="EZ99" s="211"/>
      <c r="FA99" s="209"/>
      <c r="FB99" s="207"/>
      <c r="FC99" s="162"/>
      <c r="FD99" s="209"/>
      <c r="FE99" s="187"/>
      <c r="FF99" s="187"/>
    </row>
    <row r="100" spans="8:162">
      <c r="H100" s="244" t="s">
        <v>138</v>
      </c>
      <c r="I100" s="244"/>
      <c r="J100" s="244"/>
      <c r="K100" s="42" t="s">
        <v>133</v>
      </c>
      <c r="L100" s="43" t="s">
        <v>129</v>
      </c>
      <c r="M100" s="43" t="s">
        <v>130</v>
      </c>
      <c r="N100" s="43" t="s">
        <v>131</v>
      </c>
      <c r="O100" s="43" t="s">
        <v>28</v>
      </c>
      <c r="P100" s="43" t="s">
        <v>134</v>
      </c>
      <c r="Q100" s="43" t="s">
        <v>94</v>
      </c>
      <c r="R100" s="245"/>
      <c r="S100" s="246"/>
      <c r="AA100" s="140" t="s">
        <v>210</v>
      </c>
      <c r="AB100" s="140" t="s">
        <v>238</v>
      </c>
      <c r="AC100" s="140">
        <v>46</v>
      </c>
      <c r="AD100" s="141">
        <v>2.6850000000000001</v>
      </c>
      <c r="AE100" s="151">
        <v>1100</v>
      </c>
      <c r="AF100" s="152">
        <v>350</v>
      </c>
      <c r="AG100" s="152">
        <v>14</v>
      </c>
      <c r="AH100" s="152">
        <v>18.000000000000004</v>
      </c>
      <c r="AI100" s="152">
        <v>1064</v>
      </c>
      <c r="AJ100" s="153" t="str" cm="1">
        <f t="array" ref="AJ100">_xll.Dce_Name_SectI(AE100, AE100, AF100, AG100, AH100, "x", "-", "H Tổng")</f>
        <v>1100x350x14x18</v>
      </c>
      <c r="AK100" s="161">
        <f t="shared" si="36"/>
        <v>1360</v>
      </c>
      <c r="AL100" s="162" cm="1">
        <f t="array" ref="AL100">IFERROR(INDEX($B$25:$B$32,IFERROR(MATCH(AF100,$B$25:$B$32,0),MATCH(AF100,$B$25:$B$32,1)+1)),$B$25)</f>
        <v>350</v>
      </c>
      <c r="AM100" s="162" cm="1">
        <f t="array" ref="AM100">IFERROR(VLOOKUP(AE100,$B$36:$E$47,4,FALSE),INDEX($E$36:$E$47,MATCH(AE100,$B$36:$B$47,1)+1))</f>
        <v>25</v>
      </c>
      <c r="AN100" s="162" cm="1">
        <f t="array" ref="AN100">IFERROR(VLOOKUP(AE100,$B$36:$E$47,2,FALSE),INDEX($C$36:$C$47,MATCH(AE100,$B$36:$B$47,1)+1))</f>
        <v>12</v>
      </c>
      <c r="AO100" s="162" cm="1">
        <f t="array" ref="AO100">IFERROR(VLOOKUP(AE100,$B$36:$E$47,3,FALSE),INDEX($D$36:$D$47,MATCH(AE100,$B$36:$B$47,1)+1))</f>
        <v>24</v>
      </c>
      <c r="AP100" s="163" t="str">
        <f t="shared" si="37"/>
        <v>1360x350x25 + 12M24</v>
      </c>
      <c r="AQ100" s="140" t="s">
        <v>253</v>
      </c>
      <c r="AR100" s="151">
        <v>0</v>
      </c>
      <c r="AS100" s="151">
        <v>700.03798868524984</v>
      </c>
      <c r="AT100" s="151">
        <v>-1.2846612662542609E-14</v>
      </c>
      <c r="AU100" s="151">
        <v>-4.6060953306744368E-3</v>
      </c>
      <c r="AV100" s="151">
        <v>6.8420672505453669E-14</v>
      </c>
      <c r="AW100" s="151">
        <v>-2119.7020249379357</v>
      </c>
      <c r="BA100" s="161">
        <f t="shared" si="38"/>
        <v>60</v>
      </c>
      <c r="BB100" s="161">
        <f t="shared" si="39"/>
        <v>70</v>
      </c>
      <c r="BC100" s="161">
        <f t="shared" si="40"/>
        <v>80</v>
      </c>
      <c r="BD100" s="161">
        <f t="shared" si="41"/>
        <v>150</v>
      </c>
      <c r="BE100" s="161">
        <f>HLOOKUP(AO100,Data!$H$31:$Q$35,3,FALSE)</f>
        <v>452.38934211693021</v>
      </c>
      <c r="BF100" s="161">
        <f>HLOOKUP(AO100,Data!$H$31:$Q$35,4,FALSE)</f>
        <v>353</v>
      </c>
      <c r="BG100" s="179">
        <f t="shared" si="42"/>
        <v>180</v>
      </c>
      <c r="BH100" s="185">
        <f t="shared" si="43"/>
        <v>121.65654188208487</v>
      </c>
      <c r="BI100" s="185">
        <f t="shared" si="44"/>
        <v>243</v>
      </c>
      <c r="BJ100" s="185">
        <f t="shared" si="45"/>
        <v>142.3296</v>
      </c>
      <c r="BK100" s="185">
        <f t="shared" si="46"/>
        <v>58.046986108468595</v>
      </c>
      <c r="BL100" s="186">
        <f t="shared" si="47"/>
        <v>0.82166666666666666</v>
      </c>
      <c r="BM100" s="186">
        <f t="shared" si="48"/>
        <v>0.58069560507005347</v>
      </c>
      <c r="BN100" s="185" t="str">
        <f t="shared" si="49"/>
        <v>OK</v>
      </c>
      <c r="BO100" s="185" cm="1">
        <f t="array" ref="BO100">_xll.DCEBoltDisRS(AN100, AE100, BA100, BB100, BC100, BD100, "h1")</f>
        <v>1240</v>
      </c>
      <c r="BP100" s="185" cm="1">
        <f t="array" ref="BP100">_xll.DCEBoltDisRS(AN100, AE100, BA100, BB100, BC100, BD100, "Tong")</f>
        <v>3721800</v>
      </c>
      <c r="BQ100" s="185">
        <f t="shared" si="50"/>
        <v>358.91750839684295</v>
      </c>
      <c r="BR100" s="186">
        <f t="shared" si="51"/>
        <v>2.5217348211253525</v>
      </c>
      <c r="BS100" s="185" t="str">
        <f t="shared" si="52"/>
        <v>O/S</v>
      </c>
      <c r="BT100" s="186">
        <f t="shared" si="53"/>
        <v>2.5664776233444435</v>
      </c>
      <c r="BU100" s="185" t="str">
        <f t="shared" si="54"/>
        <v>O/S</v>
      </c>
      <c r="BV100" s="190">
        <f t="shared" si="55"/>
        <v>1927.0018408526687</v>
      </c>
      <c r="BW100" s="191">
        <f t="shared" si="56"/>
        <v>43.357541419185047</v>
      </c>
      <c r="BX100" s="190">
        <f t="shared" si="57"/>
        <v>963.50092042633435</v>
      </c>
      <c r="BY100" s="167">
        <f t="shared" si="58"/>
        <v>306.05323354718854</v>
      </c>
      <c r="BZ100" s="192">
        <f t="shared" si="59"/>
        <v>1.4877587741877223</v>
      </c>
      <c r="CA100" s="191">
        <f t="shared" si="60"/>
        <v>28.338262365480421</v>
      </c>
      <c r="CB100" s="193">
        <f t="shared" si="61"/>
        <v>0.23750938285244608</v>
      </c>
      <c r="CC100" s="167">
        <f t="shared" si="62"/>
        <v>309.96411583661478</v>
      </c>
      <c r="CD100" s="191">
        <f t="shared" si="63"/>
        <v>1.3102347891644348</v>
      </c>
      <c r="CE100" s="189">
        <f t="shared" si="64"/>
        <v>1.4877587741877223</v>
      </c>
      <c r="CF100" s="194" t="str">
        <f t="shared" si="65"/>
        <v>O/S</v>
      </c>
      <c r="DA100" s="140"/>
      <c r="DB100" s="140"/>
      <c r="DC100" s="140"/>
      <c r="DD100" s="141"/>
      <c r="DE100" s="151"/>
      <c r="DF100" s="152"/>
      <c r="DG100" s="152"/>
      <c r="DH100" s="152"/>
      <c r="DI100" s="152"/>
      <c r="DJ100" s="152"/>
      <c r="DK100" s="161"/>
      <c r="DL100" s="162"/>
      <c r="DM100" s="162"/>
      <c r="DN100" s="162"/>
      <c r="DO100" s="162"/>
      <c r="DP100" s="162"/>
      <c r="DQ100" s="140"/>
      <c r="DR100" s="151"/>
      <c r="DS100" s="151"/>
      <c r="DT100" s="151"/>
      <c r="DU100" s="151"/>
      <c r="DV100" s="151"/>
      <c r="DW100" s="151"/>
      <c r="DX100" s="151"/>
      <c r="DY100" s="151"/>
      <c r="DZ100" s="151"/>
      <c r="EA100" s="161"/>
      <c r="EB100" s="161"/>
      <c r="EC100" s="161"/>
      <c r="ED100" s="161"/>
      <c r="EE100" s="161"/>
      <c r="EF100" s="161"/>
      <c r="EG100" s="161"/>
      <c r="EH100" s="161"/>
      <c r="EI100" s="161"/>
      <c r="EJ100" s="161"/>
      <c r="EK100" s="209"/>
      <c r="EL100" s="161"/>
      <c r="EM100" s="187"/>
      <c r="EN100" s="187"/>
      <c r="EO100" s="206"/>
      <c r="EP100" s="212"/>
      <c r="EQ100" s="208"/>
      <c r="ER100" s="187"/>
      <c r="ES100" s="187"/>
      <c r="ET100" s="187"/>
      <c r="EU100" s="187"/>
      <c r="EV100" s="210"/>
      <c r="EW100" s="209"/>
      <c r="EX100" s="210"/>
      <c r="EY100" s="162"/>
      <c r="EZ100" s="211"/>
      <c r="FA100" s="209"/>
      <c r="FB100" s="207"/>
      <c r="FC100" s="162"/>
      <c r="FD100" s="209"/>
      <c r="FE100" s="187"/>
      <c r="FF100" s="187"/>
    </row>
    <row r="101" spans="8:162">
      <c r="H101" s="243" t="s">
        <v>126</v>
      </c>
      <c r="I101" s="243"/>
      <c r="J101" s="243"/>
      <c r="K101" s="43">
        <v>2</v>
      </c>
      <c r="L101" s="43">
        <f>R43-10</f>
        <v>340</v>
      </c>
      <c r="M101" s="43">
        <f>R59</f>
        <v>8</v>
      </c>
      <c r="N101" s="43">
        <f>R47/2+R59/2</f>
        <v>556.74315916164892</v>
      </c>
      <c r="O101" s="43">
        <f>K101*L101*M101</f>
        <v>5440</v>
      </c>
      <c r="P101" s="44">
        <f>K101*(L101*M101^3/12+O101*N101^2)</f>
        <v>3372425857.9067626</v>
      </c>
      <c r="Q101" s="44">
        <f>P101/N101</f>
        <v>6057417.6842783401</v>
      </c>
      <c r="R101" s="247"/>
      <c r="S101" s="248"/>
      <c r="AA101" s="140" t="s">
        <v>210</v>
      </c>
      <c r="AB101" s="140" t="s">
        <v>238</v>
      </c>
      <c r="AC101" s="140">
        <v>46</v>
      </c>
      <c r="AD101" s="141">
        <v>0</v>
      </c>
      <c r="AE101" s="151">
        <v>750</v>
      </c>
      <c r="AF101" s="152">
        <v>350</v>
      </c>
      <c r="AG101" s="152">
        <v>14</v>
      </c>
      <c r="AH101" s="152">
        <v>18.000000000000004</v>
      </c>
      <c r="AI101" s="152">
        <v>714</v>
      </c>
      <c r="AJ101" s="153" t="str" cm="1">
        <f t="array" ref="AJ101">_xll.Dce_Name_SectI(AE101, AE101, AF101, AG101, AH101, "x", "-", "H Tổng")</f>
        <v>750x350x14x18</v>
      </c>
      <c r="AK101" s="161">
        <f t="shared" si="36"/>
        <v>1010</v>
      </c>
      <c r="AL101" s="162" cm="1">
        <f t="array" ref="AL101">IFERROR(INDEX($B$25:$B$32,IFERROR(MATCH(AF101,$B$25:$B$32,0),MATCH(AF101,$B$25:$B$32,1)+1)),$B$25)</f>
        <v>350</v>
      </c>
      <c r="AM101" s="162" cm="1">
        <f t="array" ref="AM101">IFERROR(VLOOKUP(AE101,$B$36:$E$47,4,FALSE),INDEX($E$36:$E$47,MATCH(AE101,$B$36:$B$47,1)+1))</f>
        <v>25</v>
      </c>
      <c r="AN101" s="162" cm="1">
        <f t="array" ref="AN101">IFERROR(VLOOKUP(AE101,$B$36:$E$47,2,FALSE),INDEX($C$36:$C$47,MATCH(AE101,$B$36:$B$47,1)+1))</f>
        <v>12</v>
      </c>
      <c r="AO101" s="162" cm="1">
        <f t="array" ref="AO101">IFERROR(VLOOKUP(AE101,$B$36:$E$47,3,FALSE),INDEX($D$36:$D$47,MATCH(AE101,$B$36:$B$47,1)+1))</f>
        <v>24</v>
      </c>
      <c r="AP101" s="163" t="str">
        <f t="shared" si="37"/>
        <v>1010x350x25 + 12M24</v>
      </c>
      <c r="AQ101" s="140" t="s">
        <v>254</v>
      </c>
      <c r="AR101" s="151">
        <v>0</v>
      </c>
      <c r="AS101" s="151">
        <v>522.79614789332527</v>
      </c>
      <c r="AT101" s="151">
        <v>-5.2095856517553317E-13</v>
      </c>
      <c r="AU101" s="151">
        <v>-4.5997229461084803E-3</v>
      </c>
      <c r="AV101" s="151">
        <v>-1.8316786736249921E-13</v>
      </c>
      <c r="AW101" s="151">
        <v>-451.94774445333695</v>
      </c>
      <c r="BA101" s="161">
        <f t="shared" si="38"/>
        <v>60</v>
      </c>
      <c r="BB101" s="161">
        <f t="shared" si="39"/>
        <v>70</v>
      </c>
      <c r="BC101" s="161">
        <f t="shared" si="40"/>
        <v>80</v>
      </c>
      <c r="BD101" s="161">
        <f t="shared" si="41"/>
        <v>150</v>
      </c>
      <c r="BE101" s="161">
        <f>HLOOKUP(AO101,Data!$H$31:$Q$35,3,FALSE)</f>
        <v>452.38934211693021</v>
      </c>
      <c r="BF101" s="161">
        <f>HLOOKUP(AO101,Data!$H$31:$Q$35,4,FALSE)</f>
        <v>353</v>
      </c>
      <c r="BG101" s="179">
        <f t="shared" si="42"/>
        <v>180</v>
      </c>
      <c r="BH101" s="185">
        <f t="shared" si="43"/>
        <v>121.65654188208487</v>
      </c>
      <c r="BI101" s="185">
        <f t="shared" si="44"/>
        <v>243</v>
      </c>
      <c r="BJ101" s="185">
        <f t="shared" si="45"/>
        <v>142.3296</v>
      </c>
      <c r="BK101" s="185">
        <f t="shared" si="46"/>
        <v>43.350134171031691</v>
      </c>
      <c r="BL101" s="186">
        <f t="shared" si="47"/>
        <v>0.89458333333333329</v>
      </c>
      <c r="BM101" s="186">
        <f t="shared" si="48"/>
        <v>0.39832189176450705</v>
      </c>
      <c r="BN101" s="185" t="str">
        <f t="shared" si="49"/>
        <v>OK</v>
      </c>
      <c r="BO101" s="185" cm="1">
        <f t="array" ref="BO101">_xll.DCEBoltDisRS(AN101, AE101, BA101, BB101, BC101, BD101, "h1")</f>
        <v>890</v>
      </c>
      <c r="BP101" s="185" cm="1">
        <f t="array" ref="BP101">_xll.DCEBoltDisRS(AN101, AE101, BA101, BB101, BC101, BD101, "Tong")</f>
        <v>1800300</v>
      </c>
      <c r="BQ101" s="185">
        <f t="shared" si="50"/>
        <v>116.04792031136243</v>
      </c>
      <c r="BR101" s="186">
        <f t="shared" si="51"/>
        <v>0.81534635319260673</v>
      </c>
      <c r="BS101" s="185" t="str">
        <f t="shared" si="52"/>
        <v>OK</v>
      </c>
      <c r="BT101" s="186">
        <f t="shared" si="53"/>
        <v>0.8898102378889956</v>
      </c>
      <c r="BU101" s="185" t="str">
        <f t="shared" si="54"/>
        <v>OK</v>
      </c>
      <c r="BV101" s="190">
        <f t="shared" si="55"/>
        <v>602.59699260444927</v>
      </c>
      <c r="BW101" s="191">
        <f t="shared" si="56"/>
        <v>13.558432333600107</v>
      </c>
      <c r="BX101" s="190">
        <f t="shared" si="57"/>
        <v>301.29849630222463</v>
      </c>
      <c r="BY101" s="167">
        <f t="shared" si="58"/>
        <v>128.87222812134755</v>
      </c>
      <c r="BZ101" s="192">
        <f t="shared" si="59"/>
        <v>0.62646222003432839</v>
      </c>
      <c r="CA101" s="191">
        <f t="shared" si="60"/>
        <v>11.93261371493959</v>
      </c>
      <c r="CB101" s="193">
        <f t="shared" si="61"/>
        <v>0.10000993295567186</v>
      </c>
      <c r="CC101" s="167">
        <f t="shared" si="62"/>
        <v>130.51901390667391</v>
      </c>
      <c r="CD101" s="191">
        <f t="shared" si="63"/>
        <v>0.55171080757652025</v>
      </c>
      <c r="CE101" s="189">
        <f t="shared" si="64"/>
        <v>0.62646222003432839</v>
      </c>
      <c r="CF101" s="194" t="str">
        <f t="shared" si="65"/>
        <v>OK</v>
      </c>
      <c r="DA101" s="140"/>
      <c r="DB101" s="140"/>
      <c r="DC101" s="140"/>
      <c r="DD101" s="141"/>
      <c r="DE101" s="151"/>
      <c r="DF101" s="152"/>
      <c r="DG101" s="152"/>
      <c r="DH101" s="152"/>
      <c r="DI101" s="152"/>
      <c r="DJ101" s="152"/>
      <c r="DK101" s="161"/>
      <c r="DL101" s="162"/>
      <c r="DM101" s="162"/>
      <c r="DN101" s="162"/>
      <c r="DO101" s="162"/>
      <c r="DP101" s="162"/>
      <c r="DQ101" s="140"/>
      <c r="DR101" s="151"/>
      <c r="DS101" s="151"/>
      <c r="DT101" s="151"/>
      <c r="DU101" s="151"/>
      <c r="DV101" s="151"/>
      <c r="DW101" s="151"/>
      <c r="DX101" s="151"/>
      <c r="DY101" s="151"/>
      <c r="DZ101" s="151"/>
      <c r="EA101" s="161"/>
      <c r="EB101" s="161"/>
      <c r="EC101" s="161"/>
      <c r="ED101" s="161"/>
      <c r="EE101" s="161"/>
      <c r="EF101" s="161"/>
      <c r="EG101" s="161"/>
      <c r="EH101" s="161"/>
      <c r="EI101" s="161"/>
      <c r="EJ101" s="161"/>
      <c r="EK101" s="209"/>
      <c r="EL101" s="161"/>
      <c r="EM101" s="187"/>
      <c r="EN101" s="187"/>
      <c r="EO101" s="206"/>
      <c r="EP101" s="212"/>
      <c r="EQ101" s="208"/>
      <c r="ER101" s="187"/>
      <c r="ES101" s="187"/>
      <c r="ET101" s="187"/>
      <c r="EU101" s="187"/>
      <c r="EV101" s="210"/>
      <c r="EW101" s="209"/>
      <c r="EX101" s="210"/>
      <c r="EY101" s="162"/>
      <c r="EZ101" s="211"/>
      <c r="FA101" s="209"/>
      <c r="FB101" s="207"/>
      <c r="FC101" s="162"/>
      <c r="FD101" s="209"/>
      <c r="FE101" s="187"/>
      <c r="FF101" s="187"/>
    </row>
    <row r="102" spans="8:162">
      <c r="H102" s="243" t="s">
        <v>127</v>
      </c>
      <c r="I102" s="243"/>
      <c r="J102" s="243"/>
      <c r="K102" s="43">
        <v>4</v>
      </c>
      <c r="L102" s="43">
        <f>(R43-R44)/2-10</f>
        <v>158</v>
      </c>
      <c r="M102" s="43">
        <f>R59</f>
        <v>8</v>
      </c>
      <c r="N102" s="43">
        <f>R47/2-R45-R59/2</f>
        <v>530.74315916164892</v>
      </c>
      <c r="O102" s="43">
        <f t="shared" ref="O102:O103" si="66">K102*L102*M102</f>
        <v>5056</v>
      </c>
      <c r="P102" s="44">
        <f>K102*(L102*M102^3/12+O102*N102^2)</f>
        <v>5696891164.6943836</v>
      </c>
      <c r="Q102" s="44">
        <f>P102/N102</f>
        <v>10733800.457632044</v>
      </c>
      <c r="R102" s="247"/>
      <c r="S102" s="248"/>
      <c r="AA102" s="140" t="s">
        <v>210</v>
      </c>
      <c r="AB102" s="140" t="s">
        <v>238</v>
      </c>
      <c r="AC102" s="140">
        <v>46</v>
      </c>
      <c r="AD102" s="141">
        <v>2.6850000000000001</v>
      </c>
      <c r="AE102" s="151">
        <v>1100</v>
      </c>
      <c r="AF102" s="152">
        <v>350</v>
      </c>
      <c r="AG102" s="152">
        <v>14</v>
      </c>
      <c r="AH102" s="152">
        <v>18.000000000000004</v>
      </c>
      <c r="AI102" s="152">
        <v>1064</v>
      </c>
      <c r="AJ102" s="153" t="str" cm="1">
        <f t="array" ref="AJ102">_xll.Dce_Name_SectI(AE102, AE102, AF102, AG102, AH102, "x", "-", "H Tổng")</f>
        <v>1100x350x14x18</v>
      </c>
      <c r="AK102" s="161">
        <f t="shared" si="36"/>
        <v>1360</v>
      </c>
      <c r="AL102" s="162" cm="1">
        <f t="array" ref="AL102">IFERROR(INDEX($B$25:$B$32,IFERROR(MATCH(AF102,$B$25:$B$32,0),MATCH(AF102,$B$25:$B$32,1)+1)),$B$25)</f>
        <v>350</v>
      </c>
      <c r="AM102" s="162" cm="1">
        <f t="array" ref="AM102">IFERROR(VLOOKUP(AE102,$B$36:$E$47,4,FALSE),INDEX($E$36:$E$47,MATCH(AE102,$B$36:$B$47,1)+1))</f>
        <v>25</v>
      </c>
      <c r="AN102" s="162" cm="1">
        <f t="array" ref="AN102">IFERROR(VLOOKUP(AE102,$B$36:$E$47,2,FALSE),INDEX($C$36:$C$47,MATCH(AE102,$B$36:$B$47,1)+1))</f>
        <v>12</v>
      </c>
      <c r="AO102" s="162" cm="1">
        <f t="array" ref="AO102">IFERROR(VLOOKUP(AE102,$B$36:$E$47,3,FALSE),INDEX($D$36:$D$47,MATCH(AE102,$B$36:$B$47,1)+1))</f>
        <v>24</v>
      </c>
      <c r="AP102" s="163" t="str">
        <f t="shared" si="37"/>
        <v>1360x350x25 + 12M24</v>
      </c>
      <c r="AQ102" s="140" t="s">
        <v>254</v>
      </c>
      <c r="AR102" s="151">
        <v>0</v>
      </c>
      <c r="AS102" s="151">
        <v>701.09454547000621</v>
      </c>
      <c r="AT102" s="151">
        <v>-1.2846612662542609E-14</v>
      </c>
      <c r="AU102" s="151">
        <v>-4.5990371071281573E-3</v>
      </c>
      <c r="AV102" s="151">
        <v>1.2802531728084429E-13</v>
      </c>
      <c r="AW102" s="151">
        <v>-2122.7127499354697</v>
      </c>
      <c r="BA102" s="161">
        <f t="shared" si="38"/>
        <v>60</v>
      </c>
      <c r="BB102" s="161">
        <f t="shared" si="39"/>
        <v>70</v>
      </c>
      <c r="BC102" s="161">
        <f t="shared" si="40"/>
        <v>80</v>
      </c>
      <c r="BD102" s="161">
        <f t="shared" si="41"/>
        <v>150</v>
      </c>
      <c r="BE102" s="161">
        <f>HLOOKUP(AO102,Data!$H$31:$Q$35,3,FALSE)</f>
        <v>452.38934211693021</v>
      </c>
      <c r="BF102" s="161">
        <f>HLOOKUP(AO102,Data!$H$31:$Q$35,4,FALSE)</f>
        <v>353</v>
      </c>
      <c r="BG102" s="179">
        <f t="shared" si="42"/>
        <v>180</v>
      </c>
      <c r="BH102" s="185">
        <f t="shared" si="43"/>
        <v>121.65654188208487</v>
      </c>
      <c r="BI102" s="185">
        <f t="shared" si="44"/>
        <v>243</v>
      </c>
      <c r="BJ102" s="185">
        <f t="shared" si="45"/>
        <v>142.3296</v>
      </c>
      <c r="BK102" s="185">
        <f t="shared" si="46"/>
        <v>58.13459554966871</v>
      </c>
      <c r="BL102" s="186">
        <f t="shared" si="47"/>
        <v>0.82166666666666666</v>
      </c>
      <c r="BM102" s="186">
        <f t="shared" si="48"/>
        <v>0.58157204019404918</v>
      </c>
      <c r="BN102" s="185" t="str">
        <f t="shared" si="49"/>
        <v>OK</v>
      </c>
      <c r="BO102" s="185" cm="1">
        <f t="array" ref="BO102">_xll.DCEBoltDisRS(AN102, AE102, BA102, BB102, BC102, BD102, "h1")</f>
        <v>1240</v>
      </c>
      <c r="BP102" s="185" cm="1">
        <f t="array" ref="BP102">_xll.DCEBoltDisRS(AN102, AE102, BA102, BB102, BC102, BD102, "Tong")</f>
        <v>3721800</v>
      </c>
      <c r="BQ102" s="185">
        <f t="shared" si="50"/>
        <v>359.42781415757617</v>
      </c>
      <c r="BR102" s="186">
        <f t="shared" si="51"/>
        <v>2.5253202015432921</v>
      </c>
      <c r="BS102" s="185" t="str">
        <f t="shared" si="52"/>
        <v>O/S</v>
      </c>
      <c r="BT102" s="186">
        <f t="shared" si="53"/>
        <v>2.5701343801931689</v>
      </c>
      <c r="BU102" s="185" t="str">
        <f t="shared" si="54"/>
        <v>O/S</v>
      </c>
      <c r="BV102" s="190">
        <f t="shared" si="55"/>
        <v>1929.7388635776995</v>
      </c>
      <c r="BW102" s="191">
        <f t="shared" si="56"/>
        <v>43.419124430498236</v>
      </c>
      <c r="BX102" s="190">
        <f t="shared" si="57"/>
        <v>964.86943178884974</v>
      </c>
      <c r="BY102" s="167">
        <f t="shared" si="58"/>
        <v>306.48793715645809</v>
      </c>
      <c r="BZ102" s="192">
        <f t="shared" si="59"/>
        <v>1.4898719167327825</v>
      </c>
      <c r="CA102" s="191">
        <f t="shared" si="60"/>
        <v>28.378512699672051</v>
      </c>
      <c r="CB102" s="193">
        <f t="shared" si="61"/>
        <v>0.23784673000204068</v>
      </c>
      <c r="CC102" s="167">
        <f t="shared" si="62"/>
        <v>310.40437427903197</v>
      </c>
      <c r="CD102" s="191">
        <f t="shared" si="63"/>
        <v>1.3120957849959083</v>
      </c>
      <c r="CE102" s="189">
        <f t="shared" si="64"/>
        <v>1.4898719167327825</v>
      </c>
      <c r="CF102" s="194" t="str">
        <f t="shared" si="65"/>
        <v>O/S</v>
      </c>
      <c r="DA102" s="140"/>
      <c r="DB102" s="140"/>
      <c r="DC102" s="140"/>
      <c r="DD102" s="141"/>
      <c r="DE102" s="151"/>
      <c r="DF102" s="152"/>
      <c r="DG102" s="152"/>
      <c r="DH102" s="152"/>
      <c r="DI102" s="152"/>
      <c r="DJ102" s="152"/>
      <c r="DK102" s="161"/>
      <c r="DL102" s="162"/>
      <c r="DM102" s="162"/>
      <c r="DN102" s="162"/>
      <c r="DO102" s="162"/>
      <c r="DP102" s="162"/>
      <c r="DQ102" s="140"/>
      <c r="DR102" s="151"/>
      <c r="DS102" s="151"/>
      <c r="DT102" s="151"/>
      <c r="DU102" s="151"/>
      <c r="DV102" s="151"/>
      <c r="DW102" s="151"/>
      <c r="DX102" s="151"/>
      <c r="DY102" s="151"/>
      <c r="DZ102" s="151"/>
      <c r="EA102" s="161"/>
      <c r="EB102" s="161"/>
      <c r="EC102" s="161"/>
      <c r="ED102" s="161"/>
      <c r="EE102" s="161"/>
      <c r="EF102" s="161"/>
      <c r="EG102" s="161"/>
      <c r="EH102" s="161"/>
      <c r="EI102" s="161"/>
      <c r="EJ102" s="161"/>
      <c r="EK102" s="209"/>
      <c r="EL102" s="161"/>
      <c r="EM102" s="187"/>
      <c r="EN102" s="187"/>
      <c r="EO102" s="206"/>
      <c r="EP102" s="212"/>
      <c r="EQ102" s="208"/>
      <c r="ER102" s="187"/>
      <c r="ES102" s="187"/>
      <c r="ET102" s="187"/>
      <c r="EU102" s="187"/>
      <c r="EV102" s="210"/>
      <c r="EW102" s="209"/>
      <c r="EX102" s="210"/>
      <c r="EY102" s="162"/>
      <c r="EZ102" s="211"/>
      <c r="FA102" s="209"/>
      <c r="FB102" s="207"/>
      <c r="FC102" s="162"/>
      <c r="FD102" s="209"/>
      <c r="FE102" s="187"/>
      <c r="FF102" s="187"/>
    </row>
    <row r="103" spans="8:162">
      <c r="H103" s="243" t="s">
        <v>128</v>
      </c>
      <c r="I103" s="243"/>
      <c r="J103" s="243"/>
      <c r="K103" s="43">
        <v>2</v>
      </c>
      <c r="L103" s="43">
        <f>R60</f>
        <v>6</v>
      </c>
      <c r="M103" s="43">
        <f>R47-2*R45-10</f>
        <v>1059.4863183232978</v>
      </c>
      <c r="N103" s="43">
        <v>0</v>
      </c>
      <c r="O103" s="43">
        <f t="shared" si="66"/>
        <v>12713.835819879574</v>
      </c>
      <c r="P103" s="44">
        <f>K103*(L103*M103^3/12)</f>
        <v>1189285320.7716184</v>
      </c>
      <c r="Q103" s="44">
        <f>P103/(M103/2)</f>
        <v>2245022.5174285127</v>
      </c>
      <c r="R103" s="249"/>
      <c r="S103" s="250"/>
      <c r="AA103" s="140" t="s">
        <v>210</v>
      </c>
      <c r="AB103" s="140" t="s">
        <v>238</v>
      </c>
      <c r="AC103" s="140">
        <v>46</v>
      </c>
      <c r="AD103" s="141">
        <v>0</v>
      </c>
      <c r="AE103" s="151">
        <v>750</v>
      </c>
      <c r="AF103" s="152">
        <v>350</v>
      </c>
      <c r="AG103" s="152">
        <v>14</v>
      </c>
      <c r="AH103" s="152">
        <v>18.000000000000004</v>
      </c>
      <c r="AI103" s="152">
        <v>714</v>
      </c>
      <c r="AJ103" s="153" t="str" cm="1">
        <f t="array" ref="AJ103">_xll.Dce_Name_SectI(AE103, AE103, AF103, AG103, AH103, "x", "-", "H Tổng")</f>
        <v>750x350x14x18</v>
      </c>
      <c r="AK103" s="161">
        <f t="shared" si="36"/>
        <v>1010</v>
      </c>
      <c r="AL103" s="162" cm="1">
        <f t="array" ref="AL103">IFERROR(INDEX($B$25:$B$32,IFERROR(MATCH(AF103,$B$25:$B$32,0),MATCH(AF103,$B$25:$B$32,1)+1)),$B$25)</f>
        <v>350</v>
      </c>
      <c r="AM103" s="162" cm="1">
        <f t="array" ref="AM103">IFERROR(VLOOKUP(AE103,$B$36:$E$47,4,FALSE),INDEX($E$36:$E$47,MATCH(AE103,$B$36:$B$47,1)+1))</f>
        <v>25</v>
      </c>
      <c r="AN103" s="162" cm="1">
        <f t="array" ref="AN103">IFERROR(VLOOKUP(AE103,$B$36:$E$47,2,FALSE),INDEX($C$36:$C$47,MATCH(AE103,$B$36:$B$47,1)+1))</f>
        <v>12</v>
      </c>
      <c r="AO103" s="162" cm="1">
        <f t="array" ref="AO103">IFERROR(VLOOKUP(AE103,$B$36:$E$47,3,FALSE),INDEX($D$36:$D$47,MATCH(AE103,$B$36:$B$47,1)+1))</f>
        <v>24</v>
      </c>
      <c r="AP103" s="163" t="str">
        <f t="shared" si="37"/>
        <v>1010x350x25 + 12M24</v>
      </c>
      <c r="AQ103" s="140" t="s">
        <v>255</v>
      </c>
      <c r="AR103" s="151">
        <v>0</v>
      </c>
      <c r="AS103" s="151">
        <v>525.78317753747103</v>
      </c>
      <c r="AT103" s="151">
        <v>-2.8812792152166364E-13</v>
      </c>
      <c r="AU103" s="151">
        <v>-4.7592016884324493E-3</v>
      </c>
      <c r="AV103" s="151">
        <v>-1.8316786736249921E-13</v>
      </c>
      <c r="AW103" s="151">
        <v>-475.40855846093064</v>
      </c>
      <c r="BA103" s="161">
        <f t="shared" si="38"/>
        <v>60</v>
      </c>
      <c r="BB103" s="161">
        <f t="shared" si="39"/>
        <v>70</v>
      </c>
      <c r="BC103" s="161">
        <f t="shared" si="40"/>
        <v>80</v>
      </c>
      <c r="BD103" s="161">
        <f t="shared" si="41"/>
        <v>150</v>
      </c>
      <c r="BE103" s="161">
        <f>HLOOKUP(AO103,Data!$H$31:$Q$35,3,FALSE)</f>
        <v>452.38934211693021</v>
      </c>
      <c r="BF103" s="161">
        <f>HLOOKUP(AO103,Data!$H$31:$Q$35,4,FALSE)</f>
        <v>353</v>
      </c>
      <c r="BG103" s="179">
        <f t="shared" si="42"/>
        <v>180</v>
      </c>
      <c r="BH103" s="185">
        <f t="shared" si="43"/>
        <v>121.65654188208487</v>
      </c>
      <c r="BI103" s="185">
        <f t="shared" si="44"/>
        <v>243</v>
      </c>
      <c r="BJ103" s="185">
        <f t="shared" si="45"/>
        <v>142.3296</v>
      </c>
      <c r="BK103" s="185">
        <f t="shared" si="46"/>
        <v>43.597817969713759</v>
      </c>
      <c r="BL103" s="186">
        <f t="shared" si="47"/>
        <v>0.89458333333333329</v>
      </c>
      <c r="BM103" s="186">
        <f t="shared" si="48"/>
        <v>0.40059772968605123</v>
      </c>
      <c r="BN103" s="185" t="str">
        <f t="shared" si="49"/>
        <v>OK</v>
      </c>
      <c r="BO103" s="185" cm="1">
        <f t="array" ref="BO103">_xll.DCEBoltDisRS(AN103, AE103, BA103, BB103, BC103, BD103, "h1")</f>
        <v>890</v>
      </c>
      <c r="BP103" s="185" cm="1">
        <f t="array" ref="BP103">_xll.DCEBoltDisRS(AN103, AE103, BA103, BB103, BC103, BD103, "Tong")</f>
        <v>1800300</v>
      </c>
      <c r="BQ103" s="185">
        <f t="shared" si="50"/>
        <v>121.87175675398639</v>
      </c>
      <c r="BR103" s="186">
        <f t="shared" si="51"/>
        <v>0.8562643101223244</v>
      </c>
      <c r="BS103" s="185" t="str">
        <f t="shared" si="52"/>
        <v>OK</v>
      </c>
      <c r="BT103" s="186">
        <f t="shared" si="53"/>
        <v>0.92823285318565596</v>
      </c>
      <c r="BU103" s="185" t="str">
        <f t="shared" si="54"/>
        <v>OK</v>
      </c>
      <c r="BV103" s="190">
        <f t="shared" si="55"/>
        <v>633.87807794790751</v>
      </c>
      <c r="BW103" s="191">
        <f t="shared" si="56"/>
        <v>14.262256753827918</v>
      </c>
      <c r="BX103" s="190">
        <f t="shared" si="57"/>
        <v>316.93903897395376</v>
      </c>
      <c r="BY103" s="167">
        <f t="shared" si="58"/>
        <v>135.56204439281981</v>
      </c>
      <c r="BZ103" s="192">
        <f t="shared" si="59"/>
        <v>0.65898216024287415</v>
      </c>
      <c r="CA103" s="191">
        <f t="shared" si="60"/>
        <v>12.552041147483317</v>
      </c>
      <c r="CB103" s="193">
        <f t="shared" si="61"/>
        <v>0.10520149429164659</v>
      </c>
      <c r="CC103" s="167">
        <f t="shared" si="62"/>
        <v>137.29431558103633</v>
      </c>
      <c r="CD103" s="191">
        <f t="shared" si="63"/>
        <v>0.58035036779423577</v>
      </c>
      <c r="CE103" s="189">
        <f t="shared" si="64"/>
        <v>0.65898216024287415</v>
      </c>
      <c r="CF103" s="194" t="str">
        <f t="shared" si="65"/>
        <v>OK</v>
      </c>
      <c r="DA103" s="140"/>
      <c r="DB103" s="140"/>
      <c r="DC103" s="140"/>
      <c r="DD103" s="141"/>
      <c r="DE103" s="151"/>
      <c r="DF103" s="152"/>
      <c r="DG103" s="152"/>
      <c r="DH103" s="152"/>
      <c r="DI103" s="152"/>
      <c r="DJ103" s="152"/>
      <c r="DK103" s="161"/>
      <c r="DL103" s="162"/>
      <c r="DM103" s="162"/>
      <c r="DN103" s="162"/>
      <c r="DO103" s="162"/>
      <c r="DP103" s="162"/>
      <c r="DQ103" s="140"/>
      <c r="DR103" s="151"/>
      <c r="DS103" s="151"/>
      <c r="DT103" s="151"/>
      <c r="DU103" s="151"/>
      <c r="DV103" s="151"/>
      <c r="DW103" s="151"/>
      <c r="DX103" s="151"/>
      <c r="DY103" s="151"/>
      <c r="DZ103" s="151"/>
      <c r="EA103" s="161"/>
      <c r="EB103" s="161"/>
      <c r="EC103" s="161"/>
      <c r="ED103" s="161"/>
      <c r="EE103" s="161"/>
      <c r="EF103" s="161"/>
      <c r="EG103" s="161"/>
      <c r="EH103" s="161"/>
      <c r="EI103" s="161"/>
      <c r="EJ103" s="161"/>
      <c r="EK103" s="209"/>
      <c r="EL103" s="161"/>
      <c r="EM103" s="187"/>
      <c r="EN103" s="187"/>
      <c r="EO103" s="206"/>
      <c r="EP103" s="212"/>
      <c r="EQ103" s="208"/>
      <c r="ER103" s="187"/>
      <c r="ES103" s="187"/>
      <c r="ET103" s="187"/>
      <c r="EU103" s="187"/>
      <c r="EV103" s="210"/>
      <c r="EW103" s="209"/>
      <c r="EX103" s="210"/>
      <c r="EY103" s="162"/>
      <c r="EZ103" s="211"/>
      <c r="FA103" s="209"/>
      <c r="FB103" s="207"/>
      <c r="FC103" s="162"/>
      <c r="FD103" s="209"/>
      <c r="FE103" s="187"/>
      <c r="FF103" s="187"/>
    </row>
    <row r="104" spans="8:162">
      <c r="H104" s="1" t="s">
        <v>132</v>
      </c>
      <c r="AA104" s="140" t="s">
        <v>210</v>
      </c>
      <c r="AB104" s="140" t="s">
        <v>238</v>
      </c>
      <c r="AC104" s="140">
        <v>46</v>
      </c>
      <c r="AD104" s="141">
        <v>2.6850000000000001</v>
      </c>
      <c r="AE104" s="151">
        <v>1100</v>
      </c>
      <c r="AF104" s="152">
        <v>350</v>
      </c>
      <c r="AG104" s="152">
        <v>14</v>
      </c>
      <c r="AH104" s="152">
        <v>18.000000000000004</v>
      </c>
      <c r="AI104" s="152">
        <v>1064</v>
      </c>
      <c r="AJ104" s="153" t="str" cm="1">
        <f t="array" ref="AJ104">_xll.Dce_Name_SectI(AE104, AE104, AF104, AG104, AH104, "x", "-", "H Tổng")</f>
        <v>1100x350x14x18</v>
      </c>
      <c r="AK104" s="161">
        <f t="shared" si="36"/>
        <v>1360</v>
      </c>
      <c r="AL104" s="162" cm="1">
        <f t="array" ref="AL104">IFERROR(INDEX($B$25:$B$32,IFERROR(MATCH(AF104,$B$25:$B$32,0),MATCH(AF104,$B$25:$B$32,1)+1)),$B$25)</f>
        <v>350</v>
      </c>
      <c r="AM104" s="162" cm="1">
        <f t="array" ref="AM104">IFERROR(VLOOKUP(AE104,$B$36:$E$47,4,FALSE),INDEX($E$36:$E$47,MATCH(AE104,$B$36:$B$47,1)+1))</f>
        <v>25</v>
      </c>
      <c r="AN104" s="162" cm="1">
        <f t="array" ref="AN104">IFERROR(VLOOKUP(AE104,$B$36:$E$47,2,FALSE),INDEX($C$36:$C$47,MATCH(AE104,$B$36:$B$47,1)+1))</f>
        <v>12</v>
      </c>
      <c r="AO104" s="162" cm="1">
        <f t="array" ref="AO104">IFERROR(VLOOKUP(AE104,$B$36:$E$47,3,FALSE),INDEX($D$36:$D$47,MATCH(AE104,$B$36:$B$47,1)+1))</f>
        <v>24</v>
      </c>
      <c r="AP104" s="163" t="str">
        <f t="shared" si="37"/>
        <v>1360x350x25 + 12M24</v>
      </c>
      <c r="AQ104" s="140" t="s">
        <v>255</v>
      </c>
      <c r="AR104" s="151">
        <v>0</v>
      </c>
      <c r="AS104" s="151">
        <v>704.08157615534515</v>
      </c>
      <c r="AT104" s="151">
        <v>4.5361048250924786E-14</v>
      </c>
      <c r="AU104" s="151">
        <v>-4.7584944688306178E-3</v>
      </c>
      <c r="AV104" s="151">
        <v>-7.8786501944705366E-14</v>
      </c>
      <c r="AW104" s="151">
        <v>-2154.1936807234224</v>
      </c>
      <c r="BA104" s="161">
        <f t="shared" si="38"/>
        <v>60</v>
      </c>
      <c r="BB104" s="161">
        <f t="shared" si="39"/>
        <v>70</v>
      </c>
      <c r="BC104" s="161">
        <f t="shared" si="40"/>
        <v>80</v>
      </c>
      <c r="BD104" s="161">
        <f t="shared" si="41"/>
        <v>150</v>
      </c>
      <c r="BE104" s="161">
        <f>HLOOKUP(AO104,Data!$H$31:$Q$35,3,FALSE)</f>
        <v>452.38934211693021</v>
      </c>
      <c r="BF104" s="161">
        <f>HLOOKUP(AO104,Data!$H$31:$Q$35,4,FALSE)</f>
        <v>353</v>
      </c>
      <c r="BG104" s="179">
        <f t="shared" si="42"/>
        <v>180</v>
      </c>
      <c r="BH104" s="185">
        <f t="shared" si="43"/>
        <v>121.65654188208487</v>
      </c>
      <c r="BI104" s="185">
        <f t="shared" si="44"/>
        <v>243</v>
      </c>
      <c r="BJ104" s="185">
        <f t="shared" si="45"/>
        <v>142.3296</v>
      </c>
      <c r="BK104" s="185">
        <f t="shared" si="46"/>
        <v>58.382279434686261</v>
      </c>
      <c r="BL104" s="186">
        <f t="shared" si="47"/>
        <v>0.82166666666666666</v>
      </c>
      <c r="BM104" s="186">
        <f t="shared" si="48"/>
        <v>0.58404984228368062</v>
      </c>
      <c r="BN104" s="185" t="str">
        <f t="shared" si="49"/>
        <v>OK</v>
      </c>
      <c r="BO104" s="185" cm="1">
        <f t="array" ref="BO104">_xll.DCEBoltDisRS(AN104, AE104, BA104, BB104, BC104, BD104, "h1")</f>
        <v>1240</v>
      </c>
      <c r="BP104" s="185" cm="1">
        <f t="array" ref="BP104">_xll.DCEBoltDisRS(AN104, AE104, BA104, BB104, BC104, BD104, "Tong")</f>
        <v>3721800</v>
      </c>
      <c r="BQ104" s="185">
        <f t="shared" si="50"/>
        <v>364.69686678717909</v>
      </c>
      <c r="BR104" s="186">
        <f t="shared" si="51"/>
        <v>2.5623402776876989</v>
      </c>
      <c r="BS104" s="185" t="str">
        <f t="shared" si="52"/>
        <v>O/S</v>
      </c>
      <c r="BT104" s="186">
        <f t="shared" si="53"/>
        <v>2.606892062481541</v>
      </c>
      <c r="BU104" s="185" t="str">
        <f t="shared" si="54"/>
        <v>O/S</v>
      </c>
      <c r="BV104" s="190">
        <f t="shared" si="55"/>
        <v>1958.3578915667474</v>
      </c>
      <c r="BW104" s="191">
        <f t="shared" si="56"/>
        <v>44.063052560251812</v>
      </c>
      <c r="BX104" s="190">
        <f t="shared" si="57"/>
        <v>979.17894578337371</v>
      </c>
      <c r="BY104" s="167">
        <f t="shared" si="58"/>
        <v>311.03331219001279</v>
      </c>
      <c r="BZ104" s="192">
        <f t="shared" si="59"/>
        <v>1.5119674898125623</v>
      </c>
      <c r="CA104" s="191">
        <f t="shared" si="60"/>
        <v>28.799380758334518</v>
      </c>
      <c r="CB104" s="193">
        <f t="shared" si="61"/>
        <v>0.24137412034044736</v>
      </c>
      <c r="CC104" s="167">
        <f t="shared" si="62"/>
        <v>315.00783210593437</v>
      </c>
      <c r="CD104" s="191">
        <f t="shared" si="63"/>
        <v>1.3315548458584185</v>
      </c>
      <c r="CE104" s="189">
        <f t="shared" si="64"/>
        <v>1.5119674898125623</v>
      </c>
      <c r="CF104" s="194" t="str">
        <f t="shared" si="65"/>
        <v>O/S</v>
      </c>
      <c r="DA104" s="140"/>
      <c r="DB104" s="140"/>
      <c r="DC104" s="140"/>
      <c r="DD104" s="141"/>
      <c r="DE104" s="151"/>
      <c r="DF104" s="152"/>
      <c r="DG104" s="152"/>
      <c r="DH104" s="152"/>
      <c r="DI104" s="152"/>
      <c r="DJ104" s="152"/>
      <c r="DK104" s="161"/>
      <c r="DL104" s="162"/>
      <c r="DM104" s="162"/>
      <c r="DN104" s="162"/>
      <c r="DO104" s="162"/>
      <c r="DP104" s="162"/>
      <c r="DQ104" s="140"/>
      <c r="DR104" s="151"/>
      <c r="DS104" s="151"/>
      <c r="DT104" s="151"/>
      <c r="DU104" s="151"/>
      <c r="DV104" s="151"/>
      <c r="DW104" s="151"/>
      <c r="DX104" s="151"/>
      <c r="DY104" s="151"/>
      <c r="DZ104" s="151"/>
      <c r="EA104" s="161"/>
      <c r="EB104" s="161"/>
      <c r="EC104" s="161"/>
      <c r="ED104" s="161"/>
      <c r="EE104" s="161"/>
      <c r="EF104" s="161"/>
      <c r="EG104" s="161"/>
      <c r="EH104" s="161"/>
      <c r="EI104" s="161"/>
      <c r="EJ104" s="161"/>
      <c r="EK104" s="209"/>
      <c r="EL104" s="161"/>
      <c r="EM104" s="187"/>
      <c r="EN104" s="187"/>
      <c r="EO104" s="206"/>
      <c r="EP104" s="212"/>
      <c r="EQ104" s="208"/>
      <c r="ER104" s="187"/>
      <c r="ES104" s="187"/>
      <c r="ET104" s="187"/>
      <c r="EU104" s="187"/>
      <c r="EV104" s="210"/>
      <c r="EW104" s="209"/>
      <c r="EX104" s="210"/>
      <c r="EY104" s="162"/>
      <c r="EZ104" s="211"/>
      <c r="FA104" s="209"/>
      <c r="FB104" s="207"/>
      <c r="FC104" s="162"/>
      <c r="FD104" s="209"/>
      <c r="FE104" s="187"/>
      <c r="FF104" s="187"/>
    </row>
    <row r="105" spans="8:162">
      <c r="AA105" s="140" t="s">
        <v>210</v>
      </c>
      <c r="AB105" s="140" t="s">
        <v>238</v>
      </c>
      <c r="AC105" s="140">
        <v>46</v>
      </c>
      <c r="AD105" s="141">
        <v>0</v>
      </c>
      <c r="AE105" s="151">
        <v>750</v>
      </c>
      <c r="AF105" s="152">
        <v>350</v>
      </c>
      <c r="AG105" s="152">
        <v>14</v>
      </c>
      <c r="AH105" s="152">
        <v>18.000000000000004</v>
      </c>
      <c r="AI105" s="152">
        <v>714</v>
      </c>
      <c r="AJ105" s="153" t="str" cm="1">
        <f t="array" ref="AJ105">_xll.Dce_Name_SectI(AE105, AE105, AF105, AG105, AH105, "x", "-", "H Tổng")</f>
        <v>750x350x14x18</v>
      </c>
      <c r="AK105" s="161">
        <f t="shared" si="36"/>
        <v>1010</v>
      </c>
      <c r="AL105" s="162" cm="1">
        <f t="array" ref="AL105">IFERROR(INDEX($B$25:$B$32,IFERROR(MATCH(AF105,$B$25:$B$32,0),MATCH(AF105,$B$25:$B$32,1)+1)),$B$25)</f>
        <v>350</v>
      </c>
      <c r="AM105" s="162" cm="1">
        <f t="array" ref="AM105">IFERROR(VLOOKUP(AE105,$B$36:$E$47,4,FALSE),INDEX($E$36:$E$47,MATCH(AE105,$B$36:$B$47,1)+1))</f>
        <v>25</v>
      </c>
      <c r="AN105" s="162" cm="1">
        <f t="array" ref="AN105">IFERROR(VLOOKUP(AE105,$B$36:$E$47,2,FALSE),INDEX($C$36:$C$47,MATCH(AE105,$B$36:$B$47,1)+1))</f>
        <v>12</v>
      </c>
      <c r="AO105" s="162" cm="1">
        <f t="array" ref="AO105">IFERROR(VLOOKUP(AE105,$B$36:$E$47,3,FALSE),INDEX($D$36:$D$47,MATCH(AE105,$B$36:$B$47,1)+1))</f>
        <v>24</v>
      </c>
      <c r="AP105" s="163" t="str">
        <f t="shared" si="37"/>
        <v>1010x350x25 + 12M24</v>
      </c>
      <c r="AQ105" s="140" t="s">
        <v>256</v>
      </c>
      <c r="AR105" s="151">
        <v>0</v>
      </c>
      <c r="AS105" s="151">
        <v>526.80547602128649</v>
      </c>
      <c r="AT105" s="151">
        <v>-5.5297277867794024E-14</v>
      </c>
      <c r="AU105" s="151">
        <v>-4.7543769749019988E-3</v>
      </c>
      <c r="AV105" s="151">
        <v>-4.3539330363273582E-15</v>
      </c>
      <c r="AW105" s="151">
        <v>-475.39526343259087</v>
      </c>
      <c r="BA105" s="161">
        <f t="shared" si="38"/>
        <v>60</v>
      </c>
      <c r="BB105" s="161">
        <f t="shared" si="39"/>
        <v>70</v>
      </c>
      <c r="BC105" s="161">
        <f t="shared" si="40"/>
        <v>80</v>
      </c>
      <c r="BD105" s="161">
        <f t="shared" si="41"/>
        <v>150</v>
      </c>
      <c r="BE105" s="161">
        <f>HLOOKUP(AO105,Data!$H$31:$Q$35,3,FALSE)</f>
        <v>452.38934211693021</v>
      </c>
      <c r="BF105" s="161">
        <f>HLOOKUP(AO105,Data!$H$31:$Q$35,4,FALSE)</f>
        <v>353</v>
      </c>
      <c r="BG105" s="179">
        <f t="shared" si="42"/>
        <v>180</v>
      </c>
      <c r="BH105" s="185">
        <f t="shared" si="43"/>
        <v>121.65654188208487</v>
      </c>
      <c r="BI105" s="185">
        <f t="shared" si="44"/>
        <v>243</v>
      </c>
      <c r="BJ105" s="185">
        <f t="shared" si="45"/>
        <v>142.3296</v>
      </c>
      <c r="BK105" s="185">
        <f t="shared" si="46"/>
        <v>43.682586720621394</v>
      </c>
      <c r="BL105" s="186">
        <f t="shared" si="47"/>
        <v>0.89458333333333329</v>
      </c>
      <c r="BM105" s="186">
        <f t="shared" si="48"/>
        <v>0.40137662575799482</v>
      </c>
      <c r="BN105" s="185" t="str">
        <f t="shared" si="49"/>
        <v>OK</v>
      </c>
      <c r="BO105" s="185" cm="1">
        <f t="array" ref="BO105">_xll.DCEBoltDisRS(AN105, AE105, BA105, BB105, BC105, BD105, "h1")</f>
        <v>890</v>
      </c>
      <c r="BP105" s="185" cm="1">
        <f t="array" ref="BP105">_xll.DCEBoltDisRS(AN105, AE105, BA105, BB105, BC105, BD105, "Tong")</f>
        <v>1800300</v>
      </c>
      <c r="BQ105" s="185">
        <f t="shared" si="50"/>
        <v>121.87694735033962</v>
      </c>
      <c r="BR105" s="186">
        <f t="shared" si="51"/>
        <v>0.85630077896895385</v>
      </c>
      <c r="BS105" s="185" t="str">
        <f t="shared" si="52"/>
        <v>OK</v>
      </c>
      <c r="BT105" s="186">
        <f t="shared" si="53"/>
        <v>0.92853571995813655</v>
      </c>
      <c r="BU105" s="185" t="str">
        <f t="shared" si="54"/>
        <v>OK</v>
      </c>
      <c r="BV105" s="190">
        <f t="shared" si="55"/>
        <v>633.86035124345449</v>
      </c>
      <c r="BW105" s="191">
        <f t="shared" si="56"/>
        <v>14.261857902977725</v>
      </c>
      <c r="BX105" s="190">
        <f t="shared" si="57"/>
        <v>316.93017562172724</v>
      </c>
      <c r="BY105" s="167">
        <f t="shared" si="58"/>
        <v>135.55825333523381</v>
      </c>
      <c r="BZ105" s="192">
        <f t="shared" si="59"/>
        <v>0.65896373149071996</v>
      </c>
      <c r="CA105" s="191">
        <f t="shared" si="60"/>
        <v>12.551690123632762</v>
      </c>
      <c r="CB105" s="193">
        <f t="shared" si="61"/>
        <v>0.10519855228140486</v>
      </c>
      <c r="CC105" s="167">
        <f t="shared" si="62"/>
        <v>137.29047607965578</v>
      </c>
      <c r="CD105" s="191">
        <f t="shared" si="63"/>
        <v>0.58033413801786871</v>
      </c>
      <c r="CE105" s="189">
        <f t="shared" si="64"/>
        <v>0.65896373149071996</v>
      </c>
      <c r="CF105" s="194" t="str">
        <f t="shared" si="65"/>
        <v>OK</v>
      </c>
      <c r="DA105" s="140"/>
      <c r="DB105" s="140"/>
      <c r="DC105" s="140"/>
      <c r="DD105" s="141"/>
      <c r="DE105" s="151"/>
      <c r="DF105" s="152"/>
      <c r="DG105" s="152"/>
      <c r="DH105" s="152"/>
      <c r="DI105" s="152"/>
      <c r="DJ105" s="152"/>
      <c r="DK105" s="161"/>
      <c r="DL105" s="162"/>
      <c r="DM105" s="162"/>
      <c r="DN105" s="162"/>
      <c r="DO105" s="162"/>
      <c r="DP105" s="162"/>
      <c r="DQ105" s="140"/>
      <c r="DR105" s="151"/>
      <c r="DS105" s="151"/>
      <c r="DT105" s="151"/>
      <c r="DU105" s="151"/>
      <c r="DV105" s="151"/>
      <c r="DW105" s="151"/>
      <c r="DX105" s="151"/>
      <c r="DY105" s="151"/>
      <c r="DZ105" s="151"/>
      <c r="EA105" s="161"/>
      <c r="EB105" s="161"/>
      <c r="EC105" s="161"/>
      <c r="ED105" s="161"/>
      <c r="EE105" s="161"/>
      <c r="EF105" s="161"/>
      <c r="EG105" s="161"/>
      <c r="EH105" s="161"/>
      <c r="EI105" s="161"/>
      <c r="EJ105" s="161"/>
      <c r="EK105" s="209"/>
      <c r="EL105" s="161"/>
      <c r="EM105" s="187"/>
      <c r="EN105" s="187"/>
      <c r="EO105" s="206"/>
      <c r="EP105" s="212"/>
      <c r="EQ105" s="208"/>
      <c r="ER105" s="187"/>
      <c r="ES105" s="187"/>
      <c r="ET105" s="187"/>
      <c r="EU105" s="187"/>
      <c r="EV105" s="210"/>
      <c r="EW105" s="209"/>
      <c r="EX105" s="210"/>
      <c r="EY105" s="162"/>
      <c r="EZ105" s="211"/>
      <c r="FA105" s="209"/>
      <c r="FB105" s="207"/>
      <c r="FC105" s="162"/>
      <c r="FD105" s="209"/>
      <c r="FE105" s="187"/>
      <c r="FF105" s="187"/>
    </row>
    <row r="106" spans="8:162">
      <c r="AA106" s="140" t="s">
        <v>210</v>
      </c>
      <c r="AB106" s="140" t="s">
        <v>238</v>
      </c>
      <c r="AC106" s="140">
        <v>46</v>
      </c>
      <c r="AD106" s="141">
        <v>2.6850000000000001</v>
      </c>
      <c r="AE106" s="151">
        <v>1100</v>
      </c>
      <c r="AF106" s="152">
        <v>350</v>
      </c>
      <c r="AG106" s="152">
        <v>14</v>
      </c>
      <c r="AH106" s="152">
        <v>18.000000000000004</v>
      </c>
      <c r="AI106" s="152">
        <v>1064</v>
      </c>
      <c r="AJ106" s="153" t="str" cm="1">
        <f t="array" ref="AJ106">_xll.Dce_Name_SectI(AE106, AE106, AF106, AG106, AH106, "x", "-", "H Tổng")</f>
        <v>1100x350x14x18</v>
      </c>
      <c r="AK106" s="161">
        <f t="shared" si="36"/>
        <v>1360</v>
      </c>
      <c r="AL106" s="162" cm="1">
        <f t="array" ref="AL106">IFERROR(INDEX($B$25:$B$32,IFERROR(MATCH(AF106,$B$25:$B$32,0),MATCH(AF106,$B$25:$B$32,1)+1)),$B$25)</f>
        <v>350</v>
      </c>
      <c r="AM106" s="162" cm="1">
        <f t="array" ref="AM106">IFERROR(VLOOKUP(AE106,$B$36:$E$47,4,FALSE),INDEX($E$36:$E$47,MATCH(AE106,$B$36:$B$47,1)+1))</f>
        <v>25</v>
      </c>
      <c r="AN106" s="162" cm="1">
        <f t="array" ref="AN106">IFERROR(VLOOKUP(AE106,$B$36:$E$47,2,FALSE),INDEX($C$36:$C$47,MATCH(AE106,$B$36:$B$47,1)+1))</f>
        <v>12</v>
      </c>
      <c r="AO106" s="162" cm="1">
        <f t="array" ref="AO106">IFERROR(VLOOKUP(AE106,$B$36:$E$47,3,FALSE),INDEX($D$36:$D$47,MATCH(AE106,$B$36:$B$47,1)+1))</f>
        <v>24</v>
      </c>
      <c r="AP106" s="163" t="str">
        <f t="shared" si="37"/>
        <v>1360x350x25 + 12M24</v>
      </c>
      <c r="AQ106" s="140" t="s">
        <v>256</v>
      </c>
      <c r="AR106" s="151">
        <v>0</v>
      </c>
      <c r="AS106" s="151">
        <v>705.10387486476645</v>
      </c>
      <c r="AT106" s="151">
        <v>-1.2846612662542609E-14</v>
      </c>
      <c r="AU106" s="151">
        <v>-4.7536698352566463E-3</v>
      </c>
      <c r="AV106" s="151">
        <v>8.8160277300630673E-15</v>
      </c>
      <c r="AW106" s="151">
        <v>-2156.9252467741258</v>
      </c>
      <c r="BA106" s="161">
        <f t="shared" si="38"/>
        <v>60</v>
      </c>
      <c r="BB106" s="161">
        <f t="shared" si="39"/>
        <v>70</v>
      </c>
      <c r="BC106" s="161">
        <f t="shared" si="40"/>
        <v>80</v>
      </c>
      <c r="BD106" s="161">
        <f t="shared" si="41"/>
        <v>150</v>
      </c>
      <c r="BE106" s="161">
        <f>HLOOKUP(AO106,Data!$H$31:$Q$35,3,FALSE)</f>
        <v>452.38934211693021</v>
      </c>
      <c r="BF106" s="161">
        <f>HLOOKUP(AO106,Data!$H$31:$Q$35,4,FALSE)</f>
        <v>353</v>
      </c>
      <c r="BG106" s="179">
        <f t="shared" si="42"/>
        <v>180</v>
      </c>
      <c r="BH106" s="185">
        <f t="shared" si="43"/>
        <v>121.65654188208487</v>
      </c>
      <c r="BI106" s="185">
        <f t="shared" si="44"/>
        <v>243</v>
      </c>
      <c r="BJ106" s="185">
        <f t="shared" si="45"/>
        <v>142.3296</v>
      </c>
      <c r="BK106" s="185">
        <f t="shared" si="46"/>
        <v>58.467048204301079</v>
      </c>
      <c r="BL106" s="186">
        <f t="shared" si="47"/>
        <v>0.82166666666666666</v>
      </c>
      <c r="BM106" s="186">
        <f t="shared" si="48"/>
        <v>0.58489785964448782</v>
      </c>
      <c r="BN106" s="185" t="str">
        <f t="shared" si="49"/>
        <v>OK</v>
      </c>
      <c r="BO106" s="185" cm="1">
        <f t="array" ref="BO106">_xll.DCEBoltDisRS(AN106, AE106, BA106, BB106, BC106, BD106, "h1")</f>
        <v>1240</v>
      </c>
      <c r="BP106" s="185" cm="1">
        <f t="array" ref="BP106">_xll.DCEBoltDisRS(AN106, AE106, BA106, BB106, BC106, BD106, "Tong")</f>
        <v>3721800</v>
      </c>
      <c r="BQ106" s="185">
        <f t="shared" si="50"/>
        <v>365.1603844915457</v>
      </c>
      <c r="BR106" s="186">
        <f t="shared" si="51"/>
        <v>2.5655969277757102</v>
      </c>
      <c r="BS106" s="185" t="str">
        <f t="shared" si="52"/>
        <v>O/S</v>
      </c>
      <c r="BT106" s="186">
        <f t="shared" si="53"/>
        <v>2.6102213271807058</v>
      </c>
      <c r="BU106" s="185" t="str">
        <f t="shared" si="54"/>
        <v>O/S</v>
      </c>
      <c r="BV106" s="190">
        <f t="shared" si="55"/>
        <v>1960.8411334310233</v>
      </c>
      <c r="BW106" s="191">
        <f t="shared" si="56"/>
        <v>44.118925502198024</v>
      </c>
      <c r="BX106" s="190">
        <f t="shared" si="57"/>
        <v>980.42056671551165</v>
      </c>
      <c r="BY106" s="167">
        <f t="shared" si="58"/>
        <v>311.42770942728021</v>
      </c>
      <c r="BZ106" s="192">
        <f t="shared" si="59"/>
        <v>1.5138846986048344</v>
      </c>
      <c r="CA106" s="191">
        <f t="shared" si="60"/>
        <v>28.835899021044458</v>
      </c>
      <c r="CB106" s="193">
        <f t="shared" si="61"/>
        <v>0.24168018815530559</v>
      </c>
      <c r="CC106" s="167">
        <f t="shared" si="62"/>
        <v>315.40726912387117</v>
      </c>
      <c r="CD106" s="191">
        <f t="shared" si="63"/>
        <v>1.3332432873593592</v>
      </c>
      <c r="CE106" s="189">
        <f t="shared" si="64"/>
        <v>1.5138846986048344</v>
      </c>
      <c r="CF106" s="194" t="str">
        <f t="shared" si="65"/>
        <v>O/S</v>
      </c>
      <c r="DA106" s="140"/>
      <c r="DB106" s="140"/>
      <c r="DC106" s="140"/>
      <c r="DD106" s="141"/>
      <c r="DE106" s="151"/>
      <c r="DF106" s="152"/>
      <c r="DG106" s="152"/>
      <c r="DH106" s="152"/>
      <c r="DI106" s="152"/>
      <c r="DJ106" s="152"/>
      <c r="DK106" s="161"/>
      <c r="DL106" s="162"/>
      <c r="DM106" s="162"/>
      <c r="DN106" s="162"/>
      <c r="DO106" s="162"/>
      <c r="DP106" s="162"/>
      <c r="DQ106" s="140"/>
      <c r="DR106" s="151"/>
      <c r="DS106" s="151"/>
      <c r="DT106" s="151"/>
      <c r="DU106" s="151"/>
      <c r="DV106" s="151"/>
      <c r="DW106" s="151"/>
      <c r="DX106" s="151"/>
      <c r="DY106" s="151"/>
      <c r="DZ106" s="151"/>
      <c r="EA106" s="161"/>
      <c r="EB106" s="161"/>
      <c r="EC106" s="161"/>
      <c r="ED106" s="161"/>
      <c r="EE106" s="161"/>
      <c r="EF106" s="161"/>
      <c r="EG106" s="161"/>
      <c r="EH106" s="161"/>
      <c r="EI106" s="161"/>
      <c r="EJ106" s="161"/>
      <c r="EK106" s="209"/>
      <c r="EL106" s="161"/>
      <c r="EM106" s="187"/>
      <c r="EN106" s="187"/>
      <c r="EO106" s="206"/>
      <c r="EP106" s="212"/>
      <c r="EQ106" s="208"/>
      <c r="ER106" s="187"/>
      <c r="ES106" s="187"/>
      <c r="ET106" s="187"/>
      <c r="EU106" s="187"/>
      <c r="EV106" s="210"/>
      <c r="EW106" s="209"/>
      <c r="EX106" s="210"/>
      <c r="EY106" s="162"/>
      <c r="EZ106" s="211"/>
      <c r="FA106" s="209"/>
      <c r="FB106" s="207"/>
      <c r="FC106" s="162"/>
      <c r="FD106" s="209"/>
      <c r="FE106" s="187"/>
      <c r="FF106" s="187"/>
    </row>
    <row r="107" spans="8:162">
      <c r="AA107" s="140" t="s">
        <v>210</v>
      </c>
      <c r="AB107" s="140" t="s">
        <v>238</v>
      </c>
      <c r="AC107" s="140">
        <v>46</v>
      </c>
      <c r="AD107" s="141">
        <v>0</v>
      </c>
      <c r="AE107" s="151">
        <v>750</v>
      </c>
      <c r="AF107" s="152">
        <v>350</v>
      </c>
      <c r="AG107" s="152">
        <v>14</v>
      </c>
      <c r="AH107" s="152">
        <v>18.000000000000004</v>
      </c>
      <c r="AI107" s="152">
        <v>714</v>
      </c>
      <c r="AJ107" s="153" t="str" cm="1">
        <f t="array" ref="AJ107">_xll.Dce_Name_SectI(AE107, AE107, AF107, AG107, AH107, "x", "-", "H Tổng")</f>
        <v>750x350x14x18</v>
      </c>
      <c r="AK107" s="161">
        <f t="shared" si="36"/>
        <v>1010</v>
      </c>
      <c r="AL107" s="162" cm="1">
        <f t="array" ref="AL107">IFERROR(INDEX($B$25:$B$32,IFERROR(MATCH(AF107,$B$25:$B$32,0),MATCH(AF107,$B$25:$B$32,1)+1)),$B$25)</f>
        <v>350</v>
      </c>
      <c r="AM107" s="162" cm="1">
        <f t="array" ref="AM107">IFERROR(VLOOKUP(AE107,$B$36:$E$47,4,FALSE),INDEX($E$36:$E$47,MATCH(AE107,$B$36:$B$47,1)+1))</f>
        <v>25</v>
      </c>
      <c r="AN107" s="162" cm="1">
        <f t="array" ref="AN107">IFERROR(VLOOKUP(AE107,$B$36:$E$47,2,FALSE),INDEX($C$36:$C$47,MATCH(AE107,$B$36:$B$47,1)+1))</f>
        <v>12</v>
      </c>
      <c r="AO107" s="162" cm="1">
        <f t="array" ref="AO107">IFERROR(VLOOKUP(AE107,$B$36:$E$47,3,FALSE),INDEX($D$36:$D$47,MATCH(AE107,$B$36:$B$47,1)+1))</f>
        <v>24</v>
      </c>
      <c r="AP107" s="163" t="str">
        <f t="shared" si="37"/>
        <v>1010x350x25 + 12M24</v>
      </c>
      <c r="AQ107" s="140" t="s">
        <v>257</v>
      </c>
      <c r="AR107" s="151">
        <v>0</v>
      </c>
      <c r="AS107" s="151">
        <v>528.36145350588231</v>
      </c>
      <c r="AT107" s="151">
        <v>-5.7116267271339876E-14</v>
      </c>
      <c r="AU107" s="151">
        <v>-4.682637856087018E-3</v>
      </c>
      <c r="AV107" s="151">
        <v>6.0838647186756123E-14</v>
      </c>
      <c r="AW107" s="151">
        <v>-495.83319953931681</v>
      </c>
      <c r="BA107" s="161">
        <f t="shared" si="38"/>
        <v>60</v>
      </c>
      <c r="BB107" s="161">
        <f t="shared" si="39"/>
        <v>70</v>
      </c>
      <c r="BC107" s="161">
        <f t="shared" si="40"/>
        <v>80</v>
      </c>
      <c r="BD107" s="161">
        <f t="shared" si="41"/>
        <v>150</v>
      </c>
      <c r="BE107" s="161">
        <f>HLOOKUP(AO107,Data!$H$31:$Q$35,3,FALSE)</f>
        <v>452.38934211693021</v>
      </c>
      <c r="BF107" s="161">
        <f>HLOOKUP(AO107,Data!$H$31:$Q$35,4,FALSE)</f>
        <v>353</v>
      </c>
      <c r="BG107" s="179">
        <f t="shared" si="42"/>
        <v>180</v>
      </c>
      <c r="BH107" s="185">
        <f t="shared" si="43"/>
        <v>121.65654188208487</v>
      </c>
      <c r="BI107" s="185">
        <f t="shared" si="44"/>
        <v>243</v>
      </c>
      <c r="BJ107" s="185">
        <f t="shared" si="45"/>
        <v>142.3296</v>
      </c>
      <c r="BK107" s="185">
        <f t="shared" si="46"/>
        <v>43.81160800931324</v>
      </c>
      <c r="BL107" s="186">
        <f t="shared" si="47"/>
        <v>0.89458333333333329</v>
      </c>
      <c r="BM107" s="186">
        <f t="shared" si="48"/>
        <v>0.40256213544031483</v>
      </c>
      <c r="BN107" s="185" t="str">
        <f t="shared" si="49"/>
        <v>OK</v>
      </c>
      <c r="BO107" s="185" cm="1">
        <f t="array" ref="BO107">_xll.DCEBoltDisRS(AN107, AE107, BA107, BB107, BC107, BD107, "h1")</f>
        <v>890</v>
      </c>
      <c r="BP107" s="185" cm="1">
        <f t="array" ref="BP107">_xll.DCEBoltDisRS(AN107, AE107, BA107, BB107, BC107, BD107, "Tong")</f>
        <v>1800300</v>
      </c>
      <c r="BQ107" s="185">
        <f t="shared" si="50"/>
        <v>126.94171948281546</v>
      </c>
      <c r="BR107" s="186">
        <f t="shared" si="51"/>
        <v>0.89188559149196978</v>
      </c>
      <c r="BS107" s="185" t="str">
        <f t="shared" si="52"/>
        <v>OK</v>
      </c>
      <c r="BT107" s="186">
        <f t="shared" si="53"/>
        <v>0.96184728281961618</v>
      </c>
      <c r="BU107" s="185" t="str">
        <f t="shared" si="54"/>
        <v>OK</v>
      </c>
      <c r="BV107" s="190">
        <f t="shared" si="55"/>
        <v>661.11093271908908</v>
      </c>
      <c r="BW107" s="191">
        <f t="shared" si="56"/>
        <v>14.874995986179504</v>
      </c>
      <c r="BX107" s="190">
        <f t="shared" si="57"/>
        <v>330.55546635954454</v>
      </c>
      <c r="BY107" s="167">
        <f t="shared" si="58"/>
        <v>141.38610046269628</v>
      </c>
      <c r="BZ107" s="192">
        <f t="shared" si="59"/>
        <v>0.68729354391588471</v>
      </c>
      <c r="CA107" s="191">
        <f t="shared" si="60"/>
        <v>13.091305598397804</v>
      </c>
      <c r="CB107" s="193">
        <f t="shared" si="61"/>
        <v>0.10972119155745287</v>
      </c>
      <c r="CC107" s="167">
        <f t="shared" si="62"/>
        <v>143.19279399068785</v>
      </c>
      <c r="CD107" s="191">
        <f t="shared" si="63"/>
        <v>0.60528354947754537</v>
      </c>
      <c r="CE107" s="189">
        <f t="shared" si="64"/>
        <v>0.68729354391588471</v>
      </c>
      <c r="CF107" s="194" t="str">
        <f t="shared" si="65"/>
        <v>OK</v>
      </c>
      <c r="DA107" s="140"/>
      <c r="DB107" s="140"/>
      <c r="DC107" s="140"/>
      <c r="DD107" s="141"/>
      <c r="DE107" s="151"/>
      <c r="DF107" s="152"/>
      <c r="DG107" s="152"/>
      <c r="DH107" s="152"/>
      <c r="DI107" s="152"/>
      <c r="DJ107" s="152"/>
      <c r="DK107" s="161"/>
      <c r="DL107" s="162"/>
      <c r="DM107" s="162"/>
      <c r="DN107" s="162"/>
      <c r="DO107" s="162"/>
      <c r="DP107" s="162"/>
      <c r="DQ107" s="140"/>
      <c r="DR107" s="151"/>
      <c r="DS107" s="151"/>
      <c r="DT107" s="151"/>
      <c r="DU107" s="151"/>
      <c r="DV107" s="151"/>
      <c r="DW107" s="151"/>
      <c r="DX107" s="151"/>
      <c r="DY107" s="151"/>
      <c r="DZ107" s="151"/>
      <c r="EA107" s="161"/>
      <c r="EB107" s="161"/>
      <c r="EC107" s="161"/>
      <c r="ED107" s="161"/>
      <c r="EE107" s="161"/>
      <c r="EF107" s="161"/>
      <c r="EG107" s="161"/>
      <c r="EH107" s="161"/>
      <c r="EI107" s="161"/>
      <c r="EJ107" s="161"/>
      <c r="EK107" s="209"/>
      <c r="EL107" s="161"/>
      <c r="EM107" s="187"/>
      <c r="EN107" s="187"/>
      <c r="EO107" s="206"/>
      <c r="EP107" s="212"/>
      <c r="EQ107" s="208"/>
      <c r="ER107" s="187"/>
      <c r="ES107" s="187"/>
      <c r="ET107" s="187"/>
      <c r="EU107" s="187"/>
      <c r="EV107" s="210"/>
      <c r="EW107" s="209"/>
      <c r="EX107" s="210"/>
      <c r="EY107" s="162"/>
      <c r="EZ107" s="211"/>
      <c r="FA107" s="209"/>
      <c r="FB107" s="207"/>
      <c r="FC107" s="162"/>
      <c r="FD107" s="209"/>
      <c r="FE107" s="187"/>
      <c r="FF107" s="187"/>
    </row>
    <row r="108" spans="8:162">
      <c r="AA108" s="140" t="s">
        <v>210</v>
      </c>
      <c r="AB108" s="140" t="s">
        <v>238</v>
      </c>
      <c r="AC108" s="140">
        <v>46</v>
      </c>
      <c r="AD108" s="141">
        <v>2.6850000000000001</v>
      </c>
      <c r="AE108" s="151">
        <v>1100</v>
      </c>
      <c r="AF108" s="152">
        <v>350</v>
      </c>
      <c r="AG108" s="152">
        <v>14</v>
      </c>
      <c r="AH108" s="152">
        <v>18.000000000000004</v>
      </c>
      <c r="AI108" s="152">
        <v>1064</v>
      </c>
      <c r="AJ108" s="153" t="str" cm="1">
        <f t="array" ref="AJ108">_xll.Dce_Name_SectI(AE108, AE108, AF108, AG108, AH108, "x", "-", "H Tổng")</f>
        <v>1100x350x14x18</v>
      </c>
      <c r="AK108" s="161">
        <f t="shared" si="36"/>
        <v>1360</v>
      </c>
      <c r="AL108" s="162" cm="1">
        <f t="array" ref="AL108">IFERROR(INDEX($B$25:$B$32,IFERROR(MATCH(AF108,$B$25:$B$32,0),MATCH(AF108,$B$25:$B$32,1)+1)),$B$25)</f>
        <v>350</v>
      </c>
      <c r="AM108" s="162" cm="1">
        <f t="array" ref="AM108">IFERROR(VLOOKUP(AE108,$B$36:$E$47,4,FALSE),INDEX($E$36:$E$47,MATCH(AE108,$B$36:$B$47,1)+1))</f>
        <v>25</v>
      </c>
      <c r="AN108" s="162" cm="1">
        <f t="array" ref="AN108">IFERROR(VLOOKUP(AE108,$B$36:$E$47,2,FALSE),INDEX($C$36:$C$47,MATCH(AE108,$B$36:$B$47,1)+1))</f>
        <v>12</v>
      </c>
      <c r="AO108" s="162" cm="1">
        <f t="array" ref="AO108">IFERROR(VLOOKUP(AE108,$B$36:$E$47,3,FALSE),INDEX($D$36:$D$47,MATCH(AE108,$B$36:$B$47,1)+1))</f>
        <v>24</v>
      </c>
      <c r="AP108" s="163" t="str">
        <f t="shared" si="37"/>
        <v>1360x350x25 + 12M24</v>
      </c>
      <c r="AQ108" s="140" t="s">
        <v>257</v>
      </c>
      <c r="AR108" s="151">
        <v>0</v>
      </c>
      <c r="AS108" s="151">
        <v>706.65985302518004</v>
      </c>
      <c r="AT108" s="151">
        <v>-1.1937117960769681E-14</v>
      </c>
      <c r="AU108" s="151">
        <v>-4.6819411154076264E-3</v>
      </c>
      <c r="AV108" s="151">
        <v>7.4472382038948108E-15</v>
      </c>
      <c r="AW108" s="151">
        <v>-2181.5409164379985</v>
      </c>
      <c r="BA108" s="161">
        <f t="shared" si="38"/>
        <v>60</v>
      </c>
      <c r="BB108" s="161">
        <f t="shared" si="39"/>
        <v>70</v>
      </c>
      <c r="BC108" s="161">
        <f t="shared" si="40"/>
        <v>80</v>
      </c>
      <c r="BD108" s="161">
        <f t="shared" si="41"/>
        <v>150</v>
      </c>
      <c r="BE108" s="161">
        <f>HLOOKUP(AO108,Data!$H$31:$Q$35,3,FALSE)</f>
        <v>452.38934211693021</v>
      </c>
      <c r="BF108" s="161">
        <f>HLOOKUP(AO108,Data!$H$31:$Q$35,4,FALSE)</f>
        <v>353</v>
      </c>
      <c r="BG108" s="179">
        <f t="shared" si="42"/>
        <v>180</v>
      </c>
      <c r="BH108" s="185">
        <f t="shared" si="43"/>
        <v>121.65654188208487</v>
      </c>
      <c r="BI108" s="185">
        <f t="shared" si="44"/>
        <v>243</v>
      </c>
      <c r="BJ108" s="185">
        <f t="shared" si="45"/>
        <v>142.3296</v>
      </c>
      <c r="BK108" s="185">
        <f t="shared" si="46"/>
        <v>58.59606954903159</v>
      </c>
      <c r="BL108" s="186">
        <f t="shared" si="47"/>
        <v>0.82166666666666666</v>
      </c>
      <c r="BM108" s="186">
        <f t="shared" si="48"/>
        <v>0.58618857485414977</v>
      </c>
      <c r="BN108" s="185" t="str">
        <f t="shared" si="49"/>
        <v>OK</v>
      </c>
      <c r="BO108" s="185" cm="1">
        <f t="array" ref="BO108">_xll.DCEBoltDisRS(AN108, AE108, BA108, BB108, BC108, BD108, "h1")</f>
        <v>1240</v>
      </c>
      <c r="BP108" s="185" cm="1">
        <f t="array" ref="BP108">_xll.DCEBoltDisRS(AN108, AE108, BA108, BB108, BC108, BD108, "Tong")</f>
        <v>3721800</v>
      </c>
      <c r="BQ108" s="185">
        <f t="shared" si="50"/>
        <v>369.27391406209836</v>
      </c>
      <c r="BR108" s="186">
        <f t="shared" si="51"/>
        <v>2.5944983619858299</v>
      </c>
      <c r="BS108" s="185" t="str">
        <f t="shared" si="52"/>
        <v>O/S</v>
      </c>
      <c r="BT108" s="186">
        <f t="shared" si="53"/>
        <v>2.6388273960256332</v>
      </c>
      <c r="BU108" s="185" t="str">
        <f t="shared" si="54"/>
        <v>O/S</v>
      </c>
      <c r="BV108" s="190">
        <f t="shared" si="55"/>
        <v>1983.2190149436349</v>
      </c>
      <c r="BW108" s="191">
        <f t="shared" si="56"/>
        <v>44.622427836231786</v>
      </c>
      <c r="BX108" s="190">
        <f t="shared" si="57"/>
        <v>991.60950747181744</v>
      </c>
      <c r="BY108" s="167">
        <f t="shared" si="58"/>
        <v>314.98184354987143</v>
      </c>
      <c r="BZ108" s="192">
        <f t="shared" si="59"/>
        <v>1.5311617394785417</v>
      </c>
      <c r="CA108" s="191">
        <f t="shared" si="60"/>
        <v>29.164985513876982</v>
      </c>
      <c r="CB108" s="193">
        <f t="shared" si="61"/>
        <v>0.2444383364429345</v>
      </c>
      <c r="CC108" s="167">
        <f t="shared" si="62"/>
        <v>319.00681952922207</v>
      </c>
      <c r="CD108" s="191">
        <f t="shared" si="63"/>
        <v>1.3484587782032336</v>
      </c>
      <c r="CE108" s="189">
        <f t="shared" si="64"/>
        <v>1.5311617394785417</v>
      </c>
      <c r="CF108" s="194" t="str">
        <f t="shared" si="65"/>
        <v>O/S</v>
      </c>
      <c r="DA108" s="140"/>
      <c r="DB108" s="140"/>
      <c r="DC108" s="140"/>
      <c r="DD108" s="141"/>
      <c r="DE108" s="151"/>
      <c r="DF108" s="152"/>
      <c r="DG108" s="152"/>
      <c r="DH108" s="152"/>
      <c r="DI108" s="152"/>
      <c r="DJ108" s="152"/>
      <c r="DK108" s="161"/>
      <c r="DL108" s="162"/>
      <c r="DM108" s="162"/>
      <c r="DN108" s="162"/>
      <c r="DO108" s="162"/>
      <c r="DP108" s="162"/>
      <c r="DQ108" s="140"/>
      <c r="DR108" s="151"/>
      <c r="DS108" s="151"/>
      <c r="DT108" s="151"/>
      <c r="DU108" s="151"/>
      <c r="DV108" s="151"/>
      <c r="DW108" s="151"/>
      <c r="DX108" s="151"/>
      <c r="DY108" s="151"/>
      <c r="DZ108" s="151"/>
      <c r="EA108" s="161"/>
      <c r="EB108" s="161"/>
      <c r="EC108" s="161"/>
      <c r="ED108" s="161"/>
      <c r="EE108" s="161"/>
      <c r="EF108" s="161"/>
      <c r="EG108" s="161"/>
      <c r="EH108" s="161"/>
      <c r="EI108" s="161"/>
      <c r="EJ108" s="161"/>
      <c r="EK108" s="209"/>
      <c r="EL108" s="161"/>
      <c r="EM108" s="187"/>
      <c r="EN108" s="187"/>
      <c r="EO108" s="206"/>
      <c r="EP108" s="212"/>
      <c r="EQ108" s="208"/>
      <c r="ER108" s="187"/>
      <c r="ES108" s="187"/>
      <c r="ET108" s="187"/>
      <c r="EU108" s="187"/>
      <c r="EV108" s="210"/>
      <c r="EW108" s="209"/>
      <c r="EX108" s="210"/>
      <c r="EY108" s="162"/>
      <c r="EZ108" s="211"/>
      <c r="FA108" s="209"/>
      <c r="FB108" s="207"/>
      <c r="FC108" s="162"/>
      <c r="FD108" s="209"/>
      <c r="FE108" s="187"/>
      <c r="FF108" s="187"/>
    </row>
    <row r="109" spans="8:162">
      <c r="AA109" s="140" t="s">
        <v>210</v>
      </c>
      <c r="AB109" s="140" t="s">
        <v>238</v>
      </c>
      <c r="AC109" s="140">
        <v>46</v>
      </c>
      <c r="AD109" s="141">
        <v>0</v>
      </c>
      <c r="AE109" s="151">
        <v>750</v>
      </c>
      <c r="AF109" s="152">
        <v>350</v>
      </c>
      <c r="AG109" s="152">
        <v>14</v>
      </c>
      <c r="AH109" s="152">
        <v>18.000000000000004</v>
      </c>
      <c r="AI109" s="152">
        <v>714</v>
      </c>
      <c r="AJ109" s="153" t="str" cm="1">
        <f t="array" ref="AJ109">_xll.Dce_Name_SectI(AE109, AE109, AF109, AG109, AH109, "x", "-", "H Tổng")</f>
        <v>750x350x14x18</v>
      </c>
      <c r="AK109" s="161">
        <f t="shared" si="36"/>
        <v>1010</v>
      </c>
      <c r="AL109" s="162" cm="1">
        <f t="array" ref="AL109">IFERROR(INDEX($B$25:$B$32,IFERROR(MATCH(AF109,$B$25:$B$32,0),MATCH(AF109,$B$25:$B$32,1)+1)),$B$25)</f>
        <v>350</v>
      </c>
      <c r="AM109" s="162" cm="1">
        <f t="array" ref="AM109">IFERROR(VLOOKUP(AE109,$B$36:$E$47,4,FALSE),INDEX($E$36:$E$47,MATCH(AE109,$B$36:$B$47,1)+1))</f>
        <v>25</v>
      </c>
      <c r="AN109" s="162" cm="1">
        <f t="array" ref="AN109">IFERROR(VLOOKUP(AE109,$B$36:$E$47,2,FALSE),INDEX($C$36:$C$47,MATCH(AE109,$B$36:$B$47,1)+1))</f>
        <v>12</v>
      </c>
      <c r="AO109" s="162" cm="1">
        <f t="array" ref="AO109">IFERROR(VLOOKUP(AE109,$B$36:$E$47,3,FALSE),INDEX($D$36:$D$47,MATCH(AE109,$B$36:$B$47,1)+1))</f>
        <v>24</v>
      </c>
      <c r="AP109" s="163" t="str">
        <f t="shared" si="37"/>
        <v>1010x350x25 + 12M24</v>
      </c>
      <c r="AQ109" s="140" t="s">
        <v>258</v>
      </c>
      <c r="AR109" s="151">
        <v>0</v>
      </c>
      <c r="AS109" s="151">
        <v>529.62712076278433</v>
      </c>
      <c r="AT109" s="151">
        <v>-6.6211214289069166E-14</v>
      </c>
      <c r="AU109" s="151">
        <v>-4.7332862615153811E-3</v>
      </c>
      <c r="AV109" s="151">
        <v>5.7113356888294207E-14</v>
      </c>
      <c r="AW109" s="151">
        <v>-497.32576434071331</v>
      </c>
      <c r="BA109" s="161">
        <f t="shared" si="38"/>
        <v>60</v>
      </c>
      <c r="BB109" s="161">
        <f t="shared" si="39"/>
        <v>70</v>
      </c>
      <c r="BC109" s="161">
        <f t="shared" si="40"/>
        <v>80</v>
      </c>
      <c r="BD109" s="161">
        <f t="shared" si="41"/>
        <v>150</v>
      </c>
      <c r="BE109" s="161">
        <f>HLOOKUP(AO109,Data!$H$31:$Q$35,3,FALSE)</f>
        <v>452.38934211693021</v>
      </c>
      <c r="BF109" s="161">
        <f>HLOOKUP(AO109,Data!$H$31:$Q$35,4,FALSE)</f>
        <v>353</v>
      </c>
      <c r="BG109" s="179">
        <f t="shared" si="42"/>
        <v>180</v>
      </c>
      <c r="BH109" s="185">
        <f t="shared" si="43"/>
        <v>121.65654188208487</v>
      </c>
      <c r="BI109" s="185">
        <f t="shared" si="44"/>
        <v>243</v>
      </c>
      <c r="BJ109" s="185">
        <f t="shared" si="45"/>
        <v>142.3296</v>
      </c>
      <c r="BK109" s="185">
        <f t="shared" si="46"/>
        <v>43.916556841900622</v>
      </c>
      <c r="BL109" s="186">
        <f t="shared" si="47"/>
        <v>0.89458333333333329</v>
      </c>
      <c r="BM109" s="186">
        <f t="shared" si="48"/>
        <v>0.40352645581288282</v>
      </c>
      <c r="BN109" s="185" t="str">
        <f t="shared" si="49"/>
        <v>OK</v>
      </c>
      <c r="BO109" s="185" cm="1">
        <f t="array" ref="BO109">_xll.DCEBoltDisRS(AN109, AE109, BA109, BB109, BC109, BD109, "h1")</f>
        <v>890</v>
      </c>
      <c r="BP109" s="185" cm="1">
        <f t="array" ref="BP109">_xll.DCEBoltDisRS(AN109, AE109, BA109, BB109, BC109, BD109, "Tong")</f>
        <v>1800300</v>
      </c>
      <c r="BQ109" s="185">
        <f t="shared" si="50"/>
        <v>127.32114806413642</v>
      </c>
      <c r="BR109" s="186">
        <f t="shared" si="51"/>
        <v>0.89455143599178544</v>
      </c>
      <c r="BS109" s="185" t="str">
        <f t="shared" si="52"/>
        <v>OK</v>
      </c>
      <c r="BT109" s="186">
        <f t="shared" si="53"/>
        <v>0.9646422331885004</v>
      </c>
      <c r="BU109" s="185" t="str">
        <f t="shared" si="54"/>
        <v>OK</v>
      </c>
      <c r="BV109" s="190">
        <f t="shared" si="55"/>
        <v>663.10101912095104</v>
      </c>
      <c r="BW109" s="191">
        <f t="shared" si="56"/>
        <v>14.919772930221399</v>
      </c>
      <c r="BX109" s="190">
        <f t="shared" si="57"/>
        <v>331.55050956047552</v>
      </c>
      <c r="BY109" s="167">
        <f t="shared" si="58"/>
        <v>141.81170309913409</v>
      </c>
      <c r="BZ109" s="192">
        <f t="shared" si="59"/>
        <v>0.68936244562079074</v>
      </c>
      <c r="CA109" s="191">
        <f t="shared" si="60"/>
        <v>13.130713249919824</v>
      </c>
      <c r="CB109" s="193">
        <f t="shared" si="61"/>
        <v>0.11005147599310199</v>
      </c>
      <c r="CC109" s="167">
        <f t="shared" si="62"/>
        <v>143.62383516405561</v>
      </c>
      <c r="CD109" s="191">
        <f t="shared" si="63"/>
        <v>0.60710558342294052</v>
      </c>
      <c r="CE109" s="189">
        <f t="shared" si="64"/>
        <v>0.68936244562079074</v>
      </c>
      <c r="CF109" s="194" t="str">
        <f t="shared" si="65"/>
        <v>OK</v>
      </c>
      <c r="DA109" s="140"/>
      <c r="DB109" s="140"/>
      <c r="DC109" s="140"/>
      <c r="DD109" s="141"/>
      <c r="DE109" s="151"/>
      <c r="DF109" s="152"/>
      <c r="DG109" s="152"/>
      <c r="DH109" s="152"/>
      <c r="DI109" s="152"/>
      <c r="DJ109" s="152"/>
      <c r="DK109" s="161"/>
      <c r="DL109" s="162"/>
      <c r="DM109" s="162"/>
      <c r="DN109" s="162"/>
      <c r="DO109" s="162"/>
      <c r="DP109" s="162"/>
      <c r="DQ109" s="140"/>
      <c r="DR109" s="151"/>
      <c r="DS109" s="151"/>
      <c r="DT109" s="151"/>
      <c r="DU109" s="151"/>
      <c r="DV109" s="151"/>
      <c r="DW109" s="151"/>
      <c r="DX109" s="151"/>
      <c r="DY109" s="151"/>
      <c r="DZ109" s="151"/>
      <c r="EA109" s="161"/>
      <c r="EB109" s="161"/>
      <c r="EC109" s="161"/>
      <c r="ED109" s="161"/>
      <c r="EE109" s="161"/>
      <c r="EF109" s="161"/>
      <c r="EG109" s="161"/>
      <c r="EH109" s="161"/>
      <c r="EI109" s="161"/>
      <c r="EJ109" s="161"/>
      <c r="EK109" s="209"/>
      <c r="EL109" s="161"/>
      <c r="EM109" s="187"/>
      <c r="EN109" s="187"/>
      <c r="EO109" s="206"/>
      <c r="EP109" s="212"/>
      <c r="EQ109" s="208"/>
      <c r="ER109" s="187"/>
      <c r="ES109" s="187"/>
      <c r="ET109" s="187"/>
      <c r="EU109" s="187"/>
      <c r="EV109" s="210"/>
      <c r="EW109" s="209"/>
      <c r="EX109" s="210"/>
      <c r="EY109" s="162"/>
      <c r="EZ109" s="211"/>
      <c r="FA109" s="209"/>
      <c r="FB109" s="207"/>
      <c r="FC109" s="162"/>
      <c r="FD109" s="209"/>
      <c r="FE109" s="187"/>
      <c r="FF109" s="187"/>
    </row>
    <row r="110" spans="8:162">
      <c r="AA110" s="140" t="s">
        <v>210</v>
      </c>
      <c r="AB110" s="140" t="s">
        <v>238</v>
      </c>
      <c r="AC110" s="140">
        <v>46</v>
      </c>
      <c r="AD110" s="141">
        <v>2.6850000000000001</v>
      </c>
      <c r="AE110" s="151">
        <v>1100</v>
      </c>
      <c r="AF110" s="152">
        <v>350</v>
      </c>
      <c r="AG110" s="152">
        <v>14</v>
      </c>
      <c r="AH110" s="152">
        <v>18.000000000000004</v>
      </c>
      <c r="AI110" s="152">
        <v>1064</v>
      </c>
      <c r="AJ110" s="153" t="str" cm="1">
        <f t="array" ref="AJ110">_xll.Dce_Name_SectI(AE110, AE110, AF110, AG110, AH110, "x", "-", "H Tổng")</f>
        <v>1100x350x14x18</v>
      </c>
      <c r="AK110" s="161">
        <f t="shared" si="36"/>
        <v>1360</v>
      </c>
      <c r="AL110" s="162" cm="1">
        <f t="array" ref="AL110">IFERROR(INDEX($B$25:$B$32,IFERROR(MATCH(AF110,$B$25:$B$32,0),MATCH(AF110,$B$25:$B$32,1)+1)),$B$25)</f>
        <v>350</v>
      </c>
      <c r="AM110" s="162" cm="1">
        <f t="array" ref="AM110">IFERROR(VLOOKUP(AE110,$B$36:$E$47,4,FALSE),INDEX($E$36:$E$47,MATCH(AE110,$B$36:$B$47,1)+1))</f>
        <v>25</v>
      </c>
      <c r="AN110" s="162" cm="1">
        <f t="array" ref="AN110">IFERROR(VLOOKUP(AE110,$B$36:$E$47,2,FALSE),INDEX($C$36:$C$47,MATCH(AE110,$B$36:$B$47,1)+1))</f>
        <v>12</v>
      </c>
      <c r="AO110" s="162" cm="1">
        <f t="array" ref="AO110">IFERROR(VLOOKUP(AE110,$B$36:$E$47,3,FALSE),INDEX($D$36:$D$47,MATCH(AE110,$B$36:$B$47,1)+1))</f>
        <v>24</v>
      </c>
      <c r="AP110" s="163" t="str">
        <f t="shared" si="37"/>
        <v>1360x350x25 + 12M24</v>
      </c>
      <c r="AQ110" s="140" t="s">
        <v>258</v>
      </c>
      <c r="AR110" s="151">
        <v>0</v>
      </c>
      <c r="AS110" s="151">
        <v>707.92552058594947</v>
      </c>
      <c r="AT110" s="151">
        <v>-1.2846612662542609E-14</v>
      </c>
      <c r="AU110" s="151">
        <v>-4.7325820507165915E-3</v>
      </c>
      <c r="AV110" s="151">
        <v>8.8160277300630673E-15</v>
      </c>
      <c r="AW110" s="151">
        <v>-2186.4317793592027</v>
      </c>
      <c r="BA110" s="161">
        <f t="shared" si="38"/>
        <v>60</v>
      </c>
      <c r="BB110" s="161">
        <f t="shared" si="39"/>
        <v>70</v>
      </c>
      <c r="BC110" s="161">
        <f t="shared" si="40"/>
        <v>80</v>
      </c>
      <c r="BD110" s="161">
        <f t="shared" si="41"/>
        <v>150</v>
      </c>
      <c r="BE110" s="161">
        <f>HLOOKUP(AO110,Data!$H$31:$Q$35,3,FALSE)</f>
        <v>452.38934211693021</v>
      </c>
      <c r="BF110" s="161">
        <f>HLOOKUP(AO110,Data!$H$31:$Q$35,4,FALSE)</f>
        <v>353</v>
      </c>
      <c r="BG110" s="179">
        <f t="shared" si="42"/>
        <v>180</v>
      </c>
      <c r="BH110" s="185">
        <f t="shared" si="43"/>
        <v>121.65654188208487</v>
      </c>
      <c r="BI110" s="185">
        <f t="shared" si="44"/>
        <v>243</v>
      </c>
      <c r="BJ110" s="185">
        <f t="shared" si="45"/>
        <v>142.3296</v>
      </c>
      <c r="BK110" s="185">
        <f t="shared" si="46"/>
        <v>58.701018406815585</v>
      </c>
      <c r="BL110" s="186">
        <f t="shared" si="47"/>
        <v>0.82166666666666666</v>
      </c>
      <c r="BM110" s="186">
        <f t="shared" si="48"/>
        <v>0.58723847157675324</v>
      </c>
      <c r="BN110" s="185" t="str">
        <f t="shared" si="49"/>
        <v>OK</v>
      </c>
      <c r="BO110" s="185" cm="1">
        <f t="array" ref="BO110">_xll.DCEBoltDisRS(AN110, AE110, BA110, BB110, BC110, BD110, "h1")</f>
        <v>1240</v>
      </c>
      <c r="BP110" s="185" cm="1">
        <f t="array" ref="BP110">_xll.DCEBoltDisRS(AN110, AE110, BA110, BB110, BC110, BD110, "Tong")</f>
        <v>3721800</v>
      </c>
      <c r="BQ110" s="185">
        <f t="shared" si="50"/>
        <v>370.09915853440663</v>
      </c>
      <c r="BR110" s="186">
        <f t="shared" si="51"/>
        <v>2.6002964845991743</v>
      </c>
      <c r="BS110" s="185" t="str">
        <f t="shared" si="52"/>
        <v>O/S</v>
      </c>
      <c r="BT110" s="186">
        <f t="shared" si="53"/>
        <v>2.6446855835410394</v>
      </c>
      <c r="BU110" s="185" t="str">
        <f t="shared" si="54"/>
        <v>O/S</v>
      </c>
      <c r="BV110" s="190">
        <f t="shared" si="55"/>
        <v>1987.6652539629113</v>
      </c>
      <c r="BW110" s="191">
        <f t="shared" si="56"/>
        <v>44.722468214165502</v>
      </c>
      <c r="BX110" s="190">
        <f t="shared" si="57"/>
        <v>993.83262698145563</v>
      </c>
      <c r="BY110" s="167">
        <f t="shared" si="58"/>
        <v>315.68801092352118</v>
      </c>
      <c r="BZ110" s="192">
        <f t="shared" si="59"/>
        <v>1.5345944975448949</v>
      </c>
      <c r="CA110" s="191">
        <f t="shared" si="60"/>
        <v>29.230371381807519</v>
      </c>
      <c r="CB110" s="193">
        <f t="shared" si="61"/>
        <v>0.24498635018277376</v>
      </c>
      <c r="CC110" s="167">
        <f t="shared" si="62"/>
        <v>319.7220106189194</v>
      </c>
      <c r="CD110" s="191">
        <f t="shared" si="63"/>
        <v>1.3514819289447078</v>
      </c>
      <c r="CE110" s="189">
        <f t="shared" si="64"/>
        <v>1.5345944975448949</v>
      </c>
      <c r="CF110" s="194" t="str">
        <f t="shared" si="65"/>
        <v>O/S</v>
      </c>
      <c r="DA110" s="140"/>
      <c r="DB110" s="140"/>
      <c r="DC110" s="140"/>
      <c r="DD110" s="141"/>
      <c r="DE110" s="151"/>
      <c r="DF110" s="152"/>
      <c r="DG110" s="152"/>
      <c r="DH110" s="152"/>
      <c r="DI110" s="152"/>
      <c r="DJ110" s="152"/>
      <c r="DK110" s="161"/>
      <c r="DL110" s="162"/>
      <c r="DM110" s="162"/>
      <c r="DN110" s="162"/>
      <c r="DO110" s="162"/>
      <c r="DP110" s="162"/>
      <c r="DQ110" s="140"/>
      <c r="DR110" s="151"/>
      <c r="DS110" s="151"/>
      <c r="DT110" s="151"/>
      <c r="DU110" s="151"/>
      <c r="DV110" s="151"/>
      <c r="DW110" s="151"/>
      <c r="DX110" s="151"/>
      <c r="DY110" s="151"/>
      <c r="DZ110" s="151"/>
      <c r="EA110" s="161"/>
      <c r="EB110" s="161"/>
      <c r="EC110" s="161"/>
      <c r="ED110" s="161"/>
      <c r="EE110" s="161"/>
      <c r="EF110" s="161"/>
      <c r="EG110" s="161"/>
      <c r="EH110" s="161"/>
      <c r="EI110" s="161"/>
      <c r="EJ110" s="161"/>
      <c r="EK110" s="209"/>
      <c r="EL110" s="161"/>
      <c r="EM110" s="187"/>
      <c r="EN110" s="187"/>
      <c r="EO110" s="206"/>
      <c r="EP110" s="212"/>
      <c r="EQ110" s="208"/>
      <c r="ER110" s="187"/>
      <c r="ES110" s="187"/>
      <c r="ET110" s="187"/>
      <c r="EU110" s="187"/>
      <c r="EV110" s="210"/>
      <c r="EW110" s="209"/>
      <c r="EX110" s="210"/>
      <c r="EY110" s="162"/>
      <c r="EZ110" s="211"/>
      <c r="FA110" s="209"/>
      <c r="FB110" s="207"/>
      <c r="FC110" s="162"/>
      <c r="FD110" s="209"/>
      <c r="FE110" s="187"/>
      <c r="FF110" s="187"/>
    </row>
    <row r="111" spans="8:162">
      <c r="AA111" s="140" t="s">
        <v>210</v>
      </c>
      <c r="AB111" s="140" t="s">
        <v>238</v>
      </c>
      <c r="AC111" s="140">
        <v>46</v>
      </c>
      <c r="AD111" s="141">
        <v>0</v>
      </c>
      <c r="AE111" s="151">
        <v>750</v>
      </c>
      <c r="AF111" s="152">
        <v>350</v>
      </c>
      <c r="AG111" s="152">
        <v>14</v>
      </c>
      <c r="AH111" s="152">
        <v>18.000000000000004</v>
      </c>
      <c r="AI111" s="152">
        <v>714</v>
      </c>
      <c r="AJ111" s="153" t="str" cm="1">
        <f t="array" ref="AJ111">_xll.Dce_Name_SectI(AE111, AE111, AF111, AG111, AH111, "x", "-", "H Tổng")</f>
        <v>750x350x14x18</v>
      </c>
      <c r="AK111" s="161">
        <f t="shared" si="36"/>
        <v>1010</v>
      </c>
      <c r="AL111" s="162" cm="1">
        <f t="array" ref="AL111">IFERROR(INDEX($B$25:$B$32,IFERROR(MATCH(AF111,$B$25:$B$32,0),MATCH(AF111,$B$25:$B$32,1)+1)),$B$25)</f>
        <v>350</v>
      </c>
      <c r="AM111" s="162" cm="1">
        <f t="array" ref="AM111">IFERROR(VLOOKUP(AE111,$B$36:$E$47,4,FALSE),INDEX($E$36:$E$47,MATCH(AE111,$B$36:$B$47,1)+1))</f>
        <v>25</v>
      </c>
      <c r="AN111" s="162" cm="1">
        <f t="array" ref="AN111">IFERROR(VLOOKUP(AE111,$B$36:$E$47,2,FALSE),INDEX($C$36:$C$47,MATCH(AE111,$B$36:$B$47,1)+1))</f>
        <v>12</v>
      </c>
      <c r="AO111" s="162" cm="1">
        <f t="array" ref="AO111">IFERROR(VLOOKUP(AE111,$B$36:$E$47,3,FALSE),INDEX($D$36:$D$47,MATCH(AE111,$B$36:$B$47,1)+1))</f>
        <v>24</v>
      </c>
      <c r="AP111" s="163" t="str">
        <f t="shared" si="37"/>
        <v>1010x350x25 + 12M24</v>
      </c>
      <c r="AQ111" s="140" t="s">
        <v>259</v>
      </c>
      <c r="AR111" s="151">
        <v>0</v>
      </c>
      <c r="AS111" s="151">
        <v>518.96927356388733</v>
      </c>
      <c r="AT111" s="151">
        <v>-5.120455170981585E-14</v>
      </c>
      <c r="AU111" s="151">
        <v>-4.6391845062666451E-3</v>
      </c>
      <c r="AV111" s="151">
        <v>5.2689574658870684E-14</v>
      </c>
      <c r="AW111" s="151">
        <v>-430.28245740583674</v>
      </c>
      <c r="BA111" s="161">
        <f t="shared" si="38"/>
        <v>60</v>
      </c>
      <c r="BB111" s="161">
        <f t="shared" si="39"/>
        <v>70</v>
      </c>
      <c r="BC111" s="161">
        <f t="shared" si="40"/>
        <v>80</v>
      </c>
      <c r="BD111" s="161">
        <f t="shared" si="41"/>
        <v>150</v>
      </c>
      <c r="BE111" s="161">
        <f>HLOOKUP(AO111,Data!$H$31:$Q$35,3,FALSE)</f>
        <v>452.38934211693021</v>
      </c>
      <c r="BF111" s="161">
        <f>HLOOKUP(AO111,Data!$H$31:$Q$35,4,FALSE)</f>
        <v>353</v>
      </c>
      <c r="BG111" s="179">
        <f t="shared" si="42"/>
        <v>180</v>
      </c>
      <c r="BH111" s="185">
        <f t="shared" si="43"/>
        <v>121.65654188208487</v>
      </c>
      <c r="BI111" s="185">
        <f t="shared" si="44"/>
        <v>243</v>
      </c>
      <c r="BJ111" s="185">
        <f t="shared" si="45"/>
        <v>142.3296</v>
      </c>
      <c r="BK111" s="185">
        <f t="shared" si="46"/>
        <v>43.032810647694134</v>
      </c>
      <c r="BL111" s="186">
        <f t="shared" si="47"/>
        <v>0.89458333333333329</v>
      </c>
      <c r="BM111" s="186">
        <f t="shared" si="48"/>
        <v>0.39540617054393334</v>
      </c>
      <c r="BN111" s="185" t="str">
        <f t="shared" si="49"/>
        <v>OK</v>
      </c>
      <c r="BO111" s="185" cm="1">
        <f t="array" ref="BO111">_xll.DCEBoltDisRS(AN111, AE111, BA111, BB111, BC111, BD111, "h1")</f>
        <v>890</v>
      </c>
      <c r="BP111" s="185" cm="1">
        <f t="array" ref="BP111">_xll.DCEBoltDisRS(AN111, AE111, BA111, BB111, BC111, BD111, "Tong")</f>
        <v>1800300</v>
      </c>
      <c r="BQ111" s="185">
        <f t="shared" si="50"/>
        <v>110.66094009137461</v>
      </c>
      <c r="BR111" s="186">
        <f t="shared" si="51"/>
        <v>0.77749772423567987</v>
      </c>
      <c r="BS111" s="185" t="str">
        <f t="shared" si="52"/>
        <v>OK</v>
      </c>
      <c r="BT111" s="186">
        <f t="shared" si="53"/>
        <v>0.85417985032497468</v>
      </c>
      <c r="BU111" s="185" t="str">
        <f t="shared" si="54"/>
        <v>OK</v>
      </c>
      <c r="BV111" s="190">
        <f t="shared" si="55"/>
        <v>573.70994320778232</v>
      </c>
      <c r="BW111" s="191">
        <f t="shared" si="56"/>
        <v>12.908473722175101</v>
      </c>
      <c r="BX111" s="190">
        <f t="shared" si="57"/>
        <v>286.85497160389116</v>
      </c>
      <c r="BY111" s="167">
        <f t="shared" si="58"/>
        <v>122.69440369592175</v>
      </c>
      <c r="BZ111" s="192">
        <f t="shared" si="59"/>
        <v>0.59643112907739748</v>
      </c>
      <c r="CA111" s="191">
        <f t="shared" si="60"/>
        <v>11.36059293480757</v>
      </c>
      <c r="CB111" s="193">
        <f t="shared" si="61"/>
        <v>9.5215697490005982E-2</v>
      </c>
      <c r="CC111" s="167">
        <f t="shared" si="62"/>
        <v>124.26224653445234</v>
      </c>
      <c r="CD111" s="191">
        <f t="shared" si="63"/>
        <v>0.52526311940891701</v>
      </c>
      <c r="CE111" s="189">
        <f t="shared" si="64"/>
        <v>0.59643112907739748</v>
      </c>
      <c r="CF111" s="194" t="str">
        <f t="shared" si="65"/>
        <v>OK</v>
      </c>
      <c r="DA111" s="140"/>
      <c r="DB111" s="140"/>
      <c r="DC111" s="140"/>
      <c r="DD111" s="141"/>
      <c r="DE111" s="151"/>
      <c r="DF111" s="152"/>
      <c r="DG111" s="152"/>
      <c r="DH111" s="152"/>
      <c r="DI111" s="152"/>
      <c r="DJ111" s="152"/>
      <c r="DK111" s="161"/>
      <c r="DL111" s="162"/>
      <c r="DM111" s="162"/>
      <c r="DN111" s="162"/>
      <c r="DO111" s="162"/>
      <c r="DP111" s="162"/>
      <c r="DQ111" s="140"/>
      <c r="DR111" s="151"/>
      <c r="DS111" s="151"/>
      <c r="DT111" s="151"/>
      <c r="DU111" s="151"/>
      <c r="DV111" s="151"/>
      <c r="DW111" s="151"/>
      <c r="DX111" s="151"/>
      <c r="DY111" s="151"/>
      <c r="DZ111" s="151"/>
      <c r="EA111" s="161"/>
      <c r="EB111" s="161"/>
      <c r="EC111" s="161"/>
      <c r="ED111" s="161"/>
      <c r="EE111" s="161"/>
      <c r="EF111" s="161"/>
      <c r="EG111" s="161"/>
      <c r="EH111" s="161"/>
      <c r="EI111" s="161"/>
      <c r="EJ111" s="161"/>
      <c r="EK111" s="209"/>
      <c r="EL111" s="161"/>
      <c r="EM111" s="187"/>
      <c r="EN111" s="187"/>
      <c r="EO111" s="206"/>
      <c r="EP111" s="212"/>
      <c r="EQ111" s="208"/>
      <c r="ER111" s="187"/>
      <c r="ES111" s="187"/>
      <c r="ET111" s="187"/>
      <c r="EU111" s="187"/>
      <c r="EV111" s="210"/>
      <c r="EW111" s="209"/>
      <c r="EX111" s="210"/>
      <c r="EY111" s="162"/>
      <c r="EZ111" s="211"/>
      <c r="FA111" s="209"/>
      <c r="FB111" s="207"/>
      <c r="FC111" s="162"/>
      <c r="FD111" s="209"/>
      <c r="FE111" s="187"/>
      <c r="FF111" s="187"/>
    </row>
    <row r="112" spans="8:162">
      <c r="AA112" s="140" t="s">
        <v>210</v>
      </c>
      <c r="AB112" s="140" t="s">
        <v>238</v>
      </c>
      <c r="AC112" s="140">
        <v>46</v>
      </c>
      <c r="AD112" s="141">
        <v>2.6850000000000001</v>
      </c>
      <c r="AE112" s="151">
        <v>1100</v>
      </c>
      <c r="AF112" s="152">
        <v>350</v>
      </c>
      <c r="AG112" s="152">
        <v>14</v>
      </c>
      <c r="AH112" s="152">
        <v>18.000000000000004</v>
      </c>
      <c r="AI112" s="152">
        <v>1064</v>
      </c>
      <c r="AJ112" s="153" t="str" cm="1">
        <f t="array" ref="AJ112">_xll.Dce_Name_SectI(AE112, AE112, AF112, AG112, AH112, "x", "-", "H Tổng")</f>
        <v>1100x350x14x18</v>
      </c>
      <c r="AK112" s="161">
        <f t="shared" si="36"/>
        <v>1360</v>
      </c>
      <c r="AL112" s="162" cm="1">
        <f t="array" ref="AL112">IFERROR(INDEX($B$25:$B$32,IFERROR(MATCH(AF112,$B$25:$B$32,0),MATCH(AF112,$B$25:$B$32,1)+1)),$B$25)</f>
        <v>350</v>
      </c>
      <c r="AM112" s="162" cm="1">
        <f t="array" ref="AM112">IFERROR(VLOOKUP(AE112,$B$36:$E$47,4,FALSE),INDEX($E$36:$E$47,MATCH(AE112,$B$36:$B$47,1)+1))</f>
        <v>25</v>
      </c>
      <c r="AN112" s="162" cm="1">
        <f t="array" ref="AN112">IFERROR(VLOOKUP(AE112,$B$36:$E$47,2,FALSE),INDEX($C$36:$C$47,MATCH(AE112,$B$36:$B$47,1)+1))</f>
        <v>12</v>
      </c>
      <c r="AO112" s="162" cm="1">
        <f t="array" ref="AO112">IFERROR(VLOOKUP(AE112,$B$36:$E$47,3,FALSE),INDEX($D$36:$D$47,MATCH(AE112,$B$36:$B$47,1)+1))</f>
        <v>24</v>
      </c>
      <c r="AP112" s="163" t="str">
        <f t="shared" si="37"/>
        <v>1360x350x25 + 12M24</v>
      </c>
      <c r="AQ112" s="140" t="s">
        <v>259</v>
      </c>
      <c r="AR112" s="151">
        <v>0</v>
      </c>
      <c r="AS112" s="151">
        <v>697.26766994312868</v>
      </c>
      <c r="AT112" s="151">
        <v>-1.3301360013429073E-14</v>
      </c>
      <c r="AU112" s="151">
        <v>-4.6384938728498692E-3</v>
      </c>
      <c r="AV112" s="151">
        <v>9.0347612058394575E-15</v>
      </c>
      <c r="AW112" s="151">
        <v>-2090.7723703321872</v>
      </c>
      <c r="BA112" s="161">
        <f t="shared" si="38"/>
        <v>60</v>
      </c>
      <c r="BB112" s="161">
        <f t="shared" si="39"/>
        <v>70</v>
      </c>
      <c r="BC112" s="161">
        <f t="shared" si="40"/>
        <v>80</v>
      </c>
      <c r="BD112" s="161">
        <f t="shared" si="41"/>
        <v>150</v>
      </c>
      <c r="BE112" s="161">
        <f>HLOOKUP(AO112,Data!$H$31:$Q$35,3,FALSE)</f>
        <v>452.38934211693021</v>
      </c>
      <c r="BF112" s="161">
        <f>HLOOKUP(AO112,Data!$H$31:$Q$35,4,FALSE)</f>
        <v>353</v>
      </c>
      <c r="BG112" s="179">
        <f t="shared" si="42"/>
        <v>180</v>
      </c>
      <c r="BH112" s="185">
        <f t="shared" si="43"/>
        <v>121.65654188208487</v>
      </c>
      <c r="BI112" s="185">
        <f t="shared" si="44"/>
        <v>243</v>
      </c>
      <c r="BJ112" s="185">
        <f t="shared" si="45"/>
        <v>142.3296</v>
      </c>
      <c r="BK112" s="185">
        <f t="shared" si="46"/>
        <v>57.817271927039741</v>
      </c>
      <c r="BL112" s="186">
        <f t="shared" si="47"/>
        <v>0.82166666666666666</v>
      </c>
      <c r="BM112" s="186">
        <f t="shared" si="48"/>
        <v>0.57839756990025615</v>
      </c>
      <c r="BN112" s="185" t="str">
        <f t="shared" si="49"/>
        <v>OK</v>
      </c>
      <c r="BO112" s="185" cm="1">
        <f t="array" ref="BO112">_xll.DCEBoltDisRS(AN112, AE112, BA112, BB112, BC112, BD112, "h1")</f>
        <v>1240</v>
      </c>
      <c r="BP112" s="185" cm="1">
        <f t="array" ref="BP112">_xll.DCEBoltDisRS(AN112, AE112, BA112, BB112, BC112, BD112, "Tong")</f>
        <v>3721800</v>
      </c>
      <c r="BQ112" s="185">
        <f t="shared" si="50"/>
        <v>354.07525978606094</v>
      </c>
      <c r="BR112" s="186">
        <f t="shared" si="51"/>
        <v>2.4877134467184687</v>
      </c>
      <c r="BS112" s="185" t="str">
        <f t="shared" si="52"/>
        <v>O/S</v>
      </c>
      <c r="BT112" s="186">
        <f t="shared" si="53"/>
        <v>2.5327022641025452</v>
      </c>
      <c r="BU112" s="185" t="str">
        <f t="shared" si="54"/>
        <v>O/S</v>
      </c>
      <c r="BV112" s="190">
        <f t="shared" si="55"/>
        <v>1900.7021548474427</v>
      </c>
      <c r="BW112" s="191">
        <f t="shared" si="56"/>
        <v>42.76579848406746</v>
      </c>
      <c r="BX112" s="190">
        <f t="shared" si="57"/>
        <v>950.35107742372134</v>
      </c>
      <c r="BY112" s="167">
        <f t="shared" si="58"/>
        <v>301.87622459341736</v>
      </c>
      <c r="BZ112" s="192">
        <f t="shared" si="59"/>
        <v>1.4674538695513346</v>
      </c>
      <c r="CA112" s="191">
        <f t="shared" si="60"/>
        <v>27.951502277168274</v>
      </c>
      <c r="CB112" s="193">
        <f t="shared" si="61"/>
        <v>0.23426785912377626</v>
      </c>
      <c r="CC112" s="167">
        <f t="shared" si="62"/>
        <v>305.73373123263156</v>
      </c>
      <c r="CD112" s="191">
        <f t="shared" si="63"/>
        <v>1.2923527286403511</v>
      </c>
      <c r="CE112" s="189">
        <f t="shared" si="64"/>
        <v>1.4674538695513346</v>
      </c>
      <c r="CF112" s="194" t="str">
        <f t="shared" si="65"/>
        <v>O/S</v>
      </c>
      <c r="DA112" s="140"/>
      <c r="DB112" s="140"/>
      <c r="DC112" s="140"/>
      <c r="DD112" s="141"/>
      <c r="DE112" s="151"/>
      <c r="DF112" s="152"/>
      <c r="DG112" s="152"/>
      <c r="DH112" s="152"/>
      <c r="DI112" s="152"/>
      <c r="DJ112" s="152"/>
      <c r="DK112" s="161"/>
      <c r="DL112" s="162"/>
      <c r="DM112" s="162"/>
      <c r="DN112" s="162"/>
      <c r="DO112" s="162"/>
      <c r="DP112" s="162"/>
      <c r="DQ112" s="140"/>
      <c r="DR112" s="151"/>
      <c r="DS112" s="151"/>
      <c r="DT112" s="151"/>
      <c r="DU112" s="151"/>
      <c r="DV112" s="151"/>
      <c r="DW112" s="151"/>
      <c r="DX112" s="151"/>
      <c r="DY112" s="151"/>
      <c r="DZ112" s="151"/>
      <c r="EA112" s="161"/>
      <c r="EB112" s="161"/>
      <c r="EC112" s="161"/>
      <c r="ED112" s="161"/>
      <c r="EE112" s="161"/>
      <c r="EF112" s="161"/>
      <c r="EG112" s="161"/>
      <c r="EH112" s="161"/>
      <c r="EI112" s="161"/>
      <c r="EJ112" s="161"/>
      <c r="EK112" s="209"/>
      <c r="EL112" s="161"/>
      <c r="EM112" s="187"/>
      <c r="EN112" s="187"/>
      <c r="EO112" s="206"/>
      <c r="EP112" s="212"/>
      <c r="EQ112" s="208"/>
      <c r="ER112" s="187"/>
      <c r="ES112" s="187"/>
      <c r="ET112" s="187"/>
      <c r="EU112" s="187"/>
      <c r="EV112" s="210"/>
      <c r="EW112" s="209"/>
      <c r="EX112" s="210"/>
      <c r="EY112" s="162"/>
      <c r="EZ112" s="211"/>
      <c r="FA112" s="209"/>
      <c r="FB112" s="207"/>
      <c r="FC112" s="162"/>
      <c r="FD112" s="209"/>
      <c r="FE112" s="187"/>
      <c r="FF112" s="187"/>
    </row>
    <row r="113" spans="27:162">
      <c r="AA113" s="140" t="s">
        <v>210</v>
      </c>
      <c r="AB113" s="140" t="s">
        <v>238</v>
      </c>
      <c r="AC113" s="140">
        <v>46</v>
      </c>
      <c r="AD113" s="141">
        <v>0</v>
      </c>
      <c r="AE113" s="151">
        <v>750</v>
      </c>
      <c r="AF113" s="152">
        <v>350</v>
      </c>
      <c r="AG113" s="152">
        <v>14</v>
      </c>
      <c r="AH113" s="152">
        <v>18.000000000000004</v>
      </c>
      <c r="AI113" s="152">
        <v>714</v>
      </c>
      <c r="AJ113" s="153" t="str" cm="1">
        <f t="array" ref="AJ113">_xll.Dce_Name_SectI(AE113, AE113, AF113, AG113, AH113, "x", "-", "H Tổng")</f>
        <v>750x350x14x18</v>
      </c>
      <c r="AK113" s="161">
        <f t="shared" si="36"/>
        <v>1010</v>
      </c>
      <c r="AL113" s="162" cm="1">
        <f t="array" ref="AL113">IFERROR(INDEX($B$25:$B$32,IFERROR(MATCH(AF113,$B$25:$B$32,0),MATCH(AF113,$B$25:$B$32,1)+1)),$B$25)</f>
        <v>350</v>
      </c>
      <c r="AM113" s="162" cm="1">
        <f t="array" ref="AM113">IFERROR(VLOOKUP(AE113,$B$36:$E$47,4,FALSE),INDEX($E$36:$E$47,MATCH(AE113,$B$36:$B$47,1)+1))</f>
        <v>25</v>
      </c>
      <c r="AN113" s="162" cm="1">
        <f t="array" ref="AN113">IFERROR(VLOOKUP(AE113,$B$36:$E$47,2,FALSE),INDEX($C$36:$C$47,MATCH(AE113,$B$36:$B$47,1)+1))</f>
        <v>12</v>
      </c>
      <c r="AO113" s="162" cm="1">
        <f t="array" ref="AO113">IFERROR(VLOOKUP(AE113,$B$36:$E$47,3,FALSE),INDEX($D$36:$D$47,MATCH(AE113,$B$36:$B$47,1)+1))</f>
        <v>24</v>
      </c>
      <c r="AP113" s="163" t="str">
        <f t="shared" si="37"/>
        <v>1010x350x25 + 12M24</v>
      </c>
      <c r="AQ113" s="140" t="s">
        <v>260</v>
      </c>
      <c r="AR113" s="151">
        <v>0</v>
      </c>
      <c r="AS113" s="151">
        <v>520.2482595487744</v>
      </c>
      <c r="AT113" s="151">
        <v>-5.3933035815134631E-14</v>
      </c>
      <c r="AU113" s="151">
        <v>-4.6898813663661587E-3</v>
      </c>
      <c r="AV113" s="151">
        <v>5.1991082727909077E-14</v>
      </c>
      <c r="AW113" s="151">
        <v>-431.90276419743628</v>
      </c>
      <c r="BA113" s="161">
        <f t="shared" si="38"/>
        <v>60</v>
      </c>
      <c r="BB113" s="161">
        <f t="shared" si="39"/>
        <v>70</v>
      </c>
      <c r="BC113" s="161">
        <f t="shared" si="40"/>
        <v>80</v>
      </c>
      <c r="BD113" s="161">
        <f t="shared" si="41"/>
        <v>150</v>
      </c>
      <c r="BE113" s="161">
        <f>HLOOKUP(AO113,Data!$H$31:$Q$35,3,FALSE)</f>
        <v>452.38934211693021</v>
      </c>
      <c r="BF113" s="161">
        <f>HLOOKUP(AO113,Data!$H$31:$Q$35,4,FALSE)</f>
        <v>353</v>
      </c>
      <c r="BG113" s="179">
        <f t="shared" si="42"/>
        <v>180</v>
      </c>
      <c r="BH113" s="185">
        <f t="shared" si="43"/>
        <v>121.65654188208487</v>
      </c>
      <c r="BI113" s="185">
        <f t="shared" si="44"/>
        <v>243</v>
      </c>
      <c r="BJ113" s="185">
        <f t="shared" si="45"/>
        <v>142.3296</v>
      </c>
      <c r="BK113" s="185">
        <f t="shared" si="46"/>
        <v>43.138863866087469</v>
      </c>
      <c r="BL113" s="186">
        <f t="shared" si="47"/>
        <v>0.89458333333333329</v>
      </c>
      <c r="BM113" s="186">
        <f t="shared" si="48"/>
        <v>0.3963806385446893</v>
      </c>
      <c r="BN113" s="185" t="str">
        <f t="shared" si="49"/>
        <v>OK</v>
      </c>
      <c r="BO113" s="185" cm="1">
        <f t="array" ref="BO113">_xll.DCEBoltDisRS(AN113, AE113, BA113, BB113, BC113, BD113, "h1")</f>
        <v>890</v>
      </c>
      <c r="BP113" s="185" cm="1">
        <f t="array" ref="BP113">_xll.DCEBoltDisRS(AN113, AE113, BA113, BB113, BC113, BD113, "Tong")</f>
        <v>1800300</v>
      </c>
      <c r="BQ113" s="185">
        <f t="shared" si="50"/>
        <v>111.07205450739924</v>
      </c>
      <c r="BR113" s="186">
        <f t="shared" si="51"/>
        <v>0.78038619168043222</v>
      </c>
      <c r="BS113" s="185" t="str">
        <f t="shared" si="52"/>
        <v>OK</v>
      </c>
      <c r="BT113" s="186">
        <f t="shared" si="53"/>
        <v>0.85717010326594878</v>
      </c>
      <c r="BU113" s="185" t="str">
        <f t="shared" si="54"/>
        <v>OK</v>
      </c>
      <c r="BV113" s="190">
        <f t="shared" si="55"/>
        <v>575.87035226324838</v>
      </c>
      <c r="BW113" s="191">
        <f t="shared" si="56"/>
        <v>12.957082925923087</v>
      </c>
      <c r="BX113" s="190">
        <f t="shared" si="57"/>
        <v>287.93517613162419</v>
      </c>
      <c r="BY113" s="167">
        <f t="shared" si="58"/>
        <v>123.15643177115012</v>
      </c>
      <c r="BZ113" s="192">
        <f t="shared" si="59"/>
        <v>0.5986770988875354</v>
      </c>
      <c r="CA113" s="191">
        <f t="shared" si="60"/>
        <v>11.403373312143533</v>
      </c>
      <c r="CB113" s="193">
        <f t="shared" si="61"/>
        <v>9.5574249503118699E-2</v>
      </c>
      <c r="CC113" s="167">
        <f t="shared" si="62"/>
        <v>124.73017860682425</v>
      </c>
      <c r="CD113" s="191">
        <f t="shared" si="63"/>
        <v>0.52724109314478862</v>
      </c>
      <c r="CE113" s="189">
        <f t="shared" si="64"/>
        <v>0.5986770988875354</v>
      </c>
      <c r="CF113" s="194" t="str">
        <f t="shared" si="65"/>
        <v>OK</v>
      </c>
      <c r="DA113" s="140"/>
      <c r="DB113" s="140"/>
      <c r="DC113" s="140"/>
      <c r="DD113" s="141"/>
      <c r="DE113" s="151"/>
      <c r="DF113" s="152"/>
      <c r="DG113" s="152"/>
      <c r="DH113" s="152"/>
      <c r="DI113" s="152"/>
      <c r="DJ113" s="152"/>
      <c r="DK113" s="161"/>
      <c r="DL113" s="162"/>
      <c r="DM113" s="162"/>
      <c r="DN113" s="162"/>
      <c r="DO113" s="162"/>
      <c r="DP113" s="162"/>
      <c r="DQ113" s="140"/>
      <c r="DR113" s="151"/>
      <c r="DS113" s="151"/>
      <c r="DT113" s="151"/>
      <c r="DU113" s="151"/>
      <c r="DV113" s="151"/>
      <c r="DW113" s="151"/>
      <c r="DX113" s="151"/>
      <c r="DY113" s="151"/>
      <c r="DZ113" s="151"/>
      <c r="EA113" s="161"/>
      <c r="EB113" s="161"/>
      <c r="EC113" s="161"/>
      <c r="ED113" s="161"/>
      <c r="EE113" s="161"/>
      <c r="EF113" s="161"/>
      <c r="EG113" s="161"/>
      <c r="EH113" s="161"/>
      <c r="EI113" s="161"/>
      <c r="EJ113" s="161"/>
      <c r="EK113" s="209"/>
      <c r="EL113" s="161"/>
      <c r="EM113" s="187"/>
      <c r="EN113" s="187"/>
      <c r="EO113" s="206"/>
      <c r="EP113" s="212"/>
      <c r="EQ113" s="208"/>
      <c r="ER113" s="187"/>
      <c r="ES113" s="187"/>
      <c r="ET113" s="187"/>
      <c r="EU113" s="187"/>
      <c r="EV113" s="210"/>
      <c r="EW113" s="209"/>
      <c r="EX113" s="210"/>
      <c r="EY113" s="162"/>
      <c r="EZ113" s="211"/>
      <c r="FA113" s="209"/>
      <c r="FB113" s="207"/>
      <c r="FC113" s="162"/>
      <c r="FD113" s="209"/>
      <c r="FE113" s="187"/>
      <c r="FF113" s="187"/>
    </row>
    <row r="114" spans="27:162">
      <c r="AA114" s="140" t="s">
        <v>210</v>
      </c>
      <c r="AB114" s="140" t="s">
        <v>238</v>
      </c>
      <c r="AC114" s="140">
        <v>46</v>
      </c>
      <c r="AD114" s="141">
        <v>2.6850000000000001</v>
      </c>
      <c r="AE114" s="151">
        <v>1100</v>
      </c>
      <c r="AF114" s="152">
        <v>350</v>
      </c>
      <c r="AG114" s="152">
        <v>14</v>
      </c>
      <c r="AH114" s="152">
        <v>18.000000000000004</v>
      </c>
      <c r="AI114" s="152">
        <v>1064</v>
      </c>
      <c r="AJ114" s="153" t="str" cm="1">
        <f t="array" ref="AJ114">_xll.Dce_Name_SectI(AE114, AE114, AF114, AG114, AH114, "x", "-", "H Tổng")</f>
        <v>1100x350x14x18</v>
      </c>
      <c r="AK114" s="161">
        <f t="shared" si="36"/>
        <v>1360</v>
      </c>
      <c r="AL114" s="162" cm="1">
        <f t="array" ref="AL114">IFERROR(INDEX($B$25:$B$32,IFERROR(MATCH(AF114,$B$25:$B$32,0),MATCH(AF114,$B$25:$B$32,1)+1)),$B$25)</f>
        <v>350</v>
      </c>
      <c r="AM114" s="162" cm="1">
        <f t="array" ref="AM114">IFERROR(VLOOKUP(AE114,$B$36:$E$47,4,FALSE),INDEX($E$36:$E$47,MATCH(AE114,$B$36:$B$47,1)+1))</f>
        <v>25</v>
      </c>
      <c r="AN114" s="162" cm="1">
        <f t="array" ref="AN114">IFERROR(VLOOKUP(AE114,$B$36:$E$47,2,FALSE),INDEX($C$36:$C$47,MATCH(AE114,$B$36:$B$47,1)+1))</f>
        <v>12</v>
      </c>
      <c r="AO114" s="162" cm="1">
        <f t="array" ref="AO114">IFERROR(VLOOKUP(AE114,$B$36:$E$47,3,FALSE),INDEX($D$36:$D$47,MATCH(AE114,$B$36:$B$47,1)+1))</f>
        <v>24</v>
      </c>
      <c r="AP114" s="163" t="str">
        <f t="shared" si="37"/>
        <v>1360x350x25 + 12M24</v>
      </c>
      <c r="AQ114" s="140" t="s">
        <v>260</v>
      </c>
      <c r="AR114" s="151">
        <v>0</v>
      </c>
      <c r="AS114" s="151">
        <v>698.54665623690141</v>
      </c>
      <c r="AT114" s="151">
        <v>-1.2846612662542609E-14</v>
      </c>
      <c r="AU114" s="151">
        <v>-4.6891832573173874E-3</v>
      </c>
      <c r="AV114" s="151">
        <v>8.6996124082361328E-15</v>
      </c>
      <c r="AW114" s="151">
        <v>-2095.8267356388587</v>
      </c>
      <c r="BA114" s="161">
        <f t="shared" si="38"/>
        <v>60</v>
      </c>
      <c r="BB114" s="161">
        <f t="shared" si="39"/>
        <v>70</v>
      </c>
      <c r="BC114" s="161">
        <f t="shared" si="40"/>
        <v>80</v>
      </c>
      <c r="BD114" s="161">
        <f t="shared" si="41"/>
        <v>150</v>
      </c>
      <c r="BE114" s="161">
        <f>HLOOKUP(AO114,Data!$H$31:$Q$35,3,FALSE)</f>
        <v>452.38934211693021</v>
      </c>
      <c r="BF114" s="161">
        <f>HLOOKUP(AO114,Data!$H$31:$Q$35,4,FALSE)</f>
        <v>353</v>
      </c>
      <c r="BG114" s="179">
        <f t="shared" si="42"/>
        <v>180</v>
      </c>
      <c r="BH114" s="185">
        <f t="shared" si="43"/>
        <v>121.65654188208487</v>
      </c>
      <c r="BI114" s="185">
        <f t="shared" si="44"/>
        <v>243</v>
      </c>
      <c r="BJ114" s="185">
        <f t="shared" si="45"/>
        <v>142.3296</v>
      </c>
      <c r="BK114" s="185">
        <f t="shared" si="46"/>
        <v>57.923325171045796</v>
      </c>
      <c r="BL114" s="186">
        <f t="shared" si="47"/>
        <v>0.82166666666666666</v>
      </c>
      <c r="BM114" s="186">
        <f t="shared" si="48"/>
        <v>0.57945851478002408</v>
      </c>
      <c r="BN114" s="185" t="str">
        <f t="shared" si="49"/>
        <v>OK</v>
      </c>
      <c r="BO114" s="185" cm="1">
        <f t="array" ref="BO114">_xll.DCEBoltDisRS(AN114, AE114, BA114, BB114, BC114, BD114, "h1")</f>
        <v>1240</v>
      </c>
      <c r="BP114" s="185" cm="1">
        <f t="array" ref="BP114">_xll.DCEBoltDisRS(AN114, AE114, BA114, BB114, BC114, BD114, "Tong")</f>
        <v>3721800</v>
      </c>
      <c r="BQ114" s="185">
        <f t="shared" si="50"/>
        <v>354.92785191527008</v>
      </c>
      <c r="BR114" s="186">
        <f t="shared" si="51"/>
        <v>2.4937037124763233</v>
      </c>
      <c r="BS114" s="185" t="str">
        <f t="shared" si="52"/>
        <v>O/S</v>
      </c>
      <c r="BT114" s="186">
        <f t="shared" si="53"/>
        <v>2.5387497164802122</v>
      </c>
      <c r="BU114" s="185" t="str">
        <f t="shared" si="54"/>
        <v>O/S</v>
      </c>
      <c r="BV114" s="190">
        <f t="shared" si="55"/>
        <v>1905.2970323989623</v>
      </c>
      <c r="BW114" s="191">
        <f t="shared" si="56"/>
        <v>42.869183228976652</v>
      </c>
      <c r="BX114" s="190">
        <f t="shared" si="57"/>
        <v>952.64851619948115</v>
      </c>
      <c r="BY114" s="167">
        <f t="shared" si="58"/>
        <v>302.60599926336459</v>
      </c>
      <c r="BZ114" s="192">
        <f t="shared" si="59"/>
        <v>1.4710013853080224</v>
      </c>
      <c r="CA114" s="191">
        <f t="shared" si="60"/>
        <v>28.019074005867093</v>
      </c>
      <c r="CB114" s="193">
        <f t="shared" si="61"/>
        <v>0.23483419305683628</v>
      </c>
      <c r="CC114" s="167">
        <f t="shared" si="62"/>
        <v>306.472831283</v>
      </c>
      <c r="CD114" s="191">
        <f t="shared" si="63"/>
        <v>1.2954769438291065</v>
      </c>
      <c r="CE114" s="189">
        <f t="shared" si="64"/>
        <v>1.4710013853080224</v>
      </c>
      <c r="CF114" s="194" t="str">
        <f t="shared" si="65"/>
        <v>O/S</v>
      </c>
      <c r="DA114" s="140"/>
      <c r="DB114" s="140"/>
      <c r="DC114" s="140"/>
      <c r="DD114" s="141"/>
      <c r="DE114" s="151"/>
      <c r="DF114" s="152"/>
      <c r="DG114" s="152"/>
      <c r="DH114" s="152"/>
      <c r="DI114" s="152"/>
      <c r="DJ114" s="152"/>
      <c r="DK114" s="161"/>
      <c r="DL114" s="162"/>
      <c r="DM114" s="162"/>
      <c r="DN114" s="162"/>
      <c r="DO114" s="162"/>
      <c r="DP114" s="162"/>
      <c r="DQ114" s="140"/>
      <c r="DR114" s="151"/>
      <c r="DS114" s="151"/>
      <c r="DT114" s="151"/>
      <c r="DU114" s="151"/>
      <c r="DV114" s="151"/>
      <c r="DW114" s="151"/>
      <c r="DX114" s="151"/>
      <c r="DY114" s="151"/>
      <c r="DZ114" s="151"/>
      <c r="EA114" s="161"/>
      <c r="EB114" s="161"/>
      <c r="EC114" s="161"/>
      <c r="ED114" s="161"/>
      <c r="EE114" s="161"/>
      <c r="EF114" s="161"/>
      <c r="EG114" s="161"/>
      <c r="EH114" s="161"/>
      <c r="EI114" s="161"/>
      <c r="EJ114" s="161"/>
      <c r="EK114" s="209"/>
      <c r="EL114" s="161"/>
      <c r="EM114" s="187"/>
      <c r="EN114" s="187"/>
      <c r="EO114" s="206"/>
      <c r="EP114" s="212"/>
      <c r="EQ114" s="208"/>
      <c r="ER114" s="187"/>
      <c r="ES114" s="187"/>
      <c r="ET114" s="187"/>
      <c r="EU114" s="187"/>
      <c r="EV114" s="210"/>
      <c r="EW114" s="209"/>
      <c r="EX114" s="210"/>
      <c r="EY114" s="162"/>
      <c r="EZ114" s="211"/>
      <c r="FA114" s="209"/>
      <c r="FB114" s="207"/>
      <c r="FC114" s="162"/>
      <c r="FD114" s="209"/>
      <c r="FE114" s="187"/>
      <c r="FF114" s="187"/>
    </row>
    <row r="115" spans="27:162">
      <c r="AA115" s="140" t="s">
        <v>210</v>
      </c>
      <c r="AB115" s="140" t="s">
        <v>238</v>
      </c>
      <c r="AC115" s="140">
        <v>46</v>
      </c>
      <c r="AD115" s="141">
        <v>0</v>
      </c>
      <c r="AE115" s="151">
        <v>750</v>
      </c>
      <c r="AF115" s="152">
        <v>350</v>
      </c>
      <c r="AG115" s="152">
        <v>14</v>
      </c>
      <c r="AH115" s="152">
        <v>18.000000000000004</v>
      </c>
      <c r="AI115" s="152">
        <v>714</v>
      </c>
      <c r="AJ115" s="153" t="str" cm="1">
        <f t="array" ref="AJ115">_xll.Dce_Name_SectI(AE115, AE115, AF115, AG115, AH115, "x", "-", "H Tổng")</f>
        <v>750x350x14x18</v>
      </c>
      <c r="AK115" s="161">
        <f t="shared" si="36"/>
        <v>1010</v>
      </c>
      <c r="AL115" s="162" cm="1">
        <f t="array" ref="AL115">IFERROR(INDEX($B$25:$B$32,IFERROR(MATCH(AF115,$B$25:$B$32,0),MATCH(AF115,$B$25:$B$32,1)+1)),$B$25)</f>
        <v>350</v>
      </c>
      <c r="AM115" s="162" cm="1">
        <f t="array" ref="AM115">IFERROR(VLOOKUP(AE115,$B$36:$E$47,4,FALSE),INDEX($E$36:$E$47,MATCH(AE115,$B$36:$B$47,1)+1))</f>
        <v>25</v>
      </c>
      <c r="AN115" s="162" cm="1">
        <f t="array" ref="AN115">IFERROR(VLOOKUP(AE115,$B$36:$E$47,2,FALSE),INDEX($C$36:$C$47,MATCH(AE115,$B$36:$B$47,1)+1))</f>
        <v>12</v>
      </c>
      <c r="AO115" s="162" cm="1">
        <f t="array" ref="AO115">IFERROR(VLOOKUP(AE115,$B$36:$E$47,3,FALSE),INDEX($D$36:$D$47,MATCH(AE115,$B$36:$B$47,1)+1))</f>
        <v>24</v>
      </c>
      <c r="AP115" s="163" t="str">
        <f t="shared" si="37"/>
        <v>1010x350x25 + 12M24</v>
      </c>
      <c r="AQ115" s="140" t="s">
        <v>261</v>
      </c>
      <c r="AR115" s="151">
        <v>0</v>
      </c>
      <c r="AS115" s="151">
        <v>160.36310862557914</v>
      </c>
      <c r="AT115" s="151">
        <v>-1.9645085558295248E-14</v>
      </c>
      <c r="AU115" s="151">
        <v>-1.4476265141605753E-3</v>
      </c>
      <c r="AV115" s="151">
        <v>1.3411045074462887E-14</v>
      </c>
      <c r="AW115" s="151">
        <v>-120.39974351403978</v>
      </c>
      <c r="BA115" s="161">
        <f t="shared" si="38"/>
        <v>60</v>
      </c>
      <c r="BB115" s="161">
        <f t="shared" si="39"/>
        <v>70</v>
      </c>
      <c r="BC115" s="161">
        <f t="shared" si="40"/>
        <v>80</v>
      </c>
      <c r="BD115" s="161">
        <f t="shared" si="41"/>
        <v>150</v>
      </c>
      <c r="BE115" s="161">
        <f>HLOOKUP(AO115,Data!$H$31:$Q$35,3,FALSE)</f>
        <v>452.38934211693021</v>
      </c>
      <c r="BF115" s="161">
        <f>HLOOKUP(AO115,Data!$H$31:$Q$35,4,FALSE)</f>
        <v>353</v>
      </c>
      <c r="BG115" s="179">
        <f t="shared" si="42"/>
        <v>180</v>
      </c>
      <c r="BH115" s="185">
        <f t="shared" si="43"/>
        <v>121.65654188208487</v>
      </c>
      <c r="BI115" s="185">
        <f t="shared" si="44"/>
        <v>243</v>
      </c>
      <c r="BJ115" s="185">
        <f t="shared" si="45"/>
        <v>142.3296</v>
      </c>
      <c r="BK115" s="185">
        <f t="shared" si="46"/>
        <v>13.297271418344629</v>
      </c>
      <c r="BL115" s="186">
        <f t="shared" si="47"/>
        <v>0.89458333333333329</v>
      </c>
      <c r="BM115" s="186">
        <f t="shared" si="48"/>
        <v>0.12218172810640436</v>
      </c>
      <c r="BN115" s="185" t="str">
        <f t="shared" si="49"/>
        <v>OK</v>
      </c>
      <c r="BO115" s="185" cm="1">
        <f t="array" ref="BO115">_xll.DCEBoltDisRS(AN115, AE115, BA115, BB115, BC115, BD115, "h1")</f>
        <v>890</v>
      </c>
      <c r="BP115" s="185" cm="1">
        <f t="array" ref="BP115">_xll.DCEBoltDisRS(AN115, AE115, BA115, BB115, BC115, BD115, "Tong")</f>
        <v>1800300</v>
      </c>
      <c r="BQ115" s="185">
        <f t="shared" si="50"/>
        <v>31.09025919968466</v>
      </c>
      <c r="BR115" s="186">
        <f t="shared" si="51"/>
        <v>0.21843846395749486</v>
      </c>
      <c r="BS115" s="185" t="str">
        <f t="shared" si="52"/>
        <v>OK</v>
      </c>
      <c r="BT115" s="186">
        <f t="shared" si="53"/>
        <v>0.24425853593865327</v>
      </c>
      <c r="BU115" s="185" t="str">
        <f t="shared" si="54"/>
        <v>OK</v>
      </c>
      <c r="BV115" s="190">
        <f t="shared" si="55"/>
        <v>160.53299135205305</v>
      </c>
      <c r="BW115" s="191">
        <f t="shared" si="56"/>
        <v>3.6119923054211935</v>
      </c>
      <c r="BX115" s="190">
        <f t="shared" si="57"/>
        <v>80.266495676026523</v>
      </c>
      <c r="BY115" s="167">
        <f t="shared" si="58"/>
        <v>34.331808051528178</v>
      </c>
      <c r="BZ115" s="192">
        <f t="shared" si="59"/>
        <v>0.16689073358381754</v>
      </c>
      <c r="CA115" s="191">
        <f t="shared" si="60"/>
        <v>3.1788711158822385</v>
      </c>
      <c r="CB115" s="193">
        <f t="shared" si="61"/>
        <v>2.6642837417595391E-2</v>
      </c>
      <c r="CC115" s="167">
        <f t="shared" si="62"/>
        <v>34.770514934368549</v>
      </c>
      <c r="CD115" s="191">
        <f t="shared" si="63"/>
        <v>0.14697681433609897</v>
      </c>
      <c r="CE115" s="189">
        <f t="shared" si="64"/>
        <v>0.16689073358381754</v>
      </c>
      <c r="CF115" s="194" t="str">
        <f t="shared" si="65"/>
        <v>OK</v>
      </c>
      <c r="DA115" s="140"/>
      <c r="DB115" s="140"/>
      <c r="DC115" s="140"/>
      <c r="DD115" s="141"/>
      <c r="DE115" s="151"/>
      <c r="DF115" s="152"/>
      <c r="DG115" s="152"/>
      <c r="DH115" s="152"/>
      <c r="DI115" s="152"/>
      <c r="DJ115" s="152"/>
      <c r="DK115" s="161"/>
      <c r="DL115" s="162"/>
      <c r="DM115" s="162"/>
      <c r="DN115" s="162"/>
      <c r="DO115" s="162"/>
      <c r="DP115" s="162"/>
      <c r="DQ115" s="140"/>
      <c r="DR115" s="151"/>
      <c r="DS115" s="151"/>
      <c r="DT115" s="151"/>
      <c r="DU115" s="151"/>
      <c r="DV115" s="151"/>
      <c r="DW115" s="151"/>
      <c r="DX115" s="151"/>
      <c r="DY115" s="151"/>
      <c r="DZ115" s="151"/>
      <c r="EA115" s="161"/>
      <c r="EB115" s="161"/>
      <c r="EC115" s="161"/>
      <c r="ED115" s="161"/>
      <c r="EE115" s="161"/>
      <c r="EF115" s="161"/>
      <c r="EG115" s="161"/>
      <c r="EH115" s="161"/>
      <c r="EI115" s="161"/>
      <c r="EJ115" s="161"/>
      <c r="EK115" s="209"/>
      <c r="EL115" s="161"/>
      <c r="EM115" s="187"/>
      <c r="EN115" s="187"/>
      <c r="EO115" s="206"/>
      <c r="EP115" s="212"/>
      <c r="EQ115" s="208"/>
      <c r="ER115" s="187"/>
      <c r="ES115" s="187"/>
      <c r="ET115" s="187"/>
      <c r="EU115" s="187"/>
      <c r="EV115" s="210"/>
      <c r="EW115" s="209"/>
      <c r="EX115" s="210"/>
      <c r="EY115" s="162"/>
      <c r="EZ115" s="211"/>
      <c r="FA115" s="209"/>
      <c r="FB115" s="207"/>
      <c r="FC115" s="162"/>
      <c r="FD115" s="209"/>
      <c r="FE115" s="187"/>
      <c r="FF115" s="187"/>
    </row>
    <row r="116" spans="27:162">
      <c r="AA116" s="140" t="s">
        <v>210</v>
      </c>
      <c r="AB116" s="140" t="s">
        <v>238</v>
      </c>
      <c r="AC116" s="140">
        <v>46</v>
      </c>
      <c r="AD116" s="141">
        <v>2.6850000000000001</v>
      </c>
      <c r="AE116" s="151">
        <v>1100</v>
      </c>
      <c r="AF116" s="152">
        <v>350</v>
      </c>
      <c r="AG116" s="152">
        <v>14</v>
      </c>
      <c r="AH116" s="152">
        <v>18.000000000000004</v>
      </c>
      <c r="AI116" s="152">
        <v>1064</v>
      </c>
      <c r="AJ116" s="153" t="str" cm="1">
        <f t="array" ref="AJ116">_xll.Dce_Name_SectI(AE116, AE116, AF116, AG116, AH116, "x", "-", "H Tổng")</f>
        <v>1100x350x14x18</v>
      </c>
      <c r="AK116" s="161">
        <f t="shared" si="36"/>
        <v>1360</v>
      </c>
      <c r="AL116" s="162" cm="1">
        <f t="array" ref="AL116">IFERROR(INDEX($B$25:$B$32,IFERROR(MATCH(AF116,$B$25:$B$32,0),MATCH(AF116,$B$25:$B$32,1)+1)),$B$25)</f>
        <v>350</v>
      </c>
      <c r="AM116" s="162" cm="1">
        <f t="array" ref="AM116">IFERROR(VLOOKUP(AE116,$B$36:$E$47,4,FALSE),INDEX($E$36:$E$47,MATCH(AE116,$B$36:$B$47,1)+1))</f>
        <v>25</v>
      </c>
      <c r="AN116" s="162" cm="1">
        <f t="array" ref="AN116">IFERROR(VLOOKUP(AE116,$B$36:$E$47,2,FALSE),INDEX($C$36:$C$47,MATCH(AE116,$B$36:$B$47,1)+1))</f>
        <v>12</v>
      </c>
      <c r="AO116" s="162" cm="1">
        <f t="array" ref="AO116">IFERROR(VLOOKUP(AE116,$B$36:$E$47,3,FALSE),INDEX($D$36:$D$47,MATCH(AE116,$B$36:$B$47,1)+1))</f>
        <v>24</v>
      </c>
      <c r="AP116" s="163" t="str">
        <f t="shared" si="37"/>
        <v>1360x350x25 + 12M24</v>
      </c>
      <c r="AQ116" s="140" t="s">
        <v>261</v>
      </c>
      <c r="AR116" s="151">
        <v>0</v>
      </c>
      <c r="AS116" s="151">
        <v>217.96687707274427</v>
      </c>
      <c r="AT116" s="151">
        <v>-4.092726157978176E-15</v>
      </c>
      <c r="AU116" s="151">
        <v>-1.4474104467456892E-3</v>
      </c>
      <c r="AV116" s="151">
        <v>6.0735055740224174E-14</v>
      </c>
      <c r="AW116" s="151">
        <v>-636.70708974985087</v>
      </c>
      <c r="BA116" s="161">
        <f t="shared" si="38"/>
        <v>60</v>
      </c>
      <c r="BB116" s="161">
        <f t="shared" si="39"/>
        <v>70</v>
      </c>
      <c r="BC116" s="161">
        <f t="shared" si="40"/>
        <v>80</v>
      </c>
      <c r="BD116" s="161">
        <f t="shared" si="41"/>
        <v>150</v>
      </c>
      <c r="BE116" s="161">
        <f>HLOOKUP(AO116,Data!$H$31:$Q$35,3,FALSE)</f>
        <v>452.38934211693021</v>
      </c>
      <c r="BF116" s="161">
        <f>HLOOKUP(AO116,Data!$H$31:$Q$35,4,FALSE)</f>
        <v>353</v>
      </c>
      <c r="BG116" s="179">
        <f t="shared" si="42"/>
        <v>180</v>
      </c>
      <c r="BH116" s="185">
        <f t="shared" si="43"/>
        <v>121.65654188208487</v>
      </c>
      <c r="BI116" s="185">
        <f t="shared" si="44"/>
        <v>243</v>
      </c>
      <c r="BJ116" s="185">
        <f t="shared" si="45"/>
        <v>142.3296</v>
      </c>
      <c r="BK116" s="185">
        <f t="shared" si="46"/>
        <v>18.073762410109129</v>
      </c>
      <c r="BL116" s="186">
        <f t="shared" si="47"/>
        <v>0.82166666666666666</v>
      </c>
      <c r="BM116" s="186">
        <f t="shared" si="48"/>
        <v>0.1808079127315711</v>
      </c>
      <c r="BN116" s="185" t="str">
        <f t="shared" si="49"/>
        <v>OK</v>
      </c>
      <c r="BO116" s="185" cm="1">
        <f t="array" ref="BO116">_xll.DCEBoltDisRS(AN116, AE116, BA116, BB116, BC116, BD116, "h1")</f>
        <v>1240</v>
      </c>
      <c r="BP116" s="185" cm="1">
        <f t="array" ref="BP116">_xll.DCEBoltDisRS(AN116, AE116, BA116, BB116, BC116, BD116, "Tong")</f>
        <v>3721800</v>
      </c>
      <c r="BQ116" s="185">
        <f t="shared" si="50"/>
        <v>107.87390202017895</v>
      </c>
      <c r="BR116" s="186">
        <f t="shared" si="51"/>
        <v>0.75791614688848241</v>
      </c>
      <c r="BS116" s="185" t="str">
        <f t="shared" si="52"/>
        <v>OK</v>
      </c>
      <c r="BT116" s="186">
        <f t="shared" si="53"/>
        <v>0.77233936761804056</v>
      </c>
      <c r="BU116" s="185" t="str">
        <f t="shared" si="54"/>
        <v>OK</v>
      </c>
      <c r="BV116" s="190">
        <f t="shared" si="55"/>
        <v>578.82462704531895</v>
      </c>
      <c r="BW116" s="191">
        <f t="shared" si="56"/>
        <v>13.023554108519676</v>
      </c>
      <c r="BX116" s="190">
        <f t="shared" si="57"/>
        <v>289.41231352265947</v>
      </c>
      <c r="BY116" s="167">
        <f t="shared" si="58"/>
        <v>91.930970177785952</v>
      </c>
      <c r="BZ116" s="192">
        <f t="shared" si="59"/>
        <v>0.44688666058645954</v>
      </c>
      <c r="CA116" s="191">
        <f t="shared" si="60"/>
        <v>8.5121268683135138</v>
      </c>
      <c r="CB116" s="193">
        <f t="shared" si="61"/>
        <v>7.1342059480596992E-2</v>
      </c>
      <c r="CC116" s="167">
        <f t="shared" si="62"/>
        <v>93.105704386443293</v>
      </c>
      <c r="CD116" s="191">
        <f t="shared" si="63"/>
        <v>0.3935627600876227</v>
      </c>
      <c r="CE116" s="189">
        <f t="shared" si="64"/>
        <v>0.44688666058645954</v>
      </c>
      <c r="CF116" s="194" t="str">
        <f t="shared" si="65"/>
        <v>OK</v>
      </c>
      <c r="DA116" s="140"/>
      <c r="DB116" s="140"/>
      <c r="DC116" s="140"/>
      <c r="DD116" s="141"/>
      <c r="DE116" s="151"/>
      <c r="DF116" s="152"/>
      <c r="DG116" s="152"/>
      <c r="DH116" s="152"/>
      <c r="DI116" s="152"/>
      <c r="DJ116" s="152"/>
      <c r="DK116" s="161"/>
      <c r="DL116" s="162"/>
      <c r="DM116" s="162"/>
      <c r="DN116" s="162"/>
      <c r="DO116" s="162"/>
      <c r="DP116" s="162"/>
      <c r="DQ116" s="140"/>
      <c r="DR116" s="151"/>
      <c r="DS116" s="151"/>
      <c r="DT116" s="151"/>
      <c r="DU116" s="151"/>
      <c r="DV116" s="151"/>
      <c r="DW116" s="151"/>
      <c r="DX116" s="151"/>
      <c r="DY116" s="151"/>
      <c r="DZ116" s="151"/>
      <c r="EA116" s="161"/>
      <c r="EB116" s="161"/>
      <c r="EC116" s="161"/>
      <c r="ED116" s="161"/>
      <c r="EE116" s="161"/>
      <c r="EF116" s="161"/>
      <c r="EG116" s="161"/>
      <c r="EH116" s="161"/>
      <c r="EI116" s="161"/>
      <c r="EJ116" s="161"/>
      <c r="EK116" s="209"/>
      <c r="EL116" s="161"/>
      <c r="EM116" s="187"/>
      <c r="EN116" s="187"/>
      <c r="EO116" s="206"/>
      <c r="EP116" s="212"/>
      <c r="EQ116" s="208"/>
      <c r="ER116" s="187"/>
      <c r="ES116" s="187"/>
      <c r="ET116" s="187"/>
      <c r="EU116" s="187"/>
      <c r="EV116" s="210"/>
      <c r="EW116" s="209"/>
      <c r="EX116" s="210"/>
      <c r="EY116" s="162"/>
      <c r="EZ116" s="211"/>
      <c r="FA116" s="209"/>
      <c r="FB116" s="207"/>
      <c r="FC116" s="162"/>
      <c r="FD116" s="209"/>
      <c r="FE116" s="187"/>
      <c r="FF116" s="187"/>
    </row>
    <row r="117" spans="27:162">
      <c r="AA117" s="140" t="s">
        <v>210</v>
      </c>
      <c r="AB117" s="140" t="s">
        <v>238</v>
      </c>
      <c r="AC117" s="140">
        <v>46</v>
      </c>
      <c r="AD117" s="141">
        <v>0</v>
      </c>
      <c r="AE117" s="151">
        <v>750</v>
      </c>
      <c r="AF117" s="152">
        <v>350</v>
      </c>
      <c r="AG117" s="152">
        <v>14</v>
      </c>
      <c r="AH117" s="152">
        <v>18.000000000000004</v>
      </c>
      <c r="AI117" s="152">
        <v>714</v>
      </c>
      <c r="AJ117" s="153" t="str" cm="1">
        <f t="array" ref="AJ117">_xll.Dce_Name_SectI(AE117, AE117, AF117, AG117, AH117, "x", "-", "H Tổng")</f>
        <v>750x350x14x18</v>
      </c>
      <c r="AK117" s="161">
        <f t="shared" si="36"/>
        <v>1010</v>
      </c>
      <c r="AL117" s="162" cm="1">
        <f t="array" ref="AL117">IFERROR(INDEX($B$25:$B$32,IFERROR(MATCH(AF117,$B$25:$B$32,0),MATCH(AF117,$B$25:$B$32,1)+1)),$B$25)</f>
        <v>350</v>
      </c>
      <c r="AM117" s="162" cm="1">
        <f t="array" ref="AM117">IFERROR(VLOOKUP(AE117,$B$36:$E$47,4,FALSE),INDEX($E$36:$E$47,MATCH(AE117,$B$36:$B$47,1)+1))</f>
        <v>25</v>
      </c>
      <c r="AN117" s="162" cm="1">
        <f t="array" ref="AN117">IFERROR(VLOOKUP(AE117,$B$36:$E$47,2,FALSE),INDEX($C$36:$C$47,MATCH(AE117,$B$36:$B$47,1)+1))</f>
        <v>12</v>
      </c>
      <c r="AO117" s="162" cm="1">
        <f t="array" ref="AO117">IFERROR(VLOOKUP(AE117,$B$36:$E$47,3,FALSE),INDEX($D$36:$D$47,MATCH(AE117,$B$36:$B$47,1)+1))</f>
        <v>24</v>
      </c>
      <c r="AP117" s="163" t="str">
        <f t="shared" si="37"/>
        <v>1010x350x25 + 12M24</v>
      </c>
      <c r="AQ117" s="140" t="s">
        <v>262</v>
      </c>
      <c r="AR117" s="151">
        <v>0</v>
      </c>
      <c r="AS117" s="151">
        <v>161.41966517411885</v>
      </c>
      <c r="AT117" s="151">
        <v>-4.8530637286603447E-13</v>
      </c>
      <c r="AU117" s="151">
        <v>-1.4405678754732662E-3</v>
      </c>
      <c r="AV117" s="151">
        <v>-2.2500753402709955E-13</v>
      </c>
      <c r="AW117" s="151">
        <v>-120.57362418527157</v>
      </c>
      <c r="BA117" s="161">
        <f t="shared" si="38"/>
        <v>60</v>
      </c>
      <c r="BB117" s="161">
        <f t="shared" si="39"/>
        <v>70</v>
      </c>
      <c r="BC117" s="161">
        <f t="shared" si="40"/>
        <v>80</v>
      </c>
      <c r="BD117" s="161">
        <f t="shared" si="41"/>
        <v>150</v>
      </c>
      <c r="BE117" s="161">
        <f>HLOOKUP(AO117,Data!$H$31:$Q$35,3,FALSE)</f>
        <v>452.38934211693021</v>
      </c>
      <c r="BF117" s="161">
        <f>HLOOKUP(AO117,Data!$H$31:$Q$35,4,FALSE)</f>
        <v>353</v>
      </c>
      <c r="BG117" s="179">
        <f t="shared" si="42"/>
        <v>180</v>
      </c>
      <c r="BH117" s="185">
        <f t="shared" si="43"/>
        <v>121.65654188208487</v>
      </c>
      <c r="BI117" s="185">
        <f t="shared" si="44"/>
        <v>243</v>
      </c>
      <c r="BJ117" s="185">
        <f t="shared" si="45"/>
        <v>142.3296</v>
      </c>
      <c r="BK117" s="185">
        <f t="shared" si="46"/>
        <v>13.384880839957704</v>
      </c>
      <c r="BL117" s="186">
        <f t="shared" si="47"/>
        <v>0.89458333333333329</v>
      </c>
      <c r="BM117" s="186">
        <f t="shared" si="48"/>
        <v>0.12298672562764926</v>
      </c>
      <c r="BN117" s="185" t="str">
        <f t="shared" si="49"/>
        <v>OK</v>
      </c>
      <c r="BO117" s="185" cm="1">
        <f t="array" ref="BO117">_xll.DCEBoltDisRS(AN117, AE117, BA117, BB117, BC117, BD117, "h1")</f>
        <v>890</v>
      </c>
      <c r="BP117" s="185" cm="1">
        <f t="array" ref="BP117">_xll.DCEBoltDisRS(AN117, AE117, BA117, BB117, BC117, BD117, "Tong")</f>
        <v>1800300</v>
      </c>
      <c r="BQ117" s="185">
        <f t="shared" si="50"/>
        <v>31.142000144455611</v>
      </c>
      <c r="BR117" s="186">
        <f t="shared" si="51"/>
        <v>0.21880199301098022</v>
      </c>
      <c r="BS117" s="185" t="str">
        <f t="shared" si="52"/>
        <v>OK</v>
      </c>
      <c r="BT117" s="186">
        <f t="shared" si="53"/>
        <v>0.24490635989494608</v>
      </c>
      <c r="BU117" s="185" t="str">
        <f t="shared" si="54"/>
        <v>OK</v>
      </c>
      <c r="BV117" s="190">
        <f t="shared" si="55"/>
        <v>160.76483224702875</v>
      </c>
      <c r="BW117" s="191">
        <f t="shared" si="56"/>
        <v>3.6172087255581467</v>
      </c>
      <c r="BX117" s="190">
        <f t="shared" si="57"/>
        <v>80.382416123514375</v>
      </c>
      <c r="BY117" s="167">
        <f t="shared" si="58"/>
        <v>34.381389866691293</v>
      </c>
      <c r="BZ117" s="192">
        <f t="shared" si="59"/>
        <v>0.16713175629641602</v>
      </c>
      <c r="CA117" s="191">
        <f t="shared" si="60"/>
        <v>3.1834620246936383</v>
      </c>
      <c r="CB117" s="193">
        <f t="shared" si="61"/>
        <v>2.6681314862135382E-2</v>
      </c>
      <c r="CC117" s="167">
        <f t="shared" si="62"/>
        <v>34.820730327685865</v>
      </c>
      <c r="CD117" s="191">
        <f t="shared" si="63"/>
        <v>0.14718907747210211</v>
      </c>
      <c r="CE117" s="189">
        <f t="shared" si="64"/>
        <v>0.16713175629641602</v>
      </c>
      <c r="CF117" s="194" t="str">
        <f t="shared" si="65"/>
        <v>OK</v>
      </c>
      <c r="DA117" s="140"/>
      <c r="DB117" s="140"/>
      <c r="DC117" s="140"/>
      <c r="DD117" s="141"/>
      <c r="DE117" s="151"/>
      <c r="DF117" s="152"/>
      <c r="DG117" s="152"/>
      <c r="DH117" s="152"/>
      <c r="DI117" s="152"/>
      <c r="DJ117" s="152"/>
      <c r="DK117" s="161"/>
      <c r="DL117" s="162"/>
      <c r="DM117" s="162"/>
      <c r="DN117" s="162"/>
      <c r="DO117" s="162"/>
      <c r="DP117" s="162"/>
      <c r="DQ117" s="140"/>
      <c r="DR117" s="151"/>
      <c r="DS117" s="151"/>
      <c r="DT117" s="151"/>
      <c r="DU117" s="151"/>
      <c r="DV117" s="151"/>
      <c r="DW117" s="151"/>
      <c r="DX117" s="151"/>
      <c r="DY117" s="151"/>
      <c r="DZ117" s="151"/>
      <c r="EA117" s="161"/>
      <c r="EB117" s="161"/>
      <c r="EC117" s="161"/>
      <c r="ED117" s="161"/>
      <c r="EE117" s="161"/>
      <c r="EF117" s="161"/>
      <c r="EG117" s="161"/>
      <c r="EH117" s="161"/>
      <c r="EI117" s="161"/>
      <c r="EJ117" s="161"/>
      <c r="EK117" s="209"/>
      <c r="EL117" s="161"/>
      <c r="EM117" s="187"/>
      <c r="EN117" s="187"/>
      <c r="EO117" s="206"/>
      <c r="EP117" s="212"/>
      <c r="EQ117" s="208"/>
      <c r="ER117" s="187"/>
      <c r="ES117" s="187"/>
      <c r="ET117" s="187"/>
      <c r="EU117" s="187"/>
      <c r="EV117" s="210"/>
      <c r="EW117" s="209"/>
      <c r="EX117" s="210"/>
      <c r="EY117" s="162"/>
      <c r="EZ117" s="211"/>
      <c r="FA117" s="209"/>
      <c r="FB117" s="207"/>
      <c r="FC117" s="162"/>
      <c r="FD117" s="209"/>
      <c r="FE117" s="187"/>
      <c r="FF117" s="187"/>
    </row>
    <row r="118" spans="27:162">
      <c r="AA118" s="140" t="s">
        <v>210</v>
      </c>
      <c r="AB118" s="140" t="s">
        <v>238</v>
      </c>
      <c r="AC118" s="140">
        <v>46</v>
      </c>
      <c r="AD118" s="141">
        <v>2.6850000000000001</v>
      </c>
      <c r="AE118" s="151">
        <v>1100</v>
      </c>
      <c r="AF118" s="152">
        <v>350</v>
      </c>
      <c r="AG118" s="152">
        <v>14</v>
      </c>
      <c r="AH118" s="152">
        <v>18.000000000000004</v>
      </c>
      <c r="AI118" s="152">
        <v>1064</v>
      </c>
      <c r="AJ118" s="153" t="str" cm="1">
        <f t="array" ref="AJ118">_xll.Dce_Name_SectI(AE118, AE118, AF118, AG118, AH118, "x", "-", "H Tổng")</f>
        <v>1100x350x14x18</v>
      </c>
      <c r="AK118" s="161">
        <f t="shared" si="36"/>
        <v>1360</v>
      </c>
      <c r="AL118" s="162" cm="1">
        <f t="array" ref="AL118">IFERROR(INDEX($B$25:$B$32,IFERROR(MATCH(AF118,$B$25:$B$32,0),MATCH(AF118,$B$25:$B$32,1)+1)),$B$25)</f>
        <v>350</v>
      </c>
      <c r="AM118" s="162" cm="1">
        <f t="array" ref="AM118">IFERROR(VLOOKUP(AE118,$B$36:$E$47,4,FALSE),INDEX($E$36:$E$47,MATCH(AE118,$B$36:$B$47,1)+1))</f>
        <v>25</v>
      </c>
      <c r="AN118" s="162" cm="1">
        <f t="array" ref="AN118">IFERROR(VLOOKUP(AE118,$B$36:$E$47,2,FALSE),INDEX($C$36:$C$47,MATCH(AE118,$B$36:$B$47,1)+1))</f>
        <v>12</v>
      </c>
      <c r="AO118" s="162" cm="1">
        <f t="array" ref="AO118">IFERROR(VLOOKUP(AE118,$B$36:$E$47,3,FALSE),INDEX($D$36:$D$47,MATCH(AE118,$B$36:$B$47,1)+1))</f>
        <v>24</v>
      </c>
      <c r="AP118" s="163" t="str">
        <f t="shared" si="37"/>
        <v>1360x350x25 + 12M24</v>
      </c>
      <c r="AQ118" s="140" t="s">
        <v>262</v>
      </c>
      <c r="AR118" s="151">
        <v>0</v>
      </c>
      <c r="AS118" s="151">
        <v>219.02343385750063</v>
      </c>
      <c r="AT118" s="151">
        <v>-4.092726157978176E-15</v>
      </c>
      <c r="AU118" s="151">
        <v>-1.4403522231994103E-3</v>
      </c>
      <c r="AV118" s="151">
        <v>1.2033970051561478E-13</v>
      </c>
      <c r="AW118" s="151">
        <v>-639.71781474738464</v>
      </c>
      <c r="BA118" s="161">
        <f t="shared" si="38"/>
        <v>60</v>
      </c>
      <c r="BB118" s="161">
        <f t="shared" si="39"/>
        <v>70</v>
      </c>
      <c r="BC118" s="161">
        <f t="shared" si="40"/>
        <v>80</v>
      </c>
      <c r="BD118" s="161">
        <f t="shared" si="41"/>
        <v>150</v>
      </c>
      <c r="BE118" s="161">
        <f>HLOOKUP(AO118,Data!$H$31:$Q$35,3,FALSE)</f>
        <v>452.38934211693021</v>
      </c>
      <c r="BF118" s="161">
        <f>HLOOKUP(AO118,Data!$H$31:$Q$35,4,FALSE)</f>
        <v>353</v>
      </c>
      <c r="BG118" s="179">
        <f t="shared" si="42"/>
        <v>180</v>
      </c>
      <c r="BH118" s="185">
        <f t="shared" si="43"/>
        <v>121.65654188208487</v>
      </c>
      <c r="BI118" s="185">
        <f t="shared" si="44"/>
        <v>243</v>
      </c>
      <c r="BJ118" s="185">
        <f t="shared" si="45"/>
        <v>142.3296</v>
      </c>
      <c r="BK118" s="185">
        <f t="shared" si="46"/>
        <v>18.161371851309237</v>
      </c>
      <c r="BL118" s="186">
        <f t="shared" si="47"/>
        <v>0.82166666666666666</v>
      </c>
      <c r="BM118" s="186">
        <f t="shared" si="48"/>
        <v>0.1816843478555667</v>
      </c>
      <c r="BN118" s="185" t="str">
        <f t="shared" si="49"/>
        <v>OK</v>
      </c>
      <c r="BO118" s="185" cm="1">
        <f t="array" ref="BO118">_xll.DCEBoltDisRS(AN118, AE118, BA118, BB118, BC118, BD118, "h1")</f>
        <v>1240</v>
      </c>
      <c r="BP118" s="185" cm="1">
        <f t="array" ref="BP118">_xll.DCEBoltDisRS(AN118, AE118, BA118, BB118, BC118, BD118, "Tong")</f>
        <v>3721800</v>
      </c>
      <c r="BQ118" s="185">
        <f t="shared" si="50"/>
        <v>108.38420778091213</v>
      </c>
      <c r="BR118" s="186">
        <f t="shared" si="51"/>
        <v>0.76150152730642207</v>
      </c>
      <c r="BS118" s="185" t="str">
        <f t="shared" si="52"/>
        <v>OK</v>
      </c>
      <c r="BT118" s="186">
        <f t="shared" si="53"/>
        <v>0.77599631476689923</v>
      </c>
      <c r="BU118" s="185" t="str">
        <f t="shared" si="54"/>
        <v>OK</v>
      </c>
      <c r="BV118" s="190">
        <f t="shared" si="55"/>
        <v>581.56164977034962</v>
      </c>
      <c r="BW118" s="191">
        <f t="shared" si="56"/>
        <v>13.085137119832867</v>
      </c>
      <c r="BX118" s="190">
        <f t="shared" si="57"/>
        <v>290.78082488517481</v>
      </c>
      <c r="BY118" s="167">
        <f t="shared" si="58"/>
        <v>92.365673787055542</v>
      </c>
      <c r="BZ118" s="192">
        <f t="shared" si="59"/>
        <v>0.44899980313152005</v>
      </c>
      <c r="CA118" s="191">
        <f t="shared" si="60"/>
        <v>8.5523772025051414</v>
      </c>
      <c r="CB118" s="193">
        <f t="shared" si="61"/>
        <v>7.1679406630191567E-2</v>
      </c>
      <c r="CC118" s="167">
        <f t="shared" si="62"/>
        <v>93.545962828860482</v>
      </c>
      <c r="CD118" s="191">
        <f t="shared" si="63"/>
        <v>0.39542375591909629</v>
      </c>
      <c r="CE118" s="189">
        <f t="shared" si="64"/>
        <v>0.44899980313152005</v>
      </c>
      <c r="CF118" s="194" t="str">
        <f t="shared" si="65"/>
        <v>OK</v>
      </c>
      <c r="DA118" s="140"/>
      <c r="DB118" s="140"/>
      <c r="DC118" s="140"/>
      <c r="DD118" s="141"/>
      <c r="DE118" s="151"/>
      <c r="DF118" s="152"/>
      <c r="DG118" s="152"/>
      <c r="DH118" s="152"/>
      <c r="DI118" s="152"/>
      <c r="DJ118" s="152"/>
      <c r="DK118" s="161"/>
      <c r="DL118" s="162"/>
      <c r="DM118" s="162"/>
      <c r="DN118" s="162"/>
      <c r="DO118" s="162"/>
      <c r="DP118" s="162"/>
      <c r="DQ118" s="140"/>
      <c r="DR118" s="151"/>
      <c r="DS118" s="151"/>
      <c r="DT118" s="151"/>
      <c r="DU118" s="151"/>
      <c r="DV118" s="151"/>
      <c r="DW118" s="151"/>
      <c r="DX118" s="151"/>
      <c r="DY118" s="151"/>
      <c r="DZ118" s="151"/>
      <c r="EA118" s="161"/>
      <c r="EB118" s="161"/>
      <c r="EC118" s="161"/>
      <c r="ED118" s="161"/>
      <c r="EE118" s="161"/>
      <c r="EF118" s="161"/>
      <c r="EG118" s="161"/>
      <c r="EH118" s="161"/>
      <c r="EI118" s="161"/>
      <c r="EJ118" s="161"/>
      <c r="EK118" s="209"/>
      <c r="EL118" s="161"/>
      <c r="EM118" s="187"/>
      <c r="EN118" s="187"/>
      <c r="EO118" s="206"/>
      <c r="EP118" s="212"/>
      <c r="EQ118" s="208"/>
      <c r="ER118" s="187"/>
      <c r="ES118" s="187"/>
      <c r="ET118" s="187"/>
      <c r="EU118" s="187"/>
      <c r="EV118" s="210"/>
      <c r="EW118" s="209"/>
      <c r="EX118" s="210"/>
      <c r="EY118" s="162"/>
      <c r="EZ118" s="211"/>
      <c r="FA118" s="209"/>
      <c r="FB118" s="207"/>
      <c r="FC118" s="162"/>
      <c r="FD118" s="209"/>
      <c r="FE118" s="187"/>
      <c r="FF118" s="187"/>
    </row>
    <row r="119" spans="27:162">
      <c r="AA119" s="140" t="s">
        <v>210</v>
      </c>
      <c r="AB119" s="140" t="s">
        <v>238</v>
      </c>
      <c r="AC119" s="140">
        <v>46</v>
      </c>
      <c r="AD119" s="141">
        <v>0</v>
      </c>
      <c r="AE119" s="151">
        <v>750</v>
      </c>
      <c r="AF119" s="152">
        <v>350</v>
      </c>
      <c r="AG119" s="152">
        <v>14</v>
      </c>
      <c r="AH119" s="152">
        <v>18.000000000000004</v>
      </c>
      <c r="AI119" s="152">
        <v>714</v>
      </c>
      <c r="AJ119" s="153" t="str" cm="1">
        <f t="array" ref="AJ119">_xll.Dce_Name_SectI(AE119, AE119, AF119, AG119, AH119, "x", "-", "H Tổng")</f>
        <v>750x350x14x18</v>
      </c>
      <c r="AK119" s="161">
        <f t="shared" si="36"/>
        <v>1010</v>
      </c>
      <c r="AL119" s="162" cm="1">
        <f t="array" ref="AL119">IFERROR(INDEX($B$25:$B$32,IFERROR(MATCH(AF119,$B$25:$B$32,0),MATCH(AF119,$B$25:$B$32,1)+1)),$B$25)</f>
        <v>350</v>
      </c>
      <c r="AM119" s="162" cm="1">
        <f t="array" ref="AM119">IFERROR(VLOOKUP(AE119,$B$36:$E$47,4,FALSE),INDEX($E$36:$E$47,MATCH(AE119,$B$36:$B$47,1)+1))</f>
        <v>25</v>
      </c>
      <c r="AN119" s="162" cm="1">
        <f t="array" ref="AN119">IFERROR(VLOOKUP(AE119,$B$36:$E$47,2,FALSE),INDEX($C$36:$C$47,MATCH(AE119,$B$36:$B$47,1)+1))</f>
        <v>12</v>
      </c>
      <c r="AO119" s="162" cm="1">
        <f t="array" ref="AO119">IFERROR(VLOOKUP(AE119,$B$36:$E$47,3,FALSE),INDEX($D$36:$D$47,MATCH(AE119,$B$36:$B$47,1)+1))</f>
        <v>24</v>
      </c>
      <c r="AP119" s="163" t="str">
        <f t="shared" si="37"/>
        <v>1010x350x25 + 12M24</v>
      </c>
      <c r="AQ119" s="140" t="s">
        <v>263</v>
      </c>
      <c r="AR119" s="151">
        <v>0</v>
      </c>
      <c r="AS119" s="151">
        <v>164.4066948182647</v>
      </c>
      <c r="AT119" s="151">
        <v>-2.5247572921216484E-13</v>
      </c>
      <c r="AU119" s="151">
        <v>-1.6000466177972347E-3</v>
      </c>
      <c r="AV119" s="151">
        <v>-2.2500753402709955E-13</v>
      </c>
      <c r="AW119" s="151">
        <v>-144.03443819286528</v>
      </c>
      <c r="BA119" s="161">
        <f t="shared" si="38"/>
        <v>60</v>
      </c>
      <c r="BB119" s="161">
        <f t="shared" si="39"/>
        <v>70</v>
      </c>
      <c r="BC119" s="161">
        <f t="shared" si="40"/>
        <v>80</v>
      </c>
      <c r="BD119" s="161">
        <f t="shared" si="41"/>
        <v>150</v>
      </c>
      <c r="BE119" s="161">
        <f>HLOOKUP(AO119,Data!$H$31:$Q$35,3,FALSE)</f>
        <v>452.38934211693021</v>
      </c>
      <c r="BF119" s="161">
        <f>HLOOKUP(AO119,Data!$H$31:$Q$35,4,FALSE)</f>
        <v>353</v>
      </c>
      <c r="BG119" s="179">
        <f t="shared" si="42"/>
        <v>180</v>
      </c>
      <c r="BH119" s="185">
        <f t="shared" si="43"/>
        <v>121.65654188208487</v>
      </c>
      <c r="BI119" s="185">
        <f t="shared" si="44"/>
        <v>243</v>
      </c>
      <c r="BJ119" s="185">
        <f t="shared" si="45"/>
        <v>142.3296</v>
      </c>
      <c r="BK119" s="185">
        <f t="shared" si="46"/>
        <v>13.632564638639773</v>
      </c>
      <c r="BL119" s="186">
        <f t="shared" si="47"/>
        <v>0.89458333333333329</v>
      </c>
      <c r="BM119" s="186">
        <f t="shared" si="48"/>
        <v>0.12526256354919341</v>
      </c>
      <c r="BN119" s="185" t="str">
        <f t="shared" si="49"/>
        <v>OK</v>
      </c>
      <c r="BO119" s="185" cm="1">
        <f t="array" ref="BO119">_xll.DCEBoltDisRS(AN119, AE119, BA119, BB119, BC119, BD119, "h1")</f>
        <v>890</v>
      </c>
      <c r="BP119" s="185" cm="1">
        <f t="array" ref="BP119">_xll.DCEBoltDisRS(AN119, AE119, BA119, BB119, BC119, BD119, "Tong")</f>
        <v>1800300</v>
      </c>
      <c r="BQ119" s="185">
        <f t="shared" si="50"/>
        <v>36.965836587079579</v>
      </c>
      <c r="BR119" s="186">
        <f t="shared" si="51"/>
        <v>0.25971994994069808</v>
      </c>
      <c r="BS119" s="185" t="str">
        <f t="shared" si="52"/>
        <v>OK</v>
      </c>
      <c r="BT119" s="186">
        <f t="shared" si="53"/>
        <v>0.28286287014377282</v>
      </c>
      <c r="BU119" s="185" t="str">
        <f t="shared" si="54"/>
        <v>OK</v>
      </c>
      <c r="BV119" s="190">
        <f t="shared" si="55"/>
        <v>192.04591759048705</v>
      </c>
      <c r="BW119" s="191">
        <f t="shared" si="56"/>
        <v>4.3210331457859583</v>
      </c>
      <c r="BX119" s="190">
        <f t="shared" si="57"/>
        <v>96.022958795243525</v>
      </c>
      <c r="BY119" s="167">
        <f t="shared" si="58"/>
        <v>41.071206138163568</v>
      </c>
      <c r="BZ119" s="192">
        <f t="shared" si="59"/>
        <v>0.19965169650496181</v>
      </c>
      <c r="CA119" s="191">
        <f t="shared" si="60"/>
        <v>3.8028894572373675</v>
      </c>
      <c r="CB119" s="193">
        <f t="shared" si="61"/>
        <v>3.187287619811012E-2</v>
      </c>
      <c r="CC119" s="167">
        <f t="shared" si="62"/>
        <v>41.596032002048297</v>
      </c>
      <c r="CD119" s="191">
        <f t="shared" si="63"/>
        <v>0.17582863768981771</v>
      </c>
      <c r="CE119" s="189">
        <f t="shared" si="64"/>
        <v>0.19965169650496181</v>
      </c>
      <c r="CF119" s="194" t="str">
        <f t="shared" si="65"/>
        <v>OK</v>
      </c>
      <c r="DA119" s="140"/>
      <c r="DB119" s="140"/>
      <c r="DC119" s="140"/>
      <c r="DD119" s="141"/>
      <c r="DE119" s="151"/>
      <c r="DF119" s="152"/>
      <c r="DG119" s="152"/>
      <c r="DH119" s="152"/>
      <c r="DI119" s="152"/>
      <c r="DJ119" s="152"/>
      <c r="DK119" s="161"/>
      <c r="DL119" s="162"/>
      <c r="DM119" s="162"/>
      <c r="DN119" s="162"/>
      <c r="DO119" s="162"/>
      <c r="DP119" s="162"/>
      <c r="DQ119" s="140"/>
      <c r="DR119" s="151"/>
      <c r="DS119" s="151"/>
      <c r="DT119" s="151"/>
      <c r="DU119" s="151"/>
      <c r="DV119" s="151"/>
      <c r="DW119" s="151"/>
      <c r="DX119" s="151"/>
      <c r="DY119" s="151"/>
      <c r="DZ119" s="151"/>
      <c r="EA119" s="161"/>
      <c r="EB119" s="161"/>
      <c r="EC119" s="161"/>
      <c r="ED119" s="161"/>
      <c r="EE119" s="161"/>
      <c r="EF119" s="161"/>
      <c r="EG119" s="161"/>
      <c r="EH119" s="161"/>
      <c r="EI119" s="161"/>
      <c r="EJ119" s="161"/>
      <c r="EK119" s="209"/>
      <c r="EL119" s="161"/>
      <c r="EM119" s="187"/>
      <c r="EN119" s="187"/>
      <c r="EO119" s="206"/>
      <c r="EP119" s="212"/>
      <c r="EQ119" s="208"/>
      <c r="ER119" s="187"/>
      <c r="ES119" s="187"/>
      <c r="ET119" s="187"/>
      <c r="EU119" s="187"/>
      <c r="EV119" s="210"/>
      <c r="EW119" s="209"/>
      <c r="EX119" s="210"/>
      <c r="EY119" s="162"/>
      <c r="EZ119" s="211"/>
      <c r="FA119" s="209"/>
      <c r="FB119" s="207"/>
      <c r="FC119" s="162"/>
      <c r="FD119" s="209"/>
      <c r="FE119" s="187"/>
      <c r="FF119" s="187"/>
    </row>
    <row r="120" spans="27:162">
      <c r="AA120" s="140" t="s">
        <v>210</v>
      </c>
      <c r="AB120" s="140" t="s">
        <v>238</v>
      </c>
      <c r="AC120" s="140">
        <v>46</v>
      </c>
      <c r="AD120" s="141">
        <v>2.6850000000000001</v>
      </c>
      <c r="AE120" s="151">
        <v>1100</v>
      </c>
      <c r="AF120" s="152">
        <v>350</v>
      </c>
      <c r="AG120" s="152">
        <v>14</v>
      </c>
      <c r="AH120" s="152">
        <v>18.000000000000004</v>
      </c>
      <c r="AI120" s="152">
        <v>1064</v>
      </c>
      <c r="AJ120" s="153" t="str" cm="1">
        <f t="array" ref="AJ120">_xll.Dce_Name_SectI(AE120, AE120, AF120, AG120, AH120, "x", "-", "H Tổng")</f>
        <v>1100x350x14x18</v>
      </c>
      <c r="AK120" s="161">
        <f t="shared" si="36"/>
        <v>1360</v>
      </c>
      <c r="AL120" s="162" cm="1">
        <f t="array" ref="AL120">IFERROR(INDEX($B$25:$B$32,IFERROR(MATCH(AF120,$B$25:$B$32,0),MATCH(AF120,$B$25:$B$32,1)+1)),$B$25)</f>
        <v>350</v>
      </c>
      <c r="AM120" s="162" cm="1">
        <f t="array" ref="AM120">IFERROR(VLOOKUP(AE120,$B$36:$E$47,4,FALSE),INDEX($E$36:$E$47,MATCH(AE120,$B$36:$B$47,1)+1))</f>
        <v>25</v>
      </c>
      <c r="AN120" s="162" cm="1">
        <f t="array" ref="AN120">IFERROR(VLOOKUP(AE120,$B$36:$E$47,2,FALSE),INDEX($C$36:$C$47,MATCH(AE120,$B$36:$B$47,1)+1))</f>
        <v>12</v>
      </c>
      <c r="AO120" s="162" cm="1">
        <f t="array" ref="AO120">IFERROR(VLOOKUP(AE120,$B$36:$E$47,3,FALSE),INDEX($D$36:$D$47,MATCH(AE120,$B$36:$B$47,1)+1))</f>
        <v>24</v>
      </c>
      <c r="AP120" s="163" t="str">
        <f t="shared" si="37"/>
        <v>1360x350x25 + 12M24</v>
      </c>
      <c r="AQ120" s="140" t="s">
        <v>263</v>
      </c>
      <c r="AR120" s="151">
        <v>0</v>
      </c>
      <c r="AS120" s="151">
        <v>222.01046454283963</v>
      </c>
      <c r="AT120" s="151">
        <v>5.4114934755489221E-14</v>
      </c>
      <c r="AU120" s="151">
        <v>-1.59980958490187E-3</v>
      </c>
      <c r="AV120" s="151">
        <v>-8.6472118709934861E-14</v>
      </c>
      <c r="AW120" s="151">
        <v>-671.19874553533748</v>
      </c>
      <c r="BA120" s="161">
        <f t="shared" si="38"/>
        <v>60</v>
      </c>
      <c r="BB120" s="161">
        <f t="shared" si="39"/>
        <v>70</v>
      </c>
      <c r="BC120" s="161">
        <f t="shared" si="40"/>
        <v>80</v>
      </c>
      <c r="BD120" s="161">
        <f t="shared" si="41"/>
        <v>150</v>
      </c>
      <c r="BE120" s="161">
        <f>HLOOKUP(AO120,Data!$H$31:$Q$35,3,FALSE)</f>
        <v>452.38934211693021</v>
      </c>
      <c r="BF120" s="161">
        <f>HLOOKUP(AO120,Data!$H$31:$Q$35,4,FALSE)</f>
        <v>353</v>
      </c>
      <c r="BG120" s="179">
        <f t="shared" si="42"/>
        <v>180</v>
      </c>
      <c r="BH120" s="185">
        <f t="shared" si="43"/>
        <v>121.65654188208487</v>
      </c>
      <c r="BI120" s="185">
        <f t="shared" si="44"/>
        <v>243</v>
      </c>
      <c r="BJ120" s="185">
        <f t="shared" si="45"/>
        <v>142.3296</v>
      </c>
      <c r="BK120" s="185">
        <f t="shared" si="46"/>
        <v>18.409055736326795</v>
      </c>
      <c r="BL120" s="186">
        <f t="shared" si="47"/>
        <v>0.82166666666666666</v>
      </c>
      <c r="BM120" s="186">
        <f t="shared" si="48"/>
        <v>0.18416214994519817</v>
      </c>
      <c r="BN120" s="185" t="str">
        <f t="shared" si="49"/>
        <v>OK</v>
      </c>
      <c r="BO120" s="185" cm="1">
        <f t="array" ref="BO120">_xll.DCEBoltDisRS(AN120, AE120, BA120, BB120, BC120, BD120, "h1")</f>
        <v>1240</v>
      </c>
      <c r="BP120" s="185" cm="1">
        <f t="array" ref="BP120">_xll.DCEBoltDisRS(AN120, AE120, BA120, BB120, BC120, BD120, "Tong")</f>
        <v>3721800</v>
      </c>
      <c r="BQ120" s="185">
        <f t="shared" si="50"/>
        <v>113.65326041051516</v>
      </c>
      <c r="BR120" s="186">
        <f t="shared" si="51"/>
        <v>0.79852160345082934</v>
      </c>
      <c r="BS120" s="185" t="str">
        <f t="shared" si="52"/>
        <v>OK</v>
      </c>
      <c r="BT120" s="186">
        <f t="shared" si="53"/>
        <v>0.81273271330422414</v>
      </c>
      <c r="BU120" s="185" t="str">
        <f t="shared" si="54"/>
        <v>OK</v>
      </c>
      <c r="BV120" s="190">
        <f t="shared" si="55"/>
        <v>610.18067775939767</v>
      </c>
      <c r="BW120" s="191">
        <f t="shared" si="56"/>
        <v>13.729065249586448</v>
      </c>
      <c r="BX120" s="190">
        <f t="shared" si="57"/>
        <v>305.09033887969883</v>
      </c>
      <c r="BY120" s="167">
        <f t="shared" si="58"/>
        <v>96.911048820610219</v>
      </c>
      <c r="BZ120" s="192">
        <f t="shared" si="59"/>
        <v>0.47109537621129971</v>
      </c>
      <c r="CA120" s="191">
        <f t="shared" si="60"/>
        <v>8.9732452611676123</v>
      </c>
      <c r="CB120" s="193">
        <f t="shared" si="61"/>
        <v>7.5206796968598291E-2</v>
      </c>
      <c r="CC120" s="167">
        <f t="shared" si="62"/>
        <v>98.14942065576291</v>
      </c>
      <c r="CD120" s="191">
        <f t="shared" si="63"/>
        <v>0.4148828167816066</v>
      </c>
      <c r="CE120" s="189">
        <f t="shared" si="64"/>
        <v>0.47109537621129971</v>
      </c>
      <c r="CF120" s="194" t="str">
        <f t="shared" si="65"/>
        <v>OK</v>
      </c>
      <c r="DA120" s="140"/>
      <c r="DB120" s="140"/>
      <c r="DC120" s="140"/>
      <c r="DD120" s="141"/>
      <c r="DE120" s="151"/>
      <c r="DF120" s="152"/>
      <c r="DG120" s="152"/>
      <c r="DH120" s="152"/>
      <c r="DI120" s="152"/>
      <c r="DJ120" s="152"/>
      <c r="DK120" s="161"/>
      <c r="DL120" s="162"/>
      <c r="DM120" s="162"/>
      <c r="DN120" s="162"/>
      <c r="DO120" s="162"/>
      <c r="DP120" s="162"/>
      <c r="DQ120" s="140"/>
      <c r="DR120" s="151"/>
      <c r="DS120" s="151"/>
      <c r="DT120" s="151"/>
      <c r="DU120" s="151"/>
      <c r="DV120" s="151"/>
      <c r="DW120" s="151"/>
      <c r="DX120" s="151"/>
      <c r="DY120" s="151"/>
      <c r="DZ120" s="151"/>
      <c r="EA120" s="161"/>
      <c r="EB120" s="161"/>
      <c r="EC120" s="161"/>
      <c r="ED120" s="161"/>
      <c r="EE120" s="161"/>
      <c r="EF120" s="161"/>
      <c r="EG120" s="161"/>
      <c r="EH120" s="161"/>
      <c r="EI120" s="161"/>
      <c r="EJ120" s="161"/>
      <c r="EK120" s="209"/>
      <c r="EL120" s="161"/>
      <c r="EM120" s="187"/>
      <c r="EN120" s="187"/>
      <c r="EO120" s="206"/>
      <c r="EP120" s="212"/>
      <c r="EQ120" s="208"/>
      <c r="ER120" s="187"/>
      <c r="ES120" s="187"/>
      <c r="ET120" s="187"/>
      <c r="EU120" s="187"/>
      <c r="EV120" s="210"/>
      <c r="EW120" s="209"/>
      <c r="EX120" s="210"/>
      <c r="EY120" s="162"/>
      <c r="EZ120" s="211"/>
      <c r="FA120" s="209"/>
      <c r="FB120" s="207"/>
      <c r="FC120" s="162"/>
      <c r="FD120" s="209"/>
      <c r="FE120" s="187"/>
      <c r="FF120" s="187"/>
    </row>
    <row r="121" spans="27:162">
      <c r="AA121" s="140" t="s">
        <v>210</v>
      </c>
      <c r="AB121" s="140" t="s">
        <v>238</v>
      </c>
      <c r="AC121" s="140">
        <v>46</v>
      </c>
      <c r="AD121" s="141">
        <v>0</v>
      </c>
      <c r="AE121" s="151">
        <v>750</v>
      </c>
      <c r="AF121" s="152">
        <v>350</v>
      </c>
      <c r="AG121" s="152">
        <v>14</v>
      </c>
      <c r="AH121" s="152">
        <v>18.000000000000004</v>
      </c>
      <c r="AI121" s="152">
        <v>714</v>
      </c>
      <c r="AJ121" s="153" t="str" cm="1">
        <f t="array" ref="AJ121">_xll.Dce_Name_SectI(AE121, AE121, AF121, AG121, AH121, "x", "-", "H Tổng")</f>
        <v>750x350x14x18</v>
      </c>
      <c r="AK121" s="161">
        <f t="shared" si="36"/>
        <v>1010</v>
      </c>
      <c r="AL121" s="162" cm="1">
        <f t="array" ref="AL121">IFERROR(INDEX($B$25:$B$32,IFERROR(MATCH(AF121,$B$25:$B$32,0),MATCH(AF121,$B$25:$B$32,1)+1)),$B$25)</f>
        <v>350</v>
      </c>
      <c r="AM121" s="162" cm="1">
        <f t="array" ref="AM121">IFERROR(VLOOKUP(AE121,$B$36:$E$47,4,FALSE),INDEX($E$36:$E$47,MATCH(AE121,$B$36:$B$47,1)+1))</f>
        <v>25</v>
      </c>
      <c r="AN121" s="162" cm="1">
        <f t="array" ref="AN121">IFERROR(VLOOKUP(AE121,$B$36:$E$47,2,FALSE),INDEX($C$36:$C$47,MATCH(AE121,$B$36:$B$47,1)+1))</f>
        <v>12</v>
      </c>
      <c r="AO121" s="162" cm="1">
        <f t="array" ref="AO121">IFERROR(VLOOKUP(AE121,$B$36:$E$47,3,FALSE),INDEX($D$36:$D$47,MATCH(AE121,$B$36:$B$47,1)+1))</f>
        <v>24</v>
      </c>
      <c r="AP121" s="163" t="str">
        <f t="shared" si="37"/>
        <v>1010x350x25 + 12M24</v>
      </c>
      <c r="AQ121" s="140" t="s">
        <v>264</v>
      </c>
      <c r="AR121" s="151">
        <v>0</v>
      </c>
      <c r="AS121" s="151">
        <v>165.42899330208013</v>
      </c>
      <c r="AT121" s="151">
        <v>-1.9645085558295248E-14</v>
      </c>
      <c r="AU121" s="151">
        <v>-1.5952219042667855E-3</v>
      </c>
      <c r="AV121" s="151">
        <v>-4.6193599700927721E-14</v>
      </c>
      <c r="AW121" s="151">
        <v>-144.02114316452545</v>
      </c>
      <c r="BA121" s="161">
        <f t="shared" si="38"/>
        <v>60</v>
      </c>
      <c r="BB121" s="161">
        <f t="shared" si="39"/>
        <v>70</v>
      </c>
      <c r="BC121" s="161">
        <f t="shared" si="40"/>
        <v>80</v>
      </c>
      <c r="BD121" s="161">
        <f t="shared" si="41"/>
        <v>150</v>
      </c>
      <c r="BE121" s="161">
        <f>HLOOKUP(AO121,Data!$H$31:$Q$35,3,FALSE)</f>
        <v>452.38934211693021</v>
      </c>
      <c r="BF121" s="161">
        <f>HLOOKUP(AO121,Data!$H$31:$Q$35,4,FALSE)</f>
        <v>353</v>
      </c>
      <c r="BG121" s="179">
        <f t="shared" si="42"/>
        <v>180</v>
      </c>
      <c r="BH121" s="185">
        <f t="shared" si="43"/>
        <v>121.65654188208487</v>
      </c>
      <c r="BI121" s="185">
        <f t="shared" si="44"/>
        <v>243</v>
      </c>
      <c r="BJ121" s="185">
        <f t="shared" si="45"/>
        <v>142.3296</v>
      </c>
      <c r="BK121" s="185">
        <f t="shared" si="46"/>
        <v>13.717333389547411</v>
      </c>
      <c r="BL121" s="186">
        <f t="shared" si="47"/>
        <v>0.89458333333333329</v>
      </c>
      <c r="BM121" s="186">
        <f t="shared" si="48"/>
        <v>0.12604145962113703</v>
      </c>
      <c r="BN121" s="185" t="str">
        <f t="shared" si="49"/>
        <v>OK</v>
      </c>
      <c r="BO121" s="185" cm="1">
        <f t="array" ref="BO121">_xll.DCEBoltDisRS(AN121, AE121, BA121, BB121, BC121, BD121, "h1")</f>
        <v>890</v>
      </c>
      <c r="BP121" s="185" cm="1">
        <f t="array" ref="BP121">_xll.DCEBoltDisRS(AN121, AE121, BA121, BB121, BC121, BD121, "Tong")</f>
        <v>1800300</v>
      </c>
      <c r="BQ121" s="185">
        <f t="shared" si="50"/>
        <v>36.971027183432781</v>
      </c>
      <c r="BR121" s="186">
        <f t="shared" si="51"/>
        <v>0.2597564187873273</v>
      </c>
      <c r="BS121" s="185" t="str">
        <f t="shared" si="52"/>
        <v>OK</v>
      </c>
      <c r="BT121" s="186">
        <f t="shared" si="53"/>
        <v>0.28317308216210646</v>
      </c>
      <c r="BU121" s="185" t="str">
        <f t="shared" si="54"/>
        <v>OK</v>
      </c>
      <c r="BV121" s="190">
        <f t="shared" si="55"/>
        <v>192.02819088603394</v>
      </c>
      <c r="BW121" s="191">
        <f t="shared" si="56"/>
        <v>4.3206342949357639</v>
      </c>
      <c r="BX121" s="190">
        <f t="shared" si="57"/>
        <v>96.01409544301697</v>
      </c>
      <c r="BY121" s="167">
        <f t="shared" si="58"/>
        <v>41.067415080577554</v>
      </c>
      <c r="BZ121" s="192">
        <f t="shared" si="59"/>
        <v>0.19963326775280757</v>
      </c>
      <c r="CA121" s="191">
        <f t="shared" si="60"/>
        <v>3.8025384333868106</v>
      </c>
      <c r="CB121" s="193">
        <f t="shared" si="61"/>
        <v>3.186993418786839E-2</v>
      </c>
      <c r="CC121" s="167">
        <f t="shared" si="62"/>
        <v>41.592192500667721</v>
      </c>
      <c r="CD121" s="191">
        <f t="shared" si="63"/>
        <v>0.17581240791345054</v>
      </c>
      <c r="CE121" s="189">
        <f t="shared" si="64"/>
        <v>0.19963326775280757</v>
      </c>
      <c r="CF121" s="194" t="str">
        <f t="shared" si="65"/>
        <v>OK</v>
      </c>
      <c r="DA121" s="140"/>
      <c r="DB121" s="140"/>
      <c r="DC121" s="140"/>
      <c r="DD121" s="141"/>
      <c r="DE121" s="151"/>
      <c r="DF121" s="152"/>
      <c r="DG121" s="152"/>
      <c r="DH121" s="152"/>
      <c r="DI121" s="152"/>
      <c r="DJ121" s="152"/>
      <c r="DK121" s="161"/>
      <c r="DL121" s="162"/>
      <c r="DM121" s="162"/>
      <c r="DN121" s="162"/>
      <c r="DO121" s="162"/>
      <c r="DP121" s="162"/>
      <c r="DQ121" s="140"/>
      <c r="DR121" s="151"/>
      <c r="DS121" s="151"/>
      <c r="DT121" s="151"/>
      <c r="DU121" s="151"/>
      <c r="DV121" s="151"/>
      <c r="DW121" s="151"/>
      <c r="DX121" s="151"/>
      <c r="DY121" s="151"/>
      <c r="DZ121" s="151"/>
      <c r="EA121" s="161"/>
      <c r="EB121" s="161"/>
      <c r="EC121" s="161"/>
      <c r="ED121" s="161"/>
      <c r="EE121" s="161"/>
      <c r="EF121" s="161"/>
      <c r="EG121" s="161"/>
      <c r="EH121" s="161"/>
      <c r="EI121" s="161"/>
      <c r="EJ121" s="161"/>
      <c r="EK121" s="209"/>
      <c r="EL121" s="161"/>
      <c r="EM121" s="187"/>
      <c r="EN121" s="187"/>
      <c r="EO121" s="206"/>
      <c r="EP121" s="212"/>
      <c r="EQ121" s="208"/>
      <c r="ER121" s="187"/>
      <c r="ES121" s="187"/>
      <c r="ET121" s="187"/>
      <c r="EU121" s="187"/>
      <c r="EV121" s="210"/>
      <c r="EW121" s="209"/>
      <c r="EX121" s="210"/>
      <c r="EY121" s="162"/>
      <c r="EZ121" s="211"/>
      <c r="FA121" s="209"/>
      <c r="FB121" s="207"/>
      <c r="FC121" s="162"/>
      <c r="FD121" s="209"/>
      <c r="FE121" s="187"/>
      <c r="FF121" s="187"/>
    </row>
    <row r="122" spans="27:162">
      <c r="AA122" s="140" t="s">
        <v>210</v>
      </c>
      <c r="AB122" s="140" t="s">
        <v>238</v>
      </c>
      <c r="AC122" s="140">
        <v>46</v>
      </c>
      <c r="AD122" s="141">
        <v>2.6850000000000001</v>
      </c>
      <c r="AE122" s="151">
        <v>1100</v>
      </c>
      <c r="AF122" s="152">
        <v>350</v>
      </c>
      <c r="AG122" s="152">
        <v>14</v>
      </c>
      <c r="AH122" s="152">
        <v>18.000000000000004</v>
      </c>
      <c r="AI122" s="152">
        <v>1064</v>
      </c>
      <c r="AJ122" s="153" t="str" cm="1">
        <f t="array" ref="AJ122">_xll.Dce_Name_SectI(AE122, AE122, AF122, AG122, AH122, "x", "-", "H Tổng")</f>
        <v>1100x350x14x18</v>
      </c>
      <c r="AK122" s="161">
        <f t="shared" si="36"/>
        <v>1360</v>
      </c>
      <c r="AL122" s="162" cm="1">
        <f t="array" ref="AL122">IFERROR(INDEX($B$25:$B$32,IFERROR(MATCH(AF122,$B$25:$B$32,0),MATCH(AF122,$B$25:$B$32,1)+1)),$B$25)</f>
        <v>350</v>
      </c>
      <c r="AM122" s="162" cm="1">
        <f t="array" ref="AM122">IFERROR(VLOOKUP(AE122,$B$36:$E$47,4,FALSE),INDEX($E$36:$E$47,MATCH(AE122,$B$36:$B$47,1)+1))</f>
        <v>25</v>
      </c>
      <c r="AN122" s="162" cm="1">
        <f t="array" ref="AN122">IFERROR(VLOOKUP(AE122,$B$36:$E$47,2,FALSE),INDEX($C$36:$C$47,MATCH(AE122,$B$36:$B$47,1)+1))</f>
        <v>12</v>
      </c>
      <c r="AO122" s="162" cm="1">
        <f t="array" ref="AO122">IFERROR(VLOOKUP(AE122,$B$36:$E$47,3,FALSE),INDEX($D$36:$D$47,MATCH(AE122,$B$36:$B$47,1)+1))</f>
        <v>24</v>
      </c>
      <c r="AP122" s="163" t="str">
        <f t="shared" si="37"/>
        <v>1360x350x25 + 12M24</v>
      </c>
      <c r="AQ122" s="140" t="s">
        <v>264</v>
      </c>
      <c r="AR122" s="151">
        <v>0</v>
      </c>
      <c r="AS122" s="151">
        <v>223.03276325226096</v>
      </c>
      <c r="AT122" s="151">
        <v>-4.092726157978176E-15</v>
      </c>
      <c r="AU122" s="151">
        <v>-1.5949849513278986E-3</v>
      </c>
      <c r="AV122" s="151">
        <v>1.1304109648335722E-15</v>
      </c>
      <c r="AW122" s="151">
        <v>-673.93031158604106</v>
      </c>
      <c r="BA122" s="161">
        <f t="shared" si="38"/>
        <v>60</v>
      </c>
      <c r="BB122" s="161">
        <f t="shared" si="39"/>
        <v>70</v>
      </c>
      <c r="BC122" s="161">
        <f t="shared" si="40"/>
        <v>80</v>
      </c>
      <c r="BD122" s="161">
        <f t="shared" si="41"/>
        <v>150</v>
      </c>
      <c r="BE122" s="161">
        <f>HLOOKUP(AO122,Data!$H$31:$Q$35,3,FALSE)</f>
        <v>452.38934211693021</v>
      </c>
      <c r="BF122" s="161">
        <f>HLOOKUP(AO122,Data!$H$31:$Q$35,4,FALSE)</f>
        <v>353</v>
      </c>
      <c r="BG122" s="179">
        <f t="shared" si="42"/>
        <v>180</v>
      </c>
      <c r="BH122" s="185">
        <f t="shared" si="43"/>
        <v>121.65654188208487</v>
      </c>
      <c r="BI122" s="185">
        <f t="shared" si="44"/>
        <v>243</v>
      </c>
      <c r="BJ122" s="185">
        <f t="shared" si="45"/>
        <v>142.3296</v>
      </c>
      <c r="BK122" s="185">
        <f t="shared" si="46"/>
        <v>18.493824505941621</v>
      </c>
      <c r="BL122" s="186">
        <f t="shared" si="47"/>
        <v>0.82166666666666666</v>
      </c>
      <c r="BM122" s="186">
        <f t="shared" si="48"/>
        <v>0.18501016730600553</v>
      </c>
      <c r="BN122" s="185" t="str">
        <f t="shared" si="49"/>
        <v>OK</v>
      </c>
      <c r="BO122" s="185" cm="1">
        <f t="array" ref="BO122">_xll.DCEBoltDisRS(AN122, AE122, BA122, BB122, BC122, BD122, "h1")</f>
        <v>1240</v>
      </c>
      <c r="BP122" s="185" cm="1">
        <f t="array" ref="BP122">_xll.DCEBoltDisRS(AN122, AE122, BA122, BB122, BC122, BD122, "Tong")</f>
        <v>3721800</v>
      </c>
      <c r="BQ122" s="185">
        <f t="shared" si="50"/>
        <v>114.11677811488173</v>
      </c>
      <c r="BR122" s="186">
        <f t="shared" si="51"/>
        <v>0.80177825353884036</v>
      </c>
      <c r="BS122" s="185" t="str">
        <f t="shared" si="52"/>
        <v>OK</v>
      </c>
      <c r="BT122" s="186">
        <f t="shared" si="53"/>
        <v>0.81606215518002923</v>
      </c>
      <c r="BU122" s="185" t="str">
        <f t="shared" si="54"/>
        <v>OK</v>
      </c>
      <c r="BV122" s="190">
        <f t="shared" si="55"/>
        <v>612.66391962367368</v>
      </c>
      <c r="BW122" s="191">
        <f t="shared" si="56"/>
        <v>13.784938191532657</v>
      </c>
      <c r="BX122" s="190">
        <f t="shared" si="57"/>
        <v>306.33195981183684</v>
      </c>
      <c r="BY122" s="167">
        <f t="shared" si="58"/>
        <v>97.305446057877575</v>
      </c>
      <c r="BZ122" s="192">
        <f t="shared" si="59"/>
        <v>0.47301258500357157</v>
      </c>
      <c r="CA122" s="191">
        <f t="shared" si="60"/>
        <v>9.0097635238775542</v>
      </c>
      <c r="CB122" s="193">
        <f t="shared" si="61"/>
        <v>7.5512864783456521E-2</v>
      </c>
      <c r="CC122" s="167">
        <f t="shared" si="62"/>
        <v>98.548857673699629</v>
      </c>
      <c r="CD122" s="191">
        <f t="shared" si="63"/>
        <v>0.41657125828254682</v>
      </c>
      <c r="CE122" s="189">
        <f t="shared" si="64"/>
        <v>0.47301258500357157</v>
      </c>
      <c r="CF122" s="194" t="str">
        <f t="shared" si="65"/>
        <v>OK</v>
      </c>
      <c r="DA122" s="140"/>
      <c r="DB122" s="140"/>
      <c r="DC122" s="140"/>
      <c r="DD122" s="141"/>
      <c r="DE122" s="151"/>
      <c r="DF122" s="152"/>
      <c r="DG122" s="152"/>
      <c r="DH122" s="152"/>
      <c r="DI122" s="152"/>
      <c r="DJ122" s="152"/>
      <c r="DK122" s="161"/>
      <c r="DL122" s="162"/>
      <c r="DM122" s="162"/>
      <c r="DN122" s="162"/>
      <c r="DO122" s="162"/>
      <c r="DP122" s="162"/>
      <c r="DQ122" s="140"/>
      <c r="DR122" s="151"/>
      <c r="DS122" s="151"/>
      <c r="DT122" s="151"/>
      <c r="DU122" s="151"/>
      <c r="DV122" s="151"/>
      <c r="DW122" s="151"/>
      <c r="DX122" s="151"/>
      <c r="DY122" s="151"/>
      <c r="DZ122" s="151"/>
      <c r="EA122" s="161"/>
      <c r="EB122" s="161"/>
      <c r="EC122" s="161"/>
      <c r="ED122" s="161"/>
      <c r="EE122" s="161"/>
      <c r="EF122" s="161"/>
      <c r="EG122" s="161"/>
      <c r="EH122" s="161"/>
      <c r="EI122" s="161"/>
      <c r="EJ122" s="161"/>
      <c r="EK122" s="209"/>
      <c r="EL122" s="161"/>
      <c r="EM122" s="187"/>
      <c r="EN122" s="187"/>
      <c r="EO122" s="206"/>
      <c r="EP122" s="212"/>
      <c r="EQ122" s="208"/>
      <c r="ER122" s="187"/>
      <c r="ES122" s="187"/>
      <c r="ET122" s="187"/>
      <c r="EU122" s="187"/>
      <c r="EV122" s="210"/>
      <c r="EW122" s="209"/>
      <c r="EX122" s="210"/>
      <c r="EY122" s="162"/>
      <c r="EZ122" s="211"/>
      <c r="FA122" s="209"/>
      <c r="FB122" s="207"/>
      <c r="FC122" s="162"/>
      <c r="FD122" s="209"/>
      <c r="FE122" s="187"/>
      <c r="FF122" s="187"/>
    </row>
    <row r="123" spans="27:162">
      <c r="AA123" s="140" t="s">
        <v>210</v>
      </c>
      <c r="AB123" s="140" t="s">
        <v>238</v>
      </c>
      <c r="AC123" s="140">
        <v>46</v>
      </c>
      <c r="AD123" s="141">
        <v>0</v>
      </c>
      <c r="AE123" s="151">
        <v>750</v>
      </c>
      <c r="AF123" s="152">
        <v>350</v>
      </c>
      <c r="AG123" s="152">
        <v>14</v>
      </c>
      <c r="AH123" s="152">
        <v>18.000000000000004</v>
      </c>
      <c r="AI123" s="152">
        <v>714</v>
      </c>
      <c r="AJ123" s="153" t="str" cm="1">
        <f t="array" ref="AJ123">_xll.Dce_Name_SectI(AE123, AE123, AF123, AG123, AH123, "x", "-", "H Tổng")</f>
        <v>750x350x14x18</v>
      </c>
      <c r="AK123" s="161">
        <f t="shared" si="36"/>
        <v>1010</v>
      </c>
      <c r="AL123" s="162" cm="1">
        <f t="array" ref="AL123">IFERROR(INDEX($B$25:$B$32,IFERROR(MATCH(AF123,$B$25:$B$32,0),MATCH(AF123,$B$25:$B$32,1)+1)),$B$25)</f>
        <v>350</v>
      </c>
      <c r="AM123" s="162" cm="1">
        <f t="array" ref="AM123">IFERROR(VLOOKUP(AE123,$B$36:$E$47,4,FALSE),INDEX($E$36:$E$47,MATCH(AE123,$B$36:$B$47,1)+1))</f>
        <v>25</v>
      </c>
      <c r="AN123" s="162" cm="1">
        <f t="array" ref="AN123">IFERROR(VLOOKUP(AE123,$B$36:$E$47,2,FALSE),INDEX($C$36:$C$47,MATCH(AE123,$B$36:$B$47,1)+1))</f>
        <v>12</v>
      </c>
      <c r="AO123" s="162" cm="1">
        <f t="array" ref="AO123">IFERROR(VLOOKUP(AE123,$B$36:$E$47,3,FALSE),INDEX($D$36:$D$47,MATCH(AE123,$B$36:$B$47,1)+1))</f>
        <v>24</v>
      </c>
      <c r="AP123" s="163" t="str">
        <f t="shared" si="37"/>
        <v>1010x350x25 + 12M24</v>
      </c>
      <c r="AQ123" s="140" t="s">
        <v>265</v>
      </c>
      <c r="AR123" s="151">
        <v>0</v>
      </c>
      <c r="AS123" s="151">
        <v>166.98497078667592</v>
      </c>
      <c r="AT123" s="151">
        <v>-2.1464074961841103E-14</v>
      </c>
      <c r="AU123" s="151">
        <v>-1.5234827854518041E-3</v>
      </c>
      <c r="AV123" s="151">
        <v>1.8998980522155757E-14</v>
      </c>
      <c r="AW123" s="151">
        <v>-164.4590792712514</v>
      </c>
      <c r="BA123" s="161">
        <f t="shared" si="38"/>
        <v>60</v>
      </c>
      <c r="BB123" s="161">
        <f t="shared" si="39"/>
        <v>70</v>
      </c>
      <c r="BC123" s="161">
        <f t="shared" si="40"/>
        <v>80</v>
      </c>
      <c r="BD123" s="161">
        <f t="shared" si="41"/>
        <v>150</v>
      </c>
      <c r="BE123" s="161">
        <f>HLOOKUP(AO123,Data!$H$31:$Q$35,3,FALSE)</f>
        <v>452.38934211693021</v>
      </c>
      <c r="BF123" s="161">
        <f>HLOOKUP(AO123,Data!$H$31:$Q$35,4,FALSE)</f>
        <v>353</v>
      </c>
      <c r="BG123" s="179">
        <f t="shared" si="42"/>
        <v>180</v>
      </c>
      <c r="BH123" s="185">
        <f t="shared" si="43"/>
        <v>121.65654188208487</v>
      </c>
      <c r="BI123" s="185">
        <f t="shared" si="44"/>
        <v>243</v>
      </c>
      <c r="BJ123" s="185">
        <f t="shared" si="45"/>
        <v>142.3296</v>
      </c>
      <c r="BK123" s="185">
        <f t="shared" si="46"/>
        <v>13.84635467823926</v>
      </c>
      <c r="BL123" s="186">
        <f t="shared" si="47"/>
        <v>0.89458333333333329</v>
      </c>
      <c r="BM123" s="186">
        <f t="shared" si="48"/>
        <v>0.12722696930345709</v>
      </c>
      <c r="BN123" s="185" t="str">
        <f t="shared" si="49"/>
        <v>OK</v>
      </c>
      <c r="BO123" s="185" cm="1">
        <f t="array" ref="BO123">_xll.DCEBoltDisRS(AN123, AE123, BA123, BB123, BC123, BD123, "h1")</f>
        <v>890</v>
      </c>
      <c r="BP123" s="185" cm="1">
        <f t="array" ref="BP123">_xll.DCEBoltDisRS(AN123, AE123, BA123, BB123, BC123, BD123, "Tong")</f>
        <v>1800300</v>
      </c>
      <c r="BQ123" s="185">
        <f t="shared" si="50"/>
        <v>42.035799315908619</v>
      </c>
      <c r="BR123" s="186">
        <f t="shared" si="51"/>
        <v>0.29534123131034318</v>
      </c>
      <c r="BS123" s="185" t="str">
        <f t="shared" si="52"/>
        <v>OK</v>
      </c>
      <c r="BT123" s="186">
        <f t="shared" si="53"/>
        <v>0.31651275785373667</v>
      </c>
      <c r="BU123" s="185" t="str">
        <f t="shared" si="54"/>
        <v>OK</v>
      </c>
      <c r="BV123" s="190">
        <f t="shared" si="55"/>
        <v>219.27877236166853</v>
      </c>
      <c r="BW123" s="191">
        <f t="shared" si="56"/>
        <v>4.933772378137542</v>
      </c>
      <c r="BX123" s="190">
        <f t="shared" si="57"/>
        <v>109.63938618083426</v>
      </c>
      <c r="BY123" s="167">
        <f t="shared" si="58"/>
        <v>46.895262208040002</v>
      </c>
      <c r="BZ123" s="192">
        <f t="shared" si="59"/>
        <v>0.22796308017797226</v>
      </c>
      <c r="CA123" s="191">
        <f t="shared" si="60"/>
        <v>4.3421539081518521</v>
      </c>
      <c r="CB123" s="193">
        <f t="shared" si="61"/>
        <v>3.6392573463916389E-2</v>
      </c>
      <c r="CC123" s="167">
        <f t="shared" si="62"/>
        <v>47.4945104116998</v>
      </c>
      <c r="CD123" s="191">
        <f t="shared" si="63"/>
        <v>0.2007618193731272</v>
      </c>
      <c r="CE123" s="189">
        <f t="shared" si="64"/>
        <v>0.22796308017797226</v>
      </c>
      <c r="CF123" s="194" t="str">
        <f t="shared" si="65"/>
        <v>OK</v>
      </c>
      <c r="DA123" s="140"/>
      <c r="DB123" s="140"/>
      <c r="DC123" s="140"/>
      <c r="DD123" s="141"/>
      <c r="DE123" s="151"/>
      <c r="DF123" s="152"/>
      <c r="DG123" s="152"/>
      <c r="DH123" s="152"/>
      <c r="DI123" s="152"/>
      <c r="DJ123" s="152"/>
      <c r="DK123" s="161"/>
      <c r="DL123" s="162"/>
      <c r="DM123" s="162"/>
      <c r="DN123" s="162"/>
      <c r="DO123" s="162"/>
      <c r="DP123" s="162"/>
      <c r="DQ123" s="140"/>
      <c r="DR123" s="151"/>
      <c r="DS123" s="151"/>
      <c r="DT123" s="151"/>
      <c r="DU123" s="151"/>
      <c r="DV123" s="151"/>
      <c r="DW123" s="151"/>
      <c r="DX123" s="151"/>
      <c r="DY123" s="151"/>
      <c r="DZ123" s="151"/>
      <c r="EA123" s="161"/>
      <c r="EB123" s="161"/>
      <c r="EC123" s="161"/>
      <c r="ED123" s="161"/>
      <c r="EE123" s="161"/>
      <c r="EF123" s="161"/>
      <c r="EG123" s="161"/>
      <c r="EH123" s="161"/>
      <c r="EI123" s="161"/>
      <c r="EJ123" s="161"/>
      <c r="EK123" s="209"/>
      <c r="EL123" s="161"/>
      <c r="EM123" s="187"/>
      <c r="EN123" s="187"/>
      <c r="EO123" s="206"/>
      <c r="EP123" s="212"/>
      <c r="EQ123" s="208"/>
      <c r="ER123" s="187"/>
      <c r="ES123" s="187"/>
      <c r="ET123" s="187"/>
      <c r="EU123" s="187"/>
      <c r="EV123" s="210"/>
      <c r="EW123" s="209"/>
      <c r="EX123" s="210"/>
      <c r="EY123" s="162"/>
      <c r="EZ123" s="211"/>
      <c r="FA123" s="209"/>
      <c r="FB123" s="207"/>
      <c r="FC123" s="162"/>
      <c r="FD123" s="209"/>
      <c r="FE123" s="187"/>
      <c r="FF123" s="187"/>
    </row>
    <row r="124" spans="27:162">
      <c r="AA124" s="140" t="s">
        <v>210</v>
      </c>
      <c r="AB124" s="140" t="s">
        <v>238</v>
      </c>
      <c r="AC124" s="140">
        <v>46</v>
      </c>
      <c r="AD124" s="141">
        <v>2.6850000000000001</v>
      </c>
      <c r="AE124" s="151">
        <v>1100</v>
      </c>
      <c r="AF124" s="152">
        <v>350</v>
      </c>
      <c r="AG124" s="152">
        <v>14</v>
      </c>
      <c r="AH124" s="152">
        <v>18.000000000000004</v>
      </c>
      <c r="AI124" s="152">
        <v>1064</v>
      </c>
      <c r="AJ124" s="153" t="str" cm="1">
        <f t="array" ref="AJ124">_xll.Dce_Name_SectI(AE124, AE124, AF124, AG124, AH124, "x", "-", "H Tổng")</f>
        <v>1100x350x14x18</v>
      </c>
      <c r="AK124" s="161">
        <f t="shared" si="36"/>
        <v>1360</v>
      </c>
      <c r="AL124" s="162" cm="1">
        <f t="array" ref="AL124">IFERROR(INDEX($B$25:$B$32,IFERROR(MATCH(AF124,$B$25:$B$32,0),MATCH(AF124,$B$25:$B$32,1)+1)),$B$25)</f>
        <v>350</v>
      </c>
      <c r="AM124" s="162" cm="1">
        <f t="array" ref="AM124">IFERROR(VLOOKUP(AE124,$B$36:$E$47,4,FALSE),INDEX($E$36:$E$47,MATCH(AE124,$B$36:$B$47,1)+1))</f>
        <v>25</v>
      </c>
      <c r="AN124" s="162" cm="1">
        <f t="array" ref="AN124">IFERROR(VLOOKUP(AE124,$B$36:$E$47,2,FALSE),INDEX($C$36:$C$47,MATCH(AE124,$B$36:$B$47,1)+1))</f>
        <v>12</v>
      </c>
      <c r="AO124" s="162" cm="1">
        <f t="array" ref="AO124">IFERROR(VLOOKUP(AE124,$B$36:$E$47,3,FALSE),INDEX($D$36:$D$47,MATCH(AE124,$B$36:$B$47,1)+1))</f>
        <v>24</v>
      </c>
      <c r="AP124" s="163" t="str">
        <f t="shared" si="37"/>
        <v>1360x350x25 + 12M24</v>
      </c>
      <c r="AQ124" s="140" t="s">
        <v>265</v>
      </c>
      <c r="AR124" s="151">
        <v>0</v>
      </c>
      <c r="AS124" s="151">
        <v>224.58874141267449</v>
      </c>
      <c r="AT124" s="151">
        <v>-3.1832314562052481E-15</v>
      </c>
      <c r="AU124" s="151">
        <v>-1.5232562314788796E-3</v>
      </c>
      <c r="AV124" s="151">
        <v>-2.3837856133468437E-16</v>
      </c>
      <c r="AW124" s="151">
        <v>-698.54598124991389</v>
      </c>
      <c r="BA124" s="161">
        <f t="shared" si="38"/>
        <v>60</v>
      </c>
      <c r="BB124" s="161">
        <f t="shared" si="39"/>
        <v>70</v>
      </c>
      <c r="BC124" s="161">
        <f t="shared" si="40"/>
        <v>80</v>
      </c>
      <c r="BD124" s="161">
        <f t="shared" si="41"/>
        <v>150</v>
      </c>
      <c r="BE124" s="161">
        <f>HLOOKUP(AO124,Data!$H$31:$Q$35,3,FALSE)</f>
        <v>452.38934211693021</v>
      </c>
      <c r="BF124" s="161">
        <f>HLOOKUP(AO124,Data!$H$31:$Q$35,4,FALSE)</f>
        <v>353</v>
      </c>
      <c r="BG124" s="179">
        <f t="shared" si="42"/>
        <v>180</v>
      </c>
      <c r="BH124" s="185">
        <f t="shared" si="43"/>
        <v>121.65654188208487</v>
      </c>
      <c r="BI124" s="185">
        <f t="shared" si="44"/>
        <v>243</v>
      </c>
      <c r="BJ124" s="185">
        <f t="shared" si="45"/>
        <v>142.3296</v>
      </c>
      <c r="BK124" s="185">
        <f t="shared" si="46"/>
        <v>18.622845850672121</v>
      </c>
      <c r="BL124" s="186">
        <f t="shared" si="47"/>
        <v>0.82166666666666666</v>
      </c>
      <c r="BM124" s="186">
        <f t="shared" si="48"/>
        <v>0.18630088251566737</v>
      </c>
      <c r="BN124" s="185" t="str">
        <f t="shared" si="49"/>
        <v>OK</v>
      </c>
      <c r="BO124" s="185" cm="1">
        <f t="array" ref="BO124">_xll.DCEBoltDisRS(AN124, AE124, BA124, BB124, BC124, BD124, "h1")</f>
        <v>1240</v>
      </c>
      <c r="BP124" s="185" cm="1">
        <f t="array" ref="BP124">_xll.DCEBoltDisRS(AN124, AE124, BA124, BB124, BC124, BD124, "Tong")</f>
        <v>3721800</v>
      </c>
      <c r="BQ124" s="185">
        <f t="shared" si="50"/>
        <v>118.23030768543441</v>
      </c>
      <c r="BR124" s="186">
        <f t="shared" si="51"/>
        <v>0.83067968774896028</v>
      </c>
      <c r="BS124" s="185" t="str">
        <f t="shared" si="52"/>
        <v>OK</v>
      </c>
      <c r="BT124" s="186">
        <f t="shared" si="53"/>
        <v>0.84466643149431808</v>
      </c>
      <c r="BU124" s="185" t="str">
        <f t="shared" si="54"/>
        <v>OK</v>
      </c>
      <c r="BV124" s="190">
        <f t="shared" si="55"/>
        <v>635.04180113628536</v>
      </c>
      <c r="BW124" s="191">
        <f t="shared" si="56"/>
        <v>14.28844052556642</v>
      </c>
      <c r="BX124" s="190">
        <f t="shared" si="57"/>
        <v>317.52090056814268</v>
      </c>
      <c r="BY124" s="167">
        <f t="shared" si="58"/>
        <v>100.85958018046884</v>
      </c>
      <c r="BZ124" s="192">
        <f t="shared" si="59"/>
        <v>0.49028962587727914</v>
      </c>
      <c r="CA124" s="191">
        <f t="shared" si="60"/>
        <v>9.3388500167100776</v>
      </c>
      <c r="CB124" s="193">
        <f t="shared" si="61"/>
        <v>7.827101307108543E-2</v>
      </c>
      <c r="CC124" s="167">
        <f t="shared" si="62"/>
        <v>102.14840807905055</v>
      </c>
      <c r="CD124" s="191">
        <f t="shared" si="63"/>
        <v>0.43178674912642151</v>
      </c>
      <c r="CE124" s="189">
        <f t="shared" si="64"/>
        <v>0.49028962587727914</v>
      </c>
      <c r="CF124" s="194" t="str">
        <f t="shared" si="65"/>
        <v>OK</v>
      </c>
      <c r="DA124" s="140"/>
      <c r="DB124" s="140"/>
      <c r="DC124" s="140"/>
      <c r="DD124" s="141"/>
      <c r="DE124" s="151"/>
      <c r="DF124" s="152"/>
      <c r="DG124" s="152"/>
      <c r="DH124" s="152"/>
      <c r="DI124" s="152"/>
      <c r="DJ124" s="152"/>
      <c r="DK124" s="161"/>
      <c r="DL124" s="162"/>
      <c r="DM124" s="162"/>
      <c r="DN124" s="162"/>
      <c r="DO124" s="162"/>
      <c r="DP124" s="162"/>
      <c r="DQ124" s="140"/>
      <c r="DR124" s="151"/>
      <c r="DS124" s="151"/>
      <c r="DT124" s="151"/>
      <c r="DU124" s="151"/>
      <c r="DV124" s="151"/>
      <c r="DW124" s="151"/>
      <c r="DX124" s="151"/>
      <c r="DY124" s="151"/>
      <c r="DZ124" s="151"/>
      <c r="EA124" s="161"/>
      <c r="EB124" s="161"/>
      <c r="EC124" s="161"/>
      <c r="ED124" s="161"/>
      <c r="EE124" s="161"/>
      <c r="EF124" s="161"/>
      <c r="EG124" s="161"/>
      <c r="EH124" s="161"/>
      <c r="EI124" s="161"/>
      <c r="EJ124" s="161"/>
      <c r="EK124" s="209"/>
      <c r="EL124" s="161"/>
      <c r="EM124" s="187"/>
      <c r="EN124" s="187"/>
      <c r="EO124" s="206"/>
      <c r="EP124" s="212"/>
      <c r="EQ124" s="208"/>
      <c r="ER124" s="187"/>
      <c r="ES124" s="187"/>
      <c r="ET124" s="187"/>
      <c r="EU124" s="187"/>
      <c r="EV124" s="210"/>
      <c r="EW124" s="209"/>
      <c r="EX124" s="210"/>
      <c r="EY124" s="162"/>
      <c r="EZ124" s="211"/>
      <c r="FA124" s="209"/>
      <c r="FB124" s="207"/>
      <c r="FC124" s="162"/>
      <c r="FD124" s="209"/>
      <c r="FE124" s="187"/>
      <c r="FF124" s="187"/>
    </row>
    <row r="125" spans="27:162">
      <c r="AA125" s="140" t="s">
        <v>210</v>
      </c>
      <c r="AB125" s="140" t="s">
        <v>238</v>
      </c>
      <c r="AC125" s="140">
        <v>46</v>
      </c>
      <c r="AD125" s="141">
        <v>0</v>
      </c>
      <c r="AE125" s="151">
        <v>750</v>
      </c>
      <c r="AF125" s="152">
        <v>350</v>
      </c>
      <c r="AG125" s="152">
        <v>14</v>
      </c>
      <c r="AH125" s="152">
        <v>18.000000000000004</v>
      </c>
      <c r="AI125" s="152">
        <v>714</v>
      </c>
      <c r="AJ125" s="153" t="str" cm="1">
        <f t="array" ref="AJ125">_xll.Dce_Name_SectI(AE125, AE125, AF125, AG125, AH125, "x", "-", "H Tổng")</f>
        <v>750x350x14x18</v>
      </c>
      <c r="AK125" s="161">
        <f t="shared" si="36"/>
        <v>1010</v>
      </c>
      <c r="AL125" s="162" cm="1">
        <f t="array" ref="AL125">IFERROR(INDEX($B$25:$B$32,IFERROR(MATCH(AF125,$B$25:$B$32,0),MATCH(AF125,$B$25:$B$32,1)+1)),$B$25)</f>
        <v>350</v>
      </c>
      <c r="AM125" s="162" cm="1">
        <f t="array" ref="AM125">IFERROR(VLOOKUP(AE125,$B$36:$E$47,4,FALSE),INDEX($E$36:$E$47,MATCH(AE125,$B$36:$B$47,1)+1))</f>
        <v>25</v>
      </c>
      <c r="AN125" s="162" cm="1">
        <f t="array" ref="AN125">IFERROR(VLOOKUP(AE125,$B$36:$E$47,2,FALSE),INDEX($C$36:$C$47,MATCH(AE125,$B$36:$B$47,1)+1))</f>
        <v>12</v>
      </c>
      <c r="AO125" s="162" cm="1">
        <f t="array" ref="AO125">IFERROR(VLOOKUP(AE125,$B$36:$E$47,3,FALSE),INDEX($D$36:$D$47,MATCH(AE125,$B$36:$B$47,1)+1))</f>
        <v>24</v>
      </c>
      <c r="AP125" s="163" t="str">
        <f t="shared" si="37"/>
        <v>1010x350x25 + 12M24</v>
      </c>
      <c r="AQ125" s="140" t="s">
        <v>266</v>
      </c>
      <c r="AR125" s="151">
        <v>0</v>
      </c>
      <c r="AS125" s="151">
        <v>168.25063804357802</v>
      </c>
      <c r="AT125" s="151">
        <v>-3.0559021979570387E-14</v>
      </c>
      <c r="AU125" s="151">
        <v>-1.5741311908801677E-3</v>
      </c>
      <c r="AV125" s="151">
        <v>1.5273690223693843E-14</v>
      </c>
      <c r="AW125" s="151">
        <v>-165.95164407264795</v>
      </c>
      <c r="BA125" s="161">
        <f t="shared" si="38"/>
        <v>60</v>
      </c>
      <c r="BB125" s="161">
        <f t="shared" si="39"/>
        <v>70</v>
      </c>
      <c r="BC125" s="161">
        <f t="shared" si="40"/>
        <v>80</v>
      </c>
      <c r="BD125" s="161">
        <f t="shared" si="41"/>
        <v>150</v>
      </c>
      <c r="BE125" s="161">
        <f>HLOOKUP(AO125,Data!$H$31:$Q$35,3,FALSE)</f>
        <v>452.38934211693021</v>
      </c>
      <c r="BF125" s="161">
        <f>HLOOKUP(AO125,Data!$H$31:$Q$35,4,FALSE)</f>
        <v>353</v>
      </c>
      <c r="BG125" s="179">
        <f t="shared" si="42"/>
        <v>180</v>
      </c>
      <c r="BH125" s="185">
        <f t="shared" si="43"/>
        <v>121.65654188208487</v>
      </c>
      <c r="BI125" s="185">
        <f t="shared" si="44"/>
        <v>243</v>
      </c>
      <c r="BJ125" s="185">
        <f t="shared" si="45"/>
        <v>142.3296</v>
      </c>
      <c r="BK125" s="185">
        <f t="shared" si="46"/>
        <v>13.951303510826648</v>
      </c>
      <c r="BL125" s="186">
        <f t="shared" si="47"/>
        <v>0.89458333333333329</v>
      </c>
      <c r="BM125" s="186">
        <f t="shared" si="48"/>
        <v>0.12819128967602514</v>
      </c>
      <c r="BN125" s="185" t="str">
        <f t="shared" si="49"/>
        <v>OK</v>
      </c>
      <c r="BO125" s="185" cm="1">
        <f t="array" ref="BO125">_xll.DCEBoltDisRS(AN125, AE125, BA125, BB125, BC125, BD125, "h1")</f>
        <v>890</v>
      </c>
      <c r="BP125" s="185" cm="1">
        <f t="array" ref="BP125">_xll.DCEBoltDisRS(AN125, AE125, BA125, BB125, BC125, BD125, "Tong")</f>
        <v>1800300</v>
      </c>
      <c r="BQ125" s="185">
        <f t="shared" si="50"/>
        <v>42.415227897229613</v>
      </c>
      <c r="BR125" s="186">
        <f t="shared" si="51"/>
        <v>0.29800707581015906</v>
      </c>
      <c r="BS125" s="185" t="str">
        <f t="shared" si="52"/>
        <v>OK</v>
      </c>
      <c r="BT125" s="186">
        <f t="shared" si="53"/>
        <v>0.31931052759443102</v>
      </c>
      <c r="BU125" s="185" t="str">
        <f t="shared" si="54"/>
        <v>OK</v>
      </c>
      <c r="BV125" s="190">
        <f t="shared" si="55"/>
        <v>221.2688587635306</v>
      </c>
      <c r="BW125" s="191">
        <f t="shared" si="56"/>
        <v>4.9785493221794388</v>
      </c>
      <c r="BX125" s="190">
        <f t="shared" si="57"/>
        <v>110.6344293817653</v>
      </c>
      <c r="BY125" s="167">
        <f t="shared" si="58"/>
        <v>47.320864844477832</v>
      </c>
      <c r="BZ125" s="192">
        <f t="shared" si="59"/>
        <v>0.23003198188287838</v>
      </c>
      <c r="CA125" s="191">
        <f t="shared" si="60"/>
        <v>4.3815615596738731</v>
      </c>
      <c r="CB125" s="193">
        <f t="shared" si="61"/>
        <v>3.672285789956551E-2</v>
      </c>
      <c r="CC125" s="167">
        <f t="shared" si="62"/>
        <v>47.925551585067574</v>
      </c>
      <c r="CD125" s="191">
        <f t="shared" si="63"/>
        <v>0.20258385331852238</v>
      </c>
      <c r="CE125" s="189">
        <f t="shared" si="64"/>
        <v>0.23003198188287838</v>
      </c>
      <c r="CF125" s="194" t="str">
        <f t="shared" si="65"/>
        <v>OK</v>
      </c>
      <c r="DA125" s="140"/>
      <c r="DB125" s="140"/>
      <c r="DC125" s="140"/>
      <c r="DD125" s="141"/>
      <c r="DE125" s="151"/>
      <c r="DF125" s="152"/>
      <c r="DG125" s="152"/>
      <c r="DH125" s="152"/>
      <c r="DI125" s="152"/>
      <c r="DJ125" s="152"/>
      <c r="DK125" s="161"/>
      <c r="DL125" s="162"/>
      <c r="DM125" s="162"/>
      <c r="DN125" s="162"/>
      <c r="DO125" s="162"/>
      <c r="DP125" s="162"/>
      <c r="DQ125" s="140"/>
      <c r="DR125" s="151"/>
      <c r="DS125" s="151"/>
      <c r="DT125" s="151"/>
      <c r="DU125" s="151"/>
      <c r="DV125" s="151"/>
      <c r="DW125" s="151"/>
      <c r="DX125" s="151"/>
      <c r="DY125" s="151"/>
      <c r="DZ125" s="151"/>
      <c r="EA125" s="161"/>
      <c r="EB125" s="161"/>
      <c r="EC125" s="161"/>
      <c r="ED125" s="161"/>
      <c r="EE125" s="161"/>
      <c r="EF125" s="161"/>
      <c r="EG125" s="161"/>
      <c r="EH125" s="161"/>
      <c r="EI125" s="161"/>
      <c r="EJ125" s="161"/>
      <c r="EK125" s="209"/>
      <c r="EL125" s="161"/>
      <c r="EM125" s="187"/>
      <c r="EN125" s="187"/>
      <c r="EO125" s="206"/>
      <c r="EP125" s="212"/>
      <c r="EQ125" s="208"/>
      <c r="ER125" s="187"/>
      <c r="ES125" s="187"/>
      <c r="ET125" s="187"/>
      <c r="EU125" s="187"/>
      <c r="EV125" s="210"/>
      <c r="EW125" s="209"/>
      <c r="EX125" s="210"/>
      <c r="EY125" s="162"/>
      <c r="EZ125" s="211"/>
      <c r="FA125" s="209"/>
      <c r="FB125" s="207"/>
      <c r="FC125" s="162"/>
      <c r="FD125" s="209"/>
      <c r="FE125" s="187"/>
      <c r="FF125" s="187"/>
    </row>
    <row r="126" spans="27:162">
      <c r="AA126" s="140" t="s">
        <v>210</v>
      </c>
      <c r="AB126" s="140" t="s">
        <v>238</v>
      </c>
      <c r="AC126" s="140">
        <v>46</v>
      </c>
      <c r="AD126" s="141">
        <v>2.6850000000000001</v>
      </c>
      <c r="AE126" s="151">
        <v>1100</v>
      </c>
      <c r="AF126" s="152">
        <v>350</v>
      </c>
      <c r="AG126" s="152">
        <v>14</v>
      </c>
      <c r="AH126" s="152">
        <v>18.000000000000004</v>
      </c>
      <c r="AI126" s="152">
        <v>1064</v>
      </c>
      <c r="AJ126" s="153" t="str" cm="1">
        <f t="array" ref="AJ126">_xll.Dce_Name_SectI(AE126, AE126, AF126, AG126, AH126, "x", "-", "H Tổng")</f>
        <v>1100x350x14x18</v>
      </c>
      <c r="AK126" s="161">
        <f t="shared" si="36"/>
        <v>1360</v>
      </c>
      <c r="AL126" s="162" cm="1">
        <f t="array" ref="AL126">IFERROR(INDEX($B$25:$B$32,IFERROR(MATCH(AF126,$B$25:$B$32,0),MATCH(AF126,$B$25:$B$32,1)+1)),$B$25)</f>
        <v>350</v>
      </c>
      <c r="AM126" s="162" cm="1">
        <f t="array" ref="AM126">IFERROR(VLOOKUP(AE126,$B$36:$E$47,4,FALSE),INDEX($E$36:$E$47,MATCH(AE126,$B$36:$B$47,1)+1))</f>
        <v>25</v>
      </c>
      <c r="AN126" s="162" cm="1">
        <f t="array" ref="AN126">IFERROR(VLOOKUP(AE126,$B$36:$E$47,2,FALSE),INDEX($C$36:$C$47,MATCH(AE126,$B$36:$B$47,1)+1))</f>
        <v>12</v>
      </c>
      <c r="AO126" s="162" cm="1">
        <f t="array" ref="AO126">IFERROR(VLOOKUP(AE126,$B$36:$E$47,3,FALSE),INDEX($D$36:$D$47,MATCH(AE126,$B$36:$B$47,1)+1))</f>
        <v>24</v>
      </c>
      <c r="AP126" s="163" t="str">
        <f t="shared" si="37"/>
        <v>1360x350x25 + 12M24</v>
      </c>
      <c r="AQ126" s="140" t="s">
        <v>266</v>
      </c>
      <c r="AR126" s="151">
        <v>0</v>
      </c>
      <c r="AS126" s="151">
        <v>225.85440897344401</v>
      </c>
      <c r="AT126" s="151">
        <v>-4.092726157978176E-15</v>
      </c>
      <c r="AU126" s="151">
        <v>-1.5738971667878443E-3</v>
      </c>
      <c r="AV126" s="151">
        <v>1.1304109648335722E-15</v>
      </c>
      <c r="AW126" s="151">
        <v>-703.43684417111785</v>
      </c>
      <c r="BA126" s="161">
        <f t="shared" si="38"/>
        <v>60</v>
      </c>
      <c r="BB126" s="161">
        <f t="shared" si="39"/>
        <v>70</v>
      </c>
      <c r="BC126" s="161">
        <f t="shared" si="40"/>
        <v>80</v>
      </c>
      <c r="BD126" s="161">
        <f t="shared" si="41"/>
        <v>150</v>
      </c>
      <c r="BE126" s="161">
        <f>HLOOKUP(AO126,Data!$H$31:$Q$35,3,FALSE)</f>
        <v>452.38934211693021</v>
      </c>
      <c r="BF126" s="161">
        <f>HLOOKUP(AO126,Data!$H$31:$Q$35,4,FALSE)</f>
        <v>353</v>
      </c>
      <c r="BG126" s="179">
        <f t="shared" si="42"/>
        <v>180</v>
      </c>
      <c r="BH126" s="185">
        <f t="shared" si="43"/>
        <v>121.65654188208487</v>
      </c>
      <c r="BI126" s="185">
        <f t="shared" si="44"/>
        <v>243</v>
      </c>
      <c r="BJ126" s="185">
        <f t="shared" si="45"/>
        <v>142.3296</v>
      </c>
      <c r="BK126" s="185">
        <f t="shared" si="46"/>
        <v>18.727794708456123</v>
      </c>
      <c r="BL126" s="186">
        <f t="shared" si="47"/>
        <v>0.82166666666666666</v>
      </c>
      <c r="BM126" s="186">
        <f t="shared" si="48"/>
        <v>0.18735077923827087</v>
      </c>
      <c r="BN126" s="185" t="str">
        <f t="shared" si="49"/>
        <v>OK</v>
      </c>
      <c r="BO126" s="185" cm="1">
        <f t="array" ref="BO126">_xll.DCEBoltDisRS(AN126, AE126, BA126, BB126, BC126, BD126, "h1")</f>
        <v>1240</v>
      </c>
      <c r="BP126" s="185" cm="1">
        <f t="array" ref="BP126">_xll.DCEBoltDisRS(AN126, AE126, BA126, BB126, BC126, BD126, "Tong")</f>
        <v>3721800</v>
      </c>
      <c r="BQ126" s="185">
        <f t="shared" si="50"/>
        <v>119.05555215774257</v>
      </c>
      <c r="BR126" s="186">
        <f t="shared" si="51"/>
        <v>0.83647781036230384</v>
      </c>
      <c r="BS126" s="185" t="str">
        <f t="shared" si="52"/>
        <v>OK</v>
      </c>
      <c r="BT126" s="186">
        <f t="shared" si="53"/>
        <v>0.85052490677588044</v>
      </c>
      <c r="BU126" s="185" t="str">
        <f t="shared" si="54"/>
        <v>OK</v>
      </c>
      <c r="BV126" s="190">
        <f t="shared" si="55"/>
        <v>639.48804015556163</v>
      </c>
      <c r="BW126" s="191">
        <f t="shared" si="56"/>
        <v>14.388480903500136</v>
      </c>
      <c r="BX126" s="190">
        <f t="shared" si="57"/>
        <v>319.74402007778082</v>
      </c>
      <c r="BY126" s="167">
        <f t="shared" si="58"/>
        <v>101.5657475541186</v>
      </c>
      <c r="BZ126" s="192">
        <f t="shared" si="59"/>
        <v>0.49372238394363216</v>
      </c>
      <c r="CA126" s="191">
        <f t="shared" si="60"/>
        <v>9.4042358846406131</v>
      </c>
      <c r="CB126" s="193">
        <f t="shared" si="61"/>
        <v>7.8819026810924689E-2</v>
      </c>
      <c r="CC126" s="167">
        <f t="shared" si="62"/>
        <v>102.86359916874791</v>
      </c>
      <c r="CD126" s="191">
        <f t="shared" si="63"/>
        <v>0.43480989986789587</v>
      </c>
      <c r="CE126" s="189">
        <f t="shared" si="64"/>
        <v>0.49372238394363216</v>
      </c>
      <c r="CF126" s="194" t="str">
        <f t="shared" si="65"/>
        <v>OK</v>
      </c>
      <c r="DA126" s="140"/>
      <c r="DB126" s="140"/>
      <c r="DC126" s="140"/>
      <c r="DD126" s="141"/>
      <c r="DE126" s="151"/>
      <c r="DF126" s="152"/>
      <c r="DG126" s="152"/>
      <c r="DH126" s="152"/>
      <c r="DI126" s="152"/>
      <c r="DJ126" s="152"/>
      <c r="DK126" s="161"/>
      <c r="DL126" s="162"/>
      <c r="DM126" s="162"/>
      <c r="DN126" s="162"/>
      <c r="DO126" s="162"/>
      <c r="DP126" s="162"/>
      <c r="DQ126" s="140"/>
      <c r="DR126" s="151"/>
      <c r="DS126" s="151"/>
      <c r="DT126" s="151"/>
      <c r="DU126" s="151"/>
      <c r="DV126" s="151"/>
      <c r="DW126" s="151"/>
      <c r="DX126" s="151"/>
      <c r="DY126" s="151"/>
      <c r="DZ126" s="151"/>
      <c r="EA126" s="161"/>
      <c r="EB126" s="161"/>
      <c r="EC126" s="161"/>
      <c r="ED126" s="161"/>
      <c r="EE126" s="161"/>
      <c r="EF126" s="161"/>
      <c r="EG126" s="161"/>
      <c r="EH126" s="161"/>
      <c r="EI126" s="161"/>
      <c r="EJ126" s="161"/>
      <c r="EK126" s="209"/>
      <c r="EL126" s="161"/>
      <c r="EM126" s="187"/>
      <c r="EN126" s="187"/>
      <c r="EO126" s="206"/>
      <c r="EP126" s="212"/>
      <c r="EQ126" s="208"/>
      <c r="ER126" s="187"/>
      <c r="ES126" s="187"/>
      <c r="ET126" s="187"/>
      <c r="EU126" s="187"/>
      <c r="EV126" s="210"/>
      <c r="EW126" s="209"/>
      <c r="EX126" s="210"/>
      <c r="EY126" s="162"/>
      <c r="EZ126" s="211"/>
      <c r="FA126" s="209"/>
      <c r="FB126" s="207"/>
      <c r="FC126" s="162"/>
      <c r="FD126" s="209"/>
      <c r="FE126" s="187"/>
      <c r="FF126" s="187"/>
    </row>
    <row r="127" spans="27:162">
      <c r="AA127" s="140" t="s">
        <v>210</v>
      </c>
      <c r="AB127" s="140" t="s">
        <v>238</v>
      </c>
      <c r="AC127" s="140">
        <v>46</v>
      </c>
      <c r="AD127" s="141">
        <v>0</v>
      </c>
      <c r="AE127" s="151">
        <v>750</v>
      </c>
      <c r="AF127" s="152">
        <v>350</v>
      </c>
      <c r="AG127" s="152">
        <v>14</v>
      </c>
      <c r="AH127" s="152">
        <v>18.000000000000004</v>
      </c>
      <c r="AI127" s="152">
        <v>714</v>
      </c>
      <c r="AJ127" s="153" t="str" cm="1">
        <f t="array" ref="AJ127">_xll.Dce_Name_SectI(AE127, AE127, AF127, AG127, AH127, "x", "-", "H Tổng")</f>
        <v>750x350x14x18</v>
      </c>
      <c r="AK127" s="161">
        <f t="shared" si="36"/>
        <v>1010</v>
      </c>
      <c r="AL127" s="162" cm="1">
        <f t="array" ref="AL127">IFERROR(INDEX($B$25:$B$32,IFERROR(MATCH(AF127,$B$25:$B$32,0),MATCH(AF127,$B$25:$B$32,1)+1)),$B$25)</f>
        <v>350</v>
      </c>
      <c r="AM127" s="162" cm="1">
        <f t="array" ref="AM127">IFERROR(VLOOKUP(AE127,$B$36:$E$47,4,FALSE),INDEX($E$36:$E$47,MATCH(AE127,$B$36:$B$47,1)+1))</f>
        <v>25</v>
      </c>
      <c r="AN127" s="162" cm="1">
        <f t="array" ref="AN127">IFERROR(VLOOKUP(AE127,$B$36:$E$47,2,FALSE),INDEX($C$36:$C$47,MATCH(AE127,$B$36:$B$47,1)+1))</f>
        <v>12</v>
      </c>
      <c r="AO127" s="162" cm="1">
        <f t="array" ref="AO127">IFERROR(VLOOKUP(AE127,$B$36:$E$47,3,FALSE),INDEX($D$36:$D$47,MATCH(AE127,$B$36:$B$47,1)+1))</f>
        <v>24</v>
      </c>
      <c r="AP127" s="163" t="str">
        <f t="shared" si="37"/>
        <v>1010x350x25 + 12M24</v>
      </c>
      <c r="AQ127" s="140" t="s">
        <v>267</v>
      </c>
      <c r="AR127" s="151">
        <v>0</v>
      </c>
      <c r="AS127" s="151">
        <v>157.59279084468088</v>
      </c>
      <c r="AT127" s="151">
        <v>-1.555235940031707E-14</v>
      </c>
      <c r="AU127" s="151">
        <v>-1.4800294356314306E-3</v>
      </c>
      <c r="AV127" s="151">
        <v>1.0849907994270322E-14</v>
      </c>
      <c r="AW127" s="151">
        <v>-98.908337137771298</v>
      </c>
      <c r="BA127" s="161">
        <f t="shared" si="38"/>
        <v>60</v>
      </c>
      <c r="BB127" s="161">
        <f t="shared" si="39"/>
        <v>70</v>
      </c>
      <c r="BC127" s="161">
        <f t="shared" si="40"/>
        <v>80</v>
      </c>
      <c r="BD127" s="161">
        <f t="shared" si="41"/>
        <v>150</v>
      </c>
      <c r="BE127" s="161">
        <f>HLOOKUP(AO127,Data!$H$31:$Q$35,3,FALSE)</f>
        <v>452.38934211693021</v>
      </c>
      <c r="BF127" s="161">
        <f>HLOOKUP(AO127,Data!$H$31:$Q$35,4,FALSE)</f>
        <v>353</v>
      </c>
      <c r="BG127" s="179">
        <f t="shared" si="42"/>
        <v>180</v>
      </c>
      <c r="BH127" s="185">
        <f t="shared" si="43"/>
        <v>121.65654188208487</v>
      </c>
      <c r="BI127" s="185">
        <f t="shared" si="44"/>
        <v>243</v>
      </c>
      <c r="BJ127" s="185">
        <f t="shared" si="45"/>
        <v>142.3296</v>
      </c>
      <c r="BK127" s="185">
        <f t="shared" si="46"/>
        <v>13.067557316620146</v>
      </c>
      <c r="BL127" s="186">
        <f t="shared" si="47"/>
        <v>0.89458333333333329</v>
      </c>
      <c r="BM127" s="186">
        <f t="shared" si="48"/>
        <v>0.12007100440707555</v>
      </c>
      <c r="BN127" s="185" t="str">
        <f t="shared" si="49"/>
        <v>OK</v>
      </c>
      <c r="BO127" s="185" cm="1">
        <f t="array" ref="BO127">_xll.DCEBoltDisRS(AN127, AE127, BA127, BB127, BC127, BD127, "h1")</f>
        <v>890</v>
      </c>
      <c r="BP127" s="185" cm="1">
        <f t="array" ref="BP127">_xll.DCEBoltDisRS(AN127, AE127, BA127, BB127, BC127, BD127, "Tong")</f>
        <v>1800300</v>
      </c>
      <c r="BQ127" s="185">
        <f t="shared" si="50"/>
        <v>25.755019924467788</v>
      </c>
      <c r="BR127" s="186">
        <f t="shared" si="51"/>
        <v>0.18095336405405332</v>
      </c>
      <c r="BS127" s="185" t="str">
        <f t="shared" si="52"/>
        <v>OK</v>
      </c>
      <c r="BT127" s="186">
        <f t="shared" si="53"/>
        <v>0.21043237418135083</v>
      </c>
      <c r="BU127" s="185" t="str">
        <f t="shared" si="54"/>
        <v>OK</v>
      </c>
      <c r="BV127" s="190">
        <f t="shared" si="55"/>
        <v>131.87778285036174</v>
      </c>
      <c r="BW127" s="191">
        <f t="shared" si="56"/>
        <v>2.9672501141331389</v>
      </c>
      <c r="BX127" s="190">
        <f t="shared" si="57"/>
        <v>65.93889142518087</v>
      </c>
      <c r="BY127" s="167">
        <f t="shared" si="58"/>
        <v>28.203565441265479</v>
      </c>
      <c r="BZ127" s="192">
        <f t="shared" si="59"/>
        <v>0.13710066533948498</v>
      </c>
      <c r="CA127" s="191">
        <f t="shared" si="60"/>
        <v>2.6114412445616186</v>
      </c>
      <c r="CB127" s="193">
        <f t="shared" si="61"/>
        <v>2.1887079396469507E-2</v>
      </c>
      <c r="CC127" s="167">
        <f t="shared" si="62"/>
        <v>28.563962955464302</v>
      </c>
      <c r="CD127" s="191">
        <f t="shared" si="63"/>
        <v>0.12074138930449888</v>
      </c>
      <c r="CE127" s="189">
        <f t="shared" si="64"/>
        <v>0.13710066533948498</v>
      </c>
      <c r="CF127" s="194" t="str">
        <f t="shared" si="65"/>
        <v>OK</v>
      </c>
      <c r="DA127" s="140"/>
      <c r="DB127" s="140"/>
      <c r="DC127" s="140"/>
      <c r="DD127" s="141"/>
      <c r="DE127" s="151"/>
      <c r="DF127" s="152"/>
      <c r="DG127" s="152"/>
      <c r="DH127" s="152"/>
      <c r="DI127" s="152"/>
      <c r="DJ127" s="152"/>
      <c r="DK127" s="161"/>
      <c r="DL127" s="162"/>
      <c r="DM127" s="162"/>
      <c r="DN127" s="162"/>
      <c r="DO127" s="162"/>
      <c r="DP127" s="162"/>
      <c r="DQ127" s="140"/>
      <c r="DR127" s="151"/>
      <c r="DS127" s="151"/>
      <c r="DT127" s="151"/>
      <c r="DU127" s="151"/>
      <c r="DV127" s="151"/>
      <c r="DW127" s="151"/>
      <c r="DX127" s="151"/>
      <c r="DY127" s="151"/>
      <c r="DZ127" s="151"/>
      <c r="EA127" s="161"/>
      <c r="EB127" s="161"/>
      <c r="EC127" s="161"/>
      <c r="ED127" s="161"/>
      <c r="EE127" s="161"/>
      <c r="EF127" s="161"/>
      <c r="EG127" s="161"/>
      <c r="EH127" s="161"/>
      <c r="EI127" s="161"/>
      <c r="EJ127" s="161"/>
      <c r="EK127" s="209"/>
      <c r="EL127" s="161"/>
      <c r="EM127" s="187"/>
      <c r="EN127" s="187"/>
      <c r="EO127" s="206"/>
      <c r="EP127" s="212"/>
      <c r="EQ127" s="208"/>
      <c r="ER127" s="187"/>
      <c r="ES127" s="187"/>
      <c r="ET127" s="187"/>
      <c r="EU127" s="187"/>
      <c r="EV127" s="210"/>
      <c r="EW127" s="209"/>
      <c r="EX127" s="210"/>
      <c r="EY127" s="162"/>
      <c r="EZ127" s="211"/>
      <c r="FA127" s="209"/>
      <c r="FB127" s="207"/>
      <c r="FC127" s="162"/>
      <c r="FD127" s="209"/>
      <c r="FE127" s="187"/>
      <c r="FF127" s="187"/>
    </row>
    <row r="128" spans="27:162">
      <c r="AA128" s="140" t="s">
        <v>210</v>
      </c>
      <c r="AB128" s="140" t="s">
        <v>238</v>
      </c>
      <c r="AC128" s="140">
        <v>46</v>
      </c>
      <c r="AD128" s="141">
        <v>2.6850000000000001</v>
      </c>
      <c r="AE128" s="151">
        <v>1100</v>
      </c>
      <c r="AF128" s="152">
        <v>350</v>
      </c>
      <c r="AG128" s="152">
        <v>14</v>
      </c>
      <c r="AH128" s="152">
        <v>18.000000000000004</v>
      </c>
      <c r="AI128" s="152">
        <v>1064</v>
      </c>
      <c r="AJ128" s="153" t="str" cm="1">
        <f t="array" ref="AJ128">_xll.Dce_Name_SectI(AE128, AE128, AF128, AG128, AH128, "x", "-", "H Tổng")</f>
        <v>1100x350x14x18</v>
      </c>
      <c r="AK128" s="161">
        <f t="shared" si="36"/>
        <v>1360</v>
      </c>
      <c r="AL128" s="162" cm="1">
        <f t="array" ref="AL128">IFERROR(INDEX($B$25:$B$32,IFERROR(MATCH(AF128,$B$25:$B$32,0),MATCH(AF128,$B$25:$B$32,1)+1)),$B$25)</f>
        <v>350</v>
      </c>
      <c r="AM128" s="162" cm="1">
        <f t="array" ref="AM128">IFERROR(VLOOKUP(AE128,$B$36:$E$47,4,FALSE),INDEX($E$36:$E$47,MATCH(AE128,$B$36:$B$47,1)+1))</f>
        <v>25</v>
      </c>
      <c r="AN128" s="162" cm="1">
        <f t="array" ref="AN128">IFERROR(VLOOKUP(AE128,$B$36:$E$47,2,FALSE),INDEX($C$36:$C$47,MATCH(AE128,$B$36:$B$47,1)+1))</f>
        <v>12</v>
      </c>
      <c r="AO128" s="162" cm="1">
        <f t="array" ref="AO128">IFERROR(VLOOKUP(AE128,$B$36:$E$47,3,FALSE),INDEX($D$36:$D$47,MATCH(AE128,$B$36:$B$47,1)+1))</f>
        <v>24</v>
      </c>
      <c r="AP128" s="163" t="str">
        <f t="shared" si="37"/>
        <v>1360x350x25 + 12M24</v>
      </c>
      <c r="AQ128" s="140" t="s">
        <v>267</v>
      </c>
      <c r="AR128" s="151">
        <v>0</v>
      </c>
      <c r="AS128" s="151">
        <v>215.19655833062311</v>
      </c>
      <c r="AT128" s="151">
        <v>-4.5474735088646405E-15</v>
      </c>
      <c r="AU128" s="151">
        <v>-1.479808988921121E-3</v>
      </c>
      <c r="AV128" s="151">
        <v>1.3491444406099615E-15</v>
      </c>
      <c r="AW128" s="151">
        <v>-607.77743514410224</v>
      </c>
      <c r="BA128" s="161">
        <f t="shared" si="38"/>
        <v>60</v>
      </c>
      <c r="BB128" s="161">
        <f t="shared" si="39"/>
        <v>70</v>
      </c>
      <c r="BC128" s="161">
        <f t="shared" si="40"/>
        <v>80</v>
      </c>
      <c r="BD128" s="161">
        <f t="shared" si="41"/>
        <v>150</v>
      </c>
      <c r="BE128" s="161">
        <f>HLOOKUP(AO128,Data!$H$31:$Q$35,3,FALSE)</f>
        <v>452.38934211693021</v>
      </c>
      <c r="BF128" s="161">
        <f>HLOOKUP(AO128,Data!$H$31:$Q$35,4,FALSE)</f>
        <v>353</v>
      </c>
      <c r="BG128" s="179">
        <f t="shared" si="42"/>
        <v>180</v>
      </c>
      <c r="BH128" s="185">
        <f t="shared" si="43"/>
        <v>121.65654188208487</v>
      </c>
      <c r="BI128" s="185">
        <f t="shared" si="44"/>
        <v>243</v>
      </c>
      <c r="BJ128" s="185">
        <f t="shared" si="45"/>
        <v>142.3296</v>
      </c>
      <c r="BK128" s="185">
        <f t="shared" si="46"/>
        <v>17.844048228680268</v>
      </c>
      <c r="BL128" s="186">
        <f t="shared" si="47"/>
        <v>0.82166666666666666</v>
      </c>
      <c r="BM128" s="186">
        <f t="shared" si="48"/>
        <v>0.17850987756177367</v>
      </c>
      <c r="BN128" s="185" t="str">
        <f t="shared" si="49"/>
        <v>OK</v>
      </c>
      <c r="BO128" s="185" cm="1">
        <f t="array" ref="BO128">_xll.DCEBoltDisRS(AN128, AE128, BA128, BB128, BC128, BD128, "h1")</f>
        <v>1240</v>
      </c>
      <c r="BP128" s="185" cm="1">
        <f t="array" ref="BP128">_xll.DCEBoltDisRS(AN128, AE128, BA128, BB128, BC128, BD128, "Tong")</f>
        <v>3721800</v>
      </c>
      <c r="BQ128" s="185">
        <f t="shared" si="50"/>
        <v>103.03165340939695</v>
      </c>
      <c r="BR128" s="186">
        <f t="shared" si="51"/>
        <v>0.72389477248159873</v>
      </c>
      <c r="BS128" s="185" t="str">
        <f t="shared" si="52"/>
        <v>OK</v>
      </c>
      <c r="BT128" s="186">
        <f t="shared" si="53"/>
        <v>0.738605021627745</v>
      </c>
      <c r="BU128" s="185" t="str">
        <f t="shared" si="54"/>
        <v>OK</v>
      </c>
      <c r="BV128" s="190">
        <f t="shared" si="55"/>
        <v>552.52494104009293</v>
      </c>
      <c r="BW128" s="191">
        <f t="shared" si="56"/>
        <v>12.431811173402091</v>
      </c>
      <c r="BX128" s="190">
        <f t="shared" si="57"/>
        <v>276.26247052004646</v>
      </c>
      <c r="BY128" s="167">
        <f t="shared" si="58"/>
        <v>87.753961224014759</v>
      </c>
      <c r="BZ128" s="192">
        <f t="shared" si="59"/>
        <v>0.42658175595007181</v>
      </c>
      <c r="CA128" s="191">
        <f t="shared" si="60"/>
        <v>8.1253667800013663</v>
      </c>
      <c r="CB128" s="193">
        <f t="shared" si="61"/>
        <v>6.8100535751927163E-2</v>
      </c>
      <c r="CC128" s="167">
        <f t="shared" si="62"/>
        <v>88.875319782460053</v>
      </c>
      <c r="CD128" s="191">
        <f t="shared" si="63"/>
        <v>0.37568069956353894</v>
      </c>
      <c r="CE128" s="189">
        <f t="shared" si="64"/>
        <v>0.42658175595007181</v>
      </c>
      <c r="CF128" s="194" t="str">
        <f t="shared" si="65"/>
        <v>OK</v>
      </c>
      <c r="DA128" s="140"/>
      <c r="DB128" s="140"/>
      <c r="DC128" s="140"/>
      <c r="DD128" s="141"/>
      <c r="DE128" s="151"/>
      <c r="DF128" s="152"/>
      <c r="DG128" s="152"/>
      <c r="DH128" s="152"/>
      <c r="DI128" s="152"/>
      <c r="DJ128" s="152"/>
      <c r="DK128" s="161"/>
      <c r="DL128" s="162"/>
      <c r="DM128" s="162"/>
      <c r="DN128" s="162"/>
      <c r="DO128" s="162"/>
      <c r="DP128" s="162"/>
      <c r="DQ128" s="140"/>
      <c r="DR128" s="151"/>
      <c r="DS128" s="151"/>
      <c r="DT128" s="151"/>
      <c r="DU128" s="151"/>
      <c r="DV128" s="151"/>
      <c r="DW128" s="151"/>
      <c r="DX128" s="151"/>
      <c r="DY128" s="151"/>
      <c r="DZ128" s="151"/>
      <c r="EA128" s="161"/>
      <c r="EB128" s="161"/>
      <c r="EC128" s="161"/>
      <c r="ED128" s="161"/>
      <c r="EE128" s="161"/>
      <c r="EF128" s="161"/>
      <c r="EG128" s="161"/>
      <c r="EH128" s="161"/>
      <c r="EI128" s="161"/>
      <c r="EJ128" s="161"/>
      <c r="EK128" s="209"/>
      <c r="EL128" s="161"/>
      <c r="EM128" s="187"/>
      <c r="EN128" s="187"/>
      <c r="EO128" s="206"/>
      <c r="EP128" s="212"/>
      <c r="EQ128" s="208"/>
      <c r="ER128" s="187"/>
      <c r="ES128" s="187"/>
      <c r="ET128" s="187"/>
      <c r="EU128" s="187"/>
      <c r="EV128" s="210"/>
      <c r="EW128" s="209"/>
      <c r="EX128" s="210"/>
      <c r="EY128" s="162"/>
      <c r="EZ128" s="211"/>
      <c r="FA128" s="209"/>
      <c r="FB128" s="207"/>
      <c r="FC128" s="162"/>
      <c r="FD128" s="209"/>
      <c r="FE128" s="187"/>
      <c r="FF128" s="187"/>
    </row>
    <row r="129" spans="27:162">
      <c r="AA129" s="140" t="s">
        <v>210</v>
      </c>
      <c r="AB129" s="140" t="s">
        <v>238</v>
      </c>
      <c r="AC129" s="140">
        <v>46</v>
      </c>
      <c r="AD129" s="141">
        <v>0</v>
      </c>
      <c r="AE129" s="151">
        <v>750</v>
      </c>
      <c r="AF129" s="152">
        <v>350</v>
      </c>
      <c r="AG129" s="152">
        <v>14</v>
      </c>
      <c r="AH129" s="152">
        <v>18.000000000000004</v>
      </c>
      <c r="AI129" s="152">
        <v>714</v>
      </c>
      <c r="AJ129" s="153" t="str" cm="1">
        <f t="array" ref="AJ129">_xll.Dce_Name_SectI(AE129, AE129, AF129, AG129, AH129, "x", "-", "H Tổng")</f>
        <v>750x350x14x18</v>
      </c>
      <c r="AK129" s="161">
        <f t="shared" si="36"/>
        <v>1010</v>
      </c>
      <c r="AL129" s="162" cm="1">
        <f t="array" ref="AL129">IFERROR(INDEX($B$25:$B$32,IFERROR(MATCH(AF129,$B$25:$B$32,0),MATCH(AF129,$B$25:$B$32,1)+1)),$B$25)</f>
        <v>350</v>
      </c>
      <c r="AM129" s="162" cm="1">
        <f t="array" ref="AM129">IFERROR(VLOOKUP(AE129,$B$36:$E$47,4,FALSE),INDEX($E$36:$E$47,MATCH(AE129,$B$36:$B$47,1)+1))</f>
        <v>25</v>
      </c>
      <c r="AN129" s="162" cm="1">
        <f t="array" ref="AN129">IFERROR(VLOOKUP(AE129,$B$36:$E$47,2,FALSE),INDEX($C$36:$C$47,MATCH(AE129,$B$36:$B$47,1)+1))</f>
        <v>12</v>
      </c>
      <c r="AO129" s="162" cm="1">
        <f t="array" ref="AO129">IFERROR(VLOOKUP(AE129,$B$36:$E$47,3,FALSE),INDEX($D$36:$D$47,MATCH(AE129,$B$36:$B$47,1)+1))</f>
        <v>24</v>
      </c>
      <c r="AP129" s="163" t="str">
        <f t="shared" si="37"/>
        <v>1010x350x25 + 12M24</v>
      </c>
      <c r="AQ129" s="140" t="s">
        <v>268</v>
      </c>
      <c r="AR129" s="151">
        <v>0</v>
      </c>
      <c r="AS129" s="151">
        <v>158.87177682956798</v>
      </c>
      <c r="AT129" s="151">
        <v>-1.8280843505635854E-14</v>
      </c>
      <c r="AU129" s="151">
        <v>-1.5307262957309439E-3</v>
      </c>
      <c r="AV129" s="151">
        <v>1.0151416063308713E-14</v>
      </c>
      <c r="AW129" s="151">
        <v>-100.52864392937086</v>
      </c>
      <c r="BA129" s="161">
        <f t="shared" si="38"/>
        <v>60</v>
      </c>
      <c r="BB129" s="161">
        <f t="shared" si="39"/>
        <v>70</v>
      </c>
      <c r="BC129" s="161">
        <f t="shared" si="40"/>
        <v>80</v>
      </c>
      <c r="BD129" s="161">
        <f t="shared" si="41"/>
        <v>150</v>
      </c>
      <c r="BE129" s="161">
        <f>HLOOKUP(AO129,Data!$H$31:$Q$35,3,FALSE)</f>
        <v>452.38934211693021</v>
      </c>
      <c r="BF129" s="161">
        <f>HLOOKUP(AO129,Data!$H$31:$Q$35,4,FALSE)</f>
        <v>353</v>
      </c>
      <c r="BG129" s="179">
        <f t="shared" si="42"/>
        <v>180</v>
      </c>
      <c r="BH129" s="185">
        <f t="shared" si="43"/>
        <v>121.65654188208487</v>
      </c>
      <c r="BI129" s="185">
        <f t="shared" si="44"/>
        <v>243</v>
      </c>
      <c r="BJ129" s="185">
        <f t="shared" si="45"/>
        <v>142.3296</v>
      </c>
      <c r="BK129" s="185">
        <f t="shared" si="46"/>
        <v>13.173610535013481</v>
      </c>
      <c r="BL129" s="186">
        <f t="shared" si="47"/>
        <v>0.89458333333333329</v>
      </c>
      <c r="BM129" s="186">
        <f t="shared" si="48"/>
        <v>0.12104547240783149</v>
      </c>
      <c r="BN129" s="185" t="str">
        <f t="shared" si="49"/>
        <v>OK</v>
      </c>
      <c r="BO129" s="185" cm="1">
        <f t="array" ref="BO129">_xll.DCEBoltDisRS(AN129, AE129, BA129, BB129, BC129, BD129, "h1")</f>
        <v>890</v>
      </c>
      <c r="BP129" s="185" cm="1">
        <f t="array" ref="BP129">_xll.DCEBoltDisRS(AN129, AE129, BA129, BB129, BC129, BD129, "Tong")</f>
        <v>1800300</v>
      </c>
      <c r="BQ129" s="185">
        <f t="shared" si="50"/>
        <v>26.16613434049242</v>
      </c>
      <c r="BR129" s="186">
        <f t="shared" si="51"/>
        <v>0.18384183149880573</v>
      </c>
      <c r="BS129" s="185" t="str">
        <f t="shared" si="52"/>
        <v>OK</v>
      </c>
      <c r="BT129" s="186">
        <f t="shared" si="53"/>
        <v>0.21336240769338552</v>
      </c>
      <c r="BU129" s="185" t="str">
        <f t="shared" si="54"/>
        <v>OK</v>
      </c>
      <c r="BV129" s="190">
        <f t="shared" si="55"/>
        <v>134.0381919058278</v>
      </c>
      <c r="BW129" s="191">
        <f t="shared" si="56"/>
        <v>3.0158593178811253</v>
      </c>
      <c r="BX129" s="190">
        <f t="shared" si="57"/>
        <v>67.019095952913901</v>
      </c>
      <c r="BY129" s="167">
        <f t="shared" si="58"/>
        <v>28.665593516493864</v>
      </c>
      <c r="BZ129" s="192">
        <f t="shared" si="59"/>
        <v>0.13934663514962298</v>
      </c>
      <c r="CA129" s="191">
        <f t="shared" si="60"/>
        <v>2.6542216218975803</v>
      </c>
      <c r="CB129" s="193">
        <f t="shared" si="61"/>
        <v>2.2245631409582214E-2</v>
      </c>
      <c r="CC129" s="167">
        <f t="shared" si="62"/>
        <v>29.03189502783621</v>
      </c>
      <c r="CD129" s="191">
        <f t="shared" si="63"/>
        <v>0.12271936304037048</v>
      </c>
      <c r="CE129" s="189">
        <f t="shared" si="64"/>
        <v>0.13934663514962298</v>
      </c>
      <c r="CF129" s="194" t="str">
        <f t="shared" si="65"/>
        <v>OK</v>
      </c>
      <c r="DA129" s="140"/>
      <c r="DB129" s="140"/>
      <c r="DC129" s="140"/>
      <c r="DD129" s="141"/>
      <c r="DE129" s="151"/>
      <c r="DF129" s="152"/>
      <c r="DG129" s="152"/>
      <c r="DH129" s="152"/>
      <c r="DI129" s="152"/>
      <c r="DJ129" s="152"/>
      <c r="DK129" s="161"/>
      <c r="DL129" s="162"/>
      <c r="DM129" s="162"/>
      <c r="DN129" s="162"/>
      <c r="DO129" s="162"/>
      <c r="DP129" s="162"/>
      <c r="DQ129" s="140"/>
      <c r="DR129" s="151"/>
      <c r="DS129" s="151"/>
      <c r="DT129" s="151"/>
      <c r="DU129" s="151"/>
      <c r="DV129" s="151"/>
      <c r="DW129" s="151"/>
      <c r="DX129" s="151"/>
      <c r="DY129" s="151"/>
      <c r="DZ129" s="151"/>
      <c r="EA129" s="161"/>
      <c r="EB129" s="161"/>
      <c r="EC129" s="161"/>
      <c r="ED129" s="161"/>
      <c r="EE129" s="161"/>
      <c r="EF129" s="161"/>
      <c r="EG129" s="161"/>
      <c r="EH129" s="161"/>
      <c r="EI129" s="161"/>
      <c r="EJ129" s="161"/>
      <c r="EK129" s="209"/>
      <c r="EL129" s="161"/>
      <c r="EM129" s="187"/>
      <c r="EN129" s="187"/>
      <c r="EO129" s="206"/>
      <c r="EP129" s="212"/>
      <c r="EQ129" s="208"/>
      <c r="ER129" s="187"/>
      <c r="ES129" s="187"/>
      <c r="ET129" s="187"/>
      <c r="EU129" s="187"/>
      <c r="EV129" s="210"/>
      <c r="EW129" s="209"/>
      <c r="EX129" s="210"/>
      <c r="EY129" s="162"/>
      <c r="EZ129" s="211"/>
      <c r="FA129" s="209"/>
      <c r="FB129" s="207"/>
      <c r="FC129" s="162"/>
      <c r="FD129" s="209"/>
      <c r="FE129" s="187"/>
      <c r="FF129" s="187"/>
    </row>
    <row r="130" spans="27:162">
      <c r="AA130" s="140" t="s">
        <v>210</v>
      </c>
      <c r="AB130" s="140" t="s">
        <v>238</v>
      </c>
      <c r="AC130" s="140">
        <v>46</v>
      </c>
      <c r="AD130" s="141">
        <v>2.6850000000000001</v>
      </c>
      <c r="AE130" s="151">
        <v>1100</v>
      </c>
      <c r="AF130" s="152">
        <v>350</v>
      </c>
      <c r="AG130" s="152">
        <v>14</v>
      </c>
      <c r="AH130" s="152">
        <v>18.000000000000004</v>
      </c>
      <c r="AI130" s="152">
        <v>1064</v>
      </c>
      <c r="AJ130" s="153" t="str" cm="1">
        <f t="array" ref="AJ130">_xll.Dce_Name_SectI(AE130, AE130, AF130, AG130, AH130, "x", "-", "H Tổng")</f>
        <v>1100x350x14x18</v>
      </c>
      <c r="AK130" s="161">
        <f t="shared" si="36"/>
        <v>1360</v>
      </c>
      <c r="AL130" s="162" cm="1">
        <f t="array" ref="AL130">IFERROR(INDEX($B$25:$B$32,IFERROR(MATCH(AF130,$B$25:$B$32,0),MATCH(AF130,$B$25:$B$32,1)+1)),$B$25)</f>
        <v>350</v>
      </c>
      <c r="AM130" s="162" cm="1">
        <f t="array" ref="AM130">IFERROR(VLOOKUP(AE130,$B$36:$E$47,4,FALSE),INDEX($E$36:$E$47,MATCH(AE130,$B$36:$B$47,1)+1))</f>
        <v>25</v>
      </c>
      <c r="AN130" s="162" cm="1">
        <f t="array" ref="AN130">IFERROR(VLOOKUP(AE130,$B$36:$E$47,2,FALSE),INDEX($C$36:$C$47,MATCH(AE130,$B$36:$B$47,1)+1))</f>
        <v>12</v>
      </c>
      <c r="AO130" s="162" cm="1">
        <f t="array" ref="AO130">IFERROR(VLOOKUP(AE130,$B$36:$E$47,3,FALSE),INDEX($D$36:$D$47,MATCH(AE130,$B$36:$B$47,1)+1))</f>
        <v>24</v>
      </c>
      <c r="AP130" s="163" t="str">
        <f t="shared" si="37"/>
        <v>1360x350x25 + 12M24</v>
      </c>
      <c r="AQ130" s="140" t="s">
        <v>268</v>
      </c>
      <c r="AR130" s="151">
        <v>0</v>
      </c>
      <c r="AS130" s="151">
        <v>216.47554462439584</v>
      </c>
      <c r="AT130" s="151">
        <v>-4.092726157978176E-15</v>
      </c>
      <c r="AU130" s="151">
        <v>-1.5304983733886402E-3</v>
      </c>
      <c r="AV130" s="151">
        <v>1.0139956430066375E-15</v>
      </c>
      <c r="AW130" s="151">
        <v>-612.83180045077393</v>
      </c>
      <c r="BA130" s="161">
        <f t="shared" si="38"/>
        <v>60</v>
      </c>
      <c r="BB130" s="161">
        <f t="shared" si="39"/>
        <v>70</v>
      </c>
      <c r="BC130" s="161">
        <f t="shared" si="40"/>
        <v>80</v>
      </c>
      <c r="BD130" s="161">
        <f t="shared" si="41"/>
        <v>150</v>
      </c>
      <c r="BE130" s="161">
        <f>HLOOKUP(AO130,Data!$H$31:$Q$35,3,FALSE)</f>
        <v>452.38934211693021</v>
      </c>
      <c r="BF130" s="161">
        <f>HLOOKUP(AO130,Data!$H$31:$Q$35,4,FALSE)</f>
        <v>353</v>
      </c>
      <c r="BG130" s="179">
        <f t="shared" si="42"/>
        <v>180</v>
      </c>
      <c r="BH130" s="185">
        <f t="shared" si="43"/>
        <v>121.65654188208487</v>
      </c>
      <c r="BI130" s="185">
        <f t="shared" si="44"/>
        <v>243</v>
      </c>
      <c r="BJ130" s="185">
        <f t="shared" si="45"/>
        <v>142.3296</v>
      </c>
      <c r="BK130" s="185">
        <f t="shared" si="46"/>
        <v>17.950101472686331</v>
      </c>
      <c r="BL130" s="186">
        <f t="shared" si="47"/>
        <v>0.82166666666666666</v>
      </c>
      <c r="BM130" s="186">
        <f t="shared" si="48"/>
        <v>0.17957082244154163</v>
      </c>
      <c r="BN130" s="185" t="str">
        <f t="shared" si="49"/>
        <v>OK</v>
      </c>
      <c r="BO130" s="185" cm="1">
        <f t="array" ref="BO130">_xll.DCEBoltDisRS(AN130, AE130, BA130, BB130, BC130, BD130, "h1")</f>
        <v>1240</v>
      </c>
      <c r="BP130" s="185" cm="1">
        <f t="array" ref="BP130">_xll.DCEBoltDisRS(AN130, AE130, BA130, BB130, BC130, BD130, "Tong")</f>
        <v>3721800</v>
      </c>
      <c r="BQ130" s="185">
        <f t="shared" si="50"/>
        <v>103.88424553860609</v>
      </c>
      <c r="BR130" s="186">
        <f t="shared" si="51"/>
        <v>0.72988503823945328</v>
      </c>
      <c r="BS130" s="185" t="str">
        <f t="shared" si="52"/>
        <v>OK</v>
      </c>
      <c r="BT130" s="186">
        <f t="shared" si="53"/>
        <v>0.74464917392353458</v>
      </c>
      <c r="BU130" s="185" t="str">
        <f t="shared" si="54"/>
        <v>OK</v>
      </c>
      <c r="BV130" s="190">
        <f t="shared" si="55"/>
        <v>557.11981859161267</v>
      </c>
      <c r="BW130" s="191">
        <f t="shared" si="56"/>
        <v>12.535195918311285</v>
      </c>
      <c r="BX130" s="190">
        <f t="shared" si="57"/>
        <v>278.55990929580634</v>
      </c>
      <c r="BY130" s="167">
        <f t="shared" si="58"/>
        <v>88.483735893961992</v>
      </c>
      <c r="BZ130" s="192">
        <f t="shared" si="59"/>
        <v>0.43012927170675974</v>
      </c>
      <c r="CA130" s="191">
        <f t="shared" si="60"/>
        <v>8.1929385087001858</v>
      </c>
      <c r="CB130" s="193">
        <f t="shared" si="61"/>
        <v>6.8666869684987197E-2</v>
      </c>
      <c r="CC130" s="167">
        <f t="shared" si="62"/>
        <v>89.614419832828503</v>
      </c>
      <c r="CD130" s="191">
        <f t="shared" si="63"/>
        <v>0.37880491475229444</v>
      </c>
      <c r="CE130" s="189">
        <f t="shared" si="64"/>
        <v>0.43012927170675974</v>
      </c>
      <c r="CF130" s="194" t="str">
        <f t="shared" si="65"/>
        <v>OK</v>
      </c>
      <c r="DA130" s="140"/>
      <c r="DB130" s="140"/>
      <c r="DC130" s="140"/>
      <c r="DD130" s="141"/>
      <c r="DE130" s="151"/>
      <c r="DF130" s="152"/>
      <c r="DG130" s="152"/>
      <c r="DH130" s="152"/>
      <c r="DI130" s="152"/>
      <c r="DJ130" s="152"/>
      <c r="DK130" s="161"/>
      <c r="DL130" s="162"/>
      <c r="DM130" s="162"/>
      <c r="DN130" s="162"/>
      <c r="DO130" s="162"/>
      <c r="DP130" s="162"/>
      <c r="DQ130" s="140"/>
      <c r="DR130" s="151"/>
      <c r="DS130" s="151"/>
      <c r="DT130" s="151"/>
      <c r="DU130" s="151"/>
      <c r="DV130" s="151"/>
      <c r="DW130" s="151"/>
      <c r="DX130" s="151"/>
      <c r="DY130" s="151"/>
      <c r="DZ130" s="151"/>
      <c r="EA130" s="161"/>
      <c r="EB130" s="161"/>
      <c r="EC130" s="161"/>
      <c r="ED130" s="161"/>
      <c r="EE130" s="161"/>
      <c r="EF130" s="161"/>
      <c r="EG130" s="161"/>
      <c r="EH130" s="161"/>
      <c r="EI130" s="161"/>
      <c r="EJ130" s="161"/>
      <c r="EK130" s="209"/>
      <c r="EL130" s="161"/>
      <c r="EM130" s="187"/>
      <c r="EN130" s="187"/>
      <c r="EO130" s="206"/>
      <c r="EP130" s="212"/>
      <c r="EQ130" s="208"/>
      <c r="ER130" s="187"/>
      <c r="ES130" s="187"/>
      <c r="ET130" s="187"/>
      <c r="EU130" s="187"/>
      <c r="EV130" s="210"/>
      <c r="EW130" s="209"/>
      <c r="EX130" s="210"/>
      <c r="EY130" s="162"/>
      <c r="EZ130" s="211"/>
      <c r="FA130" s="209"/>
      <c r="FB130" s="207"/>
      <c r="FC130" s="162"/>
      <c r="FD130" s="209"/>
      <c r="FE130" s="187"/>
      <c r="FF130" s="187"/>
    </row>
    <row r="131" spans="27:162">
      <c r="AA131" s="140" t="s">
        <v>210</v>
      </c>
      <c r="AB131" s="140" t="s">
        <v>239</v>
      </c>
      <c r="AC131" s="140">
        <v>102</v>
      </c>
      <c r="AD131" s="141">
        <v>0.3</v>
      </c>
      <c r="AE131" s="151">
        <v>1100</v>
      </c>
      <c r="AF131" s="152">
        <v>350</v>
      </c>
      <c r="AG131" s="152">
        <v>14</v>
      </c>
      <c r="AH131" s="152">
        <v>18.000000000000004</v>
      </c>
      <c r="AI131" s="152">
        <v>1064</v>
      </c>
      <c r="AJ131" s="153" t="str" cm="1">
        <f t="array" ref="AJ131">_xll.Dce_Name_SectI(AE131, AE131, AF131, AG131, AH131, "x", "-", "H Tổng")</f>
        <v>1100x350x14x18</v>
      </c>
      <c r="AK131" s="161">
        <f t="shared" si="36"/>
        <v>1360</v>
      </c>
      <c r="AL131" s="162" cm="1">
        <f t="array" ref="AL131">IFERROR(INDEX($B$25:$B$32,IFERROR(MATCH(AF131,$B$25:$B$32,0),MATCH(AF131,$B$25:$B$32,1)+1)),$B$25)</f>
        <v>350</v>
      </c>
      <c r="AM131" s="162" cm="1">
        <f t="array" ref="AM131">IFERROR(VLOOKUP(AE131,$B$36:$E$47,4,FALSE),INDEX($E$36:$E$47,MATCH(AE131,$B$36:$B$47,1)+1))</f>
        <v>25</v>
      </c>
      <c r="AN131" s="162" cm="1">
        <f t="array" ref="AN131">IFERROR(VLOOKUP(AE131,$B$36:$E$47,2,FALSE),INDEX($C$36:$C$47,MATCH(AE131,$B$36:$B$47,1)+1))</f>
        <v>12</v>
      </c>
      <c r="AO131" s="162" cm="1">
        <f t="array" ref="AO131">IFERROR(VLOOKUP(AE131,$B$36:$E$47,3,FALSE),INDEX($D$36:$D$47,MATCH(AE131,$B$36:$B$47,1)+1))</f>
        <v>24</v>
      </c>
      <c r="AP131" s="163" t="str">
        <f t="shared" si="37"/>
        <v>1360x350x25 + 12M24</v>
      </c>
      <c r="AQ131" s="140" t="s">
        <v>242</v>
      </c>
      <c r="AR131" s="151">
        <v>0</v>
      </c>
      <c r="AS131" s="151">
        <v>-307.3996282310876</v>
      </c>
      <c r="AT131" s="151">
        <v>-2.5465851649641983E-15</v>
      </c>
      <c r="AU131" s="151">
        <v>8.0310378246041276E-4</v>
      </c>
      <c r="AV131" s="151">
        <v>-1.8691935110837214E-15</v>
      </c>
      <c r="AW131" s="151">
        <v>-879.72158598988221</v>
      </c>
      <c r="BA131" s="161">
        <f t="shared" si="38"/>
        <v>60</v>
      </c>
      <c r="BB131" s="161">
        <f t="shared" si="39"/>
        <v>70</v>
      </c>
      <c r="BC131" s="161">
        <f t="shared" si="40"/>
        <v>80</v>
      </c>
      <c r="BD131" s="161">
        <f t="shared" si="41"/>
        <v>150</v>
      </c>
      <c r="BE131" s="161">
        <f>HLOOKUP(AO131,Data!$H$31:$Q$35,3,FALSE)</f>
        <v>452.38934211693021</v>
      </c>
      <c r="BF131" s="161">
        <f>HLOOKUP(AO131,Data!$H$31:$Q$35,4,FALSE)</f>
        <v>353</v>
      </c>
      <c r="BG131" s="179">
        <f t="shared" si="42"/>
        <v>180</v>
      </c>
      <c r="BH131" s="185">
        <f t="shared" si="43"/>
        <v>121.65654188208487</v>
      </c>
      <c r="BI131" s="185">
        <f t="shared" si="44"/>
        <v>243</v>
      </c>
      <c r="BJ131" s="185">
        <f t="shared" si="45"/>
        <v>142.3296</v>
      </c>
      <c r="BK131" s="185">
        <f t="shared" si="46"/>
        <v>25.489505195554724</v>
      </c>
      <c r="BL131" s="186">
        <f t="shared" si="47"/>
        <v>0.82166666666666666</v>
      </c>
      <c r="BM131" s="186">
        <f t="shared" si="48"/>
        <v>0.2549941803147206</v>
      </c>
      <c r="BN131" s="185" t="str">
        <f t="shared" si="49"/>
        <v>OK</v>
      </c>
      <c r="BO131" s="185" cm="1">
        <f t="array" ref="BO131">_xll.DCEBoltDisRS(AN131, AE131, BA131, BB131, BC131, BD131, "h1")</f>
        <v>1240</v>
      </c>
      <c r="BP131" s="185" cm="1">
        <f t="array" ref="BP131">_xll.DCEBoltDisRS(AN131, AE131, BA131, BB131, BC131, BD131, "Tong")</f>
        <v>3721800</v>
      </c>
      <c r="BQ131" s="185">
        <f t="shared" si="50"/>
        <v>149.09830387377306</v>
      </c>
      <c r="BR131" s="186">
        <f t="shared" si="51"/>
        <v>1.047556543921806</v>
      </c>
      <c r="BS131" s="185" t="str">
        <f t="shared" si="52"/>
        <v>O/S</v>
      </c>
      <c r="BT131" s="186">
        <f t="shared" si="53"/>
        <v>1.0683039991175844</v>
      </c>
      <c r="BU131" s="185" t="str">
        <f t="shared" si="54"/>
        <v>O/S</v>
      </c>
      <c r="BV131" s="190">
        <f t="shared" si="55"/>
        <v>799.74689635443826</v>
      </c>
      <c r="BW131" s="191">
        <f t="shared" si="56"/>
        <v>17.994305167974861</v>
      </c>
      <c r="BX131" s="190">
        <f t="shared" si="57"/>
        <v>399.87344817721913</v>
      </c>
      <c r="BY131" s="167">
        <f t="shared" si="58"/>
        <v>127.01862471511667</v>
      </c>
      <c r="BZ131" s="192">
        <f t="shared" si="59"/>
        <v>0.61745164792070606</v>
      </c>
      <c r="CA131" s="191">
        <f t="shared" si="60"/>
        <v>11.76098376991821</v>
      </c>
      <c r="CB131" s="193">
        <f t="shared" si="61"/>
        <v>9.8571463588873906E-2</v>
      </c>
      <c r="CC131" s="167">
        <f t="shared" si="62"/>
        <v>128.64172434411972</v>
      </c>
      <c r="CD131" s="191">
        <f t="shared" si="63"/>
        <v>0.54377540483625497</v>
      </c>
      <c r="CE131" s="189">
        <f t="shared" si="64"/>
        <v>0.61745164792070606</v>
      </c>
      <c r="CF131" s="194" t="str">
        <f t="shared" si="65"/>
        <v>OK</v>
      </c>
      <c r="DA131" s="140"/>
      <c r="DB131" s="140"/>
      <c r="DC131" s="140"/>
      <c r="DD131" s="141"/>
      <c r="DE131" s="151"/>
      <c r="DF131" s="152"/>
      <c r="DG131" s="152"/>
      <c r="DH131" s="152"/>
      <c r="DI131" s="152"/>
      <c r="DJ131" s="152"/>
      <c r="DK131" s="161"/>
      <c r="DL131" s="162"/>
      <c r="DM131" s="162"/>
      <c r="DN131" s="162"/>
      <c r="DO131" s="162"/>
      <c r="DP131" s="162"/>
      <c r="DQ131" s="140"/>
      <c r="DR131" s="151"/>
      <c r="DS131" s="151"/>
      <c r="DT131" s="151"/>
      <c r="DU131" s="151"/>
      <c r="DV131" s="151"/>
      <c r="DW131" s="151"/>
      <c r="DX131" s="151"/>
      <c r="DY131" s="151"/>
      <c r="DZ131" s="151"/>
      <c r="EA131" s="161"/>
      <c r="EB131" s="161"/>
      <c r="EC131" s="161"/>
      <c r="ED131" s="161"/>
      <c r="EE131" s="161"/>
      <c r="EF131" s="161"/>
      <c r="EG131" s="161"/>
      <c r="EH131" s="161"/>
      <c r="EI131" s="161"/>
      <c r="EJ131" s="161"/>
      <c r="EK131" s="209"/>
      <c r="EL131" s="161"/>
      <c r="EM131" s="187"/>
      <c r="EN131" s="187"/>
      <c r="EO131" s="206"/>
      <c r="EP131" s="212"/>
      <c r="EQ131" s="208"/>
      <c r="ER131" s="187"/>
      <c r="ES131" s="187"/>
      <c r="ET131" s="187"/>
      <c r="EU131" s="187"/>
      <c r="EV131" s="210"/>
      <c r="EW131" s="209"/>
      <c r="EX131" s="210"/>
      <c r="EY131" s="162"/>
      <c r="EZ131" s="211"/>
      <c r="FA131" s="209"/>
      <c r="FB131" s="207"/>
      <c r="FC131" s="162"/>
      <c r="FD131" s="209"/>
      <c r="FE131" s="187"/>
      <c r="FF131" s="187"/>
    </row>
    <row r="132" spans="27:162">
      <c r="AA132" s="140" t="s">
        <v>210</v>
      </c>
      <c r="AB132" s="140" t="s">
        <v>239</v>
      </c>
      <c r="AC132" s="140">
        <v>102</v>
      </c>
      <c r="AD132" s="141">
        <v>3</v>
      </c>
      <c r="AE132" s="151">
        <v>750</v>
      </c>
      <c r="AF132" s="152">
        <v>350</v>
      </c>
      <c r="AG132" s="152">
        <v>14</v>
      </c>
      <c r="AH132" s="152">
        <v>18.000000000000004</v>
      </c>
      <c r="AI132" s="152">
        <v>714</v>
      </c>
      <c r="AJ132" s="153" t="str" cm="1">
        <f t="array" ref="AJ132">_xll.Dce_Name_SectI(AE132, AE132, AF132, AG132, AH132, "x", "-", "H Tổng")</f>
        <v>750x350x14x18</v>
      </c>
      <c r="AK132" s="161">
        <f t="shared" si="36"/>
        <v>1010</v>
      </c>
      <c r="AL132" s="162" cm="1">
        <f t="array" ref="AL132">IFERROR(INDEX($B$25:$B$32,IFERROR(MATCH(AF132,$B$25:$B$32,0),MATCH(AF132,$B$25:$B$32,1)+1)),$B$25)</f>
        <v>350</v>
      </c>
      <c r="AM132" s="162" cm="1">
        <f t="array" ref="AM132">IFERROR(VLOOKUP(AE132,$B$36:$E$47,4,FALSE),INDEX($E$36:$E$47,MATCH(AE132,$B$36:$B$47,1)+1))</f>
        <v>25</v>
      </c>
      <c r="AN132" s="162" cm="1">
        <f t="array" ref="AN132">IFERROR(VLOOKUP(AE132,$B$36:$E$47,2,FALSE),INDEX($C$36:$C$47,MATCH(AE132,$B$36:$B$47,1)+1))</f>
        <v>12</v>
      </c>
      <c r="AO132" s="162" cm="1">
        <f t="array" ref="AO132">IFERROR(VLOOKUP(AE132,$B$36:$E$47,3,FALSE),INDEX($D$36:$D$47,MATCH(AE132,$B$36:$B$47,1)+1))</f>
        <v>24</v>
      </c>
      <c r="AP132" s="163" t="str">
        <f t="shared" si="37"/>
        <v>1010x350x25 + 12M24</v>
      </c>
      <c r="AQ132" s="140" t="s">
        <v>242</v>
      </c>
      <c r="AR132" s="151">
        <v>0</v>
      </c>
      <c r="AS132" s="151">
        <v>-216.3158846982048</v>
      </c>
      <c r="AT132" s="151">
        <v>3.5652192309498773E-14</v>
      </c>
      <c r="AU132" s="151">
        <v>8.0323659914614039E-4</v>
      </c>
      <c r="AV132" s="151">
        <v>1.5900877770036457E-14</v>
      </c>
      <c r="AW132" s="151">
        <v>-152.07527031797918</v>
      </c>
      <c r="BA132" s="161">
        <f t="shared" si="38"/>
        <v>60</v>
      </c>
      <c r="BB132" s="161">
        <f t="shared" si="39"/>
        <v>70</v>
      </c>
      <c r="BC132" s="161">
        <f t="shared" si="40"/>
        <v>80</v>
      </c>
      <c r="BD132" s="161">
        <f t="shared" si="41"/>
        <v>150</v>
      </c>
      <c r="BE132" s="161">
        <f>HLOOKUP(AO132,Data!$H$31:$Q$35,3,FALSE)</f>
        <v>452.38934211693021</v>
      </c>
      <c r="BF132" s="161">
        <f>HLOOKUP(AO132,Data!$H$31:$Q$35,4,FALSE)</f>
        <v>353</v>
      </c>
      <c r="BG132" s="179">
        <f t="shared" si="42"/>
        <v>180</v>
      </c>
      <c r="BH132" s="185">
        <f t="shared" si="43"/>
        <v>121.65654188208487</v>
      </c>
      <c r="BI132" s="185">
        <f t="shared" si="44"/>
        <v>243</v>
      </c>
      <c r="BJ132" s="185">
        <f t="shared" si="45"/>
        <v>142.3296</v>
      </c>
      <c r="BK132" s="185">
        <f t="shared" si="46"/>
        <v>17.936862508990806</v>
      </c>
      <c r="BL132" s="186">
        <f t="shared" si="47"/>
        <v>0.89458333333333329</v>
      </c>
      <c r="BM132" s="186">
        <f t="shared" si="48"/>
        <v>0.16481252350253212</v>
      </c>
      <c r="BN132" s="185" t="str">
        <f t="shared" si="49"/>
        <v>OK</v>
      </c>
      <c r="BO132" s="185" cm="1">
        <f t="array" ref="BO132">_xll.DCEBoltDisRS(AN132, AE132, BA132, BB132, BC132, BD132, "h1")</f>
        <v>890</v>
      </c>
      <c r="BP132" s="185" cm="1">
        <f t="array" ref="BP132">_xll.DCEBoltDisRS(AN132, AE132, BA132, BB132, BC132, BD132, "Tong")</f>
        <v>1800300</v>
      </c>
      <c r="BQ132" s="185">
        <f t="shared" si="50"/>
        <v>39.383807503746233</v>
      </c>
      <c r="BR132" s="186">
        <f t="shared" si="51"/>
        <v>0.27670848160710232</v>
      </c>
      <c r="BS132" s="185" t="str">
        <f t="shared" si="52"/>
        <v>OK</v>
      </c>
      <c r="BT132" s="186">
        <f t="shared" si="53"/>
        <v>0.31353740746965691</v>
      </c>
      <c r="BU132" s="185" t="str">
        <f t="shared" si="54"/>
        <v>OK</v>
      </c>
      <c r="BV132" s="190">
        <f t="shared" si="55"/>
        <v>202.76702709063889</v>
      </c>
      <c r="BW132" s="191">
        <f t="shared" si="56"/>
        <v>4.5622581095393748</v>
      </c>
      <c r="BX132" s="190">
        <f t="shared" si="57"/>
        <v>101.38351354531945</v>
      </c>
      <c r="BY132" s="167">
        <f t="shared" si="58"/>
        <v>43.364037476809898</v>
      </c>
      <c r="BZ132" s="192">
        <f t="shared" si="59"/>
        <v>0.21079740440115924</v>
      </c>
      <c r="CA132" s="191">
        <f t="shared" si="60"/>
        <v>4.0151886552601761</v>
      </c>
      <c r="CB132" s="193">
        <f t="shared" si="61"/>
        <v>3.3652203767745734E-2</v>
      </c>
      <c r="CC132" s="167">
        <f t="shared" si="62"/>
        <v>43.918162143948642</v>
      </c>
      <c r="CD132" s="191">
        <f t="shared" si="63"/>
        <v>0.18564440519785058</v>
      </c>
      <c r="CE132" s="189">
        <f t="shared" si="64"/>
        <v>0.21079740440115924</v>
      </c>
      <c r="CF132" s="194" t="str">
        <f t="shared" si="65"/>
        <v>OK</v>
      </c>
      <c r="DA132" s="140"/>
      <c r="DB132" s="140"/>
      <c r="DC132" s="140"/>
      <c r="DD132" s="141"/>
      <c r="DE132" s="151"/>
      <c r="DF132" s="152"/>
      <c r="DG132" s="152"/>
      <c r="DH132" s="152"/>
      <c r="DI132" s="152"/>
      <c r="DJ132" s="152"/>
      <c r="DK132" s="161"/>
      <c r="DL132" s="162"/>
      <c r="DM132" s="162"/>
      <c r="DN132" s="162"/>
      <c r="DO132" s="162"/>
      <c r="DP132" s="162"/>
      <c r="DQ132" s="140"/>
      <c r="DR132" s="151"/>
      <c r="DS132" s="151"/>
      <c r="DT132" s="151"/>
      <c r="DU132" s="151"/>
      <c r="DV132" s="151"/>
      <c r="DW132" s="151"/>
      <c r="DX132" s="151"/>
      <c r="DY132" s="151"/>
      <c r="DZ132" s="151"/>
      <c r="EA132" s="161"/>
      <c r="EB132" s="161"/>
      <c r="EC132" s="161"/>
      <c r="ED132" s="161"/>
      <c r="EE132" s="161"/>
      <c r="EF132" s="161"/>
      <c r="EG132" s="161"/>
      <c r="EH132" s="161"/>
      <c r="EI132" s="161"/>
      <c r="EJ132" s="161"/>
      <c r="EK132" s="209"/>
      <c r="EL132" s="161"/>
      <c r="EM132" s="187"/>
      <c r="EN132" s="187"/>
      <c r="EO132" s="206"/>
      <c r="EP132" s="212"/>
      <c r="EQ132" s="208"/>
      <c r="ER132" s="187"/>
      <c r="ES132" s="187"/>
      <c r="ET132" s="187"/>
      <c r="EU132" s="187"/>
      <c r="EV132" s="210"/>
      <c r="EW132" s="209"/>
      <c r="EX132" s="210"/>
      <c r="EY132" s="162"/>
      <c r="EZ132" s="211"/>
      <c r="FA132" s="209"/>
      <c r="FB132" s="207"/>
      <c r="FC132" s="162"/>
      <c r="FD132" s="209"/>
      <c r="FE132" s="187"/>
      <c r="FF132" s="187"/>
    </row>
    <row r="133" spans="27:162">
      <c r="AA133" s="140" t="s">
        <v>210</v>
      </c>
      <c r="AB133" s="140" t="s">
        <v>239</v>
      </c>
      <c r="AC133" s="140">
        <v>102</v>
      </c>
      <c r="AD133" s="141">
        <v>0.3</v>
      </c>
      <c r="AE133" s="151">
        <v>1100</v>
      </c>
      <c r="AF133" s="152">
        <v>350</v>
      </c>
      <c r="AG133" s="152">
        <v>14</v>
      </c>
      <c r="AH133" s="152">
        <v>18.000000000000004</v>
      </c>
      <c r="AI133" s="152">
        <v>1064</v>
      </c>
      <c r="AJ133" s="153" t="str" cm="1">
        <f t="array" ref="AJ133">_xll.Dce_Name_SectI(AE133, AE133, AF133, AG133, AH133, "x", "-", "H Tổng")</f>
        <v>1100x350x14x18</v>
      </c>
      <c r="AK133" s="161">
        <f t="shared" si="36"/>
        <v>1360</v>
      </c>
      <c r="AL133" s="162" cm="1">
        <f t="array" ref="AL133">IFERROR(INDEX($B$25:$B$32,IFERROR(MATCH(AF133,$B$25:$B$32,0),MATCH(AF133,$B$25:$B$32,1)+1)),$B$25)</f>
        <v>350</v>
      </c>
      <c r="AM133" s="162" cm="1">
        <f t="array" ref="AM133">IFERROR(VLOOKUP(AE133,$B$36:$E$47,4,FALSE),INDEX($E$36:$E$47,MATCH(AE133,$B$36:$B$47,1)+1))</f>
        <v>25</v>
      </c>
      <c r="AN133" s="162" cm="1">
        <f t="array" ref="AN133">IFERROR(VLOOKUP(AE133,$B$36:$E$47,2,FALSE),INDEX($C$36:$C$47,MATCH(AE133,$B$36:$B$47,1)+1))</f>
        <v>12</v>
      </c>
      <c r="AO133" s="162" cm="1">
        <f t="array" ref="AO133">IFERROR(VLOOKUP(AE133,$B$36:$E$47,3,FALSE),INDEX($D$36:$D$47,MATCH(AE133,$B$36:$B$47,1)+1))</f>
        <v>24</v>
      </c>
      <c r="AP133" s="163" t="str">
        <f t="shared" si="37"/>
        <v>1360x350x25 + 12M24</v>
      </c>
      <c r="AQ133" s="140" t="s">
        <v>243</v>
      </c>
      <c r="AR133" s="151">
        <v>0</v>
      </c>
      <c r="AS133" s="151">
        <v>-835.66879041449158</v>
      </c>
      <c r="AT133" s="151">
        <v>3.6664005165221163E-15</v>
      </c>
      <c r="AU133" s="151">
        <v>1.835721973380223E-3</v>
      </c>
      <c r="AV133" s="151">
        <v>-2.8909425964229748E-16</v>
      </c>
      <c r="AW133" s="151">
        <v>-2440.3613046296405</v>
      </c>
      <c r="BA133" s="161">
        <f t="shared" si="38"/>
        <v>60</v>
      </c>
      <c r="BB133" s="161">
        <f t="shared" si="39"/>
        <v>70</v>
      </c>
      <c r="BC133" s="161">
        <f t="shared" si="40"/>
        <v>80</v>
      </c>
      <c r="BD133" s="161">
        <f t="shared" si="41"/>
        <v>150</v>
      </c>
      <c r="BE133" s="161">
        <f>HLOOKUP(AO133,Data!$H$31:$Q$35,3,FALSE)</f>
        <v>452.38934211693021</v>
      </c>
      <c r="BF133" s="161">
        <f>HLOOKUP(AO133,Data!$H$31:$Q$35,4,FALSE)</f>
        <v>353</v>
      </c>
      <c r="BG133" s="179">
        <f t="shared" si="42"/>
        <v>180</v>
      </c>
      <c r="BH133" s="185">
        <f t="shared" si="43"/>
        <v>121.65654188208487</v>
      </c>
      <c r="BI133" s="185">
        <f t="shared" si="44"/>
        <v>243</v>
      </c>
      <c r="BJ133" s="185">
        <f t="shared" si="45"/>
        <v>142.3296</v>
      </c>
      <c r="BK133" s="185">
        <f t="shared" si="46"/>
        <v>69.293460430018001</v>
      </c>
      <c r="BL133" s="186">
        <f t="shared" si="47"/>
        <v>0.82166666666666666</v>
      </c>
      <c r="BM133" s="186">
        <f t="shared" si="48"/>
        <v>0.6932040856801116</v>
      </c>
      <c r="BN133" s="185" t="str">
        <f t="shared" si="49"/>
        <v>OK</v>
      </c>
      <c r="BO133" s="185" cm="1">
        <f t="array" ref="BO133">_xll.DCEBoltDisRS(AN133, AE133, BA133, BB133, BC133, BD133, "h1")</f>
        <v>1240</v>
      </c>
      <c r="BP133" s="185" cm="1">
        <f t="array" ref="BP133">_xll.DCEBoltDisRS(AN133, AE133, BA133, BB133, BC133, BD133, "Tong")</f>
        <v>3721800</v>
      </c>
      <c r="BQ133" s="185">
        <f t="shared" si="50"/>
        <v>413.45952199828616</v>
      </c>
      <c r="BR133" s="186">
        <f t="shared" si="51"/>
        <v>2.9049440313068131</v>
      </c>
      <c r="BS133" s="185" t="str">
        <f t="shared" si="52"/>
        <v>O/S</v>
      </c>
      <c r="BT133" s="186">
        <f t="shared" si="53"/>
        <v>2.9602574662060972</v>
      </c>
      <c r="BU133" s="185" t="str">
        <f t="shared" si="54"/>
        <v>O/S</v>
      </c>
      <c r="BV133" s="190">
        <f t="shared" si="55"/>
        <v>2218.5102769360365</v>
      </c>
      <c r="BW133" s="191">
        <f t="shared" si="56"/>
        <v>49.916481231060821</v>
      </c>
      <c r="BX133" s="190">
        <f t="shared" si="57"/>
        <v>1109.2551384680182</v>
      </c>
      <c r="BY133" s="167">
        <f t="shared" si="58"/>
        <v>352.35163221925285</v>
      </c>
      <c r="BZ133" s="192">
        <f t="shared" si="59"/>
        <v>1.712820434399146</v>
      </c>
      <c r="CA133" s="191">
        <f t="shared" si="60"/>
        <v>32.625151131412302</v>
      </c>
      <c r="CB133" s="193">
        <f t="shared" si="61"/>
        <v>0.27343876666653033</v>
      </c>
      <c r="CC133" s="167">
        <f t="shared" si="62"/>
        <v>356.85413572861125</v>
      </c>
      <c r="CD133" s="191">
        <f t="shared" si="63"/>
        <v>1.5084413949880913</v>
      </c>
      <c r="CE133" s="189">
        <f t="shared" si="64"/>
        <v>1.712820434399146</v>
      </c>
      <c r="CF133" s="194" t="str">
        <f t="shared" si="65"/>
        <v>O/S</v>
      </c>
      <c r="DA133" s="140"/>
      <c r="DB133" s="140"/>
      <c r="DC133" s="140"/>
      <c r="DD133" s="141"/>
      <c r="DE133" s="151"/>
      <c r="DF133" s="152"/>
      <c r="DG133" s="152"/>
      <c r="DH133" s="152"/>
      <c r="DI133" s="152"/>
      <c r="DJ133" s="152"/>
      <c r="DK133" s="161"/>
      <c r="DL133" s="162"/>
      <c r="DM133" s="162"/>
      <c r="DN133" s="162"/>
      <c r="DO133" s="162"/>
      <c r="DP133" s="162"/>
      <c r="DQ133" s="140"/>
      <c r="DR133" s="151"/>
      <c r="DS133" s="151"/>
      <c r="DT133" s="151"/>
      <c r="DU133" s="151"/>
      <c r="DV133" s="151"/>
      <c r="DW133" s="151"/>
      <c r="DX133" s="151"/>
      <c r="DY133" s="151"/>
      <c r="DZ133" s="151"/>
      <c r="EA133" s="161"/>
      <c r="EB133" s="161"/>
      <c r="EC133" s="161"/>
      <c r="ED133" s="161"/>
      <c r="EE133" s="161"/>
      <c r="EF133" s="161"/>
      <c r="EG133" s="161"/>
      <c r="EH133" s="161"/>
      <c r="EI133" s="161"/>
      <c r="EJ133" s="161"/>
      <c r="EK133" s="209"/>
      <c r="EL133" s="161"/>
      <c r="EM133" s="187"/>
      <c r="EN133" s="187"/>
      <c r="EO133" s="206"/>
      <c r="EP133" s="212"/>
      <c r="EQ133" s="208"/>
      <c r="ER133" s="187"/>
      <c r="ES133" s="187"/>
      <c r="ET133" s="187"/>
      <c r="EU133" s="187"/>
      <c r="EV133" s="210"/>
      <c r="EW133" s="209"/>
      <c r="EX133" s="210"/>
      <c r="EY133" s="162"/>
      <c r="EZ133" s="211"/>
      <c r="FA133" s="209"/>
      <c r="FB133" s="207"/>
      <c r="FC133" s="162"/>
      <c r="FD133" s="209"/>
      <c r="FE133" s="187"/>
      <c r="FF133" s="187"/>
    </row>
    <row r="134" spans="27:162">
      <c r="AA134" s="140" t="s">
        <v>210</v>
      </c>
      <c r="AB134" s="140" t="s">
        <v>239</v>
      </c>
      <c r="AC134" s="140">
        <v>102</v>
      </c>
      <c r="AD134" s="141">
        <v>3</v>
      </c>
      <c r="AE134" s="151">
        <v>750</v>
      </c>
      <c r="AF134" s="152">
        <v>350</v>
      </c>
      <c r="AG134" s="152">
        <v>14</v>
      </c>
      <c r="AH134" s="152">
        <v>18.000000000000004</v>
      </c>
      <c r="AI134" s="152">
        <v>714</v>
      </c>
      <c r="AJ134" s="153" t="str" cm="1">
        <f t="array" ref="AJ134">_xll.Dce_Name_SectI(AE134, AE134, AF134, AG134, AH134, "x", "-", "H Tổng")</f>
        <v>750x350x14x18</v>
      </c>
      <c r="AK134" s="161">
        <f t="shared" si="36"/>
        <v>1010</v>
      </c>
      <c r="AL134" s="162" cm="1">
        <f t="array" ref="AL134">IFERROR(INDEX($B$25:$B$32,IFERROR(MATCH(AF134,$B$25:$B$32,0),MATCH(AF134,$B$25:$B$32,1)+1)),$B$25)</f>
        <v>350</v>
      </c>
      <c r="AM134" s="162" cm="1">
        <f t="array" ref="AM134">IFERROR(VLOOKUP(AE134,$B$36:$E$47,4,FALSE),INDEX($E$36:$E$47,MATCH(AE134,$B$36:$B$47,1)+1))</f>
        <v>25</v>
      </c>
      <c r="AN134" s="162" cm="1">
        <f t="array" ref="AN134">IFERROR(VLOOKUP(AE134,$B$36:$E$47,2,FALSE),INDEX($C$36:$C$47,MATCH(AE134,$B$36:$B$47,1)+1))</f>
        <v>12</v>
      </c>
      <c r="AO134" s="162" cm="1">
        <f t="array" ref="AO134">IFERROR(VLOOKUP(AE134,$B$36:$E$47,3,FALSE),INDEX($D$36:$D$47,MATCH(AE134,$B$36:$B$47,1)+1))</f>
        <v>24</v>
      </c>
      <c r="AP134" s="163" t="str">
        <f t="shared" si="37"/>
        <v>1010x350x25 + 12M24</v>
      </c>
      <c r="AQ134" s="140" t="s">
        <v>243</v>
      </c>
      <c r="AR134" s="151">
        <v>0</v>
      </c>
      <c r="AS134" s="151">
        <v>-592.1600896369697</v>
      </c>
      <c r="AT134" s="151">
        <v>5.3842086344957335E-14</v>
      </c>
      <c r="AU134" s="151">
        <v>1.8360262528624579E-3</v>
      </c>
      <c r="AV134" s="151">
        <v>8.3152553997933852E-14</v>
      </c>
      <c r="AW134" s="151">
        <v>-453.7445347249556</v>
      </c>
      <c r="BA134" s="161">
        <f t="shared" si="38"/>
        <v>60</v>
      </c>
      <c r="BB134" s="161">
        <f t="shared" si="39"/>
        <v>70</v>
      </c>
      <c r="BC134" s="161">
        <f t="shared" si="40"/>
        <v>80</v>
      </c>
      <c r="BD134" s="161">
        <f t="shared" si="41"/>
        <v>150</v>
      </c>
      <c r="BE134" s="161">
        <f>HLOOKUP(AO134,Data!$H$31:$Q$35,3,FALSE)</f>
        <v>452.38934211693021</v>
      </c>
      <c r="BF134" s="161">
        <f>HLOOKUP(AO134,Data!$H$31:$Q$35,4,FALSE)</f>
        <v>353</v>
      </c>
      <c r="BG134" s="179">
        <f t="shared" si="42"/>
        <v>180</v>
      </c>
      <c r="BH134" s="185">
        <f t="shared" si="43"/>
        <v>121.65654188208487</v>
      </c>
      <c r="BI134" s="185">
        <f t="shared" si="44"/>
        <v>243</v>
      </c>
      <c r="BJ134" s="185">
        <f t="shared" si="45"/>
        <v>142.3296</v>
      </c>
      <c r="BK134" s="185">
        <f t="shared" si="46"/>
        <v>49.101775978905472</v>
      </c>
      <c r="BL134" s="186">
        <f t="shared" si="47"/>
        <v>0.89458333333333329</v>
      </c>
      <c r="BM134" s="186">
        <f t="shared" si="48"/>
        <v>0.45117074424153253</v>
      </c>
      <c r="BN134" s="185" t="str">
        <f t="shared" si="49"/>
        <v>OK</v>
      </c>
      <c r="BO134" s="185" cm="1">
        <f t="array" ref="BO134">_xll.DCEBoltDisRS(AN134, AE134, BA134, BB134, BC134, BD134, "h1")</f>
        <v>890</v>
      </c>
      <c r="BP134" s="185" cm="1">
        <f t="array" ref="BP134">_xll.DCEBoltDisRS(AN134, AE134, BA134, BB134, BC134, BD134, "Tong")</f>
        <v>1800300</v>
      </c>
      <c r="BQ134" s="185">
        <f t="shared" si="50"/>
        <v>117.06721695388968</v>
      </c>
      <c r="BR134" s="186">
        <f t="shared" si="51"/>
        <v>0.82250787576083739</v>
      </c>
      <c r="BS134" s="185" t="str">
        <f t="shared" si="52"/>
        <v>OK</v>
      </c>
      <c r="BT134" s="186">
        <f t="shared" si="53"/>
        <v>0.91619872253661039</v>
      </c>
      <c r="BU134" s="185" t="str">
        <f t="shared" si="54"/>
        <v>OK</v>
      </c>
      <c r="BV134" s="190">
        <f t="shared" si="55"/>
        <v>604.99271296660743</v>
      </c>
      <c r="BW134" s="191">
        <f t="shared" si="56"/>
        <v>13.612336041748666</v>
      </c>
      <c r="BX134" s="190">
        <f t="shared" si="57"/>
        <v>302.49635648330371</v>
      </c>
      <c r="BY134" s="167">
        <f t="shared" si="58"/>
        <v>129.38458019879923</v>
      </c>
      <c r="BZ134" s="192">
        <f t="shared" si="59"/>
        <v>0.62895282041082967</v>
      </c>
      <c r="CA134" s="191">
        <f t="shared" si="60"/>
        <v>11.980053722111037</v>
      </c>
      <c r="CB134" s="193">
        <f t="shared" si="61"/>
        <v>0.10040753837976206</v>
      </c>
      <c r="CC134" s="167">
        <f t="shared" si="62"/>
        <v>131.03791304341468</v>
      </c>
      <c r="CD134" s="191">
        <f t="shared" si="63"/>
        <v>0.55390422180187371</v>
      </c>
      <c r="CE134" s="189">
        <f t="shared" si="64"/>
        <v>0.62895282041082967</v>
      </c>
      <c r="CF134" s="194" t="str">
        <f t="shared" si="65"/>
        <v>OK</v>
      </c>
      <c r="DA134" s="140"/>
      <c r="DB134" s="140"/>
      <c r="DC134" s="140"/>
      <c r="DD134" s="141"/>
      <c r="DE134" s="151"/>
      <c r="DF134" s="152"/>
      <c r="DG134" s="152"/>
      <c r="DH134" s="152"/>
      <c r="DI134" s="152"/>
      <c r="DJ134" s="152"/>
      <c r="DK134" s="161"/>
      <c r="DL134" s="162"/>
      <c r="DM134" s="162"/>
      <c r="DN134" s="162"/>
      <c r="DO134" s="162"/>
      <c r="DP134" s="162"/>
      <c r="DQ134" s="140"/>
      <c r="DR134" s="151"/>
      <c r="DS134" s="151"/>
      <c r="DT134" s="151"/>
      <c r="DU134" s="151"/>
      <c r="DV134" s="151"/>
      <c r="DW134" s="151"/>
      <c r="DX134" s="151"/>
      <c r="DY134" s="151"/>
      <c r="DZ134" s="151"/>
      <c r="EA134" s="161"/>
      <c r="EB134" s="161"/>
      <c r="EC134" s="161"/>
      <c r="ED134" s="161"/>
      <c r="EE134" s="161"/>
      <c r="EF134" s="161"/>
      <c r="EG134" s="161"/>
      <c r="EH134" s="161"/>
      <c r="EI134" s="161"/>
      <c r="EJ134" s="161"/>
      <c r="EK134" s="209"/>
      <c r="EL134" s="161"/>
      <c r="EM134" s="187"/>
      <c r="EN134" s="187"/>
      <c r="EO134" s="206"/>
      <c r="EP134" s="212"/>
      <c r="EQ134" s="208"/>
      <c r="ER134" s="187"/>
      <c r="ES134" s="187"/>
      <c r="ET134" s="187"/>
      <c r="EU134" s="187"/>
      <c r="EV134" s="210"/>
      <c r="EW134" s="209"/>
      <c r="EX134" s="210"/>
      <c r="EY134" s="162"/>
      <c r="EZ134" s="211"/>
      <c r="FA134" s="209"/>
      <c r="FB134" s="207"/>
      <c r="FC134" s="162"/>
      <c r="FD134" s="209"/>
      <c r="FE134" s="187"/>
      <c r="FF134" s="187"/>
    </row>
    <row r="135" spans="27:162">
      <c r="AA135" s="140" t="s">
        <v>210</v>
      </c>
      <c r="AB135" s="140" t="s">
        <v>239</v>
      </c>
      <c r="AC135" s="140">
        <v>102</v>
      </c>
      <c r="AD135" s="141">
        <v>0.3</v>
      </c>
      <c r="AE135" s="151">
        <v>1100</v>
      </c>
      <c r="AF135" s="152">
        <v>350</v>
      </c>
      <c r="AG135" s="152">
        <v>14</v>
      </c>
      <c r="AH135" s="152">
        <v>18.000000000000004</v>
      </c>
      <c r="AI135" s="152">
        <v>1064</v>
      </c>
      <c r="AJ135" s="153" t="str" cm="1">
        <f t="array" ref="AJ135">_xll.Dce_Name_SectI(AE135, AE135, AF135, AG135, AH135, "x", "-", "H Tổng")</f>
        <v>1100x350x14x18</v>
      </c>
      <c r="AK135" s="161">
        <f t="shared" si="36"/>
        <v>1360</v>
      </c>
      <c r="AL135" s="162" cm="1">
        <f t="array" ref="AL135">IFERROR(INDEX($B$25:$B$32,IFERROR(MATCH(AF135,$B$25:$B$32,0),MATCH(AF135,$B$25:$B$32,1)+1)),$B$25)</f>
        <v>350</v>
      </c>
      <c r="AM135" s="162" cm="1">
        <f t="array" ref="AM135">IFERROR(VLOOKUP(AE135,$B$36:$E$47,4,FALSE),INDEX($E$36:$E$47,MATCH(AE135,$B$36:$B$47,1)+1))</f>
        <v>25</v>
      </c>
      <c r="AN135" s="162" cm="1">
        <f t="array" ref="AN135">IFERROR(VLOOKUP(AE135,$B$36:$E$47,2,FALSE),INDEX($C$36:$C$47,MATCH(AE135,$B$36:$B$47,1)+1))</f>
        <v>12</v>
      </c>
      <c r="AO135" s="162" cm="1">
        <f t="array" ref="AO135">IFERROR(VLOOKUP(AE135,$B$36:$E$47,3,FALSE),INDEX($D$36:$D$47,MATCH(AE135,$B$36:$B$47,1)+1))</f>
        <v>24</v>
      </c>
      <c r="AP135" s="163" t="str">
        <f t="shared" si="37"/>
        <v>1360x350x25 + 12M24</v>
      </c>
      <c r="AQ135" s="140" t="s">
        <v>244</v>
      </c>
      <c r="AR135" s="151">
        <v>0</v>
      </c>
      <c r="AS135" s="151">
        <v>-619.52315272787303</v>
      </c>
      <c r="AT135" s="151">
        <v>1.5461409930139779E-15</v>
      </c>
      <c r="AU135" s="151">
        <v>1.4320115696693247E-3</v>
      </c>
      <c r="AV135" s="151">
        <v>-7.2777766035869702E-16</v>
      </c>
      <c r="AW135" s="151">
        <v>-1791.6486083892471</v>
      </c>
      <c r="BA135" s="161">
        <f t="shared" si="38"/>
        <v>60</v>
      </c>
      <c r="BB135" s="161">
        <f t="shared" si="39"/>
        <v>70</v>
      </c>
      <c r="BC135" s="161">
        <f t="shared" si="40"/>
        <v>80</v>
      </c>
      <c r="BD135" s="161">
        <f t="shared" si="41"/>
        <v>150</v>
      </c>
      <c r="BE135" s="161">
        <f>HLOOKUP(AO135,Data!$H$31:$Q$35,3,FALSE)</f>
        <v>452.38934211693021</v>
      </c>
      <c r="BF135" s="161">
        <f>HLOOKUP(AO135,Data!$H$31:$Q$35,4,FALSE)</f>
        <v>353</v>
      </c>
      <c r="BG135" s="179">
        <f t="shared" si="42"/>
        <v>180</v>
      </c>
      <c r="BH135" s="185">
        <f t="shared" si="43"/>
        <v>121.65654188208487</v>
      </c>
      <c r="BI135" s="185">
        <f t="shared" si="44"/>
        <v>243</v>
      </c>
      <c r="BJ135" s="185">
        <f t="shared" si="45"/>
        <v>142.3296</v>
      </c>
      <c r="BK135" s="185">
        <f t="shared" si="46"/>
        <v>51.370714763364731</v>
      </c>
      <c r="BL135" s="186">
        <f t="shared" si="47"/>
        <v>0.82166666666666666</v>
      </c>
      <c r="BM135" s="186">
        <f t="shared" si="48"/>
        <v>0.51390692768527979</v>
      </c>
      <c r="BN135" s="185" t="str">
        <f t="shared" si="49"/>
        <v>OK</v>
      </c>
      <c r="BO135" s="185" cm="1">
        <f t="array" ref="BO135">_xll.DCEBoltDisRS(AN135, AE135, BA135, BB135, BC135, BD135, "h1")</f>
        <v>1240</v>
      </c>
      <c r="BP135" s="185" cm="1">
        <f t="array" ref="BP135">_xll.DCEBoltDisRS(AN135, AE135, BA135, BB135, BC135, BD135, "Tong")</f>
        <v>3721800</v>
      </c>
      <c r="BQ135" s="185">
        <f t="shared" si="50"/>
        <v>303.60075496317972</v>
      </c>
      <c r="BR135" s="186">
        <f t="shared" si="51"/>
        <v>2.1330823311748204</v>
      </c>
      <c r="BS135" s="185" t="str">
        <f t="shared" si="52"/>
        <v>O/S</v>
      </c>
      <c r="BT135" s="186">
        <f t="shared" si="53"/>
        <v>2.174475546316303</v>
      </c>
      <c r="BU135" s="185" t="str">
        <f t="shared" si="54"/>
        <v>O/S</v>
      </c>
      <c r="BV135" s="190">
        <f t="shared" si="55"/>
        <v>1628.7714621720427</v>
      </c>
      <c r="BW135" s="191">
        <f t="shared" si="56"/>
        <v>36.647357898870958</v>
      </c>
      <c r="BX135" s="190">
        <f t="shared" si="57"/>
        <v>814.38573108602134</v>
      </c>
      <c r="BY135" s="167">
        <f t="shared" si="58"/>
        <v>258.68723222732444</v>
      </c>
      <c r="BZ135" s="192">
        <f t="shared" si="59"/>
        <v>1.2575073788828273</v>
      </c>
      <c r="CA135" s="191">
        <f t="shared" si="60"/>
        <v>23.952521502530036</v>
      </c>
      <c r="CB135" s="193">
        <f t="shared" si="61"/>
        <v>0.2007514972673734</v>
      </c>
      <c r="CC135" s="167">
        <f t="shared" si="62"/>
        <v>261.99285100250574</v>
      </c>
      <c r="CD135" s="191">
        <f t="shared" si="63"/>
        <v>1.1074577035130075</v>
      </c>
      <c r="CE135" s="189">
        <f t="shared" si="64"/>
        <v>1.2575073788828273</v>
      </c>
      <c r="CF135" s="194" t="str">
        <f t="shared" si="65"/>
        <v>O/S</v>
      </c>
      <c r="DA135" s="140"/>
      <c r="DB135" s="140"/>
      <c r="DC135" s="140"/>
      <c r="DD135" s="141"/>
      <c r="DE135" s="151"/>
      <c r="DF135" s="152"/>
      <c r="DG135" s="152"/>
      <c r="DH135" s="152"/>
      <c r="DI135" s="152"/>
      <c r="DJ135" s="152"/>
      <c r="DK135" s="161"/>
      <c r="DL135" s="162"/>
      <c r="DM135" s="162"/>
      <c r="DN135" s="162"/>
      <c r="DO135" s="162"/>
      <c r="DP135" s="162"/>
      <c r="DQ135" s="140"/>
      <c r="DR135" s="151"/>
      <c r="DS135" s="151"/>
      <c r="DT135" s="151"/>
      <c r="DU135" s="151"/>
      <c r="DV135" s="151"/>
      <c r="DW135" s="151"/>
      <c r="DX135" s="151"/>
      <c r="DY135" s="151"/>
      <c r="DZ135" s="151"/>
      <c r="EA135" s="161"/>
      <c r="EB135" s="161"/>
      <c r="EC135" s="161"/>
      <c r="ED135" s="161"/>
      <c r="EE135" s="161"/>
      <c r="EF135" s="161"/>
      <c r="EG135" s="161"/>
      <c r="EH135" s="161"/>
      <c r="EI135" s="161"/>
      <c r="EJ135" s="161"/>
      <c r="EK135" s="209"/>
      <c r="EL135" s="161"/>
      <c r="EM135" s="187"/>
      <c r="EN135" s="187"/>
      <c r="EO135" s="206"/>
      <c r="EP135" s="212"/>
      <c r="EQ135" s="208"/>
      <c r="ER135" s="187"/>
      <c r="ES135" s="187"/>
      <c r="ET135" s="187"/>
      <c r="EU135" s="187"/>
      <c r="EV135" s="210"/>
      <c r="EW135" s="209"/>
      <c r="EX135" s="210"/>
      <c r="EY135" s="162"/>
      <c r="EZ135" s="211"/>
      <c r="FA135" s="209"/>
      <c r="FB135" s="207"/>
      <c r="FC135" s="162"/>
      <c r="FD135" s="209"/>
      <c r="FE135" s="187"/>
      <c r="FF135" s="187"/>
    </row>
    <row r="136" spans="27:162">
      <c r="AA136" s="140" t="s">
        <v>210</v>
      </c>
      <c r="AB136" s="140" t="s">
        <v>239</v>
      </c>
      <c r="AC136" s="140">
        <v>102</v>
      </c>
      <c r="AD136" s="141">
        <v>3</v>
      </c>
      <c r="AE136" s="151">
        <v>750</v>
      </c>
      <c r="AF136" s="152">
        <v>350</v>
      </c>
      <c r="AG136" s="152">
        <v>14</v>
      </c>
      <c r="AH136" s="152">
        <v>18.000000000000004</v>
      </c>
      <c r="AI136" s="152">
        <v>714</v>
      </c>
      <c r="AJ136" s="153" t="str" cm="1">
        <f t="array" ref="AJ136">_xll.Dce_Name_SectI(AE136, AE136, AF136, AG136, AH136, "x", "-", "H Tổng")</f>
        <v>750x350x14x18</v>
      </c>
      <c r="AK136" s="161">
        <f t="shared" si="36"/>
        <v>1010</v>
      </c>
      <c r="AL136" s="162" cm="1">
        <f t="array" ref="AL136">IFERROR(INDEX($B$25:$B$32,IFERROR(MATCH(AF136,$B$25:$B$32,0),MATCH(AF136,$B$25:$B$32,1)+1)),$B$25)</f>
        <v>350</v>
      </c>
      <c r="AM136" s="162" cm="1">
        <f t="array" ref="AM136">IFERROR(VLOOKUP(AE136,$B$36:$E$47,4,FALSE),INDEX($E$36:$E$47,MATCH(AE136,$B$36:$B$47,1)+1))</f>
        <v>25</v>
      </c>
      <c r="AN136" s="162" cm="1">
        <f t="array" ref="AN136">IFERROR(VLOOKUP(AE136,$B$36:$E$47,2,FALSE),INDEX($C$36:$C$47,MATCH(AE136,$B$36:$B$47,1)+1))</f>
        <v>12</v>
      </c>
      <c r="AO136" s="162" cm="1">
        <f t="array" ref="AO136">IFERROR(VLOOKUP(AE136,$B$36:$E$47,3,FALSE),INDEX($D$36:$D$47,MATCH(AE136,$B$36:$B$47,1)+1))</f>
        <v>24</v>
      </c>
      <c r="AP136" s="163" t="str">
        <f t="shared" si="37"/>
        <v>1010x350x25 + 12M24</v>
      </c>
      <c r="AQ136" s="140" t="s">
        <v>244</v>
      </c>
      <c r="AR136" s="151">
        <v>0</v>
      </c>
      <c r="AS136" s="151">
        <v>-438.05329780216198</v>
      </c>
      <c r="AT136" s="151">
        <v>4.5110937207937226E-14</v>
      </c>
      <c r="AU136" s="151">
        <v>1.4322487672451202E-3</v>
      </c>
      <c r="AV136" s="151">
        <v>5.5882264859974368E-14</v>
      </c>
      <c r="AW136" s="151">
        <v>-320.3843822991027</v>
      </c>
      <c r="BA136" s="161">
        <f t="shared" si="38"/>
        <v>60</v>
      </c>
      <c r="BB136" s="161">
        <f t="shared" si="39"/>
        <v>70</v>
      </c>
      <c r="BC136" s="161">
        <f t="shared" si="40"/>
        <v>80</v>
      </c>
      <c r="BD136" s="161">
        <f t="shared" si="41"/>
        <v>150</v>
      </c>
      <c r="BE136" s="161">
        <f>HLOOKUP(AO136,Data!$H$31:$Q$35,3,FALSE)</f>
        <v>452.38934211693021</v>
      </c>
      <c r="BF136" s="161">
        <f>HLOOKUP(AO136,Data!$H$31:$Q$35,4,FALSE)</f>
        <v>353</v>
      </c>
      <c r="BG136" s="179">
        <f t="shared" si="42"/>
        <v>180</v>
      </c>
      <c r="BH136" s="185">
        <f t="shared" si="43"/>
        <v>121.65654188208487</v>
      </c>
      <c r="BI136" s="185">
        <f t="shared" si="44"/>
        <v>243</v>
      </c>
      <c r="BJ136" s="185">
        <f t="shared" si="45"/>
        <v>142.3296</v>
      </c>
      <c r="BK136" s="185">
        <f t="shared" si="46"/>
        <v>36.323276883940238</v>
      </c>
      <c r="BL136" s="186">
        <f t="shared" si="47"/>
        <v>0.89458333333333329</v>
      </c>
      <c r="BM136" s="186">
        <f t="shared" si="48"/>
        <v>0.33375574586261386</v>
      </c>
      <c r="BN136" s="185" t="str">
        <f t="shared" si="49"/>
        <v>OK</v>
      </c>
      <c r="BO136" s="185" cm="1">
        <f t="array" ref="BO136">_xll.DCEBoltDisRS(AN136, AE136, BA136, BB136, BC136, BD136, "h1")</f>
        <v>890</v>
      </c>
      <c r="BP136" s="185" cm="1">
        <f t="array" ref="BP136">_xll.DCEBoltDisRS(AN136, AE136, BA136, BB136, BC136, BD136, "Tong")</f>
        <v>1800300</v>
      </c>
      <c r="BQ136" s="185">
        <f t="shared" si="50"/>
        <v>82.825267822316533</v>
      </c>
      <c r="BR136" s="186">
        <f t="shared" si="51"/>
        <v>0.58192581038881952</v>
      </c>
      <c r="BS136" s="185" t="str">
        <f t="shared" si="52"/>
        <v>OK</v>
      </c>
      <c r="BT136" s="186">
        <f t="shared" si="53"/>
        <v>0.65405128517324462</v>
      </c>
      <c r="BU136" s="185" t="str">
        <f t="shared" si="54"/>
        <v>OK</v>
      </c>
      <c r="BV136" s="190">
        <f t="shared" si="55"/>
        <v>427.17917639880358</v>
      </c>
      <c r="BW136" s="191">
        <f t="shared" si="56"/>
        <v>9.6115314689730802</v>
      </c>
      <c r="BX136" s="190">
        <f t="shared" si="57"/>
        <v>213.58958819940179</v>
      </c>
      <c r="BY136" s="167">
        <f t="shared" si="58"/>
        <v>91.357130794199577</v>
      </c>
      <c r="BZ136" s="192">
        <f t="shared" si="59"/>
        <v>0.44409716358291468</v>
      </c>
      <c r="CA136" s="191">
        <f t="shared" si="60"/>
        <v>8.458993592055517</v>
      </c>
      <c r="CB136" s="193">
        <f t="shared" si="61"/>
        <v>7.0896737481308217E-2</v>
      </c>
      <c r="CC136" s="167">
        <f t="shared" si="62"/>
        <v>92.524532231834598</v>
      </c>
      <c r="CD136" s="191">
        <f t="shared" si="63"/>
        <v>0.39110611450654731</v>
      </c>
      <c r="CE136" s="189">
        <f t="shared" si="64"/>
        <v>0.44409716358291468</v>
      </c>
      <c r="CF136" s="194" t="str">
        <f t="shared" si="65"/>
        <v>OK</v>
      </c>
      <c r="DA136" s="140"/>
      <c r="DB136" s="140"/>
      <c r="DC136" s="140"/>
      <c r="DD136" s="141"/>
      <c r="DE136" s="151"/>
      <c r="DF136" s="152"/>
      <c r="DG136" s="152"/>
      <c r="DH136" s="152"/>
      <c r="DI136" s="152"/>
      <c r="DJ136" s="152"/>
      <c r="DK136" s="161"/>
      <c r="DL136" s="162"/>
      <c r="DM136" s="162"/>
      <c r="DN136" s="162"/>
      <c r="DO136" s="162"/>
      <c r="DP136" s="162"/>
      <c r="DQ136" s="140"/>
      <c r="DR136" s="151"/>
      <c r="DS136" s="151"/>
      <c r="DT136" s="151"/>
      <c r="DU136" s="151"/>
      <c r="DV136" s="151"/>
      <c r="DW136" s="151"/>
      <c r="DX136" s="151"/>
      <c r="DY136" s="151"/>
      <c r="DZ136" s="151"/>
      <c r="EA136" s="161"/>
      <c r="EB136" s="161"/>
      <c r="EC136" s="161"/>
      <c r="ED136" s="161"/>
      <c r="EE136" s="161"/>
      <c r="EF136" s="161"/>
      <c r="EG136" s="161"/>
      <c r="EH136" s="161"/>
      <c r="EI136" s="161"/>
      <c r="EJ136" s="161"/>
      <c r="EK136" s="209"/>
      <c r="EL136" s="161"/>
      <c r="EM136" s="187"/>
      <c r="EN136" s="187"/>
      <c r="EO136" s="206"/>
      <c r="EP136" s="212"/>
      <c r="EQ136" s="208"/>
      <c r="ER136" s="187"/>
      <c r="ES136" s="187"/>
      <c r="ET136" s="187"/>
      <c r="EU136" s="187"/>
      <c r="EV136" s="210"/>
      <c r="EW136" s="209"/>
      <c r="EX136" s="210"/>
      <c r="EY136" s="162"/>
      <c r="EZ136" s="211"/>
      <c r="FA136" s="209"/>
      <c r="FB136" s="207"/>
      <c r="FC136" s="162"/>
      <c r="FD136" s="209"/>
      <c r="FE136" s="187"/>
      <c r="FF136" s="187"/>
    </row>
    <row r="137" spans="27:162">
      <c r="AA137" s="140" t="s">
        <v>210</v>
      </c>
      <c r="AB137" s="140" t="s">
        <v>239</v>
      </c>
      <c r="AC137" s="140">
        <v>102</v>
      </c>
      <c r="AD137" s="141">
        <v>0.3</v>
      </c>
      <c r="AE137" s="151">
        <v>1100</v>
      </c>
      <c r="AF137" s="152">
        <v>350</v>
      </c>
      <c r="AG137" s="152">
        <v>14</v>
      </c>
      <c r="AH137" s="152">
        <v>18.000000000000004</v>
      </c>
      <c r="AI137" s="152">
        <v>1064</v>
      </c>
      <c r="AJ137" s="153" t="str" cm="1">
        <f t="array" ref="AJ137">_xll.Dce_Name_SectI(AE137, AE137, AF137, AG137, AH137, "x", "-", "H Tổng")</f>
        <v>1100x350x14x18</v>
      </c>
      <c r="AK137" s="161">
        <f t="shared" si="36"/>
        <v>1360</v>
      </c>
      <c r="AL137" s="162" cm="1">
        <f t="array" ref="AL137">IFERROR(INDEX($B$25:$B$32,IFERROR(MATCH(AF137,$B$25:$B$32,0),MATCH(AF137,$B$25:$B$32,1)+1)),$B$25)</f>
        <v>350</v>
      </c>
      <c r="AM137" s="162" cm="1">
        <f t="array" ref="AM137">IFERROR(VLOOKUP(AE137,$B$36:$E$47,4,FALSE),INDEX($E$36:$E$47,MATCH(AE137,$B$36:$B$47,1)+1))</f>
        <v>25</v>
      </c>
      <c r="AN137" s="162" cm="1">
        <f t="array" ref="AN137">IFERROR(VLOOKUP(AE137,$B$36:$E$47,2,FALSE),INDEX($C$36:$C$47,MATCH(AE137,$B$36:$B$47,1)+1))</f>
        <v>12</v>
      </c>
      <c r="AO137" s="162" cm="1">
        <f t="array" ref="AO137">IFERROR(VLOOKUP(AE137,$B$36:$E$47,3,FALSE),INDEX($D$36:$D$47,MATCH(AE137,$B$36:$B$47,1)+1))</f>
        <v>24</v>
      </c>
      <c r="AP137" s="163" t="str">
        <f t="shared" si="37"/>
        <v>1360x350x25 + 12M24</v>
      </c>
      <c r="AQ137" s="140" t="s">
        <v>245</v>
      </c>
      <c r="AR137" s="151">
        <v>0</v>
      </c>
      <c r="AS137" s="151">
        <v>-266.34352940673273</v>
      </c>
      <c r="AT137" s="151">
        <v>1.2460077414289114E-14</v>
      </c>
      <c r="AU137" s="151">
        <v>8.2126350385821939E-4</v>
      </c>
      <c r="AV137" s="151">
        <v>-5.7554643717594437E-15</v>
      </c>
      <c r="AW137" s="151">
        <v>-779.4566450404003</v>
      </c>
      <c r="BA137" s="161">
        <f t="shared" si="38"/>
        <v>60</v>
      </c>
      <c r="BB137" s="161">
        <f t="shared" si="39"/>
        <v>70</v>
      </c>
      <c r="BC137" s="161">
        <f t="shared" si="40"/>
        <v>80</v>
      </c>
      <c r="BD137" s="161">
        <f t="shared" si="41"/>
        <v>150</v>
      </c>
      <c r="BE137" s="161">
        <f>HLOOKUP(AO137,Data!$H$31:$Q$35,3,FALSE)</f>
        <v>452.38934211693021</v>
      </c>
      <c r="BF137" s="161">
        <f>HLOOKUP(AO137,Data!$H$31:$Q$35,4,FALSE)</f>
        <v>353</v>
      </c>
      <c r="BG137" s="179">
        <f t="shared" si="42"/>
        <v>180</v>
      </c>
      <c r="BH137" s="185">
        <f t="shared" si="43"/>
        <v>121.65654188208487</v>
      </c>
      <c r="BI137" s="185">
        <f t="shared" si="44"/>
        <v>243</v>
      </c>
      <c r="BJ137" s="185">
        <f t="shared" si="45"/>
        <v>142.3296</v>
      </c>
      <c r="BK137" s="185">
        <f t="shared" si="46"/>
        <v>22.085143094290583</v>
      </c>
      <c r="BL137" s="186">
        <f t="shared" si="47"/>
        <v>0.82166666666666666</v>
      </c>
      <c r="BM137" s="186">
        <f t="shared" si="48"/>
        <v>0.22093731978147882</v>
      </c>
      <c r="BN137" s="185" t="str">
        <f t="shared" si="49"/>
        <v>OK</v>
      </c>
      <c r="BO137" s="185" cm="1">
        <f t="array" ref="BO137">_xll.DCEBoltDisRS(AN137, AE137, BA137, BB137, BC137, BD137, "h1")</f>
        <v>1240</v>
      </c>
      <c r="BP137" s="185" cm="1">
        <f t="array" ref="BP137">_xll.DCEBoltDisRS(AN137, AE137, BA137, BB137, BC137, BD137, "Tong")</f>
        <v>3721800</v>
      </c>
      <c r="BQ137" s="185">
        <f t="shared" si="50"/>
        <v>132.05512614376948</v>
      </c>
      <c r="BR137" s="186">
        <f t="shared" si="51"/>
        <v>0.92781210755717358</v>
      </c>
      <c r="BS137" s="185" t="str">
        <f t="shared" si="52"/>
        <v>OK</v>
      </c>
      <c r="BT137" s="186">
        <f t="shared" si="53"/>
        <v>0.94540516603773439</v>
      </c>
      <c r="BU137" s="185" t="str">
        <f t="shared" si="54"/>
        <v>OK</v>
      </c>
      <c r="BV137" s="190">
        <f t="shared" si="55"/>
        <v>708.59695003672743</v>
      </c>
      <c r="BW137" s="191">
        <f t="shared" si="56"/>
        <v>15.943431375826366</v>
      </c>
      <c r="BX137" s="190">
        <f t="shared" si="57"/>
        <v>354.29847501836372</v>
      </c>
      <c r="BY137" s="167">
        <f t="shared" si="58"/>
        <v>112.54186853524494</v>
      </c>
      <c r="BZ137" s="192">
        <f t="shared" si="59"/>
        <v>0.54707852760188524</v>
      </c>
      <c r="CA137" s="191">
        <f t="shared" si="60"/>
        <v>10.420543382893051</v>
      </c>
      <c r="CB137" s="193">
        <f t="shared" si="61"/>
        <v>8.7336929693787549E-2</v>
      </c>
      <c r="CC137" s="167">
        <f t="shared" si="62"/>
        <v>113.97997783202375</v>
      </c>
      <c r="CD137" s="191">
        <f t="shared" si="63"/>
        <v>0.48179942320299901</v>
      </c>
      <c r="CE137" s="189">
        <f t="shared" si="64"/>
        <v>0.54707852760188524</v>
      </c>
      <c r="CF137" s="194" t="str">
        <f t="shared" si="65"/>
        <v>OK</v>
      </c>
      <c r="DA137" s="140"/>
      <c r="DB137" s="140"/>
      <c r="DC137" s="140"/>
      <c r="DD137" s="141"/>
      <c r="DE137" s="151"/>
      <c r="DF137" s="152"/>
      <c r="DG137" s="152"/>
      <c r="DH137" s="152"/>
      <c r="DI137" s="152"/>
      <c r="DJ137" s="152"/>
      <c r="DK137" s="161"/>
      <c r="DL137" s="162"/>
      <c r="DM137" s="162"/>
      <c r="DN137" s="162"/>
      <c r="DO137" s="162"/>
      <c r="DP137" s="162"/>
      <c r="DQ137" s="140"/>
      <c r="DR137" s="151"/>
      <c r="DS137" s="151"/>
      <c r="DT137" s="151"/>
      <c r="DU137" s="151"/>
      <c r="DV137" s="151"/>
      <c r="DW137" s="151"/>
      <c r="DX137" s="151"/>
      <c r="DY137" s="151"/>
      <c r="DZ137" s="151"/>
      <c r="EA137" s="161"/>
      <c r="EB137" s="161"/>
      <c r="EC137" s="161"/>
      <c r="ED137" s="161"/>
      <c r="EE137" s="161"/>
      <c r="EF137" s="161"/>
      <c r="EG137" s="161"/>
      <c r="EH137" s="161"/>
      <c r="EI137" s="161"/>
      <c r="EJ137" s="161"/>
      <c r="EK137" s="209"/>
      <c r="EL137" s="161"/>
      <c r="EM137" s="187"/>
      <c r="EN137" s="187"/>
      <c r="EO137" s="206"/>
      <c r="EP137" s="212"/>
      <c r="EQ137" s="208"/>
      <c r="ER137" s="187"/>
      <c r="ES137" s="187"/>
      <c r="ET137" s="187"/>
      <c r="EU137" s="187"/>
      <c r="EV137" s="210"/>
      <c r="EW137" s="209"/>
      <c r="EX137" s="210"/>
      <c r="EY137" s="162"/>
      <c r="EZ137" s="211"/>
      <c r="FA137" s="209"/>
      <c r="FB137" s="207"/>
      <c r="FC137" s="162"/>
      <c r="FD137" s="209"/>
      <c r="FE137" s="187"/>
      <c r="FF137" s="187"/>
    </row>
    <row r="138" spans="27:162">
      <c r="AA138" s="140" t="s">
        <v>210</v>
      </c>
      <c r="AB138" s="140" t="s">
        <v>239</v>
      </c>
      <c r="AC138" s="140">
        <v>102</v>
      </c>
      <c r="AD138" s="141">
        <v>3</v>
      </c>
      <c r="AE138" s="151">
        <v>750</v>
      </c>
      <c r="AF138" s="152">
        <v>350</v>
      </c>
      <c r="AG138" s="152">
        <v>14</v>
      </c>
      <c r="AH138" s="152">
        <v>18.000000000000004</v>
      </c>
      <c r="AI138" s="152">
        <v>714</v>
      </c>
      <c r="AJ138" s="153" t="str" cm="1">
        <f t="array" ref="AJ138">_xll.Dce_Name_SectI(AE138, AE138, AF138, AG138, AH138, "x", "-", "H Tổng")</f>
        <v>750x350x14x18</v>
      </c>
      <c r="AK138" s="161">
        <f t="shared" si="36"/>
        <v>1010</v>
      </c>
      <c r="AL138" s="162" cm="1">
        <f t="array" ref="AL138">IFERROR(INDEX($B$25:$B$32,IFERROR(MATCH(AF138,$B$25:$B$32,0),MATCH(AF138,$B$25:$B$32,1)+1)),$B$25)</f>
        <v>350</v>
      </c>
      <c r="AM138" s="162" cm="1">
        <f t="array" ref="AM138">IFERROR(VLOOKUP(AE138,$B$36:$E$47,4,FALSE),INDEX($E$36:$E$47,MATCH(AE138,$B$36:$B$47,1)+1))</f>
        <v>25</v>
      </c>
      <c r="AN138" s="162" cm="1">
        <f t="array" ref="AN138">IFERROR(VLOOKUP(AE138,$B$36:$E$47,2,FALSE),INDEX($C$36:$C$47,MATCH(AE138,$B$36:$B$47,1)+1))</f>
        <v>12</v>
      </c>
      <c r="AO138" s="162" cm="1">
        <f t="array" ref="AO138">IFERROR(VLOOKUP(AE138,$B$36:$E$47,3,FALSE),INDEX($D$36:$D$47,MATCH(AE138,$B$36:$B$47,1)+1))</f>
        <v>24</v>
      </c>
      <c r="AP138" s="163" t="str">
        <f t="shared" si="37"/>
        <v>1010x350x25 + 12M24</v>
      </c>
      <c r="AQ138" s="140" t="s">
        <v>245</v>
      </c>
      <c r="AR138" s="151">
        <v>0</v>
      </c>
      <c r="AS138" s="151">
        <v>-188.27174816455707</v>
      </c>
      <c r="AT138" s="151">
        <v>-8.5856299847364411E-14</v>
      </c>
      <c r="AU138" s="151">
        <v>8.2139933555718837E-4</v>
      </c>
      <c r="AV138" s="151">
        <v>1.3903190847486256E-13</v>
      </c>
      <c r="AW138" s="151">
        <v>-148.04278398213376</v>
      </c>
      <c r="BA138" s="161">
        <f t="shared" si="38"/>
        <v>60</v>
      </c>
      <c r="BB138" s="161">
        <f t="shared" si="39"/>
        <v>70</v>
      </c>
      <c r="BC138" s="161">
        <f t="shared" si="40"/>
        <v>80</v>
      </c>
      <c r="BD138" s="161">
        <f t="shared" si="41"/>
        <v>150</v>
      </c>
      <c r="BE138" s="161">
        <f>HLOOKUP(AO138,Data!$H$31:$Q$35,3,FALSE)</f>
        <v>452.38934211693021</v>
      </c>
      <c r="BF138" s="161">
        <f>HLOOKUP(AO138,Data!$H$31:$Q$35,4,FALSE)</f>
        <v>353</v>
      </c>
      <c r="BG138" s="179">
        <f t="shared" si="42"/>
        <v>180</v>
      </c>
      <c r="BH138" s="185">
        <f t="shared" si="43"/>
        <v>121.65654188208487</v>
      </c>
      <c r="BI138" s="185">
        <f t="shared" si="44"/>
        <v>243</v>
      </c>
      <c r="BJ138" s="185">
        <f t="shared" si="45"/>
        <v>142.3296</v>
      </c>
      <c r="BK138" s="185">
        <f t="shared" si="46"/>
        <v>15.611449274131962</v>
      </c>
      <c r="BL138" s="186">
        <f t="shared" si="47"/>
        <v>0.89458333333333329</v>
      </c>
      <c r="BM138" s="186">
        <f t="shared" si="48"/>
        <v>0.1434455077699219</v>
      </c>
      <c r="BN138" s="185" t="str">
        <f t="shared" si="49"/>
        <v>OK</v>
      </c>
      <c r="BO138" s="185" cm="1">
        <f t="array" ref="BO138">_xll.DCEBoltDisRS(AN138, AE138, BA138, BB138, BC138, BD138, "h1")</f>
        <v>890</v>
      </c>
      <c r="BP138" s="185" cm="1">
        <f t="array" ref="BP138">_xll.DCEBoltDisRS(AN138, AE138, BA138, BB138, BC138, BD138, "Tong")</f>
        <v>1800300</v>
      </c>
      <c r="BQ138" s="185">
        <f t="shared" si="50"/>
        <v>38.154512072916454</v>
      </c>
      <c r="BR138" s="186">
        <f t="shared" si="51"/>
        <v>0.26807151901583687</v>
      </c>
      <c r="BS138" s="185" t="str">
        <f t="shared" si="52"/>
        <v>OK</v>
      </c>
      <c r="BT138" s="186">
        <f t="shared" si="53"/>
        <v>0.29720258771407299</v>
      </c>
      <c r="BU138" s="185" t="str">
        <f t="shared" si="54"/>
        <v>OK</v>
      </c>
      <c r="BV138" s="190">
        <f t="shared" si="55"/>
        <v>197.39037864284501</v>
      </c>
      <c r="BW138" s="191">
        <f t="shared" si="56"/>
        <v>4.4412835194640126</v>
      </c>
      <c r="BX138" s="190">
        <f t="shared" si="57"/>
        <v>98.695189321422504</v>
      </c>
      <c r="BY138" s="167">
        <f t="shared" si="58"/>
        <v>42.214179986984675</v>
      </c>
      <c r="BZ138" s="192">
        <f t="shared" si="59"/>
        <v>0.20520781938117552</v>
      </c>
      <c r="CA138" s="191">
        <f t="shared" si="60"/>
        <v>3.9087203691652475</v>
      </c>
      <c r="CB138" s="193">
        <f t="shared" si="61"/>
        <v>3.2759868994440534E-2</v>
      </c>
      <c r="CC138" s="167">
        <f t="shared" si="62"/>
        <v>42.753611271406292</v>
      </c>
      <c r="CD138" s="191">
        <f t="shared" si="63"/>
        <v>0.18072178677526818</v>
      </c>
      <c r="CE138" s="189">
        <f t="shared" si="64"/>
        <v>0.20520781938117552</v>
      </c>
      <c r="CF138" s="194" t="str">
        <f t="shared" si="65"/>
        <v>OK</v>
      </c>
      <c r="DA138" s="140"/>
      <c r="DB138" s="140"/>
      <c r="DC138" s="140"/>
      <c r="DD138" s="141"/>
      <c r="DE138" s="151"/>
      <c r="DF138" s="152"/>
      <c r="DG138" s="152"/>
      <c r="DH138" s="152"/>
      <c r="DI138" s="152"/>
      <c r="DJ138" s="152"/>
      <c r="DK138" s="161"/>
      <c r="DL138" s="162"/>
      <c r="DM138" s="162"/>
      <c r="DN138" s="162"/>
      <c r="DO138" s="162"/>
      <c r="DP138" s="162"/>
      <c r="DQ138" s="140"/>
      <c r="DR138" s="151"/>
      <c r="DS138" s="151"/>
      <c r="DT138" s="151"/>
      <c r="DU138" s="151"/>
      <c r="DV138" s="151"/>
      <c r="DW138" s="151"/>
      <c r="DX138" s="151"/>
      <c r="DY138" s="151"/>
      <c r="DZ138" s="151"/>
      <c r="EA138" s="161"/>
      <c r="EB138" s="161"/>
      <c r="EC138" s="161"/>
      <c r="ED138" s="161"/>
      <c r="EE138" s="161"/>
      <c r="EF138" s="161"/>
      <c r="EG138" s="161"/>
      <c r="EH138" s="161"/>
      <c r="EI138" s="161"/>
      <c r="EJ138" s="161"/>
      <c r="EK138" s="209"/>
      <c r="EL138" s="161"/>
      <c r="EM138" s="187"/>
      <c r="EN138" s="187"/>
      <c r="EO138" s="206"/>
      <c r="EP138" s="212"/>
      <c r="EQ138" s="208"/>
      <c r="ER138" s="187"/>
      <c r="ES138" s="187"/>
      <c r="ET138" s="187"/>
      <c r="EU138" s="187"/>
      <c r="EV138" s="210"/>
      <c r="EW138" s="209"/>
      <c r="EX138" s="210"/>
      <c r="EY138" s="162"/>
      <c r="EZ138" s="211"/>
      <c r="FA138" s="209"/>
      <c r="FB138" s="207"/>
      <c r="FC138" s="162"/>
      <c r="FD138" s="209"/>
      <c r="FE138" s="187"/>
      <c r="FF138" s="187"/>
    </row>
    <row r="139" spans="27:162">
      <c r="AA139" s="140" t="s">
        <v>210</v>
      </c>
      <c r="AB139" s="140" t="s">
        <v>239</v>
      </c>
      <c r="AC139" s="140">
        <v>102</v>
      </c>
      <c r="AD139" s="141">
        <v>0.3</v>
      </c>
      <c r="AE139" s="151">
        <v>1100</v>
      </c>
      <c r="AF139" s="152">
        <v>350</v>
      </c>
      <c r="AG139" s="152">
        <v>14</v>
      </c>
      <c r="AH139" s="152">
        <v>18.000000000000004</v>
      </c>
      <c r="AI139" s="152">
        <v>1064</v>
      </c>
      <c r="AJ139" s="153" t="str" cm="1">
        <f t="array" ref="AJ139">_xll.Dce_Name_SectI(AE139, AE139, AF139, AG139, AH139, "x", "-", "H Tổng")</f>
        <v>1100x350x14x18</v>
      </c>
      <c r="AK139" s="161">
        <f t="shared" si="36"/>
        <v>1360</v>
      </c>
      <c r="AL139" s="162" cm="1">
        <f t="array" ref="AL139">IFERROR(INDEX($B$25:$B$32,IFERROR(MATCH(AF139,$B$25:$B$32,0),MATCH(AF139,$B$25:$B$32,1)+1)),$B$25)</f>
        <v>350</v>
      </c>
      <c r="AM139" s="162" cm="1">
        <f t="array" ref="AM139">IFERROR(VLOOKUP(AE139,$B$36:$E$47,4,FALSE),INDEX($E$36:$E$47,MATCH(AE139,$B$36:$B$47,1)+1))</f>
        <v>25</v>
      </c>
      <c r="AN139" s="162" cm="1">
        <f t="array" ref="AN139">IFERROR(VLOOKUP(AE139,$B$36:$E$47,2,FALSE),INDEX($C$36:$C$47,MATCH(AE139,$B$36:$B$47,1)+1))</f>
        <v>12</v>
      </c>
      <c r="AO139" s="162" cm="1">
        <f t="array" ref="AO139">IFERROR(VLOOKUP(AE139,$B$36:$E$47,3,FALSE),INDEX($D$36:$D$47,MATCH(AE139,$B$36:$B$47,1)+1))</f>
        <v>24</v>
      </c>
      <c r="AP139" s="163" t="str">
        <f t="shared" si="37"/>
        <v>1360x350x25 + 12M24</v>
      </c>
      <c r="AQ139" s="140" t="s">
        <v>246</v>
      </c>
      <c r="AR139" s="151">
        <v>0</v>
      </c>
      <c r="AS139" s="151">
        <v>-264.89790629533377</v>
      </c>
      <c r="AT139" s="151">
        <v>5.6115823099389664E-14</v>
      </c>
      <c r="AU139" s="151">
        <v>1.038082093420589E-3</v>
      </c>
      <c r="AV139" s="151">
        <v>-1.8415630620438603E-14</v>
      </c>
      <c r="AW139" s="151">
        <v>-764.00814169566877</v>
      </c>
      <c r="BA139" s="161">
        <f t="shared" si="38"/>
        <v>60</v>
      </c>
      <c r="BB139" s="161">
        <f t="shared" si="39"/>
        <v>70</v>
      </c>
      <c r="BC139" s="161">
        <f t="shared" si="40"/>
        <v>80</v>
      </c>
      <c r="BD139" s="161">
        <f t="shared" si="41"/>
        <v>150</v>
      </c>
      <c r="BE139" s="161">
        <f>HLOOKUP(AO139,Data!$H$31:$Q$35,3,FALSE)</f>
        <v>452.38934211693021</v>
      </c>
      <c r="BF139" s="161">
        <f>HLOOKUP(AO139,Data!$H$31:$Q$35,4,FALSE)</f>
        <v>353</v>
      </c>
      <c r="BG139" s="179">
        <f t="shared" si="42"/>
        <v>180</v>
      </c>
      <c r="BH139" s="185">
        <f t="shared" si="43"/>
        <v>121.65654188208487</v>
      </c>
      <c r="BI139" s="185">
        <f t="shared" si="44"/>
        <v>243</v>
      </c>
      <c r="BJ139" s="185">
        <f t="shared" si="45"/>
        <v>142.3296</v>
      </c>
      <c r="BK139" s="185">
        <f t="shared" si="46"/>
        <v>21.965272364384827</v>
      </c>
      <c r="BL139" s="186">
        <f t="shared" si="47"/>
        <v>0.82166666666666666</v>
      </c>
      <c r="BM139" s="186">
        <f t="shared" si="48"/>
        <v>0.21973814630668825</v>
      </c>
      <c r="BN139" s="185" t="str">
        <f t="shared" si="49"/>
        <v>OK</v>
      </c>
      <c r="BO139" s="185" cm="1">
        <f t="array" ref="BO139">_xll.DCEBoltDisRS(AN139, AE139, BA139, BB139, BC139, BD139, "h1")</f>
        <v>1240</v>
      </c>
      <c r="BP139" s="185" cm="1">
        <f t="array" ref="BP139">_xll.DCEBoltDisRS(AN139, AE139, BA139, BB139, BC139, BD139, "Tong")</f>
        <v>3721800</v>
      </c>
      <c r="BQ139" s="185">
        <f t="shared" si="50"/>
        <v>129.46963375782991</v>
      </c>
      <c r="BR139" s="186">
        <f t="shared" si="51"/>
        <v>0.90964657919245129</v>
      </c>
      <c r="BS139" s="185" t="str">
        <f t="shared" si="52"/>
        <v>OK</v>
      </c>
      <c r="BT139" s="186">
        <f t="shared" si="53"/>
        <v>0.92739190576452868</v>
      </c>
      <c r="BU139" s="185" t="str">
        <f t="shared" si="54"/>
        <v>OK</v>
      </c>
      <c r="BV139" s="190">
        <f t="shared" si="55"/>
        <v>694.55285608697159</v>
      </c>
      <c r="BW139" s="191">
        <f t="shared" si="56"/>
        <v>15.627439261956861</v>
      </c>
      <c r="BX139" s="190">
        <f t="shared" si="57"/>
        <v>347.27642804348579</v>
      </c>
      <c r="BY139" s="167">
        <f t="shared" si="58"/>
        <v>110.31133596675431</v>
      </c>
      <c r="BZ139" s="192">
        <f t="shared" si="59"/>
        <v>0.53623566094950015</v>
      </c>
      <c r="CA139" s="191">
        <f t="shared" si="60"/>
        <v>10.214012589514288</v>
      </c>
      <c r="CB139" s="193">
        <f t="shared" si="61"/>
        <v>8.5605948427442555E-2</v>
      </c>
      <c r="CC139" s="167">
        <f t="shared" si="62"/>
        <v>111.72094254125506</v>
      </c>
      <c r="CD139" s="191">
        <f t="shared" si="63"/>
        <v>0.47225036098356615</v>
      </c>
      <c r="CE139" s="189">
        <f t="shared" si="64"/>
        <v>0.53623566094950015</v>
      </c>
      <c r="CF139" s="194" t="str">
        <f t="shared" si="65"/>
        <v>OK</v>
      </c>
      <c r="DA139" s="140"/>
      <c r="DB139" s="140"/>
      <c r="DC139" s="140"/>
      <c r="DD139" s="141"/>
      <c r="DE139" s="151"/>
      <c r="DF139" s="152"/>
      <c r="DG139" s="152"/>
      <c r="DH139" s="152"/>
      <c r="DI139" s="152"/>
      <c r="DJ139" s="152"/>
      <c r="DK139" s="161"/>
      <c r="DL139" s="162"/>
      <c r="DM139" s="162"/>
      <c r="DN139" s="162"/>
      <c r="DO139" s="162"/>
      <c r="DP139" s="162"/>
      <c r="DQ139" s="140"/>
      <c r="DR139" s="151"/>
      <c r="DS139" s="151"/>
      <c r="DT139" s="151"/>
      <c r="DU139" s="151"/>
      <c r="DV139" s="151"/>
      <c r="DW139" s="151"/>
      <c r="DX139" s="151"/>
      <c r="DY139" s="151"/>
      <c r="DZ139" s="151"/>
      <c r="EA139" s="161"/>
      <c r="EB139" s="161"/>
      <c r="EC139" s="161"/>
      <c r="ED139" s="161"/>
      <c r="EE139" s="161"/>
      <c r="EF139" s="161"/>
      <c r="EG139" s="161"/>
      <c r="EH139" s="161"/>
      <c r="EI139" s="161"/>
      <c r="EJ139" s="161"/>
      <c r="EK139" s="209"/>
      <c r="EL139" s="161"/>
      <c r="EM139" s="187"/>
      <c r="EN139" s="187"/>
      <c r="EO139" s="206"/>
      <c r="EP139" s="212"/>
      <c r="EQ139" s="208"/>
      <c r="ER139" s="187"/>
      <c r="ES139" s="187"/>
      <c r="ET139" s="187"/>
      <c r="EU139" s="187"/>
      <c r="EV139" s="210"/>
      <c r="EW139" s="209"/>
      <c r="EX139" s="210"/>
      <c r="EY139" s="162"/>
      <c r="EZ139" s="211"/>
      <c r="FA139" s="209"/>
      <c r="FB139" s="207"/>
      <c r="FC139" s="162"/>
      <c r="FD139" s="209"/>
      <c r="FE139" s="187"/>
      <c r="FF139" s="187"/>
    </row>
    <row r="140" spans="27:162">
      <c r="AA140" s="140" t="s">
        <v>210</v>
      </c>
      <c r="AB140" s="140" t="s">
        <v>239</v>
      </c>
      <c r="AC140" s="140">
        <v>102</v>
      </c>
      <c r="AD140" s="141">
        <v>3</v>
      </c>
      <c r="AE140" s="151">
        <v>750</v>
      </c>
      <c r="AF140" s="152">
        <v>350</v>
      </c>
      <c r="AG140" s="152">
        <v>14</v>
      </c>
      <c r="AH140" s="152">
        <v>18.000000000000004</v>
      </c>
      <c r="AI140" s="152">
        <v>714</v>
      </c>
      <c r="AJ140" s="153" t="str" cm="1">
        <f t="array" ref="AJ140">_xll.Dce_Name_SectI(AE140, AE140, AF140, AG140, AH140, "x", "-", "H Tổng")</f>
        <v>750x350x14x18</v>
      </c>
      <c r="AK140" s="161">
        <f t="shared" si="36"/>
        <v>1010</v>
      </c>
      <c r="AL140" s="162" cm="1">
        <f t="array" ref="AL140">IFERROR(INDEX($B$25:$B$32,IFERROR(MATCH(AF140,$B$25:$B$32,0),MATCH(AF140,$B$25:$B$32,1)+1)),$B$25)</f>
        <v>350</v>
      </c>
      <c r="AM140" s="162" cm="1">
        <f t="array" ref="AM140">IFERROR(VLOOKUP(AE140,$B$36:$E$47,4,FALSE),INDEX($E$36:$E$47,MATCH(AE140,$B$36:$B$47,1)+1))</f>
        <v>25</v>
      </c>
      <c r="AN140" s="162" cm="1">
        <f t="array" ref="AN140">IFERROR(VLOOKUP(AE140,$B$36:$E$47,2,FALSE),INDEX($C$36:$C$47,MATCH(AE140,$B$36:$B$47,1)+1))</f>
        <v>12</v>
      </c>
      <c r="AO140" s="162" cm="1">
        <f t="array" ref="AO140">IFERROR(VLOOKUP(AE140,$B$36:$E$47,3,FALSE),INDEX($D$36:$D$47,MATCH(AE140,$B$36:$B$47,1)+1))</f>
        <v>24</v>
      </c>
      <c r="AP140" s="163" t="str">
        <f t="shared" si="37"/>
        <v>1010x350x25 + 12M24</v>
      </c>
      <c r="AQ140" s="140" t="s">
        <v>246</v>
      </c>
      <c r="AR140" s="151">
        <v>0</v>
      </c>
      <c r="AS140" s="151">
        <v>-186.82612563223714</v>
      </c>
      <c r="AT140" s="151">
        <v>2.6338966563343999E-13</v>
      </c>
      <c r="AU140" s="151">
        <v>1.0382536821595357E-3</v>
      </c>
      <c r="AV140" s="151">
        <v>-1.2243690434843298E-13</v>
      </c>
      <c r="AW140" s="151">
        <v>-136.49749680624106</v>
      </c>
      <c r="BA140" s="161">
        <f t="shared" si="38"/>
        <v>60</v>
      </c>
      <c r="BB140" s="161">
        <f t="shared" si="39"/>
        <v>70</v>
      </c>
      <c r="BC140" s="161">
        <f t="shared" si="40"/>
        <v>80</v>
      </c>
      <c r="BD140" s="161">
        <f t="shared" si="41"/>
        <v>150</v>
      </c>
      <c r="BE140" s="161">
        <f>HLOOKUP(AO140,Data!$H$31:$Q$35,3,FALSE)</f>
        <v>452.38934211693021</v>
      </c>
      <c r="BF140" s="161">
        <f>HLOOKUP(AO140,Data!$H$31:$Q$35,4,FALSE)</f>
        <v>353</v>
      </c>
      <c r="BG140" s="179">
        <f t="shared" si="42"/>
        <v>180</v>
      </c>
      <c r="BH140" s="185">
        <f t="shared" si="43"/>
        <v>121.65654188208487</v>
      </c>
      <c r="BI140" s="185">
        <f t="shared" si="44"/>
        <v>243</v>
      </c>
      <c r="BJ140" s="185">
        <f t="shared" si="45"/>
        <v>142.3296</v>
      </c>
      <c r="BK140" s="185">
        <f t="shared" si="46"/>
        <v>15.491578592243306</v>
      </c>
      <c r="BL140" s="186">
        <f t="shared" si="47"/>
        <v>0.89458333333333329</v>
      </c>
      <c r="BM140" s="186">
        <f t="shared" si="48"/>
        <v>0.14234407826595286</v>
      </c>
      <c r="BN140" s="185" t="str">
        <f t="shared" si="49"/>
        <v>OK</v>
      </c>
      <c r="BO140" s="185" cm="1">
        <f t="array" ref="BO140">_xll.DCEBoltDisRS(AN140, AE140, BA140, BB140, BC140, BD140, "h1")</f>
        <v>890</v>
      </c>
      <c r="BP140" s="185" cm="1">
        <f t="array" ref="BP140">_xll.DCEBoltDisRS(AN140, AE140, BA140, BB140, BC140, BD140, "Tong")</f>
        <v>1800300</v>
      </c>
      <c r="BQ140" s="185">
        <f t="shared" si="50"/>
        <v>35.28874908223009</v>
      </c>
      <c r="BR140" s="186">
        <f t="shared" si="51"/>
        <v>0.24793682468179556</v>
      </c>
      <c r="BS140" s="185" t="str">
        <f t="shared" si="52"/>
        <v>OK</v>
      </c>
      <c r="BT140" s="186">
        <f t="shared" si="53"/>
        <v>0.2787253097123894</v>
      </c>
      <c r="BU140" s="185" t="str">
        <f t="shared" si="54"/>
        <v>OK</v>
      </c>
      <c r="BV140" s="190">
        <f t="shared" si="55"/>
        <v>181.99666240832141</v>
      </c>
      <c r="BW140" s="191">
        <f t="shared" si="56"/>
        <v>4.0949249041872315</v>
      </c>
      <c r="BX140" s="190">
        <f t="shared" si="57"/>
        <v>90.998331204160706</v>
      </c>
      <c r="BY140" s="167">
        <f t="shared" si="58"/>
        <v>38.922058495244976</v>
      </c>
      <c r="BZ140" s="192">
        <f t="shared" si="59"/>
        <v>0.18920445101855199</v>
      </c>
      <c r="CA140" s="191">
        <f t="shared" si="60"/>
        <v>3.6038943051152756</v>
      </c>
      <c r="CB140" s="193">
        <f t="shared" si="61"/>
        <v>3.0205052844596424E-2</v>
      </c>
      <c r="CC140" s="167">
        <f t="shared" si="62"/>
        <v>39.419421609082477</v>
      </c>
      <c r="CD140" s="191">
        <f t="shared" si="63"/>
        <v>0.16662798989346461</v>
      </c>
      <c r="CE140" s="189">
        <f t="shared" si="64"/>
        <v>0.18920445101855199</v>
      </c>
      <c r="CF140" s="194" t="str">
        <f t="shared" si="65"/>
        <v>OK</v>
      </c>
      <c r="DA140" s="140"/>
      <c r="DB140" s="140"/>
      <c r="DC140" s="140"/>
      <c r="DD140" s="141"/>
      <c r="DE140" s="151"/>
      <c r="DF140" s="152"/>
      <c r="DG140" s="152"/>
      <c r="DH140" s="152"/>
      <c r="DI140" s="152"/>
      <c r="DJ140" s="152"/>
      <c r="DK140" s="161"/>
      <c r="DL140" s="162"/>
      <c r="DM140" s="162"/>
      <c r="DN140" s="162"/>
      <c r="DO140" s="162"/>
      <c r="DP140" s="162"/>
      <c r="DQ140" s="140"/>
      <c r="DR140" s="151"/>
      <c r="DS140" s="151"/>
      <c r="DT140" s="151"/>
      <c r="DU140" s="151"/>
      <c r="DV140" s="151"/>
      <c r="DW140" s="151"/>
      <c r="DX140" s="151"/>
      <c r="DY140" s="151"/>
      <c r="DZ140" s="151"/>
      <c r="EA140" s="161"/>
      <c r="EB140" s="161"/>
      <c r="EC140" s="161"/>
      <c r="ED140" s="161"/>
      <c r="EE140" s="161"/>
      <c r="EF140" s="161"/>
      <c r="EG140" s="161"/>
      <c r="EH140" s="161"/>
      <c r="EI140" s="161"/>
      <c r="EJ140" s="161"/>
      <c r="EK140" s="209"/>
      <c r="EL140" s="161"/>
      <c r="EM140" s="187"/>
      <c r="EN140" s="187"/>
      <c r="EO140" s="206"/>
      <c r="EP140" s="212"/>
      <c r="EQ140" s="208"/>
      <c r="ER140" s="187"/>
      <c r="ES140" s="187"/>
      <c r="ET140" s="187"/>
      <c r="EU140" s="187"/>
      <c r="EV140" s="210"/>
      <c r="EW140" s="209"/>
      <c r="EX140" s="210"/>
      <c r="EY140" s="162"/>
      <c r="EZ140" s="211"/>
      <c r="FA140" s="209"/>
      <c r="FB140" s="207"/>
      <c r="FC140" s="162"/>
      <c r="FD140" s="209"/>
      <c r="FE140" s="187"/>
      <c r="FF140" s="187"/>
    </row>
    <row r="141" spans="27:162">
      <c r="AA141" s="140" t="s">
        <v>210</v>
      </c>
      <c r="AB141" s="140" t="s">
        <v>239</v>
      </c>
      <c r="AC141" s="140">
        <v>102</v>
      </c>
      <c r="AD141" s="141">
        <v>0.3</v>
      </c>
      <c r="AE141" s="151">
        <v>1100</v>
      </c>
      <c r="AF141" s="152">
        <v>350</v>
      </c>
      <c r="AG141" s="152">
        <v>14</v>
      </c>
      <c r="AH141" s="152">
        <v>18.000000000000004</v>
      </c>
      <c r="AI141" s="152">
        <v>1064</v>
      </c>
      <c r="AJ141" s="153" t="str" cm="1">
        <f t="array" ref="AJ141">_xll.Dce_Name_SectI(AE141, AE141, AF141, AG141, AH141, "x", "-", "H Tổng")</f>
        <v>1100x350x14x18</v>
      </c>
      <c r="AK141" s="161">
        <f t="shared" si="36"/>
        <v>1360</v>
      </c>
      <c r="AL141" s="162" cm="1">
        <f t="array" ref="AL141">IFERROR(INDEX($B$25:$B$32,IFERROR(MATCH(AF141,$B$25:$B$32,0),MATCH(AF141,$B$25:$B$32,1)+1)),$B$25)</f>
        <v>350</v>
      </c>
      <c r="AM141" s="162" cm="1">
        <f t="array" ref="AM141">IFERROR(VLOOKUP(AE141,$B$36:$E$47,4,FALSE),INDEX($E$36:$E$47,MATCH(AE141,$B$36:$B$47,1)+1))</f>
        <v>25</v>
      </c>
      <c r="AN141" s="162" cm="1">
        <f t="array" ref="AN141">IFERROR(VLOOKUP(AE141,$B$36:$E$47,2,FALSE),INDEX($C$36:$C$47,MATCH(AE141,$B$36:$B$47,1)+1))</f>
        <v>12</v>
      </c>
      <c r="AO141" s="162" cm="1">
        <f t="array" ref="AO141">IFERROR(VLOOKUP(AE141,$B$36:$E$47,3,FALSE),INDEX($D$36:$D$47,MATCH(AE141,$B$36:$B$47,1)+1))</f>
        <v>24</v>
      </c>
      <c r="AP141" s="163" t="str">
        <f t="shared" si="37"/>
        <v>1360x350x25 + 12M24</v>
      </c>
      <c r="AQ141" s="140" t="s">
        <v>247</v>
      </c>
      <c r="AR141" s="151">
        <v>0</v>
      </c>
      <c r="AS141" s="151">
        <v>-262.81464214269289</v>
      </c>
      <c r="AT141" s="151">
        <v>2.7011992642655963E-14</v>
      </c>
      <c r="AU141" s="151">
        <v>3.6226999816464254E-4</v>
      </c>
      <c r="AV141" s="151">
        <v>4.9629124987404781E-14</v>
      </c>
      <c r="AW141" s="151">
        <v>-751.8838325905441</v>
      </c>
      <c r="BA141" s="161">
        <f t="shared" si="38"/>
        <v>60</v>
      </c>
      <c r="BB141" s="161">
        <f t="shared" si="39"/>
        <v>70</v>
      </c>
      <c r="BC141" s="161">
        <f t="shared" si="40"/>
        <v>80</v>
      </c>
      <c r="BD141" s="161">
        <f t="shared" si="41"/>
        <v>150</v>
      </c>
      <c r="BE141" s="161">
        <f>HLOOKUP(AO141,Data!$H$31:$Q$35,3,FALSE)</f>
        <v>452.38934211693021</v>
      </c>
      <c r="BF141" s="161">
        <f>HLOOKUP(AO141,Data!$H$31:$Q$35,4,FALSE)</f>
        <v>353</v>
      </c>
      <c r="BG141" s="179">
        <f t="shared" si="42"/>
        <v>180</v>
      </c>
      <c r="BH141" s="185">
        <f t="shared" si="43"/>
        <v>121.65654188208487</v>
      </c>
      <c r="BI141" s="185">
        <f t="shared" si="44"/>
        <v>243</v>
      </c>
      <c r="BJ141" s="185">
        <f t="shared" si="45"/>
        <v>142.3296</v>
      </c>
      <c r="BK141" s="185">
        <f t="shared" si="46"/>
        <v>21.792528588642412</v>
      </c>
      <c r="BL141" s="186">
        <f t="shared" si="47"/>
        <v>0.82166666666666666</v>
      </c>
      <c r="BM141" s="186">
        <f t="shared" si="48"/>
        <v>0.21801003675093317</v>
      </c>
      <c r="BN141" s="185" t="str">
        <f t="shared" si="49"/>
        <v>OK</v>
      </c>
      <c r="BO141" s="185" cm="1">
        <f t="array" ref="BO141">_xll.DCEBoltDisRS(AN141, AE141, BA141, BB141, BC141, BD141, "h1")</f>
        <v>1240</v>
      </c>
      <c r="BP141" s="185" cm="1">
        <f t="array" ref="BP141">_xll.DCEBoltDisRS(AN141, AE141, BA141, BB141, BC141, BD141, "Tong")</f>
        <v>3721800</v>
      </c>
      <c r="BQ141" s="185">
        <f t="shared" si="50"/>
        <v>127.43261849004737</v>
      </c>
      <c r="BR141" s="186">
        <f t="shared" si="51"/>
        <v>0.89533462111920059</v>
      </c>
      <c r="BS141" s="185" t="str">
        <f t="shared" si="52"/>
        <v>OK</v>
      </c>
      <c r="BT141" s="186">
        <f t="shared" si="53"/>
        <v>0.9130784231371053</v>
      </c>
      <c r="BU141" s="185" t="str">
        <f t="shared" si="54"/>
        <v>OK</v>
      </c>
      <c r="BV141" s="190">
        <f t="shared" si="55"/>
        <v>683.53075690049457</v>
      </c>
      <c r="BW141" s="191">
        <f t="shared" si="56"/>
        <v>15.379442030261128</v>
      </c>
      <c r="BX141" s="190">
        <f t="shared" si="57"/>
        <v>341.76537845024728</v>
      </c>
      <c r="BY141" s="167">
        <f t="shared" si="58"/>
        <v>108.56076727243148</v>
      </c>
      <c r="BZ141" s="192">
        <f t="shared" si="59"/>
        <v>0.52772595201876416</v>
      </c>
      <c r="CA141" s="191">
        <f t="shared" si="60"/>
        <v>10.051922895595508</v>
      </c>
      <c r="CB141" s="193">
        <f t="shared" si="61"/>
        <v>8.4247438061743965E-2</v>
      </c>
      <c r="CC141" s="167">
        <f t="shared" si="62"/>
        <v>109.94800431329357</v>
      </c>
      <c r="CD141" s="191">
        <f t="shared" si="63"/>
        <v>0.46475605687986421</v>
      </c>
      <c r="CE141" s="189">
        <f t="shared" si="64"/>
        <v>0.52772595201876416</v>
      </c>
      <c r="CF141" s="194" t="str">
        <f t="shared" si="65"/>
        <v>OK</v>
      </c>
      <c r="DA141" s="140"/>
      <c r="DB141" s="140"/>
      <c r="DC141" s="140"/>
      <c r="DD141" s="141"/>
      <c r="DE141" s="151"/>
      <c r="DF141" s="152"/>
      <c r="DG141" s="152"/>
      <c r="DH141" s="152"/>
      <c r="DI141" s="152"/>
      <c r="DJ141" s="152"/>
      <c r="DK141" s="161"/>
      <c r="DL141" s="162"/>
      <c r="DM141" s="162"/>
      <c r="DN141" s="162"/>
      <c r="DO141" s="162"/>
      <c r="DP141" s="162"/>
      <c r="DQ141" s="140"/>
      <c r="DR141" s="151"/>
      <c r="DS141" s="151"/>
      <c r="DT141" s="151"/>
      <c r="DU141" s="151"/>
      <c r="DV141" s="151"/>
      <c r="DW141" s="151"/>
      <c r="DX141" s="151"/>
      <c r="DY141" s="151"/>
      <c r="DZ141" s="151"/>
      <c r="EA141" s="161"/>
      <c r="EB141" s="161"/>
      <c r="EC141" s="161"/>
      <c r="ED141" s="161"/>
      <c r="EE141" s="161"/>
      <c r="EF141" s="161"/>
      <c r="EG141" s="161"/>
      <c r="EH141" s="161"/>
      <c r="EI141" s="161"/>
      <c r="EJ141" s="161"/>
      <c r="EK141" s="209"/>
      <c r="EL141" s="161"/>
      <c r="EM141" s="187"/>
      <c r="EN141" s="187"/>
      <c r="EO141" s="206"/>
      <c r="EP141" s="212"/>
      <c r="EQ141" s="208"/>
      <c r="ER141" s="187"/>
      <c r="ES141" s="187"/>
      <c r="ET141" s="187"/>
      <c r="EU141" s="187"/>
      <c r="EV141" s="210"/>
      <c r="EW141" s="209"/>
      <c r="EX141" s="210"/>
      <c r="EY141" s="162"/>
      <c r="EZ141" s="211"/>
      <c r="FA141" s="209"/>
      <c r="FB141" s="207"/>
      <c r="FC141" s="162"/>
      <c r="FD141" s="209"/>
      <c r="FE141" s="187"/>
      <c r="FF141" s="187"/>
    </row>
    <row r="142" spans="27:162">
      <c r="AA142" s="140" t="s">
        <v>210</v>
      </c>
      <c r="AB142" s="140" t="s">
        <v>239</v>
      </c>
      <c r="AC142" s="140">
        <v>102</v>
      </c>
      <c r="AD142" s="141">
        <v>3</v>
      </c>
      <c r="AE142" s="151">
        <v>750</v>
      </c>
      <c r="AF142" s="152">
        <v>350</v>
      </c>
      <c r="AG142" s="152">
        <v>14</v>
      </c>
      <c r="AH142" s="152">
        <v>18.000000000000004</v>
      </c>
      <c r="AI142" s="152">
        <v>714</v>
      </c>
      <c r="AJ142" s="153" t="str" cm="1">
        <f t="array" ref="AJ142">_xll.Dce_Name_SectI(AE142, AE142, AF142, AG142, AH142, "x", "-", "H Tổng")</f>
        <v>750x350x14x18</v>
      </c>
      <c r="AK142" s="161">
        <f t="shared" si="36"/>
        <v>1010</v>
      </c>
      <c r="AL142" s="162" cm="1">
        <f t="array" ref="AL142">IFERROR(INDEX($B$25:$B$32,IFERROR(MATCH(AF142,$B$25:$B$32,0),MATCH(AF142,$B$25:$B$32,1)+1)),$B$25)</f>
        <v>350</v>
      </c>
      <c r="AM142" s="162" cm="1">
        <f t="array" ref="AM142">IFERROR(VLOOKUP(AE142,$B$36:$E$47,4,FALSE),INDEX($E$36:$E$47,MATCH(AE142,$B$36:$B$47,1)+1))</f>
        <v>25</v>
      </c>
      <c r="AN142" s="162" cm="1">
        <f t="array" ref="AN142">IFERROR(VLOOKUP(AE142,$B$36:$E$47,2,FALSE),INDEX($C$36:$C$47,MATCH(AE142,$B$36:$B$47,1)+1))</f>
        <v>12</v>
      </c>
      <c r="AO142" s="162" cm="1">
        <f t="array" ref="AO142">IFERROR(VLOOKUP(AE142,$B$36:$E$47,3,FALSE),INDEX($D$36:$D$47,MATCH(AE142,$B$36:$B$47,1)+1))</f>
        <v>24</v>
      </c>
      <c r="AP142" s="163" t="str">
        <f t="shared" si="37"/>
        <v>1010x350x25 + 12M24</v>
      </c>
      <c r="AQ142" s="140" t="s">
        <v>247</v>
      </c>
      <c r="AR142" s="151">
        <v>0</v>
      </c>
      <c r="AS142" s="151">
        <v>-184.74286216842293</v>
      </c>
      <c r="AT142" s="151">
        <v>3.0559021979570381E-14</v>
      </c>
      <c r="AU142" s="151">
        <v>3.6233005082414742E-4</v>
      </c>
      <c r="AV142" s="151">
        <v>1.2139207683503625E-14</v>
      </c>
      <c r="AW142" s="151">
        <v>-129.99803113278875</v>
      </c>
      <c r="BA142" s="161">
        <f t="shared" si="38"/>
        <v>60</v>
      </c>
      <c r="BB142" s="161">
        <f t="shared" si="39"/>
        <v>70</v>
      </c>
      <c r="BC142" s="161">
        <f t="shared" si="40"/>
        <v>80</v>
      </c>
      <c r="BD142" s="161">
        <f t="shared" si="41"/>
        <v>150</v>
      </c>
      <c r="BE142" s="161">
        <f>HLOOKUP(AO142,Data!$H$31:$Q$35,3,FALSE)</f>
        <v>452.38934211693021</v>
      </c>
      <c r="BF142" s="161">
        <f>HLOOKUP(AO142,Data!$H$31:$Q$35,4,FALSE)</f>
        <v>353</v>
      </c>
      <c r="BG142" s="179">
        <f t="shared" si="42"/>
        <v>180</v>
      </c>
      <c r="BH142" s="185">
        <f t="shared" si="43"/>
        <v>121.65654188208487</v>
      </c>
      <c r="BI142" s="185">
        <f t="shared" si="44"/>
        <v>243</v>
      </c>
      <c r="BJ142" s="185">
        <f t="shared" si="45"/>
        <v>142.3296</v>
      </c>
      <c r="BK142" s="185">
        <f t="shared" si="46"/>
        <v>15.318834873618238</v>
      </c>
      <c r="BL142" s="186">
        <f t="shared" si="47"/>
        <v>0.89458333333333329</v>
      </c>
      <c r="BM142" s="186">
        <f t="shared" si="48"/>
        <v>0.14075682585926591</v>
      </c>
      <c r="BN142" s="185" t="str">
        <f t="shared" si="49"/>
        <v>OK</v>
      </c>
      <c r="BO142" s="185" cm="1">
        <f t="array" ref="BO142">_xll.DCEBoltDisRS(AN142, AE142, BA142, BB142, BC142, BD142, "h1")</f>
        <v>890</v>
      </c>
      <c r="BP142" s="185" cm="1">
        <f t="array" ref="BP142">_xll.DCEBoltDisRS(AN142, AE142, BA142, BB142, BC142, BD142, "Tong")</f>
        <v>1800300</v>
      </c>
      <c r="BQ142" s="185">
        <f t="shared" si="50"/>
        <v>33.664930120751251</v>
      </c>
      <c r="BR142" s="186">
        <f t="shared" si="51"/>
        <v>0.23652796130075016</v>
      </c>
      <c r="BS142" s="185" t="str">
        <f t="shared" si="52"/>
        <v>OK</v>
      </c>
      <c r="BT142" s="186">
        <f t="shared" si="53"/>
        <v>0.26795708261335621</v>
      </c>
      <c r="BU142" s="185" t="str">
        <f t="shared" si="54"/>
        <v>OK</v>
      </c>
      <c r="BV142" s="190">
        <f t="shared" si="55"/>
        <v>173.33070817705166</v>
      </c>
      <c r="BW142" s="191">
        <f t="shared" si="56"/>
        <v>3.8999409339836624</v>
      </c>
      <c r="BX142" s="190">
        <f t="shared" si="57"/>
        <v>86.665354088525831</v>
      </c>
      <c r="BY142" s="167">
        <f t="shared" si="58"/>
        <v>37.068745511131844</v>
      </c>
      <c r="BZ142" s="192">
        <f t="shared" si="59"/>
        <v>0.18019529067911316</v>
      </c>
      <c r="CA142" s="191">
        <f t="shared" si="60"/>
        <v>3.4322912510307257</v>
      </c>
      <c r="CB142" s="193">
        <f t="shared" si="61"/>
        <v>2.8766808856818826E-2</v>
      </c>
      <c r="CC142" s="167">
        <f t="shared" si="62"/>
        <v>37.542426179787093</v>
      </c>
      <c r="CD142" s="191">
        <f t="shared" si="63"/>
        <v>0.15869383047011454</v>
      </c>
      <c r="CE142" s="189">
        <f t="shared" si="64"/>
        <v>0.18019529067911316</v>
      </c>
      <c r="CF142" s="194" t="str">
        <f t="shared" si="65"/>
        <v>OK</v>
      </c>
      <c r="DA142" s="140"/>
      <c r="DB142" s="140"/>
      <c r="DC142" s="140"/>
      <c r="DD142" s="141"/>
      <c r="DE142" s="151"/>
      <c r="DF142" s="152"/>
      <c r="DG142" s="152"/>
      <c r="DH142" s="152"/>
      <c r="DI142" s="152"/>
      <c r="DJ142" s="152"/>
      <c r="DK142" s="161"/>
      <c r="DL142" s="162"/>
      <c r="DM142" s="162"/>
      <c r="DN142" s="162"/>
      <c r="DO142" s="162"/>
      <c r="DP142" s="162"/>
      <c r="DQ142" s="140"/>
      <c r="DR142" s="151"/>
      <c r="DS142" s="151"/>
      <c r="DT142" s="151"/>
      <c r="DU142" s="151"/>
      <c r="DV142" s="151"/>
      <c r="DW142" s="151"/>
      <c r="DX142" s="151"/>
      <c r="DY142" s="151"/>
      <c r="DZ142" s="151"/>
      <c r="EA142" s="161"/>
      <c r="EB142" s="161"/>
      <c r="EC142" s="161"/>
      <c r="ED142" s="161"/>
      <c r="EE142" s="161"/>
      <c r="EF142" s="161"/>
      <c r="EG142" s="161"/>
      <c r="EH142" s="161"/>
      <c r="EI142" s="161"/>
      <c r="EJ142" s="161"/>
      <c r="EK142" s="209"/>
      <c r="EL142" s="161"/>
      <c r="EM142" s="187"/>
      <c r="EN142" s="187"/>
      <c r="EO142" s="206"/>
      <c r="EP142" s="212"/>
      <c r="EQ142" s="208"/>
      <c r="ER142" s="187"/>
      <c r="ES142" s="187"/>
      <c r="ET142" s="187"/>
      <c r="EU142" s="187"/>
      <c r="EV142" s="210"/>
      <c r="EW142" s="209"/>
      <c r="EX142" s="210"/>
      <c r="EY142" s="162"/>
      <c r="EZ142" s="211"/>
      <c r="FA142" s="209"/>
      <c r="FB142" s="207"/>
      <c r="FC142" s="162"/>
      <c r="FD142" s="209"/>
      <c r="FE142" s="187"/>
      <c r="FF142" s="187"/>
    </row>
    <row r="143" spans="27:162">
      <c r="AA143" s="140" t="s">
        <v>210</v>
      </c>
      <c r="AB143" s="140" t="s">
        <v>239</v>
      </c>
      <c r="AC143" s="140">
        <v>102</v>
      </c>
      <c r="AD143" s="141">
        <v>0.3</v>
      </c>
      <c r="AE143" s="151">
        <v>1100</v>
      </c>
      <c r="AF143" s="152">
        <v>350</v>
      </c>
      <c r="AG143" s="152">
        <v>14</v>
      </c>
      <c r="AH143" s="152">
        <v>18.000000000000004</v>
      </c>
      <c r="AI143" s="152">
        <v>1064</v>
      </c>
      <c r="AJ143" s="153" t="str" cm="1">
        <f t="array" ref="AJ143">_xll.Dce_Name_SectI(AE143, AE143, AF143, AG143, AH143, "x", "-", "H Tổng")</f>
        <v>1100x350x14x18</v>
      </c>
      <c r="AK143" s="161">
        <f t="shared" si="36"/>
        <v>1360</v>
      </c>
      <c r="AL143" s="162" cm="1">
        <f t="array" ref="AL143">IFERROR(INDEX($B$25:$B$32,IFERROR(MATCH(AF143,$B$25:$B$32,0),MATCH(AF143,$B$25:$B$32,1)+1)),$B$25)</f>
        <v>350</v>
      </c>
      <c r="AM143" s="162" cm="1">
        <f t="array" ref="AM143">IFERROR(VLOOKUP(AE143,$B$36:$E$47,4,FALSE),INDEX($E$36:$E$47,MATCH(AE143,$B$36:$B$47,1)+1))</f>
        <v>25</v>
      </c>
      <c r="AN143" s="162" cm="1">
        <f t="array" ref="AN143">IFERROR(VLOOKUP(AE143,$B$36:$E$47,2,FALSE),INDEX($C$36:$C$47,MATCH(AE143,$B$36:$B$47,1)+1))</f>
        <v>12</v>
      </c>
      <c r="AO143" s="162" cm="1">
        <f t="array" ref="AO143">IFERROR(VLOOKUP(AE143,$B$36:$E$47,3,FALSE),INDEX($D$36:$D$47,MATCH(AE143,$B$36:$B$47,1)+1))</f>
        <v>24</v>
      </c>
      <c r="AP143" s="163" t="str">
        <f t="shared" si="37"/>
        <v>1360x350x25 + 12M24</v>
      </c>
      <c r="AQ143" s="140" t="s">
        <v>248</v>
      </c>
      <c r="AR143" s="151">
        <v>0</v>
      </c>
      <c r="AS143" s="151">
        <v>-261.39916004289063</v>
      </c>
      <c r="AT143" s="151">
        <v>1.2460077414289114E-14</v>
      </c>
      <c r="AU143" s="151">
        <v>5.7733223725809745E-4</v>
      </c>
      <c r="AV143" s="151">
        <v>9.1456968220882088E-15</v>
      </c>
      <c r="AW143" s="151">
        <v>-736.68181037224247</v>
      </c>
      <c r="BA143" s="161">
        <f t="shared" si="38"/>
        <v>60</v>
      </c>
      <c r="BB143" s="161">
        <f t="shared" si="39"/>
        <v>70</v>
      </c>
      <c r="BC143" s="161">
        <f t="shared" si="40"/>
        <v>80</v>
      </c>
      <c r="BD143" s="161">
        <f t="shared" si="41"/>
        <v>150</v>
      </c>
      <c r="BE143" s="161">
        <f>HLOOKUP(AO143,Data!$H$31:$Q$35,3,FALSE)</f>
        <v>452.38934211693021</v>
      </c>
      <c r="BF143" s="161">
        <f>HLOOKUP(AO143,Data!$H$31:$Q$35,4,FALSE)</f>
        <v>353</v>
      </c>
      <c r="BG143" s="179">
        <f t="shared" si="42"/>
        <v>180</v>
      </c>
      <c r="BH143" s="185">
        <f t="shared" si="43"/>
        <v>121.65654188208487</v>
      </c>
      <c r="BI143" s="185">
        <f t="shared" si="44"/>
        <v>243</v>
      </c>
      <c r="BJ143" s="185">
        <f t="shared" si="45"/>
        <v>142.3296</v>
      </c>
      <c r="BK143" s="185">
        <f t="shared" si="46"/>
        <v>21.675157144360764</v>
      </c>
      <c r="BL143" s="186">
        <f t="shared" si="47"/>
        <v>0.82166666666666666</v>
      </c>
      <c r="BM143" s="186">
        <f t="shared" si="48"/>
        <v>0.21683586585207346</v>
      </c>
      <c r="BN143" s="185" t="str">
        <f t="shared" si="49"/>
        <v>OK</v>
      </c>
      <c r="BO143" s="185" cm="1">
        <f t="array" ref="BO143">_xll.DCEBoltDisRS(AN143, AE143, BA143, BB143, BC143, BD143, "h1")</f>
        <v>1240</v>
      </c>
      <c r="BP143" s="185" cm="1">
        <f t="array" ref="BP143">_xll.DCEBoltDisRS(AN143, AE143, BA143, BB143, BC143, BD143, "Tong")</f>
        <v>3721800</v>
      </c>
      <c r="BQ143" s="185">
        <f t="shared" si="50"/>
        <v>124.88843635251182</v>
      </c>
      <c r="BR143" s="186">
        <f t="shared" si="51"/>
        <v>0.87745933630468864</v>
      </c>
      <c r="BS143" s="185" t="str">
        <f t="shared" si="52"/>
        <v>OK</v>
      </c>
      <c r="BT143" s="186">
        <f t="shared" si="53"/>
        <v>0.89536489578168699</v>
      </c>
      <c r="BU143" s="185" t="str">
        <f t="shared" si="54"/>
        <v>OK</v>
      </c>
      <c r="BV143" s="190">
        <f t="shared" si="55"/>
        <v>669.7107367020385</v>
      </c>
      <c r="BW143" s="191">
        <f t="shared" si="56"/>
        <v>15.068491575795866</v>
      </c>
      <c r="BX143" s="190">
        <f t="shared" si="57"/>
        <v>334.85536835101925</v>
      </c>
      <c r="BY143" s="167">
        <f t="shared" si="58"/>
        <v>106.36582288797082</v>
      </c>
      <c r="BZ143" s="192">
        <f t="shared" si="59"/>
        <v>0.51705608348319154</v>
      </c>
      <c r="CA143" s="191">
        <f t="shared" si="60"/>
        <v>9.8486873044417429</v>
      </c>
      <c r="CB143" s="193">
        <f t="shared" si="61"/>
        <v>8.254407463013913E-2</v>
      </c>
      <c r="CC143" s="167">
        <f t="shared" si="62"/>
        <v>107.72501196796033</v>
      </c>
      <c r="CD143" s="191">
        <f t="shared" si="63"/>
        <v>0.45535935010611256</v>
      </c>
      <c r="CE143" s="189">
        <f t="shared" si="64"/>
        <v>0.51705608348319154</v>
      </c>
      <c r="CF143" s="194" t="str">
        <f t="shared" si="65"/>
        <v>OK</v>
      </c>
      <c r="DA143" s="140"/>
      <c r="DB143" s="140"/>
      <c r="DC143" s="140"/>
      <c r="DD143" s="141"/>
      <c r="DE143" s="151"/>
      <c r="DF143" s="152"/>
      <c r="DG143" s="152"/>
      <c r="DH143" s="152"/>
      <c r="DI143" s="152"/>
      <c r="DJ143" s="152"/>
      <c r="DK143" s="161"/>
      <c r="DL143" s="162"/>
      <c r="DM143" s="162"/>
      <c r="DN143" s="162"/>
      <c r="DO143" s="162"/>
      <c r="DP143" s="162"/>
      <c r="DQ143" s="140"/>
      <c r="DR143" s="151"/>
      <c r="DS143" s="151"/>
      <c r="DT143" s="151"/>
      <c r="DU143" s="151"/>
      <c r="DV143" s="151"/>
      <c r="DW143" s="151"/>
      <c r="DX143" s="151"/>
      <c r="DY143" s="151"/>
      <c r="DZ143" s="151"/>
      <c r="EA143" s="161"/>
      <c r="EB143" s="161"/>
      <c r="EC143" s="161"/>
      <c r="ED143" s="161"/>
      <c r="EE143" s="161"/>
      <c r="EF143" s="161"/>
      <c r="EG143" s="161"/>
      <c r="EH143" s="161"/>
      <c r="EI143" s="161"/>
      <c r="EJ143" s="161"/>
      <c r="EK143" s="209"/>
      <c r="EL143" s="161"/>
      <c r="EM143" s="187"/>
      <c r="EN143" s="187"/>
      <c r="EO143" s="206"/>
      <c r="EP143" s="212"/>
      <c r="EQ143" s="208"/>
      <c r="ER143" s="187"/>
      <c r="ES143" s="187"/>
      <c r="ET143" s="187"/>
      <c r="EU143" s="187"/>
      <c r="EV143" s="210"/>
      <c r="EW143" s="209"/>
      <c r="EX143" s="210"/>
      <c r="EY143" s="162"/>
      <c r="EZ143" s="211"/>
      <c r="FA143" s="209"/>
      <c r="FB143" s="207"/>
      <c r="FC143" s="162"/>
      <c r="FD143" s="209"/>
      <c r="FE143" s="187"/>
      <c r="FF143" s="187"/>
    </row>
    <row r="144" spans="27:162">
      <c r="AA144" s="140" t="s">
        <v>210</v>
      </c>
      <c r="AB144" s="140" t="s">
        <v>239</v>
      </c>
      <c r="AC144" s="140">
        <v>102</v>
      </c>
      <c r="AD144" s="141">
        <v>3</v>
      </c>
      <c r="AE144" s="151">
        <v>750</v>
      </c>
      <c r="AF144" s="152">
        <v>350</v>
      </c>
      <c r="AG144" s="152">
        <v>14</v>
      </c>
      <c r="AH144" s="152">
        <v>18.000000000000004</v>
      </c>
      <c r="AI144" s="152">
        <v>714</v>
      </c>
      <c r="AJ144" s="153" t="str" cm="1">
        <f t="array" ref="AJ144">_xll.Dce_Name_SectI(AE144, AE144, AF144, AG144, AH144, "x", "-", "H Tổng")</f>
        <v>750x350x14x18</v>
      </c>
      <c r="AK144" s="161">
        <f t="shared" si="36"/>
        <v>1010</v>
      </c>
      <c r="AL144" s="162" cm="1">
        <f t="array" ref="AL144">IFERROR(INDEX($B$25:$B$32,IFERROR(MATCH(AF144,$B$25:$B$32,0),MATCH(AF144,$B$25:$B$32,1)+1)),$B$25)</f>
        <v>350</v>
      </c>
      <c r="AM144" s="162" cm="1">
        <f t="array" ref="AM144">IFERROR(VLOOKUP(AE144,$B$36:$E$47,4,FALSE),INDEX($E$36:$E$47,MATCH(AE144,$B$36:$B$47,1)+1))</f>
        <v>25</v>
      </c>
      <c r="AN144" s="162" cm="1">
        <f t="array" ref="AN144">IFERROR(VLOOKUP(AE144,$B$36:$E$47,2,FALSE),INDEX($C$36:$C$47,MATCH(AE144,$B$36:$B$47,1)+1))</f>
        <v>12</v>
      </c>
      <c r="AO144" s="162" cm="1">
        <f t="array" ref="AO144">IFERROR(VLOOKUP(AE144,$B$36:$E$47,3,FALSE),INDEX($D$36:$D$47,MATCH(AE144,$B$36:$B$47,1)+1))</f>
        <v>24</v>
      </c>
      <c r="AP144" s="163" t="str">
        <f t="shared" si="37"/>
        <v>1010x350x25 + 12M24</v>
      </c>
      <c r="AQ144" s="140" t="s">
        <v>248</v>
      </c>
      <c r="AR144" s="151">
        <v>0</v>
      </c>
      <c r="AS144" s="151">
        <v>-183.3273806367128</v>
      </c>
      <c r="AT144" s="151">
        <v>3.0559021979570381E-14</v>
      </c>
      <c r="AU144" s="151">
        <v>5.774277624938964E-4</v>
      </c>
      <c r="AV144" s="151">
        <v>1.2139207683503625E-14</v>
      </c>
      <c r="AW144" s="151">
        <v>-118.61784375538818</v>
      </c>
      <c r="BA144" s="161">
        <f t="shared" si="38"/>
        <v>60</v>
      </c>
      <c r="BB144" s="161">
        <f t="shared" si="39"/>
        <v>70</v>
      </c>
      <c r="BC144" s="161">
        <f t="shared" si="40"/>
        <v>80</v>
      </c>
      <c r="BD144" s="161">
        <f t="shared" si="41"/>
        <v>150</v>
      </c>
      <c r="BE144" s="161">
        <f>HLOOKUP(AO144,Data!$H$31:$Q$35,3,FALSE)</f>
        <v>452.38934211693021</v>
      </c>
      <c r="BF144" s="161">
        <f>HLOOKUP(AO144,Data!$H$31:$Q$35,4,FALSE)</f>
        <v>353</v>
      </c>
      <c r="BG144" s="179">
        <f t="shared" si="42"/>
        <v>180</v>
      </c>
      <c r="BH144" s="185">
        <f t="shared" si="43"/>
        <v>121.65654188208487</v>
      </c>
      <c r="BI144" s="185">
        <f t="shared" si="44"/>
        <v>243</v>
      </c>
      <c r="BJ144" s="185">
        <f t="shared" si="45"/>
        <v>142.3296</v>
      </c>
      <c r="BK144" s="185">
        <f t="shared" si="46"/>
        <v>15.201463476442656</v>
      </c>
      <c r="BL144" s="186">
        <f t="shared" si="47"/>
        <v>0.89458333333333329</v>
      </c>
      <c r="BM144" s="186">
        <f t="shared" si="48"/>
        <v>0.13967836098583392</v>
      </c>
      <c r="BN144" s="185" t="str">
        <f t="shared" si="49"/>
        <v>OK</v>
      </c>
      <c r="BO144" s="185" cm="1">
        <f t="array" ref="BO144">_xll.DCEBoltDisRS(AN144, AE144, BA144, BB144, BC144, BD144, "h1")</f>
        <v>890</v>
      </c>
      <c r="BP144" s="185" cm="1">
        <f t="array" ref="BP144">_xll.DCEBoltDisRS(AN144, AE144, BA144, BB144, BC144, BD144, "Tong")</f>
        <v>1800300</v>
      </c>
      <c r="BQ144" s="185">
        <f t="shared" si="50"/>
        <v>30.840226596018283</v>
      </c>
      <c r="BR144" s="186">
        <f t="shared" si="51"/>
        <v>0.21668174853311106</v>
      </c>
      <c r="BS144" s="185" t="str">
        <f t="shared" si="52"/>
        <v>OK</v>
      </c>
      <c r="BT144" s="186">
        <f t="shared" si="53"/>
        <v>0.25012889819206285</v>
      </c>
      <c r="BU144" s="185" t="str">
        <f t="shared" si="54"/>
        <v>OK</v>
      </c>
      <c r="BV144" s="190">
        <f t="shared" si="55"/>
        <v>158.15712500718425</v>
      </c>
      <c r="BW144" s="191">
        <f t="shared" si="56"/>
        <v>3.5585353126616455</v>
      </c>
      <c r="BX144" s="190">
        <f t="shared" si="57"/>
        <v>79.078562503592124</v>
      </c>
      <c r="BY144" s="167">
        <f t="shared" si="58"/>
        <v>33.823701981734452</v>
      </c>
      <c r="BZ144" s="192">
        <f t="shared" si="59"/>
        <v>0.16442077352232026</v>
      </c>
      <c r="CA144" s="191">
        <f t="shared" si="60"/>
        <v>3.1318242575680051</v>
      </c>
      <c r="CB144" s="193">
        <f t="shared" si="61"/>
        <v>2.6248527062950236E-2</v>
      </c>
      <c r="CC144" s="167">
        <f t="shared" si="62"/>
        <v>34.255916062631599</v>
      </c>
      <c r="CD144" s="191">
        <f t="shared" si="63"/>
        <v>0.14480157755943313</v>
      </c>
      <c r="CE144" s="189">
        <f t="shared" si="64"/>
        <v>0.16442077352232026</v>
      </c>
      <c r="CF144" s="194" t="str">
        <f t="shared" si="65"/>
        <v>OK</v>
      </c>
      <c r="DA144" s="140"/>
      <c r="DB144" s="140"/>
      <c r="DC144" s="140"/>
      <c r="DD144" s="141"/>
      <c r="DE144" s="151"/>
      <c r="DF144" s="152"/>
      <c r="DG144" s="152"/>
      <c r="DH144" s="152"/>
      <c r="DI144" s="152"/>
      <c r="DJ144" s="152"/>
      <c r="DK144" s="161"/>
      <c r="DL144" s="162"/>
      <c r="DM144" s="162"/>
      <c r="DN144" s="162"/>
      <c r="DO144" s="162"/>
      <c r="DP144" s="162"/>
      <c r="DQ144" s="140"/>
      <c r="DR144" s="151"/>
      <c r="DS144" s="151"/>
      <c r="DT144" s="151"/>
      <c r="DU144" s="151"/>
      <c r="DV144" s="151"/>
      <c r="DW144" s="151"/>
      <c r="DX144" s="151"/>
      <c r="DY144" s="151"/>
      <c r="DZ144" s="151"/>
      <c r="EA144" s="161"/>
      <c r="EB144" s="161"/>
      <c r="EC144" s="161"/>
      <c r="ED144" s="161"/>
      <c r="EE144" s="161"/>
      <c r="EF144" s="161"/>
      <c r="EG144" s="161"/>
      <c r="EH144" s="161"/>
      <c r="EI144" s="161"/>
      <c r="EJ144" s="161"/>
      <c r="EK144" s="209"/>
      <c r="EL144" s="161"/>
      <c r="EM144" s="187"/>
      <c r="EN144" s="187"/>
      <c r="EO144" s="206"/>
      <c r="EP144" s="212"/>
      <c r="EQ144" s="208"/>
      <c r="ER144" s="187"/>
      <c r="ES144" s="187"/>
      <c r="ET144" s="187"/>
      <c r="EU144" s="187"/>
      <c r="EV144" s="210"/>
      <c r="EW144" s="209"/>
      <c r="EX144" s="210"/>
      <c r="EY144" s="162"/>
      <c r="EZ144" s="211"/>
      <c r="FA144" s="209"/>
      <c r="FB144" s="207"/>
      <c r="FC144" s="162"/>
      <c r="FD144" s="209"/>
      <c r="FE144" s="187"/>
      <c r="FF144" s="187"/>
    </row>
    <row r="145" spans="27:162">
      <c r="AA145" s="140" t="s">
        <v>210</v>
      </c>
      <c r="AB145" s="140" t="s">
        <v>239</v>
      </c>
      <c r="AC145" s="140">
        <v>102</v>
      </c>
      <c r="AD145" s="141">
        <v>0.3</v>
      </c>
      <c r="AE145" s="151">
        <v>1100</v>
      </c>
      <c r="AF145" s="152">
        <v>350</v>
      </c>
      <c r="AG145" s="152">
        <v>14</v>
      </c>
      <c r="AH145" s="152">
        <v>18.000000000000004</v>
      </c>
      <c r="AI145" s="152">
        <v>1064</v>
      </c>
      <c r="AJ145" s="153" t="str" cm="1">
        <f t="array" ref="AJ145">_xll.Dce_Name_SectI(AE145, AE145, AF145, AG145, AH145, "x", "-", "H Tổng")</f>
        <v>1100x350x14x18</v>
      </c>
      <c r="AK145" s="161">
        <f t="shared" si="36"/>
        <v>1360</v>
      </c>
      <c r="AL145" s="162" cm="1">
        <f t="array" ref="AL145">IFERROR(INDEX($B$25:$B$32,IFERROR(MATCH(AF145,$B$25:$B$32,0),MATCH(AF145,$B$25:$B$32,1)+1)),$B$25)</f>
        <v>350</v>
      </c>
      <c r="AM145" s="162" cm="1">
        <f t="array" ref="AM145">IFERROR(VLOOKUP(AE145,$B$36:$E$47,4,FALSE),INDEX($E$36:$E$47,MATCH(AE145,$B$36:$B$47,1)+1))</f>
        <v>25</v>
      </c>
      <c r="AN145" s="162" cm="1">
        <f t="array" ref="AN145">IFERROR(VLOOKUP(AE145,$B$36:$E$47,2,FALSE),INDEX($C$36:$C$47,MATCH(AE145,$B$36:$B$47,1)+1))</f>
        <v>12</v>
      </c>
      <c r="AO145" s="162" cm="1">
        <f t="array" ref="AO145">IFERROR(VLOOKUP(AE145,$B$36:$E$47,3,FALSE),INDEX($D$36:$D$47,MATCH(AE145,$B$36:$B$47,1)+1))</f>
        <v>24</v>
      </c>
      <c r="AP145" s="163" t="str">
        <f t="shared" si="37"/>
        <v>1360x350x25 + 12M24</v>
      </c>
      <c r="AQ145" s="140" t="s">
        <v>249</v>
      </c>
      <c r="AR145" s="151">
        <v>0</v>
      </c>
      <c r="AS145" s="151">
        <v>-260.92815542569269</v>
      </c>
      <c r="AT145" s="151">
        <v>-2.3192114895209664E-15</v>
      </c>
      <c r="AU145" s="151">
        <v>6.7191408417687642E-4</v>
      </c>
      <c r="AV145" s="151">
        <v>-1.4694705896545196E-15</v>
      </c>
      <c r="AW145" s="151">
        <v>-740.83493197269433</v>
      </c>
      <c r="BA145" s="161">
        <f t="shared" si="38"/>
        <v>60</v>
      </c>
      <c r="BB145" s="161">
        <f t="shared" si="39"/>
        <v>70</v>
      </c>
      <c r="BC145" s="161">
        <f t="shared" si="40"/>
        <v>80</v>
      </c>
      <c r="BD145" s="161">
        <f t="shared" si="41"/>
        <v>150</v>
      </c>
      <c r="BE145" s="161">
        <f>HLOOKUP(AO145,Data!$H$31:$Q$35,3,FALSE)</f>
        <v>452.38934211693021</v>
      </c>
      <c r="BF145" s="161">
        <f>HLOOKUP(AO145,Data!$H$31:$Q$35,4,FALSE)</f>
        <v>353</v>
      </c>
      <c r="BG145" s="179">
        <f t="shared" si="42"/>
        <v>180</v>
      </c>
      <c r="BH145" s="185">
        <f t="shared" si="43"/>
        <v>121.65654188208487</v>
      </c>
      <c r="BI145" s="185">
        <f t="shared" si="44"/>
        <v>243</v>
      </c>
      <c r="BJ145" s="185">
        <f t="shared" si="45"/>
        <v>142.3296</v>
      </c>
      <c r="BK145" s="185">
        <f t="shared" si="46"/>
        <v>21.636101551788048</v>
      </c>
      <c r="BL145" s="186">
        <f t="shared" si="47"/>
        <v>0.82166666666666666</v>
      </c>
      <c r="BM145" s="186">
        <f t="shared" si="48"/>
        <v>0.21644515803964709</v>
      </c>
      <c r="BN145" s="185" t="str">
        <f t="shared" si="49"/>
        <v>OK</v>
      </c>
      <c r="BO145" s="185" cm="1">
        <f t="array" ref="BO145">_xll.DCEBoltDisRS(AN145, AE145, BA145, BB145, BC145, BD145, "h1")</f>
        <v>1240</v>
      </c>
      <c r="BP145" s="185" cm="1">
        <f t="array" ref="BP145">_xll.DCEBoltDisRS(AN145, AE145, BA145, BB145, BC145, BD145, "Tong")</f>
        <v>3721800</v>
      </c>
      <c r="BQ145" s="185">
        <f t="shared" si="50"/>
        <v>125.576382959486</v>
      </c>
      <c r="BR145" s="186">
        <f t="shared" si="51"/>
        <v>0.8822928116111195</v>
      </c>
      <c r="BS145" s="185" t="str">
        <f t="shared" si="52"/>
        <v>OK</v>
      </c>
      <c r="BT145" s="186">
        <f t="shared" si="53"/>
        <v>0.90003873464930106</v>
      </c>
      <c r="BU145" s="185" t="str">
        <f t="shared" si="54"/>
        <v>OK</v>
      </c>
      <c r="BV145" s="190">
        <f t="shared" si="55"/>
        <v>673.48630179335839</v>
      </c>
      <c r="BW145" s="191">
        <f t="shared" si="56"/>
        <v>15.153441790350563</v>
      </c>
      <c r="BX145" s="190">
        <f t="shared" si="57"/>
        <v>336.7431508966792</v>
      </c>
      <c r="BY145" s="167">
        <f t="shared" si="58"/>
        <v>106.96547146129809</v>
      </c>
      <c r="BZ145" s="192">
        <f t="shared" si="59"/>
        <v>0.51997104182575471</v>
      </c>
      <c r="CA145" s="191">
        <f t="shared" si="60"/>
        <v>9.9042103204905647</v>
      </c>
      <c r="CB145" s="193">
        <f t="shared" si="61"/>
        <v>8.3009425578824181E-2</v>
      </c>
      <c r="CC145" s="167">
        <f t="shared" si="62"/>
        <v>108.33232311344251</v>
      </c>
      <c r="CD145" s="191">
        <f t="shared" si="63"/>
        <v>0.45792648659063873</v>
      </c>
      <c r="CE145" s="189">
        <f t="shared" si="64"/>
        <v>0.51997104182575471</v>
      </c>
      <c r="CF145" s="194" t="str">
        <f t="shared" si="65"/>
        <v>OK</v>
      </c>
      <c r="DA145" s="140"/>
      <c r="DB145" s="140"/>
      <c r="DC145" s="140"/>
      <c r="DD145" s="141"/>
      <c r="DE145" s="151"/>
      <c r="DF145" s="152"/>
      <c r="DG145" s="152"/>
      <c r="DH145" s="152"/>
      <c r="DI145" s="152"/>
      <c r="DJ145" s="152"/>
      <c r="DK145" s="161"/>
      <c r="DL145" s="162"/>
      <c r="DM145" s="162"/>
      <c r="DN145" s="162"/>
      <c r="DO145" s="162"/>
      <c r="DP145" s="162"/>
      <c r="DQ145" s="140"/>
      <c r="DR145" s="151"/>
      <c r="DS145" s="151"/>
      <c r="DT145" s="151"/>
      <c r="DU145" s="151"/>
      <c r="DV145" s="151"/>
      <c r="DW145" s="151"/>
      <c r="DX145" s="151"/>
      <c r="DY145" s="151"/>
      <c r="DZ145" s="151"/>
      <c r="EA145" s="161"/>
      <c r="EB145" s="161"/>
      <c r="EC145" s="161"/>
      <c r="ED145" s="161"/>
      <c r="EE145" s="161"/>
      <c r="EF145" s="161"/>
      <c r="EG145" s="161"/>
      <c r="EH145" s="161"/>
      <c r="EI145" s="161"/>
      <c r="EJ145" s="161"/>
      <c r="EK145" s="209"/>
      <c r="EL145" s="161"/>
      <c r="EM145" s="187"/>
      <c r="EN145" s="187"/>
      <c r="EO145" s="206"/>
      <c r="EP145" s="212"/>
      <c r="EQ145" s="208"/>
      <c r="ER145" s="187"/>
      <c r="ES145" s="187"/>
      <c r="ET145" s="187"/>
      <c r="EU145" s="187"/>
      <c r="EV145" s="210"/>
      <c r="EW145" s="209"/>
      <c r="EX145" s="210"/>
      <c r="EY145" s="162"/>
      <c r="EZ145" s="211"/>
      <c r="FA145" s="209"/>
      <c r="FB145" s="207"/>
      <c r="FC145" s="162"/>
      <c r="FD145" s="209"/>
      <c r="FE145" s="187"/>
      <c r="FF145" s="187"/>
    </row>
    <row r="146" spans="27:162">
      <c r="AA146" s="140" t="s">
        <v>210</v>
      </c>
      <c r="AB146" s="140" t="s">
        <v>239</v>
      </c>
      <c r="AC146" s="140">
        <v>102</v>
      </c>
      <c r="AD146" s="141">
        <v>3</v>
      </c>
      <c r="AE146" s="151">
        <v>750</v>
      </c>
      <c r="AF146" s="152">
        <v>350</v>
      </c>
      <c r="AG146" s="152">
        <v>14</v>
      </c>
      <c r="AH146" s="152">
        <v>18.000000000000004</v>
      </c>
      <c r="AI146" s="152">
        <v>714</v>
      </c>
      <c r="AJ146" s="153" t="str" cm="1">
        <f t="array" ref="AJ146">_xll.Dce_Name_SectI(AE146, AE146, AF146, AG146, AH146, "x", "-", "H Tổng")</f>
        <v>750x350x14x18</v>
      </c>
      <c r="AK146" s="161">
        <f t="shared" si="36"/>
        <v>1010</v>
      </c>
      <c r="AL146" s="162" cm="1">
        <f t="array" ref="AL146">IFERROR(INDEX($B$25:$B$32,IFERROR(MATCH(AF146,$B$25:$B$32,0),MATCH(AF146,$B$25:$B$32,1)+1)),$B$25)</f>
        <v>350</v>
      </c>
      <c r="AM146" s="162" cm="1">
        <f t="array" ref="AM146">IFERROR(VLOOKUP(AE146,$B$36:$E$47,4,FALSE),INDEX($E$36:$E$47,MATCH(AE146,$B$36:$B$47,1)+1))</f>
        <v>25</v>
      </c>
      <c r="AN146" s="162" cm="1">
        <f t="array" ref="AN146">IFERROR(VLOOKUP(AE146,$B$36:$E$47,2,FALSE),INDEX($C$36:$C$47,MATCH(AE146,$B$36:$B$47,1)+1))</f>
        <v>12</v>
      </c>
      <c r="AO146" s="162" cm="1">
        <f t="array" ref="AO146">IFERROR(VLOOKUP(AE146,$B$36:$E$47,3,FALSE),INDEX($D$36:$D$47,MATCH(AE146,$B$36:$B$47,1)+1))</f>
        <v>24</v>
      </c>
      <c r="AP146" s="163" t="str">
        <f t="shared" si="37"/>
        <v>1010x350x25 + 12M24</v>
      </c>
      <c r="AQ146" s="140" t="s">
        <v>249</v>
      </c>
      <c r="AR146" s="151">
        <v>0</v>
      </c>
      <c r="AS146" s="151">
        <v>-182.85637607618096</v>
      </c>
      <c r="AT146" s="151">
        <v>2.9649527277797452E-14</v>
      </c>
      <c r="AU146" s="151">
        <v>6.7202522420469076E-4</v>
      </c>
      <c r="AV146" s="151">
        <v>1.4527540770359334E-14</v>
      </c>
      <c r="AW146" s="151">
        <v>-124.04267266168004</v>
      </c>
      <c r="BA146" s="161">
        <f t="shared" si="38"/>
        <v>60</v>
      </c>
      <c r="BB146" s="161">
        <f t="shared" si="39"/>
        <v>70</v>
      </c>
      <c r="BC146" s="161">
        <f t="shared" si="40"/>
        <v>80</v>
      </c>
      <c r="BD146" s="161">
        <f t="shared" si="41"/>
        <v>150</v>
      </c>
      <c r="BE146" s="161">
        <f>HLOOKUP(AO146,Data!$H$31:$Q$35,3,FALSE)</f>
        <v>452.38934211693021</v>
      </c>
      <c r="BF146" s="161">
        <f>HLOOKUP(AO146,Data!$H$31:$Q$35,4,FALSE)</f>
        <v>353</v>
      </c>
      <c r="BG146" s="179">
        <f t="shared" si="42"/>
        <v>180</v>
      </c>
      <c r="BH146" s="185">
        <f t="shared" si="43"/>
        <v>121.65654188208487</v>
      </c>
      <c r="BI146" s="185">
        <f t="shared" si="44"/>
        <v>243</v>
      </c>
      <c r="BJ146" s="185">
        <f t="shared" si="45"/>
        <v>142.3296</v>
      </c>
      <c r="BK146" s="185">
        <f t="shared" si="46"/>
        <v>15.162407888568682</v>
      </c>
      <c r="BL146" s="186">
        <f t="shared" si="47"/>
        <v>0.89458333333333329</v>
      </c>
      <c r="BM146" s="186">
        <f t="shared" si="48"/>
        <v>0.13931949945187513</v>
      </c>
      <c r="BN146" s="185" t="str">
        <f t="shared" si="49"/>
        <v>OK</v>
      </c>
      <c r="BO146" s="185" cm="1">
        <f t="array" ref="BO146">_xll.DCEBoltDisRS(AN146, AE146, BA146, BB146, BC146, BD146, "h1")</f>
        <v>890</v>
      </c>
      <c r="BP146" s="185" cm="1">
        <f t="array" ref="BP146">_xll.DCEBoltDisRS(AN146, AE146, BA146, BB146, BC146, BD146, "Tong")</f>
        <v>1800300</v>
      </c>
      <c r="BQ146" s="185">
        <f t="shared" si="50"/>
        <v>32.177235808824442</v>
      </c>
      <c r="BR146" s="186">
        <f t="shared" si="51"/>
        <v>0.22607550227657805</v>
      </c>
      <c r="BS146" s="185" t="str">
        <f t="shared" si="52"/>
        <v>OK</v>
      </c>
      <c r="BT146" s="186">
        <f t="shared" si="53"/>
        <v>0.25815401032113772</v>
      </c>
      <c r="BU146" s="185" t="str">
        <f t="shared" si="54"/>
        <v>OK</v>
      </c>
      <c r="BV146" s="190">
        <f t="shared" si="55"/>
        <v>165.39023021557338</v>
      </c>
      <c r="BW146" s="191">
        <f t="shared" si="56"/>
        <v>3.7212801798504009</v>
      </c>
      <c r="BX146" s="190">
        <f t="shared" si="57"/>
        <v>82.695115107786691</v>
      </c>
      <c r="BY146" s="167">
        <f t="shared" si="58"/>
        <v>35.370583887686976</v>
      </c>
      <c r="BZ146" s="192">
        <f t="shared" si="59"/>
        <v>0.17194033834292283</v>
      </c>
      <c r="CA146" s="191">
        <f t="shared" si="60"/>
        <v>3.2750540636747205</v>
      </c>
      <c r="CB146" s="193">
        <f t="shared" si="61"/>
        <v>2.7448968445549622E-2</v>
      </c>
      <c r="CC146" s="167">
        <f t="shared" si="62"/>
        <v>35.822564703212947</v>
      </c>
      <c r="CD146" s="191">
        <f t="shared" si="63"/>
        <v>0.15142388461503059</v>
      </c>
      <c r="CE146" s="189">
        <f t="shared" si="64"/>
        <v>0.17194033834292283</v>
      </c>
      <c r="CF146" s="194" t="str">
        <f t="shared" si="65"/>
        <v>OK</v>
      </c>
      <c r="DA146" s="140"/>
      <c r="DB146" s="140"/>
      <c r="DC146" s="140"/>
      <c r="DD146" s="141"/>
      <c r="DE146" s="151"/>
      <c r="DF146" s="152"/>
      <c r="DG146" s="152"/>
      <c r="DH146" s="152"/>
      <c r="DI146" s="152"/>
      <c r="DJ146" s="152"/>
      <c r="DK146" s="161"/>
      <c r="DL146" s="162"/>
      <c r="DM146" s="162"/>
      <c r="DN146" s="162"/>
      <c r="DO146" s="162"/>
      <c r="DP146" s="162"/>
      <c r="DQ146" s="140"/>
      <c r="DR146" s="151"/>
      <c r="DS146" s="151"/>
      <c r="DT146" s="151"/>
      <c r="DU146" s="151"/>
      <c r="DV146" s="151"/>
      <c r="DW146" s="151"/>
      <c r="DX146" s="151"/>
      <c r="DY146" s="151"/>
      <c r="DZ146" s="151"/>
      <c r="EA146" s="161"/>
      <c r="EB146" s="161"/>
      <c r="EC146" s="161"/>
      <c r="ED146" s="161"/>
      <c r="EE146" s="161"/>
      <c r="EF146" s="161"/>
      <c r="EG146" s="161"/>
      <c r="EH146" s="161"/>
      <c r="EI146" s="161"/>
      <c r="EJ146" s="161"/>
      <c r="EK146" s="209"/>
      <c r="EL146" s="161"/>
      <c r="EM146" s="187"/>
      <c r="EN146" s="187"/>
      <c r="EO146" s="206"/>
      <c r="EP146" s="212"/>
      <c r="EQ146" s="208"/>
      <c r="ER146" s="187"/>
      <c r="ES146" s="187"/>
      <c r="ET146" s="187"/>
      <c r="EU146" s="187"/>
      <c r="EV146" s="210"/>
      <c r="EW146" s="209"/>
      <c r="EX146" s="210"/>
      <c r="EY146" s="162"/>
      <c r="EZ146" s="211"/>
      <c r="FA146" s="209"/>
      <c r="FB146" s="207"/>
      <c r="FC146" s="162"/>
      <c r="FD146" s="209"/>
      <c r="FE146" s="187"/>
      <c r="FF146" s="187"/>
    </row>
    <row r="147" spans="27:162">
      <c r="AA147" s="140" t="s">
        <v>210</v>
      </c>
      <c r="AB147" s="140" t="s">
        <v>239</v>
      </c>
      <c r="AC147" s="140">
        <v>102</v>
      </c>
      <c r="AD147" s="141">
        <v>0.3</v>
      </c>
      <c r="AE147" s="151">
        <v>1100</v>
      </c>
      <c r="AF147" s="152">
        <v>350</v>
      </c>
      <c r="AG147" s="152">
        <v>14</v>
      </c>
      <c r="AH147" s="152">
        <v>18.000000000000004</v>
      </c>
      <c r="AI147" s="152">
        <v>1064</v>
      </c>
      <c r="AJ147" s="153" t="str" cm="1">
        <f t="array" ref="AJ147">_xll.Dce_Name_SectI(AE147, AE147, AF147, AG147, AH147, "x", "-", "H Tổng")</f>
        <v>1100x350x14x18</v>
      </c>
      <c r="AK147" s="161">
        <f t="shared" si="36"/>
        <v>1360</v>
      </c>
      <c r="AL147" s="162" cm="1">
        <f t="array" ref="AL147">IFERROR(INDEX($B$25:$B$32,IFERROR(MATCH(AF147,$B$25:$B$32,0),MATCH(AF147,$B$25:$B$32,1)+1)),$B$25)</f>
        <v>350</v>
      </c>
      <c r="AM147" s="162" cm="1">
        <f t="array" ref="AM147">IFERROR(VLOOKUP(AE147,$B$36:$E$47,4,FALSE),INDEX($E$36:$E$47,MATCH(AE147,$B$36:$B$47,1)+1))</f>
        <v>25</v>
      </c>
      <c r="AN147" s="162" cm="1">
        <f t="array" ref="AN147">IFERROR(VLOOKUP(AE147,$B$36:$E$47,2,FALSE),INDEX($C$36:$C$47,MATCH(AE147,$B$36:$B$47,1)+1))</f>
        <v>12</v>
      </c>
      <c r="AO147" s="162" cm="1">
        <f t="array" ref="AO147">IFERROR(VLOOKUP(AE147,$B$36:$E$47,3,FALSE),INDEX($D$36:$D$47,MATCH(AE147,$B$36:$B$47,1)+1))</f>
        <v>24</v>
      </c>
      <c r="AP147" s="163" t="str">
        <f t="shared" si="37"/>
        <v>1360x350x25 + 12M24</v>
      </c>
      <c r="AQ147" s="140" t="s">
        <v>250</v>
      </c>
      <c r="AR147" s="151">
        <v>0</v>
      </c>
      <c r="AS147" s="151">
        <v>-259.35875651308277</v>
      </c>
      <c r="AT147" s="151">
        <v>-1.8644641386345023E-15</v>
      </c>
      <c r="AU147" s="151">
        <v>6.9628359575074291E-4</v>
      </c>
      <c r="AV147" s="151">
        <v>-1.3685166777577246E-15</v>
      </c>
      <c r="AW147" s="151">
        <v>-724.46903009126618</v>
      </c>
      <c r="BA147" s="161">
        <f t="shared" si="38"/>
        <v>60</v>
      </c>
      <c r="BB147" s="161">
        <f t="shared" si="39"/>
        <v>70</v>
      </c>
      <c r="BC147" s="161">
        <f t="shared" si="40"/>
        <v>80</v>
      </c>
      <c r="BD147" s="161">
        <f t="shared" si="41"/>
        <v>150</v>
      </c>
      <c r="BE147" s="161">
        <f>HLOOKUP(AO147,Data!$H$31:$Q$35,3,FALSE)</f>
        <v>452.38934211693021</v>
      </c>
      <c r="BF147" s="161">
        <f>HLOOKUP(AO147,Data!$H$31:$Q$35,4,FALSE)</f>
        <v>353</v>
      </c>
      <c r="BG147" s="179">
        <f t="shared" si="42"/>
        <v>180</v>
      </c>
      <c r="BH147" s="185">
        <f t="shared" si="43"/>
        <v>121.65654188208487</v>
      </c>
      <c r="BI147" s="185">
        <f t="shared" si="44"/>
        <v>243</v>
      </c>
      <c r="BJ147" s="185">
        <f t="shared" si="45"/>
        <v>142.3296</v>
      </c>
      <c r="BK147" s="185">
        <f t="shared" si="46"/>
        <v>21.505967361427881</v>
      </c>
      <c r="BL147" s="186">
        <f t="shared" si="47"/>
        <v>0.82166666666666666</v>
      </c>
      <c r="BM147" s="186">
        <f t="shared" si="48"/>
        <v>0.21514331004584619</v>
      </c>
      <c r="BN147" s="185" t="str">
        <f t="shared" si="49"/>
        <v>OK</v>
      </c>
      <c r="BO147" s="185" cm="1">
        <f t="array" ref="BO147">_xll.DCEBoltDisRS(AN147, AE147, BA147, BB147, BC147, BD147, "h1")</f>
        <v>1240</v>
      </c>
      <c r="BP147" s="185" cm="1">
        <f t="array" ref="BP147">_xll.DCEBoltDisRS(AN147, AE147, BA147, BB147, BC147, BD147, "Tong")</f>
        <v>3721800</v>
      </c>
      <c r="BQ147" s="185">
        <f t="shared" si="50"/>
        <v>122.83703841935656</v>
      </c>
      <c r="BR147" s="186">
        <f t="shared" si="51"/>
        <v>0.8630463264096615</v>
      </c>
      <c r="BS147" s="185" t="str">
        <f t="shared" si="52"/>
        <v>OK</v>
      </c>
      <c r="BT147" s="186">
        <f t="shared" si="53"/>
        <v>0.8809646679972688</v>
      </c>
      <c r="BU147" s="185" t="str">
        <f t="shared" si="54"/>
        <v>OK</v>
      </c>
      <c r="BV147" s="190">
        <f t="shared" si="55"/>
        <v>658.60820917387832</v>
      </c>
      <c r="BW147" s="191">
        <f t="shared" si="56"/>
        <v>14.818684706412261</v>
      </c>
      <c r="BX147" s="190">
        <f t="shared" si="57"/>
        <v>329.30410458693916</v>
      </c>
      <c r="BY147" s="167">
        <f t="shared" si="58"/>
        <v>104.60248028055713</v>
      </c>
      <c r="BZ147" s="192">
        <f t="shared" si="59"/>
        <v>0.50848427914159722</v>
      </c>
      <c r="CA147" s="191">
        <f t="shared" si="60"/>
        <v>9.685414840792328</v>
      </c>
      <c r="CB147" s="193">
        <f t="shared" si="61"/>
        <v>8.1175651203958699E-2</v>
      </c>
      <c r="CC147" s="167">
        <f t="shared" si="62"/>
        <v>105.93913659625071</v>
      </c>
      <c r="CD147" s="191">
        <f t="shared" si="63"/>
        <v>0.44781036000830621</v>
      </c>
      <c r="CE147" s="189">
        <f t="shared" si="64"/>
        <v>0.50848427914159722</v>
      </c>
      <c r="CF147" s="194" t="str">
        <f t="shared" si="65"/>
        <v>OK</v>
      </c>
      <c r="DA147" s="140"/>
      <c r="DB147" s="140"/>
      <c r="DC147" s="140"/>
      <c r="DD147" s="141"/>
      <c r="DE147" s="151"/>
      <c r="DF147" s="152"/>
      <c r="DG147" s="152"/>
      <c r="DH147" s="152"/>
      <c r="DI147" s="152"/>
      <c r="DJ147" s="152"/>
      <c r="DK147" s="161"/>
      <c r="DL147" s="162"/>
      <c r="DM147" s="162"/>
      <c r="DN147" s="162"/>
      <c r="DO147" s="162"/>
      <c r="DP147" s="162"/>
      <c r="DQ147" s="140"/>
      <c r="DR147" s="151"/>
      <c r="DS147" s="151"/>
      <c r="DT147" s="151"/>
      <c r="DU147" s="151"/>
      <c r="DV147" s="151"/>
      <c r="DW147" s="151"/>
      <c r="DX147" s="151"/>
      <c r="DY147" s="151"/>
      <c r="DZ147" s="151"/>
      <c r="EA147" s="161"/>
      <c r="EB147" s="161"/>
      <c r="EC147" s="161"/>
      <c r="ED147" s="161"/>
      <c r="EE147" s="161"/>
      <c r="EF147" s="161"/>
      <c r="EG147" s="161"/>
      <c r="EH147" s="161"/>
      <c r="EI147" s="161"/>
      <c r="EJ147" s="161"/>
      <c r="EK147" s="209"/>
      <c r="EL147" s="161"/>
      <c r="EM147" s="187"/>
      <c r="EN147" s="187"/>
      <c r="EO147" s="206"/>
      <c r="EP147" s="212"/>
      <c r="EQ147" s="208"/>
      <c r="ER147" s="187"/>
      <c r="ES147" s="187"/>
      <c r="ET147" s="187"/>
      <c r="EU147" s="187"/>
      <c r="EV147" s="210"/>
      <c r="EW147" s="209"/>
      <c r="EX147" s="210"/>
      <c r="EY147" s="162"/>
      <c r="EZ147" s="211"/>
      <c r="FA147" s="209"/>
      <c r="FB147" s="207"/>
      <c r="FC147" s="162"/>
      <c r="FD147" s="209"/>
      <c r="FE147" s="187"/>
      <c r="FF147" s="187"/>
    </row>
    <row r="148" spans="27:162">
      <c r="AA148" s="140" t="s">
        <v>210</v>
      </c>
      <c r="AB148" s="140" t="s">
        <v>239</v>
      </c>
      <c r="AC148" s="140">
        <v>102</v>
      </c>
      <c r="AD148" s="141">
        <v>3</v>
      </c>
      <c r="AE148" s="151">
        <v>750</v>
      </c>
      <c r="AF148" s="152">
        <v>350</v>
      </c>
      <c r="AG148" s="152">
        <v>14</v>
      </c>
      <c r="AH148" s="152">
        <v>18.000000000000004</v>
      </c>
      <c r="AI148" s="152">
        <v>714</v>
      </c>
      <c r="AJ148" s="153" t="str" cm="1">
        <f t="array" ref="AJ148">_xll.Dce_Name_SectI(AE148, AE148, AF148, AG148, AH148, "x", "-", "H Tổng")</f>
        <v>750x350x14x18</v>
      </c>
      <c r="AK148" s="161">
        <f t="shared" si="36"/>
        <v>1010</v>
      </c>
      <c r="AL148" s="162" cm="1">
        <f t="array" ref="AL148">IFERROR(INDEX($B$25:$B$32,IFERROR(MATCH(AF148,$B$25:$B$32,0),MATCH(AF148,$B$25:$B$32,1)+1)),$B$25)</f>
        <v>350</v>
      </c>
      <c r="AM148" s="162" cm="1">
        <f t="array" ref="AM148">IFERROR(VLOOKUP(AE148,$B$36:$E$47,4,FALSE),INDEX($E$36:$E$47,MATCH(AE148,$B$36:$B$47,1)+1))</f>
        <v>25</v>
      </c>
      <c r="AN148" s="162" cm="1">
        <f t="array" ref="AN148">IFERROR(VLOOKUP(AE148,$B$36:$E$47,2,FALSE),INDEX($C$36:$C$47,MATCH(AE148,$B$36:$B$47,1)+1))</f>
        <v>12</v>
      </c>
      <c r="AO148" s="162" cm="1">
        <f t="array" ref="AO148">IFERROR(VLOOKUP(AE148,$B$36:$E$47,3,FALSE),INDEX($D$36:$D$47,MATCH(AE148,$B$36:$B$47,1)+1))</f>
        <v>24</v>
      </c>
      <c r="AP148" s="163" t="str">
        <f t="shared" si="37"/>
        <v>1010x350x25 + 12M24</v>
      </c>
      <c r="AQ148" s="140" t="s">
        <v>250</v>
      </c>
      <c r="AR148" s="151">
        <v>0</v>
      </c>
      <c r="AS148" s="151">
        <v>-181.28697778641046</v>
      </c>
      <c r="AT148" s="151">
        <v>3.0559021979570381E-14</v>
      </c>
      <c r="AU148" s="151">
        <v>6.9639871248285893E-4</v>
      </c>
      <c r="AV148" s="151">
        <v>1.1207885108888147E-14</v>
      </c>
      <c r="AW148" s="151">
        <v>-111.91418423783169</v>
      </c>
      <c r="BA148" s="161">
        <f t="shared" si="38"/>
        <v>60</v>
      </c>
      <c r="BB148" s="161">
        <f t="shared" si="39"/>
        <v>70</v>
      </c>
      <c r="BC148" s="161">
        <f t="shared" si="40"/>
        <v>80</v>
      </c>
      <c r="BD148" s="161">
        <f t="shared" si="41"/>
        <v>150</v>
      </c>
      <c r="BE148" s="161">
        <f>HLOOKUP(AO148,Data!$H$31:$Q$35,3,FALSE)</f>
        <v>452.38934211693021</v>
      </c>
      <c r="BF148" s="161">
        <f>HLOOKUP(AO148,Data!$H$31:$Q$35,4,FALSE)</f>
        <v>353</v>
      </c>
      <c r="BG148" s="179">
        <f t="shared" si="42"/>
        <v>180</v>
      </c>
      <c r="BH148" s="185">
        <f t="shared" si="43"/>
        <v>121.65654188208487</v>
      </c>
      <c r="BI148" s="185">
        <f t="shared" si="44"/>
        <v>243</v>
      </c>
      <c r="BJ148" s="185">
        <f t="shared" si="45"/>
        <v>142.3296</v>
      </c>
      <c r="BK148" s="185">
        <f t="shared" si="46"/>
        <v>15.032273749854214</v>
      </c>
      <c r="BL148" s="186">
        <f t="shared" si="47"/>
        <v>0.89458333333333329</v>
      </c>
      <c r="BM148" s="186">
        <f t="shared" si="48"/>
        <v>0.13812376436807161</v>
      </c>
      <c r="BN148" s="185" t="str">
        <f t="shared" si="49"/>
        <v>OK</v>
      </c>
      <c r="BO148" s="185" cm="1">
        <f t="array" ref="BO148">_xll.DCEBoltDisRS(AN148, AE148, BA148, BB148, BC148, BD148, "h1")</f>
        <v>890</v>
      </c>
      <c r="BP148" s="185" cm="1">
        <f t="array" ref="BP148">_xll.DCEBoltDisRS(AN148, AE148, BA148, BB148, BC148, BD148, "Tong")</f>
        <v>1800300</v>
      </c>
      <c r="BQ148" s="185">
        <f t="shared" si="50"/>
        <v>29.166290189980202</v>
      </c>
      <c r="BR148" s="186">
        <f t="shared" si="51"/>
        <v>0.20492076272244286</v>
      </c>
      <c r="BS148" s="185" t="str">
        <f t="shared" si="52"/>
        <v>OK</v>
      </c>
      <c r="BT148" s="186">
        <f t="shared" si="53"/>
        <v>0.23929142843782922</v>
      </c>
      <c r="BU148" s="185" t="str">
        <f t="shared" si="54"/>
        <v>OK</v>
      </c>
      <c r="BV148" s="190">
        <f t="shared" si="55"/>
        <v>149.21891231710893</v>
      </c>
      <c r="BW148" s="191">
        <f t="shared" si="56"/>
        <v>3.3574255271349509</v>
      </c>
      <c r="BX148" s="190">
        <f t="shared" si="57"/>
        <v>74.609456158554465</v>
      </c>
      <c r="BY148" s="167">
        <f t="shared" si="58"/>
        <v>31.912163426233199</v>
      </c>
      <c r="BZ148" s="192">
        <f t="shared" si="59"/>
        <v>0.15512857221085585</v>
      </c>
      <c r="CA148" s="191">
        <f t="shared" si="60"/>
        <v>2.9548299468734442</v>
      </c>
      <c r="CB148" s="193">
        <f t="shared" si="61"/>
        <v>2.4765097734810958E-2</v>
      </c>
      <c r="CC148" s="167">
        <f t="shared" si="62"/>
        <v>32.319951030090323</v>
      </c>
      <c r="CD148" s="191">
        <f t="shared" si="63"/>
        <v>0.13661815048951226</v>
      </c>
      <c r="CE148" s="189">
        <f t="shared" si="64"/>
        <v>0.15512857221085585</v>
      </c>
      <c r="CF148" s="194" t="str">
        <f t="shared" si="65"/>
        <v>OK</v>
      </c>
      <c r="DA148" s="140"/>
      <c r="DB148" s="140"/>
      <c r="DC148" s="140"/>
      <c r="DD148" s="141"/>
      <c r="DE148" s="151"/>
      <c r="DF148" s="152"/>
      <c r="DG148" s="152"/>
      <c r="DH148" s="152"/>
      <c r="DI148" s="152"/>
      <c r="DJ148" s="152"/>
      <c r="DK148" s="161"/>
      <c r="DL148" s="162"/>
      <c r="DM148" s="162"/>
      <c r="DN148" s="162"/>
      <c r="DO148" s="162"/>
      <c r="DP148" s="162"/>
      <c r="DQ148" s="140"/>
      <c r="DR148" s="151"/>
      <c r="DS148" s="151"/>
      <c r="DT148" s="151"/>
      <c r="DU148" s="151"/>
      <c r="DV148" s="151"/>
      <c r="DW148" s="151"/>
      <c r="DX148" s="151"/>
      <c r="DY148" s="151"/>
      <c r="DZ148" s="151"/>
      <c r="EA148" s="161"/>
      <c r="EB148" s="161"/>
      <c r="EC148" s="161"/>
      <c r="ED148" s="161"/>
      <c r="EE148" s="161"/>
      <c r="EF148" s="161"/>
      <c r="EG148" s="161"/>
      <c r="EH148" s="161"/>
      <c r="EI148" s="161"/>
      <c r="EJ148" s="161"/>
      <c r="EK148" s="209"/>
      <c r="EL148" s="161"/>
      <c r="EM148" s="187"/>
      <c r="EN148" s="187"/>
      <c r="EO148" s="206"/>
      <c r="EP148" s="212"/>
      <c r="EQ148" s="208"/>
      <c r="ER148" s="187"/>
      <c r="ES148" s="187"/>
      <c r="ET148" s="187"/>
      <c r="EU148" s="187"/>
      <c r="EV148" s="210"/>
      <c r="EW148" s="209"/>
      <c r="EX148" s="210"/>
      <c r="EY148" s="162"/>
      <c r="EZ148" s="211"/>
      <c r="FA148" s="209"/>
      <c r="FB148" s="207"/>
      <c r="FC148" s="162"/>
      <c r="FD148" s="209"/>
      <c r="FE148" s="187"/>
      <c r="FF148" s="187"/>
    </row>
    <row r="149" spans="27:162">
      <c r="AA149" s="140" t="s">
        <v>210</v>
      </c>
      <c r="AB149" s="140" t="s">
        <v>239</v>
      </c>
      <c r="AC149" s="140">
        <v>102</v>
      </c>
      <c r="AD149" s="141">
        <v>0.3</v>
      </c>
      <c r="AE149" s="151">
        <v>1100</v>
      </c>
      <c r="AF149" s="152">
        <v>350</v>
      </c>
      <c r="AG149" s="152">
        <v>14</v>
      </c>
      <c r="AH149" s="152">
        <v>18.000000000000004</v>
      </c>
      <c r="AI149" s="152">
        <v>1064</v>
      </c>
      <c r="AJ149" s="153" t="str" cm="1">
        <f t="array" ref="AJ149">_xll.Dce_Name_SectI(AE149, AE149, AF149, AG149, AH149, "x", "-", "H Tổng")</f>
        <v>1100x350x14x18</v>
      </c>
      <c r="AK149" s="161">
        <f t="shared" si="36"/>
        <v>1360</v>
      </c>
      <c r="AL149" s="162" cm="1">
        <f t="array" ref="AL149">IFERROR(INDEX($B$25:$B$32,IFERROR(MATCH(AF149,$B$25:$B$32,0),MATCH(AF149,$B$25:$B$32,1)+1)),$B$25)</f>
        <v>350</v>
      </c>
      <c r="AM149" s="162" cm="1">
        <f t="array" ref="AM149">IFERROR(VLOOKUP(AE149,$B$36:$E$47,4,FALSE),INDEX($E$36:$E$47,MATCH(AE149,$B$36:$B$47,1)+1))</f>
        <v>25</v>
      </c>
      <c r="AN149" s="162" cm="1">
        <f t="array" ref="AN149">IFERROR(VLOOKUP(AE149,$B$36:$E$47,2,FALSE),INDEX($C$36:$C$47,MATCH(AE149,$B$36:$B$47,1)+1))</f>
        <v>12</v>
      </c>
      <c r="AO149" s="162" cm="1">
        <f t="array" ref="AO149">IFERROR(VLOOKUP(AE149,$B$36:$E$47,3,FALSE),INDEX($D$36:$D$47,MATCH(AE149,$B$36:$B$47,1)+1))</f>
        <v>24</v>
      </c>
      <c r="AP149" s="163" t="str">
        <f t="shared" si="37"/>
        <v>1360x350x25 + 12M24</v>
      </c>
      <c r="AQ149" s="140" t="s">
        <v>251</v>
      </c>
      <c r="AR149" s="151">
        <v>0</v>
      </c>
      <c r="AS149" s="151">
        <v>-268.37155838011478</v>
      </c>
      <c r="AT149" s="151">
        <v>-2.1202595235081386E-15</v>
      </c>
      <c r="AU149" s="151">
        <v>6.4116395304068157E-4</v>
      </c>
      <c r="AV149" s="151">
        <v>-1.5853743207117071E-15</v>
      </c>
      <c r="AW149" s="151">
        <v>-791.67920213689933</v>
      </c>
      <c r="BA149" s="161">
        <f t="shared" si="38"/>
        <v>60</v>
      </c>
      <c r="BB149" s="161">
        <f t="shared" si="39"/>
        <v>70</v>
      </c>
      <c r="BC149" s="161">
        <f t="shared" si="40"/>
        <v>80</v>
      </c>
      <c r="BD149" s="161">
        <f t="shared" si="41"/>
        <v>150</v>
      </c>
      <c r="BE149" s="161">
        <f>HLOOKUP(AO149,Data!$H$31:$Q$35,3,FALSE)</f>
        <v>452.38934211693021</v>
      </c>
      <c r="BF149" s="161">
        <f>HLOOKUP(AO149,Data!$H$31:$Q$35,4,FALSE)</f>
        <v>353</v>
      </c>
      <c r="BG149" s="179">
        <f t="shared" si="42"/>
        <v>180</v>
      </c>
      <c r="BH149" s="185">
        <f t="shared" si="43"/>
        <v>121.65654188208487</v>
      </c>
      <c r="BI149" s="185">
        <f t="shared" si="44"/>
        <v>243</v>
      </c>
      <c r="BJ149" s="185">
        <f t="shared" si="45"/>
        <v>142.3296</v>
      </c>
      <c r="BK149" s="185">
        <f t="shared" si="46"/>
        <v>22.253306781902122</v>
      </c>
      <c r="BL149" s="186">
        <f t="shared" si="47"/>
        <v>0.82166666666666666</v>
      </c>
      <c r="BM149" s="186">
        <f t="shared" si="48"/>
        <v>0.22261961064402105</v>
      </c>
      <c r="BN149" s="185" t="str">
        <f t="shared" si="49"/>
        <v>OK</v>
      </c>
      <c r="BO149" s="185" cm="1">
        <f t="array" ref="BO149">_xll.DCEBoltDisRS(AN149, AE149, BA149, BB149, BC149, BD149, "h1")</f>
        <v>1240</v>
      </c>
      <c r="BP149" s="185" cm="1">
        <f t="array" ref="BP149">_xll.DCEBoltDisRS(AN149, AE149, BA149, BB149, BC149, BD149, "Tong")</f>
        <v>3721800</v>
      </c>
      <c r="BQ149" s="185">
        <f t="shared" si="50"/>
        <v>134.10805014857488</v>
      </c>
      <c r="BR149" s="186">
        <f t="shared" si="51"/>
        <v>0.94223583954830814</v>
      </c>
      <c r="BS149" s="185" t="str">
        <f t="shared" si="52"/>
        <v>OK</v>
      </c>
      <c r="BT149" s="186">
        <f t="shared" si="53"/>
        <v>0.95982695283104102</v>
      </c>
      <c r="BU149" s="185" t="str">
        <f t="shared" si="54"/>
        <v>OK</v>
      </c>
      <c r="BV149" s="190">
        <f t="shared" si="55"/>
        <v>719.70836557899929</v>
      </c>
      <c r="BW149" s="191">
        <f t="shared" si="56"/>
        <v>16.193438225527483</v>
      </c>
      <c r="BX149" s="190">
        <f t="shared" si="57"/>
        <v>359.85418278949965</v>
      </c>
      <c r="BY149" s="167">
        <f t="shared" si="58"/>
        <v>114.30662276842929</v>
      </c>
      <c r="BZ149" s="192">
        <f t="shared" si="59"/>
        <v>0.55565719401319802</v>
      </c>
      <c r="CA149" s="191">
        <f t="shared" si="60"/>
        <v>10.583946552632343</v>
      </c>
      <c r="CB149" s="193">
        <f t="shared" si="61"/>
        <v>8.8706448597253837E-2</v>
      </c>
      <c r="CC149" s="167">
        <f t="shared" si="62"/>
        <v>115.7672828678765</v>
      </c>
      <c r="CD149" s="191">
        <f t="shared" si="63"/>
        <v>0.48935445656711091</v>
      </c>
      <c r="CE149" s="189">
        <f t="shared" si="64"/>
        <v>0.55565719401319802</v>
      </c>
      <c r="CF149" s="194" t="str">
        <f t="shared" si="65"/>
        <v>OK</v>
      </c>
      <c r="DA149" s="140"/>
      <c r="DB149" s="140"/>
      <c r="DC149" s="140"/>
      <c r="DD149" s="141"/>
      <c r="DE149" s="151"/>
      <c r="DF149" s="152"/>
      <c r="DG149" s="152"/>
      <c r="DH149" s="152"/>
      <c r="DI149" s="152"/>
      <c r="DJ149" s="152"/>
      <c r="DK149" s="161"/>
      <c r="DL149" s="162"/>
      <c r="DM149" s="162"/>
      <c r="DN149" s="162"/>
      <c r="DO149" s="162"/>
      <c r="DP149" s="162"/>
      <c r="DQ149" s="140"/>
      <c r="DR149" s="151"/>
      <c r="DS149" s="151"/>
      <c r="DT149" s="151"/>
      <c r="DU149" s="151"/>
      <c r="DV149" s="151"/>
      <c r="DW149" s="151"/>
      <c r="DX149" s="151"/>
      <c r="DY149" s="151"/>
      <c r="DZ149" s="151"/>
      <c r="EA149" s="161"/>
      <c r="EB149" s="161"/>
      <c r="EC149" s="161"/>
      <c r="ED149" s="161"/>
      <c r="EE149" s="161"/>
      <c r="EF149" s="161"/>
      <c r="EG149" s="161"/>
      <c r="EH149" s="161"/>
      <c r="EI149" s="161"/>
      <c r="EJ149" s="161"/>
      <c r="EK149" s="209"/>
      <c r="EL149" s="161"/>
      <c r="EM149" s="187"/>
      <c r="EN149" s="187"/>
      <c r="EO149" s="206"/>
      <c r="EP149" s="212"/>
      <c r="EQ149" s="208"/>
      <c r="ER149" s="187"/>
      <c r="ES149" s="187"/>
      <c r="ET149" s="187"/>
      <c r="EU149" s="187"/>
      <c r="EV149" s="210"/>
      <c r="EW149" s="209"/>
      <c r="EX149" s="210"/>
      <c r="EY149" s="162"/>
      <c r="EZ149" s="211"/>
      <c r="FA149" s="209"/>
      <c r="FB149" s="207"/>
      <c r="FC149" s="162"/>
      <c r="FD149" s="209"/>
      <c r="FE149" s="187"/>
      <c r="FF149" s="187"/>
    </row>
    <row r="150" spans="27:162">
      <c r="AA150" s="140" t="s">
        <v>210</v>
      </c>
      <c r="AB150" s="140" t="s">
        <v>239</v>
      </c>
      <c r="AC150" s="140">
        <v>102</v>
      </c>
      <c r="AD150" s="141">
        <v>3</v>
      </c>
      <c r="AE150" s="151">
        <v>750</v>
      </c>
      <c r="AF150" s="152">
        <v>350</v>
      </c>
      <c r="AG150" s="152">
        <v>14</v>
      </c>
      <c r="AH150" s="152">
        <v>18.000000000000004</v>
      </c>
      <c r="AI150" s="152">
        <v>714</v>
      </c>
      <c r="AJ150" s="153" t="str" cm="1">
        <f t="array" ref="AJ150">_xll.Dce_Name_SectI(AE150, AE150, AF150, AG150, AH150, "x", "-", "H Tổng")</f>
        <v>750x350x14x18</v>
      </c>
      <c r="AK150" s="161">
        <f t="shared" si="36"/>
        <v>1010</v>
      </c>
      <c r="AL150" s="162" cm="1">
        <f t="array" ref="AL150">IFERROR(INDEX($B$25:$B$32,IFERROR(MATCH(AF150,$B$25:$B$32,0),MATCH(AF150,$B$25:$B$32,1)+1)),$B$25)</f>
        <v>350</v>
      </c>
      <c r="AM150" s="162" cm="1">
        <f t="array" ref="AM150">IFERROR(VLOOKUP(AE150,$B$36:$E$47,4,FALSE),INDEX($E$36:$E$47,MATCH(AE150,$B$36:$B$47,1)+1))</f>
        <v>25</v>
      </c>
      <c r="AN150" s="162" cm="1">
        <f t="array" ref="AN150">IFERROR(VLOOKUP(AE150,$B$36:$E$47,2,FALSE),INDEX($C$36:$C$47,MATCH(AE150,$B$36:$B$47,1)+1))</f>
        <v>12</v>
      </c>
      <c r="AO150" s="162" cm="1">
        <f t="array" ref="AO150">IFERROR(VLOOKUP(AE150,$B$36:$E$47,3,FALSE),INDEX($D$36:$D$47,MATCH(AE150,$B$36:$B$47,1)+1))</f>
        <v>24</v>
      </c>
      <c r="AP150" s="163" t="str">
        <f t="shared" si="37"/>
        <v>1010x350x25 + 12M24</v>
      </c>
      <c r="AQ150" s="140" t="s">
        <v>251</v>
      </c>
      <c r="AR150" s="151">
        <v>0</v>
      </c>
      <c r="AS150" s="151">
        <v>-190.29977646135097</v>
      </c>
      <c r="AT150" s="151">
        <v>3.1241143005900071E-14</v>
      </c>
      <c r="AU150" s="151">
        <v>6.4127010279217624E-4</v>
      </c>
      <c r="AV150" s="151">
        <v>1.6634385247016322E-14</v>
      </c>
      <c r="AW150" s="151">
        <v>-154.78963193051339</v>
      </c>
      <c r="BA150" s="161">
        <f t="shared" si="38"/>
        <v>60</v>
      </c>
      <c r="BB150" s="161">
        <f t="shared" si="39"/>
        <v>70</v>
      </c>
      <c r="BC150" s="161">
        <f t="shared" si="40"/>
        <v>80</v>
      </c>
      <c r="BD150" s="161">
        <f t="shared" si="41"/>
        <v>150</v>
      </c>
      <c r="BE150" s="161">
        <f>HLOOKUP(AO150,Data!$H$31:$Q$35,3,FALSE)</f>
        <v>452.38934211693021</v>
      </c>
      <c r="BF150" s="161">
        <f>HLOOKUP(AO150,Data!$H$31:$Q$35,4,FALSE)</f>
        <v>353</v>
      </c>
      <c r="BG150" s="179">
        <f t="shared" si="42"/>
        <v>180</v>
      </c>
      <c r="BH150" s="185">
        <f t="shared" si="43"/>
        <v>121.65654188208487</v>
      </c>
      <c r="BI150" s="185">
        <f t="shared" si="44"/>
        <v>243</v>
      </c>
      <c r="BJ150" s="185">
        <f t="shared" si="45"/>
        <v>142.3296</v>
      </c>
      <c r="BK150" s="185">
        <f t="shared" si="46"/>
        <v>15.779612905640976</v>
      </c>
      <c r="BL150" s="186">
        <f t="shared" si="47"/>
        <v>0.89458333333333329</v>
      </c>
      <c r="BM150" s="186">
        <f t="shared" si="48"/>
        <v>0.14499067613236313</v>
      </c>
      <c r="BN150" s="185" t="str">
        <f t="shared" si="49"/>
        <v>OK</v>
      </c>
      <c r="BO150" s="185" cm="1">
        <f t="array" ref="BO150">_xll.DCEBoltDisRS(AN150, AE150, BA150, BB150, BC150, BD150, "h1")</f>
        <v>890</v>
      </c>
      <c r="BP150" s="185" cm="1">
        <f t="array" ref="BP150">_xll.DCEBoltDisRS(AN150, AE150, BA150, BB150, BC150, BD150, "Tong")</f>
        <v>1800300</v>
      </c>
      <c r="BQ150" s="185">
        <f t="shared" si="50"/>
        <v>39.839021230062215</v>
      </c>
      <c r="BR150" s="186">
        <f t="shared" si="51"/>
        <v>0.27990678839863398</v>
      </c>
      <c r="BS150" s="185" t="str">
        <f t="shared" si="52"/>
        <v>OK</v>
      </c>
      <c r="BT150" s="186">
        <f t="shared" si="53"/>
        <v>0.30849881603977647</v>
      </c>
      <c r="BU150" s="185" t="str">
        <f t="shared" si="54"/>
        <v>OK</v>
      </c>
      <c r="BV150" s="190">
        <f t="shared" si="55"/>
        <v>206.3861759073512</v>
      </c>
      <c r="BW150" s="191">
        <f t="shared" si="56"/>
        <v>4.6436889579154021</v>
      </c>
      <c r="BX150" s="190">
        <f t="shared" si="57"/>
        <v>103.1930879536756</v>
      </c>
      <c r="BY150" s="167">
        <f t="shared" si="58"/>
        <v>44.138033659393926</v>
      </c>
      <c r="BZ150" s="192">
        <f t="shared" si="59"/>
        <v>0.21455988584427604</v>
      </c>
      <c r="CA150" s="191">
        <f t="shared" si="60"/>
        <v>4.0868549684623998</v>
      </c>
      <c r="CB150" s="193">
        <f t="shared" si="61"/>
        <v>3.4252855339124526E-2</v>
      </c>
      <c r="CC150" s="167">
        <f t="shared" si="62"/>
        <v>44.702048788814238</v>
      </c>
      <c r="CD150" s="191">
        <f t="shared" si="63"/>
        <v>0.18895793570150951</v>
      </c>
      <c r="CE150" s="189">
        <f t="shared" si="64"/>
        <v>0.21455988584427604</v>
      </c>
      <c r="CF150" s="194" t="str">
        <f t="shared" si="65"/>
        <v>OK</v>
      </c>
      <c r="DA150" s="140"/>
      <c r="DB150" s="140"/>
      <c r="DC150" s="140"/>
      <c r="DD150" s="141"/>
      <c r="DE150" s="151"/>
      <c r="DF150" s="152"/>
      <c r="DG150" s="152"/>
      <c r="DH150" s="152"/>
      <c r="DI150" s="152"/>
      <c r="DJ150" s="152"/>
      <c r="DK150" s="161"/>
      <c r="DL150" s="162"/>
      <c r="DM150" s="162"/>
      <c r="DN150" s="162"/>
      <c r="DO150" s="162"/>
      <c r="DP150" s="162"/>
      <c r="DQ150" s="140"/>
      <c r="DR150" s="151"/>
      <c r="DS150" s="151"/>
      <c r="DT150" s="151"/>
      <c r="DU150" s="151"/>
      <c r="DV150" s="151"/>
      <c r="DW150" s="151"/>
      <c r="DX150" s="151"/>
      <c r="DY150" s="151"/>
      <c r="DZ150" s="151"/>
      <c r="EA150" s="161"/>
      <c r="EB150" s="161"/>
      <c r="EC150" s="161"/>
      <c r="ED150" s="161"/>
      <c r="EE150" s="161"/>
      <c r="EF150" s="161"/>
      <c r="EG150" s="161"/>
      <c r="EH150" s="161"/>
      <c r="EI150" s="161"/>
      <c r="EJ150" s="161"/>
      <c r="EK150" s="209"/>
      <c r="EL150" s="161"/>
      <c r="EM150" s="187"/>
      <c r="EN150" s="187"/>
      <c r="EO150" s="206"/>
      <c r="EP150" s="212"/>
      <c r="EQ150" s="208"/>
      <c r="ER150" s="187"/>
      <c r="ES150" s="187"/>
      <c r="ET150" s="187"/>
      <c r="EU150" s="187"/>
      <c r="EV150" s="210"/>
      <c r="EW150" s="209"/>
      <c r="EX150" s="210"/>
      <c r="EY150" s="162"/>
      <c r="EZ150" s="211"/>
      <c r="FA150" s="209"/>
      <c r="FB150" s="207"/>
      <c r="FC150" s="162"/>
      <c r="FD150" s="209"/>
      <c r="FE150" s="187"/>
      <c r="FF150" s="187"/>
    </row>
    <row r="151" spans="27:162">
      <c r="AA151" s="140" t="s">
        <v>210</v>
      </c>
      <c r="AB151" s="140" t="s">
        <v>239</v>
      </c>
      <c r="AC151" s="140">
        <v>102</v>
      </c>
      <c r="AD151" s="141">
        <v>0.3</v>
      </c>
      <c r="AE151" s="151">
        <v>1100</v>
      </c>
      <c r="AF151" s="152">
        <v>350</v>
      </c>
      <c r="AG151" s="152">
        <v>14</v>
      </c>
      <c r="AH151" s="152">
        <v>18.000000000000004</v>
      </c>
      <c r="AI151" s="152">
        <v>1064</v>
      </c>
      <c r="AJ151" s="153" t="str" cm="1">
        <f t="array" ref="AJ151">_xll.Dce_Name_SectI(AE151, AE151, AF151, AG151, AH151, "x", "-", "H Tổng")</f>
        <v>1100x350x14x18</v>
      </c>
      <c r="AK151" s="161">
        <f t="shared" si="36"/>
        <v>1360</v>
      </c>
      <c r="AL151" s="162" cm="1">
        <f t="array" ref="AL151">IFERROR(INDEX($B$25:$B$32,IFERROR(MATCH(AF151,$B$25:$B$32,0),MATCH(AF151,$B$25:$B$32,1)+1)),$B$25)</f>
        <v>350</v>
      </c>
      <c r="AM151" s="162" cm="1">
        <f t="array" ref="AM151">IFERROR(VLOOKUP(AE151,$B$36:$E$47,4,FALSE),INDEX($E$36:$E$47,MATCH(AE151,$B$36:$B$47,1)+1))</f>
        <v>25</v>
      </c>
      <c r="AN151" s="162" cm="1">
        <f t="array" ref="AN151">IFERROR(VLOOKUP(AE151,$B$36:$E$47,2,FALSE),INDEX($C$36:$C$47,MATCH(AE151,$B$36:$B$47,1)+1))</f>
        <v>12</v>
      </c>
      <c r="AO151" s="162" cm="1">
        <f t="array" ref="AO151">IFERROR(VLOOKUP(AE151,$B$36:$E$47,3,FALSE),INDEX($D$36:$D$47,MATCH(AE151,$B$36:$B$47,1)+1))</f>
        <v>24</v>
      </c>
      <c r="AP151" s="163" t="str">
        <f t="shared" si="37"/>
        <v>1360x350x25 + 12M24</v>
      </c>
      <c r="AQ151" s="140" t="s">
        <v>252</v>
      </c>
      <c r="AR151" s="151">
        <v>0</v>
      </c>
      <c r="AS151" s="151">
        <v>-266.79254314735823</v>
      </c>
      <c r="AT151" s="151">
        <v>-2.1771029423689462E-15</v>
      </c>
      <c r="AU151" s="151">
        <v>6.6517645950988128E-4</v>
      </c>
      <c r="AV151" s="151">
        <v>-1.6125454749271733E-15</v>
      </c>
      <c r="AW151" s="151">
        <v>-775.27338458860049</v>
      </c>
      <c r="BA151" s="161">
        <f t="shared" si="38"/>
        <v>60</v>
      </c>
      <c r="BB151" s="161">
        <f t="shared" si="39"/>
        <v>70</v>
      </c>
      <c r="BC151" s="161">
        <f t="shared" si="40"/>
        <v>80</v>
      </c>
      <c r="BD151" s="161">
        <f t="shared" si="41"/>
        <v>150</v>
      </c>
      <c r="BE151" s="161">
        <f>HLOOKUP(AO151,Data!$H$31:$Q$35,3,FALSE)</f>
        <v>452.38934211693021</v>
      </c>
      <c r="BF151" s="161">
        <f>HLOOKUP(AO151,Data!$H$31:$Q$35,4,FALSE)</f>
        <v>353</v>
      </c>
      <c r="BG151" s="179">
        <f t="shared" si="42"/>
        <v>180</v>
      </c>
      <c r="BH151" s="185">
        <f t="shared" si="43"/>
        <v>121.65654188208487</v>
      </c>
      <c r="BI151" s="185">
        <f t="shared" si="44"/>
        <v>243</v>
      </c>
      <c r="BJ151" s="185">
        <f t="shared" si="45"/>
        <v>142.3296</v>
      </c>
      <c r="BK151" s="185">
        <f t="shared" si="46"/>
        <v>22.12237520852705</v>
      </c>
      <c r="BL151" s="186">
        <f t="shared" si="47"/>
        <v>0.82166666666666666</v>
      </c>
      <c r="BM151" s="186">
        <f t="shared" si="48"/>
        <v>0.22130978571905879</v>
      </c>
      <c r="BN151" s="185" t="str">
        <f t="shared" si="49"/>
        <v>OK</v>
      </c>
      <c r="BO151" s="185" cm="1">
        <f t="array" ref="BO151">_xll.DCEBoltDisRS(AN151, AE151, BA151, BB151, BC151, BD151, "h1")</f>
        <v>1240</v>
      </c>
      <c r="BP151" s="185" cm="1">
        <f t="array" ref="BP151">_xll.DCEBoltDisRS(AN151, AE151, BA151, BB151, BC151, BD151, "Tong")</f>
        <v>3721800</v>
      </c>
      <c r="BQ151" s="185">
        <f t="shared" si="50"/>
        <v>131.36197647644738</v>
      </c>
      <c r="BR151" s="186">
        <f t="shared" si="51"/>
        <v>0.92294207583276688</v>
      </c>
      <c r="BS151" s="185" t="str">
        <f t="shared" si="52"/>
        <v>OK</v>
      </c>
      <c r="BT151" s="186">
        <f t="shared" si="53"/>
        <v>0.94068533853915537</v>
      </c>
      <c r="BU151" s="185" t="str">
        <f t="shared" si="54"/>
        <v>OK</v>
      </c>
      <c r="BV151" s="190">
        <f t="shared" si="55"/>
        <v>704.79398598963678</v>
      </c>
      <c r="BW151" s="191">
        <f t="shared" si="56"/>
        <v>15.857864684766827</v>
      </c>
      <c r="BX151" s="190">
        <f t="shared" si="57"/>
        <v>352.39699299481839</v>
      </c>
      <c r="BY151" s="167">
        <f t="shared" si="58"/>
        <v>111.93786836305996</v>
      </c>
      <c r="BZ151" s="192">
        <f t="shared" si="59"/>
        <v>0.54414241565376376</v>
      </c>
      <c r="CA151" s="191">
        <f t="shared" si="60"/>
        <v>10.36461744102407</v>
      </c>
      <c r="CB151" s="193">
        <f t="shared" si="61"/>
        <v>8.6868201732720904E-2</v>
      </c>
      <c r="CC151" s="167">
        <f t="shared" si="62"/>
        <v>113.36825948104735</v>
      </c>
      <c r="CD151" s="191">
        <f t="shared" si="63"/>
        <v>0.47921365722664949</v>
      </c>
      <c r="CE151" s="189">
        <f t="shared" si="64"/>
        <v>0.54414241565376376</v>
      </c>
      <c r="CF151" s="194" t="str">
        <f t="shared" si="65"/>
        <v>OK</v>
      </c>
      <c r="DA151" s="140"/>
      <c r="DB151" s="140"/>
      <c r="DC151" s="140"/>
      <c r="DD151" s="141"/>
      <c r="DE151" s="151"/>
      <c r="DF151" s="152"/>
      <c r="DG151" s="152"/>
      <c r="DH151" s="152"/>
      <c r="DI151" s="152"/>
      <c r="DJ151" s="152"/>
      <c r="DK151" s="161"/>
      <c r="DL151" s="162"/>
      <c r="DM151" s="162"/>
      <c r="DN151" s="162"/>
      <c r="DO151" s="162"/>
      <c r="DP151" s="162"/>
      <c r="DQ151" s="140"/>
      <c r="DR151" s="151"/>
      <c r="DS151" s="151"/>
      <c r="DT151" s="151"/>
      <c r="DU151" s="151"/>
      <c r="DV151" s="151"/>
      <c r="DW151" s="151"/>
      <c r="DX151" s="151"/>
      <c r="DY151" s="151"/>
      <c r="DZ151" s="151"/>
      <c r="EA151" s="161"/>
      <c r="EB151" s="161"/>
      <c r="EC151" s="161"/>
      <c r="ED151" s="161"/>
      <c r="EE151" s="161"/>
      <c r="EF151" s="161"/>
      <c r="EG151" s="161"/>
      <c r="EH151" s="161"/>
      <c r="EI151" s="161"/>
      <c r="EJ151" s="161"/>
      <c r="EK151" s="209"/>
      <c r="EL151" s="161"/>
      <c r="EM151" s="187"/>
      <c r="EN151" s="187"/>
      <c r="EO151" s="206"/>
      <c r="EP151" s="212"/>
      <c r="EQ151" s="208"/>
      <c r="ER151" s="187"/>
      <c r="ES151" s="187"/>
      <c r="ET151" s="187"/>
      <c r="EU151" s="187"/>
      <c r="EV151" s="210"/>
      <c r="EW151" s="209"/>
      <c r="EX151" s="210"/>
      <c r="EY151" s="162"/>
      <c r="EZ151" s="211"/>
      <c r="FA151" s="209"/>
      <c r="FB151" s="207"/>
      <c r="FC151" s="162"/>
      <c r="FD151" s="209"/>
      <c r="FE151" s="187"/>
      <c r="FF151" s="187"/>
    </row>
    <row r="152" spans="27:162">
      <c r="AA152" s="140" t="s">
        <v>210</v>
      </c>
      <c r="AB152" s="140" t="s">
        <v>239</v>
      </c>
      <c r="AC152" s="140">
        <v>102</v>
      </c>
      <c r="AD152" s="141">
        <v>3</v>
      </c>
      <c r="AE152" s="151">
        <v>750</v>
      </c>
      <c r="AF152" s="152">
        <v>350</v>
      </c>
      <c r="AG152" s="152">
        <v>14</v>
      </c>
      <c r="AH152" s="152">
        <v>18.000000000000004</v>
      </c>
      <c r="AI152" s="152">
        <v>714</v>
      </c>
      <c r="AJ152" s="153" t="str" cm="1">
        <f t="array" ref="AJ152">_xll.Dce_Name_SectI(AE152, AE152, AF152, AG152, AH152, "x", "-", "H Tổng")</f>
        <v>750x350x14x18</v>
      </c>
      <c r="AK152" s="161">
        <f t="shared" ref="AK152:AK215" si="67">AE152+2*(VLOOKUP(AO152,$B$13:$F$21,2,FALSE)+VLOOKUP(AO152,$B$13:$F$21,3,FALSE))</f>
        <v>1010</v>
      </c>
      <c r="AL152" s="162" cm="1">
        <f t="array" ref="AL152">IFERROR(INDEX($B$25:$B$32,IFERROR(MATCH(AF152,$B$25:$B$32,0),MATCH(AF152,$B$25:$B$32,1)+1)),$B$25)</f>
        <v>350</v>
      </c>
      <c r="AM152" s="162" cm="1">
        <f t="array" ref="AM152">IFERROR(VLOOKUP(AE152,$B$36:$E$47,4,FALSE),INDEX($E$36:$E$47,MATCH(AE152,$B$36:$B$47,1)+1))</f>
        <v>25</v>
      </c>
      <c r="AN152" s="162" cm="1">
        <f t="array" ref="AN152">IFERROR(VLOOKUP(AE152,$B$36:$E$47,2,FALSE),INDEX($C$36:$C$47,MATCH(AE152,$B$36:$B$47,1)+1))</f>
        <v>12</v>
      </c>
      <c r="AO152" s="162" cm="1">
        <f t="array" ref="AO152">IFERROR(VLOOKUP(AE152,$B$36:$E$47,3,FALSE),INDEX($D$36:$D$47,MATCH(AE152,$B$36:$B$47,1)+1))</f>
        <v>24</v>
      </c>
      <c r="AP152" s="163" t="str">
        <f t="shared" ref="AP152:AP215" si="68">AK152&amp;"x"&amp;AL152&amp;"x"&amp;AM152&amp;" + "&amp;AN152&amp;"M"&amp;AO152</f>
        <v>1010x350x25 + 12M24</v>
      </c>
      <c r="AQ152" s="140" t="s">
        <v>252</v>
      </c>
      <c r="AR152" s="151">
        <v>0</v>
      </c>
      <c r="AS152" s="151">
        <v>-188.72076185438277</v>
      </c>
      <c r="AT152" s="151">
        <v>3.1070612749317647E-14</v>
      </c>
      <c r="AU152" s="151">
        <v>6.652865268965912E-4</v>
      </c>
      <c r="AV152" s="151">
        <v>1.5277760212484278E-14</v>
      </c>
      <c r="AW152" s="151">
        <v>-142.6471919845666</v>
      </c>
      <c r="BA152" s="161">
        <f t="shared" ref="BA152:BA215" si="69">VLOOKUP(AO152,$B$13:$F$21,2,FALSE)</f>
        <v>60</v>
      </c>
      <c r="BB152" s="161">
        <f t="shared" ref="BB152:BB215" si="70">VLOOKUP(AO152,$B$13:$F$21,3,FALSE)</f>
        <v>70</v>
      </c>
      <c r="BC152" s="161">
        <f t="shared" ref="BC152:BC215" si="71">VLOOKUP(AO152,$B$13:$F$21,4,FALSE)</f>
        <v>80</v>
      </c>
      <c r="BD152" s="161">
        <f t="shared" ref="BD152:BD215" si="72">VLOOKUP(AO152,$B$13:$F$21,5,FALSE)</f>
        <v>150</v>
      </c>
      <c r="BE152" s="161">
        <f>HLOOKUP(AO152,Data!$H$31:$Q$35,3,FALSE)</f>
        <v>452.38934211693021</v>
      </c>
      <c r="BF152" s="161">
        <f>HLOOKUP(AO152,Data!$H$31:$Q$35,4,FALSE)</f>
        <v>353</v>
      </c>
      <c r="BG152" s="179">
        <f t="shared" ref="BG152:BG215" si="73">VLOOKUP(AL152,$B$25:$C$32,2,FALSE)</f>
        <v>180</v>
      </c>
      <c r="BH152" s="185">
        <f t="shared" ref="BH152:BH215" si="74">$R$17*BE152*$R$24*$R$25/1000</f>
        <v>121.65654188208487</v>
      </c>
      <c r="BI152" s="185">
        <f t="shared" ref="BI152:BI215" si="75">$R$19*AO152*AM152*$R$24*$R$25/1000</f>
        <v>243</v>
      </c>
      <c r="BJ152" s="185">
        <f t="shared" ref="BJ152:BJ215" si="76">$R$18*BF152*$R$24/1000</f>
        <v>142.3296</v>
      </c>
      <c r="BK152" s="185">
        <f t="shared" ref="BK152:BK215" si="77">(ABS(AS152)*COS(RADIANS($R$46))+AR152*SIN(RADIANS($R$46)))/AN152</f>
        <v>15.648681384156127</v>
      </c>
      <c r="BL152" s="186">
        <f t="shared" ref="BL152:BL215" si="78">IF(BO152&lt;=16*AO152,1,MAX(0.75,1-0.005*(BO152/AO152-16)))</f>
        <v>0.89458333333333329</v>
      </c>
      <c r="BM152" s="186">
        <f t="shared" ref="BM152:BM215" si="79">ABS(BK152/(BL152*MIN(BH152,BI152)))</f>
        <v>0.1437876143119847</v>
      </c>
      <c r="BN152" s="185" t="str">
        <f t="shared" ref="BN152:BN215" si="80">IF(BM152&lt;=1,"OK","O/S")</f>
        <v>OK</v>
      </c>
      <c r="BO152" s="185" cm="1">
        <f t="array" ref="BO152">_xll.DCEBoltDisRS(AN152, AE152, BA152, BB152, BC152, BD152, "h1")</f>
        <v>890</v>
      </c>
      <c r="BP152" s="185" cm="1">
        <f t="array" ref="BP152">_xll.DCEBoltDisRS(AN152, AE152, BA152, BB152, BC152, BD152, "Tong")</f>
        <v>1800300</v>
      </c>
      <c r="BQ152" s="185">
        <f t="shared" ref="BQ152:BQ215" si="81">ABS(AW152)*1000*BO152/(2*BP152)+(AR152*COS(RADIANS($R$46))+ABS(AS152)*SIN(RADIANS($R$46)))/AN152</f>
        <v>36.824547321402967</v>
      </c>
      <c r="BR152" s="186">
        <f t="shared" ref="BR152:BR215" si="82">ABS(BQ152/BJ152)</f>
        <v>0.25872725927286361</v>
      </c>
      <c r="BS152" s="185" t="str">
        <f t="shared" ref="BS152:BS215" si="83">IF(BR152&lt;=1,"OK","O/S")</f>
        <v>OK</v>
      </c>
      <c r="BT152" s="186">
        <f t="shared" ref="BT152:BT215" si="84">SQRT((BK152/BH152)^2+(BQ152/BJ152)^2)</f>
        <v>0.28893852709641377</v>
      </c>
      <c r="BU152" s="185" t="str">
        <f t="shared" ref="BU152:BU215" si="85">IF(BT152&lt;=1,"OK","O/S")</f>
        <v>OK</v>
      </c>
      <c r="BV152" s="190">
        <f t="shared" ref="BV152:BV215" si="86">ABS(ABS(AW152)/(AE152/1000)+AR152)</f>
        <v>190.19625597942215</v>
      </c>
      <c r="BW152" s="191">
        <f t="shared" ref="BW152:BW215" si="87">BV152*(BG152/1000)/8</f>
        <v>4.2794157595369979</v>
      </c>
      <c r="BX152" s="190">
        <f t="shared" ref="BX152:BX215" si="88">BV152/2</f>
        <v>95.098127989711074</v>
      </c>
      <c r="BY152" s="167">
        <f t="shared" ref="BY152:BY215" si="89">6*BW152*1000000/(AK152*AM152^2)</f>
        <v>40.67563494213384</v>
      </c>
      <c r="BZ152" s="192">
        <f t="shared" ref="BZ152:BZ215" si="90">BY152/($R$32*$R$30)</f>
        <v>0.19772878096870619</v>
      </c>
      <c r="CA152" s="191">
        <f t="shared" ref="CA152:CA215" si="91">BX152*1000/(AK152*AM152)</f>
        <v>3.7662624946420231</v>
      </c>
      <c r="CB152" s="193">
        <f t="shared" ref="CB152:CB215" si="92">CA152/($R$32*$R$31)</f>
        <v>3.1565897344940329E-2</v>
      </c>
      <c r="CC152" s="167">
        <f t="shared" ref="CC152:CC215" si="93">SQRT(BY152^2+3*CA152^2)</f>
        <v>41.195406023989868</v>
      </c>
      <c r="CD152" s="191">
        <f t="shared" ref="CD152:CD215" si="94">CC152/(1.15*$R$32*$R$30)</f>
        <v>0.17413517039126156</v>
      </c>
      <c r="CE152" s="189">
        <f t="shared" ref="CE152:CE215" si="95">ABS(MAX(BZ152,CB152,CD152))</f>
        <v>0.19772878096870619</v>
      </c>
      <c r="CF152" s="194" t="str">
        <f t="shared" ref="CF152:CF215" si="96">IF(CE152&lt;=1,"OK","O/S")</f>
        <v>OK</v>
      </c>
      <c r="DA152" s="140"/>
      <c r="DB152" s="140"/>
      <c r="DC152" s="140"/>
      <c r="DD152" s="141"/>
      <c r="DE152" s="151"/>
      <c r="DF152" s="152"/>
      <c r="DG152" s="152"/>
      <c r="DH152" s="152"/>
      <c r="DI152" s="152"/>
      <c r="DJ152" s="152"/>
      <c r="DK152" s="161"/>
      <c r="DL152" s="162"/>
      <c r="DM152" s="162"/>
      <c r="DN152" s="162"/>
      <c r="DO152" s="162"/>
      <c r="DP152" s="162"/>
      <c r="DQ152" s="140"/>
      <c r="DR152" s="151"/>
      <c r="DS152" s="151"/>
      <c r="DT152" s="151"/>
      <c r="DU152" s="151"/>
      <c r="DV152" s="151"/>
      <c r="DW152" s="151"/>
      <c r="DX152" s="151"/>
      <c r="DY152" s="151"/>
      <c r="DZ152" s="151"/>
      <c r="EA152" s="161"/>
      <c r="EB152" s="161"/>
      <c r="EC152" s="161"/>
      <c r="ED152" s="161"/>
      <c r="EE152" s="161"/>
      <c r="EF152" s="161"/>
      <c r="EG152" s="161"/>
      <c r="EH152" s="161"/>
      <c r="EI152" s="161"/>
      <c r="EJ152" s="161"/>
      <c r="EK152" s="209"/>
      <c r="EL152" s="161"/>
      <c r="EM152" s="187"/>
      <c r="EN152" s="187"/>
      <c r="EO152" s="206"/>
      <c r="EP152" s="212"/>
      <c r="EQ152" s="208"/>
      <c r="ER152" s="187"/>
      <c r="ES152" s="187"/>
      <c r="ET152" s="187"/>
      <c r="EU152" s="187"/>
      <c r="EV152" s="210"/>
      <c r="EW152" s="209"/>
      <c r="EX152" s="210"/>
      <c r="EY152" s="162"/>
      <c r="EZ152" s="211"/>
      <c r="FA152" s="209"/>
      <c r="FB152" s="207"/>
      <c r="FC152" s="162"/>
      <c r="FD152" s="209"/>
      <c r="FE152" s="187"/>
      <c r="FF152" s="187"/>
    </row>
    <row r="153" spans="27:162">
      <c r="AA153" s="140" t="s">
        <v>210</v>
      </c>
      <c r="AB153" s="140" t="s">
        <v>239</v>
      </c>
      <c r="AC153" s="140">
        <v>102</v>
      </c>
      <c r="AD153" s="141">
        <v>0.3</v>
      </c>
      <c r="AE153" s="151">
        <v>1100</v>
      </c>
      <c r="AF153" s="152">
        <v>350</v>
      </c>
      <c r="AG153" s="152">
        <v>14</v>
      </c>
      <c r="AH153" s="152">
        <v>18.000000000000004</v>
      </c>
      <c r="AI153" s="152">
        <v>1064</v>
      </c>
      <c r="AJ153" s="153" t="str" cm="1">
        <f t="array" ref="AJ153">_xll.Dce_Name_SectI(AE153, AE153, AF153, AG153, AH153, "x", "-", "H Tổng")</f>
        <v>1100x350x14x18</v>
      </c>
      <c r="AK153" s="161">
        <f t="shared" si="67"/>
        <v>1360</v>
      </c>
      <c r="AL153" s="162" cm="1">
        <f t="array" ref="AL153">IFERROR(INDEX($B$25:$B$32,IFERROR(MATCH(AF153,$B$25:$B$32,0),MATCH(AF153,$B$25:$B$32,1)+1)),$B$25)</f>
        <v>350</v>
      </c>
      <c r="AM153" s="162" cm="1">
        <f t="array" ref="AM153">IFERROR(VLOOKUP(AE153,$B$36:$E$47,4,FALSE),INDEX($E$36:$E$47,MATCH(AE153,$B$36:$B$47,1)+1))</f>
        <v>25</v>
      </c>
      <c r="AN153" s="162" cm="1">
        <f t="array" ref="AN153">IFERROR(VLOOKUP(AE153,$B$36:$E$47,2,FALSE),INDEX($C$36:$C$47,MATCH(AE153,$B$36:$B$47,1)+1))</f>
        <v>12</v>
      </c>
      <c r="AO153" s="162" cm="1">
        <f t="array" ref="AO153">IFERROR(VLOOKUP(AE153,$B$36:$E$47,3,FALSE),INDEX($D$36:$D$47,MATCH(AE153,$B$36:$B$47,1)+1))</f>
        <v>24</v>
      </c>
      <c r="AP153" s="163" t="str">
        <f t="shared" si="68"/>
        <v>1360x350x25 + 12M24</v>
      </c>
      <c r="AQ153" s="140" t="s">
        <v>253</v>
      </c>
      <c r="AR153" s="151">
        <v>0</v>
      </c>
      <c r="AS153" s="151">
        <v>-630.50584200226649</v>
      </c>
      <c r="AT153" s="151">
        <v>3.0587443689000788E-14</v>
      </c>
      <c r="AU153" s="151">
        <v>1.6091346421247244E-3</v>
      </c>
      <c r="AV153" s="151">
        <v>-9.2137838691996877E-15</v>
      </c>
      <c r="AW153" s="151">
        <v>-1897.0564085102362</v>
      </c>
      <c r="BA153" s="161">
        <f t="shared" si="69"/>
        <v>60</v>
      </c>
      <c r="BB153" s="161">
        <f t="shared" si="70"/>
        <v>70</v>
      </c>
      <c r="BC153" s="161">
        <f t="shared" si="71"/>
        <v>80</v>
      </c>
      <c r="BD153" s="161">
        <f t="shared" si="72"/>
        <v>150</v>
      </c>
      <c r="BE153" s="161">
        <f>HLOOKUP(AO153,Data!$H$31:$Q$35,3,FALSE)</f>
        <v>452.38934211693021</v>
      </c>
      <c r="BF153" s="161">
        <f>HLOOKUP(AO153,Data!$H$31:$Q$35,4,FALSE)</f>
        <v>353</v>
      </c>
      <c r="BG153" s="179">
        <f t="shared" si="73"/>
        <v>180</v>
      </c>
      <c r="BH153" s="185">
        <f t="shared" si="74"/>
        <v>121.65654188208487</v>
      </c>
      <c r="BI153" s="185">
        <f t="shared" si="75"/>
        <v>243</v>
      </c>
      <c r="BJ153" s="185">
        <f t="shared" si="76"/>
        <v>142.3296</v>
      </c>
      <c r="BK153" s="185">
        <f t="shared" si="77"/>
        <v>52.281396786409886</v>
      </c>
      <c r="BL153" s="186">
        <f t="shared" si="78"/>
        <v>0.82166666666666666</v>
      </c>
      <c r="BM153" s="186">
        <f t="shared" si="79"/>
        <v>0.52301728954645277</v>
      </c>
      <c r="BN153" s="185" t="str">
        <f t="shared" si="80"/>
        <v>OK</v>
      </c>
      <c r="BO153" s="185" cm="1">
        <f t="array" ref="BO153">_xll.DCEBoltDisRS(AN153, AE153, BA153, BB153, BC153, BD153, "h1")</f>
        <v>1240</v>
      </c>
      <c r="BP153" s="185" cm="1">
        <f t="array" ref="BP153">_xll.DCEBoltDisRS(AN153, AE153, BA153, BB153, BC153, BD153, "Tong")</f>
        <v>3721800</v>
      </c>
      <c r="BQ153" s="185">
        <f t="shared" si="81"/>
        <v>321.25129333449206</v>
      </c>
      <c r="BR153" s="186">
        <f t="shared" si="82"/>
        <v>2.2570940502502084</v>
      </c>
      <c r="BS153" s="185" t="str">
        <f t="shared" si="83"/>
        <v>O/S</v>
      </c>
      <c r="BT153" s="186">
        <f t="shared" si="84"/>
        <v>2.2976411963051682</v>
      </c>
      <c r="BU153" s="185" t="str">
        <f t="shared" si="85"/>
        <v>O/S</v>
      </c>
      <c r="BV153" s="190">
        <f t="shared" si="86"/>
        <v>1724.5967350093056</v>
      </c>
      <c r="BW153" s="191">
        <f t="shared" si="87"/>
        <v>38.803426537709377</v>
      </c>
      <c r="BX153" s="190">
        <f t="shared" si="88"/>
        <v>862.29836750465279</v>
      </c>
      <c r="BY153" s="167">
        <f t="shared" si="89"/>
        <v>273.90654026618381</v>
      </c>
      <c r="BZ153" s="192">
        <f t="shared" si="90"/>
        <v>1.3314901262939491</v>
      </c>
      <c r="CA153" s="191">
        <f t="shared" si="91"/>
        <v>25.361716691313319</v>
      </c>
      <c r="CB153" s="193">
        <f t="shared" si="92"/>
        <v>0.21256228069826777</v>
      </c>
      <c r="CC153" s="167">
        <f t="shared" si="93"/>
        <v>277.40663802652938</v>
      </c>
      <c r="CD153" s="191">
        <f t="shared" si="94"/>
        <v>1.1726126003536872</v>
      </c>
      <c r="CE153" s="189">
        <f t="shared" si="95"/>
        <v>1.3314901262939491</v>
      </c>
      <c r="CF153" s="194" t="str">
        <f t="shared" si="96"/>
        <v>O/S</v>
      </c>
      <c r="DA153" s="140"/>
      <c r="DB153" s="140"/>
      <c r="DC153" s="140"/>
      <c r="DD153" s="141"/>
      <c r="DE153" s="151"/>
      <c r="DF153" s="152"/>
      <c r="DG153" s="152"/>
      <c r="DH153" s="152"/>
      <c r="DI153" s="152"/>
      <c r="DJ153" s="152"/>
      <c r="DK153" s="161"/>
      <c r="DL153" s="162"/>
      <c r="DM153" s="162"/>
      <c r="DN153" s="162"/>
      <c r="DO153" s="162"/>
      <c r="DP153" s="162"/>
      <c r="DQ153" s="140"/>
      <c r="DR153" s="151"/>
      <c r="DS153" s="151"/>
      <c r="DT153" s="151"/>
      <c r="DU153" s="151"/>
      <c r="DV153" s="151"/>
      <c r="DW153" s="151"/>
      <c r="DX153" s="151"/>
      <c r="DY153" s="151"/>
      <c r="DZ153" s="151"/>
      <c r="EA153" s="161"/>
      <c r="EB153" s="161"/>
      <c r="EC153" s="161"/>
      <c r="ED153" s="161"/>
      <c r="EE153" s="161"/>
      <c r="EF153" s="161"/>
      <c r="EG153" s="161"/>
      <c r="EH153" s="161"/>
      <c r="EI153" s="161"/>
      <c r="EJ153" s="161"/>
      <c r="EK153" s="209"/>
      <c r="EL153" s="161"/>
      <c r="EM153" s="187"/>
      <c r="EN153" s="187"/>
      <c r="EO153" s="206"/>
      <c r="EP153" s="212"/>
      <c r="EQ153" s="208"/>
      <c r="ER153" s="187"/>
      <c r="ES153" s="187"/>
      <c r="ET153" s="187"/>
      <c r="EU153" s="187"/>
      <c r="EV153" s="210"/>
      <c r="EW153" s="209"/>
      <c r="EX153" s="210"/>
      <c r="EY153" s="162"/>
      <c r="EZ153" s="211"/>
      <c r="FA153" s="209"/>
      <c r="FB153" s="207"/>
      <c r="FC153" s="162"/>
      <c r="FD153" s="209"/>
      <c r="FE153" s="187"/>
      <c r="FF153" s="187"/>
    </row>
    <row r="154" spans="27:162">
      <c r="AA154" s="140" t="s">
        <v>210</v>
      </c>
      <c r="AB154" s="140" t="s">
        <v>239</v>
      </c>
      <c r="AC154" s="140">
        <v>102</v>
      </c>
      <c r="AD154" s="141">
        <v>3</v>
      </c>
      <c r="AE154" s="151">
        <v>750</v>
      </c>
      <c r="AF154" s="152">
        <v>350</v>
      </c>
      <c r="AG154" s="152">
        <v>14</v>
      </c>
      <c r="AH154" s="152">
        <v>18.000000000000004</v>
      </c>
      <c r="AI154" s="152">
        <v>714</v>
      </c>
      <c r="AJ154" s="153" t="str" cm="1">
        <f t="array" ref="AJ154">_xll.Dce_Name_SectI(AE154, AE154, AF154, AG154, AH154, "x", "-", "H Tổng")</f>
        <v>750x350x14x18</v>
      </c>
      <c r="AK154" s="161">
        <f t="shared" si="67"/>
        <v>1010</v>
      </c>
      <c r="AL154" s="162" cm="1">
        <f t="array" ref="AL154">IFERROR(INDEX($B$25:$B$32,IFERROR(MATCH(AF154,$B$25:$B$32,0),MATCH(AF154,$B$25:$B$32,1)+1)),$B$25)</f>
        <v>350</v>
      </c>
      <c r="AM154" s="162" cm="1">
        <f t="array" ref="AM154">IFERROR(VLOOKUP(AE154,$B$36:$E$47,4,FALSE),INDEX($E$36:$E$47,MATCH(AE154,$B$36:$B$47,1)+1))</f>
        <v>25</v>
      </c>
      <c r="AN154" s="162" cm="1">
        <f t="array" ref="AN154">IFERROR(VLOOKUP(AE154,$B$36:$E$47,2,FALSE),INDEX($C$36:$C$47,MATCH(AE154,$B$36:$B$47,1)+1))</f>
        <v>12</v>
      </c>
      <c r="AO154" s="162" cm="1">
        <f t="array" ref="AO154">IFERROR(VLOOKUP(AE154,$B$36:$E$47,3,FALSE),INDEX($D$36:$D$47,MATCH(AE154,$B$36:$B$47,1)+1))</f>
        <v>24</v>
      </c>
      <c r="AP154" s="163" t="str">
        <f t="shared" si="68"/>
        <v>1010x350x25 + 12M24</v>
      </c>
      <c r="AQ154" s="140" t="s">
        <v>253</v>
      </c>
      <c r="AR154" s="151">
        <v>0</v>
      </c>
      <c r="AS154" s="151">
        <v>-449.0359828489776</v>
      </c>
      <c r="AT154" s="151">
        <v>-1.8771970644593236E-13</v>
      </c>
      <c r="AU154" s="151">
        <v>1.60940134990767E-3</v>
      </c>
      <c r="AV154" s="151">
        <v>3.1069212127476922E-13</v>
      </c>
      <c r="AW154" s="151">
        <v>-396.13868437975367</v>
      </c>
      <c r="BA154" s="161">
        <f t="shared" si="69"/>
        <v>60</v>
      </c>
      <c r="BB154" s="161">
        <f t="shared" si="70"/>
        <v>70</v>
      </c>
      <c r="BC154" s="161">
        <f t="shared" si="71"/>
        <v>80</v>
      </c>
      <c r="BD154" s="161">
        <f t="shared" si="72"/>
        <v>150</v>
      </c>
      <c r="BE154" s="161">
        <f>HLOOKUP(AO154,Data!$H$31:$Q$35,3,FALSE)</f>
        <v>452.38934211693021</v>
      </c>
      <c r="BF154" s="161">
        <f>HLOOKUP(AO154,Data!$H$31:$Q$35,4,FALSE)</f>
        <v>353</v>
      </c>
      <c r="BG154" s="179">
        <f t="shared" si="73"/>
        <v>180</v>
      </c>
      <c r="BH154" s="185">
        <f t="shared" si="74"/>
        <v>121.65654188208487</v>
      </c>
      <c r="BI154" s="185">
        <f t="shared" si="75"/>
        <v>243</v>
      </c>
      <c r="BJ154" s="185">
        <f t="shared" si="76"/>
        <v>142.3296</v>
      </c>
      <c r="BK154" s="185">
        <f t="shared" si="77"/>
        <v>37.233958556435631</v>
      </c>
      <c r="BL154" s="186">
        <f t="shared" si="78"/>
        <v>0.89458333333333329</v>
      </c>
      <c r="BM154" s="186">
        <f t="shared" si="79"/>
        <v>0.34212352726676071</v>
      </c>
      <c r="BN154" s="185" t="str">
        <f t="shared" si="80"/>
        <v>OK</v>
      </c>
      <c r="BO154" s="185" cm="1">
        <f t="array" ref="BO154">_xll.DCEBoltDisRS(AN154, AE154, BA154, BB154, BC154, BD154, "h1")</f>
        <v>890</v>
      </c>
      <c r="BP154" s="185" cm="1">
        <f t="array" ref="BP154">_xll.DCEBoltDisRS(AN154, AE154, BA154, BB154, BC154, BD154, "Tong")</f>
        <v>1800300</v>
      </c>
      <c r="BQ154" s="185">
        <f t="shared" si="81"/>
        <v>101.64136205516051</v>
      </c>
      <c r="BR154" s="186">
        <f t="shared" si="82"/>
        <v>0.71412666132104996</v>
      </c>
      <c r="BS154" s="185" t="str">
        <f t="shared" si="83"/>
        <v>OK</v>
      </c>
      <c r="BT154" s="186">
        <f t="shared" si="84"/>
        <v>0.77694812638928634</v>
      </c>
      <c r="BU154" s="185" t="str">
        <f t="shared" si="85"/>
        <v>OK</v>
      </c>
      <c r="BV154" s="190">
        <f t="shared" si="86"/>
        <v>528.18491250633826</v>
      </c>
      <c r="BW154" s="191">
        <f t="shared" si="87"/>
        <v>11.884160531392611</v>
      </c>
      <c r="BX154" s="190">
        <f t="shared" si="88"/>
        <v>264.09245625316913</v>
      </c>
      <c r="BY154" s="167">
        <f t="shared" si="89"/>
        <v>112.95835752610799</v>
      </c>
      <c r="BZ154" s="192">
        <f t="shared" si="90"/>
        <v>0.54910312686302498</v>
      </c>
      <c r="CA154" s="191">
        <f t="shared" si="91"/>
        <v>10.459107178343331</v>
      </c>
      <c r="CB154" s="193">
        <f t="shared" si="92"/>
        <v>8.766014158094268E-2</v>
      </c>
      <c r="CC154" s="167">
        <f t="shared" si="93"/>
        <v>114.40178890166122</v>
      </c>
      <c r="CD154" s="191">
        <f t="shared" si="94"/>
        <v>0.48358244100943759</v>
      </c>
      <c r="CE154" s="189">
        <f t="shared" si="95"/>
        <v>0.54910312686302498</v>
      </c>
      <c r="CF154" s="194" t="str">
        <f t="shared" si="96"/>
        <v>OK</v>
      </c>
      <c r="DA154" s="140"/>
      <c r="DB154" s="140"/>
      <c r="DC154" s="140"/>
      <c r="DD154" s="141"/>
      <c r="DE154" s="151"/>
      <c r="DF154" s="152"/>
      <c r="DG154" s="152"/>
      <c r="DH154" s="152"/>
      <c r="DI154" s="152"/>
      <c r="DJ154" s="152"/>
      <c r="DK154" s="161"/>
      <c r="DL154" s="162"/>
      <c r="DM154" s="162"/>
      <c r="DN154" s="162"/>
      <c r="DO154" s="162"/>
      <c r="DP154" s="162"/>
      <c r="DQ154" s="140"/>
      <c r="DR154" s="151"/>
      <c r="DS154" s="151"/>
      <c r="DT154" s="151"/>
      <c r="DU154" s="151"/>
      <c r="DV154" s="151"/>
      <c r="DW154" s="151"/>
      <c r="DX154" s="151"/>
      <c r="DY154" s="151"/>
      <c r="DZ154" s="151"/>
      <c r="EA154" s="161"/>
      <c r="EB154" s="161"/>
      <c r="EC154" s="161"/>
      <c r="ED154" s="161"/>
      <c r="EE154" s="161"/>
      <c r="EF154" s="161"/>
      <c r="EG154" s="161"/>
      <c r="EH154" s="161"/>
      <c r="EI154" s="161"/>
      <c r="EJ154" s="161"/>
      <c r="EK154" s="209"/>
      <c r="EL154" s="161"/>
      <c r="EM154" s="187"/>
      <c r="EN154" s="187"/>
      <c r="EO154" s="206"/>
      <c r="EP154" s="212"/>
      <c r="EQ154" s="208"/>
      <c r="ER154" s="187"/>
      <c r="ES154" s="187"/>
      <c r="ET154" s="187"/>
      <c r="EU154" s="187"/>
      <c r="EV154" s="210"/>
      <c r="EW154" s="209"/>
      <c r="EX154" s="210"/>
      <c r="EY154" s="162"/>
      <c r="EZ154" s="211"/>
      <c r="FA154" s="209"/>
      <c r="FB154" s="207"/>
      <c r="FC154" s="162"/>
      <c r="FD154" s="209"/>
      <c r="FE154" s="187"/>
      <c r="FF154" s="187"/>
    </row>
    <row r="155" spans="27:162">
      <c r="AA155" s="140" t="s">
        <v>210</v>
      </c>
      <c r="AB155" s="140" t="s">
        <v>239</v>
      </c>
      <c r="AC155" s="140">
        <v>102</v>
      </c>
      <c r="AD155" s="141">
        <v>0.3</v>
      </c>
      <c r="AE155" s="151">
        <v>1100</v>
      </c>
      <c r="AF155" s="152">
        <v>350</v>
      </c>
      <c r="AG155" s="152">
        <v>14</v>
      </c>
      <c r="AH155" s="152">
        <v>18.000000000000004</v>
      </c>
      <c r="AI155" s="152">
        <v>1064</v>
      </c>
      <c r="AJ155" s="153" t="str" cm="1">
        <f t="array" ref="AJ155">_xll.Dce_Name_SectI(AE155, AE155, AF155, AG155, AH155, "x", "-", "H Tổng")</f>
        <v>1100x350x14x18</v>
      </c>
      <c r="AK155" s="161">
        <f t="shared" si="67"/>
        <v>1360</v>
      </c>
      <c r="AL155" s="162" cm="1">
        <f t="array" ref="AL155">IFERROR(INDEX($B$25:$B$32,IFERROR(MATCH(AF155,$B$25:$B$32,0),MATCH(AF155,$B$25:$B$32,1)+1)),$B$25)</f>
        <v>350</v>
      </c>
      <c r="AM155" s="162" cm="1">
        <f t="array" ref="AM155">IFERROR(VLOOKUP(AE155,$B$36:$E$47,4,FALSE),INDEX($E$36:$E$47,MATCH(AE155,$B$36:$B$47,1)+1))</f>
        <v>25</v>
      </c>
      <c r="AN155" s="162" cm="1">
        <f t="array" ref="AN155">IFERROR(VLOOKUP(AE155,$B$36:$E$47,2,FALSE),INDEX($C$36:$C$47,MATCH(AE155,$B$36:$B$47,1)+1))</f>
        <v>12</v>
      </c>
      <c r="AO155" s="162" cm="1">
        <f t="array" ref="AO155">IFERROR(VLOOKUP(AE155,$B$36:$E$47,3,FALSE),INDEX($D$36:$D$47,MATCH(AE155,$B$36:$B$47,1)+1))</f>
        <v>24</v>
      </c>
      <c r="AP155" s="163" t="str">
        <f t="shared" si="68"/>
        <v>1360x350x25 + 12M24</v>
      </c>
      <c r="AQ155" s="140" t="s">
        <v>254</v>
      </c>
      <c r="AR155" s="151">
        <v>0</v>
      </c>
      <c r="AS155" s="151">
        <v>-627.6145957794688</v>
      </c>
      <c r="AT155" s="151">
        <v>1.1789893505920188E-13</v>
      </c>
      <c r="AU155" s="151">
        <v>2.0427718212494635E-3</v>
      </c>
      <c r="AV155" s="151">
        <v>-3.4534116366558005E-14</v>
      </c>
      <c r="AW155" s="151">
        <v>-1866.1594018207734</v>
      </c>
      <c r="BA155" s="161">
        <f t="shared" si="69"/>
        <v>60</v>
      </c>
      <c r="BB155" s="161">
        <f t="shared" si="70"/>
        <v>70</v>
      </c>
      <c r="BC155" s="161">
        <f t="shared" si="71"/>
        <v>80</v>
      </c>
      <c r="BD155" s="161">
        <f t="shared" si="72"/>
        <v>150</v>
      </c>
      <c r="BE155" s="161">
        <f>HLOOKUP(AO155,Data!$H$31:$Q$35,3,FALSE)</f>
        <v>452.38934211693021</v>
      </c>
      <c r="BF155" s="161">
        <f>HLOOKUP(AO155,Data!$H$31:$Q$35,4,FALSE)</f>
        <v>353</v>
      </c>
      <c r="BG155" s="179">
        <f t="shared" si="73"/>
        <v>180</v>
      </c>
      <c r="BH155" s="185">
        <f t="shared" si="74"/>
        <v>121.65654188208487</v>
      </c>
      <c r="BI155" s="185">
        <f t="shared" si="75"/>
        <v>243</v>
      </c>
      <c r="BJ155" s="185">
        <f t="shared" si="76"/>
        <v>142.3296</v>
      </c>
      <c r="BK155" s="185">
        <f t="shared" si="77"/>
        <v>52.041655326598395</v>
      </c>
      <c r="BL155" s="186">
        <f t="shared" si="78"/>
        <v>0.82166666666666666</v>
      </c>
      <c r="BM155" s="186">
        <f t="shared" si="79"/>
        <v>0.5206189425968718</v>
      </c>
      <c r="BN155" s="185" t="str">
        <f t="shared" si="80"/>
        <v>OK</v>
      </c>
      <c r="BO155" s="185" cm="1">
        <f t="array" ref="BO155">_xll.DCEBoltDisRS(AN155, AE155, BA155, BB155, BC155, BD155, "h1")</f>
        <v>1240</v>
      </c>
      <c r="BP155" s="185" cm="1">
        <f t="array" ref="BP155">_xll.DCEBoltDisRS(AN155, AE155, BA155, BB155, BC155, BD155, "Tong")</f>
        <v>3721800</v>
      </c>
      <c r="BQ155" s="185">
        <f t="shared" si="81"/>
        <v>316.08030856261297</v>
      </c>
      <c r="BR155" s="186">
        <f t="shared" si="82"/>
        <v>2.2207629935207645</v>
      </c>
      <c r="BS155" s="185" t="str">
        <f t="shared" si="83"/>
        <v>O/S</v>
      </c>
      <c r="BT155" s="186">
        <f t="shared" si="84"/>
        <v>2.2615879204203782</v>
      </c>
      <c r="BU155" s="185" t="str">
        <f t="shared" si="85"/>
        <v>O/S</v>
      </c>
      <c r="BV155" s="190">
        <f t="shared" si="86"/>
        <v>1696.5085471097939</v>
      </c>
      <c r="BW155" s="191">
        <f t="shared" si="87"/>
        <v>38.171442309970359</v>
      </c>
      <c r="BX155" s="190">
        <f t="shared" si="88"/>
        <v>848.25427355489694</v>
      </c>
      <c r="BY155" s="167">
        <f t="shared" si="89"/>
        <v>269.44547512920252</v>
      </c>
      <c r="BZ155" s="192">
        <f t="shared" si="90"/>
        <v>1.3098043929891789</v>
      </c>
      <c r="CA155" s="191">
        <f t="shared" si="91"/>
        <v>24.948655104555794</v>
      </c>
      <c r="CB155" s="193">
        <f t="shared" si="92"/>
        <v>0.20910031816557778</v>
      </c>
      <c r="CC155" s="167">
        <f t="shared" si="93"/>
        <v>272.88856744499196</v>
      </c>
      <c r="CD155" s="191">
        <f t="shared" si="94"/>
        <v>1.1535144759148213</v>
      </c>
      <c r="CE155" s="189">
        <f t="shared" si="95"/>
        <v>1.3098043929891789</v>
      </c>
      <c r="CF155" s="194" t="str">
        <f t="shared" si="96"/>
        <v>O/S</v>
      </c>
      <c r="DA155" s="140"/>
      <c r="DB155" s="140"/>
      <c r="DC155" s="140"/>
      <c r="DD155" s="141"/>
      <c r="DE155" s="151"/>
      <c r="DF155" s="152"/>
      <c r="DG155" s="152"/>
      <c r="DH155" s="152"/>
      <c r="DI155" s="152"/>
      <c r="DJ155" s="152"/>
      <c r="DK155" s="161"/>
      <c r="DL155" s="162"/>
      <c r="DM155" s="162"/>
      <c r="DN155" s="162"/>
      <c r="DO155" s="162"/>
      <c r="DP155" s="162"/>
      <c r="DQ155" s="140"/>
      <c r="DR155" s="151"/>
      <c r="DS155" s="151"/>
      <c r="DT155" s="151"/>
      <c r="DU155" s="151"/>
      <c r="DV155" s="151"/>
      <c r="DW155" s="151"/>
      <c r="DX155" s="151"/>
      <c r="DY155" s="151"/>
      <c r="DZ155" s="151"/>
      <c r="EA155" s="161"/>
      <c r="EB155" s="161"/>
      <c r="EC155" s="161"/>
      <c r="ED155" s="161"/>
      <c r="EE155" s="161"/>
      <c r="EF155" s="161"/>
      <c r="EG155" s="161"/>
      <c r="EH155" s="161"/>
      <c r="EI155" s="161"/>
      <c r="EJ155" s="161"/>
      <c r="EK155" s="209"/>
      <c r="EL155" s="161"/>
      <c r="EM155" s="187"/>
      <c r="EN155" s="187"/>
      <c r="EO155" s="206"/>
      <c r="EP155" s="212"/>
      <c r="EQ155" s="208"/>
      <c r="ER155" s="187"/>
      <c r="ES155" s="187"/>
      <c r="ET155" s="187"/>
      <c r="EU155" s="187"/>
      <c r="EV155" s="210"/>
      <c r="EW155" s="209"/>
      <c r="EX155" s="210"/>
      <c r="EY155" s="162"/>
      <c r="EZ155" s="211"/>
      <c r="FA155" s="209"/>
      <c r="FB155" s="207"/>
      <c r="FC155" s="162"/>
      <c r="FD155" s="209"/>
      <c r="FE155" s="187"/>
      <c r="FF155" s="187"/>
    </row>
    <row r="156" spans="27:162">
      <c r="AA156" s="140" t="s">
        <v>210</v>
      </c>
      <c r="AB156" s="140" t="s">
        <v>239</v>
      </c>
      <c r="AC156" s="140">
        <v>102</v>
      </c>
      <c r="AD156" s="141">
        <v>3</v>
      </c>
      <c r="AE156" s="151">
        <v>750</v>
      </c>
      <c r="AF156" s="152">
        <v>350</v>
      </c>
      <c r="AG156" s="152">
        <v>14</v>
      </c>
      <c r="AH156" s="152">
        <v>18.000000000000004</v>
      </c>
      <c r="AI156" s="152">
        <v>714</v>
      </c>
      <c r="AJ156" s="153" t="str" cm="1">
        <f t="array" ref="AJ156">_xll.Dce_Name_SectI(AE156, AE156, AF156, AG156, AH156, "x", "-", "H Tổng")</f>
        <v>750x350x14x18</v>
      </c>
      <c r="AK156" s="161">
        <f t="shared" si="67"/>
        <v>1010</v>
      </c>
      <c r="AL156" s="162" cm="1">
        <f t="array" ref="AL156">IFERROR(INDEX($B$25:$B$32,IFERROR(MATCH(AF156,$B$25:$B$32,0),MATCH(AF156,$B$25:$B$32,1)+1)),$B$25)</f>
        <v>350</v>
      </c>
      <c r="AM156" s="162" cm="1">
        <f t="array" ref="AM156">IFERROR(VLOOKUP(AE156,$B$36:$E$47,4,FALSE),INDEX($E$36:$E$47,MATCH(AE156,$B$36:$B$47,1)+1))</f>
        <v>25</v>
      </c>
      <c r="AN156" s="162" cm="1">
        <f t="array" ref="AN156">IFERROR(VLOOKUP(AE156,$B$36:$E$47,2,FALSE),INDEX($C$36:$C$47,MATCH(AE156,$B$36:$B$47,1)+1))</f>
        <v>12</v>
      </c>
      <c r="AO156" s="162" cm="1">
        <f t="array" ref="AO156">IFERROR(VLOOKUP(AE156,$B$36:$E$47,3,FALSE),INDEX($D$36:$D$47,MATCH(AE156,$B$36:$B$47,1)+1))</f>
        <v>24</v>
      </c>
      <c r="AP156" s="163" t="str">
        <f t="shared" si="68"/>
        <v>1010x350x25 + 12M24</v>
      </c>
      <c r="AQ156" s="140" t="s">
        <v>254</v>
      </c>
      <c r="AR156" s="151">
        <v>0</v>
      </c>
      <c r="AS156" s="151">
        <v>-446.14473778433774</v>
      </c>
      <c r="AT156" s="151">
        <v>5.1077222451567639E-13</v>
      </c>
      <c r="AU156" s="151">
        <v>2.0431100431123651E-3</v>
      </c>
      <c r="AV156" s="151">
        <v>-2.1224550437182186E-13</v>
      </c>
      <c r="AW156" s="151">
        <v>-373.04811002796828</v>
      </c>
      <c r="BA156" s="161">
        <f t="shared" si="69"/>
        <v>60</v>
      </c>
      <c r="BB156" s="161">
        <f t="shared" si="70"/>
        <v>70</v>
      </c>
      <c r="BC156" s="161">
        <f t="shared" si="71"/>
        <v>80</v>
      </c>
      <c r="BD156" s="161">
        <f t="shared" si="72"/>
        <v>150</v>
      </c>
      <c r="BE156" s="161">
        <f>HLOOKUP(AO156,Data!$H$31:$Q$35,3,FALSE)</f>
        <v>452.38934211693021</v>
      </c>
      <c r="BF156" s="161">
        <f>HLOOKUP(AO156,Data!$H$31:$Q$35,4,FALSE)</f>
        <v>353</v>
      </c>
      <c r="BG156" s="179">
        <f t="shared" si="73"/>
        <v>180</v>
      </c>
      <c r="BH156" s="185">
        <f t="shared" si="74"/>
        <v>121.65654188208487</v>
      </c>
      <c r="BI156" s="185">
        <f t="shared" si="75"/>
        <v>243</v>
      </c>
      <c r="BJ156" s="185">
        <f t="shared" si="76"/>
        <v>142.3296</v>
      </c>
      <c r="BK156" s="185">
        <f t="shared" si="77"/>
        <v>36.994217192658319</v>
      </c>
      <c r="BL156" s="186">
        <f t="shared" si="78"/>
        <v>0.89458333333333329</v>
      </c>
      <c r="BM156" s="186">
        <f t="shared" si="79"/>
        <v>0.33992066825882261</v>
      </c>
      <c r="BN156" s="185" t="str">
        <f t="shared" si="80"/>
        <v>OK</v>
      </c>
      <c r="BO156" s="185" cm="1">
        <f t="array" ref="BO156">_xll.DCEBoltDisRS(AN156, AE156, BA156, BB156, BC156, BD156, "h1")</f>
        <v>890</v>
      </c>
      <c r="BP156" s="185" cm="1">
        <f t="array" ref="BP156">_xll.DCEBoltDisRS(AN156, AE156, BA156, BB156, BC156, BD156, "Tong")</f>
        <v>1800300</v>
      </c>
      <c r="BQ156" s="185">
        <f t="shared" si="81"/>
        <v>95.909836073787787</v>
      </c>
      <c r="BR156" s="186">
        <f t="shared" si="82"/>
        <v>0.67385727265296735</v>
      </c>
      <c r="BS156" s="185" t="str">
        <f t="shared" si="83"/>
        <v>OK</v>
      </c>
      <c r="BT156" s="186">
        <f t="shared" si="84"/>
        <v>0.73929205943497722</v>
      </c>
      <c r="BU156" s="185" t="str">
        <f t="shared" si="85"/>
        <v>OK</v>
      </c>
      <c r="BV156" s="190">
        <f t="shared" si="86"/>
        <v>497.39748003729102</v>
      </c>
      <c r="BW156" s="191">
        <f t="shared" si="87"/>
        <v>11.191443300839047</v>
      </c>
      <c r="BX156" s="190">
        <f t="shared" si="88"/>
        <v>248.69874001864551</v>
      </c>
      <c r="BY156" s="167">
        <f t="shared" si="89"/>
        <v>106.37411454262856</v>
      </c>
      <c r="BZ156" s="192">
        <f t="shared" si="90"/>
        <v>0.51709639013777775</v>
      </c>
      <c r="CA156" s="191">
        <f t="shared" si="91"/>
        <v>9.8494550502433871</v>
      </c>
      <c r="CB156" s="193">
        <f t="shared" si="92"/>
        <v>8.2550509281254444E-2</v>
      </c>
      <c r="CC156" s="167">
        <f t="shared" si="93"/>
        <v>107.73340957701356</v>
      </c>
      <c r="CD156" s="191">
        <f t="shared" si="94"/>
        <v>0.45539484724583035</v>
      </c>
      <c r="CE156" s="189">
        <f t="shared" si="95"/>
        <v>0.51709639013777775</v>
      </c>
      <c r="CF156" s="194" t="str">
        <f t="shared" si="96"/>
        <v>OK</v>
      </c>
      <c r="DA156" s="140"/>
      <c r="DB156" s="140"/>
      <c r="DC156" s="140"/>
      <c r="DD156" s="141"/>
      <c r="DE156" s="151"/>
      <c r="DF156" s="152"/>
      <c r="DG156" s="152"/>
      <c r="DH156" s="152"/>
      <c r="DI156" s="152"/>
      <c r="DJ156" s="152"/>
      <c r="DK156" s="161"/>
      <c r="DL156" s="162"/>
      <c r="DM156" s="162"/>
      <c r="DN156" s="162"/>
      <c r="DO156" s="162"/>
      <c r="DP156" s="162"/>
      <c r="DQ156" s="140"/>
      <c r="DR156" s="151"/>
      <c r="DS156" s="151"/>
      <c r="DT156" s="151"/>
      <c r="DU156" s="151"/>
      <c r="DV156" s="151"/>
      <c r="DW156" s="151"/>
      <c r="DX156" s="151"/>
      <c r="DY156" s="151"/>
      <c r="DZ156" s="151"/>
      <c r="EA156" s="161"/>
      <c r="EB156" s="161"/>
      <c r="EC156" s="161"/>
      <c r="ED156" s="161"/>
      <c r="EE156" s="161"/>
      <c r="EF156" s="161"/>
      <c r="EG156" s="161"/>
      <c r="EH156" s="161"/>
      <c r="EI156" s="161"/>
      <c r="EJ156" s="161"/>
      <c r="EK156" s="209"/>
      <c r="EL156" s="161"/>
      <c r="EM156" s="187"/>
      <c r="EN156" s="187"/>
      <c r="EO156" s="206"/>
      <c r="EP156" s="212"/>
      <c r="EQ156" s="208"/>
      <c r="ER156" s="187"/>
      <c r="ES156" s="187"/>
      <c r="ET156" s="187"/>
      <c r="EU156" s="187"/>
      <c r="EV156" s="210"/>
      <c r="EW156" s="209"/>
      <c r="EX156" s="210"/>
      <c r="EY156" s="162"/>
      <c r="EZ156" s="211"/>
      <c r="FA156" s="209"/>
      <c r="FB156" s="207"/>
      <c r="FC156" s="162"/>
      <c r="FD156" s="209"/>
      <c r="FE156" s="187"/>
      <c r="FF156" s="187"/>
    </row>
    <row r="157" spans="27:162">
      <c r="AA157" s="140" t="s">
        <v>210</v>
      </c>
      <c r="AB157" s="140" t="s">
        <v>239</v>
      </c>
      <c r="AC157" s="140">
        <v>102</v>
      </c>
      <c r="AD157" s="141">
        <v>0.3</v>
      </c>
      <c r="AE157" s="151">
        <v>1100</v>
      </c>
      <c r="AF157" s="152">
        <v>350</v>
      </c>
      <c r="AG157" s="152">
        <v>14</v>
      </c>
      <c r="AH157" s="152">
        <v>18.000000000000004</v>
      </c>
      <c r="AI157" s="152">
        <v>1064</v>
      </c>
      <c r="AJ157" s="153" t="str" cm="1">
        <f t="array" ref="AJ157">_xll.Dce_Name_SectI(AE157, AE157, AF157, AG157, AH157, "x", "-", "H Tổng")</f>
        <v>1100x350x14x18</v>
      </c>
      <c r="AK157" s="161">
        <f t="shared" si="67"/>
        <v>1360</v>
      </c>
      <c r="AL157" s="162" cm="1">
        <f t="array" ref="AL157">IFERROR(INDEX($B$25:$B$32,IFERROR(MATCH(AF157,$B$25:$B$32,0),MATCH(AF157,$B$25:$B$32,1)+1)),$B$25)</f>
        <v>350</v>
      </c>
      <c r="AM157" s="162" cm="1">
        <f t="array" ref="AM157">IFERROR(VLOOKUP(AE157,$B$36:$E$47,4,FALSE),INDEX($E$36:$E$47,MATCH(AE157,$B$36:$B$47,1)+1))</f>
        <v>25</v>
      </c>
      <c r="AN157" s="162" cm="1">
        <f t="array" ref="AN157">IFERROR(VLOOKUP(AE157,$B$36:$E$47,2,FALSE),INDEX($C$36:$C$47,MATCH(AE157,$B$36:$B$47,1)+1))</f>
        <v>12</v>
      </c>
      <c r="AO157" s="162" cm="1">
        <f t="array" ref="AO157">IFERROR(VLOOKUP(AE157,$B$36:$E$47,3,FALSE),INDEX($D$36:$D$47,MATCH(AE157,$B$36:$B$47,1)+1))</f>
        <v>24</v>
      </c>
      <c r="AP157" s="163" t="str">
        <f t="shared" si="68"/>
        <v>1360x350x25 + 12M24</v>
      </c>
      <c r="AQ157" s="140" t="s">
        <v>255</v>
      </c>
      <c r="AR157" s="151">
        <v>0</v>
      </c>
      <c r="AS157" s="151">
        <v>-623.44806747418693</v>
      </c>
      <c r="AT157" s="151">
        <v>5.9691274145734486E-14</v>
      </c>
      <c r="AU157" s="151">
        <v>6.9114763073757093E-4</v>
      </c>
      <c r="AV157" s="151">
        <v>1.0155539484912876E-13</v>
      </c>
      <c r="AW157" s="151">
        <v>-1841.910783610524</v>
      </c>
      <c r="BA157" s="161">
        <f t="shared" si="69"/>
        <v>60</v>
      </c>
      <c r="BB157" s="161">
        <f t="shared" si="70"/>
        <v>70</v>
      </c>
      <c r="BC157" s="161">
        <f t="shared" si="71"/>
        <v>80</v>
      </c>
      <c r="BD157" s="161">
        <f t="shared" si="72"/>
        <v>150</v>
      </c>
      <c r="BE157" s="161">
        <f>HLOOKUP(AO157,Data!$H$31:$Q$35,3,FALSE)</f>
        <v>452.38934211693021</v>
      </c>
      <c r="BF157" s="161">
        <f>HLOOKUP(AO157,Data!$H$31:$Q$35,4,FALSE)</f>
        <v>353</v>
      </c>
      <c r="BG157" s="179">
        <f t="shared" si="73"/>
        <v>180</v>
      </c>
      <c r="BH157" s="185">
        <f t="shared" si="74"/>
        <v>121.65654188208487</v>
      </c>
      <c r="BI157" s="185">
        <f t="shared" si="75"/>
        <v>243</v>
      </c>
      <c r="BJ157" s="185">
        <f t="shared" si="76"/>
        <v>142.3296</v>
      </c>
      <c r="BK157" s="185">
        <f t="shared" si="77"/>
        <v>51.696167775113558</v>
      </c>
      <c r="BL157" s="186">
        <f t="shared" si="78"/>
        <v>0.82166666666666666</v>
      </c>
      <c r="BM157" s="186">
        <f t="shared" si="79"/>
        <v>0.51716272348536163</v>
      </c>
      <c r="BN157" s="185" t="str">
        <f t="shared" si="80"/>
        <v>OK</v>
      </c>
      <c r="BO157" s="185" cm="1">
        <f t="array" ref="BO157">_xll.DCEBoltDisRS(AN157, AE157, BA157, BB157, BC157, BD157, "h1")</f>
        <v>1240</v>
      </c>
      <c r="BP157" s="185" cm="1">
        <f t="array" ref="BP157">_xll.DCEBoltDisRS(AN157, AE157, BA157, BB157, BC157, BD157, "Tong")</f>
        <v>3721800</v>
      </c>
      <c r="BQ157" s="185">
        <f t="shared" si="81"/>
        <v>312.00627802704787</v>
      </c>
      <c r="BR157" s="186">
        <f t="shared" si="82"/>
        <v>2.1921390773742626</v>
      </c>
      <c r="BS157" s="185" t="str">
        <f t="shared" si="83"/>
        <v>O/S</v>
      </c>
      <c r="BT157" s="186">
        <f t="shared" si="84"/>
        <v>2.232945096546056</v>
      </c>
      <c r="BU157" s="185" t="str">
        <f t="shared" si="85"/>
        <v>O/S</v>
      </c>
      <c r="BV157" s="190">
        <f t="shared" si="86"/>
        <v>1674.4643487368398</v>
      </c>
      <c r="BW157" s="191">
        <f t="shared" si="87"/>
        <v>37.675447846578898</v>
      </c>
      <c r="BX157" s="190">
        <f t="shared" si="88"/>
        <v>837.23217436841992</v>
      </c>
      <c r="BY157" s="167">
        <f t="shared" si="89"/>
        <v>265.94433774055693</v>
      </c>
      <c r="BZ157" s="192">
        <f t="shared" si="90"/>
        <v>1.2927849751277074</v>
      </c>
      <c r="CA157" s="191">
        <f t="shared" si="91"/>
        <v>24.624475716718234</v>
      </c>
      <c r="CB157" s="193">
        <f t="shared" si="92"/>
        <v>0.20638329743418063</v>
      </c>
      <c r="CC157" s="167">
        <f t="shared" si="93"/>
        <v>269.34269098906907</v>
      </c>
      <c r="CD157" s="191">
        <f t="shared" si="94"/>
        <v>1.1385258677074177</v>
      </c>
      <c r="CE157" s="189">
        <f t="shared" si="95"/>
        <v>1.2927849751277074</v>
      </c>
      <c r="CF157" s="194" t="str">
        <f t="shared" si="96"/>
        <v>O/S</v>
      </c>
      <c r="DA157" s="140"/>
      <c r="DB157" s="140"/>
      <c r="DC157" s="140"/>
      <c r="DD157" s="141"/>
      <c r="DE157" s="151"/>
      <c r="DF157" s="152"/>
      <c r="DG157" s="152"/>
      <c r="DH157" s="152"/>
      <c r="DI157" s="152"/>
      <c r="DJ157" s="152"/>
      <c r="DK157" s="161"/>
      <c r="DL157" s="162"/>
      <c r="DM157" s="162"/>
      <c r="DN157" s="162"/>
      <c r="DO157" s="162"/>
      <c r="DP157" s="162"/>
      <c r="DQ157" s="140"/>
      <c r="DR157" s="151"/>
      <c r="DS157" s="151"/>
      <c r="DT157" s="151"/>
      <c r="DU157" s="151"/>
      <c r="DV157" s="151"/>
      <c r="DW157" s="151"/>
      <c r="DX157" s="151"/>
      <c r="DY157" s="151"/>
      <c r="DZ157" s="151"/>
      <c r="EA157" s="161"/>
      <c r="EB157" s="161"/>
      <c r="EC157" s="161"/>
      <c r="ED157" s="161"/>
      <c r="EE157" s="161"/>
      <c r="EF157" s="161"/>
      <c r="EG157" s="161"/>
      <c r="EH157" s="161"/>
      <c r="EI157" s="161"/>
      <c r="EJ157" s="161"/>
      <c r="EK157" s="209"/>
      <c r="EL157" s="161"/>
      <c r="EM157" s="187"/>
      <c r="EN157" s="187"/>
      <c r="EO157" s="206"/>
      <c r="EP157" s="212"/>
      <c r="EQ157" s="208"/>
      <c r="ER157" s="187"/>
      <c r="ES157" s="187"/>
      <c r="ET157" s="187"/>
      <c r="EU157" s="187"/>
      <c r="EV157" s="210"/>
      <c r="EW157" s="209"/>
      <c r="EX157" s="210"/>
      <c r="EY157" s="162"/>
      <c r="EZ157" s="211"/>
      <c r="FA157" s="209"/>
      <c r="FB157" s="207"/>
      <c r="FC157" s="162"/>
      <c r="FD157" s="209"/>
      <c r="FE157" s="187"/>
      <c r="FF157" s="187"/>
    </row>
    <row r="158" spans="27:162">
      <c r="AA158" s="140" t="s">
        <v>210</v>
      </c>
      <c r="AB158" s="140" t="s">
        <v>239</v>
      </c>
      <c r="AC158" s="140">
        <v>102</v>
      </c>
      <c r="AD158" s="141">
        <v>3</v>
      </c>
      <c r="AE158" s="151">
        <v>750</v>
      </c>
      <c r="AF158" s="152">
        <v>350</v>
      </c>
      <c r="AG158" s="152">
        <v>14</v>
      </c>
      <c r="AH158" s="152">
        <v>18.000000000000004</v>
      </c>
      <c r="AI158" s="152">
        <v>714</v>
      </c>
      <c r="AJ158" s="153" t="str" cm="1">
        <f t="array" ref="AJ158">_xll.Dce_Name_SectI(AE158, AE158, AF158, AG158, AH158, "x", "-", "H Tổng")</f>
        <v>750x350x14x18</v>
      </c>
      <c r="AK158" s="161">
        <f t="shared" si="67"/>
        <v>1010</v>
      </c>
      <c r="AL158" s="162" cm="1">
        <f t="array" ref="AL158">IFERROR(INDEX($B$25:$B$32,IFERROR(MATCH(AF158,$B$25:$B$32,0),MATCH(AF158,$B$25:$B$32,1)+1)),$B$25)</f>
        <v>350</v>
      </c>
      <c r="AM158" s="162" cm="1">
        <f t="array" ref="AM158">IFERROR(VLOOKUP(AE158,$B$36:$E$47,4,FALSE),INDEX($E$36:$E$47,MATCH(AE158,$B$36:$B$47,1)+1))</f>
        <v>25</v>
      </c>
      <c r="AN158" s="162" cm="1">
        <f t="array" ref="AN158">IFERROR(VLOOKUP(AE158,$B$36:$E$47,2,FALSE),INDEX($C$36:$C$47,MATCH(AE158,$B$36:$B$47,1)+1))</f>
        <v>12</v>
      </c>
      <c r="AO158" s="162" cm="1">
        <f t="array" ref="AO158">IFERROR(VLOOKUP(AE158,$B$36:$E$47,3,FALSE),INDEX($D$36:$D$47,MATCH(AE158,$B$36:$B$47,1)+1))</f>
        <v>24</v>
      </c>
      <c r="AP158" s="163" t="str">
        <f t="shared" si="68"/>
        <v>1010x350x25 + 12M24</v>
      </c>
      <c r="AQ158" s="140" t="s">
        <v>255</v>
      </c>
      <c r="AR158" s="151">
        <v>0</v>
      </c>
      <c r="AS158" s="151">
        <v>-441.97821085670932</v>
      </c>
      <c r="AT158" s="151">
        <v>4.5110937207937226E-14</v>
      </c>
      <c r="AU158" s="151">
        <v>6.912627804415883E-4</v>
      </c>
      <c r="AV158" s="151">
        <v>5.6906719692051401E-14</v>
      </c>
      <c r="AW158" s="151">
        <v>-360.04917868106361</v>
      </c>
      <c r="BA158" s="161">
        <f t="shared" si="69"/>
        <v>60</v>
      </c>
      <c r="BB158" s="161">
        <f t="shared" si="70"/>
        <v>70</v>
      </c>
      <c r="BC158" s="161">
        <f t="shared" si="71"/>
        <v>80</v>
      </c>
      <c r="BD158" s="161">
        <f t="shared" si="72"/>
        <v>150</v>
      </c>
      <c r="BE158" s="161">
        <f>HLOOKUP(AO158,Data!$H$31:$Q$35,3,FALSE)</f>
        <v>452.38934211693021</v>
      </c>
      <c r="BF158" s="161">
        <f>HLOOKUP(AO158,Data!$H$31:$Q$35,4,FALSE)</f>
        <v>353</v>
      </c>
      <c r="BG158" s="179">
        <f t="shared" si="73"/>
        <v>180</v>
      </c>
      <c r="BH158" s="185">
        <f t="shared" si="74"/>
        <v>121.65654188208487</v>
      </c>
      <c r="BI158" s="185">
        <f t="shared" si="75"/>
        <v>243</v>
      </c>
      <c r="BJ158" s="185">
        <f t="shared" si="76"/>
        <v>142.3296</v>
      </c>
      <c r="BK158" s="185">
        <f t="shared" si="77"/>
        <v>36.648729755408176</v>
      </c>
      <c r="BL158" s="186">
        <f t="shared" si="78"/>
        <v>0.89458333333333329</v>
      </c>
      <c r="BM158" s="186">
        <f t="shared" si="79"/>
        <v>0.33674616344544861</v>
      </c>
      <c r="BN158" s="185" t="str">
        <f t="shared" si="80"/>
        <v>OK</v>
      </c>
      <c r="BO158" s="185" cm="1">
        <f t="array" ref="BO158">_xll.DCEBoltDisRS(AN158, AE158, BA158, BB158, BC158, BD158, "h1")</f>
        <v>890</v>
      </c>
      <c r="BP158" s="185" cm="1">
        <f t="array" ref="BP158">_xll.DCEBoltDisRS(AN158, AE158, BA158, BB158, BC158, BD158, "Tong")</f>
        <v>1800300</v>
      </c>
      <c r="BQ158" s="185">
        <f t="shared" si="81"/>
        <v>92.662198150830093</v>
      </c>
      <c r="BR158" s="186">
        <f t="shared" si="82"/>
        <v>0.65103954589087654</v>
      </c>
      <c r="BS158" s="185" t="str">
        <f t="shared" si="83"/>
        <v>OK</v>
      </c>
      <c r="BT158" s="186">
        <f t="shared" si="84"/>
        <v>0.7173580346053301</v>
      </c>
      <c r="BU158" s="185" t="str">
        <f t="shared" si="85"/>
        <v>OK</v>
      </c>
      <c r="BV158" s="190">
        <f t="shared" si="86"/>
        <v>480.06557157475146</v>
      </c>
      <c r="BW158" s="191">
        <f t="shared" si="87"/>
        <v>10.801475360431908</v>
      </c>
      <c r="BX158" s="190">
        <f t="shared" si="88"/>
        <v>240.03278578737573</v>
      </c>
      <c r="BY158" s="167">
        <f t="shared" si="89"/>
        <v>102.6674885744023</v>
      </c>
      <c r="BZ158" s="192">
        <f t="shared" si="90"/>
        <v>0.4990780694589001</v>
      </c>
      <c r="CA158" s="191">
        <f t="shared" si="91"/>
        <v>9.5062489420742864</v>
      </c>
      <c r="CB158" s="193">
        <f t="shared" si="92"/>
        <v>7.9674021305699241E-2</v>
      </c>
      <c r="CC158" s="167">
        <f t="shared" si="93"/>
        <v>103.97941871842279</v>
      </c>
      <c r="CD158" s="191">
        <f t="shared" si="94"/>
        <v>0.43952652839913026</v>
      </c>
      <c r="CE158" s="189">
        <f t="shared" si="95"/>
        <v>0.4990780694589001</v>
      </c>
      <c r="CF158" s="194" t="str">
        <f t="shared" si="96"/>
        <v>OK</v>
      </c>
      <c r="DA158" s="140"/>
      <c r="DB158" s="140"/>
      <c r="DC158" s="140"/>
      <c r="DD158" s="141"/>
      <c r="DE158" s="151"/>
      <c r="DF158" s="152"/>
      <c r="DG158" s="152"/>
      <c r="DH158" s="152"/>
      <c r="DI158" s="152"/>
      <c r="DJ158" s="152"/>
      <c r="DK158" s="161"/>
      <c r="DL158" s="162"/>
      <c r="DM158" s="162"/>
      <c r="DN158" s="162"/>
      <c r="DO158" s="162"/>
      <c r="DP158" s="162"/>
      <c r="DQ158" s="140"/>
      <c r="DR158" s="151"/>
      <c r="DS158" s="151"/>
      <c r="DT158" s="151"/>
      <c r="DU158" s="151"/>
      <c r="DV158" s="151"/>
      <c r="DW158" s="151"/>
      <c r="DX158" s="151"/>
      <c r="DY158" s="151"/>
      <c r="DZ158" s="151"/>
      <c r="EA158" s="161"/>
      <c r="EB158" s="161"/>
      <c r="EC158" s="161"/>
      <c r="ED158" s="161"/>
      <c r="EE158" s="161"/>
      <c r="EF158" s="161"/>
      <c r="EG158" s="161"/>
      <c r="EH158" s="161"/>
      <c r="EI158" s="161"/>
      <c r="EJ158" s="161"/>
      <c r="EK158" s="209"/>
      <c r="EL158" s="161"/>
      <c r="EM158" s="187"/>
      <c r="EN158" s="187"/>
      <c r="EO158" s="206"/>
      <c r="EP158" s="212"/>
      <c r="EQ158" s="208"/>
      <c r="ER158" s="187"/>
      <c r="ES158" s="187"/>
      <c r="ET158" s="187"/>
      <c r="EU158" s="187"/>
      <c r="EV158" s="210"/>
      <c r="EW158" s="209"/>
      <c r="EX158" s="210"/>
      <c r="EY158" s="162"/>
      <c r="EZ158" s="211"/>
      <c r="FA158" s="209"/>
      <c r="FB158" s="207"/>
      <c r="FC158" s="162"/>
      <c r="FD158" s="209"/>
      <c r="FE158" s="187"/>
      <c r="FF158" s="187"/>
    </row>
    <row r="159" spans="27:162">
      <c r="AA159" s="140" t="s">
        <v>210</v>
      </c>
      <c r="AB159" s="140" t="s">
        <v>239</v>
      </c>
      <c r="AC159" s="140">
        <v>102</v>
      </c>
      <c r="AD159" s="141">
        <v>0.3</v>
      </c>
      <c r="AE159" s="151">
        <v>1100</v>
      </c>
      <c r="AF159" s="152">
        <v>350</v>
      </c>
      <c r="AG159" s="152">
        <v>14</v>
      </c>
      <c r="AH159" s="152">
        <v>18.000000000000004</v>
      </c>
      <c r="AI159" s="152">
        <v>1064</v>
      </c>
      <c r="AJ159" s="153" t="str" cm="1">
        <f t="array" ref="AJ159">_xll.Dce_Name_SectI(AE159, AE159, AF159, AG159, AH159, "x", "-", "H Tổng")</f>
        <v>1100x350x14x18</v>
      </c>
      <c r="AK159" s="161">
        <f t="shared" si="67"/>
        <v>1360</v>
      </c>
      <c r="AL159" s="162" cm="1">
        <f t="array" ref="AL159">IFERROR(INDEX($B$25:$B$32,IFERROR(MATCH(AF159,$B$25:$B$32,0),MATCH(AF159,$B$25:$B$32,1)+1)),$B$25)</f>
        <v>350</v>
      </c>
      <c r="AM159" s="162" cm="1">
        <f t="array" ref="AM159">IFERROR(VLOOKUP(AE159,$B$36:$E$47,4,FALSE),INDEX($E$36:$E$47,MATCH(AE159,$B$36:$B$47,1)+1))</f>
        <v>25</v>
      </c>
      <c r="AN159" s="162" cm="1">
        <f t="array" ref="AN159">IFERROR(VLOOKUP(AE159,$B$36:$E$47,2,FALSE),INDEX($C$36:$C$47,MATCH(AE159,$B$36:$B$47,1)+1))</f>
        <v>12</v>
      </c>
      <c r="AO159" s="162" cm="1">
        <f t="array" ref="AO159">IFERROR(VLOOKUP(AE159,$B$36:$E$47,3,FALSE),INDEX($D$36:$D$47,MATCH(AE159,$B$36:$B$47,1)+1))</f>
        <v>24</v>
      </c>
      <c r="AP159" s="163" t="str">
        <f t="shared" si="68"/>
        <v>1360x350x25 + 12M24</v>
      </c>
      <c r="AQ159" s="140" t="s">
        <v>256</v>
      </c>
      <c r="AR159" s="151">
        <v>0</v>
      </c>
      <c r="AS159" s="151">
        <v>-620.6171032745824</v>
      </c>
      <c r="AT159" s="151">
        <v>3.0587443689000788E-14</v>
      </c>
      <c r="AU159" s="151">
        <v>1.1212721089244807E-3</v>
      </c>
      <c r="AV159" s="151">
        <v>2.0588538518495622E-14</v>
      </c>
      <c r="AW159" s="151">
        <v>-1811.5067391739206</v>
      </c>
      <c r="BA159" s="161">
        <f t="shared" si="69"/>
        <v>60</v>
      </c>
      <c r="BB159" s="161">
        <f t="shared" si="70"/>
        <v>70</v>
      </c>
      <c r="BC159" s="161">
        <f t="shared" si="71"/>
        <v>80</v>
      </c>
      <c r="BD159" s="161">
        <f t="shared" si="72"/>
        <v>150</v>
      </c>
      <c r="BE159" s="161">
        <f>HLOOKUP(AO159,Data!$H$31:$Q$35,3,FALSE)</f>
        <v>452.38934211693021</v>
      </c>
      <c r="BF159" s="161">
        <f>HLOOKUP(AO159,Data!$H$31:$Q$35,4,FALSE)</f>
        <v>353</v>
      </c>
      <c r="BG159" s="179">
        <f t="shared" si="73"/>
        <v>180</v>
      </c>
      <c r="BH159" s="185">
        <f t="shared" si="74"/>
        <v>121.65654188208487</v>
      </c>
      <c r="BI159" s="185">
        <f t="shared" si="75"/>
        <v>243</v>
      </c>
      <c r="BJ159" s="185">
        <f t="shared" si="76"/>
        <v>142.3296</v>
      </c>
      <c r="BK159" s="185">
        <f t="shared" si="77"/>
        <v>51.461424886550255</v>
      </c>
      <c r="BL159" s="186">
        <f t="shared" si="78"/>
        <v>0.82166666666666666</v>
      </c>
      <c r="BM159" s="186">
        <f t="shared" si="79"/>
        <v>0.51481438168764215</v>
      </c>
      <c r="BN159" s="185" t="str">
        <f t="shared" si="80"/>
        <v>OK</v>
      </c>
      <c r="BO159" s="185" cm="1">
        <f t="array" ref="BO159">_xll.DCEBoltDisRS(AN159, AE159, BA159, BB159, BC159, BD159, "h1")</f>
        <v>1240</v>
      </c>
      <c r="BP159" s="185" cm="1">
        <f t="array" ref="BP159">_xll.DCEBoltDisRS(AN159, AE159, BA159, BB159, BC159, BD159, "Tong")</f>
        <v>3721800</v>
      </c>
      <c r="BQ159" s="185">
        <f t="shared" si="81"/>
        <v>306.91791375197676</v>
      </c>
      <c r="BR159" s="186">
        <f t="shared" si="82"/>
        <v>2.1563885077452389</v>
      </c>
      <c r="BS159" s="185" t="str">
        <f t="shared" si="83"/>
        <v>O/S</v>
      </c>
      <c r="BT159" s="186">
        <f t="shared" si="84"/>
        <v>2.1974861359089632</v>
      </c>
      <c r="BU159" s="185" t="str">
        <f t="shared" si="85"/>
        <v>O/S</v>
      </c>
      <c r="BV159" s="190">
        <f t="shared" si="86"/>
        <v>1646.8243083399277</v>
      </c>
      <c r="BW159" s="191">
        <f t="shared" si="87"/>
        <v>37.05354693764837</v>
      </c>
      <c r="BX159" s="190">
        <f t="shared" si="88"/>
        <v>823.41215416996386</v>
      </c>
      <c r="BY159" s="167">
        <f t="shared" si="89"/>
        <v>261.55444897163551</v>
      </c>
      <c r="BZ159" s="192">
        <f t="shared" si="90"/>
        <v>1.2714452380565617</v>
      </c>
      <c r="CA159" s="191">
        <f t="shared" si="91"/>
        <v>24.218004534410703</v>
      </c>
      <c r="CB159" s="193">
        <f t="shared" si="92"/>
        <v>0.20297657057097096</v>
      </c>
      <c r="CC159" s="167">
        <f t="shared" si="93"/>
        <v>264.89670629840242</v>
      </c>
      <c r="CD159" s="191">
        <f t="shared" si="94"/>
        <v>1.1197324541599138</v>
      </c>
      <c r="CE159" s="189">
        <f t="shared" si="95"/>
        <v>1.2714452380565617</v>
      </c>
      <c r="CF159" s="194" t="str">
        <f t="shared" si="96"/>
        <v>O/S</v>
      </c>
      <c r="DA159" s="140"/>
      <c r="DB159" s="140"/>
      <c r="DC159" s="140"/>
      <c r="DD159" s="141"/>
      <c r="DE159" s="151"/>
      <c r="DF159" s="152"/>
      <c r="DG159" s="152"/>
      <c r="DH159" s="152"/>
      <c r="DI159" s="152"/>
      <c r="DJ159" s="152"/>
      <c r="DK159" s="161"/>
      <c r="DL159" s="162"/>
      <c r="DM159" s="162"/>
      <c r="DN159" s="162"/>
      <c r="DO159" s="162"/>
      <c r="DP159" s="162"/>
      <c r="DQ159" s="140"/>
      <c r="DR159" s="151"/>
      <c r="DS159" s="151"/>
      <c r="DT159" s="151"/>
      <c r="DU159" s="151"/>
      <c r="DV159" s="151"/>
      <c r="DW159" s="151"/>
      <c r="DX159" s="151"/>
      <c r="DY159" s="151"/>
      <c r="DZ159" s="151"/>
      <c r="EA159" s="161"/>
      <c r="EB159" s="161"/>
      <c r="EC159" s="161"/>
      <c r="ED159" s="161"/>
      <c r="EE159" s="161"/>
      <c r="EF159" s="161"/>
      <c r="EG159" s="161"/>
      <c r="EH159" s="161"/>
      <c r="EI159" s="161"/>
      <c r="EJ159" s="161"/>
      <c r="EK159" s="209"/>
      <c r="EL159" s="161"/>
      <c r="EM159" s="187"/>
      <c r="EN159" s="187"/>
      <c r="EO159" s="206"/>
      <c r="EP159" s="212"/>
      <c r="EQ159" s="208"/>
      <c r="ER159" s="187"/>
      <c r="ES159" s="187"/>
      <c r="ET159" s="187"/>
      <c r="EU159" s="187"/>
      <c r="EV159" s="210"/>
      <c r="EW159" s="209"/>
      <c r="EX159" s="210"/>
      <c r="EY159" s="162"/>
      <c r="EZ159" s="211"/>
      <c r="FA159" s="209"/>
      <c r="FB159" s="207"/>
      <c r="FC159" s="162"/>
      <c r="FD159" s="209"/>
      <c r="FE159" s="187"/>
      <c r="FF159" s="187"/>
    </row>
    <row r="160" spans="27:162">
      <c r="AA160" s="140" t="s">
        <v>210</v>
      </c>
      <c r="AB160" s="140" t="s">
        <v>239</v>
      </c>
      <c r="AC160" s="140">
        <v>102</v>
      </c>
      <c r="AD160" s="141">
        <v>3</v>
      </c>
      <c r="AE160" s="151">
        <v>750</v>
      </c>
      <c r="AF160" s="152">
        <v>350</v>
      </c>
      <c r="AG160" s="152">
        <v>14</v>
      </c>
      <c r="AH160" s="152">
        <v>18.000000000000004</v>
      </c>
      <c r="AI160" s="152">
        <v>714</v>
      </c>
      <c r="AJ160" s="153" t="str" cm="1">
        <f t="array" ref="AJ160">_xll.Dce_Name_SectI(AE160, AE160, AF160, AG160, AH160, "x", "-", "H Tổng")</f>
        <v>750x350x14x18</v>
      </c>
      <c r="AK160" s="161">
        <f t="shared" si="67"/>
        <v>1010</v>
      </c>
      <c r="AL160" s="162" cm="1">
        <f t="array" ref="AL160">IFERROR(INDEX($B$25:$B$32,IFERROR(MATCH(AF160,$B$25:$B$32,0),MATCH(AF160,$B$25:$B$32,1)+1)),$B$25)</f>
        <v>350</v>
      </c>
      <c r="AM160" s="162" cm="1">
        <f t="array" ref="AM160">IFERROR(VLOOKUP(AE160,$B$36:$E$47,4,FALSE),INDEX($E$36:$E$47,MATCH(AE160,$B$36:$B$47,1)+1))</f>
        <v>25</v>
      </c>
      <c r="AN160" s="162" cm="1">
        <f t="array" ref="AN160">IFERROR(VLOOKUP(AE160,$B$36:$E$47,2,FALSE),INDEX($C$36:$C$47,MATCH(AE160,$B$36:$B$47,1)+1))</f>
        <v>12</v>
      </c>
      <c r="AO160" s="162" cm="1">
        <f t="array" ref="AO160">IFERROR(VLOOKUP(AE160,$B$36:$E$47,3,FALSE),INDEX($D$36:$D$47,MATCH(AE160,$B$36:$B$47,1)+1))</f>
        <v>24</v>
      </c>
      <c r="AP160" s="163" t="str">
        <f t="shared" si="68"/>
        <v>1010x350x25 + 12M24</v>
      </c>
      <c r="AQ160" s="140" t="s">
        <v>256</v>
      </c>
      <c r="AR160" s="151">
        <v>0</v>
      </c>
      <c r="AS160" s="151">
        <v>-439.14724779328907</v>
      </c>
      <c r="AT160" s="151">
        <v>4.5110937207937226E-14</v>
      </c>
      <c r="AU160" s="151">
        <v>1.1214582037810863E-3</v>
      </c>
      <c r="AV160" s="151">
        <v>5.6906719692051401E-14</v>
      </c>
      <c r="AW160" s="151">
        <v>-337.28880392626252</v>
      </c>
      <c r="BA160" s="161">
        <f t="shared" si="69"/>
        <v>60</v>
      </c>
      <c r="BB160" s="161">
        <f t="shared" si="70"/>
        <v>70</v>
      </c>
      <c r="BC160" s="161">
        <f t="shared" si="71"/>
        <v>80</v>
      </c>
      <c r="BD160" s="161">
        <f t="shared" si="72"/>
        <v>150</v>
      </c>
      <c r="BE160" s="161">
        <f>HLOOKUP(AO160,Data!$H$31:$Q$35,3,FALSE)</f>
        <v>452.38934211693021</v>
      </c>
      <c r="BF160" s="161">
        <f>HLOOKUP(AO160,Data!$H$31:$Q$35,4,FALSE)</f>
        <v>353</v>
      </c>
      <c r="BG160" s="179">
        <f t="shared" si="73"/>
        <v>180</v>
      </c>
      <c r="BH160" s="185">
        <f t="shared" si="74"/>
        <v>121.65654188208487</v>
      </c>
      <c r="BI160" s="185">
        <f t="shared" si="75"/>
        <v>243</v>
      </c>
      <c r="BJ160" s="185">
        <f t="shared" si="76"/>
        <v>142.3296</v>
      </c>
      <c r="BK160" s="185">
        <f t="shared" si="77"/>
        <v>36.41398696105702</v>
      </c>
      <c r="BL160" s="186">
        <f t="shared" si="78"/>
        <v>0.89458333333333329</v>
      </c>
      <c r="BM160" s="186">
        <f t="shared" si="79"/>
        <v>0.33458923369858473</v>
      </c>
      <c r="BN160" s="185" t="str">
        <f t="shared" si="80"/>
        <v>OK</v>
      </c>
      <c r="BO160" s="185" cm="1">
        <f t="array" ref="BO160">_xll.DCEBoltDisRS(AN160, AE160, BA160, BB160, BC160, BD160, "h1")</f>
        <v>890</v>
      </c>
      <c r="BP160" s="185" cm="1">
        <f t="array" ref="BP160">_xll.DCEBoltDisRS(AN160, AE160, BA160, BB160, BC160, BD160, "Tong")</f>
        <v>1800300</v>
      </c>
      <c r="BQ160" s="185">
        <f t="shared" si="81"/>
        <v>87.012791101364172</v>
      </c>
      <c r="BR160" s="186">
        <f t="shared" si="82"/>
        <v>0.61134712035559835</v>
      </c>
      <c r="BS160" s="185" t="str">
        <f t="shared" si="83"/>
        <v>OK</v>
      </c>
      <c r="BT160" s="186">
        <f t="shared" si="84"/>
        <v>0.68068828250844748</v>
      </c>
      <c r="BU160" s="185" t="str">
        <f t="shared" si="85"/>
        <v>OK</v>
      </c>
      <c r="BV160" s="190">
        <f t="shared" si="86"/>
        <v>449.71840523501669</v>
      </c>
      <c r="BW160" s="191">
        <f t="shared" si="87"/>
        <v>10.118664117787874</v>
      </c>
      <c r="BX160" s="190">
        <f t="shared" si="88"/>
        <v>224.85920261750834</v>
      </c>
      <c r="BY160" s="167">
        <f t="shared" si="89"/>
        <v>96.177401515607528</v>
      </c>
      <c r="BZ160" s="192">
        <f t="shared" si="90"/>
        <v>0.46752903514531441</v>
      </c>
      <c r="CA160" s="191">
        <f t="shared" si="91"/>
        <v>8.905314955148846</v>
      </c>
      <c r="CB160" s="193">
        <f t="shared" si="92"/>
        <v>7.4637457717962083E-2</v>
      </c>
      <c r="CC160" s="167">
        <f t="shared" si="93"/>
        <v>97.406398484111804</v>
      </c>
      <c r="CD160" s="191">
        <f t="shared" si="94"/>
        <v>0.41174202257776737</v>
      </c>
      <c r="CE160" s="189">
        <f t="shared" si="95"/>
        <v>0.46752903514531441</v>
      </c>
      <c r="CF160" s="194" t="str">
        <f t="shared" si="96"/>
        <v>OK</v>
      </c>
      <c r="DA160" s="140"/>
      <c r="DB160" s="140"/>
      <c r="DC160" s="140"/>
      <c r="DD160" s="141"/>
      <c r="DE160" s="151"/>
      <c r="DF160" s="152"/>
      <c r="DG160" s="152"/>
      <c r="DH160" s="152"/>
      <c r="DI160" s="152"/>
      <c r="DJ160" s="152"/>
      <c r="DK160" s="161"/>
      <c r="DL160" s="162"/>
      <c r="DM160" s="162"/>
      <c r="DN160" s="162"/>
      <c r="DO160" s="162"/>
      <c r="DP160" s="162"/>
      <c r="DQ160" s="140"/>
      <c r="DR160" s="151"/>
      <c r="DS160" s="151"/>
      <c r="DT160" s="151"/>
      <c r="DU160" s="151"/>
      <c r="DV160" s="151"/>
      <c r="DW160" s="151"/>
      <c r="DX160" s="151"/>
      <c r="DY160" s="151"/>
      <c r="DZ160" s="151"/>
      <c r="EA160" s="161"/>
      <c r="EB160" s="161"/>
      <c r="EC160" s="161"/>
      <c r="ED160" s="161"/>
      <c r="EE160" s="161"/>
      <c r="EF160" s="161"/>
      <c r="EG160" s="161"/>
      <c r="EH160" s="161"/>
      <c r="EI160" s="161"/>
      <c r="EJ160" s="161"/>
      <c r="EK160" s="209"/>
      <c r="EL160" s="161"/>
      <c r="EM160" s="187"/>
      <c r="EN160" s="187"/>
      <c r="EO160" s="206"/>
      <c r="EP160" s="212"/>
      <c r="EQ160" s="208"/>
      <c r="ER160" s="187"/>
      <c r="ES160" s="187"/>
      <c r="ET160" s="187"/>
      <c r="EU160" s="187"/>
      <c r="EV160" s="210"/>
      <c r="EW160" s="209"/>
      <c r="EX160" s="210"/>
      <c r="EY160" s="162"/>
      <c r="EZ160" s="211"/>
      <c r="FA160" s="209"/>
      <c r="FB160" s="207"/>
      <c r="FC160" s="162"/>
      <c r="FD160" s="209"/>
      <c r="FE160" s="187"/>
      <c r="FF160" s="187"/>
    </row>
    <row r="161" spans="27:162">
      <c r="AA161" s="140" t="s">
        <v>210</v>
      </c>
      <c r="AB161" s="140" t="s">
        <v>239</v>
      </c>
      <c r="AC161" s="140">
        <v>102</v>
      </c>
      <c r="AD161" s="141">
        <v>0.3</v>
      </c>
      <c r="AE161" s="151">
        <v>1100</v>
      </c>
      <c r="AF161" s="152">
        <v>350</v>
      </c>
      <c r="AG161" s="152">
        <v>14</v>
      </c>
      <c r="AH161" s="152">
        <v>18.000000000000004</v>
      </c>
      <c r="AI161" s="152">
        <v>1064</v>
      </c>
      <c r="AJ161" s="153" t="str" cm="1">
        <f t="array" ref="AJ161">_xll.Dce_Name_SectI(AE161, AE161, AF161, AG161, AH161, "x", "-", "H Tổng")</f>
        <v>1100x350x14x18</v>
      </c>
      <c r="AK161" s="161">
        <f t="shared" si="67"/>
        <v>1360</v>
      </c>
      <c r="AL161" s="162" cm="1">
        <f t="array" ref="AL161">IFERROR(INDEX($B$25:$B$32,IFERROR(MATCH(AF161,$B$25:$B$32,0),MATCH(AF161,$B$25:$B$32,1)+1)),$B$25)</f>
        <v>350</v>
      </c>
      <c r="AM161" s="162" cm="1">
        <f t="array" ref="AM161">IFERROR(VLOOKUP(AE161,$B$36:$E$47,4,FALSE),INDEX($E$36:$E$47,MATCH(AE161,$B$36:$B$47,1)+1))</f>
        <v>25</v>
      </c>
      <c r="AN161" s="162" cm="1">
        <f t="array" ref="AN161">IFERROR(VLOOKUP(AE161,$B$36:$E$47,2,FALSE),INDEX($C$36:$C$47,MATCH(AE161,$B$36:$B$47,1)+1))</f>
        <v>12</v>
      </c>
      <c r="AO161" s="162" cm="1">
        <f t="array" ref="AO161">IFERROR(VLOOKUP(AE161,$B$36:$E$47,3,FALSE),INDEX($D$36:$D$47,MATCH(AE161,$B$36:$B$47,1)+1))</f>
        <v>24</v>
      </c>
      <c r="AP161" s="163" t="str">
        <f t="shared" si="68"/>
        <v>1360x350x25 + 12M24</v>
      </c>
      <c r="AQ161" s="140" t="s">
        <v>257</v>
      </c>
      <c r="AR161" s="151">
        <v>0</v>
      </c>
      <c r="AS161" s="151">
        <v>-619.67509404018665</v>
      </c>
      <c r="AT161" s="151">
        <v>1.028865881380625E-15</v>
      </c>
      <c r="AU161" s="151">
        <v>1.3104358027620389E-3</v>
      </c>
      <c r="AV161" s="151">
        <v>-6.4179630498983895E-16</v>
      </c>
      <c r="AW161" s="151">
        <v>-1819.8129823748243</v>
      </c>
      <c r="BA161" s="161">
        <f t="shared" si="69"/>
        <v>60</v>
      </c>
      <c r="BB161" s="161">
        <f t="shared" si="70"/>
        <v>70</v>
      </c>
      <c r="BC161" s="161">
        <f t="shared" si="71"/>
        <v>80</v>
      </c>
      <c r="BD161" s="161">
        <f t="shared" si="72"/>
        <v>150</v>
      </c>
      <c r="BE161" s="161">
        <f>HLOOKUP(AO161,Data!$H$31:$Q$35,3,FALSE)</f>
        <v>452.38934211693021</v>
      </c>
      <c r="BF161" s="161">
        <f>HLOOKUP(AO161,Data!$H$31:$Q$35,4,FALSE)</f>
        <v>353</v>
      </c>
      <c r="BG161" s="179">
        <f t="shared" si="73"/>
        <v>180</v>
      </c>
      <c r="BH161" s="185">
        <f t="shared" si="74"/>
        <v>121.65654188208487</v>
      </c>
      <c r="BI161" s="185">
        <f t="shared" si="75"/>
        <v>243</v>
      </c>
      <c r="BJ161" s="185">
        <f t="shared" si="76"/>
        <v>142.3296</v>
      </c>
      <c r="BK161" s="185">
        <f t="shared" si="77"/>
        <v>51.383313701404838</v>
      </c>
      <c r="BL161" s="186">
        <f t="shared" si="78"/>
        <v>0.82166666666666666</v>
      </c>
      <c r="BM161" s="186">
        <f t="shared" si="79"/>
        <v>0.51403296606278959</v>
      </c>
      <c r="BN161" s="185" t="str">
        <f t="shared" si="80"/>
        <v>OK</v>
      </c>
      <c r="BO161" s="185" cm="1">
        <f t="array" ref="BO161">_xll.DCEBoltDisRS(AN161, AE161, BA161, BB161, BC161, BD161, "h1")</f>
        <v>1240</v>
      </c>
      <c r="BP161" s="185" cm="1">
        <f t="array" ref="BP161">_xll.DCEBoltDisRS(AN161, AE161, BA161, BB161, BC161, BD161, "Tong")</f>
        <v>3721800</v>
      </c>
      <c r="BQ161" s="185">
        <f t="shared" si="81"/>
        <v>308.29380696592506</v>
      </c>
      <c r="BR161" s="186">
        <f t="shared" si="82"/>
        <v>2.1660554583581</v>
      </c>
      <c r="BS161" s="185" t="str">
        <f t="shared" si="83"/>
        <v>O/S</v>
      </c>
      <c r="BT161" s="186">
        <f t="shared" si="84"/>
        <v>2.2068501057369971</v>
      </c>
      <c r="BU161" s="185" t="str">
        <f t="shared" si="85"/>
        <v>O/S</v>
      </c>
      <c r="BV161" s="190">
        <f t="shared" si="86"/>
        <v>1654.3754385225675</v>
      </c>
      <c r="BW161" s="191">
        <f t="shared" si="87"/>
        <v>37.223447366757767</v>
      </c>
      <c r="BX161" s="190">
        <f t="shared" si="88"/>
        <v>827.18771926128375</v>
      </c>
      <c r="BY161" s="167">
        <f t="shared" si="89"/>
        <v>262.75374611829011</v>
      </c>
      <c r="BZ161" s="192">
        <f t="shared" si="90"/>
        <v>1.2772751547416881</v>
      </c>
      <c r="CA161" s="191">
        <f t="shared" si="91"/>
        <v>24.329050566508347</v>
      </c>
      <c r="CB161" s="193">
        <f t="shared" si="92"/>
        <v>0.20390727246834103</v>
      </c>
      <c r="CC161" s="167">
        <f t="shared" si="93"/>
        <v>266.11132858936691</v>
      </c>
      <c r="CD161" s="191">
        <f t="shared" si="94"/>
        <v>1.1248667271289665</v>
      </c>
      <c r="CE161" s="189">
        <f t="shared" si="95"/>
        <v>1.2772751547416881</v>
      </c>
      <c r="CF161" s="194" t="str">
        <f t="shared" si="96"/>
        <v>O/S</v>
      </c>
      <c r="DA161" s="140"/>
      <c r="DB161" s="140"/>
      <c r="DC161" s="140"/>
      <c r="DD161" s="141"/>
      <c r="DE161" s="151"/>
      <c r="DF161" s="152"/>
      <c r="DG161" s="152"/>
      <c r="DH161" s="152"/>
      <c r="DI161" s="152"/>
      <c r="DJ161" s="152"/>
      <c r="DK161" s="161"/>
      <c r="DL161" s="162"/>
      <c r="DM161" s="162"/>
      <c r="DN161" s="162"/>
      <c r="DO161" s="162"/>
      <c r="DP161" s="162"/>
      <c r="DQ161" s="140"/>
      <c r="DR161" s="151"/>
      <c r="DS161" s="151"/>
      <c r="DT161" s="151"/>
      <c r="DU161" s="151"/>
      <c r="DV161" s="151"/>
      <c r="DW161" s="151"/>
      <c r="DX161" s="151"/>
      <c r="DY161" s="151"/>
      <c r="DZ161" s="151"/>
      <c r="EA161" s="161"/>
      <c r="EB161" s="161"/>
      <c r="EC161" s="161"/>
      <c r="ED161" s="161"/>
      <c r="EE161" s="161"/>
      <c r="EF161" s="161"/>
      <c r="EG161" s="161"/>
      <c r="EH161" s="161"/>
      <c r="EI161" s="161"/>
      <c r="EJ161" s="161"/>
      <c r="EK161" s="209"/>
      <c r="EL161" s="161"/>
      <c r="EM161" s="187"/>
      <c r="EN161" s="187"/>
      <c r="EO161" s="206"/>
      <c r="EP161" s="212"/>
      <c r="EQ161" s="208"/>
      <c r="ER161" s="187"/>
      <c r="ES161" s="187"/>
      <c r="ET161" s="187"/>
      <c r="EU161" s="187"/>
      <c r="EV161" s="210"/>
      <c r="EW161" s="209"/>
      <c r="EX161" s="210"/>
      <c r="EY161" s="162"/>
      <c r="EZ161" s="211"/>
      <c r="FA161" s="209"/>
      <c r="FB161" s="207"/>
      <c r="FC161" s="162"/>
      <c r="FD161" s="209"/>
      <c r="FE161" s="187"/>
      <c r="FF161" s="187"/>
    </row>
    <row r="162" spans="27:162">
      <c r="AA162" s="140" t="s">
        <v>210</v>
      </c>
      <c r="AB162" s="140" t="s">
        <v>239</v>
      </c>
      <c r="AC162" s="140">
        <v>102</v>
      </c>
      <c r="AD162" s="141">
        <v>3</v>
      </c>
      <c r="AE162" s="151">
        <v>750</v>
      </c>
      <c r="AF162" s="152">
        <v>350</v>
      </c>
      <c r="AG162" s="152">
        <v>14</v>
      </c>
      <c r="AH162" s="152">
        <v>18.000000000000004</v>
      </c>
      <c r="AI162" s="152">
        <v>714</v>
      </c>
      <c r="AJ162" s="153" t="str" cm="1">
        <f t="array" ref="AJ162">_xll.Dce_Name_SectI(AE162, AE162, AF162, AG162, AH162, "x", "-", "H Tổng")</f>
        <v>750x350x14x18</v>
      </c>
      <c r="AK162" s="161">
        <f t="shared" si="67"/>
        <v>1010</v>
      </c>
      <c r="AL162" s="162" cm="1">
        <f t="array" ref="AL162">IFERROR(INDEX($B$25:$B$32,IFERROR(MATCH(AF162,$B$25:$B$32,0),MATCH(AF162,$B$25:$B$32,1)+1)),$B$25)</f>
        <v>350</v>
      </c>
      <c r="AM162" s="162" cm="1">
        <f t="array" ref="AM162">IFERROR(VLOOKUP(AE162,$B$36:$E$47,4,FALSE),INDEX($E$36:$E$47,MATCH(AE162,$B$36:$B$47,1)+1))</f>
        <v>25</v>
      </c>
      <c r="AN162" s="162" cm="1">
        <f t="array" ref="AN162">IFERROR(VLOOKUP(AE162,$B$36:$E$47,2,FALSE),INDEX($C$36:$C$47,MATCH(AE162,$B$36:$B$47,1)+1))</f>
        <v>12</v>
      </c>
      <c r="AO162" s="162" cm="1">
        <f t="array" ref="AO162">IFERROR(VLOOKUP(AE162,$B$36:$E$47,3,FALSE),INDEX($D$36:$D$47,MATCH(AE162,$B$36:$B$47,1)+1))</f>
        <v>24</v>
      </c>
      <c r="AP162" s="163" t="str">
        <f t="shared" si="68"/>
        <v>1010x350x25 + 12M24</v>
      </c>
      <c r="AQ162" s="140" t="s">
        <v>257</v>
      </c>
      <c r="AR162" s="151">
        <v>0</v>
      </c>
      <c r="AS162" s="151">
        <v>-438.20523867222539</v>
      </c>
      <c r="AT162" s="151">
        <v>4.3291947804391368E-14</v>
      </c>
      <c r="AU162" s="151">
        <v>1.3106531272026752E-3</v>
      </c>
      <c r="AV162" s="151">
        <v>6.1683385865762813E-14</v>
      </c>
      <c r="AW162" s="151">
        <v>-348.13846173884627</v>
      </c>
      <c r="BA162" s="161">
        <f t="shared" si="69"/>
        <v>60</v>
      </c>
      <c r="BB162" s="161">
        <f t="shared" si="70"/>
        <v>70</v>
      </c>
      <c r="BC162" s="161">
        <f t="shared" si="71"/>
        <v>80</v>
      </c>
      <c r="BD162" s="161">
        <f t="shared" si="72"/>
        <v>150</v>
      </c>
      <c r="BE162" s="161">
        <f>HLOOKUP(AO162,Data!$H$31:$Q$35,3,FALSE)</f>
        <v>452.38934211693021</v>
      </c>
      <c r="BF162" s="161">
        <f>HLOOKUP(AO162,Data!$H$31:$Q$35,4,FALSE)</f>
        <v>353</v>
      </c>
      <c r="BG162" s="179">
        <f t="shared" si="73"/>
        <v>180</v>
      </c>
      <c r="BH162" s="185">
        <f t="shared" si="74"/>
        <v>121.65654188208487</v>
      </c>
      <c r="BI162" s="185">
        <f t="shared" si="75"/>
        <v>243</v>
      </c>
      <c r="BJ162" s="185">
        <f t="shared" si="76"/>
        <v>142.3296</v>
      </c>
      <c r="BK162" s="185">
        <f t="shared" si="77"/>
        <v>36.335875785309071</v>
      </c>
      <c r="BL162" s="186">
        <f t="shared" si="78"/>
        <v>0.89458333333333329</v>
      </c>
      <c r="BM162" s="186">
        <f t="shared" si="79"/>
        <v>0.33387151063066711</v>
      </c>
      <c r="BN162" s="185" t="str">
        <f t="shared" si="80"/>
        <v>OK</v>
      </c>
      <c r="BO162" s="185" cm="1">
        <f t="array" ref="BO162">_xll.DCEBoltDisRS(AN162, AE162, BA162, BB162, BC162, BD162, "h1")</f>
        <v>890</v>
      </c>
      <c r="BP162" s="185" cm="1">
        <f t="array" ref="BP162">_xll.DCEBoltDisRS(AN162, AE162, BA162, BB162, BC162, BD162, "Tong")</f>
        <v>1800300</v>
      </c>
      <c r="BQ162" s="185">
        <f t="shared" si="81"/>
        <v>89.686809526976489</v>
      </c>
      <c r="BR162" s="186">
        <f t="shared" si="82"/>
        <v>0.63013462784253238</v>
      </c>
      <c r="BS162" s="185" t="str">
        <f t="shared" si="83"/>
        <v>OK</v>
      </c>
      <c r="BT162" s="186">
        <f t="shared" si="84"/>
        <v>0.69733559769131404</v>
      </c>
      <c r="BU162" s="185" t="str">
        <f t="shared" si="85"/>
        <v>OK</v>
      </c>
      <c r="BV162" s="190">
        <f t="shared" si="86"/>
        <v>464.18461565179501</v>
      </c>
      <c r="BW162" s="191">
        <f t="shared" si="87"/>
        <v>10.444153852165387</v>
      </c>
      <c r="BX162" s="190">
        <f t="shared" si="88"/>
        <v>232.09230782589751</v>
      </c>
      <c r="BY162" s="167">
        <f t="shared" si="89"/>
        <v>99.271165327512591</v>
      </c>
      <c r="BZ162" s="192">
        <f t="shared" si="90"/>
        <v>0.48256816478651959</v>
      </c>
      <c r="CA162" s="191">
        <f t="shared" si="91"/>
        <v>9.1917745673622768</v>
      </c>
      <c r="CB162" s="193">
        <f t="shared" si="92"/>
        <v>7.7038340483160855E-2</v>
      </c>
      <c r="CC162" s="167">
        <f t="shared" si="93"/>
        <v>100.53969576527453</v>
      </c>
      <c r="CD162" s="191">
        <f t="shared" si="94"/>
        <v>0.42498663668896247</v>
      </c>
      <c r="CE162" s="189">
        <f t="shared" si="95"/>
        <v>0.48256816478651959</v>
      </c>
      <c r="CF162" s="194" t="str">
        <f t="shared" si="96"/>
        <v>OK</v>
      </c>
      <c r="DA162" s="140"/>
      <c r="DB162" s="140"/>
      <c r="DC162" s="140"/>
      <c r="DD162" s="141"/>
      <c r="DE162" s="151"/>
      <c r="DF162" s="152"/>
      <c r="DG162" s="152"/>
      <c r="DH162" s="152"/>
      <c r="DI162" s="152"/>
      <c r="DJ162" s="152"/>
      <c r="DK162" s="161"/>
      <c r="DL162" s="162"/>
      <c r="DM162" s="162"/>
      <c r="DN162" s="162"/>
      <c r="DO162" s="162"/>
      <c r="DP162" s="162"/>
      <c r="DQ162" s="140"/>
      <c r="DR162" s="151"/>
      <c r="DS162" s="151"/>
      <c r="DT162" s="151"/>
      <c r="DU162" s="151"/>
      <c r="DV162" s="151"/>
      <c r="DW162" s="151"/>
      <c r="DX162" s="151"/>
      <c r="DY162" s="151"/>
      <c r="DZ162" s="151"/>
      <c r="EA162" s="161"/>
      <c r="EB162" s="161"/>
      <c r="EC162" s="161"/>
      <c r="ED162" s="161"/>
      <c r="EE162" s="161"/>
      <c r="EF162" s="161"/>
      <c r="EG162" s="161"/>
      <c r="EH162" s="161"/>
      <c r="EI162" s="161"/>
      <c r="EJ162" s="161"/>
      <c r="EK162" s="209"/>
      <c r="EL162" s="161"/>
      <c r="EM162" s="187"/>
      <c r="EN162" s="187"/>
      <c r="EO162" s="206"/>
      <c r="EP162" s="212"/>
      <c r="EQ162" s="208"/>
      <c r="ER162" s="187"/>
      <c r="ES162" s="187"/>
      <c r="ET162" s="187"/>
      <c r="EU162" s="187"/>
      <c r="EV162" s="210"/>
      <c r="EW162" s="209"/>
      <c r="EX162" s="210"/>
      <c r="EY162" s="162"/>
      <c r="EZ162" s="211"/>
      <c r="FA162" s="209"/>
      <c r="FB162" s="207"/>
      <c r="FC162" s="162"/>
      <c r="FD162" s="209"/>
      <c r="FE162" s="187"/>
      <c r="FF162" s="187"/>
    </row>
    <row r="163" spans="27:162">
      <c r="AA163" s="140" t="s">
        <v>210</v>
      </c>
      <c r="AB163" s="140" t="s">
        <v>239</v>
      </c>
      <c r="AC163" s="140">
        <v>102</v>
      </c>
      <c r="AD163" s="141">
        <v>0.3</v>
      </c>
      <c r="AE163" s="151">
        <v>1100</v>
      </c>
      <c r="AF163" s="152">
        <v>350</v>
      </c>
      <c r="AG163" s="152">
        <v>14</v>
      </c>
      <c r="AH163" s="152">
        <v>18.000000000000004</v>
      </c>
      <c r="AI163" s="152">
        <v>1064</v>
      </c>
      <c r="AJ163" s="153" t="str" cm="1">
        <f t="array" ref="AJ163">_xll.Dce_Name_SectI(AE163, AE163, AF163, AG163, AH163, "x", "-", "H Tổng")</f>
        <v>1100x350x14x18</v>
      </c>
      <c r="AK163" s="161">
        <f t="shared" si="67"/>
        <v>1360</v>
      </c>
      <c r="AL163" s="162" cm="1">
        <f t="array" ref="AL163">IFERROR(INDEX($B$25:$B$32,IFERROR(MATCH(AF163,$B$25:$B$32,0),MATCH(AF163,$B$25:$B$32,1)+1)),$B$25)</f>
        <v>350</v>
      </c>
      <c r="AM163" s="162" cm="1">
        <f t="array" ref="AM163">IFERROR(VLOOKUP(AE163,$B$36:$E$47,4,FALSE),INDEX($E$36:$E$47,MATCH(AE163,$B$36:$B$47,1)+1))</f>
        <v>25</v>
      </c>
      <c r="AN163" s="162" cm="1">
        <f t="array" ref="AN163">IFERROR(VLOOKUP(AE163,$B$36:$E$47,2,FALSE),INDEX($C$36:$C$47,MATCH(AE163,$B$36:$B$47,1)+1))</f>
        <v>12</v>
      </c>
      <c r="AO163" s="162" cm="1">
        <f t="array" ref="AO163">IFERROR(VLOOKUP(AE163,$B$36:$E$47,3,FALSE),INDEX($D$36:$D$47,MATCH(AE163,$B$36:$B$47,1)+1))</f>
        <v>24</v>
      </c>
      <c r="AP163" s="163" t="str">
        <f t="shared" si="68"/>
        <v>1360x350x25 + 12M24</v>
      </c>
      <c r="AQ163" s="140" t="s">
        <v>258</v>
      </c>
      <c r="AR163" s="151">
        <v>0</v>
      </c>
      <c r="AS163" s="151">
        <v>-616.53629621496668</v>
      </c>
      <c r="AT163" s="151">
        <v>1.9383605831535528E-15</v>
      </c>
      <c r="AU163" s="151">
        <v>1.3591748259097719E-3</v>
      </c>
      <c r="AV163" s="151">
        <v>-4.398884811962489E-16</v>
      </c>
      <c r="AW163" s="151">
        <v>-1787.0811786119677</v>
      </c>
      <c r="BA163" s="161">
        <f t="shared" si="69"/>
        <v>60</v>
      </c>
      <c r="BB163" s="161">
        <f t="shared" si="70"/>
        <v>70</v>
      </c>
      <c r="BC163" s="161">
        <f t="shared" si="71"/>
        <v>80</v>
      </c>
      <c r="BD163" s="161">
        <f t="shared" si="72"/>
        <v>150</v>
      </c>
      <c r="BE163" s="161">
        <f>HLOOKUP(AO163,Data!$H$31:$Q$35,3,FALSE)</f>
        <v>452.38934211693021</v>
      </c>
      <c r="BF163" s="161">
        <f>HLOOKUP(AO163,Data!$H$31:$Q$35,4,FALSE)</f>
        <v>353</v>
      </c>
      <c r="BG163" s="179">
        <f t="shared" si="73"/>
        <v>180</v>
      </c>
      <c r="BH163" s="185">
        <f t="shared" si="74"/>
        <v>121.65654188208487</v>
      </c>
      <c r="BI163" s="185">
        <f t="shared" si="75"/>
        <v>243</v>
      </c>
      <c r="BJ163" s="185">
        <f t="shared" si="76"/>
        <v>142.3296</v>
      </c>
      <c r="BK163" s="185">
        <f t="shared" si="77"/>
        <v>51.123045320684497</v>
      </c>
      <c r="BL163" s="186">
        <f t="shared" si="78"/>
        <v>0.82166666666666666</v>
      </c>
      <c r="BM163" s="186">
        <f t="shared" si="79"/>
        <v>0.51142927007518768</v>
      </c>
      <c r="BN163" s="185" t="str">
        <f t="shared" si="80"/>
        <v>OK</v>
      </c>
      <c r="BO163" s="185" cm="1">
        <f t="array" ref="BO163">_xll.DCEBoltDisRS(AN163, AE163, BA163, BB163, BC163, BD163, "h1")</f>
        <v>1240</v>
      </c>
      <c r="BP163" s="185" cm="1">
        <f t="array" ref="BP163">_xll.DCEBoltDisRS(AN163, AE163, BA163, BB163, BC163, BD163, "Tong")</f>
        <v>3721800</v>
      </c>
      <c r="BQ163" s="185">
        <f t="shared" si="81"/>
        <v>302.81511788566615</v>
      </c>
      <c r="BR163" s="186">
        <f t="shared" si="82"/>
        <v>2.127562487955184</v>
      </c>
      <c r="BS163" s="185" t="str">
        <f t="shared" si="83"/>
        <v>O/S</v>
      </c>
      <c r="BT163" s="186">
        <f t="shared" si="84"/>
        <v>2.1686656433641258</v>
      </c>
      <c r="BU163" s="185" t="str">
        <f t="shared" si="85"/>
        <v>O/S</v>
      </c>
      <c r="BV163" s="190">
        <f t="shared" si="86"/>
        <v>1624.6192532836069</v>
      </c>
      <c r="BW163" s="191">
        <f t="shared" si="87"/>
        <v>36.553933198881154</v>
      </c>
      <c r="BX163" s="190">
        <f t="shared" si="88"/>
        <v>812.30962664180345</v>
      </c>
      <c r="BY163" s="167">
        <f t="shared" si="89"/>
        <v>258.02776375680816</v>
      </c>
      <c r="BZ163" s="192">
        <f t="shared" si="90"/>
        <v>1.2543016293733731</v>
      </c>
      <c r="CA163" s="191">
        <f t="shared" si="91"/>
        <v>23.891459607111866</v>
      </c>
      <c r="CB163" s="193">
        <f t="shared" si="92"/>
        <v>0.20023972371861001</v>
      </c>
      <c r="CC163" s="167">
        <f t="shared" si="93"/>
        <v>261.32495555498326</v>
      </c>
      <c r="CD163" s="191">
        <f t="shared" si="94"/>
        <v>1.1046344739643015</v>
      </c>
      <c r="CE163" s="189">
        <f t="shared" si="95"/>
        <v>1.2543016293733731</v>
      </c>
      <c r="CF163" s="194" t="str">
        <f t="shared" si="96"/>
        <v>O/S</v>
      </c>
      <c r="DA163" s="140"/>
      <c r="DB163" s="140"/>
      <c r="DC163" s="140"/>
      <c r="DD163" s="141"/>
      <c r="DE163" s="151"/>
      <c r="DF163" s="152"/>
      <c r="DG163" s="152"/>
      <c r="DH163" s="152"/>
      <c r="DI163" s="152"/>
      <c r="DJ163" s="152"/>
      <c r="DK163" s="161"/>
      <c r="DL163" s="162"/>
      <c r="DM163" s="162"/>
      <c r="DN163" s="162"/>
      <c r="DO163" s="162"/>
      <c r="DP163" s="162"/>
      <c r="DQ163" s="140"/>
      <c r="DR163" s="151"/>
      <c r="DS163" s="151"/>
      <c r="DT163" s="151"/>
      <c r="DU163" s="151"/>
      <c r="DV163" s="151"/>
      <c r="DW163" s="151"/>
      <c r="DX163" s="151"/>
      <c r="DY163" s="151"/>
      <c r="DZ163" s="151"/>
      <c r="EA163" s="161"/>
      <c r="EB163" s="161"/>
      <c r="EC163" s="161"/>
      <c r="ED163" s="161"/>
      <c r="EE163" s="161"/>
      <c r="EF163" s="161"/>
      <c r="EG163" s="161"/>
      <c r="EH163" s="161"/>
      <c r="EI163" s="161"/>
      <c r="EJ163" s="161"/>
      <c r="EK163" s="209"/>
      <c r="EL163" s="161"/>
      <c r="EM163" s="187"/>
      <c r="EN163" s="187"/>
      <c r="EO163" s="206"/>
      <c r="EP163" s="212"/>
      <c r="EQ163" s="208"/>
      <c r="ER163" s="187"/>
      <c r="ES163" s="187"/>
      <c r="ET163" s="187"/>
      <c r="EU163" s="187"/>
      <c r="EV163" s="210"/>
      <c r="EW163" s="209"/>
      <c r="EX163" s="210"/>
      <c r="EY163" s="162"/>
      <c r="EZ163" s="211"/>
      <c r="FA163" s="209"/>
      <c r="FB163" s="207"/>
      <c r="FC163" s="162"/>
      <c r="FD163" s="209"/>
      <c r="FE163" s="187"/>
      <c r="FF163" s="187"/>
    </row>
    <row r="164" spans="27:162">
      <c r="AA164" s="140" t="s">
        <v>210</v>
      </c>
      <c r="AB164" s="140" t="s">
        <v>239</v>
      </c>
      <c r="AC164" s="140">
        <v>102</v>
      </c>
      <c r="AD164" s="141">
        <v>3</v>
      </c>
      <c r="AE164" s="151">
        <v>750</v>
      </c>
      <c r="AF164" s="152">
        <v>350</v>
      </c>
      <c r="AG164" s="152">
        <v>14</v>
      </c>
      <c r="AH164" s="152">
        <v>18.000000000000004</v>
      </c>
      <c r="AI164" s="152">
        <v>714</v>
      </c>
      <c r="AJ164" s="153" t="str" cm="1">
        <f t="array" ref="AJ164">_xll.Dce_Name_SectI(AE164, AE164, AF164, AG164, AH164, "x", "-", "H Tổng")</f>
        <v>750x350x14x18</v>
      </c>
      <c r="AK164" s="161">
        <f t="shared" si="67"/>
        <v>1010</v>
      </c>
      <c r="AL164" s="162" cm="1">
        <f t="array" ref="AL164">IFERROR(INDEX($B$25:$B$32,IFERROR(MATCH(AF164,$B$25:$B$32,0),MATCH(AF164,$B$25:$B$32,1)+1)),$B$25)</f>
        <v>350</v>
      </c>
      <c r="AM164" s="162" cm="1">
        <f t="array" ref="AM164">IFERROR(VLOOKUP(AE164,$B$36:$E$47,4,FALSE),INDEX($E$36:$E$47,MATCH(AE164,$B$36:$B$47,1)+1))</f>
        <v>25</v>
      </c>
      <c r="AN164" s="162" cm="1">
        <f t="array" ref="AN164">IFERROR(VLOOKUP(AE164,$B$36:$E$47,2,FALSE),INDEX($C$36:$C$47,MATCH(AE164,$B$36:$B$47,1)+1))</f>
        <v>12</v>
      </c>
      <c r="AO164" s="162" cm="1">
        <f t="array" ref="AO164">IFERROR(VLOOKUP(AE164,$B$36:$E$47,3,FALSE),INDEX($D$36:$D$47,MATCH(AE164,$B$36:$B$47,1)+1))</f>
        <v>24</v>
      </c>
      <c r="AP164" s="163" t="str">
        <f t="shared" si="68"/>
        <v>1010x350x25 + 12M24</v>
      </c>
      <c r="AQ164" s="140" t="s">
        <v>258</v>
      </c>
      <c r="AR164" s="151">
        <v>0</v>
      </c>
      <c r="AS164" s="151">
        <v>-435.06644209268438</v>
      </c>
      <c r="AT164" s="151">
        <v>4.5110937207937226E-14</v>
      </c>
      <c r="AU164" s="151">
        <v>1.3594001037590113E-3</v>
      </c>
      <c r="AV164" s="151">
        <v>5.5044074542820436E-14</v>
      </c>
      <c r="AW164" s="151">
        <v>-323.88148489114957</v>
      </c>
      <c r="BA164" s="161">
        <f t="shared" si="69"/>
        <v>60</v>
      </c>
      <c r="BB164" s="161">
        <f t="shared" si="70"/>
        <v>70</v>
      </c>
      <c r="BC164" s="161">
        <f t="shared" si="71"/>
        <v>80</v>
      </c>
      <c r="BD164" s="161">
        <f t="shared" si="72"/>
        <v>150</v>
      </c>
      <c r="BE164" s="161">
        <f>HLOOKUP(AO164,Data!$H$31:$Q$35,3,FALSE)</f>
        <v>452.38934211693021</v>
      </c>
      <c r="BF164" s="161">
        <f>HLOOKUP(AO164,Data!$H$31:$Q$35,4,FALSE)</f>
        <v>353</v>
      </c>
      <c r="BG164" s="179">
        <f t="shared" si="73"/>
        <v>180</v>
      </c>
      <c r="BH164" s="185">
        <f t="shared" si="74"/>
        <v>121.65654188208487</v>
      </c>
      <c r="BI164" s="185">
        <f t="shared" si="75"/>
        <v>243</v>
      </c>
      <c r="BJ164" s="185">
        <f t="shared" si="76"/>
        <v>142.3296</v>
      </c>
      <c r="BK164" s="185">
        <f t="shared" si="77"/>
        <v>36.075607507880136</v>
      </c>
      <c r="BL164" s="186">
        <f t="shared" si="78"/>
        <v>0.89458333333333329</v>
      </c>
      <c r="BM164" s="186">
        <f t="shared" si="79"/>
        <v>0.33148004046306012</v>
      </c>
      <c r="BN164" s="185" t="str">
        <f t="shared" si="80"/>
        <v>OK</v>
      </c>
      <c r="BO164" s="185" cm="1">
        <f t="array" ref="BO164">_xll.DCEBoltDisRS(AN164, AE164, BA164, BB164, BC164, BD164, "h1")</f>
        <v>890</v>
      </c>
      <c r="BP164" s="185" cm="1">
        <f t="array" ref="BP164">_xll.DCEBoltDisRS(AN164, AE164, BA164, BB164, BC164, BD164, "Tong")</f>
        <v>1800300</v>
      </c>
      <c r="BQ164" s="185">
        <f t="shared" si="81"/>
        <v>83.664918289288011</v>
      </c>
      <c r="BR164" s="186">
        <f t="shared" si="82"/>
        <v>0.58782514873426195</v>
      </c>
      <c r="BS164" s="185" t="str">
        <f t="shared" si="83"/>
        <v>OK</v>
      </c>
      <c r="BT164" s="186">
        <f t="shared" si="84"/>
        <v>0.65838614270044027</v>
      </c>
      <c r="BU164" s="185" t="str">
        <f t="shared" si="85"/>
        <v>OK</v>
      </c>
      <c r="BV164" s="190">
        <f t="shared" si="86"/>
        <v>431.84197985486611</v>
      </c>
      <c r="BW164" s="191">
        <f t="shared" si="87"/>
        <v>9.716444546734488</v>
      </c>
      <c r="BX164" s="190">
        <f t="shared" si="88"/>
        <v>215.92098992743306</v>
      </c>
      <c r="BY164" s="167">
        <f t="shared" si="89"/>
        <v>92.354324404605038</v>
      </c>
      <c r="BZ164" s="192">
        <f t="shared" si="90"/>
        <v>0.44894463252238564</v>
      </c>
      <c r="CA164" s="191">
        <f t="shared" si="91"/>
        <v>8.5513263337597252</v>
      </c>
      <c r="CB164" s="193">
        <f t="shared" si="92"/>
        <v>7.1670599061683521E-2</v>
      </c>
      <c r="CC164" s="167">
        <f t="shared" si="93"/>
        <v>93.534468419029267</v>
      </c>
      <c r="CD164" s="191">
        <f t="shared" si="94"/>
        <v>0.39537516843792569</v>
      </c>
      <c r="CE164" s="189">
        <f t="shared" si="95"/>
        <v>0.44894463252238564</v>
      </c>
      <c r="CF164" s="194" t="str">
        <f t="shared" si="96"/>
        <v>OK</v>
      </c>
      <c r="DA164" s="140"/>
      <c r="DB164" s="140"/>
      <c r="DC164" s="140"/>
      <c r="DD164" s="141"/>
      <c r="DE164" s="151"/>
      <c r="DF164" s="152"/>
      <c r="DG164" s="152"/>
      <c r="DH164" s="152"/>
      <c r="DI164" s="152"/>
      <c r="DJ164" s="152"/>
      <c r="DK164" s="161"/>
      <c r="DL164" s="162"/>
      <c r="DM164" s="162"/>
      <c r="DN164" s="162"/>
      <c r="DO164" s="162"/>
      <c r="DP164" s="162"/>
      <c r="DQ164" s="140"/>
      <c r="DR164" s="151"/>
      <c r="DS164" s="151"/>
      <c r="DT164" s="151"/>
      <c r="DU164" s="151"/>
      <c r="DV164" s="151"/>
      <c r="DW164" s="151"/>
      <c r="DX164" s="151"/>
      <c r="DY164" s="151"/>
      <c r="DZ164" s="151"/>
      <c r="EA164" s="161"/>
      <c r="EB164" s="161"/>
      <c r="EC164" s="161"/>
      <c r="ED164" s="161"/>
      <c r="EE164" s="161"/>
      <c r="EF164" s="161"/>
      <c r="EG164" s="161"/>
      <c r="EH164" s="161"/>
      <c r="EI164" s="161"/>
      <c r="EJ164" s="161"/>
      <c r="EK164" s="209"/>
      <c r="EL164" s="161"/>
      <c r="EM164" s="187"/>
      <c r="EN164" s="187"/>
      <c r="EO164" s="206"/>
      <c r="EP164" s="212"/>
      <c r="EQ164" s="208"/>
      <c r="ER164" s="187"/>
      <c r="ES164" s="187"/>
      <c r="ET164" s="187"/>
      <c r="EU164" s="187"/>
      <c r="EV164" s="210"/>
      <c r="EW164" s="209"/>
      <c r="EX164" s="210"/>
      <c r="EY164" s="162"/>
      <c r="EZ164" s="211"/>
      <c r="FA164" s="209"/>
      <c r="FB164" s="207"/>
      <c r="FC164" s="162"/>
      <c r="FD164" s="209"/>
      <c r="FE164" s="187"/>
      <c r="FF164" s="187"/>
    </row>
    <row r="165" spans="27:162">
      <c r="AA165" s="140" t="s">
        <v>210</v>
      </c>
      <c r="AB165" s="140" t="s">
        <v>239</v>
      </c>
      <c r="AC165" s="140">
        <v>102</v>
      </c>
      <c r="AD165" s="141">
        <v>0.3</v>
      </c>
      <c r="AE165" s="151">
        <v>1100</v>
      </c>
      <c r="AF165" s="152">
        <v>350</v>
      </c>
      <c r="AG165" s="152">
        <v>14</v>
      </c>
      <c r="AH165" s="152">
        <v>18.000000000000004</v>
      </c>
      <c r="AI165" s="152">
        <v>1064</v>
      </c>
      <c r="AJ165" s="153" t="str" cm="1">
        <f t="array" ref="AJ165">_xll.Dce_Name_SectI(AE165, AE165, AF165, AG165, AH165, "x", "-", "H Tổng")</f>
        <v>1100x350x14x18</v>
      </c>
      <c r="AK165" s="161">
        <f t="shared" si="67"/>
        <v>1360</v>
      </c>
      <c r="AL165" s="162" cm="1">
        <f t="array" ref="AL165">IFERROR(INDEX($B$25:$B$32,IFERROR(MATCH(AF165,$B$25:$B$32,0),MATCH(AF165,$B$25:$B$32,1)+1)),$B$25)</f>
        <v>350</v>
      </c>
      <c r="AM165" s="162" cm="1">
        <f t="array" ref="AM165">IFERROR(VLOOKUP(AE165,$B$36:$E$47,4,FALSE),INDEX($E$36:$E$47,MATCH(AE165,$B$36:$B$47,1)+1))</f>
        <v>25</v>
      </c>
      <c r="AN165" s="162" cm="1">
        <f t="array" ref="AN165">IFERROR(VLOOKUP(AE165,$B$36:$E$47,2,FALSE),INDEX($C$36:$C$47,MATCH(AE165,$B$36:$B$47,1)+1))</f>
        <v>12</v>
      </c>
      <c r="AO165" s="162" cm="1">
        <f t="array" ref="AO165">IFERROR(VLOOKUP(AE165,$B$36:$E$47,3,FALSE),INDEX($D$36:$D$47,MATCH(AE165,$B$36:$B$47,1)+1))</f>
        <v>24</v>
      </c>
      <c r="AP165" s="163" t="str">
        <f t="shared" si="68"/>
        <v>1360x350x25 + 12M24</v>
      </c>
      <c r="AQ165" s="140" t="s">
        <v>259</v>
      </c>
      <c r="AR165" s="151">
        <v>0</v>
      </c>
      <c r="AS165" s="151">
        <v>-634.5618999490307</v>
      </c>
      <c r="AT165" s="151">
        <v>1.426769813406281E-15</v>
      </c>
      <c r="AU165" s="151">
        <v>1.2489355404896488E-3</v>
      </c>
      <c r="AV165" s="151">
        <v>-8.7360376710421394E-16</v>
      </c>
      <c r="AW165" s="151">
        <v>-1921.5015227032345</v>
      </c>
      <c r="BA165" s="161">
        <f t="shared" si="69"/>
        <v>60</v>
      </c>
      <c r="BB165" s="161">
        <f t="shared" si="70"/>
        <v>70</v>
      </c>
      <c r="BC165" s="161">
        <f t="shared" si="71"/>
        <v>80</v>
      </c>
      <c r="BD165" s="161">
        <f t="shared" si="72"/>
        <v>150</v>
      </c>
      <c r="BE165" s="161">
        <f>HLOOKUP(AO165,Data!$H$31:$Q$35,3,FALSE)</f>
        <v>452.38934211693021</v>
      </c>
      <c r="BF165" s="161">
        <f>HLOOKUP(AO165,Data!$H$31:$Q$35,4,FALSE)</f>
        <v>353</v>
      </c>
      <c r="BG165" s="179">
        <f t="shared" si="73"/>
        <v>180</v>
      </c>
      <c r="BH165" s="185">
        <f t="shared" si="74"/>
        <v>121.65654188208487</v>
      </c>
      <c r="BI165" s="185">
        <f t="shared" si="75"/>
        <v>243</v>
      </c>
      <c r="BJ165" s="185">
        <f t="shared" si="76"/>
        <v>142.3296</v>
      </c>
      <c r="BK165" s="185">
        <f t="shared" si="77"/>
        <v>52.617724161632985</v>
      </c>
      <c r="BL165" s="186">
        <f t="shared" si="78"/>
        <v>0.82166666666666666</v>
      </c>
      <c r="BM165" s="186">
        <f t="shared" si="79"/>
        <v>0.52638187127153746</v>
      </c>
      <c r="BN165" s="185" t="str">
        <f t="shared" si="80"/>
        <v>OK</v>
      </c>
      <c r="BO165" s="185" cm="1">
        <f t="array" ref="BO165">_xll.DCEBoltDisRS(AN165, AE165, BA165, BB165, BC165, BD165, "h1")</f>
        <v>1240</v>
      </c>
      <c r="BP165" s="185" cm="1">
        <f t="array" ref="BP165">_xll.DCEBoltDisRS(AN165, AE165, BA165, BB165, BC165, BD165, "Tong")</f>
        <v>3721800</v>
      </c>
      <c r="BQ165" s="185">
        <f t="shared" si="81"/>
        <v>325.35714134410284</v>
      </c>
      <c r="BR165" s="186">
        <f t="shared" si="82"/>
        <v>2.2859415142324777</v>
      </c>
      <c r="BS165" s="185" t="str">
        <f t="shared" si="83"/>
        <v>O/S</v>
      </c>
      <c r="BT165" s="186">
        <f t="shared" si="84"/>
        <v>2.326498202253994</v>
      </c>
      <c r="BU165" s="185" t="str">
        <f t="shared" si="85"/>
        <v>O/S</v>
      </c>
      <c r="BV165" s="190">
        <f t="shared" si="86"/>
        <v>1746.8195660938495</v>
      </c>
      <c r="BW165" s="191">
        <f t="shared" si="87"/>
        <v>39.303440237111616</v>
      </c>
      <c r="BX165" s="190">
        <f t="shared" si="88"/>
        <v>873.40978304692476</v>
      </c>
      <c r="BY165" s="167">
        <f t="shared" si="89"/>
        <v>277.43604873255259</v>
      </c>
      <c r="BZ165" s="192">
        <f t="shared" si="90"/>
        <v>1.3486474591165751</v>
      </c>
      <c r="CA165" s="191">
        <f t="shared" si="91"/>
        <v>25.688523030791906</v>
      </c>
      <c r="CB165" s="193">
        <f t="shared" si="92"/>
        <v>0.21530131850520037</v>
      </c>
      <c r="CC165" s="167">
        <f t="shared" si="93"/>
        <v>280.98124809823497</v>
      </c>
      <c r="CD165" s="191">
        <f t="shared" si="94"/>
        <v>1.1877226670819114</v>
      </c>
      <c r="CE165" s="189">
        <f t="shared" si="95"/>
        <v>1.3486474591165751</v>
      </c>
      <c r="CF165" s="194" t="str">
        <f t="shared" si="96"/>
        <v>O/S</v>
      </c>
      <c r="DA165" s="140"/>
      <c r="DB165" s="140"/>
      <c r="DC165" s="140"/>
      <c r="DD165" s="141"/>
      <c r="DE165" s="151"/>
      <c r="DF165" s="152"/>
      <c r="DG165" s="152"/>
      <c r="DH165" s="152"/>
      <c r="DI165" s="152"/>
      <c r="DJ165" s="152"/>
      <c r="DK165" s="161"/>
      <c r="DL165" s="162"/>
      <c r="DM165" s="162"/>
      <c r="DN165" s="162"/>
      <c r="DO165" s="162"/>
      <c r="DP165" s="162"/>
      <c r="DQ165" s="140"/>
      <c r="DR165" s="151"/>
      <c r="DS165" s="151"/>
      <c r="DT165" s="151"/>
      <c r="DU165" s="151"/>
      <c r="DV165" s="151"/>
      <c r="DW165" s="151"/>
      <c r="DX165" s="151"/>
      <c r="DY165" s="151"/>
      <c r="DZ165" s="151"/>
      <c r="EA165" s="161"/>
      <c r="EB165" s="161"/>
      <c r="EC165" s="161"/>
      <c r="ED165" s="161"/>
      <c r="EE165" s="161"/>
      <c r="EF165" s="161"/>
      <c r="EG165" s="161"/>
      <c r="EH165" s="161"/>
      <c r="EI165" s="161"/>
      <c r="EJ165" s="161"/>
      <c r="EK165" s="209"/>
      <c r="EL165" s="161"/>
      <c r="EM165" s="187"/>
      <c r="EN165" s="187"/>
      <c r="EO165" s="206"/>
      <c r="EP165" s="212"/>
      <c r="EQ165" s="208"/>
      <c r="ER165" s="187"/>
      <c r="ES165" s="187"/>
      <c r="ET165" s="187"/>
      <c r="EU165" s="187"/>
      <c r="EV165" s="210"/>
      <c r="EW165" s="209"/>
      <c r="EX165" s="210"/>
      <c r="EY165" s="162"/>
      <c r="EZ165" s="211"/>
      <c r="FA165" s="209"/>
      <c r="FB165" s="207"/>
      <c r="FC165" s="162"/>
      <c r="FD165" s="209"/>
      <c r="FE165" s="187"/>
      <c r="FF165" s="187"/>
    </row>
    <row r="166" spans="27:162">
      <c r="AA166" s="140" t="s">
        <v>210</v>
      </c>
      <c r="AB166" s="140" t="s">
        <v>239</v>
      </c>
      <c r="AC166" s="140">
        <v>102</v>
      </c>
      <c r="AD166" s="141">
        <v>3</v>
      </c>
      <c r="AE166" s="151">
        <v>750</v>
      </c>
      <c r="AF166" s="152">
        <v>350</v>
      </c>
      <c r="AG166" s="152">
        <v>14</v>
      </c>
      <c r="AH166" s="152">
        <v>18.000000000000004</v>
      </c>
      <c r="AI166" s="152">
        <v>714</v>
      </c>
      <c r="AJ166" s="153" t="str" cm="1">
        <f t="array" ref="AJ166">_xll.Dce_Name_SectI(AE166, AE166, AF166, AG166, AH166, "x", "-", "H Tổng")</f>
        <v>750x350x14x18</v>
      </c>
      <c r="AK166" s="161">
        <f t="shared" si="67"/>
        <v>1010</v>
      </c>
      <c r="AL166" s="162" cm="1">
        <f t="array" ref="AL166">IFERROR(INDEX($B$25:$B$32,IFERROR(MATCH(AF166,$B$25:$B$32,0),MATCH(AF166,$B$25:$B$32,1)+1)),$B$25)</f>
        <v>350</v>
      </c>
      <c r="AM166" s="162" cm="1">
        <f t="array" ref="AM166">IFERROR(VLOOKUP(AE166,$B$36:$E$47,4,FALSE),INDEX($E$36:$E$47,MATCH(AE166,$B$36:$B$47,1)+1))</f>
        <v>25</v>
      </c>
      <c r="AN166" s="162" cm="1">
        <f t="array" ref="AN166">IFERROR(VLOOKUP(AE166,$B$36:$E$47,2,FALSE),INDEX($C$36:$C$47,MATCH(AE166,$B$36:$B$47,1)+1))</f>
        <v>12</v>
      </c>
      <c r="AO166" s="162" cm="1">
        <f t="array" ref="AO166">IFERROR(VLOOKUP(AE166,$B$36:$E$47,3,FALSE),INDEX($D$36:$D$47,MATCH(AE166,$B$36:$B$47,1)+1))</f>
        <v>24</v>
      </c>
      <c r="AP166" s="163" t="str">
        <f t="shared" si="68"/>
        <v>1010x350x25 + 12M24</v>
      </c>
      <c r="AQ166" s="140" t="s">
        <v>259</v>
      </c>
      <c r="AR166" s="151">
        <v>0</v>
      </c>
      <c r="AS166" s="151">
        <v>-453.09203944256541</v>
      </c>
      <c r="AT166" s="151">
        <v>4.647517926059662E-14</v>
      </c>
      <c r="AU166" s="151">
        <v>1.2491428843776459E-3</v>
      </c>
      <c r="AV166" s="151">
        <v>6.5897074819076801E-14</v>
      </c>
      <c r="AW166" s="151">
        <v>-409.63238027651295</v>
      </c>
      <c r="BA166" s="161">
        <f t="shared" si="69"/>
        <v>60</v>
      </c>
      <c r="BB166" s="161">
        <f t="shared" si="70"/>
        <v>70</v>
      </c>
      <c r="BC166" s="161">
        <f t="shared" si="71"/>
        <v>80</v>
      </c>
      <c r="BD166" s="161">
        <f t="shared" si="72"/>
        <v>150</v>
      </c>
      <c r="BE166" s="161">
        <f>HLOOKUP(AO166,Data!$H$31:$Q$35,3,FALSE)</f>
        <v>452.38934211693021</v>
      </c>
      <c r="BF166" s="161">
        <f>HLOOKUP(AO166,Data!$H$31:$Q$35,4,FALSE)</f>
        <v>353</v>
      </c>
      <c r="BG166" s="179">
        <f t="shared" si="73"/>
        <v>180</v>
      </c>
      <c r="BH166" s="185">
        <f t="shared" si="74"/>
        <v>121.65654188208487</v>
      </c>
      <c r="BI166" s="185">
        <f t="shared" si="75"/>
        <v>243</v>
      </c>
      <c r="BJ166" s="185">
        <f t="shared" si="76"/>
        <v>142.3296</v>
      </c>
      <c r="BK166" s="185">
        <f t="shared" si="77"/>
        <v>37.570285819453652</v>
      </c>
      <c r="BL166" s="186">
        <f t="shared" si="78"/>
        <v>0.89458333333333329</v>
      </c>
      <c r="BM166" s="186">
        <f t="shared" si="79"/>
        <v>0.34521386399164306</v>
      </c>
      <c r="BN166" s="185" t="str">
        <f t="shared" si="80"/>
        <v>OK</v>
      </c>
      <c r="BO166" s="185" cm="1">
        <f t="array" ref="BO166">_xll.DCEBoltDisRS(AN166, AE166, BA166, BB166, BC166, BD166, "h1")</f>
        <v>890</v>
      </c>
      <c r="BP166" s="185" cm="1">
        <f t="array" ref="BP166">_xll.DCEBoltDisRS(AN166, AE166, BA166, BB166, BC166, BD166, "Tong")</f>
        <v>1800300</v>
      </c>
      <c r="BQ166" s="185">
        <f t="shared" si="81"/>
        <v>105.01038036945204</v>
      </c>
      <c r="BR166" s="186">
        <f t="shared" si="82"/>
        <v>0.73779720008664418</v>
      </c>
      <c r="BS166" s="185" t="str">
        <f t="shared" si="83"/>
        <v>OK</v>
      </c>
      <c r="BT166" s="186">
        <f t="shared" si="84"/>
        <v>0.79982253511628043</v>
      </c>
      <c r="BU166" s="185" t="str">
        <f t="shared" si="85"/>
        <v>OK</v>
      </c>
      <c r="BV166" s="190">
        <f t="shared" si="86"/>
        <v>546.1765070353506</v>
      </c>
      <c r="BW166" s="191">
        <f t="shared" si="87"/>
        <v>12.288971408295389</v>
      </c>
      <c r="BX166" s="190">
        <f t="shared" si="88"/>
        <v>273.0882535176753</v>
      </c>
      <c r="BY166" s="167">
        <f t="shared" si="89"/>
        <v>116.80606487092646</v>
      </c>
      <c r="BZ166" s="192">
        <f t="shared" si="90"/>
        <v>0.56780725978922597</v>
      </c>
      <c r="CA166" s="191">
        <f t="shared" si="91"/>
        <v>10.815376376937634</v>
      </c>
      <c r="CB166" s="193">
        <f t="shared" si="92"/>
        <v>9.0646114270310635E-2</v>
      </c>
      <c r="CC166" s="167">
        <f t="shared" si="93"/>
        <v>118.29866393647708</v>
      </c>
      <c r="CD166" s="191">
        <f t="shared" si="94"/>
        <v>0.50005473886192009</v>
      </c>
      <c r="CE166" s="189">
        <f t="shared" si="95"/>
        <v>0.56780725978922597</v>
      </c>
      <c r="CF166" s="194" t="str">
        <f t="shared" si="96"/>
        <v>OK</v>
      </c>
      <c r="DA166" s="140"/>
      <c r="DB166" s="140"/>
      <c r="DC166" s="140"/>
      <c r="DD166" s="141"/>
      <c r="DE166" s="151"/>
      <c r="DF166" s="152"/>
      <c r="DG166" s="152"/>
      <c r="DH166" s="152"/>
      <c r="DI166" s="152"/>
      <c r="DJ166" s="152"/>
      <c r="DK166" s="161"/>
      <c r="DL166" s="162"/>
      <c r="DM166" s="162"/>
      <c r="DN166" s="162"/>
      <c r="DO166" s="162"/>
      <c r="DP166" s="162"/>
      <c r="DQ166" s="140"/>
      <c r="DR166" s="151"/>
      <c r="DS166" s="151"/>
      <c r="DT166" s="151"/>
      <c r="DU166" s="151"/>
      <c r="DV166" s="151"/>
      <c r="DW166" s="151"/>
      <c r="DX166" s="151"/>
      <c r="DY166" s="151"/>
      <c r="DZ166" s="151"/>
      <c r="EA166" s="161"/>
      <c r="EB166" s="161"/>
      <c r="EC166" s="161"/>
      <c r="ED166" s="161"/>
      <c r="EE166" s="161"/>
      <c r="EF166" s="161"/>
      <c r="EG166" s="161"/>
      <c r="EH166" s="161"/>
      <c r="EI166" s="161"/>
      <c r="EJ166" s="161"/>
      <c r="EK166" s="209"/>
      <c r="EL166" s="161"/>
      <c r="EM166" s="187"/>
      <c r="EN166" s="187"/>
      <c r="EO166" s="206"/>
      <c r="EP166" s="212"/>
      <c r="EQ166" s="208"/>
      <c r="ER166" s="187"/>
      <c r="ES166" s="187"/>
      <c r="ET166" s="187"/>
      <c r="EU166" s="187"/>
      <c r="EV166" s="210"/>
      <c r="EW166" s="209"/>
      <c r="EX166" s="210"/>
      <c r="EY166" s="162"/>
      <c r="EZ166" s="211"/>
      <c r="FA166" s="209"/>
      <c r="FB166" s="207"/>
      <c r="FC166" s="162"/>
      <c r="FD166" s="209"/>
      <c r="FE166" s="187"/>
      <c r="FF166" s="187"/>
    </row>
    <row r="167" spans="27:162">
      <c r="AA167" s="140" t="s">
        <v>210</v>
      </c>
      <c r="AB167" s="140" t="s">
        <v>239</v>
      </c>
      <c r="AC167" s="140">
        <v>102</v>
      </c>
      <c r="AD167" s="141">
        <v>0.3</v>
      </c>
      <c r="AE167" s="151">
        <v>1100</v>
      </c>
      <c r="AF167" s="152">
        <v>350</v>
      </c>
      <c r="AG167" s="152">
        <v>14</v>
      </c>
      <c r="AH167" s="152">
        <v>18.000000000000004</v>
      </c>
      <c r="AI167" s="152">
        <v>1064</v>
      </c>
      <c r="AJ167" s="153" t="str" cm="1">
        <f t="array" ref="AJ167">_xll.Dce_Name_SectI(AE167, AE167, AF167, AG167, AH167, "x", "-", "H Tổng")</f>
        <v>1100x350x14x18</v>
      </c>
      <c r="AK167" s="161">
        <f t="shared" si="67"/>
        <v>1360</v>
      </c>
      <c r="AL167" s="162" cm="1">
        <f t="array" ref="AL167">IFERROR(INDEX($B$25:$B$32,IFERROR(MATCH(AF167,$B$25:$B$32,0),MATCH(AF167,$B$25:$B$32,1)+1)),$B$25)</f>
        <v>350</v>
      </c>
      <c r="AM167" s="162" cm="1">
        <f t="array" ref="AM167">IFERROR(VLOOKUP(AE167,$B$36:$E$47,4,FALSE),INDEX($E$36:$E$47,MATCH(AE167,$B$36:$B$47,1)+1))</f>
        <v>25</v>
      </c>
      <c r="AN167" s="162" cm="1">
        <f t="array" ref="AN167">IFERROR(VLOOKUP(AE167,$B$36:$E$47,2,FALSE),INDEX($C$36:$C$47,MATCH(AE167,$B$36:$B$47,1)+1))</f>
        <v>12</v>
      </c>
      <c r="AO167" s="162" cm="1">
        <f t="array" ref="AO167">IFERROR(VLOOKUP(AE167,$B$36:$E$47,3,FALSE),INDEX($D$36:$D$47,MATCH(AE167,$B$36:$B$47,1)+1))</f>
        <v>24</v>
      </c>
      <c r="AP167" s="163" t="str">
        <f t="shared" si="68"/>
        <v>1360x350x25 + 12M24</v>
      </c>
      <c r="AQ167" s="140" t="s">
        <v>260</v>
      </c>
      <c r="AR167" s="151">
        <v>0</v>
      </c>
      <c r="AS167" s="151">
        <v>-631.40386948351772</v>
      </c>
      <c r="AT167" s="151">
        <v>1.3130829756846649E-15</v>
      </c>
      <c r="AU167" s="151">
        <v>1.2969605534280482E-3</v>
      </c>
      <c r="AV167" s="151">
        <v>-9.2794607553514641E-16</v>
      </c>
      <c r="AW167" s="151">
        <v>-1888.6898876066366</v>
      </c>
      <c r="BA167" s="161">
        <f t="shared" si="69"/>
        <v>60</v>
      </c>
      <c r="BB167" s="161">
        <f t="shared" si="70"/>
        <v>70</v>
      </c>
      <c r="BC167" s="161">
        <f t="shared" si="71"/>
        <v>80</v>
      </c>
      <c r="BD167" s="161">
        <f t="shared" si="72"/>
        <v>150</v>
      </c>
      <c r="BE167" s="161">
        <f>HLOOKUP(AO167,Data!$H$31:$Q$35,3,FALSE)</f>
        <v>452.38934211693021</v>
      </c>
      <c r="BF167" s="161">
        <f>HLOOKUP(AO167,Data!$H$31:$Q$35,4,FALSE)</f>
        <v>353</v>
      </c>
      <c r="BG167" s="179">
        <f t="shared" si="73"/>
        <v>180</v>
      </c>
      <c r="BH167" s="185">
        <f t="shared" si="74"/>
        <v>121.65654188208487</v>
      </c>
      <c r="BI167" s="185">
        <f t="shared" si="75"/>
        <v>243</v>
      </c>
      <c r="BJ167" s="185">
        <f t="shared" si="76"/>
        <v>142.3296</v>
      </c>
      <c r="BK167" s="185">
        <f t="shared" si="77"/>
        <v>52.355861014882855</v>
      </c>
      <c r="BL167" s="186">
        <f t="shared" si="78"/>
        <v>0.82166666666666666</v>
      </c>
      <c r="BM167" s="186">
        <f t="shared" si="79"/>
        <v>0.52376222142161311</v>
      </c>
      <c r="BN167" s="185" t="str">
        <f t="shared" si="80"/>
        <v>OK</v>
      </c>
      <c r="BO167" s="185" cm="1">
        <f t="array" ref="BO167">_xll.DCEBoltDisRS(AN167, AE167, BA167, BB167, BC167, BD167, "h1")</f>
        <v>1240</v>
      </c>
      <c r="BP167" s="185" cm="1">
        <f t="array" ref="BP167">_xll.DCEBoltDisRS(AN167, AE167, BA167, BB167, BC167, BD167, "Tong")</f>
        <v>3721800</v>
      </c>
      <c r="BQ167" s="185">
        <f t="shared" si="81"/>
        <v>319.86499399984791</v>
      </c>
      <c r="BR167" s="186">
        <f t="shared" si="82"/>
        <v>2.2473539868013956</v>
      </c>
      <c r="BS167" s="185" t="str">
        <f t="shared" si="83"/>
        <v>O/S</v>
      </c>
      <c r="BT167" s="186">
        <f t="shared" si="84"/>
        <v>2.288188784721163</v>
      </c>
      <c r="BU167" s="185" t="str">
        <f t="shared" si="85"/>
        <v>O/S</v>
      </c>
      <c r="BV167" s="190">
        <f t="shared" si="86"/>
        <v>1716.990806915124</v>
      </c>
      <c r="BW167" s="191">
        <f t="shared" si="87"/>
        <v>38.63229315559029</v>
      </c>
      <c r="BX167" s="190">
        <f t="shared" si="88"/>
        <v>858.49540345756202</v>
      </c>
      <c r="BY167" s="167">
        <f t="shared" si="89"/>
        <v>272.69853992181379</v>
      </c>
      <c r="BZ167" s="192">
        <f t="shared" si="90"/>
        <v>1.3256179023977062</v>
      </c>
      <c r="CA167" s="191">
        <f t="shared" si="91"/>
        <v>25.249864807575353</v>
      </c>
      <c r="CB167" s="193">
        <f t="shared" si="92"/>
        <v>0.21162482477613445</v>
      </c>
      <c r="CC167" s="167">
        <f t="shared" si="93"/>
        <v>276.18320132457654</v>
      </c>
      <c r="CD167" s="191">
        <f t="shared" si="94"/>
        <v>1.1674410684009879</v>
      </c>
      <c r="CE167" s="189">
        <f t="shared" si="95"/>
        <v>1.3256179023977062</v>
      </c>
      <c r="CF167" s="194" t="str">
        <f t="shared" si="96"/>
        <v>O/S</v>
      </c>
      <c r="DA167" s="140"/>
      <c r="DB167" s="140"/>
      <c r="DC167" s="140"/>
      <c r="DD167" s="141"/>
      <c r="DE167" s="151"/>
      <c r="DF167" s="152"/>
      <c r="DG167" s="152"/>
      <c r="DH167" s="152"/>
      <c r="DI167" s="152"/>
      <c r="DJ167" s="152"/>
      <c r="DK167" s="161"/>
      <c r="DL167" s="162"/>
      <c r="DM167" s="162"/>
      <c r="DN167" s="162"/>
      <c r="DO167" s="162"/>
      <c r="DP167" s="162"/>
      <c r="DQ167" s="140"/>
      <c r="DR167" s="151"/>
      <c r="DS167" s="151"/>
      <c r="DT167" s="151"/>
      <c r="DU167" s="151"/>
      <c r="DV167" s="151"/>
      <c r="DW167" s="151"/>
      <c r="DX167" s="151"/>
      <c r="DY167" s="151"/>
      <c r="DZ167" s="151"/>
      <c r="EA167" s="161"/>
      <c r="EB167" s="161"/>
      <c r="EC167" s="161"/>
      <c r="ED167" s="161"/>
      <c r="EE167" s="161"/>
      <c r="EF167" s="161"/>
      <c r="EG167" s="161"/>
      <c r="EH167" s="161"/>
      <c r="EI167" s="161"/>
      <c r="EJ167" s="161"/>
      <c r="EK167" s="209"/>
      <c r="EL167" s="161"/>
      <c r="EM167" s="187"/>
      <c r="EN167" s="187"/>
      <c r="EO167" s="206"/>
      <c r="EP167" s="212"/>
      <c r="EQ167" s="208"/>
      <c r="ER167" s="187"/>
      <c r="ES167" s="187"/>
      <c r="ET167" s="187"/>
      <c r="EU167" s="187"/>
      <c r="EV167" s="210"/>
      <c r="EW167" s="209"/>
      <c r="EX167" s="210"/>
      <c r="EY167" s="162"/>
      <c r="EZ167" s="211"/>
      <c r="FA167" s="209"/>
      <c r="FB167" s="207"/>
      <c r="FC167" s="162"/>
      <c r="FD167" s="209"/>
      <c r="FE167" s="187"/>
      <c r="FF167" s="187"/>
    </row>
    <row r="168" spans="27:162">
      <c r="AA168" s="140" t="s">
        <v>210</v>
      </c>
      <c r="AB168" s="140" t="s">
        <v>239</v>
      </c>
      <c r="AC168" s="140">
        <v>102</v>
      </c>
      <c r="AD168" s="141">
        <v>3</v>
      </c>
      <c r="AE168" s="151">
        <v>750</v>
      </c>
      <c r="AF168" s="152">
        <v>350</v>
      </c>
      <c r="AG168" s="152">
        <v>14</v>
      </c>
      <c r="AH168" s="152">
        <v>18.000000000000004</v>
      </c>
      <c r="AI168" s="152">
        <v>714</v>
      </c>
      <c r="AJ168" s="153" t="str" cm="1">
        <f t="array" ref="AJ168">_xll.Dce_Name_SectI(AE168, AE168, AF168, AG168, AH168, "x", "-", "H Tổng")</f>
        <v>750x350x14x18</v>
      </c>
      <c r="AK168" s="161">
        <f t="shared" si="67"/>
        <v>1010</v>
      </c>
      <c r="AL168" s="162" cm="1">
        <f t="array" ref="AL168">IFERROR(INDEX($B$25:$B$32,IFERROR(MATCH(AF168,$B$25:$B$32,0),MATCH(AF168,$B$25:$B$32,1)+1)),$B$25)</f>
        <v>350</v>
      </c>
      <c r="AM168" s="162" cm="1">
        <f t="array" ref="AM168">IFERROR(VLOOKUP(AE168,$B$36:$E$47,4,FALSE),INDEX($E$36:$E$47,MATCH(AE168,$B$36:$B$47,1)+1))</f>
        <v>25</v>
      </c>
      <c r="AN168" s="162" cm="1">
        <f t="array" ref="AN168">IFERROR(VLOOKUP(AE168,$B$36:$E$47,2,FALSE),INDEX($C$36:$C$47,MATCH(AE168,$B$36:$B$47,1)+1))</f>
        <v>12</v>
      </c>
      <c r="AO168" s="162" cm="1">
        <f t="array" ref="AO168">IFERROR(VLOOKUP(AE168,$B$36:$E$47,3,FALSE),INDEX($D$36:$D$47,MATCH(AE168,$B$36:$B$47,1)+1))</f>
        <v>24</v>
      </c>
      <c r="AP168" s="163" t="str">
        <f t="shared" si="68"/>
        <v>1010x350x25 + 12M24</v>
      </c>
      <c r="AQ168" s="140" t="s">
        <v>260</v>
      </c>
      <c r="AR168" s="151">
        <v>0</v>
      </c>
      <c r="AS168" s="151">
        <v>-449.93401022862901</v>
      </c>
      <c r="AT168" s="151">
        <v>4.6134118747431772E-14</v>
      </c>
      <c r="AU168" s="151">
        <v>1.2971757325864759E-3</v>
      </c>
      <c r="AV168" s="151">
        <v>6.3183824750012707E-14</v>
      </c>
      <c r="AW168" s="151">
        <v>-385.34750038461931</v>
      </c>
      <c r="BA168" s="161">
        <f t="shared" si="69"/>
        <v>60</v>
      </c>
      <c r="BB168" s="161">
        <f t="shared" si="70"/>
        <v>70</v>
      </c>
      <c r="BC168" s="161">
        <f t="shared" si="71"/>
        <v>80</v>
      </c>
      <c r="BD168" s="161">
        <f t="shared" si="72"/>
        <v>150</v>
      </c>
      <c r="BE168" s="161">
        <f>HLOOKUP(AO168,Data!$H$31:$Q$35,3,FALSE)</f>
        <v>452.38934211693021</v>
      </c>
      <c r="BF168" s="161">
        <f>HLOOKUP(AO168,Data!$H$31:$Q$35,4,FALSE)</f>
        <v>353</v>
      </c>
      <c r="BG168" s="179">
        <f t="shared" si="73"/>
        <v>180</v>
      </c>
      <c r="BH168" s="185">
        <f t="shared" si="74"/>
        <v>121.65654188208487</v>
      </c>
      <c r="BI168" s="185">
        <f t="shared" si="75"/>
        <v>243</v>
      </c>
      <c r="BJ168" s="185">
        <f t="shared" si="76"/>
        <v>142.3296</v>
      </c>
      <c r="BK168" s="185">
        <f t="shared" si="77"/>
        <v>37.308422776483958</v>
      </c>
      <c r="BL168" s="186">
        <f t="shared" si="78"/>
        <v>0.89458333333333329</v>
      </c>
      <c r="BM168" s="186">
        <f t="shared" si="79"/>
        <v>0.34280774035088624</v>
      </c>
      <c r="BN168" s="185" t="str">
        <f t="shared" si="80"/>
        <v>OK</v>
      </c>
      <c r="BO168" s="185" cm="1">
        <f t="array" ref="BO168">_xll.DCEBoltDisRS(AN168, AE168, BA168, BB168, BC168, BD168, "h1")</f>
        <v>890</v>
      </c>
      <c r="BP168" s="185" cm="1">
        <f t="array" ref="BP168">_xll.DCEBoltDisRS(AN168, AE168, BA168, BB168, BC168, BD168, "Tong")</f>
        <v>1800300</v>
      </c>
      <c r="BQ168" s="185">
        <f t="shared" si="81"/>
        <v>98.981432552133512</v>
      </c>
      <c r="BR168" s="186">
        <f t="shared" si="82"/>
        <v>0.69543814183510322</v>
      </c>
      <c r="BS168" s="185" t="str">
        <f t="shared" si="83"/>
        <v>OK</v>
      </c>
      <c r="BT168" s="186">
        <f t="shared" si="84"/>
        <v>0.76005312568733563</v>
      </c>
      <c r="BU168" s="185" t="str">
        <f t="shared" si="85"/>
        <v>OK</v>
      </c>
      <c r="BV168" s="190">
        <f t="shared" si="86"/>
        <v>513.79666717949237</v>
      </c>
      <c r="BW168" s="191">
        <f t="shared" si="87"/>
        <v>11.560425011538578</v>
      </c>
      <c r="BX168" s="190">
        <f t="shared" si="88"/>
        <v>256.89833358974619</v>
      </c>
      <c r="BY168" s="167">
        <f t="shared" si="89"/>
        <v>109.8812674364063</v>
      </c>
      <c r="BZ168" s="192">
        <f t="shared" si="90"/>
        <v>0.53414505003808621</v>
      </c>
      <c r="CA168" s="191">
        <f t="shared" si="91"/>
        <v>10.174191429296878</v>
      </c>
      <c r="CB168" s="193">
        <f t="shared" si="92"/>
        <v>8.5272198281942227E-2</v>
      </c>
      <c r="CC168" s="167">
        <f t="shared" si="93"/>
        <v>111.28537840682836</v>
      </c>
      <c r="CD168" s="191">
        <f t="shared" si="94"/>
        <v>0.47040920824142429</v>
      </c>
      <c r="CE168" s="189">
        <f t="shared" si="95"/>
        <v>0.53414505003808621</v>
      </c>
      <c r="CF168" s="194" t="str">
        <f t="shared" si="96"/>
        <v>OK</v>
      </c>
      <c r="DA168" s="140"/>
      <c r="DB168" s="140"/>
      <c r="DC168" s="140"/>
      <c r="DD168" s="141"/>
      <c r="DE168" s="151"/>
      <c r="DF168" s="152"/>
      <c r="DG168" s="152"/>
      <c r="DH168" s="152"/>
      <c r="DI168" s="152"/>
      <c r="DJ168" s="152"/>
      <c r="DK168" s="161"/>
      <c r="DL168" s="162"/>
      <c r="DM168" s="162"/>
      <c r="DN168" s="162"/>
      <c r="DO168" s="162"/>
      <c r="DP168" s="162"/>
      <c r="DQ168" s="140"/>
      <c r="DR168" s="151"/>
      <c r="DS168" s="151"/>
      <c r="DT168" s="151"/>
      <c r="DU168" s="151"/>
      <c r="DV168" s="151"/>
      <c r="DW168" s="151"/>
      <c r="DX168" s="151"/>
      <c r="DY168" s="151"/>
      <c r="DZ168" s="151"/>
      <c r="EA168" s="161"/>
      <c r="EB168" s="161"/>
      <c r="EC168" s="161"/>
      <c r="ED168" s="161"/>
      <c r="EE168" s="161"/>
      <c r="EF168" s="161"/>
      <c r="EG168" s="161"/>
      <c r="EH168" s="161"/>
      <c r="EI168" s="161"/>
      <c r="EJ168" s="161"/>
      <c r="EK168" s="209"/>
      <c r="EL168" s="161"/>
      <c r="EM168" s="187"/>
      <c r="EN168" s="187"/>
      <c r="EO168" s="206"/>
      <c r="EP168" s="212"/>
      <c r="EQ168" s="208"/>
      <c r="ER168" s="187"/>
      <c r="ES168" s="187"/>
      <c r="ET168" s="187"/>
      <c r="EU168" s="187"/>
      <c r="EV168" s="210"/>
      <c r="EW168" s="209"/>
      <c r="EX168" s="210"/>
      <c r="EY168" s="162"/>
      <c r="EZ168" s="211"/>
      <c r="FA168" s="209"/>
      <c r="FB168" s="207"/>
      <c r="FC168" s="162"/>
      <c r="FD168" s="209"/>
      <c r="FE168" s="187"/>
      <c r="FF168" s="187"/>
    </row>
    <row r="169" spans="27:162">
      <c r="AA169" s="140" t="s">
        <v>210</v>
      </c>
      <c r="AB169" s="140" t="s">
        <v>239</v>
      </c>
      <c r="AC169" s="140">
        <v>102</v>
      </c>
      <c r="AD169" s="141">
        <v>0.3</v>
      </c>
      <c r="AE169" s="151">
        <v>1100</v>
      </c>
      <c r="AF169" s="152">
        <v>350</v>
      </c>
      <c r="AG169" s="152">
        <v>14</v>
      </c>
      <c r="AH169" s="152">
        <v>18.000000000000004</v>
      </c>
      <c r="AI169" s="152">
        <v>1064</v>
      </c>
      <c r="AJ169" s="153" t="str" cm="1">
        <f t="array" ref="AJ169">_xll.Dce_Name_SectI(AE169, AE169, AF169, AG169, AH169, "x", "-", "H Tổng")</f>
        <v>1100x350x14x18</v>
      </c>
      <c r="AK169" s="161">
        <f t="shared" si="67"/>
        <v>1360</v>
      </c>
      <c r="AL169" s="162" cm="1">
        <f t="array" ref="AL169">IFERROR(INDEX($B$25:$B$32,IFERROR(MATCH(AF169,$B$25:$B$32,0),MATCH(AF169,$B$25:$B$32,1)+1)),$B$25)</f>
        <v>350</v>
      </c>
      <c r="AM169" s="162" cm="1">
        <f t="array" ref="AM169">IFERROR(VLOOKUP(AE169,$B$36:$E$47,4,FALSE),INDEX($E$36:$E$47,MATCH(AE169,$B$36:$B$47,1)+1))</f>
        <v>25</v>
      </c>
      <c r="AN169" s="162" cm="1">
        <f t="array" ref="AN169">IFERROR(VLOOKUP(AE169,$B$36:$E$47,2,FALSE),INDEX($C$36:$C$47,MATCH(AE169,$B$36:$B$47,1)+1))</f>
        <v>12</v>
      </c>
      <c r="AO169" s="162" cm="1">
        <f t="array" ref="AO169">IFERROR(VLOOKUP(AE169,$B$36:$E$47,3,FALSE),INDEX($D$36:$D$47,MATCH(AE169,$B$36:$B$47,1)+1))</f>
        <v>24</v>
      </c>
      <c r="AP169" s="163" t="str">
        <f t="shared" si="68"/>
        <v>1360x350x25 + 12M24</v>
      </c>
      <c r="AQ169" s="140" t="s">
        <v>261</v>
      </c>
      <c r="AR169" s="151">
        <v>0</v>
      </c>
      <c r="AS169" s="151">
        <v>-207.24951183492649</v>
      </c>
      <c r="AT169" s="151">
        <v>2.7466739993542428E-14</v>
      </c>
      <c r="AU169" s="151">
        <v>7.1608315762621509E-4</v>
      </c>
      <c r="AV169" s="151">
        <v>-9.6417352324351667E-15</v>
      </c>
      <c r="AW169" s="151">
        <v>-656.97856512193005</v>
      </c>
      <c r="BA169" s="161">
        <f t="shared" si="69"/>
        <v>60</v>
      </c>
      <c r="BB169" s="161">
        <f t="shared" si="70"/>
        <v>70</v>
      </c>
      <c r="BC169" s="161">
        <f t="shared" si="71"/>
        <v>80</v>
      </c>
      <c r="BD169" s="161">
        <f t="shared" si="72"/>
        <v>150</v>
      </c>
      <c r="BE169" s="161">
        <f>HLOOKUP(AO169,Data!$H$31:$Q$35,3,FALSE)</f>
        <v>452.38934211693021</v>
      </c>
      <c r="BF169" s="161">
        <f>HLOOKUP(AO169,Data!$H$31:$Q$35,4,FALSE)</f>
        <v>353</v>
      </c>
      <c r="BG169" s="179">
        <f t="shared" si="73"/>
        <v>180</v>
      </c>
      <c r="BH169" s="185">
        <f t="shared" si="74"/>
        <v>121.65654188208487</v>
      </c>
      <c r="BI169" s="185">
        <f t="shared" si="75"/>
        <v>243</v>
      </c>
      <c r="BJ169" s="185">
        <f t="shared" si="76"/>
        <v>142.3296</v>
      </c>
      <c r="BK169" s="185">
        <f t="shared" si="77"/>
        <v>17.185080994051429</v>
      </c>
      <c r="BL169" s="186">
        <f t="shared" si="78"/>
        <v>0.82166666666666666</v>
      </c>
      <c r="BM169" s="186">
        <f t="shared" si="79"/>
        <v>0.17191764250035146</v>
      </c>
      <c r="BN169" s="185" t="str">
        <f t="shared" si="80"/>
        <v>OK</v>
      </c>
      <c r="BO169" s="185" cm="1">
        <f t="array" ref="BO169">_xll.DCEBoltDisRS(AN169, AE169, BA169, BB169, BC169, BD169, "h1")</f>
        <v>1240</v>
      </c>
      <c r="BP169" s="185" cm="1">
        <f t="array" ref="BP169">_xll.DCEBoltDisRS(AN169, AE169, BA169, BB169, BC169, BD169, "Tong")</f>
        <v>3721800</v>
      </c>
      <c r="BQ169" s="185">
        <f t="shared" si="81"/>
        <v>111.16197910149999</v>
      </c>
      <c r="BR169" s="186">
        <f t="shared" si="82"/>
        <v>0.78101799696970975</v>
      </c>
      <c r="BS169" s="185" t="str">
        <f t="shared" si="83"/>
        <v>OK</v>
      </c>
      <c r="BT169" s="186">
        <f t="shared" si="84"/>
        <v>0.79368962171203539</v>
      </c>
      <c r="BU169" s="185" t="str">
        <f t="shared" si="85"/>
        <v>OK</v>
      </c>
      <c r="BV169" s="190">
        <f t="shared" si="86"/>
        <v>597.25324101993635</v>
      </c>
      <c r="BW169" s="191">
        <f t="shared" si="87"/>
        <v>13.438197922948568</v>
      </c>
      <c r="BX169" s="190">
        <f t="shared" si="88"/>
        <v>298.62662050996818</v>
      </c>
      <c r="BY169" s="167">
        <f t="shared" si="89"/>
        <v>94.857867691401665</v>
      </c>
      <c r="BZ169" s="192">
        <f t="shared" si="90"/>
        <v>0.46111463461098035</v>
      </c>
      <c r="CA169" s="191">
        <f t="shared" si="91"/>
        <v>8.7831358973520057</v>
      </c>
      <c r="CB169" s="193">
        <f t="shared" si="92"/>
        <v>7.3613447415546027E-2</v>
      </c>
      <c r="CC169" s="167">
        <f t="shared" si="93"/>
        <v>96.070003078658871</v>
      </c>
      <c r="CD169" s="191">
        <f t="shared" si="94"/>
        <v>0.40609300818273686</v>
      </c>
      <c r="CE169" s="189">
        <f t="shared" si="95"/>
        <v>0.46111463461098035</v>
      </c>
      <c r="CF169" s="194" t="str">
        <f t="shared" si="96"/>
        <v>OK</v>
      </c>
      <c r="DA169" s="140"/>
      <c r="DB169" s="140"/>
      <c r="DC169" s="140"/>
      <c r="DD169" s="141"/>
      <c r="DE169" s="151"/>
      <c r="DF169" s="152"/>
      <c r="DG169" s="152"/>
      <c r="DH169" s="152"/>
      <c r="DI169" s="152"/>
      <c r="DJ169" s="152"/>
      <c r="DK169" s="161"/>
      <c r="DL169" s="162"/>
      <c r="DM169" s="162"/>
      <c r="DN169" s="162"/>
      <c r="DO169" s="162"/>
      <c r="DP169" s="162"/>
      <c r="DQ169" s="140"/>
      <c r="DR169" s="151"/>
      <c r="DS169" s="151"/>
      <c r="DT169" s="151"/>
      <c r="DU169" s="151"/>
      <c r="DV169" s="151"/>
      <c r="DW169" s="151"/>
      <c r="DX169" s="151"/>
      <c r="DY169" s="151"/>
      <c r="DZ169" s="151"/>
      <c r="EA169" s="161"/>
      <c r="EB169" s="161"/>
      <c r="EC169" s="161"/>
      <c r="ED169" s="161"/>
      <c r="EE169" s="161"/>
      <c r="EF169" s="161"/>
      <c r="EG169" s="161"/>
      <c r="EH169" s="161"/>
      <c r="EI169" s="161"/>
      <c r="EJ169" s="161"/>
      <c r="EK169" s="209"/>
      <c r="EL169" s="161"/>
      <c r="EM169" s="187"/>
      <c r="EN169" s="187"/>
      <c r="EO169" s="206"/>
      <c r="EP169" s="212"/>
      <c r="EQ169" s="208"/>
      <c r="ER169" s="187"/>
      <c r="ES169" s="187"/>
      <c r="ET169" s="187"/>
      <c r="EU169" s="187"/>
      <c r="EV169" s="210"/>
      <c r="EW169" s="209"/>
      <c r="EX169" s="210"/>
      <c r="EY169" s="162"/>
      <c r="EZ169" s="211"/>
      <c r="FA169" s="209"/>
      <c r="FB169" s="207"/>
      <c r="FC169" s="162"/>
      <c r="FD169" s="209"/>
      <c r="FE169" s="187"/>
      <c r="FF169" s="187"/>
    </row>
    <row r="170" spans="27:162">
      <c r="AA170" s="140" t="s">
        <v>210</v>
      </c>
      <c r="AB170" s="140" t="s">
        <v>239</v>
      </c>
      <c r="AC170" s="140">
        <v>102</v>
      </c>
      <c r="AD170" s="141">
        <v>3</v>
      </c>
      <c r="AE170" s="151">
        <v>750</v>
      </c>
      <c r="AF170" s="152">
        <v>350</v>
      </c>
      <c r="AG170" s="152">
        <v>14</v>
      </c>
      <c r="AH170" s="152">
        <v>18.000000000000004</v>
      </c>
      <c r="AI170" s="152">
        <v>714</v>
      </c>
      <c r="AJ170" s="153" t="str" cm="1">
        <f t="array" ref="AJ170">_xll.Dce_Name_SectI(AE170, AE170, AF170, AG170, AH170, "x", "-", "H Tổng")</f>
        <v>750x350x14x18</v>
      </c>
      <c r="AK170" s="161">
        <f t="shared" si="67"/>
        <v>1010</v>
      </c>
      <c r="AL170" s="162" cm="1">
        <f t="array" ref="AL170">IFERROR(INDEX($B$25:$B$32,IFERROR(MATCH(AF170,$B$25:$B$32,0),MATCH(AF170,$B$25:$B$32,1)+1)),$B$25)</f>
        <v>350</v>
      </c>
      <c r="AM170" s="162" cm="1">
        <f t="array" ref="AM170">IFERROR(VLOOKUP(AE170,$B$36:$E$47,4,FALSE),INDEX($E$36:$E$47,MATCH(AE170,$B$36:$B$47,1)+1))</f>
        <v>25</v>
      </c>
      <c r="AN170" s="162" cm="1">
        <f t="array" ref="AN170">IFERROR(VLOOKUP(AE170,$B$36:$E$47,2,FALSE),INDEX($C$36:$C$47,MATCH(AE170,$B$36:$B$47,1)+1))</f>
        <v>12</v>
      </c>
      <c r="AO170" s="162" cm="1">
        <f t="array" ref="AO170">IFERROR(VLOOKUP(AE170,$B$36:$E$47,3,FALSE),INDEX($D$36:$D$47,MATCH(AE170,$B$36:$B$47,1)+1))</f>
        <v>24</v>
      </c>
      <c r="AP170" s="163" t="str">
        <f t="shared" si="68"/>
        <v>1010x350x25 + 12M24</v>
      </c>
      <c r="AQ170" s="140" t="s">
        <v>261</v>
      </c>
      <c r="AR170" s="151">
        <v>0</v>
      </c>
      <c r="AS170" s="151">
        <v>-148.69567301251854</v>
      </c>
      <c r="AT170" s="151">
        <v>-2.0991137716919182E-13</v>
      </c>
      <c r="AU170" s="151">
        <v>7.1620175096247793E-4</v>
      </c>
      <c r="AV170" s="151">
        <v>2.6400739443488415E-13</v>
      </c>
      <c r="AW170" s="151">
        <v>-163.1899718401001</v>
      </c>
      <c r="BA170" s="161">
        <f t="shared" si="69"/>
        <v>60</v>
      </c>
      <c r="BB170" s="161">
        <f t="shared" si="70"/>
        <v>70</v>
      </c>
      <c r="BC170" s="161">
        <f t="shared" si="71"/>
        <v>80</v>
      </c>
      <c r="BD170" s="161">
        <f t="shared" si="72"/>
        <v>150</v>
      </c>
      <c r="BE170" s="161">
        <f>HLOOKUP(AO170,Data!$H$31:$Q$35,3,FALSE)</f>
        <v>452.38934211693021</v>
      </c>
      <c r="BF170" s="161">
        <f>HLOOKUP(AO170,Data!$H$31:$Q$35,4,FALSE)</f>
        <v>353</v>
      </c>
      <c r="BG170" s="179">
        <f t="shared" si="73"/>
        <v>180</v>
      </c>
      <c r="BH170" s="185">
        <f t="shared" si="74"/>
        <v>121.65654188208487</v>
      </c>
      <c r="BI170" s="185">
        <f t="shared" si="75"/>
        <v>243</v>
      </c>
      <c r="BJ170" s="185">
        <f t="shared" si="76"/>
        <v>142.3296</v>
      </c>
      <c r="BK170" s="185">
        <f t="shared" si="77"/>
        <v>12.329810389229982</v>
      </c>
      <c r="BL170" s="186">
        <f t="shared" si="78"/>
        <v>0.89458333333333329</v>
      </c>
      <c r="BM170" s="186">
        <f t="shared" si="79"/>
        <v>0.11329223065283253</v>
      </c>
      <c r="BN170" s="185" t="str">
        <f t="shared" si="80"/>
        <v>OK</v>
      </c>
      <c r="BO170" s="185" cm="1">
        <f t="array" ref="BO170">_xll.DCEBoltDisRS(AN170, AE170, BA170, BB170, BC170, BD170, "h1")</f>
        <v>890</v>
      </c>
      <c r="BP170" s="185" cm="1">
        <f t="array" ref="BP170">_xll.DCEBoltDisRS(AN170, AE170, BA170, BB170, BC170, BD170, "Tong")</f>
        <v>1800300</v>
      </c>
      <c r="BQ170" s="185">
        <f t="shared" si="81"/>
        <v>41.570445610852431</v>
      </c>
      <c r="BR170" s="186">
        <f t="shared" si="82"/>
        <v>0.29207168158171198</v>
      </c>
      <c r="BS170" s="185" t="str">
        <f t="shared" si="83"/>
        <v>OK</v>
      </c>
      <c r="BT170" s="186">
        <f t="shared" si="84"/>
        <v>0.30915620028013646</v>
      </c>
      <c r="BU170" s="185" t="str">
        <f t="shared" si="85"/>
        <v>OK</v>
      </c>
      <c r="BV170" s="190">
        <f t="shared" si="86"/>
        <v>217.58662912013347</v>
      </c>
      <c r="BW170" s="191">
        <f t="shared" si="87"/>
        <v>4.8956991552030029</v>
      </c>
      <c r="BX170" s="190">
        <f t="shared" si="88"/>
        <v>108.79331456006673</v>
      </c>
      <c r="BY170" s="167">
        <f t="shared" si="89"/>
        <v>46.533378108860227</v>
      </c>
      <c r="BZ170" s="192">
        <f t="shared" si="90"/>
        <v>0.22620392136251502</v>
      </c>
      <c r="CA170" s="191">
        <f t="shared" si="91"/>
        <v>4.3086461211907618</v>
      </c>
      <c r="CB170" s="193">
        <f t="shared" si="92"/>
        <v>3.6111737126838288E-2</v>
      </c>
      <c r="CC170" s="167">
        <f t="shared" si="93"/>
        <v>47.128001998972003</v>
      </c>
      <c r="CD170" s="191">
        <f t="shared" si="94"/>
        <v>0.19921256883623434</v>
      </c>
      <c r="CE170" s="189">
        <f t="shared" si="95"/>
        <v>0.22620392136251502</v>
      </c>
      <c r="CF170" s="194" t="str">
        <f t="shared" si="96"/>
        <v>OK</v>
      </c>
      <c r="DA170" s="140"/>
      <c r="DB170" s="140"/>
      <c r="DC170" s="140"/>
      <c r="DD170" s="141"/>
      <c r="DE170" s="151"/>
      <c r="DF170" s="152"/>
      <c r="DG170" s="152"/>
      <c r="DH170" s="152"/>
      <c r="DI170" s="152"/>
      <c r="DJ170" s="152"/>
      <c r="DK170" s="161"/>
      <c r="DL170" s="162"/>
      <c r="DM170" s="162"/>
      <c r="DN170" s="162"/>
      <c r="DO170" s="162"/>
      <c r="DP170" s="162"/>
      <c r="DQ170" s="140"/>
      <c r="DR170" s="151"/>
      <c r="DS170" s="151"/>
      <c r="DT170" s="151"/>
      <c r="DU170" s="151"/>
      <c r="DV170" s="151"/>
      <c r="DW170" s="151"/>
      <c r="DX170" s="151"/>
      <c r="DY170" s="151"/>
      <c r="DZ170" s="151"/>
      <c r="EA170" s="161"/>
      <c r="EB170" s="161"/>
      <c r="EC170" s="161"/>
      <c r="ED170" s="161"/>
      <c r="EE170" s="161"/>
      <c r="EF170" s="161"/>
      <c r="EG170" s="161"/>
      <c r="EH170" s="161"/>
      <c r="EI170" s="161"/>
      <c r="EJ170" s="161"/>
      <c r="EK170" s="209"/>
      <c r="EL170" s="161"/>
      <c r="EM170" s="187"/>
      <c r="EN170" s="187"/>
      <c r="EO170" s="206"/>
      <c r="EP170" s="212"/>
      <c r="EQ170" s="208"/>
      <c r="ER170" s="187"/>
      <c r="ES170" s="187"/>
      <c r="ET170" s="187"/>
      <c r="EU170" s="187"/>
      <c r="EV170" s="210"/>
      <c r="EW170" s="209"/>
      <c r="EX170" s="210"/>
      <c r="EY170" s="162"/>
      <c r="EZ170" s="211"/>
      <c r="FA170" s="209"/>
      <c r="FB170" s="207"/>
      <c r="FC170" s="162"/>
      <c r="FD170" s="209"/>
      <c r="FE170" s="187"/>
      <c r="FF170" s="187"/>
    </row>
    <row r="171" spans="27:162">
      <c r="AA171" s="140" t="s">
        <v>210</v>
      </c>
      <c r="AB171" s="140" t="s">
        <v>239</v>
      </c>
      <c r="AC171" s="140">
        <v>102</v>
      </c>
      <c r="AD171" s="141">
        <v>0.3</v>
      </c>
      <c r="AE171" s="151">
        <v>1100</v>
      </c>
      <c r="AF171" s="152">
        <v>350</v>
      </c>
      <c r="AG171" s="152">
        <v>14</v>
      </c>
      <c r="AH171" s="152">
        <v>18.000000000000004</v>
      </c>
      <c r="AI171" s="152">
        <v>1064</v>
      </c>
      <c r="AJ171" s="153" t="str" cm="1">
        <f t="array" ref="AJ171">_xll.Dce_Name_SectI(AE171, AE171, AF171, AG171, AH171, "x", "-", "H Tổng")</f>
        <v>1100x350x14x18</v>
      </c>
      <c r="AK171" s="161">
        <f t="shared" si="67"/>
        <v>1360</v>
      </c>
      <c r="AL171" s="162" cm="1">
        <f t="array" ref="AL171">IFERROR(INDEX($B$25:$B$32,IFERROR(MATCH(AF171,$B$25:$B$32,0),MATCH(AF171,$B$25:$B$32,1)+1)),$B$25)</f>
        <v>350</v>
      </c>
      <c r="AM171" s="162" cm="1">
        <f t="array" ref="AM171">IFERROR(VLOOKUP(AE171,$B$36:$E$47,4,FALSE),INDEX($E$36:$E$47,MATCH(AE171,$B$36:$B$47,1)+1))</f>
        <v>25</v>
      </c>
      <c r="AN171" s="162" cm="1">
        <f t="array" ref="AN171">IFERROR(VLOOKUP(AE171,$B$36:$E$47,2,FALSE),INDEX($C$36:$C$47,MATCH(AE171,$B$36:$B$47,1)+1))</f>
        <v>12</v>
      </c>
      <c r="AO171" s="162" cm="1">
        <f t="array" ref="AO171">IFERROR(VLOOKUP(AE171,$B$36:$E$47,3,FALSE),INDEX($D$36:$D$47,MATCH(AE171,$B$36:$B$47,1)+1))</f>
        <v>24</v>
      </c>
      <c r="AP171" s="163" t="str">
        <f t="shared" si="68"/>
        <v>1360x350x25 + 12M24</v>
      </c>
      <c r="AQ171" s="140" t="s">
        <v>262</v>
      </c>
      <c r="AR171" s="151">
        <v>0</v>
      </c>
      <c r="AS171" s="151">
        <v>-204.35826561212863</v>
      </c>
      <c r="AT171" s="151">
        <v>1.1477823136374352E-13</v>
      </c>
      <c r="AU171" s="151">
        <v>1.1497203367509543E-3</v>
      </c>
      <c r="AV171" s="151">
        <v>-3.4962067729793484E-14</v>
      </c>
      <c r="AW171" s="151">
        <v>-626.08155843246709</v>
      </c>
      <c r="BA171" s="161">
        <f t="shared" si="69"/>
        <v>60</v>
      </c>
      <c r="BB171" s="161">
        <f t="shared" si="70"/>
        <v>70</v>
      </c>
      <c r="BC171" s="161">
        <f t="shared" si="71"/>
        <v>80</v>
      </c>
      <c r="BD171" s="161">
        <f t="shared" si="72"/>
        <v>150</v>
      </c>
      <c r="BE171" s="161">
        <f>HLOOKUP(AO171,Data!$H$31:$Q$35,3,FALSE)</f>
        <v>452.38934211693021</v>
      </c>
      <c r="BF171" s="161">
        <f>HLOOKUP(AO171,Data!$H$31:$Q$35,4,FALSE)</f>
        <v>353</v>
      </c>
      <c r="BG171" s="179">
        <f t="shared" si="73"/>
        <v>180</v>
      </c>
      <c r="BH171" s="185">
        <f t="shared" si="74"/>
        <v>121.65654188208487</v>
      </c>
      <c r="BI171" s="185">
        <f t="shared" si="75"/>
        <v>243</v>
      </c>
      <c r="BJ171" s="185">
        <f t="shared" si="76"/>
        <v>142.3296</v>
      </c>
      <c r="BK171" s="185">
        <f t="shared" si="77"/>
        <v>16.945339534239928</v>
      </c>
      <c r="BL171" s="186">
        <f t="shared" si="78"/>
        <v>0.82166666666666666</v>
      </c>
      <c r="BM171" s="186">
        <f t="shared" si="79"/>
        <v>0.16951929555077044</v>
      </c>
      <c r="BN171" s="185" t="str">
        <f t="shared" si="80"/>
        <v>OK</v>
      </c>
      <c r="BO171" s="185" cm="1">
        <f t="array" ref="BO171">_xll.DCEBoltDisRS(AN171, AE171, BA171, BB171, BC171, BD171, "h1")</f>
        <v>1240</v>
      </c>
      <c r="BP171" s="185" cm="1">
        <f t="array" ref="BP171">_xll.DCEBoltDisRS(AN171, AE171, BA171, BB171, BC171, BD171, "Tong")</f>
        <v>3721800</v>
      </c>
      <c r="BQ171" s="185">
        <f t="shared" si="81"/>
        <v>105.99099432962089</v>
      </c>
      <c r="BR171" s="186">
        <f t="shared" si="82"/>
        <v>0.74468694024026549</v>
      </c>
      <c r="BS171" s="185" t="str">
        <f t="shared" si="83"/>
        <v>OK</v>
      </c>
      <c r="BT171" s="186">
        <f t="shared" si="84"/>
        <v>0.75760140223389116</v>
      </c>
      <c r="BU171" s="185" t="str">
        <f t="shared" si="85"/>
        <v>OK</v>
      </c>
      <c r="BV171" s="190">
        <f t="shared" si="86"/>
        <v>569.16505312042455</v>
      </c>
      <c r="BW171" s="191">
        <f t="shared" si="87"/>
        <v>12.806213695209552</v>
      </c>
      <c r="BX171" s="190">
        <f t="shared" si="88"/>
        <v>284.58252656021227</v>
      </c>
      <c r="BY171" s="167">
        <f t="shared" si="89"/>
        <v>90.396802554420375</v>
      </c>
      <c r="BZ171" s="192">
        <f t="shared" si="90"/>
        <v>0.43942890130621021</v>
      </c>
      <c r="CA171" s="191">
        <f t="shared" si="91"/>
        <v>8.3700743105944788</v>
      </c>
      <c r="CB171" s="193">
        <f t="shared" si="92"/>
        <v>7.0151484882856038E-2</v>
      </c>
      <c r="CC171" s="167">
        <f t="shared" si="93"/>
        <v>91.551932497121442</v>
      </c>
      <c r="CD171" s="191">
        <f t="shared" si="94"/>
        <v>0.38699488374387092</v>
      </c>
      <c r="CE171" s="189">
        <f t="shared" si="95"/>
        <v>0.43942890130621021</v>
      </c>
      <c r="CF171" s="194" t="str">
        <f t="shared" si="96"/>
        <v>OK</v>
      </c>
      <c r="DA171" s="140"/>
      <c r="DB171" s="140"/>
      <c r="DC171" s="140"/>
      <c r="DD171" s="141"/>
      <c r="DE171" s="151"/>
      <c r="DF171" s="152"/>
      <c r="DG171" s="152"/>
      <c r="DH171" s="152"/>
      <c r="DI171" s="152"/>
      <c r="DJ171" s="152"/>
      <c r="DK171" s="161"/>
      <c r="DL171" s="162"/>
      <c r="DM171" s="162"/>
      <c r="DN171" s="162"/>
      <c r="DO171" s="162"/>
      <c r="DP171" s="162"/>
      <c r="DQ171" s="140"/>
      <c r="DR171" s="151"/>
      <c r="DS171" s="151"/>
      <c r="DT171" s="151"/>
      <c r="DU171" s="151"/>
      <c r="DV171" s="151"/>
      <c r="DW171" s="151"/>
      <c r="DX171" s="151"/>
      <c r="DY171" s="151"/>
      <c r="DZ171" s="151"/>
      <c r="EA171" s="161"/>
      <c r="EB171" s="161"/>
      <c r="EC171" s="161"/>
      <c r="ED171" s="161"/>
      <c r="EE171" s="161"/>
      <c r="EF171" s="161"/>
      <c r="EG171" s="161"/>
      <c r="EH171" s="161"/>
      <c r="EI171" s="161"/>
      <c r="EJ171" s="161"/>
      <c r="EK171" s="209"/>
      <c r="EL171" s="161"/>
      <c r="EM171" s="187"/>
      <c r="EN171" s="187"/>
      <c r="EO171" s="206"/>
      <c r="EP171" s="212"/>
      <c r="EQ171" s="208"/>
      <c r="ER171" s="187"/>
      <c r="ES171" s="187"/>
      <c r="ET171" s="187"/>
      <c r="EU171" s="187"/>
      <c r="EV171" s="210"/>
      <c r="EW171" s="209"/>
      <c r="EX171" s="210"/>
      <c r="EY171" s="162"/>
      <c r="EZ171" s="211"/>
      <c r="FA171" s="209"/>
      <c r="FB171" s="207"/>
      <c r="FC171" s="162"/>
      <c r="FD171" s="209"/>
      <c r="FE171" s="187"/>
      <c r="FF171" s="187"/>
    </row>
    <row r="172" spans="27:162">
      <c r="AA172" s="140" t="s">
        <v>210</v>
      </c>
      <c r="AB172" s="140" t="s">
        <v>239</v>
      </c>
      <c r="AC172" s="140">
        <v>102</v>
      </c>
      <c r="AD172" s="141">
        <v>3</v>
      </c>
      <c r="AE172" s="151">
        <v>750</v>
      </c>
      <c r="AF172" s="152">
        <v>350</v>
      </c>
      <c r="AG172" s="152">
        <v>14</v>
      </c>
      <c r="AH172" s="152">
        <v>18.000000000000004</v>
      </c>
      <c r="AI172" s="152">
        <v>714</v>
      </c>
      <c r="AJ172" s="153" t="str" cm="1">
        <f t="array" ref="AJ172">_xll.Dce_Name_SectI(AE172, AE172, AF172, AG172, AH172, "x", "-", "H Tổng")</f>
        <v>750x350x14x18</v>
      </c>
      <c r="AK172" s="161">
        <f t="shared" si="67"/>
        <v>1010</v>
      </c>
      <c r="AL172" s="162" cm="1">
        <f t="array" ref="AL172">IFERROR(INDEX($B$25:$B$32,IFERROR(MATCH(AF172,$B$25:$B$32,0),MATCH(AF172,$B$25:$B$32,1)+1)),$B$25)</f>
        <v>350</v>
      </c>
      <c r="AM172" s="162" cm="1">
        <f t="array" ref="AM172">IFERROR(VLOOKUP(AE172,$B$36:$E$47,4,FALSE),INDEX($E$36:$E$47,MATCH(AE172,$B$36:$B$47,1)+1))</f>
        <v>25</v>
      </c>
      <c r="AN172" s="162" cm="1">
        <f t="array" ref="AN172">IFERROR(VLOOKUP(AE172,$B$36:$E$47,2,FALSE),INDEX($C$36:$C$47,MATCH(AE172,$B$36:$B$47,1)+1))</f>
        <v>12</v>
      </c>
      <c r="AO172" s="162" cm="1">
        <f t="array" ref="AO172">IFERROR(VLOOKUP(AE172,$B$36:$E$47,3,FALSE),INDEX($D$36:$D$47,MATCH(AE172,$B$36:$B$47,1)+1))</f>
        <v>24</v>
      </c>
      <c r="AP172" s="163" t="str">
        <f t="shared" si="68"/>
        <v>1010x350x25 + 12M24</v>
      </c>
      <c r="AQ172" s="140" t="s">
        <v>262</v>
      </c>
      <c r="AR172" s="151">
        <v>0</v>
      </c>
      <c r="AS172" s="151">
        <v>-145.80442794787868</v>
      </c>
      <c r="AT172" s="151">
        <v>4.8858055379241696E-13</v>
      </c>
      <c r="AU172" s="151">
        <v>1.149910444167173E-3</v>
      </c>
      <c r="AV172" s="151">
        <v>-2.5893023121170692E-13</v>
      </c>
      <c r="AW172" s="151">
        <v>-140.09939748831471</v>
      </c>
      <c r="BA172" s="161">
        <f t="shared" si="69"/>
        <v>60</v>
      </c>
      <c r="BB172" s="161">
        <f t="shared" si="70"/>
        <v>70</v>
      </c>
      <c r="BC172" s="161">
        <f t="shared" si="71"/>
        <v>80</v>
      </c>
      <c r="BD172" s="161">
        <f t="shared" si="72"/>
        <v>150</v>
      </c>
      <c r="BE172" s="161">
        <f>HLOOKUP(AO172,Data!$H$31:$Q$35,3,FALSE)</f>
        <v>452.38934211693021</v>
      </c>
      <c r="BF172" s="161">
        <f>HLOOKUP(AO172,Data!$H$31:$Q$35,4,FALSE)</f>
        <v>353</v>
      </c>
      <c r="BG172" s="179">
        <f t="shared" si="73"/>
        <v>180</v>
      </c>
      <c r="BH172" s="185">
        <f t="shared" si="74"/>
        <v>121.65654188208487</v>
      </c>
      <c r="BI172" s="185">
        <f t="shared" si="75"/>
        <v>243</v>
      </c>
      <c r="BJ172" s="185">
        <f t="shared" si="76"/>
        <v>142.3296</v>
      </c>
      <c r="BK172" s="185">
        <f t="shared" si="77"/>
        <v>12.090069025452669</v>
      </c>
      <c r="BL172" s="186">
        <f t="shared" si="78"/>
        <v>0.89458333333333329</v>
      </c>
      <c r="BM172" s="186">
        <f t="shared" si="79"/>
        <v>0.11108937164489444</v>
      </c>
      <c r="BN172" s="185" t="str">
        <f t="shared" si="80"/>
        <v>OK</v>
      </c>
      <c r="BO172" s="185" cm="1">
        <f t="array" ref="BO172">_xll.DCEBoltDisRS(AN172, AE172, BA172, BB172, BC172, BD172, "h1")</f>
        <v>890</v>
      </c>
      <c r="BP172" s="185" cm="1">
        <f t="array" ref="BP172">_xll.DCEBoltDisRS(AN172, AE172, BA172, BB172, BC172, BD172, "Tong")</f>
        <v>1800300</v>
      </c>
      <c r="BQ172" s="185">
        <f t="shared" si="81"/>
        <v>35.838919629479697</v>
      </c>
      <c r="BR172" s="186">
        <f t="shared" si="82"/>
        <v>0.25180229291362932</v>
      </c>
      <c r="BS172" s="185" t="str">
        <f t="shared" si="83"/>
        <v>OK</v>
      </c>
      <c r="BT172" s="186">
        <f t="shared" si="84"/>
        <v>0.27070375100203736</v>
      </c>
      <c r="BU172" s="185" t="str">
        <f t="shared" si="85"/>
        <v>OK</v>
      </c>
      <c r="BV172" s="190">
        <f t="shared" si="86"/>
        <v>186.79919665108628</v>
      </c>
      <c r="BW172" s="191">
        <f t="shared" si="87"/>
        <v>4.2029819246494409</v>
      </c>
      <c r="BX172" s="190">
        <f t="shared" si="88"/>
        <v>93.399598325543138</v>
      </c>
      <c r="BY172" s="167">
        <f t="shared" si="89"/>
        <v>39.949135125380828</v>
      </c>
      <c r="BZ172" s="192">
        <f t="shared" si="90"/>
        <v>0.19419718463726793</v>
      </c>
      <c r="CA172" s="191">
        <f t="shared" si="91"/>
        <v>3.6989939930908173</v>
      </c>
      <c r="CB172" s="193">
        <f t="shared" si="92"/>
        <v>3.1002104827150052E-2</v>
      </c>
      <c r="CC172" s="167">
        <f t="shared" si="93"/>
        <v>40.459622674324365</v>
      </c>
      <c r="CD172" s="191">
        <f t="shared" si="94"/>
        <v>0.17102497507262718</v>
      </c>
      <c r="CE172" s="189">
        <f t="shared" si="95"/>
        <v>0.19419718463726793</v>
      </c>
      <c r="CF172" s="194" t="str">
        <f t="shared" si="96"/>
        <v>OK</v>
      </c>
      <c r="DA172" s="140"/>
      <c r="DB172" s="140"/>
      <c r="DC172" s="140"/>
      <c r="DD172" s="141"/>
      <c r="DE172" s="151"/>
      <c r="DF172" s="152"/>
      <c r="DG172" s="152"/>
      <c r="DH172" s="152"/>
      <c r="DI172" s="152"/>
      <c r="DJ172" s="152"/>
      <c r="DK172" s="161"/>
      <c r="DL172" s="162"/>
      <c r="DM172" s="162"/>
      <c r="DN172" s="162"/>
      <c r="DO172" s="162"/>
      <c r="DP172" s="162"/>
      <c r="DQ172" s="140"/>
      <c r="DR172" s="151"/>
      <c r="DS172" s="151"/>
      <c r="DT172" s="151"/>
      <c r="DU172" s="151"/>
      <c r="DV172" s="151"/>
      <c r="DW172" s="151"/>
      <c r="DX172" s="151"/>
      <c r="DY172" s="151"/>
      <c r="DZ172" s="151"/>
      <c r="EA172" s="161"/>
      <c r="EB172" s="161"/>
      <c r="EC172" s="161"/>
      <c r="ED172" s="161"/>
      <c r="EE172" s="161"/>
      <c r="EF172" s="161"/>
      <c r="EG172" s="161"/>
      <c r="EH172" s="161"/>
      <c r="EI172" s="161"/>
      <c r="EJ172" s="161"/>
      <c r="EK172" s="209"/>
      <c r="EL172" s="161"/>
      <c r="EM172" s="187"/>
      <c r="EN172" s="187"/>
      <c r="EO172" s="206"/>
      <c r="EP172" s="212"/>
      <c r="EQ172" s="208"/>
      <c r="ER172" s="187"/>
      <c r="ES172" s="187"/>
      <c r="ET172" s="187"/>
      <c r="EU172" s="187"/>
      <c r="EV172" s="210"/>
      <c r="EW172" s="209"/>
      <c r="EX172" s="210"/>
      <c r="EY172" s="162"/>
      <c r="EZ172" s="211"/>
      <c r="FA172" s="209"/>
      <c r="FB172" s="207"/>
      <c r="FC172" s="162"/>
      <c r="FD172" s="209"/>
      <c r="FE172" s="187"/>
      <c r="FF172" s="187"/>
    </row>
    <row r="173" spans="27:162">
      <c r="AA173" s="140" t="s">
        <v>210</v>
      </c>
      <c r="AB173" s="140" t="s">
        <v>239</v>
      </c>
      <c r="AC173" s="140">
        <v>102</v>
      </c>
      <c r="AD173" s="141">
        <v>0.3</v>
      </c>
      <c r="AE173" s="151">
        <v>1100</v>
      </c>
      <c r="AF173" s="152">
        <v>350</v>
      </c>
      <c r="AG173" s="152">
        <v>14</v>
      </c>
      <c r="AH173" s="152">
        <v>18.000000000000004</v>
      </c>
      <c r="AI173" s="152">
        <v>1064</v>
      </c>
      <c r="AJ173" s="153" t="str" cm="1">
        <f t="array" ref="AJ173">_xll.Dce_Name_SectI(AE173, AE173, AF173, AG173, AH173, "x", "-", "H Tổng")</f>
        <v>1100x350x14x18</v>
      </c>
      <c r="AK173" s="161">
        <f t="shared" si="67"/>
        <v>1360</v>
      </c>
      <c r="AL173" s="162" cm="1">
        <f t="array" ref="AL173">IFERROR(INDEX($B$25:$B$32,IFERROR(MATCH(AF173,$B$25:$B$32,0),MATCH(AF173,$B$25:$B$32,1)+1)),$B$25)</f>
        <v>350</v>
      </c>
      <c r="AM173" s="162" cm="1">
        <f t="array" ref="AM173">IFERROR(VLOOKUP(AE173,$B$36:$E$47,4,FALSE),INDEX($E$36:$E$47,MATCH(AE173,$B$36:$B$47,1)+1))</f>
        <v>25</v>
      </c>
      <c r="AN173" s="162" cm="1">
        <f t="array" ref="AN173">IFERROR(VLOOKUP(AE173,$B$36:$E$47,2,FALSE),INDEX($C$36:$C$47,MATCH(AE173,$B$36:$B$47,1)+1))</f>
        <v>12</v>
      </c>
      <c r="AO173" s="162" cm="1">
        <f t="array" ref="AO173">IFERROR(VLOOKUP(AE173,$B$36:$E$47,3,FALSE),INDEX($D$36:$D$47,MATCH(AE173,$B$36:$B$47,1)+1))</f>
        <v>24</v>
      </c>
      <c r="AP173" s="163" t="str">
        <f t="shared" si="68"/>
        <v>1360x350x25 + 12M24</v>
      </c>
      <c r="AQ173" s="140" t="s">
        <v>263</v>
      </c>
      <c r="AR173" s="151">
        <v>0</v>
      </c>
      <c r="AS173" s="151">
        <v>-200.19173730684682</v>
      </c>
      <c r="AT173" s="151">
        <v>5.6570570450276129E-14</v>
      </c>
      <c r="AU173" s="151">
        <v>-2.0190385376093849E-4</v>
      </c>
      <c r="AV173" s="151">
        <v>1.0112744348589329E-13</v>
      </c>
      <c r="AW173" s="151">
        <v>-601.83294022221776</v>
      </c>
      <c r="BA173" s="161">
        <f t="shared" si="69"/>
        <v>60</v>
      </c>
      <c r="BB173" s="161">
        <f t="shared" si="70"/>
        <v>70</v>
      </c>
      <c r="BC173" s="161">
        <f t="shared" si="71"/>
        <v>80</v>
      </c>
      <c r="BD173" s="161">
        <f t="shared" si="72"/>
        <v>150</v>
      </c>
      <c r="BE173" s="161">
        <f>HLOOKUP(AO173,Data!$H$31:$Q$35,3,FALSE)</f>
        <v>452.38934211693021</v>
      </c>
      <c r="BF173" s="161">
        <f>HLOOKUP(AO173,Data!$H$31:$Q$35,4,FALSE)</f>
        <v>353</v>
      </c>
      <c r="BG173" s="179">
        <f t="shared" si="73"/>
        <v>180</v>
      </c>
      <c r="BH173" s="185">
        <f t="shared" si="74"/>
        <v>121.65654188208487</v>
      </c>
      <c r="BI173" s="185">
        <f t="shared" si="75"/>
        <v>243</v>
      </c>
      <c r="BJ173" s="185">
        <f t="shared" si="76"/>
        <v>142.3296</v>
      </c>
      <c r="BK173" s="185">
        <f t="shared" si="77"/>
        <v>16.599851982755094</v>
      </c>
      <c r="BL173" s="186">
        <f t="shared" si="78"/>
        <v>0.82166666666666666</v>
      </c>
      <c r="BM173" s="186">
        <f t="shared" si="79"/>
        <v>0.16606307643926024</v>
      </c>
      <c r="BN173" s="185" t="str">
        <f t="shared" si="80"/>
        <v>OK</v>
      </c>
      <c r="BO173" s="185" cm="1">
        <f t="array" ref="BO173">_xll.DCEBoltDisRS(AN173, AE173, BA173, BB173, BC173, BD173, "h1")</f>
        <v>1240</v>
      </c>
      <c r="BP173" s="185" cm="1">
        <f t="array" ref="BP173">_xll.DCEBoltDisRS(AN173, AE173, BA173, BB173, BC173, BD173, "Tong")</f>
        <v>3721800</v>
      </c>
      <c r="BQ173" s="185">
        <f t="shared" si="81"/>
        <v>101.91696379405576</v>
      </c>
      <c r="BR173" s="186">
        <f t="shared" si="82"/>
        <v>0.71606302409376377</v>
      </c>
      <c r="BS173" s="185" t="str">
        <f t="shared" si="83"/>
        <v>OK</v>
      </c>
      <c r="BT173" s="186">
        <f t="shared" si="84"/>
        <v>0.72894749201749631</v>
      </c>
      <c r="BU173" s="185" t="str">
        <f t="shared" si="85"/>
        <v>OK</v>
      </c>
      <c r="BV173" s="190">
        <f t="shared" si="86"/>
        <v>547.12085474747062</v>
      </c>
      <c r="BW173" s="191">
        <f t="shared" si="87"/>
        <v>12.310219231818088</v>
      </c>
      <c r="BX173" s="190">
        <f t="shared" si="88"/>
        <v>273.56042737373531</v>
      </c>
      <c r="BY173" s="167">
        <f t="shared" si="89"/>
        <v>86.89566516577473</v>
      </c>
      <c r="BZ173" s="192">
        <f t="shared" si="90"/>
        <v>0.42240948344473833</v>
      </c>
      <c r="CA173" s="191">
        <f t="shared" si="91"/>
        <v>8.0458949227569203</v>
      </c>
      <c r="CB173" s="193">
        <f t="shared" si="92"/>
        <v>6.7434464151458873E-2</v>
      </c>
      <c r="CC173" s="167">
        <f t="shared" si="93"/>
        <v>88.006056041198505</v>
      </c>
      <c r="CD173" s="191">
        <f t="shared" si="94"/>
        <v>0.3720062755364672</v>
      </c>
      <c r="CE173" s="189">
        <f t="shared" si="95"/>
        <v>0.42240948344473833</v>
      </c>
      <c r="CF173" s="194" t="str">
        <f t="shared" si="96"/>
        <v>OK</v>
      </c>
      <c r="DA173" s="140"/>
      <c r="DB173" s="140"/>
      <c r="DC173" s="140"/>
      <c r="DD173" s="141"/>
      <c r="DE173" s="151"/>
      <c r="DF173" s="152"/>
      <c r="DG173" s="152"/>
      <c r="DH173" s="152"/>
      <c r="DI173" s="152"/>
      <c r="DJ173" s="152"/>
      <c r="DK173" s="161"/>
      <c r="DL173" s="162"/>
      <c r="DM173" s="162"/>
      <c r="DN173" s="162"/>
      <c r="DO173" s="162"/>
      <c r="DP173" s="162"/>
      <c r="DQ173" s="140"/>
      <c r="DR173" s="151"/>
      <c r="DS173" s="151"/>
      <c r="DT173" s="151"/>
      <c r="DU173" s="151"/>
      <c r="DV173" s="151"/>
      <c r="DW173" s="151"/>
      <c r="DX173" s="151"/>
      <c r="DY173" s="151"/>
      <c r="DZ173" s="151"/>
      <c r="EA173" s="161"/>
      <c r="EB173" s="161"/>
      <c r="EC173" s="161"/>
      <c r="ED173" s="161"/>
      <c r="EE173" s="161"/>
      <c r="EF173" s="161"/>
      <c r="EG173" s="161"/>
      <c r="EH173" s="161"/>
      <c r="EI173" s="161"/>
      <c r="EJ173" s="161"/>
      <c r="EK173" s="209"/>
      <c r="EL173" s="161"/>
      <c r="EM173" s="187"/>
      <c r="EN173" s="187"/>
      <c r="EO173" s="206"/>
      <c r="EP173" s="212"/>
      <c r="EQ173" s="208"/>
      <c r="ER173" s="187"/>
      <c r="ES173" s="187"/>
      <c r="ET173" s="187"/>
      <c r="EU173" s="187"/>
      <c r="EV173" s="210"/>
      <c r="EW173" s="209"/>
      <c r="EX173" s="210"/>
      <c r="EY173" s="162"/>
      <c r="EZ173" s="211"/>
      <c r="FA173" s="209"/>
      <c r="FB173" s="207"/>
      <c r="FC173" s="162"/>
      <c r="FD173" s="209"/>
      <c r="FE173" s="187"/>
      <c r="FF173" s="187"/>
    </row>
    <row r="174" spans="27:162">
      <c r="AA174" s="140" t="s">
        <v>210</v>
      </c>
      <c r="AB174" s="140" t="s">
        <v>239</v>
      </c>
      <c r="AC174" s="140">
        <v>102</v>
      </c>
      <c r="AD174" s="141">
        <v>3</v>
      </c>
      <c r="AE174" s="151">
        <v>750</v>
      </c>
      <c r="AF174" s="152">
        <v>350</v>
      </c>
      <c r="AG174" s="152">
        <v>14</v>
      </c>
      <c r="AH174" s="152">
        <v>18.000000000000004</v>
      </c>
      <c r="AI174" s="152">
        <v>714</v>
      </c>
      <c r="AJ174" s="153" t="str" cm="1">
        <f t="array" ref="AJ174">_xll.Dce_Name_SectI(AE174, AE174, AF174, AG174, AH174, "x", "-", "H Tổng")</f>
        <v>750x350x14x18</v>
      </c>
      <c r="AK174" s="161">
        <f t="shared" si="67"/>
        <v>1010</v>
      </c>
      <c r="AL174" s="162" cm="1">
        <f t="array" ref="AL174">IFERROR(INDEX($B$25:$B$32,IFERROR(MATCH(AF174,$B$25:$B$32,0),MATCH(AF174,$B$25:$B$32,1)+1)),$B$25)</f>
        <v>350</v>
      </c>
      <c r="AM174" s="162" cm="1">
        <f t="array" ref="AM174">IFERROR(VLOOKUP(AE174,$B$36:$E$47,4,FALSE),INDEX($E$36:$E$47,MATCH(AE174,$B$36:$B$47,1)+1))</f>
        <v>25</v>
      </c>
      <c r="AN174" s="162" cm="1">
        <f t="array" ref="AN174">IFERROR(VLOOKUP(AE174,$B$36:$E$47,2,FALSE),INDEX($C$36:$C$47,MATCH(AE174,$B$36:$B$47,1)+1))</f>
        <v>12</v>
      </c>
      <c r="AO174" s="162" cm="1">
        <f t="array" ref="AO174">IFERROR(VLOOKUP(AE174,$B$36:$E$47,3,FALSE),INDEX($D$36:$D$47,MATCH(AE174,$B$36:$B$47,1)+1))</f>
        <v>24</v>
      </c>
      <c r="AP174" s="163" t="str">
        <f t="shared" si="68"/>
        <v>1010x350x25 + 12M24</v>
      </c>
      <c r="AQ174" s="140" t="s">
        <v>263</v>
      </c>
      <c r="AR174" s="151">
        <v>0</v>
      </c>
      <c r="AS174" s="151">
        <v>-141.63790102025027</v>
      </c>
      <c r="AT174" s="151">
        <v>2.2919266484677789E-14</v>
      </c>
      <c r="AU174" s="151">
        <v>-2.019368185036039E-4</v>
      </c>
      <c r="AV174" s="151">
        <v>1.0221992852166293E-14</v>
      </c>
      <c r="AW174" s="151">
        <v>-127.10046614141008</v>
      </c>
      <c r="BA174" s="161">
        <f t="shared" si="69"/>
        <v>60</v>
      </c>
      <c r="BB174" s="161">
        <f t="shared" si="70"/>
        <v>70</v>
      </c>
      <c r="BC174" s="161">
        <f t="shared" si="71"/>
        <v>80</v>
      </c>
      <c r="BD174" s="161">
        <f t="shared" si="72"/>
        <v>150</v>
      </c>
      <c r="BE174" s="161">
        <f>HLOOKUP(AO174,Data!$H$31:$Q$35,3,FALSE)</f>
        <v>452.38934211693021</v>
      </c>
      <c r="BF174" s="161">
        <f>HLOOKUP(AO174,Data!$H$31:$Q$35,4,FALSE)</f>
        <v>353</v>
      </c>
      <c r="BG174" s="179">
        <f t="shared" si="73"/>
        <v>180</v>
      </c>
      <c r="BH174" s="185">
        <f t="shared" si="74"/>
        <v>121.65654188208487</v>
      </c>
      <c r="BI174" s="185">
        <f t="shared" si="75"/>
        <v>243</v>
      </c>
      <c r="BJ174" s="185">
        <f t="shared" si="76"/>
        <v>142.3296</v>
      </c>
      <c r="BK174" s="185">
        <f t="shared" si="77"/>
        <v>11.74458158820253</v>
      </c>
      <c r="BL174" s="186">
        <f t="shared" si="78"/>
        <v>0.89458333333333329</v>
      </c>
      <c r="BM174" s="186">
        <f t="shared" si="79"/>
        <v>0.10791486683152049</v>
      </c>
      <c r="BN174" s="185" t="str">
        <f t="shared" si="80"/>
        <v>OK</v>
      </c>
      <c r="BO174" s="185" cm="1">
        <f t="array" ref="BO174">_xll.DCEBoltDisRS(AN174, AE174, BA174, BB174, BC174, BD174, "h1")</f>
        <v>890</v>
      </c>
      <c r="BP174" s="185" cm="1">
        <f t="array" ref="BP174">_xll.DCEBoltDisRS(AN174, AE174, BA174, BB174, BC174, BD174, "Tong")</f>
        <v>1800300</v>
      </c>
      <c r="BQ174" s="185">
        <f t="shared" si="81"/>
        <v>32.591281706522018</v>
      </c>
      <c r="BR174" s="186">
        <f t="shared" si="82"/>
        <v>0.22898456615153853</v>
      </c>
      <c r="BS174" s="185" t="str">
        <f t="shared" si="83"/>
        <v>OK</v>
      </c>
      <c r="BT174" s="186">
        <f t="shared" si="84"/>
        <v>0.24850287606489019</v>
      </c>
      <c r="BU174" s="185" t="str">
        <f t="shared" si="85"/>
        <v>OK</v>
      </c>
      <c r="BV174" s="190">
        <f t="shared" si="86"/>
        <v>169.46728818854677</v>
      </c>
      <c r="BW174" s="191">
        <f t="shared" si="87"/>
        <v>3.8130139842423021</v>
      </c>
      <c r="BX174" s="190">
        <f t="shared" si="88"/>
        <v>84.733644094273387</v>
      </c>
      <c r="BY174" s="167">
        <f t="shared" si="89"/>
        <v>36.242509157154551</v>
      </c>
      <c r="BZ174" s="192">
        <f t="shared" si="90"/>
        <v>0.17617886395839019</v>
      </c>
      <c r="CA174" s="191">
        <f t="shared" si="91"/>
        <v>3.3557878849217184</v>
      </c>
      <c r="CB174" s="193">
        <f t="shared" si="92"/>
        <v>2.8125616851594867E-2</v>
      </c>
      <c r="CC174" s="167">
        <f t="shared" si="93"/>
        <v>36.705631815733589</v>
      </c>
      <c r="CD174" s="191">
        <f t="shared" si="94"/>
        <v>0.15515665622592703</v>
      </c>
      <c r="CE174" s="189">
        <f t="shared" si="95"/>
        <v>0.17617886395839019</v>
      </c>
      <c r="CF174" s="194" t="str">
        <f t="shared" si="96"/>
        <v>OK</v>
      </c>
      <c r="DA174" s="140"/>
      <c r="DB174" s="140"/>
      <c r="DC174" s="140"/>
      <c r="DD174" s="141"/>
      <c r="DE174" s="151"/>
      <c r="DF174" s="152"/>
      <c r="DG174" s="152"/>
      <c r="DH174" s="152"/>
      <c r="DI174" s="152"/>
      <c r="DJ174" s="152"/>
      <c r="DK174" s="161"/>
      <c r="DL174" s="162"/>
      <c r="DM174" s="162"/>
      <c r="DN174" s="162"/>
      <c r="DO174" s="162"/>
      <c r="DP174" s="162"/>
      <c r="DQ174" s="140"/>
      <c r="DR174" s="151"/>
      <c r="DS174" s="151"/>
      <c r="DT174" s="151"/>
      <c r="DU174" s="151"/>
      <c r="DV174" s="151"/>
      <c r="DW174" s="151"/>
      <c r="DX174" s="151"/>
      <c r="DY174" s="151"/>
      <c r="DZ174" s="151"/>
      <c r="EA174" s="161"/>
      <c r="EB174" s="161"/>
      <c r="EC174" s="161"/>
      <c r="ED174" s="161"/>
      <c r="EE174" s="161"/>
      <c r="EF174" s="161"/>
      <c r="EG174" s="161"/>
      <c r="EH174" s="161"/>
      <c r="EI174" s="161"/>
      <c r="EJ174" s="161"/>
      <c r="EK174" s="209"/>
      <c r="EL174" s="161"/>
      <c r="EM174" s="187"/>
      <c r="EN174" s="187"/>
      <c r="EO174" s="206"/>
      <c r="EP174" s="212"/>
      <c r="EQ174" s="208"/>
      <c r="ER174" s="187"/>
      <c r="ES174" s="187"/>
      <c r="ET174" s="187"/>
      <c r="EU174" s="187"/>
      <c r="EV174" s="210"/>
      <c r="EW174" s="209"/>
      <c r="EX174" s="210"/>
      <c r="EY174" s="162"/>
      <c r="EZ174" s="211"/>
      <c r="FA174" s="209"/>
      <c r="FB174" s="207"/>
      <c r="FC174" s="162"/>
      <c r="FD174" s="209"/>
      <c r="FE174" s="187"/>
      <c r="FF174" s="187"/>
    </row>
    <row r="175" spans="27:162">
      <c r="AA175" s="140" t="s">
        <v>210</v>
      </c>
      <c r="AB175" s="140" t="s">
        <v>239</v>
      </c>
      <c r="AC175" s="140">
        <v>102</v>
      </c>
      <c r="AD175" s="141">
        <v>0.3</v>
      </c>
      <c r="AE175" s="151">
        <v>1100</v>
      </c>
      <c r="AF175" s="152">
        <v>350</v>
      </c>
      <c r="AG175" s="152">
        <v>14</v>
      </c>
      <c r="AH175" s="152">
        <v>18.000000000000004</v>
      </c>
      <c r="AI175" s="152">
        <v>1064</v>
      </c>
      <c r="AJ175" s="153" t="str" cm="1">
        <f t="array" ref="AJ175">_xll.Dce_Name_SectI(AE175, AE175, AF175, AG175, AH175, "x", "-", "H Tổng")</f>
        <v>1100x350x14x18</v>
      </c>
      <c r="AK175" s="161">
        <f t="shared" si="67"/>
        <v>1360</v>
      </c>
      <c r="AL175" s="162" cm="1">
        <f t="array" ref="AL175">IFERROR(INDEX($B$25:$B$32,IFERROR(MATCH(AF175,$B$25:$B$32,0),MATCH(AF175,$B$25:$B$32,1)+1)),$B$25)</f>
        <v>350</v>
      </c>
      <c r="AM175" s="162" cm="1">
        <f t="array" ref="AM175">IFERROR(VLOOKUP(AE175,$B$36:$E$47,4,FALSE),INDEX($E$36:$E$47,MATCH(AE175,$B$36:$B$47,1)+1))</f>
        <v>25</v>
      </c>
      <c r="AN175" s="162" cm="1">
        <f t="array" ref="AN175">IFERROR(VLOOKUP(AE175,$B$36:$E$47,2,FALSE),INDEX($C$36:$C$47,MATCH(AE175,$B$36:$B$47,1)+1))</f>
        <v>12</v>
      </c>
      <c r="AO175" s="162" cm="1">
        <f t="array" ref="AO175">IFERROR(VLOOKUP(AE175,$B$36:$E$47,3,FALSE),INDEX($D$36:$D$47,MATCH(AE175,$B$36:$B$47,1)+1))</f>
        <v>24</v>
      </c>
      <c r="AP175" s="163" t="str">
        <f t="shared" si="68"/>
        <v>1360x350x25 + 12M24</v>
      </c>
      <c r="AQ175" s="140" t="s">
        <v>264</v>
      </c>
      <c r="AR175" s="151">
        <v>0</v>
      </c>
      <c r="AS175" s="151">
        <v>-197.36077310724235</v>
      </c>
      <c r="AT175" s="151">
        <v>2.7466739993542428E-14</v>
      </c>
      <c r="AU175" s="151">
        <v>2.2822062442597139E-4</v>
      </c>
      <c r="AV175" s="151">
        <v>2.016058715526014E-14</v>
      </c>
      <c r="AW175" s="151">
        <v>-571.42889578561449</v>
      </c>
      <c r="BA175" s="161">
        <f t="shared" si="69"/>
        <v>60</v>
      </c>
      <c r="BB175" s="161">
        <f t="shared" si="70"/>
        <v>70</v>
      </c>
      <c r="BC175" s="161">
        <f t="shared" si="71"/>
        <v>80</v>
      </c>
      <c r="BD175" s="161">
        <f t="shared" si="72"/>
        <v>150</v>
      </c>
      <c r="BE175" s="161">
        <f>HLOOKUP(AO175,Data!$H$31:$Q$35,3,FALSE)</f>
        <v>452.38934211693021</v>
      </c>
      <c r="BF175" s="161">
        <f>HLOOKUP(AO175,Data!$H$31:$Q$35,4,FALSE)</f>
        <v>353</v>
      </c>
      <c r="BG175" s="179">
        <f t="shared" si="73"/>
        <v>180</v>
      </c>
      <c r="BH175" s="185">
        <f t="shared" si="74"/>
        <v>121.65654188208487</v>
      </c>
      <c r="BI175" s="185">
        <f t="shared" si="75"/>
        <v>243</v>
      </c>
      <c r="BJ175" s="185">
        <f t="shared" si="76"/>
        <v>142.3296</v>
      </c>
      <c r="BK175" s="185">
        <f t="shared" si="77"/>
        <v>16.365109094191801</v>
      </c>
      <c r="BL175" s="186">
        <f t="shared" si="78"/>
        <v>0.82166666666666666</v>
      </c>
      <c r="BM175" s="186">
        <f t="shared" si="79"/>
        <v>0.16371473464154085</v>
      </c>
      <c r="BN175" s="185" t="str">
        <f t="shared" si="80"/>
        <v>OK</v>
      </c>
      <c r="BO175" s="185" cm="1">
        <f t="array" ref="BO175">_xll.DCEBoltDisRS(AN175, AE175, BA175, BB175, BC175, BD175, "h1")</f>
        <v>1240</v>
      </c>
      <c r="BP175" s="185" cm="1">
        <f t="array" ref="BP175">_xll.DCEBoltDisRS(AN175, AE175, BA175, BB175, BC175, BD175, "Tong")</f>
        <v>3721800</v>
      </c>
      <c r="BQ175" s="185">
        <f t="shared" si="81"/>
        <v>96.828599518984717</v>
      </c>
      <c r="BR175" s="186">
        <f t="shared" si="82"/>
        <v>0.68031245446474042</v>
      </c>
      <c r="BS175" s="185" t="str">
        <f t="shared" si="83"/>
        <v>OK</v>
      </c>
      <c r="BT175" s="186">
        <f t="shared" si="84"/>
        <v>0.6934842326963917</v>
      </c>
      <c r="BU175" s="185" t="str">
        <f t="shared" si="85"/>
        <v>OK</v>
      </c>
      <c r="BV175" s="190">
        <f t="shared" si="86"/>
        <v>519.4808143505586</v>
      </c>
      <c r="BW175" s="191">
        <f t="shared" si="87"/>
        <v>11.688318322887568</v>
      </c>
      <c r="BX175" s="190">
        <f t="shared" si="88"/>
        <v>259.7404071752793</v>
      </c>
      <c r="BY175" s="167">
        <f t="shared" si="89"/>
        <v>82.50577639685342</v>
      </c>
      <c r="BZ175" s="192">
        <f t="shared" si="90"/>
        <v>0.40106974637359305</v>
      </c>
      <c r="CA175" s="191">
        <f t="shared" si="91"/>
        <v>7.6394237404493914</v>
      </c>
      <c r="CB175" s="193">
        <f t="shared" si="92"/>
        <v>6.4027737288249217E-2</v>
      </c>
      <c r="CC175" s="167">
        <f t="shared" si="93"/>
        <v>83.560071350532013</v>
      </c>
      <c r="CD175" s="191">
        <f t="shared" si="94"/>
        <v>0.3532128619889639</v>
      </c>
      <c r="CE175" s="189">
        <f t="shared" si="95"/>
        <v>0.40106974637359305</v>
      </c>
      <c r="CF175" s="194" t="str">
        <f t="shared" si="96"/>
        <v>OK</v>
      </c>
      <c r="DA175" s="140"/>
      <c r="DB175" s="140"/>
      <c r="DC175" s="140"/>
      <c r="DD175" s="141"/>
      <c r="DE175" s="151"/>
      <c r="DF175" s="152"/>
      <c r="DG175" s="152"/>
      <c r="DH175" s="152"/>
      <c r="DI175" s="152"/>
      <c r="DJ175" s="152"/>
      <c r="DK175" s="161"/>
      <c r="DL175" s="162"/>
      <c r="DM175" s="162"/>
      <c r="DN175" s="162"/>
      <c r="DO175" s="162"/>
      <c r="DP175" s="162"/>
      <c r="DQ175" s="140"/>
      <c r="DR175" s="151"/>
      <c r="DS175" s="151"/>
      <c r="DT175" s="151"/>
      <c r="DU175" s="151"/>
      <c r="DV175" s="151"/>
      <c r="DW175" s="151"/>
      <c r="DX175" s="151"/>
      <c r="DY175" s="151"/>
      <c r="DZ175" s="151"/>
      <c r="EA175" s="161"/>
      <c r="EB175" s="161"/>
      <c r="EC175" s="161"/>
      <c r="ED175" s="161"/>
      <c r="EE175" s="161"/>
      <c r="EF175" s="161"/>
      <c r="EG175" s="161"/>
      <c r="EH175" s="161"/>
      <c r="EI175" s="161"/>
      <c r="EJ175" s="161"/>
      <c r="EK175" s="209"/>
      <c r="EL175" s="161"/>
      <c r="EM175" s="187"/>
      <c r="EN175" s="187"/>
      <c r="EO175" s="206"/>
      <c r="EP175" s="212"/>
      <c r="EQ175" s="208"/>
      <c r="ER175" s="187"/>
      <c r="ES175" s="187"/>
      <c r="ET175" s="187"/>
      <c r="EU175" s="187"/>
      <c r="EV175" s="210"/>
      <c r="EW175" s="209"/>
      <c r="EX175" s="210"/>
      <c r="EY175" s="162"/>
      <c r="EZ175" s="211"/>
      <c r="FA175" s="209"/>
      <c r="FB175" s="207"/>
      <c r="FC175" s="162"/>
      <c r="FD175" s="209"/>
      <c r="FE175" s="187"/>
      <c r="FF175" s="187"/>
    </row>
    <row r="176" spans="27:162">
      <c r="AA176" s="140" t="s">
        <v>210</v>
      </c>
      <c r="AB176" s="140" t="s">
        <v>239</v>
      </c>
      <c r="AC176" s="140">
        <v>102</v>
      </c>
      <c r="AD176" s="141">
        <v>3</v>
      </c>
      <c r="AE176" s="151">
        <v>750</v>
      </c>
      <c r="AF176" s="152">
        <v>350</v>
      </c>
      <c r="AG176" s="152">
        <v>14</v>
      </c>
      <c r="AH176" s="152">
        <v>18.000000000000004</v>
      </c>
      <c r="AI176" s="152">
        <v>714</v>
      </c>
      <c r="AJ176" s="153" t="str" cm="1">
        <f t="array" ref="AJ176">_xll.Dce_Name_SectI(AE176, AE176, AF176, AG176, AH176, "x", "-", "H Tổng")</f>
        <v>750x350x14x18</v>
      </c>
      <c r="AK176" s="161">
        <f t="shared" si="67"/>
        <v>1010</v>
      </c>
      <c r="AL176" s="162" cm="1">
        <f t="array" ref="AL176">IFERROR(INDEX($B$25:$B$32,IFERROR(MATCH(AF176,$B$25:$B$32,0),MATCH(AF176,$B$25:$B$32,1)+1)),$B$25)</f>
        <v>350</v>
      </c>
      <c r="AM176" s="162" cm="1">
        <f t="array" ref="AM176">IFERROR(VLOOKUP(AE176,$B$36:$E$47,4,FALSE),INDEX($E$36:$E$47,MATCH(AE176,$B$36:$B$47,1)+1))</f>
        <v>25</v>
      </c>
      <c r="AN176" s="162" cm="1">
        <f t="array" ref="AN176">IFERROR(VLOOKUP(AE176,$B$36:$E$47,2,FALSE),INDEX($C$36:$C$47,MATCH(AE176,$B$36:$B$47,1)+1))</f>
        <v>12</v>
      </c>
      <c r="AO176" s="162" cm="1">
        <f t="array" ref="AO176">IFERROR(VLOOKUP(AE176,$B$36:$E$47,3,FALSE),INDEX($D$36:$D$47,MATCH(AE176,$B$36:$B$47,1)+1))</f>
        <v>24</v>
      </c>
      <c r="AP176" s="163" t="str">
        <f t="shared" si="68"/>
        <v>1010x350x25 + 12M24</v>
      </c>
      <c r="AQ176" s="140" t="s">
        <v>264</v>
      </c>
      <c r="AR176" s="151">
        <v>0</v>
      </c>
      <c r="AS176" s="151">
        <v>-138.80693795682998</v>
      </c>
      <c r="AT176" s="151">
        <v>2.2919266484677789E-14</v>
      </c>
      <c r="AU176" s="151">
        <v>2.2825860483589411E-4</v>
      </c>
      <c r="AV176" s="151">
        <v>1.0221992852166293E-14</v>
      </c>
      <c r="AW176" s="151">
        <v>-104.34009138660896</v>
      </c>
      <c r="BA176" s="161">
        <f t="shared" si="69"/>
        <v>60</v>
      </c>
      <c r="BB176" s="161">
        <f t="shared" si="70"/>
        <v>70</v>
      </c>
      <c r="BC176" s="161">
        <f t="shared" si="71"/>
        <v>80</v>
      </c>
      <c r="BD176" s="161">
        <f t="shared" si="72"/>
        <v>150</v>
      </c>
      <c r="BE176" s="161">
        <f>HLOOKUP(AO176,Data!$H$31:$Q$35,3,FALSE)</f>
        <v>452.38934211693021</v>
      </c>
      <c r="BF176" s="161">
        <f>HLOOKUP(AO176,Data!$H$31:$Q$35,4,FALSE)</f>
        <v>353</v>
      </c>
      <c r="BG176" s="179">
        <f t="shared" si="73"/>
        <v>180</v>
      </c>
      <c r="BH176" s="185">
        <f t="shared" si="74"/>
        <v>121.65654188208487</v>
      </c>
      <c r="BI176" s="185">
        <f t="shared" si="75"/>
        <v>243</v>
      </c>
      <c r="BJ176" s="185">
        <f t="shared" si="76"/>
        <v>142.3296</v>
      </c>
      <c r="BK176" s="185">
        <f t="shared" si="77"/>
        <v>11.509838793851367</v>
      </c>
      <c r="BL176" s="186">
        <f t="shared" si="78"/>
        <v>0.89458333333333329</v>
      </c>
      <c r="BM176" s="186">
        <f t="shared" si="79"/>
        <v>0.10575793708465653</v>
      </c>
      <c r="BN176" s="185" t="str">
        <f t="shared" si="80"/>
        <v>OK</v>
      </c>
      <c r="BO176" s="185" cm="1">
        <f t="array" ref="BO176">_xll.DCEBoltDisRS(AN176, AE176, BA176, BB176, BC176, BD176, "h1")</f>
        <v>890</v>
      </c>
      <c r="BP176" s="185" cm="1">
        <f t="array" ref="BP176">_xll.DCEBoltDisRS(AN176, AE176, BA176, BB176, BC176, BD176, "Tong")</f>
        <v>1800300</v>
      </c>
      <c r="BQ176" s="185">
        <f t="shared" si="81"/>
        <v>26.941874657056072</v>
      </c>
      <c r="BR176" s="186">
        <f t="shared" si="82"/>
        <v>0.18929214061626023</v>
      </c>
      <c r="BS176" s="185" t="str">
        <f t="shared" si="83"/>
        <v>OK</v>
      </c>
      <c r="BT176" s="186">
        <f t="shared" si="84"/>
        <v>0.21161859996923052</v>
      </c>
      <c r="BU176" s="185" t="str">
        <f t="shared" si="85"/>
        <v>OK</v>
      </c>
      <c r="BV176" s="190">
        <f t="shared" si="86"/>
        <v>139.12012184881195</v>
      </c>
      <c r="BW176" s="191">
        <f t="shared" si="87"/>
        <v>3.1302027415982687</v>
      </c>
      <c r="BX176" s="190">
        <f t="shared" si="88"/>
        <v>69.560060924405974</v>
      </c>
      <c r="BY176" s="167">
        <f t="shared" si="89"/>
        <v>29.752422098359784</v>
      </c>
      <c r="BZ176" s="192">
        <f t="shared" si="90"/>
        <v>0.14462982964480453</v>
      </c>
      <c r="CA176" s="191">
        <f t="shared" si="91"/>
        <v>2.7548538979962762</v>
      </c>
      <c r="CB176" s="193">
        <f t="shared" si="92"/>
        <v>2.3089053263857681E-2</v>
      </c>
      <c r="CC176" s="167">
        <f t="shared" si="93"/>
        <v>30.132611581422601</v>
      </c>
      <c r="CD176" s="191">
        <f t="shared" si="94"/>
        <v>0.12737215040456415</v>
      </c>
      <c r="CE176" s="189">
        <f t="shared" si="95"/>
        <v>0.14462982964480453</v>
      </c>
      <c r="CF176" s="194" t="str">
        <f t="shared" si="96"/>
        <v>OK</v>
      </c>
      <c r="DA176" s="140"/>
      <c r="DB176" s="140"/>
      <c r="DC176" s="140"/>
      <c r="DD176" s="141"/>
      <c r="DE176" s="151"/>
      <c r="DF176" s="152"/>
      <c r="DG176" s="152"/>
      <c r="DH176" s="152"/>
      <c r="DI176" s="152"/>
      <c r="DJ176" s="152"/>
      <c r="DK176" s="161"/>
      <c r="DL176" s="162"/>
      <c r="DM176" s="162"/>
      <c r="DN176" s="162"/>
      <c r="DO176" s="162"/>
      <c r="DP176" s="162"/>
      <c r="DQ176" s="140"/>
      <c r="DR176" s="151"/>
      <c r="DS176" s="151"/>
      <c r="DT176" s="151"/>
      <c r="DU176" s="151"/>
      <c r="DV176" s="151"/>
      <c r="DW176" s="151"/>
      <c r="DX176" s="151"/>
      <c r="DY176" s="151"/>
      <c r="DZ176" s="151"/>
      <c r="EA176" s="161"/>
      <c r="EB176" s="161"/>
      <c r="EC176" s="161"/>
      <c r="ED176" s="161"/>
      <c r="EE176" s="161"/>
      <c r="EF176" s="161"/>
      <c r="EG176" s="161"/>
      <c r="EH176" s="161"/>
      <c r="EI176" s="161"/>
      <c r="EJ176" s="161"/>
      <c r="EK176" s="209"/>
      <c r="EL176" s="161"/>
      <c r="EM176" s="187"/>
      <c r="EN176" s="187"/>
      <c r="EO176" s="206"/>
      <c r="EP176" s="212"/>
      <c r="EQ176" s="208"/>
      <c r="ER176" s="187"/>
      <c r="ES176" s="187"/>
      <c r="ET176" s="187"/>
      <c r="EU176" s="187"/>
      <c r="EV176" s="210"/>
      <c r="EW176" s="209"/>
      <c r="EX176" s="210"/>
      <c r="EY176" s="162"/>
      <c r="EZ176" s="211"/>
      <c r="FA176" s="209"/>
      <c r="FB176" s="207"/>
      <c r="FC176" s="162"/>
      <c r="FD176" s="209"/>
      <c r="FE176" s="187"/>
      <c r="FF176" s="187"/>
    </row>
    <row r="177" spans="27:162">
      <c r="AA177" s="140" t="s">
        <v>210</v>
      </c>
      <c r="AB177" s="140" t="s">
        <v>239</v>
      </c>
      <c r="AC177" s="140">
        <v>102</v>
      </c>
      <c r="AD177" s="141">
        <v>0.3</v>
      </c>
      <c r="AE177" s="151">
        <v>1100</v>
      </c>
      <c r="AF177" s="152">
        <v>350</v>
      </c>
      <c r="AG177" s="152">
        <v>14</v>
      </c>
      <c r="AH177" s="152">
        <v>18.000000000000004</v>
      </c>
      <c r="AI177" s="152">
        <v>1064</v>
      </c>
      <c r="AJ177" s="153" t="str" cm="1">
        <f t="array" ref="AJ177">_xll.Dce_Name_SectI(AE177, AE177, AF177, AG177, AH177, "x", "-", "H Tổng")</f>
        <v>1100x350x14x18</v>
      </c>
      <c r="AK177" s="161">
        <f t="shared" si="67"/>
        <v>1360</v>
      </c>
      <c r="AL177" s="162" cm="1">
        <f t="array" ref="AL177">IFERROR(INDEX($B$25:$B$32,IFERROR(MATCH(AF177,$B$25:$B$32,0),MATCH(AF177,$B$25:$B$32,1)+1)),$B$25)</f>
        <v>350</v>
      </c>
      <c r="AM177" s="162" cm="1">
        <f t="array" ref="AM177">IFERROR(VLOOKUP(AE177,$B$36:$E$47,4,FALSE),INDEX($E$36:$E$47,MATCH(AE177,$B$36:$B$47,1)+1))</f>
        <v>25</v>
      </c>
      <c r="AN177" s="162" cm="1">
        <f t="array" ref="AN177">IFERROR(VLOOKUP(AE177,$B$36:$E$47,2,FALSE),INDEX($C$36:$C$47,MATCH(AE177,$B$36:$B$47,1)+1))</f>
        <v>12</v>
      </c>
      <c r="AO177" s="162" cm="1">
        <f t="array" ref="AO177">IFERROR(VLOOKUP(AE177,$B$36:$E$47,3,FALSE),INDEX($D$36:$D$47,MATCH(AE177,$B$36:$B$47,1)+1))</f>
        <v>24</v>
      </c>
      <c r="AP177" s="163" t="str">
        <f t="shared" si="68"/>
        <v>1360x350x25 + 12M24</v>
      </c>
      <c r="AQ177" s="140" t="s">
        <v>265</v>
      </c>
      <c r="AR177" s="151">
        <v>0</v>
      </c>
      <c r="AS177" s="151">
        <v>-196.41876387284654</v>
      </c>
      <c r="AT177" s="151">
        <v>-2.0918378140777345E-15</v>
      </c>
      <c r="AU177" s="151">
        <v>4.1738431826352933E-4</v>
      </c>
      <c r="AV177" s="151">
        <v>-1.0697476682253179E-15</v>
      </c>
      <c r="AW177" s="151">
        <v>-579.73513898651811</v>
      </c>
      <c r="BA177" s="161">
        <f t="shared" si="69"/>
        <v>60</v>
      </c>
      <c r="BB177" s="161">
        <f t="shared" si="70"/>
        <v>70</v>
      </c>
      <c r="BC177" s="161">
        <f t="shared" si="71"/>
        <v>80</v>
      </c>
      <c r="BD177" s="161">
        <f t="shared" si="72"/>
        <v>150</v>
      </c>
      <c r="BE177" s="161">
        <f>HLOOKUP(AO177,Data!$H$31:$Q$35,3,FALSE)</f>
        <v>452.38934211693021</v>
      </c>
      <c r="BF177" s="161">
        <f>HLOOKUP(AO177,Data!$H$31:$Q$35,4,FALSE)</f>
        <v>353</v>
      </c>
      <c r="BG177" s="179">
        <f t="shared" si="73"/>
        <v>180</v>
      </c>
      <c r="BH177" s="185">
        <f t="shared" si="74"/>
        <v>121.65654188208487</v>
      </c>
      <c r="BI177" s="185">
        <f t="shared" si="75"/>
        <v>243</v>
      </c>
      <c r="BJ177" s="185">
        <f t="shared" si="76"/>
        <v>142.3296</v>
      </c>
      <c r="BK177" s="185">
        <f t="shared" si="77"/>
        <v>16.286997909046381</v>
      </c>
      <c r="BL177" s="186">
        <f t="shared" si="78"/>
        <v>0.82166666666666666</v>
      </c>
      <c r="BM177" s="186">
        <f t="shared" si="79"/>
        <v>0.16293331901668826</v>
      </c>
      <c r="BN177" s="185" t="str">
        <f t="shared" si="80"/>
        <v>OK</v>
      </c>
      <c r="BO177" s="185" cm="1">
        <f t="array" ref="BO177">_xll.DCEBoltDisRS(AN177, AE177, BA177, BB177, BC177, BD177, "h1")</f>
        <v>1240</v>
      </c>
      <c r="BP177" s="185" cm="1">
        <f t="array" ref="BP177">_xll.DCEBoltDisRS(AN177, AE177, BA177, BB177, BC177, BD177, "Tong")</f>
        <v>3721800</v>
      </c>
      <c r="BQ177" s="185">
        <f t="shared" si="81"/>
        <v>98.204492732933019</v>
      </c>
      <c r="BR177" s="186">
        <f t="shared" si="82"/>
        <v>0.68997940507760169</v>
      </c>
      <c r="BS177" s="185" t="str">
        <f t="shared" si="83"/>
        <v>OK</v>
      </c>
      <c r="BT177" s="186">
        <f t="shared" si="84"/>
        <v>0.70284749246197431</v>
      </c>
      <c r="BU177" s="185" t="str">
        <f t="shared" si="85"/>
        <v>OK</v>
      </c>
      <c r="BV177" s="190">
        <f t="shared" si="86"/>
        <v>527.03194453319827</v>
      </c>
      <c r="BW177" s="191">
        <f t="shared" si="87"/>
        <v>11.858218751996962</v>
      </c>
      <c r="BX177" s="190">
        <f t="shared" si="88"/>
        <v>263.51597226659914</v>
      </c>
      <c r="BY177" s="167">
        <f t="shared" si="89"/>
        <v>83.705073543507964</v>
      </c>
      <c r="BZ177" s="192">
        <f t="shared" si="90"/>
        <v>0.40689966305871933</v>
      </c>
      <c r="CA177" s="191">
        <f t="shared" si="91"/>
        <v>7.7504697725470333</v>
      </c>
      <c r="CB177" s="193">
        <f t="shared" si="92"/>
        <v>6.4958439185619304E-2</v>
      </c>
      <c r="CC177" s="167">
        <f t="shared" si="93"/>
        <v>84.774693641496413</v>
      </c>
      <c r="CD177" s="191">
        <f t="shared" si="94"/>
        <v>0.35834713495801629</v>
      </c>
      <c r="CE177" s="189">
        <f t="shared" si="95"/>
        <v>0.40689966305871933</v>
      </c>
      <c r="CF177" s="194" t="str">
        <f t="shared" si="96"/>
        <v>OK</v>
      </c>
      <c r="DA177" s="140"/>
      <c r="DB177" s="140"/>
      <c r="DC177" s="140"/>
      <c r="DD177" s="141"/>
      <c r="DE177" s="151"/>
      <c r="DF177" s="152"/>
      <c r="DG177" s="152"/>
      <c r="DH177" s="152"/>
      <c r="DI177" s="152"/>
      <c r="DJ177" s="152"/>
      <c r="DK177" s="161"/>
      <c r="DL177" s="162"/>
      <c r="DM177" s="162"/>
      <c r="DN177" s="162"/>
      <c r="DO177" s="162"/>
      <c r="DP177" s="162"/>
      <c r="DQ177" s="140"/>
      <c r="DR177" s="151"/>
      <c r="DS177" s="151"/>
      <c r="DT177" s="151"/>
      <c r="DU177" s="151"/>
      <c r="DV177" s="151"/>
      <c r="DW177" s="151"/>
      <c r="DX177" s="151"/>
      <c r="DY177" s="151"/>
      <c r="DZ177" s="151"/>
      <c r="EA177" s="161"/>
      <c r="EB177" s="161"/>
      <c r="EC177" s="161"/>
      <c r="ED177" s="161"/>
      <c r="EE177" s="161"/>
      <c r="EF177" s="161"/>
      <c r="EG177" s="161"/>
      <c r="EH177" s="161"/>
      <c r="EI177" s="161"/>
      <c r="EJ177" s="161"/>
      <c r="EK177" s="209"/>
      <c r="EL177" s="161"/>
      <c r="EM177" s="187"/>
      <c r="EN177" s="187"/>
      <c r="EO177" s="206"/>
      <c r="EP177" s="212"/>
      <c r="EQ177" s="208"/>
      <c r="ER177" s="187"/>
      <c r="ES177" s="187"/>
      <c r="ET177" s="187"/>
      <c r="EU177" s="187"/>
      <c r="EV177" s="210"/>
      <c r="EW177" s="209"/>
      <c r="EX177" s="210"/>
      <c r="EY177" s="162"/>
      <c r="EZ177" s="211"/>
      <c r="FA177" s="209"/>
      <c r="FB177" s="207"/>
      <c r="FC177" s="162"/>
      <c r="FD177" s="209"/>
      <c r="FE177" s="187"/>
      <c r="FF177" s="187"/>
    </row>
    <row r="178" spans="27:162">
      <c r="AA178" s="140" t="s">
        <v>210</v>
      </c>
      <c r="AB178" s="140" t="s">
        <v>239</v>
      </c>
      <c r="AC178" s="140">
        <v>102</v>
      </c>
      <c r="AD178" s="141">
        <v>3</v>
      </c>
      <c r="AE178" s="151">
        <v>750</v>
      </c>
      <c r="AF178" s="152">
        <v>350</v>
      </c>
      <c r="AG178" s="152">
        <v>14</v>
      </c>
      <c r="AH178" s="152">
        <v>18.000000000000004</v>
      </c>
      <c r="AI178" s="152">
        <v>714</v>
      </c>
      <c r="AJ178" s="153" t="str" cm="1">
        <f t="array" ref="AJ178">_xll.Dce_Name_SectI(AE178, AE178, AF178, AG178, AH178, "x", "-", "H Tổng")</f>
        <v>750x350x14x18</v>
      </c>
      <c r="AK178" s="161">
        <f t="shared" si="67"/>
        <v>1010</v>
      </c>
      <c r="AL178" s="162" cm="1">
        <f t="array" ref="AL178">IFERROR(INDEX($B$25:$B$32,IFERROR(MATCH(AF178,$B$25:$B$32,0),MATCH(AF178,$B$25:$B$32,1)+1)),$B$25)</f>
        <v>350</v>
      </c>
      <c r="AM178" s="162" cm="1">
        <f t="array" ref="AM178">IFERROR(VLOOKUP(AE178,$B$36:$E$47,4,FALSE),INDEX($E$36:$E$47,MATCH(AE178,$B$36:$B$47,1)+1))</f>
        <v>25</v>
      </c>
      <c r="AN178" s="162" cm="1">
        <f t="array" ref="AN178">IFERROR(VLOOKUP(AE178,$B$36:$E$47,2,FALSE),INDEX($C$36:$C$47,MATCH(AE178,$B$36:$B$47,1)+1))</f>
        <v>12</v>
      </c>
      <c r="AO178" s="162" cm="1">
        <f t="array" ref="AO178">IFERROR(VLOOKUP(AE178,$B$36:$E$47,3,FALSE),INDEX($D$36:$D$47,MATCH(AE178,$B$36:$B$47,1)+1))</f>
        <v>24</v>
      </c>
      <c r="AP178" s="163" t="str">
        <f t="shared" si="68"/>
        <v>1010x350x25 + 12M24</v>
      </c>
      <c r="AQ178" s="140" t="s">
        <v>265</v>
      </c>
      <c r="AR178" s="151">
        <v>0</v>
      </c>
      <c r="AS178" s="151">
        <v>-137.86492883576636</v>
      </c>
      <c r="AT178" s="151">
        <v>2.1100277081131934E-14</v>
      </c>
      <c r="AU178" s="151">
        <v>4.1745352825748287E-4</v>
      </c>
      <c r="AV178" s="151">
        <v>1.4998659025877712E-14</v>
      </c>
      <c r="AW178" s="151">
        <v>-115.18974919919268</v>
      </c>
      <c r="BA178" s="161">
        <f t="shared" si="69"/>
        <v>60</v>
      </c>
      <c r="BB178" s="161">
        <f t="shared" si="70"/>
        <v>70</v>
      </c>
      <c r="BC178" s="161">
        <f t="shared" si="71"/>
        <v>80</v>
      </c>
      <c r="BD178" s="161">
        <f t="shared" si="72"/>
        <v>150</v>
      </c>
      <c r="BE178" s="161">
        <f>HLOOKUP(AO178,Data!$H$31:$Q$35,3,FALSE)</f>
        <v>452.38934211693021</v>
      </c>
      <c r="BF178" s="161">
        <f>HLOOKUP(AO178,Data!$H$31:$Q$35,4,FALSE)</f>
        <v>353</v>
      </c>
      <c r="BG178" s="179">
        <f t="shared" si="73"/>
        <v>180</v>
      </c>
      <c r="BH178" s="185">
        <f t="shared" si="74"/>
        <v>121.65654188208487</v>
      </c>
      <c r="BI178" s="185">
        <f t="shared" si="75"/>
        <v>243</v>
      </c>
      <c r="BJ178" s="185">
        <f t="shared" si="76"/>
        <v>142.3296</v>
      </c>
      <c r="BK178" s="185">
        <f t="shared" si="77"/>
        <v>11.431727618103423</v>
      </c>
      <c r="BL178" s="186">
        <f t="shared" si="78"/>
        <v>0.89458333333333329</v>
      </c>
      <c r="BM178" s="186">
        <f t="shared" si="79"/>
        <v>0.10504021401673896</v>
      </c>
      <c r="BN178" s="185" t="str">
        <f t="shared" si="80"/>
        <v>OK</v>
      </c>
      <c r="BO178" s="185" cm="1">
        <f t="array" ref="BO178">_xll.DCEBoltDisRS(AN178, AE178, BA178, BB178, BC178, BD178, "h1")</f>
        <v>890</v>
      </c>
      <c r="BP178" s="185" cm="1">
        <f t="array" ref="BP178">_xll.DCEBoltDisRS(AN178, AE178, BA178, BB178, BC178, BD178, "Tong")</f>
        <v>1800300</v>
      </c>
      <c r="BQ178" s="185">
        <f t="shared" si="81"/>
        <v>29.615893082668389</v>
      </c>
      <c r="BR178" s="186">
        <f t="shared" si="82"/>
        <v>0.20807964810319421</v>
      </c>
      <c r="BS178" s="185" t="str">
        <f t="shared" si="83"/>
        <v>OK</v>
      </c>
      <c r="BT178" s="186">
        <f t="shared" si="84"/>
        <v>0.2283133357675852</v>
      </c>
      <c r="BU178" s="185" t="str">
        <f t="shared" si="85"/>
        <v>OK</v>
      </c>
      <c r="BV178" s="190">
        <f t="shared" si="86"/>
        <v>153.58633226559024</v>
      </c>
      <c r="BW178" s="191">
        <f t="shared" si="87"/>
        <v>3.4556924759757806</v>
      </c>
      <c r="BX178" s="190">
        <f t="shared" si="88"/>
        <v>76.793166132795122</v>
      </c>
      <c r="BY178" s="167">
        <f t="shared" si="89"/>
        <v>32.846185910264843</v>
      </c>
      <c r="BZ178" s="192">
        <f t="shared" si="90"/>
        <v>0.15966895928600966</v>
      </c>
      <c r="CA178" s="191">
        <f t="shared" si="91"/>
        <v>3.0413135102097075</v>
      </c>
      <c r="CB178" s="193">
        <f t="shared" si="92"/>
        <v>2.548993602905646E-2</v>
      </c>
      <c r="CC178" s="167">
        <f t="shared" si="93"/>
        <v>33.265908862585327</v>
      </c>
      <c r="CD178" s="191">
        <f t="shared" si="94"/>
        <v>0.14061676451575925</v>
      </c>
      <c r="CE178" s="189">
        <f t="shared" si="95"/>
        <v>0.15966895928600966</v>
      </c>
      <c r="CF178" s="194" t="str">
        <f t="shared" si="96"/>
        <v>OK</v>
      </c>
      <c r="DA178" s="140"/>
      <c r="DB178" s="140"/>
      <c r="DC178" s="140"/>
      <c r="DD178" s="141"/>
      <c r="DE178" s="151"/>
      <c r="DF178" s="152"/>
      <c r="DG178" s="152"/>
      <c r="DH178" s="152"/>
      <c r="DI178" s="152"/>
      <c r="DJ178" s="152"/>
      <c r="DK178" s="161"/>
      <c r="DL178" s="162"/>
      <c r="DM178" s="162"/>
      <c r="DN178" s="162"/>
      <c r="DO178" s="162"/>
      <c r="DP178" s="162"/>
      <c r="DQ178" s="140"/>
      <c r="DR178" s="151"/>
      <c r="DS178" s="151"/>
      <c r="DT178" s="151"/>
      <c r="DU178" s="151"/>
      <c r="DV178" s="151"/>
      <c r="DW178" s="151"/>
      <c r="DX178" s="151"/>
      <c r="DY178" s="151"/>
      <c r="DZ178" s="151"/>
      <c r="EA178" s="161"/>
      <c r="EB178" s="161"/>
      <c r="EC178" s="161"/>
      <c r="ED178" s="161"/>
      <c r="EE178" s="161"/>
      <c r="EF178" s="161"/>
      <c r="EG178" s="161"/>
      <c r="EH178" s="161"/>
      <c r="EI178" s="161"/>
      <c r="EJ178" s="161"/>
      <c r="EK178" s="209"/>
      <c r="EL178" s="161"/>
      <c r="EM178" s="187"/>
      <c r="EN178" s="187"/>
      <c r="EO178" s="206"/>
      <c r="EP178" s="212"/>
      <c r="EQ178" s="208"/>
      <c r="ER178" s="187"/>
      <c r="ES178" s="187"/>
      <c r="ET178" s="187"/>
      <c r="EU178" s="187"/>
      <c r="EV178" s="210"/>
      <c r="EW178" s="209"/>
      <c r="EX178" s="210"/>
      <c r="EY178" s="162"/>
      <c r="EZ178" s="211"/>
      <c r="FA178" s="209"/>
      <c r="FB178" s="207"/>
      <c r="FC178" s="162"/>
      <c r="FD178" s="209"/>
      <c r="FE178" s="187"/>
      <c r="FF178" s="187"/>
    </row>
    <row r="179" spans="27:162">
      <c r="AA179" s="140" t="s">
        <v>210</v>
      </c>
      <c r="AB179" s="140" t="s">
        <v>239</v>
      </c>
      <c r="AC179" s="140">
        <v>102</v>
      </c>
      <c r="AD179" s="141">
        <v>0.3</v>
      </c>
      <c r="AE179" s="151">
        <v>1100</v>
      </c>
      <c r="AF179" s="152">
        <v>350</v>
      </c>
      <c r="AG179" s="152">
        <v>14</v>
      </c>
      <c r="AH179" s="152">
        <v>18.000000000000004</v>
      </c>
      <c r="AI179" s="152">
        <v>1064</v>
      </c>
      <c r="AJ179" s="153" t="str" cm="1">
        <f t="array" ref="AJ179">_xll.Dce_Name_SectI(AE179, AE179, AF179, AG179, AH179, "x", "-", "H Tổng")</f>
        <v>1100x350x14x18</v>
      </c>
      <c r="AK179" s="161">
        <f t="shared" si="67"/>
        <v>1360</v>
      </c>
      <c r="AL179" s="162" cm="1">
        <f t="array" ref="AL179">IFERROR(INDEX($B$25:$B$32,IFERROR(MATCH(AF179,$B$25:$B$32,0),MATCH(AF179,$B$25:$B$32,1)+1)),$B$25)</f>
        <v>350</v>
      </c>
      <c r="AM179" s="162" cm="1">
        <f t="array" ref="AM179">IFERROR(VLOOKUP(AE179,$B$36:$E$47,4,FALSE),INDEX($E$36:$E$47,MATCH(AE179,$B$36:$B$47,1)+1))</f>
        <v>25</v>
      </c>
      <c r="AN179" s="162" cm="1">
        <f t="array" ref="AN179">IFERROR(VLOOKUP(AE179,$B$36:$E$47,2,FALSE),INDEX($C$36:$C$47,MATCH(AE179,$B$36:$B$47,1)+1))</f>
        <v>12</v>
      </c>
      <c r="AO179" s="162" cm="1">
        <f t="array" ref="AO179">IFERROR(VLOOKUP(AE179,$B$36:$E$47,3,FALSE),INDEX($D$36:$D$47,MATCH(AE179,$B$36:$B$47,1)+1))</f>
        <v>24</v>
      </c>
      <c r="AP179" s="163" t="str">
        <f t="shared" si="68"/>
        <v>1360x350x25 + 12M24</v>
      </c>
      <c r="AQ179" s="140" t="s">
        <v>266</v>
      </c>
      <c r="AR179" s="151">
        <v>0</v>
      </c>
      <c r="AS179" s="151">
        <v>-193.27996604762666</v>
      </c>
      <c r="AT179" s="151">
        <v>-1.1823431123048065E-15</v>
      </c>
      <c r="AU179" s="151">
        <v>4.661233414112622E-4</v>
      </c>
      <c r="AV179" s="151">
        <v>-8.6783984443172792E-16</v>
      </c>
      <c r="AW179" s="151">
        <v>-547.00333522366179</v>
      </c>
      <c r="BA179" s="161">
        <f t="shared" si="69"/>
        <v>60</v>
      </c>
      <c r="BB179" s="161">
        <f t="shared" si="70"/>
        <v>70</v>
      </c>
      <c r="BC179" s="161">
        <f t="shared" si="71"/>
        <v>80</v>
      </c>
      <c r="BD179" s="161">
        <f t="shared" si="72"/>
        <v>150</v>
      </c>
      <c r="BE179" s="161">
        <f>HLOOKUP(AO179,Data!$H$31:$Q$35,3,FALSE)</f>
        <v>452.38934211693021</v>
      </c>
      <c r="BF179" s="161">
        <f>HLOOKUP(AO179,Data!$H$31:$Q$35,4,FALSE)</f>
        <v>353</v>
      </c>
      <c r="BG179" s="179">
        <f t="shared" si="73"/>
        <v>180</v>
      </c>
      <c r="BH179" s="185">
        <f t="shared" si="74"/>
        <v>121.65654188208487</v>
      </c>
      <c r="BI179" s="185">
        <f t="shared" si="75"/>
        <v>243</v>
      </c>
      <c r="BJ179" s="185">
        <f t="shared" si="76"/>
        <v>142.3296</v>
      </c>
      <c r="BK179" s="185">
        <f t="shared" si="77"/>
        <v>16.026729528326044</v>
      </c>
      <c r="BL179" s="186">
        <f t="shared" si="78"/>
        <v>0.82166666666666666</v>
      </c>
      <c r="BM179" s="186">
        <f t="shared" si="79"/>
        <v>0.1603296230290864</v>
      </c>
      <c r="BN179" s="185" t="str">
        <f t="shared" si="80"/>
        <v>OK</v>
      </c>
      <c r="BO179" s="185" cm="1">
        <f t="array" ref="BO179">_xll.DCEBoltDisRS(AN179, AE179, BA179, BB179, BC179, BD179, "h1")</f>
        <v>1240</v>
      </c>
      <c r="BP179" s="185" cm="1">
        <f t="array" ref="BP179">_xll.DCEBoltDisRS(AN179, AE179, BA179, BB179, BC179, BD179, "Tong")</f>
        <v>3721800</v>
      </c>
      <c r="BQ179" s="185">
        <f t="shared" si="81"/>
        <v>92.725803652674145</v>
      </c>
      <c r="BR179" s="186">
        <f t="shared" si="82"/>
        <v>0.6514864346746857</v>
      </c>
      <c r="BS179" s="185" t="str">
        <f t="shared" si="83"/>
        <v>OK</v>
      </c>
      <c r="BT179" s="186">
        <f t="shared" si="84"/>
        <v>0.66467235935851787</v>
      </c>
      <c r="BU179" s="185" t="str">
        <f t="shared" si="85"/>
        <v>OK</v>
      </c>
      <c r="BV179" s="190">
        <f t="shared" si="86"/>
        <v>497.27575929423796</v>
      </c>
      <c r="BW179" s="191">
        <f t="shared" si="87"/>
        <v>11.188704584120353</v>
      </c>
      <c r="BX179" s="190">
        <f t="shared" si="88"/>
        <v>248.63787964711898</v>
      </c>
      <c r="BY179" s="167">
        <f t="shared" si="89"/>
        <v>78.979091182026025</v>
      </c>
      <c r="BZ179" s="192">
        <f t="shared" si="90"/>
        <v>0.38392613769040435</v>
      </c>
      <c r="CA179" s="191">
        <f t="shared" si="91"/>
        <v>7.312878813150558</v>
      </c>
      <c r="CB179" s="193">
        <f t="shared" si="92"/>
        <v>6.1290890435888305E-2</v>
      </c>
      <c r="CC179" s="167">
        <f t="shared" si="93"/>
        <v>79.988320607112769</v>
      </c>
      <c r="CD179" s="191">
        <f t="shared" si="94"/>
        <v>0.33811488179335114</v>
      </c>
      <c r="CE179" s="189">
        <f t="shared" si="95"/>
        <v>0.38392613769040435</v>
      </c>
      <c r="CF179" s="194" t="str">
        <f t="shared" si="96"/>
        <v>OK</v>
      </c>
      <c r="DA179" s="140"/>
      <c r="DB179" s="140"/>
      <c r="DC179" s="140"/>
      <c r="DD179" s="141"/>
      <c r="DE179" s="151"/>
      <c r="DF179" s="152"/>
      <c r="DG179" s="152"/>
      <c r="DH179" s="152"/>
      <c r="DI179" s="152"/>
      <c r="DJ179" s="152"/>
      <c r="DK179" s="161"/>
      <c r="DL179" s="162"/>
      <c r="DM179" s="162"/>
      <c r="DN179" s="162"/>
      <c r="DO179" s="162"/>
      <c r="DP179" s="162"/>
      <c r="DQ179" s="140"/>
      <c r="DR179" s="151"/>
      <c r="DS179" s="151"/>
      <c r="DT179" s="151"/>
      <c r="DU179" s="151"/>
      <c r="DV179" s="151"/>
      <c r="DW179" s="151"/>
      <c r="DX179" s="151"/>
      <c r="DY179" s="151"/>
      <c r="DZ179" s="151"/>
      <c r="EA179" s="161"/>
      <c r="EB179" s="161"/>
      <c r="EC179" s="161"/>
      <c r="ED179" s="161"/>
      <c r="EE179" s="161"/>
      <c r="EF179" s="161"/>
      <c r="EG179" s="161"/>
      <c r="EH179" s="161"/>
      <c r="EI179" s="161"/>
      <c r="EJ179" s="161"/>
      <c r="EK179" s="209"/>
      <c r="EL179" s="161"/>
      <c r="EM179" s="187"/>
      <c r="EN179" s="187"/>
      <c r="EO179" s="206"/>
      <c r="EP179" s="212"/>
      <c r="EQ179" s="208"/>
      <c r="ER179" s="187"/>
      <c r="ES179" s="187"/>
      <c r="ET179" s="187"/>
      <c r="EU179" s="187"/>
      <c r="EV179" s="210"/>
      <c r="EW179" s="209"/>
      <c r="EX179" s="210"/>
      <c r="EY179" s="162"/>
      <c r="EZ179" s="211"/>
      <c r="FA179" s="209"/>
      <c r="FB179" s="207"/>
      <c r="FC179" s="162"/>
      <c r="FD179" s="209"/>
      <c r="FE179" s="187"/>
      <c r="FF179" s="187"/>
    </row>
    <row r="180" spans="27:162">
      <c r="AA180" s="140" t="s">
        <v>210</v>
      </c>
      <c r="AB180" s="140" t="s">
        <v>239</v>
      </c>
      <c r="AC180" s="140">
        <v>102</v>
      </c>
      <c r="AD180" s="141">
        <v>3</v>
      </c>
      <c r="AE180" s="151">
        <v>750</v>
      </c>
      <c r="AF180" s="152">
        <v>350</v>
      </c>
      <c r="AG180" s="152">
        <v>14</v>
      </c>
      <c r="AH180" s="152">
        <v>18.000000000000004</v>
      </c>
      <c r="AI180" s="152">
        <v>714</v>
      </c>
      <c r="AJ180" s="153" t="str" cm="1">
        <f t="array" ref="AJ180">_xll.Dce_Name_SectI(AE180, AE180, AF180, AG180, AH180, "x", "-", "H Tổng")</f>
        <v>750x350x14x18</v>
      </c>
      <c r="AK180" s="161">
        <f t="shared" si="67"/>
        <v>1010</v>
      </c>
      <c r="AL180" s="162" cm="1">
        <f t="array" ref="AL180">IFERROR(INDEX($B$25:$B$32,IFERROR(MATCH(AF180,$B$25:$B$32,0),MATCH(AF180,$B$25:$B$32,1)+1)),$B$25)</f>
        <v>350</v>
      </c>
      <c r="AM180" s="162" cm="1">
        <f t="array" ref="AM180">IFERROR(VLOOKUP(AE180,$B$36:$E$47,4,FALSE),INDEX($E$36:$E$47,MATCH(AE180,$B$36:$B$47,1)+1))</f>
        <v>25</v>
      </c>
      <c r="AN180" s="162" cm="1">
        <f t="array" ref="AN180">IFERROR(VLOOKUP(AE180,$B$36:$E$47,2,FALSE),INDEX($C$36:$C$47,MATCH(AE180,$B$36:$B$47,1)+1))</f>
        <v>12</v>
      </c>
      <c r="AO180" s="162" cm="1">
        <f t="array" ref="AO180">IFERROR(VLOOKUP(AE180,$B$36:$E$47,3,FALSE),INDEX($D$36:$D$47,MATCH(AE180,$B$36:$B$47,1)+1))</f>
        <v>24</v>
      </c>
      <c r="AP180" s="163" t="str">
        <f t="shared" si="68"/>
        <v>1010x350x25 + 12M24</v>
      </c>
      <c r="AQ180" s="140" t="s">
        <v>266</v>
      </c>
      <c r="AR180" s="151">
        <v>0</v>
      </c>
      <c r="AS180" s="151">
        <v>-134.7261322562253</v>
      </c>
      <c r="AT180" s="151">
        <v>2.2919266484677789E-14</v>
      </c>
      <c r="AU180" s="151">
        <v>4.6620050481381917E-4</v>
      </c>
      <c r="AV180" s="151">
        <v>8.3593477029353365E-15</v>
      </c>
      <c r="AW180" s="151">
        <v>-90.932772351495984</v>
      </c>
      <c r="BA180" s="161">
        <f t="shared" si="69"/>
        <v>60</v>
      </c>
      <c r="BB180" s="161">
        <f t="shared" si="70"/>
        <v>70</v>
      </c>
      <c r="BC180" s="161">
        <f t="shared" si="71"/>
        <v>80</v>
      </c>
      <c r="BD180" s="161">
        <f t="shared" si="72"/>
        <v>150</v>
      </c>
      <c r="BE180" s="161">
        <f>HLOOKUP(AO180,Data!$H$31:$Q$35,3,FALSE)</f>
        <v>452.38934211693021</v>
      </c>
      <c r="BF180" s="161">
        <f>HLOOKUP(AO180,Data!$H$31:$Q$35,4,FALSE)</f>
        <v>353</v>
      </c>
      <c r="BG180" s="179">
        <f t="shared" si="73"/>
        <v>180</v>
      </c>
      <c r="BH180" s="185">
        <f t="shared" si="74"/>
        <v>121.65654188208487</v>
      </c>
      <c r="BI180" s="185">
        <f t="shared" si="75"/>
        <v>243</v>
      </c>
      <c r="BJ180" s="185">
        <f t="shared" si="76"/>
        <v>142.3296</v>
      </c>
      <c r="BK180" s="185">
        <f t="shared" si="77"/>
        <v>11.171459340674483</v>
      </c>
      <c r="BL180" s="186">
        <f t="shared" si="78"/>
        <v>0.89458333333333329</v>
      </c>
      <c r="BM180" s="186">
        <f t="shared" si="79"/>
        <v>0.10264874384913192</v>
      </c>
      <c r="BN180" s="185" t="str">
        <f t="shared" si="80"/>
        <v>OK</v>
      </c>
      <c r="BO180" s="185" cm="1">
        <f t="array" ref="BO180">_xll.DCEBoltDisRS(AN180, AE180, BA180, BB180, BC180, BD180, "h1")</f>
        <v>890</v>
      </c>
      <c r="BP180" s="185" cm="1">
        <f t="array" ref="BP180">_xll.DCEBoltDisRS(AN180, AE180, BA180, BB180, BC180, BD180, "Tong")</f>
        <v>1800300</v>
      </c>
      <c r="BQ180" s="185">
        <f t="shared" si="81"/>
        <v>23.59400184497991</v>
      </c>
      <c r="BR180" s="186">
        <f t="shared" si="82"/>
        <v>0.16577016899492383</v>
      </c>
      <c r="BS180" s="185" t="str">
        <f t="shared" si="83"/>
        <v>OK</v>
      </c>
      <c r="BT180" s="186">
        <f t="shared" si="84"/>
        <v>0.18950489165824577</v>
      </c>
      <c r="BU180" s="185" t="str">
        <f t="shared" si="85"/>
        <v>OK</v>
      </c>
      <c r="BV180" s="190">
        <f t="shared" si="86"/>
        <v>121.24369646866131</v>
      </c>
      <c r="BW180" s="191">
        <f t="shared" si="87"/>
        <v>2.7279831705448796</v>
      </c>
      <c r="BX180" s="190">
        <f t="shared" si="88"/>
        <v>60.621848234330656</v>
      </c>
      <c r="BY180" s="167">
        <f t="shared" si="89"/>
        <v>25.929344987357272</v>
      </c>
      <c r="BZ180" s="192">
        <f t="shared" si="90"/>
        <v>0.12604542702187563</v>
      </c>
      <c r="CA180" s="191">
        <f t="shared" si="91"/>
        <v>2.4008652766071545</v>
      </c>
      <c r="CB180" s="193">
        <f t="shared" si="92"/>
        <v>2.0122194607579122E-2</v>
      </c>
      <c r="CC180" s="167">
        <f t="shared" si="93"/>
        <v>26.260681516340043</v>
      </c>
      <c r="CD180" s="191">
        <f t="shared" si="94"/>
        <v>0.11100529626472243</v>
      </c>
      <c r="CE180" s="189">
        <f t="shared" si="95"/>
        <v>0.12604542702187563</v>
      </c>
      <c r="CF180" s="194" t="str">
        <f t="shared" si="96"/>
        <v>OK</v>
      </c>
      <c r="DA180" s="140"/>
      <c r="DB180" s="140"/>
      <c r="DC180" s="140"/>
      <c r="DD180" s="141"/>
      <c r="DE180" s="151"/>
      <c r="DF180" s="152"/>
      <c r="DG180" s="152"/>
      <c r="DH180" s="152"/>
      <c r="DI180" s="152"/>
      <c r="DJ180" s="152"/>
      <c r="DK180" s="161"/>
      <c r="DL180" s="162"/>
      <c r="DM180" s="162"/>
      <c r="DN180" s="162"/>
      <c r="DO180" s="162"/>
      <c r="DP180" s="162"/>
      <c r="DQ180" s="140"/>
      <c r="DR180" s="151"/>
      <c r="DS180" s="151"/>
      <c r="DT180" s="151"/>
      <c r="DU180" s="151"/>
      <c r="DV180" s="151"/>
      <c r="DW180" s="151"/>
      <c r="DX180" s="151"/>
      <c r="DY180" s="151"/>
      <c r="DZ180" s="151"/>
      <c r="EA180" s="161"/>
      <c r="EB180" s="161"/>
      <c r="EC180" s="161"/>
      <c r="ED180" s="161"/>
      <c r="EE180" s="161"/>
      <c r="EF180" s="161"/>
      <c r="EG180" s="161"/>
      <c r="EH180" s="161"/>
      <c r="EI180" s="161"/>
      <c r="EJ180" s="161"/>
      <c r="EK180" s="209"/>
      <c r="EL180" s="161"/>
      <c r="EM180" s="187"/>
      <c r="EN180" s="187"/>
      <c r="EO180" s="206"/>
      <c r="EP180" s="212"/>
      <c r="EQ180" s="208"/>
      <c r="ER180" s="187"/>
      <c r="ES180" s="187"/>
      <c r="ET180" s="187"/>
      <c r="EU180" s="187"/>
      <c r="EV180" s="210"/>
      <c r="EW180" s="209"/>
      <c r="EX180" s="210"/>
      <c r="EY180" s="162"/>
      <c r="EZ180" s="211"/>
      <c r="FA180" s="209"/>
      <c r="FB180" s="207"/>
      <c r="FC180" s="162"/>
      <c r="FD180" s="209"/>
      <c r="FE180" s="187"/>
      <c r="FF180" s="187"/>
    </row>
    <row r="181" spans="27:162">
      <c r="AA181" s="140" t="s">
        <v>210</v>
      </c>
      <c r="AB181" s="140" t="s">
        <v>239</v>
      </c>
      <c r="AC181" s="140">
        <v>102</v>
      </c>
      <c r="AD181" s="141">
        <v>0.3</v>
      </c>
      <c r="AE181" s="151">
        <v>1100</v>
      </c>
      <c r="AF181" s="152">
        <v>350</v>
      </c>
      <c r="AG181" s="152">
        <v>14</v>
      </c>
      <c r="AH181" s="152">
        <v>18.000000000000004</v>
      </c>
      <c r="AI181" s="152">
        <v>1064</v>
      </c>
      <c r="AJ181" s="153" t="str" cm="1">
        <f t="array" ref="AJ181">_xll.Dce_Name_SectI(AE181, AE181, AF181, AG181, AH181, "x", "-", "H Tổng")</f>
        <v>1100x350x14x18</v>
      </c>
      <c r="AK181" s="161">
        <f t="shared" si="67"/>
        <v>1360</v>
      </c>
      <c r="AL181" s="162" cm="1">
        <f t="array" ref="AL181">IFERROR(INDEX($B$25:$B$32,IFERROR(MATCH(AF181,$B$25:$B$32,0),MATCH(AF181,$B$25:$B$32,1)+1)),$B$25)</f>
        <v>350</v>
      </c>
      <c r="AM181" s="162" cm="1">
        <f t="array" ref="AM181">IFERROR(VLOOKUP(AE181,$B$36:$E$47,4,FALSE),INDEX($E$36:$E$47,MATCH(AE181,$B$36:$B$47,1)+1))</f>
        <v>25</v>
      </c>
      <c r="AN181" s="162" cm="1">
        <f t="array" ref="AN181">IFERROR(VLOOKUP(AE181,$B$36:$E$47,2,FALSE),INDEX($C$36:$C$47,MATCH(AE181,$B$36:$B$47,1)+1))</f>
        <v>12</v>
      </c>
      <c r="AO181" s="162" cm="1">
        <f t="array" ref="AO181">IFERROR(VLOOKUP(AE181,$B$36:$E$47,3,FALSE),INDEX($D$36:$D$47,MATCH(AE181,$B$36:$B$47,1)+1))</f>
        <v>24</v>
      </c>
      <c r="AP181" s="163" t="str">
        <f t="shared" si="68"/>
        <v>1360x350x25 + 12M24</v>
      </c>
      <c r="AQ181" s="140" t="s">
        <v>267</v>
      </c>
      <c r="AR181" s="151">
        <v>0</v>
      </c>
      <c r="AS181" s="151">
        <v>-211.30556978169065</v>
      </c>
      <c r="AT181" s="151">
        <v>-1.6939338820520785E-15</v>
      </c>
      <c r="AU181" s="151">
        <v>3.5588405599113935E-4</v>
      </c>
      <c r="AV181" s="151">
        <v>-1.3015551303396931E-15</v>
      </c>
      <c r="AW181" s="151">
        <v>-681.42367931492811</v>
      </c>
      <c r="BA181" s="161">
        <f t="shared" si="69"/>
        <v>60</v>
      </c>
      <c r="BB181" s="161">
        <f t="shared" si="70"/>
        <v>70</v>
      </c>
      <c r="BC181" s="161">
        <f t="shared" si="71"/>
        <v>80</v>
      </c>
      <c r="BD181" s="161">
        <f t="shared" si="72"/>
        <v>150</v>
      </c>
      <c r="BE181" s="161">
        <f>HLOOKUP(AO181,Data!$H$31:$Q$35,3,FALSE)</f>
        <v>452.38934211693021</v>
      </c>
      <c r="BF181" s="161">
        <f>HLOOKUP(AO181,Data!$H$31:$Q$35,4,FALSE)</f>
        <v>353</v>
      </c>
      <c r="BG181" s="179">
        <f t="shared" si="73"/>
        <v>180</v>
      </c>
      <c r="BH181" s="185">
        <f t="shared" si="74"/>
        <v>121.65654188208487</v>
      </c>
      <c r="BI181" s="185">
        <f t="shared" si="75"/>
        <v>243</v>
      </c>
      <c r="BJ181" s="185">
        <f t="shared" si="76"/>
        <v>142.3296</v>
      </c>
      <c r="BK181" s="185">
        <f t="shared" si="77"/>
        <v>17.521408369274521</v>
      </c>
      <c r="BL181" s="186">
        <f t="shared" si="78"/>
        <v>0.82166666666666666</v>
      </c>
      <c r="BM181" s="186">
        <f t="shared" si="79"/>
        <v>0.17528222422543613</v>
      </c>
      <c r="BN181" s="185" t="str">
        <f t="shared" si="80"/>
        <v>OK</v>
      </c>
      <c r="BO181" s="185" cm="1">
        <f t="array" ref="BO181">_xll.DCEBoltDisRS(AN181, AE181, BA181, BB181, BC181, BD181, "h1")</f>
        <v>1240</v>
      </c>
      <c r="BP181" s="185" cm="1">
        <f t="array" ref="BP181">_xll.DCEBoltDisRS(AN181, AE181, BA181, BB181, BC181, BD181, "Tong")</f>
        <v>3721800</v>
      </c>
      <c r="BQ181" s="185">
        <f t="shared" si="81"/>
        <v>115.26782711111076</v>
      </c>
      <c r="BR181" s="186">
        <f t="shared" si="82"/>
        <v>0.80986546095197876</v>
      </c>
      <c r="BS181" s="185" t="str">
        <f t="shared" si="83"/>
        <v>OK</v>
      </c>
      <c r="BT181" s="186">
        <f t="shared" si="84"/>
        <v>0.82257209467546644</v>
      </c>
      <c r="BU181" s="185" t="str">
        <f t="shared" si="85"/>
        <v>OK</v>
      </c>
      <c r="BV181" s="190">
        <f t="shared" si="86"/>
        <v>619.47607210448007</v>
      </c>
      <c r="BW181" s="191">
        <f t="shared" si="87"/>
        <v>13.938211622350801</v>
      </c>
      <c r="BX181" s="190">
        <f t="shared" si="88"/>
        <v>309.73803605224003</v>
      </c>
      <c r="BY181" s="167">
        <f t="shared" si="89"/>
        <v>98.387376157770362</v>
      </c>
      <c r="BZ181" s="192">
        <f t="shared" si="90"/>
        <v>0.47827196743360595</v>
      </c>
      <c r="CA181" s="191">
        <f t="shared" si="91"/>
        <v>9.1099422368305891</v>
      </c>
      <c r="CB181" s="193">
        <f t="shared" si="92"/>
        <v>7.6352485222478603E-2</v>
      </c>
      <c r="CC181" s="167">
        <f t="shared" si="93"/>
        <v>99.644613150364378</v>
      </c>
      <c r="CD181" s="191">
        <f t="shared" si="94"/>
        <v>0.4212030749109606</v>
      </c>
      <c r="CE181" s="189">
        <f t="shared" si="95"/>
        <v>0.47827196743360595</v>
      </c>
      <c r="CF181" s="194" t="str">
        <f t="shared" si="96"/>
        <v>OK</v>
      </c>
      <c r="DA181" s="140"/>
      <c r="DB181" s="140"/>
      <c r="DC181" s="140"/>
      <c r="DD181" s="141"/>
      <c r="DE181" s="151"/>
      <c r="DF181" s="152"/>
      <c r="DG181" s="152"/>
      <c r="DH181" s="152"/>
      <c r="DI181" s="152"/>
      <c r="DJ181" s="152"/>
      <c r="DK181" s="161"/>
      <c r="DL181" s="162"/>
      <c r="DM181" s="162"/>
      <c r="DN181" s="162"/>
      <c r="DO181" s="162"/>
      <c r="DP181" s="162"/>
      <c r="DQ181" s="140"/>
      <c r="DR181" s="151"/>
      <c r="DS181" s="151"/>
      <c r="DT181" s="151"/>
      <c r="DU181" s="151"/>
      <c r="DV181" s="151"/>
      <c r="DW181" s="151"/>
      <c r="DX181" s="151"/>
      <c r="DY181" s="151"/>
      <c r="DZ181" s="151"/>
      <c r="EA181" s="161"/>
      <c r="EB181" s="161"/>
      <c r="EC181" s="161"/>
      <c r="ED181" s="161"/>
      <c r="EE181" s="161"/>
      <c r="EF181" s="161"/>
      <c r="EG181" s="161"/>
      <c r="EH181" s="161"/>
      <c r="EI181" s="161"/>
      <c r="EJ181" s="161"/>
      <c r="EK181" s="209"/>
      <c r="EL181" s="161"/>
      <c r="EM181" s="187"/>
      <c r="EN181" s="187"/>
      <c r="EO181" s="206"/>
      <c r="EP181" s="212"/>
      <c r="EQ181" s="208"/>
      <c r="ER181" s="187"/>
      <c r="ES181" s="187"/>
      <c r="ET181" s="187"/>
      <c r="EU181" s="187"/>
      <c r="EV181" s="210"/>
      <c r="EW181" s="209"/>
      <c r="EX181" s="210"/>
      <c r="EY181" s="162"/>
      <c r="EZ181" s="211"/>
      <c r="FA181" s="209"/>
      <c r="FB181" s="207"/>
      <c r="FC181" s="162"/>
      <c r="FD181" s="209"/>
      <c r="FE181" s="187"/>
      <c r="FF181" s="187"/>
    </row>
    <row r="182" spans="27:162">
      <c r="AA182" s="140" t="s">
        <v>210</v>
      </c>
      <c r="AB182" s="140" t="s">
        <v>239</v>
      </c>
      <c r="AC182" s="140">
        <v>102</v>
      </c>
      <c r="AD182" s="141">
        <v>3</v>
      </c>
      <c r="AE182" s="151">
        <v>750</v>
      </c>
      <c r="AF182" s="152">
        <v>350</v>
      </c>
      <c r="AG182" s="152">
        <v>14</v>
      </c>
      <c r="AH182" s="152">
        <v>18.000000000000004</v>
      </c>
      <c r="AI182" s="152">
        <v>714</v>
      </c>
      <c r="AJ182" s="153" t="str" cm="1">
        <f t="array" ref="AJ182">_xll.Dce_Name_SectI(AE182, AE182, AF182, AG182, AH182, "x", "-", "H Tổng")</f>
        <v>750x350x14x18</v>
      </c>
      <c r="AK182" s="161">
        <f t="shared" si="67"/>
        <v>1010</v>
      </c>
      <c r="AL182" s="162" cm="1">
        <f t="array" ref="AL182">IFERROR(INDEX($B$25:$B$32,IFERROR(MATCH(AF182,$B$25:$B$32,0),MATCH(AF182,$B$25:$B$32,1)+1)),$B$25)</f>
        <v>350</v>
      </c>
      <c r="AM182" s="162" cm="1">
        <f t="array" ref="AM182">IFERROR(VLOOKUP(AE182,$B$36:$E$47,4,FALSE),INDEX($E$36:$E$47,MATCH(AE182,$B$36:$B$47,1)+1))</f>
        <v>25</v>
      </c>
      <c r="AN182" s="162" cm="1">
        <f t="array" ref="AN182">IFERROR(VLOOKUP(AE182,$B$36:$E$47,2,FALSE),INDEX($C$36:$C$47,MATCH(AE182,$B$36:$B$47,1)+1))</f>
        <v>12</v>
      </c>
      <c r="AO182" s="162" cm="1">
        <f t="array" ref="AO182">IFERROR(VLOOKUP(AE182,$B$36:$E$47,3,FALSE),INDEX($D$36:$D$47,MATCH(AE182,$B$36:$B$47,1)+1))</f>
        <v>24</v>
      </c>
      <c r="AP182" s="163" t="str">
        <f t="shared" si="68"/>
        <v>1010x350x25 + 12M24</v>
      </c>
      <c r="AQ182" s="140" t="s">
        <v>267</v>
      </c>
      <c r="AR182" s="151">
        <v>0</v>
      </c>
      <c r="AS182" s="151">
        <v>-152.75172960610638</v>
      </c>
      <c r="AT182" s="151">
        <v>2.4283508537337182E-14</v>
      </c>
      <c r="AU182" s="151">
        <v>3.5594328543245372E-4</v>
      </c>
      <c r="AV182" s="151">
        <v>1.9212347979191687E-14</v>
      </c>
      <c r="AW182" s="151">
        <v>-176.68366773685941</v>
      </c>
      <c r="BA182" s="161">
        <f t="shared" si="69"/>
        <v>60</v>
      </c>
      <c r="BB182" s="161">
        <f t="shared" si="70"/>
        <v>70</v>
      </c>
      <c r="BC182" s="161">
        <f t="shared" si="71"/>
        <v>80</v>
      </c>
      <c r="BD182" s="161">
        <f t="shared" si="72"/>
        <v>150</v>
      </c>
      <c r="BE182" s="161">
        <f>HLOOKUP(AO182,Data!$H$31:$Q$35,3,FALSE)</f>
        <v>452.38934211693021</v>
      </c>
      <c r="BF182" s="161">
        <f>HLOOKUP(AO182,Data!$H$31:$Q$35,4,FALSE)</f>
        <v>353</v>
      </c>
      <c r="BG182" s="179">
        <f t="shared" si="73"/>
        <v>180</v>
      </c>
      <c r="BH182" s="185">
        <f t="shared" si="74"/>
        <v>121.65654188208487</v>
      </c>
      <c r="BI182" s="185">
        <f t="shared" si="75"/>
        <v>243</v>
      </c>
      <c r="BJ182" s="185">
        <f t="shared" si="76"/>
        <v>142.3296</v>
      </c>
      <c r="BK182" s="185">
        <f t="shared" si="77"/>
        <v>12.666137652248009</v>
      </c>
      <c r="BL182" s="186">
        <f t="shared" si="78"/>
        <v>0.89458333333333329</v>
      </c>
      <c r="BM182" s="186">
        <f t="shared" si="79"/>
        <v>0.11638256737771496</v>
      </c>
      <c r="BN182" s="185" t="str">
        <f t="shared" si="80"/>
        <v>OK</v>
      </c>
      <c r="BO182" s="185" cm="1">
        <f t="array" ref="BO182">_xll.DCEBoltDisRS(AN182, AE182, BA182, BB182, BC182, BD182, "h1")</f>
        <v>890</v>
      </c>
      <c r="BP182" s="185" cm="1">
        <f t="array" ref="BP182">_xll.DCEBoltDisRS(AN182, AE182, BA182, BB182, BC182, BD182, "Tong")</f>
        <v>1800300</v>
      </c>
      <c r="BQ182" s="185">
        <f t="shared" si="81"/>
        <v>44.939463925143947</v>
      </c>
      <c r="BR182" s="186">
        <f t="shared" si="82"/>
        <v>0.31574222034730615</v>
      </c>
      <c r="BS182" s="185" t="str">
        <f t="shared" si="83"/>
        <v>OK</v>
      </c>
      <c r="BT182" s="186">
        <f t="shared" si="84"/>
        <v>0.33246481759439406</v>
      </c>
      <c r="BU182" s="185" t="str">
        <f t="shared" si="85"/>
        <v>OK</v>
      </c>
      <c r="BV182" s="190">
        <f t="shared" si="86"/>
        <v>235.57822364914588</v>
      </c>
      <c r="BW182" s="191">
        <f t="shared" si="87"/>
        <v>5.3005100321057821</v>
      </c>
      <c r="BX182" s="190">
        <f t="shared" si="88"/>
        <v>117.78911182457294</v>
      </c>
      <c r="BY182" s="167">
        <f t="shared" si="89"/>
        <v>50.381085453678722</v>
      </c>
      <c r="BZ182" s="192">
        <f t="shared" si="90"/>
        <v>0.24490805428871604</v>
      </c>
      <c r="CA182" s="191">
        <f t="shared" si="91"/>
        <v>4.6649153197850675</v>
      </c>
      <c r="CB182" s="193">
        <f t="shared" si="92"/>
        <v>3.9097709816206271E-2</v>
      </c>
      <c r="CC182" s="167">
        <f t="shared" si="93"/>
        <v>51.024877033787881</v>
      </c>
      <c r="CD182" s="191">
        <f t="shared" si="94"/>
        <v>0.21568486668871692</v>
      </c>
      <c r="CE182" s="189">
        <f t="shared" si="95"/>
        <v>0.24490805428871604</v>
      </c>
      <c r="CF182" s="194" t="str">
        <f t="shared" si="96"/>
        <v>OK</v>
      </c>
      <c r="DA182" s="140"/>
      <c r="DB182" s="140"/>
      <c r="DC182" s="140"/>
      <c r="DD182" s="141"/>
      <c r="DE182" s="151"/>
      <c r="DF182" s="152"/>
      <c r="DG182" s="152"/>
      <c r="DH182" s="152"/>
      <c r="DI182" s="152"/>
      <c r="DJ182" s="152"/>
      <c r="DK182" s="161"/>
      <c r="DL182" s="162"/>
      <c r="DM182" s="162"/>
      <c r="DN182" s="162"/>
      <c r="DO182" s="162"/>
      <c r="DP182" s="162"/>
      <c r="DQ182" s="140"/>
      <c r="DR182" s="151"/>
      <c r="DS182" s="151"/>
      <c r="DT182" s="151"/>
      <c r="DU182" s="151"/>
      <c r="DV182" s="151"/>
      <c r="DW182" s="151"/>
      <c r="DX182" s="151"/>
      <c r="DY182" s="151"/>
      <c r="DZ182" s="151"/>
      <c r="EA182" s="161"/>
      <c r="EB182" s="161"/>
      <c r="EC182" s="161"/>
      <c r="ED182" s="161"/>
      <c r="EE182" s="161"/>
      <c r="EF182" s="161"/>
      <c r="EG182" s="161"/>
      <c r="EH182" s="161"/>
      <c r="EI182" s="161"/>
      <c r="EJ182" s="161"/>
      <c r="EK182" s="209"/>
      <c r="EL182" s="161"/>
      <c r="EM182" s="187"/>
      <c r="EN182" s="187"/>
      <c r="EO182" s="206"/>
      <c r="EP182" s="212"/>
      <c r="EQ182" s="208"/>
      <c r="ER182" s="187"/>
      <c r="ES182" s="187"/>
      <c r="ET182" s="187"/>
      <c r="EU182" s="187"/>
      <c r="EV182" s="210"/>
      <c r="EW182" s="209"/>
      <c r="EX182" s="210"/>
      <c r="EY182" s="162"/>
      <c r="EZ182" s="211"/>
      <c r="FA182" s="209"/>
      <c r="FB182" s="207"/>
      <c r="FC182" s="162"/>
      <c r="FD182" s="209"/>
      <c r="FE182" s="187"/>
      <c r="FF182" s="187"/>
    </row>
    <row r="183" spans="27:162">
      <c r="AA183" s="140" t="s">
        <v>210</v>
      </c>
      <c r="AB183" s="140" t="s">
        <v>239</v>
      </c>
      <c r="AC183" s="140">
        <v>102</v>
      </c>
      <c r="AD183" s="141">
        <v>0.3</v>
      </c>
      <c r="AE183" s="151">
        <v>1100</v>
      </c>
      <c r="AF183" s="152">
        <v>350</v>
      </c>
      <c r="AG183" s="152">
        <v>14</v>
      </c>
      <c r="AH183" s="152">
        <v>18.000000000000004</v>
      </c>
      <c r="AI183" s="152">
        <v>1064</v>
      </c>
      <c r="AJ183" s="153" t="str" cm="1">
        <f t="array" ref="AJ183">_xll.Dce_Name_SectI(AE183, AE183, AF183, AG183, AH183, "x", "-", "H Tổng")</f>
        <v>1100x350x14x18</v>
      </c>
      <c r="AK183" s="161">
        <f t="shared" si="67"/>
        <v>1360</v>
      </c>
      <c r="AL183" s="162" cm="1">
        <f t="array" ref="AL183">IFERROR(INDEX($B$25:$B$32,IFERROR(MATCH(AF183,$B$25:$B$32,0),MATCH(AF183,$B$25:$B$32,1)+1)),$B$25)</f>
        <v>350</v>
      </c>
      <c r="AM183" s="162" cm="1">
        <f t="array" ref="AM183">IFERROR(VLOOKUP(AE183,$B$36:$E$47,4,FALSE),INDEX($E$36:$E$47,MATCH(AE183,$B$36:$B$47,1)+1))</f>
        <v>25</v>
      </c>
      <c r="AN183" s="162" cm="1">
        <f t="array" ref="AN183">IFERROR(VLOOKUP(AE183,$B$36:$E$47,2,FALSE),INDEX($C$36:$C$47,MATCH(AE183,$B$36:$B$47,1)+1))</f>
        <v>12</v>
      </c>
      <c r="AO183" s="162" cm="1">
        <f t="array" ref="AO183">IFERROR(VLOOKUP(AE183,$B$36:$E$47,3,FALSE),INDEX($D$36:$D$47,MATCH(AE183,$B$36:$B$47,1)+1))</f>
        <v>24</v>
      </c>
      <c r="AP183" s="163" t="str">
        <f t="shared" si="68"/>
        <v>1360x350x25 + 12M24</v>
      </c>
      <c r="AQ183" s="140" t="s">
        <v>268</v>
      </c>
      <c r="AR183" s="151">
        <v>0</v>
      </c>
      <c r="AS183" s="151">
        <v>-208.14753931617759</v>
      </c>
      <c r="AT183" s="151">
        <v>-1.8076207197736946E-15</v>
      </c>
      <c r="AU183" s="151">
        <v>4.0390906892953887E-4</v>
      </c>
      <c r="AV183" s="151">
        <v>-1.3558974387706254E-15</v>
      </c>
      <c r="AW183" s="151">
        <v>-648.61204421833031</v>
      </c>
      <c r="BA183" s="161">
        <f t="shared" si="69"/>
        <v>60</v>
      </c>
      <c r="BB183" s="161">
        <f t="shared" si="70"/>
        <v>70</v>
      </c>
      <c r="BC183" s="161">
        <f t="shared" si="71"/>
        <v>80</v>
      </c>
      <c r="BD183" s="161">
        <f t="shared" si="72"/>
        <v>150</v>
      </c>
      <c r="BE183" s="161">
        <f>HLOOKUP(AO183,Data!$H$31:$Q$35,3,FALSE)</f>
        <v>452.38934211693021</v>
      </c>
      <c r="BF183" s="161">
        <f>HLOOKUP(AO183,Data!$H$31:$Q$35,4,FALSE)</f>
        <v>353</v>
      </c>
      <c r="BG183" s="179">
        <f t="shared" si="73"/>
        <v>180</v>
      </c>
      <c r="BH183" s="185">
        <f t="shared" si="74"/>
        <v>121.65654188208487</v>
      </c>
      <c r="BI183" s="185">
        <f t="shared" si="75"/>
        <v>243</v>
      </c>
      <c r="BJ183" s="185">
        <f t="shared" si="76"/>
        <v>142.3296</v>
      </c>
      <c r="BK183" s="185">
        <f t="shared" si="77"/>
        <v>17.259545222524384</v>
      </c>
      <c r="BL183" s="186">
        <f t="shared" si="78"/>
        <v>0.82166666666666666</v>
      </c>
      <c r="BM183" s="186">
        <f t="shared" si="79"/>
        <v>0.17266257437551161</v>
      </c>
      <c r="BN183" s="185" t="str">
        <f t="shared" si="80"/>
        <v>OK</v>
      </c>
      <c r="BO183" s="185" cm="1">
        <f t="array" ref="BO183">_xll.DCEBoltDisRS(AN183, AE183, BA183, BB183, BC183, BD183, "h1")</f>
        <v>1240</v>
      </c>
      <c r="BP183" s="185" cm="1">
        <f t="array" ref="BP183">_xll.DCEBoltDisRS(AN183, AE183, BA183, BB183, BC183, BD183, "Tong")</f>
        <v>3721800</v>
      </c>
      <c r="BQ183" s="185">
        <f t="shared" si="81"/>
        <v>109.7756797668558</v>
      </c>
      <c r="BR183" s="186">
        <f t="shared" si="82"/>
        <v>0.77127793352089657</v>
      </c>
      <c r="BS183" s="185" t="str">
        <f t="shared" si="83"/>
        <v>OK</v>
      </c>
      <c r="BT183" s="186">
        <f t="shared" si="84"/>
        <v>0.78421747916542228</v>
      </c>
      <c r="BU183" s="185" t="str">
        <f t="shared" si="85"/>
        <v>OK</v>
      </c>
      <c r="BV183" s="190">
        <f t="shared" si="86"/>
        <v>589.64731292575482</v>
      </c>
      <c r="BW183" s="191">
        <f t="shared" si="87"/>
        <v>13.267064540829482</v>
      </c>
      <c r="BX183" s="190">
        <f t="shared" si="88"/>
        <v>294.82365646287741</v>
      </c>
      <c r="BY183" s="167">
        <f t="shared" si="89"/>
        <v>93.649867347031645</v>
      </c>
      <c r="BZ183" s="192">
        <f t="shared" si="90"/>
        <v>0.4552424107147372</v>
      </c>
      <c r="CA183" s="191">
        <f t="shared" si="91"/>
        <v>8.6712840136140414</v>
      </c>
      <c r="CB183" s="193">
        <f t="shared" si="92"/>
        <v>7.2675991493412709E-2</v>
      </c>
      <c r="CC183" s="167">
        <f t="shared" si="93"/>
        <v>94.846566376706022</v>
      </c>
      <c r="CD183" s="191">
        <f t="shared" si="94"/>
        <v>0.4009214762300376</v>
      </c>
      <c r="CE183" s="189">
        <f t="shared" si="95"/>
        <v>0.4552424107147372</v>
      </c>
      <c r="CF183" s="194" t="str">
        <f t="shared" si="96"/>
        <v>OK</v>
      </c>
      <c r="DA183" s="140"/>
      <c r="DB183" s="140"/>
      <c r="DC183" s="140"/>
      <c r="DD183" s="141"/>
      <c r="DE183" s="151"/>
      <c r="DF183" s="152"/>
      <c r="DG183" s="152"/>
      <c r="DH183" s="152"/>
      <c r="DI183" s="152"/>
      <c r="DJ183" s="152"/>
      <c r="DK183" s="161"/>
      <c r="DL183" s="162"/>
      <c r="DM183" s="162"/>
      <c r="DN183" s="162"/>
      <c r="DO183" s="162"/>
      <c r="DP183" s="162"/>
      <c r="DQ183" s="140"/>
      <c r="DR183" s="151"/>
      <c r="DS183" s="151"/>
      <c r="DT183" s="151"/>
      <c r="DU183" s="151"/>
      <c r="DV183" s="151"/>
      <c r="DW183" s="151"/>
      <c r="DX183" s="151"/>
      <c r="DY183" s="151"/>
      <c r="DZ183" s="151"/>
      <c r="EA183" s="161"/>
      <c r="EB183" s="161"/>
      <c r="EC183" s="161"/>
      <c r="ED183" s="161"/>
      <c r="EE183" s="161"/>
      <c r="EF183" s="161"/>
      <c r="EG183" s="161"/>
      <c r="EH183" s="161"/>
      <c r="EI183" s="161"/>
      <c r="EJ183" s="161"/>
      <c r="EK183" s="209"/>
      <c r="EL183" s="161"/>
      <c r="EM183" s="187"/>
      <c r="EN183" s="187"/>
      <c r="EO183" s="206"/>
      <c r="EP183" s="212"/>
      <c r="EQ183" s="208"/>
      <c r="ER183" s="187"/>
      <c r="ES183" s="187"/>
      <c r="ET183" s="187"/>
      <c r="EU183" s="187"/>
      <c r="EV183" s="210"/>
      <c r="EW183" s="209"/>
      <c r="EX183" s="210"/>
      <c r="EY183" s="162"/>
      <c r="EZ183" s="211"/>
      <c r="FA183" s="209"/>
      <c r="FB183" s="207"/>
      <c r="FC183" s="162"/>
      <c r="FD183" s="209"/>
      <c r="FE183" s="187"/>
      <c r="FF183" s="187"/>
    </row>
    <row r="184" spans="27:162">
      <c r="AA184" s="140" t="s">
        <v>210</v>
      </c>
      <c r="AB184" s="140" t="s">
        <v>239</v>
      </c>
      <c r="AC184" s="140">
        <v>102</v>
      </c>
      <c r="AD184" s="141">
        <v>3</v>
      </c>
      <c r="AE184" s="151">
        <v>750</v>
      </c>
      <c r="AF184" s="152">
        <v>350</v>
      </c>
      <c r="AG184" s="152">
        <v>14</v>
      </c>
      <c r="AH184" s="152">
        <v>18.000000000000004</v>
      </c>
      <c r="AI184" s="152">
        <v>714</v>
      </c>
      <c r="AJ184" s="153" t="str" cm="1">
        <f t="array" ref="AJ184">_xll.Dce_Name_SectI(AE184, AE184, AF184, AG184, AH184, "x", "-", "H Tổng")</f>
        <v>750x350x14x18</v>
      </c>
      <c r="AK184" s="161">
        <f t="shared" si="67"/>
        <v>1010</v>
      </c>
      <c r="AL184" s="162" cm="1">
        <f t="array" ref="AL184">IFERROR(INDEX($B$25:$B$32,IFERROR(MATCH(AF184,$B$25:$B$32,0),MATCH(AF184,$B$25:$B$32,1)+1)),$B$25)</f>
        <v>350</v>
      </c>
      <c r="AM184" s="162" cm="1">
        <f t="array" ref="AM184">IFERROR(VLOOKUP(AE184,$B$36:$E$47,4,FALSE),INDEX($E$36:$E$47,MATCH(AE184,$B$36:$B$47,1)+1))</f>
        <v>25</v>
      </c>
      <c r="AN184" s="162" cm="1">
        <f t="array" ref="AN184">IFERROR(VLOOKUP(AE184,$B$36:$E$47,2,FALSE),INDEX($C$36:$C$47,MATCH(AE184,$B$36:$B$47,1)+1))</f>
        <v>12</v>
      </c>
      <c r="AO184" s="162" cm="1">
        <f t="array" ref="AO184">IFERROR(VLOOKUP(AE184,$B$36:$E$47,3,FALSE),INDEX($D$36:$D$47,MATCH(AE184,$B$36:$B$47,1)+1))</f>
        <v>24</v>
      </c>
      <c r="AP184" s="163" t="str">
        <f t="shared" si="68"/>
        <v>1010x350x25 + 12M24</v>
      </c>
      <c r="AQ184" s="140" t="s">
        <v>268</v>
      </c>
      <c r="AR184" s="151">
        <v>0</v>
      </c>
      <c r="AS184" s="151">
        <v>-149.59370039216998</v>
      </c>
      <c r="AT184" s="151">
        <v>2.3942448024172334E-14</v>
      </c>
      <c r="AU184" s="151">
        <v>4.0397613364128365E-4</v>
      </c>
      <c r="AV184" s="151">
        <v>1.6499097910127599E-14</v>
      </c>
      <c r="AW184" s="151">
        <v>-152.39878784496577</v>
      </c>
      <c r="BA184" s="161">
        <f t="shared" si="69"/>
        <v>60</v>
      </c>
      <c r="BB184" s="161">
        <f t="shared" si="70"/>
        <v>70</v>
      </c>
      <c r="BC184" s="161">
        <f t="shared" si="71"/>
        <v>80</v>
      </c>
      <c r="BD184" s="161">
        <f t="shared" si="72"/>
        <v>150</v>
      </c>
      <c r="BE184" s="161">
        <f>HLOOKUP(AO184,Data!$H$31:$Q$35,3,FALSE)</f>
        <v>452.38934211693021</v>
      </c>
      <c r="BF184" s="161">
        <f>HLOOKUP(AO184,Data!$H$31:$Q$35,4,FALSE)</f>
        <v>353</v>
      </c>
      <c r="BG184" s="179">
        <f t="shared" si="73"/>
        <v>180</v>
      </c>
      <c r="BH184" s="185">
        <f t="shared" si="74"/>
        <v>121.65654188208487</v>
      </c>
      <c r="BI184" s="185">
        <f t="shared" si="75"/>
        <v>243</v>
      </c>
      <c r="BJ184" s="185">
        <f t="shared" si="76"/>
        <v>142.3296</v>
      </c>
      <c r="BK184" s="185">
        <f t="shared" si="77"/>
        <v>12.404274609278312</v>
      </c>
      <c r="BL184" s="186">
        <f t="shared" si="78"/>
        <v>0.89458333333333329</v>
      </c>
      <c r="BM184" s="186">
        <f t="shared" si="79"/>
        <v>0.11397644373695812</v>
      </c>
      <c r="BN184" s="185" t="str">
        <f t="shared" si="80"/>
        <v>OK</v>
      </c>
      <c r="BO184" s="185" cm="1">
        <f t="array" ref="BO184">_xll.DCEBoltDisRS(AN184, AE184, BA184, BB184, BC184, BD184, "h1")</f>
        <v>890</v>
      </c>
      <c r="BP184" s="185" cm="1">
        <f t="array" ref="BP184">_xll.DCEBoltDisRS(AN184, AE184, BA184, BB184, BC184, BD184, "Tong")</f>
        <v>1800300</v>
      </c>
      <c r="BQ184" s="185">
        <f t="shared" si="81"/>
        <v>38.910516107825444</v>
      </c>
      <c r="BR184" s="186">
        <f t="shared" si="82"/>
        <v>0.27338316209576535</v>
      </c>
      <c r="BS184" s="185" t="str">
        <f t="shared" si="83"/>
        <v>OK</v>
      </c>
      <c r="BT184" s="186">
        <f t="shared" si="84"/>
        <v>0.29177814500941485</v>
      </c>
      <c r="BU184" s="185" t="str">
        <f t="shared" si="85"/>
        <v>OK</v>
      </c>
      <c r="BV184" s="190">
        <f t="shared" si="86"/>
        <v>203.19838379328769</v>
      </c>
      <c r="BW184" s="191">
        <f t="shared" si="87"/>
        <v>4.5719636353489728</v>
      </c>
      <c r="BX184" s="190">
        <f t="shared" si="88"/>
        <v>101.59919189664384</v>
      </c>
      <c r="BY184" s="167">
        <f t="shared" si="89"/>
        <v>43.456288019158556</v>
      </c>
      <c r="BZ184" s="192">
        <f t="shared" si="90"/>
        <v>0.21124584453757633</v>
      </c>
      <c r="CA184" s="191">
        <f t="shared" si="91"/>
        <v>4.0237303721443105</v>
      </c>
      <c r="CB184" s="193">
        <f t="shared" si="92"/>
        <v>3.3723793827837856E-2</v>
      </c>
      <c r="CC184" s="167">
        <f t="shared" si="93"/>
        <v>44.011591504139147</v>
      </c>
      <c r="CD184" s="191">
        <f t="shared" si="94"/>
        <v>0.18603933606822107</v>
      </c>
      <c r="CE184" s="189">
        <f t="shared" si="95"/>
        <v>0.21124584453757633</v>
      </c>
      <c r="CF184" s="194" t="str">
        <f t="shared" si="96"/>
        <v>OK</v>
      </c>
      <c r="DA184" s="140"/>
      <c r="DB184" s="140"/>
      <c r="DC184" s="140"/>
      <c r="DD184" s="141"/>
      <c r="DE184" s="151"/>
      <c r="DF184" s="152"/>
      <c r="DG184" s="152"/>
      <c r="DH184" s="152"/>
      <c r="DI184" s="152"/>
      <c r="DJ184" s="152"/>
      <c r="DK184" s="161"/>
      <c r="DL184" s="162"/>
      <c r="DM184" s="162"/>
      <c r="DN184" s="162"/>
      <c r="DO184" s="162"/>
      <c r="DP184" s="162"/>
      <c r="DQ184" s="140"/>
      <c r="DR184" s="151"/>
      <c r="DS184" s="151"/>
      <c r="DT184" s="151"/>
      <c r="DU184" s="151"/>
      <c r="DV184" s="151"/>
      <c r="DW184" s="151"/>
      <c r="DX184" s="151"/>
      <c r="DY184" s="151"/>
      <c r="DZ184" s="151"/>
      <c r="EA184" s="161"/>
      <c r="EB184" s="161"/>
      <c r="EC184" s="161"/>
      <c r="ED184" s="161"/>
      <c r="EE184" s="161"/>
      <c r="EF184" s="161"/>
      <c r="EG184" s="161"/>
      <c r="EH184" s="161"/>
      <c r="EI184" s="161"/>
      <c r="EJ184" s="161"/>
      <c r="EK184" s="209"/>
      <c r="EL184" s="161"/>
      <c r="EM184" s="187"/>
      <c r="EN184" s="187"/>
      <c r="EO184" s="206"/>
      <c r="EP184" s="212"/>
      <c r="EQ184" s="208"/>
      <c r="ER184" s="187"/>
      <c r="ES184" s="187"/>
      <c r="ET184" s="187"/>
      <c r="EU184" s="187"/>
      <c r="EV184" s="210"/>
      <c r="EW184" s="209"/>
      <c r="EX184" s="210"/>
      <c r="EY184" s="162"/>
      <c r="EZ184" s="211"/>
      <c r="FA184" s="209"/>
      <c r="FB184" s="207"/>
      <c r="FC184" s="162"/>
      <c r="FD184" s="209"/>
      <c r="FE184" s="187"/>
      <c r="FF184" s="187"/>
    </row>
    <row r="185" spans="27:162">
      <c r="AA185" s="140" t="s">
        <v>210</v>
      </c>
      <c r="AB185" s="140" t="s">
        <v>240</v>
      </c>
      <c r="AC185" s="140">
        <v>104</v>
      </c>
      <c r="AD185" s="141">
        <v>0</v>
      </c>
      <c r="AE185" s="151">
        <v>750</v>
      </c>
      <c r="AF185" s="152">
        <v>350</v>
      </c>
      <c r="AG185" s="152">
        <v>14</v>
      </c>
      <c r="AH185" s="152">
        <v>18.000000000000004</v>
      </c>
      <c r="AI185" s="152">
        <v>714</v>
      </c>
      <c r="AJ185" s="153" t="str" cm="1">
        <f t="array" ref="AJ185">_xll.Dce_Name_SectI(AE185, AE185, AF185, AG185, AH185, "x", "-", "H Tổng")</f>
        <v>750x350x14x18</v>
      </c>
      <c r="AK185" s="161">
        <f t="shared" si="67"/>
        <v>1010</v>
      </c>
      <c r="AL185" s="162" cm="1">
        <f t="array" ref="AL185">IFERROR(INDEX($B$25:$B$32,IFERROR(MATCH(AF185,$B$25:$B$32,0),MATCH(AF185,$B$25:$B$32,1)+1)),$B$25)</f>
        <v>350</v>
      </c>
      <c r="AM185" s="162" cm="1">
        <f t="array" ref="AM185">IFERROR(VLOOKUP(AE185,$B$36:$E$47,4,FALSE),INDEX($E$36:$E$47,MATCH(AE185,$B$36:$B$47,1)+1))</f>
        <v>25</v>
      </c>
      <c r="AN185" s="162" cm="1">
        <f t="array" ref="AN185">IFERROR(VLOOKUP(AE185,$B$36:$E$47,2,FALSE),INDEX($C$36:$C$47,MATCH(AE185,$B$36:$B$47,1)+1))</f>
        <v>12</v>
      </c>
      <c r="AO185" s="162" cm="1">
        <f t="array" ref="AO185">IFERROR(VLOOKUP(AE185,$B$36:$E$47,3,FALSE),INDEX($D$36:$D$47,MATCH(AE185,$B$36:$B$47,1)+1))</f>
        <v>24</v>
      </c>
      <c r="AP185" s="163" t="str">
        <f t="shared" si="68"/>
        <v>1010x350x25 + 12M24</v>
      </c>
      <c r="AQ185" s="140" t="s">
        <v>242</v>
      </c>
      <c r="AR185" s="151">
        <v>0</v>
      </c>
      <c r="AS185" s="151">
        <v>220.56175492447633</v>
      </c>
      <c r="AT185" s="151">
        <v>-3.0559021979570381E-14</v>
      </c>
      <c r="AU185" s="151">
        <v>6.5641877763900319E-4</v>
      </c>
      <c r="AV185" s="151">
        <v>2.0861625671386711E-14</v>
      </c>
      <c r="AW185" s="151">
        <v>-154.67926139039986</v>
      </c>
      <c r="BA185" s="161">
        <f t="shared" si="69"/>
        <v>60</v>
      </c>
      <c r="BB185" s="161">
        <f t="shared" si="70"/>
        <v>70</v>
      </c>
      <c r="BC185" s="161">
        <f t="shared" si="71"/>
        <v>80</v>
      </c>
      <c r="BD185" s="161">
        <f t="shared" si="72"/>
        <v>150</v>
      </c>
      <c r="BE185" s="161">
        <f>HLOOKUP(AO185,Data!$H$31:$Q$35,3,FALSE)</f>
        <v>452.38934211693021</v>
      </c>
      <c r="BF185" s="161">
        <f>HLOOKUP(AO185,Data!$H$31:$Q$35,4,FALSE)</f>
        <v>353</v>
      </c>
      <c r="BG185" s="179">
        <f t="shared" si="73"/>
        <v>180</v>
      </c>
      <c r="BH185" s="185">
        <f t="shared" si="74"/>
        <v>121.65654188208487</v>
      </c>
      <c r="BI185" s="185">
        <f t="shared" si="75"/>
        <v>243</v>
      </c>
      <c r="BJ185" s="185">
        <f t="shared" si="76"/>
        <v>142.3296</v>
      </c>
      <c r="BK185" s="185">
        <f t="shared" si="77"/>
        <v>18.288929073986264</v>
      </c>
      <c r="BL185" s="186">
        <f t="shared" si="78"/>
        <v>0.89458333333333329</v>
      </c>
      <c r="BM185" s="186">
        <f t="shared" si="79"/>
        <v>0.16804748050734189</v>
      </c>
      <c r="BN185" s="185" t="str">
        <f t="shared" si="80"/>
        <v>OK</v>
      </c>
      <c r="BO185" s="185" cm="1">
        <f t="array" ref="BO185">_xll.DCEBoltDisRS(AN185, AE185, BA185, BB185, BC185, BD185, "h1")</f>
        <v>890</v>
      </c>
      <c r="BP185" s="185" cm="1">
        <f t="array" ref="BP185">_xll.DCEBoltDisRS(AN185, AE185, BA185, BB185, BC185, BD185, "Tong")</f>
        <v>1800300</v>
      </c>
      <c r="BQ185" s="185">
        <f t="shared" si="81"/>
        <v>40.062671343619222</v>
      </c>
      <c r="BR185" s="186">
        <f t="shared" si="82"/>
        <v>0.28147814188769743</v>
      </c>
      <c r="BS185" s="185" t="str">
        <f t="shared" si="83"/>
        <v>OK</v>
      </c>
      <c r="BT185" s="186">
        <f t="shared" si="84"/>
        <v>0.3191078148236331</v>
      </c>
      <c r="BU185" s="185" t="str">
        <f t="shared" si="85"/>
        <v>OK</v>
      </c>
      <c r="BV185" s="190">
        <f t="shared" si="86"/>
        <v>206.23901518719981</v>
      </c>
      <c r="BW185" s="191">
        <f t="shared" si="87"/>
        <v>4.6403778417119952</v>
      </c>
      <c r="BX185" s="190">
        <f t="shared" si="88"/>
        <v>103.11950759359991</v>
      </c>
      <c r="BY185" s="167">
        <f t="shared" si="89"/>
        <v>44.10656166379718</v>
      </c>
      <c r="BZ185" s="192">
        <f t="shared" si="90"/>
        <v>0.21440689697679186</v>
      </c>
      <c r="CA185" s="191">
        <f t="shared" si="91"/>
        <v>4.0839408947960356</v>
      </c>
      <c r="CB185" s="193">
        <f t="shared" si="92"/>
        <v>3.4228431828989762E-2</v>
      </c>
      <c r="CC185" s="167">
        <f t="shared" si="93"/>
        <v>44.670174630270985</v>
      </c>
      <c r="CD185" s="191">
        <f t="shared" si="94"/>
        <v>0.18882320193955129</v>
      </c>
      <c r="CE185" s="189">
        <f t="shared" si="95"/>
        <v>0.21440689697679186</v>
      </c>
      <c r="CF185" s="194" t="str">
        <f t="shared" si="96"/>
        <v>OK</v>
      </c>
      <c r="DA185" s="140"/>
      <c r="DB185" s="140"/>
      <c r="DC185" s="140"/>
      <c r="DD185" s="141"/>
      <c r="DE185" s="151"/>
      <c r="DF185" s="152"/>
      <c r="DG185" s="152"/>
      <c r="DH185" s="152"/>
      <c r="DI185" s="152"/>
      <c r="DJ185" s="152"/>
      <c r="DK185" s="161"/>
      <c r="DL185" s="162"/>
      <c r="DM185" s="162"/>
      <c r="DN185" s="162"/>
      <c r="DO185" s="162"/>
      <c r="DP185" s="162"/>
      <c r="DQ185" s="140"/>
      <c r="DR185" s="151"/>
      <c r="DS185" s="151"/>
      <c r="DT185" s="151"/>
      <c r="DU185" s="151"/>
      <c r="DV185" s="151"/>
      <c r="DW185" s="151"/>
      <c r="DX185" s="151"/>
      <c r="DY185" s="151"/>
      <c r="DZ185" s="151"/>
      <c r="EA185" s="161"/>
      <c r="EB185" s="161"/>
      <c r="EC185" s="161"/>
      <c r="ED185" s="161"/>
      <c r="EE185" s="161"/>
      <c r="EF185" s="161"/>
      <c r="EG185" s="161"/>
      <c r="EH185" s="161"/>
      <c r="EI185" s="161"/>
      <c r="EJ185" s="161"/>
      <c r="EK185" s="209"/>
      <c r="EL185" s="161"/>
      <c r="EM185" s="187"/>
      <c r="EN185" s="187"/>
      <c r="EO185" s="206"/>
      <c r="EP185" s="212"/>
      <c r="EQ185" s="208"/>
      <c r="ER185" s="187"/>
      <c r="ES185" s="187"/>
      <c r="ET185" s="187"/>
      <c r="EU185" s="187"/>
      <c r="EV185" s="210"/>
      <c r="EW185" s="209"/>
      <c r="EX185" s="210"/>
      <c r="EY185" s="162"/>
      <c r="EZ185" s="211"/>
      <c r="FA185" s="209"/>
      <c r="FB185" s="207"/>
      <c r="FC185" s="162"/>
      <c r="FD185" s="209"/>
      <c r="FE185" s="187"/>
      <c r="FF185" s="187"/>
    </row>
    <row r="186" spans="27:162">
      <c r="AA186" s="140" t="s">
        <v>210</v>
      </c>
      <c r="AB186" s="140" t="s">
        <v>240</v>
      </c>
      <c r="AC186" s="140">
        <v>104</v>
      </c>
      <c r="AD186" s="141">
        <v>2.6850000000000001</v>
      </c>
      <c r="AE186" s="151">
        <v>1100</v>
      </c>
      <c r="AF186" s="152">
        <v>350</v>
      </c>
      <c r="AG186" s="152">
        <v>14</v>
      </c>
      <c r="AH186" s="152">
        <v>18.000000000000004</v>
      </c>
      <c r="AI186" s="152">
        <v>1064</v>
      </c>
      <c r="AJ186" s="153" t="str" cm="1">
        <f t="array" ref="AJ186">_xll.Dce_Name_SectI(AE186, AE186, AF186, AG186, AH186, "x", "-", "H Tổng")</f>
        <v>1100x350x14x18</v>
      </c>
      <c r="AK186" s="161">
        <f t="shared" si="67"/>
        <v>1360</v>
      </c>
      <c r="AL186" s="162" cm="1">
        <f t="array" ref="AL186">IFERROR(INDEX($B$25:$B$32,IFERROR(MATCH(AF186,$B$25:$B$32,0),MATCH(AF186,$B$25:$B$32,1)+1)),$B$25)</f>
        <v>350</v>
      </c>
      <c r="AM186" s="162" cm="1">
        <f t="array" ref="AM186">IFERROR(VLOOKUP(AE186,$B$36:$E$47,4,FALSE),INDEX($E$36:$E$47,MATCH(AE186,$B$36:$B$47,1)+1))</f>
        <v>25</v>
      </c>
      <c r="AN186" s="162" cm="1">
        <f t="array" ref="AN186">IFERROR(VLOOKUP(AE186,$B$36:$E$47,2,FALSE),INDEX($C$36:$C$47,MATCH(AE186,$B$36:$B$47,1)+1))</f>
        <v>12</v>
      </c>
      <c r="AO186" s="162" cm="1">
        <f t="array" ref="AO186">IFERROR(VLOOKUP(AE186,$B$36:$E$47,3,FALSE),INDEX($D$36:$D$47,MATCH(AE186,$B$36:$B$47,1)+1))</f>
        <v>24</v>
      </c>
      <c r="AP186" s="163" t="str">
        <f t="shared" si="68"/>
        <v>1360x350x25 + 12M24</v>
      </c>
      <c r="AQ186" s="140" t="s">
        <v>242</v>
      </c>
      <c r="AR186" s="151">
        <v>0</v>
      </c>
      <c r="AS186" s="151">
        <v>310.16761004005116</v>
      </c>
      <c r="AT186" s="151">
        <v>-6.3664629124104962E-15</v>
      </c>
      <c r="AU186" s="151">
        <v>6.5632193090912297E-4</v>
      </c>
      <c r="AV186" s="151">
        <v>1.7584170564077791E-15</v>
      </c>
      <c r="AW186" s="151">
        <v>-880.24997353339597</v>
      </c>
      <c r="BA186" s="161">
        <f t="shared" si="69"/>
        <v>60</v>
      </c>
      <c r="BB186" s="161">
        <f t="shared" si="70"/>
        <v>70</v>
      </c>
      <c r="BC186" s="161">
        <f t="shared" si="71"/>
        <v>80</v>
      </c>
      <c r="BD186" s="161">
        <f t="shared" si="72"/>
        <v>150</v>
      </c>
      <c r="BE186" s="161">
        <f>HLOOKUP(AO186,Data!$H$31:$Q$35,3,FALSE)</f>
        <v>452.38934211693021</v>
      </c>
      <c r="BF186" s="161">
        <f>HLOOKUP(AO186,Data!$H$31:$Q$35,4,FALSE)</f>
        <v>353</v>
      </c>
      <c r="BG186" s="179">
        <f t="shared" si="73"/>
        <v>180</v>
      </c>
      <c r="BH186" s="185">
        <f t="shared" si="74"/>
        <v>121.65654188208487</v>
      </c>
      <c r="BI186" s="185">
        <f t="shared" si="75"/>
        <v>243</v>
      </c>
      <c r="BJ186" s="185">
        <f t="shared" si="76"/>
        <v>142.3296</v>
      </c>
      <c r="BK186" s="185">
        <f t="shared" si="77"/>
        <v>25.719025599033344</v>
      </c>
      <c r="BL186" s="186">
        <f t="shared" si="78"/>
        <v>0.82166666666666666</v>
      </c>
      <c r="BM186" s="186">
        <f t="shared" si="79"/>
        <v>0.25729027695141565</v>
      </c>
      <c r="BN186" s="185" t="str">
        <f t="shared" si="80"/>
        <v>OK</v>
      </c>
      <c r="BO186" s="185" cm="1">
        <f t="array" ref="BO186">_xll.DCEBoltDisRS(AN186, AE186, BA186, BB186, BC186, BD186, "h1")</f>
        <v>1240</v>
      </c>
      <c r="BP186" s="185" cm="1">
        <f t="array" ref="BP186">_xll.DCEBoltDisRS(AN186, AE186, BA186, BB186, BC186, BD186, "Tong")</f>
        <v>3721800</v>
      </c>
      <c r="BQ186" s="185">
        <f t="shared" si="81"/>
        <v>149.20927791341654</v>
      </c>
      <c r="BR186" s="186">
        <f t="shared" si="82"/>
        <v>1.048336241466403</v>
      </c>
      <c r="BS186" s="185" t="str">
        <f t="shared" si="83"/>
        <v>O/S</v>
      </c>
      <c r="BT186" s="186">
        <f t="shared" si="84"/>
        <v>1.0694399136737514</v>
      </c>
      <c r="BU186" s="185" t="str">
        <f t="shared" si="85"/>
        <v>O/S</v>
      </c>
      <c r="BV186" s="190">
        <f t="shared" si="86"/>
        <v>800.22724866672354</v>
      </c>
      <c r="BW186" s="191">
        <f t="shared" si="87"/>
        <v>18.005113095001278</v>
      </c>
      <c r="BX186" s="190">
        <f t="shared" si="88"/>
        <v>400.11362433336177</v>
      </c>
      <c r="BY186" s="167">
        <f t="shared" si="89"/>
        <v>127.0949159647149</v>
      </c>
      <c r="BZ186" s="192">
        <f t="shared" si="90"/>
        <v>0.61782250816180861</v>
      </c>
      <c r="CA186" s="191">
        <f t="shared" si="91"/>
        <v>11.76804777451064</v>
      </c>
      <c r="CB186" s="193">
        <f t="shared" si="92"/>
        <v>9.8630668608207003E-2</v>
      </c>
      <c r="CC186" s="167">
        <f t="shared" si="93"/>
        <v>128.71899047672585</v>
      </c>
      <c r="CD186" s="191">
        <f t="shared" si="94"/>
        <v>0.54410201288471083</v>
      </c>
      <c r="CE186" s="189">
        <f t="shared" si="95"/>
        <v>0.61782250816180861</v>
      </c>
      <c r="CF186" s="194" t="str">
        <f t="shared" si="96"/>
        <v>OK</v>
      </c>
      <c r="DA186" s="140"/>
      <c r="DB186" s="140"/>
      <c r="DC186" s="140"/>
      <c r="DD186" s="141"/>
      <c r="DE186" s="151"/>
      <c r="DF186" s="152"/>
      <c r="DG186" s="152"/>
      <c r="DH186" s="152"/>
      <c r="DI186" s="152"/>
      <c r="DJ186" s="152"/>
      <c r="DK186" s="161"/>
      <c r="DL186" s="162"/>
      <c r="DM186" s="162"/>
      <c r="DN186" s="162"/>
      <c r="DO186" s="162"/>
      <c r="DP186" s="162"/>
      <c r="DQ186" s="140"/>
      <c r="DR186" s="151"/>
      <c r="DS186" s="151"/>
      <c r="DT186" s="151"/>
      <c r="DU186" s="151"/>
      <c r="DV186" s="151"/>
      <c r="DW186" s="151"/>
      <c r="DX186" s="151"/>
      <c r="DY186" s="151"/>
      <c r="DZ186" s="151"/>
      <c r="EA186" s="161"/>
      <c r="EB186" s="161"/>
      <c r="EC186" s="161"/>
      <c r="ED186" s="161"/>
      <c r="EE186" s="161"/>
      <c r="EF186" s="161"/>
      <c r="EG186" s="161"/>
      <c r="EH186" s="161"/>
      <c r="EI186" s="161"/>
      <c r="EJ186" s="161"/>
      <c r="EK186" s="209"/>
      <c r="EL186" s="161"/>
      <c r="EM186" s="187"/>
      <c r="EN186" s="187"/>
      <c r="EO186" s="206"/>
      <c r="EP186" s="212"/>
      <c r="EQ186" s="208"/>
      <c r="ER186" s="187"/>
      <c r="ES186" s="187"/>
      <c r="ET186" s="187"/>
      <c r="EU186" s="187"/>
      <c r="EV186" s="210"/>
      <c r="EW186" s="209"/>
      <c r="EX186" s="210"/>
      <c r="EY186" s="162"/>
      <c r="EZ186" s="211"/>
      <c r="FA186" s="209"/>
      <c r="FB186" s="207"/>
      <c r="FC186" s="162"/>
      <c r="FD186" s="209"/>
      <c r="FE186" s="187"/>
      <c r="FF186" s="187"/>
    </row>
    <row r="187" spans="27:162">
      <c r="AA187" s="140" t="s">
        <v>210</v>
      </c>
      <c r="AB187" s="140" t="s">
        <v>240</v>
      </c>
      <c r="AC187" s="140">
        <v>104</v>
      </c>
      <c r="AD187" s="141">
        <v>0</v>
      </c>
      <c r="AE187" s="151">
        <v>750</v>
      </c>
      <c r="AF187" s="152">
        <v>350</v>
      </c>
      <c r="AG187" s="152">
        <v>14</v>
      </c>
      <c r="AH187" s="152">
        <v>18.000000000000004</v>
      </c>
      <c r="AI187" s="152">
        <v>714</v>
      </c>
      <c r="AJ187" s="153" t="str" cm="1">
        <f t="array" ref="AJ187">_xll.Dce_Name_SectI(AE187, AE187, AF187, AG187, AH187, "x", "-", "H Tổng")</f>
        <v>750x350x14x18</v>
      </c>
      <c r="AK187" s="161">
        <f t="shared" si="67"/>
        <v>1010</v>
      </c>
      <c r="AL187" s="162" cm="1">
        <f t="array" ref="AL187">IFERROR(INDEX($B$25:$B$32,IFERROR(MATCH(AF187,$B$25:$B$32,0),MATCH(AF187,$B$25:$B$32,1)+1)),$B$25)</f>
        <v>350</v>
      </c>
      <c r="AM187" s="162" cm="1">
        <f t="array" ref="AM187">IFERROR(VLOOKUP(AE187,$B$36:$E$47,4,FALSE),INDEX($E$36:$E$47,MATCH(AE187,$B$36:$B$47,1)+1))</f>
        <v>25</v>
      </c>
      <c r="AN187" s="162" cm="1">
        <f t="array" ref="AN187">IFERROR(VLOOKUP(AE187,$B$36:$E$47,2,FALSE),INDEX($C$36:$C$47,MATCH(AE187,$B$36:$B$47,1)+1))</f>
        <v>12</v>
      </c>
      <c r="AO187" s="162" cm="1">
        <f t="array" ref="AO187">IFERROR(VLOOKUP(AE187,$B$36:$E$47,3,FALSE),INDEX($D$36:$D$47,MATCH(AE187,$B$36:$B$47,1)+1))</f>
        <v>24</v>
      </c>
      <c r="AP187" s="163" t="str">
        <f t="shared" si="68"/>
        <v>1010x350x25 + 12M24</v>
      </c>
      <c r="AQ187" s="140" t="s">
        <v>243</v>
      </c>
      <c r="AR187" s="151">
        <v>0</v>
      </c>
      <c r="AS187" s="151">
        <v>609.49023899182293</v>
      </c>
      <c r="AT187" s="151">
        <v>-4.9590198614168903E-14</v>
      </c>
      <c r="AU187" s="151">
        <v>1.4198611539383971E-3</v>
      </c>
      <c r="AV187" s="151">
        <v>5.3760595619678491E-14</v>
      </c>
      <c r="AW187" s="151">
        <v>-485.3223453078449</v>
      </c>
      <c r="BA187" s="161">
        <f t="shared" si="69"/>
        <v>60</v>
      </c>
      <c r="BB187" s="161">
        <f t="shared" si="70"/>
        <v>70</v>
      </c>
      <c r="BC187" s="161">
        <f t="shared" si="71"/>
        <v>80</v>
      </c>
      <c r="BD187" s="161">
        <f t="shared" si="72"/>
        <v>150</v>
      </c>
      <c r="BE187" s="161">
        <f>HLOOKUP(AO187,Data!$H$31:$Q$35,3,FALSE)</f>
        <v>452.38934211693021</v>
      </c>
      <c r="BF187" s="161">
        <f>HLOOKUP(AO187,Data!$H$31:$Q$35,4,FALSE)</f>
        <v>353</v>
      </c>
      <c r="BG187" s="179">
        <f t="shared" si="73"/>
        <v>180</v>
      </c>
      <c r="BH187" s="185">
        <f t="shared" si="74"/>
        <v>121.65654188208487</v>
      </c>
      <c r="BI187" s="185">
        <f t="shared" si="75"/>
        <v>243</v>
      </c>
      <c r="BJ187" s="185">
        <f t="shared" si="76"/>
        <v>142.3296</v>
      </c>
      <c r="BK187" s="185">
        <f t="shared" si="77"/>
        <v>50.538787905569855</v>
      </c>
      <c r="BL187" s="186">
        <f t="shared" si="78"/>
        <v>0.89458333333333329</v>
      </c>
      <c r="BM187" s="186">
        <f t="shared" si="79"/>
        <v>0.46437470127794722</v>
      </c>
      <c r="BN187" s="185" t="str">
        <f t="shared" si="80"/>
        <v>OK</v>
      </c>
      <c r="BO187" s="185" cm="1">
        <f t="array" ref="BO187">_xll.DCEBoltDisRS(AN187, AE187, BA187, BB187, BC187, BD187, "h1")</f>
        <v>890</v>
      </c>
      <c r="BP187" s="185" cm="1">
        <f t="array" ref="BP187">_xll.DCEBoltDisRS(AN187, AE187, BA187, BB187, BC187, BD187, "Tong")</f>
        <v>1800300</v>
      </c>
      <c r="BQ187" s="185">
        <f t="shared" si="81"/>
        <v>125.01635374583722</v>
      </c>
      <c r="BR187" s="186">
        <f t="shared" si="82"/>
        <v>0.87835807692733781</v>
      </c>
      <c r="BS187" s="185" t="str">
        <f t="shared" si="83"/>
        <v>OK</v>
      </c>
      <c r="BT187" s="186">
        <f t="shared" si="84"/>
        <v>0.97164203278250627</v>
      </c>
      <c r="BU187" s="185" t="str">
        <f t="shared" si="85"/>
        <v>OK</v>
      </c>
      <c r="BV187" s="190">
        <f t="shared" si="86"/>
        <v>647.09646041045983</v>
      </c>
      <c r="BW187" s="191">
        <f t="shared" si="87"/>
        <v>14.559670359235346</v>
      </c>
      <c r="BX187" s="190">
        <f t="shared" si="88"/>
        <v>323.54823020522991</v>
      </c>
      <c r="BY187" s="167">
        <f t="shared" si="89"/>
        <v>138.38894598877161</v>
      </c>
      <c r="BZ187" s="192">
        <f t="shared" si="90"/>
        <v>0.67272404300097322</v>
      </c>
      <c r="CA187" s="191">
        <f t="shared" si="91"/>
        <v>12.81379129525663</v>
      </c>
      <c r="CB187" s="193">
        <f t="shared" si="92"/>
        <v>0.10739528144970835</v>
      </c>
      <c r="CC187" s="167">
        <f t="shared" si="93"/>
        <v>140.15734056394737</v>
      </c>
      <c r="CD187" s="191">
        <f t="shared" si="94"/>
        <v>0.59245252653842495</v>
      </c>
      <c r="CE187" s="189">
        <f t="shared" si="95"/>
        <v>0.67272404300097322</v>
      </c>
      <c r="CF187" s="194" t="str">
        <f t="shared" si="96"/>
        <v>OK</v>
      </c>
      <c r="DA187" s="140"/>
      <c r="DB187" s="140"/>
      <c r="DC187" s="140"/>
      <c r="DD187" s="141"/>
      <c r="DE187" s="151"/>
      <c r="DF187" s="152"/>
      <c r="DG187" s="152"/>
      <c r="DH187" s="152"/>
      <c r="DI187" s="152"/>
      <c r="DJ187" s="152"/>
      <c r="DK187" s="161"/>
      <c r="DL187" s="162"/>
      <c r="DM187" s="162"/>
      <c r="DN187" s="162"/>
      <c r="DO187" s="162"/>
      <c r="DP187" s="162"/>
      <c r="DQ187" s="140"/>
      <c r="DR187" s="151"/>
      <c r="DS187" s="151"/>
      <c r="DT187" s="151"/>
      <c r="DU187" s="151"/>
      <c r="DV187" s="151"/>
      <c r="DW187" s="151"/>
      <c r="DX187" s="151"/>
      <c r="DY187" s="151"/>
      <c r="DZ187" s="151"/>
      <c r="EA187" s="161"/>
      <c r="EB187" s="161"/>
      <c r="EC187" s="161"/>
      <c r="ED187" s="161"/>
      <c r="EE187" s="161"/>
      <c r="EF187" s="161"/>
      <c r="EG187" s="161"/>
      <c r="EH187" s="161"/>
      <c r="EI187" s="161"/>
      <c r="EJ187" s="161"/>
      <c r="EK187" s="209"/>
      <c r="EL187" s="161"/>
      <c r="EM187" s="187"/>
      <c r="EN187" s="187"/>
      <c r="EO187" s="206"/>
      <c r="EP187" s="212"/>
      <c r="EQ187" s="208"/>
      <c r="ER187" s="187"/>
      <c r="ES187" s="187"/>
      <c r="ET187" s="187"/>
      <c r="EU187" s="187"/>
      <c r="EV187" s="210"/>
      <c r="EW187" s="209"/>
      <c r="EX187" s="210"/>
      <c r="EY187" s="162"/>
      <c r="EZ187" s="211"/>
      <c r="FA187" s="209"/>
      <c r="FB187" s="207"/>
      <c r="FC187" s="162"/>
      <c r="FD187" s="209"/>
      <c r="FE187" s="187"/>
      <c r="FF187" s="187"/>
    </row>
    <row r="188" spans="27:162">
      <c r="AA188" s="140" t="s">
        <v>210</v>
      </c>
      <c r="AB188" s="140" t="s">
        <v>240</v>
      </c>
      <c r="AC188" s="140">
        <v>104</v>
      </c>
      <c r="AD188" s="141">
        <v>2.6850000000000001</v>
      </c>
      <c r="AE188" s="151">
        <v>1100</v>
      </c>
      <c r="AF188" s="152">
        <v>350</v>
      </c>
      <c r="AG188" s="152">
        <v>14</v>
      </c>
      <c r="AH188" s="152">
        <v>18.000000000000004</v>
      </c>
      <c r="AI188" s="152">
        <v>1064</v>
      </c>
      <c r="AJ188" s="153" t="str" cm="1">
        <f t="array" ref="AJ188">_xll.Dce_Name_SectI(AE188, AE188, AF188, AG188, AH188, "x", "-", "H Tổng")</f>
        <v>1100x350x14x18</v>
      </c>
      <c r="AK188" s="161">
        <f t="shared" si="67"/>
        <v>1360</v>
      </c>
      <c r="AL188" s="162" cm="1">
        <f t="array" ref="AL188">IFERROR(INDEX($B$25:$B$32,IFERROR(MATCH(AF188,$B$25:$B$32,0),MATCH(AF188,$B$25:$B$32,1)+1)),$B$25)</f>
        <v>350</v>
      </c>
      <c r="AM188" s="162" cm="1">
        <f t="array" ref="AM188">IFERROR(VLOOKUP(AE188,$B$36:$E$47,4,FALSE),INDEX($E$36:$E$47,MATCH(AE188,$B$36:$B$47,1)+1))</f>
        <v>25</v>
      </c>
      <c r="AN188" s="162" cm="1">
        <f t="array" ref="AN188">IFERROR(VLOOKUP(AE188,$B$36:$E$47,2,FALSE),INDEX($C$36:$C$47,MATCH(AE188,$B$36:$B$47,1)+1))</f>
        <v>12</v>
      </c>
      <c r="AO188" s="162" cm="1">
        <f t="array" ref="AO188">IFERROR(VLOOKUP(AE188,$B$36:$E$47,3,FALSE),INDEX($D$36:$D$47,MATCH(AE188,$B$36:$B$47,1)+1))</f>
        <v>24</v>
      </c>
      <c r="AP188" s="163" t="str">
        <f t="shared" si="68"/>
        <v>1360x350x25 + 12M24</v>
      </c>
      <c r="AQ188" s="140" t="s">
        <v>243</v>
      </c>
      <c r="AR188" s="151">
        <v>0</v>
      </c>
      <c r="AS188" s="151">
        <v>848.68463625298341</v>
      </c>
      <c r="AT188" s="151">
        <v>-1.7212187231052665E-14</v>
      </c>
      <c r="AU188" s="151">
        <v>1.4196519898438649E-3</v>
      </c>
      <c r="AV188" s="151">
        <v>1.3151043276593553E-14</v>
      </c>
      <c r="AW188" s="151">
        <v>-2480.5121279980167</v>
      </c>
      <c r="BA188" s="161">
        <f t="shared" si="69"/>
        <v>60</v>
      </c>
      <c r="BB188" s="161">
        <f t="shared" si="70"/>
        <v>70</v>
      </c>
      <c r="BC188" s="161">
        <f t="shared" si="71"/>
        <v>80</v>
      </c>
      <c r="BD188" s="161">
        <f t="shared" si="72"/>
        <v>150</v>
      </c>
      <c r="BE188" s="161">
        <f>HLOOKUP(AO188,Data!$H$31:$Q$35,3,FALSE)</f>
        <v>452.38934211693021</v>
      </c>
      <c r="BF188" s="161">
        <f>HLOOKUP(AO188,Data!$H$31:$Q$35,4,FALSE)</f>
        <v>353</v>
      </c>
      <c r="BG188" s="179">
        <f t="shared" si="73"/>
        <v>180</v>
      </c>
      <c r="BH188" s="185">
        <f t="shared" si="74"/>
        <v>121.65654188208487</v>
      </c>
      <c r="BI188" s="185">
        <f t="shared" si="75"/>
        <v>243</v>
      </c>
      <c r="BJ188" s="185">
        <f t="shared" si="76"/>
        <v>142.3296</v>
      </c>
      <c r="BK188" s="185">
        <f t="shared" si="77"/>
        <v>70.372731319296278</v>
      </c>
      <c r="BL188" s="186">
        <f t="shared" si="78"/>
        <v>0.82166666666666666</v>
      </c>
      <c r="BM188" s="186">
        <f t="shared" si="79"/>
        <v>0.70400099184355691</v>
      </c>
      <c r="BN188" s="185" t="str">
        <f t="shared" si="80"/>
        <v>OK</v>
      </c>
      <c r="BO188" s="185" cm="1">
        <f t="array" ref="BO188">_xll.DCEBoltDisRS(AN188, AE188, BA188, BB188, BC188, BD188, "h1")</f>
        <v>1240</v>
      </c>
      <c r="BP188" s="185" cm="1">
        <f t="array" ref="BP188">_xll.DCEBoltDisRS(AN188, AE188, BA188, BB188, BC188, BD188, "Tong")</f>
        <v>3721800</v>
      </c>
      <c r="BQ188" s="185">
        <f t="shared" si="81"/>
        <v>420.25601657831857</v>
      </c>
      <c r="BR188" s="186">
        <f t="shared" si="82"/>
        <v>2.9526958312137359</v>
      </c>
      <c r="BS188" s="185" t="str">
        <f t="shared" si="83"/>
        <v>O/S</v>
      </c>
      <c r="BT188" s="186">
        <f t="shared" si="84"/>
        <v>3.0088240017239762</v>
      </c>
      <c r="BU188" s="185" t="str">
        <f t="shared" si="85"/>
        <v>O/S</v>
      </c>
      <c r="BV188" s="190">
        <f t="shared" si="86"/>
        <v>2255.0110254527422</v>
      </c>
      <c r="BW188" s="191">
        <f t="shared" si="87"/>
        <v>50.737748072686699</v>
      </c>
      <c r="BX188" s="190">
        <f t="shared" si="88"/>
        <v>1127.5055127263711</v>
      </c>
      <c r="BY188" s="167">
        <f t="shared" si="89"/>
        <v>358.14880992484723</v>
      </c>
      <c r="BZ188" s="192">
        <f t="shared" si="90"/>
        <v>1.7410011593568964</v>
      </c>
      <c r="CA188" s="191">
        <f t="shared" si="91"/>
        <v>33.161926844893273</v>
      </c>
      <c r="CB188" s="193">
        <f t="shared" si="92"/>
        <v>0.27793760526131817</v>
      </c>
      <c r="CC188" s="167">
        <f t="shared" si="93"/>
        <v>362.72539231046744</v>
      </c>
      <c r="CD188" s="191">
        <f t="shared" si="94"/>
        <v>1.5332595085587395</v>
      </c>
      <c r="CE188" s="189">
        <f t="shared" si="95"/>
        <v>1.7410011593568964</v>
      </c>
      <c r="CF188" s="194" t="str">
        <f t="shared" si="96"/>
        <v>O/S</v>
      </c>
      <c r="DA188" s="140"/>
      <c r="DB188" s="140"/>
      <c r="DC188" s="140"/>
      <c r="DD188" s="141"/>
      <c r="DE188" s="151"/>
      <c r="DF188" s="152"/>
      <c r="DG188" s="152"/>
      <c r="DH188" s="152"/>
      <c r="DI188" s="152"/>
      <c r="DJ188" s="152"/>
      <c r="DK188" s="161"/>
      <c r="DL188" s="162"/>
      <c r="DM188" s="162"/>
      <c r="DN188" s="162"/>
      <c r="DO188" s="162"/>
      <c r="DP188" s="162"/>
      <c r="DQ188" s="140"/>
      <c r="DR188" s="151"/>
      <c r="DS188" s="151"/>
      <c r="DT188" s="151"/>
      <c r="DU188" s="151"/>
      <c r="DV188" s="151"/>
      <c r="DW188" s="151"/>
      <c r="DX188" s="151"/>
      <c r="DY188" s="151"/>
      <c r="DZ188" s="151"/>
      <c r="EA188" s="161"/>
      <c r="EB188" s="161"/>
      <c r="EC188" s="161"/>
      <c r="ED188" s="161"/>
      <c r="EE188" s="161"/>
      <c r="EF188" s="161"/>
      <c r="EG188" s="161"/>
      <c r="EH188" s="161"/>
      <c r="EI188" s="161"/>
      <c r="EJ188" s="161"/>
      <c r="EK188" s="209"/>
      <c r="EL188" s="161"/>
      <c r="EM188" s="187"/>
      <c r="EN188" s="187"/>
      <c r="EO188" s="206"/>
      <c r="EP188" s="212"/>
      <c r="EQ188" s="208"/>
      <c r="ER188" s="187"/>
      <c r="ES188" s="187"/>
      <c r="ET188" s="187"/>
      <c r="EU188" s="187"/>
      <c r="EV188" s="210"/>
      <c r="EW188" s="209"/>
      <c r="EX188" s="210"/>
      <c r="EY188" s="162"/>
      <c r="EZ188" s="211"/>
      <c r="FA188" s="209"/>
      <c r="FB188" s="207"/>
      <c r="FC188" s="162"/>
      <c r="FD188" s="209"/>
      <c r="FE188" s="187"/>
      <c r="FF188" s="187"/>
    </row>
    <row r="189" spans="27:162">
      <c r="AA189" s="140" t="s">
        <v>210</v>
      </c>
      <c r="AB189" s="140" t="s">
        <v>240</v>
      </c>
      <c r="AC189" s="140">
        <v>104</v>
      </c>
      <c r="AD189" s="141">
        <v>0</v>
      </c>
      <c r="AE189" s="151">
        <v>750</v>
      </c>
      <c r="AF189" s="152">
        <v>350</v>
      </c>
      <c r="AG189" s="152">
        <v>14</v>
      </c>
      <c r="AH189" s="152">
        <v>18.000000000000004</v>
      </c>
      <c r="AI189" s="152">
        <v>714</v>
      </c>
      <c r="AJ189" s="153" t="str" cm="1">
        <f t="array" ref="AJ189">_xll.Dce_Name_SectI(AE189, AE189, AF189, AG189, AH189, "x", "-", "H Tổng")</f>
        <v>750x350x14x18</v>
      </c>
      <c r="AK189" s="161">
        <f t="shared" si="67"/>
        <v>1010</v>
      </c>
      <c r="AL189" s="162" cm="1">
        <f t="array" ref="AL189">IFERROR(INDEX($B$25:$B$32,IFERROR(MATCH(AF189,$B$25:$B$32,0),MATCH(AF189,$B$25:$B$32,1)+1)),$B$25)</f>
        <v>350</v>
      </c>
      <c r="AM189" s="162" cm="1">
        <f t="array" ref="AM189">IFERROR(VLOOKUP(AE189,$B$36:$E$47,4,FALSE),INDEX($E$36:$E$47,MATCH(AE189,$B$36:$B$47,1)+1))</f>
        <v>25</v>
      </c>
      <c r="AN189" s="162" cm="1">
        <f t="array" ref="AN189">IFERROR(VLOOKUP(AE189,$B$36:$E$47,2,FALSE),INDEX($C$36:$C$47,MATCH(AE189,$B$36:$B$47,1)+1))</f>
        <v>12</v>
      </c>
      <c r="AO189" s="162" cm="1">
        <f t="array" ref="AO189">IFERROR(VLOOKUP(AE189,$B$36:$E$47,3,FALSE),INDEX($D$36:$D$47,MATCH(AE189,$B$36:$B$47,1)+1))</f>
        <v>24</v>
      </c>
      <c r="AP189" s="163" t="str">
        <f t="shared" si="68"/>
        <v>1010x350x25 + 12M24</v>
      </c>
      <c r="AQ189" s="140" t="s">
        <v>244</v>
      </c>
      <c r="AR189" s="151">
        <v>0</v>
      </c>
      <c r="AS189" s="151">
        <v>453.40311342263504</v>
      </c>
      <c r="AT189" s="151">
        <v>-4.1109160520136347E-14</v>
      </c>
      <c r="AU189" s="151">
        <v>1.1249692956822202E-3</v>
      </c>
      <c r="AV189" s="151">
        <v>4.0605664253234847E-14</v>
      </c>
      <c r="AW189" s="151">
        <v>-355.3385171569293</v>
      </c>
      <c r="BA189" s="161">
        <f t="shared" si="69"/>
        <v>60</v>
      </c>
      <c r="BB189" s="161">
        <f t="shared" si="70"/>
        <v>70</v>
      </c>
      <c r="BC189" s="161">
        <f t="shared" si="71"/>
        <v>80</v>
      </c>
      <c r="BD189" s="161">
        <f t="shared" si="72"/>
        <v>150</v>
      </c>
      <c r="BE189" s="161">
        <f>HLOOKUP(AO189,Data!$H$31:$Q$35,3,FALSE)</f>
        <v>452.38934211693021</v>
      </c>
      <c r="BF189" s="161">
        <f>HLOOKUP(AO189,Data!$H$31:$Q$35,4,FALSE)</f>
        <v>353</v>
      </c>
      <c r="BG189" s="179">
        <f t="shared" si="73"/>
        <v>180</v>
      </c>
      <c r="BH189" s="185">
        <f t="shared" si="74"/>
        <v>121.65654188208487</v>
      </c>
      <c r="BI189" s="185">
        <f t="shared" si="75"/>
        <v>243</v>
      </c>
      <c r="BJ189" s="185">
        <f t="shared" si="76"/>
        <v>142.3296</v>
      </c>
      <c r="BK189" s="185">
        <f t="shared" si="77"/>
        <v>37.596080001043312</v>
      </c>
      <c r="BL189" s="186">
        <f t="shared" si="78"/>
        <v>0.89458333333333329</v>
      </c>
      <c r="BM189" s="186">
        <f t="shared" si="79"/>
        <v>0.34545087334360436</v>
      </c>
      <c r="BN189" s="185" t="str">
        <f t="shared" si="80"/>
        <v>OK</v>
      </c>
      <c r="BO189" s="185" cm="1">
        <f t="array" ref="BO189">_xll.DCEBoltDisRS(AN189, AE189, BA189, BB189, BC189, BD189, "h1")</f>
        <v>890</v>
      </c>
      <c r="BP189" s="185" cm="1">
        <f t="array" ref="BP189">_xll.DCEBoltDisRS(AN189, AE189, BA189, BB189, BC189, BD189, "Tong")</f>
        <v>1800300</v>
      </c>
      <c r="BQ189" s="185">
        <f t="shared" si="81"/>
        <v>91.592547029618046</v>
      </c>
      <c r="BR189" s="186">
        <f t="shared" si="82"/>
        <v>0.64352423550419624</v>
      </c>
      <c r="BS189" s="185" t="str">
        <f t="shared" si="83"/>
        <v>OK</v>
      </c>
      <c r="BT189" s="186">
        <f t="shared" si="84"/>
        <v>0.71388081766719624</v>
      </c>
      <c r="BU189" s="185" t="str">
        <f t="shared" si="85"/>
        <v>OK</v>
      </c>
      <c r="BV189" s="190">
        <f t="shared" si="86"/>
        <v>473.78468954257238</v>
      </c>
      <c r="BW189" s="191">
        <f t="shared" si="87"/>
        <v>10.660155514707878</v>
      </c>
      <c r="BX189" s="190">
        <f t="shared" si="88"/>
        <v>236.89234477128619</v>
      </c>
      <c r="BY189" s="167">
        <f t="shared" si="89"/>
        <v>101.32425043682736</v>
      </c>
      <c r="BZ189" s="192">
        <f t="shared" si="90"/>
        <v>0.49254843962346634</v>
      </c>
      <c r="CA189" s="191">
        <f t="shared" si="91"/>
        <v>9.3818750404469782</v>
      </c>
      <c r="CB189" s="193">
        <f t="shared" si="92"/>
        <v>7.8631615520987616E-2</v>
      </c>
      <c r="CC189" s="167">
        <f t="shared" si="93"/>
        <v>102.61901609550051</v>
      </c>
      <c r="CD189" s="191">
        <f t="shared" si="94"/>
        <v>0.43377603422011096</v>
      </c>
      <c r="CE189" s="189">
        <f t="shared" si="95"/>
        <v>0.49254843962346634</v>
      </c>
      <c r="CF189" s="194" t="str">
        <f t="shared" si="96"/>
        <v>OK</v>
      </c>
      <c r="DA189" s="140"/>
      <c r="DB189" s="140"/>
      <c r="DC189" s="140"/>
      <c r="DD189" s="141"/>
      <c r="DE189" s="151"/>
      <c r="DF189" s="152"/>
      <c r="DG189" s="152"/>
      <c r="DH189" s="152"/>
      <c r="DI189" s="152"/>
      <c r="DJ189" s="152"/>
      <c r="DK189" s="161"/>
      <c r="DL189" s="162"/>
      <c r="DM189" s="162"/>
      <c r="DN189" s="162"/>
      <c r="DO189" s="162"/>
      <c r="DP189" s="162"/>
      <c r="DQ189" s="140"/>
      <c r="DR189" s="151"/>
      <c r="DS189" s="151"/>
      <c r="DT189" s="151"/>
      <c r="DU189" s="151"/>
      <c r="DV189" s="151"/>
      <c r="DW189" s="151"/>
      <c r="DX189" s="151"/>
      <c r="DY189" s="151"/>
      <c r="DZ189" s="151"/>
      <c r="EA189" s="161"/>
      <c r="EB189" s="161"/>
      <c r="EC189" s="161"/>
      <c r="ED189" s="161"/>
      <c r="EE189" s="161"/>
      <c r="EF189" s="161"/>
      <c r="EG189" s="161"/>
      <c r="EH189" s="161"/>
      <c r="EI189" s="161"/>
      <c r="EJ189" s="161"/>
      <c r="EK189" s="209"/>
      <c r="EL189" s="161"/>
      <c r="EM189" s="187"/>
      <c r="EN189" s="187"/>
      <c r="EO189" s="206"/>
      <c r="EP189" s="212"/>
      <c r="EQ189" s="208"/>
      <c r="ER189" s="187"/>
      <c r="ES189" s="187"/>
      <c r="ET189" s="187"/>
      <c r="EU189" s="187"/>
      <c r="EV189" s="210"/>
      <c r="EW189" s="209"/>
      <c r="EX189" s="210"/>
      <c r="EY189" s="162"/>
      <c r="EZ189" s="211"/>
      <c r="FA189" s="209"/>
      <c r="FB189" s="207"/>
      <c r="FC189" s="162"/>
      <c r="FD189" s="209"/>
      <c r="FE189" s="187"/>
      <c r="FF189" s="187"/>
    </row>
    <row r="190" spans="27:162">
      <c r="AA190" s="140" t="s">
        <v>210</v>
      </c>
      <c r="AB190" s="140" t="s">
        <v>240</v>
      </c>
      <c r="AC190" s="140">
        <v>104</v>
      </c>
      <c r="AD190" s="141">
        <v>2.6850000000000001</v>
      </c>
      <c r="AE190" s="151">
        <v>1100</v>
      </c>
      <c r="AF190" s="152">
        <v>350</v>
      </c>
      <c r="AG190" s="152">
        <v>14</v>
      </c>
      <c r="AH190" s="152">
        <v>18.000000000000004</v>
      </c>
      <c r="AI190" s="152">
        <v>1064</v>
      </c>
      <c r="AJ190" s="153" t="str" cm="1">
        <f t="array" ref="AJ190">_xll.Dce_Name_SectI(AE190, AE190, AF190, AG190, AH190, "x", "-", "H Tổng")</f>
        <v>1100x350x14x18</v>
      </c>
      <c r="AK190" s="161">
        <f t="shared" si="67"/>
        <v>1360</v>
      </c>
      <c r="AL190" s="162" cm="1">
        <f t="array" ref="AL190">IFERROR(INDEX($B$25:$B$32,IFERROR(MATCH(AF190,$B$25:$B$32,0),MATCH(AF190,$B$25:$B$32,1)+1)),$B$25)</f>
        <v>350</v>
      </c>
      <c r="AM190" s="162" cm="1">
        <f t="array" ref="AM190">IFERROR(VLOOKUP(AE190,$B$36:$E$47,4,FALSE),INDEX($E$36:$E$47,MATCH(AE190,$B$36:$B$47,1)+1))</f>
        <v>25</v>
      </c>
      <c r="AN190" s="162" cm="1">
        <f t="array" ref="AN190">IFERROR(VLOOKUP(AE190,$B$36:$E$47,2,FALSE),INDEX($C$36:$C$47,MATCH(AE190,$B$36:$B$47,1)+1))</f>
        <v>12</v>
      </c>
      <c r="AO190" s="162" cm="1">
        <f t="array" ref="AO190">IFERROR(VLOOKUP(AE190,$B$36:$E$47,3,FALSE),INDEX($D$36:$D$47,MATCH(AE190,$B$36:$B$47,1)+1))</f>
        <v>24</v>
      </c>
      <c r="AP190" s="163" t="str">
        <f t="shared" si="68"/>
        <v>1360x350x25 + 12M24</v>
      </c>
      <c r="AQ190" s="140" t="s">
        <v>244</v>
      </c>
      <c r="AR190" s="151">
        <v>0</v>
      </c>
      <c r="AS190" s="151">
        <v>631.70149409790281</v>
      </c>
      <c r="AT190" s="151">
        <v>-1.3096723705530165E-14</v>
      </c>
      <c r="AU190" s="151">
        <v>1.1248034888150361E-3</v>
      </c>
      <c r="AV190" s="151">
        <v>9.0003595687448949E-15</v>
      </c>
      <c r="AW190" s="151">
        <v>-1839.7851544027703</v>
      </c>
      <c r="BA190" s="161">
        <f t="shared" si="69"/>
        <v>60</v>
      </c>
      <c r="BB190" s="161">
        <f t="shared" si="70"/>
        <v>70</v>
      </c>
      <c r="BC190" s="161">
        <f t="shared" si="71"/>
        <v>80</v>
      </c>
      <c r="BD190" s="161">
        <f t="shared" si="72"/>
        <v>150</v>
      </c>
      <c r="BE190" s="161">
        <f>HLOOKUP(AO190,Data!$H$31:$Q$35,3,FALSE)</f>
        <v>452.38934211693021</v>
      </c>
      <c r="BF190" s="161">
        <f>HLOOKUP(AO190,Data!$H$31:$Q$35,4,FALSE)</f>
        <v>353</v>
      </c>
      <c r="BG190" s="179">
        <f t="shared" si="73"/>
        <v>180</v>
      </c>
      <c r="BH190" s="185">
        <f t="shared" si="74"/>
        <v>121.65654188208487</v>
      </c>
      <c r="BI190" s="185">
        <f t="shared" si="75"/>
        <v>243</v>
      </c>
      <c r="BJ190" s="185">
        <f t="shared" si="76"/>
        <v>142.3296</v>
      </c>
      <c r="BK190" s="185">
        <f t="shared" si="77"/>
        <v>52.380539978219105</v>
      </c>
      <c r="BL190" s="186">
        <f t="shared" si="78"/>
        <v>0.82166666666666666</v>
      </c>
      <c r="BM190" s="186">
        <f t="shared" si="79"/>
        <v>0.52400910703114778</v>
      </c>
      <c r="BN190" s="185" t="str">
        <f t="shared" si="80"/>
        <v>OK</v>
      </c>
      <c r="BO190" s="185" cm="1">
        <f t="array" ref="BO190">_xll.DCEBoltDisRS(AN190, AE190, BA190, BB190, BC190, BD190, "h1")</f>
        <v>1240</v>
      </c>
      <c r="BP190" s="185" cm="1">
        <f t="array" ref="BP190">_xll.DCEBoltDisRS(AN190, AE190, BA190, BB190, BC190, BD190, "Tong")</f>
        <v>3721800</v>
      </c>
      <c r="BQ190" s="185">
        <f t="shared" si="81"/>
        <v>311.72061505153715</v>
      </c>
      <c r="BR190" s="186">
        <f t="shared" si="82"/>
        <v>2.1901320249023195</v>
      </c>
      <c r="BS190" s="185" t="str">
        <f t="shared" si="83"/>
        <v>O/S</v>
      </c>
      <c r="BT190" s="186">
        <f t="shared" si="84"/>
        <v>2.2320530690411631</v>
      </c>
      <c r="BU190" s="185" t="str">
        <f t="shared" si="85"/>
        <v>O/S</v>
      </c>
      <c r="BV190" s="190">
        <f t="shared" si="86"/>
        <v>1672.5319585479729</v>
      </c>
      <c r="BW190" s="191">
        <f t="shared" si="87"/>
        <v>37.631969067329386</v>
      </c>
      <c r="BX190" s="190">
        <f t="shared" si="88"/>
        <v>836.26597927398643</v>
      </c>
      <c r="BY190" s="167">
        <f t="shared" si="89"/>
        <v>265.63742871056036</v>
      </c>
      <c r="BZ190" s="192">
        <f t="shared" si="90"/>
        <v>1.2912930562318907</v>
      </c>
      <c r="CA190" s="191">
        <f t="shared" si="91"/>
        <v>24.596058213940776</v>
      </c>
      <c r="CB190" s="193">
        <f t="shared" si="92"/>
        <v>0.2061451239195228</v>
      </c>
      <c r="CC190" s="167">
        <f t="shared" si="93"/>
        <v>269.03186014104114</v>
      </c>
      <c r="CD190" s="191">
        <f t="shared" si="94"/>
        <v>1.1372119691952225</v>
      </c>
      <c r="CE190" s="189">
        <f t="shared" si="95"/>
        <v>1.2912930562318907</v>
      </c>
      <c r="CF190" s="194" t="str">
        <f t="shared" si="96"/>
        <v>O/S</v>
      </c>
      <c r="DA190" s="140"/>
      <c r="DB190" s="140"/>
      <c r="DC190" s="140"/>
      <c r="DD190" s="141"/>
      <c r="DE190" s="151"/>
      <c r="DF190" s="152"/>
      <c r="DG190" s="152"/>
      <c r="DH190" s="152"/>
      <c r="DI190" s="152"/>
      <c r="DJ190" s="152"/>
      <c r="DK190" s="161"/>
      <c r="DL190" s="162"/>
      <c r="DM190" s="162"/>
      <c r="DN190" s="162"/>
      <c r="DO190" s="162"/>
      <c r="DP190" s="162"/>
      <c r="DQ190" s="140"/>
      <c r="DR190" s="151"/>
      <c r="DS190" s="151"/>
      <c r="DT190" s="151"/>
      <c r="DU190" s="151"/>
      <c r="DV190" s="151"/>
      <c r="DW190" s="151"/>
      <c r="DX190" s="151"/>
      <c r="DY190" s="151"/>
      <c r="DZ190" s="151"/>
      <c r="EA190" s="161"/>
      <c r="EB190" s="161"/>
      <c r="EC190" s="161"/>
      <c r="ED190" s="161"/>
      <c r="EE190" s="161"/>
      <c r="EF190" s="161"/>
      <c r="EG190" s="161"/>
      <c r="EH190" s="161"/>
      <c r="EI190" s="161"/>
      <c r="EJ190" s="161"/>
      <c r="EK190" s="209"/>
      <c r="EL190" s="161"/>
      <c r="EM190" s="187"/>
      <c r="EN190" s="187"/>
      <c r="EO190" s="206"/>
      <c r="EP190" s="212"/>
      <c r="EQ190" s="208"/>
      <c r="ER190" s="187"/>
      <c r="ES190" s="187"/>
      <c r="ET190" s="187"/>
      <c r="EU190" s="187"/>
      <c r="EV190" s="210"/>
      <c r="EW190" s="209"/>
      <c r="EX190" s="210"/>
      <c r="EY190" s="162"/>
      <c r="EZ190" s="211"/>
      <c r="FA190" s="209"/>
      <c r="FB190" s="207"/>
      <c r="FC190" s="162"/>
      <c r="FD190" s="209"/>
      <c r="FE190" s="187"/>
      <c r="FF190" s="187"/>
    </row>
    <row r="191" spans="27:162">
      <c r="AA191" s="140" t="s">
        <v>210</v>
      </c>
      <c r="AB191" s="140" t="s">
        <v>240</v>
      </c>
      <c r="AC191" s="140">
        <v>104</v>
      </c>
      <c r="AD191" s="141">
        <v>0</v>
      </c>
      <c r="AE191" s="151">
        <v>750</v>
      </c>
      <c r="AF191" s="152">
        <v>350</v>
      </c>
      <c r="AG191" s="152">
        <v>14</v>
      </c>
      <c r="AH191" s="152">
        <v>18.000000000000004</v>
      </c>
      <c r="AI191" s="152">
        <v>714</v>
      </c>
      <c r="AJ191" s="153" t="str" cm="1">
        <f t="array" ref="AJ191">_xll.Dce_Name_SectI(AE191, AE191, AF191, AG191, AH191, "x", "-", "H Tổng")</f>
        <v>750x350x14x18</v>
      </c>
      <c r="AK191" s="161">
        <f t="shared" si="67"/>
        <v>1010</v>
      </c>
      <c r="AL191" s="162" cm="1">
        <f t="array" ref="AL191">IFERROR(INDEX($B$25:$B$32,IFERROR(MATCH(AF191,$B$25:$B$32,0),MATCH(AF191,$B$25:$B$32,1)+1)),$B$25)</f>
        <v>350</v>
      </c>
      <c r="AM191" s="162" cm="1">
        <f t="array" ref="AM191">IFERROR(VLOOKUP(AE191,$B$36:$E$47,4,FALSE),INDEX($E$36:$E$47,MATCH(AE191,$B$36:$B$47,1)+1))</f>
        <v>25</v>
      </c>
      <c r="AN191" s="162" cm="1">
        <f t="array" ref="AN191">IFERROR(VLOOKUP(AE191,$B$36:$E$47,2,FALSE),INDEX($C$36:$C$47,MATCH(AE191,$B$36:$B$47,1)+1))</f>
        <v>12</v>
      </c>
      <c r="AO191" s="162" cm="1">
        <f t="array" ref="AO191">IFERROR(VLOOKUP(AE191,$B$36:$E$47,3,FALSE),INDEX($D$36:$D$47,MATCH(AE191,$B$36:$B$47,1)+1))</f>
        <v>24</v>
      </c>
      <c r="AP191" s="163" t="str">
        <f t="shared" si="68"/>
        <v>1010x350x25 + 12M24</v>
      </c>
      <c r="AQ191" s="140" t="s">
        <v>245</v>
      </c>
      <c r="AR191" s="151">
        <v>0</v>
      </c>
      <c r="AS191" s="151">
        <v>186.19479971973993</v>
      </c>
      <c r="AT191" s="151">
        <v>-2.6557245291769495E-14</v>
      </c>
      <c r="AU191" s="151">
        <v>6.9581497070435869E-4</v>
      </c>
      <c r="AV191" s="151">
        <v>7.7858567237853978E-14</v>
      </c>
      <c r="AW191" s="151">
        <v>-124.20859815350565</v>
      </c>
      <c r="BA191" s="161">
        <f t="shared" si="69"/>
        <v>60</v>
      </c>
      <c r="BB191" s="161">
        <f t="shared" si="70"/>
        <v>70</v>
      </c>
      <c r="BC191" s="161">
        <f t="shared" si="71"/>
        <v>80</v>
      </c>
      <c r="BD191" s="161">
        <f t="shared" si="72"/>
        <v>150</v>
      </c>
      <c r="BE191" s="161">
        <f>HLOOKUP(AO191,Data!$H$31:$Q$35,3,FALSE)</f>
        <v>452.38934211693021</v>
      </c>
      <c r="BF191" s="161">
        <f>HLOOKUP(AO191,Data!$H$31:$Q$35,4,FALSE)</f>
        <v>353</v>
      </c>
      <c r="BG191" s="179">
        <f t="shared" si="73"/>
        <v>180</v>
      </c>
      <c r="BH191" s="185">
        <f t="shared" si="74"/>
        <v>121.65654188208487</v>
      </c>
      <c r="BI191" s="185">
        <f t="shared" si="75"/>
        <v>243</v>
      </c>
      <c r="BJ191" s="185">
        <f t="shared" si="76"/>
        <v>142.3296</v>
      </c>
      <c r="BK191" s="185">
        <f t="shared" si="77"/>
        <v>15.439229195403476</v>
      </c>
      <c r="BL191" s="186">
        <f t="shared" si="78"/>
        <v>0.89458333333333329</v>
      </c>
      <c r="BM191" s="186">
        <f t="shared" si="79"/>
        <v>0.14186306681856717</v>
      </c>
      <c r="BN191" s="185" t="str">
        <f t="shared" si="80"/>
        <v>OK</v>
      </c>
      <c r="BO191" s="185" cm="1">
        <f t="array" ref="BO191">_xll.DCEBoltDisRS(AN191, AE191, BA191, BB191, BC191, BD191, "h1")</f>
        <v>890</v>
      </c>
      <c r="BP191" s="185" cm="1">
        <f t="array" ref="BP191">_xll.DCEBoltDisRS(AN191, AE191, BA191, BB191, BC191, BD191, "Tong")</f>
        <v>1800300</v>
      </c>
      <c r="BQ191" s="185">
        <f t="shared" si="81"/>
        <v>32.245931572714824</v>
      </c>
      <c r="BR191" s="186">
        <f t="shared" si="82"/>
        <v>0.22655815496365356</v>
      </c>
      <c r="BS191" s="185" t="str">
        <f t="shared" si="83"/>
        <v>OK</v>
      </c>
      <c r="BT191" s="186">
        <f t="shared" si="84"/>
        <v>0.25968119516360549</v>
      </c>
      <c r="BU191" s="185" t="str">
        <f t="shared" si="85"/>
        <v>OK</v>
      </c>
      <c r="BV191" s="190">
        <f t="shared" si="86"/>
        <v>165.61146420467421</v>
      </c>
      <c r="BW191" s="191">
        <f t="shared" si="87"/>
        <v>3.7262579446051696</v>
      </c>
      <c r="BX191" s="190">
        <f t="shared" si="88"/>
        <v>82.805732102337103</v>
      </c>
      <c r="BY191" s="167">
        <f t="shared" si="89"/>
        <v>35.417897295257063</v>
      </c>
      <c r="BZ191" s="192">
        <f t="shared" si="90"/>
        <v>0.17217033407416629</v>
      </c>
      <c r="CA191" s="191">
        <f t="shared" si="91"/>
        <v>3.2794349347460239</v>
      </c>
      <c r="CB191" s="193">
        <f t="shared" si="92"/>
        <v>2.748568551631007E-2</v>
      </c>
      <c r="CC191" s="167">
        <f t="shared" si="93"/>
        <v>35.870482702231307</v>
      </c>
      <c r="CD191" s="191">
        <f t="shared" si="94"/>
        <v>0.15162643654324831</v>
      </c>
      <c r="CE191" s="189">
        <f t="shared" si="95"/>
        <v>0.17217033407416629</v>
      </c>
      <c r="CF191" s="194" t="str">
        <f t="shared" si="96"/>
        <v>OK</v>
      </c>
      <c r="DA191" s="140"/>
      <c r="DB191" s="140"/>
      <c r="DC191" s="140"/>
      <c r="DD191" s="141"/>
      <c r="DE191" s="151"/>
      <c r="DF191" s="152"/>
      <c r="DG191" s="152"/>
      <c r="DH191" s="152"/>
      <c r="DI191" s="152"/>
      <c r="DJ191" s="152"/>
      <c r="DK191" s="161"/>
      <c r="DL191" s="162"/>
      <c r="DM191" s="162"/>
      <c r="DN191" s="162"/>
      <c r="DO191" s="162"/>
      <c r="DP191" s="162"/>
      <c r="DQ191" s="140"/>
      <c r="DR191" s="151"/>
      <c r="DS191" s="151"/>
      <c r="DT191" s="151"/>
      <c r="DU191" s="151"/>
      <c r="DV191" s="151"/>
      <c r="DW191" s="151"/>
      <c r="DX191" s="151"/>
      <c r="DY191" s="151"/>
      <c r="DZ191" s="151"/>
      <c r="EA191" s="161"/>
      <c r="EB191" s="161"/>
      <c r="EC191" s="161"/>
      <c r="ED191" s="161"/>
      <c r="EE191" s="161"/>
      <c r="EF191" s="161"/>
      <c r="EG191" s="161"/>
      <c r="EH191" s="161"/>
      <c r="EI191" s="161"/>
      <c r="EJ191" s="161"/>
      <c r="EK191" s="209"/>
      <c r="EL191" s="161"/>
      <c r="EM191" s="187"/>
      <c r="EN191" s="187"/>
      <c r="EO191" s="206"/>
      <c r="EP191" s="212"/>
      <c r="EQ191" s="208"/>
      <c r="ER191" s="187"/>
      <c r="ES191" s="187"/>
      <c r="ET191" s="187"/>
      <c r="EU191" s="187"/>
      <c r="EV191" s="210"/>
      <c r="EW191" s="209"/>
      <c r="EX191" s="210"/>
      <c r="EY191" s="162"/>
      <c r="EZ191" s="211"/>
      <c r="FA191" s="209"/>
      <c r="FB191" s="207"/>
      <c r="FC191" s="162"/>
      <c r="FD191" s="209"/>
      <c r="FE191" s="187"/>
      <c r="FF191" s="187"/>
    </row>
    <row r="192" spans="27:162">
      <c r="AA192" s="140" t="s">
        <v>210</v>
      </c>
      <c r="AB192" s="140" t="s">
        <v>240</v>
      </c>
      <c r="AC192" s="140">
        <v>104</v>
      </c>
      <c r="AD192" s="141">
        <v>2.6850000000000001</v>
      </c>
      <c r="AE192" s="151">
        <v>1100</v>
      </c>
      <c r="AF192" s="152">
        <v>350</v>
      </c>
      <c r="AG192" s="152">
        <v>14</v>
      </c>
      <c r="AH192" s="152">
        <v>18.000000000000004</v>
      </c>
      <c r="AI192" s="152">
        <v>1064</v>
      </c>
      <c r="AJ192" s="153" t="str" cm="1">
        <f t="array" ref="AJ192">_xll.Dce_Name_SectI(AE192, AE192, AF192, AG192, AH192, "x", "-", "H Tổng")</f>
        <v>1100x350x14x18</v>
      </c>
      <c r="AK192" s="161">
        <f t="shared" si="67"/>
        <v>1360</v>
      </c>
      <c r="AL192" s="162" cm="1">
        <f t="array" ref="AL192">IFERROR(INDEX($B$25:$B$32,IFERROR(MATCH(AF192,$B$25:$B$32,0),MATCH(AF192,$B$25:$B$32,1)+1)),$B$25)</f>
        <v>350</v>
      </c>
      <c r="AM192" s="162" cm="1">
        <f t="array" ref="AM192">IFERROR(VLOOKUP(AE192,$B$36:$E$47,4,FALSE),INDEX($E$36:$E$47,MATCH(AE192,$B$36:$B$47,1)+1))</f>
        <v>25</v>
      </c>
      <c r="AN192" s="162" cm="1">
        <f t="array" ref="AN192">IFERROR(VLOOKUP(AE192,$B$36:$E$47,2,FALSE),INDEX($C$36:$C$47,MATCH(AE192,$B$36:$B$47,1)+1))</f>
        <v>12</v>
      </c>
      <c r="AO192" s="162" cm="1">
        <f t="array" ref="AO192">IFERROR(VLOOKUP(AE192,$B$36:$E$47,3,FALSE),INDEX($D$36:$D$47,MATCH(AE192,$B$36:$B$47,1)+1))</f>
        <v>24</v>
      </c>
      <c r="AP192" s="163" t="str">
        <f t="shared" si="68"/>
        <v>1360x350x25 + 12M24</v>
      </c>
      <c r="AQ192" s="140" t="s">
        <v>245</v>
      </c>
      <c r="AR192" s="151">
        <v>0</v>
      </c>
      <c r="AS192" s="151">
        <v>262.99981762275888</v>
      </c>
      <c r="AT192" s="151">
        <v>-5.8207660913467402E-15</v>
      </c>
      <c r="AU192" s="151">
        <v>6.9571250983087004E-4</v>
      </c>
      <c r="AV192" s="151">
        <v>3.1577656045556063E-14</v>
      </c>
      <c r="AW192" s="151">
        <v>-738.4522866667279</v>
      </c>
      <c r="BA192" s="161">
        <f t="shared" si="69"/>
        <v>60</v>
      </c>
      <c r="BB192" s="161">
        <f t="shared" si="70"/>
        <v>70</v>
      </c>
      <c r="BC192" s="161">
        <f t="shared" si="71"/>
        <v>80</v>
      </c>
      <c r="BD192" s="161">
        <f t="shared" si="72"/>
        <v>150</v>
      </c>
      <c r="BE192" s="161">
        <f>HLOOKUP(AO192,Data!$H$31:$Q$35,3,FALSE)</f>
        <v>452.38934211693021</v>
      </c>
      <c r="BF192" s="161">
        <f>HLOOKUP(AO192,Data!$H$31:$Q$35,4,FALSE)</f>
        <v>353</v>
      </c>
      <c r="BG192" s="179">
        <f t="shared" si="73"/>
        <v>180</v>
      </c>
      <c r="BH192" s="185">
        <f t="shared" si="74"/>
        <v>121.65654188208487</v>
      </c>
      <c r="BI192" s="185">
        <f t="shared" si="75"/>
        <v>243</v>
      </c>
      <c r="BJ192" s="185">
        <f t="shared" si="76"/>
        <v>142.3296</v>
      </c>
      <c r="BK192" s="185">
        <f t="shared" si="77"/>
        <v>21.807883296090797</v>
      </c>
      <c r="BL192" s="186">
        <f t="shared" si="78"/>
        <v>0.82166666666666666</v>
      </c>
      <c r="BM192" s="186">
        <f t="shared" si="79"/>
        <v>0.21816364353967757</v>
      </c>
      <c r="BN192" s="185" t="str">
        <f t="shared" si="80"/>
        <v>OK</v>
      </c>
      <c r="BO192" s="185" cm="1">
        <f t="array" ref="BO192">_xll.DCEBoltDisRS(AN192, AE192, BA192, BB192, BC192, BD192, "h1")</f>
        <v>1240</v>
      </c>
      <c r="BP192" s="185" cm="1">
        <f t="array" ref="BP192">_xll.DCEBoltDisRS(AN192, AE192, BA192, BB192, BC192, BD192, "Tong")</f>
        <v>3721800</v>
      </c>
      <c r="BQ192" s="185">
        <f t="shared" si="81"/>
        <v>125.19664563880659</v>
      </c>
      <c r="BR192" s="186">
        <f t="shared" si="82"/>
        <v>0.87962479792542514</v>
      </c>
      <c r="BS192" s="185" t="str">
        <f t="shared" si="83"/>
        <v>OK</v>
      </c>
      <c r="BT192" s="186">
        <f t="shared" si="84"/>
        <v>0.89770437325127361</v>
      </c>
      <c r="BU192" s="185" t="str">
        <f t="shared" si="85"/>
        <v>OK</v>
      </c>
      <c r="BV192" s="190">
        <f t="shared" si="86"/>
        <v>671.32026060611622</v>
      </c>
      <c r="BW192" s="191">
        <f t="shared" si="87"/>
        <v>15.104705863637614</v>
      </c>
      <c r="BX192" s="190">
        <f t="shared" si="88"/>
        <v>335.66013030305811</v>
      </c>
      <c r="BY192" s="167">
        <f t="shared" si="89"/>
        <v>106.62145315508904</v>
      </c>
      <c r="BZ192" s="192">
        <f t="shared" si="90"/>
        <v>0.51829873061501619</v>
      </c>
      <c r="CA192" s="191">
        <f t="shared" si="91"/>
        <v>9.8723567736193569</v>
      </c>
      <c r="CB192" s="193">
        <f t="shared" si="92"/>
        <v>8.2742453801886384E-2</v>
      </c>
      <c r="CC192" s="167">
        <f t="shared" si="93"/>
        <v>107.98390879061441</v>
      </c>
      <c r="CD192" s="191">
        <f t="shared" si="94"/>
        <v>0.45645372073327356</v>
      </c>
      <c r="CE192" s="189">
        <f t="shared" si="95"/>
        <v>0.51829873061501619</v>
      </c>
      <c r="CF192" s="194" t="str">
        <f t="shared" si="96"/>
        <v>OK</v>
      </c>
      <c r="DA192" s="140"/>
      <c r="DB192" s="140"/>
      <c r="DC192" s="140"/>
      <c r="DD192" s="141"/>
      <c r="DE192" s="151"/>
      <c r="DF192" s="152"/>
      <c r="DG192" s="152"/>
      <c r="DH192" s="152"/>
      <c r="DI192" s="152"/>
      <c r="DJ192" s="152"/>
      <c r="DK192" s="161"/>
      <c r="DL192" s="162"/>
      <c r="DM192" s="162"/>
      <c r="DN192" s="162"/>
      <c r="DO192" s="162"/>
      <c r="DP192" s="162"/>
      <c r="DQ192" s="140"/>
      <c r="DR192" s="151"/>
      <c r="DS192" s="151"/>
      <c r="DT192" s="151"/>
      <c r="DU192" s="151"/>
      <c r="DV192" s="151"/>
      <c r="DW192" s="151"/>
      <c r="DX192" s="151"/>
      <c r="DY192" s="151"/>
      <c r="DZ192" s="151"/>
      <c r="EA192" s="161"/>
      <c r="EB192" s="161"/>
      <c r="EC192" s="161"/>
      <c r="ED192" s="161"/>
      <c r="EE192" s="161"/>
      <c r="EF192" s="161"/>
      <c r="EG192" s="161"/>
      <c r="EH192" s="161"/>
      <c r="EI192" s="161"/>
      <c r="EJ192" s="161"/>
      <c r="EK192" s="209"/>
      <c r="EL192" s="161"/>
      <c r="EM192" s="187"/>
      <c r="EN192" s="187"/>
      <c r="EO192" s="206"/>
      <c r="EP192" s="212"/>
      <c r="EQ192" s="208"/>
      <c r="ER192" s="187"/>
      <c r="ES192" s="187"/>
      <c r="ET192" s="187"/>
      <c r="EU192" s="187"/>
      <c r="EV192" s="210"/>
      <c r="EW192" s="209"/>
      <c r="EX192" s="210"/>
      <c r="EY192" s="162"/>
      <c r="EZ192" s="211"/>
      <c r="FA192" s="209"/>
      <c r="FB192" s="207"/>
      <c r="FC192" s="162"/>
      <c r="FD192" s="209"/>
      <c r="FE192" s="187"/>
      <c r="FF192" s="187"/>
    </row>
    <row r="193" spans="27:162">
      <c r="AA193" s="140" t="s">
        <v>210</v>
      </c>
      <c r="AB193" s="140" t="s">
        <v>240</v>
      </c>
      <c r="AC193" s="140">
        <v>104</v>
      </c>
      <c r="AD193" s="141">
        <v>0</v>
      </c>
      <c r="AE193" s="151">
        <v>750</v>
      </c>
      <c r="AF193" s="152">
        <v>350</v>
      </c>
      <c r="AG193" s="152">
        <v>14</v>
      </c>
      <c r="AH193" s="152">
        <v>18.000000000000004</v>
      </c>
      <c r="AI193" s="152">
        <v>714</v>
      </c>
      <c r="AJ193" s="153" t="str" cm="1">
        <f t="array" ref="AJ193">_xll.Dce_Name_SectI(AE193, AE193, AF193, AG193, AH193, "x", "-", "H Tổng")</f>
        <v>750x350x14x18</v>
      </c>
      <c r="AK193" s="161">
        <f t="shared" si="67"/>
        <v>1010</v>
      </c>
      <c r="AL193" s="162" cm="1">
        <f t="array" ref="AL193">IFERROR(INDEX($B$25:$B$32,IFERROR(MATCH(AF193,$B$25:$B$32,0),MATCH(AF193,$B$25:$B$32,1)+1)),$B$25)</f>
        <v>350</v>
      </c>
      <c r="AM193" s="162" cm="1">
        <f t="array" ref="AM193">IFERROR(VLOOKUP(AE193,$B$36:$E$47,4,FALSE),INDEX($E$36:$E$47,MATCH(AE193,$B$36:$B$47,1)+1))</f>
        <v>25</v>
      </c>
      <c r="AN193" s="162" cm="1">
        <f t="array" ref="AN193">IFERROR(VLOOKUP(AE193,$B$36:$E$47,2,FALSE),INDEX($C$36:$C$47,MATCH(AE193,$B$36:$B$47,1)+1))</f>
        <v>12</v>
      </c>
      <c r="AO193" s="162" cm="1">
        <f t="array" ref="AO193">IFERROR(VLOOKUP(AE193,$B$36:$E$47,3,FALSE),INDEX($D$36:$D$47,MATCH(AE193,$B$36:$B$47,1)+1))</f>
        <v>24</v>
      </c>
      <c r="AP193" s="163" t="str">
        <f t="shared" si="68"/>
        <v>1010x350x25 + 12M24</v>
      </c>
      <c r="AQ193" s="140" t="s">
        <v>246</v>
      </c>
      <c r="AR193" s="151">
        <v>0</v>
      </c>
      <c r="AS193" s="151">
        <v>187.64042241035662</v>
      </c>
      <c r="AT193" s="151">
        <v>-2.5938788894563909E-13</v>
      </c>
      <c r="AU193" s="151">
        <v>9.1303119249060377E-4</v>
      </c>
      <c r="AV193" s="151">
        <v>-1.0095536708831785E-13</v>
      </c>
      <c r="AW193" s="151">
        <v>-125.84739304011217</v>
      </c>
      <c r="BA193" s="161">
        <f t="shared" si="69"/>
        <v>60</v>
      </c>
      <c r="BB193" s="161">
        <f t="shared" si="70"/>
        <v>70</v>
      </c>
      <c r="BC193" s="161">
        <f t="shared" si="71"/>
        <v>80</v>
      </c>
      <c r="BD193" s="161">
        <f t="shared" si="72"/>
        <v>150</v>
      </c>
      <c r="BE193" s="161">
        <f>HLOOKUP(AO193,Data!$H$31:$Q$35,3,FALSE)</f>
        <v>452.38934211693021</v>
      </c>
      <c r="BF193" s="161">
        <f>HLOOKUP(AO193,Data!$H$31:$Q$35,4,FALSE)</f>
        <v>353</v>
      </c>
      <c r="BG193" s="179">
        <f t="shared" si="73"/>
        <v>180</v>
      </c>
      <c r="BH193" s="185">
        <f t="shared" si="74"/>
        <v>121.65654188208487</v>
      </c>
      <c r="BI193" s="185">
        <f t="shared" si="75"/>
        <v>243</v>
      </c>
      <c r="BJ193" s="185">
        <f t="shared" si="76"/>
        <v>142.3296</v>
      </c>
      <c r="BK193" s="185">
        <f t="shared" si="77"/>
        <v>15.559099890418061</v>
      </c>
      <c r="BL193" s="186">
        <f t="shared" si="78"/>
        <v>0.89458333333333329</v>
      </c>
      <c r="BM193" s="186">
        <f t="shared" si="79"/>
        <v>0.14296449644314357</v>
      </c>
      <c r="BN193" s="185" t="str">
        <f t="shared" si="80"/>
        <v>OK</v>
      </c>
      <c r="BO193" s="185" cm="1">
        <f t="array" ref="BO193">_xll.DCEBoltDisRS(AN193, AE193, BA193, BB193, BC193, BD193, "h1")</f>
        <v>890</v>
      </c>
      <c r="BP193" s="185" cm="1">
        <f t="array" ref="BP193">_xll.DCEBoltDisRS(AN193, AE193, BA193, BB193, BC193, BD193, "Tong")</f>
        <v>1800300</v>
      </c>
      <c r="BQ193" s="185">
        <f t="shared" si="81"/>
        <v>32.662997642682818</v>
      </c>
      <c r="BR193" s="186">
        <f t="shared" si="82"/>
        <v>0.22948843840411845</v>
      </c>
      <c r="BS193" s="185" t="str">
        <f t="shared" si="83"/>
        <v>OK</v>
      </c>
      <c r="BT193" s="186">
        <f t="shared" si="84"/>
        <v>0.26271987086823206</v>
      </c>
      <c r="BU193" s="185" t="str">
        <f t="shared" si="85"/>
        <v>OK</v>
      </c>
      <c r="BV193" s="190">
        <f t="shared" si="86"/>
        <v>167.7965240534829</v>
      </c>
      <c r="BW193" s="191">
        <f t="shared" si="87"/>
        <v>3.7754217912033652</v>
      </c>
      <c r="BX193" s="190">
        <f t="shared" si="88"/>
        <v>83.898262026741449</v>
      </c>
      <c r="BY193" s="167">
        <f t="shared" si="89"/>
        <v>35.885197223319111</v>
      </c>
      <c r="BZ193" s="192">
        <f t="shared" si="90"/>
        <v>0.17444193094669014</v>
      </c>
      <c r="CA193" s="191">
        <f t="shared" si="91"/>
        <v>3.3227034466036218</v>
      </c>
      <c r="CB193" s="193">
        <f t="shared" si="92"/>
        <v>2.7848328695193193E-2</v>
      </c>
      <c r="CC193" s="167">
        <f t="shared" si="93"/>
        <v>36.343753993481805</v>
      </c>
      <c r="CD193" s="191">
        <f t="shared" si="94"/>
        <v>0.15362697944104631</v>
      </c>
      <c r="CE193" s="189">
        <f t="shared" si="95"/>
        <v>0.17444193094669014</v>
      </c>
      <c r="CF193" s="194" t="str">
        <f t="shared" si="96"/>
        <v>OK</v>
      </c>
      <c r="DA193" s="140"/>
      <c r="DB193" s="140"/>
      <c r="DC193" s="140"/>
      <c r="DD193" s="141"/>
      <c r="DE193" s="151"/>
      <c r="DF193" s="152"/>
      <c r="DG193" s="152"/>
      <c r="DH193" s="152"/>
      <c r="DI193" s="152"/>
      <c r="DJ193" s="152"/>
      <c r="DK193" s="161"/>
      <c r="DL193" s="162"/>
      <c r="DM193" s="162"/>
      <c r="DN193" s="162"/>
      <c r="DO193" s="162"/>
      <c r="DP193" s="162"/>
      <c r="DQ193" s="140"/>
      <c r="DR193" s="151"/>
      <c r="DS193" s="151"/>
      <c r="DT193" s="151"/>
      <c r="DU193" s="151"/>
      <c r="DV193" s="151"/>
      <c r="DW193" s="151"/>
      <c r="DX193" s="151"/>
      <c r="DY193" s="151"/>
      <c r="DZ193" s="151"/>
      <c r="EA193" s="161"/>
      <c r="EB193" s="161"/>
      <c r="EC193" s="161"/>
      <c r="ED193" s="161"/>
      <c r="EE193" s="161"/>
      <c r="EF193" s="161"/>
      <c r="EG193" s="161"/>
      <c r="EH193" s="161"/>
      <c r="EI193" s="161"/>
      <c r="EJ193" s="161"/>
      <c r="EK193" s="209"/>
      <c r="EL193" s="161"/>
      <c r="EM193" s="187"/>
      <c r="EN193" s="187"/>
      <c r="EO193" s="206"/>
      <c r="EP193" s="212"/>
      <c r="EQ193" s="208"/>
      <c r="ER193" s="187"/>
      <c r="ES193" s="187"/>
      <c r="ET193" s="187"/>
      <c r="EU193" s="187"/>
      <c r="EV193" s="210"/>
      <c r="EW193" s="209"/>
      <c r="EX193" s="210"/>
      <c r="EY193" s="162"/>
      <c r="EZ193" s="211"/>
      <c r="FA193" s="209"/>
      <c r="FB193" s="207"/>
      <c r="FC193" s="162"/>
      <c r="FD193" s="209"/>
      <c r="FE193" s="187"/>
      <c r="FF193" s="187"/>
    </row>
    <row r="194" spans="27:162">
      <c r="AA194" s="140" t="s">
        <v>210</v>
      </c>
      <c r="AB194" s="140" t="s">
        <v>240</v>
      </c>
      <c r="AC194" s="140">
        <v>104</v>
      </c>
      <c r="AD194" s="141">
        <v>2.6850000000000001</v>
      </c>
      <c r="AE194" s="151">
        <v>1100</v>
      </c>
      <c r="AF194" s="152">
        <v>350</v>
      </c>
      <c r="AG194" s="152">
        <v>14</v>
      </c>
      <c r="AH194" s="152">
        <v>18.000000000000004</v>
      </c>
      <c r="AI194" s="152">
        <v>1064</v>
      </c>
      <c r="AJ194" s="153" t="str" cm="1">
        <f t="array" ref="AJ194">_xll.Dce_Name_SectI(AE194, AE194, AF194, AG194, AH194, "x", "-", "H Tổng")</f>
        <v>1100x350x14x18</v>
      </c>
      <c r="AK194" s="161">
        <f t="shared" si="67"/>
        <v>1360</v>
      </c>
      <c r="AL194" s="162" cm="1">
        <f t="array" ref="AL194">IFERROR(INDEX($B$25:$B$32,IFERROR(MATCH(AF194,$B$25:$B$32,0),MATCH(AF194,$B$25:$B$32,1)+1)),$B$25)</f>
        <v>350</v>
      </c>
      <c r="AM194" s="162" cm="1">
        <f t="array" ref="AM194">IFERROR(VLOOKUP(AE194,$B$36:$E$47,4,FALSE),INDEX($E$36:$E$47,MATCH(AE194,$B$36:$B$47,1)+1))</f>
        <v>25</v>
      </c>
      <c r="AN194" s="162" cm="1">
        <f t="array" ref="AN194">IFERROR(VLOOKUP(AE194,$B$36:$E$47,2,FALSE),INDEX($C$36:$C$47,MATCH(AE194,$B$36:$B$47,1)+1))</f>
        <v>12</v>
      </c>
      <c r="AO194" s="162" cm="1">
        <f t="array" ref="AO194">IFERROR(VLOOKUP(AE194,$B$36:$E$47,3,FALSE),INDEX($D$36:$D$47,MATCH(AE194,$B$36:$B$47,1)+1))</f>
        <v>24</v>
      </c>
      <c r="AP194" s="163" t="str">
        <f t="shared" si="68"/>
        <v>1360x350x25 + 12M24</v>
      </c>
      <c r="AQ194" s="140" t="s">
        <v>246</v>
      </c>
      <c r="AR194" s="151">
        <v>0</v>
      </c>
      <c r="AS194" s="151">
        <v>264.44544065934377</v>
      </c>
      <c r="AT194" s="151">
        <v>-5.8207660913467402E-15</v>
      </c>
      <c r="AU194" s="151">
        <v>9.1289686899374757E-4</v>
      </c>
      <c r="AV194" s="151">
        <v>6.1379978433251361E-14</v>
      </c>
      <c r="AW194" s="151">
        <v>-743.97256429108131</v>
      </c>
      <c r="BA194" s="161">
        <f t="shared" si="69"/>
        <v>60</v>
      </c>
      <c r="BB194" s="161">
        <f t="shared" si="70"/>
        <v>70</v>
      </c>
      <c r="BC194" s="161">
        <f t="shared" si="71"/>
        <v>80</v>
      </c>
      <c r="BD194" s="161">
        <f t="shared" si="72"/>
        <v>150</v>
      </c>
      <c r="BE194" s="161">
        <f>HLOOKUP(AO194,Data!$H$31:$Q$35,3,FALSE)</f>
        <v>452.38934211693021</v>
      </c>
      <c r="BF194" s="161">
        <f>HLOOKUP(AO194,Data!$H$31:$Q$35,4,FALSE)</f>
        <v>353</v>
      </c>
      <c r="BG194" s="179">
        <f t="shared" si="73"/>
        <v>180</v>
      </c>
      <c r="BH194" s="185">
        <f t="shared" si="74"/>
        <v>121.65654188208487</v>
      </c>
      <c r="BI194" s="185">
        <f t="shared" si="75"/>
        <v>243</v>
      </c>
      <c r="BJ194" s="185">
        <f t="shared" si="76"/>
        <v>142.3296</v>
      </c>
      <c r="BK194" s="185">
        <f t="shared" si="77"/>
        <v>21.927754019792985</v>
      </c>
      <c r="BL194" s="186">
        <f t="shared" si="78"/>
        <v>0.82166666666666666</v>
      </c>
      <c r="BM194" s="186">
        <f t="shared" si="79"/>
        <v>0.21936281695240833</v>
      </c>
      <c r="BN194" s="185" t="str">
        <f t="shared" si="80"/>
        <v>OK</v>
      </c>
      <c r="BO194" s="185" cm="1">
        <f t="array" ref="BO194">_xll.DCEBoltDisRS(AN194, AE194, BA194, BB194, BC194, BD194, "h1")</f>
        <v>1240</v>
      </c>
      <c r="BP194" s="185" cm="1">
        <f t="array" ref="BP194">_xll.DCEBoltDisRS(AN194, AE194, BA194, BB194, BC194, BD194, "Tong")</f>
        <v>3721800</v>
      </c>
      <c r="BQ194" s="185">
        <f t="shared" si="81"/>
        <v>126.12823401353027</v>
      </c>
      <c r="BR194" s="186">
        <f t="shared" si="82"/>
        <v>0.88617008699195587</v>
      </c>
      <c r="BS194" s="185" t="str">
        <f t="shared" si="83"/>
        <v>OK</v>
      </c>
      <c r="BT194" s="186">
        <f t="shared" si="84"/>
        <v>0.90431465952872825</v>
      </c>
      <c r="BU194" s="185" t="str">
        <f t="shared" si="85"/>
        <v>OK</v>
      </c>
      <c r="BV194" s="190">
        <f t="shared" si="86"/>
        <v>676.33869481007389</v>
      </c>
      <c r="BW194" s="191">
        <f t="shared" si="87"/>
        <v>15.217620633226662</v>
      </c>
      <c r="BX194" s="190">
        <f t="shared" si="88"/>
        <v>338.16934740503694</v>
      </c>
      <c r="BY194" s="167">
        <f t="shared" si="89"/>
        <v>107.41849858748233</v>
      </c>
      <c r="BZ194" s="192">
        <f t="shared" si="90"/>
        <v>0.52217325702248363</v>
      </c>
      <c r="CA194" s="191">
        <f t="shared" si="91"/>
        <v>9.9461572766187345</v>
      </c>
      <c r="CB194" s="193">
        <f t="shared" si="92"/>
        <v>8.3360992500396483E-2</v>
      </c>
      <c r="CC194" s="167">
        <f t="shared" si="93"/>
        <v>108.79113921870039</v>
      </c>
      <c r="CD194" s="191">
        <f t="shared" si="94"/>
        <v>0.45986592664909598</v>
      </c>
      <c r="CE194" s="189">
        <f t="shared" si="95"/>
        <v>0.52217325702248363</v>
      </c>
      <c r="CF194" s="194" t="str">
        <f t="shared" si="96"/>
        <v>OK</v>
      </c>
      <c r="DA194" s="140"/>
      <c r="DB194" s="140"/>
      <c r="DC194" s="140"/>
      <c r="DD194" s="141"/>
      <c r="DE194" s="151"/>
      <c r="DF194" s="152"/>
      <c r="DG194" s="152"/>
      <c r="DH194" s="152"/>
      <c r="DI194" s="152"/>
      <c r="DJ194" s="152"/>
      <c r="DK194" s="161"/>
      <c r="DL194" s="162"/>
      <c r="DM194" s="162"/>
      <c r="DN194" s="162"/>
      <c r="DO194" s="162"/>
      <c r="DP194" s="162"/>
      <c r="DQ194" s="140"/>
      <c r="DR194" s="151"/>
      <c r="DS194" s="151"/>
      <c r="DT194" s="151"/>
      <c r="DU194" s="151"/>
      <c r="DV194" s="151"/>
      <c r="DW194" s="151"/>
      <c r="DX194" s="151"/>
      <c r="DY194" s="151"/>
      <c r="DZ194" s="151"/>
      <c r="EA194" s="161"/>
      <c r="EB194" s="161"/>
      <c r="EC194" s="161"/>
      <c r="ED194" s="161"/>
      <c r="EE194" s="161"/>
      <c r="EF194" s="161"/>
      <c r="EG194" s="161"/>
      <c r="EH194" s="161"/>
      <c r="EI194" s="161"/>
      <c r="EJ194" s="161"/>
      <c r="EK194" s="209"/>
      <c r="EL194" s="161"/>
      <c r="EM194" s="187"/>
      <c r="EN194" s="187"/>
      <c r="EO194" s="206"/>
      <c r="EP194" s="212"/>
      <c r="EQ194" s="208"/>
      <c r="ER194" s="187"/>
      <c r="ES194" s="187"/>
      <c r="ET194" s="187"/>
      <c r="EU194" s="187"/>
      <c r="EV194" s="210"/>
      <c r="EW194" s="209"/>
      <c r="EX194" s="210"/>
      <c r="EY194" s="162"/>
      <c r="EZ194" s="211"/>
      <c r="FA194" s="209"/>
      <c r="FB194" s="207"/>
      <c r="FC194" s="162"/>
      <c r="FD194" s="209"/>
      <c r="FE194" s="187"/>
      <c r="FF194" s="187"/>
    </row>
    <row r="195" spans="27:162">
      <c r="AA195" s="140" t="s">
        <v>210</v>
      </c>
      <c r="AB195" s="140" t="s">
        <v>240</v>
      </c>
      <c r="AC195" s="140">
        <v>104</v>
      </c>
      <c r="AD195" s="141">
        <v>0</v>
      </c>
      <c r="AE195" s="151">
        <v>750</v>
      </c>
      <c r="AF195" s="152">
        <v>350</v>
      </c>
      <c r="AG195" s="152">
        <v>14</v>
      </c>
      <c r="AH195" s="152">
        <v>18.000000000000004</v>
      </c>
      <c r="AI195" s="152">
        <v>714</v>
      </c>
      <c r="AJ195" s="153" t="str" cm="1">
        <f t="array" ref="AJ195">_xll.Dce_Name_SectI(AE195, AE195, AF195, AG195, AH195, "x", "-", "H Tổng")</f>
        <v>750x350x14x18</v>
      </c>
      <c r="AK195" s="161">
        <f t="shared" si="67"/>
        <v>1010</v>
      </c>
      <c r="AL195" s="162" cm="1">
        <f t="array" ref="AL195">IFERROR(INDEX($B$25:$B$32,IFERROR(MATCH(AF195,$B$25:$B$32,0),MATCH(AF195,$B$25:$B$32,1)+1)),$B$25)</f>
        <v>350</v>
      </c>
      <c r="AM195" s="162" cm="1">
        <f t="array" ref="AM195">IFERROR(VLOOKUP(AE195,$B$36:$E$47,4,FALSE),INDEX($E$36:$E$47,MATCH(AE195,$B$36:$B$47,1)+1))</f>
        <v>25</v>
      </c>
      <c r="AN195" s="162" cm="1">
        <f t="array" ref="AN195">IFERROR(VLOOKUP(AE195,$B$36:$E$47,2,FALSE),INDEX($C$36:$C$47,MATCH(AE195,$B$36:$B$47,1)+1))</f>
        <v>12</v>
      </c>
      <c r="AO195" s="162" cm="1">
        <f t="array" ref="AO195">IFERROR(VLOOKUP(AE195,$B$36:$E$47,3,FALSE),INDEX($D$36:$D$47,MATCH(AE195,$B$36:$B$47,1)+1))</f>
        <v>24</v>
      </c>
      <c r="AP195" s="163" t="str">
        <f t="shared" si="68"/>
        <v>1010x350x25 + 12M24</v>
      </c>
      <c r="AQ195" s="140" t="s">
        <v>247</v>
      </c>
      <c r="AR195" s="151">
        <v>0</v>
      </c>
      <c r="AS195" s="151">
        <v>189.72368614927393</v>
      </c>
      <c r="AT195" s="151">
        <v>-2.5938788894563909E-13</v>
      </c>
      <c r="AU195" s="151">
        <v>2.3592967203739346E-4</v>
      </c>
      <c r="AV195" s="151">
        <v>-4.1350722312927241E-14</v>
      </c>
      <c r="AW195" s="151">
        <v>-138.34729070263563</v>
      </c>
      <c r="BA195" s="161">
        <f t="shared" si="69"/>
        <v>60</v>
      </c>
      <c r="BB195" s="161">
        <f t="shared" si="70"/>
        <v>70</v>
      </c>
      <c r="BC195" s="161">
        <f t="shared" si="71"/>
        <v>80</v>
      </c>
      <c r="BD195" s="161">
        <f t="shared" si="72"/>
        <v>150</v>
      </c>
      <c r="BE195" s="161">
        <f>HLOOKUP(AO195,Data!$H$31:$Q$35,3,FALSE)</f>
        <v>452.38934211693021</v>
      </c>
      <c r="BF195" s="161">
        <f>HLOOKUP(AO195,Data!$H$31:$Q$35,4,FALSE)</f>
        <v>353</v>
      </c>
      <c r="BG195" s="179">
        <f t="shared" si="73"/>
        <v>180</v>
      </c>
      <c r="BH195" s="185">
        <f t="shared" si="74"/>
        <v>121.65654188208487</v>
      </c>
      <c r="BI195" s="185">
        <f t="shared" si="75"/>
        <v>243</v>
      </c>
      <c r="BJ195" s="185">
        <f t="shared" si="76"/>
        <v>142.3296</v>
      </c>
      <c r="BK195" s="185">
        <f t="shared" si="77"/>
        <v>15.731843631854614</v>
      </c>
      <c r="BL195" s="186">
        <f t="shared" si="78"/>
        <v>0.89458333333333329</v>
      </c>
      <c r="BM195" s="186">
        <f t="shared" si="79"/>
        <v>0.14455174905943344</v>
      </c>
      <c r="BN195" s="185" t="str">
        <f t="shared" si="80"/>
        <v>OK</v>
      </c>
      <c r="BO195" s="185" cm="1">
        <f t="array" ref="BO195">_xll.DCEBoltDisRS(AN195, AE195, BA195, BB195, BC195, BD195, "h1")</f>
        <v>890</v>
      </c>
      <c r="BP195" s="185" cm="1">
        <f t="array" ref="BP195">_xll.DCEBoltDisRS(AN195, AE195, BA195, BB195, BC195, BD195, "Tong")</f>
        <v>1800300</v>
      </c>
      <c r="BQ195" s="185">
        <f t="shared" si="81"/>
        <v>35.77000953825231</v>
      </c>
      <c r="BR195" s="186">
        <f t="shared" si="82"/>
        <v>0.25131813437438388</v>
      </c>
      <c r="BS195" s="185" t="str">
        <f t="shared" si="83"/>
        <v>OK</v>
      </c>
      <c r="BT195" s="186">
        <f t="shared" si="84"/>
        <v>0.28263546851657628</v>
      </c>
      <c r="BU195" s="185" t="str">
        <f t="shared" si="85"/>
        <v>OK</v>
      </c>
      <c r="BV195" s="190">
        <f t="shared" si="86"/>
        <v>184.46305427018083</v>
      </c>
      <c r="BW195" s="191">
        <f t="shared" si="87"/>
        <v>4.1504187210790686</v>
      </c>
      <c r="BX195" s="190">
        <f t="shared" si="88"/>
        <v>92.231527135090417</v>
      </c>
      <c r="BY195" s="167">
        <f t="shared" si="89"/>
        <v>39.449524477583232</v>
      </c>
      <c r="BZ195" s="192">
        <f t="shared" si="90"/>
        <v>0.19176852176602963</v>
      </c>
      <c r="CA195" s="191">
        <f t="shared" si="91"/>
        <v>3.6527337479243731</v>
      </c>
      <c r="CB195" s="193">
        <f t="shared" si="92"/>
        <v>3.0614387255113285E-2</v>
      </c>
      <c r="CC195" s="167">
        <f t="shared" si="93"/>
        <v>39.953627782807352</v>
      </c>
      <c r="CD195" s="191">
        <f t="shared" si="94"/>
        <v>0.16888610777756735</v>
      </c>
      <c r="CE195" s="189">
        <f t="shared" si="95"/>
        <v>0.19176852176602963</v>
      </c>
      <c r="CF195" s="194" t="str">
        <f t="shared" si="96"/>
        <v>OK</v>
      </c>
      <c r="DA195" s="140"/>
      <c r="DB195" s="140"/>
      <c r="DC195" s="140"/>
      <c r="DD195" s="141"/>
      <c r="DE195" s="151"/>
      <c r="DF195" s="152"/>
      <c r="DG195" s="152"/>
      <c r="DH195" s="152"/>
      <c r="DI195" s="152"/>
      <c r="DJ195" s="152"/>
      <c r="DK195" s="161"/>
      <c r="DL195" s="162"/>
      <c r="DM195" s="162"/>
      <c r="DN195" s="162"/>
      <c r="DO195" s="162"/>
      <c r="DP195" s="162"/>
      <c r="DQ195" s="140"/>
      <c r="DR195" s="151"/>
      <c r="DS195" s="151"/>
      <c r="DT195" s="151"/>
      <c r="DU195" s="151"/>
      <c r="DV195" s="151"/>
      <c r="DW195" s="151"/>
      <c r="DX195" s="151"/>
      <c r="DY195" s="151"/>
      <c r="DZ195" s="151"/>
      <c r="EA195" s="161"/>
      <c r="EB195" s="161"/>
      <c r="EC195" s="161"/>
      <c r="ED195" s="161"/>
      <c r="EE195" s="161"/>
      <c r="EF195" s="161"/>
      <c r="EG195" s="161"/>
      <c r="EH195" s="161"/>
      <c r="EI195" s="161"/>
      <c r="EJ195" s="161"/>
      <c r="EK195" s="209"/>
      <c r="EL195" s="161"/>
      <c r="EM195" s="187"/>
      <c r="EN195" s="187"/>
      <c r="EO195" s="206"/>
      <c r="EP195" s="212"/>
      <c r="EQ195" s="208"/>
      <c r="ER195" s="187"/>
      <c r="ES195" s="187"/>
      <c r="ET195" s="187"/>
      <c r="EU195" s="187"/>
      <c r="EV195" s="210"/>
      <c r="EW195" s="209"/>
      <c r="EX195" s="210"/>
      <c r="EY195" s="162"/>
      <c r="EZ195" s="211"/>
      <c r="FA195" s="209"/>
      <c r="FB195" s="207"/>
      <c r="FC195" s="162"/>
      <c r="FD195" s="209"/>
      <c r="FE195" s="187"/>
      <c r="FF195" s="187"/>
    </row>
    <row r="196" spans="27:162">
      <c r="AA196" s="140" t="s">
        <v>210</v>
      </c>
      <c r="AB196" s="140" t="s">
        <v>240</v>
      </c>
      <c r="AC196" s="140">
        <v>104</v>
      </c>
      <c r="AD196" s="141">
        <v>2.6850000000000001</v>
      </c>
      <c r="AE196" s="151">
        <v>1100</v>
      </c>
      <c r="AF196" s="152">
        <v>350</v>
      </c>
      <c r="AG196" s="152">
        <v>14</v>
      </c>
      <c r="AH196" s="152">
        <v>18.000000000000004</v>
      </c>
      <c r="AI196" s="152">
        <v>1064</v>
      </c>
      <c r="AJ196" s="153" t="str" cm="1">
        <f t="array" ref="AJ196">_xll.Dce_Name_SectI(AE196, AE196, AF196, AG196, AH196, "x", "-", "H Tổng")</f>
        <v>1100x350x14x18</v>
      </c>
      <c r="AK196" s="161">
        <f t="shared" si="67"/>
        <v>1360</v>
      </c>
      <c r="AL196" s="162" cm="1">
        <f t="array" ref="AL196">IFERROR(INDEX($B$25:$B$32,IFERROR(MATCH(AF196,$B$25:$B$32,0),MATCH(AF196,$B$25:$B$32,1)+1)),$B$25)</f>
        <v>350</v>
      </c>
      <c r="AM196" s="162" cm="1">
        <f t="array" ref="AM196">IFERROR(VLOOKUP(AE196,$B$36:$E$47,4,FALSE),INDEX($E$36:$E$47,MATCH(AE196,$B$36:$B$47,1)+1))</f>
        <v>25</v>
      </c>
      <c r="AN196" s="162" cm="1">
        <f t="array" ref="AN196">IFERROR(VLOOKUP(AE196,$B$36:$E$47,2,FALSE),INDEX($C$36:$C$47,MATCH(AE196,$B$36:$B$47,1)+1))</f>
        <v>12</v>
      </c>
      <c r="AO196" s="162" cm="1">
        <f t="array" ref="AO196">IFERROR(VLOOKUP(AE196,$B$36:$E$47,3,FALSE),INDEX($D$36:$D$47,MATCH(AE196,$B$36:$B$47,1)+1))</f>
        <v>24</v>
      </c>
      <c r="AP196" s="163" t="str">
        <f t="shared" si="68"/>
        <v>1360x350x25 + 12M24</v>
      </c>
      <c r="AQ196" s="140" t="s">
        <v>247</v>
      </c>
      <c r="AR196" s="151">
        <v>0</v>
      </c>
      <c r="AS196" s="151">
        <v>266.52870506166033</v>
      </c>
      <c r="AT196" s="151">
        <v>2.3283064365386961E-14</v>
      </c>
      <c r="AU196" s="151">
        <v>2.3589457246073602E-4</v>
      </c>
      <c r="AV196" s="151">
        <v>-4.2025931179523455E-14</v>
      </c>
      <c r="AW196" s="151">
        <v>-762.06601540856991</v>
      </c>
      <c r="BA196" s="161">
        <f t="shared" si="69"/>
        <v>60</v>
      </c>
      <c r="BB196" s="161">
        <f t="shared" si="70"/>
        <v>70</v>
      </c>
      <c r="BC196" s="161">
        <f t="shared" si="71"/>
        <v>80</v>
      </c>
      <c r="BD196" s="161">
        <f t="shared" si="72"/>
        <v>150</v>
      </c>
      <c r="BE196" s="161">
        <f>HLOOKUP(AO196,Data!$H$31:$Q$35,3,FALSE)</f>
        <v>452.38934211693021</v>
      </c>
      <c r="BF196" s="161">
        <f>HLOOKUP(AO196,Data!$H$31:$Q$35,4,FALSE)</f>
        <v>353</v>
      </c>
      <c r="BG196" s="179">
        <f t="shared" si="73"/>
        <v>180</v>
      </c>
      <c r="BH196" s="185">
        <f t="shared" si="74"/>
        <v>121.65654188208487</v>
      </c>
      <c r="BI196" s="185">
        <f t="shared" si="75"/>
        <v>243</v>
      </c>
      <c r="BJ196" s="185">
        <f t="shared" si="76"/>
        <v>142.3296</v>
      </c>
      <c r="BK196" s="185">
        <f t="shared" si="77"/>
        <v>22.100497816238448</v>
      </c>
      <c r="BL196" s="186">
        <f t="shared" si="78"/>
        <v>0.82166666666666666</v>
      </c>
      <c r="BM196" s="186">
        <f t="shared" si="79"/>
        <v>0.22109092671527442</v>
      </c>
      <c r="BN196" s="185" t="str">
        <f t="shared" si="80"/>
        <v>OK</v>
      </c>
      <c r="BO196" s="185" cm="1">
        <f t="array" ref="BO196">_xll.DCEBoltDisRS(AN196, AE196, BA196, BB196, BC196, BD196, "h1")</f>
        <v>1240</v>
      </c>
      <c r="BP196" s="185" cm="1">
        <f t="array" ref="BP196">_xll.DCEBoltDisRS(AN196, AE196, BA196, BB196, BC196, BD196, "Tong")</f>
        <v>3721800</v>
      </c>
      <c r="BQ196" s="185">
        <f t="shared" si="81"/>
        <v>129.15962513583776</v>
      </c>
      <c r="BR196" s="186">
        <f t="shared" si="82"/>
        <v>0.90746847553732857</v>
      </c>
      <c r="BS196" s="185" t="str">
        <f t="shared" si="83"/>
        <v>OK</v>
      </c>
      <c r="BT196" s="186">
        <f t="shared" si="84"/>
        <v>0.92547312004961879</v>
      </c>
      <c r="BU196" s="185" t="str">
        <f t="shared" si="85"/>
        <v>OK</v>
      </c>
      <c r="BV196" s="190">
        <f t="shared" si="86"/>
        <v>692.7872867350635</v>
      </c>
      <c r="BW196" s="191">
        <f t="shared" si="87"/>
        <v>15.587713951538928</v>
      </c>
      <c r="BX196" s="190">
        <f t="shared" si="88"/>
        <v>346.39364336753175</v>
      </c>
      <c r="BY196" s="167">
        <f t="shared" si="89"/>
        <v>110.03092201086302</v>
      </c>
      <c r="BZ196" s="192">
        <f t="shared" si="90"/>
        <v>0.53487253755280639</v>
      </c>
      <c r="CA196" s="191">
        <f t="shared" si="91"/>
        <v>10.18804833433917</v>
      </c>
      <c r="CB196" s="193">
        <f t="shared" si="92"/>
        <v>8.5388336135505505E-2</v>
      </c>
      <c r="CC196" s="167">
        <f t="shared" si="93"/>
        <v>111.43694533299589</v>
      </c>
      <c r="CD196" s="191">
        <f t="shared" si="94"/>
        <v>0.47104988969261558</v>
      </c>
      <c r="CE196" s="189">
        <f t="shared" si="95"/>
        <v>0.53487253755280639</v>
      </c>
      <c r="CF196" s="194" t="str">
        <f t="shared" si="96"/>
        <v>OK</v>
      </c>
      <c r="DA196" s="140"/>
      <c r="DB196" s="140"/>
      <c r="DC196" s="140"/>
      <c r="DD196" s="141"/>
      <c r="DE196" s="151"/>
      <c r="DF196" s="152"/>
      <c r="DG196" s="152"/>
      <c r="DH196" s="152"/>
      <c r="DI196" s="152"/>
      <c r="DJ196" s="152"/>
      <c r="DK196" s="161"/>
      <c r="DL196" s="162"/>
      <c r="DM196" s="162"/>
      <c r="DN196" s="162"/>
      <c r="DO196" s="162"/>
      <c r="DP196" s="162"/>
      <c r="DQ196" s="140"/>
      <c r="DR196" s="151"/>
      <c r="DS196" s="151"/>
      <c r="DT196" s="151"/>
      <c r="DU196" s="151"/>
      <c r="DV196" s="151"/>
      <c r="DW196" s="151"/>
      <c r="DX196" s="151"/>
      <c r="DY196" s="151"/>
      <c r="DZ196" s="151"/>
      <c r="EA196" s="161"/>
      <c r="EB196" s="161"/>
      <c r="EC196" s="161"/>
      <c r="ED196" s="161"/>
      <c r="EE196" s="161"/>
      <c r="EF196" s="161"/>
      <c r="EG196" s="161"/>
      <c r="EH196" s="161"/>
      <c r="EI196" s="161"/>
      <c r="EJ196" s="161"/>
      <c r="EK196" s="209"/>
      <c r="EL196" s="161"/>
      <c r="EM196" s="187"/>
      <c r="EN196" s="187"/>
      <c r="EO196" s="206"/>
      <c r="EP196" s="212"/>
      <c r="EQ196" s="208"/>
      <c r="ER196" s="187"/>
      <c r="ES196" s="187"/>
      <c r="ET196" s="187"/>
      <c r="EU196" s="187"/>
      <c r="EV196" s="210"/>
      <c r="EW196" s="209"/>
      <c r="EX196" s="210"/>
      <c r="EY196" s="162"/>
      <c r="EZ196" s="211"/>
      <c r="FA196" s="209"/>
      <c r="FB196" s="207"/>
      <c r="FC196" s="162"/>
      <c r="FD196" s="209"/>
      <c r="FE196" s="187"/>
      <c r="FF196" s="187"/>
    </row>
    <row r="197" spans="27:162">
      <c r="AA197" s="140" t="s">
        <v>210</v>
      </c>
      <c r="AB197" s="140" t="s">
        <v>240</v>
      </c>
      <c r="AC197" s="140">
        <v>104</v>
      </c>
      <c r="AD197" s="141">
        <v>0</v>
      </c>
      <c r="AE197" s="151">
        <v>750</v>
      </c>
      <c r="AF197" s="152">
        <v>350</v>
      </c>
      <c r="AG197" s="152">
        <v>14</v>
      </c>
      <c r="AH197" s="152">
        <v>18.000000000000004</v>
      </c>
      <c r="AI197" s="152">
        <v>714</v>
      </c>
      <c r="AJ197" s="153" t="str" cm="1">
        <f t="array" ref="AJ197">_xll.Dce_Name_SectI(AE197, AE197, AF197, AG197, AH197, "x", "-", "H Tổng")</f>
        <v>750x350x14x18</v>
      </c>
      <c r="AK197" s="161">
        <f t="shared" si="67"/>
        <v>1010</v>
      </c>
      <c r="AL197" s="162" cm="1">
        <f t="array" ref="AL197">IFERROR(INDEX($B$25:$B$32,IFERROR(MATCH(AF197,$B$25:$B$32,0),MATCH(AF197,$B$25:$B$32,1)+1)),$B$25)</f>
        <v>350</v>
      </c>
      <c r="AM197" s="162" cm="1">
        <f t="array" ref="AM197">IFERROR(VLOOKUP(AE197,$B$36:$E$47,4,FALSE),INDEX($E$36:$E$47,MATCH(AE197,$B$36:$B$47,1)+1))</f>
        <v>25</v>
      </c>
      <c r="AN197" s="162" cm="1">
        <f t="array" ref="AN197">IFERROR(VLOOKUP(AE197,$B$36:$E$47,2,FALSE),INDEX($C$36:$C$47,MATCH(AE197,$B$36:$B$47,1)+1))</f>
        <v>12</v>
      </c>
      <c r="AO197" s="162" cm="1">
        <f t="array" ref="AO197">IFERROR(VLOOKUP(AE197,$B$36:$E$47,3,FALSE),INDEX($D$36:$D$47,MATCH(AE197,$B$36:$B$47,1)+1))</f>
        <v>24</v>
      </c>
      <c r="AP197" s="163" t="str">
        <f t="shared" si="68"/>
        <v>1010x350x25 + 12M24</v>
      </c>
      <c r="AQ197" s="140" t="s">
        <v>248</v>
      </c>
      <c r="AR197" s="151">
        <v>0</v>
      </c>
      <c r="AS197" s="151">
        <v>191.13916783624197</v>
      </c>
      <c r="AT197" s="151">
        <v>-2.6557245291769495E-14</v>
      </c>
      <c r="AU197" s="151">
        <v>4.5139126776708806E-4</v>
      </c>
      <c r="AV197" s="151">
        <v>-1.1548399925231932E-14</v>
      </c>
      <c r="AW197" s="151">
        <v>-139.87629936092355</v>
      </c>
      <c r="BA197" s="161">
        <f t="shared" si="69"/>
        <v>60</v>
      </c>
      <c r="BB197" s="161">
        <f t="shared" si="70"/>
        <v>70</v>
      </c>
      <c r="BC197" s="161">
        <f t="shared" si="71"/>
        <v>80</v>
      </c>
      <c r="BD197" s="161">
        <f t="shared" si="72"/>
        <v>150</v>
      </c>
      <c r="BE197" s="161">
        <f>HLOOKUP(AO197,Data!$H$31:$Q$35,3,FALSE)</f>
        <v>452.38934211693021</v>
      </c>
      <c r="BF197" s="161">
        <f>HLOOKUP(AO197,Data!$H$31:$Q$35,4,FALSE)</f>
        <v>353</v>
      </c>
      <c r="BG197" s="179">
        <f t="shared" si="73"/>
        <v>180</v>
      </c>
      <c r="BH197" s="185">
        <f t="shared" si="74"/>
        <v>121.65654188208487</v>
      </c>
      <c r="BI197" s="185">
        <f t="shared" si="75"/>
        <v>243</v>
      </c>
      <c r="BJ197" s="185">
        <f t="shared" si="76"/>
        <v>142.3296</v>
      </c>
      <c r="BK197" s="185">
        <f t="shared" si="77"/>
        <v>15.849215041904145</v>
      </c>
      <c r="BL197" s="186">
        <f t="shared" si="78"/>
        <v>0.89458333333333329</v>
      </c>
      <c r="BM197" s="186">
        <f t="shared" si="79"/>
        <v>0.14563021405115745</v>
      </c>
      <c r="BN197" s="185" t="str">
        <f t="shared" si="80"/>
        <v>OK</v>
      </c>
      <c r="BO197" s="185" cm="1">
        <f t="array" ref="BO197">_xll.DCEBoltDisRS(AN197, AE197, BA197, BB197, BC197, BD197, "h1")</f>
        <v>890</v>
      </c>
      <c r="BP197" s="185" cm="1">
        <f t="array" ref="BP197">_xll.DCEBoltDisRS(AN197, AE197, BA197, BB197, BC197, BD197, "Tong")</f>
        <v>1800300</v>
      </c>
      <c r="BQ197" s="185">
        <f t="shared" si="81"/>
        <v>36.159688607234891</v>
      </c>
      <c r="BR197" s="186">
        <f t="shared" si="82"/>
        <v>0.25405599824094843</v>
      </c>
      <c r="BS197" s="185" t="str">
        <f t="shared" si="83"/>
        <v>OK</v>
      </c>
      <c r="BT197" s="186">
        <f t="shared" si="84"/>
        <v>0.28551164937873913</v>
      </c>
      <c r="BU197" s="185" t="str">
        <f t="shared" si="85"/>
        <v>OK</v>
      </c>
      <c r="BV197" s="190">
        <f t="shared" si="86"/>
        <v>186.50173248123141</v>
      </c>
      <c r="BW197" s="191">
        <f t="shared" si="87"/>
        <v>4.1962889808277071</v>
      </c>
      <c r="BX197" s="190">
        <f t="shared" si="88"/>
        <v>93.250866240615707</v>
      </c>
      <c r="BY197" s="167">
        <f t="shared" si="89"/>
        <v>39.885519025689099</v>
      </c>
      <c r="BZ197" s="192">
        <f t="shared" si="90"/>
        <v>0.19388793970821092</v>
      </c>
      <c r="CA197" s="191">
        <f t="shared" si="91"/>
        <v>3.6931036134897313</v>
      </c>
      <c r="CB197" s="193">
        <f t="shared" si="92"/>
        <v>3.0952736224171603E-2</v>
      </c>
      <c r="CC197" s="167">
        <f t="shared" si="93"/>
        <v>40.395193660242796</v>
      </c>
      <c r="CD197" s="191">
        <f t="shared" si="94"/>
        <v>0.17075263020634035</v>
      </c>
      <c r="CE197" s="189">
        <f t="shared" si="95"/>
        <v>0.19388793970821092</v>
      </c>
      <c r="CF197" s="194" t="str">
        <f t="shared" si="96"/>
        <v>OK</v>
      </c>
      <c r="DA197" s="140"/>
      <c r="DB197" s="140"/>
      <c r="DC197" s="140"/>
      <c r="DD197" s="141"/>
      <c r="DE197" s="151"/>
      <c r="DF197" s="152"/>
      <c r="DG197" s="152"/>
      <c r="DH197" s="152"/>
      <c r="DI197" s="152"/>
      <c r="DJ197" s="152"/>
      <c r="DK197" s="161"/>
      <c r="DL197" s="162"/>
      <c r="DM197" s="162"/>
      <c r="DN197" s="162"/>
      <c r="DO197" s="162"/>
      <c r="DP197" s="162"/>
      <c r="DQ197" s="140"/>
      <c r="DR197" s="151"/>
      <c r="DS197" s="151"/>
      <c r="DT197" s="151"/>
      <c r="DU197" s="151"/>
      <c r="DV197" s="151"/>
      <c r="DW197" s="151"/>
      <c r="DX197" s="151"/>
      <c r="DY197" s="151"/>
      <c r="DZ197" s="151"/>
      <c r="EA197" s="161"/>
      <c r="EB197" s="161"/>
      <c r="EC197" s="161"/>
      <c r="ED197" s="161"/>
      <c r="EE197" s="161"/>
      <c r="EF197" s="161"/>
      <c r="EG197" s="161"/>
      <c r="EH197" s="161"/>
      <c r="EI197" s="161"/>
      <c r="EJ197" s="161"/>
      <c r="EK197" s="209"/>
      <c r="EL197" s="161"/>
      <c r="EM197" s="187"/>
      <c r="EN197" s="187"/>
      <c r="EO197" s="206"/>
      <c r="EP197" s="212"/>
      <c r="EQ197" s="208"/>
      <c r="ER197" s="187"/>
      <c r="ES197" s="187"/>
      <c r="ET197" s="187"/>
      <c r="EU197" s="187"/>
      <c r="EV197" s="210"/>
      <c r="EW197" s="209"/>
      <c r="EX197" s="210"/>
      <c r="EY197" s="162"/>
      <c r="EZ197" s="211"/>
      <c r="FA197" s="209"/>
      <c r="FB197" s="207"/>
      <c r="FC197" s="162"/>
      <c r="FD197" s="209"/>
      <c r="FE197" s="187"/>
      <c r="FF197" s="187"/>
    </row>
    <row r="198" spans="27:162">
      <c r="AA198" s="140" t="s">
        <v>210</v>
      </c>
      <c r="AB198" s="140" t="s">
        <v>240</v>
      </c>
      <c r="AC198" s="140">
        <v>104</v>
      </c>
      <c r="AD198" s="141">
        <v>2.6850000000000001</v>
      </c>
      <c r="AE198" s="151">
        <v>1100</v>
      </c>
      <c r="AF198" s="152">
        <v>350</v>
      </c>
      <c r="AG198" s="152">
        <v>14</v>
      </c>
      <c r="AH198" s="152">
        <v>18.000000000000004</v>
      </c>
      <c r="AI198" s="152">
        <v>1064</v>
      </c>
      <c r="AJ198" s="153" t="str" cm="1">
        <f t="array" ref="AJ198">_xll.Dce_Name_SectI(AE198, AE198, AF198, AG198, AH198, "x", "-", "H Tổng")</f>
        <v>1100x350x14x18</v>
      </c>
      <c r="AK198" s="161">
        <f t="shared" si="67"/>
        <v>1360</v>
      </c>
      <c r="AL198" s="162" cm="1">
        <f t="array" ref="AL198">IFERROR(INDEX($B$25:$B$32,IFERROR(MATCH(AF198,$B$25:$B$32,0),MATCH(AF198,$B$25:$B$32,1)+1)),$B$25)</f>
        <v>350</v>
      </c>
      <c r="AM198" s="162" cm="1">
        <f t="array" ref="AM198">IFERROR(VLOOKUP(AE198,$B$36:$E$47,4,FALSE),INDEX($E$36:$E$47,MATCH(AE198,$B$36:$B$47,1)+1))</f>
        <v>25</v>
      </c>
      <c r="AN198" s="162" cm="1">
        <f t="array" ref="AN198">IFERROR(VLOOKUP(AE198,$B$36:$E$47,2,FALSE),INDEX($C$36:$C$47,MATCH(AE198,$B$36:$B$47,1)+1))</f>
        <v>12</v>
      </c>
      <c r="AO198" s="162" cm="1">
        <f t="array" ref="AO198">IFERROR(VLOOKUP(AE198,$B$36:$E$47,3,FALSE),INDEX($D$36:$D$47,MATCH(AE198,$B$36:$B$47,1)+1))</f>
        <v>24</v>
      </c>
      <c r="AP198" s="163" t="str">
        <f t="shared" si="68"/>
        <v>1360x350x25 + 12M24</v>
      </c>
      <c r="AQ198" s="140" t="s">
        <v>248</v>
      </c>
      <c r="AR198" s="151">
        <v>0</v>
      </c>
      <c r="AS198" s="151">
        <v>267.94418708615387</v>
      </c>
      <c r="AT198" s="151">
        <v>-5.8207660913467402E-15</v>
      </c>
      <c r="AU198" s="151">
        <v>4.5132456797194244E-4</v>
      </c>
      <c r="AV198" s="151">
        <v>1.7753336578607555E-15</v>
      </c>
      <c r="AW198" s="151">
        <v>-767.39557845939305</v>
      </c>
      <c r="BA198" s="161">
        <f t="shared" si="69"/>
        <v>60</v>
      </c>
      <c r="BB198" s="161">
        <f t="shared" si="70"/>
        <v>70</v>
      </c>
      <c r="BC198" s="161">
        <f t="shared" si="71"/>
        <v>80</v>
      </c>
      <c r="BD198" s="161">
        <f t="shared" si="72"/>
        <v>150</v>
      </c>
      <c r="BE198" s="161">
        <f>HLOOKUP(AO198,Data!$H$31:$Q$35,3,FALSE)</f>
        <v>452.38934211693021</v>
      </c>
      <c r="BF198" s="161">
        <f>HLOOKUP(AO198,Data!$H$31:$Q$35,4,FALSE)</f>
        <v>353</v>
      </c>
      <c r="BG198" s="179">
        <f t="shared" si="73"/>
        <v>180</v>
      </c>
      <c r="BH198" s="185">
        <f t="shared" si="74"/>
        <v>121.65654188208487</v>
      </c>
      <c r="BI198" s="185">
        <f t="shared" si="75"/>
        <v>243</v>
      </c>
      <c r="BJ198" s="185">
        <f t="shared" si="76"/>
        <v>142.3296</v>
      </c>
      <c r="BK198" s="185">
        <f t="shared" si="77"/>
        <v>22.217869254275517</v>
      </c>
      <c r="BL198" s="186">
        <f t="shared" si="78"/>
        <v>0.82166666666666666</v>
      </c>
      <c r="BM198" s="186">
        <f t="shared" si="79"/>
        <v>0.22226509755166404</v>
      </c>
      <c r="BN198" s="185" t="str">
        <f t="shared" si="80"/>
        <v>OK</v>
      </c>
      <c r="BO198" s="185" cm="1">
        <f t="array" ref="BO198">_xll.DCEBoltDisRS(AN198, AE198, BA198, BB198, BC198, BD198, "h1")</f>
        <v>1240</v>
      </c>
      <c r="BP198" s="185" cm="1">
        <f t="array" ref="BP198">_xll.DCEBoltDisRS(AN198, AE198, BA198, BB198, BC198, BD198, "Tong")</f>
        <v>3721800</v>
      </c>
      <c r="BQ198" s="185">
        <f t="shared" si="81"/>
        <v>130.05919319250899</v>
      </c>
      <c r="BR198" s="186">
        <f t="shared" si="82"/>
        <v>0.91378879159717297</v>
      </c>
      <c r="BS198" s="185" t="str">
        <f t="shared" si="83"/>
        <v>OK</v>
      </c>
      <c r="BT198" s="186">
        <f t="shared" si="84"/>
        <v>0.93185990199811153</v>
      </c>
      <c r="BU198" s="185" t="str">
        <f t="shared" si="85"/>
        <v>OK</v>
      </c>
      <c r="BV198" s="190">
        <f t="shared" si="86"/>
        <v>697.63234405399362</v>
      </c>
      <c r="BW198" s="191">
        <f t="shared" si="87"/>
        <v>15.696727741214856</v>
      </c>
      <c r="BX198" s="190">
        <f t="shared" si="88"/>
        <v>348.81617202699681</v>
      </c>
      <c r="BY198" s="167">
        <f t="shared" si="89"/>
        <v>110.80043111445779</v>
      </c>
      <c r="BZ198" s="192">
        <f t="shared" si="90"/>
        <v>0.53861320680639213</v>
      </c>
      <c r="CA198" s="191">
        <f t="shared" si="91"/>
        <v>10.259299177264612</v>
      </c>
      <c r="CB198" s="193">
        <f t="shared" si="92"/>
        <v>8.5985505556576025E-2</v>
      </c>
      <c r="CC198" s="167">
        <f t="shared" si="93"/>
        <v>112.21628756101127</v>
      </c>
      <c r="CD198" s="191">
        <f t="shared" si="94"/>
        <v>0.47434421070475785</v>
      </c>
      <c r="CE198" s="189">
        <f t="shared" si="95"/>
        <v>0.53861320680639213</v>
      </c>
      <c r="CF198" s="194" t="str">
        <f t="shared" si="96"/>
        <v>OK</v>
      </c>
      <c r="DA198" s="140"/>
      <c r="DB198" s="140"/>
      <c r="DC198" s="140"/>
      <c r="DD198" s="141"/>
      <c r="DE198" s="151"/>
      <c r="DF198" s="152"/>
      <c r="DG198" s="152"/>
      <c r="DH198" s="152"/>
      <c r="DI198" s="152"/>
      <c r="DJ198" s="152"/>
      <c r="DK198" s="161"/>
      <c r="DL198" s="162"/>
      <c r="DM198" s="162"/>
      <c r="DN198" s="162"/>
      <c r="DO198" s="162"/>
      <c r="DP198" s="162"/>
      <c r="DQ198" s="140"/>
      <c r="DR198" s="151"/>
      <c r="DS198" s="151"/>
      <c r="DT198" s="151"/>
      <c r="DU198" s="151"/>
      <c r="DV198" s="151"/>
      <c r="DW198" s="151"/>
      <c r="DX198" s="151"/>
      <c r="DY198" s="151"/>
      <c r="DZ198" s="151"/>
      <c r="EA198" s="161"/>
      <c r="EB198" s="161"/>
      <c r="EC198" s="161"/>
      <c r="ED198" s="161"/>
      <c r="EE198" s="161"/>
      <c r="EF198" s="161"/>
      <c r="EG198" s="161"/>
      <c r="EH198" s="161"/>
      <c r="EI198" s="161"/>
      <c r="EJ198" s="161"/>
      <c r="EK198" s="209"/>
      <c r="EL198" s="161"/>
      <c r="EM198" s="187"/>
      <c r="EN198" s="187"/>
      <c r="EO198" s="206"/>
      <c r="EP198" s="212"/>
      <c r="EQ198" s="208"/>
      <c r="ER198" s="187"/>
      <c r="ES198" s="187"/>
      <c r="ET198" s="187"/>
      <c r="EU198" s="187"/>
      <c r="EV198" s="210"/>
      <c r="EW198" s="209"/>
      <c r="EX198" s="210"/>
      <c r="EY198" s="162"/>
      <c r="EZ198" s="211"/>
      <c r="FA198" s="209"/>
      <c r="FB198" s="207"/>
      <c r="FC198" s="162"/>
      <c r="FD198" s="209"/>
      <c r="FE198" s="187"/>
      <c r="FF198" s="187"/>
    </row>
    <row r="199" spans="27:162">
      <c r="AA199" s="140" t="s">
        <v>210</v>
      </c>
      <c r="AB199" s="140" t="s">
        <v>240</v>
      </c>
      <c r="AC199" s="140">
        <v>104</v>
      </c>
      <c r="AD199" s="141">
        <v>0</v>
      </c>
      <c r="AE199" s="151">
        <v>750</v>
      </c>
      <c r="AF199" s="152">
        <v>350</v>
      </c>
      <c r="AG199" s="152">
        <v>14</v>
      </c>
      <c r="AH199" s="152">
        <v>18.000000000000004</v>
      </c>
      <c r="AI199" s="152">
        <v>714</v>
      </c>
      <c r="AJ199" s="153" t="str" cm="1">
        <f t="array" ref="AJ199">_xll.Dce_Name_SectI(AE199, AE199, AF199, AG199, AH199, "x", "-", "H Tổng")</f>
        <v>750x350x14x18</v>
      </c>
      <c r="AK199" s="161">
        <f t="shared" si="67"/>
        <v>1010</v>
      </c>
      <c r="AL199" s="162" cm="1">
        <f t="array" ref="AL199">IFERROR(INDEX($B$25:$B$32,IFERROR(MATCH(AF199,$B$25:$B$32,0),MATCH(AF199,$B$25:$B$32,1)+1)),$B$25)</f>
        <v>350</v>
      </c>
      <c r="AM199" s="162" cm="1">
        <f t="array" ref="AM199">IFERROR(VLOOKUP(AE199,$B$36:$E$47,4,FALSE),INDEX($E$36:$E$47,MATCH(AE199,$B$36:$B$47,1)+1))</f>
        <v>25</v>
      </c>
      <c r="AN199" s="162" cm="1">
        <f t="array" ref="AN199">IFERROR(VLOOKUP(AE199,$B$36:$E$47,2,FALSE),INDEX($C$36:$C$47,MATCH(AE199,$B$36:$B$47,1)+1))</f>
        <v>12</v>
      </c>
      <c r="AO199" s="162" cm="1">
        <f t="array" ref="AO199">IFERROR(VLOOKUP(AE199,$B$36:$E$47,3,FALSE),INDEX($D$36:$D$47,MATCH(AE199,$B$36:$B$47,1)+1))</f>
        <v>24</v>
      </c>
      <c r="AP199" s="163" t="str">
        <f t="shared" si="68"/>
        <v>1010x350x25 + 12M24</v>
      </c>
      <c r="AQ199" s="140" t="s">
        <v>249</v>
      </c>
      <c r="AR199" s="151">
        <v>0</v>
      </c>
      <c r="AS199" s="151">
        <v>191.61017215595282</v>
      </c>
      <c r="AT199" s="151">
        <v>-2.6557245291769495E-14</v>
      </c>
      <c r="AU199" s="151">
        <v>5.4617187864394918E-4</v>
      </c>
      <c r="AV199" s="151">
        <v>2.011656761169433E-14</v>
      </c>
      <c r="AW199" s="151">
        <v>-149.59668306874082</v>
      </c>
      <c r="BA199" s="161">
        <f t="shared" si="69"/>
        <v>60</v>
      </c>
      <c r="BB199" s="161">
        <f t="shared" si="70"/>
        <v>70</v>
      </c>
      <c r="BC199" s="161">
        <f t="shared" si="71"/>
        <v>80</v>
      </c>
      <c r="BD199" s="161">
        <f t="shared" si="72"/>
        <v>150</v>
      </c>
      <c r="BE199" s="161">
        <f>HLOOKUP(AO199,Data!$H$31:$Q$35,3,FALSE)</f>
        <v>452.38934211693021</v>
      </c>
      <c r="BF199" s="161">
        <f>HLOOKUP(AO199,Data!$H$31:$Q$35,4,FALSE)</f>
        <v>353</v>
      </c>
      <c r="BG199" s="179">
        <f t="shared" si="73"/>
        <v>180</v>
      </c>
      <c r="BH199" s="185">
        <f t="shared" si="74"/>
        <v>121.65654188208487</v>
      </c>
      <c r="BI199" s="185">
        <f t="shared" si="75"/>
        <v>243</v>
      </c>
      <c r="BJ199" s="185">
        <f t="shared" si="76"/>
        <v>142.3296</v>
      </c>
      <c r="BK199" s="185">
        <f t="shared" si="77"/>
        <v>15.888270609809299</v>
      </c>
      <c r="BL199" s="186">
        <f t="shared" si="78"/>
        <v>0.89458333333333329</v>
      </c>
      <c r="BM199" s="186">
        <f t="shared" si="79"/>
        <v>0.14598907540163311</v>
      </c>
      <c r="BN199" s="185" t="str">
        <f t="shared" si="80"/>
        <v>OK</v>
      </c>
      <c r="BO199" s="185" cm="1">
        <f t="array" ref="BO199">_xll.DCEBoltDisRS(AN199, AE199, BA199, BB199, BC199, BD199, "h1")</f>
        <v>890</v>
      </c>
      <c r="BP199" s="185" cm="1">
        <f t="array" ref="BP199">_xll.DCEBoltDisRS(AN199, AE199, BA199, BB199, BC199, BD199, "Tong")</f>
        <v>1800300</v>
      </c>
      <c r="BQ199" s="185">
        <f t="shared" si="81"/>
        <v>38.56628857605601</v>
      </c>
      <c r="BR199" s="186">
        <f t="shared" si="82"/>
        <v>0.27096463824851619</v>
      </c>
      <c r="BS199" s="185" t="str">
        <f t="shared" si="83"/>
        <v>OK</v>
      </c>
      <c r="BT199" s="186">
        <f t="shared" si="84"/>
        <v>0.30079567286906239</v>
      </c>
      <c r="BU199" s="185" t="str">
        <f t="shared" si="85"/>
        <v>OK</v>
      </c>
      <c r="BV199" s="190">
        <f t="shared" si="86"/>
        <v>199.46224409165441</v>
      </c>
      <c r="BW199" s="191">
        <f t="shared" si="87"/>
        <v>4.4879004920622245</v>
      </c>
      <c r="BX199" s="190">
        <f t="shared" si="88"/>
        <v>99.731122045827206</v>
      </c>
      <c r="BY199" s="167">
        <f t="shared" si="89"/>
        <v>42.657272003759758</v>
      </c>
      <c r="BZ199" s="192">
        <f t="shared" si="90"/>
        <v>0.2073617389071655</v>
      </c>
      <c r="CA199" s="191">
        <f t="shared" si="91"/>
        <v>3.9497474077555328</v>
      </c>
      <c r="CB199" s="193">
        <f t="shared" si="92"/>
        <v>3.3103725879177121E-2</v>
      </c>
      <c r="CC199" s="167">
        <f t="shared" si="93"/>
        <v>43.202365312074761</v>
      </c>
      <c r="CD199" s="191">
        <f t="shared" si="94"/>
        <v>0.18261869395200686</v>
      </c>
      <c r="CE199" s="189">
        <f t="shared" si="95"/>
        <v>0.2073617389071655</v>
      </c>
      <c r="CF199" s="194" t="str">
        <f t="shared" si="96"/>
        <v>OK</v>
      </c>
      <c r="DA199" s="140"/>
      <c r="DB199" s="140"/>
      <c r="DC199" s="140"/>
      <c r="DD199" s="141"/>
      <c r="DE199" s="151"/>
      <c r="DF199" s="152"/>
      <c r="DG199" s="152"/>
      <c r="DH199" s="152"/>
      <c r="DI199" s="152"/>
      <c r="DJ199" s="152"/>
      <c r="DK199" s="161"/>
      <c r="DL199" s="162"/>
      <c r="DM199" s="162"/>
      <c r="DN199" s="162"/>
      <c r="DO199" s="162"/>
      <c r="DP199" s="162"/>
      <c r="DQ199" s="140"/>
      <c r="DR199" s="151"/>
      <c r="DS199" s="151"/>
      <c r="DT199" s="151"/>
      <c r="DU199" s="151"/>
      <c r="DV199" s="151"/>
      <c r="DW199" s="151"/>
      <c r="DX199" s="151"/>
      <c r="DY199" s="151"/>
      <c r="DZ199" s="151"/>
      <c r="EA199" s="161"/>
      <c r="EB199" s="161"/>
      <c r="EC199" s="161"/>
      <c r="ED199" s="161"/>
      <c r="EE199" s="161"/>
      <c r="EF199" s="161"/>
      <c r="EG199" s="161"/>
      <c r="EH199" s="161"/>
      <c r="EI199" s="161"/>
      <c r="EJ199" s="161"/>
      <c r="EK199" s="209"/>
      <c r="EL199" s="161"/>
      <c r="EM199" s="187"/>
      <c r="EN199" s="187"/>
      <c r="EO199" s="206"/>
      <c r="EP199" s="212"/>
      <c r="EQ199" s="208"/>
      <c r="ER199" s="187"/>
      <c r="ES199" s="187"/>
      <c r="ET199" s="187"/>
      <c r="EU199" s="187"/>
      <c r="EV199" s="210"/>
      <c r="EW199" s="209"/>
      <c r="EX199" s="210"/>
      <c r="EY199" s="162"/>
      <c r="EZ199" s="211"/>
      <c r="FA199" s="209"/>
      <c r="FB199" s="207"/>
      <c r="FC199" s="162"/>
      <c r="FD199" s="209"/>
      <c r="FE199" s="187"/>
      <c r="FF199" s="187"/>
    </row>
    <row r="200" spans="27:162">
      <c r="AA200" s="140" t="s">
        <v>210</v>
      </c>
      <c r="AB200" s="140" t="s">
        <v>240</v>
      </c>
      <c r="AC200" s="140">
        <v>104</v>
      </c>
      <c r="AD200" s="141">
        <v>2.6850000000000001</v>
      </c>
      <c r="AE200" s="151">
        <v>1100</v>
      </c>
      <c r="AF200" s="152">
        <v>350</v>
      </c>
      <c r="AG200" s="152">
        <v>14</v>
      </c>
      <c r="AH200" s="152">
        <v>18.000000000000004</v>
      </c>
      <c r="AI200" s="152">
        <v>1064</v>
      </c>
      <c r="AJ200" s="153" t="str" cm="1">
        <f t="array" ref="AJ200">_xll.Dce_Name_SectI(AE200, AE200, AF200, AG200, AH200, "x", "-", "H Tổng")</f>
        <v>1100x350x14x18</v>
      </c>
      <c r="AK200" s="161">
        <f t="shared" si="67"/>
        <v>1360</v>
      </c>
      <c r="AL200" s="162" cm="1">
        <f t="array" ref="AL200">IFERROR(INDEX($B$25:$B$32,IFERROR(MATCH(AF200,$B$25:$B$32,0),MATCH(AF200,$B$25:$B$32,1)+1)),$B$25)</f>
        <v>350</v>
      </c>
      <c r="AM200" s="162" cm="1">
        <f t="array" ref="AM200">IFERROR(VLOOKUP(AE200,$B$36:$E$47,4,FALSE),INDEX($E$36:$E$47,MATCH(AE200,$B$36:$B$47,1)+1))</f>
        <v>25</v>
      </c>
      <c r="AN200" s="162" cm="1">
        <f t="array" ref="AN200">IFERROR(VLOOKUP(AE200,$B$36:$E$47,2,FALSE),INDEX($C$36:$C$47,MATCH(AE200,$B$36:$B$47,1)+1))</f>
        <v>12</v>
      </c>
      <c r="AO200" s="162" cm="1">
        <f t="array" ref="AO200">IFERROR(VLOOKUP(AE200,$B$36:$E$47,3,FALSE),INDEX($D$36:$D$47,MATCH(AE200,$B$36:$B$47,1)+1))</f>
        <v>24</v>
      </c>
      <c r="AP200" s="163" t="str">
        <f t="shared" si="68"/>
        <v>1360x350x25 + 12M24</v>
      </c>
      <c r="AQ200" s="140" t="s">
        <v>249</v>
      </c>
      <c r="AR200" s="151">
        <v>0</v>
      </c>
      <c r="AS200" s="151">
        <v>268.41519166792364</v>
      </c>
      <c r="AT200" s="151">
        <v>-5.3660187404602757E-15</v>
      </c>
      <c r="AU200" s="151">
        <v>5.4609130056087693E-4</v>
      </c>
      <c r="AV200" s="151">
        <v>1.0909388947766271E-15</v>
      </c>
      <c r="AW200" s="151">
        <v>-778.38061350247494</v>
      </c>
      <c r="BA200" s="161">
        <f t="shared" si="69"/>
        <v>60</v>
      </c>
      <c r="BB200" s="161">
        <f t="shared" si="70"/>
        <v>70</v>
      </c>
      <c r="BC200" s="161">
        <f t="shared" si="71"/>
        <v>80</v>
      </c>
      <c r="BD200" s="161">
        <f t="shared" si="72"/>
        <v>150</v>
      </c>
      <c r="BE200" s="161">
        <f>HLOOKUP(AO200,Data!$H$31:$Q$35,3,FALSE)</f>
        <v>452.38934211693021</v>
      </c>
      <c r="BF200" s="161">
        <f>HLOOKUP(AO200,Data!$H$31:$Q$35,4,FALSE)</f>
        <v>353</v>
      </c>
      <c r="BG200" s="179">
        <f t="shared" si="73"/>
        <v>180</v>
      </c>
      <c r="BH200" s="185">
        <f t="shared" si="74"/>
        <v>121.65654188208487</v>
      </c>
      <c r="BI200" s="185">
        <f t="shared" si="75"/>
        <v>243</v>
      </c>
      <c r="BJ200" s="185">
        <f t="shared" si="76"/>
        <v>142.3296</v>
      </c>
      <c r="BK200" s="185">
        <f t="shared" si="77"/>
        <v>22.256924843910536</v>
      </c>
      <c r="BL200" s="186">
        <f t="shared" si="78"/>
        <v>0.82166666666666666</v>
      </c>
      <c r="BM200" s="186">
        <f t="shared" si="79"/>
        <v>0.222655805334702</v>
      </c>
      <c r="BN200" s="185" t="str">
        <f t="shared" si="80"/>
        <v>OK</v>
      </c>
      <c r="BO200" s="185" cm="1">
        <f t="array" ref="BO200">_xll.DCEBoltDisRS(AN200, AE200, BA200, BB200, BC200, BD200, "h1")</f>
        <v>1240</v>
      </c>
      <c r="BP200" s="185" cm="1">
        <f t="array" ref="BP200">_xll.DCEBoltDisRS(AN200, AE200, BA200, BB200, BC200, BD200, "Tong")</f>
        <v>3721800</v>
      </c>
      <c r="BQ200" s="185">
        <f t="shared" si="81"/>
        <v>131.89305246384575</v>
      </c>
      <c r="BR200" s="186">
        <f t="shared" si="82"/>
        <v>0.92667338672943467</v>
      </c>
      <c r="BS200" s="185" t="str">
        <f t="shared" si="83"/>
        <v>OK</v>
      </c>
      <c r="BT200" s="186">
        <f t="shared" si="84"/>
        <v>0.94456013499770441</v>
      </c>
      <c r="BU200" s="185" t="str">
        <f t="shared" si="85"/>
        <v>OK</v>
      </c>
      <c r="BV200" s="190">
        <f t="shared" si="86"/>
        <v>707.61873954770442</v>
      </c>
      <c r="BW200" s="191">
        <f t="shared" si="87"/>
        <v>15.921421639823349</v>
      </c>
      <c r="BX200" s="190">
        <f t="shared" si="88"/>
        <v>353.80936977385221</v>
      </c>
      <c r="BY200" s="167">
        <f t="shared" si="89"/>
        <v>112.38650569287068</v>
      </c>
      <c r="BZ200" s="192">
        <f t="shared" si="90"/>
        <v>0.54632329156256587</v>
      </c>
      <c r="CA200" s="191">
        <f t="shared" si="91"/>
        <v>10.406157934525066</v>
      </c>
      <c r="CB200" s="193">
        <f t="shared" si="92"/>
        <v>8.7216361999132505E-2</v>
      </c>
      <c r="CC200" s="167">
        <f t="shared" si="93"/>
        <v>113.82262969519063</v>
      </c>
      <c r="CD200" s="191">
        <f t="shared" si="94"/>
        <v>0.48113430426711024</v>
      </c>
      <c r="CE200" s="189">
        <f t="shared" si="95"/>
        <v>0.54632329156256587</v>
      </c>
      <c r="CF200" s="194" t="str">
        <f t="shared" si="96"/>
        <v>OK</v>
      </c>
      <c r="DA200" s="140"/>
      <c r="DB200" s="140"/>
      <c r="DC200" s="140"/>
      <c r="DD200" s="141"/>
      <c r="DE200" s="151"/>
      <c r="DF200" s="152"/>
      <c r="DG200" s="152"/>
      <c r="DH200" s="152"/>
      <c r="DI200" s="152"/>
      <c r="DJ200" s="152"/>
      <c r="DK200" s="161"/>
      <c r="DL200" s="162"/>
      <c r="DM200" s="162"/>
      <c r="DN200" s="162"/>
      <c r="DO200" s="162"/>
      <c r="DP200" s="162"/>
      <c r="DQ200" s="140"/>
      <c r="DR200" s="151"/>
      <c r="DS200" s="151"/>
      <c r="DT200" s="151"/>
      <c r="DU200" s="151"/>
      <c r="DV200" s="151"/>
      <c r="DW200" s="151"/>
      <c r="DX200" s="151"/>
      <c r="DY200" s="151"/>
      <c r="DZ200" s="151"/>
      <c r="EA200" s="161"/>
      <c r="EB200" s="161"/>
      <c r="EC200" s="161"/>
      <c r="ED200" s="161"/>
      <c r="EE200" s="161"/>
      <c r="EF200" s="161"/>
      <c r="EG200" s="161"/>
      <c r="EH200" s="161"/>
      <c r="EI200" s="161"/>
      <c r="EJ200" s="161"/>
      <c r="EK200" s="209"/>
      <c r="EL200" s="161"/>
      <c r="EM200" s="187"/>
      <c r="EN200" s="187"/>
      <c r="EO200" s="206"/>
      <c r="EP200" s="212"/>
      <c r="EQ200" s="208"/>
      <c r="ER200" s="187"/>
      <c r="ES200" s="187"/>
      <c r="ET200" s="187"/>
      <c r="EU200" s="187"/>
      <c r="EV200" s="210"/>
      <c r="EW200" s="209"/>
      <c r="EX200" s="210"/>
      <c r="EY200" s="162"/>
      <c r="EZ200" s="211"/>
      <c r="FA200" s="209"/>
      <c r="FB200" s="207"/>
      <c r="FC200" s="162"/>
      <c r="FD200" s="209"/>
      <c r="FE200" s="187"/>
      <c r="FF200" s="187"/>
    </row>
    <row r="201" spans="27:162">
      <c r="AA201" s="140" t="s">
        <v>210</v>
      </c>
      <c r="AB201" s="140" t="s">
        <v>240</v>
      </c>
      <c r="AC201" s="140">
        <v>104</v>
      </c>
      <c r="AD201" s="141">
        <v>0</v>
      </c>
      <c r="AE201" s="151">
        <v>750</v>
      </c>
      <c r="AF201" s="152">
        <v>350</v>
      </c>
      <c r="AG201" s="152">
        <v>14</v>
      </c>
      <c r="AH201" s="152">
        <v>18.000000000000004</v>
      </c>
      <c r="AI201" s="152">
        <v>714</v>
      </c>
      <c r="AJ201" s="153" t="str" cm="1">
        <f t="array" ref="AJ201">_xll.Dce_Name_SectI(AE201, AE201, AF201, AG201, AH201, "x", "-", "H Tổng")</f>
        <v>750x350x14x18</v>
      </c>
      <c r="AK201" s="161">
        <f t="shared" si="67"/>
        <v>1010</v>
      </c>
      <c r="AL201" s="162" cm="1">
        <f t="array" ref="AL201">IFERROR(INDEX($B$25:$B$32,IFERROR(MATCH(AF201,$B$25:$B$32,0),MATCH(AF201,$B$25:$B$32,1)+1)),$B$25)</f>
        <v>350</v>
      </c>
      <c r="AM201" s="162" cm="1">
        <f t="array" ref="AM201">IFERROR(VLOOKUP(AE201,$B$36:$E$47,4,FALSE),INDEX($E$36:$E$47,MATCH(AE201,$B$36:$B$47,1)+1))</f>
        <v>25</v>
      </c>
      <c r="AN201" s="162" cm="1">
        <f t="array" ref="AN201">IFERROR(VLOOKUP(AE201,$B$36:$E$47,2,FALSE),INDEX($C$36:$C$47,MATCH(AE201,$B$36:$B$47,1)+1))</f>
        <v>12</v>
      </c>
      <c r="AO201" s="162" cm="1">
        <f t="array" ref="AO201">IFERROR(VLOOKUP(AE201,$B$36:$E$47,3,FALSE),INDEX($D$36:$D$47,MATCH(AE201,$B$36:$B$47,1)+1))</f>
        <v>24</v>
      </c>
      <c r="AP201" s="163" t="str">
        <f t="shared" si="68"/>
        <v>1010x350x25 + 12M24</v>
      </c>
      <c r="AQ201" s="140" t="s">
        <v>250</v>
      </c>
      <c r="AR201" s="151">
        <v>0</v>
      </c>
      <c r="AS201" s="151">
        <v>193.17957068628496</v>
      </c>
      <c r="AT201" s="151">
        <v>-2.837623469531535E-14</v>
      </c>
      <c r="AU201" s="151">
        <v>5.7056133848438649E-4</v>
      </c>
      <c r="AV201" s="151">
        <v>2.011656761169433E-14</v>
      </c>
      <c r="AW201" s="151">
        <v>-151.7811135041712</v>
      </c>
      <c r="BA201" s="161">
        <f t="shared" si="69"/>
        <v>60</v>
      </c>
      <c r="BB201" s="161">
        <f t="shared" si="70"/>
        <v>70</v>
      </c>
      <c r="BC201" s="161">
        <f t="shared" si="71"/>
        <v>80</v>
      </c>
      <c r="BD201" s="161">
        <f t="shared" si="72"/>
        <v>150</v>
      </c>
      <c r="BE201" s="161">
        <f>HLOOKUP(AO201,Data!$H$31:$Q$35,3,FALSE)</f>
        <v>452.38934211693021</v>
      </c>
      <c r="BF201" s="161">
        <f>HLOOKUP(AO201,Data!$H$31:$Q$35,4,FALSE)</f>
        <v>353</v>
      </c>
      <c r="BG201" s="179">
        <f t="shared" si="73"/>
        <v>180</v>
      </c>
      <c r="BH201" s="185">
        <f t="shared" si="74"/>
        <v>121.65654188208487</v>
      </c>
      <c r="BI201" s="185">
        <f t="shared" si="75"/>
        <v>243</v>
      </c>
      <c r="BJ201" s="185">
        <f t="shared" si="76"/>
        <v>142.3296</v>
      </c>
      <c r="BK201" s="185">
        <f t="shared" si="77"/>
        <v>16.018404768471083</v>
      </c>
      <c r="BL201" s="186">
        <f t="shared" si="78"/>
        <v>0.89458333333333329</v>
      </c>
      <c r="BM201" s="186">
        <f t="shared" si="79"/>
        <v>0.14718481066872216</v>
      </c>
      <c r="BN201" s="185" t="str">
        <f t="shared" si="80"/>
        <v>OK</v>
      </c>
      <c r="BO201" s="185" cm="1">
        <f t="array" ref="BO201">_xll.DCEBoltDisRS(AN201, AE201, BA201, BB201, BC201, BD201, "h1")</f>
        <v>890</v>
      </c>
      <c r="BP201" s="185" cm="1">
        <f t="array" ref="BP201">_xll.DCEBoltDisRS(AN201, AE201, BA201, BB201, BC201, BD201, "Tong")</f>
        <v>1800300</v>
      </c>
      <c r="BQ201" s="185">
        <f t="shared" si="81"/>
        <v>39.119251746833328</v>
      </c>
      <c r="BR201" s="186">
        <f t="shared" si="82"/>
        <v>0.27484972730080975</v>
      </c>
      <c r="BS201" s="185" t="str">
        <f t="shared" si="83"/>
        <v>OK</v>
      </c>
      <c r="BT201" s="186">
        <f t="shared" si="84"/>
        <v>0.30476075672889974</v>
      </c>
      <c r="BU201" s="185" t="str">
        <f t="shared" si="85"/>
        <v>OK</v>
      </c>
      <c r="BV201" s="190">
        <f t="shared" si="86"/>
        <v>202.37481800556159</v>
      </c>
      <c r="BW201" s="191">
        <f t="shared" si="87"/>
        <v>4.5534334051251353</v>
      </c>
      <c r="BX201" s="190">
        <f t="shared" si="88"/>
        <v>101.1874090027808</v>
      </c>
      <c r="BY201" s="167">
        <f t="shared" si="89"/>
        <v>43.280159098219109</v>
      </c>
      <c r="BZ201" s="192">
        <f t="shared" si="90"/>
        <v>0.21038966228300957</v>
      </c>
      <c r="CA201" s="191">
        <f t="shared" si="91"/>
        <v>4.0074221387239923</v>
      </c>
      <c r="CB201" s="193">
        <f t="shared" si="92"/>
        <v>3.3587110837006641E-2</v>
      </c>
      <c r="CC201" s="167">
        <f t="shared" si="93"/>
        <v>43.833211930692052</v>
      </c>
      <c r="CD201" s="191">
        <f t="shared" si="94"/>
        <v>0.18528531613215243</v>
      </c>
      <c r="CE201" s="189">
        <f t="shared" si="95"/>
        <v>0.21038966228300957</v>
      </c>
      <c r="CF201" s="194" t="str">
        <f t="shared" si="96"/>
        <v>OK</v>
      </c>
      <c r="DA201" s="140"/>
      <c r="DB201" s="140"/>
      <c r="DC201" s="140"/>
      <c r="DD201" s="141"/>
      <c r="DE201" s="151"/>
      <c r="DF201" s="152"/>
      <c r="DG201" s="152"/>
      <c r="DH201" s="152"/>
      <c r="DI201" s="152"/>
      <c r="DJ201" s="152"/>
      <c r="DK201" s="161"/>
      <c r="DL201" s="162"/>
      <c r="DM201" s="162"/>
      <c r="DN201" s="162"/>
      <c r="DO201" s="162"/>
      <c r="DP201" s="162"/>
      <c r="DQ201" s="140"/>
      <c r="DR201" s="151"/>
      <c r="DS201" s="151"/>
      <c r="DT201" s="151"/>
      <c r="DU201" s="151"/>
      <c r="DV201" s="151"/>
      <c r="DW201" s="151"/>
      <c r="DX201" s="151"/>
      <c r="DY201" s="151"/>
      <c r="DZ201" s="151"/>
      <c r="EA201" s="161"/>
      <c r="EB201" s="161"/>
      <c r="EC201" s="161"/>
      <c r="ED201" s="161"/>
      <c r="EE201" s="161"/>
      <c r="EF201" s="161"/>
      <c r="EG201" s="161"/>
      <c r="EH201" s="161"/>
      <c r="EI201" s="161"/>
      <c r="EJ201" s="161"/>
      <c r="EK201" s="209"/>
      <c r="EL201" s="161"/>
      <c r="EM201" s="187"/>
      <c r="EN201" s="187"/>
      <c r="EO201" s="206"/>
      <c r="EP201" s="212"/>
      <c r="EQ201" s="208"/>
      <c r="ER201" s="187"/>
      <c r="ES201" s="187"/>
      <c r="ET201" s="187"/>
      <c r="EU201" s="187"/>
      <c r="EV201" s="210"/>
      <c r="EW201" s="209"/>
      <c r="EX201" s="210"/>
      <c r="EY201" s="162"/>
      <c r="EZ201" s="211"/>
      <c r="FA201" s="209"/>
      <c r="FB201" s="207"/>
      <c r="FC201" s="162"/>
      <c r="FD201" s="209"/>
      <c r="FE201" s="187"/>
      <c r="FF201" s="187"/>
    </row>
    <row r="202" spans="27:162">
      <c r="AA202" s="140" t="s">
        <v>210</v>
      </c>
      <c r="AB202" s="140" t="s">
        <v>240</v>
      </c>
      <c r="AC202" s="140">
        <v>104</v>
      </c>
      <c r="AD202" s="141">
        <v>2.6850000000000001</v>
      </c>
      <c r="AE202" s="151">
        <v>1100</v>
      </c>
      <c r="AF202" s="152">
        <v>350</v>
      </c>
      <c r="AG202" s="152">
        <v>14</v>
      </c>
      <c r="AH202" s="152">
        <v>18.000000000000004</v>
      </c>
      <c r="AI202" s="152">
        <v>1064</v>
      </c>
      <c r="AJ202" s="153" t="str" cm="1">
        <f t="array" ref="AJ202">_xll.Dce_Name_SectI(AE202, AE202, AF202, AG202, AH202, "x", "-", "H Tổng")</f>
        <v>1100x350x14x18</v>
      </c>
      <c r="AK202" s="161">
        <f t="shared" si="67"/>
        <v>1360</v>
      </c>
      <c r="AL202" s="162" cm="1">
        <f t="array" ref="AL202">IFERROR(INDEX($B$25:$B$32,IFERROR(MATCH(AF202,$B$25:$B$32,0),MATCH(AF202,$B$25:$B$32,1)+1)),$B$25)</f>
        <v>350</v>
      </c>
      <c r="AM202" s="162" cm="1">
        <f t="array" ref="AM202">IFERROR(VLOOKUP(AE202,$B$36:$E$47,4,FALSE),INDEX($E$36:$E$47,MATCH(AE202,$B$36:$B$47,1)+1))</f>
        <v>25</v>
      </c>
      <c r="AN202" s="162" cm="1">
        <f t="array" ref="AN202">IFERROR(VLOOKUP(AE202,$B$36:$E$47,2,FALSE),INDEX($C$36:$C$47,MATCH(AE202,$B$36:$B$47,1)+1))</f>
        <v>12</v>
      </c>
      <c r="AO202" s="162" cm="1">
        <f t="array" ref="AO202">IFERROR(VLOOKUP(AE202,$B$36:$E$47,3,FALSE),INDEX($D$36:$D$47,MATCH(AE202,$B$36:$B$47,1)+1))</f>
        <v>24</v>
      </c>
      <c r="AP202" s="163" t="str">
        <f t="shared" si="68"/>
        <v>1360x350x25 + 12M24</v>
      </c>
      <c r="AQ202" s="140" t="s">
        <v>250</v>
      </c>
      <c r="AR202" s="151">
        <v>0</v>
      </c>
      <c r="AS202" s="151">
        <v>269.98459058043773</v>
      </c>
      <c r="AT202" s="151">
        <v>-5.8207660913467402E-15</v>
      </c>
      <c r="AU202" s="151">
        <v>5.7047713255112124E-4</v>
      </c>
      <c r="AV202" s="151">
        <v>1.7753336578607555E-15</v>
      </c>
      <c r="AW202" s="151">
        <v>-784.77886400834757</v>
      </c>
      <c r="BA202" s="161">
        <f t="shared" si="69"/>
        <v>60</v>
      </c>
      <c r="BB202" s="161">
        <f t="shared" si="70"/>
        <v>70</v>
      </c>
      <c r="BC202" s="161">
        <f t="shared" si="71"/>
        <v>80</v>
      </c>
      <c r="BD202" s="161">
        <f t="shared" si="72"/>
        <v>150</v>
      </c>
      <c r="BE202" s="161">
        <f>HLOOKUP(AO202,Data!$H$31:$Q$35,3,FALSE)</f>
        <v>452.38934211693021</v>
      </c>
      <c r="BF202" s="161">
        <f>HLOOKUP(AO202,Data!$H$31:$Q$35,4,FALSE)</f>
        <v>353</v>
      </c>
      <c r="BG202" s="179">
        <f t="shared" si="73"/>
        <v>180</v>
      </c>
      <c r="BH202" s="185">
        <f t="shared" si="74"/>
        <v>121.65654188208487</v>
      </c>
      <c r="BI202" s="185">
        <f t="shared" si="75"/>
        <v>243</v>
      </c>
      <c r="BJ202" s="185">
        <f t="shared" si="76"/>
        <v>142.3296</v>
      </c>
      <c r="BK202" s="185">
        <f t="shared" si="77"/>
        <v>22.387059034262752</v>
      </c>
      <c r="BL202" s="186">
        <f t="shared" si="78"/>
        <v>0.82166666666666666</v>
      </c>
      <c r="BM202" s="186">
        <f t="shared" si="79"/>
        <v>0.22395765332842338</v>
      </c>
      <c r="BN202" s="185" t="str">
        <f t="shared" si="80"/>
        <v>OK</v>
      </c>
      <c r="BO202" s="185" cm="1">
        <f t="array" ref="BO202">_xll.DCEBoltDisRS(AN202, AE202, BA202, BB202, BC202, BD202, "h1")</f>
        <v>1240</v>
      </c>
      <c r="BP202" s="185" cm="1">
        <f t="array" ref="BP202">_xll.DCEBoltDisRS(AN202, AE202, BA202, BB202, BC202, BD202, "Tong")</f>
        <v>3721800</v>
      </c>
      <c r="BQ202" s="185">
        <f t="shared" si="81"/>
        <v>132.9719252287999</v>
      </c>
      <c r="BR202" s="186">
        <f t="shared" si="82"/>
        <v>0.93425348788164864</v>
      </c>
      <c r="BS202" s="185" t="str">
        <f t="shared" si="83"/>
        <v>OK</v>
      </c>
      <c r="BT202" s="186">
        <f t="shared" si="84"/>
        <v>0.95220397086187769</v>
      </c>
      <c r="BU202" s="185" t="str">
        <f t="shared" si="85"/>
        <v>OK</v>
      </c>
      <c r="BV202" s="190">
        <f t="shared" si="86"/>
        <v>713.4353309166795</v>
      </c>
      <c r="BW202" s="191">
        <f t="shared" si="87"/>
        <v>16.052294945625288</v>
      </c>
      <c r="BX202" s="190">
        <f t="shared" si="88"/>
        <v>356.71766545833975</v>
      </c>
      <c r="BY202" s="167">
        <f t="shared" si="89"/>
        <v>113.31031726323732</v>
      </c>
      <c r="BZ202" s="192">
        <f t="shared" si="90"/>
        <v>0.55081404225184816</v>
      </c>
      <c r="CA202" s="191">
        <f t="shared" si="91"/>
        <v>10.491696042892345</v>
      </c>
      <c r="CB202" s="193">
        <f t="shared" si="92"/>
        <v>8.7933276221559414E-2</v>
      </c>
      <c r="CC202" s="167">
        <f t="shared" si="93"/>
        <v>114.75824613449278</v>
      </c>
      <c r="CD202" s="191">
        <f t="shared" si="94"/>
        <v>0.48508920467478839</v>
      </c>
      <c r="CE202" s="189">
        <f t="shared" si="95"/>
        <v>0.55081404225184816</v>
      </c>
      <c r="CF202" s="194" t="str">
        <f t="shared" si="96"/>
        <v>OK</v>
      </c>
      <c r="DA202" s="140"/>
      <c r="DB202" s="140"/>
      <c r="DC202" s="140"/>
      <c r="DD202" s="141"/>
      <c r="DE202" s="151"/>
      <c r="DF202" s="152"/>
      <c r="DG202" s="152"/>
      <c r="DH202" s="152"/>
      <c r="DI202" s="152"/>
      <c r="DJ202" s="152"/>
      <c r="DK202" s="161"/>
      <c r="DL202" s="162"/>
      <c r="DM202" s="162"/>
      <c r="DN202" s="162"/>
      <c r="DO202" s="162"/>
      <c r="DP202" s="162"/>
      <c r="DQ202" s="140"/>
      <c r="DR202" s="151"/>
      <c r="DS202" s="151"/>
      <c r="DT202" s="151"/>
      <c r="DU202" s="151"/>
      <c r="DV202" s="151"/>
      <c r="DW202" s="151"/>
      <c r="DX202" s="151"/>
      <c r="DY202" s="151"/>
      <c r="DZ202" s="151"/>
      <c r="EA202" s="161"/>
      <c r="EB202" s="161"/>
      <c r="EC202" s="161"/>
      <c r="ED202" s="161"/>
      <c r="EE202" s="161"/>
      <c r="EF202" s="161"/>
      <c r="EG202" s="161"/>
      <c r="EH202" s="161"/>
      <c r="EI202" s="161"/>
      <c r="EJ202" s="161"/>
      <c r="EK202" s="209"/>
      <c r="EL202" s="161"/>
      <c r="EM202" s="187"/>
      <c r="EN202" s="187"/>
      <c r="EO202" s="206"/>
      <c r="EP202" s="212"/>
      <c r="EQ202" s="208"/>
      <c r="ER202" s="187"/>
      <c r="ES202" s="187"/>
      <c r="ET202" s="187"/>
      <c r="EU202" s="187"/>
      <c r="EV202" s="210"/>
      <c r="EW202" s="209"/>
      <c r="EX202" s="210"/>
      <c r="EY202" s="162"/>
      <c r="EZ202" s="211"/>
      <c r="FA202" s="209"/>
      <c r="FB202" s="207"/>
      <c r="FC202" s="162"/>
      <c r="FD202" s="209"/>
      <c r="FE202" s="187"/>
      <c r="FF202" s="187"/>
    </row>
    <row r="203" spans="27:162">
      <c r="AA203" s="140" t="s">
        <v>210</v>
      </c>
      <c r="AB203" s="140" t="s">
        <v>240</v>
      </c>
      <c r="AC203" s="140">
        <v>104</v>
      </c>
      <c r="AD203" s="141">
        <v>0</v>
      </c>
      <c r="AE203" s="151">
        <v>750</v>
      </c>
      <c r="AF203" s="152">
        <v>350</v>
      </c>
      <c r="AG203" s="152">
        <v>14</v>
      </c>
      <c r="AH203" s="152">
        <v>18.000000000000004</v>
      </c>
      <c r="AI203" s="152">
        <v>714</v>
      </c>
      <c r="AJ203" s="153" t="str" cm="1">
        <f t="array" ref="AJ203">_xll.Dce_Name_SectI(AE203, AE203, AF203, AG203, AH203, "x", "-", "H Tổng")</f>
        <v>750x350x14x18</v>
      </c>
      <c r="AK203" s="161">
        <f t="shared" si="67"/>
        <v>1010</v>
      </c>
      <c r="AL203" s="162" cm="1">
        <f t="array" ref="AL203">IFERROR(INDEX($B$25:$B$32,IFERROR(MATCH(AF203,$B$25:$B$32,0),MATCH(AF203,$B$25:$B$32,1)+1)),$B$25)</f>
        <v>350</v>
      </c>
      <c r="AM203" s="162" cm="1">
        <f t="array" ref="AM203">IFERROR(VLOOKUP(AE203,$B$36:$E$47,4,FALSE),INDEX($E$36:$E$47,MATCH(AE203,$B$36:$B$47,1)+1))</f>
        <v>25</v>
      </c>
      <c r="AN203" s="162" cm="1">
        <f t="array" ref="AN203">IFERROR(VLOOKUP(AE203,$B$36:$E$47,2,FALSE),INDEX($C$36:$C$47,MATCH(AE203,$B$36:$B$47,1)+1))</f>
        <v>12</v>
      </c>
      <c r="AO203" s="162" cm="1">
        <f t="array" ref="AO203">IFERROR(VLOOKUP(AE203,$B$36:$E$47,3,FALSE),INDEX($D$36:$D$47,MATCH(AE203,$B$36:$B$47,1)+1))</f>
        <v>24</v>
      </c>
      <c r="AP203" s="163" t="str">
        <f t="shared" si="68"/>
        <v>1010x350x25 + 12M24</v>
      </c>
      <c r="AQ203" s="140" t="s">
        <v>251</v>
      </c>
      <c r="AR203" s="151">
        <v>0</v>
      </c>
      <c r="AS203" s="151">
        <v>184.16677144294664</v>
      </c>
      <c r="AT203" s="151">
        <v>-2.4510882212780408E-14</v>
      </c>
      <c r="AU203" s="151">
        <v>5.1538407151169644E-4</v>
      </c>
      <c r="AV203" s="151">
        <v>1.6391277313232416E-14</v>
      </c>
      <c r="AW203" s="151">
        <v>-112.4598289526901</v>
      </c>
      <c r="BA203" s="161">
        <f t="shared" si="69"/>
        <v>60</v>
      </c>
      <c r="BB203" s="161">
        <f t="shared" si="70"/>
        <v>70</v>
      </c>
      <c r="BC203" s="161">
        <f t="shared" si="71"/>
        <v>80</v>
      </c>
      <c r="BD203" s="161">
        <f t="shared" si="72"/>
        <v>150</v>
      </c>
      <c r="BE203" s="161">
        <f>HLOOKUP(AO203,Data!$H$31:$Q$35,3,FALSE)</f>
        <v>452.38934211693021</v>
      </c>
      <c r="BF203" s="161">
        <f>HLOOKUP(AO203,Data!$H$31:$Q$35,4,FALSE)</f>
        <v>353</v>
      </c>
      <c r="BG203" s="179">
        <f t="shared" si="73"/>
        <v>180</v>
      </c>
      <c r="BH203" s="185">
        <f t="shared" si="74"/>
        <v>121.65654188208487</v>
      </c>
      <c r="BI203" s="185">
        <f t="shared" si="75"/>
        <v>243</v>
      </c>
      <c r="BJ203" s="185">
        <f t="shared" si="76"/>
        <v>142.3296</v>
      </c>
      <c r="BK203" s="185">
        <f t="shared" si="77"/>
        <v>15.271065565552908</v>
      </c>
      <c r="BL203" s="186">
        <f t="shared" si="78"/>
        <v>0.89458333333333329</v>
      </c>
      <c r="BM203" s="186">
        <f t="shared" si="79"/>
        <v>0.14031789847136455</v>
      </c>
      <c r="BN203" s="185" t="str">
        <f t="shared" si="80"/>
        <v>OK</v>
      </c>
      <c r="BO203" s="185" cm="1">
        <f t="array" ref="BO203">_xll.DCEBoltDisRS(AN203, AE203, BA203, BB203, BC203, BD203, "h1")</f>
        <v>890</v>
      </c>
      <c r="BP203" s="185" cm="1">
        <f t="array" ref="BP203">_xll.DCEBoltDisRS(AN203, AE203, BA203, BB203, BC203, BD203, "Tong")</f>
        <v>1800300</v>
      </c>
      <c r="BQ203" s="185">
        <f t="shared" si="81"/>
        <v>29.325042391664496</v>
      </c>
      <c r="BR203" s="186">
        <f t="shared" si="82"/>
        <v>0.20603614702538683</v>
      </c>
      <c r="BS203" s="185" t="str">
        <f t="shared" si="83"/>
        <v>OK</v>
      </c>
      <c r="BT203" s="186">
        <f t="shared" si="84"/>
        <v>0.24126268660610289</v>
      </c>
      <c r="BU203" s="185" t="str">
        <f t="shared" si="85"/>
        <v>OK</v>
      </c>
      <c r="BV203" s="190">
        <f t="shared" si="86"/>
        <v>149.94643860358681</v>
      </c>
      <c r="BW203" s="191">
        <f t="shared" si="87"/>
        <v>3.3737948685807031</v>
      </c>
      <c r="BX203" s="190">
        <f t="shared" si="88"/>
        <v>74.973219301793407</v>
      </c>
      <c r="BY203" s="167">
        <f t="shared" si="89"/>
        <v>32.067753206311636</v>
      </c>
      <c r="BZ203" s="192">
        <f t="shared" si="90"/>
        <v>0.15588491141957048</v>
      </c>
      <c r="CA203" s="191">
        <f t="shared" si="91"/>
        <v>2.9692364079918181</v>
      </c>
      <c r="CB203" s="193">
        <f t="shared" si="92"/>
        <v>2.4885841542077021E-2</v>
      </c>
      <c r="CC203" s="167">
        <f t="shared" si="93"/>
        <v>32.477529004537004</v>
      </c>
      <c r="CD203" s="191">
        <f t="shared" si="94"/>
        <v>0.13728424096120717</v>
      </c>
      <c r="CE203" s="189">
        <f t="shared" si="95"/>
        <v>0.15588491141957048</v>
      </c>
      <c r="CF203" s="194" t="str">
        <f t="shared" si="96"/>
        <v>OK</v>
      </c>
      <c r="DA203" s="140"/>
      <c r="DB203" s="140"/>
      <c r="DC203" s="140"/>
      <c r="DD203" s="141"/>
      <c r="DE203" s="151"/>
      <c r="DF203" s="152"/>
      <c r="DG203" s="152"/>
      <c r="DH203" s="152"/>
      <c r="DI203" s="152"/>
      <c r="DJ203" s="152"/>
      <c r="DK203" s="161"/>
      <c r="DL203" s="162"/>
      <c r="DM203" s="162"/>
      <c r="DN203" s="162"/>
      <c r="DO203" s="162"/>
      <c r="DP203" s="162"/>
      <c r="DQ203" s="140"/>
      <c r="DR203" s="151"/>
      <c r="DS203" s="151"/>
      <c r="DT203" s="151"/>
      <c r="DU203" s="151"/>
      <c r="DV203" s="151"/>
      <c r="DW203" s="151"/>
      <c r="DX203" s="151"/>
      <c r="DY203" s="151"/>
      <c r="DZ203" s="151"/>
      <c r="EA203" s="161"/>
      <c r="EB203" s="161"/>
      <c r="EC203" s="161"/>
      <c r="ED203" s="161"/>
      <c r="EE203" s="161"/>
      <c r="EF203" s="161"/>
      <c r="EG203" s="161"/>
      <c r="EH203" s="161"/>
      <c r="EI203" s="161"/>
      <c r="EJ203" s="161"/>
      <c r="EK203" s="209"/>
      <c r="EL203" s="209"/>
      <c r="EM203" s="187"/>
      <c r="EN203" s="187"/>
      <c r="EO203" s="206"/>
      <c r="EP203" s="212"/>
      <c r="EQ203" s="208"/>
      <c r="ER203" s="187"/>
      <c r="ES203" s="187"/>
      <c r="ET203" s="187"/>
      <c r="EU203" s="187"/>
      <c r="EV203" s="210"/>
      <c r="EW203" s="209"/>
      <c r="EX203" s="210"/>
      <c r="EY203" s="162"/>
      <c r="EZ203" s="211"/>
      <c r="FA203" s="209"/>
      <c r="FB203" s="207"/>
      <c r="FC203" s="162"/>
      <c r="FD203" s="209"/>
      <c r="FE203" s="187"/>
      <c r="FF203" s="187"/>
    </row>
    <row r="204" spans="27:162">
      <c r="AA204" s="140" t="s">
        <v>210</v>
      </c>
      <c r="AB204" s="140" t="s">
        <v>240</v>
      </c>
      <c r="AC204" s="140">
        <v>104</v>
      </c>
      <c r="AD204" s="141">
        <v>2.6850000000000001</v>
      </c>
      <c r="AE204" s="151">
        <v>1100</v>
      </c>
      <c r="AF204" s="152">
        <v>350</v>
      </c>
      <c r="AG204" s="152">
        <v>14</v>
      </c>
      <c r="AH204" s="152">
        <v>18.000000000000004</v>
      </c>
      <c r="AI204" s="152">
        <v>1064</v>
      </c>
      <c r="AJ204" s="153" t="str" cm="1">
        <f t="array" ref="AJ204">_xll.Dce_Name_SectI(AE204, AE204, AF204, AG204, AH204, "x", "-", "H Tổng")</f>
        <v>1100x350x14x18</v>
      </c>
      <c r="AK204" s="161">
        <f t="shared" si="67"/>
        <v>1360</v>
      </c>
      <c r="AL204" s="162" cm="1">
        <f t="array" ref="AL204">IFERROR(INDEX($B$25:$B$32,IFERROR(MATCH(AF204,$B$25:$B$32,0),MATCH(AF204,$B$25:$B$32,1)+1)),$B$25)</f>
        <v>350</v>
      </c>
      <c r="AM204" s="162" cm="1">
        <f t="array" ref="AM204">IFERROR(VLOOKUP(AE204,$B$36:$E$47,4,FALSE),INDEX($E$36:$E$47,MATCH(AE204,$B$36:$B$47,1)+1))</f>
        <v>25</v>
      </c>
      <c r="AN204" s="162" cm="1">
        <f t="array" ref="AN204">IFERROR(VLOOKUP(AE204,$B$36:$E$47,2,FALSE),INDEX($C$36:$C$47,MATCH(AE204,$B$36:$B$47,1)+1))</f>
        <v>12</v>
      </c>
      <c r="AO204" s="162" cm="1">
        <f t="array" ref="AO204">IFERROR(VLOOKUP(AE204,$B$36:$E$47,3,FALSE),INDEX($D$36:$D$47,MATCH(AE204,$B$36:$B$47,1)+1))</f>
        <v>24</v>
      </c>
      <c r="AP204" s="163" t="str">
        <f t="shared" si="68"/>
        <v>1360x350x25 + 12M24</v>
      </c>
      <c r="AQ204" s="140" t="s">
        <v>251</v>
      </c>
      <c r="AR204" s="151">
        <v>0</v>
      </c>
      <c r="AS204" s="151">
        <v>260.97178870699571</v>
      </c>
      <c r="AT204" s="151">
        <v>-6.0481397667899717E-15</v>
      </c>
      <c r="AU204" s="151">
        <v>5.1530809425750959E-4</v>
      </c>
      <c r="AV204" s="151">
        <v>1.88470039574895E-15</v>
      </c>
      <c r="AW204" s="151">
        <v>-721.25827177745691</v>
      </c>
      <c r="BA204" s="161">
        <f t="shared" si="69"/>
        <v>60</v>
      </c>
      <c r="BB204" s="161">
        <f t="shared" si="70"/>
        <v>70</v>
      </c>
      <c r="BC204" s="161">
        <f t="shared" si="71"/>
        <v>80</v>
      </c>
      <c r="BD204" s="161">
        <f t="shared" si="72"/>
        <v>150</v>
      </c>
      <c r="BE204" s="161">
        <f>HLOOKUP(AO204,Data!$H$31:$Q$35,3,FALSE)</f>
        <v>452.38934211693021</v>
      </c>
      <c r="BF204" s="161">
        <f>HLOOKUP(AO204,Data!$H$31:$Q$35,4,FALSE)</f>
        <v>353</v>
      </c>
      <c r="BG204" s="179">
        <f t="shared" si="73"/>
        <v>180</v>
      </c>
      <c r="BH204" s="185">
        <f t="shared" si="74"/>
        <v>121.65654188208487</v>
      </c>
      <c r="BI204" s="185">
        <f t="shared" si="75"/>
        <v>243</v>
      </c>
      <c r="BJ204" s="185">
        <f t="shared" si="76"/>
        <v>142.3296</v>
      </c>
      <c r="BK204" s="185">
        <f t="shared" si="77"/>
        <v>21.639719613257</v>
      </c>
      <c r="BL204" s="186">
        <f t="shared" si="78"/>
        <v>0.82166666666666666</v>
      </c>
      <c r="BM204" s="186">
        <f t="shared" si="79"/>
        <v>0.21648135272493133</v>
      </c>
      <c r="BN204" s="185" t="str">
        <f t="shared" si="80"/>
        <v>OK</v>
      </c>
      <c r="BO204" s="185" cm="1">
        <f t="array" ref="BO204">_xll.DCEBoltDisRS(AN204, AE204, BA204, BB204, BC204, BD204, "h1")</f>
        <v>1240</v>
      </c>
      <c r="BP204" s="185" cm="1">
        <f t="array" ref="BP204">_xll.DCEBoltDisRS(AN204, AE204, BA204, BB204, BC204, BD204, "Tong")</f>
        <v>3721800</v>
      </c>
      <c r="BQ204" s="185">
        <f t="shared" si="81"/>
        <v>122.31554606579753</v>
      </c>
      <c r="BR204" s="186">
        <f t="shared" si="82"/>
        <v>0.85938234960118998</v>
      </c>
      <c r="BS204" s="185" t="str">
        <f t="shared" si="83"/>
        <v>OK</v>
      </c>
      <c r="BT204" s="186">
        <f t="shared" si="84"/>
        <v>0.87759769848919389</v>
      </c>
      <c r="BU204" s="185" t="str">
        <f t="shared" si="85"/>
        <v>OK</v>
      </c>
      <c r="BV204" s="190">
        <f t="shared" si="86"/>
        <v>655.68933797950626</v>
      </c>
      <c r="BW204" s="191">
        <f t="shared" si="87"/>
        <v>14.753010104538891</v>
      </c>
      <c r="BX204" s="190">
        <f t="shared" si="88"/>
        <v>327.84466898975313</v>
      </c>
      <c r="BY204" s="167">
        <f t="shared" si="89"/>
        <v>104.13889485556865</v>
      </c>
      <c r="BZ204" s="192">
        <f t="shared" si="90"/>
        <v>0.5062307388812366</v>
      </c>
      <c r="CA204" s="191">
        <f t="shared" si="91"/>
        <v>9.6424902644045041</v>
      </c>
      <c r="CB204" s="193">
        <f t="shared" si="92"/>
        <v>8.0815890625995618E-2</v>
      </c>
      <c r="CC204" s="167">
        <f t="shared" si="93"/>
        <v>105.46962727362124</v>
      </c>
      <c r="CD204" s="191">
        <f t="shared" si="94"/>
        <v>0.44582571915178071</v>
      </c>
      <c r="CE204" s="189">
        <f t="shared" si="95"/>
        <v>0.5062307388812366</v>
      </c>
      <c r="CF204" s="194" t="str">
        <f t="shared" si="96"/>
        <v>OK</v>
      </c>
      <c r="DA204" s="140"/>
      <c r="DB204" s="140"/>
      <c r="DC204" s="140"/>
      <c r="DD204" s="141"/>
      <c r="DE204" s="151"/>
      <c r="DF204" s="152"/>
      <c r="DG204" s="152"/>
      <c r="DH204" s="152"/>
      <c r="DI204" s="152"/>
      <c r="DJ204" s="152"/>
      <c r="DK204" s="161"/>
      <c r="DL204" s="162"/>
      <c r="DM204" s="162"/>
      <c r="DN204" s="162"/>
      <c r="DO204" s="162"/>
      <c r="DP204" s="162"/>
      <c r="DQ204" s="140"/>
      <c r="DR204" s="151"/>
      <c r="DS204" s="151"/>
      <c r="DT204" s="151"/>
      <c r="DU204" s="151"/>
      <c r="DV204" s="151"/>
      <c r="DW204" s="151"/>
      <c r="DX204" s="151"/>
      <c r="DY204" s="151"/>
      <c r="DZ204" s="151"/>
      <c r="EA204" s="161"/>
      <c r="EB204" s="161"/>
      <c r="EC204" s="161"/>
      <c r="ED204" s="161"/>
      <c r="EE204" s="161"/>
      <c r="EF204" s="161"/>
      <c r="EG204" s="161"/>
      <c r="EH204" s="161"/>
      <c r="EI204" s="161"/>
      <c r="EJ204" s="161"/>
      <c r="EK204" s="209"/>
      <c r="EL204" s="213"/>
      <c r="EM204" s="187"/>
      <c r="EN204" s="187"/>
      <c r="EO204" s="206"/>
      <c r="EP204" s="212"/>
      <c r="EQ204" s="208"/>
      <c r="ER204" s="187"/>
      <c r="ES204" s="187"/>
      <c r="ET204" s="187"/>
      <c r="EU204" s="187"/>
      <c r="EV204" s="210"/>
      <c r="EW204" s="209"/>
      <c r="EX204" s="210"/>
      <c r="EY204" s="162"/>
      <c r="EZ204" s="211"/>
      <c r="FA204" s="209"/>
      <c r="FB204" s="207"/>
      <c r="FC204" s="162"/>
      <c r="FD204" s="209"/>
      <c r="FE204" s="187"/>
      <c r="FF204" s="187"/>
    </row>
    <row r="205" spans="27:162">
      <c r="AA205" s="140" t="s">
        <v>210</v>
      </c>
      <c r="AB205" s="140" t="s">
        <v>240</v>
      </c>
      <c r="AC205" s="140">
        <v>104</v>
      </c>
      <c r="AD205" s="141">
        <v>0</v>
      </c>
      <c r="AE205" s="151">
        <v>750</v>
      </c>
      <c r="AF205" s="152">
        <v>350</v>
      </c>
      <c r="AG205" s="152">
        <v>14</v>
      </c>
      <c r="AH205" s="152">
        <v>18.000000000000004</v>
      </c>
      <c r="AI205" s="152">
        <v>714</v>
      </c>
      <c r="AJ205" s="153" t="str" cm="1">
        <f t="array" ref="AJ205">_xll.Dce_Name_SectI(AE205, AE205, AF205, AG205, AH205, "x", "-", "H Tổng")</f>
        <v>750x350x14x18</v>
      </c>
      <c r="AK205" s="161">
        <f t="shared" si="67"/>
        <v>1010</v>
      </c>
      <c r="AL205" s="162" cm="1">
        <f t="array" ref="AL205">IFERROR(INDEX($B$25:$B$32,IFERROR(MATCH(AF205,$B$25:$B$32,0),MATCH(AF205,$B$25:$B$32,1)+1)),$B$25)</f>
        <v>350</v>
      </c>
      <c r="AM205" s="162" cm="1">
        <f t="array" ref="AM205">IFERROR(VLOOKUP(AE205,$B$36:$E$47,4,FALSE),INDEX($E$36:$E$47,MATCH(AE205,$B$36:$B$47,1)+1))</f>
        <v>25</v>
      </c>
      <c r="AN205" s="162" cm="1">
        <f t="array" ref="AN205">IFERROR(VLOOKUP(AE205,$B$36:$E$47,2,FALSE),INDEX($C$36:$C$47,MATCH(AE205,$B$36:$B$47,1)+1))</f>
        <v>12</v>
      </c>
      <c r="AO205" s="162" cm="1">
        <f t="array" ref="AO205">IFERROR(VLOOKUP(AE205,$B$36:$E$47,3,FALSE),INDEX($D$36:$D$47,MATCH(AE205,$B$36:$B$47,1)+1))</f>
        <v>24</v>
      </c>
      <c r="AP205" s="163" t="str">
        <f t="shared" si="68"/>
        <v>1010x350x25 + 12M24</v>
      </c>
      <c r="AQ205" s="140" t="s">
        <v>252</v>
      </c>
      <c r="AR205" s="151">
        <v>0</v>
      </c>
      <c r="AS205" s="151">
        <v>185.74578629025015</v>
      </c>
      <c r="AT205" s="151">
        <v>-2.5420376914553334E-14</v>
      </c>
      <c r="AU205" s="151">
        <v>5.3941587129809315E-4</v>
      </c>
      <c r="AV205" s="151">
        <v>1.6274861991405482E-14</v>
      </c>
      <c r="AW205" s="151">
        <v>-114.71800866454755</v>
      </c>
      <c r="BA205" s="161">
        <f t="shared" si="69"/>
        <v>60</v>
      </c>
      <c r="BB205" s="161">
        <f t="shared" si="70"/>
        <v>70</v>
      </c>
      <c r="BC205" s="161">
        <f t="shared" si="71"/>
        <v>80</v>
      </c>
      <c r="BD205" s="161">
        <f t="shared" si="72"/>
        <v>150</v>
      </c>
      <c r="BE205" s="161">
        <f>HLOOKUP(AO205,Data!$H$31:$Q$35,3,FALSE)</f>
        <v>452.38934211693021</v>
      </c>
      <c r="BF205" s="161">
        <f>HLOOKUP(AO205,Data!$H$31:$Q$35,4,FALSE)</f>
        <v>353</v>
      </c>
      <c r="BG205" s="179">
        <f t="shared" si="73"/>
        <v>180</v>
      </c>
      <c r="BH205" s="185">
        <f t="shared" si="74"/>
        <v>121.65654188208487</v>
      </c>
      <c r="BI205" s="185">
        <f t="shared" si="75"/>
        <v>243</v>
      </c>
      <c r="BJ205" s="185">
        <f t="shared" si="76"/>
        <v>142.3296</v>
      </c>
      <c r="BK205" s="185">
        <f t="shared" si="77"/>
        <v>15.401997106966304</v>
      </c>
      <c r="BL205" s="186">
        <f t="shared" si="78"/>
        <v>0.89458333333333329</v>
      </c>
      <c r="BM205" s="186">
        <f t="shared" si="79"/>
        <v>0.14152096047485607</v>
      </c>
      <c r="BN205" s="185" t="str">
        <f t="shared" si="80"/>
        <v>OK</v>
      </c>
      <c r="BO205" s="185" cm="1">
        <f t="array" ref="BO205">_xll.DCEBoltDisRS(AN205, AE205, BA205, BB205, BC205, BD205, "h1")</f>
        <v>890</v>
      </c>
      <c r="BP205" s="185" cm="1">
        <f t="array" ref="BP205">_xll.DCEBoltDisRS(AN205, AE205, BA205, BB205, BC205, BD205, "Tong")</f>
        <v>1800300</v>
      </c>
      <c r="BQ205" s="185">
        <f t="shared" si="81"/>
        <v>29.896314722485588</v>
      </c>
      <c r="BR205" s="186">
        <f t="shared" si="82"/>
        <v>0.21004987523667309</v>
      </c>
      <c r="BS205" s="185" t="str">
        <f t="shared" si="83"/>
        <v>OK</v>
      </c>
      <c r="BT205" s="186">
        <f t="shared" si="84"/>
        <v>0.24525311530726107</v>
      </c>
      <c r="BU205" s="185" t="str">
        <f t="shared" si="85"/>
        <v>OK</v>
      </c>
      <c r="BV205" s="190">
        <f t="shared" si="86"/>
        <v>152.9573448860634</v>
      </c>
      <c r="BW205" s="191">
        <f t="shared" si="87"/>
        <v>3.4415402599364264</v>
      </c>
      <c r="BX205" s="190">
        <f t="shared" si="88"/>
        <v>76.478672443031698</v>
      </c>
      <c r="BY205" s="167">
        <f t="shared" si="89"/>
        <v>32.711669797415539</v>
      </c>
      <c r="BZ205" s="192">
        <f t="shared" si="90"/>
        <v>0.15901506151521444</v>
      </c>
      <c r="CA205" s="191">
        <f t="shared" si="91"/>
        <v>3.0288583145755128</v>
      </c>
      <c r="CB205" s="193">
        <f t="shared" si="92"/>
        <v>2.5385546218903966E-2</v>
      </c>
      <c r="CC205" s="167">
        <f t="shared" si="93"/>
        <v>33.129673843919257</v>
      </c>
      <c r="CD205" s="191">
        <f t="shared" si="94"/>
        <v>0.14004089185231572</v>
      </c>
      <c r="CE205" s="189">
        <f t="shared" si="95"/>
        <v>0.15901506151521444</v>
      </c>
      <c r="CF205" s="194" t="str">
        <f t="shared" si="96"/>
        <v>OK</v>
      </c>
      <c r="DA205" s="140"/>
      <c r="DB205" s="140"/>
      <c r="DC205" s="140"/>
      <c r="DD205" s="141"/>
      <c r="DE205" s="151"/>
      <c r="DF205" s="152"/>
      <c r="DG205" s="152"/>
      <c r="DH205" s="152"/>
      <c r="DI205" s="152"/>
      <c r="DJ205" s="152"/>
      <c r="DK205" s="161"/>
      <c r="DL205" s="162"/>
      <c r="DM205" s="162"/>
      <c r="DN205" s="162"/>
      <c r="DO205" s="162"/>
      <c r="DP205" s="162"/>
      <c r="DQ205" s="140"/>
      <c r="DR205" s="151"/>
      <c r="DS205" s="151"/>
      <c r="DT205" s="151"/>
      <c r="DU205" s="151"/>
      <c r="DV205" s="151"/>
      <c r="DW205" s="151"/>
      <c r="DX205" s="151"/>
      <c r="DY205" s="151"/>
      <c r="DZ205" s="151"/>
      <c r="EA205" s="161"/>
      <c r="EB205" s="161"/>
      <c r="EC205" s="161"/>
      <c r="ED205" s="161"/>
      <c r="EE205" s="161"/>
      <c r="EF205" s="161"/>
      <c r="EG205" s="161"/>
      <c r="EH205" s="161"/>
      <c r="EI205" s="161"/>
      <c r="EJ205" s="161"/>
      <c r="EK205" s="209"/>
      <c r="EL205" s="213"/>
      <c r="EM205" s="187"/>
      <c r="EN205" s="187"/>
      <c r="EO205" s="206"/>
      <c r="EP205" s="212"/>
      <c r="EQ205" s="208"/>
      <c r="ER205" s="187"/>
      <c r="ES205" s="187"/>
      <c r="ET205" s="187"/>
      <c r="EU205" s="187"/>
      <c r="EV205" s="210"/>
      <c r="EW205" s="209"/>
      <c r="EX205" s="210"/>
      <c r="EY205" s="162"/>
      <c r="EZ205" s="211"/>
      <c r="FA205" s="209"/>
      <c r="FB205" s="207"/>
      <c r="FC205" s="162"/>
      <c r="FD205" s="209"/>
      <c r="FE205" s="187"/>
      <c r="FF205" s="187"/>
    </row>
    <row r="206" spans="27:162">
      <c r="AA206" s="140" t="s">
        <v>210</v>
      </c>
      <c r="AB206" s="140" t="s">
        <v>240</v>
      </c>
      <c r="AC206" s="140">
        <v>104</v>
      </c>
      <c r="AD206" s="141">
        <v>2.6850000000000001</v>
      </c>
      <c r="AE206" s="151">
        <v>1100</v>
      </c>
      <c r="AF206" s="152">
        <v>350</v>
      </c>
      <c r="AG206" s="152">
        <v>14</v>
      </c>
      <c r="AH206" s="152">
        <v>18.000000000000004</v>
      </c>
      <c r="AI206" s="152">
        <v>1064</v>
      </c>
      <c r="AJ206" s="153" t="str" cm="1">
        <f t="array" ref="AJ206">_xll.Dce_Name_SectI(AE206, AE206, AF206, AG206, AH206, "x", "-", "H Tổng")</f>
        <v>1100x350x14x18</v>
      </c>
      <c r="AK206" s="161">
        <f t="shared" si="67"/>
        <v>1360</v>
      </c>
      <c r="AL206" s="162" cm="1">
        <f t="array" ref="AL206">IFERROR(INDEX($B$25:$B$32,IFERROR(MATCH(AF206,$B$25:$B$32,0),MATCH(AF206,$B$25:$B$32,1)+1)),$B$25)</f>
        <v>350</v>
      </c>
      <c r="AM206" s="162" cm="1">
        <f t="array" ref="AM206">IFERROR(VLOOKUP(AE206,$B$36:$E$47,4,FALSE),INDEX($E$36:$E$47,MATCH(AE206,$B$36:$B$47,1)+1))</f>
        <v>25</v>
      </c>
      <c r="AN206" s="162" cm="1">
        <f t="array" ref="AN206">IFERROR(VLOOKUP(AE206,$B$36:$E$47,2,FALSE),INDEX($C$36:$C$47,MATCH(AE206,$B$36:$B$47,1)+1))</f>
        <v>12</v>
      </c>
      <c r="AO206" s="162" cm="1">
        <f t="array" ref="AO206">IFERROR(VLOOKUP(AE206,$B$36:$E$47,3,FALSE),INDEX($D$36:$D$47,MATCH(AE206,$B$36:$B$47,1)+1))</f>
        <v>24</v>
      </c>
      <c r="AP206" s="163" t="str">
        <f t="shared" si="68"/>
        <v>1360x350x25 + 12M24</v>
      </c>
      <c r="AQ206" s="140" t="s">
        <v>252</v>
      </c>
      <c r="AR206" s="151">
        <v>0</v>
      </c>
      <c r="AS206" s="151">
        <v>262.55080393980415</v>
      </c>
      <c r="AT206" s="151">
        <v>-5.8207660913467402E-15</v>
      </c>
      <c r="AU206" s="151">
        <v>5.3933631862507843E-4</v>
      </c>
      <c r="AV206" s="151">
        <v>1.717125996947288E-15</v>
      </c>
      <c r="AW206" s="151">
        <v>-727.7560913543407</v>
      </c>
      <c r="BA206" s="161">
        <f t="shared" si="69"/>
        <v>60</v>
      </c>
      <c r="BB206" s="161">
        <f t="shared" si="70"/>
        <v>70</v>
      </c>
      <c r="BC206" s="161">
        <f t="shared" si="71"/>
        <v>80</v>
      </c>
      <c r="BD206" s="161">
        <f t="shared" si="72"/>
        <v>150</v>
      </c>
      <c r="BE206" s="161">
        <f>HLOOKUP(AO206,Data!$H$31:$Q$35,3,FALSE)</f>
        <v>452.38934211693021</v>
      </c>
      <c r="BF206" s="161">
        <f>HLOOKUP(AO206,Data!$H$31:$Q$35,4,FALSE)</f>
        <v>353</v>
      </c>
      <c r="BG206" s="179">
        <f t="shared" si="73"/>
        <v>180</v>
      </c>
      <c r="BH206" s="185">
        <f t="shared" si="74"/>
        <v>121.65654188208487</v>
      </c>
      <c r="BI206" s="185">
        <f t="shared" si="75"/>
        <v>243</v>
      </c>
      <c r="BJ206" s="185">
        <f t="shared" si="76"/>
        <v>142.3296</v>
      </c>
      <c r="BK206" s="185">
        <f t="shared" si="77"/>
        <v>21.770651186636371</v>
      </c>
      <c r="BL206" s="186">
        <f t="shared" si="78"/>
        <v>0.82166666666666666</v>
      </c>
      <c r="BM206" s="186">
        <f t="shared" si="79"/>
        <v>0.21779117764993661</v>
      </c>
      <c r="BN206" s="185" t="str">
        <f t="shared" si="80"/>
        <v>OK</v>
      </c>
      <c r="BO206" s="185" cm="1">
        <f t="array" ref="BO206">_xll.DCEBoltDisRS(AN206, AE206, BA206, BB206, BC206, BD206, "h1")</f>
        <v>1240</v>
      </c>
      <c r="BP206" s="185" cm="1">
        <f t="array" ref="BP206">_xll.DCEBoltDisRS(AN206, AE206, BA206, BB206, BC206, BD206, "Tong")</f>
        <v>3721800</v>
      </c>
      <c r="BQ206" s="185">
        <f t="shared" si="81"/>
        <v>123.41108538834261</v>
      </c>
      <c r="BR206" s="186">
        <f t="shared" si="82"/>
        <v>0.86707954907723073</v>
      </c>
      <c r="BS206" s="185" t="str">
        <f t="shared" si="83"/>
        <v>OK</v>
      </c>
      <c r="BT206" s="186">
        <f t="shared" si="84"/>
        <v>0.88535341734408868</v>
      </c>
      <c r="BU206" s="185" t="str">
        <f t="shared" si="85"/>
        <v>OK</v>
      </c>
      <c r="BV206" s="190">
        <f t="shared" si="86"/>
        <v>661.59644668576425</v>
      </c>
      <c r="BW206" s="191">
        <f t="shared" si="87"/>
        <v>14.885920050429695</v>
      </c>
      <c r="BX206" s="190">
        <f t="shared" si="88"/>
        <v>330.79822334288212</v>
      </c>
      <c r="BY206" s="167">
        <f t="shared" si="89"/>
        <v>105.07708270891548</v>
      </c>
      <c r="BZ206" s="192">
        <f t="shared" si="90"/>
        <v>0.51079137427945032</v>
      </c>
      <c r="CA206" s="191">
        <f t="shared" si="91"/>
        <v>9.7293595100847678</v>
      </c>
      <c r="CB206" s="193">
        <f t="shared" si="92"/>
        <v>8.1543961411151084E-2</v>
      </c>
      <c r="CC206" s="167">
        <f t="shared" si="93"/>
        <v>106.41980370234525</v>
      </c>
      <c r="CD206" s="191">
        <f t="shared" si="94"/>
        <v>0.44984216540846428</v>
      </c>
      <c r="CE206" s="189">
        <f t="shared" si="95"/>
        <v>0.51079137427945032</v>
      </c>
      <c r="CF206" s="194" t="str">
        <f t="shared" si="96"/>
        <v>OK</v>
      </c>
      <c r="DA206" s="140"/>
      <c r="DB206" s="140"/>
      <c r="DC206" s="140"/>
      <c r="DD206" s="141"/>
      <c r="DE206" s="151"/>
      <c r="DF206" s="152"/>
      <c r="DG206" s="152"/>
      <c r="DH206" s="152"/>
      <c r="DI206" s="152"/>
      <c r="DJ206" s="152"/>
      <c r="DK206" s="161"/>
      <c r="DL206" s="162"/>
      <c r="DM206" s="162"/>
      <c r="DN206" s="162"/>
      <c r="DO206" s="162"/>
      <c r="DP206" s="162"/>
      <c r="DQ206" s="140"/>
      <c r="DR206" s="151"/>
      <c r="DS206" s="151"/>
      <c r="DT206" s="151"/>
      <c r="DU206" s="151"/>
      <c r="DV206" s="151"/>
      <c r="DW206" s="151"/>
      <c r="DX206" s="151"/>
      <c r="DY206" s="151"/>
      <c r="DZ206" s="151"/>
      <c r="EA206" s="161"/>
      <c r="EB206" s="161"/>
      <c r="EC206" s="161"/>
      <c r="ED206" s="161"/>
      <c r="EE206" s="161"/>
      <c r="EF206" s="161"/>
      <c r="EG206" s="161"/>
      <c r="EH206" s="161"/>
      <c r="EI206" s="161"/>
      <c r="EJ206" s="161"/>
      <c r="EK206" s="209"/>
      <c r="EL206" s="213"/>
      <c r="EM206" s="187"/>
      <c r="EN206" s="187"/>
      <c r="EO206" s="206"/>
      <c r="EP206" s="212"/>
      <c r="EQ206" s="208"/>
      <c r="ER206" s="187"/>
      <c r="ES206" s="187"/>
      <c r="ET206" s="187"/>
      <c r="EU206" s="187"/>
      <c r="EV206" s="210"/>
      <c r="EW206" s="209"/>
      <c r="EX206" s="210"/>
      <c r="EY206" s="162"/>
      <c r="EZ206" s="211"/>
      <c r="FA206" s="209"/>
      <c r="FB206" s="207"/>
      <c r="FC206" s="162"/>
      <c r="FD206" s="209"/>
      <c r="FE206" s="187"/>
      <c r="FF206" s="187"/>
    </row>
    <row r="207" spans="27:162">
      <c r="AA207" s="140" t="s">
        <v>210</v>
      </c>
      <c r="AB207" s="140" t="s">
        <v>240</v>
      </c>
      <c r="AC207" s="140">
        <v>104</v>
      </c>
      <c r="AD207" s="141">
        <v>0</v>
      </c>
      <c r="AE207" s="151">
        <v>750</v>
      </c>
      <c r="AF207" s="152">
        <v>350</v>
      </c>
      <c r="AG207" s="152">
        <v>14</v>
      </c>
      <c r="AH207" s="152">
        <v>18.000000000000004</v>
      </c>
      <c r="AI207" s="152">
        <v>714</v>
      </c>
      <c r="AJ207" s="153" t="str" cm="1">
        <f t="array" ref="AJ207">_xll.Dce_Name_SectI(AE207, AE207, AF207, AG207, AH207, "x", "-", "H Tổng")</f>
        <v>750x350x14x18</v>
      </c>
      <c r="AK207" s="161">
        <f t="shared" si="67"/>
        <v>1010</v>
      </c>
      <c r="AL207" s="162" cm="1">
        <f t="array" ref="AL207">IFERROR(INDEX($B$25:$B$32,IFERROR(MATCH(AF207,$B$25:$B$32,0),MATCH(AF207,$B$25:$B$32,1)+1)),$B$25)</f>
        <v>350</v>
      </c>
      <c r="AM207" s="162" cm="1">
        <f t="array" ref="AM207">IFERROR(VLOOKUP(AE207,$B$36:$E$47,4,FALSE),INDEX($E$36:$E$47,MATCH(AE207,$B$36:$B$47,1)+1))</f>
        <v>25</v>
      </c>
      <c r="AN207" s="162" cm="1">
        <f t="array" ref="AN207">IFERROR(VLOOKUP(AE207,$B$36:$E$47,2,FALSE),INDEX($C$36:$C$47,MATCH(AE207,$B$36:$B$47,1)+1))</f>
        <v>12</v>
      </c>
      <c r="AO207" s="162" cm="1">
        <f t="array" ref="AO207">IFERROR(VLOOKUP(AE207,$B$36:$E$47,3,FALSE),INDEX($D$36:$D$47,MATCH(AE207,$B$36:$B$47,1)+1))</f>
        <v>24</v>
      </c>
      <c r="AP207" s="163" t="str">
        <f t="shared" si="68"/>
        <v>1010x350x25 + 12M24</v>
      </c>
      <c r="AQ207" s="140" t="s">
        <v>253</v>
      </c>
      <c r="AR207" s="151">
        <v>0</v>
      </c>
      <c r="AS207" s="151">
        <v>442.420426850853</v>
      </c>
      <c r="AT207" s="151">
        <v>-4.0859049477148788E-14</v>
      </c>
      <c r="AU207" s="151">
        <v>1.302590218235573E-3</v>
      </c>
      <c r="AV207" s="151">
        <v>1.5955884009599681E-13</v>
      </c>
      <c r="AW207" s="151">
        <v>-330.93069489536362</v>
      </c>
      <c r="BA207" s="161">
        <f t="shared" si="69"/>
        <v>60</v>
      </c>
      <c r="BB207" s="161">
        <f t="shared" si="70"/>
        <v>70</v>
      </c>
      <c r="BC207" s="161">
        <f t="shared" si="71"/>
        <v>80</v>
      </c>
      <c r="BD207" s="161">
        <f t="shared" si="72"/>
        <v>150</v>
      </c>
      <c r="BE207" s="161">
        <f>HLOOKUP(AO207,Data!$H$31:$Q$35,3,FALSE)</f>
        <v>452.38934211693021</v>
      </c>
      <c r="BF207" s="161">
        <f>HLOOKUP(AO207,Data!$H$31:$Q$35,4,FALSE)</f>
        <v>353</v>
      </c>
      <c r="BG207" s="179">
        <f t="shared" si="73"/>
        <v>180</v>
      </c>
      <c r="BH207" s="185">
        <f t="shared" si="74"/>
        <v>121.65654188208487</v>
      </c>
      <c r="BI207" s="185">
        <f t="shared" si="75"/>
        <v>243</v>
      </c>
      <c r="BJ207" s="185">
        <f t="shared" si="76"/>
        <v>142.3296</v>
      </c>
      <c r="BK207" s="185">
        <f t="shared" si="77"/>
        <v>36.685398202098064</v>
      </c>
      <c r="BL207" s="186">
        <f t="shared" si="78"/>
        <v>0.89458333333333329</v>
      </c>
      <c r="BM207" s="186">
        <f t="shared" si="79"/>
        <v>0.33708309077757537</v>
      </c>
      <c r="BN207" s="185" t="str">
        <f t="shared" si="80"/>
        <v>OK</v>
      </c>
      <c r="BO207" s="185" cm="1">
        <f t="array" ref="BO207">_xll.DCEBoltDisRS(AN207, AE207, BA207, BB207, BC207, BD207, "h1")</f>
        <v>890</v>
      </c>
      <c r="BP207" s="185" cm="1">
        <f t="array" ref="BP207">_xll.DCEBoltDisRS(AN207, AE207, BA207, BB207, BC207, BD207, "Tong")</f>
        <v>1800300</v>
      </c>
      <c r="BQ207" s="185">
        <f t="shared" si="81"/>
        <v>85.468328315703218</v>
      </c>
      <c r="BR207" s="186">
        <f t="shared" si="82"/>
        <v>0.60049580913389211</v>
      </c>
      <c r="BS207" s="185" t="str">
        <f t="shared" si="83"/>
        <v>OK</v>
      </c>
      <c r="BT207" s="186">
        <f t="shared" si="84"/>
        <v>0.67195756182944977</v>
      </c>
      <c r="BU207" s="185" t="str">
        <f t="shared" si="85"/>
        <v>OK</v>
      </c>
      <c r="BV207" s="190">
        <f t="shared" si="86"/>
        <v>441.24092652715149</v>
      </c>
      <c r="BW207" s="191">
        <f t="shared" si="87"/>
        <v>9.9279208468609088</v>
      </c>
      <c r="BX207" s="190">
        <f t="shared" si="88"/>
        <v>220.62046326357574</v>
      </c>
      <c r="BY207" s="167">
        <f t="shared" si="89"/>
        <v>94.364396168182893</v>
      </c>
      <c r="BZ207" s="192">
        <f t="shared" si="90"/>
        <v>0.45871581470644468</v>
      </c>
      <c r="CA207" s="191">
        <f t="shared" si="91"/>
        <v>8.7374440896465639</v>
      </c>
      <c r="CB207" s="193">
        <f t="shared" si="92"/>
        <v>7.3230494046367278E-2</v>
      </c>
      <c r="CC207" s="167">
        <f t="shared" si="93"/>
        <v>95.570225760143884</v>
      </c>
      <c r="CD207" s="191">
        <f t="shared" si="94"/>
        <v>0.40398042289915903</v>
      </c>
      <c r="CE207" s="189">
        <f t="shared" si="95"/>
        <v>0.45871581470644468</v>
      </c>
      <c r="CF207" s="194" t="str">
        <f t="shared" si="96"/>
        <v>OK</v>
      </c>
      <c r="DA207" s="140"/>
      <c r="DB207" s="140"/>
      <c r="DC207" s="140"/>
      <c r="DD207" s="141"/>
      <c r="DE207" s="151"/>
      <c r="DF207" s="152"/>
      <c r="DG207" s="152"/>
      <c r="DH207" s="152"/>
      <c r="DI207" s="152"/>
      <c r="DJ207" s="152"/>
      <c r="DK207" s="161"/>
      <c r="DL207" s="162"/>
      <c r="DM207" s="162"/>
      <c r="DN207" s="162"/>
      <c r="DO207" s="162"/>
      <c r="DP207" s="162"/>
      <c r="DQ207" s="140"/>
      <c r="DR207" s="151"/>
      <c r="DS207" s="151"/>
      <c r="DT207" s="151"/>
      <c r="DU207" s="151"/>
      <c r="DV207" s="151"/>
      <c r="DW207" s="151"/>
      <c r="DX207" s="151"/>
      <c r="DY207" s="151"/>
      <c r="DZ207" s="151"/>
      <c r="EA207" s="161"/>
      <c r="EB207" s="161"/>
      <c r="EC207" s="161"/>
      <c r="ED207" s="161"/>
      <c r="EE207" s="161"/>
      <c r="EF207" s="161"/>
      <c r="EG207" s="161"/>
      <c r="EH207" s="161"/>
      <c r="EI207" s="161"/>
      <c r="EJ207" s="161"/>
      <c r="EK207" s="209"/>
      <c r="EL207" s="213"/>
      <c r="EM207" s="187"/>
      <c r="EN207" s="187"/>
      <c r="EO207" s="206"/>
      <c r="EP207" s="212"/>
      <c r="EQ207" s="208"/>
      <c r="ER207" s="187"/>
      <c r="ES207" s="187"/>
      <c r="ET207" s="187"/>
      <c r="EU207" s="187"/>
      <c r="EV207" s="210"/>
      <c r="EW207" s="209"/>
      <c r="EX207" s="210"/>
      <c r="EY207" s="162"/>
      <c r="EZ207" s="211"/>
      <c r="FA207" s="209"/>
      <c r="FB207" s="207"/>
      <c r="FC207" s="162"/>
      <c r="FD207" s="209"/>
      <c r="FE207" s="187"/>
      <c r="FF207" s="187"/>
    </row>
    <row r="208" spans="27:162">
      <c r="AA208" s="140" t="s">
        <v>210</v>
      </c>
      <c r="AB208" s="140" t="s">
        <v>240</v>
      </c>
      <c r="AC208" s="140">
        <v>104</v>
      </c>
      <c r="AD208" s="141">
        <v>2.6850000000000001</v>
      </c>
      <c r="AE208" s="151">
        <v>1100</v>
      </c>
      <c r="AF208" s="152">
        <v>350</v>
      </c>
      <c r="AG208" s="152">
        <v>14</v>
      </c>
      <c r="AH208" s="152">
        <v>18.000000000000004</v>
      </c>
      <c r="AI208" s="152">
        <v>1064</v>
      </c>
      <c r="AJ208" s="153" t="str" cm="1">
        <f t="array" ref="AJ208">_xll.Dce_Name_SectI(AE208, AE208, AF208, AG208, AH208, "x", "-", "H Tổng")</f>
        <v>1100x350x14x18</v>
      </c>
      <c r="AK208" s="161">
        <f t="shared" si="67"/>
        <v>1360</v>
      </c>
      <c r="AL208" s="162" cm="1">
        <f t="array" ref="AL208">IFERROR(INDEX($B$25:$B$32,IFERROR(MATCH(AF208,$B$25:$B$32,0),MATCH(AF208,$B$25:$B$32,1)+1)),$B$25)</f>
        <v>350</v>
      </c>
      <c r="AM208" s="162" cm="1">
        <f t="array" ref="AM208">IFERROR(VLOOKUP(AE208,$B$36:$E$47,4,FALSE),INDEX($E$36:$E$47,MATCH(AE208,$B$36:$B$47,1)+1))</f>
        <v>25</v>
      </c>
      <c r="AN208" s="162" cm="1">
        <f t="array" ref="AN208">IFERROR(VLOOKUP(AE208,$B$36:$E$47,2,FALSE),INDEX($C$36:$C$47,MATCH(AE208,$B$36:$B$47,1)+1))</f>
        <v>12</v>
      </c>
      <c r="AO208" s="162" cm="1">
        <f t="array" ref="AO208">IFERROR(VLOOKUP(AE208,$B$36:$E$47,3,FALSE),INDEX($D$36:$D$47,MATCH(AE208,$B$36:$B$47,1)+1))</f>
        <v>24</v>
      </c>
      <c r="AP208" s="163" t="str">
        <f t="shared" si="68"/>
        <v>1360x350x25 + 12M24</v>
      </c>
      <c r="AQ208" s="140" t="s">
        <v>253</v>
      </c>
      <c r="AR208" s="151">
        <v>0</v>
      </c>
      <c r="AS208" s="151">
        <v>620.7188047033186</v>
      </c>
      <c r="AT208" s="151">
        <v>-1.2846612662542609E-14</v>
      </c>
      <c r="AU208" s="151">
        <v>1.3023987048268384E-3</v>
      </c>
      <c r="AV208" s="151">
        <v>6.8420672505453669E-14</v>
      </c>
      <c r="AW208" s="151">
        <v>-1785.888913676192</v>
      </c>
      <c r="BA208" s="161">
        <f t="shared" si="69"/>
        <v>60</v>
      </c>
      <c r="BB208" s="161">
        <f t="shared" si="70"/>
        <v>70</v>
      </c>
      <c r="BC208" s="161">
        <f t="shared" si="71"/>
        <v>80</v>
      </c>
      <c r="BD208" s="161">
        <f t="shared" si="72"/>
        <v>150</v>
      </c>
      <c r="BE208" s="161">
        <f>HLOOKUP(AO208,Data!$H$31:$Q$35,3,FALSE)</f>
        <v>452.38934211693021</v>
      </c>
      <c r="BF208" s="161">
        <f>HLOOKUP(AO208,Data!$H$31:$Q$35,4,FALSE)</f>
        <v>353</v>
      </c>
      <c r="BG208" s="179">
        <f t="shared" si="73"/>
        <v>180</v>
      </c>
      <c r="BH208" s="185">
        <f t="shared" si="74"/>
        <v>121.65654188208487</v>
      </c>
      <c r="BI208" s="185">
        <f t="shared" si="75"/>
        <v>243</v>
      </c>
      <c r="BJ208" s="185">
        <f t="shared" si="76"/>
        <v>142.3296</v>
      </c>
      <c r="BK208" s="185">
        <f t="shared" si="77"/>
        <v>51.469857945207764</v>
      </c>
      <c r="BL208" s="186">
        <f t="shared" si="78"/>
        <v>0.82166666666666666</v>
      </c>
      <c r="BM208" s="186">
        <f t="shared" si="79"/>
        <v>0.51489874507027433</v>
      </c>
      <c r="BN208" s="185" t="str">
        <f t="shared" si="80"/>
        <v>OK</v>
      </c>
      <c r="BO208" s="185" cm="1">
        <f t="array" ref="BO208">_xll.DCEBoltDisRS(AN208, AE208, BA208, BB208, BC208, BD208, "h1")</f>
        <v>1240</v>
      </c>
      <c r="BP208" s="185" cm="1">
        <f t="array" ref="BP208">_xll.DCEBoltDisRS(AN208, AE208, BA208, BB208, BC208, BD208, "Tong")</f>
        <v>3721800</v>
      </c>
      <c r="BQ208" s="185">
        <f t="shared" si="81"/>
        <v>302.65118442938535</v>
      </c>
      <c r="BR208" s="186">
        <f t="shared" si="82"/>
        <v>2.1264107004402835</v>
      </c>
      <c r="BS208" s="185" t="str">
        <f t="shared" si="83"/>
        <v>O/S</v>
      </c>
      <c r="BT208" s="186">
        <f t="shared" si="84"/>
        <v>2.1680901819926643</v>
      </c>
      <c r="BU208" s="185" t="str">
        <f t="shared" si="85"/>
        <v>O/S</v>
      </c>
      <c r="BV208" s="190">
        <f t="shared" si="86"/>
        <v>1623.5353760692653</v>
      </c>
      <c r="BW208" s="191">
        <f t="shared" si="87"/>
        <v>36.529545961558469</v>
      </c>
      <c r="BX208" s="190">
        <f t="shared" si="88"/>
        <v>811.76768803463267</v>
      </c>
      <c r="BY208" s="167">
        <f t="shared" si="89"/>
        <v>257.85561855217742</v>
      </c>
      <c r="BZ208" s="192">
        <f t="shared" si="90"/>
        <v>1.253464812406418</v>
      </c>
      <c r="CA208" s="191">
        <f t="shared" si="91"/>
        <v>23.875520236312727</v>
      </c>
      <c r="CB208" s="193">
        <f t="shared" si="92"/>
        <v>0.20010613224878965</v>
      </c>
      <c r="CC208" s="167">
        <f t="shared" si="93"/>
        <v>261.15061060351701</v>
      </c>
      <c r="CD208" s="191">
        <f t="shared" si="94"/>
        <v>1.103897508589746</v>
      </c>
      <c r="CE208" s="189">
        <f t="shared" si="95"/>
        <v>1.253464812406418</v>
      </c>
      <c r="CF208" s="194" t="str">
        <f t="shared" si="96"/>
        <v>O/S</v>
      </c>
      <c r="DA208" s="140"/>
      <c r="DB208" s="140"/>
      <c r="DC208" s="140"/>
      <c r="DD208" s="141"/>
      <c r="DE208" s="151"/>
      <c r="DF208" s="152"/>
      <c r="DG208" s="152"/>
      <c r="DH208" s="152"/>
      <c r="DI208" s="152"/>
      <c r="DJ208" s="152"/>
      <c r="DK208" s="161"/>
      <c r="DL208" s="162"/>
      <c r="DM208" s="162"/>
      <c r="DN208" s="162"/>
      <c r="DO208" s="162"/>
      <c r="DP208" s="162"/>
      <c r="DQ208" s="140"/>
      <c r="DR208" s="151"/>
      <c r="DS208" s="151"/>
      <c r="DT208" s="151"/>
      <c r="DU208" s="151"/>
      <c r="DV208" s="151"/>
      <c r="DW208" s="151"/>
      <c r="DX208" s="151"/>
      <c r="DY208" s="151"/>
      <c r="DZ208" s="151"/>
      <c r="EA208" s="161"/>
      <c r="EB208" s="161"/>
      <c r="EC208" s="161"/>
      <c r="ED208" s="161"/>
      <c r="EE208" s="161"/>
      <c r="EF208" s="161"/>
      <c r="EG208" s="161"/>
      <c r="EH208" s="161"/>
      <c r="EI208" s="161"/>
      <c r="EJ208" s="161"/>
      <c r="EK208" s="209"/>
      <c r="EL208" s="213"/>
      <c r="EM208" s="187"/>
      <c r="EN208" s="187"/>
      <c r="EO208" s="206"/>
      <c r="EP208" s="212"/>
      <c r="EQ208" s="208"/>
      <c r="ER208" s="187"/>
      <c r="ES208" s="187"/>
      <c r="ET208" s="187"/>
      <c r="EU208" s="187"/>
      <c r="EV208" s="210"/>
      <c r="EW208" s="209"/>
      <c r="EX208" s="210"/>
      <c r="EY208" s="162"/>
      <c r="EZ208" s="211"/>
      <c r="FA208" s="209"/>
      <c r="FB208" s="207"/>
      <c r="FC208" s="162"/>
      <c r="FD208" s="209"/>
      <c r="FE208" s="187"/>
      <c r="FF208" s="187"/>
    </row>
    <row r="209" spans="27:162">
      <c r="AA209" s="140" t="s">
        <v>210</v>
      </c>
      <c r="AB209" s="140" t="s">
        <v>240</v>
      </c>
      <c r="AC209" s="140">
        <v>104</v>
      </c>
      <c r="AD209" s="141">
        <v>0</v>
      </c>
      <c r="AE209" s="151">
        <v>750</v>
      </c>
      <c r="AF209" s="152">
        <v>350</v>
      </c>
      <c r="AG209" s="152">
        <v>14</v>
      </c>
      <c r="AH209" s="152">
        <v>18.000000000000004</v>
      </c>
      <c r="AI209" s="152">
        <v>714</v>
      </c>
      <c r="AJ209" s="153" t="str" cm="1">
        <f t="array" ref="AJ209">_xll.Dce_Name_SectI(AE209, AE209, AF209, AG209, AH209, "x", "-", "H Tổng")</f>
        <v>750x350x14x18</v>
      </c>
      <c r="AK209" s="161">
        <f t="shared" si="67"/>
        <v>1010</v>
      </c>
      <c r="AL209" s="162" cm="1">
        <f t="array" ref="AL209">IFERROR(INDEX($B$25:$B$32,IFERROR(MATCH(AF209,$B$25:$B$32,0),MATCH(AF209,$B$25:$B$32,1)+1)),$B$25)</f>
        <v>350</v>
      </c>
      <c r="AM209" s="162" cm="1">
        <f t="array" ref="AM209">IFERROR(VLOOKUP(AE209,$B$36:$E$47,4,FALSE),INDEX($E$36:$E$47,MATCH(AE209,$B$36:$B$47,1)+1))</f>
        <v>25</v>
      </c>
      <c r="AN209" s="162" cm="1">
        <f t="array" ref="AN209">IFERROR(VLOOKUP(AE209,$B$36:$E$47,2,FALSE),INDEX($C$36:$C$47,MATCH(AE209,$B$36:$B$47,1)+1))</f>
        <v>12</v>
      </c>
      <c r="AO209" s="162" cm="1">
        <f t="array" ref="AO209">IFERROR(VLOOKUP(AE209,$B$36:$E$47,3,FALSE),INDEX($D$36:$D$47,MATCH(AE209,$B$36:$B$47,1)+1))</f>
        <v>24</v>
      </c>
      <c r="AP209" s="163" t="str">
        <f t="shared" si="68"/>
        <v>1010x350x25 + 12M24</v>
      </c>
      <c r="AQ209" s="140" t="s">
        <v>254</v>
      </c>
      <c r="AR209" s="151">
        <v>0</v>
      </c>
      <c r="AS209" s="151">
        <v>445.31167223208638</v>
      </c>
      <c r="AT209" s="151">
        <v>-5.0652033678488796E-13</v>
      </c>
      <c r="AU209" s="151">
        <v>1.737022661808063E-3</v>
      </c>
      <c r="AV209" s="151">
        <v>-1.9806902855634685E-13</v>
      </c>
      <c r="AW209" s="151">
        <v>-334.20828466857665</v>
      </c>
      <c r="BA209" s="161">
        <f t="shared" si="69"/>
        <v>60</v>
      </c>
      <c r="BB209" s="161">
        <f t="shared" si="70"/>
        <v>70</v>
      </c>
      <c r="BC209" s="161">
        <f t="shared" si="71"/>
        <v>80</v>
      </c>
      <c r="BD209" s="161">
        <f t="shared" si="72"/>
        <v>150</v>
      </c>
      <c r="BE209" s="161">
        <f>HLOOKUP(AO209,Data!$H$31:$Q$35,3,FALSE)</f>
        <v>452.38934211693021</v>
      </c>
      <c r="BF209" s="161">
        <f>HLOOKUP(AO209,Data!$H$31:$Q$35,4,FALSE)</f>
        <v>353</v>
      </c>
      <c r="BG209" s="179">
        <f t="shared" si="73"/>
        <v>180</v>
      </c>
      <c r="BH209" s="185">
        <f t="shared" si="74"/>
        <v>121.65654188208487</v>
      </c>
      <c r="BI209" s="185">
        <f t="shared" si="75"/>
        <v>243</v>
      </c>
      <c r="BJ209" s="185">
        <f t="shared" si="76"/>
        <v>142.3296</v>
      </c>
      <c r="BK209" s="185">
        <f t="shared" si="77"/>
        <v>36.925139592127245</v>
      </c>
      <c r="BL209" s="186">
        <f t="shared" si="78"/>
        <v>0.89458333333333329</v>
      </c>
      <c r="BM209" s="186">
        <f t="shared" si="79"/>
        <v>0.33928595002672823</v>
      </c>
      <c r="BN209" s="185" t="str">
        <f t="shared" si="80"/>
        <v>OK</v>
      </c>
      <c r="BO209" s="185" cm="1">
        <f t="array" ref="BO209">_xll.DCEBoltDisRS(AN209, AE209, BA209, BB209, BC209, BD209, "h1")</f>
        <v>890</v>
      </c>
      <c r="BP209" s="185" cm="1">
        <f t="array" ref="BP209">_xll.DCEBoltDisRS(AN209, AE209, BA209, BB209, BC209, BD209, "Tong")</f>
        <v>1800300</v>
      </c>
      <c r="BQ209" s="185">
        <f t="shared" si="81"/>
        <v>86.302460455639206</v>
      </c>
      <c r="BR209" s="186">
        <f t="shared" si="82"/>
        <v>0.60635637601482195</v>
      </c>
      <c r="BS209" s="185" t="str">
        <f t="shared" si="83"/>
        <v>OK</v>
      </c>
      <c r="BT209" s="186">
        <f t="shared" si="84"/>
        <v>0.67807977088688698</v>
      </c>
      <c r="BU209" s="185" t="str">
        <f t="shared" si="85"/>
        <v>OK</v>
      </c>
      <c r="BV209" s="190">
        <f t="shared" si="86"/>
        <v>445.61104622476887</v>
      </c>
      <c r="BW209" s="191">
        <f t="shared" si="87"/>
        <v>10.026248540057299</v>
      </c>
      <c r="BX209" s="190">
        <f t="shared" si="88"/>
        <v>222.80552311238444</v>
      </c>
      <c r="BY209" s="167">
        <f t="shared" si="89"/>
        <v>95.298996024307002</v>
      </c>
      <c r="BZ209" s="192">
        <f t="shared" si="90"/>
        <v>0.46325900845149243</v>
      </c>
      <c r="CA209" s="191">
        <f t="shared" si="91"/>
        <v>8.8239811133617589</v>
      </c>
      <c r="CB209" s="193">
        <f t="shared" si="92"/>
        <v>7.3955780404133517E-2</v>
      </c>
      <c r="CC209" s="167">
        <f t="shared" si="93"/>
        <v>96.51676834264488</v>
      </c>
      <c r="CD209" s="191">
        <f t="shared" si="94"/>
        <v>0.40798150869475502</v>
      </c>
      <c r="CE209" s="189">
        <f t="shared" si="95"/>
        <v>0.46325900845149243</v>
      </c>
      <c r="CF209" s="194" t="str">
        <f t="shared" si="96"/>
        <v>OK</v>
      </c>
      <c r="DA209" s="140"/>
      <c r="DB209" s="140"/>
      <c r="DC209" s="140"/>
      <c r="DD209" s="141"/>
      <c r="DE209" s="151"/>
      <c r="DF209" s="152"/>
      <c r="DG209" s="152"/>
      <c r="DH209" s="152"/>
      <c r="DI209" s="152"/>
      <c r="DJ209" s="152"/>
      <c r="DK209" s="161"/>
      <c r="DL209" s="162"/>
      <c r="DM209" s="162"/>
      <c r="DN209" s="162"/>
      <c r="DO209" s="162"/>
      <c r="DP209" s="162"/>
      <c r="DQ209" s="140"/>
      <c r="DR209" s="151"/>
      <c r="DS209" s="151"/>
      <c r="DT209" s="151"/>
      <c r="DU209" s="151"/>
      <c r="DV209" s="151"/>
      <c r="DW209" s="151"/>
      <c r="DX209" s="151"/>
      <c r="DY209" s="151"/>
      <c r="DZ209" s="151"/>
      <c r="EA209" s="161"/>
      <c r="EB209" s="161"/>
      <c r="EC209" s="161"/>
      <c r="ED209" s="161"/>
      <c r="EE209" s="161"/>
      <c r="EF209" s="161"/>
      <c r="EG209" s="161"/>
      <c r="EH209" s="161"/>
      <c r="EI209" s="161"/>
      <c r="EJ209" s="161"/>
      <c r="EK209" s="209"/>
      <c r="EL209" s="213"/>
      <c r="EM209" s="187"/>
      <c r="EN209" s="187"/>
      <c r="EO209" s="206"/>
      <c r="EP209" s="212"/>
      <c r="EQ209" s="208"/>
      <c r="ER209" s="187"/>
      <c r="ES209" s="187"/>
      <c r="ET209" s="187"/>
      <c r="EU209" s="187"/>
      <c r="EV209" s="210"/>
      <c r="EW209" s="209"/>
      <c r="EX209" s="210"/>
      <c r="EY209" s="162"/>
      <c r="EZ209" s="211"/>
      <c r="FA209" s="209"/>
      <c r="FB209" s="207"/>
      <c r="FC209" s="162"/>
      <c r="FD209" s="209"/>
      <c r="FE209" s="187"/>
      <c r="FF209" s="187"/>
    </row>
    <row r="210" spans="27:162">
      <c r="AA210" s="140" t="s">
        <v>210</v>
      </c>
      <c r="AB210" s="140" t="s">
        <v>240</v>
      </c>
      <c r="AC210" s="140">
        <v>104</v>
      </c>
      <c r="AD210" s="141">
        <v>2.6850000000000001</v>
      </c>
      <c r="AE210" s="151">
        <v>1100</v>
      </c>
      <c r="AF210" s="152">
        <v>350</v>
      </c>
      <c r="AG210" s="152">
        <v>14</v>
      </c>
      <c r="AH210" s="152">
        <v>18.000000000000004</v>
      </c>
      <c r="AI210" s="152">
        <v>1064</v>
      </c>
      <c r="AJ210" s="153" t="str" cm="1">
        <f t="array" ref="AJ210">_xll.Dce_Name_SectI(AE210, AE210, AF210, AG210, AH210, "x", "-", "H Tổng")</f>
        <v>1100x350x14x18</v>
      </c>
      <c r="AK210" s="161">
        <f t="shared" si="67"/>
        <v>1360</v>
      </c>
      <c r="AL210" s="162" cm="1">
        <f t="array" ref="AL210">IFERROR(INDEX($B$25:$B$32,IFERROR(MATCH(AF210,$B$25:$B$32,0),MATCH(AF210,$B$25:$B$32,1)+1)),$B$25)</f>
        <v>350</v>
      </c>
      <c r="AM210" s="162" cm="1">
        <f t="array" ref="AM210">IFERROR(VLOOKUP(AE210,$B$36:$E$47,4,FALSE),INDEX($E$36:$E$47,MATCH(AE210,$B$36:$B$47,1)+1))</f>
        <v>25</v>
      </c>
      <c r="AN210" s="162" cm="1">
        <f t="array" ref="AN210">IFERROR(VLOOKUP(AE210,$B$36:$E$47,2,FALSE),INDEX($C$36:$C$47,MATCH(AE210,$B$36:$B$47,1)+1))</f>
        <v>12</v>
      </c>
      <c r="AO210" s="162" cm="1">
        <f t="array" ref="AO210">IFERROR(VLOOKUP(AE210,$B$36:$E$47,3,FALSE),INDEX($D$36:$D$47,MATCH(AE210,$B$36:$B$47,1)+1))</f>
        <v>24</v>
      </c>
      <c r="AP210" s="163" t="str">
        <f t="shared" si="68"/>
        <v>1360x350x25 + 12M24</v>
      </c>
      <c r="AQ210" s="140" t="s">
        <v>254</v>
      </c>
      <c r="AR210" s="151">
        <v>0</v>
      </c>
      <c r="AS210" s="151">
        <v>623.61005077648849</v>
      </c>
      <c r="AT210" s="151">
        <v>-1.2846612662542609E-14</v>
      </c>
      <c r="AU210" s="151">
        <v>1.7367674231525934E-3</v>
      </c>
      <c r="AV210" s="151">
        <v>1.2802531728084429E-13</v>
      </c>
      <c r="AW210" s="151">
        <v>-1796.9294689248989</v>
      </c>
      <c r="BA210" s="161">
        <f t="shared" si="69"/>
        <v>60</v>
      </c>
      <c r="BB210" s="161">
        <f t="shared" si="70"/>
        <v>70</v>
      </c>
      <c r="BC210" s="161">
        <f t="shared" si="71"/>
        <v>80</v>
      </c>
      <c r="BD210" s="161">
        <f t="shared" si="72"/>
        <v>150</v>
      </c>
      <c r="BE210" s="161">
        <f>HLOOKUP(AO210,Data!$H$31:$Q$35,3,FALSE)</f>
        <v>452.38934211693021</v>
      </c>
      <c r="BF210" s="161">
        <f>HLOOKUP(AO210,Data!$H$31:$Q$35,4,FALSE)</f>
        <v>353</v>
      </c>
      <c r="BG210" s="179">
        <f t="shared" si="73"/>
        <v>180</v>
      </c>
      <c r="BH210" s="185">
        <f t="shared" si="74"/>
        <v>121.65654188208487</v>
      </c>
      <c r="BI210" s="185">
        <f t="shared" si="75"/>
        <v>243</v>
      </c>
      <c r="BJ210" s="185">
        <f t="shared" si="76"/>
        <v>142.3296</v>
      </c>
      <c r="BK210" s="185">
        <f t="shared" si="77"/>
        <v>51.709599392612148</v>
      </c>
      <c r="BL210" s="186">
        <f t="shared" si="78"/>
        <v>0.82166666666666666</v>
      </c>
      <c r="BM210" s="186">
        <f t="shared" si="79"/>
        <v>0.51729709189573592</v>
      </c>
      <c r="BN210" s="185" t="str">
        <f t="shared" si="80"/>
        <v>OK</v>
      </c>
      <c r="BO210" s="185" cm="1">
        <f t="array" ref="BO210">_xll.DCEBoltDisRS(AN210, AE210, BA210, BB210, BC210, BD210, "h1")</f>
        <v>1240</v>
      </c>
      <c r="BP210" s="185" cm="1">
        <f t="array" ref="BP210">_xll.DCEBoltDisRS(AN210, AE210, BA210, BB210, BC210, BD210, "Tong")</f>
        <v>3721800</v>
      </c>
      <c r="BQ210" s="185">
        <f t="shared" si="81"/>
        <v>304.5143611788327</v>
      </c>
      <c r="BR210" s="186">
        <f t="shared" si="82"/>
        <v>2.1395012785733445</v>
      </c>
      <c r="BS210" s="185" t="str">
        <f t="shared" si="83"/>
        <v>O/S</v>
      </c>
      <c r="BT210" s="186">
        <f t="shared" si="84"/>
        <v>2.1813137403204301</v>
      </c>
      <c r="BU210" s="185" t="str">
        <f t="shared" si="85"/>
        <v>O/S</v>
      </c>
      <c r="BV210" s="190">
        <f t="shared" si="86"/>
        <v>1633.5722444771807</v>
      </c>
      <c r="BW210" s="191">
        <f t="shared" si="87"/>
        <v>36.755375500736562</v>
      </c>
      <c r="BX210" s="190">
        <f t="shared" si="88"/>
        <v>816.78612223859034</v>
      </c>
      <c r="BY210" s="167">
        <f t="shared" si="89"/>
        <v>259.44970941696397</v>
      </c>
      <c r="BZ210" s="192">
        <f t="shared" si="90"/>
        <v>1.2612138652213527</v>
      </c>
      <c r="CA210" s="191">
        <f t="shared" si="91"/>
        <v>24.023121242311483</v>
      </c>
      <c r="CB210" s="193">
        <f t="shared" si="92"/>
        <v>0.20134320964580987</v>
      </c>
      <c r="CC210" s="167">
        <f t="shared" si="93"/>
        <v>262.76507145968895</v>
      </c>
      <c r="CD210" s="191">
        <f t="shared" si="94"/>
        <v>1.1107219204213907</v>
      </c>
      <c r="CE210" s="189">
        <f t="shared" si="95"/>
        <v>1.2612138652213527</v>
      </c>
      <c r="CF210" s="194" t="str">
        <f t="shared" si="96"/>
        <v>O/S</v>
      </c>
      <c r="DA210" s="140"/>
      <c r="DB210" s="140"/>
      <c r="DC210" s="140"/>
      <c r="DD210" s="141"/>
      <c r="DE210" s="151"/>
      <c r="DF210" s="152"/>
      <c r="DG210" s="152"/>
      <c r="DH210" s="152"/>
      <c r="DI210" s="152"/>
      <c r="DJ210" s="152"/>
      <c r="DK210" s="161"/>
      <c r="DL210" s="162"/>
      <c r="DM210" s="162"/>
      <c r="DN210" s="162"/>
      <c r="DO210" s="162"/>
      <c r="DP210" s="162"/>
      <c r="DQ210" s="140"/>
      <c r="DR210" s="151"/>
      <c r="DS210" s="151"/>
      <c r="DT210" s="151"/>
      <c r="DU210" s="151"/>
      <c r="DV210" s="151"/>
      <c r="DW210" s="151"/>
      <c r="DX210" s="151"/>
      <c r="DY210" s="151"/>
      <c r="DZ210" s="151"/>
      <c r="EA210" s="161"/>
      <c r="EB210" s="161"/>
      <c r="EC210" s="161"/>
      <c r="ED210" s="161"/>
      <c r="EE210" s="161"/>
      <c r="EF210" s="161"/>
      <c r="EG210" s="161"/>
      <c r="EH210" s="161"/>
      <c r="EI210" s="161"/>
      <c r="EJ210" s="161"/>
      <c r="EK210" s="209"/>
      <c r="EL210" s="213"/>
      <c r="EM210" s="187"/>
      <c r="EN210" s="187"/>
      <c r="EO210" s="206"/>
      <c r="EP210" s="212"/>
      <c r="EQ210" s="208"/>
      <c r="ER210" s="187"/>
      <c r="ES210" s="187"/>
      <c r="ET210" s="187"/>
      <c r="EU210" s="187"/>
      <c r="EV210" s="210"/>
      <c r="EW210" s="209"/>
      <c r="EX210" s="210"/>
      <c r="EY210" s="162"/>
      <c r="EZ210" s="211"/>
      <c r="FA210" s="209"/>
      <c r="FB210" s="207"/>
      <c r="FC210" s="162"/>
      <c r="FD210" s="209"/>
      <c r="FE210" s="187"/>
      <c r="FF210" s="187"/>
    </row>
    <row r="211" spans="27:162">
      <c r="AA211" s="140" t="s">
        <v>210</v>
      </c>
      <c r="AB211" s="140" t="s">
        <v>240</v>
      </c>
      <c r="AC211" s="140">
        <v>104</v>
      </c>
      <c r="AD211" s="141">
        <v>0</v>
      </c>
      <c r="AE211" s="151">
        <v>750</v>
      </c>
      <c r="AF211" s="152">
        <v>350</v>
      </c>
      <c r="AG211" s="152">
        <v>14</v>
      </c>
      <c r="AH211" s="152">
        <v>18.000000000000004</v>
      </c>
      <c r="AI211" s="152">
        <v>714</v>
      </c>
      <c r="AJ211" s="153" t="str" cm="1">
        <f t="array" ref="AJ211">_xll.Dce_Name_SectI(AE211, AE211, AF211, AG211, AH211, "x", "-", "H Tổng")</f>
        <v>750x350x14x18</v>
      </c>
      <c r="AK211" s="161">
        <f t="shared" si="67"/>
        <v>1010</v>
      </c>
      <c r="AL211" s="162" cm="1">
        <f t="array" ref="AL211">IFERROR(INDEX($B$25:$B$32,IFERROR(MATCH(AF211,$B$25:$B$32,0),MATCH(AF211,$B$25:$B$32,1)+1)),$B$25)</f>
        <v>350</v>
      </c>
      <c r="AM211" s="162" cm="1">
        <f t="array" ref="AM211">IFERROR(VLOOKUP(AE211,$B$36:$E$47,4,FALSE),INDEX($E$36:$E$47,MATCH(AE211,$B$36:$B$47,1)+1))</f>
        <v>25</v>
      </c>
      <c r="AN211" s="162" cm="1">
        <f t="array" ref="AN211">IFERROR(VLOOKUP(AE211,$B$36:$E$47,2,FALSE),INDEX($C$36:$C$47,MATCH(AE211,$B$36:$B$47,1)+1))</f>
        <v>12</v>
      </c>
      <c r="AO211" s="162" cm="1">
        <f t="array" ref="AO211">IFERROR(VLOOKUP(AE211,$B$36:$E$47,3,FALSE),INDEX($D$36:$D$47,MATCH(AE211,$B$36:$B$47,1)+1))</f>
        <v>24</v>
      </c>
      <c r="AP211" s="163" t="str">
        <f t="shared" si="68"/>
        <v>1010x350x25 + 12M24</v>
      </c>
      <c r="AQ211" s="140" t="s">
        <v>255</v>
      </c>
      <c r="AR211" s="151">
        <v>0</v>
      </c>
      <c r="AS211" s="151">
        <v>449.478199709921</v>
      </c>
      <c r="AT211" s="151">
        <v>-5.0652033678488796E-13</v>
      </c>
      <c r="AU211" s="151">
        <v>3.8281962090164256E-4</v>
      </c>
      <c r="AV211" s="151">
        <v>-7.8859739005565616E-14</v>
      </c>
      <c r="AW211" s="151">
        <v>-359.20807999362358</v>
      </c>
      <c r="BA211" s="161">
        <f t="shared" si="69"/>
        <v>60</v>
      </c>
      <c r="BB211" s="161">
        <f t="shared" si="70"/>
        <v>70</v>
      </c>
      <c r="BC211" s="161">
        <f t="shared" si="71"/>
        <v>80</v>
      </c>
      <c r="BD211" s="161">
        <f t="shared" si="72"/>
        <v>150</v>
      </c>
      <c r="BE211" s="161">
        <f>HLOOKUP(AO211,Data!$H$31:$Q$35,3,FALSE)</f>
        <v>452.38934211693021</v>
      </c>
      <c r="BF211" s="161">
        <f>HLOOKUP(AO211,Data!$H$31:$Q$35,4,FALSE)</f>
        <v>353</v>
      </c>
      <c r="BG211" s="179">
        <f t="shared" si="73"/>
        <v>180</v>
      </c>
      <c r="BH211" s="185">
        <f t="shared" si="74"/>
        <v>121.65654188208487</v>
      </c>
      <c r="BI211" s="185">
        <f t="shared" si="75"/>
        <v>243</v>
      </c>
      <c r="BJ211" s="185">
        <f t="shared" si="76"/>
        <v>142.3296</v>
      </c>
      <c r="BK211" s="185">
        <f t="shared" si="77"/>
        <v>37.270627075000348</v>
      </c>
      <c r="BL211" s="186">
        <f t="shared" si="78"/>
        <v>0.89458333333333329</v>
      </c>
      <c r="BM211" s="186">
        <f t="shared" si="79"/>
        <v>0.34246045525930796</v>
      </c>
      <c r="BN211" s="185" t="str">
        <f t="shared" si="80"/>
        <v>OK</v>
      </c>
      <c r="BO211" s="185" cm="1">
        <f t="array" ref="BO211">_xll.DCEBoltDisRS(AN211, AE211, BA211, BB211, BC211, BD211, "h1")</f>
        <v>890</v>
      </c>
      <c r="BP211" s="185" cm="1">
        <f t="array" ref="BP211">_xll.DCEBoltDisRS(AN211, AE211, BA211, BB211, BC211, BD211, "Tong")</f>
        <v>1800300</v>
      </c>
      <c r="BQ211" s="185">
        <f t="shared" si="81"/>
        <v>92.516484246778219</v>
      </c>
      <c r="BR211" s="186">
        <f t="shared" si="82"/>
        <v>0.6500157679553531</v>
      </c>
      <c r="BS211" s="185" t="str">
        <f t="shared" si="83"/>
        <v>OK</v>
      </c>
      <c r="BT211" s="186">
        <f t="shared" si="84"/>
        <v>0.71859348043090654</v>
      </c>
      <c r="BU211" s="185" t="str">
        <f t="shared" si="85"/>
        <v>OK</v>
      </c>
      <c r="BV211" s="190">
        <f t="shared" si="86"/>
        <v>478.9441066581648</v>
      </c>
      <c r="BW211" s="191">
        <f t="shared" si="87"/>
        <v>10.776242399808707</v>
      </c>
      <c r="BX211" s="190">
        <f t="shared" si="88"/>
        <v>239.4720533290824</v>
      </c>
      <c r="BY211" s="167">
        <f t="shared" si="89"/>
        <v>102.42765053283523</v>
      </c>
      <c r="BZ211" s="192">
        <f t="shared" si="90"/>
        <v>0.49791219009017129</v>
      </c>
      <c r="CA211" s="191">
        <f t="shared" si="91"/>
        <v>9.4840417160032633</v>
      </c>
      <c r="CB211" s="193">
        <f t="shared" si="92"/>
        <v>7.9487897523973713E-2</v>
      </c>
      <c r="CC211" s="167">
        <f t="shared" si="93"/>
        <v>103.73651592129598</v>
      </c>
      <c r="CD211" s="191">
        <f t="shared" si="94"/>
        <v>0.43849976536779706</v>
      </c>
      <c r="CE211" s="189">
        <f t="shared" si="95"/>
        <v>0.49791219009017129</v>
      </c>
      <c r="CF211" s="194" t="str">
        <f t="shared" si="96"/>
        <v>OK</v>
      </c>
      <c r="DA211" s="140"/>
      <c r="DB211" s="140"/>
      <c r="DC211" s="140"/>
      <c r="DD211" s="141"/>
      <c r="DE211" s="151"/>
      <c r="DF211" s="152"/>
      <c r="DG211" s="152"/>
      <c r="DH211" s="152"/>
      <c r="DI211" s="152"/>
      <c r="DJ211" s="152"/>
      <c r="DK211" s="161"/>
      <c r="DL211" s="162"/>
      <c r="DM211" s="162"/>
      <c r="DN211" s="162"/>
      <c r="DO211" s="162"/>
      <c r="DP211" s="162"/>
      <c r="DQ211" s="140"/>
      <c r="DR211" s="151"/>
      <c r="DS211" s="151"/>
      <c r="DT211" s="151"/>
      <c r="DU211" s="151"/>
      <c r="DV211" s="151"/>
      <c r="DW211" s="151"/>
      <c r="DX211" s="151"/>
      <c r="DY211" s="151"/>
      <c r="DZ211" s="151"/>
      <c r="EA211" s="161"/>
      <c r="EB211" s="161"/>
      <c r="EC211" s="161"/>
      <c r="ED211" s="161"/>
      <c r="EE211" s="161"/>
      <c r="EF211" s="161"/>
      <c r="EG211" s="161"/>
      <c r="EH211" s="161"/>
      <c r="EI211" s="161"/>
      <c r="EJ211" s="161"/>
      <c r="EK211" s="209"/>
      <c r="EL211" s="213"/>
      <c r="EM211" s="187"/>
      <c r="EN211" s="187"/>
      <c r="EO211" s="206"/>
      <c r="EP211" s="212"/>
      <c r="EQ211" s="208"/>
      <c r="ER211" s="187"/>
      <c r="ES211" s="187"/>
      <c r="ET211" s="187"/>
      <c r="EU211" s="187"/>
      <c r="EV211" s="210"/>
      <c r="EW211" s="209"/>
      <c r="EX211" s="210"/>
      <c r="EY211" s="162"/>
      <c r="EZ211" s="211"/>
      <c r="FA211" s="209"/>
      <c r="FB211" s="207"/>
      <c r="FC211" s="162"/>
      <c r="FD211" s="209"/>
      <c r="FE211" s="187"/>
      <c r="FF211" s="187"/>
    </row>
    <row r="212" spans="27:162">
      <c r="AA212" s="140" t="s">
        <v>210</v>
      </c>
      <c r="AB212" s="140" t="s">
        <v>240</v>
      </c>
      <c r="AC212" s="140">
        <v>104</v>
      </c>
      <c r="AD212" s="141">
        <v>2.6850000000000001</v>
      </c>
      <c r="AE212" s="151">
        <v>1100</v>
      </c>
      <c r="AF212" s="152">
        <v>350</v>
      </c>
      <c r="AG212" s="152">
        <v>14</v>
      </c>
      <c r="AH212" s="152">
        <v>18.000000000000004</v>
      </c>
      <c r="AI212" s="152">
        <v>1064</v>
      </c>
      <c r="AJ212" s="153" t="str" cm="1">
        <f t="array" ref="AJ212">_xll.Dce_Name_SectI(AE212, AE212, AF212, AG212, AH212, "x", "-", "H Tổng")</f>
        <v>1100x350x14x18</v>
      </c>
      <c r="AK212" s="161">
        <f t="shared" si="67"/>
        <v>1360</v>
      </c>
      <c r="AL212" s="162" cm="1">
        <f t="array" ref="AL212">IFERROR(INDEX($B$25:$B$32,IFERROR(MATCH(AF212,$B$25:$B$32,0),MATCH(AF212,$B$25:$B$32,1)+1)),$B$25)</f>
        <v>350</v>
      </c>
      <c r="AM212" s="162" cm="1">
        <f t="array" ref="AM212">IFERROR(VLOOKUP(AE212,$B$36:$E$47,4,FALSE),INDEX($E$36:$E$47,MATCH(AE212,$B$36:$B$47,1)+1))</f>
        <v>25</v>
      </c>
      <c r="AN212" s="162" cm="1">
        <f t="array" ref="AN212">IFERROR(VLOOKUP(AE212,$B$36:$E$47,2,FALSE),INDEX($C$36:$C$47,MATCH(AE212,$B$36:$B$47,1)+1))</f>
        <v>12</v>
      </c>
      <c r="AO212" s="162" cm="1">
        <f t="array" ref="AO212">IFERROR(VLOOKUP(AE212,$B$36:$E$47,3,FALSE),INDEX($D$36:$D$47,MATCH(AE212,$B$36:$B$47,1)+1))</f>
        <v>24</v>
      </c>
      <c r="AP212" s="163" t="str">
        <f t="shared" si="68"/>
        <v>1360x350x25 + 12M24</v>
      </c>
      <c r="AQ212" s="140" t="s">
        <v>255</v>
      </c>
      <c r="AR212" s="151">
        <v>0</v>
      </c>
      <c r="AS212" s="151">
        <v>627.77657958112172</v>
      </c>
      <c r="AT212" s="151">
        <v>4.5361048250924786E-14</v>
      </c>
      <c r="AU212" s="151">
        <v>3.8276283008657021E-4</v>
      </c>
      <c r="AV212" s="151">
        <v>-7.8786501944705366E-14</v>
      </c>
      <c r="AW212" s="151">
        <v>-1833.1163711598756</v>
      </c>
      <c r="BA212" s="161">
        <f t="shared" si="69"/>
        <v>60</v>
      </c>
      <c r="BB212" s="161">
        <f t="shared" si="70"/>
        <v>70</v>
      </c>
      <c r="BC212" s="161">
        <f t="shared" si="71"/>
        <v>80</v>
      </c>
      <c r="BD212" s="161">
        <f t="shared" si="72"/>
        <v>150</v>
      </c>
      <c r="BE212" s="161">
        <f>HLOOKUP(AO212,Data!$H$31:$Q$35,3,FALSE)</f>
        <v>452.38934211693021</v>
      </c>
      <c r="BF212" s="161">
        <f>HLOOKUP(AO212,Data!$H$31:$Q$35,4,FALSE)</f>
        <v>353</v>
      </c>
      <c r="BG212" s="179">
        <f t="shared" si="73"/>
        <v>180</v>
      </c>
      <c r="BH212" s="185">
        <f t="shared" si="74"/>
        <v>121.65654188208487</v>
      </c>
      <c r="BI212" s="185">
        <f t="shared" si="75"/>
        <v>243</v>
      </c>
      <c r="BJ212" s="185">
        <f t="shared" si="76"/>
        <v>142.3296</v>
      </c>
      <c r="BK212" s="185">
        <f t="shared" si="77"/>
        <v>52.055086985503088</v>
      </c>
      <c r="BL212" s="186">
        <f t="shared" si="78"/>
        <v>0.82166666666666666</v>
      </c>
      <c r="BM212" s="186">
        <f t="shared" si="79"/>
        <v>0.52075331142146819</v>
      </c>
      <c r="BN212" s="185" t="str">
        <f t="shared" si="80"/>
        <v>OK</v>
      </c>
      <c r="BO212" s="185" cm="1">
        <f t="array" ref="BO212">_xll.DCEBoltDisRS(AN212, AE212, BA212, BB212, BC212, BD212, "h1")</f>
        <v>1240</v>
      </c>
      <c r="BP212" s="185" cm="1">
        <f t="array" ref="BP212">_xll.DCEBoltDisRS(AN212, AE212, BA212, BB212, BC212, BD212, "Tong")</f>
        <v>3721800</v>
      </c>
      <c r="BQ212" s="185">
        <f t="shared" si="81"/>
        <v>310.57714342344764</v>
      </c>
      <c r="BR212" s="186">
        <f t="shared" si="82"/>
        <v>2.1820980556640897</v>
      </c>
      <c r="BS212" s="185" t="str">
        <f t="shared" si="83"/>
        <v>O/S</v>
      </c>
      <c r="BT212" s="186">
        <f t="shared" si="84"/>
        <v>2.2236542094839495</v>
      </c>
      <c r="BU212" s="185" t="str">
        <f t="shared" si="85"/>
        <v>O/S</v>
      </c>
      <c r="BV212" s="190">
        <f t="shared" si="86"/>
        <v>1666.4694283271594</v>
      </c>
      <c r="BW212" s="191">
        <f t="shared" si="87"/>
        <v>37.495562137361084</v>
      </c>
      <c r="BX212" s="190">
        <f t="shared" si="88"/>
        <v>833.23471416357972</v>
      </c>
      <c r="BY212" s="167">
        <f t="shared" si="89"/>
        <v>264.67455626372532</v>
      </c>
      <c r="BZ212" s="192">
        <f t="shared" si="90"/>
        <v>1.2866124262819982</v>
      </c>
      <c r="CA212" s="191">
        <f t="shared" si="91"/>
        <v>24.506903357752346</v>
      </c>
      <c r="CB212" s="193">
        <f t="shared" si="92"/>
        <v>0.20539789691602783</v>
      </c>
      <c r="CC212" s="167">
        <f t="shared" si="93"/>
        <v>268.05668368827992</v>
      </c>
      <c r="CD212" s="191">
        <f t="shared" si="94"/>
        <v>1.1330898465084298</v>
      </c>
      <c r="CE212" s="189">
        <f t="shared" si="95"/>
        <v>1.2866124262819982</v>
      </c>
      <c r="CF212" s="194" t="str">
        <f t="shared" si="96"/>
        <v>O/S</v>
      </c>
      <c r="DA212" s="140"/>
      <c r="DB212" s="140"/>
      <c r="DC212" s="140"/>
      <c r="DD212" s="141"/>
      <c r="DE212" s="151"/>
      <c r="DF212" s="152"/>
      <c r="DG212" s="152"/>
      <c r="DH212" s="152"/>
      <c r="DI212" s="152"/>
      <c r="DJ212" s="152"/>
      <c r="DK212" s="161"/>
      <c r="DL212" s="162"/>
      <c r="DM212" s="162"/>
      <c r="DN212" s="162"/>
      <c r="DO212" s="162"/>
      <c r="DP212" s="162"/>
      <c r="DQ212" s="140"/>
      <c r="DR212" s="151"/>
      <c r="DS212" s="151"/>
      <c r="DT212" s="151"/>
      <c r="DU212" s="151"/>
      <c r="DV212" s="151"/>
      <c r="DW212" s="151"/>
      <c r="DX212" s="151"/>
      <c r="DY212" s="151"/>
      <c r="DZ212" s="151"/>
      <c r="EA212" s="161"/>
      <c r="EB212" s="161"/>
      <c r="EC212" s="161"/>
      <c r="ED212" s="161"/>
      <c r="EE212" s="161"/>
      <c r="EF212" s="161"/>
      <c r="EG212" s="161"/>
      <c r="EH212" s="161"/>
      <c r="EI212" s="161"/>
      <c r="EJ212" s="161"/>
      <c r="EK212" s="209"/>
      <c r="EL212" s="213"/>
      <c r="EM212" s="187"/>
      <c r="EN212" s="187"/>
      <c r="EO212" s="206"/>
      <c r="EP212" s="212"/>
      <c r="EQ212" s="208"/>
      <c r="ER212" s="187"/>
      <c r="ES212" s="187"/>
      <c r="ET212" s="187"/>
      <c r="EU212" s="187"/>
      <c r="EV212" s="210"/>
      <c r="EW212" s="209"/>
      <c r="EX212" s="210"/>
      <c r="EY212" s="162"/>
      <c r="EZ212" s="211"/>
      <c r="FA212" s="209"/>
      <c r="FB212" s="207"/>
      <c r="FC212" s="162"/>
      <c r="FD212" s="209"/>
      <c r="FE212" s="187"/>
      <c r="FF212" s="187"/>
    </row>
    <row r="213" spans="27:162">
      <c r="AA213" s="140" t="s">
        <v>210</v>
      </c>
      <c r="AB213" s="140" t="s">
        <v>240</v>
      </c>
      <c r="AC213" s="140">
        <v>104</v>
      </c>
      <c r="AD213" s="141">
        <v>0</v>
      </c>
      <c r="AE213" s="151">
        <v>750</v>
      </c>
      <c r="AF213" s="152">
        <v>350</v>
      </c>
      <c r="AG213" s="152">
        <v>14</v>
      </c>
      <c r="AH213" s="152">
        <v>18.000000000000004</v>
      </c>
      <c r="AI213" s="152">
        <v>714</v>
      </c>
      <c r="AJ213" s="153" t="str" cm="1">
        <f t="array" ref="AJ213">_xll.Dce_Name_SectI(AE213, AE213, AF213, AG213, AH213, "x", "-", "H Tổng")</f>
        <v>750x350x14x18</v>
      </c>
      <c r="AK213" s="161">
        <f t="shared" si="67"/>
        <v>1010</v>
      </c>
      <c r="AL213" s="162" cm="1">
        <f t="array" ref="AL213">IFERROR(INDEX($B$25:$B$32,IFERROR(MATCH(AF213,$B$25:$B$32,0),MATCH(AF213,$B$25:$B$32,1)+1)),$B$25)</f>
        <v>350</v>
      </c>
      <c r="AM213" s="162" cm="1">
        <f t="array" ref="AM213">IFERROR(VLOOKUP(AE213,$B$36:$E$47,4,FALSE),INDEX($E$36:$E$47,MATCH(AE213,$B$36:$B$47,1)+1))</f>
        <v>25</v>
      </c>
      <c r="AN213" s="162" cm="1">
        <f t="array" ref="AN213">IFERROR(VLOOKUP(AE213,$B$36:$E$47,2,FALSE),INDEX($C$36:$C$47,MATCH(AE213,$B$36:$B$47,1)+1))</f>
        <v>12</v>
      </c>
      <c r="AO213" s="162" cm="1">
        <f t="array" ref="AO213">IFERROR(VLOOKUP(AE213,$B$36:$E$47,3,FALSE),INDEX($D$36:$D$47,MATCH(AE213,$B$36:$B$47,1)+1))</f>
        <v>24</v>
      </c>
      <c r="AP213" s="163" t="str">
        <f t="shared" si="68"/>
        <v>1010x350x25 + 12M24</v>
      </c>
      <c r="AQ213" s="140" t="s">
        <v>256</v>
      </c>
      <c r="AR213" s="151">
        <v>0</v>
      </c>
      <c r="AS213" s="151">
        <v>452.30916308385707</v>
      </c>
      <c r="AT213" s="151">
        <v>-4.0859049477148788E-14</v>
      </c>
      <c r="AU213" s="151">
        <v>8.1374281236103174E-4</v>
      </c>
      <c r="AV213" s="151">
        <v>-1.925509423017501E-14</v>
      </c>
      <c r="AW213" s="151">
        <v>-362.26609731019937</v>
      </c>
      <c r="BA213" s="161">
        <f t="shared" si="69"/>
        <v>60</v>
      </c>
      <c r="BB213" s="161">
        <f t="shared" si="70"/>
        <v>70</v>
      </c>
      <c r="BC213" s="161">
        <f t="shared" si="71"/>
        <v>80</v>
      </c>
      <c r="BD213" s="161">
        <f t="shared" si="72"/>
        <v>150</v>
      </c>
      <c r="BE213" s="161">
        <f>HLOOKUP(AO213,Data!$H$31:$Q$35,3,FALSE)</f>
        <v>452.38934211693021</v>
      </c>
      <c r="BF213" s="161">
        <f>HLOOKUP(AO213,Data!$H$31:$Q$35,4,FALSE)</f>
        <v>353</v>
      </c>
      <c r="BG213" s="179">
        <f t="shared" si="73"/>
        <v>180</v>
      </c>
      <c r="BH213" s="185">
        <f t="shared" si="74"/>
        <v>121.65654188208487</v>
      </c>
      <c r="BI213" s="185">
        <f t="shared" si="75"/>
        <v>243</v>
      </c>
      <c r="BJ213" s="185">
        <f t="shared" si="76"/>
        <v>142.3296</v>
      </c>
      <c r="BK213" s="185">
        <f t="shared" si="77"/>
        <v>37.505369895099406</v>
      </c>
      <c r="BL213" s="186">
        <f t="shared" si="78"/>
        <v>0.89458333333333329</v>
      </c>
      <c r="BM213" s="186">
        <f t="shared" si="79"/>
        <v>0.34461738524275598</v>
      </c>
      <c r="BN213" s="185" t="str">
        <f t="shared" si="80"/>
        <v>OK</v>
      </c>
      <c r="BO213" s="185" cm="1">
        <f t="array" ref="BO213">_xll.DCEBoltDisRS(AN213, AE213, BA213, BB213, BC213, BD213, "h1")</f>
        <v>890</v>
      </c>
      <c r="BP213" s="185" cm="1">
        <f t="array" ref="BP213">_xll.DCEBoltDisRS(AN213, AE213, BA213, BB213, BC213, BD213, "Tong")</f>
        <v>1800300</v>
      </c>
      <c r="BQ213" s="185">
        <f t="shared" si="81"/>
        <v>93.295842384743352</v>
      </c>
      <c r="BR213" s="186">
        <f t="shared" si="82"/>
        <v>0.65549149568848186</v>
      </c>
      <c r="BS213" s="185" t="str">
        <f t="shared" si="83"/>
        <v>OK</v>
      </c>
      <c r="BT213" s="186">
        <f t="shared" si="84"/>
        <v>0.72436951168559061</v>
      </c>
      <c r="BU213" s="185" t="str">
        <f t="shared" si="85"/>
        <v>OK</v>
      </c>
      <c r="BV213" s="190">
        <f t="shared" si="86"/>
        <v>483.02146308026585</v>
      </c>
      <c r="BW213" s="191">
        <f t="shared" si="87"/>
        <v>10.86798291930598</v>
      </c>
      <c r="BX213" s="190">
        <f t="shared" si="88"/>
        <v>241.51073154013292</v>
      </c>
      <c r="BY213" s="167">
        <f t="shared" si="89"/>
        <v>103.29963962904694</v>
      </c>
      <c r="BZ213" s="192">
        <f t="shared" si="90"/>
        <v>0.50215102597453376</v>
      </c>
      <c r="CA213" s="191">
        <f t="shared" si="91"/>
        <v>9.5647814471339778</v>
      </c>
      <c r="CB213" s="193">
        <f t="shared" si="92"/>
        <v>8.0164595462090343E-2</v>
      </c>
      <c r="CC213" s="167">
        <f t="shared" si="93"/>
        <v>104.61964767616682</v>
      </c>
      <c r="CD213" s="191">
        <f t="shared" si="94"/>
        <v>0.44223281022534294</v>
      </c>
      <c r="CE213" s="189">
        <f t="shared" si="95"/>
        <v>0.50215102597453376</v>
      </c>
      <c r="CF213" s="194" t="str">
        <f t="shared" si="96"/>
        <v>OK</v>
      </c>
      <c r="DA213" s="140"/>
      <c r="DB213" s="140"/>
      <c r="DC213" s="140"/>
      <c r="DD213" s="141"/>
      <c r="DE213" s="151"/>
      <c r="DF213" s="152"/>
      <c r="DG213" s="152"/>
      <c r="DH213" s="152"/>
      <c r="DI213" s="152"/>
      <c r="DJ213" s="152"/>
      <c r="DK213" s="161"/>
      <c r="DL213" s="162"/>
      <c r="DM213" s="162"/>
      <c r="DN213" s="162"/>
      <c r="DO213" s="162"/>
      <c r="DP213" s="162"/>
      <c r="DQ213" s="140"/>
      <c r="DR213" s="151"/>
      <c r="DS213" s="151"/>
      <c r="DT213" s="151"/>
      <c r="DU213" s="151"/>
      <c r="DV213" s="151"/>
      <c r="DW213" s="151"/>
      <c r="DX213" s="151"/>
      <c r="DY213" s="151"/>
      <c r="DZ213" s="151"/>
      <c r="EA213" s="161"/>
      <c r="EB213" s="161"/>
      <c r="EC213" s="161"/>
      <c r="ED213" s="161"/>
      <c r="EE213" s="161"/>
      <c r="EF213" s="161"/>
      <c r="EG213" s="161"/>
      <c r="EH213" s="161"/>
      <c r="EI213" s="161"/>
      <c r="EJ213" s="161"/>
      <c r="EK213" s="209"/>
      <c r="EL213" s="213"/>
      <c r="EM213" s="187"/>
      <c r="EN213" s="187"/>
      <c r="EO213" s="206"/>
      <c r="EP213" s="212"/>
      <c r="EQ213" s="208"/>
      <c r="ER213" s="187"/>
      <c r="ES213" s="187"/>
      <c r="ET213" s="187"/>
      <c r="EU213" s="187"/>
      <c r="EV213" s="210"/>
      <c r="EW213" s="209"/>
      <c r="EX213" s="210"/>
      <c r="EY213" s="162"/>
      <c r="EZ213" s="211"/>
      <c r="FA213" s="209"/>
      <c r="FB213" s="207"/>
      <c r="FC213" s="162"/>
      <c r="FD213" s="209"/>
      <c r="FE213" s="187"/>
      <c r="FF213" s="187"/>
    </row>
    <row r="214" spans="27:162">
      <c r="AA214" s="140" t="s">
        <v>210</v>
      </c>
      <c r="AB214" s="140" t="s">
        <v>240</v>
      </c>
      <c r="AC214" s="140">
        <v>104</v>
      </c>
      <c r="AD214" s="141">
        <v>2.6850000000000001</v>
      </c>
      <c r="AE214" s="151">
        <v>1100</v>
      </c>
      <c r="AF214" s="152">
        <v>350</v>
      </c>
      <c r="AG214" s="152">
        <v>14</v>
      </c>
      <c r="AH214" s="152">
        <v>18.000000000000004</v>
      </c>
      <c r="AI214" s="152">
        <v>1064</v>
      </c>
      <c r="AJ214" s="153" t="str" cm="1">
        <f t="array" ref="AJ214">_xll.Dce_Name_SectI(AE214, AE214, AF214, AG214, AH214, "x", "-", "H Tổng")</f>
        <v>1100x350x14x18</v>
      </c>
      <c r="AK214" s="161">
        <f t="shared" si="67"/>
        <v>1360</v>
      </c>
      <c r="AL214" s="162" cm="1">
        <f t="array" ref="AL214">IFERROR(INDEX($B$25:$B$32,IFERROR(MATCH(AF214,$B$25:$B$32,0),MATCH(AF214,$B$25:$B$32,1)+1)),$B$25)</f>
        <v>350</v>
      </c>
      <c r="AM214" s="162" cm="1">
        <f t="array" ref="AM214">IFERROR(VLOOKUP(AE214,$B$36:$E$47,4,FALSE),INDEX($E$36:$E$47,MATCH(AE214,$B$36:$B$47,1)+1))</f>
        <v>25</v>
      </c>
      <c r="AN214" s="162" cm="1">
        <f t="array" ref="AN214">IFERROR(VLOOKUP(AE214,$B$36:$E$47,2,FALSE),INDEX($C$36:$C$47,MATCH(AE214,$B$36:$B$47,1)+1))</f>
        <v>12</v>
      </c>
      <c r="AO214" s="162" cm="1">
        <f t="array" ref="AO214">IFERROR(VLOOKUP(AE214,$B$36:$E$47,3,FALSE),INDEX($D$36:$D$47,MATCH(AE214,$B$36:$B$47,1)+1))</f>
        <v>24</v>
      </c>
      <c r="AP214" s="163" t="str">
        <f t="shared" si="68"/>
        <v>1360x350x25 + 12M24</v>
      </c>
      <c r="AQ214" s="140" t="s">
        <v>256</v>
      </c>
      <c r="AR214" s="151">
        <v>0</v>
      </c>
      <c r="AS214" s="151">
        <v>630.60754363010869</v>
      </c>
      <c r="AT214" s="151">
        <v>-1.2846612662542609E-14</v>
      </c>
      <c r="AU214" s="151">
        <v>8.1362282110898306E-4</v>
      </c>
      <c r="AV214" s="151">
        <v>8.8160277300630673E-15</v>
      </c>
      <c r="AW214" s="151">
        <v>-1843.7754972615221</v>
      </c>
      <c r="BA214" s="161">
        <f t="shared" si="69"/>
        <v>60</v>
      </c>
      <c r="BB214" s="161">
        <f t="shared" si="70"/>
        <v>70</v>
      </c>
      <c r="BC214" s="161">
        <f t="shared" si="71"/>
        <v>80</v>
      </c>
      <c r="BD214" s="161">
        <f t="shared" si="72"/>
        <v>150</v>
      </c>
      <c r="BE214" s="161">
        <f>HLOOKUP(AO214,Data!$H$31:$Q$35,3,FALSE)</f>
        <v>452.38934211693021</v>
      </c>
      <c r="BF214" s="161">
        <f>HLOOKUP(AO214,Data!$H$31:$Q$35,4,FALSE)</f>
        <v>353</v>
      </c>
      <c r="BG214" s="179">
        <f t="shared" si="73"/>
        <v>180</v>
      </c>
      <c r="BH214" s="185">
        <f t="shared" si="74"/>
        <v>121.65654188208487</v>
      </c>
      <c r="BI214" s="185">
        <f t="shared" si="75"/>
        <v>243</v>
      </c>
      <c r="BJ214" s="185">
        <f t="shared" si="76"/>
        <v>142.3296</v>
      </c>
      <c r="BK214" s="185">
        <f t="shared" si="77"/>
        <v>52.289829861577203</v>
      </c>
      <c r="BL214" s="186">
        <f t="shared" si="78"/>
        <v>0.82166666666666666</v>
      </c>
      <c r="BM214" s="186">
        <f t="shared" si="79"/>
        <v>0.52310165309424728</v>
      </c>
      <c r="BN214" s="185" t="str">
        <f t="shared" si="80"/>
        <v>OK</v>
      </c>
      <c r="BO214" s="185" cm="1">
        <f t="array" ref="BO214">_xll.DCEBoltDisRS(AN214, AE214, BA214, BB214, BC214, BD214, "h1")</f>
        <v>1240</v>
      </c>
      <c r="BP214" s="185" cm="1">
        <f t="array" ref="BP214">_xll.DCEBoltDisRS(AN214, AE214, BA214, BB214, BC214, BD214, "Tong")</f>
        <v>3721800</v>
      </c>
      <c r="BQ214" s="185">
        <f t="shared" si="81"/>
        <v>312.37627953679021</v>
      </c>
      <c r="BR214" s="186">
        <f t="shared" si="82"/>
        <v>2.1947386877837793</v>
      </c>
      <c r="BS214" s="185" t="str">
        <f t="shared" si="83"/>
        <v>O/S</v>
      </c>
      <c r="BT214" s="186">
        <f t="shared" si="84"/>
        <v>2.2364299690817879</v>
      </c>
      <c r="BU214" s="185" t="str">
        <f t="shared" si="85"/>
        <v>O/S</v>
      </c>
      <c r="BV214" s="190">
        <f t="shared" si="86"/>
        <v>1676.1595429650199</v>
      </c>
      <c r="BW214" s="191">
        <f t="shared" si="87"/>
        <v>37.713589716712946</v>
      </c>
      <c r="BX214" s="190">
        <f t="shared" si="88"/>
        <v>838.07977148250995</v>
      </c>
      <c r="BY214" s="167">
        <f t="shared" si="89"/>
        <v>266.21357447091492</v>
      </c>
      <c r="BZ214" s="192">
        <f t="shared" si="90"/>
        <v>1.2940937647891699</v>
      </c>
      <c r="CA214" s="191">
        <f t="shared" si="91"/>
        <v>24.649405043603231</v>
      </c>
      <c r="CB214" s="193">
        <f t="shared" si="92"/>
        <v>0.20659223575816887</v>
      </c>
      <c r="CC214" s="167">
        <f t="shared" si="93"/>
        <v>269.61536814431076</v>
      </c>
      <c r="CD214" s="191">
        <f t="shared" si="94"/>
        <v>1.1396784885327147</v>
      </c>
      <c r="CE214" s="189">
        <f t="shared" si="95"/>
        <v>1.2940937647891699</v>
      </c>
      <c r="CF214" s="194" t="str">
        <f t="shared" si="96"/>
        <v>O/S</v>
      </c>
      <c r="DA214" s="140"/>
      <c r="DB214" s="140"/>
      <c r="DC214" s="140"/>
      <c r="DD214" s="141"/>
      <c r="DE214" s="151"/>
      <c r="DF214" s="152"/>
      <c r="DG214" s="152"/>
      <c r="DH214" s="152"/>
      <c r="DI214" s="152"/>
      <c r="DJ214" s="152"/>
      <c r="DK214" s="161"/>
      <c r="DL214" s="162"/>
      <c r="DM214" s="162"/>
      <c r="DN214" s="162"/>
      <c r="DO214" s="162"/>
      <c r="DP214" s="162"/>
      <c r="DQ214" s="140"/>
      <c r="DR214" s="151"/>
      <c r="DS214" s="151"/>
      <c r="DT214" s="151"/>
      <c r="DU214" s="151"/>
      <c r="DV214" s="151"/>
      <c r="DW214" s="151"/>
      <c r="DX214" s="151"/>
      <c r="DY214" s="151"/>
      <c r="DZ214" s="151"/>
      <c r="EA214" s="161"/>
      <c r="EB214" s="161"/>
      <c r="EC214" s="161"/>
      <c r="ED214" s="161"/>
      <c r="EE214" s="161"/>
      <c r="EF214" s="161"/>
      <c r="EG214" s="161"/>
      <c r="EH214" s="161"/>
      <c r="EI214" s="161"/>
      <c r="EJ214" s="161"/>
      <c r="EK214" s="209"/>
      <c r="EL214" s="213"/>
      <c r="EM214" s="187"/>
      <c r="EN214" s="187"/>
      <c r="EO214" s="206"/>
      <c r="EP214" s="212"/>
      <c r="EQ214" s="208"/>
      <c r="ER214" s="187"/>
      <c r="ES214" s="187"/>
      <c r="ET214" s="187"/>
      <c r="EU214" s="187"/>
      <c r="EV214" s="210"/>
      <c r="EW214" s="209"/>
      <c r="EX214" s="210"/>
      <c r="EY214" s="162"/>
      <c r="EZ214" s="211"/>
      <c r="FA214" s="209"/>
      <c r="FB214" s="207"/>
      <c r="FC214" s="162"/>
      <c r="FD214" s="209"/>
      <c r="FE214" s="187"/>
      <c r="FF214" s="187"/>
    </row>
    <row r="215" spans="27:162">
      <c r="AA215" s="140" t="s">
        <v>210</v>
      </c>
      <c r="AB215" s="140" t="s">
        <v>240</v>
      </c>
      <c r="AC215" s="140">
        <v>104</v>
      </c>
      <c r="AD215" s="141">
        <v>0</v>
      </c>
      <c r="AE215" s="151">
        <v>750</v>
      </c>
      <c r="AF215" s="152">
        <v>350</v>
      </c>
      <c r="AG215" s="152">
        <v>14</v>
      </c>
      <c r="AH215" s="152">
        <v>18.000000000000004</v>
      </c>
      <c r="AI215" s="152">
        <v>714</v>
      </c>
      <c r="AJ215" s="153" t="str" cm="1">
        <f t="array" ref="AJ215">_xll.Dce_Name_SectI(AE215, AE215, AF215, AG215, AH215, "x", "-", "H Tổng")</f>
        <v>750x350x14x18</v>
      </c>
      <c r="AK215" s="161">
        <f t="shared" si="67"/>
        <v>1010</v>
      </c>
      <c r="AL215" s="162" cm="1">
        <f t="array" ref="AL215">IFERROR(INDEX($B$25:$B$32,IFERROR(MATCH(AF215,$B$25:$B$32,0),MATCH(AF215,$B$25:$B$32,1)+1)),$B$25)</f>
        <v>350</v>
      </c>
      <c r="AM215" s="162" cm="1">
        <f t="array" ref="AM215">IFERROR(VLOOKUP(AE215,$B$36:$E$47,4,FALSE),INDEX($E$36:$E$47,MATCH(AE215,$B$36:$B$47,1)+1))</f>
        <v>25</v>
      </c>
      <c r="AN215" s="162" cm="1">
        <f t="array" ref="AN215">IFERROR(VLOOKUP(AE215,$B$36:$E$47,2,FALSE),INDEX($C$36:$C$47,MATCH(AE215,$B$36:$B$47,1)+1))</f>
        <v>12</v>
      </c>
      <c r="AO215" s="162" cm="1">
        <f t="array" ref="AO215">IFERROR(VLOOKUP(AE215,$B$36:$E$47,3,FALSE),INDEX($D$36:$D$47,MATCH(AE215,$B$36:$B$47,1)+1))</f>
        <v>24</v>
      </c>
      <c r="AP215" s="163" t="str">
        <f t="shared" si="68"/>
        <v>1010x350x25 + 12M24</v>
      </c>
      <c r="AQ215" s="140" t="s">
        <v>257</v>
      </c>
      <c r="AR215" s="151">
        <v>0</v>
      </c>
      <c r="AS215" s="151">
        <v>453.25117172327879</v>
      </c>
      <c r="AT215" s="151">
        <v>-4.0859049477148788E-14</v>
      </c>
      <c r="AU215" s="151">
        <v>1.003304034114754E-3</v>
      </c>
      <c r="AV215" s="151">
        <v>4.4074840843677513E-14</v>
      </c>
      <c r="AW215" s="151">
        <v>-381.7068647258339</v>
      </c>
      <c r="BA215" s="161">
        <f t="shared" si="69"/>
        <v>60</v>
      </c>
      <c r="BB215" s="161">
        <f t="shared" si="70"/>
        <v>70</v>
      </c>
      <c r="BC215" s="161">
        <f t="shared" si="71"/>
        <v>80</v>
      </c>
      <c r="BD215" s="161">
        <f t="shared" si="72"/>
        <v>150</v>
      </c>
      <c r="BE215" s="161">
        <f>HLOOKUP(AO215,Data!$H$31:$Q$35,3,FALSE)</f>
        <v>452.38934211693021</v>
      </c>
      <c r="BF215" s="161">
        <f>HLOOKUP(AO215,Data!$H$31:$Q$35,4,FALSE)</f>
        <v>353</v>
      </c>
      <c r="BG215" s="179">
        <f t="shared" si="73"/>
        <v>180</v>
      </c>
      <c r="BH215" s="185">
        <f t="shared" si="74"/>
        <v>121.65654188208487</v>
      </c>
      <c r="BI215" s="185">
        <f t="shared" si="75"/>
        <v>243</v>
      </c>
      <c r="BJ215" s="185">
        <f t="shared" si="76"/>
        <v>142.3296</v>
      </c>
      <c r="BK215" s="185">
        <f t="shared" si="77"/>
        <v>37.583481030909716</v>
      </c>
      <c r="BL215" s="186">
        <f t="shared" si="78"/>
        <v>0.89458333333333329</v>
      </c>
      <c r="BM215" s="186">
        <f t="shared" si="79"/>
        <v>0.34533510794370731</v>
      </c>
      <c r="BN215" s="185" t="str">
        <f t="shared" si="80"/>
        <v>OK</v>
      </c>
      <c r="BO215" s="185" cm="1">
        <f t="array" ref="BO215">_xll.DCEBoltDisRS(AN215, AE215, BA215, BB215, BC215, BD215, "h1")</f>
        <v>890</v>
      </c>
      <c r="BP215" s="185" cm="1">
        <f t="array" ref="BP215">_xll.DCEBoltDisRS(AN215, AE215, BA215, BB215, BC215, BD215, "Tong")</f>
        <v>1800300</v>
      </c>
      <c r="BQ215" s="185">
        <f t="shared" si="81"/>
        <v>98.109042322385562</v>
      </c>
      <c r="BR215" s="186">
        <f t="shared" si="82"/>
        <v>0.68930877570361726</v>
      </c>
      <c r="BS215" s="185" t="str">
        <f t="shared" si="83"/>
        <v>OK</v>
      </c>
      <c r="BT215" s="186">
        <f t="shared" si="84"/>
        <v>0.75537075054773983</v>
      </c>
      <c r="BU215" s="185" t="str">
        <f t="shared" si="85"/>
        <v>OK</v>
      </c>
      <c r="BV215" s="190">
        <f t="shared" si="86"/>
        <v>508.94248630111184</v>
      </c>
      <c r="BW215" s="191">
        <f t="shared" si="87"/>
        <v>11.451205941775015</v>
      </c>
      <c r="BX215" s="190">
        <f t="shared" si="88"/>
        <v>254.47124315055592</v>
      </c>
      <c r="BY215" s="167">
        <f t="shared" si="89"/>
        <v>108.84314558518825</v>
      </c>
      <c r="BZ215" s="192">
        <f t="shared" si="90"/>
        <v>0.52909862437244293</v>
      </c>
      <c r="CA215" s="191">
        <f t="shared" si="91"/>
        <v>10.07806903566558</v>
      </c>
      <c r="CB215" s="193">
        <f t="shared" si="92"/>
        <v>8.4466574772101372E-2</v>
      </c>
      <c r="CC215" s="167">
        <f t="shared" si="93"/>
        <v>110.23399097983075</v>
      </c>
      <c r="CD215" s="191">
        <f t="shared" si="94"/>
        <v>0.46596493771667596</v>
      </c>
      <c r="CE215" s="189">
        <f t="shared" si="95"/>
        <v>0.52909862437244293</v>
      </c>
      <c r="CF215" s="194" t="str">
        <f t="shared" si="96"/>
        <v>OK</v>
      </c>
      <c r="DA215" s="140"/>
      <c r="DB215" s="140"/>
      <c r="DC215" s="140"/>
      <c r="DD215" s="141"/>
      <c r="DE215" s="151"/>
      <c r="DF215" s="152"/>
      <c r="DG215" s="152"/>
      <c r="DH215" s="152"/>
      <c r="DI215" s="152"/>
      <c r="DJ215" s="152"/>
      <c r="DK215" s="161"/>
      <c r="DL215" s="162"/>
      <c r="DM215" s="162"/>
      <c r="DN215" s="162"/>
      <c r="DO215" s="162"/>
      <c r="DP215" s="162"/>
      <c r="DQ215" s="140"/>
      <c r="DR215" s="151"/>
      <c r="DS215" s="151"/>
      <c r="DT215" s="151"/>
      <c r="DU215" s="151"/>
      <c r="DV215" s="151"/>
      <c r="DW215" s="151"/>
      <c r="DX215" s="151"/>
      <c r="DY215" s="151"/>
      <c r="DZ215" s="151"/>
      <c r="EA215" s="161"/>
      <c r="EB215" s="161"/>
      <c r="EC215" s="161"/>
      <c r="ED215" s="161"/>
      <c r="EE215" s="161"/>
      <c r="EF215" s="161"/>
      <c r="EG215" s="161"/>
      <c r="EH215" s="161"/>
      <c r="EI215" s="161"/>
      <c r="EJ215" s="161"/>
      <c r="EK215" s="209"/>
      <c r="EL215" s="213"/>
      <c r="EM215" s="187"/>
      <c r="EN215" s="187"/>
      <c r="EO215" s="206"/>
      <c r="EP215" s="212"/>
      <c r="EQ215" s="208"/>
      <c r="ER215" s="187"/>
      <c r="ES215" s="187"/>
      <c r="ET215" s="187"/>
      <c r="EU215" s="187"/>
      <c r="EV215" s="210"/>
      <c r="EW215" s="209"/>
      <c r="EX215" s="210"/>
      <c r="EY215" s="162"/>
      <c r="EZ215" s="211"/>
      <c r="FA215" s="209"/>
      <c r="FB215" s="207"/>
      <c r="FC215" s="162"/>
      <c r="FD215" s="209"/>
      <c r="FE215" s="187"/>
      <c r="FF215" s="187"/>
    </row>
    <row r="216" spans="27:162">
      <c r="AA216" s="140" t="s">
        <v>210</v>
      </c>
      <c r="AB216" s="140" t="s">
        <v>240</v>
      </c>
      <c r="AC216" s="140">
        <v>104</v>
      </c>
      <c r="AD216" s="141">
        <v>2.6850000000000001</v>
      </c>
      <c r="AE216" s="151">
        <v>1100</v>
      </c>
      <c r="AF216" s="152">
        <v>350</v>
      </c>
      <c r="AG216" s="152">
        <v>14</v>
      </c>
      <c r="AH216" s="152">
        <v>18.000000000000004</v>
      </c>
      <c r="AI216" s="152">
        <v>1064</v>
      </c>
      <c r="AJ216" s="153" t="str" cm="1">
        <f t="array" ref="AJ216">_xll.Dce_Name_SectI(AE216, AE216, AF216, AG216, AH216, "x", "-", "H Tổng")</f>
        <v>1100x350x14x18</v>
      </c>
      <c r="AK216" s="161">
        <f t="shared" ref="AK216:AK238" si="97">AE216+2*(VLOOKUP(AO216,$B$13:$F$21,2,FALSE)+VLOOKUP(AO216,$B$13:$F$21,3,FALSE))</f>
        <v>1360</v>
      </c>
      <c r="AL216" s="162" cm="1">
        <f t="array" ref="AL216">IFERROR(INDEX($B$25:$B$32,IFERROR(MATCH(AF216,$B$25:$B$32,0),MATCH(AF216,$B$25:$B$32,1)+1)),$B$25)</f>
        <v>350</v>
      </c>
      <c r="AM216" s="162" cm="1">
        <f t="array" ref="AM216">IFERROR(VLOOKUP(AE216,$B$36:$E$47,4,FALSE),INDEX($E$36:$E$47,MATCH(AE216,$B$36:$B$47,1)+1))</f>
        <v>25</v>
      </c>
      <c r="AN216" s="162" cm="1">
        <f t="array" ref="AN216">IFERROR(VLOOKUP(AE216,$B$36:$E$47,2,FALSE),INDEX($C$36:$C$47,MATCH(AE216,$B$36:$B$47,1)+1))</f>
        <v>12</v>
      </c>
      <c r="AO216" s="162" cm="1">
        <f t="array" ref="AO216">IFERROR(VLOOKUP(AE216,$B$36:$E$47,3,FALSE),INDEX($D$36:$D$47,MATCH(AE216,$B$36:$B$47,1)+1))</f>
        <v>24</v>
      </c>
      <c r="AP216" s="163" t="str">
        <f t="shared" ref="AP216:AP238" si="98">AK216&amp;"x"&amp;AL216&amp;"x"&amp;AM216&amp;" + "&amp;AN216&amp;"M"&amp;AO216</f>
        <v>1360x350x25 + 12M24</v>
      </c>
      <c r="AQ216" s="140" t="s">
        <v>257</v>
      </c>
      <c r="AR216" s="151">
        <v>0</v>
      </c>
      <c r="AS216" s="151">
        <v>631.54955279364833</v>
      </c>
      <c r="AT216" s="151">
        <v>-1.1937117960769681E-14</v>
      </c>
      <c r="AU216" s="151">
        <v>1.0031562862868519E-3</v>
      </c>
      <c r="AV216" s="151">
        <v>7.4472382038948108E-15</v>
      </c>
      <c r="AW216" s="151">
        <v>-1865.7455673476859</v>
      </c>
      <c r="BA216" s="161">
        <f t="shared" ref="BA216:BA238" si="99">VLOOKUP(AO216,$B$13:$F$21,2,FALSE)</f>
        <v>60</v>
      </c>
      <c r="BB216" s="161">
        <f t="shared" ref="BB216:BB238" si="100">VLOOKUP(AO216,$B$13:$F$21,3,FALSE)</f>
        <v>70</v>
      </c>
      <c r="BC216" s="161">
        <f t="shared" ref="BC216:BC238" si="101">VLOOKUP(AO216,$B$13:$F$21,4,FALSE)</f>
        <v>80</v>
      </c>
      <c r="BD216" s="161">
        <f t="shared" ref="BD216:BD238" si="102">VLOOKUP(AO216,$B$13:$F$21,5,FALSE)</f>
        <v>150</v>
      </c>
      <c r="BE216" s="161">
        <f>HLOOKUP(AO216,Data!$H$31:$Q$35,3,FALSE)</f>
        <v>452.38934211693021</v>
      </c>
      <c r="BF216" s="161">
        <f>HLOOKUP(AO216,Data!$H$31:$Q$35,4,FALSE)</f>
        <v>353</v>
      </c>
      <c r="BG216" s="179">
        <f t="shared" ref="BG216:BG238" si="103">VLOOKUP(AL216,$B$25:$C$32,2,FALSE)</f>
        <v>180</v>
      </c>
      <c r="BH216" s="185">
        <f t="shared" ref="BH216:BH238" si="104">$R$17*BE216*$R$24*$R$25/1000</f>
        <v>121.65654188208487</v>
      </c>
      <c r="BI216" s="185">
        <f t="shared" ref="BI216:BI238" si="105">$R$19*AO216*AM216*$R$24*$R$25/1000</f>
        <v>243</v>
      </c>
      <c r="BJ216" s="185">
        <f t="shared" ref="BJ216:BJ238" si="106">$R$18*BF216*$R$24/1000</f>
        <v>142.3296</v>
      </c>
      <c r="BK216" s="185">
        <f t="shared" ref="BK216:BK238" si="107">(ABS(AS216)*COS(RADIANS($R$46))+AR216*SIN(RADIANS($R$46)))/AN216</f>
        <v>52.367941040847256</v>
      </c>
      <c r="BL216" s="186">
        <f t="shared" ref="BL216:BL238" si="108">IF(BO216&lt;=16*AO216,1,MAX(0.75,1-0.005*(BO216/AO216-16)))</f>
        <v>0.82166666666666666</v>
      </c>
      <c r="BM216" s="186">
        <f t="shared" ref="BM216:BM238" si="109">ABS(BK216/(BL216*MIN(BH216,BI216)))</f>
        <v>0.5238830686603233</v>
      </c>
      <c r="BN216" s="185" t="str">
        <f t="shared" ref="BN216:BN238" si="110">IF(BM216&lt;=1,"OK","O/S")</f>
        <v>OK</v>
      </c>
      <c r="BO216" s="185" cm="1">
        <f t="array" ref="BO216">_xll.DCEBoltDisRS(AN216, AE216, BA216, BB216, BC216, BD216, "h1")</f>
        <v>1240</v>
      </c>
      <c r="BP216" s="185" cm="1">
        <f t="array" ref="BP216">_xll.DCEBoltDisRS(AN216, AE216, BA216, BB216, BC216, BD216, "Tong")</f>
        <v>3721800</v>
      </c>
      <c r="BQ216" s="185">
        <f t="shared" ref="BQ216:BQ238" si="111">ABS(AW216)*1000*BO216/(2*BP216)+(AR216*COS(RADIANS($R$46))+ABS(AS216)*SIN(RADIANS($R$46)))/AN216</f>
        <v>316.04399807946362</v>
      </c>
      <c r="BR216" s="186">
        <f t="shared" ref="BR216:BR238" si="112">ABS(BQ216/BJ216)</f>
        <v>2.2205078780483021</v>
      </c>
      <c r="BS216" s="185" t="str">
        <f t="shared" ref="BS216:BS238" si="113">IF(BR216&lt;=1,"OK","O/S")</f>
        <v>O/S</v>
      </c>
      <c r="BT216" s="186">
        <f t="shared" ref="BT216:BT238" si="114">SQRT((BK216/BH216)^2+(BQ216/BJ216)^2)</f>
        <v>2.2618462999595748</v>
      </c>
      <c r="BU216" s="185" t="str">
        <f t="shared" ref="BU216:BU238" si="115">IF(BT216&lt;=1,"OK","O/S")</f>
        <v>O/S</v>
      </c>
      <c r="BV216" s="190">
        <f t="shared" ref="BV216:BV238" si="116">ABS(ABS(AW216)/(AE216/1000)+AR216)</f>
        <v>1696.1323339524415</v>
      </c>
      <c r="BW216" s="191">
        <f t="shared" ref="BW216:BW238" si="117">BV216*(BG216/1000)/8</f>
        <v>38.162977513929931</v>
      </c>
      <c r="BX216" s="190">
        <f t="shared" ref="BX216:BX238" si="118">BV216/2</f>
        <v>848.06616697622076</v>
      </c>
      <c r="BY216" s="167">
        <f t="shared" ref="BY216:BY238" si="119">6*BW216*1000000/(AK216*AM216^2)</f>
        <v>269.38572362774073</v>
      </c>
      <c r="BZ216" s="192">
        <f t="shared" ref="BZ216:BZ238" si="120">BY216/($R$32*$R$30)</f>
        <v>1.3095139343015176</v>
      </c>
      <c r="CA216" s="191">
        <f t="shared" ref="CA216:CA238" si="121">BX216*1000/(AK216*AM216)</f>
        <v>24.943122558124141</v>
      </c>
      <c r="CB216" s="193">
        <f t="shared" ref="CB216:CB238" si="122">CA216/($R$32*$R$31)</f>
        <v>0.20905394864328186</v>
      </c>
      <c r="CC216" s="167">
        <f t="shared" ref="CC216:CC238" si="123">SQRT(BY216^2+3*CA216^2)</f>
        <v>272.82805241266948</v>
      </c>
      <c r="CD216" s="191">
        <f t="shared" ref="CD216:CD238" si="124">CC216/(1.15*$R$32*$R$30)</f>
        <v>1.1532586756574195</v>
      </c>
      <c r="CE216" s="189">
        <f t="shared" ref="CE216:CE238" si="125">ABS(MAX(BZ216,CB216,CD216))</f>
        <v>1.3095139343015176</v>
      </c>
      <c r="CF216" s="194" t="str">
        <f t="shared" ref="CF216:CF238" si="126">IF(CE216&lt;=1,"OK","O/S")</f>
        <v>O/S</v>
      </c>
      <c r="DA216" s="140"/>
      <c r="DB216" s="140"/>
      <c r="DC216" s="140"/>
      <c r="DD216" s="141"/>
      <c r="DE216" s="151"/>
      <c r="DF216" s="152"/>
      <c r="DG216" s="152"/>
      <c r="DH216" s="152"/>
      <c r="DI216" s="152"/>
      <c r="DJ216" s="152"/>
      <c r="DK216" s="161"/>
      <c r="DL216" s="162"/>
      <c r="DM216" s="162"/>
      <c r="DN216" s="162"/>
      <c r="DO216" s="162"/>
      <c r="DP216" s="162"/>
      <c r="DQ216" s="140"/>
      <c r="DR216" s="151"/>
      <c r="DS216" s="151"/>
      <c r="DT216" s="151"/>
      <c r="DU216" s="151"/>
      <c r="DV216" s="151"/>
      <c r="DW216" s="151"/>
      <c r="DX216" s="151"/>
      <c r="DY216" s="151"/>
      <c r="DZ216" s="151"/>
      <c r="EA216" s="161"/>
      <c r="EB216" s="161"/>
      <c r="EC216" s="161"/>
      <c r="ED216" s="161"/>
      <c r="EE216" s="161"/>
      <c r="EF216" s="161"/>
      <c r="EG216" s="161"/>
      <c r="EH216" s="161"/>
      <c r="EI216" s="161"/>
      <c r="EJ216" s="161"/>
      <c r="EK216" s="209"/>
      <c r="EL216" s="213"/>
      <c r="EM216" s="187"/>
      <c r="EN216" s="187"/>
      <c r="EO216" s="206"/>
      <c r="EP216" s="212"/>
      <c r="EQ216" s="208"/>
      <c r="ER216" s="187"/>
      <c r="ES216" s="187"/>
      <c r="ET216" s="187"/>
      <c r="EU216" s="187"/>
      <c r="EV216" s="210"/>
      <c r="EW216" s="209"/>
      <c r="EX216" s="210"/>
      <c r="EY216" s="162"/>
      <c r="EZ216" s="211"/>
      <c r="FA216" s="209"/>
      <c r="FB216" s="207"/>
      <c r="FC216" s="162"/>
      <c r="FD216" s="209"/>
      <c r="FE216" s="187"/>
      <c r="FF216" s="187"/>
    </row>
    <row r="217" spans="27:162">
      <c r="AA217" s="140" t="s">
        <v>210</v>
      </c>
      <c r="AB217" s="140" t="s">
        <v>240</v>
      </c>
      <c r="AC217" s="140">
        <v>104</v>
      </c>
      <c r="AD217" s="141">
        <v>0</v>
      </c>
      <c r="AE217" s="151">
        <v>750</v>
      </c>
      <c r="AF217" s="152">
        <v>350</v>
      </c>
      <c r="AG217" s="152">
        <v>14</v>
      </c>
      <c r="AH217" s="152">
        <v>18.000000000000004</v>
      </c>
      <c r="AI217" s="152">
        <v>714</v>
      </c>
      <c r="AJ217" s="153" t="str" cm="1">
        <f t="array" ref="AJ217">_xll.Dce_Name_SectI(AE217, AE217, AF217, AG217, AH217, "x", "-", "H Tổng")</f>
        <v>750x350x14x18</v>
      </c>
      <c r="AK217" s="161">
        <f t="shared" si="97"/>
        <v>1010</v>
      </c>
      <c r="AL217" s="162" cm="1">
        <f t="array" ref="AL217">IFERROR(INDEX($B$25:$B$32,IFERROR(MATCH(AF217,$B$25:$B$32,0),MATCH(AF217,$B$25:$B$32,1)+1)),$B$25)</f>
        <v>350</v>
      </c>
      <c r="AM217" s="162" cm="1">
        <f t="array" ref="AM217">IFERROR(VLOOKUP(AE217,$B$36:$E$47,4,FALSE),INDEX($E$36:$E$47,MATCH(AE217,$B$36:$B$47,1)+1))</f>
        <v>25</v>
      </c>
      <c r="AN217" s="162" cm="1">
        <f t="array" ref="AN217">IFERROR(VLOOKUP(AE217,$B$36:$E$47,2,FALSE),INDEX($C$36:$C$47,MATCH(AE217,$B$36:$B$47,1)+1))</f>
        <v>12</v>
      </c>
      <c r="AO217" s="162" cm="1">
        <f t="array" ref="AO217">IFERROR(VLOOKUP(AE217,$B$36:$E$47,3,FALSE),INDEX($D$36:$D$47,MATCH(AE217,$B$36:$B$47,1)+1))</f>
        <v>24</v>
      </c>
      <c r="AP217" s="163" t="str">
        <f t="shared" si="98"/>
        <v>1010x350x25 + 12M24</v>
      </c>
      <c r="AQ217" s="140" t="s">
        <v>258</v>
      </c>
      <c r="AR217" s="151">
        <v>0</v>
      </c>
      <c r="AS217" s="151">
        <v>456.38996878394306</v>
      </c>
      <c r="AT217" s="151">
        <v>-4.4497028284240504E-14</v>
      </c>
      <c r="AU217" s="151">
        <v>1.0520829537956286E-3</v>
      </c>
      <c r="AV217" s="151">
        <v>4.4074840843677513E-14</v>
      </c>
      <c r="AW217" s="151">
        <v>-386.07572559669472</v>
      </c>
      <c r="BA217" s="161">
        <f t="shared" si="99"/>
        <v>60</v>
      </c>
      <c r="BB217" s="161">
        <f t="shared" si="100"/>
        <v>70</v>
      </c>
      <c r="BC217" s="161">
        <f t="shared" si="101"/>
        <v>80</v>
      </c>
      <c r="BD217" s="161">
        <f t="shared" si="102"/>
        <v>150</v>
      </c>
      <c r="BE217" s="161">
        <f>HLOOKUP(AO217,Data!$H$31:$Q$35,3,FALSE)</f>
        <v>452.38934211693021</v>
      </c>
      <c r="BF217" s="161">
        <f>HLOOKUP(AO217,Data!$H$31:$Q$35,4,FALSE)</f>
        <v>353</v>
      </c>
      <c r="BG217" s="179">
        <f t="shared" si="103"/>
        <v>180</v>
      </c>
      <c r="BH217" s="185">
        <f t="shared" si="104"/>
        <v>121.65654188208487</v>
      </c>
      <c r="BI217" s="185">
        <f t="shared" si="105"/>
        <v>243</v>
      </c>
      <c r="BJ217" s="185">
        <f t="shared" si="106"/>
        <v>142.3296</v>
      </c>
      <c r="BK217" s="185">
        <f t="shared" si="107"/>
        <v>37.843749348233281</v>
      </c>
      <c r="BL217" s="186">
        <f t="shared" si="108"/>
        <v>0.89458333333333329</v>
      </c>
      <c r="BM217" s="186">
        <f t="shared" si="109"/>
        <v>0.34772657847788541</v>
      </c>
      <c r="BN217" s="185" t="str">
        <f t="shared" si="110"/>
        <v>OK</v>
      </c>
      <c r="BO217" s="185" cm="1">
        <f t="array" ref="BO217">_xll.DCEBoltDisRS(AN217, AE217, BA217, BB217, BC217, BD217, "h1")</f>
        <v>890</v>
      </c>
      <c r="BP217" s="185" cm="1">
        <f t="array" ref="BP217">_xll.DCEBoltDisRS(AN217, AE217, BA217, BB217, BC217, BD217, "Tong")</f>
        <v>1800300</v>
      </c>
      <c r="BQ217" s="185">
        <f t="shared" si="111"/>
        <v>99.21496866394024</v>
      </c>
      <c r="BR217" s="186">
        <f t="shared" si="112"/>
        <v>0.69707895380820462</v>
      </c>
      <c r="BS217" s="185" t="str">
        <f t="shared" si="113"/>
        <v>OK</v>
      </c>
      <c r="BT217" s="186">
        <f t="shared" si="114"/>
        <v>0.76333731903617397</v>
      </c>
      <c r="BU217" s="185" t="str">
        <f t="shared" si="115"/>
        <v>OK</v>
      </c>
      <c r="BV217" s="190">
        <f t="shared" si="116"/>
        <v>514.76763412892626</v>
      </c>
      <c r="BW217" s="191">
        <f t="shared" si="117"/>
        <v>11.58227176790084</v>
      </c>
      <c r="BX217" s="190">
        <f t="shared" si="118"/>
        <v>257.38381706446313</v>
      </c>
      <c r="BY217" s="167">
        <f t="shared" si="119"/>
        <v>110.08891977410698</v>
      </c>
      <c r="BZ217" s="192">
        <f t="shared" si="120"/>
        <v>0.53515447112413117</v>
      </c>
      <c r="CA217" s="191">
        <f t="shared" si="121"/>
        <v>10.193418497602501</v>
      </c>
      <c r="CB217" s="193">
        <f t="shared" si="122"/>
        <v>8.5433344687760426E-2</v>
      </c>
      <c r="CC217" s="167">
        <f t="shared" si="123"/>
        <v>111.49568421706536</v>
      </c>
      <c r="CD217" s="191">
        <f t="shared" si="124"/>
        <v>0.47129818207696716</v>
      </c>
      <c r="CE217" s="189">
        <f t="shared" si="125"/>
        <v>0.53515447112413117</v>
      </c>
      <c r="CF217" s="194" t="str">
        <f t="shared" si="126"/>
        <v>OK</v>
      </c>
      <c r="DA217" s="140"/>
      <c r="DB217" s="140"/>
      <c r="DC217" s="140"/>
      <c r="DD217" s="141"/>
      <c r="DE217" s="151"/>
      <c r="DF217" s="152"/>
      <c r="DG217" s="152"/>
      <c r="DH217" s="152"/>
      <c r="DI217" s="152"/>
      <c r="DJ217" s="152"/>
      <c r="DK217" s="161"/>
      <c r="DL217" s="162"/>
      <c r="DM217" s="162"/>
      <c r="DN217" s="162"/>
      <c r="DO217" s="162"/>
      <c r="DP217" s="162"/>
      <c r="DQ217" s="140"/>
      <c r="DR217" s="151"/>
      <c r="DS217" s="151"/>
      <c r="DT217" s="151"/>
      <c r="DU217" s="151"/>
      <c r="DV217" s="151"/>
      <c r="DW217" s="151"/>
      <c r="DX217" s="151"/>
      <c r="DY217" s="151"/>
      <c r="DZ217" s="151"/>
      <c r="EA217" s="161"/>
      <c r="EB217" s="161"/>
      <c r="EC217" s="161"/>
      <c r="ED217" s="161"/>
      <c r="EE217" s="161"/>
      <c r="EF217" s="161"/>
      <c r="EG217" s="161"/>
      <c r="EH217" s="161"/>
      <c r="EI217" s="161"/>
      <c r="EJ217" s="161"/>
      <c r="EK217" s="209"/>
      <c r="EL217" s="213"/>
      <c r="EM217" s="187"/>
      <c r="EN217" s="187"/>
      <c r="EO217" s="206"/>
      <c r="EP217" s="212"/>
      <c r="EQ217" s="208"/>
      <c r="ER217" s="187"/>
      <c r="ES217" s="187"/>
      <c r="ET217" s="187"/>
      <c r="EU217" s="187"/>
      <c r="EV217" s="210"/>
      <c r="EW217" s="209"/>
      <c r="EX217" s="210"/>
      <c r="EY217" s="162"/>
      <c r="EZ217" s="211"/>
      <c r="FA217" s="209"/>
      <c r="FB217" s="207"/>
      <c r="FC217" s="162"/>
      <c r="FD217" s="209"/>
      <c r="FE217" s="187"/>
      <c r="FF217" s="187"/>
    </row>
    <row r="218" spans="27:162">
      <c r="AA218" s="140" t="s">
        <v>210</v>
      </c>
      <c r="AB218" s="140" t="s">
        <v>240</v>
      </c>
      <c r="AC218" s="140">
        <v>104</v>
      </c>
      <c r="AD218" s="141">
        <v>2.6850000000000001</v>
      </c>
      <c r="AE218" s="151">
        <v>1100</v>
      </c>
      <c r="AF218" s="152">
        <v>350</v>
      </c>
      <c r="AG218" s="152">
        <v>14</v>
      </c>
      <c r="AH218" s="152">
        <v>18.000000000000004</v>
      </c>
      <c r="AI218" s="152">
        <v>1064</v>
      </c>
      <c r="AJ218" s="153" t="str" cm="1">
        <f t="array" ref="AJ218">_xll.Dce_Name_SectI(AE218, AE218, AF218, AG218, AH218, "x", "-", "H Tổng")</f>
        <v>1100x350x14x18</v>
      </c>
      <c r="AK218" s="161">
        <f t="shared" si="97"/>
        <v>1360</v>
      </c>
      <c r="AL218" s="162" cm="1">
        <f t="array" ref="AL218">IFERROR(INDEX($B$25:$B$32,IFERROR(MATCH(AF218,$B$25:$B$32,0),MATCH(AF218,$B$25:$B$32,1)+1)),$B$25)</f>
        <v>350</v>
      </c>
      <c r="AM218" s="162" cm="1">
        <f t="array" ref="AM218">IFERROR(VLOOKUP(AE218,$B$36:$E$47,4,FALSE),INDEX($E$36:$E$47,MATCH(AE218,$B$36:$B$47,1)+1))</f>
        <v>25</v>
      </c>
      <c r="AN218" s="162" cm="1">
        <f t="array" ref="AN218">IFERROR(VLOOKUP(AE218,$B$36:$E$47,2,FALSE),INDEX($C$36:$C$47,MATCH(AE218,$B$36:$B$47,1)+1))</f>
        <v>12</v>
      </c>
      <c r="AO218" s="162" cm="1">
        <f t="array" ref="AO218">IFERROR(VLOOKUP(AE218,$B$36:$E$47,3,FALSE),INDEX($D$36:$D$47,MATCH(AE218,$B$36:$B$47,1)+1))</f>
        <v>24</v>
      </c>
      <c r="AP218" s="163" t="str">
        <f t="shared" si="98"/>
        <v>1360x350x25 + 12M24</v>
      </c>
      <c r="AQ218" s="140" t="s">
        <v>258</v>
      </c>
      <c r="AR218" s="151">
        <v>0</v>
      </c>
      <c r="AS218" s="151">
        <v>634.6883506186764</v>
      </c>
      <c r="AT218" s="151">
        <v>-1.2846612662542609E-14</v>
      </c>
      <c r="AU218" s="151">
        <v>1.0519279502673408E-3</v>
      </c>
      <c r="AV218" s="151">
        <v>8.8160277300630673E-15</v>
      </c>
      <c r="AW218" s="151">
        <v>-1878.5420683594309</v>
      </c>
      <c r="BA218" s="161">
        <f t="shared" si="99"/>
        <v>60</v>
      </c>
      <c r="BB218" s="161">
        <f t="shared" si="100"/>
        <v>70</v>
      </c>
      <c r="BC218" s="161">
        <f t="shared" si="101"/>
        <v>80</v>
      </c>
      <c r="BD218" s="161">
        <f t="shared" si="102"/>
        <v>150</v>
      </c>
      <c r="BE218" s="161">
        <f>HLOOKUP(AO218,Data!$H$31:$Q$35,3,FALSE)</f>
        <v>452.38934211693021</v>
      </c>
      <c r="BF218" s="161">
        <f>HLOOKUP(AO218,Data!$H$31:$Q$35,4,FALSE)</f>
        <v>353</v>
      </c>
      <c r="BG218" s="179">
        <f t="shared" si="103"/>
        <v>180</v>
      </c>
      <c r="BH218" s="185">
        <f t="shared" si="104"/>
        <v>121.65654188208487</v>
      </c>
      <c r="BI218" s="185">
        <f t="shared" si="105"/>
        <v>243</v>
      </c>
      <c r="BJ218" s="185">
        <f t="shared" si="106"/>
        <v>142.3296</v>
      </c>
      <c r="BK218" s="185">
        <f t="shared" si="107"/>
        <v>52.628209421551681</v>
      </c>
      <c r="BL218" s="186">
        <f t="shared" si="108"/>
        <v>0.82166666666666666</v>
      </c>
      <c r="BM218" s="186">
        <f t="shared" si="109"/>
        <v>0.52648676464776589</v>
      </c>
      <c r="BN218" s="185" t="str">
        <f t="shared" si="110"/>
        <v>OK</v>
      </c>
      <c r="BO218" s="185" cm="1">
        <f t="array" ref="BO218">_xll.DCEBoltDisRS(AN218, AE218, BA218, BB218, BC218, BD218, "h1")</f>
        <v>1240</v>
      </c>
      <c r="BP218" s="185" cm="1">
        <f t="array" ref="BP218">_xll.DCEBoltDisRS(AN218, AE218, BA218, BB218, BC218, BD218, "Tong")</f>
        <v>3721800</v>
      </c>
      <c r="BQ218" s="185">
        <f t="shared" si="111"/>
        <v>318.20174360937182</v>
      </c>
      <c r="BR218" s="186">
        <f t="shared" si="112"/>
        <v>2.2356680803527293</v>
      </c>
      <c r="BS218" s="185" t="str">
        <f t="shared" si="113"/>
        <v>O/S</v>
      </c>
      <c r="BT218" s="186">
        <f t="shared" si="114"/>
        <v>2.2771367120636685</v>
      </c>
      <c r="BU218" s="185" t="str">
        <f t="shared" si="115"/>
        <v>O/S</v>
      </c>
      <c r="BV218" s="190">
        <f t="shared" si="116"/>
        <v>1707.7655166903917</v>
      </c>
      <c r="BW218" s="191">
        <f t="shared" si="117"/>
        <v>38.424724125533814</v>
      </c>
      <c r="BX218" s="190">
        <f t="shared" si="118"/>
        <v>853.88275834519584</v>
      </c>
      <c r="BY218" s="167">
        <f t="shared" si="119"/>
        <v>271.23334676847401</v>
      </c>
      <c r="BZ218" s="192">
        <f t="shared" si="120"/>
        <v>1.3184954356800822</v>
      </c>
      <c r="CA218" s="191">
        <f t="shared" si="121"/>
        <v>25.1141987748587</v>
      </c>
      <c r="CB218" s="193">
        <f t="shared" si="122"/>
        <v>0.21048777708813568</v>
      </c>
      <c r="CC218" s="167">
        <f t="shared" si="123"/>
        <v>274.69928529127378</v>
      </c>
      <c r="CD218" s="191">
        <f t="shared" si="124"/>
        <v>1.1611684764727759</v>
      </c>
      <c r="CE218" s="189">
        <f t="shared" si="125"/>
        <v>1.3184954356800822</v>
      </c>
      <c r="CF218" s="194" t="str">
        <f t="shared" si="126"/>
        <v>O/S</v>
      </c>
      <c r="DA218" s="140"/>
      <c r="DB218" s="140"/>
      <c r="DC218" s="140"/>
      <c r="DD218" s="141"/>
      <c r="DE218" s="151"/>
      <c r="DF218" s="152"/>
      <c r="DG218" s="152"/>
      <c r="DH218" s="152"/>
      <c r="DI218" s="152"/>
      <c r="DJ218" s="152"/>
      <c r="DK218" s="161"/>
      <c r="DL218" s="162"/>
      <c r="DM218" s="162"/>
      <c r="DN218" s="162"/>
      <c r="DO218" s="162"/>
      <c r="DP218" s="162"/>
      <c r="DQ218" s="140"/>
      <c r="DR218" s="151"/>
      <c r="DS218" s="151"/>
      <c r="DT218" s="151"/>
      <c r="DU218" s="151"/>
      <c r="DV218" s="151"/>
      <c r="DW218" s="151"/>
      <c r="DX218" s="151"/>
      <c r="DY218" s="151"/>
      <c r="DZ218" s="151"/>
      <c r="EA218" s="161"/>
      <c r="EB218" s="161"/>
      <c r="EC218" s="161"/>
      <c r="ED218" s="161"/>
      <c r="EE218" s="161"/>
      <c r="EF218" s="161"/>
      <c r="EG218" s="161"/>
      <c r="EH218" s="161"/>
      <c r="EI218" s="161"/>
      <c r="EJ218" s="161"/>
      <c r="EK218" s="209"/>
      <c r="EL218" s="213"/>
      <c r="EM218" s="187"/>
      <c r="EN218" s="187"/>
      <c r="EO218" s="206"/>
      <c r="EP218" s="212"/>
      <c r="EQ218" s="208"/>
      <c r="ER218" s="187"/>
      <c r="ES218" s="187"/>
      <c r="ET218" s="187"/>
      <c r="EU218" s="187"/>
      <c r="EV218" s="210"/>
      <c r="EW218" s="209"/>
      <c r="EX218" s="210"/>
      <c r="EY218" s="162"/>
      <c r="EZ218" s="211"/>
      <c r="FA218" s="209"/>
      <c r="FB218" s="207"/>
      <c r="FC218" s="162"/>
      <c r="FD218" s="209"/>
      <c r="FE218" s="187"/>
      <c r="FF218" s="187"/>
    </row>
    <row r="219" spans="27:162">
      <c r="AA219" s="140" t="s">
        <v>210</v>
      </c>
      <c r="AB219" s="140" t="s">
        <v>240</v>
      </c>
      <c r="AC219" s="140">
        <v>104</v>
      </c>
      <c r="AD219" s="141">
        <v>0</v>
      </c>
      <c r="AE219" s="151">
        <v>750</v>
      </c>
      <c r="AF219" s="152">
        <v>350</v>
      </c>
      <c r="AG219" s="152">
        <v>14</v>
      </c>
      <c r="AH219" s="152">
        <v>18.000000000000004</v>
      </c>
      <c r="AI219" s="152">
        <v>714</v>
      </c>
      <c r="AJ219" s="153" t="str" cm="1">
        <f t="array" ref="AJ219">_xll.Dce_Name_SectI(AE219, AE219, AF219, AG219, AH219, "x", "-", "H Tổng")</f>
        <v>750x350x14x18</v>
      </c>
      <c r="AK219" s="161">
        <f t="shared" si="97"/>
        <v>1010</v>
      </c>
      <c r="AL219" s="162" cm="1">
        <f t="array" ref="AL219">IFERROR(INDEX($B$25:$B$32,IFERROR(MATCH(AF219,$B$25:$B$32,0),MATCH(AF219,$B$25:$B$32,1)+1)),$B$25)</f>
        <v>350</v>
      </c>
      <c r="AM219" s="162" cm="1">
        <f t="array" ref="AM219">IFERROR(VLOOKUP(AE219,$B$36:$E$47,4,FALSE),INDEX($E$36:$E$47,MATCH(AE219,$B$36:$B$47,1)+1))</f>
        <v>25</v>
      </c>
      <c r="AN219" s="162" cm="1">
        <f t="array" ref="AN219">IFERROR(VLOOKUP(AE219,$B$36:$E$47,2,FALSE),INDEX($C$36:$C$47,MATCH(AE219,$B$36:$B$47,1)+1))</f>
        <v>12</v>
      </c>
      <c r="AO219" s="162" cm="1">
        <f t="array" ref="AO219">IFERROR(VLOOKUP(AE219,$B$36:$E$47,3,FALSE),INDEX($D$36:$D$47,MATCH(AE219,$B$36:$B$47,1)+1))</f>
        <v>24</v>
      </c>
      <c r="AP219" s="163" t="str">
        <f t="shared" si="98"/>
        <v>1010x350x25 + 12M24</v>
      </c>
      <c r="AQ219" s="140" t="s">
        <v>259</v>
      </c>
      <c r="AR219" s="151">
        <v>0</v>
      </c>
      <c r="AS219" s="151">
        <v>438.36437029726642</v>
      </c>
      <c r="AT219" s="151">
        <v>-3.6766323319170614E-14</v>
      </c>
      <c r="AU219" s="151">
        <v>9.417284198502485E-4</v>
      </c>
      <c r="AV219" s="151">
        <v>3.6624260246753687E-14</v>
      </c>
      <c r="AW219" s="151">
        <v>-307.4331564937325</v>
      </c>
      <c r="BA219" s="161">
        <f t="shared" si="99"/>
        <v>60</v>
      </c>
      <c r="BB219" s="161">
        <f t="shared" si="100"/>
        <v>70</v>
      </c>
      <c r="BC219" s="161">
        <f t="shared" si="101"/>
        <v>80</v>
      </c>
      <c r="BD219" s="161">
        <f t="shared" si="102"/>
        <v>150</v>
      </c>
      <c r="BE219" s="161">
        <f>HLOOKUP(AO219,Data!$H$31:$Q$35,3,FALSE)</f>
        <v>452.38934211693021</v>
      </c>
      <c r="BF219" s="161">
        <f>HLOOKUP(AO219,Data!$H$31:$Q$35,4,FALSE)</f>
        <v>353</v>
      </c>
      <c r="BG219" s="179">
        <f t="shared" si="103"/>
        <v>180</v>
      </c>
      <c r="BH219" s="185">
        <f t="shared" si="104"/>
        <v>121.65654188208487</v>
      </c>
      <c r="BI219" s="185">
        <f t="shared" si="105"/>
        <v>243</v>
      </c>
      <c r="BJ219" s="185">
        <f t="shared" si="106"/>
        <v>142.3296</v>
      </c>
      <c r="BK219" s="185">
        <f t="shared" si="107"/>
        <v>36.349070942396935</v>
      </c>
      <c r="BL219" s="186">
        <f t="shared" si="108"/>
        <v>0.89458333333333329</v>
      </c>
      <c r="BM219" s="186">
        <f t="shared" si="109"/>
        <v>0.3339927540831702</v>
      </c>
      <c r="BN219" s="185" t="str">
        <f t="shared" si="110"/>
        <v>OK</v>
      </c>
      <c r="BO219" s="185" cm="1">
        <f t="array" ref="BO219">_xll.DCEBoltDisRS(AN219, AE219, BA219, BB219, BC219, BD219, "h1")</f>
        <v>890</v>
      </c>
      <c r="BP219" s="185" cm="1">
        <f t="array" ref="BP219">_xll.DCEBoltDisRS(AN219, AE219, BA219, BB219, BC219, BD219, "Tong")</f>
        <v>1800300</v>
      </c>
      <c r="BQ219" s="185">
        <f t="shared" si="111"/>
        <v>79.626549953602563</v>
      </c>
      <c r="BR219" s="186">
        <f t="shared" si="112"/>
        <v>0.55945179325735872</v>
      </c>
      <c r="BS219" s="185" t="str">
        <f t="shared" si="113"/>
        <v>OK</v>
      </c>
      <c r="BT219" s="186">
        <f t="shared" si="114"/>
        <v>0.63423843902343435</v>
      </c>
      <c r="BU219" s="185" t="str">
        <f t="shared" si="115"/>
        <v>OK</v>
      </c>
      <c r="BV219" s="190">
        <f t="shared" si="116"/>
        <v>409.91087532497664</v>
      </c>
      <c r="BW219" s="191">
        <f t="shared" si="117"/>
        <v>9.222994694811975</v>
      </c>
      <c r="BX219" s="190">
        <f t="shared" si="118"/>
        <v>204.95543766248832</v>
      </c>
      <c r="BY219" s="167">
        <f t="shared" si="119"/>
        <v>87.664107990292038</v>
      </c>
      <c r="BZ219" s="192">
        <f t="shared" si="120"/>
        <v>0.42614496939725299</v>
      </c>
      <c r="CA219" s="191">
        <f t="shared" si="121"/>
        <v>8.1170470361381515</v>
      </c>
      <c r="CB219" s="193">
        <f t="shared" si="122"/>
        <v>6.8030806097901186E-2</v>
      </c>
      <c r="CC219" s="167">
        <f t="shared" si="123"/>
        <v>88.784318364755279</v>
      </c>
      <c r="CD219" s="191">
        <f t="shared" si="124"/>
        <v>0.37529603173507675</v>
      </c>
      <c r="CE219" s="189">
        <f t="shared" si="125"/>
        <v>0.42614496939725299</v>
      </c>
      <c r="CF219" s="194" t="str">
        <f t="shared" si="126"/>
        <v>OK</v>
      </c>
      <c r="DA219" s="140"/>
      <c r="DB219" s="140"/>
      <c r="DC219" s="140"/>
      <c r="DD219" s="141"/>
      <c r="DE219" s="151"/>
      <c r="DF219" s="152"/>
      <c r="DG219" s="152"/>
      <c r="DH219" s="152"/>
      <c r="DI219" s="152"/>
      <c r="DJ219" s="152"/>
      <c r="DK219" s="161"/>
      <c r="DL219" s="162"/>
      <c r="DM219" s="162"/>
      <c r="DN219" s="162"/>
      <c r="DO219" s="162"/>
      <c r="DP219" s="162"/>
      <c r="DQ219" s="140"/>
      <c r="DR219" s="151"/>
      <c r="DS219" s="151"/>
      <c r="DT219" s="151"/>
      <c r="DU219" s="151"/>
      <c r="DV219" s="151"/>
      <c r="DW219" s="151"/>
      <c r="DX219" s="151"/>
      <c r="DY219" s="151"/>
      <c r="DZ219" s="151"/>
      <c r="EA219" s="161"/>
      <c r="EB219" s="161"/>
      <c r="EC219" s="161"/>
      <c r="ED219" s="161"/>
      <c r="EE219" s="161"/>
      <c r="EF219" s="161"/>
      <c r="EG219" s="161"/>
      <c r="EH219" s="161"/>
      <c r="EI219" s="161"/>
      <c r="EJ219" s="161"/>
      <c r="EK219" s="209"/>
      <c r="EL219" s="213"/>
      <c r="EM219" s="187"/>
      <c r="EN219" s="187"/>
      <c r="EO219" s="206"/>
      <c r="EP219" s="212"/>
      <c r="EQ219" s="208"/>
      <c r="ER219" s="187"/>
      <c r="ES219" s="187"/>
      <c r="ET219" s="187"/>
      <c r="EU219" s="187"/>
      <c r="EV219" s="210"/>
      <c r="EW219" s="209"/>
      <c r="EX219" s="210"/>
      <c r="EY219" s="162"/>
      <c r="EZ219" s="211"/>
      <c r="FA219" s="209"/>
      <c r="FB219" s="207"/>
      <c r="FC219" s="162"/>
      <c r="FD219" s="209"/>
      <c r="FE219" s="187"/>
      <c r="FF219" s="187"/>
    </row>
    <row r="220" spans="27:162">
      <c r="AA220" s="140" t="s">
        <v>210</v>
      </c>
      <c r="AB220" s="140" t="s">
        <v>240</v>
      </c>
      <c r="AC220" s="140">
        <v>104</v>
      </c>
      <c r="AD220" s="141">
        <v>2.6850000000000001</v>
      </c>
      <c r="AE220" s="151">
        <v>1100</v>
      </c>
      <c r="AF220" s="152">
        <v>350</v>
      </c>
      <c r="AG220" s="152">
        <v>14</v>
      </c>
      <c r="AH220" s="152">
        <v>18.000000000000004</v>
      </c>
      <c r="AI220" s="152">
        <v>1064</v>
      </c>
      <c r="AJ220" s="153" t="str" cm="1">
        <f t="array" ref="AJ220">_xll.Dce_Name_SectI(AE220, AE220, AF220, AG220, AH220, "x", "-", "H Tổng")</f>
        <v>1100x350x14x18</v>
      </c>
      <c r="AK220" s="161">
        <f t="shared" si="97"/>
        <v>1360</v>
      </c>
      <c r="AL220" s="162" cm="1">
        <f t="array" ref="AL220">IFERROR(INDEX($B$25:$B$32,IFERROR(MATCH(AF220,$B$25:$B$32,0),MATCH(AF220,$B$25:$B$32,1)+1)),$B$25)</f>
        <v>350</v>
      </c>
      <c r="AM220" s="162" cm="1">
        <f t="array" ref="AM220">IFERROR(VLOOKUP(AE220,$B$36:$E$47,4,FALSE),INDEX($E$36:$E$47,MATCH(AE220,$B$36:$B$47,1)+1))</f>
        <v>25</v>
      </c>
      <c r="AN220" s="162" cm="1">
        <f t="array" ref="AN220">IFERROR(VLOOKUP(AE220,$B$36:$E$47,2,FALSE),INDEX($C$36:$C$47,MATCH(AE220,$B$36:$B$47,1)+1))</f>
        <v>12</v>
      </c>
      <c r="AO220" s="162" cm="1">
        <f t="array" ref="AO220">IFERROR(VLOOKUP(AE220,$B$36:$E$47,3,FALSE),INDEX($D$36:$D$47,MATCH(AE220,$B$36:$B$47,1)+1))</f>
        <v>24</v>
      </c>
      <c r="AP220" s="163" t="str">
        <f t="shared" si="98"/>
        <v>1360x350x25 + 12M24</v>
      </c>
      <c r="AQ220" s="140" t="s">
        <v>259</v>
      </c>
      <c r="AR220" s="151">
        <v>0</v>
      </c>
      <c r="AS220" s="151">
        <v>616.66274687179248</v>
      </c>
      <c r="AT220" s="151">
        <v>-1.3301360013429073E-14</v>
      </c>
      <c r="AU220" s="151">
        <v>9.4158987368011756E-4</v>
      </c>
      <c r="AV220" s="151">
        <v>9.0347612058394575E-15</v>
      </c>
      <c r="AW220" s="151">
        <v>-1751.5008838976501</v>
      </c>
      <c r="BA220" s="161">
        <f t="shared" si="99"/>
        <v>60</v>
      </c>
      <c r="BB220" s="161">
        <f t="shared" si="100"/>
        <v>70</v>
      </c>
      <c r="BC220" s="161">
        <f t="shared" si="101"/>
        <v>80</v>
      </c>
      <c r="BD220" s="161">
        <f t="shared" si="102"/>
        <v>150</v>
      </c>
      <c r="BE220" s="161">
        <f>HLOOKUP(AO220,Data!$H$31:$Q$35,3,FALSE)</f>
        <v>452.38934211693021</v>
      </c>
      <c r="BF220" s="161">
        <f>HLOOKUP(AO220,Data!$H$31:$Q$35,4,FALSE)</f>
        <v>353</v>
      </c>
      <c r="BG220" s="179">
        <f t="shared" si="103"/>
        <v>180</v>
      </c>
      <c r="BH220" s="185">
        <f t="shared" si="104"/>
        <v>121.65654188208487</v>
      </c>
      <c r="BI220" s="185">
        <f t="shared" si="105"/>
        <v>243</v>
      </c>
      <c r="BJ220" s="185">
        <f t="shared" si="106"/>
        <v>142.3296</v>
      </c>
      <c r="BK220" s="185">
        <f t="shared" si="107"/>
        <v>51.133530579540178</v>
      </c>
      <c r="BL220" s="186">
        <f t="shared" si="108"/>
        <v>0.82166666666666666</v>
      </c>
      <c r="BM220" s="186">
        <f t="shared" si="109"/>
        <v>0.51153416344078184</v>
      </c>
      <c r="BN220" s="185" t="str">
        <f t="shared" si="110"/>
        <v>OK</v>
      </c>
      <c r="BO220" s="185" cm="1">
        <f t="array" ref="BO220">_xll.DCEBoltDisRS(AN220, AE220, BA220, BB220, BC220, BD220, "h1")</f>
        <v>1240</v>
      </c>
      <c r="BP220" s="185" cm="1">
        <f t="array" ref="BP220">_xll.DCEBoltDisRS(AN220, AE220, BA220, BB220, BC220, BD220, "Tong")</f>
        <v>3721800</v>
      </c>
      <c r="BQ220" s="185">
        <f t="shared" si="111"/>
        <v>296.88898528336733</v>
      </c>
      <c r="BR220" s="186">
        <f t="shared" si="112"/>
        <v>2.0859258037918136</v>
      </c>
      <c r="BS220" s="185" t="str">
        <f t="shared" si="113"/>
        <v>O/S</v>
      </c>
      <c r="BT220" s="186">
        <f t="shared" si="114"/>
        <v>2.1278504258959727</v>
      </c>
      <c r="BU220" s="185" t="str">
        <f t="shared" si="115"/>
        <v>O/S</v>
      </c>
      <c r="BV220" s="190">
        <f t="shared" si="116"/>
        <v>1592.2735308160454</v>
      </c>
      <c r="BW220" s="191">
        <f t="shared" si="117"/>
        <v>35.82615444336102</v>
      </c>
      <c r="BX220" s="190">
        <f t="shared" si="118"/>
        <v>796.13676540802271</v>
      </c>
      <c r="BY220" s="167">
        <f t="shared" si="119"/>
        <v>252.89050195313661</v>
      </c>
      <c r="BZ220" s="192">
        <f t="shared" si="120"/>
        <v>1.2293288289388586</v>
      </c>
      <c r="CA220" s="191">
        <f t="shared" si="121"/>
        <v>23.415787217883018</v>
      </c>
      <c r="CB220" s="193">
        <f t="shared" si="122"/>
        <v>0.19625300589700809</v>
      </c>
      <c r="CC220" s="167">
        <f t="shared" si="123"/>
        <v>256.12204756953065</v>
      </c>
      <c r="CD220" s="191">
        <f t="shared" si="124"/>
        <v>1.0826415054267602</v>
      </c>
      <c r="CE220" s="189">
        <f t="shared" si="125"/>
        <v>1.2293288289388586</v>
      </c>
      <c r="CF220" s="194" t="str">
        <f t="shared" si="126"/>
        <v>O/S</v>
      </c>
      <c r="DA220" s="140"/>
      <c r="DB220" s="140"/>
      <c r="DC220" s="140"/>
      <c r="DD220" s="141"/>
      <c r="DE220" s="151"/>
      <c r="DF220" s="152"/>
      <c r="DG220" s="152"/>
      <c r="DH220" s="152"/>
      <c r="DI220" s="152"/>
      <c r="DJ220" s="152"/>
      <c r="DK220" s="161"/>
      <c r="DL220" s="162"/>
      <c r="DM220" s="162"/>
      <c r="DN220" s="162"/>
      <c r="DO220" s="162"/>
      <c r="DP220" s="162"/>
      <c r="DQ220" s="140"/>
      <c r="DR220" s="151"/>
      <c r="DS220" s="151"/>
      <c r="DT220" s="151"/>
      <c r="DU220" s="151"/>
      <c r="DV220" s="151"/>
      <c r="DW220" s="151"/>
      <c r="DX220" s="151"/>
      <c r="DY220" s="151"/>
      <c r="DZ220" s="151"/>
      <c r="EA220" s="161"/>
      <c r="EB220" s="161"/>
      <c r="EC220" s="161"/>
      <c r="ED220" s="161"/>
      <c r="EE220" s="161"/>
      <c r="EF220" s="161"/>
      <c r="EG220" s="161"/>
      <c r="EH220" s="161"/>
      <c r="EI220" s="161"/>
      <c r="EJ220" s="161"/>
      <c r="EK220" s="209"/>
      <c r="EL220" s="213"/>
      <c r="EM220" s="187"/>
      <c r="EN220" s="187"/>
      <c r="EO220" s="206"/>
      <c r="EP220" s="212"/>
      <c r="EQ220" s="208"/>
      <c r="ER220" s="187"/>
      <c r="ES220" s="187"/>
      <c r="ET220" s="187"/>
      <c r="EU220" s="187"/>
      <c r="EV220" s="210"/>
      <c r="EW220" s="209"/>
      <c r="EX220" s="210"/>
      <c r="EY220" s="162"/>
      <c r="EZ220" s="211"/>
      <c r="FA220" s="209"/>
      <c r="FB220" s="207"/>
      <c r="FC220" s="162"/>
      <c r="FD220" s="209"/>
      <c r="FE220" s="187"/>
      <c r="FF220" s="187"/>
    </row>
    <row r="221" spans="27:162">
      <c r="AA221" s="140" t="s">
        <v>210</v>
      </c>
      <c r="AB221" s="140" t="s">
        <v>240</v>
      </c>
      <c r="AC221" s="140">
        <v>104</v>
      </c>
      <c r="AD221" s="141">
        <v>0</v>
      </c>
      <c r="AE221" s="151">
        <v>750</v>
      </c>
      <c r="AF221" s="152">
        <v>350</v>
      </c>
      <c r="AG221" s="152">
        <v>14</v>
      </c>
      <c r="AH221" s="152">
        <v>18.000000000000004</v>
      </c>
      <c r="AI221" s="152">
        <v>714</v>
      </c>
      <c r="AJ221" s="153" t="str" cm="1">
        <f t="array" ref="AJ221">_xll.Dce_Name_SectI(AE221, AE221, AF221, AG221, AH221, "x", "-", "H Tổng")</f>
        <v>750x350x14x18</v>
      </c>
      <c r="AK221" s="161">
        <f t="shared" si="97"/>
        <v>1010</v>
      </c>
      <c r="AL221" s="162" cm="1">
        <f t="array" ref="AL221">IFERROR(INDEX($B$25:$B$32,IFERROR(MATCH(AF221,$B$25:$B$32,0),MATCH(AF221,$B$25:$B$32,1)+1)),$B$25)</f>
        <v>350</v>
      </c>
      <c r="AM221" s="162" cm="1">
        <f t="array" ref="AM221">IFERROR(VLOOKUP(AE221,$B$36:$E$47,4,FALSE),INDEX($E$36:$E$47,MATCH(AE221,$B$36:$B$47,1)+1))</f>
        <v>25</v>
      </c>
      <c r="AN221" s="162" cm="1">
        <f t="array" ref="AN221">IFERROR(VLOOKUP(AE221,$B$36:$E$47,2,FALSE),INDEX($C$36:$C$47,MATCH(AE221,$B$36:$B$47,1)+1))</f>
        <v>12</v>
      </c>
      <c r="AO221" s="162" cm="1">
        <f t="array" ref="AO221">IFERROR(VLOOKUP(AE221,$B$36:$E$47,3,FALSE),INDEX($D$36:$D$47,MATCH(AE221,$B$36:$B$47,1)+1))</f>
        <v>24</v>
      </c>
      <c r="AP221" s="163" t="str">
        <f t="shared" si="98"/>
        <v>1010x350x25 + 12M24</v>
      </c>
      <c r="AQ221" s="140" t="s">
        <v>260</v>
      </c>
      <c r="AR221" s="151">
        <v>0</v>
      </c>
      <c r="AS221" s="151">
        <v>441.52239999187344</v>
      </c>
      <c r="AT221" s="151">
        <v>-3.8585312722716472E-14</v>
      </c>
      <c r="AU221" s="151">
        <v>9.8979201942304192E-4</v>
      </c>
      <c r="AV221" s="151">
        <v>3.6391429603099818E-14</v>
      </c>
      <c r="AW221" s="151">
        <v>-311.94951591744734</v>
      </c>
      <c r="BA221" s="161">
        <f t="shared" si="99"/>
        <v>60</v>
      </c>
      <c r="BB221" s="161">
        <f t="shared" si="100"/>
        <v>70</v>
      </c>
      <c r="BC221" s="161">
        <f t="shared" si="101"/>
        <v>80</v>
      </c>
      <c r="BD221" s="161">
        <f t="shared" si="102"/>
        <v>150</v>
      </c>
      <c r="BE221" s="161">
        <f>HLOOKUP(AO221,Data!$H$31:$Q$35,3,FALSE)</f>
        <v>452.38934211693021</v>
      </c>
      <c r="BF221" s="161">
        <f>HLOOKUP(AO221,Data!$H$31:$Q$35,4,FALSE)</f>
        <v>353</v>
      </c>
      <c r="BG221" s="179">
        <f t="shared" si="103"/>
        <v>180</v>
      </c>
      <c r="BH221" s="185">
        <f t="shared" si="104"/>
        <v>121.65654188208487</v>
      </c>
      <c r="BI221" s="185">
        <f t="shared" si="105"/>
        <v>243</v>
      </c>
      <c r="BJ221" s="185">
        <f t="shared" si="106"/>
        <v>142.3296</v>
      </c>
      <c r="BK221" s="185">
        <f t="shared" si="107"/>
        <v>36.61093402522372</v>
      </c>
      <c r="BL221" s="186">
        <f t="shared" si="108"/>
        <v>0.89458333333333329</v>
      </c>
      <c r="BM221" s="186">
        <f t="shared" si="109"/>
        <v>0.33639887809015312</v>
      </c>
      <c r="BN221" s="185" t="str">
        <f t="shared" si="110"/>
        <v>OK</v>
      </c>
      <c r="BO221" s="185" cm="1">
        <f t="array" ref="BO221">_xll.DCEBoltDisRS(AN221, AE221, BA221, BB221, BC221, BD221, "h1")</f>
        <v>890</v>
      </c>
      <c r="BP221" s="185" cm="1">
        <f t="array" ref="BP221">_xll.DCEBoltDisRS(AN221, AE221, BA221, BB221, BC221, BD221, "Tong")</f>
        <v>1800300</v>
      </c>
      <c r="BQ221" s="185">
        <f t="shared" si="111"/>
        <v>80.769094615244725</v>
      </c>
      <c r="BR221" s="186">
        <f t="shared" si="112"/>
        <v>0.56747924967993113</v>
      </c>
      <c r="BS221" s="185" t="str">
        <f t="shared" si="113"/>
        <v>OK</v>
      </c>
      <c r="BT221" s="186">
        <f t="shared" si="114"/>
        <v>0.64233610694250887</v>
      </c>
      <c r="BU221" s="185" t="str">
        <f t="shared" si="115"/>
        <v>OK</v>
      </c>
      <c r="BV221" s="190">
        <f t="shared" si="116"/>
        <v>415.93268788992981</v>
      </c>
      <c r="BW221" s="191">
        <f t="shared" si="117"/>
        <v>9.3584854775234199</v>
      </c>
      <c r="BX221" s="190">
        <f t="shared" si="118"/>
        <v>207.9663439449649</v>
      </c>
      <c r="BY221" s="167">
        <f t="shared" si="119"/>
        <v>88.951941172499829</v>
      </c>
      <c r="BZ221" s="192">
        <f t="shared" si="120"/>
        <v>0.43240526958854086</v>
      </c>
      <c r="CA221" s="191">
        <f t="shared" si="121"/>
        <v>8.23629084930554</v>
      </c>
      <c r="CB221" s="193">
        <f t="shared" si="122"/>
        <v>6.9030215451555063E-2</v>
      </c>
      <c r="CC221" s="167">
        <f t="shared" si="123"/>
        <v>90.088608043519756</v>
      </c>
      <c r="CD221" s="191">
        <f t="shared" si="124"/>
        <v>0.38080933351729374</v>
      </c>
      <c r="CE221" s="189">
        <f t="shared" si="125"/>
        <v>0.43240526958854086</v>
      </c>
      <c r="CF221" s="194" t="str">
        <f t="shared" si="126"/>
        <v>OK</v>
      </c>
      <c r="DA221" s="140"/>
      <c r="DB221" s="140"/>
      <c r="DC221" s="140"/>
      <c r="DD221" s="141"/>
      <c r="DE221" s="151"/>
      <c r="DF221" s="152"/>
      <c r="DG221" s="152"/>
      <c r="DH221" s="152"/>
      <c r="DI221" s="152"/>
      <c r="DJ221" s="152"/>
      <c r="DK221" s="161"/>
      <c r="DL221" s="162"/>
      <c r="DM221" s="162"/>
      <c r="DN221" s="162"/>
      <c r="DO221" s="162"/>
      <c r="DP221" s="162"/>
      <c r="DQ221" s="140"/>
      <c r="DR221" s="151"/>
      <c r="DS221" s="151"/>
      <c r="DT221" s="151"/>
      <c r="DU221" s="151"/>
      <c r="DV221" s="151"/>
      <c r="DW221" s="151"/>
      <c r="DX221" s="151"/>
      <c r="DY221" s="151"/>
      <c r="DZ221" s="151"/>
      <c r="EA221" s="161"/>
      <c r="EB221" s="161"/>
      <c r="EC221" s="161"/>
      <c r="ED221" s="161"/>
      <c r="EE221" s="161"/>
      <c r="EF221" s="161"/>
      <c r="EG221" s="161"/>
      <c r="EH221" s="161"/>
      <c r="EI221" s="161"/>
      <c r="EJ221" s="161"/>
      <c r="EK221" s="209"/>
      <c r="EL221" s="213"/>
      <c r="EM221" s="187"/>
      <c r="EN221" s="187"/>
      <c r="EO221" s="206"/>
      <c r="EP221" s="212"/>
      <c r="EQ221" s="208"/>
      <c r="ER221" s="187"/>
      <c r="ES221" s="187"/>
      <c r="ET221" s="187"/>
      <c r="EU221" s="187"/>
      <c r="EV221" s="210"/>
      <c r="EW221" s="209"/>
      <c r="EX221" s="210"/>
      <c r="EY221" s="162"/>
      <c r="EZ221" s="211"/>
      <c r="FA221" s="209"/>
      <c r="FB221" s="207"/>
      <c r="FC221" s="162"/>
      <c r="FD221" s="209"/>
      <c r="FE221" s="187"/>
      <c r="FF221" s="187"/>
    </row>
    <row r="222" spans="27:162">
      <c r="AA222" s="140" t="s">
        <v>210</v>
      </c>
      <c r="AB222" s="140" t="s">
        <v>240</v>
      </c>
      <c r="AC222" s="140">
        <v>104</v>
      </c>
      <c r="AD222" s="141">
        <v>2.6850000000000001</v>
      </c>
      <c r="AE222" s="151">
        <v>1100</v>
      </c>
      <c r="AF222" s="152">
        <v>350</v>
      </c>
      <c r="AG222" s="152">
        <v>14</v>
      </c>
      <c r="AH222" s="152">
        <v>18.000000000000004</v>
      </c>
      <c r="AI222" s="152">
        <v>1064</v>
      </c>
      <c r="AJ222" s="153" t="str" cm="1">
        <f t="array" ref="AJ222">_xll.Dce_Name_SectI(AE222, AE222, AF222, AG222, AH222, "x", "-", "H Tổng")</f>
        <v>1100x350x14x18</v>
      </c>
      <c r="AK222" s="161">
        <f t="shared" si="97"/>
        <v>1360</v>
      </c>
      <c r="AL222" s="162" cm="1">
        <f t="array" ref="AL222">IFERROR(INDEX($B$25:$B$32,IFERROR(MATCH(AF222,$B$25:$B$32,0),MATCH(AF222,$B$25:$B$32,1)+1)),$B$25)</f>
        <v>350</v>
      </c>
      <c r="AM222" s="162" cm="1">
        <f t="array" ref="AM222">IFERROR(VLOOKUP(AE222,$B$36:$E$47,4,FALSE),INDEX($E$36:$E$47,MATCH(AE222,$B$36:$B$47,1)+1))</f>
        <v>25</v>
      </c>
      <c r="AN222" s="162" cm="1">
        <f t="array" ref="AN222">IFERROR(VLOOKUP(AE222,$B$36:$E$47,2,FALSE),INDEX($C$36:$C$47,MATCH(AE222,$B$36:$B$47,1)+1))</f>
        <v>12</v>
      </c>
      <c r="AO222" s="162" cm="1">
        <f t="array" ref="AO222">IFERROR(VLOOKUP(AE222,$B$36:$E$47,3,FALSE),INDEX($D$36:$D$47,MATCH(AE222,$B$36:$B$47,1)+1))</f>
        <v>24</v>
      </c>
      <c r="AP222" s="163" t="str">
        <f t="shared" si="98"/>
        <v>1360x350x25 + 12M24</v>
      </c>
      <c r="AQ222" s="140" t="s">
        <v>260</v>
      </c>
      <c r="AR222" s="151">
        <v>0</v>
      </c>
      <c r="AS222" s="151">
        <v>619.82077733740937</v>
      </c>
      <c r="AT222" s="151">
        <v>-1.2846612662542609E-14</v>
      </c>
      <c r="AU222" s="151">
        <v>9.8964632241525514E-4</v>
      </c>
      <c r="AV222" s="151">
        <v>8.6996124082361328E-15</v>
      </c>
      <c r="AW222" s="151">
        <v>-1764.4965230514174</v>
      </c>
      <c r="BA222" s="161">
        <f t="shared" si="99"/>
        <v>60</v>
      </c>
      <c r="BB222" s="161">
        <f t="shared" si="100"/>
        <v>70</v>
      </c>
      <c r="BC222" s="161">
        <f t="shared" si="101"/>
        <v>80</v>
      </c>
      <c r="BD222" s="161">
        <f t="shared" si="102"/>
        <v>150</v>
      </c>
      <c r="BE222" s="161">
        <f>HLOOKUP(AO222,Data!$H$31:$Q$35,3,FALSE)</f>
        <v>452.38934211693021</v>
      </c>
      <c r="BF222" s="161">
        <f>HLOOKUP(AO222,Data!$H$31:$Q$35,4,FALSE)</f>
        <v>353</v>
      </c>
      <c r="BG222" s="179">
        <f t="shared" si="103"/>
        <v>180</v>
      </c>
      <c r="BH222" s="185">
        <f t="shared" si="104"/>
        <v>121.65654188208487</v>
      </c>
      <c r="BI222" s="185">
        <f t="shared" si="105"/>
        <v>243</v>
      </c>
      <c r="BJ222" s="185">
        <f t="shared" si="106"/>
        <v>142.3296</v>
      </c>
      <c r="BK222" s="185">
        <f t="shared" si="107"/>
        <v>51.395393726298927</v>
      </c>
      <c r="BL222" s="186">
        <f t="shared" si="108"/>
        <v>0.82166666666666666</v>
      </c>
      <c r="BM222" s="186">
        <f t="shared" si="109"/>
        <v>0.51415381329079246</v>
      </c>
      <c r="BN222" s="185" t="str">
        <f t="shared" si="110"/>
        <v>OK</v>
      </c>
      <c r="BO222" s="185" cm="1">
        <f t="array" ref="BO222">_xll.DCEBoltDisRS(AN222, AE222, BA222, BB222, BC222, BD222, "h1")</f>
        <v>1240</v>
      </c>
      <c r="BP222" s="185" cm="1">
        <f t="array" ref="BP222">_xll.DCEBoltDisRS(AN222, AE222, BA222, BB222, BC222, BD222, "Tong")</f>
        <v>3721800</v>
      </c>
      <c r="BQ222" s="185">
        <f t="shared" si="111"/>
        <v>299.08006392845738</v>
      </c>
      <c r="BR222" s="186">
        <f t="shared" si="112"/>
        <v>2.1013202027438944</v>
      </c>
      <c r="BS222" s="185" t="str">
        <f t="shared" si="113"/>
        <v>O/S</v>
      </c>
      <c r="BT222" s="186">
        <f t="shared" si="114"/>
        <v>2.1433668895006885</v>
      </c>
      <c r="BU222" s="185" t="str">
        <f t="shared" si="115"/>
        <v>O/S</v>
      </c>
      <c r="BV222" s="190">
        <f t="shared" si="116"/>
        <v>1604.0877482285612</v>
      </c>
      <c r="BW222" s="191">
        <f t="shared" si="117"/>
        <v>36.091974335142623</v>
      </c>
      <c r="BX222" s="190">
        <f t="shared" si="118"/>
        <v>802.04387411428058</v>
      </c>
      <c r="BY222" s="167">
        <f t="shared" si="119"/>
        <v>254.76687765983027</v>
      </c>
      <c r="BZ222" s="192">
        <f t="shared" si="120"/>
        <v>1.2384500997352861</v>
      </c>
      <c r="CA222" s="191">
        <f t="shared" si="121"/>
        <v>23.589525709243546</v>
      </c>
      <c r="CB222" s="193">
        <f t="shared" si="122"/>
        <v>0.19770914746731902</v>
      </c>
      <c r="CC222" s="167">
        <f t="shared" si="123"/>
        <v>258.02240042697866</v>
      </c>
      <c r="CD222" s="191">
        <f t="shared" si="124"/>
        <v>1.0906743979401274</v>
      </c>
      <c r="CE222" s="189">
        <f t="shared" si="125"/>
        <v>1.2384500997352861</v>
      </c>
      <c r="CF222" s="194" t="str">
        <f t="shared" si="126"/>
        <v>O/S</v>
      </c>
      <c r="DA222" s="140"/>
      <c r="DB222" s="140"/>
      <c r="DC222" s="140"/>
      <c r="DD222" s="141"/>
      <c r="DE222" s="151"/>
      <c r="DF222" s="152"/>
      <c r="DG222" s="152"/>
      <c r="DH222" s="152"/>
      <c r="DI222" s="152"/>
      <c r="DJ222" s="152"/>
      <c r="DK222" s="161"/>
      <c r="DL222" s="162"/>
      <c r="DM222" s="162"/>
      <c r="DN222" s="162"/>
      <c r="DO222" s="162"/>
      <c r="DP222" s="162"/>
      <c r="DQ222" s="140"/>
      <c r="DR222" s="151"/>
      <c r="DS222" s="151"/>
      <c r="DT222" s="151"/>
      <c r="DU222" s="151"/>
      <c r="DV222" s="151"/>
      <c r="DW222" s="151"/>
      <c r="DX222" s="151"/>
      <c r="DY222" s="151"/>
      <c r="DZ222" s="151"/>
      <c r="EA222" s="161"/>
      <c r="EB222" s="161"/>
      <c r="EC222" s="161"/>
      <c r="ED222" s="161"/>
      <c r="EE222" s="161"/>
      <c r="EF222" s="161"/>
      <c r="EG222" s="161"/>
      <c r="EH222" s="161"/>
      <c r="EI222" s="161"/>
      <c r="EJ222" s="161"/>
      <c r="EK222" s="209"/>
      <c r="EL222" s="213"/>
      <c r="EM222" s="187"/>
      <c r="EN222" s="187"/>
      <c r="EO222" s="206"/>
      <c r="EP222" s="212"/>
      <c r="EQ222" s="208"/>
      <c r="ER222" s="187"/>
      <c r="ES222" s="187"/>
      <c r="ET222" s="187"/>
      <c r="EU222" s="187"/>
      <c r="EV222" s="210"/>
      <c r="EW222" s="209"/>
      <c r="EX222" s="210"/>
      <c r="EY222" s="162"/>
      <c r="EZ222" s="211"/>
      <c r="FA222" s="209"/>
      <c r="FB222" s="207"/>
      <c r="FC222" s="162"/>
      <c r="FD222" s="209"/>
      <c r="FE222" s="187"/>
      <c r="FF222" s="187"/>
    </row>
    <row r="223" spans="27:162">
      <c r="AA223" s="140" t="s">
        <v>210</v>
      </c>
      <c r="AB223" s="140" t="s">
        <v>240</v>
      </c>
      <c r="AC223" s="140">
        <v>104</v>
      </c>
      <c r="AD223" s="141">
        <v>0</v>
      </c>
      <c r="AE223" s="151">
        <v>750</v>
      </c>
      <c r="AF223" s="152">
        <v>350</v>
      </c>
      <c r="AG223" s="152">
        <v>14</v>
      </c>
      <c r="AH223" s="152">
        <v>18.000000000000004</v>
      </c>
      <c r="AI223" s="152">
        <v>714</v>
      </c>
      <c r="AJ223" s="153" t="str" cm="1">
        <f t="array" ref="AJ223">_xll.Dce_Name_SectI(AE223, AE223, AF223, AG223, AH223, "x", "-", "H Tổng")</f>
        <v>750x350x14x18</v>
      </c>
      <c r="AK223" s="161">
        <f t="shared" si="97"/>
        <v>1010</v>
      </c>
      <c r="AL223" s="162" cm="1">
        <f t="array" ref="AL223">IFERROR(INDEX($B$25:$B$32,IFERROR(MATCH(AF223,$B$25:$B$32,0),MATCH(AF223,$B$25:$B$32,1)+1)),$B$25)</f>
        <v>350</v>
      </c>
      <c r="AM223" s="162" cm="1">
        <f t="array" ref="AM223">IFERROR(VLOOKUP(AE223,$B$36:$E$47,4,FALSE),INDEX($E$36:$E$47,MATCH(AE223,$B$36:$B$47,1)+1))</f>
        <v>25</v>
      </c>
      <c r="AN223" s="162" cm="1">
        <f t="array" ref="AN223">IFERROR(VLOOKUP(AE223,$B$36:$E$47,2,FALSE),INDEX($C$36:$C$47,MATCH(AE223,$B$36:$B$47,1)+1))</f>
        <v>12</v>
      </c>
      <c r="AO223" s="162" cm="1">
        <f t="array" ref="AO223">IFERROR(VLOOKUP(AE223,$B$36:$E$47,3,FALSE),INDEX($D$36:$D$47,MATCH(AE223,$B$36:$B$47,1)+1))</f>
        <v>24</v>
      </c>
      <c r="AP223" s="163" t="str">
        <f t="shared" si="98"/>
        <v>1010x350x25 + 12M24</v>
      </c>
      <c r="AQ223" s="140" t="s">
        <v>261</v>
      </c>
      <c r="AR223" s="151">
        <v>0</v>
      </c>
      <c r="AS223" s="151">
        <v>132.15423685254513</v>
      </c>
      <c r="AT223" s="151">
        <v>-1.9645085558295248E-14</v>
      </c>
      <c r="AU223" s="151">
        <v>6.2230015603063459E-4</v>
      </c>
      <c r="AV223" s="151">
        <v>1.3262033462524411E-13</v>
      </c>
      <c r="AW223" s="151">
        <v>-76.988526593218438</v>
      </c>
      <c r="BA223" s="161">
        <f t="shared" si="99"/>
        <v>60</v>
      </c>
      <c r="BB223" s="161">
        <f t="shared" si="100"/>
        <v>70</v>
      </c>
      <c r="BC223" s="161">
        <f t="shared" si="101"/>
        <v>80</v>
      </c>
      <c r="BD223" s="161">
        <f t="shared" si="102"/>
        <v>150</v>
      </c>
      <c r="BE223" s="161">
        <f>HLOOKUP(AO223,Data!$H$31:$Q$35,3,FALSE)</f>
        <v>452.38934211693021</v>
      </c>
      <c r="BF223" s="161">
        <f>HLOOKUP(AO223,Data!$H$31:$Q$35,4,FALSE)</f>
        <v>353</v>
      </c>
      <c r="BG223" s="179">
        <f t="shared" si="103"/>
        <v>180</v>
      </c>
      <c r="BH223" s="185">
        <f t="shared" si="104"/>
        <v>121.65654188208487</v>
      </c>
      <c r="BI223" s="185">
        <f t="shared" si="105"/>
        <v>243</v>
      </c>
      <c r="BJ223" s="185">
        <f t="shared" si="106"/>
        <v>142.3296</v>
      </c>
      <c r="BK223" s="185">
        <f t="shared" si="107"/>
        <v>10.958198376008491</v>
      </c>
      <c r="BL223" s="186">
        <f t="shared" si="108"/>
        <v>0.89458333333333329</v>
      </c>
      <c r="BM223" s="186">
        <f t="shared" si="109"/>
        <v>0.10068919948993485</v>
      </c>
      <c r="BN223" s="185" t="str">
        <f t="shared" si="110"/>
        <v>OK</v>
      </c>
      <c r="BO223" s="185" cm="1">
        <f t="array" ref="BO223">_xll.DCEBoltDisRS(AN223, AE223, BA223, BB223, BC223, BD223, "h1")</f>
        <v>890</v>
      </c>
      <c r="BP223" s="185" cm="1">
        <f t="array" ref="BP223">_xll.DCEBoltDisRS(AN223, AE223, BA223, BB223, BC223, BD223, "Tong")</f>
        <v>1800300</v>
      </c>
      <c r="BQ223" s="185">
        <f t="shared" si="111"/>
        <v>20.125922783766605</v>
      </c>
      <c r="BR223" s="186">
        <f t="shared" si="112"/>
        <v>0.14140363482906299</v>
      </c>
      <c r="BS223" s="185" t="str">
        <f t="shared" si="113"/>
        <v>OK</v>
      </c>
      <c r="BT223" s="186">
        <f t="shared" si="114"/>
        <v>0.16765581379036271</v>
      </c>
      <c r="BU223" s="185" t="str">
        <f t="shared" si="115"/>
        <v>OK</v>
      </c>
      <c r="BV223" s="190">
        <f t="shared" si="116"/>
        <v>102.65136879095792</v>
      </c>
      <c r="BW223" s="191">
        <f t="shared" si="117"/>
        <v>2.3096557977965531</v>
      </c>
      <c r="BX223" s="190">
        <f t="shared" si="118"/>
        <v>51.325684395478959</v>
      </c>
      <c r="BY223" s="167">
        <f t="shared" si="119"/>
        <v>21.953164018660306</v>
      </c>
      <c r="BZ223" s="192">
        <f t="shared" si="120"/>
        <v>0.10671676953515427</v>
      </c>
      <c r="CA223" s="191">
        <f t="shared" si="121"/>
        <v>2.0327003720981764</v>
      </c>
      <c r="CB223" s="193">
        <f t="shared" si="122"/>
        <v>1.7036521317872651E-2</v>
      </c>
      <c r="CC223" s="167">
        <f t="shared" si="123"/>
        <v>22.233691165399993</v>
      </c>
      <c r="CD223" s="191">
        <f t="shared" si="124"/>
        <v>9.3982994056642497E-2</v>
      </c>
      <c r="CE223" s="189">
        <f t="shared" si="125"/>
        <v>0.10671676953515427</v>
      </c>
      <c r="CF223" s="194" t="str">
        <f t="shared" si="126"/>
        <v>OK</v>
      </c>
      <c r="DA223" s="140"/>
      <c r="DB223" s="140"/>
      <c r="DC223" s="140"/>
      <c r="DD223" s="141"/>
      <c r="DE223" s="151"/>
      <c r="DF223" s="152"/>
      <c r="DG223" s="152"/>
      <c r="DH223" s="152"/>
      <c r="DI223" s="152"/>
      <c r="DJ223" s="152"/>
      <c r="DK223" s="161"/>
      <c r="DL223" s="162"/>
      <c r="DM223" s="162"/>
      <c r="DN223" s="162"/>
      <c r="DO223" s="162"/>
      <c r="DP223" s="162"/>
      <c r="DQ223" s="140"/>
      <c r="DR223" s="151"/>
      <c r="DS223" s="151"/>
      <c r="DT223" s="151"/>
      <c r="DU223" s="151"/>
      <c r="DV223" s="151"/>
      <c r="DW223" s="151"/>
      <c r="DX223" s="151"/>
      <c r="DY223" s="151"/>
      <c r="DZ223" s="151"/>
      <c r="EA223" s="161"/>
      <c r="EB223" s="161"/>
      <c r="EC223" s="161"/>
      <c r="ED223" s="161"/>
      <c r="EE223" s="161"/>
      <c r="EF223" s="161"/>
      <c r="EG223" s="161"/>
      <c r="EH223" s="161"/>
      <c r="EI223" s="161"/>
      <c r="EJ223" s="161"/>
      <c r="EK223" s="209"/>
      <c r="EL223" s="213"/>
      <c r="EM223" s="187"/>
      <c r="EN223" s="187"/>
      <c r="EO223" s="206"/>
      <c r="EP223" s="212"/>
      <c r="EQ223" s="208"/>
      <c r="ER223" s="187"/>
      <c r="ES223" s="187"/>
      <c r="ET223" s="187"/>
      <c r="EU223" s="187"/>
      <c r="EV223" s="210"/>
      <c r="EW223" s="209"/>
      <c r="EX223" s="210"/>
      <c r="EY223" s="162"/>
      <c r="EZ223" s="211"/>
      <c r="FA223" s="209"/>
      <c r="FB223" s="207"/>
      <c r="FC223" s="162"/>
      <c r="FD223" s="209"/>
      <c r="FE223" s="187"/>
      <c r="FF223" s="187"/>
    </row>
    <row r="224" spans="27:162">
      <c r="AA224" s="140" t="s">
        <v>210</v>
      </c>
      <c r="AB224" s="140" t="s">
        <v>240</v>
      </c>
      <c r="AC224" s="140">
        <v>104</v>
      </c>
      <c r="AD224" s="141">
        <v>2.6850000000000001</v>
      </c>
      <c r="AE224" s="151">
        <v>1100</v>
      </c>
      <c r="AF224" s="152">
        <v>350</v>
      </c>
      <c r="AG224" s="152">
        <v>14</v>
      </c>
      <c r="AH224" s="152">
        <v>18.000000000000004</v>
      </c>
      <c r="AI224" s="152">
        <v>1064</v>
      </c>
      <c r="AJ224" s="153" t="str" cm="1">
        <f t="array" ref="AJ224">_xll.Dce_Name_SectI(AE224, AE224, AF224, AG224, AH224, "x", "-", "H Tổng")</f>
        <v>1100x350x14x18</v>
      </c>
      <c r="AK224" s="161">
        <f t="shared" si="97"/>
        <v>1360</v>
      </c>
      <c r="AL224" s="162" cm="1">
        <f t="array" ref="AL224">IFERROR(INDEX($B$25:$B$32,IFERROR(MATCH(AF224,$B$25:$B$32,0),MATCH(AF224,$B$25:$B$32,1)+1)),$B$25)</f>
        <v>350</v>
      </c>
      <c r="AM224" s="162" cm="1">
        <f t="array" ref="AM224">IFERROR(VLOOKUP(AE224,$B$36:$E$47,4,FALSE),INDEX($E$36:$E$47,MATCH(AE224,$B$36:$B$47,1)+1))</f>
        <v>25</v>
      </c>
      <c r="AN224" s="162" cm="1">
        <f t="array" ref="AN224">IFERROR(VLOOKUP(AE224,$B$36:$E$47,2,FALSE),INDEX($C$36:$C$47,MATCH(AE224,$B$36:$B$47,1)+1))</f>
        <v>12</v>
      </c>
      <c r="AO224" s="162" cm="1">
        <f t="array" ref="AO224">IFERROR(VLOOKUP(AE224,$B$36:$E$47,3,FALSE),INDEX($D$36:$D$47,MATCH(AE224,$B$36:$B$47,1)+1))</f>
        <v>24</v>
      </c>
      <c r="AP224" s="163" t="str">
        <f t="shared" si="98"/>
        <v>1360x350x25 + 12M24</v>
      </c>
      <c r="AQ224" s="140" t="s">
        <v>261</v>
      </c>
      <c r="AR224" s="151">
        <v>0</v>
      </c>
      <c r="AS224" s="151">
        <v>189.75799836206374</v>
      </c>
      <c r="AT224" s="151">
        <v>-4.092726157978176E-15</v>
      </c>
      <c r="AU224" s="151">
        <v>6.2220881611796907E-4</v>
      </c>
      <c r="AV224" s="151">
        <v>6.0735055740224174E-14</v>
      </c>
      <c r="AW224" s="151">
        <v>-517.55570629975546</v>
      </c>
      <c r="BA224" s="161">
        <f t="shared" si="99"/>
        <v>60</v>
      </c>
      <c r="BB224" s="161">
        <f t="shared" si="100"/>
        <v>70</v>
      </c>
      <c r="BC224" s="161">
        <f t="shared" si="101"/>
        <v>80</v>
      </c>
      <c r="BD224" s="161">
        <f t="shared" si="102"/>
        <v>150</v>
      </c>
      <c r="BE224" s="161">
        <f>HLOOKUP(AO224,Data!$H$31:$Q$35,3,FALSE)</f>
        <v>452.38934211693021</v>
      </c>
      <c r="BF224" s="161">
        <f>HLOOKUP(AO224,Data!$H$31:$Q$35,4,FALSE)</f>
        <v>353</v>
      </c>
      <c r="BG224" s="179">
        <f t="shared" si="103"/>
        <v>180</v>
      </c>
      <c r="BH224" s="185">
        <f t="shared" si="104"/>
        <v>121.65654188208487</v>
      </c>
      <c r="BI224" s="185">
        <f t="shared" si="105"/>
        <v>243</v>
      </c>
      <c r="BJ224" s="185">
        <f t="shared" si="106"/>
        <v>142.3296</v>
      </c>
      <c r="BK224" s="185">
        <f t="shared" si="107"/>
        <v>15.734688792504969</v>
      </c>
      <c r="BL224" s="186">
        <f t="shared" si="108"/>
        <v>0.82166666666666666</v>
      </c>
      <c r="BM224" s="186">
        <f t="shared" si="109"/>
        <v>0.15740807992819522</v>
      </c>
      <c r="BN224" s="185" t="str">
        <f t="shared" si="110"/>
        <v>OK</v>
      </c>
      <c r="BO224" s="185" cm="1">
        <f t="array" ref="BO224">_xll.DCEBoltDisRS(AN224, AE224, BA224, BB224, BC224, BD224, "h1")</f>
        <v>1240</v>
      </c>
      <c r="BP224" s="185" cm="1">
        <f t="array" ref="BP224">_xll.DCEBoltDisRS(AN224, AE224, BA224, BB224, BC224, BD224, "Tong")</f>
        <v>3721800</v>
      </c>
      <c r="BQ224" s="185">
        <f t="shared" si="111"/>
        <v>87.791035085346579</v>
      </c>
      <c r="BR224" s="186">
        <f t="shared" si="112"/>
        <v>0.61681502010366485</v>
      </c>
      <c r="BS224" s="185" t="str">
        <f t="shared" si="113"/>
        <v>OK</v>
      </c>
      <c r="BT224" s="186">
        <f t="shared" si="114"/>
        <v>0.63022918167903108</v>
      </c>
      <c r="BU224" s="185" t="str">
        <f t="shared" si="115"/>
        <v>OK</v>
      </c>
      <c r="BV224" s="190">
        <f t="shared" si="116"/>
        <v>470.50518754523222</v>
      </c>
      <c r="BW224" s="191">
        <f t="shared" si="117"/>
        <v>10.586366719767724</v>
      </c>
      <c r="BX224" s="190">
        <f t="shared" si="118"/>
        <v>235.25259377261611</v>
      </c>
      <c r="BY224" s="167">
        <f t="shared" si="119"/>
        <v>74.727294492478052</v>
      </c>
      <c r="BZ224" s="192">
        <f t="shared" si="120"/>
        <v>0.36325768156065724</v>
      </c>
      <c r="CA224" s="191">
        <f t="shared" si="121"/>
        <v>6.9191939344887095</v>
      </c>
      <c r="CB224" s="193">
        <f t="shared" si="122"/>
        <v>5.7991328473923576E-2</v>
      </c>
      <c r="CC224" s="167">
        <f t="shared" si="123"/>
        <v>75.682192596903107</v>
      </c>
      <c r="CD224" s="191">
        <f t="shared" si="124"/>
        <v>0.31991264986613638</v>
      </c>
      <c r="CE224" s="189">
        <f t="shared" si="125"/>
        <v>0.36325768156065724</v>
      </c>
      <c r="CF224" s="194" t="str">
        <f t="shared" si="126"/>
        <v>OK</v>
      </c>
      <c r="DA224" s="140"/>
      <c r="DB224" s="140"/>
      <c r="DC224" s="140"/>
      <c r="DD224" s="141"/>
      <c r="DE224" s="151"/>
      <c r="DF224" s="152"/>
      <c r="DG224" s="152"/>
      <c r="DH224" s="152"/>
      <c r="DI224" s="152"/>
      <c r="DJ224" s="152"/>
      <c r="DK224" s="161"/>
      <c r="DL224" s="162"/>
      <c r="DM224" s="162"/>
      <c r="DN224" s="162"/>
      <c r="DO224" s="162"/>
      <c r="DP224" s="162"/>
      <c r="DQ224" s="140"/>
      <c r="DR224" s="151"/>
      <c r="DS224" s="151"/>
      <c r="DT224" s="151"/>
      <c r="DU224" s="151"/>
      <c r="DV224" s="151"/>
      <c r="DW224" s="151"/>
      <c r="DX224" s="151"/>
      <c r="DY224" s="151"/>
      <c r="DZ224" s="151"/>
      <c r="EA224" s="161"/>
      <c r="EB224" s="161"/>
      <c r="EC224" s="161"/>
      <c r="ED224" s="161"/>
      <c r="EE224" s="161"/>
      <c r="EF224" s="161"/>
      <c r="EG224" s="161"/>
      <c r="EH224" s="161"/>
      <c r="EI224" s="161"/>
      <c r="EJ224" s="161"/>
      <c r="EK224" s="209"/>
      <c r="EL224" s="213"/>
      <c r="EM224" s="187"/>
      <c r="EN224" s="187"/>
      <c r="EO224" s="206"/>
      <c r="EP224" s="212"/>
      <c r="EQ224" s="208"/>
      <c r="ER224" s="187"/>
      <c r="ES224" s="187"/>
      <c r="ET224" s="187"/>
      <c r="EU224" s="187"/>
      <c r="EV224" s="210"/>
      <c r="EW224" s="209"/>
      <c r="EX224" s="210"/>
      <c r="EY224" s="162"/>
      <c r="EZ224" s="211"/>
      <c r="FA224" s="209"/>
      <c r="FB224" s="207"/>
      <c r="FC224" s="162"/>
      <c r="FD224" s="209"/>
      <c r="FE224" s="187"/>
      <c r="FF224" s="187"/>
    </row>
    <row r="225" spans="27:162">
      <c r="AA225" s="140" t="s">
        <v>210</v>
      </c>
      <c r="AB225" s="140" t="s">
        <v>240</v>
      </c>
      <c r="AC225" s="140">
        <v>104</v>
      </c>
      <c r="AD225" s="141">
        <v>0</v>
      </c>
      <c r="AE225" s="151">
        <v>750</v>
      </c>
      <c r="AF225" s="152">
        <v>350</v>
      </c>
      <c r="AG225" s="152">
        <v>14</v>
      </c>
      <c r="AH225" s="152">
        <v>18.000000000000004</v>
      </c>
      <c r="AI225" s="152">
        <v>714</v>
      </c>
      <c r="AJ225" s="153" t="str" cm="1">
        <f t="array" ref="AJ225">_xll.Dce_Name_SectI(AE225, AE225, AF225, AG225, AH225, "x", "-", "H Tổng")</f>
        <v>750x350x14x18</v>
      </c>
      <c r="AK225" s="161">
        <f t="shared" si="97"/>
        <v>1010</v>
      </c>
      <c r="AL225" s="162" cm="1">
        <f t="array" ref="AL225">IFERROR(INDEX($B$25:$B$32,IFERROR(MATCH(AF225,$B$25:$B$32,0),MATCH(AF225,$B$25:$B$32,1)+1)),$B$25)</f>
        <v>350</v>
      </c>
      <c r="AM225" s="162" cm="1">
        <f t="array" ref="AM225">IFERROR(VLOOKUP(AE225,$B$36:$E$47,4,FALSE),INDEX($E$36:$E$47,MATCH(AE225,$B$36:$B$47,1)+1))</f>
        <v>25</v>
      </c>
      <c r="AN225" s="162" cm="1">
        <f t="array" ref="AN225">IFERROR(VLOOKUP(AE225,$B$36:$E$47,2,FALSE),INDEX($C$36:$C$47,MATCH(AE225,$B$36:$B$47,1)+1))</f>
        <v>12</v>
      </c>
      <c r="AO225" s="162" cm="1">
        <f t="array" ref="AO225">IFERROR(VLOOKUP(AE225,$B$36:$E$47,3,FALSE),INDEX($D$36:$D$47,MATCH(AE225,$B$36:$B$47,1)+1))</f>
        <v>24</v>
      </c>
      <c r="AP225" s="163" t="str">
        <f t="shared" si="98"/>
        <v>1010x350x25 + 12M24</v>
      </c>
      <c r="AQ225" s="140" t="s">
        <v>262</v>
      </c>
      <c r="AR225" s="151">
        <v>0</v>
      </c>
      <c r="AS225" s="151">
        <v>135.0454822337785</v>
      </c>
      <c r="AT225" s="151">
        <v>-4.8530637286603447E-13</v>
      </c>
      <c r="AU225" s="151">
        <v>1.0567325996031246E-3</v>
      </c>
      <c r="AV225" s="151">
        <v>-2.2500753402709955E-13</v>
      </c>
      <c r="AW225" s="151">
        <v>-80.266116366431476</v>
      </c>
      <c r="BA225" s="161">
        <f t="shared" si="99"/>
        <v>60</v>
      </c>
      <c r="BB225" s="161">
        <f t="shared" si="100"/>
        <v>70</v>
      </c>
      <c r="BC225" s="161">
        <f t="shared" si="101"/>
        <v>80</v>
      </c>
      <c r="BD225" s="161">
        <f t="shared" si="102"/>
        <v>150</v>
      </c>
      <c r="BE225" s="161">
        <f>HLOOKUP(AO225,Data!$H$31:$Q$35,3,FALSE)</f>
        <v>452.38934211693021</v>
      </c>
      <c r="BF225" s="161">
        <f>HLOOKUP(AO225,Data!$H$31:$Q$35,4,FALSE)</f>
        <v>353</v>
      </c>
      <c r="BG225" s="179">
        <f t="shared" si="103"/>
        <v>180</v>
      </c>
      <c r="BH225" s="185">
        <f t="shared" si="104"/>
        <v>121.65654188208487</v>
      </c>
      <c r="BI225" s="185">
        <f t="shared" si="105"/>
        <v>243</v>
      </c>
      <c r="BJ225" s="185">
        <f t="shared" si="106"/>
        <v>142.3296</v>
      </c>
      <c r="BK225" s="185">
        <f t="shared" si="107"/>
        <v>11.197939766037663</v>
      </c>
      <c r="BL225" s="186">
        <f t="shared" si="108"/>
        <v>0.89458333333333329</v>
      </c>
      <c r="BM225" s="186">
        <f t="shared" si="109"/>
        <v>0.10289205873908766</v>
      </c>
      <c r="BN225" s="185" t="str">
        <f t="shared" si="110"/>
        <v>OK</v>
      </c>
      <c r="BO225" s="185" cm="1">
        <f t="array" ref="BO225">_xll.DCEBoltDisRS(AN225, AE225, BA225, BB225, BC225, BD225, "h1")</f>
        <v>890</v>
      </c>
      <c r="BP225" s="185" cm="1">
        <f t="array" ref="BP225">_xll.DCEBoltDisRS(AN225, AE225, BA225, BB225, BC225, BD225, "Tong")</f>
        <v>1800300</v>
      </c>
      <c r="BQ225" s="185">
        <f t="shared" si="111"/>
        <v>20.960054923702589</v>
      </c>
      <c r="BR225" s="186">
        <f t="shared" si="112"/>
        <v>0.1472642017099928</v>
      </c>
      <c r="BS225" s="185" t="str">
        <f t="shared" si="113"/>
        <v>OK</v>
      </c>
      <c r="BT225" s="186">
        <f t="shared" si="114"/>
        <v>0.1736638218496154</v>
      </c>
      <c r="BU225" s="185" t="str">
        <f t="shared" si="115"/>
        <v>OK</v>
      </c>
      <c r="BV225" s="190">
        <f t="shared" si="116"/>
        <v>107.0214884885753</v>
      </c>
      <c r="BW225" s="191">
        <f t="shared" si="117"/>
        <v>2.4079834909929443</v>
      </c>
      <c r="BX225" s="190">
        <f t="shared" si="118"/>
        <v>53.51074424428765</v>
      </c>
      <c r="BY225" s="167">
        <f t="shared" si="119"/>
        <v>22.887763874784422</v>
      </c>
      <c r="BZ225" s="192">
        <f t="shared" si="120"/>
        <v>0.11125996328020206</v>
      </c>
      <c r="CA225" s="191">
        <f t="shared" si="121"/>
        <v>2.1192373958133723</v>
      </c>
      <c r="CB225" s="193">
        <f t="shared" si="122"/>
        <v>1.77618076756389E-2</v>
      </c>
      <c r="CC225" s="167">
        <f t="shared" si="123"/>
        <v>23.180233747900999</v>
      </c>
      <c r="CD225" s="191">
        <f t="shared" si="124"/>
        <v>9.7984079852238545E-2</v>
      </c>
      <c r="CE225" s="189">
        <f t="shared" si="125"/>
        <v>0.11125996328020206</v>
      </c>
      <c r="CF225" s="194" t="str">
        <f t="shared" si="126"/>
        <v>OK</v>
      </c>
      <c r="DA225" s="140"/>
      <c r="DB225" s="140"/>
      <c r="DC225" s="140"/>
      <c r="DD225" s="141"/>
      <c r="DE225" s="151"/>
      <c r="DF225" s="152"/>
      <c r="DG225" s="152"/>
      <c r="DH225" s="152"/>
      <c r="DI225" s="152"/>
      <c r="DJ225" s="152"/>
      <c r="DK225" s="161"/>
      <c r="DL225" s="162"/>
      <c r="DM225" s="162"/>
      <c r="DN225" s="162"/>
      <c r="DO225" s="162"/>
      <c r="DP225" s="162"/>
      <c r="DQ225" s="140"/>
      <c r="DR225" s="151"/>
      <c r="DS225" s="151"/>
      <c r="DT225" s="151"/>
      <c r="DU225" s="151"/>
      <c r="DV225" s="151"/>
      <c r="DW225" s="151"/>
      <c r="DX225" s="151"/>
      <c r="DY225" s="151"/>
      <c r="DZ225" s="151"/>
      <c r="EA225" s="161"/>
      <c r="EB225" s="161"/>
      <c r="EC225" s="161"/>
      <c r="ED225" s="161"/>
      <c r="EE225" s="161"/>
      <c r="EF225" s="161"/>
      <c r="EG225" s="161"/>
      <c r="EH225" s="161"/>
      <c r="EI225" s="161"/>
      <c r="EJ225" s="161"/>
      <c r="EK225" s="209"/>
      <c r="EL225" s="213"/>
      <c r="EM225" s="187"/>
      <c r="EN225" s="187"/>
      <c r="EO225" s="206"/>
      <c r="EP225" s="212"/>
      <c r="EQ225" s="208"/>
      <c r="ER225" s="187"/>
      <c r="ES225" s="187"/>
      <c r="ET225" s="187"/>
      <c r="EU225" s="187"/>
      <c r="EV225" s="210"/>
      <c r="EW225" s="209"/>
      <c r="EX225" s="210"/>
      <c r="EY225" s="162"/>
      <c r="EZ225" s="211"/>
      <c r="FA225" s="209"/>
      <c r="FB225" s="207"/>
      <c r="FC225" s="162"/>
      <c r="FD225" s="209"/>
      <c r="FE225" s="187"/>
      <c r="FF225" s="187"/>
    </row>
    <row r="226" spans="27:162">
      <c r="AA226" s="140" t="s">
        <v>210</v>
      </c>
      <c r="AB226" s="140" t="s">
        <v>240</v>
      </c>
      <c r="AC226" s="140">
        <v>104</v>
      </c>
      <c r="AD226" s="141">
        <v>2.6850000000000001</v>
      </c>
      <c r="AE226" s="151">
        <v>1100</v>
      </c>
      <c r="AF226" s="152">
        <v>350</v>
      </c>
      <c r="AG226" s="152">
        <v>14</v>
      </c>
      <c r="AH226" s="152">
        <v>18.000000000000004</v>
      </c>
      <c r="AI226" s="152">
        <v>1064</v>
      </c>
      <c r="AJ226" s="153" t="str" cm="1">
        <f t="array" ref="AJ226">_xll.Dce_Name_SectI(AE226, AE226, AF226, AG226, AH226, "x", "-", "H Tổng")</f>
        <v>1100x350x14x18</v>
      </c>
      <c r="AK226" s="161">
        <f t="shared" si="97"/>
        <v>1360</v>
      </c>
      <c r="AL226" s="162" cm="1">
        <f t="array" ref="AL226">IFERROR(INDEX($B$25:$B$32,IFERROR(MATCH(AF226,$B$25:$B$32,0),MATCH(AF226,$B$25:$B$32,1)+1)),$B$25)</f>
        <v>350</v>
      </c>
      <c r="AM226" s="162" cm="1">
        <f t="array" ref="AM226">IFERROR(VLOOKUP(AE226,$B$36:$E$47,4,FALSE),INDEX($E$36:$E$47,MATCH(AE226,$B$36:$B$47,1)+1))</f>
        <v>25</v>
      </c>
      <c r="AN226" s="162" cm="1">
        <f t="array" ref="AN226">IFERROR(VLOOKUP(AE226,$B$36:$E$47,2,FALSE),INDEX($C$36:$C$47,MATCH(AE226,$B$36:$B$47,1)+1))</f>
        <v>12</v>
      </c>
      <c r="AO226" s="162" cm="1">
        <f t="array" ref="AO226">IFERROR(VLOOKUP(AE226,$B$36:$E$47,3,FALSE),INDEX($D$36:$D$47,MATCH(AE226,$B$36:$B$47,1)+1))</f>
        <v>24</v>
      </c>
      <c r="AP226" s="163" t="str">
        <f t="shared" si="98"/>
        <v>1360x350x25 + 12M24</v>
      </c>
      <c r="AQ226" s="140" t="s">
        <v>262</v>
      </c>
      <c r="AR226" s="151">
        <v>0</v>
      </c>
      <c r="AS226" s="151">
        <v>192.64924443523358</v>
      </c>
      <c r="AT226" s="151">
        <v>-4.092726157978176E-15</v>
      </c>
      <c r="AU226" s="151">
        <v>1.0565775344437243E-3</v>
      </c>
      <c r="AV226" s="151">
        <v>1.2033970051561478E-13</v>
      </c>
      <c r="AW226" s="151">
        <v>-528.59626154846228</v>
      </c>
      <c r="BA226" s="161">
        <f t="shared" si="99"/>
        <v>60</v>
      </c>
      <c r="BB226" s="161">
        <f t="shared" si="100"/>
        <v>70</v>
      </c>
      <c r="BC226" s="161">
        <f t="shared" si="101"/>
        <v>80</v>
      </c>
      <c r="BD226" s="161">
        <f t="shared" si="102"/>
        <v>150</v>
      </c>
      <c r="BE226" s="161">
        <f>HLOOKUP(AO226,Data!$H$31:$Q$35,3,FALSE)</f>
        <v>452.38934211693021</v>
      </c>
      <c r="BF226" s="161">
        <f>HLOOKUP(AO226,Data!$H$31:$Q$35,4,FALSE)</f>
        <v>353</v>
      </c>
      <c r="BG226" s="179">
        <f t="shared" si="103"/>
        <v>180</v>
      </c>
      <c r="BH226" s="185">
        <f t="shared" si="104"/>
        <v>121.65654188208487</v>
      </c>
      <c r="BI226" s="185">
        <f t="shared" si="105"/>
        <v>243</v>
      </c>
      <c r="BJ226" s="185">
        <f t="shared" si="106"/>
        <v>142.3296</v>
      </c>
      <c r="BK226" s="185">
        <f t="shared" si="107"/>
        <v>15.974430239909351</v>
      </c>
      <c r="BL226" s="186">
        <f t="shared" si="108"/>
        <v>0.82166666666666666</v>
      </c>
      <c r="BM226" s="186">
        <f t="shared" si="109"/>
        <v>0.15980642675365681</v>
      </c>
      <c r="BN226" s="185" t="str">
        <f t="shared" si="110"/>
        <v>OK</v>
      </c>
      <c r="BO226" s="185" cm="1">
        <f t="array" ref="BO226">_xll.DCEBoltDisRS(AN226, AE226, BA226, BB226, BC226, BD226, "h1")</f>
        <v>1240</v>
      </c>
      <c r="BP226" s="185" cm="1">
        <f t="array" ref="BP226">_xll.DCEBoltDisRS(AN226, AE226, BA226, BB226, BC226, BD226, "Tong")</f>
        <v>3721800</v>
      </c>
      <c r="BQ226" s="185">
        <f t="shared" si="111"/>
        <v>89.654211834793941</v>
      </c>
      <c r="BR226" s="186">
        <f t="shared" si="112"/>
        <v>0.62990559823672621</v>
      </c>
      <c r="BS226" s="185" t="str">
        <f t="shared" si="113"/>
        <v>OK</v>
      </c>
      <c r="BT226" s="186">
        <f t="shared" si="114"/>
        <v>0.64344599787376733</v>
      </c>
      <c r="BU226" s="185" t="str">
        <f t="shared" si="115"/>
        <v>OK</v>
      </c>
      <c r="BV226" s="190">
        <f t="shared" si="116"/>
        <v>480.5420559531475</v>
      </c>
      <c r="BW226" s="191">
        <f t="shared" si="117"/>
        <v>10.812196258945818</v>
      </c>
      <c r="BX226" s="190">
        <f t="shared" si="118"/>
        <v>240.27102797657375</v>
      </c>
      <c r="BY226" s="167">
        <f t="shared" si="119"/>
        <v>76.321385357264589</v>
      </c>
      <c r="BZ226" s="192">
        <f t="shared" si="120"/>
        <v>0.37100673437559178</v>
      </c>
      <c r="CA226" s="191">
        <f t="shared" si="121"/>
        <v>7.0667949404874628</v>
      </c>
      <c r="CB226" s="193">
        <f t="shared" si="122"/>
        <v>5.922840587094378E-2</v>
      </c>
      <c r="CC226" s="167">
        <f t="shared" si="123"/>
        <v>77.296653453075052</v>
      </c>
      <c r="CD226" s="191">
        <f t="shared" si="124"/>
        <v>0.32673706169778111</v>
      </c>
      <c r="CE226" s="189">
        <f t="shared" si="125"/>
        <v>0.37100673437559178</v>
      </c>
      <c r="CF226" s="194" t="str">
        <f t="shared" si="126"/>
        <v>OK</v>
      </c>
      <c r="DA226" s="140"/>
      <c r="DB226" s="140"/>
      <c r="DC226" s="140"/>
      <c r="DD226" s="141"/>
      <c r="DE226" s="151"/>
      <c r="DF226" s="152"/>
      <c r="DG226" s="152"/>
      <c r="DH226" s="152"/>
      <c r="DI226" s="152"/>
      <c r="DJ226" s="152"/>
      <c r="DK226" s="161"/>
      <c r="DL226" s="162"/>
      <c r="DM226" s="162"/>
      <c r="DN226" s="162"/>
      <c r="DO226" s="162"/>
      <c r="DP226" s="162"/>
      <c r="DQ226" s="140"/>
      <c r="DR226" s="151"/>
      <c r="DS226" s="151"/>
      <c r="DT226" s="151"/>
      <c r="DU226" s="151"/>
      <c r="DV226" s="151"/>
      <c r="DW226" s="151"/>
      <c r="DX226" s="151"/>
      <c r="DY226" s="151"/>
      <c r="DZ226" s="151"/>
      <c r="EA226" s="161"/>
      <c r="EB226" s="161"/>
      <c r="EC226" s="161"/>
      <c r="ED226" s="161"/>
      <c r="EE226" s="161"/>
      <c r="EF226" s="161"/>
      <c r="EG226" s="161"/>
      <c r="EH226" s="161"/>
      <c r="EI226" s="161"/>
      <c r="EJ226" s="161"/>
      <c r="EK226" s="209"/>
      <c r="EL226" s="213"/>
      <c r="EM226" s="187"/>
      <c r="EN226" s="187"/>
      <c r="EO226" s="206"/>
      <c r="EP226" s="212"/>
      <c r="EQ226" s="208"/>
      <c r="ER226" s="187"/>
      <c r="ES226" s="187"/>
      <c r="ET226" s="187"/>
      <c r="EU226" s="187"/>
      <c r="EV226" s="210"/>
      <c r="EW226" s="209"/>
      <c r="EX226" s="210"/>
      <c r="EY226" s="162"/>
      <c r="EZ226" s="211"/>
      <c r="FA226" s="209"/>
      <c r="FB226" s="207"/>
      <c r="FC226" s="162"/>
      <c r="FD226" s="209"/>
      <c r="FE226" s="187"/>
      <c r="FF226" s="187"/>
    </row>
    <row r="227" spans="27:162">
      <c r="AA227" s="140" t="s">
        <v>210</v>
      </c>
      <c r="AB227" s="140" t="s">
        <v>240</v>
      </c>
      <c r="AC227" s="140">
        <v>104</v>
      </c>
      <c r="AD227" s="141">
        <v>0</v>
      </c>
      <c r="AE227" s="151">
        <v>750</v>
      </c>
      <c r="AF227" s="152">
        <v>350</v>
      </c>
      <c r="AG227" s="152">
        <v>14</v>
      </c>
      <c r="AH227" s="152">
        <v>18.000000000000004</v>
      </c>
      <c r="AI227" s="152">
        <v>714</v>
      </c>
      <c r="AJ227" s="153" t="str" cm="1">
        <f t="array" ref="AJ227">_xll.Dce_Name_SectI(AE227, AE227, AF227, AG227, AH227, "x", "-", "H Tổng")</f>
        <v>750x350x14x18</v>
      </c>
      <c r="AK227" s="161">
        <f t="shared" si="97"/>
        <v>1010</v>
      </c>
      <c r="AL227" s="162" cm="1">
        <f t="array" ref="AL227">IFERROR(INDEX($B$25:$B$32,IFERROR(MATCH(AF227,$B$25:$B$32,0),MATCH(AF227,$B$25:$B$32,1)+1)),$B$25)</f>
        <v>350</v>
      </c>
      <c r="AM227" s="162" cm="1">
        <f t="array" ref="AM227">IFERROR(VLOOKUP(AE227,$B$36:$E$47,4,FALSE),INDEX($E$36:$E$47,MATCH(AE227,$B$36:$B$47,1)+1))</f>
        <v>25</v>
      </c>
      <c r="AN227" s="162" cm="1">
        <f t="array" ref="AN227">IFERROR(VLOOKUP(AE227,$B$36:$E$47,2,FALSE),INDEX($C$36:$C$47,MATCH(AE227,$B$36:$B$47,1)+1))</f>
        <v>12</v>
      </c>
      <c r="AO227" s="162" cm="1">
        <f t="array" ref="AO227">IFERROR(VLOOKUP(AE227,$B$36:$E$47,3,FALSE),INDEX($D$36:$D$47,MATCH(AE227,$B$36:$B$47,1)+1))</f>
        <v>24</v>
      </c>
      <c r="AP227" s="163" t="str">
        <f t="shared" si="98"/>
        <v>1010x350x25 + 12M24</v>
      </c>
      <c r="AQ227" s="140" t="s">
        <v>263</v>
      </c>
      <c r="AR227" s="151">
        <v>0</v>
      </c>
      <c r="AS227" s="151">
        <v>139.21200971161312</v>
      </c>
      <c r="AT227" s="151">
        <v>-4.8530637286603447E-13</v>
      </c>
      <c r="AU227" s="151">
        <v>-2.9747044130329586E-4</v>
      </c>
      <c r="AV227" s="151">
        <v>-1.0579824447631833E-13</v>
      </c>
      <c r="AW227" s="151">
        <v>-105.26591169147842</v>
      </c>
      <c r="BA227" s="161">
        <f t="shared" si="99"/>
        <v>60</v>
      </c>
      <c r="BB227" s="161">
        <f t="shared" si="100"/>
        <v>70</v>
      </c>
      <c r="BC227" s="161">
        <f t="shared" si="101"/>
        <v>80</v>
      </c>
      <c r="BD227" s="161">
        <f t="shared" si="102"/>
        <v>150</v>
      </c>
      <c r="BE227" s="161">
        <f>HLOOKUP(AO227,Data!$H$31:$Q$35,3,FALSE)</f>
        <v>452.38934211693021</v>
      </c>
      <c r="BF227" s="161">
        <f>HLOOKUP(AO227,Data!$H$31:$Q$35,4,FALSE)</f>
        <v>353</v>
      </c>
      <c r="BG227" s="179">
        <f t="shared" si="103"/>
        <v>180</v>
      </c>
      <c r="BH227" s="185">
        <f t="shared" si="104"/>
        <v>121.65654188208487</v>
      </c>
      <c r="BI227" s="185">
        <f t="shared" si="105"/>
        <v>243</v>
      </c>
      <c r="BJ227" s="185">
        <f t="shared" si="106"/>
        <v>142.3296</v>
      </c>
      <c r="BK227" s="185">
        <f t="shared" si="107"/>
        <v>11.543427248910769</v>
      </c>
      <c r="BL227" s="186">
        <f t="shared" si="108"/>
        <v>0.89458333333333329</v>
      </c>
      <c r="BM227" s="186">
        <f t="shared" si="109"/>
        <v>0.10606656397166737</v>
      </c>
      <c r="BN227" s="185" t="str">
        <f t="shared" si="110"/>
        <v>OK</v>
      </c>
      <c r="BO227" s="185" cm="1">
        <f t="array" ref="BO227">_xll.DCEBoltDisRS(AN227, AE227, BA227, BB227, BC227, BD227, "h1")</f>
        <v>890</v>
      </c>
      <c r="BP227" s="185" cm="1">
        <f t="array" ref="BP227">_xll.DCEBoltDisRS(AN227, AE227, BA227, BB227, BC227, BD227, "Tong")</f>
        <v>1800300</v>
      </c>
      <c r="BQ227" s="185">
        <f t="shared" si="111"/>
        <v>27.174078714841585</v>
      </c>
      <c r="BR227" s="186">
        <f t="shared" si="112"/>
        <v>0.19092359365052375</v>
      </c>
      <c r="BS227" s="185" t="str">
        <f t="shared" si="113"/>
        <v>OK</v>
      </c>
      <c r="BT227" s="186">
        <f t="shared" si="114"/>
        <v>0.21320190903732875</v>
      </c>
      <c r="BU227" s="185" t="str">
        <f t="shared" si="115"/>
        <v>OK</v>
      </c>
      <c r="BV227" s="190">
        <f t="shared" si="116"/>
        <v>140.35454892197123</v>
      </c>
      <c r="BW227" s="191">
        <f t="shared" si="117"/>
        <v>3.1579773507443525</v>
      </c>
      <c r="BX227" s="190">
        <f t="shared" si="118"/>
        <v>70.177274460985615</v>
      </c>
      <c r="BY227" s="167">
        <f t="shared" si="119"/>
        <v>30.016418383312658</v>
      </c>
      <c r="BZ227" s="192">
        <f t="shared" si="120"/>
        <v>0.14591314491888099</v>
      </c>
      <c r="CA227" s="191">
        <f t="shared" si="121"/>
        <v>2.7792979984548758</v>
      </c>
      <c r="CB227" s="193">
        <f t="shared" si="122"/>
        <v>2.3293924795479086E-2</v>
      </c>
      <c r="CC227" s="167">
        <f t="shared" si="123"/>
        <v>30.399981326552091</v>
      </c>
      <c r="CD227" s="191">
        <f t="shared" si="124"/>
        <v>0.12850233652528059</v>
      </c>
      <c r="CE227" s="189">
        <f t="shared" si="125"/>
        <v>0.14591314491888099</v>
      </c>
      <c r="CF227" s="194" t="str">
        <f t="shared" si="126"/>
        <v>OK</v>
      </c>
      <c r="DA227" s="140"/>
      <c r="DB227" s="140"/>
      <c r="DC227" s="140"/>
      <c r="DD227" s="141"/>
      <c r="DE227" s="151"/>
      <c r="DF227" s="152"/>
      <c r="DG227" s="152"/>
      <c r="DH227" s="152"/>
      <c r="DI227" s="152"/>
      <c r="DJ227" s="152"/>
      <c r="DK227" s="161"/>
      <c r="DL227" s="162"/>
      <c r="DM227" s="162"/>
      <c r="DN227" s="162"/>
      <c r="DO227" s="162"/>
      <c r="DP227" s="162"/>
      <c r="DQ227" s="140"/>
      <c r="DR227" s="151"/>
      <c r="DS227" s="151"/>
      <c r="DT227" s="151"/>
      <c r="DU227" s="151"/>
      <c r="DV227" s="151"/>
      <c r="DW227" s="151"/>
      <c r="DX227" s="151"/>
      <c r="DY227" s="151"/>
      <c r="DZ227" s="151"/>
      <c r="EA227" s="161"/>
      <c r="EB227" s="161"/>
      <c r="EC227" s="161"/>
      <c r="ED227" s="161"/>
      <c r="EE227" s="161"/>
      <c r="EF227" s="161"/>
      <c r="EG227" s="161"/>
      <c r="EH227" s="161"/>
      <c r="EI227" s="161"/>
      <c r="EJ227" s="161"/>
      <c r="EK227" s="209"/>
      <c r="EL227" s="213"/>
      <c r="EM227" s="187"/>
      <c r="EN227" s="187"/>
      <c r="EO227" s="206"/>
      <c r="EP227" s="212"/>
      <c r="EQ227" s="208"/>
      <c r="ER227" s="187"/>
      <c r="ES227" s="187"/>
      <c r="ET227" s="187"/>
      <c r="EU227" s="187"/>
      <c r="EV227" s="210"/>
      <c r="EW227" s="209"/>
      <c r="EX227" s="210"/>
      <c r="EY227" s="162"/>
      <c r="EZ227" s="211"/>
      <c r="FA227" s="209"/>
      <c r="FB227" s="207"/>
      <c r="FC227" s="162"/>
      <c r="FD227" s="209"/>
      <c r="FE227" s="187"/>
      <c r="FF227" s="187"/>
    </row>
    <row r="228" spans="27:162">
      <c r="AA228" s="140" t="s">
        <v>210</v>
      </c>
      <c r="AB228" s="140" t="s">
        <v>240</v>
      </c>
      <c r="AC228" s="140">
        <v>104</v>
      </c>
      <c r="AD228" s="141">
        <v>2.6850000000000001</v>
      </c>
      <c r="AE228" s="151">
        <v>1100</v>
      </c>
      <c r="AF228" s="152">
        <v>350</v>
      </c>
      <c r="AG228" s="152">
        <v>14</v>
      </c>
      <c r="AH228" s="152">
        <v>18.000000000000004</v>
      </c>
      <c r="AI228" s="152">
        <v>1064</v>
      </c>
      <c r="AJ228" s="153" t="str" cm="1">
        <f t="array" ref="AJ228">_xll.Dce_Name_SectI(AE228, AE228, AF228, AG228, AH228, "x", "-", "H Tổng")</f>
        <v>1100x350x14x18</v>
      </c>
      <c r="AK228" s="161">
        <f t="shared" si="97"/>
        <v>1360</v>
      </c>
      <c r="AL228" s="162" cm="1">
        <f t="array" ref="AL228">IFERROR(INDEX($B$25:$B$32,IFERROR(MATCH(AF228,$B$25:$B$32,0),MATCH(AF228,$B$25:$B$32,1)+1)),$B$25)</f>
        <v>350</v>
      </c>
      <c r="AM228" s="162" cm="1">
        <f t="array" ref="AM228">IFERROR(VLOOKUP(AE228,$B$36:$E$47,4,FALSE),INDEX($E$36:$E$47,MATCH(AE228,$B$36:$B$47,1)+1))</f>
        <v>25</v>
      </c>
      <c r="AN228" s="162" cm="1">
        <f t="array" ref="AN228">IFERROR(VLOOKUP(AE228,$B$36:$E$47,2,FALSE),INDEX($C$36:$C$47,MATCH(AE228,$B$36:$B$47,1)+1))</f>
        <v>12</v>
      </c>
      <c r="AO228" s="162" cm="1">
        <f t="array" ref="AO228">IFERROR(VLOOKUP(AE228,$B$36:$E$47,3,FALSE),INDEX($D$36:$D$47,MATCH(AE228,$B$36:$B$47,1)+1))</f>
        <v>24</v>
      </c>
      <c r="AP228" s="163" t="str">
        <f t="shared" si="98"/>
        <v>1360x350x25 + 12M24</v>
      </c>
      <c r="AQ228" s="140" t="s">
        <v>263</v>
      </c>
      <c r="AR228" s="151">
        <v>0</v>
      </c>
      <c r="AS228" s="151">
        <v>196.8157732398667</v>
      </c>
      <c r="AT228" s="151">
        <v>5.4114934755489221E-14</v>
      </c>
      <c r="AU228" s="151">
        <v>-2.9742705862229887E-4</v>
      </c>
      <c r="AV228" s="151">
        <v>-8.6472118709934861E-14</v>
      </c>
      <c r="AW228" s="151">
        <v>-564.78316378343925</v>
      </c>
      <c r="BA228" s="161">
        <f t="shared" si="99"/>
        <v>60</v>
      </c>
      <c r="BB228" s="161">
        <f t="shared" si="100"/>
        <v>70</v>
      </c>
      <c r="BC228" s="161">
        <f t="shared" si="101"/>
        <v>80</v>
      </c>
      <c r="BD228" s="161">
        <f t="shared" si="102"/>
        <v>150</v>
      </c>
      <c r="BE228" s="161">
        <f>HLOOKUP(AO228,Data!$H$31:$Q$35,3,FALSE)</f>
        <v>452.38934211693021</v>
      </c>
      <c r="BF228" s="161">
        <f>HLOOKUP(AO228,Data!$H$31:$Q$35,4,FALSE)</f>
        <v>353</v>
      </c>
      <c r="BG228" s="179">
        <f t="shared" si="103"/>
        <v>180</v>
      </c>
      <c r="BH228" s="185">
        <f t="shared" si="104"/>
        <v>121.65654188208487</v>
      </c>
      <c r="BI228" s="185">
        <f t="shared" si="105"/>
        <v>243</v>
      </c>
      <c r="BJ228" s="185">
        <f t="shared" si="106"/>
        <v>142.3296</v>
      </c>
      <c r="BK228" s="185">
        <f t="shared" si="107"/>
        <v>16.319917832800279</v>
      </c>
      <c r="BL228" s="186">
        <f t="shared" si="108"/>
        <v>0.82166666666666666</v>
      </c>
      <c r="BM228" s="186">
        <f t="shared" si="109"/>
        <v>0.163262646279389</v>
      </c>
      <c r="BN228" s="185" t="str">
        <f t="shared" si="110"/>
        <v>OK</v>
      </c>
      <c r="BO228" s="185" cm="1">
        <f t="array" ref="BO228">_xll.DCEBoltDisRS(AN228, AE228, BA228, BB228, BC228, BD228, "h1")</f>
        <v>1240</v>
      </c>
      <c r="BP228" s="185" cm="1">
        <f t="array" ref="BP228">_xll.DCEBoltDisRS(AN228, AE228, BA228, BB228, BC228, BD228, "Tong")</f>
        <v>3721800</v>
      </c>
      <c r="BQ228" s="185">
        <f t="shared" si="111"/>
        <v>95.716994079408863</v>
      </c>
      <c r="BR228" s="186">
        <f t="shared" si="112"/>
        <v>0.67250237532747137</v>
      </c>
      <c r="BS228" s="185" t="str">
        <f t="shared" si="113"/>
        <v>OK</v>
      </c>
      <c r="BT228" s="186">
        <f t="shared" si="114"/>
        <v>0.68575140517401867</v>
      </c>
      <c r="BU228" s="185" t="str">
        <f t="shared" si="115"/>
        <v>OK</v>
      </c>
      <c r="BV228" s="190">
        <f t="shared" si="116"/>
        <v>513.4392398031265</v>
      </c>
      <c r="BW228" s="191">
        <f t="shared" si="117"/>
        <v>11.552382895570346</v>
      </c>
      <c r="BX228" s="190">
        <f t="shared" si="118"/>
        <v>256.71961990156325</v>
      </c>
      <c r="BY228" s="167">
        <f t="shared" si="119"/>
        <v>81.546232204025983</v>
      </c>
      <c r="BZ228" s="192">
        <f t="shared" si="120"/>
        <v>0.39640529543623748</v>
      </c>
      <c r="CA228" s="191">
        <f t="shared" si="121"/>
        <v>7.5505770559283309</v>
      </c>
      <c r="CB228" s="193">
        <f t="shared" si="122"/>
        <v>6.3283093141161789E-2</v>
      </c>
      <c r="CC228" s="167">
        <f t="shared" si="123"/>
        <v>82.588265681666059</v>
      </c>
      <c r="CD228" s="191">
        <f t="shared" si="124"/>
        <v>0.34910498778482035</v>
      </c>
      <c r="CE228" s="189">
        <f t="shared" si="125"/>
        <v>0.39640529543623748</v>
      </c>
      <c r="CF228" s="194" t="str">
        <f t="shared" si="126"/>
        <v>OK</v>
      </c>
      <c r="DA228" s="140"/>
      <c r="DB228" s="140"/>
      <c r="DC228" s="140"/>
      <c r="DD228" s="141"/>
      <c r="DE228" s="151"/>
      <c r="DF228" s="152"/>
      <c r="DG228" s="152"/>
      <c r="DH228" s="152"/>
      <c r="DI228" s="152"/>
      <c r="DJ228" s="152"/>
      <c r="DK228" s="161"/>
      <c r="DL228" s="162"/>
      <c r="DM228" s="162"/>
      <c r="DN228" s="162"/>
      <c r="DO228" s="162"/>
      <c r="DP228" s="162"/>
      <c r="DQ228" s="140"/>
      <c r="DR228" s="151"/>
      <c r="DS228" s="151"/>
      <c r="DT228" s="151"/>
      <c r="DU228" s="151"/>
      <c r="DV228" s="151"/>
      <c r="DW228" s="151"/>
      <c r="DX228" s="151"/>
      <c r="DY228" s="151"/>
      <c r="DZ228" s="151"/>
      <c r="EA228" s="161"/>
      <c r="EB228" s="161"/>
      <c r="EC228" s="161"/>
      <c r="ED228" s="161"/>
      <c r="EE228" s="161"/>
      <c r="EF228" s="161"/>
      <c r="EG228" s="161"/>
      <c r="EH228" s="161"/>
      <c r="EI228" s="161"/>
      <c r="EJ228" s="161"/>
      <c r="EK228" s="209"/>
      <c r="EL228" s="213"/>
      <c r="EM228" s="187"/>
      <c r="EN228" s="187"/>
      <c r="EO228" s="206"/>
      <c r="EP228" s="212"/>
      <c r="EQ228" s="208"/>
      <c r="ER228" s="187"/>
      <c r="ES228" s="187"/>
      <c r="ET228" s="187"/>
      <c r="EU228" s="187"/>
      <c r="EV228" s="210"/>
      <c r="EW228" s="209"/>
      <c r="EX228" s="210"/>
      <c r="EY228" s="162"/>
      <c r="EZ228" s="211"/>
      <c r="FA228" s="209"/>
      <c r="FB228" s="207"/>
      <c r="FC228" s="162"/>
      <c r="FD228" s="209"/>
      <c r="FE228" s="187"/>
      <c r="FF228" s="187"/>
    </row>
    <row r="229" spans="27:162">
      <c r="AA229" s="140" t="s">
        <v>210</v>
      </c>
      <c r="AB229" s="140" t="s">
        <v>240</v>
      </c>
      <c r="AC229" s="140">
        <v>104</v>
      </c>
      <c r="AD229" s="141">
        <v>0</v>
      </c>
      <c r="AE229" s="151">
        <v>750</v>
      </c>
      <c r="AF229" s="152">
        <v>350</v>
      </c>
      <c r="AG229" s="152">
        <v>14</v>
      </c>
      <c r="AH229" s="152">
        <v>18.000000000000004</v>
      </c>
      <c r="AI229" s="152">
        <v>714</v>
      </c>
      <c r="AJ229" s="153" t="str" cm="1">
        <f t="array" ref="AJ229">_xll.Dce_Name_SectI(AE229, AE229, AF229, AG229, AH229, "x", "-", "H Tổng")</f>
        <v>750x350x14x18</v>
      </c>
      <c r="AK229" s="161">
        <f t="shared" si="97"/>
        <v>1010</v>
      </c>
      <c r="AL229" s="162" cm="1">
        <f t="array" ref="AL229">IFERROR(INDEX($B$25:$B$32,IFERROR(MATCH(AF229,$B$25:$B$32,0),MATCH(AF229,$B$25:$B$32,1)+1)),$B$25)</f>
        <v>350</v>
      </c>
      <c r="AM229" s="162" cm="1">
        <f t="array" ref="AM229">IFERROR(VLOOKUP(AE229,$B$36:$E$47,4,FALSE),INDEX($E$36:$E$47,MATCH(AE229,$B$36:$B$47,1)+1))</f>
        <v>25</v>
      </c>
      <c r="AN229" s="162" cm="1">
        <f t="array" ref="AN229">IFERROR(VLOOKUP(AE229,$B$36:$E$47,2,FALSE),INDEX($C$36:$C$47,MATCH(AE229,$B$36:$B$47,1)+1))</f>
        <v>12</v>
      </c>
      <c r="AO229" s="162" cm="1">
        <f t="array" ref="AO229">IFERROR(VLOOKUP(AE229,$B$36:$E$47,3,FALSE),INDEX($D$36:$D$47,MATCH(AE229,$B$36:$B$47,1)+1))</f>
        <v>24</v>
      </c>
      <c r="AP229" s="163" t="str">
        <f t="shared" si="98"/>
        <v>1010x350x25 + 12M24</v>
      </c>
      <c r="AQ229" s="140" t="s">
        <v>264</v>
      </c>
      <c r="AR229" s="151">
        <v>0</v>
      </c>
      <c r="AS229" s="151">
        <v>142.04297308554919</v>
      </c>
      <c r="AT229" s="151">
        <v>-1.9645085558295248E-14</v>
      </c>
      <c r="AU229" s="151">
        <v>1.3345275015609327E-4</v>
      </c>
      <c r="AV229" s="151">
        <v>-4.6193599700927721E-14</v>
      </c>
      <c r="AW229" s="151">
        <v>-108.32392900805421</v>
      </c>
      <c r="BA229" s="161">
        <f t="shared" si="99"/>
        <v>60</v>
      </c>
      <c r="BB229" s="161">
        <f t="shared" si="100"/>
        <v>70</v>
      </c>
      <c r="BC229" s="161">
        <f t="shared" si="101"/>
        <v>80</v>
      </c>
      <c r="BD229" s="161">
        <f t="shared" si="102"/>
        <v>150</v>
      </c>
      <c r="BE229" s="161">
        <f>HLOOKUP(AO229,Data!$H$31:$Q$35,3,FALSE)</f>
        <v>452.38934211693021</v>
      </c>
      <c r="BF229" s="161">
        <f>HLOOKUP(AO229,Data!$H$31:$Q$35,4,FALSE)</f>
        <v>353</v>
      </c>
      <c r="BG229" s="179">
        <f t="shared" si="103"/>
        <v>180</v>
      </c>
      <c r="BH229" s="185">
        <f t="shared" si="104"/>
        <v>121.65654188208487</v>
      </c>
      <c r="BI229" s="185">
        <f t="shared" si="105"/>
        <v>243</v>
      </c>
      <c r="BJ229" s="185">
        <f t="shared" si="106"/>
        <v>142.3296</v>
      </c>
      <c r="BK229" s="185">
        <f t="shared" si="107"/>
        <v>11.778170069009832</v>
      </c>
      <c r="BL229" s="186">
        <f t="shared" si="108"/>
        <v>0.89458333333333329</v>
      </c>
      <c r="BM229" s="186">
        <f t="shared" si="109"/>
        <v>0.10822349395511544</v>
      </c>
      <c r="BN229" s="185" t="str">
        <f t="shared" si="110"/>
        <v>OK</v>
      </c>
      <c r="BO229" s="185" cm="1">
        <f t="array" ref="BO229">_xll.DCEBoltDisRS(AN229, AE229, BA229, BB229, BC229, BD229, "h1")</f>
        <v>890</v>
      </c>
      <c r="BP229" s="185" cm="1">
        <f t="array" ref="BP229">_xll.DCEBoltDisRS(AN229, AE229, BA229, BB229, BC229, BD229, "Tong")</f>
        <v>1800300</v>
      </c>
      <c r="BQ229" s="185">
        <f t="shared" si="111"/>
        <v>27.953436852806735</v>
      </c>
      <c r="BR229" s="186">
        <f t="shared" si="112"/>
        <v>0.19639932138365271</v>
      </c>
      <c r="BS229" s="185" t="str">
        <f t="shared" si="113"/>
        <v>OK</v>
      </c>
      <c r="BT229" s="186">
        <f t="shared" si="114"/>
        <v>0.21896535086415173</v>
      </c>
      <c r="BU229" s="185" t="str">
        <f t="shared" si="115"/>
        <v>OK</v>
      </c>
      <c r="BV229" s="190">
        <f t="shared" si="116"/>
        <v>144.43190534407228</v>
      </c>
      <c r="BW229" s="191">
        <f t="shared" si="117"/>
        <v>3.2497178702416263</v>
      </c>
      <c r="BX229" s="190">
        <f t="shared" si="118"/>
        <v>72.215952672036138</v>
      </c>
      <c r="BY229" s="167">
        <f t="shared" si="119"/>
        <v>30.888407479524364</v>
      </c>
      <c r="BZ229" s="192">
        <f t="shared" si="120"/>
        <v>0.15015198080324346</v>
      </c>
      <c r="CA229" s="191">
        <f t="shared" si="121"/>
        <v>2.8600377295855894</v>
      </c>
      <c r="CB229" s="193">
        <f t="shared" si="122"/>
        <v>2.3970622733595699E-2</v>
      </c>
      <c r="CC229" s="167">
        <f t="shared" si="123"/>
        <v>31.283113081422954</v>
      </c>
      <c r="CD229" s="191">
        <f t="shared" si="124"/>
        <v>0.13223538138282653</v>
      </c>
      <c r="CE229" s="189">
        <f t="shared" si="125"/>
        <v>0.15015198080324346</v>
      </c>
      <c r="CF229" s="194" t="str">
        <f t="shared" si="126"/>
        <v>OK</v>
      </c>
      <c r="DA229" s="140"/>
      <c r="DB229" s="140"/>
      <c r="DC229" s="140"/>
      <c r="DD229" s="141"/>
      <c r="DE229" s="151"/>
      <c r="DF229" s="152"/>
      <c r="DG229" s="152"/>
      <c r="DH229" s="152"/>
      <c r="DI229" s="152"/>
      <c r="DJ229" s="152"/>
      <c r="DK229" s="161"/>
      <c r="DL229" s="162"/>
      <c r="DM229" s="162"/>
      <c r="DN229" s="162"/>
      <c r="DO229" s="162"/>
      <c r="DP229" s="162"/>
      <c r="DQ229" s="140"/>
      <c r="DR229" s="151"/>
      <c r="DS229" s="151"/>
      <c r="DT229" s="151"/>
      <c r="DU229" s="151"/>
      <c r="DV229" s="151"/>
      <c r="DW229" s="151"/>
      <c r="DX229" s="151"/>
      <c r="DY229" s="151"/>
      <c r="DZ229" s="151"/>
      <c r="EA229" s="161"/>
      <c r="EB229" s="161"/>
      <c r="EC229" s="161"/>
      <c r="ED229" s="161"/>
      <c r="EE229" s="161"/>
      <c r="EF229" s="161"/>
      <c r="EG229" s="161"/>
      <c r="EH229" s="161"/>
      <c r="EI229" s="161"/>
      <c r="EJ229" s="161"/>
      <c r="EK229" s="209"/>
      <c r="EL229" s="213"/>
      <c r="EM229" s="187"/>
      <c r="EN229" s="187"/>
      <c r="EO229" s="206"/>
      <c r="EP229" s="212"/>
      <c r="EQ229" s="208"/>
      <c r="ER229" s="187"/>
      <c r="ES229" s="187"/>
      <c r="ET229" s="187"/>
      <c r="EU229" s="187"/>
      <c r="EV229" s="210"/>
      <c r="EW229" s="209"/>
      <c r="EX229" s="210"/>
      <c r="EY229" s="162"/>
      <c r="EZ229" s="211"/>
      <c r="FA229" s="209"/>
      <c r="FB229" s="207"/>
      <c r="FC229" s="162"/>
      <c r="FD229" s="209"/>
      <c r="FE229" s="187"/>
      <c r="FF229" s="187"/>
    </row>
    <row r="230" spans="27:162">
      <c r="AA230" s="140" t="s">
        <v>210</v>
      </c>
      <c r="AB230" s="140" t="s">
        <v>240</v>
      </c>
      <c r="AC230" s="140">
        <v>104</v>
      </c>
      <c r="AD230" s="141">
        <v>2.6850000000000001</v>
      </c>
      <c r="AE230" s="151">
        <v>1100</v>
      </c>
      <c r="AF230" s="152">
        <v>350</v>
      </c>
      <c r="AG230" s="152">
        <v>14</v>
      </c>
      <c r="AH230" s="152">
        <v>18.000000000000004</v>
      </c>
      <c r="AI230" s="152">
        <v>1064</v>
      </c>
      <c r="AJ230" s="153" t="str" cm="1">
        <f t="array" ref="AJ230">_xll.Dce_Name_SectI(AE230, AE230, AF230, AG230, AH230, "x", "-", "H Tổng")</f>
        <v>1100x350x14x18</v>
      </c>
      <c r="AK230" s="161">
        <f t="shared" si="97"/>
        <v>1360</v>
      </c>
      <c r="AL230" s="162" cm="1">
        <f t="array" ref="AL230">IFERROR(INDEX($B$25:$B$32,IFERROR(MATCH(AF230,$B$25:$B$32,0),MATCH(AF230,$B$25:$B$32,1)+1)),$B$25)</f>
        <v>350</v>
      </c>
      <c r="AM230" s="162" cm="1">
        <f t="array" ref="AM230">IFERROR(VLOOKUP(AE230,$B$36:$E$47,4,FALSE),INDEX($E$36:$E$47,MATCH(AE230,$B$36:$B$47,1)+1))</f>
        <v>25</v>
      </c>
      <c r="AN230" s="162" cm="1">
        <f t="array" ref="AN230">IFERROR(VLOOKUP(AE230,$B$36:$E$47,2,FALSE),INDEX($C$36:$C$47,MATCH(AE230,$B$36:$B$47,1)+1))</f>
        <v>12</v>
      </c>
      <c r="AO230" s="162" cm="1">
        <f t="array" ref="AO230">IFERROR(VLOOKUP(AE230,$B$36:$E$47,3,FALSE),INDEX($D$36:$D$47,MATCH(AE230,$B$36:$B$47,1)+1))</f>
        <v>24</v>
      </c>
      <c r="AP230" s="163" t="str">
        <f t="shared" si="98"/>
        <v>1360x350x25 + 12M24</v>
      </c>
      <c r="AQ230" s="140" t="s">
        <v>264</v>
      </c>
      <c r="AR230" s="151">
        <v>0</v>
      </c>
      <c r="AS230" s="151">
        <v>199.64673728885381</v>
      </c>
      <c r="AT230" s="151">
        <v>-4.092726157978176E-15</v>
      </c>
      <c r="AU230" s="151">
        <v>1.3343293240011396E-4</v>
      </c>
      <c r="AV230" s="151">
        <v>1.1304109648335722E-15</v>
      </c>
      <c r="AW230" s="151">
        <v>-575.44228988508576</v>
      </c>
      <c r="BA230" s="161">
        <f t="shared" si="99"/>
        <v>60</v>
      </c>
      <c r="BB230" s="161">
        <f t="shared" si="100"/>
        <v>70</v>
      </c>
      <c r="BC230" s="161">
        <f t="shared" si="101"/>
        <v>80</v>
      </c>
      <c r="BD230" s="161">
        <f t="shared" si="102"/>
        <v>150</v>
      </c>
      <c r="BE230" s="161">
        <f>HLOOKUP(AO230,Data!$H$31:$Q$35,3,FALSE)</f>
        <v>452.38934211693021</v>
      </c>
      <c r="BF230" s="161">
        <f>HLOOKUP(AO230,Data!$H$31:$Q$35,4,FALSE)</f>
        <v>353</v>
      </c>
      <c r="BG230" s="179">
        <f t="shared" si="103"/>
        <v>180</v>
      </c>
      <c r="BH230" s="185">
        <f t="shared" si="104"/>
        <v>121.65654188208487</v>
      </c>
      <c r="BI230" s="185">
        <f t="shared" si="105"/>
        <v>243</v>
      </c>
      <c r="BJ230" s="185">
        <f t="shared" si="106"/>
        <v>142.3296</v>
      </c>
      <c r="BK230" s="185">
        <f t="shared" si="107"/>
        <v>16.554660708874412</v>
      </c>
      <c r="BL230" s="186">
        <f t="shared" si="108"/>
        <v>0.82166666666666666</v>
      </c>
      <c r="BM230" s="186">
        <f t="shared" si="109"/>
        <v>0.16561098795216819</v>
      </c>
      <c r="BN230" s="185" t="str">
        <f t="shared" si="110"/>
        <v>OK</v>
      </c>
      <c r="BO230" s="185" cm="1">
        <f t="array" ref="BO230">_xll.DCEBoltDisRS(AN230, AE230, BA230, BB230, BC230, BD230, "h1")</f>
        <v>1240</v>
      </c>
      <c r="BP230" s="185" cm="1">
        <f t="array" ref="BP230">_xll.DCEBoltDisRS(AN230, AE230, BA230, BB230, BC230, BD230, "Tong")</f>
        <v>3721800</v>
      </c>
      <c r="BQ230" s="185">
        <f t="shared" si="111"/>
        <v>97.516130192751376</v>
      </c>
      <c r="BR230" s="186">
        <f t="shared" si="112"/>
        <v>0.6851430074471605</v>
      </c>
      <c r="BS230" s="185" t="str">
        <f t="shared" si="113"/>
        <v>OK</v>
      </c>
      <c r="BT230" s="186">
        <f t="shared" si="114"/>
        <v>0.69852551730139112</v>
      </c>
      <c r="BU230" s="185" t="str">
        <f t="shared" si="115"/>
        <v>OK</v>
      </c>
      <c r="BV230" s="190">
        <f t="shared" si="116"/>
        <v>523.12935444098696</v>
      </c>
      <c r="BW230" s="191">
        <f t="shared" si="117"/>
        <v>11.770410474922206</v>
      </c>
      <c r="BX230" s="190">
        <f t="shared" si="118"/>
        <v>261.56467722049348</v>
      </c>
      <c r="BY230" s="167">
        <f t="shared" si="119"/>
        <v>83.085250411215569</v>
      </c>
      <c r="BZ230" s="192">
        <f t="shared" si="120"/>
        <v>0.40388663394340907</v>
      </c>
      <c r="CA230" s="191">
        <f t="shared" si="121"/>
        <v>7.6930787417792192</v>
      </c>
      <c r="CB230" s="193">
        <f t="shared" si="122"/>
        <v>6.4477431983302844E-2</v>
      </c>
      <c r="CC230" s="167">
        <f t="shared" si="123"/>
        <v>84.146950137696862</v>
      </c>
      <c r="CD230" s="191">
        <f t="shared" si="124"/>
        <v>0.35569362980910518</v>
      </c>
      <c r="CE230" s="189">
        <f t="shared" si="125"/>
        <v>0.40388663394340907</v>
      </c>
      <c r="CF230" s="194" t="str">
        <f t="shared" si="126"/>
        <v>OK</v>
      </c>
      <c r="DA230" s="140"/>
      <c r="DB230" s="140"/>
      <c r="DC230" s="140"/>
      <c r="DD230" s="141"/>
      <c r="DE230" s="151"/>
      <c r="DF230" s="152"/>
      <c r="DG230" s="152"/>
      <c r="DH230" s="152"/>
      <c r="DI230" s="152"/>
      <c r="DJ230" s="152"/>
      <c r="DK230" s="161"/>
      <c r="DL230" s="162"/>
      <c r="DM230" s="162"/>
      <c r="DN230" s="162"/>
      <c r="DO230" s="162"/>
      <c r="DP230" s="162"/>
      <c r="DQ230" s="140"/>
      <c r="DR230" s="151"/>
      <c r="DS230" s="151"/>
      <c r="DT230" s="151"/>
      <c r="DU230" s="151"/>
      <c r="DV230" s="151"/>
      <c r="DW230" s="151"/>
      <c r="DX230" s="151"/>
      <c r="DY230" s="151"/>
      <c r="DZ230" s="151"/>
      <c r="EA230" s="161"/>
      <c r="EB230" s="161"/>
      <c r="EC230" s="161"/>
      <c r="ED230" s="161"/>
      <c r="EE230" s="161"/>
      <c r="EF230" s="161"/>
      <c r="EG230" s="161"/>
      <c r="EH230" s="161"/>
      <c r="EI230" s="161"/>
      <c r="EJ230" s="161"/>
      <c r="EK230" s="209"/>
      <c r="EL230" s="213"/>
      <c r="EM230" s="187"/>
      <c r="EN230" s="187"/>
      <c r="EO230" s="206"/>
      <c r="EP230" s="212"/>
      <c r="EQ230" s="208"/>
      <c r="ER230" s="187"/>
      <c r="ES230" s="187"/>
      <c r="ET230" s="187"/>
      <c r="EU230" s="187"/>
      <c r="EV230" s="210"/>
      <c r="EW230" s="209"/>
      <c r="EX230" s="210"/>
      <c r="EY230" s="162"/>
      <c r="EZ230" s="211"/>
      <c r="FA230" s="209"/>
      <c r="FB230" s="207"/>
      <c r="FC230" s="162"/>
      <c r="FD230" s="209"/>
      <c r="FE230" s="187"/>
      <c r="FF230" s="187"/>
    </row>
    <row r="231" spans="27:162">
      <c r="AA231" s="140" t="s">
        <v>210</v>
      </c>
      <c r="AB231" s="140" t="s">
        <v>240</v>
      </c>
      <c r="AC231" s="140">
        <v>104</v>
      </c>
      <c r="AD231" s="141">
        <v>0</v>
      </c>
      <c r="AE231" s="151">
        <v>750</v>
      </c>
      <c r="AF231" s="152">
        <v>350</v>
      </c>
      <c r="AG231" s="152">
        <v>14</v>
      </c>
      <c r="AH231" s="152">
        <v>18.000000000000004</v>
      </c>
      <c r="AI231" s="152">
        <v>714</v>
      </c>
      <c r="AJ231" s="153" t="str" cm="1">
        <f t="array" ref="AJ231">_xll.Dce_Name_SectI(AE231, AE231, AF231, AG231, AH231, "x", "-", "H Tổng")</f>
        <v>750x350x14x18</v>
      </c>
      <c r="AK231" s="161">
        <f t="shared" si="97"/>
        <v>1010</v>
      </c>
      <c r="AL231" s="162" cm="1">
        <f t="array" ref="AL231">IFERROR(INDEX($B$25:$B$32,IFERROR(MATCH(AF231,$B$25:$B$32,0),MATCH(AF231,$B$25:$B$32,1)+1)),$B$25)</f>
        <v>350</v>
      </c>
      <c r="AM231" s="162" cm="1">
        <f t="array" ref="AM231">IFERROR(VLOOKUP(AE231,$B$36:$E$47,4,FALSE),INDEX($E$36:$E$47,MATCH(AE231,$B$36:$B$47,1)+1))</f>
        <v>25</v>
      </c>
      <c r="AN231" s="162" cm="1">
        <f t="array" ref="AN231">IFERROR(VLOOKUP(AE231,$B$36:$E$47,2,FALSE),INDEX($C$36:$C$47,MATCH(AE231,$B$36:$B$47,1)+1))</f>
        <v>12</v>
      </c>
      <c r="AO231" s="162" cm="1">
        <f t="array" ref="AO231">IFERROR(VLOOKUP(AE231,$B$36:$E$47,3,FALSE),INDEX($D$36:$D$47,MATCH(AE231,$B$36:$B$47,1)+1))</f>
        <v>24</v>
      </c>
      <c r="AP231" s="163" t="str">
        <f t="shared" si="98"/>
        <v>1010x350x25 + 12M24</v>
      </c>
      <c r="AQ231" s="140" t="s">
        <v>265</v>
      </c>
      <c r="AR231" s="151">
        <v>0</v>
      </c>
      <c r="AS231" s="151">
        <v>142.98498172497091</v>
      </c>
      <c r="AT231" s="151">
        <v>-1.9645085558295248E-14</v>
      </c>
      <c r="AU231" s="151">
        <v>3.2301397190981552E-4</v>
      </c>
      <c r="AV231" s="151">
        <v>1.7136335372924798E-14</v>
      </c>
      <c r="AW231" s="151">
        <v>-127.76469642368875</v>
      </c>
      <c r="BA231" s="161">
        <f t="shared" si="99"/>
        <v>60</v>
      </c>
      <c r="BB231" s="161">
        <f t="shared" si="100"/>
        <v>70</v>
      </c>
      <c r="BC231" s="161">
        <f t="shared" si="101"/>
        <v>80</v>
      </c>
      <c r="BD231" s="161">
        <f t="shared" si="102"/>
        <v>150</v>
      </c>
      <c r="BE231" s="161">
        <f>HLOOKUP(AO231,Data!$H$31:$Q$35,3,FALSE)</f>
        <v>452.38934211693021</v>
      </c>
      <c r="BF231" s="161">
        <f>HLOOKUP(AO231,Data!$H$31:$Q$35,4,FALSE)</f>
        <v>353</v>
      </c>
      <c r="BG231" s="179">
        <f t="shared" si="103"/>
        <v>180</v>
      </c>
      <c r="BH231" s="185">
        <f t="shared" si="104"/>
        <v>121.65654188208487</v>
      </c>
      <c r="BI231" s="185">
        <f t="shared" si="105"/>
        <v>243</v>
      </c>
      <c r="BJ231" s="185">
        <f t="shared" si="106"/>
        <v>142.3296</v>
      </c>
      <c r="BK231" s="185">
        <f t="shared" si="107"/>
        <v>11.856281204820142</v>
      </c>
      <c r="BL231" s="186">
        <f t="shared" si="108"/>
        <v>0.89458333333333329</v>
      </c>
      <c r="BM231" s="186">
        <f t="shared" si="109"/>
        <v>0.10894121665606681</v>
      </c>
      <c r="BN231" s="185" t="str">
        <f t="shared" si="110"/>
        <v>OK</v>
      </c>
      <c r="BO231" s="185" cm="1">
        <f t="array" ref="BO231">_xll.DCEBoltDisRS(AN231, AE231, BA231, BB231, BC231, BD231, "h1")</f>
        <v>890</v>
      </c>
      <c r="BP231" s="185" cm="1">
        <f t="array" ref="BP231">_xll.DCEBoltDisRS(AN231, AE231, BA231, BB231, BC231, BD231, "Tong")</f>
        <v>1800300</v>
      </c>
      <c r="BQ231" s="185">
        <f t="shared" si="111"/>
        <v>32.766636790448956</v>
      </c>
      <c r="BR231" s="186">
        <f t="shared" si="112"/>
        <v>0.23021660139878813</v>
      </c>
      <c r="BS231" s="185" t="str">
        <f t="shared" si="113"/>
        <v>OK</v>
      </c>
      <c r="BT231" s="186">
        <f t="shared" si="114"/>
        <v>0.24999509949584245</v>
      </c>
      <c r="BU231" s="185" t="str">
        <f t="shared" si="115"/>
        <v>OK</v>
      </c>
      <c r="BV231" s="190">
        <f t="shared" si="116"/>
        <v>170.35292856491833</v>
      </c>
      <c r="BW231" s="191">
        <f t="shared" si="117"/>
        <v>3.8329408927106621</v>
      </c>
      <c r="BX231" s="190">
        <f t="shared" si="118"/>
        <v>85.176464282459165</v>
      </c>
      <c r="BY231" s="167">
        <f t="shared" si="119"/>
        <v>36.431913435665699</v>
      </c>
      <c r="BZ231" s="192">
        <f t="shared" si="120"/>
        <v>0.17709957920115271</v>
      </c>
      <c r="CA231" s="191">
        <f t="shared" si="121"/>
        <v>3.3733253181171947</v>
      </c>
      <c r="CB231" s="193">
        <f t="shared" si="122"/>
        <v>2.8272602043606758E-2</v>
      </c>
      <c r="CC231" s="167">
        <f t="shared" si="123"/>
        <v>36.897456385086905</v>
      </c>
      <c r="CD231" s="191">
        <f t="shared" si="124"/>
        <v>0.15596750887415964</v>
      </c>
      <c r="CE231" s="189">
        <f t="shared" si="125"/>
        <v>0.17709957920115271</v>
      </c>
      <c r="CF231" s="194" t="str">
        <f t="shared" si="126"/>
        <v>OK</v>
      </c>
      <c r="DA231" s="140"/>
      <c r="DB231" s="140"/>
      <c r="DC231" s="140"/>
      <c r="DD231" s="141"/>
      <c r="DE231" s="151"/>
      <c r="DF231" s="152"/>
      <c r="DG231" s="152"/>
      <c r="DH231" s="152"/>
      <c r="DI231" s="152"/>
      <c r="DJ231" s="152"/>
      <c r="DK231" s="161"/>
      <c r="DL231" s="162"/>
      <c r="DM231" s="162"/>
      <c r="DN231" s="162"/>
      <c r="DO231" s="162"/>
      <c r="DP231" s="162"/>
      <c r="DQ231" s="140"/>
      <c r="DR231" s="151"/>
      <c r="DS231" s="151"/>
      <c r="DT231" s="151"/>
      <c r="DU231" s="151"/>
      <c r="DV231" s="151"/>
      <c r="DW231" s="151"/>
      <c r="DX231" s="151"/>
      <c r="DY231" s="151"/>
      <c r="DZ231" s="151"/>
      <c r="EA231" s="161"/>
      <c r="EB231" s="161"/>
      <c r="EC231" s="161"/>
      <c r="ED231" s="161"/>
      <c r="EE231" s="161"/>
      <c r="EF231" s="161"/>
      <c r="EG231" s="161"/>
      <c r="EH231" s="161"/>
      <c r="EI231" s="161"/>
      <c r="EJ231" s="161"/>
      <c r="EK231" s="209"/>
      <c r="EL231" s="213"/>
      <c r="EM231" s="187"/>
      <c r="EN231" s="187"/>
      <c r="EO231" s="206"/>
      <c r="EP231" s="212"/>
      <c r="EQ231" s="208"/>
      <c r="ER231" s="187"/>
      <c r="ES231" s="187"/>
      <c r="ET231" s="187"/>
      <c r="EU231" s="187"/>
      <c r="EV231" s="210"/>
      <c r="EW231" s="209"/>
      <c r="EX231" s="210"/>
      <c r="EY231" s="162"/>
      <c r="EZ231" s="211"/>
      <c r="FA231" s="209"/>
      <c r="FB231" s="207"/>
      <c r="FC231" s="162"/>
      <c r="FD231" s="209"/>
      <c r="FE231" s="187"/>
      <c r="FF231" s="187"/>
    </row>
    <row r="232" spans="27:162">
      <c r="AA232" s="140" t="s">
        <v>210</v>
      </c>
      <c r="AB232" s="140" t="s">
        <v>240</v>
      </c>
      <c r="AC232" s="140">
        <v>104</v>
      </c>
      <c r="AD232" s="141">
        <v>2.6850000000000001</v>
      </c>
      <c r="AE232" s="151">
        <v>1100</v>
      </c>
      <c r="AF232" s="152">
        <v>350</v>
      </c>
      <c r="AG232" s="152">
        <v>14</v>
      </c>
      <c r="AH232" s="152">
        <v>18.000000000000004</v>
      </c>
      <c r="AI232" s="152">
        <v>1064</v>
      </c>
      <c r="AJ232" s="153" t="str" cm="1">
        <f t="array" ref="AJ232">_xll.Dce_Name_SectI(AE232, AE232, AF232, AG232, AH232, "x", "-", "H Tổng")</f>
        <v>1100x350x14x18</v>
      </c>
      <c r="AK232" s="161">
        <f t="shared" si="97"/>
        <v>1360</v>
      </c>
      <c r="AL232" s="162" cm="1">
        <f t="array" ref="AL232">IFERROR(INDEX($B$25:$B$32,IFERROR(MATCH(AF232,$B$25:$B$32,0),MATCH(AF232,$B$25:$B$32,1)+1)),$B$25)</f>
        <v>350</v>
      </c>
      <c r="AM232" s="162" cm="1">
        <f t="array" ref="AM232">IFERROR(VLOOKUP(AE232,$B$36:$E$47,4,FALSE),INDEX($E$36:$E$47,MATCH(AE232,$B$36:$B$47,1)+1))</f>
        <v>25</v>
      </c>
      <c r="AN232" s="162" cm="1">
        <f t="array" ref="AN232">IFERROR(VLOOKUP(AE232,$B$36:$E$47,2,FALSE),INDEX($C$36:$C$47,MATCH(AE232,$B$36:$B$47,1)+1))</f>
        <v>12</v>
      </c>
      <c r="AO232" s="162" cm="1">
        <f t="array" ref="AO232">IFERROR(VLOOKUP(AE232,$B$36:$E$47,3,FALSE),INDEX($D$36:$D$47,MATCH(AE232,$B$36:$B$47,1)+1))</f>
        <v>24</v>
      </c>
      <c r="AP232" s="163" t="str">
        <f t="shared" si="98"/>
        <v>1360x350x25 + 12M24</v>
      </c>
      <c r="AQ232" s="140" t="s">
        <v>265</v>
      </c>
      <c r="AR232" s="151">
        <v>0</v>
      </c>
      <c r="AS232" s="151">
        <v>200.58874645239339</v>
      </c>
      <c r="AT232" s="151">
        <v>-3.1832314562052481E-15</v>
      </c>
      <c r="AU232" s="151">
        <v>3.2296639757798285E-4</v>
      </c>
      <c r="AV232" s="151">
        <v>-2.3837856133468437E-16</v>
      </c>
      <c r="AW232" s="151">
        <v>-597.41235997124943</v>
      </c>
      <c r="BA232" s="161">
        <f t="shared" si="99"/>
        <v>60</v>
      </c>
      <c r="BB232" s="161">
        <f t="shared" si="100"/>
        <v>70</v>
      </c>
      <c r="BC232" s="161">
        <f t="shared" si="101"/>
        <v>80</v>
      </c>
      <c r="BD232" s="161">
        <f t="shared" si="102"/>
        <v>150</v>
      </c>
      <c r="BE232" s="161">
        <f>HLOOKUP(AO232,Data!$H$31:$Q$35,3,FALSE)</f>
        <v>452.38934211693021</v>
      </c>
      <c r="BF232" s="161">
        <f>HLOOKUP(AO232,Data!$H$31:$Q$35,4,FALSE)</f>
        <v>353</v>
      </c>
      <c r="BG232" s="179">
        <f t="shared" si="103"/>
        <v>180</v>
      </c>
      <c r="BH232" s="185">
        <f t="shared" si="104"/>
        <v>121.65654188208487</v>
      </c>
      <c r="BI232" s="185">
        <f t="shared" si="105"/>
        <v>243</v>
      </c>
      <c r="BJ232" s="185">
        <f t="shared" si="106"/>
        <v>142.3296</v>
      </c>
      <c r="BK232" s="185">
        <f t="shared" si="107"/>
        <v>16.632771888144454</v>
      </c>
      <c r="BL232" s="186">
        <f t="shared" si="108"/>
        <v>0.82166666666666666</v>
      </c>
      <c r="BM232" s="186">
        <f t="shared" si="109"/>
        <v>0.16639240351824416</v>
      </c>
      <c r="BN232" s="185" t="str">
        <f t="shared" si="110"/>
        <v>OK</v>
      </c>
      <c r="BO232" s="185" cm="1">
        <f t="array" ref="BO232">_xll.DCEBoltDisRS(AN232, AE232, BA232, BB232, BC232, BD232, "h1")</f>
        <v>1240</v>
      </c>
      <c r="BP232" s="185" cm="1">
        <f t="array" ref="BP232">_xll.DCEBoltDisRS(AN232, AE232, BA232, BB232, BC232, BD232, "Tong")</f>
        <v>3721800</v>
      </c>
      <c r="BQ232" s="185">
        <f t="shared" si="111"/>
        <v>101.18384873542487</v>
      </c>
      <c r="BR232" s="186">
        <f t="shared" si="112"/>
        <v>0.71091219771168379</v>
      </c>
      <c r="BS232" s="185" t="str">
        <f t="shared" si="113"/>
        <v>OK</v>
      </c>
      <c r="BT232" s="186">
        <f t="shared" si="114"/>
        <v>0.7239394055109597</v>
      </c>
      <c r="BU232" s="185" t="str">
        <f t="shared" si="115"/>
        <v>OK</v>
      </c>
      <c r="BV232" s="190">
        <f t="shared" si="116"/>
        <v>543.10214542840856</v>
      </c>
      <c r="BW232" s="191">
        <f t="shared" si="117"/>
        <v>12.219798272139192</v>
      </c>
      <c r="BX232" s="190">
        <f t="shared" si="118"/>
        <v>271.55107271420428</v>
      </c>
      <c r="BY232" s="167">
        <f t="shared" si="119"/>
        <v>86.25739956804135</v>
      </c>
      <c r="BZ232" s="192">
        <f t="shared" si="120"/>
        <v>0.4193068034557566</v>
      </c>
      <c r="CA232" s="191">
        <f t="shared" si="121"/>
        <v>7.9867962563001251</v>
      </c>
      <c r="CB232" s="193">
        <f t="shared" si="122"/>
        <v>6.6939144868415804E-2</v>
      </c>
      <c r="CC232" s="167">
        <f t="shared" si="123"/>
        <v>87.359634406055577</v>
      </c>
      <c r="CD232" s="191">
        <f t="shared" si="124"/>
        <v>0.3692738169338099</v>
      </c>
      <c r="CE232" s="189">
        <f t="shared" si="125"/>
        <v>0.4193068034557566</v>
      </c>
      <c r="CF232" s="194" t="str">
        <f t="shared" si="126"/>
        <v>OK</v>
      </c>
      <c r="DA232" s="140"/>
      <c r="DB232" s="140"/>
      <c r="DC232" s="140"/>
      <c r="DD232" s="141"/>
      <c r="DE232" s="151"/>
      <c r="DF232" s="152"/>
      <c r="DG232" s="152"/>
      <c r="DH232" s="152"/>
      <c r="DI232" s="152"/>
      <c r="DJ232" s="152"/>
      <c r="DK232" s="161"/>
      <c r="DL232" s="162"/>
      <c r="DM232" s="162"/>
      <c r="DN232" s="162"/>
      <c r="DO232" s="162"/>
      <c r="DP232" s="162"/>
      <c r="DQ232" s="140"/>
      <c r="DR232" s="151"/>
      <c r="DS232" s="151"/>
      <c r="DT232" s="151"/>
      <c r="DU232" s="151"/>
      <c r="DV232" s="151"/>
      <c r="DW232" s="151"/>
      <c r="DX232" s="151"/>
      <c r="DY232" s="151"/>
      <c r="DZ232" s="151"/>
      <c r="EA232" s="161"/>
      <c r="EB232" s="161"/>
      <c r="EC232" s="161"/>
      <c r="ED232" s="161"/>
      <c r="EE232" s="161"/>
      <c r="EF232" s="161"/>
      <c r="EG232" s="161"/>
      <c r="EH232" s="161"/>
      <c r="EI232" s="161"/>
      <c r="EJ232" s="161"/>
      <c r="EK232" s="209"/>
      <c r="EL232" s="213"/>
      <c r="EM232" s="187"/>
      <c r="EN232" s="187"/>
      <c r="EO232" s="206"/>
      <c r="EP232" s="212"/>
      <c r="EQ232" s="208"/>
      <c r="ER232" s="187"/>
      <c r="ES232" s="187"/>
      <c r="ET232" s="187"/>
      <c r="EU232" s="187"/>
      <c r="EV232" s="210"/>
      <c r="EW232" s="209"/>
      <c r="EX232" s="210"/>
      <c r="EY232" s="162"/>
      <c r="EZ232" s="211"/>
      <c r="FA232" s="209"/>
      <c r="FB232" s="207"/>
      <c r="FC232" s="162"/>
      <c r="FD232" s="209"/>
      <c r="FE232" s="187"/>
      <c r="FF232" s="187"/>
    </row>
    <row r="233" spans="27:162">
      <c r="AA233" s="140" t="s">
        <v>210</v>
      </c>
      <c r="AB233" s="140" t="s">
        <v>240</v>
      </c>
      <c r="AC233" s="140">
        <v>104</v>
      </c>
      <c r="AD233" s="141">
        <v>0</v>
      </c>
      <c r="AE233" s="151">
        <v>750</v>
      </c>
      <c r="AF233" s="152">
        <v>350</v>
      </c>
      <c r="AG233" s="152">
        <v>14</v>
      </c>
      <c r="AH233" s="152">
        <v>18.000000000000004</v>
      </c>
      <c r="AI233" s="152">
        <v>714</v>
      </c>
      <c r="AJ233" s="153" t="str" cm="1">
        <f t="array" ref="AJ233">_xll.Dce_Name_SectI(AE233, AE233, AF233, AG233, AH233, "x", "-", "H Tổng")</f>
        <v>750x350x14x18</v>
      </c>
      <c r="AK233" s="161">
        <f t="shared" si="97"/>
        <v>1010</v>
      </c>
      <c r="AL233" s="162" cm="1">
        <f t="array" ref="AL233">IFERROR(INDEX($B$25:$B$32,IFERROR(MATCH(AF233,$B$25:$B$32,0),MATCH(AF233,$B$25:$B$32,1)+1)),$B$25)</f>
        <v>350</v>
      </c>
      <c r="AM233" s="162" cm="1">
        <f t="array" ref="AM233">IFERROR(VLOOKUP(AE233,$B$36:$E$47,4,FALSE),INDEX($E$36:$E$47,MATCH(AE233,$B$36:$B$47,1)+1))</f>
        <v>25</v>
      </c>
      <c r="AN233" s="162" cm="1">
        <f t="array" ref="AN233">IFERROR(VLOOKUP(AE233,$B$36:$E$47,2,FALSE),INDEX($C$36:$C$47,MATCH(AE233,$B$36:$B$47,1)+1))</f>
        <v>12</v>
      </c>
      <c r="AO233" s="162" cm="1">
        <f t="array" ref="AO233">IFERROR(VLOOKUP(AE233,$B$36:$E$47,3,FALSE),INDEX($D$36:$D$47,MATCH(AE233,$B$36:$B$47,1)+1))</f>
        <v>24</v>
      </c>
      <c r="AP233" s="163" t="str">
        <f t="shared" si="98"/>
        <v>1010x350x25 + 12M24</v>
      </c>
      <c r="AQ233" s="140" t="s">
        <v>266</v>
      </c>
      <c r="AR233" s="151">
        <v>0</v>
      </c>
      <c r="AS233" s="151">
        <v>146.12377878563518</v>
      </c>
      <c r="AT233" s="151">
        <v>-2.3283064365386961E-14</v>
      </c>
      <c r="AU233" s="151">
        <v>3.7179289159069002E-4</v>
      </c>
      <c r="AV233" s="151">
        <v>1.7136335372924798E-14</v>
      </c>
      <c r="AW233" s="151">
        <v>-132.13355729454958</v>
      </c>
      <c r="BA233" s="161">
        <f t="shared" si="99"/>
        <v>60</v>
      </c>
      <c r="BB233" s="161">
        <f t="shared" si="100"/>
        <v>70</v>
      </c>
      <c r="BC233" s="161">
        <f t="shared" si="101"/>
        <v>80</v>
      </c>
      <c r="BD233" s="161">
        <f t="shared" si="102"/>
        <v>150</v>
      </c>
      <c r="BE233" s="161">
        <f>HLOOKUP(AO233,Data!$H$31:$Q$35,3,FALSE)</f>
        <v>452.38934211693021</v>
      </c>
      <c r="BF233" s="161">
        <f>HLOOKUP(AO233,Data!$H$31:$Q$35,4,FALSE)</f>
        <v>353</v>
      </c>
      <c r="BG233" s="179">
        <f t="shared" si="103"/>
        <v>180</v>
      </c>
      <c r="BH233" s="185">
        <f t="shared" si="104"/>
        <v>121.65654188208487</v>
      </c>
      <c r="BI233" s="185">
        <f t="shared" si="105"/>
        <v>243</v>
      </c>
      <c r="BJ233" s="185">
        <f t="shared" si="106"/>
        <v>142.3296</v>
      </c>
      <c r="BK233" s="185">
        <f t="shared" si="107"/>
        <v>12.116549522143705</v>
      </c>
      <c r="BL233" s="186">
        <f t="shared" si="108"/>
        <v>0.89458333333333329</v>
      </c>
      <c r="BM233" s="186">
        <f t="shared" si="109"/>
        <v>0.11133268719024483</v>
      </c>
      <c r="BN233" s="185" t="str">
        <f t="shared" si="110"/>
        <v>OK</v>
      </c>
      <c r="BO233" s="185" cm="1">
        <f t="array" ref="BO233">_xll.DCEBoltDisRS(AN233, AE233, BA233, BB233, BC233, BD233, "h1")</f>
        <v>890</v>
      </c>
      <c r="BP233" s="185" cm="1">
        <f t="array" ref="BP233">_xll.DCEBoltDisRS(AN233, AE233, BA233, BB233, BC233, BD233, "Tong")</f>
        <v>1800300</v>
      </c>
      <c r="BQ233" s="185">
        <f t="shared" si="111"/>
        <v>33.872563132003599</v>
      </c>
      <c r="BR233" s="186">
        <f t="shared" si="112"/>
        <v>0.23798677950337527</v>
      </c>
      <c r="BS233" s="185" t="str">
        <f t="shared" si="113"/>
        <v>OK</v>
      </c>
      <c r="BT233" s="186">
        <f t="shared" si="114"/>
        <v>0.257986711715119</v>
      </c>
      <c r="BU233" s="185" t="str">
        <f t="shared" si="115"/>
        <v>OK</v>
      </c>
      <c r="BV233" s="190">
        <f t="shared" si="116"/>
        <v>176.17807639273278</v>
      </c>
      <c r="BW233" s="191">
        <f t="shared" si="117"/>
        <v>3.9640067188364871</v>
      </c>
      <c r="BX233" s="190">
        <f t="shared" si="118"/>
        <v>88.089038196366388</v>
      </c>
      <c r="BY233" s="167">
        <f t="shared" si="119"/>
        <v>37.677687624584436</v>
      </c>
      <c r="BZ233" s="192">
        <f t="shared" si="120"/>
        <v>0.18315542595284104</v>
      </c>
      <c r="CA233" s="191">
        <f t="shared" si="121"/>
        <v>3.4886747800541142</v>
      </c>
      <c r="CB233" s="193">
        <f t="shared" si="122"/>
        <v>2.9239371959265806E-2</v>
      </c>
      <c r="CC233" s="167">
        <f t="shared" si="123"/>
        <v>38.159149622321515</v>
      </c>
      <c r="CD233" s="191">
        <f t="shared" si="124"/>
        <v>0.16130075323445087</v>
      </c>
      <c r="CE233" s="189">
        <f t="shared" si="125"/>
        <v>0.18315542595284104</v>
      </c>
      <c r="CF233" s="194" t="str">
        <f t="shared" si="126"/>
        <v>OK</v>
      </c>
      <c r="DA233" s="140"/>
      <c r="DB233" s="140"/>
      <c r="DC233" s="140"/>
      <c r="DD233" s="141"/>
      <c r="DE233" s="151"/>
      <c r="DF233" s="152"/>
      <c r="DG233" s="152"/>
      <c r="DH233" s="152"/>
      <c r="DI233" s="152"/>
      <c r="DJ233" s="152"/>
      <c r="DK233" s="161"/>
      <c r="DL233" s="162"/>
      <c r="DM233" s="162"/>
      <c r="DN233" s="162"/>
      <c r="DO233" s="162"/>
      <c r="DP233" s="162"/>
      <c r="DQ233" s="140"/>
      <c r="DR233" s="151"/>
      <c r="DS233" s="151"/>
      <c r="DT233" s="151"/>
      <c r="DU233" s="151"/>
      <c r="DV233" s="151"/>
      <c r="DW233" s="151"/>
      <c r="DX233" s="151"/>
      <c r="DY233" s="151"/>
      <c r="DZ233" s="151"/>
      <c r="EA233" s="161"/>
      <c r="EB233" s="161"/>
      <c r="EC233" s="161"/>
      <c r="ED233" s="161"/>
      <c r="EE233" s="161"/>
      <c r="EF233" s="161"/>
      <c r="EG233" s="161"/>
      <c r="EH233" s="161"/>
      <c r="EI233" s="161"/>
      <c r="EJ233" s="161"/>
      <c r="EK233" s="209"/>
      <c r="EL233" s="213"/>
      <c r="EM233" s="187"/>
      <c r="EN233" s="187"/>
      <c r="EO233" s="206"/>
      <c r="EP233" s="212"/>
      <c r="EQ233" s="208"/>
      <c r="ER233" s="187"/>
      <c r="ES233" s="187"/>
      <c r="ET233" s="187"/>
      <c r="EU233" s="187"/>
      <c r="EV233" s="210"/>
      <c r="EW233" s="209"/>
      <c r="EX233" s="210"/>
      <c r="EY233" s="162"/>
      <c r="EZ233" s="211"/>
      <c r="FA233" s="209"/>
      <c r="FB233" s="207"/>
      <c r="FC233" s="162"/>
      <c r="FD233" s="209"/>
      <c r="FE233" s="187"/>
      <c r="FF233" s="187"/>
    </row>
    <row r="234" spans="27:162">
      <c r="AA234" s="140" t="s">
        <v>210</v>
      </c>
      <c r="AB234" s="140" t="s">
        <v>240</v>
      </c>
      <c r="AC234" s="140">
        <v>104</v>
      </c>
      <c r="AD234" s="141">
        <v>2.6850000000000001</v>
      </c>
      <c r="AE234" s="151">
        <v>1100</v>
      </c>
      <c r="AF234" s="152">
        <v>350</v>
      </c>
      <c r="AG234" s="152">
        <v>14</v>
      </c>
      <c r="AH234" s="152">
        <v>18.000000000000004</v>
      </c>
      <c r="AI234" s="152">
        <v>1064</v>
      </c>
      <c r="AJ234" s="153" t="str" cm="1">
        <f t="array" ref="AJ234">_xll.Dce_Name_SectI(AE234, AE234, AF234, AG234, AH234, "x", "-", "H Tổng")</f>
        <v>1100x350x14x18</v>
      </c>
      <c r="AK234" s="161">
        <f t="shared" si="97"/>
        <v>1360</v>
      </c>
      <c r="AL234" s="162" cm="1">
        <f t="array" ref="AL234">IFERROR(INDEX($B$25:$B$32,IFERROR(MATCH(AF234,$B$25:$B$32,0),MATCH(AF234,$B$25:$B$32,1)+1)),$B$25)</f>
        <v>350</v>
      </c>
      <c r="AM234" s="162" cm="1">
        <f t="array" ref="AM234">IFERROR(VLOOKUP(AE234,$B$36:$E$47,4,FALSE),INDEX($E$36:$E$47,MATCH(AE234,$B$36:$B$47,1)+1))</f>
        <v>25</v>
      </c>
      <c r="AN234" s="162" cm="1">
        <f t="array" ref="AN234">IFERROR(VLOOKUP(AE234,$B$36:$E$47,2,FALSE),INDEX($C$36:$C$47,MATCH(AE234,$B$36:$B$47,1)+1))</f>
        <v>12</v>
      </c>
      <c r="AO234" s="162" cm="1">
        <f t="array" ref="AO234">IFERROR(VLOOKUP(AE234,$B$36:$E$47,3,FALSE),INDEX($D$36:$D$47,MATCH(AE234,$B$36:$B$47,1)+1))</f>
        <v>24</v>
      </c>
      <c r="AP234" s="163" t="str">
        <f t="shared" si="98"/>
        <v>1360x350x25 + 12M24</v>
      </c>
      <c r="AQ234" s="140" t="s">
        <v>266</v>
      </c>
      <c r="AR234" s="151">
        <v>0</v>
      </c>
      <c r="AS234" s="151">
        <v>203.72754427742149</v>
      </c>
      <c r="AT234" s="151">
        <v>-4.092726157978176E-15</v>
      </c>
      <c r="AU234" s="151">
        <v>3.7173806155847152E-4</v>
      </c>
      <c r="AV234" s="151">
        <v>1.1304109648335722E-15</v>
      </c>
      <c r="AW234" s="151">
        <v>-610.20886098299468</v>
      </c>
      <c r="BA234" s="161">
        <f t="shared" si="99"/>
        <v>60</v>
      </c>
      <c r="BB234" s="161">
        <f t="shared" si="100"/>
        <v>70</v>
      </c>
      <c r="BC234" s="161">
        <f t="shared" si="101"/>
        <v>80</v>
      </c>
      <c r="BD234" s="161">
        <f t="shared" si="102"/>
        <v>150</v>
      </c>
      <c r="BE234" s="161">
        <f>HLOOKUP(AO234,Data!$H$31:$Q$35,3,FALSE)</f>
        <v>452.38934211693021</v>
      </c>
      <c r="BF234" s="161">
        <f>HLOOKUP(AO234,Data!$H$31:$Q$35,4,FALSE)</f>
        <v>353</v>
      </c>
      <c r="BG234" s="179">
        <f t="shared" si="103"/>
        <v>180</v>
      </c>
      <c r="BH234" s="185">
        <f t="shared" si="104"/>
        <v>121.65654188208487</v>
      </c>
      <c r="BI234" s="185">
        <f t="shared" si="105"/>
        <v>243</v>
      </c>
      <c r="BJ234" s="185">
        <f t="shared" si="106"/>
        <v>142.3296</v>
      </c>
      <c r="BK234" s="185">
        <f t="shared" si="107"/>
        <v>16.893040268848885</v>
      </c>
      <c r="BL234" s="186">
        <f t="shared" si="108"/>
        <v>0.82166666666666666</v>
      </c>
      <c r="BM234" s="186">
        <f t="shared" si="109"/>
        <v>0.16899609950568689</v>
      </c>
      <c r="BN234" s="185" t="str">
        <f t="shared" si="110"/>
        <v>OK</v>
      </c>
      <c r="BO234" s="185" cm="1">
        <f t="array" ref="BO234">_xll.DCEBoltDisRS(AN234, AE234, BA234, BB234, BC234, BD234, "h1")</f>
        <v>1240</v>
      </c>
      <c r="BP234" s="185" cm="1">
        <f t="array" ref="BP234">_xll.DCEBoltDisRS(AN234, AE234, BA234, BB234, BC234, BD234, "Tong")</f>
        <v>3721800</v>
      </c>
      <c r="BQ234" s="185">
        <f t="shared" si="111"/>
        <v>103.34159426533314</v>
      </c>
      <c r="BR234" s="186">
        <f t="shared" si="112"/>
        <v>0.72607240001611151</v>
      </c>
      <c r="BS234" s="185" t="str">
        <f t="shared" si="113"/>
        <v>OK</v>
      </c>
      <c r="BT234" s="186">
        <f t="shared" si="114"/>
        <v>0.73923122395340557</v>
      </c>
      <c r="BU234" s="185" t="str">
        <f t="shared" si="115"/>
        <v>OK</v>
      </c>
      <c r="BV234" s="190">
        <f t="shared" si="116"/>
        <v>554.73532816635873</v>
      </c>
      <c r="BW234" s="191">
        <f t="shared" si="117"/>
        <v>12.481544883743071</v>
      </c>
      <c r="BX234" s="190">
        <f t="shared" si="118"/>
        <v>277.36766408317936</v>
      </c>
      <c r="BY234" s="167">
        <f t="shared" si="119"/>
        <v>88.105022708774626</v>
      </c>
      <c r="BZ234" s="192">
        <f t="shared" si="120"/>
        <v>0.42828830483432112</v>
      </c>
      <c r="CA234" s="191">
        <f t="shared" si="121"/>
        <v>8.1578724730346881</v>
      </c>
      <c r="CB234" s="193">
        <f t="shared" si="122"/>
        <v>6.8372973313269664E-2</v>
      </c>
      <c r="CC234" s="167">
        <f t="shared" si="123"/>
        <v>89.230867284659865</v>
      </c>
      <c r="CD234" s="191">
        <f t="shared" si="124"/>
        <v>0.37718361774916614</v>
      </c>
      <c r="CE234" s="189">
        <f t="shared" si="125"/>
        <v>0.42828830483432112</v>
      </c>
      <c r="CF234" s="194" t="str">
        <f t="shared" si="126"/>
        <v>OK</v>
      </c>
      <c r="DA234" s="140"/>
      <c r="DB234" s="140"/>
      <c r="DC234" s="140"/>
      <c r="DD234" s="141"/>
      <c r="DE234" s="151"/>
      <c r="DF234" s="152"/>
      <c r="DG234" s="152"/>
      <c r="DH234" s="152"/>
      <c r="DI234" s="152"/>
      <c r="DJ234" s="152"/>
      <c r="DK234" s="161"/>
      <c r="DL234" s="162"/>
      <c r="DM234" s="162"/>
      <c r="DN234" s="162"/>
      <c r="DO234" s="162"/>
      <c r="DP234" s="162"/>
      <c r="DQ234" s="140"/>
      <c r="DR234" s="151"/>
      <c r="DS234" s="151"/>
      <c r="DT234" s="151"/>
      <c r="DU234" s="151"/>
      <c r="DV234" s="151"/>
      <c r="DW234" s="151"/>
      <c r="DX234" s="151"/>
      <c r="DY234" s="151"/>
      <c r="DZ234" s="151"/>
      <c r="EA234" s="161"/>
      <c r="EB234" s="161"/>
      <c r="EC234" s="161"/>
      <c r="ED234" s="161"/>
      <c r="EE234" s="161"/>
      <c r="EF234" s="161"/>
      <c r="EG234" s="161"/>
      <c r="EH234" s="161"/>
      <c r="EI234" s="161"/>
      <c r="EJ234" s="161"/>
      <c r="EK234" s="209"/>
      <c r="EL234" s="213"/>
      <c r="EM234" s="187"/>
      <c r="EN234" s="187"/>
      <c r="EO234" s="206"/>
      <c r="EP234" s="212"/>
      <c r="EQ234" s="208"/>
      <c r="ER234" s="187"/>
      <c r="ES234" s="187"/>
      <c r="ET234" s="187"/>
      <c r="EU234" s="187"/>
      <c r="EV234" s="210"/>
      <c r="EW234" s="209"/>
      <c r="EX234" s="210"/>
      <c r="EY234" s="162"/>
      <c r="EZ234" s="211"/>
      <c r="FA234" s="209"/>
      <c r="FB234" s="207"/>
      <c r="FC234" s="162"/>
      <c r="FD234" s="209"/>
      <c r="FE234" s="187"/>
      <c r="FF234" s="187"/>
    </row>
    <row r="235" spans="27:162">
      <c r="AA235" s="140" t="s">
        <v>210</v>
      </c>
      <c r="AB235" s="140" t="s">
        <v>240</v>
      </c>
      <c r="AC235" s="140">
        <v>104</v>
      </c>
      <c r="AD235" s="141">
        <v>0</v>
      </c>
      <c r="AE235" s="151">
        <v>750</v>
      </c>
      <c r="AF235" s="152">
        <v>350</v>
      </c>
      <c r="AG235" s="152">
        <v>14</v>
      </c>
      <c r="AH235" s="152">
        <v>18.000000000000004</v>
      </c>
      <c r="AI235" s="152">
        <v>714</v>
      </c>
      <c r="AJ235" s="153" t="str" cm="1">
        <f t="array" ref="AJ235">_xll.Dce_Name_SectI(AE235, AE235, AF235, AG235, AH235, "x", "-", "H Tổng")</f>
        <v>750x350x14x18</v>
      </c>
      <c r="AK235" s="161">
        <f t="shared" si="97"/>
        <v>1010</v>
      </c>
      <c r="AL235" s="162" cm="1">
        <f t="array" ref="AL235">IFERROR(INDEX($B$25:$B$32,IFERROR(MATCH(AF235,$B$25:$B$32,0),MATCH(AF235,$B$25:$B$32,1)+1)),$B$25)</f>
        <v>350</v>
      </c>
      <c r="AM235" s="162" cm="1">
        <f t="array" ref="AM235">IFERROR(VLOOKUP(AE235,$B$36:$E$47,4,FALSE),INDEX($E$36:$E$47,MATCH(AE235,$B$36:$B$47,1)+1))</f>
        <v>25</v>
      </c>
      <c r="AN235" s="162" cm="1">
        <f t="array" ref="AN235">IFERROR(VLOOKUP(AE235,$B$36:$E$47,2,FALSE),INDEX($C$36:$C$47,MATCH(AE235,$B$36:$B$47,1)+1))</f>
        <v>12</v>
      </c>
      <c r="AO235" s="162" cm="1">
        <f t="array" ref="AO235">IFERROR(VLOOKUP(AE235,$B$36:$E$47,3,FALSE),INDEX($D$36:$D$47,MATCH(AE235,$B$36:$B$47,1)+1))</f>
        <v>24</v>
      </c>
      <c r="AP235" s="163" t="str">
        <f t="shared" si="98"/>
        <v>1010x350x25 + 12M24</v>
      </c>
      <c r="AQ235" s="140" t="s">
        <v>267</v>
      </c>
      <c r="AR235" s="151">
        <v>0</v>
      </c>
      <c r="AS235" s="151">
        <v>128.09818029895854</v>
      </c>
      <c r="AT235" s="151">
        <v>-1.555235940031707E-14</v>
      </c>
      <c r="AU235" s="151">
        <v>2.6143835764531008E-4</v>
      </c>
      <c r="AV235" s="151">
        <v>9.6857547760009738E-15</v>
      </c>
      <c r="AW235" s="151">
        <v>-53.490988191587348</v>
      </c>
      <c r="BA235" s="161">
        <f t="shared" si="99"/>
        <v>60</v>
      </c>
      <c r="BB235" s="161">
        <f t="shared" si="100"/>
        <v>70</v>
      </c>
      <c r="BC235" s="161">
        <f t="shared" si="101"/>
        <v>80</v>
      </c>
      <c r="BD235" s="161">
        <f t="shared" si="102"/>
        <v>150</v>
      </c>
      <c r="BE235" s="161">
        <f>HLOOKUP(AO235,Data!$H$31:$Q$35,3,FALSE)</f>
        <v>452.38934211693021</v>
      </c>
      <c r="BF235" s="161">
        <f>HLOOKUP(AO235,Data!$H$31:$Q$35,4,FALSE)</f>
        <v>353</v>
      </c>
      <c r="BG235" s="179">
        <f t="shared" si="103"/>
        <v>180</v>
      </c>
      <c r="BH235" s="185">
        <f t="shared" si="104"/>
        <v>121.65654188208487</v>
      </c>
      <c r="BI235" s="185">
        <f t="shared" si="105"/>
        <v>243</v>
      </c>
      <c r="BJ235" s="185">
        <f t="shared" si="106"/>
        <v>142.3296</v>
      </c>
      <c r="BK235" s="185">
        <f t="shared" si="107"/>
        <v>10.621871116307359</v>
      </c>
      <c r="BL235" s="186">
        <f t="shared" si="108"/>
        <v>0.89458333333333329</v>
      </c>
      <c r="BM235" s="186">
        <f t="shared" si="109"/>
        <v>9.7598862795529651E-2</v>
      </c>
      <c r="BN235" s="185" t="str">
        <f t="shared" si="110"/>
        <v>OK</v>
      </c>
      <c r="BO235" s="185" cm="1">
        <f t="array" ref="BO235">_xll.DCEBoltDisRS(AN235, AE235, BA235, BB235, BC235, BD235, "h1")</f>
        <v>890</v>
      </c>
      <c r="BP235" s="185" cm="1">
        <f t="array" ref="BP235">_xll.DCEBoltDisRS(AN235, AE235, BA235, BB235, BC235, BD235, "Tong")</f>
        <v>1800300</v>
      </c>
      <c r="BQ235" s="185">
        <f t="shared" si="111"/>
        <v>14.284144421665937</v>
      </c>
      <c r="BR235" s="186">
        <f t="shared" si="112"/>
        <v>0.10035961895252946</v>
      </c>
      <c r="BS235" s="185" t="str">
        <f t="shared" si="113"/>
        <v>OK</v>
      </c>
      <c r="BT235" s="186">
        <f t="shared" si="114"/>
        <v>0.13302309723471939</v>
      </c>
      <c r="BU235" s="185" t="str">
        <f t="shared" si="115"/>
        <v>OK</v>
      </c>
      <c r="BV235" s="190">
        <f t="shared" si="116"/>
        <v>71.321317588783131</v>
      </c>
      <c r="BW235" s="191">
        <f t="shared" si="117"/>
        <v>1.6047296457476203</v>
      </c>
      <c r="BX235" s="190">
        <f t="shared" si="118"/>
        <v>35.660658794391566</v>
      </c>
      <c r="BY235" s="167">
        <f t="shared" si="119"/>
        <v>15.252875840769461</v>
      </c>
      <c r="BZ235" s="192">
        <f t="shared" si="120"/>
        <v>7.4145924225962667E-2</v>
      </c>
      <c r="CA235" s="191">
        <f t="shared" si="121"/>
        <v>1.4123033185897649</v>
      </c>
      <c r="CB235" s="193">
        <f t="shared" si="122"/>
        <v>1.1836833369406555E-2</v>
      </c>
      <c r="CC235" s="167">
        <f t="shared" si="123"/>
        <v>15.447783770011402</v>
      </c>
      <c r="CD235" s="191">
        <f t="shared" si="124"/>
        <v>6.5298602892560287E-2</v>
      </c>
      <c r="CE235" s="189">
        <f t="shared" si="125"/>
        <v>7.4145924225962667E-2</v>
      </c>
      <c r="CF235" s="194" t="str">
        <f t="shared" si="126"/>
        <v>OK</v>
      </c>
      <c r="DA235" s="140"/>
      <c r="DB235" s="140"/>
      <c r="DC235" s="140"/>
      <c r="DD235" s="141"/>
      <c r="DE235" s="151"/>
      <c r="DF235" s="152"/>
      <c r="DG235" s="152"/>
      <c r="DH235" s="152"/>
      <c r="DI235" s="152"/>
      <c r="DJ235" s="152"/>
      <c r="DK235" s="161"/>
      <c r="DL235" s="162"/>
      <c r="DM235" s="162"/>
      <c r="DN235" s="162"/>
      <c r="DO235" s="162"/>
      <c r="DP235" s="162"/>
      <c r="DQ235" s="140"/>
      <c r="DR235" s="151"/>
      <c r="DS235" s="151"/>
      <c r="DT235" s="151"/>
      <c r="DU235" s="151"/>
      <c r="DV235" s="151"/>
      <c r="DW235" s="151"/>
      <c r="DX235" s="151"/>
      <c r="DY235" s="151"/>
      <c r="DZ235" s="151"/>
      <c r="EA235" s="161"/>
      <c r="EB235" s="161"/>
      <c r="EC235" s="161"/>
      <c r="ED235" s="161"/>
      <c r="EE235" s="161"/>
      <c r="EF235" s="161"/>
      <c r="EG235" s="161"/>
      <c r="EH235" s="161"/>
      <c r="EI235" s="161"/>
      <c r="EJ235" s="161"/>
      <c r="EK235" s="209"/>
      <c r="EL235" s="213"/>
      <c r="EM235" s="187"/>
      <c r="EN235" s="187"/>
      <c r="EO235" s="206"/>
      <c r="EP235" s="212"/>
      <c r="EQ235" s="208"/>
      <c r="ER235" s="187"/>
      <c r="ES235" s="187"/>
      <c r="ET235" s="187"/>
      <c r="EU235" s="187"/>
      <c r="EV235" s="210"/>
      <c r="EW235" s="209"/>
      <c r="EX235" s="210"/>
      <c r="EY235" s="162"/>
      <c r="EZ235" s="211"/>
      <c r="FA235" s="209"/>
      <c r="FB235" s="207"/>
      <c r="FC235" s="162"/>
      <c r="FD235" s="209"/>
      <c r="FE235" s="187"/>
      <c r="FF235" s="187"/>
    </row>
    <row r="236" spans="27:162">
      <c r="AA236" s="140" t="s">
        <v>210</v>
      </c>
      <c r="AB236" s="140" t="s">
        <v>240</v>
      </c>
      <c r="AC236" s="140">
        <v>104</v>
      </c>
      <c r="AD236" s="141">
        <v>2.6850000000000001</v>
      </c>
      <c r="AE236" s="151">
        <v>1100</v>
      </c>
      <c r="AF236" s="152">
        <v>350</v>
      </c>
      <c r="AG236" s="152">
        <v>14</v>
      </c>
      <c r="AH236" s="152">
        <v>18.000000000000004</v>
      </c>
      <c r="AI236" s="152">
        <v>1064</v>
      </c>
      <c r="AJ236" s="153" t="str" cm="1">
        <f t="array" ref="AJ236">_xll.Dce_Name_SectI(AE236, AE236, AF236, AG236, AH236, "x", "-", "H Tổng")</f>
        <v>1100x350x14x18</v>
      </c>
      <c r="AK236" s="161">
        <f t="shared" si="97"/>
        <v>1360</v>
      </c>
      <c r="AL236" s="162" cm="1">
        <f t="array" ref="AL236">IFERROR(INDEX($B$25:$B$32,IFERROR(MATCH(AF236,$B$25:$B$32,0),MATCH(AF236,$B$25:$B$32,1)+1)),$B$25)</f>
        <v>350</v>
      </c>
      <c r="AM236" s="162" cm="1">
        <f t="array" ref="AM236">IFERROR(VLOOKUP(AE236,$B$36:$E$47,4,FALSE),INDEX($E$36:$E$47,MATCH(AE236,$B$36:$B$47,1)+1))</f>
        <v>25</v>
      </c>
      <c r="AN236" s="162" cm="1">
        <f t="array" ref="AN236">IFERROR(VLOOKUP(AE236,$B$36:$E$47,2,FALSE),INDEX($C$36:$C$47,MATCH(AE236,$B$36:$B$47,1)+1))</f>
        <v>12</v>
      </c>
      <c r="AO236" s="162" cm="1">
        <f t="array" ref="AO236">IFERROR(VLOOKUP(AE236,$B$36:$E$47,3,FALSE),INDEX($D$36:$D$47,MATCH(AE236,$B$36:$B$47,1)+1))</f>
        <v>24</v>
      </c>
      <c r="AP236" s="163" t="str">
        <f t="shared" si="98"/>
        <v>1360x350x25 + 12M24</v>
      </c>
      <c r="AQ236" s="140" t="s">
        <v>267</v>
      </c>
      <c r="AR236" s="151">
        <v>0</v>
      </c>
      <c r="AS236" s="151">
        <v>185.70194053053754</v>
      </c>
      <c r="AT236" s="151">
        <v>-4.5474735088646405E-15</v>
      </c>
      <c r="AU236" s="151">
        <v>2.6139998497124838E-4</v>
      </c>
      <c r="AV236" s="151">
        <v>1.3491444406099615E-15</v>
      </c>
      <c r="AW236" s="151">
        <v>-483.16767652121359</v>
      </c>
      <c r="BA236" s="161">
        <f t="shared" si="99"/>
        <v>60</v>
      </c>
      <c r="BB236" s="161">
        <f t="shared" si="100"/>
        <v>70</v>
      </c>
      <c r="BC236" s="161">
        <f t="shared" si="101"/>
        <v>80</v>
      </c>
      <c r="BD236" s="161">
        <f t="shared" si="102"/>
        <v>150</v>
      </c>
      <c r="BE236" s="161">
        <f>HLOOKUP(AO236,Data!$H$31:$Q$35,3,FALSE)</f>
        <v>452.38934211693021</v>
      </c>
      <c r="BF236" s="161">
        <f>HLOOKUP(AO236,Data!$H$31:$Q$35,4,FALSE)</f>
        <v>353</v>
      </c>
      <c r="BG236" s="179">
        <f t="shared" si="103"/>
        <v>180</v>
      </c>
      <c r="BH236" s="185">
        <f t="shared" si="104"/>
        <v>121.65654188208487</v>
      </c>
      <c r="BI236" s="185">
        <f t="shared" si="105"/>
        <v>243</v>
      </c>
      <c r="BJ236" s="185">
        <f t="shared" si="106"/>
        <v>142.3296</v>
      </c>
      <c r="BK236" s="185">
        <f t="shared" si="107"/>
        <v>15.398361426837381</v>
      </c>
      <c r="BL236" s="186">
        <f t="shared" si="108"/>
        <v>0.82166666666666666</v>
      </c>
      <c r="BM236" s="186">
        <f t="shared" si="109"/>
        <v>0.15404349829870279</v>
      </c>
      <c r="BN236" s="185" t="str">
        <f t="shared" si="110"/>
        <v>OK</v>
      </c>
      <c r="BO236" s="185" cm="1">
        <f t="array" ref="BO236">_xll.DCEBoltDisRS(AN236, AE236, BA236, BB236, BC236, BD236, "h1")</f>
        <v>1240</v>
      </c>
      <c r="BP236" s="185" cm="1">
        <f t="array" ref="BP236">_xll.DCEBoltDisRS(AN236, AE236, BA236, BB236, BC236, BD236, "Tong")</f>
        <v>3721800</v>
      </c>
      <c r="BQ236" s="185">
        <f t="shared" si="111"/>
        <v>82.028835939328488</v>
      </c>
      <c r="BR236" s="186">
        <f t="shared" si="112"/>
        <v>0.57633012345519474</v>
      </c>
      <c r="BS236" s="185" t="str">
        <f t="shared" si="113"/>
        <v>OK</v>
      </c>
      <c r="BT236" s="186">
        <f t="shared" si="114"/>
        <v>0.59006523843577086</v>
      </c>
      <c r="BU236" s="185" t="str">
        <f t="shared" si="115"/>
        <v>OK</v>
      </c>
      <c r="BV236" s="190">
        <f t="shared" si="116"/>
        <v>439.2433422920123</v>
      </c>
      <c r="BW236" s="191">
        <f t="shared" si="117"/>
        <v>9.882975201570277</v>
      </c>
      <c r="BX236" s="190">
        <f t="shared" si="118"/>
        <v>219.62167114600615</v>
      </c>
      <c r="BY236" s="167">
        <f t="shared" si="119"/>
        <v>69.762177893437254</v>
      </c>
      <c r="BZ236" s="192">
        <f t="shared" si="120"/>
        <v>0.33912169809309778</v>
      </c>
      <c r="CA236" s="191">
        <f t="shared" si="121"/>
        <v>6.4594609160590046</v>
      </c>
      <c r="CB236" s="193">
        <f t="shared" si="122"/>
        <v>5.4138202122142043E-2</v>
      </c>
      <c r="CC236" s="167">
        <f t="shared" si="123"/>
        <v>70.653629562916777</v>
      </c>
      <c r="CD236" s="191">
        <f t="shared" si="124"/>
        <v>0.29865664670315067</v>
      </c>
      <c r="CE236" s="189">
        <f t="shared" si="125"/>
        <v>0.33912169809309778</v>
      </c>
      <c r="CF236" s="194" t="str">
        <f t="shared" si="126"/>
        <v>OK</v>
      </c>
      <c r="DA236" s="140"/>
      <c r="DB236" s="140"/>
      <c r="DC236" s="140"/>
      <c r="DD236" s="141"/>
      <c r="DE236" s="151"/>
      <c r="DF236" s="152"/>
      <c r="DG236" s="152"/>
      <c r="DH236" s="152"/>
      <c r="DI236" s="152"/>
      <c r="DJ236" s="152"/>
      <c r="DK236" s="161"/>
      <c r="DL236" s="162"/>
      <c r="DM236" s="162"/>
      <c r="DN236" s="162"/>
      <c r="DO236" s="162"/>
      <c r="DP236" s="162"/>
      <c r="DQ236" s="140"/>
      <c r="DR236" s="151"/>
      <c r="DS236" s="151"/>
      <c r="DT236" s="151"/>
      <c r="DU236" s="151"/>
      <c r="DV236" s="151"/>
      <c r="DW236" s="151"/>
      <c r="DX236" s="151"/>
      <c r="DY236" s="151"/>
      <c r="DZ236" s="151"/>
      <c r="EA236" s="161"/>
      <c r="EB236" s="161"/>
      <c r="EC236" s="161"/>
      <c r="ED236" s="161"/>
      <c r="EE236" s="161"/>
      <c r="EF236" s="161"/>
      <c r="EG236" s="161"/>
      <c r="EH236" s="161"/>
      <c r="EI236" s="161"/>
      <c r="EJ236" s="161"/>
      <c r="EK236" s="209"/>
      <c r="EL236" s="213"/>
      <c r="EM236" s="187"/>
      <c r="EN236" s="187"/>
      <c r="EO236" s="206"/>
      <c r="EP236" s="212"/>
      <c r="EQ236" s="208"/>
      <c r="ER236" s="187"/>
      <c r="ES236" s="187"/>
      <c r="ET236" s="187"/>
      <c r="EU236" s="187"/>
      <c r="EV236" s="210"/>
      <c r="EW236" s="209"/>
      <c r="EX236" s="210"/>
      <c r="EY236" s="162"/>
      <c r="EZ236" s="211"/>
      <c r="FA236" s="209"/>
      <c r="FB236" s="207"/>
      <c r="FC236" s="162"/>
      <c r="FD236" s="209"/>
      <c r="FE236" s="187"/>
      <c r="FF236" s="187"/>
    </row>
    <row r="237" spans="27:162">
      <c r="AA237" s="140" t="s">
        <v>210</v>
      </c>
      <c r="AB237" s="140" t="s">
        <v>240</v>
      </c>
      <c r="AC237" s="140">
        <v>104</v>
      </c>
      <c r="AD237" s="141">
        <v>0</v>
      </c>
      <c r="AE237" s="151">
        <v>750</v>
      </c>
      <c r="AF237" s="152">
        <v>350</v>
      </c>
      <c r="AG237" s="152">
        <v>14</v>
      </c>
      <c r="AH237" s="152">
        <v>18.000000000000004</v>
      </c>
      <c r="AI237" s="152">
        <v>714</v>
      </c>
      <c r="AJ237" s="153" t="str" cm="1">
        <f t="array" ref="AJ237">_xll.Dce_Name_SectI(AE237, AE237, AF237, AG237, AH237, "x", "-", "H Tổng")</f>
        <v>750x350x14x18</v>
      </c>
      <c r="AK237" s="161">
        <f t="shared" si="97"/>
        <v>1010</v>
      </c>
      <c r="AL237" s="162" cm="1">
        <f t="array" ref="AL237">IFERROR(INDEX($B$25:$B$32,IFERROR(MATCH(AF237,$B$25:$B$32,0),MATCH(AF237,$B$25:$B$32,1)+1)),$B$25)</f>
        <v>350</v>
      </c>
      <c r="AM237" s="162" cm="1">
        <f t="array" ref="AM237">IFERROR(VLOOKUP(AE237,$B$36:$E$47,4,FALSE),INDEX($E$36:$E$47,MATCH(AE237,$B$36:$B$47,1)+1))</f>
        <v>25</v>
      </c>
      <c r="AN237" s="162" cm="1">
        <f t="array" ref="AN237">IFERROR(VLOOKUP(AE237,$B$36:$E$47,2,FALSE),INDEX($C$36:$C$47,MATCH(AE237,$B$36:$B$47,1)+1))</f>
        <v>12</v>
      </c>
      <c r="AO237" s="162" cm="1">
        <f t="array" ref="AO237">IFERROR(VLOOKUP(AE237,$B$36:$E$47,3,FALSE),INDEX($D$36:$D$47,MATCH(AE237,$B$36:$B$47,1)+1))</f>
        <v>24</v>
      </c>
      <c r="AP237" s="163" t="str">
        <f t="shared" si="98"/>
        <v>1010x350x25 + 12M24</v>
      </c>
      <c r="AQ237" s="140" t="s">
        <v>268</v>
      </c>
      <c r="AR237" s="151">
        <v>0</v>
      </c>
      <c r="AS237" s="151">
        <v>131.25620999356553</v>
      </c>
      <c r="AT237" s="151">
        <v>-1.7371348803862928E-14</v>
      </c>
      <c r="AU237" s="151">
        <v>3.095019572181035E-4</v>
      </c>
      <c r="AV237" s="151">
        <v>9.4529241323471048E-15</v>
      </c>
      <c r="AW237" s="151">
        <v>-58.007347615302237</v>
      </c>
      <c r="BA237" s="161">
        <f t="shared" si="99"/>
        <v>60</v>
      </c>
      <c r="BB237" s="161">
        <f t="shared" si="100"/>
        <v>70</v>
      </c>
      <c r="BC237" s="161">
        <f t="shared" si="101"/>
        <v>80</v>
      </c>
      <c r="BD237" s="161">
        <f t="shared" si="102"/>
        <v>150</v>
      </c>
      <c r="BE237" s="161">
        <f>HLOOKUP(AO237,Data!$H$31:$Q$35,3,FALSE)</f>
        <v>452.38934211693021</v>
      </c>
      <c r="BF237" s="161">
        <f>HLOOKUP(AO237,Data!$H$31:$Q$35,4,FALSE)</f>
        <v>353</v>
      </c>
      <c r="BG237" s="179">
        <f t="shared" si="103"/>
        <v>180</v>
      </c>
      <c r="BH237" s="185">
        <f t="shared" si="104"/>
        <v>121.65654188208487</v>
      </c>
      <c r="BI237" s="185">
        <f t="shared" si="105"/>
        <v>243</v>
      </c>
      <c r="BJ237" s="185">
        <f t="shared" si="106"/>
        <v>142.3296</v>
      </c>
      <c r="BK237" s="185">
        <f t="shared" si="107"/>
        <v>10.883734199134146</v>
      </c>
      <c r="BL237" s="186">
        <f t="shared" si="108"/>
        <v>0.89458333333333329</v>
      </c>
      <c r="BM237" s="186">
        <f t="shared" si="109"/>
        <v>0.10000498680251262</v>
      </c>
      <c r="BN237" s="185" t="str">
        <f t="shared" si="110"/>
        <v>OK</v>
      </c>
      <c r="BO237" s="185" cm="1">
        <f t="array" ref="BO237">_xll.DCEBoltDisRS(AN237, AE237, BA237, BB237, BC237, BD237, "h1")</f>
        <v>890</v>
      </c>
      <c r="BP237" s="185" cm="1">
        <f t="array" ref="BP237">_xll.DCEBoltDisRS(AN237, AE237, BA237, BB237, BC237, BD237, "Tong")</f>
        <v>1800300</v>
      </c>
      <c r="BQ237" s="185">
        <f t="shared" si="111"/>
        <v>15.426689083308124</v>
      </c>
      <c r="BR237" s="186">
        <f t="shared" si="112"/>
        <v>0.10838707537510205</v>
      </c>
      <c r="BS237" s="185" t="str">
        <f t="shared" si="113"/>
        <v>OK</v>
      </c>
      <c r="BT237" s="186">
        <f t="shared" si="114"/>
        <v>0.1405394951536838</v>
      </c>
      <c r="BU237" s="185" t="str">
        <f t="shared" si="115"/>
        <v>OK</v>
      </c>
      <c r="BV237" s="190">
        <f t="shared" si="116"/>
        <v>77.343130153736311</v>
      </c>
      <c r="BW237" s="191">
        <f t="shared" si="117"/>
        <v>1.740220428459067</v>
      </c>
      <c r="BX237" s="190">
        <f t="shared" si="118"/>
        <v>38.671565076868156</v>
      </c>
      <c r="BY237" s="167">
        <f t="shared" si="119"/>
        <v>16.540709022977268</v>
      </c>
      <c r="BZ237" s="192">
        <f t="shared" si="120"/>
        <v>8.0406224417250621E-2</v>
      </c>
      <c r="CA237" s="191">
        <f t="shared" si="121"/>
        <v>1.5315471317571547</v>
      </c>
      <c r="CB237" s="193">
        <f t="shared" si="122"/>
        <v>1.2836242723060446E-2</v>
      </c>
      <c r="CC237" s="167">
        <f t="shared" si="123"/>
        <v>16.752073448775896</v>
      </c>
      <c r="CD237" s="191">
        <f t="shared" si="124"/>
        <v>7.0811904674777354E-2</v>
      </c>
      <c r="CE237" s="189">
        <f t="shared" si="125"/>
        <v>8.0406224417250621E-2</v>
      </c>
      <c r="CF237" s="194" t="str">
        <f t="shared" si="126"/>
        <v>OK</v>
      </c>
      <c r="DA237" s="140"/>
      <c r="DB237" s="140"/>
      <c r="DC237" s="140"/>
      <c r="DD237" s="141"/>
      <c r="DE237" s="151"/>
      <c r="DF237" s="152"/>
      <c r="DG237" s="152"/>
      <c r="DH237" s="152"/>
      <c r="DI237" s="152"/>
      <c r="DJ237" s="152"/>
      <c r="DK237" s="161"/>
      <c r="DL237" s="162"/>
      <c r="DM237" s="162"/>
      <c r="DN237" s="162"/>
      <c r="DO237" s="162"/>
      <c r="DP237" s="162"/>
      <c r="DQ237" s="140"/>
      <c r="DR237" s="151"/>
      <c r="DS237" s="151"/>
      <c r="DT237" s="151"/>
      <c r="DU237" s="151"/>
      <c r="DV237" s="151"/>
      <c r="DW237" s="151"/>
      <c r="DX237" s="151"/>
      <c r="DY237" s="151"/>
      <c r="DZ237" s="151"/>
      <c r="EA237" s="161"/>
      <c r="EB237" s="161"/>
      <c r="EC237" s="161"/>
      <c r="ED237" s="161"/>
      <c r="EE237" s="161"/>
      <c r="EF237" s="161"/>
      <c r="EG237" s="161"/>
      <c r="EH237" s="161"/>
      <c r="EI237" s="161"/>
      <c r="EJ237" s="161"/>
      <c r="EK237" s="209"/>
      <c r="EL237" s="213"/>
      <c r="EM237" s="187"/>
      <c r="EN237" s="187"/>
      <c r="EO237" s="206"/>
      <c r="EP237" s="212"/>
      <c r="EQ237" s="208"/>
      <c r="ER237" s="187"/>
      <c r="ES237" s="187"/>
      <c r="ET237" s="187"/>
      <c r="EU237" s="187"/>
      <c r="EV237" s="210"/>
      <c r="EW237" s="209"/>
      <c r="EX237" s="210"/>
      <c r="EY237" s="162"/>
      <c r="EZ237" s="211"/>
      <c r="FA237" s="209"/>
      <c r="FB237" s="207"/>
      <c r="FC237" s="162"/>
      <c r="FD237" s="209"/>
      <c r="FE237" s="187"/>
      <c r="FF237" s="187"/>
    </row>
    <row r="238" spans="27:162">
      <c r="AA238" s="140" t="s">
        <v>210</v>
      </c>
      <c r="AB238" s="140" t="s">
        <v>240</v>
      </c>
      <c r="AC238" s="140">
        <v>104</v>
      </c>
      <c r="AD238" s="141">
        <v>2.6850000000000001</v>
      </c>
      <c r="AE238" s="151">
        <v>1100</v>
      </c>
      <c r="AF238" s="152">
        <v>350</v>
      </c>
      <c r="AG238" s="152">
        <v>14</v>
      </c>
      <c r="AH238" s="152">
        <v>18.000000000000004</v>
      </c>
      <c r="AI238" s="152">
        <v>1064</v>
      </c>
      <c r="AJ238" s="153" t="str" cm="1">
        <f t="array" ref="AJ238">_xll.Dce_Name_SectI(AE238, AE238, AF238, AG238, AH238, "x", "-", "H Tổng")</f>
        <v>1100x350x14x18</v>
      </c>
      <c r="AK238" s="161">
        <f t="shared" si="97"/>
        <v>1360</v>
      </c>
      <c r="AL238" s="162" cm="1">
        <f t="array" ref="AL238">IFERROR(INDEX($B$25:$B$32,IFERROR(MATCH(AF238,$B$25:$B$32,0),MATCH(AF238,$B$25:$B$32,1)+1)),$B$25)</f>
        <v>350</v>
      </c>
      <c r="AM238" s="162" cm="1">
        <f t="array" ref="AM238">IFERROR(VLOOKUP(AE238,$B$36:$E$47,4,FALSE),INDEX($E$36:$E$47,MATCH(AE238,$B$36:$B$47,1)+1))</f>
        <v>25</v>
      </c>
      <c r="AN238" s="162" cm="1">
        <f t="array" ref="AN238">IFERROR(VLOOKUP(AE238,$B$36:$E$47,2,FALSE),INDEX($C$36:$C$47,MATCH(AE238,$B$36:$B$47,1)+1))</f>
        <v>12</v>
      </c>
      <c r="AO238" s="162" cm="1">
        <f t="array" ref="AO238">IFERROR(VLOOKUP(AE238,$B$36:$E$47,3,FALSE),INDEX($D$36:$D$47,MATCH(AE238,$B$36:$B$47,1)+1))</f>
        <v>24</v>
      </c>
      <c r="AP238" s="163" t="str">
        <f t="shared" si="98"/>
        <v>1360x350x25 + 12M24</v>
      </c>
      <c r="AQ238" s="140" t="s">
        <v>268</v>
      </c>
      <c r="AR238" s="151">
        <v>0</v>
      </c>
      <c r="AS238" s="151">
        <v>188.85997099615437</v>
      </c>
      <c r="AT238" s="151">
        <v>-4.092726157978176E-15</v>
      </c>
      <c r="AU238" s="151">
        <v>3.0945643370638591E-4</v>
      </c>
      <c r="AV238" s="151">
        <v>1.0139956430066375E-15</v>
      </c>
      <c r="AW238" s="151">
        <v>-496.16331567498105</v>
      </c>
      <c r="BA238" s="161">
        <f t="shared" si="99"/>
        <v>60</v>
      </c>
      <c r="BB238" s="161">
        <f t="shared" si="100"/>
        <v>70</v>
      </c>
      <c r="BC238" s="161">
        <f t="shared" si="101"/>
        <v>80</v>
      </c>
      <c r="BD238" s="161">
        <f t="shared" si="102"/>
        <v>150</v>
      </c>
      <c r="BE238" s="161">
        <f>HLOOKUP(AO238,Data!$H$31:$Q$35,3,FALSE)</f>
        <v>452.38934211693021</v>
      </c>
      <c r="BF238" s="161">
        <f>HLOOKUP(AO238,Data!$H$31:$Q$35,4,FALSE)</f>
        <v>353</v>
      </c>
      <c r="BG238" s="179">
        <f t="shared" si="103"/>
        <v>180</v>
      </c>
      <c r="BH238" s="185">
        <f t="shared" si="104"/>
        <v>121.65654188208487</v>
      </c>
      <c r="BI238" s="185">
        <f t="shared" si="105"/>
        <v>243</v>
      </c>
      <c r="BJ238" s="185">
        <f t="shared" si="106"/>
        <v>142.3296</v>
      </c>
      <c r="BK238" s="185">
        <f t="shared" si="107"/>
        <v>15.660224573596125</v>
      </c>
      <c r="BL238" s="186">
        <f t="shared" si="108"/>
        <v>0.82166666666666666</v>
      </c>
      <c r="BM238" s="186">
        <f t="shared" si="109"/>
        <v>0.15666314814871338</v>
      </c>
      <c r="BN238" s="185" t="str">
        <f t="shared" si="110"/>
        <v>OK</v>
      </c>
      <c r="BO238" s="185" cm="1">
        <f t="array" ref="BO238">_xll.DCEBoltDisRS(AN238, AE238, BA238, BB238, BC238, BD238, "h1")</f>
        <v>1240</v>
      </c>
      <c r="BP238" s="185" cm="1">
        <f t="array" ref="BP238">_xll.DCEBoltDisRS(AN238, AE238, BA238, BB238, BC238, BD238, "Tong")</f>
        <v>3721800</v>
      </c>
      <c r="BQ238" s="185">
        <f t="shared" si="111"/>
        <v>84.219914584418632</v>
      </c>
      <c r="BR238" s="186">
        <f t="shared" si="112"/>
        <v>0.59172452240727602</v>
      </c>
      <c r="BS238" s="185" t="str">
        <f t="shared" si="113"/>
        <v>OK</v>
      </c>
      <c r="BT238" s="186">
        <f t="shared" si="114"/>
        <v>0.60556420541630152</v>
      </c>
      <c r="BU238" s="185" t="str">
        <f t="shared" si="115"/>
        <v>OK</v>
      </c>
      <c r="BV238" s="190">
        <f t="shared" si="116"/>
        <v>451.05755970452822</v>
      </c>
      <c r="BW238" s="191">
        <f t="shared" si="117"/>
        <v>10.148795093351884</v>
      </c>
      <c r="BX238" s="190">
        <f t="shared" si="118"/>
        <v>225.52877985226411</v>
      </c>
      <c r="BY238" s="167">
        <f t="shared" si="119"/>
        <v>71.638553600130933</v>
      </c>
      <c r="BZ238" s="192">
        <f t="shared" si="120"/>
        <v>0.34824296888952538</v>
      </c>
      <c r="CA238" s="191">
        <f t="shared" si="121"/>
        <v>6.6331994074195322</v>
      </c>
      <c r="CB238" s="193">
        <f t="shared" si="122"/>
        <v>5.5594343692452981E-2</v>
      </c>
      <c r="CC238" s="167">
        <f t="shared" si="123"/>
        <v>72.553982420364804</v>
      </c>
      <c r="CD238" s="191">
        <f t="shared" si="124"/>
        <v>0.30668953921651793</v>
      </c>
      <c r="CE238" s="189">
        <f t="shared" si="125"/>
        <v>0.34824296888952538</v>
      </c>
      <c r="CF238" s="194" t="str">
        <f t="shared" si="126"/>
        <v>OK</v>
      </c>
      <c r="DA238" s="140"/>
      <c r="DB238" s="140"/>
      <c r="DC238" s="140"/>
      <c r="DD238" s="141"/>
      <c r="DE238" s="151"/>
      <c r="DF238" s="152"/>
      <c r="DG238" s="152"/>
      <c r="DH238" s="152"/>
      <c r="DI238" s="152"/>
      <c r="DJ238" s="152"/>
      <c r="DK238" s="161"/>
      <c r="DL238" s="162"/>
      <c r="DM238" s="162"/>
      <c r="DN238" s="162"/>
      <c r="DO238" s="162"/>
      <c r="DP238" s="162"/>
      <c r="DQ238" s="140"/>
      <c r="DR238" s="151"/>
      <c r="DS238" s="151"/>
      <c r="DT238" s="151"/>
      <c r="DU238" s="151"/>
      <c r="DV238" s="151"/>
      <c r="DW238" s="151"/>
      <c r="DX238" s="151"/>
      <c r="DY238" s="151"/>
      <c r="DZ238" s="151"/>
      <c r="EA238" s="161"/>
      <c r="EB238" s="161"/>
      <c r="EC238" s="161"/>
      <c r="ED238" s="161"/>
      <c r="EE238" s="161"/>
      <c r="EF238" s="161"/>
      <c r="EG238" s="161"/>
      <c r="EH238" s="161"/>
      <c r="EI238" s="161"/>
      <c r="EJ238" s="161"/>
      <c r="EK238" s="209"/>
      <c r="EL238" s="213"/>
      <c r="EM238" s="187"/>
      <c r="EN238" s="187"/>
      <c r="EO238" s="206"/>
      <c r="EP238" s="212"/>
      <c r="EQ238" s="208"/>
      <c r="ER238" s="187"/>
      <c r="ES238" s="187"/>
      <c r="ET238" s="187"/>
      <c r="EU238" s="187"/>
      <c r="EV238" s="210"/>
      <c r="EW238" s="209"/>
      <c r="EX238" s="210"/>
      <c r="EY238" s="162"/>
      <c r="EZ238" s="211"/>
      <c r="FA238" s="209"/>
      <c r="FB238" s="207"/>
      <c r="FC238" s="162"/>
      <c r="FD238" s="209"/>
      <c r="FE238" s="187"/>
      <c r="FF238" s="187"/>
    </row>
    <row r="239" spans="27:162">
      <c r="AA239" s="140"/>
      <c r="AB239" s="140"/>
      <c r="AC239" s="140"/>
      <c r="AD239" s="141"/>
      <c r="AE239" s="151"/>
      <c r="AF239" s="152"/>
      <c r="AG239" s="152"/>
      <c r="AH239" s="152"/>
      <c r="AI239" s="152"/>
      <c r="AJ239" s="152"/>
      <c r="AK239" s="161"/>
      <c r="AL239" s="162"/>
      <c r="AM239" s="162"/>
      <c r="AN239" s="162"/>
      <c r="AO239" s="162"/>
      <c r="AP239" s="162"/>
      <c r="AQ239" s="140"/>
      <c r="AR239" s="151"/>
      <c r="AS239" s="151"/>
      <c r="AT239" s="151"/>
      <c r="AU239" s="151"/>
      <c r="AV239" s="151"/>
      <c r="AW239" s="151"/>
      <c r="BA239" s="161"/>
      <c r="BB239" s="161"/>
      <c r="BC239" s="161"/>
      <c r="BD239" s="161"/>
      <c r="BE239" s="161"/>
      <c r="BF239" s="161"/>
      <c r="BG239" s="161"/>
      <c r="BH239" s="100"/>
      <c r="BI239" s="100"/>
      <c r="BJ239" s="100"/>
      <c r="BK239" s="101"/>
      <c r="BL239" s="80"/>
      <c r="BM239" s="102"/>
      <c r="BN239" s="102"/>
      <c r="BO239" s="103"/>
      <c r="BP239" s="104"/>
      <c r="BQ239" s="28"/>
      <c r="BR239" s="102"/>
      <c r="BS239" s="102"/>
      <c r="BT239" s="102"/>
      <c r="BU239" s="102"/>
      <c r="BV239" s="105"/>
      <c r="BW239" s="101"/>
      <c r="BX239" s="105"/>
      <c r="BY239" s="11"/>
      <c r="BZ239" s="106"/>
      <c r="CA239" s="101"/>
      <c r="CB239" s="107"/>
      <c r="CC239" s="11"/>
      <c r="CD239" s="101"/>
      <c r="CE239" s="108"/>
      <c r="CF239" s="187"/>
      <c r="DA239" s="140"/>
      <c r="DB239" s="140"/>
      <c r="DC239" s="140"/>
      <c r="DD239" s="141"/>
      <c r="DE239" s="151"/>
      <c r="DF239" s="152"/>
      <c r="DG239" s="152"/>
      <c r="DH239" s="152"/>
      <c r="DI239" s="152"/>
      <c r="DJ239" s="152"/>
      <c r="DK239" s="161"/>
      <c r="DL239" s="162"/>
      <c r="DM239" s="162"/>
      <c r="DN239" s="162"/>
      <c r="DO239" s="162"/>
      <c r="DP239" s="162"/>
      <c r="DQ239" s="140"/>
      <c r="DR239" s="151"/>
      <c r="DS239" s="151"/>
      <c r="DT239" s="151"/>
      <c r="DU239" s="151"/>
      <c r="DV239" s="151"/>
      <c r="DW239" s="151"/>
      <c r="DX239" s="151"/>
      <c r="DY239" s="151"/>
      <c r="DZ239" s="151"/>
      <c r="EA239" s="161"/>
      <c r="EB239" s="161"/>
      <c r="EC239" s="161"/>
      <c r="ED239" s="161"/>
      <c r="EE239" s="161"/>
      <c r="EF239" s="161"/>
      <c r="EG239" s="161"/>
      <c r="EH239" s="161"/>
      <c r="EI239" s="161"/>
      <c r="EJ239" s="161"/>
      <c r="EK239" s="209"/>
      <c r="EL239" s="213"/>
      <c r="EM239" s="187"/>
      <c r="EN239" s="187"/>
      <c r="EO239" s="206"/>
      <c r="EP239" s="212"/>
      <c r="EQ239" s="208"/>
      <c r="ER239" s="187"/>
      <c r="ES239" s="187"/>
      <c r="ET239" s="187"/>
      <c r="EU239" s="187"/>
      <c r="EV239" s="210"/>
      <c r="EW239" s="209"/>
      <c r="EX239" s="210"/>
      <c r="EY239" s="162"/>
      <c r="EZ239" s="211"/>
      <c r="FA239" s="209"/>
      <c r="FB239" s="207"/>
      <c r="FC239" s="162"/>
      <c r="FD239" s="209"/>
      <c r="FE239" s="187"/>
      <c r="FF239" s="187"/>
    </row>
    <row r="240" spans="27:162">
      <c r="AA240" s="140"/>
      <c r="AB240" s="140"/>
      <c r="AC240" s="140"/>
      <c r="AD240" s="141"/>
      <c r="AE240" s="151"/>
      <c r="AF240" s="152"/>
      <c r="AG240" s="152"/>
      <c r="AH240" s="152"/>
      <c r="AI240" s="152"/>
      <c r="AJ240" s="152"/>
      <c r="AK240" s="161"/>
      <c r="AL240" s="162"/>
      <c r="AM240" s="162"/>
      <c r="AN240" s="162"/>
      <c r="AO240" s="162"/>
      <c r="AP240" s="162"/>
      <c r="AQ240" s="140"/>
      <c r="AR240" s="151"/>
      <c r="AS240" s="151"/>
      <c r="AT240" s="151"/>
      <c r="AU240" s="151"/>
      <c r="AV240" s="151"/>
      <c r="AW240" s="151"/>
      <c r="BA240" s="161"/>
      <c r="BB240" s="161"/>
      <c r="BC240" s="161"/>
      <c r="BD240" s="161"/>
      <c r="BE240" s="161"/>
      <c r="BF240" s="161"/>
      <c r="BG240" s="161"/>
      <c r="BH240" s="100"/>
      <c r="BI240" s="100"/>
      <c r="BJ240" s="100"/>
      <c r="BK240" s="101"/>
      <c r="BL240" s="80"/>
      <c r="BM240" s="102"/>
      <c r="BN240" s="102"/>
      <c r="BO240" s="103"/>
      <c r="BP240" s="104"/>
      <c r="BQ240" s="28"/>
      <c r="BR240" s="102"/>
      <c r="BS240" s="102"/>
      <c r="BT240" s="102"/>
      <c r="BU240" s="102"/>
      <c r="BV240" s="105"/>
      <c r="BW240" s="101"/>
      <c r="BX240" s="105"/>
      <c r="BY240" s="11"/>
      <c r="BZ240" s="106"/>
      <c r="CA240" s="101"/>
      <c r="CB240" s="107"/>
      <c r="CC240" s="11"/>
      <c r="CD240" s="101"/>
      <c r="CE240" s="108"/>
      <c r="CF240" s="187"/>
      <c r="DA240" s="140"/>
      <c r="DB240" s="140"/>
      <c r="DC240" s="140"/>
      <c r="DD240" s="141"/>
      <c r="DE240" s="151"/>
      <c r="DF240" s="152"/>
      <c r="DG240" s="152"/>
      <c r="DH240" s="152"/>
      <c r="DI240" s="152"/>
      <c r="DJ240" s="152"/>
      <c r="DK240" s="161"/>
      <c r="DL240" s="162"/>
      <c r="DM240" s="162"/>
      <c r="DN240" s="162"/>
      <c r="DO240" s="162"/>
      <c r="DP240" s="162"/>
      <c r="DQ240" s="140"/>
      <c r="DR240" s="151"/>
      <c r="DS240" s="151"/>
      <c r="DT240" s="151"/>
      <c r="DU240" s="151"/>
      <c r="DV240" s="151"/>
      <c r="DW240" s="151"/>
      <c r="DX240" s="151"/>
      <c r="DY240" s="151"/>
      <c r="DZ240" s="151"/>
      <c r="EA240" s="161"/>
      <c r="EB240" s="161"/>
      <c r="EC240" s="161"/>
      <c r="ED240" s="161"/>
      <c r="EE240" s="161"/>
      <c r="EF240" s="161"/>
      <c r="EG240" s="161"/>
      <c r="EH240" s="161"/>
      <c r="EI240" s="161"/>
      <c r="EJ240" s="161"/>
      <c r="EK240" s="209"/>
      <c r="EL240" s="213"/>
      <c r="EM240" s="187"/>
      <c r="EN240" s="187"/>
      <c r="EO240" s="206"/>
      <c r="EP240" s="212"/>
      <c r="EQ240" s="208"/>
      <c r="ER240" s="187"/>
      <c r="ES240" s="187"/>
      <c r="ET240" s="187"/>
      <c r="EU240" s="187"/>
      <c r="EV240" s="210"/>
      <c r="EW240" s="209"/>
      <c r="EX240" s="210"/>
      <c r="EY240" s="162"/>
      <c r="EZ240" s="211"/>
      <c r="FA240" s="209"/>
      <c r="FB240" s="207"/>
      <c r="FC240" s="162"/>
      <c r="FD240" s="209"/>
      <c r="FE240" s="187"/>
      <c r="FF240" s="187"/>
    </row>
    <row r="241" spans="27:162">
      <c r="AA241" s="140"/>
      <c r="AB241" s="140"/>
      <c r="AC241" s="140"/>
      <c r="AD241" s="141"/>
      <c r="AE241" s="151"/>
      <c r="AF241" s="152"/>
      <c r="AG241" s="152"/>
      <c r="AH241" s="152"/>
      <c r="AI241" s="152"/>
      <c r="AJ241" s="152"/>
      <c r="AK241" s="161"/>
      <c r="AL241" s="162"/>
      <c r="AM241" s="162"/>
      <c r="AN241" s="162"/>
      <c r="AO241" s="162"/>
      <c r="AP241" s="162"/>
      <c r="AQ241" s="140"/>
      <c r="AR241" s="151"/>
      <c r="AS241" s="151"/>
      <c r="AT241" s="151"/>
      <c r="AU241" s="151"/>
      <c r="AV241" s="151"/>
      <c r="AW241" s="151"/>
      <c r="BA241" s="161"/>
      <c r="BB241" s="161"/>
      <c r="BC241" s="161"/>
      <c r="BD241" s="161"/>
      <c r="BE241" s="161"/>
      <c r="BF241" s="161"/>
      <c r="BG241" s="161"/>
      <c r="BH241" s="100"/>
      <c r="BI241" s="100"/>
      <c r="BJ241" s="100"/>
      <c r="BK241" s="101"/>
      <c r="BL241" s="80"/>
      <c r="BM241" s="102"/>
      <c r="BN241" s="102"/>
      <c r="BO241" s="103"/>
      <c r="BP241" s="104"/>
      <c r="BQ241" s="28"/>
      <c r="BR241" s="102"/>
      <c r="BS241" s="102"/>
      <c r="BT241" s="102"/>
      <c r="BU241" s="102"/>
      <c r="BV241" s="105"/>
      <c r="BW241" s="101"/>
      <c r="BX241" s="105"/>
      <c r="BY241" s="11"/>
      <c r="BZ241" s="106"/>
      <c r="CA241" s="101"/>
      <c r="CB241" s="107"/>
      <c r="CC241" s="11"/>
      <c r="CD241" s="101"/>
      <c r="CE241" s="108"/>
      <c r="CF241" s="187"/>
      <c r="DA241" s="140"/>
      <c r="DB241" s="140"/>
      <c r="DC241" s="140"/>
      <c r="DD241" s="141"/>
      <c r="DE241" s="151"/>
      <c r="DF241" s="152"/>
      <c r="DG241" s="152"/>
      <c r="DH241" s="152"/>
      <c r="DI241" s="152"/>
      <c r="DJ241" s="152"/>
      <c r="DK241" s="161"/>
      <c r="DL241" s="162"/>
      <c r="DM241" s="162"/>
      <c r="DN241" s="162"/>
      <c r="DO241" s="162"/>
      <c r="DP241" s="162"/>
      <c r="DQ241" s="140"/>
      <c r="DR241" s="151"/>
      <c r="DS241" s="151"/>
      <c r="DT241" s="151"/>
      <c r="DU241" s="151"/>
      <c r="DV241" s="151"/>
      <c r="DW241" s="151"/>
      <c r="DX241" s="151"/>
      <c r="DY241" s="151"/>
      <c r="DZ241" s="151"/>
      <c r="EA241" s="161"/>
      <c r="EB241" s="161"/>
      <c r="EC241" s="161"/>
      <c r="ED241" s="161"/>
      <c r="EE241" s="161"/>
      <c r="EF241" s="161"/>
      <c r="EG241" s="161"/>
      <c r="EH241" s="161"/>
      <c r="EI241" s="161"/>
      <c r="EJ241" s="161"/>
      <c r="EK241" s="209"/>
      <c r="EL241" s="213"/>
      <c r="EM241" s="187"/>
      <c r="EN241" s="187"/>
      <c r="EO241" s="206"/>
      <c r="EP241" s="212"/>
      <c r="EQ241" s="208"/>
      <c r="ER241" s="187"/>
      <c r="ES241" s="187"/>
      <c r="ET241" s="187"/>
      <c r="EU241" s="187"/>
      <c r="EV241" s="210"/>
      <c r="EW241" s="209"/>
      <c r="EX241" s="210"/>
      <c r="EY241" s="162"/>
      <c r="EZ241" s="211"/>
      <c r="FA241" s="209"/>
      <c r="FB241" s="207"/>
      <c r="FC241" s="162"/>
      <c r="FD241" s="209"/>
      <c r="FE241" s="187"/>
      <c r="FF241" s="187"/>
    </row>
    <row r="242" spans="27:162">
      <c r="AA242" s="140"/>
      <c r="AB242" s="140"/>
      <c r="AC242" s="140"/>
      <c r="AD242" s="141"/>
      <c r="AE242" s="151"/>
      <c r="AF242" s="152"/>
      <c r="AG242" s="152"/>
      <c r="AH242" s="152"/>
      <c r="AI242" s="152"/>
      <c r="AJ242" s="152"/>
      <c r="AK242" s="161"/>
      <c r="AL242" s="162"/>
      <c r="AM242" s="162"/>
      <c r="AN242" s="162"/>
      <c r="AO242" s="162"/>
      <c r="AP242" s="162"/>
      <c r="AQ242" s="140"/>
      <c r="AR242" s="151"/>
      <c r="AS242" s="151"/>
      <c r="AT242" s="151"/>
      <c r="AU242" s="151"/>
      <c r="AV242" s="151"/>
      <c r="AW242" s="151"/>
      <c r="BA242" s="161"/>
      <c r="BB242" s="161"/>
      <c r="BC242" s="161"/>
      <c r="BD242" s="161"/>
      <c r="BE242" s="161"/>
      <c r="BF242" s="161"/>
      <c r="BG242" s="161"/>
      <c r="BH242" s="100"/>
      <c r="BI242" s="100"/>
      <c r="BJ242" s="100"/>
      <c r="BK242" s="101"/>
      <c r="BL242" s="80"/>
      <c r="BM242" s="102"/>
      <c r="BN242" s="102"/>
      <c r="BO242" s="103"/>
      <c r="BP242" s="104"/>
      <c r="BQ242" s="28"/>
      <c r="BR242" s="102"/>
      <c r="BS242" s="102"/>
      <c r="BT242" s="102"/>
      <c r="BU242" s="102"/>
      <c r="BV242" s="105"/>
      <c r="BW242" s="101"/>
      <c r="BX242" s="105"/>
      <c r="BY242" s="11"/>
      <c r="BZ242" s="106"/>
      <c r="CA242" s="101"/>
      <c r="CB242" s="107"/>
      <c r="CC242" s="11"/>
      <c r="CD242" s="101"/>
      <c r="CE242" s="108"/>
      <c r="CF242" s="187"/>
      <c r="DA242" s="140"/>
      <c r="DB242" s="140"/>
      <c r="DC242" s="140"/>
      <c r="DD242" s="141"/>
      <c r="DE242" s="151"/>
      <c r="DF242" s="152"/>
      <c r="DG242" s="152"/>
      <c r="DH242" s="152"/>
      <c r="DI242" s="152"/>
      <c r="DJ242" s="152"/>
      <c r="DK242" s="161"/>
      <c r="DL242" s="162"/>
      <c r="DM242" s="162"/>
      <c r="DN242" s="162"/>
      <c r="DO242" s="162"/>
      <c r="DP242" s="162"/>
      <c r="DQ242" s="140"/>
      <c r="DR242" s="151"/>
      <c r="DS242" s="151"/>
      <c r="DT242" s="151"/>
      <c r="DU242" s="151"/>
      <c r="DV242" s="151"/>
      <c r="DW242" s="151"/>
      <c r="DX242" s="151"/>
      <c r="DY242" s="151"/>
      <c r="DZ242" s="151"/>
      <c r="EA242" s="161"/>
      <c r="EB242" s="161"/>
      <c r="EC242" s="161"/>
      <c r="ED242" s="161"/>
      <c r="EE242" s="161"/>
      <c r="EF242" s="161"/>
      <c r="EG242" s="161"/>
      <c r="EH242" s="161"/>
      <c r="EI242" s="161"/>
      <c r="EJ242" s="161"/>
      <c r="EK242" s="209"/>
      <c r="EL242" s="213"/>
      <c r="EM242" s="187"/>
      <c r="EN242" s="187"/>
      <c r="EO242" s="206"/>
      <c r="EP242" s="212"/>
      <c r="EQ242" s="208"/>
      <c r="ER242" s="187"/>
      <c r="ES242" s="187"/>
      <c r="ET242" s="187"/>
      <c r="EU242" s="187"/>
      <c r="EV242" s="210"/>
      <c r="EW242" s="209"/>
      <c r="EX242" s="210"/>
      <c r="EY242" s="162"/>
      <c r="EZ242" s="211"/>
      <c r="FA242" s="209"/>
      <c r="FB242" s="207"/>
      <c r="FC242" s="162"/>
      <c r="FD242" s="209"/>
      <c r="FE242" s="187"/>
      <c r="FF242" s="187"/>
    </row>
    <row r="243" spans="27:162">
      <c r="AA243" s="140"/>
      <c r="AB243" s="140"/>
      <c r="AC243" s="140"/>
      <c r="AD243" s="141"/>
      <c r="AE243" s="151"/>
      <c r="AF243" s="152"/>
      <c r="AG243" s="152"/>
      <c r="AH243" s="152"/>
      <c r="AI243" s="152"/>
      <c r="AJ243" s="152"/>
      <c r="AK243" s="161"/>
      <c r="AL243" s="162"/>
      <c r="AM243" s="162"/>
      <c r="AN243" s="162"/>
      <c r="AO243" s="162"/>
      <c r="AP243" s="162"/>
      <c r="AQ243" s="140"/>
      <c r="AR243" s="151"/>
      <c r="AS243" s="151"/>
      <c r="AT243" s="151"/>
      <c r="AU243" s="151"/>
      <c r="AV243" s="151"/>
      <c r="AW243" s="151"/>
      <c r="BA243" s="161"/>
      <c r="BB243" s="161"/>
      <c r="BC243" s="161"/>
      <c r="BD243" s="161"/>
      <c r="BE243" s="161"/>
      <c r="BF243" s="161"/>
      <c r="BG243" s="161"/>
      <c r="BH243" s="100"/>
      <c r="BI243" s="100"/>
      <c r="BJ243" s="100"/>
      <c r="BK243" s="101"/>
      <c r="BL243" s="80"/>
      <c r="BM243" s="102"/>
      <c r="BN243" s="102"/>
      <c r="BO243" s="103"/>
      <c r="BP243" s="104"/>
      <c r="BQ243" s="28"/>
      <c r="BR243" s="102"/>
      <c r="BS243" s="102"/>
      <c r="BT243" s="102"/>
      <c r="BU243" s="102"/>
      <c r="BV243" s="105"/>
      <c r="BW243" s="101"/>
      <c r="BX243" s="105"/>
      <c r="BY243" s="11"/>
      <c r="BZ243" s="106"/>
      <c r="CA243" s="101"/>
      <c r="CB243" s="107"/>
      <c r="CC243" s="11"/>
      <c r="CD243" s="101"/>
      <c r="CE243" s="108"/>
      <c r="CF243" s="187"/>
      <c r="DA243" s="140"/>
      <c r="DB243" s="140"/>
      <c r="DC243" s="140"/>
      <c r="DD243" s="141"/>
      <c r="DE243" s="151"/>
      <c r="DF243" s="152"/>
      <c r="DG243" s="152"/>
      <c r="DH243" s="152"/>
      <c r="DI243" s="152"/>
      <c r="DJ243" s="152"/>
      <c r="DK243" s="161"/>
      <c r="DL243" s="162"/>
      <c r="DM243" s="162"/>
      <c r="DN243" s="162"/>
      <c r="DO243" s="162"/>
      <c r="DP243" s="162"/>
      <c r="DQ243" s="140"/>
      <c r="DR243" s="151"/>
      <c r="DS243" s="151"/>
      <c r="DT243" s="151"/>
      <c r="DU243" s="151"/>
      <c r="DV243" s="151"/>
      <c r="DW243" s="151"/>
      <c r="DX243" s="151"/>
      <c r="DY243" s="151"/>
      <c r="DZ243" s="151"/>
      <c r="EA243" s="161"/>
      <c r="EB243" s="161"/>
      <c r="EC243" s="161"/>
      <c r="ED243" s="161"/>
      <c r="EE243" s="161"/>
      <c r="EF243" s="161"/>
      <c r="EG243" s="161"/>
      <c r="EH243" s="161"/>
      <c r="EI243" s="161"/>
      <c r="EJ243" s="161"/>
      <c r="EK243" s="209"/>
      <c r="EL243" s="213"/>
      <c r="EM243" s="187"/>
      <c r="EN243" s="187"/>
      <c r="EO243" s="206"/>
      <c r="EP243" s="212"/>
      <c r="EQ243" s="208"/>
      <c r="ER243" s="187"/>
      <c r="ES243" s="187"/>
      <c r="ET243" s="187"/>
      <c r="EU243" s="187"/>
      <c r="EV243" s="210"/>
      <c r="EW243" s="209"/>
      <c r="EX243" s="210"/>
      <c r="EY243" s="162"/>
      <c r="EZ243" s="211"/>
      <c r="FA243" s="209"/>
      <c r="FB243" s="207"/>
      <c r="FC243" s="162"/>
      <c r="FD243" s="209"/>
      <c r="FE243" s="187"/>
      <c r="FF243" s="187"/>
    </row>
    <row r="244" spans="27:162">
      <c r="AA244" s="140"/>
      <c r="AB244" s="140"/>
      <c r="AC244" s="140"/>
      <c r="AD244" s="141"/>
      <c r="AE244" s="151"/>
      <c r="AF244" s="152"/>
      <c r="AG244" s="152"/>
      <c r="AH244" s="152"/>
      <c r="AI244" s="152"/>
      <c r="AJ244" s="152"/>
      <c r="AK244" s="161"/>
      <c r="AL244" s="162"/>
      <c r="AM244" s="162"/>
      <c r="AN244" s="162"/>
      <c r="AO244" s="162"/>
      <c r="AP244" s="162"/>
      <c r="AQ244" s="140"/>
      <c r="AR244" s="151"/>
      <c r="AS244" s="151"/>
      <c r="AT244" s="151"/>
      <c r="AU244" s="151"/>
      <c r="AV244" s="151"/>
      <c r="AW244" s="151"/>
      <c r="BA244" s="161"/>
      <c r="BB244" s="161"/>
      <c r="BC244" s="161"/>
      <c r="BD244" s="161"/>
      <c r="BE244" s="161"/>
      <c r="BF244" s="161"/>
      <c r="BG244" s="161"/>
      <c r="BH244" s="100"/>
      <c r="BI244" s="100"/>
      <c r="BJ244" s="100"/>
      <c r="BK244" s="101"/>
      <c r="BL244" s="80"/>
      <c r="BM244" s="102"/>
      <c r="BN244" s="102"/>
      <c r="BO244" s="103"/>
      <c r="BP244" s="104"/>
      <c r="BQ244" s="28"/>
      <c r="BR244" s="102"/>
      <c r="BS244" s="102"/>
      <c r="BT244" s="102"/>
      <c r="BU244" s="102"/>
      <c r="BV244" s="105"/>
      <c r="BW244" s="101"/>
      <c r="BX244" s="105"/>
      <c r="BY244" s="11"/>
      <c r="BZ244" s="106"/>
      <c r="CA244" s="101"/>
      <c r="CB244" s="107"/>
      <c r="CC244" s="11"/>
      <c r="CD244" s="101"/>
      <c r="CE244" s="108"/>
      <c r="CF244" s="187"/>
      <c r="DA244" s="140"/>
      <c r="DB244" s="140"/>
      <c r="DC244" s="140"/>
      <c r="DD244" s="141"/>
      <c r="DE244" s="151"/>
      <c r="DF244" s="152"/>
      <c r="DG244" s="152"/>
      <c r="DH244" s="152"/>
      <c r="DI244" s="152"/>
      <c r="DJ244" s="152"/>
      <c r="DK244" s="161"/>
      <c r="DL244" s="162"/>
      <c r="DM244" s="162"/>
      <c r="DN244" s="162"/>
      <c r="DO244" s="162"/>
      <c r="DP244" s="162"/>
      <c r="DQ244" s="140"/>
      <c r="DR244" s="151"/>
      <c r="DS244" s="151"/>
      <c r="DT244" s="151"/>
      <c r="DU244" s="151"/>
      <c r="DV244" s="151"/>
      <c r="DW244" s="151"/>
      <c r="DX244" s="151"/>
      <c r="DY244" s="151"/>
      <c r="DZ244" s="151"/>
      <c r="EA244" s="161"/>
      <c r="EB244" s="161"/>
      <c r="EC244" s="161"/>
      <c r="ED244" s="161"/>
      <c r="EE244" s="161"/>
      <c r="EF244" s="161"/>
      <c r="EG244" s="161"/>
      <c r="EH244" s="161"/>
      <c r="EI244" s="161"/>
      <c r="EJ244" s="161"/>
      <c r="EK244" s="209"/>
      <c r="EL244" s="213"/>
      <c r="EM244" s="187"/>
      <c r="EN244" s="187"/>
      <c r="EO244" s="206"/>
      <c r="EP244" s="212"/>
      <c r="EQ244" s="208"/>
      <c r="ER244" s="187"/>
      <c r="ES244" s="187"/>
      <c r="ET244" s="187"/>
      <c r="EU244" s="187"/>
      <c r="EV244" s="210"/>
      <c r="EW244" s="209"/>
      <c r="EX244" s="210"/>
      <c r="EY244" s="162"/>
      <c r="EZ244" s="211"/>
      <c r="FA244" s="209"/>
      <c r="FB244" s="207"/>
      <c r="FC244" s="162"/>
      <c r="FD244" s="209"/>
      <c r="FE244" s="187"/>
      <c r="FF244" s="187"/>
    </row>
    <row r="245" spans="27:162">
      <c r="AA245" s="142"/>
      <c r="AB245" s="142"/>
      <c r="AC245" s="142"/>
      <c r="AD245" s="143"/>
      <c r="AE245" s="155"/>
      <c r="AF245" s="156"/>
      <c r="AG245" s="156"/>
      <c r="AH245" s="156"/>
      <c r="AI245" s="156"/>
      <c r="AJ245" s="156"/>
      <c r="AK245" s="164"/>
      <c r="AL245" s="165"/>
      <c r="AM245" s="165"/>
      <c r="AN245" s="165"/>
      <c r="AO245" s="165"/>
      <c r="AP245" s="165"/>
      <c r="AQ245" s="142"/>
      <c r="AR245" s="155"/>
      <c r="AS245" s="155"/>
      <c r="AT245" s="155"/>
      <c r="AU245" s="155"/>
      <c r="AV245" s="155"/>
      <c r="AW245" s="155"/>
      <c r="AX245" s="176"/>
      <c r="AY245" s="176"/>
      <c r="AZ245" s="176"/>
      <c r="BA245" s="164"/>
      <c r="BB245" s="164"/>
      <c r="BC245" s="164"/>
      <c r="BD245" s="164"/>
      <c r="BE245" s="164"/>
      <c r="BF245" s="164"/>
      <c r="BG245" s="164"/>
      <c r="BH245" s="100"/>
      <c r="BI245" s="100"/>
      <c r="BJ245" s="100"/>
      <c r="BK245" s="101"/>
      <c r="BL245" s="80"/>
      <c r="BM245" s="102"/>
      <c r="BN245" s="102"/>
      <c r="BO245" s="103"/>
      <c r="BP245" s="104"/>
      <c r="BQ245" s="28"/>
      <c r="BR245" s="102"/>
      <c r="BS245" s="102"/>
      <c r="BT245" s="102"/>
      <c r="BU245" s="102"/>
      <c r="BV245" s="105"/>
      <c r="BW245" s="101"/>
      <c r="BX245" s="105"/>
      <c r="BY245" s="11"/>
      <c r="BZ245" s="106"/>
      <c r="CA245" s="101"/>
      <c r="CB245" s="107"/>
      <c r="CC245" s="11"/>
      <c r="CD245" s="101"/>
      <c r="CE245" s="108"/>
      <c r="CF245" s="188"/>
      <c r="DA245" s="142"/>
      <c r="DB245" s="142"/>
      <c r="DC245" s="142"/>
      <c r="DD245" s="143"/>
      <c r="DE245" s="155"/>
      <c r="DF245" s="156"/>
      <c r="DG245" s="156"/>
      <c r="DH245" s="156"/>
      <c r="DI245" s="156"/>
      <c r="DJ245" s="156"/>
      <c r="DK245" s="164"/>
      <c r="DL245" s="165"/>
      <c r="DM245" s="165"/>
      <c r="DN245" s="165"/>
      <c r="DO245" s="165"/>
      <c r="DP245" s="165"/>
      <c r="DQ245" s="142"/>
      <c r="DR245" s="155"/>
      <c r="DS245" s="155"/>
      <c r="DT245" s="155"/>
      <c r="DU245" s="155"/>
      <c r="DV245" s="155"/>
      <c r="DW245" s="155"/>
      <c r="DX245" s="155"/>
      <c r="DY245" s="155"/>
      <c r="DZ245" s="155"/>
      <c r="EA245" s="164"/>
      <c r="EB245" s="164"/>
      <c r="EC245" s="164"/>
      <c r="ED245" s="164"/>
      <c r="EE245" s="164"/>
      <c r="EF245" s="164"/>
      <c r="EG245" s="164"/>
      <c r="EH245" s="164"/>
      <c r="EI245" s="164"/>
      <c r="EJ245" s="164"/>
      <c r="EK245" s="214"/>
      <c r="EL245" s="213"/>
      <c r="EM245" s="188"/>
      <c r="EN245" s="188"/>
      <c r="EO245" s="215"/>
      <c r="EP245" s="216"/>
      <c r="EQ245" s="217"/>
      <c r="ER245" s="188"/>
      <c r="ES245" s="188"/>
      <c r="ET245" s="188"/>
      <c r="EU245" s="188"/>
      <c r="EV245" s="218"/>
      <c r="EW245" s="214"/>
      <c r="EX245" s="218"/>
      <c r="EY245" s="165"/>
      <c r="EZ245" s="219"/>
      <c r="FA245" s="214"/>
      <c r="FB245" s="220"/>
      <c r="FC245" s="165"/>
      <c r="FD245" s="214"/>
      <c r="FE245" s="188"/>
      <c r="FF245" s="188"/>
    </row>
    <row r="246" spans="27:162">
      <c r="AA246" s="144"/>
      <c r="AB246" s="144"/>
      <c r="AC246" s="144"/>
      <c r="AD246" s="145"/>
      <c r="AE246" s="157"/>
      <c r="AF246" s="158"/>
      <c r="AG246" s="158"/>
      <c r="AH246" s="158"/>
      <c r="AI246" s="158"/>
      <c r="AJ246" s="158"/>
      <c r="AK246" s="166"/>
      <c r="AL246" s="167"/>
      <c r="AM246" s="167"/>
      <c r="AN246" s="167"/>
      <c r="AO246" s="167"/>
      <c r="AP246" s="167"/>
      <c r="AQ246" s="144"/>
      <c r="AR246" s="157"/>
      <c r="AS246" s="157"/>
      <c r="AT246" s="157"/>
      <c r="AU246" s="157"/>
      <c r="AV246" s="157"/>
      <c r="AW246" s="157"/>
      <c r="AX246" s="157"/>
      <c r="AY246" s="157"/>
      <c r="AZ246" s="157"/>
      <c r="BA246" s="166"/>
      <c r="BB246" s="166"/>
      <c r="BC246" s="166"/>
      <c r="BD246" s="166"/>
      <c r="BE246" s="166"/>
      <c r="BF246" s="166"/>
      <c r="BG246" s="166"/>
      <c r="BH246" s="100"/>
      <c r="BI246" s="100"/>
      <c r="BJ246" s="100"/>
      <c r="BK246" s="101"/>
      <c r="BL246" s="80"/>
      <c r="BM246" s="102"/>
      <c r="BN246" s="102"/>
      <c r="BO246" s="103"/>
      <c r="BP246" s="104"/>
      <c r="BQ246" s="28"/>
      <c r="BR246" s="102"/>
      <c r="BS246" s="102"/>
      <c r="BT246" s="102"/>
      <c r="BU246" s="102"/>
      <c r="BV246" s="105"/>
      <c r="BW246" s="101"/>
      <c r="BX246" s="105"/>
      <c r="BY246" s="11"/>
      <c r="BZ246" s="106"/>
      <c r="CA246" s="101"/>
      <c r="CB246" s="107"/>
      <c r="CC246" s="11"/>
      <c r="CD246" s="101"/>
      <c r="CE246" s="108"/>
      <c r="CF246" s="189"/>
      <c r="DA246" s="144"/>
      <c r="DB246" s="144"/>
      <c r="DC246" s="144"/>
      <c r="DD246" s="145"/>
      <c r="DE246" s="157"/>
      <c r="DF246" s="158"/>
      <c r="DG246" s="158"/>
      <c r="DH246" s="158"/>
      <c r="DI246" s="158"/>
      <c r="DJ246" s="158"/>
      <c r="DK246" s="166"/>
      <c r="DL246" s="167"/>
      <c r="DM246" s="167"/>
      <c r="DN246" s="167"/>
      <c r="DO246" s="167"/>
      <c r="DP246" s="167"/>
      <c r="DQ246" s="144"/>
      <c r="DR246" s="157"/>
      <c r="DS246" s="157"/>
      <c r="DT246" s="157"/>
      <c r="DU246" s="157"/>
      <c r="DV246" s="157"/>
      <c r="DW246" s="157"/>
      <c r="DX246" s="157"/>
      <c r="DY246" s="157"/>
      <c r="DZ246" s="157"/>
      <c r="EA246" s="166"/>
      <c r="EB246" s="166"/>
      <c r="EC246" s="166"/>
      <c r="ED246" s="166"/>
      <c r="EE246" s="166"/>
      <c r="EF246" s="166"/>
      <c r="EG246" s="166"/>
      <c r="EH246" s="166"/>
      <c r="EI246" s="166"/>
      <c r="EJ246" s="166"/>
      <c r="EK246" s="191"/>
      <c r="EL246" s="80"/>
      <c r="EM246" s="111"/>
      <c r="EN246" s="111"/>
      <c r="EO246" s="221"/>
      <c r="EP246" s="222"/>
      <c r="EQ246" s="223"/>
      <c r="ER246" s="111"/>
      <c r="ES246" s="111"/>
      <c r="ET246" s="111"/>
      <c r="EU246" s="111"/>
      <c r="EV246" s="190"/>
      <c r="EW246" s="191"/>
      <c r="EX246" s="190"/>
      <c r="EY246" s="167"/>
      <c r="EZ246" s="192"/>
      <c r="FA246" s="191"/>
      <c r="FB246" s="193"/>
      <c r="FC246" s="167"/>
      <c r="FD246" s="191"/>
      <c r="FE246" s="189"/>
      <c r="FF246" s="189"/>
    </row>
    <row r="247" spans="27:162">
      <c r="AE247" s="99"/>
      <c r="AK247" s="100"/>
      <c r="AL247" s="11"/>
      <c r="AM247" s="11"/>
      <c r="AN247" s="11"/>
      <c r="AO247" s="11"/>
      <c r="AP247" s="11"/>
      <c r="AX247" s="99"/>
      <c r="AY247" s="99"/>
      <c r="AZ247" s="99"/>
      <c r="BA247" s="100"/>
      <c r="BB247" s="100"/>
      <c r="BC247" s="100"/>
      <c r="BD247" s="100"/>
      <c r="BE247" s="100"/>
      <c r="BF247" s="100"/>
      <c r="BG247" s="100"/>
      <c r="BH247" s="100"/>
      <c r="BI247" s="100"/>
      <c r="BJ247" s="100"/>
      <c r="BK247" s="101"/>
      <c r="BL247" s="80"/>
      <c r="BM247" s="102"/>
      <c r="BN247" s="102"/>
      <c r="BO247" s="103"/>
      <c r="BP247" s="104"/>
      <c r="BQ247" s="28"/>
      <c r="BR247" s="102"/>
      <c r="BS247" s="102"/>
      <c r="BT247" s="102"/>
      <c r="BU247" s="102"/>
      <c r="BV247" s="105"/>
      <c r="BW247" s="101"/>
      <c r="BX247" s="105"/>
      <c r="BY247" s="11"/>
      <c r="BZ247" s="106"/>
      <c r="CA247" s="101"/>
      <c r="CB247" s="107"/>
      <c r="CC247" s="11"/>
      <c r="CD247" s="101"/>
      <c r="CE247" s="108"/>
      <c r="CF247" s="108"/>
      <c r="DE247" s="99"/>
      <c r="DK247" s="100"/>
      <c r="DL247" s="11"/>
      <c r="DM247" s="11"/>
      <c r="DN247" s="11"/>
      <c r="DO247" s="11"/>
      <c r="DP247" s="11"/>
      <c r="DX247" s="99"/>
      <c r="DY247" s="99"/>
      <c r="DZ247" s="99"/>
      <c r="EA247" s="100"/>
      <c r="EB247" s="100"/>
      <c r="EC247" s="100"/>
      <c r="ED247" s="100"/>
      <c r="EE247" s="100"/>
      <c r="EF247" s="100"/>
      <c r="EG247" s="100"/>
      <c r="EH247" s="100"/>
      <c r="EI247" s="100"/>
      <c r="EJ247" s="100"/>
      <c r="EK247" s="101"/>
      <c r="EL247" s="80"/>
      <c r="EM247" s="102"/>
      <c r="EN247" s="102"/>
      <c r="EO247" s="103"/>
      <c r="EP247" s="104"/>
      <c r="EQ247" s="28"/>
      <c r="ER247" s="102"/>
      <c r="ES247" s="102"/>
      <c r="ET247" s="102"/>
      <c r="EU247" s="102"/>
      <c r="EV247" s="105"/>
      <c r="EW247" s="101"/>
      <c r="EX247" s="105"/>
      <c r="EY247" s="11"/>
      <c r="EZ247" s="106"/>
      <c r="FA247" s="101"/>
      <c r="FB247" s="107"/>
      <c r="FC247" s="11"/>
      <c r="FD247" s="101"/>
      <c r="FE247" s="108"/>
      <c r="FF247" s="108"/>
    </row>
    <row r="248" spans="27:162">
      <c r="AE248" s="99"/>
      <c r="AK248" s="100"/>
      <c r="AL248" s="11"/>
      <c r="AM248" s="11"/>
      <c r="AN248" s="11"/>
      <c r="AO248" s="11"/>
      <c r="AP248" s="11"/>
      <c r="AX248" s="99"/>
      <c r="AY248" s="99"/>
      <c r="AZ248" s="99"/>
      <c r="BA248" s="100"/>
      <c r="BB248" s="100"/>
      <c r="BC248" s="100"/>
      <c r="BD248" s="100"/>
      <c r="BE248" s="100"/>
      <c r="BF248" s="100"/>
      <c r="BG248" s="100"/>
      <c r="BH248" s="100"/>
      <c r="BI248" s="100"/>
      <c r="BJ248" s="100"/>
      <c r="BK248" s="101"/>
      <c r="BL248" s="80"/>
      <c r="BM248" s="102"/>
      <c r="BN248" s="102"/>
      <c r="BO248" s="103"/>
      <c r="BP248" s="104"/>
      <c r="BQ248" s="28"/>
      <c r="BR248" s="102"/>
      <c r="BS248" s="102"/>
      <c r="BT248" s="102"/>
      <c r="BU248" s="102"/>
      <c r="BV248" s="105"/>
      <c r="BW248" s="101"/>
      <c r="BX248" s="105"/>
      <c r="BY248" s="11"/>
      <c r="BZ248" s="106"/>
      <c r="CA248" s="101"/>
      <c r="CB248" s="107"/>
      <c r="CC248" s="11"/>
      <c r="CD248" s="101"/>
      <c r="CE248" s="108"/>
      <c r="CF248" s="108"/>
      <c r="DE248" s="99"/>
      <c r="DK248" s="100"/>
      <c r="DL248" s="11"/>
      <c r="DM248" s="11"/>
      <c r="DN248" s="11"/>
      <c r="DO248" s="11"/>
      <c r="DP248" s="11"/>
      <c r="DX248" s="99"/>
      <c r="DY248" s="99"/>
      <c r="DZ248" s="99"/>
      <c r="EA248" s="100"/>
      <c r="EB248" s="100"/>
      <c r="EC248" s="100"/>
      <c r="ED248" s="100"/>
      <c r="EE248" s="100"/>
      <c r="EF248" s="100"/>
      <c r="EG248" s="100"/>
      <c r="EH248" s="100"/>
      <c r="EI248" s="100"/>
      <c r="EJ248" s="100"/>
      <c r="EK248" s="101"/>
      <c r="EL248" s="80"/>
      <c r="EM248" s="102"/>
      <c r="EN248" s="102"/>
      <c r="EO248" s="103"/>
      <c r="EP248" s="104"/>
      <c r="EQ248" s="28"/>
      <c r="ER248" s="102"/>
      <c r="ES248" s="102"/>
      <c r="ET248" s="102"/>
      <c r="EU248" s="102"/>
      <c r="EV248" s="105"/>
      <c r="EW248" s="101"/>
      <c r="EX248" s="105"/>
      <c r="EY248" s="11"/>
      <c r="EZ248" s="106"/>
      <c r="FA248" s="101"/>
      <c r="FB248" s="107"/>
      <c r="FC248" s="11"/>
      <c r="FD248" s="101"/>
      <c r="FE248" s="108"/>
      <c r="FF248" s="108"/>
    </row>
    <row r="249" spans="27:162">
      <c r="AE249" s="99"/>
      <c r="AK249" s="100"/>
      <c r="AL249" s="11"/>
      <c r="AM249" s="11"/>
      <c r="AN249" s="11"/>
      <c r="AO249" s="11"/>
      <c r="AP249" s="11"/>
      <c r="AX249" s="99"/>
      <c r="AY249" s="99"/>
      <c r="AZ249" s="99"/>
      <c r="BA249" s="100"/>
      <c r="BB249" s="100"/>
      <c r="BC249" s="100"/>
      <c r="BD249" s="100"/>
      <c r="BE249" s="100"/>
      <c r="BF249" s="100"/>
      <c r="BG249" s="100"/>
      <c r="BH249" s="100"/>
      <c r="BI249" s="100"/>
      <c r="BJ249" s="100"/>
      <c r="BK249" s="101"/>
      <c r="BL249" s="80"/>
      <c r="BM249" s="102"/>
      <c r="BN249" s="102"/>
      <c r="BO249" s="103"/>
      <c r="BP249" s="104"/>
      <c r="BQ249" s="28"/>
      <c r="BR249" s="102"/>
      <c r="BS249" s="102"/>
      <c r="BT249" s="102"/>
      <c r="BU249" s="102"/>
      <c r="BV249" s="105"/>
      <c r="BW249" s="101"/>
      <c r="BX249" s="105"/>
      <c r="BY249" s="11"/>
      <c r="BZ249" s="106"/>
      <c r="CA249" s="101"/>
      <c r="CB249" s="107"/>
      <c r="CC249" s="11"/>
      <c r="CD249" s="101"/>
      <c r="CE249" s="108"/>
      <c r="CF249" s="108"/>
      <c r="DE249" s="99"/>
      <c r="DK249" s="100"/>
      <c r="DL249" s="11"/>
      <c r="DM249" s="11"/>
      <c r="DN249" s="11"/>
      <c r="DO249" s="11"/>
      <c r="DP249" s="11"/>
      <c r="DX249" s="99"/>
      <c r="DY249" s="99"/>
      <c r="DZ249" s="99"/>
      <c r="EA249" s="100"/>
      <c r="EB249" s="100"/>
      <c r="EC249" s="100"/>
      <c r="ED249" s="100"/>
      <c r="EE249" s="100"/>
      <c r="EF249" s="100"/>
      <c r="EG249" s="100"/>
      <c r="EH249" s="100"/>
      <c r="EI249" s="100"/>
      <c r="EJ249" s="100"/>
      <c r="EK249" s="101"/>
      <c r="EL249" s="80"/>
      <c r="EM249" s="102"/>
      <c r="EN249" s="102"/>
      <c r="EO249" s="103"/>
      <c r="EP249" s="104"/>
      <c r="EQ249" s="28"/>
      <c r="ER249" s="102"/>
      <c r="ES249" s="102"/>
      <c r="ET249" s="102"/>
      <c r="EU249" s="102"/>
      <c r="EV249" s="105"/>
      <c r="EW249" s="101"/>
      <c r="EX249" s="105"/>
      <c r="EY249" s="11"/>
      <c r="EZ249" s="106"/>
      <c r="FA249" s="101"/>
      <c r="FB249" s="107"/>
      <c r="FC249" s="11"/>
      <c r="FD249" s="101"/>
      <c r="FE249" s="108"/>
      <c r="FF249" s="108"/>
    </row>
    <row r="250" spans="27:162">
      <c r="AE250" s="99"/>
      <c r="AK250" s="100"/>
      <c r="AL250" s="11"/>
      <c r="AM250" s="11"/>
      <c r="AN250" s="11"/>
      <c r="AO250" s="11"/>
      <c r="AP250" s="11"/>
      <c r="AX250" s="99"/>
      <c r="AY250" s="99"/>
      <c r="AZ250" s="99"/>
      <c r="BA250" s="100"/>
      <c r="BB250" s="100"/>
      <c r="BC250" s="100"/>
      <c r="BD250" s="100"/>
      <c r="BE250" s="100"/>
      <c r="BF250" s="100"/>
      <c r="BG250" s="100"/>
      <c r="BH250" s="100"/>
      <c r="BI250" s="100"/>
      <c r="BJ250" s="100"/>
      <c r="BK250" s="101"/>
      <c r="BL250" s="80"/>
      <c r="BM250" s="102"/>
      <c r="BN250" s="102"/>
      <c r="BO250" s="103"/>
      <c r="BP250" s="104"/>
      <c r="BQ250" s="28"/>
      <c r="BR250" s="102"/>
      <c r="BS250" s="102"/>
      <c r="BT250" s="102"/>
      <c r="BU250" s="102"/>
      <c r="BV250" s="105"/>
      <c r="BW250" s="101"/>
      <c r="BX250" s="105"/>
      <c r="BY250" s="11"/>
      <c r="BZ250" s="106"/>
      <c r="CA250" s="101"/>
      <c r="CB250" s="107"/>
      <c r="CC250" s="11"/>
      <c r="CD250" s="101"/>
      <c r="CE250" s="108"/>
      <c r="CF250" s="108"/>
      <c r="DE250" s="99"/>
      <c r="DK250" s="100"/>
      <c r="DL250" s="11"/>
      <c r="DM250" s="11"/>
      <c r="DN250" s="11"/>
      <c r="DO250" s="11"/>
      <c r="DP250" s="11"/>
      <c r="DX250" s="99"/>
      <c r="DY250" s="99"/>
      <c r="DZ250" s="99"/>
      <c r="EA250" s="100"/>
      <c r="EB250" s="100"/>
      <c r="EC250" s="100"/>
      <c r="ED250" s="100"/>
      <c r="EE250" s="100"/>
      <c r="EF250" s="100"/>
      <c r="EG250" s="100"/>
      <c r="EH250" s="100"/>
      <c r="EI250" s="100"/>
      <c r="EJ250" s="100"/>
      <c r="EK250" s="101"/>
      <c r="EL250" s="80"/>
      <c r="EM250" s="102"/>
      <c r="EN250" s="102"/>
      <c r="EO250" s="103"/>
      <c r="EP250" s="104"/>
      <c r="EQ250" s="28"/>
      <c r="ER250" s="102"/>
      <c r="ES250" s="102"/>
      <c r="ET250" s="102"/>
      <c r="EU250" s="102"/>
      <c r="EV250" s="105"/>
      <c r="EW250" s="101"/>
      <c r="EX250" s="105"/>
      <c r="EY250" s="11"/>
      <c r="EZ250" s="106"/>
      <c r="FA250" s="101"/>
      <c r="FB250" s="107"/>
      <c r="FC250" s="11"/>
      <c r="FD250" s="101"/>
      <c r="FE250" s="108"/>
      <c r="FF250" s="108"/>
    </row>
    <row r="251" spans="27:162">
      <c r="AE251" s="99"/>
      <c r="AK251" s="100"/>
      <c r="AL251" s="11"/>
      <c r="AM251" s="11"/>
      <c r="AN251" s="11"/>
      <c r="AO251" s="11"/>
      <c r="AP251" s="11"/>
      <c r="AX251" s="99"/>
      <c r="AY251" s="99"/>
      <c r="AZ251" s="99"/>
      <c r="BA251" s="100"/>
      <c r="BB251" s="100"/>
      <c r="BC251" s="100"/>
      <c r="BD251" s="100"/>
      <c r="BE251" s="100"/>
      <c r="BF251" s="100"/>
      <c r="BG251" s="100"/>
      <c r="BH251" s="100"/>
      <c r="BI251" s="100"/>
      <c r="BJ251" s="100"/>
      <c r="BK251" s="101"/>
      <c r="BL251" s="80"/>
      <c r="BM251" s="102"/>
      <c r="BN251" s="102"/>
      <c r="BO251" s="103"/>
      <c r="BP251" s="104"/>
      <c r="BQ251" s="28"/>
      <c r="BR251" s="102"/>
      <c r="BS251" s="102"/>
      <c r="BT251" s="102"/>
      <c r="BU251" s="102"/>
      <c r="BV251" s="105"/>
      <c r="BW251" s="101"/>
      <c r="BX251" s="105"/>
      <c r="BY251" s="11"/>
      <c r="BZ251" s="106"/>
      <c r="CA251" s="101"/>
      <c r="CB251" s="107"/>
      <c r="CC251" s="11"/>
      <c r="CD251" s="101"/>
      <c r="CE251" s="108"/>
      <c r="CF251" s="108"/>
      <c r="DE251" s="99"/>
      <c r="DK251" s="100"/>
      <c r="DL251" s="11"/>
      <c r="DM251" s="11"/>
      <c r="DN251" s="11"/>
      <c r="DO251" s="11"/>
      <c r="DP251" s="11"/>
      <c r="DX251" s="99"/>
      <c r="DY251" s="99"/>
      <c r="DZ251" s="99"/>
      <c r="EA251" s="100"/>
      <c r="EB251" s="100"/>
      <c r="EC251" s="100"/>
      <c r="ED251" s="100"/>
      <c r="EE251" s="100"/>
      <c r="EF251" s="100"/>
      <c r="EG251" s="100"/>
      <c r="EH251" s="100"/>
      <c r="EI251" s="100"/>
      <c r="EJ251" s="100"/>
      <c r="EK251" s="101"/>
      <c r="EL251" s="80"/>
      <c r="EM251" s="102"/>
      <c r="EN251" s="102"/>
      <c r="EO251" s="103"/>
      <c r="EP251" s="104"/>
      <c r="EQ251" s="28"/>
      <c r="ER251" s="102"/>
      <c r="ES251" s="102"/>
      <c r="ET251" s="102"/>
      <c r="EU251" s="102"/>
      <c r="EV251" s="105"/>
      <c r="EW251" s="101"/>
      <c r="EX251" s="105"/>
      <c r="EY251" s="11"/>
      <c r="EZ251" s="106"/>
      <c r="FA251" s="101"/>
      <c r="FB251" s="107"/>
      <c r="FC251" s="11"/>
      <c r="FD251" s="101"/>
      <c r="FE251" s="108"/>
      <c r="FF251" s="108"/>
    </row>
    <row r="252" spans="27:162">
      <c r="AE252" s="99"/>
      <c r="AK252" s="100"/>
      <c r="AL252" s="11"/>
      <c r="AM252" s="11"/>
      <c r="AN252" s="11"/>
      <c r="AO252" s="11"/>
      <c r="AP252" s="11"/>
      <c r="AX252" s="99"/>
      <c r="AY252" s="99"/>
      <c r="AZ252" s="99"/>
      <c r="BA252" s="100"/>
      <c r="BB252" s="100"/>
      <c r="BC252" s="100"/>
      <c r="BD252" s="100"/>
      <c r="BE252" s="100"/>
      <c r="BF252" s="100"/>
      <c r="BG252" s="100"/>
      <c r="BH252" s="100"/>
      <c r="BI252" s="100"/>
      <c r="BJ252" s="100"/>
      <c r="BK252" s="101"/>
      <c r="BL252" s="80"/>
      <c r="BM252" s="102"/>
      <c r="BN252" s="102"/>
      <c r="BO252" s="103"/>
      <c r="BP252" s="104"/>
      <c r="BQ252" s="28"/>
      <c r="BR252" s="102"/>
      <c r="BS252" s="102"/>
      <c r="BT252" s="102"/>
      <c r="BU252" s="102"/>
      <c r="BV252" s="105"/>
      <c r="BW252" s="101"/>
      <c r="BX252" s="105"/>
      <c r="BY252" s="11"/>
      <c r="BZ252" s="106"/>
      <c r="CA252" s="101"/>
      <c r="CB252" s="107"/>
      <c r="CC252" s="11"/>
      <c r="CD252" s="101"/>
      <c r="CE252" s="108"/>
      <c r="CF252" s="108"/>
      <c r="DE252" s="99"/>
      <c r="DK252" s="100"/>
      <c r="DL252" s="11"/>
      <c r="DM252" s="11"/>
      <c r="DN252" s="11"/>
      <c r="DO252" s="11"/>
      <c r="DP252" s="11"/>
      <c r="DX252" s="99"/>
      <c r="DY252" s="99"/>
      <c r="DZ252" s="99"/>
      <c r="EA252" s="100"/>
      <c r="EB252" s="100"/>
      <c r="EC252" s="100"/>
      <c r="ED252" s="100"/>
      <c r="EE252" s="100"/>
      <c r="EF252" s="100"/>
      <c r="EG252" s="100"/>
      <c r="EH252" s="100"/>
      <c r="EI252" s="100"/>
      <c r="EJ252" s="100"/>
      <c r="EK252" s="101"/>
      <c r="EL252" s="80"/>
      <c r="EM252" s="102"/>
      <c r="EN252" s="102"/>
      <c r="EO252" s="103"/>
      <c r="EP252" s="104"/>
      <c r="EQ252" s="28"/>
      <c r="ER252" s="102"/>
      <c r="ES252" s="102"/>
      <c r="ET252" s="102"/>
      <c r="EU252" s="102"/>
      <c r="EV252" s="105"/>
      <c r="EW252" s="101"/>
      <c r="EX252" s="105"/>
      <c r="EY252" s="11"/>
      <c r="EZ252" s="106"/>
      <c r="FA252" s="101"/>
      <c r="FB252" s="107"/>
      <c r="FC252" s="11"/>
      <c r="FD252" s="101"/>
      <c r="FE252" s="108"/>
      <c r="FF252" s="108"/>
    </row>
    <row r="253" spans="27:162">
      <c r="AE253" s="99"/>
      <c r="AK253" s="100"/>
      <c r="AL253" s="11"/>
      <c r="AM253" s="11"/>
      <c r="AN253" s="11"/>
      <c r="AO253" s="11"/>
      <c r="AP253" s="11"/>
      <c r="AX253" s="99"/>
      <c r="AY253" s="99"/>
      <c r="AZ253" s="99"/>
      <c r="BA253" s="100"/>
      <c r="BB253" s="100"/>
      <c r="BC253" s="100"/>
      <c r="BD253" s="100"/>
      <c r="BE253" s="100"/>
      <c r="BF253" s="100"/>
      <c r="BG253" s="100"/>
      <c r="BH253" s="100"/>
      <c r="BI253" s="100"/>
      <c r="BJ253" s="100"/>
      <c r="BK253" s="101"/>
      <c r="BL253" s="80"/>
      <c r="BM253" s="102"/>
      <c r="BN253" s="102"/>
      <c r="BO253" s="103"/>
      <c r="BP253" s="104"/>
      <c r="BQ253" s="28"/>
      <c r="BR253" s="102"/>
      <c r="BS253" s="102"/>
      <c r="BT253" s="102"/>
      <c r="BU253" s="102"/>
      <c r="BV253" s="105"/>
      <c r="BW253" s="101"/>
      <c r="BX253" s="105"/>
      <c r="BY253" s="11"/>
      <c r="BZ253" s="106"/>
      <c r="CA253" s="101"/>
      <c r="CB253" s="107"/>
      <c r="CC253" s="11"/>
      <c r="CD253" s="101"/>
      <c r="CE253" s="108"/>
      <c r="CF253" s="108"/>
      <c r="DE253" s="99"/>
      <c r="DK253" s="100"/>
      <c r="DL253" s="11"/>
      <c r="DM253" s="11"/>
      <c r="DN253" s="11"/>
      <c r="DO253" s="11"/>
      <c r="DP253" s="11"/>
      <c r="DX253" s="99"/>
      <c r="DY253" s="99"/>
      <c r="DZ253" s="99"/>
      <c r="EA253" s="100"/>
      <c r="EB253" s="100"/>
      <c r="EC253" s="100"/>
      <c r="ED253" s="100"/>
      <c r="EE253" s="100"/>
      <c r="EF253" s="100"/>
      <c r="EG253" s="100"/>
      <c r="EH253" s="100"/>
      <c r="EI253" s="100"/>
      <c r="EJ253" s="100"/>
      <c r="EK253" s="101"/>
      <c r="EL253" s="80"/>
      <c r="EM253" s="102"/>
      <c r="EN253" s="102"/>
      <c r="EO253" s="103"/>
      <c r="EP253" s="104"/>
      <c r="EQ253" s="28"/>
      <c r="ER253" s="102"/>
      <c r="ES253" s="102"/>
      <c r="ET253" s="102"/>
      <c r="EU253" s="102"/>
      <c r="EV253" s="105"/>
      <c r="EW253" s="101"/>
      <c r="EX253" s="105"/>
      <c r="EY253" s="11"/>
      <c r="EZ253" s="106"/>
      <c r="FA253" s="101"/>
      <c r="FB253" s="107"/>
      <c r="FC253" s="11"/>
      <c r="FD253" s="101"/>
      <c r="FE253" s="108"/>
      <c r="FF253" s="108"/>
    </row>
    <row r="254" spans="27:162">
      <c r="AE254" s="99"/>
      <c r="AK254" s="100"/>
      <c r="AL254" s="11"/>
      <c r="AM254" s="11"/>
      <c r="AN254" s="11"/>
      <c r="AO254" s="11"/>
      <c r="AP254" s="11"/>
      <c r="AX254" s="99"/>
      <c r="AY254" s="99"/>
      <c r="AZ254" s="99"/>
      <c r="BA254" s="100"/>
      <c r="BB254" s="100"/>
      <c r="BC254" s="100"/>
      <c r="BD254" s="100"/>
      <c r="BE254" s="100"/>
      <c r="BF254" s="100"/>
      <c r="BG254" s="100"/>
      <c r="BH254" s="100"/>
      <c r="BI254" s="100"/>
      <c r="BJ254" s="100"/>
      <c r="BK254" s="101"/>
      <c r="BL254" s="80"/>
      <c r="BM254" s="102"/>
      <c r="BN254" s="102"/>
      <c r="BO254" s="103"/>
      <c r="BP254" s="104"/>
      <c r="BQ254" s="28"/>
      <c r="BR254" s="102"/>
      <c r="BS254" s="102"/>
      <c r="BT254" s="102"/>
      <c r="BU254" s="102"/>
      <c r="BV254" s="105"/>
      <c r="BW254" s="101"/>
      <c r="BX254" s="105"/>
      <c r="BY254" s="11"/>
      <c r="BZ254" s="106"/>
      <c r="CA254" s="101"/>
      <c r="CB254" s="107"/>
      <c r="CC254" s="11"/>
      <c r="CD254" s="101"/>
      <c r="CE254" s="108"/>
      <c r="CF254" s="108"/>
      <c r="DE254" s="99"/>
      <c r="DK254" s="100"/>
      <c r="DL254" s="11"/>
      <c r="DM254" s="11"/>
      <c r="DN254" s="11"/>
      <c r="DO254" s="11"/>
      <c r="DP254" s="11"/>
      <c r="DX254" s="99"/>
      <c r="DY254" s="99"/>
      <c r="DZ254" s="99"/>
      <c r="EA254" s="100"/>
      <c r="EB254" s="100"/>
      <c r="EC254" s="100"/>
      <c r="ED254" s="100"/>
      <c r="EE254" s="100"/>
      <c r="EF254" s="100"/>
      <c r="EG254" s="100"/>
      <c r="EH254" s="100"/>
      <c r="EI254" s="100"/>
      <c r="EJ254" s="100"/>
      <c r="EK254" s="101"/>
      <c r="EL254" s="80"/>
      <c r="EM254" s="102"/>
      <c r="EN254" s="102"/>
      <c r="EO254" s="103"/>
      <c r="EP254" s="104"/>
      <c r="EQ254" s="28"/>
      <c r="ER254" s="102"/>
      <c r="ES254" s="102"/>
      <c r="ET254" s="102"/>
      <c r="EU254" s="102"/>
      <c r="EV254" s="105"/>
      <c r="EW254" s="101"/>
      <c r="EX254" s="105"/>
      <c r="EY254" s="11"/>
      <c r="EZ254" s="106"/>
      <c r="FA254" s="101"/>
      <c r="FB254" s="107"/>
      <c r="FC254" s="11"/>
      <c r="FD254" s="101"/>
      <c r="FE254" s="108"/>
      <c r="FF254" s="108"/>
    </row>
    <row r="255" spans="27:162">
      <c r="AE255" s="99"/>
      <c r="AK255" s="100"/>
      <c r="AL255" s="11"/>
      <c r="AM255" s="11"/>
      <c r="AN255" s="11"/>
      <c r="AO255" s="11"/>
      <c r="AP255" s="11"/>
      <c r="AX255" s="99"/>
      <c r="AY255" s="99"/>
      <c r="AZ255" s="99"/>
      <c r="BA255" s="100"/>
      <c r="BB255" s="100"/>
      <c r="BC255" s="100"/>
      <c r="BD255" s="100"/>
      <c r="BE255" s="100"/>
      <c r="BF255" s="100"/>
      <c r="BG255" s="100"/>
      <c r="BH255" s="100"/>
      <c r="BI255" s="100"/>
      <c r="BJ255" s="100"/>
      <c r="BK255" s="101"/>
      <c r="BL255" s="80"/>
      <c r="BM255" s="102"/>
      <c r="BN255" s="102"/>
      <c r="BO255" s="103"/>
      <c r="BP255" s="104"/>
      <c r="BQ255" s="28"/>
      <c r="BR255" s="102"/>
      <c r="BS255" s="102"/>
      <c r="BT255" s="102"/>
      <c r="BU255" s="102"/>
      <c r="BV255" s="105"/>
      <c r="BW255" s="101"/>
      <c r="BX255" s="105"/>
      <c r="BY255" s="11"/>
      <c r="BZ255" s="106"/>
      <c r="CA255" s="101"/>
      <c r="CB255" s="107"/>
      <c r="CC255" s="11"/>
      <c r="CD255" s="101"/>
      <c r="CE255" s="108"/>
      <c r="CF255" s="108"/>
      <c r="DE255" s="99"/>
      <c r="DK255" s="100"/>
      <c r="DL255" s="11"/>
      <c r="DM255" s="11"/>
      <c r="DN255" s="11"/>
      <c r="DO255" s="11"/>
      <c r="DP255" s="11"/>
      <c r="DX255" s="99"/>
      <c r="DY255" s="99"/>
      <c r="DZ255" s="99"/>
      <c r="EA255" s="100"/>
      <c r="EB255" s="100"/>
      <c r="EC255" s="100"/>
      <c r="ED255" s="100"/>
      <c r="EE255" s="100"/>
      <c r="EF255" s="100"/>
      <c r="EG255" s="100"/>
      <c r="EH255" s="100"/>
      <c r="EI255" s="100"/>
      <c r="EJ255" s="100"/>
      <c r="EK255" s="101"/>
      <c r="EL255" s="80"/>
      <c r="EM255" s="102"/>
      <c r="EN255" s="102"/>
      <c r="EO255" s="103"/>
      <c r="EP255" s="104"/>
      <c r="EQ255" s="28"/>
      <c r="ER255" s="102"/>
      <c r="ES255" s="102"/>
      <c r="ET255" s="102"/>
      <c r="EU255" s="102"/>
      <c r="EV255" s="105"/>
      <c r="EW255" s="101"/>
      <c r="EX255" s="105"/>
      <c r="EY255" s="11"/>
      <c r="EZ255" s="106"/>
      <c r="FA255" s="101"/>
      <c r="FB255" s="107"/>
      <c r="FC255" s="11"/>
      <c r="FD255" s="101"/>
      <c r="FE255" s="108"/>
      <c r="FF255" s="108"/>
    </row>
    <row r="256" spans="27:162">
      <c r="AE256" s="99"/>
      <c r="AK256" s="100"/>
      <c r="AL256" s="11"/>
      <c r="AM256" s="11"/>
      <c r="AN256" s="11"/>
      <c r="AO256" s="11"/>
      <c r="AP256" s="11"/>
      <c r="AX256" s="99"/>
      <c r="AY256" s="99"/>
      <c r="AZ256" s="99"/>
      <c r="BA256" s="100"/>
      <c r="BB256" s="100"/>
      <c r="BC256" s="100"/>
      <c r="BD256" s="100"/>
      <c r="BE256" s="100"/>
      <c r="BF256" s="100"/>
      <c r="BG256" s="100"/>
      <c r="BH256" s="100"/>
      <c r="BI256" s="100"/>
      <c r="BJ256" s="100"/>
      <c r="BK256" s="101"/>
      <c r="BL256" s="80"/>
      <c r="BM256" s="102"/>
      <c r="BN256" s="102"/>
      <c r="BO256" s="103"/>
      <c r="BP256" s="104"/>
      <c r="BQ256" s="28"/>
      <c r="BR256" s="102"/>
      <c r="BS256" s="102"/>
      <c r="BT256" s="102"/>
      <c r="BU256" s="102"/>
      <c r="BV256" s="105"/>
      <c r="BW256" s="101"/>
      <c r="BX256" s="105"/>
      <c r="BY256" s="11"/>
      <c r="BZ256" s="106"/>
      <c r="CA256" s="101"/>
      <c r="CB256" s="107"/>
      <c r="CC256" s="11"/>
      <c r="CD256" s="101"/>
      <c r="CE256" s="108"/>
      <c r="CF256" s="108"/>
      <c r="DE256" s="99"/>
      <c r="DK256" s="100"/>
      <c r="DL256" s="11"/>
      <c r="DM256" s="11"/>
      <c r="DN256" s="11"/>
      <c r="DO256" s="11"/>
      <c r="DP256" s="11"/>
      <c r="DX256" s="99"/>
      <c r="DY256" s="99"/>
      <c r="DZ256" s="99"/>
      <c r="EA256" s="100"/>
      <c r="EB256" s="100"/>
      <c r="EC256" s="100"/>
      <c r="ED256" s="100"/>
      <c r="EE256" s="100"/>
      <c r="EF256" s="100"/>
      <c r="EG256" s="100"/>
      <c r="EH256" s="100"/>
      <c r="EI256" s="100"/>
      <c r="EJ256" s="100"/>
      <c r="EK256" s="101"/>
      <c r="EL256" s="80"/>
      <c r="EM256" s="102"/>
      <c r="EN256" s="102"/>
      <c r="EO256" s="103"/>
      <c r="EP256" s="104"/>
      <c r="EQ256" s="28"/>
      <c r="ER256" s="102"/>
      <c r="ES256" s="102"/>
      <c r="ET256" s="102"/>
      <c r="EU256" s="102"/>
      <c r="EV256" s="105"/>
      <c r="EW256" s="101"/>
      <c r="EX256" s="105"/>
      <c r="EY256" s="11"/>
      <c r="EZ256" s="106"/>
      <c r="FA256" s="101"/>
      <c r="FB256" s="107"/>
      <c r="FC256" s="11"/>
      <c r="FD256" s="101"/>
      <c r="FE256" s="108"/>
      <c r="FF256" s="108"/>
    </row>
    <row r="257" spans="31:162">
      <c r="AE257" s="99"/>
      <c r="AK257" s="100"/>
      <c r="AL257" s="11"/>
      <c r="AM257" s="11"/>
      <c r="AN257" s="11"/>
      <c r="AO257" s="11"/>
      <c r="AP257" s="11"/>
      <c r="AX257" s="99"/>
      <c r="AY257" s="99"/>
      <c r="AZ257" s="99"/>
      <c r="BA257" s="100"/>
      <c r="BB257" s="100"/>
      <c r="BC257" s="100"/>
      <c r="BD257" s="100"/>
      <c r="BE257" s="100"/>
      <c r="BF257" s="100"/>
      <c r="BG257" s="100"/>
      <c r="BH257" s="100"/>
      <c r="BI257" s="100"/>
      <c r="BJ257" s="100"/>
      <c r="BK257" s="101"/>
      <c r="BL257" s="80"/>
      <c r="BM257" s="102"/>
      <c r="BN257" s="102"/>
      <c r="BO257" s="103"/>
      <c r="BP257" s="104"/>
      <c r="BQ257" s="28"/>
      <c r="BR257" s="102"/>
      <c r="BS257" s="102"/>
      <c r="BT257" s="102"/>
      <c r="BU257" s="102"/>
      <c r="BV257" s="105"/>
      <c r="BW257" s="101"/>
      <c r="BX257" s="105"/>
      <c r="BY257" s="11"/>
      <c r="BZ257" s="106"/>
      <c r="CA257" s="101"/>
      <c r="CB257" s="107"/>
      <c r="CC257" s="11"/>
      <c r="CD257" s="101"/>
      <c r="CE257" s="108"/>
      <c r="CF257" s="108"/>
      <c r="DE257" s="99"/>
      <c r="DK257" s="100"/>
      <c r="DL257" s="11"/>
      <c r="DM257" s="11"/>
      <c r="DN257" s="11"/>
      <c r="DO257" s="11"/>
      <c r="DP257" s="11"/>
      <c r="DX257" s="99"/>
      <c r="DY257" s="99"/>
      <c r="DZ257" s="99"/>
      <c r="EA257" s="100"/>
      <c r="EB257" s="100"/>
      <c r="EC257" s="100"/>
      <c r="ED257" s="100"/>
      <c r="EE257" s="100"/>
      <c r="EF257" s="100"/>
      <c r="EG257" s="100"/>
      <c r="EH257" s="100"/>
      <c r="EI257" s="100"/>
      <c r="EJ257" s="100"/>
      <c r="EK257" s="101"/>
      <c r="EL257" s="80"/>
      <c r="EM257" s="102"/>
      <c r="EN257" s="102"/>
      <c r="EO257" s="103"/>
      <c r="EP257" s="104"/>
      <c r="EQ257" s="28"/>
      <c r="ER257" s="102"/>
      <c r="ES257" s="102"/>
      <c r="ET257" s="102"/>
      <c r="EU257" s="102"/>
      <c r="EV257" s="105"/>
      <c r="EW257" s="101"/>
      <c r="EX257" s="105"/>
      <c r="EY257" s="11"/>
      <c r="EZ257" s="106"/>
      <c r="FA257" s="101"/>
      <c r="FB257" s="107"/>
      <c r="FC257" s="11"/>
      <c r="FD257" s="101"/>
      <c r="FE257" s="108"/>
      <c r="FF257" s="108"/>
    </row>
    <row r="258" spans="31:162">
      <c r="AE258" s="99"/>
      <c r="AK258" s="100"/>
      <c r="AL258" s="11"/>
      <c r="AM258" s="11"/>
      <c r="AN258" s="11"/>
      <c r="AO258" s="11"/>
      <c r="AP258" s="11"/>
      <c r="AX258" s="99"/>
      <c r="AY258" s="99"/>
      <c r="AZ258" s="99"/>
      <c r="BA258" s="100"/>
      <c r="BB258" s="100"/>
      <c r="BC258" s="100"/>
      <c r="BD258" s="100"/>
      <c r="BE258" s="100"/>
      <c r="BF258" s="100"/>
      <c r="BG258" s="100"/>
      <c r="BH258" s="100"/>
      <c r="BI258" s="100"/>
      <c r="BJ258" s="100"/>
      <c r="BK258" s="101"/>
      <c r="BL258" s="80"/>
      <c r="BM258" s="102"/>
      <c r="BN258" s="102"/>
      <c r="BO258" s="103"/>
      <c r="BP258" s="104"/>
      <c r="BQ258" s="28"/>
      <c r="BR258" s="102"/>
      <c r="BS258" s="102"/>
      <c r="BT258" s="102"/>
      <c r="BU258" s="102"/>
      <c r="BV258" s="105"/>
      <c r="BW258" s="101"/>
      <c r="BX258" s="105"/>
      <c r="BY258" s="11"/>
      <c r="BZ258" s="106"/>
      <c r="CA258" s="101"/>
      <c r="CB258" s="107"/>
      <c r="CC258" s="11"/>
      <c r="CD258" s="101"/>
      <c r="CE258" s="108"/>
      <c r="CF258" s="108"/>
      <c r="DE258" s="99"/>
      <c r="DK258" s="100"/>
      <c r="DL258" s="11"/>
      <c r="DM258" s="11"/>
      <c r="DN258" s="11"/>
      <c r="DO258" s="11"/>
      <c r="DP258" s="11"/>
      <c r="DX258" s="99"/>
      <c r="DY258" s="99"/>
      <c r="DZ258" s="99"/>
      <c r="EA258" s="100"/>
      <c r="EB258" s="100"/>
      <c r="EC258" s="100"/>
      <c r="ED258" s="100"/>
      <c r="EE258" s="100"/>
      <c r="EF258" s="100"/>
      <c r="EG258" s="100"/>
      <c r="EH258" s="100"/>
      <c r="EI258" s="100"/>
      <c r="EJ258" s="100"/>
      <c r="EK258" s="101"/>
      <c r="EL258" s="80"/>
      <c r="EM258" s="102"/>
      <c r="EN258" s="102"/>
      <c r="EO258" s="103"/>
      <c r="EP258" s="104"/>
      <c r="EQ258" s="28"/>
      <c r="ER258" s="102"/>
      <c r="ES258" s="102"/>
      <c r="ET258" s="102"/>
      <c r="EU258" s="102"/>
      <c r="EV258" s="105"/>
      <c r="EW258" s="101"/>
      <c r="EX258" s="105"/>
      <c r="EY258" s="11"/>
      <c r="EZ258" s="106"/>
      <c r="FA258" s="101"/>
      <c r="FB258" s="107"/>
      <c r="FC258" s="11"/>
      <c r="FD258" s="101"/>
      <c r="FE258" s="108"/>
      <c r="FF258" s="108"/>
    </row>
    <row r="259" spans="31:162">
      <c r="AE259" s="99"/>
      <c r="AK259" s="100"/>
      <c r="AL259" s="11"/>
      <c r="AM259" s="11"/>
      <c r="AN259" s="11"/>
      <c r="AO259" s="11"/>
      <c r="AP259" s="11"/>
      <c r="AX259" s="99"/>
      <c r="AY259" s="99"/>
      <c r="AZ259" s="99"/>
      <c r="BA259" s="100"/>
      <c r="BB259" s="100"/>
      <c r="BC259" s="100"/>
      <c r="BD259" s="100"/>
      <c r="BE259" s="100"/>
      <c r="BF259" s="100"/>
      <c r="BG259" s="100"/>
      <c r="BH259" s="100"/>
      <c r="BI259" s="100"/>
      <c r="BJ259" s="100"/>
      <c r="BK259" s="101"/>
      <c r="BL259" s="80"/>
      <c r="BM259" s="102"/>
      <c r="BN259" s="102"/>
      <c r="BO259" s="103"/>
      <c r="BP259" s="104"/>
      <c r="BQ259" s="28"/>
      <c r="BR259" s="102"/>
      <c r="BS259" s="102"/>
      <c r="BT259" s="102"/>
      <c r="BU259" s="102"/>
      <c r="BV259" s="105"/>
      <c r="BW259" s="101"/>
      <c r="BX259" s="105"/>
      <c r="BY259" s="11"/>
      <c r="BZ259" s="106"/>
      <c r="CA259" s="101"/>
      <c r="CB259" s="107"/>
      <c r="CC259" s="11"/>
      <c r="CD259" s="101"/>
      <c r="CE259" s="108"/>
      <c r="CF259" s="108"/>
      <c r="DE259" s="99"/>
      <c r="DK259" s="100"/>
      <c r="DL259" s="11"/>
      <c r="DM259" s="11"/>
      <c r="DN259" s="11"/>
      <c r="DO259" s="11"/>
      <c r="DP259" s="11"/>
      <c r="DX259" s="99"/>
      <c r="DY259" s="99"/>
      <c r="DZ259" s="99"/>
      <c r="EA259" s="100"/>
      <c r="EB259" s="100"/>
      <c r="EC259" s="100"/>
      <c r="ED259" s="100"/>
      <c r="EE259" s="100"/>
      <c r="EF259" s="100"/>
      <c r="EG259" s="100"/>
      <c r="EH259" s="100"/>
      <c r="EI259" s="100"/>
      <c r="EJ259" s="100"/>
      <c r="EK259" s="101"/>
      <c r="EL259" s="80"/>
      <c r="EM259" s="102"/>
      <c r="EN259" s="102"/>
      <c r="EO259" s="103"/>
      <c r="EP259" s="104"/>
      <c r="EQ259" s="28"/>
      <c r="ER259" s="102"/>
      <c r="ES259" s="102"/>
      <c r="ET259" s="102"/>
      <c r="EU259" s="102"/>
      <c r="EV259" s="105"/>
      <c r="EW259" s="101"/>
      <c r="EX259" s="105"/>
      <c r="EY259" s="11"/>
      <c r="EZ259" s="106"/>
      <c r="FA259" s="101"/>
      <c r="FB259" s="107"/>
      <c r="FC259" s="11"/>
      <c r="FD259" s="101"/>
      <c r="FE259" s="108"/>
      <c r="FF259" s="108"/>
    </row>
    <row r="260" spans="31:162">
      <c r="AE260" s="99"/>
      <c r="AK260" s="100"/>
      <c r="AL260" s="11"/>
      <c r="AM260" s="11"/>
      <c r="AN260" s="11"/>
      <c r="AO260" s="11"/>
      <c r="AP260" s="11"/>
      <c r="AX260" s="99"/>
      <c r="AY260" s="99"/>
      <c r="AZ260" s="99"/>
      <c r="BA260" s="100"/>
      <c r="BB260" s="100"/>
      <c r="BC260" s="100"/>
      <c r="BD260" s="100"/>
      <c r="BE260" s="100"/>
      <c r="BF260" s="100"/>
      <c r="BG260" s="100"/>
      <c r="BH260" s="100"/>
      <c r="BI260" s="100"/>
      <c r="BJ260" s="100"/>
      <c r="BK260" s="101"/>
      <c r="BL260" s="80"/>
      <c r="BM260" s="102"/>
      <c r="BN260" s="102"/>
      <c r="BO260" s="103"/>
      <c r="BP260" s="104"/>
      <c r="BQ260" s="28"/>
      <c r="BR260" s="102"/>
      <c r="BS260" s="102"/>
      <c r="BT260" s="102"/>
      <c r="BU260" s="102"/>
      <c r="BV260" s="105"/>
      <c r="BW260" s="101"/>
      <c r="BX260" s="105"/>
      <c r="BY260" s="11"/>
      <c r="BZ260" s="106"/>
      <c r="CA260" s="101"/>
      <c r="CB260" s="107"/>
      <c r="CC260" s="11"/>
      <c r="CD260" s="101"/>
      <c r="CE260" s="108"/>
      <c r="CF260" s="108"/>
      <c r="DE260" s="99"/>
      <c r="DK260" s="100"/>
      <c r="DL260" s="11"/>
      <c r="DM260" s="11"/>
      <c r="DN260" s="11"/>
      <c r="DO260" s="11"/>
      <c r="DP260" s="11"/>
      <c r="DX260" s="99"/>
      <c r="DY260" s="99"/>
      <c r="DZ260" s="99"/>
      <c r="EA260" s="100"/>
      <c r="EB260" s="100"/>
      <c r="EC260" s="100"/>
      <c r="ED260" s="100"/>
      <c r="EE260" s="100"/>
      <c r="EF260" s="100"/>
      <c r="EG260" s="100"/>
      <c r="EH260" s="100"/>
      <c r="EI260" s="100"/>
      <c r="EJ260" s="100"/>
      <c r="EK260" s="101"/>
      <c r="EL260" s="80"/>
      <c r="EM260" s="102"/>
      <c r="EN260" s="102"/>
      <c r="EO260" s="103"/>
      <c r="EP260" s="104"/>
      <c r="EQ260" s="28"/>
      <c r="ER260" s="102"/>
      <c r="ES260" s="102"/>
      <c r="ET260" s="102"/>
      <c r="EU260" s="102"/>
      <c r="EV260" s="105"/>
      <c r="EW260" s="101"/>
      <c r="EX260" s="105"/>
      <c r="EY260" s="11"/>
      <c r="EZ260" s="106"/>
      <c r="FA260" s="101"/>
      <c r="FB260" s="107"/>
      <c r="FC260" s="11"/>
      <c r="FD260" s="101"/>
      <c r="FE260" s="108"/>
      <c r="FF260" s="108"/>
    </row>
    <row r="261" spans="31:162">
      <c r="AE261" s="99"/>
      <c r="AK261" s="100"/>
      <c r="AL261" s="11"/>
      <c r="AM261" s="11"/>
      <c r="AN261" s="11"/>
      <c r="AO261" s="11"/>
      <c r="AP261" s="11"/>
      <c r="AX261" s="99"/>
      <c r="AY261" s="99"/>
      <c r="AZ261" s="99"/>
      <c r="BA261" s="100"/>
      <c r="BB261" s="100"/>
      <c r="BC261" s="100"/>
      <c r="BD261" s="100"/>
      <c r="BE261" s="100"/>
      <c r="BF261" s="100"/>
      <c r="BG261" s="100"/>
      <c r="BH261" s="100"/>
      <c r="BI261" s="100"/>
      <c r="BJ261" s="100"/>
      <c r="BK261" s="101"/>
      <c r="BL261" s="80"/>
      <c r="BM261" s="102"/>
      <c r="BN261" s="102"/>
      <c r="BO261" s="103"/>
      <c r="BP261" s="104"/>
      <c r="BQ261" s="28"/>
      <c r="BR261" s="102"/>
      <c r="BS261" s="102"/>
      <c r="BT261" s="102"/>
      <c r="BU261" s="102"/>
      <c r="BV261" s="105"/>
      <c r="BW261" s="101"/>
      <c r="BX261" s="105"/>
      <c r="BY261" s="11"/>
      <c r="BZ261" s="106"/>
      <c r="CA261" s="101"/>
      <c r="CB261" s="107"/>
      <c r="CC261" s="11"/>
      <c r="CD261" s="101"/>
      <c r="CE261" s="108"/>
      <c r="CF261" s="108"/>
      <c r="DE261" s="99"/>
      <c r="DK261" s="100"/>
      <c r="DL261" s="11"/>
      <c r="DM261" s="11"/>
      <c r="DN261" s="11"/>
      <c r="DO261" s="11"/>
      <c r="DP261" s="11"/>
      <c r="DX261" s="99"/>
      <c r="DY261" s="99"/>
      <c r="DZ261" s="99"/>
      <c r="EA261" s="100"/>
      <c r="EB261" s="100"/>
      <c r="EC261" s="100"/>
      <c r="ED261" s="100"/>
      <c r="EE261" s="100"/>
      <c r="EF261" s="100"/>
      <c r="EG261" s="100"/>
      <c r="EH261" s="100"/>
      <c r="EI261" s="100"/>
      <c r="EJ261" s="100"/>
      <c r="EK261" s="101"/>
      <c r="EL261" s="80"/>
      <c r="EM261" s="102"/>
      <c r="EN261" s="102"/>
      <c r="EO261" s="103"/>
      <c r="EP261" s="104"/>
      <c r="EQ261" s="28"/>
      <c r="ER261" s="102"/>
      <c r="ES261" s="102"/>
      <c r="ET261" s="102"/>
      <c r="EU261" s="102"/>
      <c r="EV261" s="105"/>
      <c r="EW261" s="101"/>
      <c r="EX261" s="105"/>
      <c r="EY261" s="11"/>
      <c r="EZ261" s="106"/>
      <c r="FA261" s="101"/>
      <c r="FB261" s="107"/>
      <c r="FC261" s="11"/>
      <c r="FD261" s="101"/>
      <c r="FE261" s="108"/>
      <c r="FF261" s="108"/>
    </row>
    <row r="262" spans="31:162">
      <c r="AE262" s="99"/>
      <c r="AK262" s="100"/>
      <c r="AL262" s="11"/>
      <c r="AM262" s="11"/>
      <c r="AN262" s="11"/>
      <c r="AO262" s="11"/>
      <c r="AP262" s="11"/>
      <c r="AX262" s="99"/>
      <c r="AY262" s="99"/>
      <c r="AZ262" s="99"/>
      <c r="BA262" s="100"/>
      <c r="BB262" s="100"/>
      <c r="BC262" s="100"/>
      <c r="BD262" s="100"/>
      <c r="BE262" s="100"/>
      <c r="BF262" s="100"/>
      <c r="BG262" s="100"/>
      <c r="BH262" s="100"/>
      <c r="BI262" s="100"/>
      <c r="BJ262" s="100"/>
      <c r="BK262" s="101"/>
      <c r="BL262" s="80"/>
      <c r="BM262" s="102"/>
      <c r="BN262" s="102"/>
      <c r="BO262" s="103"/>
      <c r="BP262" s="104"/>
      <c r="BQ262" s="28"/>
      <c r="BR262" s="102"/>
      <c r="BS262" s="102"/>
      <c r="BT262" s="102"/>
      <c r="BU262" s="102"/>
      <c r="BV262" s="105"/>
      <c r="BW262" s="101"/>
      <c r="BX262" s="105"/>
      <c r="BY262" s="11"/>
      <c r="BZ262" s="106"/>
      <c r="CA262" s="101"/>
      <c r="CB262" s="107"/>
      <c r="CC262" s="11"/>
      <c r="CD262" s="101"/>
      <c r="CE262" s="108"/>
      <c r="CF262" s="108"/>
      <c r="DE262" s="99"/>
      <c r="DK262" s="100"/>
      <c r="DL262" s="11"/>
      <c r="DM262" s="11"/>
      <c r="DN262" s="11"/>
      <c r="DO262" s="11"/>
      <c r="DP262" s="11"/>
      <c r="DX262" s="99"/>
      <c r="DY262" s="99"/>
      <c r="DZ262" s="99"/>
      <c r="EA262" s="100"/>
      <c r="EB262" s="100"/>
      <c r="EC262" s="100"/>
      <c r="ED262" s="100"/>
      <c r="EE262" s="100"/>
      <c r="EF262" s="100"/>
      <c r="EG262" s="100"/>
      <c r="EH262" s="100"/>
      <c r="EI262" s="100"/>
      <c r="EJ262" s="100"/>
      <c r="EK262" s="101"/>
      <c r="EL262" s="80"/>
      <c r="EM262" s="102"/>
      <c r="EN262" s="102"/>
      <c r="EO262" s="103"/>
      <c r="EP262" s="104"/>
      <c r="EQ262" s="28"/>
      <c r="ER262" s="102"/>
      <c r="ES262" s="102"/>
      <c r="ET262" s="102"/>
      <c r="EU262" s="102"/>
      <c r="EV262" s="105"/>
      <c r="EW262" s="101"/>
      <c r="EX262" s="105"/>
      <c r="EY262" s="11"/>
      <c r="EZ262" s="106"/>
      <c r="FA262" s="101"/>
      <c r="FB262" s="107"/>
      <c r="FC262" s="11"/>
      <c r="FD262" s="101"/>
      <c r="FE262" s="108"/>
      <c r="FF262" s="108"/>
    </row>
    <row r="263" spans="31:162">
      <c r="AE263" s="99"/>
      <c r="AK263" s="100"/>
      <c r="AL263" s="11"/>
      <c r="AM263" s="11"/>
      <c r="AN263" s="11"/>
      <c r="AO263" s="11"/>
      <c r="AP263" s="11"/>
      <c r="AX263" s="99"/>
      <c r="AY263" s="99"/>
      <c r="AZ263" s="99"/>
      <c r="BA263" s="100"/>
      <c r="BB263" s="100"/>
      <c r="BC263" s="100"/>
      <c r="BD263" s="100"/>
      <c r="BE263" s="100"/>
      <c r="BF263" s="100"/>
      <c r="BG263" s="100"/>
      <c r="BH263" s="100"/>
      <c r="BI263" s="100"/>
      <c r="BJ263" s="100"/>
      <c r="BK263" s="101"/>
      <c r="BL263" s="80"/>
      <c r="BM263" s="102"/>
      <c r="BN263" s="102"/>
      <c r="BO263" s="103"/>
      <c r="BP263" s="104"/>
      <c r="BQ263" s="28"/>
      <c r="BR263" s="102"/>
      <c r="BS263" s="102"/>
      <c r="BT263" s="102"/>
      <c r="BU263" s="102"/>
      <c r="BV263" s="105"/>
      <c r="BW263" s="101"/>
      <c r="BX263" s="105"/>
      <c r="BY263" s="11"/>
      <c r="BZ263" s="106"/>
      <c r="CA263" s="101"/>
      <c r="CB263" s="107"/>
      <c r="CC263" s="11"/>
      <c r="CD263" s="101"/>
      <c r="CE263" s="108"/>
      <c r="CF263" s="108"/>
      <c r="DE263" s="99"/>
      <c r="DK263" s="100"/>
      <c r="DL263" s="11"/>
      <c r="DM263" s="11"/>
      <c r="DN263" s="11"/>
      <c r="DO263" s="11"/>
      <c r="DP263" s="11"/>
      <c r="DX263" s="99"/>
      <c r="DY263" s="99"/>
      <c r="DZ263" s="99"/>
      <c r="EA263" s="100"/>
      <c r="EB263" s="100"/>
      <c r="EC263" s="100"/>
      <c r="ED263" s="100"/>
      <c r="EE263" s="100"/>
      <c r="EF263" s="100"/>
      <c r="EG263" s="100"/>
      <c r="EH263" s="100"/>
      <c r="EI263" s="100"/>
      <c r="EJ263" s="100"/>
      <c r="EK263" s="101"/>
      <c r="EL263" s="80"/>
      <c r="EM263" s="102"/>
      <c r="EN263" s="102"/>
      <c r="EO263" s="103"/>
      <c r="EP263" s="104"/>
      <c r="EQ263" s="28"/>
      <c r="ER263" s="102"/>
      <c r="ES263" s="102"/>
      <c r="ET263" s="102"/>
      <c r="EU263" s="102"/>
      <c r="EV263" s="105"/>
      <c r="EW263" s="101"/>
      <c r="EX263" s="105"/>
      <c r="EY263" s="11"/>
      <c r="EZ263" s="106"/>
      <c r="FA263" s="101"/>
      <c r="FB263" s="107"/>
      <c r="FC263" s="11"/>
      <c r="FD263" s="101"/>
      <c r="FE263" s="108"/>
      <c r="FF263" s="108"/>
    </row>
    <row r="264" spans="31:162">
      <c r="AE264" s="99"/>
      <c r="AK264" s="100"/>
      <c r="AL264" s="11"/>
      <c r="AM264" s="11"/>
      <c r="AN264" s="11"/>
      <c r="AO264" s="11"/>
      <c r="AP264" s="11"/>
      <c r="AX264" s="99"/>
      <c r="AY264" s="99"/>
      <c r="AZ264" s="99"/>
      <c r="BA264" s="100"/>
      <c r="BB264" s="100"/>
      <c r="BC264" s="100"/>
      <c r="BD264" s="100"/>
      <c r="BE264" s="100"/>
      <c r="BF264" s="100"/>
      <c r="BG264" s="100"/>
      <c r="BH264" s="100"/>
      <c r="BI264" s="100"/>
      <c r="BJ264" s="100"/>
      <c r="BK264" s="101"/>
      <c r="BL264" s="80"/>
      <c r="BM264" s="102"/>
      <c r="BN264" s="102"/>
      <c r="BO264" s="103"/>
      <c r="BP264" s="104"/>
      <c r="BQ264" s="28"/>
      <c r="BR264" s="102"/>
      <c r="BS264" s="102"/>
      <c r="BT264" s="102"/>
      <c r="BU264" s="102"/>
      <c r="BV264" s="105"/>
      <c r="BW264" s="101"/>
      <c r="BX264" s="105"/>
      <c r="BY264" s="11"/>
      <c r="BZ264" s="106"/>
      <c r="CA264" s="101"/>
      <c r="CB264" s="107"/>
      <c r="CC264" s="11"/>
      <c r="CD264" s="101"/>
      <c r="CE264" s="108"/>
      <c r="CF264" s="108"/>
      <c r="DE264" s="99"/>
      <c r="DK264" s="100"/>
      <c r="DL264" s="11"/>
      <c r="DM264" s="11"/>
      <c r="DN264" s="11"/>
      <c r="DO264" s="11"/>
      <c r="DP264" s="11"/>
      <c r="DX264" s="99"/>
      <c r="DY264" s="99"/>
      <c r="DZ264" s="99"/>
      <c r="EA264" s="100"/>
      <c r="EB264" s="100"/>
      <c r="EC264" s="100"/>
      <c r="ED264" s="100"/>
      <c r="EE264" s="100"/>
      <c r="EF264" s="100"/>
      <c r="EG264" s="100"/>
      <c r="EH264" s="100"/>
      <c r="EI264" s="100"/>
      <c r="EJ264" s="100"/>
      <c r="EK264" s="101"/>
      <c r="EL264" s="80"/>
      <c r="EM264" s="102"/>
      <c r="EN264" s="102"/>
      <c r="EO264" s="103"/>
      <c r="EP264" s="104"/>
      <c r="EQ264" s="28"/>
      <c r="ER264" s="102"/>
      <c r="ES264" s="102"/>
      <c r="ET264" s="102"/>
      <c r="EU264" s="102"/>
      <c r="EV264" s="105"/>
      <c r="EW264" s="101"/>
      <c r="EX264" s="105"/>
      <c r="EY264" s="11"/>
      <c r="EZ264" s="106"/>
      <c r="FA264" s="101"/>
      <c r="FB264" s="107"/>
      <c r="FC264" s="11"/>
      <c r="FD264" s="101"/>
      <c r="FE264" s="108"/>
      <c r="FF264" s="108"/>
    </row>
    <row r="265" spans="31:162">
      <c r="AE265" s="99"/>
      <c r="AK265" s="100"/>
      <c r="AL265" s="11"/>
      <c r="AM265" s="11"/>
      <c r="AN265" s="11"/>
      <c r="AO265" s="11"/>
      <c r="AP265" s="11"/>
      <c r="AX265" s="99"/>
      <c r="AY265" s="99"/>
      <c r="AZ265" s="99"/>
      <c r="BA265" s="100"/>
      <c r="BB265" s="100"/>
      <c r="BC265" s="100"/>
      <c r="BD265" s="100"/>
      <c r="BE265" s="100"/>
      <c r="BF265" s="100"/>
      <c r="BG265" s="100"/>
      <c r="BH265" s="100"/>
      <c r="BI265" s="100"/>
      <c r="BJ265" s="100"/>
      <c r="BK265" s="101"/>
      <c r="BL265" s="80"/>
      <c r="BM265" s="102"/>
      <c r="BN265" s="102"/>
      <c r="BO265" s="103"/>
      <c r="BP265" s="104"/>
      <c r="BQ265" s="28"/>
      <c r="BR265" s="102"/>
      <c r="BS265" s="102"/>
      <c r="BT265" s="102"/>
      <c r="BU265" s="102"/>
      <c r="BV265" s="105"/>
      <c r="BW265" s="101"/>
      <c r="BX265" s="105"/>
      <c r="BY265" s="11"/>
      <c r="BZ265" s="106"/>
      <c r="CA265" s="101"/>
      <c r="CB265" s="107"/>
      <c r="CC265" s="11"/>
      <c r="CD265" s="101"/>
      <c r="CE265" s="108"/>
      <c r="CF265" s="108"/>
      <c r="DE265" s="99"/>
      <c r="DK265" s="100"/>
      <c r="DL265" s="11"/>
      <c r="DM265" s="11"/>
      <c r="DN265" s="11"/>
      <c r="DO265" s="11"/>
      <c r="DP265" s="11"/>
      <c r="DX265" s="99"/>
      <c r="DY265" s="99"/>
      <c r="DZ265" s="99"/>
      <c r="EA265" s="100"/>
      <c r="EB265" s="100"/>
      <c r="EC265" s="100"/>
      <c r="ED265" s="100"/>
      <c r="EE265" s="100"/>
      <c r="EF265" s="100"/>
      <c r="EG265" s="100"/>
      <c r="EH265" s="100"/>
      <c r="EI265" s="100"/>
      <c r="EJ265" s="100"/>
      <c r="EK265" s="101"/>
      <c r="EL265" s="80"/>
      <c r="EM265" s="102"/>
      <c r="EN265" s="102"/>
      <c r="EO265" s="103"/>
      <c r="EP265" s="104"/>
      <c r="EQ265" s="28"/>
      <c r="ER265" s="102"/>
      <c r="ES265" s="102"/>
      <c r="ET265" s="102"/>
      <c r="EU265" s="102"/>
      <c r="EV265" s="105"/>
      <c r="EW265" s="101"/>
      <c r="EX265" s="105"/>
      <c r="EY265" s="11"/>
      <c r="EZ265" s="106"/>
      <c r="FA265" s="101"/>
      <c r="FB265" s="107"/>
      <c r="FC265" s="11"/>
      <c r="FD265" s="101"/>
      <c r="FE265" s="108"/>
      <c r="FF265" s="108"/>
    </row>
    <row r="266" spans="31:162">
      <c r="AE266" s="99"/>
      <c r="AK266" s="100"/>
      <c r="AL266" s="11"/>
      <c r="AM266" s="11"/>
      <c r="AN266" s="11"/>
      <c r="AO266" s="11"/>
      <c r="AP266" s="11"/>
      <c r="AX266" s="99"/>
      <c r="AY266" s="99"/>
      <c r="AZ266" s="99"/>
      <c r="BA266" s="100"/>
      <c r="BB266" s="100"/>
      <c r="BC266" s="100"/>
      <c r="BD266" s="100"/>
      <c r="BE266" s="100"/>
      <c r="BF266" s="100"/>
      <c r="BG266" s="100"/>
      <c r="BH266" s="100"/>
      <c r="BI266" s="100"/>
      <c r="BJ266" s="100"/>
      <c r="BK266" s="101"/>
      <c r="BL266" s="80"/>
      <c r="BM266" s="102"/>
      <c r="BN266" s="102"/>
      <c r="BO266" s="103"/>
      <c r="BP266" s="104"/>
      <c r="BQ266" s="28"/>
      <c r="BR266" s="102"/>
      <c r="BS266" s="102"/>
      <c r="BT266" s="102"/>
      <c r="BU266" s="102"/>
      <c r="BV266" s="105"/>
      <c r="BW266" s="101"/>
      <c r="BX266" s="105"/>
      <c r="BY266" s="11"/>
      <c r="BZ266" s="106"/>
      <c r="CA266" s="101"/>
      <c r="CB266" s="107"/>
      <c r="CC266" s="11"/>
      <c r="CD266" s="101"/>
      <c r="CE266" s="108"/>
      <c r="CF266" s="108"/>
      <c r="DE266" s="99"/>
      <c r="DK266" s="100"/>
      <c r="DL266" s="11"/>
      <c r="DM266" s="11"/>
      <c r="DN266" s="11"/>
      <c r="DO266" s="11"/>
      <c r="DP266" s="11"/>
      <c r="DX266" s="99"/>
      <c r="DY266" s="99"/>
      <c r="DZ266" s="99"/>
      <c r="EA266" s="100"/>
      <c r="EB266" s="100"/>
      <c r="EC266" s="100"/>
      <c r="ED266" s="100"/>
      <c r="EE266" s="100"/>
      <c r="EF266" s="100"/>
      <c r="EG266" s="100"/>
      <c r="EH266" s="100"/>
      <c r="EI266" s="100"/>
      <c r="EJ266" s="100"/>
      <c r="EK266" s="101"/>
      <c r="EL266" s="80"/>
      <c r="EM266" s="102"/>
      <c r="EN266" s="102"/>
      <c r="EO266" s="103"/>
      <c r="EP266" s="104"/>
      <c r="EQ266" s="28"/>
      <c r="ER266" s="102"/>
      <c r="ES266" s="102"/>
      <c r="ET266" s="102"/>
      <c r="EU266" s="102"/>
      <c r="EV266" s="105"/>
      <c r="EW266" s="101"/>
      <c r="EX266" s="105"/>
      <c r="EY266" s="11"/>
      <c r="EZ266" s="106"/>
      <c r="FA266" s="101"/>
      <c r="FB266" s="107"/>
      <c r="FC266" s="11"/>
      <c r="FD266" s="101"/>
      <c r="FE266" s="108"/>
      <c r="FF266" s="108"/>
    </row>
    <row r="267" spans="31:162">
      <c r="AK267" s="11"/>
      <c r="AL267" s="11"/>
      <c r="AM267" s="11"/>
      <c r="AN267" s="11"/>
      <c r="AO267" s="11"/>
      <c r="AP267" s="11"/>
      <c r="AX267" s="99"/>
      <c r="AY267" s="99"/>
      <c r="AZ267" s="99"/>
      <c r="BH267" s="100"/>
      <c r="BI267" s="100"/>
      <c r="BJ267" s="100"/>
      <c r="BK267" s="101"/>
      <c r="BL267" s="80"/>
      <c r="BM267" s="102"/>
      <c r="BN267" s="102"/>
      <c r="BO267" s="103"/>
      <c r="BP267" s="104"/>
      <c r="BQ267" s="28"/>
      <c r="BR267" s="102"/>
      <c r="BS267" s="102"/>
      <c r="BT267" s="102"/>
      <c r="BU267" s="102"/>
      <c r="BV267" s="105"/>
      <c r="BW267" s="101"/>
      <c r="BX267" s="105"/>
      <c r="BY267" s="11"/>
      <c r="BZ267" s="106"/>
      <c r="CA267" s="101"/>
      <c r="CB267" s="107"/>
      <c r="CC267" s="11"/>
      <c r="CD267" s="101"/>
      <c r="CE267" s="108"/>
      <c r="CF267" s="8"/>
      <c r="DK267" s="11"/>
      <c r="DL267" s="11"/>
      <c r="DM267" s="11"/>
      <c r="DN267" s="11"/>
      <c r="DO267" s="11"/>
      <c r="DP267" s="11"/>
      <c r="DX267" s="99"/>
      <c r="DY267" s="99"/>
      <c r="DZ267" s="99"/>
      <c r="EH267" s="100"/>
      <c r="EI267" s="100"/>
      <c r="EJ267" s="100"/>
      <c r="EK267" s="101"/>
      <c r="EL267" s="80"/>
      <c r="EM267" s="102"/>
      <c r="EN267" s="102"/>
      <c r="EO267" s="103"/>
      <c r="EP267" s="104"/>
      <c r="EQ267" s="28"/>
      <c r="ER267" s="102"/>
      <c r="ES267" s="102"/>
      <c r="ET267" s="102"/>
      <c r="EU267" s="102"/>
      <c r="EV267" s="105"/>
      <c r="EW267" s="101"/>
      <c r="EX267" s="105"/>
      <c r="EY267" s="11"/>
      <c r="EZ267" s="106"/>
      <c r="FA267" s="101"/>
      <c r="FB267" s="107"/>
      <c r="FC267" s="11"/>
      <c r="FD267" s="101"/>
      <c r="FE267" s="108"/>
      <c r="FF267" s="8"/>
    </row>
    <row r="268" spans="31:162">
      <c r="AK268" s="11"/>
      <c r="AL268" s="11"/>
      <c r="AM268" s="11"/>
      <c r="AN268" s="11"/>
      <c r="AO268" s="11"/>
      <c r="AP268" s="11"/>
      <c r="AX268" s="99"/>
      <c r="AY268" s="99"/>
      <c r="AZ268" s="99"/>
      <c r="BH268" s="100"/>
      <c r="BI268" s="100"/>
      <c r="BJ268" s="100"/>
      <c r="BK268" s="101"/>
      <c r="BL268" s="80"/>
      <c r="BM268" s="102"/>
      <c r="BN268" s="102"/>
      <c r="BO268" s="103"/>
      <c r="BP268" s="104"/>
      <c r="BQ268" s="28"/>
      <c r="BR268" s="102"/>
      <c r="BS268" s="102"/>
      <c r="BT268" s="102"/>
      <c r="BU268" s="102"/>
      <c r="BV268" s="105"/>
      <c r="BW268" s="101"/>
      <c r="BX268" s="105"/>
      <c r="BY268" s="11"/>
      <c r="BZ268" s="106"/>
      <c r="CA268" s="101"/>
      <c r="CB268" s="107"/>
      <c r="CC268" s="11"/>
      <c r="CD268" s="101"/>
      <c r="CE268" s="108"/>
      <c r="CF268" s="8"/>
      <c r="DK268" s="11"/>
      <c r="DL268" s="11"/>
      <c r="DM268" s="11"/>
      <c r="DN268" s="11"/>
      <c r="DO268" s="11"/>
      <c r="DP268" s="11"/>
      <c r="DX268" s="99"/>
      <c r="DY268" s="99"/>
      <c r="DZ268" s="99"/>
      <c r="EH268" s="100"/>
      <c r="EI268" s="100"/>
      <c r="EJ268" s="100"/>
      <c r="EK268" s="101"/>
      <c r="EL268" s="80"/>
      <c r="EM268" s="102"/>
      <c r="EN268" s="102"/>
      <c r="EO268" s="103"/>
      <c r="EP268" s="104"/>
      <c r="EQ268" s="28"/>
      <c r="ER268" s="102"/>
      <c r="ES268" s="102"/>
      <c r="ET268" s="102"/>
      <c r="EU268" s="102"/>
      <c r="EV268" s="105"/>
      <c r="EW268" s="101"/>
      <c r="EX268" s="105"/>
      <c r="EY268" s="11"/>
      <c r="EZ268" s="106"/>
      <c r="FA268" s="101"/>
      <c r="FB268" s="107"/>
      <c r="FC268" s="11"/>
      <c r="FD268" s="101"/>
      <c r="FE268" s="108"/>
      <c r="FF268" s="8"/>
    </row>
    <row r="269" spans="31:162">
      <c r="AK269" s="11"/>
      <c r="AL269" s="11"/>
      <c r="AM269" s="11"/>
      <c r="AN269" s="11"/>
      <c r="AO269" s="11"/>
      <c r="AP269" s="11"/>
      <c r="AX269" s="99"/>
      <c r="AY269" s="99"/>
      <c r="AZ269" s="99"/>
      <c r="BH269" s="100"/>
      <c r="BI269" s="100"/>
      <c r="BJ269" s="100"/>
      <c r="BK269" s="101"/>
      <c r="BL269" s="80"/>
      <c r="BM269" s="102"/>
      <c r="BN269" s="102"/>
      <c r="BO269" s="103"/>
      <c r="BP269" s="104"/>
      <c r="BQ269" s="28"/>
      <c r="BR269" s="102"/>
      <c r="BS269" s="102"/>
      <c r="BT269" s="102"/>
      <c r="BU269" s="102"/>
      <c r="BV269" s="105"/>
      <c r="BW269" s="101"/>
      <c r="BX269" s="105"/>
      <c r="BY269" s="11"/>
      <c r="BZ269" s="106"/>
      <c r="CA269" s="101"/>
      <c r="CB269" s="107"/>
      <c r="CC269" s="11"/>
      <c r="CD269" s="101"/>
      <c r="CE269" s="108"/>
      <c r="CF269" s="8"/>
      <c r="DK269" s="11"/>
      <c r="DL269" s="11"/>
      <c r="DM269" s="11"/>
      <c r="DN269" s="11"/>
      <c r="DO269" s="11"/>
      <c r="DP269" s="11"/>
      <c r="DX269" s="99"/>
      <c r="DY269" s="99"/>
      <c r="DZ269" s="99"/>
      <c r="EH269" s="100"/>
      <c r="EI269" s="100"/>
      <c r="EJ269" s="100"/>
      <c r="EK269" s="101"/>
      <c r="EL269" s="80"/>
      <c r="EM269" s="102"/>
      <c r="EN269" s="102"/>
      <c r="EO269" s="103"/>
      <c r="EP269" s="104"/>
      <c r="EQ269" s="28"/>
      <c r="ER269" s="102"/>
      <c r="ES269" s="102"/>
      <c r="ET269" s="102"/>
      <c r="EU269" s="102"/>
      <c r="EV269" s="105"/>
      <c r="EW269" s="101"/>
      <c r="EX269" s="105"/>
      <c r="EY269" s="11"/>
      <c r="EZ269" s="106"/>
      <c r="FA269" s="101"/>
      <c r="FB269" s="107"/>
      <c r="FC269" s="11"/>
      <c r="FD269" s="101"/>
      <c r="FE269" s="108"/>
      <c r="FF269" s="8"/>
    </row>
    <row r="270" spans="31:162">
      <c r="AK270" s="11"/>
      <c r="AL270" s="11"/>
      <c r="AM270" s="11"/>
      <c r="AN270" s="11"/>
      <c r="AO270" s="11"/>
      <c r="AP270" s="11"/>
      <c r="AX270" s="99"/>
      <c r="AY270" s="99"/>
      <c r="AZ270" s="99"/>
      <c r="BH270" s="100"/>
      <c r="BI270" s="100"/>
      <c r="BJ270" s="100"/>
      <c r="BK270" s="101"/>
      <c r="BL270" s="80"/>
      <c r="BM270" s="102"/>
      <c r="BN270" s="102"/>
      <c r="BO270" s="103"/>
      <c r="BP270" s="104"/>
      <c r="BQ270" s="28"/>
      <c r="BR270" s="102"/>
      <c r="BS270" s="102"/>
      <c r="BT270" s="102"/>
      <c r="BU270" s="102"/>
      <c r="BV270" s="105"/>
      <c r="BW270" s="101"/>
      <c r="BX270" s="105"/>
      <c r="BY270" s="11"/>
      <c r="BZ270" s="106"/>
      <c r="CA270" s="101"/>
      <c r="CB270" s="107"/>
      <c r="CC270" s="11"/>
      <c r="CD270" s="101"/>
      <c r="CE270" s="108"/>
      <c r="CF270" s="8"/>
      <c r="DK270" s="11"/>
      <c r="DL270" s="11"/>
      <c r="DM270" s="11"/>
      <c r="DN270" s="11"/>
      <c r="DO270" s="11"/>
      <c r="DP270" s="11"/>
      <c r="DX270" s="99"/>
      <c r="DY270" s="99"/>
      <c r="DZ270" s="99"/>
      <c r="EH270" s="100"/>
      <c r="EI270" s="100"/>
      <c r="EJ270" s="100"/>
      <c r="EK270" s="101"/>
      <c r="EL270" s="80"/>
      <c r="EM270" s="102"/>
      <c r="EN270" s="102"/>
      <c r="EO270" s="103"/>
      <c r="EP270" s="104"/>
      <c r="EQ270" s="28"/>
      <c r="ER270" s="102"/>
      <c r="ES270" s="102"/>
      <c r="ET270" s="102"/>
      <c r="EU270" s="102"/>
      <c r="EV270" s="105"/>
      <c r="EW270" s="101"/>
      <c r="EX270" s="105"/>
      <c r="EY270" s="11"/>
      <c r="EZ270" s="106"/>
      <c r="FA270" s="101"/>
      <c r="FB270" s="107"/>
      <c r="FC270" s="11"/>
      <c r="FD270" s="101"/>
      <c r="FE270" s="108"/>
      <c r="FF270" s="8"/>
    </row>
    <row r="271" spans="31:162">
      <c r="AK271" s="11"/>
      <c r="AL271" s="11"/>
      <c r="AM271" s="11"/>
      <c r="AN271" s="11"/>
      <c r="AO271" s="11"/>
      <c r="AP271" s="11"/>
      <c r="AX271" s="99"/>
      <c r="AY271" s="99"/>
      <c r="AZ271" s="99"/>
      <c r="BH271" s="100"/>
      <c r="BI271" s="100"/>
      <c r="BJ271" s="100"/>
      <c r="BK271" s="101"/>
      <c r="BL271" s="80"/>
      <c r="BM271" s="102"/>
      <c r="BN271" s="102"/>
      <c r="BO271" s="103"/>
      <c r="BP271" s="104"/>
      <c r="BQ271" s="28"/>
      <c r="BR271" s="102"/>
      <c r="BS271" s="102"/>
      <c r="BT271" s="102"/>
      <c r="BU271" s="102"/>
      <c r="BV271" s="105"/>
      <c r="BW271" s="101"/>
      <c r="BX271" s="105"/>
      <c r="BY271" s="11"/>
      <c r="BZ271" s="106"/>
      <c r="CA271" s="101"/>
      <c r="CB271" s="107"/>
      <c r="CC271" s="11"/>
      <c r="CD271" s="101"/>
      <c r="CE271" s="108"/>
      <c r="CF271" s="8"/>
      <c r="DK271" s="11"/>
      <c r="DL271" s="11"/>
      <c r="DM271" s="11"/>
      <c r="DN271" s="11"/>
      <c r="DO271" s="11"/>
      <c r="DP271" s="11"/>
      <c r="DX271" s="99"/>
      <c r="DY271" s="99"/>
      <c r="DZ271" s="99"/>
      <c r="EH271" s="100"/>
      <c r="EI271" s="100"/>
      <c r="EJ271" s="100"/>
      <c r="EK271" s="101"/>
      <c r="EL271" s="80"/>
      <c r="EM271" s="102"/>
      <c r="EN271" s="102"/>
      <c r="EO271" s="103"/>
      <c r="EP271" s="104"/>
      <c r="EQ271" s="28"/>
      <c r="ER271" s="102"/>
      <c r="ES271" s="102"/>
      <c r="ET271" s="102"/>
      <c r="EU271" s="102"/>
      <c r="EV271" s="105"/>
      <c r="EW271" s="101"/>
      <c r="EX271" s="105"/>
      <c r="EY271" s="11"/>
      <c r="EZ271" s="106"/>
      <c r="FA271" s="101"/>
      <c r="FB271" s="107"/>
      <c r="FC271" s="11"/>
      <c r="FD271" s="101"/>
      <c r="FE271" s="108"/>
      <c r="FF271" s="8"/>
    </row>
    <row r="272" spans="31:162">
      <c r="AK272" s="11"/>
      <c r="AL272" s="11"/>
      <c r="AM272" s="11"/>
      <c r="AN272" s="11"/>
      <c r="AO272" s="11"/>
      <c r="AP272" s="11"/>
      <c r="AX272" s="99"/>
      <c r="AY272" s="99"/>
      <c r="AZ272" s="99"/>
      <c r="BH272" s="100"/>
      <c r="BI272" s="100"/>
      <c r="BJ272" s="100"/>
      <c r="BK272" s="101"/>
      <c r="BL272" s="80"/>
      <c r="BM272" s="102"/>
      <c r="BN272" s="102"/>
      <c r="BO272" s="103"/>
      <c r="BP272" s="104"/>
      <c r="BQ272" s="28"/>
      <c r="BR272" s="102"/>
      <c r="BS272" s="102"/>
      <c r="BT272" s="102"/>
      <c r="BU272" s="102"/>
      <c r="BV272" s="105"/>
      <c r="BW272" s="101"/>
      <c r="BX272" s="105"/>
      <c r="BY272" s="11"/>
      <c r="BZ272" s="106"/>
      <c r="CA272" s="101"/>
      <c r="CB272" s="107"/>
      <c r="CC272" s="11"/>
      <c r="CD272" s="101"/>
      <c r="CE272" s="108"/>
      <c r="CF272" s="8"/>
      <c r="DK272" s="11"/>
      <c r="DL272" s="11"/>
      <c r="DM272" s="11"/>
      <c r="DN272" s="11"/>
      <c r="DO272" s="11"/>
      <c r="DP272" s="11"/>
      <c r="DX272" s="99"/>
      <c r="DY272" s="99"/>
      <c r="DZ272" s="99"/>
      <c r="EH272" s="100"/>
      <c r="EI272" s="100"/>
      <c r="EJ272" s="100"/>
      <c r="EK272" s="101"/>
      <c r="EL272" s="80"/>
      <c r="EM272" s="102"/>
      <c r="EN272" s="102"/>
      <c r="EO272" s="103"/>
      <c r="EP272" s="104"/>
      <c r="EQ272" s="28"/>
      <c r="ER272" s="102"/>
      <c r="ES272" s="102"/>
      <c r="ET272" s="102"/>
      <c r="EU272" s="102"/>
      <c r="EV272" s="105"/>
      <c r="EW272" s="101"/>
      <c r="EX272" s="105"/>
      <c r="EY272" s="11"/>
      <c r="EZ272" s="106"/>
      <c r="FA272" s="101"/>
      <c r="FB272" s="107"/>
      <c r="FC272" s="11"/>
      <c r="FD272" s="101"/>
      <c r="FE272" s="108"/>
      <c r="FF272" s="8"/>
    </row>
    <row r="273" spans="37:162">
      <c r="AK273" s="11"/>
      <c r="AL273" s="11"/>
      <c r="AM273" s="11"/>
      <c r="AN273" s="11"/>
      <c r="AO273" s="11"/>
      <c r="AP273" s="11"/>
      <c r="AX273" s="99"/>
      <c r="AY273" s="99"/>
      <c r="AZ273" s="99"/>
      <c r="BH273" s="100"/>
      <c r="BI273" s="100"/>
      <c r="BJ273" s="100"/>
      <c r="BK273" s="101"/>
      <c r="BL273" s="80"/>
      <c r="BM273" s="102"/>
      <c r="BN273" s="102"/>
      <c r="BO273" s="103"/>
      <c r="BP273" s="104"/>
      <c r="BQ273" s="28"/>
      <c r="BR273" s="102"/>
      <c r="BS273" s="102"/>
      <c r="BT273" s="102"/>
      <c r="BU273" s="102"/>
      <c r="BV273" s="105"/>
      <c r="BW273" s="101"/>
      <c r="BX273" s="105"/>
      <c r="BY273" s="11"/>
      <c r="BZ273" s="106"/>
      <c r="CA273" s="101"/>
      <c r="CB273" s="107"/>
      <c r="CC273" s="11"/>
      <c r="CD273" s="101"/>
      <c r="CE273" s="108"/>
      <c r="CF273" s="8"/>
      <c r="DK273" s="11"/>
      <c r="DL273" s="11"/>
      <c r="DM273" s="11"/>
      <c r="DN273" s="11"/>
      <c r="DO273" s="11"/>
      <c r="DP273" s="11"/>
      <c r="DX273" s="99"/>
      <c r="DY273" s="99"/>
      <c r="DZ273" s="99"/>
      <c r="EH273" s="100"/>
      <c r="EI273" s="100"/>
      <c r="EJ273" s="100"/>
      <c r="EK273" s="101"/>
      <c r="EL273" s="80"/>
      <c r="EM273" s="102"/>
      <c r="EN273" s="102"/>
      <c r="EO273" s="103"/>
      <c r="EP273" s="104"/>
      <c r="EQ273" s="28"/>
      <c r="ER273" s="102"/>
      <c r="ES273" s="102"/>
      <c r="ET273" s="102"/>
      <c r="EU273" s="102"/>
      <c r="EV273" s="105"/>
      <c r="EW273" s="101"/>
      <c r="EX273" s="105"/>
      <c r="EY273" s="11"/>
      <c r="EZ273" s="106"/>
      <c r="FA273" s="101"/>
      <c r="FB273" s="107"/>
      <c r="FC273" s="11"/>
      <c r="FD273" s="101"/>
      <c r="FE273" s="108"/>
      <c r="FF273" s="8"/>
    </row>
    <row r="274" spans="37:162">
      <c r="AK274" s="11"/>
      <c r="AL274" s="11"/>
      <c r="AM274" s="11"/>
      <c r="AN274" s="11"/>
      <c r="AO274" s="11"/>
      <c r="AP274" s="11"/>
      <c r="AX274" s="99"/>
      <c r="AY274" s="99"/>
      <c r="AZ274" s="99"/>
      <c r="BH274" s="100"/>
      <c r="BI274" s="100"/>
      <c r="BJ274" s="100"/>
      <c r="BK274" s="101"/>
      <c r="BL274" s="80"/>
      <c r="BM274" s="102"/>
      <c r="BN274" s="102"/>
      <c r="BO274" s="103"/>
      <c r="BP274" s="104"/>
      <c r="BQ274" s="28"/>
      <c r="BR274" s="102"/>
      <c r="BS274" s="102"/>
      <c r="BT274" s="102"/>
      <c r="BU274" s="102"/>
      <c r="BV274" s="105"/>
      <c r="BW274" s="101"/>
      <c r="BX274" s="105"/>
      <c r="BY274" s="11"/>
      <c r="BZ274" s="106"/>
      <c r="CA274" s="101"/>
      <c r="CB274" s="107"/>
      <c r="CC274" s="11"/>
      <c r="CD274" s="101"/>
      <c r="CE274" s="108"/>
      <c r="CF274" s="8"/>
      <c r="DK274" s="11"/>
      <c r="DL274" s="11"/>
      <c r="DM274" s="11"/>
      <c r="DN274" s="11"/>
      <c r="DO274" s="11"/>
      <c r="DP274" s="11"/>
      <c r="DX274" s="99"/>
      <c r="DY274" s="99"/>
      <c r="DZ274" s="99"/>
      <c r="EH274" s="100"/>
      <c r="EI274" s="100"/>
      <c r="EJ274" s="100"/>
      <c r="EK274" s="101"/>
      <c r="EL274" s="80"/>
      <c r="EM274" s="102"/>
      <c r="EN274" s="102"/>
      <c r="EO274" s="103"/>
      <c r="EP274" s="104"/>
      <c r="EQ274" s="28"/>
      <c r="ER274" s="102"/>
      <c r="ES274" s="102"/>
      <c r="ET274" s="102"/>
      <c r="EU274" s="102"/>
      <c r="EV274" s="105"/>
      <c r="EW274" s="101"/>
      <c r="EX274" s="105"/>
      <c r="EY274" s="11"/>
      <c r="EZ274" s="106"/>
      <c r="FA274" s="101"/>
      <c r="FB274" s="107"/>
      <c r="FC274" s="11"/>
      <c r="FD274" s="101"/>
      <c r="FE274" s="108"/>
      <c r="FF274" s="8"/>
    </row>
    <row r="275" spans="37:162">
      <c r="AK275" s="11"/>
      <c r="AL275" s="11"/>
      <c r="AM275" s="11"/>
      <c r="AN275" s="11"/>
      <c r="AO275" s="11"/>
      <c r="AP275" s="11"/>
      <c r="AX275" s="99"/>
      <c r="AY275" s="99"/>
      <c r="AZ275" s="99"/>
      <c r="BH275" s="100"/>
      <c r="BI275" s="100"/>
      <c r="BJ275" s="100"/>
      <c r="BK275" s="101"/>
      <c r="BL275" s="80"/>
      <c r="BM275" s="102"/>
      <c r="BN275" s="102"/>
      <c r="BO275" s="103"/>
      <c r="BP275" s="104"/>
      <c r="BQ275" s="28"/>
      <c r="BR275" s="102"/>
      <c r="BS275" s="102"/>
      <c r="BT275" s="102"/>
      <c r="BU275" s="102"/>
      <c r="BV275" s="105"/>
      <c r="BW275" s="101"/>
      <c r="BX275" s="105"/>
      <c r="BY275" s="11"/>
      <c r="BZ275" s="106"/>
      <c r="CA275" s="101"/>
      <c r="CB275" s="107"/>
      <c r="CC275" s="11"/>
      <c r="CD275" s="101"/>
      <c r="CE275" s="108"/>
      <c r="CF275" s="8"/>
      <c r="DK275" s="11"/>
      <c r="DL275" s="11"/>
      <c r="DM275" s="11"/>
      <c r="DN275" s="11"/>
      <c r="DO275" s="11"/>
      <c r="DP275" s="11"/>
      <c r="DX275" s="99"/>
      <c r="DY275" s="99"/>
      <c r="DZ275" s="99"/>
      <c r="EH275" s="100"/>
      <c r="EI275" s="100"/>
      <c r="EJ275" s="100"/>
      <c r="EK275" s="101"/>
      <c r="EL275" s="80"/>
      <c r="EM275" s="102"/>
      <c r="EN275" s="102"/>
      <c r="EO275" s="103"/>
      <c r="EP275" s="104"/>
      <c r="EQ275" s="28"/>
      <c r="ER275" s="102"/>
      <c r="ES275" s="102"/>
      <c r="ET275" s="102"/>
      <c r="EU275" s="102"/>
      <c r="EV275" s="105"/>
      <c r="EW275" s="101"/>
      <c r="EX275" s="105"/>
      <c r="EY275" s="11"/>
      <c r="EZ275" s="106"/>
      <c r="FA275" s="101"/>
      <c r="FB275" s="107"/>
      <c r="FC275" s="11"/>
      <c r="FD275" s="101"/>
      <c r="FE275" s="108"/>
      <c r="FF275" s="8"/>
    </row>
    <row r="276" spans="37:162">
      <c r="AK276" s="11"/>
      <c r="AL276" s="11"/>
      <c r="AM276" s="11"/>
      <c r="AN276" s="11"/>
      <c r="AO276" s="11"/>
      <c r="AP276" s="11"/>
      <c r="AX276" s="99"/>
      <c r="AY276" s="99"/>
      <c r="AZ276" s="99"/>
      <c r="BH276" s="100"/>
      <c r="BI276" s="100"/>
      <c r="BJ276" s="100"/>
      <c r="BK276" s="101"/>
      <c r="BL276" s="80"/>
      <c r="BM276" s="102"/>
      <c r="BN276" s="102"/>
      <c r="BO276" s="103"/>
      <c r="BP276" s="104"/>
      <c r="BQ276" s="28"/>
      <c r="BR276" s="102"/>
      <c r="BS276" s="102"/>
      <c r="BT276" s="102"/>
      <c r="BU276" s="102"/>
      <c r="BV276" s="105"/>
      <c r="BW276" s="101"/>
      <c r="BX276" s="105"/>
      <c r="BY276" s="11"/>
      <c r="BZ276" s="106"/>
      <c r="CA276" s="101"/>
      <c r="CB276" s="107"/>
      <c r="CC276" s="11"/>
      <c r="CD276" s="101"/>
      <c r="CE276" s="108"/>
      <c r="CF276" s="8"/>
      <c r="DK276" s="11"/>
      <c r="DL276" s="11"/>
      <c r="DM276" s="11"/>
      <c r="DN276" s="11"/>
      <c r="DO276" s="11"/>
      <c r="DP276" s="11"/>
      <c r="DX276" s="99"/>
      <c r="DY276" s="99"/>
      <c r="DZ276" s="99"/>
      <c r="EH276" s="100"/>
      <c r="EI276" s="100"/>
      <c r="EJ276" s="100"/>
      <c r="EK276" s="101"/>
      <c r="EL276" s="80"/>
      <c r="EM276" s="102"/>
      <c r="EN276" s="102"/>
      <c r="EO276" s="103"/>
      <c r="EP276" s="104"/>
      <c r="EQ276" s="28"/>
      <c r="ER276" s="102"/>
      <c r="ES276" s="102"/>
      <c r="ET276" s="102"/>
      <c r="EU276" s="102"/>
      <c r="EV276" s="105"/>
      <c r="EW276" s="101"/>
      <c r="EX276" s="105"/>
      <c r="EY276" s="11"/>
      <c r="EZ276" s="106"/>
      <c r="FA276" s="101"/>
      <c r="FB276" s="107"/>
      <c r="FC276" s="11"/>
      <c r="FD276" s="101"/>
      <c r="FE276" s="108"/>
      <c r="FF276" s="8"/>
    </row>
    <row r="277" spans="37:162">
      <c r="AK277" s="11"/>
      <c r="AL277" s="11"/>
      <c r="AM277" s="11"/>
      <c r="AN277" s="11"/>
      <c r="AO277" s="11"/>
      <c r="AP277" s="11"/>
      <c r="AX277" s="99"/>
      <c r="AY277" s="99"/>
      <c r="AZ277" s="99"/>
      <c r="BH277" s="100"/>
      <c r="BI277" s="100"/>
      <c r="BJ277" s="100"/>
      <c r="BK277" s="101"/>
      <c r="BL277" s="80"/>
      <c r="BM277" s="102"/>
      <c r="BN277" s="102"/>
      <c r="BO277" s="103"/>
      <c r="BP277" s="104"/>
      <c r="BQ277" s="28"/>
      <c r="BR277" s="102"/>
      <c r="BS277" s="102"/>
      <c r="BT277" s="102"/>
      <c r="BU277" s="102"/>
      <c r="BV277" s="105"/>
      <c r="BW277" s="101"/>
      <c r="BX277" s="105"/>
      <c r="BY277" s="11"/>
      <c r="BZ277" s="106"/>
      <c r="CA277" s="101"/>
      <c r="CB277" s="107"/>
      <c r="CC277" s="11"/>
      <c r="CD277" s="101"/>
      <c r="CE277" s="108"/>
      <c r="CF277" s="8"/>
      <c r="DK277" s="11"/>
      <c r="DL277" s="11"/>
      <c r="DM277" s="11"/>
      <c r="DN277" s="11"/>
      <c r="DO277" s="11"/>
      <c r="DP277" s="11"/>
      <c r="DX277" s="99"/>
      <c r="DY277" s="99"/>
      <c r="DZ277" s="99"/>
      <c r="EH277" s="100"/>
      <c r="EI277" s="100"/>
      <c r="EJ277" s="100"/>
      <c r="EK277" s="101"/>
      <c r="EL277" s="80"/>
      <c r="EM277" s="102"/>
      <c r="EN277" s="102"/>
      <c r="EO277" s="103"/>
      <c r="EP277" s="104"/>
      <c r="EQ277" s="28"/>
      <c r="ER277" s="102"/>
      <c r="ES277" s="102"/>
      <c r="ET277" s="102"/>
      <c r="EU277" s="102"/>
      <c r="EV277" s="105"/>
      <c r="EW277" s="101"/>
      <c r="EX277" s="105"/>
      <c r="EY277" s="11"/>
      <c r="EZ277" s="106"/>
      <c r="FA277" s="101"/>
      <c r="FB277" s="107"/>
      <c r="FC277" s="11"/>
      <c r="FD277" s="101"/>
      <c r="FE277" s="108"/>
      <c r="FF277" s="8"/>
    </row>
    <row r="278" spans="37:162">
      <c r="AK278" s="11"/>
      <c r="AL278" s="11"/>
      <c r="AM278" s="11"/>
      <c r="AN278" s="11"/>
      <c r="AO278" s="11"/>
      <c r="AP278" s="11"/>
      <c r="AX278" s="99"/>
      <c r="AY278" s="99"/>
      <c r="AZ278" s="99"/>
      <c r="BH278" s="100"/>
      <c r="BI278" s="100"/>
      <c r="BJ278" s="100"/>
      <c r="BK278" s="101"/>
      <c r="BL278" s="80"/>
      <c r="BM278" s="102"/>
      <c r="BN278" s="102"/>
      <c r="BO278" s="103"/>
      <c r="BP278" s="104"/>
      <c r="BQ278" s="28"/>
      <c r="BR278" s="102"/>
      <c r="BS278" s="102"/>
      <c r="BT278" s="102"/>
      <c r="BU278" s="102"/>
      <c r="BV278" s="105"/>
      <c r="BW278" s="101"/>
      <c r="BX278" s="105"/>
      <c r="BY278" s="11"/>
      <c r="BZ278" s="106"/>
      <c r="CA278" s="101"/>
      <c r="CB278" s="107"/>
      <c r="CC278" s="11"/>
      <c r="CD278" s="101"/>
      <c r="CE278" s="108"/>
      <c r="CF278" s="8"/>
      <c r="DK278" s="11"/>
      <c r="DL278" s="11"/>
      <c r="DM278" s="11"/>
      <c r="DN278" s="11"/>
      <c r="DO278" s="11"/>
      <c r="DP278" s="11"/>
      <c r="DX278" s="99"/>
      <c r="DY278" s="99"/>
      <c r="DZ278" s="99"/>
      <c r="EH278" s="100"/>
      <c r="EI278" s="100"/>
      <c r="EJ278" s="100"/>
      <c r="EK278" s="101"/>
      <c r="EL278" s="80"/>
      <c r="EM278" s="102"/>
      <c r="EN278" s="102"/>
      <c r="EO278" s="103"/>
      <c r="EP278" s="104"/>
      <c r="EQ278" s="28"/>
      <c r="ER278" s="102"/>
      <c r="ES278" s="102"/>
      <c r="ET278" s="102"/>
      <c r="EU278" s="102"/>
      <c r="EV278" s="105"/>
      <c r="EW278" s="101"/>
      <c r="EX278" s="105"/>
      <c r="EY278" s="11"/>
      <c r="EZ278" s="106"/>
      <c r="FA278" s="101"/>
      <c r="FB278" s="107"/>
      <c r="FC278" s="11"/>
      <c r="FD278" s="101"/>
      <c r="FE278" s="108"/>
      <c r="FF278" s="8"/>
    </row>
    <row r="279" spans="37:162">
      <c r="AK279" s="11"/>
      <c r="AL279" s="11"/>
      <c r="AM279" s="11"/>
      <c r="AN279" s="11"/>
      <c r="AO279" s="11"/>
      <c r="AP279" s="11"/>
      <c r="AX279" s="99"/>
      <c r="AY279" s="99"/>
      <c r="AZ279" s="99"/>
      <c r="BH279" s="100"/>
      <c r="BI279" s="100"/>
      <c r="BJ279" s="100"/>
      <c r="BK279" s="101"/>
      <c r="BL279" s="80"/>
      <c r="BM279" s="102"/>
      <c r="BN279" s="102"/>
      <c r="BO279" s="103"/>
      <c r="BP279" s="104"/>
      <c r="BQ279" s="28"/>
      <c r="BR279" s="102"/>
      <c r="BS279" s="102"/>
      <c r="BT279" s="102"/>
      <c r="BU279" s="102"/>
      <c r="BV279" s="105"/>
      <c r="BW279" s="101"/>
      <c r="BX279" s="105"/>
      <c r="BY279" s="11"/>
      <c r="BZ279" s="106"/>
      <c r="CA279" s="101"/>
      <c r="CB279" s="107"/>
      <c r="CC279" s="11"/>
      <c r="CD279" s="101"/>
      <c r="CE279" s="108"/>
      <c r="CF279" s="8"/>
      <c r="DK279" s="11"/>
      <c r="DL279" s="11"/>
      <c r="DM279" s="11"/>
      <c r="DN279" s="11"/>
      <c r="DO279" s="11"/>
      <c r="DP279" s="11"/>
      <c r="DX279" s="99"/>
      <c r="DY279" s="99"/>
      <c r="DZ279" s="99"/>
      <c r="EH279" s="100"/>
      <c r="EI279" s="100"/>
      <c r="EJ279" s="100"/>
      <c r="EK279" s="101"/>
      <c r="EL279" s="80"/>
      <c r="EM279" s="102"/>
      <c r="EN279" s="102"/>
      <c r="EO279" s="103"/>
      <c r="EP279" s="104"/>
      <c r="EQ279" s="28"/>
      <c r="ER279" s="102"/>
      <c r="ES279" s="102"/>
      <c r="ET279" s="102"/>
      <c r="EU279" s="102"/>
      <c r="EV279" s="105"/>
      <c r="EW279" s="101"/>
      <c r="EX279" s="105"/>
      <c r="EY279" s="11"/>
      <c r="EZ279" s="106"/>
      <c r="FA279" s="101"/>
      <c r="FB279" s="107"/>
      <c r="FC279" s="11"/>
      <c r="FD279" s="101"/>
      <c r="FE279" s="108"/>
      <c r="FF279" s="8"/>
    </row>
    <row r="280" spans="37:162">
      <c r="AK280" s="11"/>
      <c r="AL280" s="11"/>
      <c r="AM280" s="11"/>
      <c r="AN280" s="11"/>
      <c r="AO280" s="11"/>
      <c r="AP280" s="11"/>
      <c r="AX280" s="99"/>
      <c r="AY280" s="99"/>
      <c r="AZ280" s="99"/>
      <c r="BH280" s="100"/>
      <c r="BI280" s="100"/>
      <c r="BJ280" s="100"/>
      <c r="BK280" s="101"/>
      <c r="BL280" s="80"/>
      <c r="BM280" s="102"/>
      <c r="BN280" s="102"/>
      <c r="BO280" s="103"/>
      <c r="BP280" s="104"/>
      <c r="BQ280" s="28"/>
      <c r="BR280" s="102"/>
      <c r="BS280" s="102"/>
      <c r="BT280" s="102"/>
      <c r="BU280" s="102"/>
      <c r="BV280" s="105"/>
      <c r="BW280" s="101"/>
      <c r="BX280" s="105"/>
      <c r="BY280" s="11"/>
      <c r="BZ280" s="106"/>
      <c r="CA280" s="101"/>
      <c r="CB280" s="107"/>
      <c r="CC280" s="11"/>
      <c r="CD280" s="101"/>
      <c r="CE280" s="108"/>
      <c r="CF280" s="8"/>
      <c r="DK280" s="11"/>
      <c r="DL280" s="11"/>
      <c r="DM280" s="11"/>
      <c r="DN280" s="11"/>
      <c r="DO280" s="11"/>
      <c r="DP280" s="11"/>
      <c r="DX280" s="99"/>
      <c r="DY280" s="99"/>
      <c r="DZ280" s="99"/>
      <c r="EH280" s="100"/>
      <c r="EI280" s="100"/>
      <c r="EJ280" s="100"/>
      <c r="EK280" s="101"/>
      <c r="EL280" s="80"/>
      <c r="EM280" s="102"/>
      <c r="EN280" s="102"/>
      <c r="EO280" s="103"/>
      <c r="EP280" s="104"/>
      <c r="EQ280" s="28"/>
      <c r="ER280" s="102"/>
      <c r="ES280" s="102"/>
      <c r="ET280" s="102"/>
      <c r="EU280" s="102"/>
      <c r="EV280" s="105"/>
      <c r="EW280" s="101"/>
      <c r="EX280" s="105"/>
      <c r="EY280" s="11"/>
      <c r="EZ280" s="106"/>
      <c r="FA280" s="101"/>
      <c r="FB280" s="107"/>
      <c r="FC280" s="11"/>
      <c r="FD280" s="101"/>
      <c r="FE280" s="108"/>
      <c r="FF280" s="8"/>
    </row>
    <row r="281" spans="37:162">
      <c r="AK281" s="11"/>
      <c r="AL281" s="11"/>
      <c r="AM281" s="11"/>
      <c r="AN281" s="11"/>
      <c r="AO281" s="11"/>
      <c r="AP281" s="11"/>
      <c r="AX281" s="99"/>
      <c r="AY281" s="99"/>
      <c r="AZ281" s="99"/>
      <c r="BH281" s="100"/>
      <c r="BI281" s="100"/>
      <c r="BJ281" s="100"/>
      <c r="BK281" s="101"/>
      <c r="BL281" s="80"/>
      <c r="BM281" s="102"/>
      <c r="BN281" s="102"/>
      <c r="BO281" s="103"/>
      <c r="BP281" s="104"/>
      <c r="BQ281" s="28"/>
      <c r="BR281" s="102"/>
      <c r="BS281" s="102"/>
      <c r="BT281" s="102"/>
      <c r="BU281" s="102"/>
      <c r="BV281" s="105"/>
      <c r="BW281" s="101"/>
      <c r="BX281" s="105"/>
      <c r="BY281" s="11"/>
      <c r="BZ281" s="106"/>
      <c r="CA281" s="101"/>
      <c r="CB281" s="107"/>
      <c r="CC281" s="11"/>
      <c r="CD281" s="101"/>
      <c r="CE281" s="108"/>
      <c r="CF281" s="8"/>
      <c r="DK281" s="11"/>
      <c r="DL281" s="11"/>
      <c r="DM281" s="11"/>
      <c r="DN281" s="11"/>
      <c r="DO281" s="11"/>
      <c r="DP281" s="11"/>
      <c r="DX281" s="99"/>
      <c r="DY281" s="99"/>
      <c r="DZ281" s="99"/>
      <c r="EH281" s="100"/>
      <c r="EI281" s="100"/>
      <c r="EJ281" s="100"/>
      <c r="EK281" s="101"/>
      <c r="EL281" s="80"/>
      <c r="EM281" s="102"/>
      <c r="EN281" s="102"/>
      <c r="EO281" s="103"/>
      <c r="EP281" s="104"/>
      <c r="EQ281" s="28"/>
      <c r="ER281" s="102"/>
      <c r="ES281" s="102"/>
      <c r="ET281" s="102"/>
      <c r="EU281" s="102"/>
      <c r="EV281" s="105"/>
      <c r="EW281" s="101"/>
      <c r="EX281" s="105"/>
      <c r="EY281" s="11"/>
      <c r="EZ281" s="106"/>
      <c r="FA281" s="101"/>
      <c r="FB281" s="107"/>
      <c r="FC281" s="11"/>
      <c r="FD281" s="101"/>
      <c r="FE281" s="108"/>
      <c r="FF281" s="8"/>
    </row>
    <row r="282" spans="37:162">
      <c r="AK282" s="11"/>
      <c r="AL282" s="11"/>
      <c r="AM282" s="11"/>
      <c r="AN282" s="11"/>
      <c r="AO282" s="11"/>
      <c r="AP282" s="11"/>
      <c r="AX282" s="99"/>
      <c r="AY282" s="99"/>
      <c r="AZ282" s="99"/>
      <c r="BH282" s="100"/>
      <c r="BI282" s="100"/>
      <c r="BJ282" s="100"/>
      <c r="BK282" s="101"/>
      <c r="BL282" s="80"/>
      <c r="BM282" s="102"/>
      <c r="BN282" s="102"/>
      <c r="BO282" s="103"/>
      <c r="BP282" s="104"/>
      <c r="BQ282" s="28"/>
      <c r="BR282" s="102"/>
      <c r="BS282" s="102"/>
      <c r="BT282" s="102"/>
      <c r="BU282" s="102"/>
      <c r="BV282" s="105"/>
      <c r="BW282" s="101"/>
      <c r="BX282" s="105"/>
      <c r="BY282" s="11"/>
      <c r="BZ282" s="106"/>
      <c r="CA282" s="101"/>
      <c r="CB282" s="107"/>
      <c r="CC282" s="11"/>
      <c r="CD282" s="101"/>
      <c r="CE282" s="108"/>
      <c r="CF282" s="8"/>
      <c r="DK282" s="11"/>
      <c r="DL282" s="11"/>
      <c r="DM282" s="11"/>
      <c r="DN282" s="11"/>
      <c r="DO282" s="11"/>
      <c r="DP282" s="11"/>
      <c r="DX282" s="99"/>
      <c r="DY282" s="99"/>
      <c r="DZ282" s="99"/>
      <c r="EH282" s="100"/>
      <c r="EI282" s="100"/>
      <c r="EJ282" s="100"/>
      <c r="EK282" s="101"/>
      <c r="EL282" s="80"/>
      <c r="EM282" s="102"/>
      <c r="EN282" s="102"/>
      <c r="EO282" s="103"/>
      <c r="EP282" s="104"/>
      <c r="EQ282" s="28"/>
      <c r="ER282" s="102"/>
      <c r="ES282" s="102"/>
      <c r="ET282" s="102"/>
      <c r="EU282" s="102"/>
      <c r="EV282" s="105"/>
      <c r="EW282" s="101"/>
      <c r="EX282" s="105"/>
      <c r="EY282" s="11"/>
      <c r="EZ282" s="106"/>
      <c r="FA282" s="101"/>
      <c r="FB282" s="107"/>
      <c r="FC282" s="11"/>
      <c r="FD282" s="101"/>
      <c r="FE282" s="108"/>
      <c r="FF282" s="8"/>
    </row>
    <row r="283" spans="37:162">
      <c r="AK283" s="11"/>
      <c r="AL283" s="11"/>
      <c r="AM283" s="11"/>
      <c r="AN283" s="11"/>
      <c r="AO283" s="11"/>
      <c r="AP283" s="11"/>
      <c r="AX283" s="99"/>
      <c r="AY283" s="99"/>
      <c r="AZ283" s="99"/>
      <c r="BH283" s="100"/>
      <c r="BI283" s="100"/>
      <c r="BJ283" s="100"/>
      <c r="BK283" s="101"/>
      <c r="BL283" s="80"/>
      <c r="BM283" s="102"/>
      <c r="BN283" s="102"/>
      <c r="BO283" s="103"/>
      <c r="BP283" s="104"/>
      <c r="BQ283" s="28"/>
      <c r="BR283" s="102"/>
      <c r="BS283" s="102"/>
      <c r="BT283" s="102"/>
      <c r="BU283" s="102"/>
      <c r="BV283" s="105"/>
      <c r="BW283" s="101"/>
      <c r="BX283" s="105"/>
      <c r="BY283" s="11"/>
      <c r="BZ283" s="106"/>
      <c r="CA283" s="101"/>
      <c r="CB283" s="107"/>
      <c r="CC283" s="11"/>
      <c r="CD283" s="101"/>
      <c r="CE283" s="108"/>
      <c r="CF283" s="8"/>
      <c r="DK283" s="11"/>
      <c r="DL283" s="11"/>
      <c r="DM283" s="11"/>
      <c r="DN283" s="11"/>
      <c r="DO283" s="11"/>
      <c r="DP283" s="11"/>
      <c r="DX283" s="99"/>
      <c r="DY283" s="99"/>
      <c r="DZ283" s="99"/>
      <c r="EH283" s="100"/>
      <c r="EI283" s="100"/>
      <c r="EJ283" s="100"/>
      <c r="EK283" s="101"/>
      <c r="EL283" s="80"/>
      <c r="EM283" s="102"/>
      <c r="EN283" s="102"/>
      <c r="EO283" s="103"/>
      <c r="EP283" s="104"/>
      <c r="EQ283" s="28"/>
      <c r="ER283" s="102"/>
      <c r="ES283" s="102"/>
      <c r="ET283" s="102"/>
      <c r="EU283" s="102"/>
      <c r="EV283" s="105"/>
      <c r="EW283" s="101"/>
      <c r="EX283" s="105"/>
      <c r="EY283" s="11"/>
      <c r="EZ283" s="106"/>
      <c r="FA283" s="101"/>
      <c r="FB283" s="107"/>
      <c r="FC283" s="11"/>
      <c r="FD283" s="101"/>
      <c r="FE283" s="108"/>
      <c r="FF283" s="8"/>
    </row>
    <row r="284" spans="37:162">
      <c r="AK284" s="11"/>
      <c r="AL284" s="11"/>
      <c r="AM284" s="11"/>
      <c r="AN284" s="11"/>
      <c r="AO284" s="11"/>
      <c r="AP284" s="11"/>
      <c r="AX284" s="99"/>
      <c r="AY284" s="99"/>
      <c r="AZ284" s="99"/>
      <c r="BH284" s="100"/>
      <c r="BI284" s="100"/>
      <c r="BJ284" s="100"/>
      <c r="BK284" s="101"/>
      <c r="BL284" s="80"/>
      <c r="BM284" s="102"/>
      <c r="BN284" s="102"/>
      <c r="BO284" s="103"/>
      <c r="BP284" s="104"/>
      <c r="BQ284" s="28"/>
      <c r="BR284" s="102"/>
      <c r="BS284" s="102"/>
      <c r="BT284" s="102"/>
      <c r="BU284" s="102"/>
      <c r="BV284" s="105"/>
      <c r="BW284" s="101"/>
      <c r="BX284" s="105"/>
      <c r="BY284" s="11"/>
      <c r="BZ284" s="106"/>
      <c r="CA284" s="101"/>
      <c r="CB284" s="107"/>
      <c r="CC284" s="11"/>
      <c r="CD284" s="101"/>
      <c r="CE284" s="108"/>
      <c r="CF284" s="8"/>
      <c r="DK284" s="11"/>
      <c r="DL284" s="11"/>
      <c r="DM284" s="11"/>
      <c r="DN284" s="11"/>
      <c r="DO284" s="11"/>
      <c r="DP284" s="11"/>
      <c r="DX284" s="99"/>
      <c r="DY284" s="99"/>
      <c r="DZ284" s="99"/>
      <c r="EH284" s="100"/>
      <c r="EI284" s="100"/>
      <c r="EJ284" s="100"/>
      <c r="EK284" s="101"/>
      <c r="EL284" s="80"/>
      <c r="EM284" s="102"/>
      <c r="EN284" s="102"/>
      <c r="EO284" s="103"/>
      <c r="EP284" s="104"/>
      <c r="EQ284" s="28"/>
      <c r="ER284" s="102"/>
      <c r="ES284" s="102"/>
      <c r="ET284" s="102"/>
      <c r="EU284" s="102"/>
      <c r="EV284" s="105"/>
      <c r="EW284" s="101"/>
      <c r="EX284" s="105"/>
      <c r="EY284" s="11"/>
      <c r="EZ284" s="106"/>
      <c r="FA284" s="101"/>
      <c r="FB284" s="107"/>
      <c r="FC284" s="11"/>
      <c r="FD284" s="101"/>
      <c r="FE284" s="108"/>
      <c r="FF284" s="8"/>
    </row>
    <row r="285" spans="37:162">
      <c r="AK285" s="11"/>
      <c r="AL285" s="11"/>
      <c r="AM285" s="11"/>
      <c r="AN285" s="11"/>
      <c r="AO285" s="11"/>
      <c r="AP285" s="11"/>
      <c r="AX285" s="99"/>
      <c r="AY285" s="99"/>
      <c r="AZ285" s="99"/>
      <c r="BH285" s="100"/>
      <c r="BI285" s="100"/>
      <c r="BJ285" s="100"/>
      <c r="BK285" s="101"/>
      <c r="BL285" s="80"/>
      <c r="BM285" s="102"/>
      <c r="BN285" s="102"/>
      <c r="BO285" s="103"/>
      <c r="BP285" s="104"/>
      <c r="BQ285" s="28"/>
      <c r="BR285" s="102"/>
      <c r="BS285" s="102"/>
      <c r="BT285" s="102"/>
      <c r="BU285" s="102"/>
      <c r="BV285" s="105"/>
      <c r="BW285" s="101"/>
      <c r="BX285" s="105"/>
      <c r="BY285" s="11"/>
      <c r="BZ285" s="106"/>
      <c r="CA285" s="101"/>
      <c r="CB285" s="107"/>
      <c r="CC285" s="11"/>
      <c r="CD285" s="101"/>
      <c r="CE285" s="108"/>
      <c r="CF285" s="8"/>
      <c r="DK285" s="11"/>
      <c r="DL285" s="11"/>
      <c r="DM285" s="11"/>
      <c r="DN285" s="11"/>
      <c r="DO285" s="11"/>
      <c r="DP285" s="11"/>
      <c r="DX285" s="99"/>
      <c r="DY285" s="99"/>
      <c r="DZ285" s="99"/>
      <c r="EH285" s="100"/>
      <c r="EI285" s="100"/>
      <c r="EJ285" s="100"/>
      <c r="EK285" s="101"/>
      <c r="EL285" s="80"/>
      <c r="EM285" s="102"/>
      <c r="EN285" s="102"/>
      <c r="EO285" s="103"/>
      <c r="EP285" s="104"/>
      <c r="EQ285" s="28"/>
      <c r="ER285" s="102"/>
      <c r="ES285" s="102"/>
      <c r="ET285" s="102"/>
      <c r="EU285" s="102"/>
      <c r="EV285" s="105"/>
      <c r="EW285" s="101"/>
      <c r="EX285" s="105"/>
      <c r="EY285" s="11"/>
      <c r="EZ285" s="106"/>
      <c r="FA285" s="101"/>
      <c r="FB285" s="107"/>
      <c r="FC285" s="11"/>
      <c r="FD285" s="101"/>
      <c r="FE285" s="108"/>
      <c r="FF285" s="8"/>
    </row>
    <row r="286" spans="37:162">
      <c r="AK286" s="11"/>
      <c r="AL286" s="11"/>
      <c r="AM286" s="11"/>
      <c r="AN286" s="11"/>
      <c r="AO286" s="11"/>
      <c r="AP286" s="11"/>
      <c r="AX286" s="99"/>
      <c r="AY286" s="99"/>
      <c r="AZ286" s="99"/>
      <c r="BH286" s="100"/>
      <c r="BI286" s="100"/>
      <c r="BJ286" s="100"/>
      <c r="BK286" s="101"/>
      <c r="BL286" s="80"/>
      <c r="BM286" s="102"/>
      <c r="BN286" s="102"/>
      <c r="BO286" s="103"/>
      <c r="BP286" s="104"/>
      <c r="BQ286" s="28"/>
      <c r="BR286" s="102"/>
      <c r="BS286" s="102"/>
      <c r="BT286" s="102"/>
      <c r="BU286" s="102"/>
      <c r="BV286" s="105"/>
      <c r="BW286" s="101"/>
      <c r="BX286" s="105"/>
      <c r="BY286" s="11"/>
      <c r="BZ286" s="106"/>
      <c r="CA286" s="101"/>
      <c r="CB286" s="107"/>
      <c r="CC286" s="11"/>
      <c r="CD286" s="101"/>
      <c r="CE286" s="108"/>
      <c r="CF286" s="8"/>
      <c r="DK286" s="11"/>
      <c r="DL286" s="11"/>
      <c r="DM286" s="11"/>
      <c r="DN286" s="11"/>
      <c r="DO286" s="11"/>
      <c r="DP286" s="11"/>
      <c r="DX286" s="99"/>
      <c r="DY286" s="99"/>
      <c r="DZ286" s="99"/>
      <c r="EH286" s="100"/>
      <c r="EI286" s="100"/>
      <c r="EJ286" s="100"/>
      <c r="EK286" s="101"/>
      <c r="EL286" s="80"/>
      <c r="EM286" s="102"/>
      <c r="EN286" s="102"/>
      <c r="EO286" s="103"/>
      <c r="EP286" s="104"/>
      <c r="EQ286" s="28"/>
      <c r="ER286" s="102"/>
      <c r="ES286" s="102"/>
      <c r="ET286" s="102"/>
      <c r="EU286" s="102"/>
      <c r="EV286" s="105"/>
      <c r="EW286" s="101"/>
      <c r="EX286" s="105"/>
      <c r="EY286" s="11"/>
      <c r="EZ286" s="106"/>
      <c r="FA286" s="101"/>
      <c r="FB286" s="107"/>
      <c r="FC286" s="11"/>
      <c r="FD286" s="101"/>
      <c r="FE286" s="108"/>
      <c r="FF286" s="8"/>
    </row>
    <row r="287" spans="37:162">
      <c r="AK287" s="11"/>
      <c r="AL287" s="11"/>
      <c r="AM287" s="11"/>
      <c r="AN287" s="11"/>
      <c r="AO287" s="11"/>
      <c r="AP287" s="11"/>
      <c r="AX287" s="99"/>
      <c r="AY287" s="99"/>
      <c r="AZ287" s="99"/>
      <c r="BH287" s="100"/>
      <c r="BI287" s="100"/>
      <c r="BJ287" s="100"/>
      <c r="BK287" s="101"/>
      <c r="BL287" s="80"/>
      <c r="BM287" s="102"/>
      <c r="BN287" s="102"/>
      <c r="BO287" s="103"/>
      <c r="BP287" s="104"/>
      <c r="BQ287" s="28"/>
      <c r="BR287" s="102"/>
      <c r="BS287" s="102"/>
      <c r="BT287" s="102"/>
      <c r="BU287" s="102"/>
      <c r="BV287" s="105"/>
      <c r="BW287" s="101"/>
      <c r="BX287" s="105"/>
      <c r="BY287" s="11"/>
      <c r="BZ287" s="106"/>
      <c r="CA287" s="101"/>
      <c r="CB287" s="107"/>
      <c r="CC287" s="11"/>
      <c r="CD287" s="101"/>
      <c r="CE287" s="108"/>
      <c r="CF287" s="8"/>
      <c r="DK287" s="11"/>
      <c r="DL287" s="11"/>
      <c r="DM287" s="11"/>
      <c r="DN287" s="11"/>
      <c r="DO287" s="11"/>
      <c r="DP287" s="11"/>
      <c r="DX287" s="99"/>
      <c r="DY287" s="99"/>
      <c r="DZ287" s="99"/>
      <c r="EH287" s="100"/>
      <c r="EI287" s="100"/>
      <c r="EJ287" s="100"/>
      <c r="EK287" s="101"/>
      <c r="EL287" s="80"/>
      <c r="EM287" s="102"/>
      <c r="EN287" s="102"/>
      <c r="EO287" s="103"/>
      <c r="EP287" s="104"/>
      <c r="EQ287" s="28"/>
      <c r="ER287" s="102"/>
      <c r="ES287" s="102"/>
      <c r="ET287" s="102"/>
      <c r="EU287" s="102"/>
      <c r="EV287" s="105"/>
      <c r="EW287" s="101"/>
      <c r="EX287" s="105"/>
      <c r="EY287" s="11"/>
      <c r="EZ287" s="106"/>
      <c r="FA287" s="101"/>
      <c r="FB287" s="107"/>
      <c r="FC287" s="11"/>
      <c r="FD287" s="101"/>
      <c r="FE287" s="108"/>
      <c r="FF287" s="8"/>
    </row>
    <row r="288" spans="37:162">
      <c r="AK288" s="11"/>
      <c r="AL288" s="11"/>
      <c r="AM288" s="11"/>
      <c r="AN288" s="11"/>
      <c r="AO288" s="11"/>
      <c r="AP288" s="11"/>
      <c r="AX288" s="99"/>
      <c r="AY288" s="99"/>
      <c r="AZ288" s="99"/>
      <c r="BH288" s="100"/>
      <c r="BI288" s="100"/>
      <c r="BJ288" s="100"/>
      <c r="BK288" s="101"/>
      <c r="BL288" s="80"/>
      <c r="BM288" s="102"/>
      <c r="BN288" s="102"/>
      <c r="BO288" s="103"/>
      <c r="BP288" s="104"/>
      <c r="BQ288" s="28"/>
      <c r="BR288" s="102"/>
      <c r="BS288" s="102"/>
      <c r="BT288" s="102"/>
      <c r="BU288" s="102"/>
      <c r="BV288" s="105"/>
      <c r="BW288" s="101"/>
      <c r="BX288" s="105"/>
      <c r="BY288" s="11"/>
      <c r="BZ288" s="106"/>
      <c r="CA288" s="101"/>
      <c r="CB288" s="107"/>
      <c r="CC288" s="11"/>
      <c r="CD288" s="101"/>
      <c r="CE288" s="108"/>
      <c r="CF288" s="8"/>
      <c r="DK288" s="11"/>
      <c r="DL288" s="11"/>
      <c r="DM288" s="11"/>
      <c r="DN288" s="11"/>
      <c r="DO288" s="11"/>
      <c r="DP288" s="11"/>
      <c r="DX288" s="99"/>
      <c r="DY288" s="99"/>
      <c r="DZ288" s="99"/>
      <c r="EH288" s="100"/>
      <c r="EI288" s="100"/>
      <c r="EJ288" s="100"/>
      <c r="EK288" s="101"/>
      <c r="EL288" s="80"/>
      <c r="EM288" s="102"/>
      <c r="EN288" s="102"/>
      <c r="EO288" s="103"/>
      <c r="EP288" s="104"/>
      <c r="EQ288" s="28"/>
      <c r="ER288" s="102"/>
      <c r="ES288" s="102"/>
      <c r="ET288" s="102"/>
      <c r="EU288" s="102"/>
      <c r="EV288" s="105"/>
      <c r="EW288" s="101"/>
      <c r="EX288" s="105"/>
      <c r="EY288" s="11"/>
      <c r="EZ288" s="106"/>
      <c r="FA288" s="101"/>
      <c r="FB288" s="107"/>
      <c r="FC288" s="11"/>
      <c r="FD288" s="101"/>
      <c r="FE288" s="108"/>
      <c r="FF288" s="8"/>
    </row>
    <row r="289" spans="37:162">
      <c r="AK289" s="11"/>
      <c r="AL289" s="11"/>
      <c r="AM289" s="11"/>
      <c r="AN289" s="11"/>
      <c r="AO289" s="11"/>
      <c r="AP289" s="11"/>
      <c r="AX289" s="99"/>
      <c r="AY289" s="99"/>
      <c r="AZ289" s="99"/>
      <c r="BH289" s="100"/>
      <c r="BI289" s="100"/>
      <c r="BJ289" s="100"/>
      <c r="BK289" s="101"/>
      <c r="BL289" s="80"/>
      <c r="BM289" s="102"/>
      <c r="BN289" s="102"/>
      <c r="BO289" s="103"/>
      <c r="BP289" s="104"/>
      <c r="BQ289" s="28"/>
      <c r="BR289" s="102"/>
      <c r="BS289" s="102"/>
      <c r="BT289" s="102"/>
      <c r="BU289" s="102"/>
      <c r="BV289" s="105"/>
      <c r="BW289" s="101"/>
      <c r="BX289" s="105"/>
      <c r="BY289" s="11"/>
      <c r="BZ289" s="106"/>
      <c r="CA289" s="101"/>
      <c r="CB289" s="107"/>
      <c r="CC289" s="11"/>
      <c r="CD289" s="101"/>
      <c r="CE289" s="108"/>
      <c r="CF289" s="8"/>
      <c r="DK289" s="11"/>
      <c r="DL289" s="11"/>
      <c r="DM289" s="11"/>
      <c r="DN289" s="11"/>
      <c r="DO289" s="11"/>
      <c r="DP289" s="11"/>
      <c r="DX289" s="99"/>
      <c r="DY289" s="99"/>
      <c r="DZ289" s="99"/>
      <c r="EH289" s="100"/>
      <c r="EI289" s="100"/>
      <c r="EJ289" s="100"/>
      <c r="EK289" s="101"/>
      <c r="EL289" s="80"/>
      <c r="EM289" s="102"/>
      <c r="EN289" s="102"/>
      <c r="EO289" s="103"/>
      <c r="EP289" s="104"/>
      <c r="EQ289" s="28"/>
      <c r="ER289" s="102"/>
      <c r="ES289" s="102"/>
      <c r="ET289" s="102"/>
      <c r="EU289" s="102"/>
      <c r="EV289" s="105"/>
      <c r="EW289" s="101"/>
      <c r="EX289" s="105"/>
      <c r="EY289" s="11"/>
      <c r="EZ289" s="106"/>
      <c r="FA289" s="101"/>
      <c r="FB289" s="107"/>
      <c r="FC289" s="11"/>
      <c r="FD289" s="101"/>
      <c r="FE289" s="108"/>
      <c r="FF289" s="8"/>
    </row>
    <row r="290" spans="37:162">
      <c r="AK290" s="11"/>
      <c r="AL290" s="11"/>
      <c r="AM290" s="11"/>
      <c r="AN290" s="11"/>
      <c r="AO290" s="11"/>
      <c r="AP290" s="11"/>
      <c r="AX290" s="99"/>
      <c r="AY290" s="99"/>
      <c r="AZ290" s="99"/>
      <c r="BH290" s="100"/>
      <c r="BI290" s="100"/>
      <c r="BJ290" s="100"/>
      <c r="BK290" s="101"/>
      <c r="BL290" s="80"/>
      <c r="BM290" s="102"/>
      <c r="BN290" s="102"/>
      <c r="BO290" s="103"/>
      <c r="BP290" s="104"/>
      <c r="BQ290" s="28"/>
      <c r="BR290" s="102"/>
      <c r="BS290" s="102"/>
      <c r="BT290" s="102"/>
      <c r="BU290" s="102"/>
      <c r="BV290" s="105"/>
      <c r="BW290" s="101"/>
      <c r="BX290" s="105"/>
      <c r="BY290" s="11"/>
      <c r="BZ290" s="106"/>
      <c r="CA290" s="101"/>
      <c r="CB290" s="107"/>
      <c r="CC290" s="11"/>
      <c r="CD290" s="101"/>
      <c r="CE290" s="108"/>
      <c r="CF290" s="8"/>
      <c r="DK290" s="11"/>
      <c r="DL290" s="11"/>
      <c r="DM290" s="11"/>
      <c r="DN290" s="11"/>
      <c r="DO290" s="11"/>
      <c r="DP290" s="11"/>
      <c r="DX290" s="99"/>
      <c r="DY290" s="99"/>
      <c r="DZ290" s="99"/>
      <c r="EH290" s="100"/>
      <c r="EI290" s="100"/>
      <c r="EJ290" s="100"/>
      <c r="EK290" s="101"/>
      <c r="EL290" s="80"/>
      <c r="EM290" s="102"/>
      <c r="EN290" s="102"/>
      <c r="EO290" s="103"/>
      <c r="EP290" s="104"/>
      <c r="EQ290" s="28"/>
      <c r="ER290" s="102"/>
      <c r="ES290" s="102"/>
      <c r="ET290" s="102"/>
      <c r="EU290" s="102"/>
      <c r="EV290" s="105"/>
      <c r="EW290" s="101"/>
      <c r="EX290" s="105"/>
      <c r="EY290" s="11"/>
      <c r="EZ290" s="106"/>
      <c r="FA290" s="101"/>
      <c r="FB290" s="107"/>
      <c r="FC290" s="11"/>
      <c r="FD290" s="101"/>
      <c r="FE290" s="108"/>
      <c r="FF290" s="8"/>
    </row>
    <row r="291" spans="37:162">
      <c r="AK291" s="11"/>
      <c r="AL291" s="11"/>
      <c r="AM291" s="11"/>
      <c r="AN291" s="11"/>
      <c r="AO291" s="11"/>
      <c r="AP291" s="11"/>
      <c r="AX291" s="99"/>
      <c r="AY291" s="99"/>
      <c r="AZ291" s="99"/>
      <c r="BH291" s="100"/>
      <c r="BI291" s="100"/>
      <c r="BJ291" s="100"/>
      <c r="BK291" s="101"/>
      <c r="BL291" s="80"/>
      <c r="BM291" s="102"/>
      <c r="BN291" s="102"/>
      <c r="BO291" s="103"/>
      <c r="BP291" s="104"/>
      <c r="BQ291" s="28"/>
      <c r="BR291" s="102"/>
      <c r="BS291" s="102"/>
      <c r="BT291" s="102"/>
      <c r="BU291" s="102"/>
      <c r="BV291" s="105"/>
      <c r="BW291" s="101"/>
      <c r="BX291" s="105"/>
      <c r="BY291" s="11"/>
      <c r="BZ291" s="106"/>
      <c r="CA291" s="101"/>
      <c r="CB291" s="107"/>
      <c r="CC291" s="11"/>
      <c r="CD291" s="101"/>
      <c r="CE291" s="108"/>
      <c r="CF291" s="8"/>
      <c r="DK291" s="11"/>
      <c r="DL291" s="11"/>
      <c r="DM291" s="11"/>
      <c r="DN291" s="11"/>
      <c r="DO291" s="11"/>
      <c r="DP291" s="11"/>
      <c r="DX291" s="99"/>
      <c r="DY291" s="99"/>
      <c r="DZ291" s="99"/>
      <c r="EH291" s="100"/>
      <c r="EI291" s="100"/>
      <c r="EJ291" s="100"/>
      <c r="EK291" s="101"/>
      <c r="EL291" s="80"/>
      <c r="EM291" s="102"/>
      <c r="EN291" s="102"/>
      <c r="EO291" s="103"/>
      <c r="EP291" s="104"/>
      <c r="EQ291" s="28"/>
      <c r="ER291" s="102"/>
      <c r="ES291" s="102"/>
      <c r="ET291" s="102"/>
      <c r="EU291" s="102"/>
      <c r="EV291" s="105"/>
      <c r="EW291" s="101"/>
      <c r="EX291" s="105"/>
      <c r="EY291" s="11"/>
      <c r="EZ291" s="106"/>
      <c r="FA291" s="101"/>
      <c r="FB291" s="107"/>
      <c r="FC291" s="11"/>
      <c r="FD291" s="101"/>
      <c r="FE291" s="108"/>
      <c r="FF291" s="8"/>
    </row>
    <row r="292" spans="37:162">
      <c r="AK292" s="11"/>
      <c r="AL292" s="11"/>
      <c r="AM292" s="11"/>
      <c r="AN292" s="11"/>
      <c r="AO292" s="11"/>
      <c r="AP292" s="11"/>
      <c r="AX292" s="99"/>
      <c r="AY292" s="99"/>
      <c r="AZ292" s="99"/>
      <c r="BH292" s="100"/>
      <c r="BI292" s="100"/>
      <c r="BJ292" s="100"/>
      <c r="BK292" s="101"/>
      <c r="BL292" s="80"/>
      <c r="BM292" s="102"/>
      <c r="BN292" s="102"/>
      <c r="BO292" s="103"/>
      <c r="BP292" s="104"/>
      <c r="BQ292" s="28"/>
      <c r="BR292" s="102"/>
      <c r="BS292" s="102"/>
      <c r="BT292" s="102"/>
      <c r="BU292" s="102"/>
      <c r="BV292" s="105"/>
      <c r="BW292" s="101"/>
      <c r="BX292" s="105"/>
      <c r="BY292" s="11"/>
      <c r="BZ292" s="106"/>
      <c r="CA292" s="101"/>
      <c r="CB292" s="107"/>
      <c r="CC292" s="11"/>
      <c r="CD292" s="101"/>
      <c r="CE292" s="108"/>
      <c r="CF292" s="8"/>
      <c r="DK292" s="11"/>
      <c r="DL292" s="11"/>
      <c r="DM292" s="11"/>
      <c r="DN292" s="11"/>
      <c r="DO292" s="11"/>
      <c r="DP292" s="11"/>
      <c r="DX292" s="99"/>
      <c r="DY292" s="99"/>
      <c r="DZ292" s="99"/>
      <c r="EH292" s="100"/>
      <c r="EI292" s="100"/>
      <c r="EJ292" s="100"/>
      <c r="EK292" s="101"/>
      <c r="EL292" s="80"/>
      <c r="EM292" s="102"/>
      <c r="EN292" s="102"/>
      <c r="EO292" s="103"/>
      <c r="EP292" s="104"/>
      <c r="EQ292" s="28"/>
      <c r="ER292" s="102"/>
      <c r="ES292" s="102"/>
      <c r="ET292" s="102"/>
      <c r="EU292" s="102"/>
      <c r="EV292" s="105"/>
      <c r="EW292" s="101"/>
      <c r="EX292" s="105"/>
      <c r="EY292" s="11"/>
      <c r="EZ292" s="106"/>
      <c r="FA292" s="101"/>
      <c r="FB292" s="107"/>
      <c r="FC292" s="11"/>
      <c r="FD292" s="101"/>
      <c r="FE292" s="108"/>
      <c r="FF292" s="8"/>
    </row>
    <row r="293" spans="37:162">
      <c r="AK293" s="11"/>
      <c r="AL293" s="11"/>
      <c r="AM293" s="11"/>
      <c r="AN293" s="11"/>
      <c r="AO293" s="11"/>
      <c r="AP293" s="11"/>
      <c r="AX293" s="99"/>
      <c r="AY293" s="99"/>
      <c r="AZ293" s="99"/>
      <c r="BH293" s="100"/>
      <c r="BI293" s="100"/>
      <c r="BJ293" s="100"/>
      <c r="BK293" s="101"/>
      <c r="BL293" s="80"/>
      <c r="BM293" s="102"/>
      <c r="BN293" s="102"/>
      <c r="BO293" s="103"/>
      <c r="BP293" s="104"/>
      <c r="BQ293" s="28"/>
      <c r="BR293" s="102"/>
      <c r="BS293" s="102"/>
      <c r="BT293" s="102"/>
      <c r="BU293" s="102"/>
      <c r="BV293" s="105"/>
      <c r="BW293" s="101"/>
      <c r="BX293" s="105"/>
      <c r="BY293" s="11"/>
      <c r="BZ293" s="106"/>
      <c r="CA293" s="101"/>
      <c r="CB293" s="107"/>
      <c r="CC293" s="11"/>
      <c r="CD293" s="101"/>
      <c r="CE293" s="108"/>
      <c r="CF293" s="8"/>
      <c r="DK293" s="11"/>
      <c r="DL293" s="11"/>
      <c r="DM293" s="11"/>
      <c r="DN293" s="11"/>
      <c r="DO293" s="11"/>
      <c r="DP293" s="11"/>
      <c r="DX293" s="99"/>
      <c r="DY293" s="99"/>
      <c r="DZ293" s="99"/>
      <c r="EH293" s="100"/>
      <c r="EI293" s="100"/>
      <c r="EJ293" s="100"/>
      <c r="EK293" s="101"/>
      <c r="EL293" s="80"/>
      <c r="EM293" s="102"/>
      <c r="EN293" s="102"/>
      <c r="EO293" s="103"/>
      <c r="EP293" s="104"/>
      <c r="EQ293" s="28"/>
      <c r="ER293" s="102"/>
      <c r="ES293" s="102"/>
      <c r="ET293" s="102"/>
      <c r="EU293" s="102"/>
      <c r="EV293" s="105"/>
      <c r="EW293" s="101"/>
      <c r="EX293" s="105"/>
      <c r="EY293" s="11"/>
      <c r="EZ293" s="106"/>
      <c r="FA293" s="101"/>
      <c r="FB293" s="107"/>
      <c r="FC293" s="11"/>
      <c r="FD293" s="101"/>
      <c r="FE293" s="108"/>
      <c r="FF293" s="8"/>
    </row>
    <row r="294" spans="37:162">
      <c r="AK294" s="11"/>
      <c r="AL294" s="11"/>
      <c r="AM294" s="11"/>
      <c r="AN294" s="11"/>
      <c r="AO294" s="11"/>
      <c r="AP294" s="11"/>
      <c r="AX294" s="99"/>
      <c r="AY294" s="99"/>
      <c r="AZ294" s="99"/>
      <c r="BH294" s="100"/>
      <c r="BI294" s="100"/>
      <c r="BJ294" s="100"/>
      <c r="BK294" s="101"/>
      <c r="BL294" s="80"/>
      <c r="BM294" s="102"/>
      <c r="BN294" s="102"/>
      <c r="BO294" s="103"/>
      <c r="BP294" s="104"/>
      <c r="BQ294" s="28"/>
      <c r="BR294" s="102"/>
      <c r="BS294" s="102"/>
      <c r="BT294" s="102"/>
      <c r="BU294" s="102"/>
      <c r="BV294" s="105"/>
      <c r="BW294" s="101"/>
      <c r="BX294" s="105"/>
      <c r="BY294" s="11"/>
      <c r="BZ294" s="106"/>
      <c r="CA294" s="101"/>
      <c r="CB294" s="107"/>
      <c r="CC294" s="11"/>
      <c r="CD294" s="101"/>
      <c r="CE294" s="108"/>
      <c r="CF294" s="8"/>
      <c r="DK294" s="11"/>
      <c r="DL294" s="11"/>
      <c r="DM294" s="11"/>
      <c r="DN294" s="11"/>
      <c r="DO294" s="11"/>
      <c r="DP294" s="11"/>
      <c r="DX294" s="99"/>
      <c r="DY294" s="99"/>
      <c r="DZ294" s="99"/>
      <c r="EH294" s="100"/>
      <c r="EI294" s="100"/>
      <c r="EJ294" s="100"/>
      <c r="EK294" s="101"/>
      <c r="EL294" s="80"/>
      <c r="EM294" s="102"/>
      <c r="EN294" s="102"/>
      <c r="EO294" s="103"/>
      <c r="EP294" s="104"/>
      <c r="EQ294" s="28"/>
      <c r="ER294" s="102"/>
      <c r="ES294" s="102"/>
      <c r="ET294" s="102"/>
      <c r="EU294" s="102"/>
      <c r="EV294" s="105"/>
      <c r="EW294" s="101"/>
      <c r="EX294" s="105"/>
      <c r="EY294" s="11"/>
      <c r="EZ294" s="106"/>
      <c r="FA294" s="101"/>
      <c r="FB294" s="107"/>
      <c r="FC294" s="11"/>
      <c r="FD294" s="101"/>
      <c r="FE294" s="108"/>
      <c r="FF294" s="8"/>
    </row>
    <row r="295" spans="37:162">
      <c r="AK295" s="11"/>
      <c r="AL295" s="11"/>
      <c r="AM295" s="11"/>
      <c r="AN295" s="11"/>
      <c r="AO295" s="11"/>
      <c r="AP295" s="11"/>
      <c r="AX295" s="99"/>
      <c r="AY295" s="99"/>
      <c r="AZ295" s="99"/>
      <c r="BH295" s="100"/>
      <c r="BI295" s="100"/>
      <c r="BJ295" s="100"/>
      <c r="BK295" s="101"/>
      <c r="BL295" s="80"/>
      <c r="BM295" s="102"/>
      <c r="BN295" s="102"/>
      <c r="BO295" s="103"/>
      <c r="BP295" s="104"/>
      <c r="BQ295" s="28"/>
      <c r="BR295" s="102"/>
      <c r="BS295" s="102"/>
      <c r="BT295" s="102"/>
      <c r="BU295" s="102"/>
      <c r="BV295" s="105"/>
      <c r="BW295" s="101"/>
      <c r="BX295" s="105"/>
      <c r="BY295" s="11"/>
      <c r="BZ295" s="106"/>
      <c r="CA295" s="101"/>
      <c r="CB295" s="107"/>
      <c r="CC295" s="11"/>
      <c r="CD295" s="101"/>
      <c r="CE295" s="108"/>
      <c r="CF295" s="8"/>
      <c r="DK295" s="11"/>
      <c r="DL295" s="11"/>
      <c r="DM295" s="11"/>
      <c r="DN295" s="11"/>
      <c r="DO295" s="11"/>
      <c r="DP295" s="11"/>
      <c r="DX295" s="99"/>
      <c r="DY295" s="99"/>
      <c r="DZ295" s="99"/>
      <c r="EH295" s="100"/>
      <c r="EI295" s="100"/>
      <c r="EJ295" s="100"/>
      <c r="EK295" s="101"/>
      <c r="EL295" s="80"/>
      <c r="EM295" s="102"/>
      <c r="EN295" s="102"/>
      <c r="EO295" s="103"/>
      <c r="EP295" s="104"/>
      <c r="EQ295" s="28"/>
      <c r="ER295" s="102"/>
      <c r="ES295" s="102"/>
      <c r="ET295" s="102"/>
      <c r="EU295" s="102"/>
      <c r="EV295" s="105"/>
      <c r="EW295" s="101"/>
      <c r="EX295" s="105"/>
      <c r="EY295" s="11"/>
      <c r="EZ295" s="106"/>
      <c r="FA295" s="101"/>
      <c r="FB295" s="107"/>
      <c r="FC295" s="11"/>
      <c r="FD295" s="101"/>
      <c r="FE295" s="108"/>
      <c r="FF295" s="8"/>
    </row>
    <row r="296" spans="37:162">
      <c r="AK296" s="11"/>
      <c r="AL296" s="11"/>
      <c r="AM296" s="11"/>
      <c r="AN296" s="11"/>
      <c r="AO296" s="11"/>
      <c r="AP296" s="11"/>
      <c r="AX296" s="99"/>
      <c r="AY296" s="99"/>
      <c r="AZ296" s="99"/>
      <c r="BH296" s="100"/>
      <c r="BI296" s="100"/>
      <c r="BJ296" s="100"/>
      <c r="BK296" s="101"/>
      <c r="BL296" s="80"/>
      <c r="BM296" s="102"/>
      <c r="BN296" s="102"/>
      <c r="BO296" s="103"/>
      <c r="BP296" s="104"/>
      <c r="BQ296" s="28"/>
      <c r="BR296" s="102"/>
      <c r="BS296" s="102"/>
      <c r="BT296" s="102"/>
      <c r="BU296" s="102"/>
      <c r="BV296" s="105"/>
      <c r="BW296" s="101"/>
      <c r="BX296" s="105"/>
      <c r="BY296" s="11"/>
      <c r="BZ296" s="106"/>
      <c r="CA296" s="101"/>
      <c r="CB296" s="107"/>
      <c r="CC296" s="11"/>
      <c r="CD296" s="101"/>
      <c r="CE296" s="108"/>
      <c r="CF296" s="8"/>
      <c r="DK296" s="11"/>
      <c r="DL296" s="11"/>
      <c r="DM296" s="11"/>
      <c r="DN296" s="11"/>
      <c r="DO296" s="11"/>
      <c r="DP296" s="11"/>
      <c r="DX296" s="99"/>
      <c r="DY296" s="99"/>
      <c r="DZ296" s="99"/>
      <c r="EH296" s="100"/>
      <c r="EI296" s="100"/>
      <c r="EJ296" s="100"/>
      <c r="EK296" s="101"/>
      <c r="EL296" s="80"/>
      <c r="EM296" s="102"/>
      <c r="EN296" s="102"/>
      <c r="EO296" s="103"/>
      <c r="EP296" s="104"/>
      <c r="EQ296" s="28"/>
      <c r="ER296" s="102"/>
      <c r="ES296" s="102"/>
      <c r="ET296" s="102"/>
      <c r="EU296" s="102"/>
      <c r="EV296" s="105"/>
      <c r="EW296" s="101"/>
      <c r="EX296" s="105"/>
      <c r="EY296" s="11"/>
      <c r="EZ296" s="106"/>
      <c r="FA296" s="101"/>
      <c r="FB296" s="107"/>
      <c r="FC296" s="11"/>
      <c r="FD296" s="101"/>
      <c r="FE296" s="108"/>
      <c r="FF296" s="8"/>
    </row>
    <row r="297" spans="37:162">
      <c r="AK297" s="11"/>
      <c r="AL297" s="11"/>
      <c r="AM297" s="11"/>
      <c r="AN297" s="11"/>
      <c r="AO297" s="11"/>
      <c r="AP297" s="11"/>
      <c r="AX297" s="99"/>
      <c r="AY297" s="99"/>
      <c r="AZ297" s="99"/>
      <c r="BH297" s="100"/>
      <c r="BI297" s="100"/>
      <c r="BJ297" s="100"/>
      <c r="BK297" s="101"/>
      <c r="BL297" s="80"/>
      <c r="BM297" s="102"/>
      <c r="BN297" s="102"/>
      <c r="BO297" s="103"/>
      <c r="BP297" s="104"/>
      <c r="BQ297" s="28"/>
      <c r="BR297" s="102"/>
      <c r="BS297" s="102"/>
      <c r="BT297" s="102"/>
      <c r="BU297" s="102"/>
      <c r="BV297" s="105"/>
      <c r="BW297" s="101"/>
      <c r="BX297" s="105"/>
      <c r="BY297" s="11"/>
      <c r="BZ297" s="106"/>
      <c r="CA297" s="101"/>
      <c r="CB297" s="107"/>
      <c r="CC297" s="11"/>
      <c r="CD297" s="101"/>
      <c r="CE297" s="108"/>
      <c r="CF297" s="8"/>
      <c r="DK297" s="11"/>
      <c r="DL297" s="11"/>
      <c r="DM297" s="11"/>
      <c r="DN297" s="11"/>
      <c r="DO297" s="11"/>
      <c r="DP297" s="11"/>
      <c r="DX297" s="99"/>
      <c r="DY297" s="99"/>
      <c r="DZ297" s="99"/>
      <c r="EH297" s="100"/>
      <c r="EI297" s="100"/>
      <c r="EJ297" s="100"/>
      <c r="EK297" s="101"/>
      <c r="EL297" s="80"/>
      <c r="EM297" s="102"/>
      <c r="EN297" s="102"/>
      <c r="EO297" s="103"/>
      <c r="EP297" s="104"/>
      <c r="EQ297" s="28"/>
      <c r="ER297" s="102"/>
      <c r="ES297" s="102"/>
      <c r="ET297" s="102"/>
      <c r="EU297" s="102"/>
      <c r="EV297" s="105"/>
      <c r="EW297" s="101"/>
      <c r="EX297" s="105"/>
      <c r="EY297" s="11"/>
      <c r="EZ297" s="106"/>
      <c r="FA297" s="101"/>
      <c r="FB297" s="107"/>
      <c r="FC297" s="11"/>
      <c r="FD297" s="101"/>
      <c r="FE297" s="108"/>
      <c r="FF297" s="8"/>
    </row>
    <row r="298" spans="37:162">
      <c r="AK298" s="11"/>
      <c r="AL298" s="11"/>
      <c r="AM298" s="11"/>
      <c r="AN298" s="11"/>
      <c r="AO298" s="11"/>
      <c r="AP298" s="11"/>
      <c r="AX298" s="99"/>
      <c r="AY298" s="99"/>
      <c r="AZ298" s="99"/>
      <c r="BH298" s="100"/>
      <c r="BI298" s="100"/>
      <c r="BJ298" s="100"/>
      <c r="BK298" s="101"/>
      <c r="BL298" s="80"/>
      <c r="BM298" s="102"/>
      <c r="BN298" s="102"/>
      <c r="BO298" s="103"/>
      <c r="BP298" s="104"/>
      <c r="BQ298" s="28"/>
      <c r="BR298" s="102"/>
      <c r="BS298" s="102"/>
      <c r="BT298" s="102"/>
      <c r="BU298" s="102"/>
      <c r="BV298" s="105"/>
      <c r="BW298" s="101"/>
      <c r="BX298" s="105"/>
      <c r="BY298" s="11"/>
      <c r="BZ298" s="106"/>
      <c r="CA298" s="101"/>
      <c r="CB298" s="107"/>
      <c r="CC298" s="11"/>
      <c r="CD298" s="101"/>
      <c r="CE298" s="108"/>
      <c r="CF298" s="8"/>
      <c r="DK298" s="11"/>
      <c r="DL298" s="11"/>
      <c r="DM298" s="11"/>
      <c r="DN298" s="11"/>
      <c r="DO298" s="11"/>
      <c r="DP298" s="11"/>
      <c r="DX298" s="99"/>
      <c r="DY298" s="99"/>
      <c r="DZ298" s="99"/>
      <c r="EH298" s="100"/>
      <c r="EI298" s="100"/>
      <c r="EJ298" s="100"/>
      <c r="EK298" s="101"/>
      <c r="EL298" s="80"/>
      <c r="EM298" s="102"/>
      <c r="EN298" s="102"/>
      <c r="EO298" s="103"/>
      <c r="EP298" s="104"/>
      <c r="EQ298" s="28"/>
      <c r="ER298" s="102"/>
      <c r="ES298" s="102"/>
      <c r="ET298" s="102"/>
      <c r="EU298" s="102"/>
      <c r="EV298" s="105"/>
      <c r="EW298" s="101"/>
      <c r="EX298" s="105"/>
      <c r="EY298" s="11"/>
      <c r="EZ298" s="106"/>
      <c r="FA298" s="101"/>
      <c r="FB298" s="107"/>
      <c r="FC298" s="11"/>
      <c r="FD298" s="101"/>
      <c r="FE298" s="108"/>
      <c r="FF298" s="8"/>
    </row>
    <row r="299" spans="37:162">
      <c r="AK299" s="11"/>
      <c r="AL299" s="11"/>
      <c r="AM299" s="11"/>
      <c r="AN299" s="11"/>
      <c r="AO299" s="11"/>
      <c r="AP299" s="11"/>
      <c r="AX299" s="99"/>
      <c r="AY299" s="99"/>
      <c r="AZ299" s="99"/>
      <c r="BH299" s="100"/>
      <c r="BI299" s="100"/>
      <c r="BJ299" s="100"/>
      <c r="BK299" s="101"/>
      <c r="BL299" s="80"/>
      <c r="BM299" s="102"/>
      <c r="BN299" s="102"/>
      <c r="BO299" s="103"/>
      <c r="BP299" s="104"/>
      <c r="BQ299" s="28"/>
      <c r="BR299" s="102"/>
      <c r="BS299" s="102"/>
      <c r="BT299" s="102"/>
      <c r="BU299" s="102"/>
      <c r="BV299" s="105"/>
      <c r="BW299" s="101"/>
      <c r="BX299" s="105"/>
      <c r="BY299" s="11"/>
      <c r="BZ299" s="106"/>
      <c r="CA299" s="101"/>
      <c r="CB299" s="107"/>
      <c r="CC299" s="11"/>
      <c r="CD299" s="101"/>
      <c r="CE299" s="108"/>
      <c r="CF299" s="8"/>
      <c r="DK299" s="11"/>
      <c r="DL299" s="11"/>
      <c r="DM299" s="11"/>
      <c r="DN299" s="11"/>
      <c r="DO299" s="11"/>
      <c r="DP299" s="11"/>
      <c r="DX299" s="99"/>
      <c r="DY299" s="99"/>
      <c r="DZ299" s="99"/>
      <c r="EH299" s="100"/>
      <c r="EI299" s="100"/>
      <c r="EJ299" s="100"/>
      <c r="EK299" s="101"/>
      <c r="EL299" s="80"/>
      <c r="EM299" s="102"/>
      <c r="EN299" s="102"/>
      <c r="EO299" s="103"/>
      <c r="EP299" s="104"/>
      <c r="EQ299" s="28"/>
      <c r="ER299" s="102"/>
      <c r="ES299" s="102"/>
      <c r="ET299" s="102"/>
      <c r="EU299" s="102"/>
      <c r="EV299" s="105"/>
      <c r="EW299" s="101"/>
      <c r="EX299" s="105"/>
      <c r="EY299" s="11"/>
      <c r="EZ299" s="106"/>
      <c r="FA299" s="101"/>
      <c r="FB299" s="107"/>
      <c r="FC299" s="11"/>
      <c r="FD299" s="101"/>
      <c r="FE299" s="108"/>
      <c r="FF299" s="8"/>
    </row>
    <row r="300" spans="37:162">
      <c r="AK300" s="11"/>
      <c r="AL300" s="11"/>
      <c r="AM300" s="11"/>
      <c r="AN300" s="11"/>
      <c r="AO300" s="11"/>
      <c r="AP300" s="11"/>
      <c r="AX300" s="99"/>
      <c r="AY300" s="99"/>
      <c r="AZ300" s="99"/>
      <c r="BH300" s="100"/>
      <c r="BI300" s="100"/>
      <c r="BJ300" s="100"/>
      <c r="BK300" s="101"/>
      <c r="BL300" s="80"/>
      <c r="BM300" s="102"/>
      <c r="BN300" s="102"/>
      <c r="BO300" s="103"/>
      <c r="BP300" s="104"/>
      <c r="BQ300" s="28"/>
      <c r="BR300" s="102"/>
      <c r="BS300" s="102"/>
      <c r="BT300" s="102"/>
      <c r="BU300" s="102"/>
      <c r="BV300" s="105"/>
      <c r="BW300" s="101"/>
      <c r="BX300" s="105"/>
      <c r="BY300" s="11"/>
      <c r="BZ300" s="106"/>
      <c r="CA300" s="101"/>
      <c r="CB300" s="107"/>
      <c r="CC300" s="11"/>
      <c r="CD300" s="101"/>
      <c r="CE300" s="108"/>
      <c r="CF300" s="8"/>
      <c r="DK300" s="11"/>
      <c r="DL300" s="11"/>
      <c r="DM300" s="11"/>
      <c r="DN300" s="11"/>
      <c r="DO300" s="11"/>
      <c r="DP300" s="11"/>
      <c r="DX300" s="99"/>
      <c r="DY300" s="99"/>
      <c r="DZ300" s="99"/>
      <c r="EH300" s="100"/>
      <c r="EI300" s="100"/>
      <c r="EJ300" s="100"/>
      <c r="EK300" s="101"/>
      <c r="EL300" s="80"/>
      <c r="EM300" s="102"/>
      <c r="EN300" s="102"/>
      <c r="EO300" s="103"/>
      <c r="EP300" s="104"/>
      <c r="EQ300" s="28"/>
      <c r="ER300" s="102"/>
      <c r="ES300" s="102"/>
      <c r="ET300" s="102"/>
      <c r="EU300" s="102"/>
      <c r="EV300" s="105"/>
      <c r="EW300" s="101"/>
      <c r="EX300" s="105"/>
      <c r="EY300" s="11"/>
      <c r="EZ300" s="106"/>
      <c r="FA300" s="101"/>
      <c r="FB300" s="107"/>
      <c r="FC300" s="11"/>
      <c r="FD300" s="101"/>
      <c r="FE300" s="108"/>
      <c r="FF300" s="8"/>
    </row>
    <row r="301" spans="37:162">
      <c r="AK301" s="11"/>
      <c r="AL301" s="11"/>
      <c r="AM301" s="11"/>
      <c r="AN301" s="11"/>
      <c r="AO301" s="11"/>
      <c r="AP301" s="11"/>
      <c r="AX301" s="99"/>
      <c r="AY301" s="99"/>
      <c r="AZ301" s="99"/>
      <c r="BH301" s="100"/>
      <c r="BI301" s="100"/>
      <c r="BJ301" s="100"/>
      <c r="BK301" s="101"/>
      <c r="BL301" s="80"/>
      <c r="BM301" s="102"/>
      <c r="BN301" s="102"/>
      <c r="BO301" s="103"/>
      <c r="BP301" s="104"/>
      <c r="BQ301" s="28"/>
      <c r="BR301" s="102"/>
      <c r="BS301" s="102"/>
      <c r="BT301" s="102"/>
      <c r="BU301" s="102"/>
      <c r="BV301" s="105"/>
      <c r="BW301" s="101"/>
      <c r="BX301" s="105"/>
      <c r="BY301" s="11"/>
      <c r="BZ301" s="106"/>
      <c r="CA301" s="101"/>
      <c r="CB301" s="107"/>
      <c r="CC301" s="11"/>
      <c r="CD301" s="101"/>
      <c r="CE301" s="108"/>
      <c r="CF301" s="8"/>
      <c r="DK301" s="11"/>
      <c r="DL301" s="11"/>
      <c r="DM301" s="11"/>
      <c r="DN301" s="11"/>
      <c r="DO301" s="11"/>
      <c r="DP301" s="11"/>
      <c r="DX301" s="99"/>
      <c r="DY301" s="99"/>
      <c r="DZ301" s="99"/>
      <c r="EH301" s="100"/>
      <c r="EI301" s="100"/>
      <c r="EJ301" s="100"/>
      <c r="EK301" s="101"/>
      <c r="EL301" s="80"/>
      <c r="EM301" s="102"/>
      <c r="EN301" s="102"/>
      <c r="EO301" s="103"/>
      <c r="EP301" s="104"/>
      <c r="EQ301" s="28"/>
      <c r="ER301" s="102"/>
      <c r="ES301" s="102"/>
      <c r="ET301" s="102"/>
      <c r="EU301" s="102"/>
      <c r="EV301" s="105"/>
      <c r="EW301" s="101"/>
      <c r="EX301" s="105"/>
      <c r="EY301" s="11"/>
      <c r="EZ301" s="106"/>
      <c r="FA301" s="101"/>
      <c r="FB301" s="107"/>
      <c r="FC301" s="11"/>
      <c r="FD301" s="101"/>
      <c r="FE301" s="108"/>
      <c r="FF301" s="8"/>
    </row>
    <row r="302" spans="37:162">
      <c r="AK302" s="11"/>
      <c r="AL302" s="11"/>
      <c r="AM302" s="11"/>
      <c r="AN302" s="11"/>
      <c r="AO302" s="11"/>
      <c r="AP302" s="11"/>
      <c r="AX302" s="99"/>
      <c r="AY302" s="99"/>
      <c r="AZ302" s="99"/>
      <c r="BH302" s="100"/>
      <c r="BI302" s="100"/>
      <c r="BJ302" s="100"/>
      <c r="BK302" s="101"/>
      <c r="BL302" s="80"/>
      <c r="BM302" s="102"/>
      <c r="BN302" s="102"/>
      <c r="BO302" s="103"/>
      <c r="BP302" s="104"/>
      <c r="BQ302" s="28"/>
      <c r="BR302" s="102"/>
      <c r="BS302" s="102"/>
      <c r="BT302" s="102"/>
      <c r="BU302" s="102"/>
      <c r="BV302" s="105"/>
      <c r="BW302" s="101"/>
      <c r="BX302" s="105"/>
      <c r="BY302" s="11"/>
      <c r="BZ302" s="106"/>
      <c r="CA302" s="101"/>
      <c r="CB302" s="107"/>
      <c r="CC302" s="11"/>
      <c r="CD302" s="101"/>
      <c r="CE302" s="108"/>
      <c r="CF302" s="8"/>
      <c r="DK302" s="11"/>
      <c r="DL302" s="11"/>
      <c r="DM302" s="11"/>
      <c r="DN302" s="11"/>
      <c r="DO302" s="11"/>
      <c r="DP302" s="11"/>
      <c r="DX302" s="99"/>
      <c r="DY302" s="99"/>
      <c r="DZ302" s="99"/>
      <c r="EH302" s="100"/>
      <c r="EI302" s="100"/>
      <c r="EJ302" s="100"/>
      <c r="EK302" s="101"/>
      <c r="EL302" s="80"/>
      <c r="EM302" s="102"/>
      <c r="EN302" s="102"/>
      <c r="EO302" s="103"/>
      <c r="EP302" s="104"/>
      <c r="EQ302" s="28"/>
      <c r="ER302" s="102"/>
      <c r="ES302" s="102"/>
      <c r="ET302" s="102"/>
      <c r="EU302" s="102"/>
      <c r="EV302" s="105"/>
      <c r="EW302" s="101"/>
      <c r="EX302" s="105"/>
      <c r="EY302" s="11"/>
      <c r="EZ302" s="106"/>
      <c r="FA302" s="101"/>
      <c r="FB302" s="107"/>
      <c r="FC302" s="11"/>
      <c r="FD302" s="101"/>
      <c r="FE302" s="108"/>
      <c r="FF302" s="8"/>
    </row>
    <row r="303" spans="37:162">
      <c r="AK303" s="11"/>
      <c r="AL303" s="11"/>
      <c r="AM303" s="11"/>
      <c r="AN303" s="11"/>
      <c r="AO303" s="11"/>
      <c r="AP303" s="11"/>
      <c r="AX303" s="99"/>
      <c r="AY303" s="99"/>
      <c r="AZ303" s="99"/>
      <c r="BH303" s="100"/>
      <c r="BI303" s="100"/>
      <c r="BJ303" s="100"/>
      <c r="BK303" s="101"/>
      <c r="BL303" s="80"/>
      <c r="BM303" s="102"/>
      <c r="BN303" s="102"/>
      <c r="BO303" s="103"/>
      <c r="BP303" s="104"/>
      <c r="BQ303" s="28"/>
      <c r="BR303" s="102"/>
      <c r="BS303" s="102"/>
      <c r="BT303" s="102"/>
      <c r="BU303" s="102"/>
      <c r="BV303" s="105"/>
      <c r="BW303" s="101"/>
      <c r="BX303" s="105"/>
      <c r="BY303" s="11"/>
      <c r="BZ303" s="106"/>
      <c r="CA303" s="101"/>
      <c r="CB303" s="107"/>
      <c r="CC303" s="11"/>
      <c r="CD303" s="101"/>
      <c r="CE303" s="108"/>
      <c r="CF303" s="8"/>
      <c r="DK303" s="11"/>
      <c r="DL303" s="11"/>
      <c r="DM303" s="11"/>
      <c r="DN303" s="11"/>
      <c r="DO303" s="11"/>
      <c r="DP303" s="11"/>
      <c r="DX303" s="99"/>
      <c r="DY303" s="99"/>
      <c r="DZ303" s="99"/>
      <c r="EH303" s="100"/>
      <c r="EI303" s="100"/>
      <c r="EJ303" s="100"/>
      <c r="EK303" s="101"/>
      <c r="EL303" s="80"/>
      <c r="EM303" s="102"/>
      <c r="EN303" s="102"/>
      <c r="EO303" s="103"/>
      <c r="EP303" s="104"/>
      <c r="EQ303" s="28"/>
      <c r="ER303" s="102"/>
      <c r="ES303" s="102"/>
      <c r="ET303" s="102"/>
      <c r="EU303" s="102"/>
      <c r="EV303" s="105"/>
      <c r="EW303" s="101"/>
      <c r="EX303" s="105"/>
      <c r="EY303" s="11"/>
      <c r="EZ303" s="106"/>
      <c r="FA303" s="101"/>
      <c r="FB303" s="107"/>
      <c r="FC303" s="11"/>
      <c r="FD303" s="101"/>
      <c r="FE303" s="108"/>
      <c r="FF303" s="8"/>
    </row>
    <row r="304" spans="37:162">
      <c r="AK304" s="11"/>
      <c r="AL304" s="11"/>
      <c r="AM304" s="11"/>
      <c r="AN304" s="11"/>
      <c r="AO304" s="11"/>
      <c r="AP304" s="11"/>
      <c r="AX304" s="99"/>
      <c r="AY304" s="99"/>
      <c r="AZ304" s="99"/>
      <c r="BH304" s="100"/>
      <c r="BI304" s="100"/>
      <c r="BJ304" s="100"/>
      <c r="BK304" s="101"/>
      <c r="BL304" s="80"/>
      <c r="BM304" s="102"/>
      <c r="BN304" s="102"/>
      <c r="BO304" s="103"/>
      <c r="BP304" s="104"/>
      <c r="BQ304" s="28"/>
      <c r="BR304" s="102"/>
      <c r="BS304" s="102"/>
      <c r="BT304" s="102"/>
      <c r="BU304" s="102"/>
      <c r="BV304" s="105"/>
      <c r="BW304" s="101"/>
      <c r="BX304" s="105"/>
      <c r="BY304" s="11"/>
      <c r="BZ304" s="106"/>
      <c r="CA304" s="101"/>
      <c r="CB304" s="107"/>
      <c r="CC304" s="11"/>
      <c r="CD304" s="101"/>
      <c r="CE304" s="108"/>
      <c r="CF304" s="8"/>
      <c r="DK304" s="11"/>
      <c r="DL304" s="11"/>
      <c r="DM304" s="11"/>
      <c r="DN304" s="11"/>
      <c r="DO304" s="11"/>
      <c r="DP304" s="11"/>
      <c r="DX304" s="99"/>
      <c r="DY304" s="99"/>
      <c r="DZ304" s="99"/>
      <c r="EH304" s="100"/>
      <c r="EI304" s="100"/>
      <c r="EJ304" s="100"/>
      <c r="EK304" s="101"/>
      <c r="EL304" s="80"/>
      <c r="EM304" s="102"/>
      <c r="EN304" s="102"/>
      <c r="EO304" s="103"/>
      <c r="EP304" s="104"/>
      <c r="EQ304" s="28"/>
      <c r="ER304" s="102"/>
      <c r="ES304" s="102"/>
      <c r="ET304" s="102"/>
      <c r="EU304" s="102"/>
      <c r="EV304" s="105"/>
      <c r="EW304" s="101"/>
      <c r="EX304" s="105"/>
      <c r="EY304" s="11"/>
      <c r="EZ304" s="106"/>
      <c r="FA304" s="101"/>
      <c r="FB304" s="107"/>
      <c r="FC304" s="11"/>
      <c r="FD304" s="101"/>
      <c r="FE304" s="108"/>
      <c r="FF304" s="8"/>
    </row>
    <row r="305" spans="37:162">
      <c r="AK305" s="11"/>
      <c r="AL305" s="11"/>
      <c r="AM305" s="11"/>
      <c r="AN305" s="11"/>
      <c r="AO305" s="11"/>
      <c r="AP305" s="11"/>
      <c r="AX305" s="99"/>
      <c r="AY305" s="99"/>
      <c r="AZ305" s="99"/>
      <c r="BH305" s="100"/>
      <c r="BI305" s="100"/>
      <c r="BJ305" s="100"/>
      <c r="BK305" s="101"/>
      <c r="BL305" s="80"/>
      <c r="BM305" s="102"/>
      <c r="BN305" s="102"/>
      <c r="BO305" s="103"/>
      <c r="BP305" s="104"/>
      <c r="BQ305" s="28"/>
      <c r="BR305" s="102"/>
      <c r="BS305" s="102"/>
      <c r="BT305" s="102"/>
      <c r="BU305" s="102"/>
      <c r="BV305" s="105"/>
      <c r="BW305" s="101"/>
      <c r="BX305" s="105"/>
      <c r="BY305" s="11"/>
      <c r="BZ305" s="106"/>
      <c r="CA305" s="101"/>
      <c r="CB305" s="107"/>
      <c r="CC305" s="11"/>
      <c r="CD305" s="101"/>
      <c r="CE305" s="108"/>
      <c r="CF305" s="8"/>
      <c r="DK305" s="11"/>
      <c r="DL305" s="11"/>
      <c r="DM305" s="11"/>
      <c r="DN305" s="11"/>
      <c r="DO305" s="11"/>
      <c r="DP305" s="11"/>
      <c r="DX305" s="99"/>
      <c r="DY305" s="99"/>
      <c r="DZ305" s="99"/>
      <c r="EH305" s="100"/>
      <c r="EI305" s="100"/>
      <c r="EJ305" s="100"/>
      <c r="EK305" s="101"/>
      <c r="EL305" s="80"/>
      <c r="EM305" s="102"/>
      <c r="EN305" s="102"/>
      <c r="EO305" s="103"/>
      <c r="EP305" s="104"/>
      <c r="EQ305" s="28"/>
      <c r="ER305" s="102"/>
      <c r="ES305" s="102"/>
      <c r="ET305" s="102"/>
      <c r="EU305" s="102"/>
      <c r="EV305" s="105"/>
      <c r="EW305" s="101"/>
      <c r="EX305" s="105"/>
      <c r="EY305" s="11"/>
      <c r="EZ305" s="106"/>
      <c r="FA305" s="101"/>
      <c r="FB305" s="107"/>
      <c r="FC305" s="11"/>
      <c r="FD305" s="101"/>
      <c r="FE305" s="108"/>
      <c r="FF305" s="8"/>
    </row>
    <row r="306" spans="37:162">
      <c r="AK306" s="11"/>
      <c r="AL306" s="11"/>
      <c r="AM306" s="11"/>
      <c r="AN306" s="11"/>
      <c r="AO306" s="11"/>
      <c r="AP306" s="11"/>
      <c r="AX306" s="99"/>
      <c r="AY306" s="99"/>
      <c r="AZ306" s="99"/>
      <c r="BH306" s="100"/>
      <c r="BI306" s="100"/>
      <c r="BJ306" s="100"/>
      <c r="BK306" s="101"/>
      <c r="BL306" s="80"/>
      <c r="BM306" s="102"/>
      <c r="BN306" s="102"/>
      <c r="BO306" s="103"/>
      <c r="BP306" s="104"/>
      <c r="BQ306" s="28"/>
      <c r="BR306" s="102"/>
      <c r="BS306" s="102"/>
      <c r="BT306" s="102"/>
      <c r="BU306" s="102"/>
      <c r="BV306" s="105"/>
      <c r="BW306" s="101"/>
      <c r="BX306" s="105"/>
      <c r="BY306" s="11"/>
      <c r="BZ306" s="106"/>
      <c r="CA306" s="101"/>
      <c r="CB306" s="107"/>
      <c r="CC306" s="11"/>
      <c r="CD306" s="101"/>
      <c r="CE306" s="108"/>
      <c r="CF306" s="8"/>
      <c r="DK306" s="11"/>
      <c r="DL306" s="11"/>
      <c r="DM306" s="11"/>
      <c r="DN306" s="11"/>
      <c r="DO306" s="11"/>
      <c r="DP306" s="11"/>
      <c r="DX306" s="99"/>
      <c r="DY306" s="99"/>
      <c r="DZ306" s="99"/>
      <c r="EH306" s="100"/>
      <c r="EI306" s="100"/>
      <c r="EJ306" s="100"/>
      <c r="EK306" s="101"/>
      <c r="EL306" s="80"/>
      <c r="EM306" s="102"/>
      <c r="EN306" s="102"/>
      <c r="EO306" s="103"/>
      <c r="EP306" s="104"/>
      <c r="EQ306" s="28"/>
      <c r="ER306" s="102"/>
      <c r="ES306" s="102"/>
      <c r="ET306" s="102"/>
      <c r="EU306" s="102"/>
      <c r="EV306" s="105"/>
      <c r="EW306" s="101"/>
      <c r="EX306" s="105"/>
      <c r="EY306" s="11"/>
      <c r="EZ306" s="106"/>
      <c r="FA306" s="101"/>
      <c r="FB306" s="107"/>
      <c r="FC306" s="11"/>
      <c r="FD306" s="101"/>
      <c r="FE306" s="108"/>
      <c r="FF306" s="8"/>
    </row>
    <row r="307" spans="37:162">
      <c r="AK307" s="11"/>
      <c r="AL307" s="11"/>
      <c r="AM307" s="11"/>
      <c r="AN307" s="11"/>
      <c r="AO307" s="11"/>
      <c r="AP307" s="11"/>
      <c r="AX307" s="99"/>
      <c r="AY307" s="99"/>
      <c r="AZ307" s="99"/>
      <c r="BH307" s="100"/>
      <c r="BI307" s="100"/>
      <c r="BJ307" s="100"/>
      <c r="BK307" s="101"/>
      <c r="BL307" s="80"/>
      <c r="BM307" s="102"/>
      <c r="BN307" s="102"/>
      <c r="BO307" s="103"/>
      <c r="BP307" s="104"/>
      <c r="BQ307" s="28"/>
      <c r="BR307" s="102"/>
      <c r="BS307" s="102"/>
      <c r="BT307" s="102"/>
      <c r="BU307" s="102"/>
      <c r="BV307" s="105"/>
      <c r="BW307" s="101"/>
      <c r="BX307" s="105"/>
      <c r="BY307" s="11"/>
      <c r="BZ307" s="106"/>
      <c r="CA307" s="101"/>
      <c r="CB307" s="107"/>
      <c r="CC307" s="11"/>
      <c r="CD307" s="101"/>
      <c r="CE307" s="108"/>
      <c r="CF307" s="8"/>
      <c r="DK307" s="11"/>
      <c r="DL307" s="11"/>
      <c r="DM307" s="11"/>
      <c r="DN307" s="11"/>
      <c r="DO307" s="11"/>
      <c r="DP307" s="11"/>
      <c r="DX307" s="99"/>
      <c r="DY307" s="99"/>
      <c r="DZ307" s="99"/>
      <c r="EH307" s="100"/>
      <c r="EI307" s="100"/>
      <c r="EJ307" s="100"/>
      <c r="EK307" s="101"/>
      <c r="EL307" s="80"/>
      <c r="EM307" s="102"/>
      <c r="EN307" s="102"/>
      <c r="EO307" s="103"/>
      <c r="EP307" s="104"/>
      <c r="EQ307" s="28"/>
      <c r="ER307" s="102"/>
      <c r="ES307" s="102"/>
      <c r="ET307" s="102"/>
      <c r="EU307" s="102"/>
      <c r="EV307" s="105"/>
      <c r="EW307" s="101"/>
      <c r="EX307" s="105"/>
      <c r="EY307" s="11"/>
      <c r="EZ307" s="106"/>
      <c r="FA307" s="101"/>
      <c r="FB307" s="107"/>
      <c r="FC307" s="11"/>
      <c r="FD307" s="101"/>
      <c r="FE307" s="108"/>
      <c r="FF307" s="8"/>
    </row>
    <row r="308" spans="37:162">
      <c r="AK308" s="11"/>
      <c r="AL308" s="11"/>
      <c r="AM308" s="11"/>
      <c r="AN308" s="11"/>
      <c r="AO308" s="11"/>
      <c r="AP308" s="11"/>
      <c r="AX308" s="99"/>
      <c r="AY308" s="99"/>
      <c r="AZ308" s="99"/>
      <c r="BH308" s="100"/>
      <c r="BI308" s="100"/>
      <c r="BJ308" s="100"/>
      <c r="BK308" s="101"/>
      <c r="BL308" s="80"/>
      <c r="BM308" s="102"/>
      <c r="BN308" s="102"/>
      <c r="BO308" s="103"/>
      <c r="BP308" s="104"/>
      <c r="BQ308" s="28"/>
      <c r="BR308" s="102"/>
      <c r="BS308" s="102"/>
      <c r="BT308" s="102"/>
      <c r="BU308" s="102"/>
      <c r="BV308" s="105"/>
      <c r="BW308" s="101"/>
      <c r="BX308" s="105"/>
      <c r="BY308" s="11"/>
      <c r="BZ308" s="106"/>
      <c r="CA308" s="101"/>
      <c r="CB308" s="107"/>
      <c r="CC308" s="11"/>
      <c r="CD308" s="101"/>
      <c r="CE308" s="108"/>
      <c r="CF308" s="8"/>
      <c r="DK308" s="11"/>
      <c r="DL308" s="11"/>
      <c r="DM308" s="11"/>
      <c r="DN308" s="11"/>
      <c r="DO308" s="11"/>
      <c r="DP308" s="11"/>
      <c r="DX308" s="99"/>
      <c r="DY308" s="99"/>
      <c r="DZ308" s="99"/>
      <c r="EH308" s="100"/>
      <c r="EI308" s="100"/>
      <c r="EJ308" s="100"/>
      <c r="EK308" s="101"/>
      <c r="EL308" s="80"/>
      <c r="EM308" s="102"/>
      <c r="EN308" s="102"/>
      <c r="EO308" s="103"/>
      <c r="EP308" s="104"/>
      <c r="EQ308" s="28"/>
      <c r="ER308" s="102"/>
      <c r="ES308" s="102"/>
      <c r="ET308" s="102"/>
      <c r="EU308" s="102"/>
      <c r="EV308" s="105"/>
      <c r="EW308" s="101"/>
      <c r="EX308" s="105"/>
      <c r="EY308" s="11"/>
      <c r="EZ308" s="106"/>
      <c r="FA308" s="101"/>
      <c r="FB308" s="107"/>
      <c r="FC308" s="11"/>
      <c r="FD308" s="101"/>
      <c r="FE308" s="108"/>
      <c r="FF308" s="8"/>
    </row>
    <row r="309" spans="37:162">
      <c r="AK309" s="11"/>
      <c r="AL309" s="11"/>
      <c r="AM309" s="11"/>
      <c r="AN309" s="11"/>
      <c r="AO309" s="11"/>
      <c r="AP309" s="11"/>
      <c r="AX309" s="99"/>
      <c r="AY309" s="99"/>
      <c r="AZ309" s="99"/>
      <c r="BH309" s="100"/>
      <c r="BI309" s="100"/>
      <c r="BJ309" s="100"/>
      <c r="BK309" s="101"/>
      <c r="BL309" s="80"/>
      <c r="BM309" s="102"/>
      <c r="BN309" s="102"/>
      <c r="BO309" s="103"/>
      <c r="BP309" s="104"/>
      <c r="BQ309" s="28"/>
      <c r="BR309" s="102"/>
      <c r="BS309" s="102"/>
      <c r="BT309" s="102"/>
      <c r="BU309" s="102"/>
      <c r="BV309" s="105"/>
      <c r="BW309" s="101"/>
      <c r="BX309" s="105"/>
      <c r="BY309" s="11"/>
      <c r="BZ309" s="106"/>
      <c r="CA309" s="101"/>
      <c r="CB309" s="107"/>
      <c r="CC309" s="11"/>
      <c r="CD309" s="101"/>
      <c r="CE309" s="108"/>
      <c r="CF309" s="8"/>
      <c r="DK309" s="11"/>
      <c r="DL309" s="11"/>
      <c r="DM309" s="11"/>
      <c r="DN309" s="11"/>
      <c r="DO309" s="11"/>
      <c r="DP309" s="11"/>
      <c r="DX309" s="99"/>
      <c r="DY309" s="99"/>
      <c r="DZ309" s="99"/>
      <c r="EH309" s="100"/>
      <c r="EI309" s="100"/>
      <c r="EJ309" s="100"/>
      <c r="EK309" s="101"/>
      <c r="EL309" s="80"/>
      <c r="EM309" s="102"/>
      <c r="EN309" s="102"/>
      <c r="EO309" s="103"/>
      <c r="EP309" s="104"/>
      <c r="EQ309" s="28"/>
      <c r="ER309" s="102"/>
      <c r="ES309" s="102"/>
      <c r="ET309" s="102"/>
      <c r="EU309" s="102"/>
      <c r="EV309" s="105"/>
      <c r="EW309" s="101"/>
      <c r="EX309" s="105"/>
      <c r="EY309" s="11"/>
      <c r="EZ309" s="106"/>
      <c r="FA309" s="101"/>
      <c r="FB309" s="107"/>
      <c r="FC309" s="11"/>
      <c r="FD309" s="101"/>
      <c r="FE309" s="108"/>
      <c r="FF309" s="8"/>
    </row>
    <row r="310" spans="37:162">
      <c r="AK310" s="11"/>
      <c r="AL310" s="11"/>
      <c r="AM310" s="11"/>
      <c r="AN310" s="11"/>
      <c r="AO310" s="11"/>
      <c r="AP310" s="11"/>
      <c r="AX310" s="99"/>
      <c r="AY310" s="99"/>
      <c r="AZ310" s="99"/>
      <c r="BH310" s="100"/>
      <c r="BI310" s="100"/>
      <c r="BJ310" s="100"/>
      <c r="BK310" s="101"/>
      <c r="BL310" s="80"/>
      <c r="BM310" s="102"/>
      <c r="BN310" s="102"/>
      <c r="BO310" s="103"/>
      <c r="BP310" s="104"/>
      <c r="BQ310" s="28"/>
      <c r="BR310" s="102"/>
      <c r="BS310" s="102"/>
      <c r="BT310" s="102"/>
      <c r="BU310" s="102"/>
      <c r="BV310" s="105"/>
      <c r="BW310" s="101"/>
      <c r="BX310" s="105"/>
      <c r="BY310" s="11"/>
      <c r="BZ310" s="106"/>
      <c r="CA310" s="101"/>
      <c r="CB310" s="107"/>
      <c r="CC310" s="11"/>
      <c r="CD310" s="101"/>
      <c r="CE310" s="108"/>
      <c r="CF310" s="8"/>
      <c r="DK310" s="11"/>
      <c r="DL310" s="11"/>
      <c r="DM310" s="11"/>
      <c r="DN310" s="11"/>
      <c r="DO310" s="11"/>
      <c r="DP310" s="11"/>
      <c r="DX310" s="99"/>
      <c r="DY310" s="99"/>
      <c r="DZ310" s="99"/>
      <c r="EH310" s="100"/>
      <c r="EI310" s="100"/>
      <c r="EJ310" s="100"/>
      <c r="EK310" s="101"/>
      <c r="EL310" s="80"/>
      <c r="EM310" s="102"/>
      <c r="EN310" s="102"/>
      <c r="EO310" s="103"/>
      <c r="EP310" s="104"/>
      <c r="EQ310" s="28"/>
      <c r="ER310" s="102"/>
      <c r="ES310" s="102"/>
      <c r="ET310" s="102"/>
      <c r="EU310" s="102"/>
      <c r="EV310" s="105"/>
      <c r="EW310" s="101"/>
      <c r="EX310" s="105"/>
      <c r="EY310" s="11"/>
      <c r="EZ310" s="106"/>
      <c r="FA310" s="101"/>
      <c r="FB310" s="107"/>
      <c r="FC310" s="11"/>
      <c r="FD310" s="101"/>
      <c r="FE310" s="108"/>
      <c r="FF310" s="8"/>
    </row>
    <row r="311" spans="37:162">
      <c r="AK311" s="11"/>
      <c r="AL311" s="11"/>
      <c r="AM311" s="11"/>
      <c r="AN311" s="11"/>
      <c r="AO311" s="11"/>
      <c r="AP311" s="11"/>
      <c r="AX311" s="99"/>
      <c r="AY311" s="99"/>
      <c r="AZ311" s="99"/>
      <c r="BH311" s="100"/>
      <c r="BI311" s="100"/>
      <c r="BJ311" s="100"/>
      <c r="BK311" s="101"/>
      <c r="BL311" s="80"/>
      <c r="BM311" s="102"/>
      <c r="BN311" s="102"/>
      <c r="BO311" s="103"/>
      <c r="BP311" s="104"/>
      <c r="BQ311" s="28"/>
      <c r="BR311" s="102"/>
      <c r="BS311" s="102"/>
      <c r="BT311" s="102"/>
      <c r="BU311" s="102"/>
      <c r="BV311" s="105"/>
      <c r="BW311" s="101"/>
      <c r="BX311" s="105"/>
      <c r="BY311" s="11"/>
      <c r="BZ311" s="106"/>
      <c r="CA311" s="101"/>
      <c r="CB311" s="107"/>
      <c r="CC311" s="11"/>
      <c r="CD311" s="101"/>
      <c r="CE311" s="108"/>
      <c r="CF311" s="8"/>
      <c r="DK311" s="11"/>
      <c r="DL311" s="11"/>
      <c r="DM311" s="11"/>
      <c r="DN311" s="11"/>
      <c r="DO311" s="11"/>
      <c r="DP311" s="11"/>
      <c r="DX311" s="99"/>
      <c r="DY311" s="99"/>
      <c r="DZ311" s="99"/>
      <c r="EH311" s="100"/>
      <c r="EI311" s="100"/>
      <c r="EJ311" s="100"/>
      <c r="EK311" s="101"/>
      <c r="EL311" s="80"/>
      <c r="EM311" s="102"/>
      <c r="EN311" s="102"/>
      <c r="EO311" s="103"/>
      <c r="EP311" s="104"/>
      <c r="EQ311" s="28"/>
      <c r="ER311" s="102"/>
      <c r="ES311" s="102"/>
      <c r="ET311" s="102"/>
      <c r="EU311" s="102"/>
      <c r="EV311" s="105"/>
      <c r="EW311" s="101"/>
      <c r="EX311" s="105"/>
      <c r="EY311" s="11"/>
      <c r="EZ311" s="106"/>
      <c r="FA311" s="101"/>
      <c r="FB311" s="107"/>
      <c r="FC311" s="11"/>
      <c r="FD311" s="101"/>
      <c r="FE311" s="108"/>
      <c r="FF311" s="8"/>
    </row>
    <row r="312" spans="37:162">
      <c r="AK312" s="11"/>
      <c r="AL312" s="11"/>
      <c r="AM312" s="11"/>
      <c r="AN312" s="11"/>
      <c r="AO312" s="11"/>
      <c r="AP312" s="11"/>
      <c r="AX312" s="99"/>
      <c r="AY312" s="99"/>
      <c r="AZ312" s="99"/>
      <c r="BH312" s="100"/>
      <c r="BI312" s="100"/>
      <c r="BJ312" s="100"/>
      <c r="BK312" s="101"/>
      <c r="BL312" s="80"/>
      <c r="BM312" s="102"/>
      <c r="BN312" s="102"/>
      <c r="BO312" s="103"/>
      <c r="BP312" s="104"/>
      <c r="BQ312" s="28"/>
      <c r="BR312" s="102"/>
      <c r="BS312" s="102"/>
      <c r="BT312" s="102"/>
      <c r="BU312" s="102"/>
      <c r="BV312" s="105"/>
      <c r="BW312" s="101"/>
      <c r="BX312" s="105"/>
      <c r="BY312" s="11"/>
      <c r="BZ312" s="106"/>
      <c r="CA312" s="101"/>
      <c r="CB312" s="107"/>
      <c r="CC312" s="11"/>
      <c r="CD312" s="101"/>
      <c r="CE312" s="108"/>
      <c r="CF312" s="8"/>
      <c r="DK312" s="11"/>
      <c r="DL312" s="11"/>
      <c r="DM312" s="11"/>
      <c r="DN312" s="11"/>
      <c r="DO312" s="11"/>
      <c r="DP312" s="11"/>
      <c r="DX312" s="99"/>
      <c r="DY312" s="99"/>
      <c r="DZ312" s="99"/>
      <c r="EH312" s="100"/>
      <c r="EI312" s="100"/>
      <c r="EJ312" s="100"/>
      <c r="EK312" s="101"/>
      <c r="EL312" s="80"/>
      <c r="EM312" s="102"/>
      <c r="EN312" s="102"/>
      <c r="EO312" s="103"/>
      <c r="EP312" s="104"/>
      <c r="EQ312" s="28"/>
      <c r="ER312" s="102"/>
      <c r="ES312" s="102"/>
      <c r="ET312" s="102"/>
      <c r="EU312" s="102"/>
      <c r="EV312" s="105"/>
      <c r="EW312" s="101"/>
      <c r="EX312" s="105"/>
      <c r="EY312" s="11"/>
      <c r="EZ312" s="106"/>
      <c r="FA312" s="101"/>
      <c r="FB312" s="107"/>
      <c r="FC312" s="11"/>
      <c r="FD312" s="101"/>
      <c r="FE312" s="108"/>
      <c r="FF312" s="8"/>
    </row>
    <row r="313" spans="37:162">
      <c r="AK313" s="11"/>
      <c r="AL313" s="11"/>
      <c r="AM313" s="11"/>
      <c r="AN313" s="11"/>
      <c r="AO313" s="11"/>
      <c r="AP313" s="11"/>
      <c r="AX313" s="99"/>
      <c r="AY313" s="99"/>
      <c r="AZ313" s="99"/>
      <c r="BH313" s="100"/>
      <c r="BI313" s="100"/>
      <c r="BJ313" s="100"/>
      <c r="BK313" s="101"/>
      <c r="BL313" s="80"/>
      <c r="BM313" s="102"/>
      <c r="BN313" s="102"/>
      <c r="BO313" s="103"/>
      <c r="BP313" s="104"/>
      <c r="BQ313" s="28"/>
      <c r="BR313" s="102"/>
      <c r="BS313" s="102"/>
      <c r="BT313" s="102"/>
      <c r="BU313" s="102"/>
      <c r="BV313" s="105"/>
      <c r="BW313" s="101"/>
      <c r="BX313" s="105"/>
      <c r="BY313" s="11"/>
      <c r="BZ313" s="106"/>
      <c r="CA313" s="101"/>
      <c r="CB313" s="107"/>
      <c r="CC313" s="11"/>
      <c r="CD313" s="101"/>
      <c r="CE313" s="108"/>
      <c r="CF313" s="8"/>
      <c r="DK313" s="11"/>
      <c r="DL313" s="11"/>
      <c r="DM313" s="11"/>
      <c r="DN313" s="11"/>
      <c r="DO313" s="11"/>
      <c r="DP313" s="11"/>
      <c r="DX313" s="99"/>
      <c r="DY313" s="99"/>
      <c r="DZ313" s="99"/>
      <c r="EH313" s="100"/>
      <c r="EI313" s="100"/>
      <c r="EJ313" s="100"/>
      <c r="EK313" s="101"/>
      <c r="EL313" s="80"/>
      <c r="EM313" s="102"/>
      <c r="EN313" s="102"/>
      <c r="EO313" s="103"/>
      <c r="EP313" s="104"/>
      <c r="EQ313" s="28"/>
      <c r="ER313" s="102"/>
      <c r="ES313" s="102"/>
      <c r="ET313" s="102"/>
      <c r="EU313" s="102"/>
      <c r="EV313" s="105"/>
      <c r="EW313" s="101"/>
      <c r="EX313" s="105"/>
      <c r="EY313" s="11"/>
      <c r="EZ313" s="106"/>
      <c r="FA313" s="101"/>
      <c r="FB313" s="107"/>
      <c r="FC313" s="11"/>
      <c r="FD313" s="101"/>
      <c r="FE313" s="108"/>
      <c r="FF313" s="8"/>
    </row>
    <row r="314" spans="37:162">
      <c r="AK314" s="11"/>
      <c r="AL314" s="11"/>
      <c r="AM314" s="11"/>
      <c r="AN314" s="11"/>
      <c r="AO314" s="11"/>
      <c r="AP314" s="11"/>
      <c r="AX314" s="99"/>
      <c r="AY314" s="99"/>
      <c r="AZ314" s="99"/>
      <c r="BH314" s="100"/>
      <c r="BI314" s="100"/>
      <c r="BJ314" s="100"/>
      <c r="BK314" s="101"/>
      <c r="BL314" s="80"/>
      <c r="BM314" s="102"/>
      <c r="BN314" s="102"/>
      <c r="BO314" s="103"/>
      <c r="BP314" s="104"/>
      <c r="BQ314" s="28"/>
      <c r="BR314" s="102"/>
      <c r="BS314" s="102"/>
      <c r="BT314" s="102"/>
      <c r="BU314" s="102"/>
      <c r="BV314" s="105"/>
      <c r="BW314" s="101"/>
      <c r="BX314" s="105"/>
      <c r="BY314" s="11"/>
      <c r="BZ314" s="106"/>
      <c r="CA314" s="101"/>
      <c r="CB314" s="107"/>
      <c r="CC314" s="11"/>
      <c r="CD314" s="101"/>
      <c r="CE314" s="108"/>
      <c r="CF314" s="8"/>
      <c r="DK314" s="11"/>
      <c r="DL314" s="11"/>
      <c r="DM314" s="11"/>
      <c r="DN314" s="11"/>
      <c r="DO314" s="11"/>
      <c r="DP314" s="11"/>
      <c r="DX314" s="99"/>
      <c r="DY314" s="99"/>
      <c r="DZ314" s="99"/>
      <c r="EH314" s="100"/>
      <c r="EI314" s="100"/>
      <c r="EJ314" s="100"/>
      <c r="EK314" s="101"/>
      <c r="EL314" s="80"/>
      <c r="EM314" s="102"/>
      <c r="EN314" s="102"/>
      <c r="EO314" s="103"/>
      <c r="EP314" s="104"/>
      <c r="EQ314" s="28"/>
      <c r="ER314" s="102"/>
      <c r="ES314" s="102"/>
      <c r="ET314" s="102"/>
      <c r="EU314" s="102"/>
      <c r="EV314" s="105"/>
      <c r="EW314" s="101"/>
      <c r="EX314" s="105"/>
      <c r="EY314" s="11"/>
      <c r="EZ314" s="106"/>
      <c r="FA314" s="101"/>
      <c r="FB314" s="107"/>
      <c r="FC314" s="11"/>
      <c r="FD314" s="101"/>
      <c r="FE314" s="108"/>
      <c r="FF314" s="8"/>
    </row>
    <row r="315" spans="37:162">
      <c r="AK315" s="11"/>
      <c r="AL315" s="11"/>
      <c r="AM315" s="11"/>
      <c r="AN315" s="11"/>
      <c r="AO315" s="11"/>
      <c r="AP315" s="11"/>
      <c r="AX315" s="99"/>
      <c r="AY315" s="99"/>
      <c r="AZ315" s="99"/>
      <c r="BH315" s="100"/>
      <c r="BI315" s="100"/>
      <c r="BJ315" s="100"/>
      <c r="BK315" s="101"/>
      <c r="BL315" s="80"/>
      <c r="BM315" s="102"/>
      <c r="BN315" s="102"/>
      <c r="BO315" s="103"/>
      <c r="BP315" s="104"/>
      <c r="BQ315" s="28"/>
      <c r="BR315" s="102"/>
      <c r="BS315" s="102"/>
      <c r="BT315" s="102"/>
      <c r="BU315" s="102"/>
      <c r="BV315" s="105"/>
      <c r="BW315" s="101"/>
      <c r="BX315" s="105"/>
      <c r="BY315" s="11"/>
      <c r="BZ315" s="106"/>
      <c r="CA315" s="101"/>
      <c r="CB315" s="107"/>
      <c r="CC315" s="11"/>
      <c r="CD315" s="101"/>
      <c r="CE315" s="108"/>
      <c r="CF315" s="8"/>
      <c r="DK315" s="11"/>
      <c r="DL315" s="11"/>
      <c r="DM315" s="11"/>
      <c r="DN315" s="11"/>
      <c r="DO315" s="11"/>
      <c r="DP315" s="11"/>
      <c r="DX315" s="99"/>
      <c r="DY315" s="99"/>
      <c r="DZ315" s="99"/>
      <c r="EH315" s="100"/>
      <c r="EI315" s="100"/>
      <c r="EJ315" s="100"/>
      <c r="EK315" s="101"/>
      <c r="EL315" s="80"/>
      <c r="EM315" s="102"/>
      <c r="EN315" s="102"/>
      <c r="EO315" s="103"/>
      <c r="EP315" s="104"/>
      <c r="EQ315" s="28"/>
      <c r="ER315" s="102"/>
      <c r="ES315" s="102"/>
      <c r="ET315" s="102"/>
      <c r="EU315" s="102"/>
      <c r="EV315" s="105"/>
      <c r="EW315" s="101"/>
      <c r="EX315" s="105"/>
      <c r="EY315" s="11"/>
      <c r="EZ315" s="106"/>
      <c r="FA315" s="101"/>
      <c r="FB315" s="107"/>
      <c r="FC315" s="11"/>
      <c r="FD315" s="101"/>
      <c r="FE315" s="108"/>
      <c r="FF315" s="8"/>
    </row>
    <row r="316" spans="37:162">
      <c r="AK316" s="11"/>
      <c r="AL316" s="11"/>
      <c r="AM316" s="11"/>
      <c r="AN316" s="11"/>
      <c r="AO316" s="11"/>
      <c r="AP316" s="11"/>
      <c r="AX316" s="99"/>
      <c r="AY316" s="99"/>
      <c r="AZ316" s="99"/>
      <c r="BH316" s="100"/>
      <c r="BI316" s="100"/>
      <c r="BJ316" s="100"/>
      <c r="BK316" s="101"/>
      <c r="BL316" s="80"/>
      <c r="BM316" s="102"/>
      <c r="BN316" s="102"/>
      <c r="BO316" s="103"/>
      <c r="BP316" s="104"/>
      <c r="BQ316" s="28"/>
      <c r="BR316" s="102"/>
      <c r="BS316" s="102"/>
      <c r="BT316" s="102"/>
      <c r="BU316" s="102"/>
      <c r="BV316" s="105"/>
      <c r="BW316" s="101"/>
      <c r="BX316" s="105"/>
      <c r="BY316" s="11"/>
      <c r="BZ316" s="106"/>
      <c r="CA316" s="101"/>
      <c r="CB316" s="107"/>
      <c r="CC316" s="11"/>
      <c r="CD316" s="101"/>
      <c r="CE316" s="108"/>
      <c r="CF316" s="8"/>
      <c r="DK316" s="11"/>
      <c r="DL316" s="11"/>
      <c r="DM316" s="11"/>
      <c r="DN316" s="11"/>
      <c r="DO316" s="11"/>
      <c r="DP316" s="11"/>
      <c r="DX316" s="99"/>
      <c r="DY316" s="99"/>
      <c r="DZ316" s="99"/>
      <c r="EH316" s="100"/>
      <c r="EI316" s="100"/>
      <c r="EJ316" s="100"/>
      <c r="EK316" s="101"/>
      <c r="EL316" s="80"/>
      <c r="EM316" s="102"/>
      <c r="EN316" s="102"/>
      <c r="EO316" s="103"/>
      <c r="EP316" s="104"/>
      <c r="EQ316" s="28"/>
      <c r="ER316" s="102"/>
      <c r="ES316" s="102"/>
      <c r="ET316" s="102"/>
      <c r="EU316" s="102"/>
      <c r="EV316" s="105"/>
      <c r="EW316" s="101"/>
      <c r="EX316" s="105"/>
      <c r="EY316" s="11"/>
      <c r="EZ316" s="106"/>
      <c r="FA316" s="101"/>
      <c r="FB316" s="107"/>
      <c r="FC316" s="11"/>
      <c r="FD316" s="101"/>
      <c r="FE316" s="108"/>
      <c r="FF316" s="8"/>
    </row>
    <row r="317" spans="37:162">
      <c r="AK317" s="11"/>
      <c r="AL317" s="11"/>
      <c r="AM317" s="11"/>
      <c r="AN317" s="11"/>
      <c r="AO317" s="11"/>
      <c r="AP317" s="11"/>
      <c r="AX317" s="99"/>
      <c r="AY317" s="99"/>
      <c r="AZ317" s="99"/>
      <c r="BH317" s="100"/>
      <c r="BI317" s="100"/>
      <c r="BJ317" s="100"/>
      <c r="BK317" s="101"/>
      <c r="BL317" s="80"/>
      <c r="BM317" s="102"/>
      <c r="BN317" s="102"/>
      <c r="BO317" s="103"/>
      <c r="BP317" s="104"/>
      <c r="BQ317" s="28"/>
      <c r="BR317" s="102"/>
      <c r="BS317" s="102"/>
      <c r="BT317" s="102"/>
      <c r="BU317" s="102"/>
      <c r="BV317" s="105"/>
      <c r="BW317" s="101"/>
      <c r="BX317" s="105"/>
      <c r="BY317" s="11"/>
      <c r="BZ317" s="106"/>
      <c r="CA317" s="101"/>
      <c r="CB317" s="107"/>
      <c r="CC317" s="11"/>
      <c r="CD317" s="101"/>
      <c r="CE317" s="108"/>
      <c r="CF317" s="8"/>
      <c r="DK317" s="11"/>
      <c r="DL317" s="11"/>
      <c r="DM317" s="11"/>
      <c r="DN317" s="11"/>
      <c r="DO317" s="11"/>
      <c r="DP317" s="11"/>
      <c r="DX317" s="99"/>
      <c r="DY317" s="99"/>
      <c r="DZ317" s="99"/>
      <c r="EH317" s="100"/>
      <c r="EI317" s="100"/>
      <c r="EJ317" s="100"/>
      <c r="EK317" s="101"/>
      <c r="EL317" s="80"/>
      <c r="EM317" s="102"/>
      <c r="EN317" s="102"/>
      <c r="EO317" s="103"/>
      <c r="EP317" s="104"/>
      <c r="EQ317" s="28"/>
      <c r="ER317" s="102"/>
      <c r="ES317" s="102"/>
      <c r="ET317" s="102"/>
      <c r="EU317" s="102"/>
      <c r="EV317" s="105"/>
      <c r="EW317" s="101"/>
      <c r="EX317" s="105"/>
      <c r="EY317" s="11"/>
      <c r="EZ317" s="106"/>
      <c r="FA317" s="101"/>
      <c r="FB317" s="107"/>
      <c r="FC317" s="11"/>
      <c r="FD317" s="101"/>
      <c r="FE317" s="108"/>
      <c r="FF317" s="8"/>
    </row>
    <row r="318" spans="37:162">
      <c r="AK318" s="11"/>
      <c r="AL318" s="11"/>
      <c r="AM318" s="11"/>
      <c r="AN318" s="11"/>
      <c r="AO318" s="11"/>
      <c r="AP318" s="11"/>
      <c r="AX318" s="99"/>
      <c r="AY318" s="99"/>
      <c r="AZ318" s="99"/>
      <c r="BH318" s="100"/>
      <c r="BI318" s="100"/>
      <c r="BJ318" s="100"/>
      <c r="BK318" s="101"/>
      <c r="BL318" s="80"/>
      <c r="BM318" s="102"/>
      <c r="BN318" s="102"/>
      <c r="BO318" s="103"/>
      <c r="BP318" s="104"/>
      <c r="BQ318" s="28"/>
      <c r="BR318" s="102"/>
      <c r="BS318" s="102"/>
      <c r="BT318" s="102"/>
      <c r="BU318" s="102"/>
      <c r="BV318" s="105"/>
      <c r="BW318" s="101"/>
      <c r="BX318" s="105"/>
      <c r="BY318" s="11"/>
      <c r="BZ318" s="106"/>
      <c r="CA318" s="101"/>
      <c r="CB318" s="107"/>
      <c r="CC318" s="11"/>
      <c r="CD318" s="101"/>
      <c r="CE318" s="108"/>
      <c r="CF318" s="8"/>
      <c r="DK318" s="11"/>
      <c r="DL318" s="11"/>
      <c r="DM318" s="11"/>
      <c r="DN318" s="11"/>
      <c r="DO318" s="11"/>
      <c r="DP318" s="11"/>
      <c r="DX318" s="99"/>
      <c r="DY318" s="99"/>
      <c r="DZ318" s="99"/>
      <c r="EH318" s="100"/>
      <c r="EI318" s="100"/>
      <c r="EJ318" s="100"/>
      <c r="EK318" s="101"/>
      <c r="EL318" s="80"/>
      <c r="EM318" s="102"/>
      <c r="EN318" s="102"/>
      <c r="EO318" s="103"/>
      <c r="EP318" s="104"/>
      <c r="EQ318" s="28"/>
      <c r="ER318" s="102"/>
      <c r="ES318" s="102"/>
      <c r="ET318" s="102"/>
      <c r="EU318" s="102"/>
      <c r="EV318" s="105"/>
      <c r="EW318" s="101"/>
      <c r="EX318" s="105"/>
      <c r="EY318" s="11"/>
      <c r="EZ318" s="106"/>
      <c r="FA318" s="101"/>
      <c r="FB318" s="107"/>
      <c r="FC318" s="11"/>
      <c r="FD318" s="101"/>
      <c r="FE318" s="108"/>
      <c r="FF318" s="8"/>
    </row>
    <row r="319" spans="37:162">
      <c r="AK319" s="11"/>
      <c r="AL319" s="11"/>
      <c r="AM319" s="11"/>
      <c r="AN319" s="11"/>
      <c r="AO319" s="11"/>
      <c r="AP319" s="11"/>
      <c r="AX319" s="99"/>
      <c r="AY319" s="99"/>
      <c r="AZ319" s="99"/>
      <c r="BH319" s="100"/>
      <c r="BI319" s="100"/>
      <c r="BJ319" s="100"/>
      <c r="BK319" s="101"/>
      <c r="BL319" s="80"/>
      <c r="BM319" s="102"/>
      <c r="BN319" s="102"/>
      <c r="BO319" s="103"/>
      <c r="BP319" s="104"/>
      <c r="BQ319" s="28"/>
      <c r="BR319" s="102"/>
      <c r="BS319" s="102"/>
      <c r="BT319" s="102"/>
      <c r="BU319" s="102"/>
      <c r="BV319" s="105"/>
      <c r="BW319" s="101"/>
      <c r="BX319" s="105"/>
      <c r="BY319" s="11"/>
      <c r="BZ319" s="106"/>
      <c r="CA319" s="101"/>
      <c r="CB319" s="107"/>
      <c r="CC319" s="11"/>
      <c r="CD319" s="101"/>
      <c r="CE319" s="108"/>
      <c r="CF319" s="8"/>
      <c r="DK319" s="11"/>
      <c r="DL319" s="11"/>
      <c r="DM319" s="11"/>
      <c r="DN319" s="11"/>
      <c r="DO319" s="11"/>
      <c r="DP319" s="11"/>
      <c r="DX319" s="99"/>
      <c r="DY319" s="99"/>
      <c r="DZ319" s="99"/>
      <c r="EH319" s="100"/>
      <c r="EI319" s="100"/>
      <c r="EJ319" s="100"/>
      <c r="EK319" s="101"/>
      <c r="EL319" s="80"/>
      <c r="EM319" s="102"/>
      <c r="EN319" s="102"/>
      <c r="EO319" s="103"/>
      <c r="EP319" s="104"/>
      <c r="EQ319" s="28"/>
      <c r="ER319" s="102"/>
      <c r="ES319" s="102"/>
      <c r="ET319" s="102"/>
      <c r="EU319" s="102"/>
      <c r="EV319" s="105"/>
      <c r="EW319" s="101"/>
      <c r="EX319" s="105"/>
      <c r="EY319" s="11"/>
      <c r="EZ319" s="106"/>
      <c r="FA319" s="101"/>
      <c r="FB319" s="107"/>
      <c r="FC319" s="11"/>
      <c r="FD319" s="101"/>
      <c r="FE319" s="108"/>
      <c r="FF319" s="8"/>
    </row>
    <row r="320" spans="37:162">
      <c r="AK320" s="11"/>
      <c r="AL320" s="11"/>
      <c r="AM320" s="11"/>
      <c r="AN320" s="11"/>
      <c r="AO320" s="11"/>
      <c r="AP320" s="11"/>
      <c r="AX320" s="99"/>
      <c r="AY320" s="99"/>
      <c r="AZ320" s="99"/>
      <c r="BH320" s="100"/>
      <c r="BI320" s="100"/>
      <c r="BJ320" s="100"/>
      <c r="BK320" s="101"/>
      <c r="BL320" s="80"/>
      <c r="BM320" s="102"/>
      <c r="BN320" s="102"/>
      <c r="BO320" s="103"/>
      <c r="BP320" s="104"/>
      <c r="BQ320" s="28"/>
      <c r="BR320" s="102"/>
      <c r="BS320" s="102"/>
      <c r="BT320" s="102"/>
      <c r="BU320" s="102"/>
      <c r="BV320" s="105"/>
      <c r="BW320" s="101"/>
      <c r="BX320" s="105"/>
      <c r="BY320" s="11"/>
      <c r="BZ320" s="106"/>
      <c r="CA320" s="101"/>
      <c r="CB320" s="107"/>
      <c r="CC320" s="11"/>
      <c r="CD320" s="101"/>
      <c r="CE320" s="108"/>
      <c r="CF320" s="8"/>
      <c r="DK320" s="11"/>
      <c r="DL320" s="11"/>
      <c r="DM320" s="11"/>
      <c r="DN320" s="11"/>
      <c r="DO320" s="11"/>
      <c r="DP320" s="11"/>
      <c r="DX320" s="99"/>
      <c r="DY320" s="99"/>
      <c r="DZ320" s="99"/>
      <c r="EH320" s="100"/>
      <c r="EI320" s="100"/>
      <c r="EJ320" s="100"/>
      <c r="EK320" s="101"/>
      <c r="EL320" s="80"/>
      <c r="EM320" s="102"/>
      <c r="EN320" s="102"/>
      <c r="EO320" s="103"/>
      <c r="EP320" s="104"/>
      <c r="EQ320" s="28"/>
      <c r="ER320" s="102"/>
      <c r="ES320" s="102"/>
      <c r="ET320" s="102"/>
      <c r="EU320" s="102"/>
      <c r="EV320" s="105"/>
      <c r="EW320" s="101"/>
      <c r="EX320" s="105"/>
      <c r="EY320" s="11"/>
      <c r="EZ320" s="106"/>
      <c r="FA320" s="101"/>
      <c r="FB320" s="107"/>
      <c r="FC320" s="11"/>
      <c r="FD320" s="101"/>
      <c r="FE320" s="108"/>
      <c r="FF320" s="8"/>
    </row>
    <row r="321" spans="37:162">
      <c r="AK321" s="11"/>
      <c r="AL321" s="11"/>
      <c r="AM321" s="11"/>
      <c r="AN321" s="11"/>
      <c r="AO321" s="11"/>
      <c r="AP321" s="11"/>
      <c r="AX321" s="99"/>
      <c r="AY321" s="99"/>
      <c r="AZ321" s="99"/>
      <c r="BH321" s="100"/>
      <c r="BI321" s="100"/>
      <c r="BJ321" s="100"/>
      <c r="BK321" s="101"/>
      <c r="BL321" s="80"/>
      <c r="BM321" s="102"/>
      <c r="BN321" s="102"/>
      <c r="BO321" s="103"/>
      <c r="BP321" s="104"/>
      <c r="BQ321" s="28"/>
      <c r="BR321" s="102"/>
      <c r="BS321" s="102"/>
      <c r="BT321" s="102"/>
      <c r="BU321" s="102"/>
      <c r="BV321" s="105"/>
      <c r="BW321" s="101"/>
      <c r="BX321" s="105"/>
      <c r="BY321" s="11"/>
      <c r="BZ321" s="106"/>
      <c r="CA321" s="101"/>
      <c r="CB321" s="107"/>
      <c r="CC321" s="11"/>
      <c r="CD321" s="101"/>
      <c r="CE321" s="108"/>
      <c r="CF321" s="8"/>
      <c r="DK321" s="11"/>
      <c r="DL321" s="11"/>
      <c r="DM321" s="11"/>
      <c r="DN321" s="11"/>
      <c r="DO321" s="11"/>
      <c r="DP321" s="11"/>
      <c r="DX321" s="99"/>
      <c r="DY321" s="99"/>
      <c r="DZ321" s="99"/>
      <c r="EH321" s="100"/>
      <c r="EI321" s="100"/>
      <c r="EJ321" s="100"/>
      <c r="EK321" s="101"/>
      <c r="EL321" s="80"/>
      <c r="EM321" s="102"/>
      <c r="EN321" s="102"/>
      <c r="EO321" s="103"/>
      <c r="EP321" s="104"/>
      <c r="EQ321" s="28"/>
      <c r="ER321" s="102"/>
      <c r="ES321" s="102"/>
      <c r="ET321" s="102"/>
      <c r="EU321" s="102"/>
      <c r="EV321" s="105"/>
      <c r="EW321" s="101"/>
      <c r="EX321" s="105"/>
      <c r="EY321" s="11"/>
      <c r="EZ321" s="106"/>
      <c r="FA321" s="101"/>
      <c r="FB321" s="107"/>
      <c r="FC321" s="11"/>
      <c r="FD321" s="101"/>
      <c r="FE321" s="108"/>
      <c r="FF321" s="8"/>
    </row>
    <row r="322" spans="37:162">
      <c r="AK322" s="11"/>
      <c r="AL322" s="11"/>
      <c r="AM322" s="11"/>
      <c r="AN322" s="11"/>
      <c r="AO322" s="11"/>
      <c r="AP322" s="11"/>
      <c r="AX322" s="99"/>
      <c r="AY322" s="99"/>
      <c r="AZ322" s="99"/>
      <c r="BH322" s="100"/>
      <c r="BI322" s="100"/>
      <c r="BJ322" s="100"/>
      <c r="BK322" s="101"/>
      <c r="BL322" s="80"/>
      <c r="BM322" s="102"/>
      <c r="BN322" s="102"/>
      <c r="BO322" s="103"/>
      <c r="BP322" s="104"/>
      <c r="BQ322" s="28"/>
      <c r="BR322" s="102"/>
      <c r="BS322" s="102"/>
      <c r="BT322" s="102"/>
      <c r="BU322" s="102"/>
      <c r="BV322" s="105"/>
      <c r="BW322" s="101"/>
      <c r="BX322" s="105"/>
      <c r="BY322" s="11"/>
      <c r="BZ322" s="106"/>
      <c r="CA322" s="101"/>
      <c r="CB322" s="107"/>
      <c r="CC322" s="11"/>
      <c r="CD322" s="101"/>
      <c r="CE322" s="108"/>
      <c r="CF322" s="8"/>
      <c r="DK322" s="11"/>
      <c r="DL322" s="11"/>
      <c r="DM322" s="11"/>
      <c r="DN322" s="11"/>
      <c r="DO322" s="11"/>
      <c r="DP322" s="11"/>
      <c r="DX322" s="99"/>
      <c r="DY322" s="99"/>
      <c r="DZ322" s="99"/>
      <c r="EH322" s="100"/>
      <c r="EI322" s="100"/>
      <c r="EJ322" s="100"/>
      <c r="EK322" s="101"/>
      <c r="EL322" s="80"/>
      <c r="EM322" s="102"/>
      <c r="EN322" s="102"/>
      <c r="EO322" s="103"/>
      <c r="EP322" s="104"/>
      <c r="EQ322" s="28"/>
      <c r="ER322" s="102"/>
      <c r="ES322" s="102"/>
      <c r="ET322" s="102"/>
      <c r="EU322" s="102"/>
      <c r="EV322" s="105"/>
      <c r="EW322" s="101"/>
      <c r="EX322" s="105"/>
      <c r="EY322" s="11"/>
      <c r="EZ322" s="106"/>
      <c r="FA322" s="101"/>
      <c r="FB322" s="107"/>
      <c r="FC322" s="11"/>
      <c r="FD322" s="101"/>
      <c r="FE322" s="108"/>
      <c r="FF322" s="8"/>
    </row>
    <row r="323" spans="37:162">
      <c r="AK323" s="11"/>
      <c r="AL323" s="11"/>
      <c r="AM323" s="11"/>
      <c r="AN323" s="11"/>
      <c r="AO323" s="11"/>
      <c r="AP323" s="11"/>
      <c r="AX323" s="99"/>
      <c r="AY323" s="99"/>
      <c r="AZ323" s="99"/>
      <c r="BH323" s="100"/>
      <c r="BI323" s="100"/>
      <c r="BJ323" s="100"/>
      <c r="BK323" s="101"/>
      <c r="BL323" s="80"/>
      <c r="BM323" s="102"/>
      <c r="BN323" s="102"/>
      <c r="BO323" s="103"/>
      <c r="BP323" s="104"/>
      <c r="BQ323" s="28"/>
      <c r="BR323" s="102"/>
      <c r="BS323" s="102"/>
      <c r="BT323" s="102"/>
      <c r="BU323" s="102"/>
      <c r="BV323" s="105"/>
      <c r="BW323" s="101"/>
      <c r="BX323" s="105"/>
      <c r="BY323" s="11"/>
      <c r="BZ323" s="106"/>
      <c r="CA323" s="101"/>
      <c r="CB323" s="107"/>
      <c r="CC323" s="11"/>
      <c r="CD323" s="101"/>
      <c r="CE323" s="108"/>
      <c r="CF323" s="8"/>
      <c r="DK323" s="11"/>
      <c r="DL323" s="11"/>
      <c r="DM323" s="11"/>
      <c r="DN323" s="11"/>
      <c r="DO323" s="11"/>
      <c r="DP323" s="11"/>
      <c r="DX323" s="99"/>
      <c r="DY323" s="99"/>
      <c r="DZ323" s="99"/>
      <c r="EH323" s="100"/>
      <c r="EI323" s="100"/>
      <c r="EJ323" s="100"/>
      <c r="EK323" s="101"/>
      <c r="EL323" s="80"/>
      <c r="EM323" s="102"/>
      <c r="EN323" s="102"/>
      <c r="EO323" s="103"/>
      <c r="EP323" s="104"/>
      <c r="EQ323" s="28"/>
      <c r="ER323" s="102"/>
      <c r="ES323" s="102"/>
      <c r="ET323" s="102"/>
      <c r="EU323" s="102"/>
      <c r="EV323" s="105"/>
      <c r="EW323" s="101"/>
      <c r="EX323" s="105"/>
      <c r="EY323" s="11"/>
      <c r="EZ323" s="106"/>
      <c r="FA323" s="101"/>
      <c r="FB323" s="107"/>
      <c r="FC323" s="11"/>
      <c r="FD323" s="101"/>
      <c r="FE323" s="108"/>
      <c r="FF323" s="8"/>
    </row>
    <row r="324" spans="37:162">
      <c r="AK324" s="11"/>
      <c r="AL324" s="11"/>
      <c r="AM324" s="11"/>
      <c r="AN324" s="11"/>
      <c r="AO324" s="11"/>
      <c r="AP324" s="11"/>
      <c r="AX324" s="99"/>
      <c r="AY324" s="99"/>
      <c r="AZ324" s="99"/>
      <c r="BH324" s="100"/>
      <c r="BI324" s="100"/>
      <c r="BJ324" s="100"/>
      <c r="BK324" s="101"/>
      <c r="BL324" s="80"/>
      <c r="BM324" s="102"/>
      <c r="BN324" s="102"/>
      <c r="BO324" s="103"/>
      <c r="BP324" s="104"/>
      <c r="BQ324" s="28"/>
      <c r="BR324" s="102"/>
      <c r="BS324" s="102"/>
      <c r="BT324" s="102"/>
      <c r="BU324" s="102"/>
      <c r="BV324" s="105"/>
      <c r="BW324" s="101"/>
      <c r="BX324" s="105"/>
      <c r="BY324" s="11"/>
      <c r="BZ324" s="106"/>
      <c r="CA324" s="101"/>
      <c r="CB324" s="107"/>
      <c r="CC324" s="11"/>
      <c r="CD324" s="101"/>
      <c r="CE324" s="108"/>
      <c r="CF324" s="8"/>
      <c r="DK324" s="11"/>
      <c r="DL324" s="11"/>
      <c r="DM324" s="11"/>
      <c r="DN324" s="11"/>
      <c r="DO324" s="11"/>
      <c r="DP324" s="11"/>
      <c r="DX324" s="99"/>
      <c r="DY324" s="99"/>
      <c r="DZ324" s="99"/>
      <c r="EH324" s="100"/>
      <c r="EI324" s="100"/>
      <c r="EJ324" s="100"/>
      <c r="EK324" s="101"/>
      <c r="EL324" s="80"/>
      <c r="EM324" s="102"/>
      <c r="EN324" s="102"/>
      <c r="EO324" s="103"/>
      <c r="EP324" s="104"/>
      <c r="EQ324" s="28"/>
      <c r="ER324" s="102"/>
      <c r="ES324" s="102"/>
      <c r="ET324" s="102"/>
      <c r="EU324" s="102"/>
      <c r="EV324" s="105"/>
      <c r="EW324" s="101"/>
      <c r="EX324" s="105"/>
      <c r="EY324" s="11"/>
      <c r="EZ324" s="106"/>
      <c r="FA324" s="101"/>
      <c r="FB324" s="107"/>
      <c r="FC324" s="11"/>
      <c r="FD324" s="101"/>
      <c r="FE324" s="108"/>
      <c r="FF324" s="8"/>
    </row>
    <row r="325" spans="37:162">
      <c r="AK325" s="11"/>
      <c r="AL325" s="11"/>
      <c r="AM325" s="11"/>
      <c r="AN325" s="11"/>
      <c r="AO325" s="11"/>
      <c r="AP325" s="11"/>
      <c r="AX325" s="99"/>
      <c r="AY325" s="99"/>
      <c r="AZ325" s="99"/>
      <c r="BH325" s="100"/>
      <c r="BI325" s="100"/>
      <c r="BJ325" s="100"/>
      <c r="BK325" s="101"/>
      <c r="BL325" s="80"/>
      <c r="BM325" s="102"/>
      <c r="BN325" s="102"/>
      <c r="BO325" s="103"/>
      <c r="BP325" s="104"/>
      <c r="BQ325" s="28"/>
      <c r="BR325" s="102"/>
      <c r="BS325" s="102"/>
      <c r="BT325" s="102"/>
      <c r="BU325" s="102"/>
      <c r="BV325" s="105"/>
      <c r="BW325" s="101"/>
      <c r="BX325" s="105"/>
      <c r="BY325" s="11"/>
      <c r="BZ325" s="106"/>
      <c r="CA325" s="101"/>
      <c r="CB325" s="107"/>
      <c r="CC325" s="11"/>
      <c r="CD325" s="101"/>
      <c r="CE325" s="108"/>
      <c r="CF325" s="8"/>
      <c r="DK325" s="11"/>
      <c r="DL325" s="11"/>
      <c r="DM325" s="11"/>
      <c r="DN325" s="11"/>
      <c r="DO325" s="11"/>
      <c r="DP325" s="11"/>
      <c r="DX325" s="99"/>
      <c r="DY325" s="99"/>
      <c r="DZ325" s="99"/>
      <c r="EH325" s="100"/>
      <c r="EI325" s="100"/>
      <c r="EJ325" s="100"/>
      <c r="EK325" s="101"/>
      <c r="EL325" s="80"/>
      <c r="EM325" s="102"/>
      <c r="EN325" s="102"/>
      <c r="EO325" s="103"/>
      <c r="EP325" s="104"/>
      <c r="EQ325" s="28"/>
      <c r="ER325" s="102"/>
      <c r="ES325" s="102"/>
      <c r="ET325" s="102"/>
      <c r="EU325" s="102"/>
      <c r="EV325" s="105"/>
      <c r="EW325" s="101"/>
      <c r="EX325" s="105"/>
      <c r="EY325" s="11"/>
      <c r="EZ325" s="106"/>
      <c r="FA325" s="101"/>
      <c r="FB325" s="107"/>
      <c r="FC325" s="11"/>
      <c r="FD325" s="101"/>
      <c r="FE325" s="108"/>
      <c r="FF325" s="8"/>
    </row>
    <row r="326" spans="37:162">
      <c r="AK326" s="11"/>
      <c r="AL326" s="11"/>
      <c r="AM326" s="11"/>
      <c r="AN326" s="11"/>
      <c r="AO326" s="11"/>
      <c r="AP326" s="11"/>
      <c r="AX326" s="99"/>
      <c r="AY326" s="99"/>
      <c r="AZ326" s="99"/>
      <c r="BH326" s="100"/>
      <c r="BI326" s="100"/>
      <c r="BJ326" s="100"/>
      <c r="BK326" s="101"/>
      <c r="BL326" s="80"/>
      <c r="BM326" s="102"/>
      <c r="BN326" s="102"/>
      <c r="BO326" s="103"/>
      <c r="BP326" s="104"/>
      <c r="BQ326" s="28"/>
      <c r="BR326" s="102"/>
      <c r="BS326" s="102"/>
      <c r="BT326" s="102"/>
      <c r="BU326" s="102"/>
      <c r="BV326" s="105"/>
      <c r="BW326" s="101"/>
      <c r="BX326" s="105"/>
      <c r="BY326" s="11"/>
      <c r="BZ326" s="106"/>
      <c r="CA326" s="101"/>
      <c r="CB326" s="107"/>
      <c r="CC326" s="11"/>
      <c r="CD326" s="101"/>
      <c r="CE326" s="108"/>
      <c r="CF326" s="8"/>
      <c r="DK326" s="11"/>
      <c r="DL326" s="11"/>
      <c r="DM326" s="11"/>
      <c r="DN326" s="11"/>
      <c r="DO326" s="11"/>
      <c r="DP326" s="11"/>
      <c r="DX326" s="99"/>
      <c r="DY326" s="99"/>
      <c r="DZ326" s="99"/>
      <c r="EH326" s="100"/>
      <c r="EI326" s="100"/>
      <c r="EJ326" s="100"/>
      <c r="EK326" s="101"/>
      <c r="EL326" s="80"/>
      <c r="EM326" s="102"/>
      <c r="EN326" s="102"/>
      <c r="EO326" s="103"/>
      <c r="EP326" s="104"/>
      <c r="EQ326" s="28"/>
      <c r="ER326" s="102"/>
      <c r="ES326" s="102"/>
      <c r="ET326" s="102"/>
      <c r="EU326" s="102"/>
      <c r="EV326" s="105"/>
      <c r="EW326" s="101"/>
      <c r="EX326" s="105"/>
      <c r="EY326" s="11"/>
      <c r="EZ326" s="106"/>
      <c r="FA326" s="101"/>
      <c r="FB326" s="107"/>
      <c r="FC326" s="11"/>
      <c r="FD326" s="101"/>
      <c r="FE326" s="108"/>
      <c r="FF326" s="8"/>
    </row>
    <row r="327" spans="37:162">
      <c r="AK327" s="11"/>
      <c r="AL327" s="11"/>
      <c r="AM327" s="11"/>
      <c r="AN327" s="11"/>
      <c r="AO327" s="11"/>
      <c r="AP327" s="11"/>
      <c r="AX327" s="99"/>
      <c r="AY327" s="99"/>
      <c r="AZ327" s="99"/>
      <c r="BH327" s="100"/>
      <c r="BI327" s="100"/>
      <c r="BJ327" s="100"/>
      <c r="BK327" s="101"/>
      <c r="BL327" s="80"/>
      <c r="BM327" s="102"/>
      <c r="BN327" s="102"/>
      <c r="BO327" s="103"/>
      <c r="BP327" s="104"/>
      <c r="BQ327" s="28"/>
      <c r="BR327" s="102"/>
      <c r="BS327" s="102"/>
      <c r="BT327" s="102"/>
      <c r="BU327" s="102"/>
      <c r="BV327" s="105"/>
      <c r="BW327" s="101"/>
      <c r="BX327" s="105"/>
      <c r="BY327" s="11"/>
      <c r="BZ327" s="106"/>
      <c r="CA327" s="101"/>
      <c r="CB327" s="107"/>
      <c r="CC327" s="11"/>
      <c r="CD327" s="101"/>
      <c r="CE327" s="108"/>
      <c r="CF327" s="8"/>
      <c r="DK327" s="11"/>
      <c r="DL327" s="11"/>
      <c r="DM327" s="11"/>
      <c r="DN327" s="11"/>
      <c r="DO327" s="11"/>
      <c r="DP327" s="11"/>
      <c r="DX327" s="99"/>
      <c r="DY327" s="99"/>
      <c r="DZ327" s="99"/>
      <c r="EH327" s="100"/>
      <c r="EI327" s="100"/>
      <c r="EJ327" s="100"/>
      <c r="EK327" s="101"/>
      <c r="EL327" s="80"/>
      <c r="EM327" s="102"/>
      <c r="EN327" s="102"/>
      <c r="EO327" s="103"/>
      <c r="EP327" s="104"/>
      <c r="EQ327" s="28"/>
      <c r="ER327" s="102"/>
      <c r="ES327" s="102"/>
      <c r="ET327" s="102"/>
      <c r="EU327" s="102"/>
      <c r="EV327" s="105"/>
      <c r="EW327" s="101"/>
      <c r="EX327" s="105"/>
      <c r="EY327" s="11"/>
      <c r="EZ327" s="106"/>
      <c r="FA327" s="101"/>
      <c r="FB327" s="107"/>
      <c r="FC327" s="11"/>
      <c r="FD327" s="101"/>
      <c r="FE327" s="108"/>
      <c r="FF327" s="8"/>
    </row>
    <row r="328" spans="37:162">
      <c r="AK328" s="11"/>
      <c r="AL328" s="11"/>
      <c r="AM328" s="11"/>
      <c r="AN328" s="11"/>
      <c r="AO328" s="11"/>
      <c r="AP328" s="11"/>
      <c r="AX328" s="99"/>
      <c r="AY328" s="99"/>
      <c r="AZ328" s="99"/>
      <c r="BH328" s="100"/>
      <c r="BI328" s="100"/>
      <c r="BJ328" s="100"/>
      <c r="BK328" s="101"/>
      <c r="BL328" s="80"/>
      <c r="BM328" s="102"/>
      <c r="BN328" s="102"/>
      <c r="BO328" s="103"/>
      <c r="BP328" s="104"/>
      <c r="BQ328" s="28"/>
      <c r="BR328" s="102"/>
      <c r="BS328" s="102"/>
      <c r="BT328" s="102"/>
      <c r="BU328" s="102"/>
      <c r="BV328" s="105"/>
      <c r="BW328" s="101"/>
      <c r="BX328" s="105"/>
      <c r="BY328" s="11"/>
      <c r="BZ328" s="106"/>
      <c r="CA328" s="101"/>
      <c r="CB328" s="107"/>
      <c r="CC328" s="11"/>
      <c r="CD328" s="101"/>
      <c r="CE328" s="108"/>
      <c r="CF328" s="8"/>
      <c r="DK328" s="11"/>
      <c r="DL328" s="11"/>
      <c r="DM328" s="11"/>
      <c r="DN328" s="11"/>
      <c r="DO328" s="11"/>
      <c r="DP328" s="11"/>
      <c r="DX328" s="99"/>
      <c r="DY328" s="99"/>
      <c r="DZ328" s="99"/>
      <c r="EH328" s="100"/>
      <c r="EI328" s="100"/>
      <c r="EJ328" s="100"/>
      <c r="EK328" s="101"/>
      <c r="EL328" s="80"/>
      <c r="EM328" s="102"/>
      <c r="EN328" s="102"/>
      <c r="EO328" s="103"/>
      <c r="EP328" s="104"/>
      <c r="EQ328" s="28"/>
      <c r="ER328" s="102"/>
      <c r="ES328" s="102"/>
      <c r="ET328" s="102"/>
      <c r="EU328" s="102"/>
      <c r="EV328" s="105"/>
      <c r="EW328" s="101"/>
      <c r="EX328" s="105"/>
      <c r="EY328" s="11"/>
      <c r="EZ328" s="106"/>
      <c r="FA328" s="101"/>
      <c r="FB328" s="107"/>
      <c r="FC328" s="11"/>
      <c r="FD328" s="101"/>
      <c r="FE328" s="108"/>
      <c r="FF328" s="8"/>
    </row>
    <row r="329" spans="37:162">
      <c r="AK329" s="11"/>
      <c r="AL329" s="11"/>
      <c r="AM329" s="11"/>
      <c r="AN329" s="11"/>
      <c r="AO329" s="11"/>
      <c r="AP329" s="11"/>
      <c r="AX329" s="99"/>
      <c r="AY329" s="99"/>
      <c r="AZ329" s="99"/>
      <c r="BH329" s="100"/>
      <c r="BI329" s="100"/>
      <c r="BJ329" s="100"/>
      <c r="BK329" s="101"/>
      <c r="BL329" s="80"/>
      <c r="BM329" s="102"/>
      <c r="BN329" s="102"/>
      <c r="BO329" s="103"/>
      <c r="BP329" s="104"/>
      <c r="BQ329" s="28"/>
      <c r="BR329" s="102"/>
      <c r="BS329" s="102"/>
      <c r="BT329" s="102"/>
      <c r="BU329" s="102"/>
      <c r="BV329" s="105"/>
      <c r="BW329" s="101"/>
      <c r="BX329" s="105"/>
      <c r="BY329" s="11"/>
      <c r="BZ329" s="106"/>
      <c r="CA329" s="101"/>
      <c r="CB329" s="107"/>
      <c r="CC329" s="11"/>
      <c r="CD329" s="101"/>
      <c r="CE329" s="108"/>
      <c r="CF329" s="8"/>
      <c r="DK329" s="11"/>
      <c r="DL329" s="11"/>
      <c r="DM329" s="11"/>
      <c r="DN329" s="11"/>
      <c r="DO329" s="11"/>
      <c r="DP329" s="11"/>
      <c r="DX329" s="99"/>
      <c r="DY329" s="99"/>
      <c r="DZ329" s="99"/>
      <c r="EH329" s="100"/>
      <c r="EI329" s="100"/>
      <c r="EJ329" s="100"/>
      <c r="EK329" s="101"/>
      <c r="EL329" s="80"/>
      <c r="EM329" s="102"/>
      <c r="EN329" s="102"/>
      <c r="EO329" s="103"/>
      <c r="EP329" s="104"/>
      <c r="EQ329" s="28"/>
      <c r="ER329" s="102"/>
      <c r="ES329" s="102"/>
      <c r="ET329" s="102"/>
      <c r="EU329" s="102"/>
      <c r="EV329" s="105"/>
      <c r="EW329" s="101"/>
      <c r="EX329" s="105"/>
      <c r="EY329" s="11"/>
      <c r="EZ329" s="106"/>
      <c r="FA329" s="101"/>
      <c r="FB329" s="107"/>
      <c r="FC329" s="11"/>
      <c r="FD329" s="101"/>
      <c r="FE329" s="108"/>
      <c r="FF329" s="8"/>
    </row>
    <row r="330" spans="37:162">
      <c r="AK330" s="11"/>
      <c r="AL330" s="11"/>
      <c r="AM330" s="11"/>
      <c r="AN330" s="11"/>
      <c r="AO330" s="11"/>
      <c r="AP330" s="11"/>
      <c r="AX330" s="99"/>
      <c r="AY330" s="99"/>
      <c r="AZ330" s="99"/>
      <c r="BH330" s="100"/>
      <c r="BI330" s="100"/>
      <c r="BJ330" s="100"/>
      <c r="BK330" s="101"/>
      <c r="BL330" s="80"/>
      <c r="BM330" s="102"/>
      <c r="BN330" s="102"/>
      <c r="BO330" s="103"/>
      <c r="BP330" s="104"/>
      <c r="BQ330" s="28"/>
      <c r="BR330" s="102"/>
      <c r="BS330" s="102"/>
      <c r="BT330" s="102"/>
      <c r="BU330" s="102"/>
      <c r="BV330" s="105"/>
      <c r="BW330" s="101"/>
      <c r="BX330" s="105"/>
      <c r="BY330" s="11"/>
      <c r="BZ330" s="106"/>
      <c r="CA330" s="101"/>
      <c r="CB330" s="107"/>
      <c r="CC330" s="11"/>
      <c r="CD330" s="101"/>
      <c r="CE330" s="108"/>
      <c r="CF330" s="8"/>
      <c r="DK330" s="11"/>
      <c r="DL330" s="11"/>
      <c r="DM330" s="11"/>
      <c r="DN330" s="11"/>
      <c r="DO330" s="11"/>
      <c r="DP330" s="11"/>
      <c r="DX330" s="99"/>
      <c r="DY330" s="99"/>
      <c r="DZ330" s="99"/>
      <c r="EH330" s="100"/>
      <c r="EI330" s="100"/>
      <c r="EJ330" s="100"/>
      <c r="EK330" s="101"/>
      <c r="EL330" s="80"/>
      <c r="EM330" s="102"/>
      <c r="EN330" s="102"/>
      <c r="EO330" s="103"/>
      <c r="EP330" s="104"/>
      <c r="EQ330" s="28"/>
      <c r="ER330" s="102"/>
      <c r="ES330" s="102"/>
      <c r="ET330" s="102"/>
      <c r="EU330" s="102"/>
      <c r="EV330" s="105"/>
      <c r="EW330" s="101"/>
      <c r="EX330" s="105"/>
      <c r="EY330" s="11"/>
      <c r="EZ330" s="106"/>
      <c r="FA330" s="101"/>
      <c r="FB330" s="107"/>
      <c r="FC330" s="11"/>
      <c r="FD330" s="101"/>
      <c r="FE330" s="108"/>
      <c r="FF330" s="8"/>
    </row>
    <row r="331" spans="37:162">
      <c r="AK331" s="11"/>
      <c r="AL331" s="11"/>
      <c r="AM331" s="11"/>
      <c r="AN331" s="11"/>
      <c r="AO331" s="11"/>
      <c r="AP331" s="11"/>
      <c r="AX331" s="99"/>
      <c r="AY331" s="99"/>
      <c r="AZ331" s="99"/>
      <c r="BH331" s="100"/>
      <c r="BI331" s="100"/>
      <c r="BJ331" s="100"/>
      <c r="BK331" s="101"/>
      <c r="BL331" s="80"/>
      <c r="BM331" s="102"/>
      <c r="BN331" s="102"/>
      <c r="BO331" s="103"/>
      <c r="BP331" s="104"/>
      <c r="BQ331" s="28"/>
      <c r="BR331" s="102"/>
      <c r="BS331" s="102"/>
      <c r="BT331" s="102"/>
      <c r="BU331" s="102"/>
      <c r="BV331" s="105"/>
      <c r="BW331" s="101"/>
      <c r="BX331" s="105"/>
      <c r="BY331" s="11"/>
      <c r="BZ331" s="106"/>
      <c r="CA331" s="101"/>
      <c r="CB331" s="107"/>
      <c r="CC331" s="11"/>
      <c r="CD331" s="101"/>
      <c r="CE331" s="108"/>
      <c r="CF331" s="8"/>
      <c r="DK331" s="11"/>
      <c r="DL331" s="11"/>
      <c r="DM331" s="11"/>
      <c r="DN331" s="11"/>
      <c r="DO331" s="11"/>
      <c r="DP331" s="11"/>
      <c r="DX331" s="99"/>
      <c r="DY331" s="99"/>
      <c r="DZ331" s="99"/>
      <c r="EH331" s="100"/>
      <c r="EI331" s="100"/>
      <c r="EJ331" s="100"/>
      <c r="EK331" s="101"/>
      <c r="EL331" s="80"/>
      <c r="EM331" s="102"/>
      <c r="EN331" s="102"/>
      <c r="EO331" s="103"/>
      <c r="EP331" s="104"/>
      <c r="EQ331" s="28"/>
      <c r="ER331" s="102"/>
      <c r="ES331" s="102"/>
      <c r="ET331" s="102"/>
      <c r="EU331" s="102"/>
      <c r="EV331" s="105"/>
      <c r="EW331" s="101"/>
      <c r="EX331" s="105"/>
      <c r="EY331" s="11"/>
      <c r="EZ331" s="106"/>
      <c r="FA331" s="101"/>
      <c r="FB331" s="107"/>
      <c r="FC331" s="11"/>
      <c r="FD331" s="101"/>
      <c r="FE331" s="108"/>
      <c r="FF331" s="8"/>
    </row>
    <row r="332" spans="37:162">
      <c r="AK332" s="11"/>
      <c r="AL332" s="11"/>
      <c r="AM332" s="11"/>
      <c r="AN332" s="11"/>
      <c r="AO332" s="11"/>
      <c r="AP332" s="11"/>
      <c r="AX332" s="99"/>
      <c r="AY332" s="99"/>
      <c r="AZ332" s="99"/>
      <c r="BH332" s="100"/>
      <c r="BI332" s="100"/>
      <c r="BJ332" s="100"/>
      <c r="BK332" s="101"/>
      <c r="BL332" s="80"/>
      <c r="BM332" s="102"/>
      <c r="BN332" s="102"/>
      <c r="BO332" s="103"/>
      <c r="BP332" s="104"/>
      <c r="BQ332" s="28"/>
      <c r="BR332" s="102"/>
      <c r="BS332" s="102"/>
      <c r="BT332" s="102"/>
      <c r="BU332" s="102"/>
      <c r="BV332" s="105"/>
      <c r="BW332" s="101"/>
      <c r="BX332" s="105"/>
      <c r="BY332" s="11"/>
      <c r="BZ332" s="106"/>
      <c r="CA332" s="101"/>
      <c r="CB332" s="107"/>
      <c r="CC332" s="11"/>
      <c r="CD332" s="101"/>
      <c r="CE332" s="108"/>
      <c r="CF332" s="8"/>
      <c r="DK332" s="11"/>
      <c r="DL332" s="11"/>
      <c r="DM332" s="11"/>
      <c r="DN332" s="11"/>
      <c r="DO332" s="11"/>
      <c r="DP332" s="11"/>
      <c r="DX332" s="99"/>
      <c r="DY332" s="99"/>
      <c r="DZ332" s="99"/>
      <c r="EH332" s="100"/>
      <c r="EI332" s="100"/>
      <c r="EJ332" s="100"/>
      <c r="EK332" s="101"/>
      <c r="EL332" s="80"/>
      <c r="EM332" s="102"/>
      <c r="EN332" s="102"/>
      <c r="EO332" s="103"/>
      <c r="EP332" s="104"/>
      <c r="EQ332" s="28"/>
      <c r="ER332" s="102"/>
      <c r="ES332" s="102"/>
      <c r="ET332" s="102"/>
      <c r="EU332" s="102"/>
      <c r="EV332" s="105"/>
      <c r="EW332" s="101"/>
      <c r="EX332" s="105"/>
      <c r="EY332" s="11"/>
      <c r="EZ332" s="106"/>
      <c r="FA332" s="101"/>
      <c r="FB332" s="107"/>
      <c r="FC332" s="11"/>
      <c r="FD332" s="101"/>
      <c r="FE332" s="108"/>
      <c r="FF332" s="8"/>
    </row>
    <row r="333" spans="37:162">
      <c r="AK333" s="11"/>
      <c r="AL333" s="11"/>
      <c r="AM333" s="11"/>
      <c r="AN333" s="11"/>
      <c r="AO333" s="11"/>
      <c r="AP333" s="11"/>
      <c r="AX333" s="99"/>
      <c r="AY333" s="99"/>
      <c r="AZ333" s="99"/>
      <c r="BH333" s="100"/>
      <c r="BI333" s="100"/>
      <c r="BJ333" s="100"/>
      <c r="BK333" s="101"/>
      <c r="BL333" s="80"/>
      <c r="BM333" s="102"/>
      <c r="BN333" s="102"/>
      <c r="BO333" s="103"/>
      <c r="BP333" s="104"/>
      <c r="BQ333" s="28"/>
      <c r="BR333" s="102"/>
      <c r="BS333" s="102"/>
      <c r="BT333" s="102"/>
      <c r="BU333" s="102"/>
      <c r="BV333" s="105"/>
      <c r="BW333" s="101"/>
      <c r="BX333" s="105"/>
      <c r="BY333" s="11"/>
      <c r="BZ333" s="106"/>
      <c r="CA333" s="101"/>
      <c r="CB333" s="107"/>
      <c r="CC333" s="11"/>
      <c r="CD333" s="101"/>
      <c r="CE333" s="108"/>
      <c r="CF333" s="8"/>
      <c r="DK333" s="11"/>
      <c r="DL333" s="11"/>
      <c r="DM333" s="11"/>
      <c r="DN333" s="11"/>
      <c r="DO333" s="11"/>
      <c r="DP333" s="11"/>
      <c r="DX333" s="99"/>
      <c r="DY333" s="99"/>
      <c r="DZ333" s="99"/>
      <c r="EH333" s="100"/>
      <c r="EI333" s="100"/>
      <c r="EJ333" s="100"/>
      <c r="EK333" s="101"/>
      <c r="EL333" s="80"/>
      <c r="EM333" s="102"/>
      <c r="EN333" s="102"/>
      <c r="EO333" s="103"/>
      <c r="EP333" s="104"/>
      <c r="EQ333" s="28"/>
      <c r="ER333" s="102"/>
      <c r="ES333" s="102"/>
      <c r="ET333" s="102"/>
      <c r="EU333" s="102"/>
      <c r="EV333" s="105"/>
      <c r="EW333" s="101"/>
      <c r="EX333" s="105"/>
      <c r="EY333" s="11"/>
      <c r="EZ333" s="106"/>
      <c r="FA333" s="101"/>
      <c r="FB333" s="107"/>
      <c r="FC333" s="11"/>
      <c r="FD333" s="101"/>
      <c r="FE333" s="108"/>
      <c r="FF333" s="8"/>
    </row>
    <row r="334" spans="37:162">
      <c r="AK334" s="11"/>
      <c r="AL334" s="11"/>
      <c r="AM334" s="11"/>
      <c r="AN334" s="11"/>
      <c r="AO334" s="11"/>
      <c r="AP334" s="11"/>
      <c r="AX334" s="99"/>
      <c r="AY334" s="99"/>
      <c r="AZ334" s="99"/>
      <c r="BH334" s="100"/>
      <c r="BI334" s="100"/>
      <c r="BJ334" s="100"/>
      <c r="BK334" s="101"/>
      <c r="BL334" s="80"/>
      <c r="BM334" s="102"/>
      <c r="BN334" s="102"/>
      <c r="BO334" s="103"/>
      <c r="BP334" s="104"/>
      <c r="BQ334" s="28"/>
      <c r="BR334" s="102"/>
      <c r="BS334" s="102"/>
      <c r="BT334" s="102"/>
      <c r="BU334" s="102"/>
      <c r="BV334" s="105"/>
      <c r="BW334" s="101"/>
      <c r="BX334" s="105"/>
      <c r="BY334" s="11"/>
      <c r="BZ334" s="106"/>
      <c r="CA334" s="101"/>
      <c r="CB334" s="107"/>
      <c r="CC334" s="11"/>
      <c r="CD334" s="101"/>
      <c r="CE334" s="108"/>
      <c r="CF334" s="8"/>
      <c r="DK334" s="11"/>
      <c r="DL334" s="11"/>
      <c r="DM334" s="11"/>
      <c r="DN334" s="11"/>
      <c r="DO334" s="11"/>
      <c r="DP334" s="11"/>
      <c r="DX334" s="99"/>
      <c r="DY334" s="99"/>
      <c r="DZ334" s="99"/>
      <c r="EH334" s="100"/>
      <c r="EI334" s="100"/>
      <c r="EJ334" s="100"/>
      <c r="EK334" s="101"/>
      <c r="EL334" s="80"/>
      <c r="EM334" s="102"/>
      <c r="EN334" s="102"/>
      <c r="EO334" s="103"/>
      <c r="EP334" s="104"/>
      <c r="EQ334" s="28"/>
      <c r="ER334" s="102"/>
      <c r="ES334" s="102"/>
      <c r="ET334" s="102"/>
      <c r="EU334" s="102"/>
      <c r="EV334" s="105"/>
      <c r="EW334" s="101"/>
      <c r="EX334" s="105"/>
      <c r="EY334" s="11"/>
      <c r="EZ334" s="106"/>
      <c r="FA334" s="101"/>
      <c r="FB334" s="107"/>
      <c r="FC334" s="11"/>
      <c r="FD334" s="101"/>
      <c r="FE334" s="108"/>
      <c r="FF334" s="8"/>
    </row>
    <row r="335" spans="37:162">
      <c r="AK335" s="11"/>
      <c r="AL335" s="11"/>
      <c r="AM335" s="11"/>
      <c r="AN335" s="11"/>
      <c r="AO335" s="11"/>
      <c r="AP335" s="11"/>
      <c r="AX335" s="99"/>
      <c r="AY335" s="99"/>
      <c r="AZ335" s="99"/>
      <c r="BH335" s="100"/>
      <c r="BI335" s="100"/>
      <c r="BJ335" s="100"/>
      <c r="BK335" s="101"/>
      <c r="BL335" s="80"/>
      <c r="BM335" s="102"/>
      <c r="BN335" s="102"/>
      <c r="BO335" s="103"/>
      <c r="BP335" s="104"/>
      <c r="BQ335" s="28"/>
      <c r="BR335" s="102"/>
      <c r="BS335" s="102"/>
      <c r="BT335" s="102"/>
      <c r="BU335" s="102"/>
      <c r="BV335" s="105"/>
      <c r="BW335" s="101"/>
      <c r="BX335" s="105"/>
      <c r="BY335" s="11"/>
      <c r="BZ335" s="106"/>
      <c r="CA335" s="101"/>
      <c r="CB335" s="107"/>
      <c r="CC335" s="11"/>
      <c r="CD335" s="101"/>
      <c r="CE335" s="108"/>
      <c r="CF335" s="8"/>
      <c r="DK335" s="11"/>
      <c r="DL335" s="11"/>
      <c r="DM335" s="11"/>
      <c r="DN335" s="11"/>
      <c r="DO335" s="11"/>
      <c r="DP335" s="11"/>
      <c r="DX335" s="99"/>
      <c r="DY335" s="99"/>
      <c r="DZ335" s="99"/>
      <c r="EH335" s="100"/>
      <c r="EI335" s="100"/>
      <c r="EJ335" s="100"/>
      <c r="EK335" s="101"/>
      <c r="EL335" s="80"/>
      <c r="EM335" s="102"/>
      <c r="EN335" s="102"/>
      <c r="EO335" s="103"/>
      <c r="EP335" s="104"/>
      <c r="EQ335" s="28"/>
      <c r="ER335" s="102"/>
      <c r="ES335" s="102"/>
      <c r="ET335" s="102"/>
      <c r="EU335" s="102"/>
      <c r="EV335" s="105"/>
      <c r="EW335" s="101"/>
      <c r="EX335" s="105"/>
      <c r="EY335" s="11"/>
      <c r="EZ335" s="106"/>
      <c r="FA335" s="101"/>
      <c r="FB335" s="107"/>
      <c r="FC335" s="11"/>
      <c r="FD335" s="101"/>
      <c r="FE335" s="108"/>
      <c r="FF335" s="8"/>
    </row>
    <row r="336" spans="37:162">
      <c r="AK336" s="11"/>
      <c r="AL336" s="11"/>
      <c r="AM336" s="11"/>
      <c r="AN336" s="11"/>
      <c r="AO336" s="11"/>
      <c r="AP336" s="11"/>
      <c r="AX336" s="99"/>
      <c r="AY336" s="99"/>
      <c r="AZ336" s="99"/>
      <c r="BH336" s="100"/>
      <c r="BI336" s="100"/>
      <c r="BJ336" s="100"/>
      <c r="BK336" s="101"/>
      <c r="BL336" s="80"/>
      <c r="BM336" s="102"/>
      <c r="BN336" s="102"/>
      <c r="BO336" s="103"/>
      <c r="BP336" s="104"/>
      <c r="BQ336" s="28"/>
      <c r="BR336" s="102"/>
      <c r="BS336" s="102"/>
      <c r="BT336" s="102"/>
      <c r="BU336" s="102"/>
      <c r="BV336" s="105"/>
      <c r="BW336" s="101"/>
      <c r="BX336" s="105"/>
      <c r="BY336" s="11"/>
      <c r="BZ336" s="106"/>
      <c r="CA336" s="101"/>
      <c r="CB336" s="107"/>
      <c r="CC336" s="11"/>
      <c r="CD336" s="101"/>
      <c r="CE336" s="108"/>
      <c r="CF336" s="8"/>
      <c r="DK336" s="11"/>
      <c r="DL336" s="11"/>
      <c r="DM336" s="11"/>
      <c r="DN336" s="11"/>
      <c r="DO336" s="11"/>
      <c r="DP336" s="11"/>
      <c r="DX336" s="99"/>
      <c r="DY336" s="99"/>
      <c r="DZ336" s="99"/>
      <c r="EH336" s="100"/>
      <c r="EI336" s="100"/>
      <c r="EJ336" s="100"/>
      <c r="EK336" s="101"/>
      <c r="EL336" s="80"/>
      <c r="EM336" s="102"/>
      <c r="EN336" s="102"/>
      <c r="EO336" s="103"/>
      <c r="EP336" s="104"/>
      <c r="EQ336" s="28"/>
      <c r="ER336" s="102"/>
      <c r="ES336" s="102"/>
      <c r="ET336" s="102"/>
      <c r="EU336" s="102"/>
      <c r="EV336" s="105"/>
      <c r="EW336" s="101"/>
      <c r="EX336" s="105"/>
      <c r="EY336" s="11"/>
      <c r="EZ336" s="106"/>
      <c r="FA336" s="101"/>
      <c r="FB336" s="107"/>
      <c r="FC336" s="11"/>
      <c r="FD336" s="101"/>
      <c r="FE336" s="108"/>
      <c r="FF336" s="8"/>
    </row>
    <row r="337" spans="37:162">
      <c r="AK337" s="11"/>
      <c r="AL337" s="11"/>
      <c r="AM337" s="11"/>
      <c r="AN337" s="11"/>
      <c r="AO337" s="11"/>
      <c r="AP337" s="11"/>
      <c r="AX337" s="99"/>
      <c r="AY337" s="99"/>
      <c r="AZ337" s="99"/>
      <c r="BH337" s="100"/>
      <c r="BI337" s="100"/>
      <c r="BJ337" s="100"/>
      <c r="BK337" s="101"/>
      <c r="BL337" s="80"/>
      <c r="BM337" s="102"/>
      <c r="BN337" s="102"/>
      <c r="BO337" s="103"/>
      <c r="BP337" s="104"/>
      <c r="BQ337" s="28"/>
      <c r="BR337" s="102"/>
      <c r="BS337" s="102"/>
      <c r="BT337" s="102"/>
      <c r="BU337" s="102"/>
      <c r="BV337" s="105"/>
      <c r="BW337" s="101"/>
      <c r="BX337" s="105"/>
      <c r="BY337" s="11"/>
      <c r="BZ337" s="106"/>
      <c r="CA337" s="101"/>
      <c r="CB337" s="107"/>
      <c r="CC337" s="11"/>
      <c r="CD337" s="101"/>
      <c r="CE337" s="108"/>
      <c r="CF337" s="8"/>
      <c r="DK337" s="11"/>
      <c r="DL337" s="11"/>
      <c r="DM337" s="11"/>
      <c r="DN337" s="11"/>
      <c r="DO337" s="11"/>
      <c r="DP337" s="11"/>
      <c r="DX337" s="99"/>
      <c r="DY337" s="99"/>
      <c r="DZ337" s="99"/>
      <c r="EH337" s="100"/>
      <c r="EI337" s="100"/>
      <c r="EJ337" s="100"/>
      <c r="EK337" s="101"/>
      <c r="EL337" s="80"/>
      <c r="EM337" s="102"/>
      <c r="EN337" s="102"/>
      <c r="EO337" s="103"/>
      <c r="EP337" s="104"/>
      <c r="EQ337" s="28"/>
      <c r="ER337" s="102"/>
      <c r="ES337" s="102"/>
      <c r="ET337" s="102"/>
      <c r="EU337" s="102"/>
      <c r="EV337" s="105"/>
      <c r="EW337" s="101"/>
      <c r="EX337" s="105"/>
      <c r="EY337" s="11"/>
      <c r="EZ337" s="106"/>
      <c r="FA337" s="101"/>
      <c r="FB337" s="107"/>
      <c r="FC337" s="11"/>
      <c r="FD337" s="101"/>
      <c r="FE337" s="108"/>
      <c r="FF337" s="8"/>
    </row>
    <row r="338" spans="37:162">
      <c r="AK338" s="11"/>
      <c r="AL338" s="11"/>
      <c r="AM338" s="11"/>
      <c r="AN338" s="11"/>
      <c r="AO338" s="11"/>
      <c r="AP338" s="11"/>
      <c r="AX338" s="99"/>
      <c r="AY338" s="99"/>
      <c r="AZ338" s="99"/>
      <c r="BH338" s="100"/>
      <c r="BI338" s="100"/>
      <c r="BJ338" s="100"/>
      <c r="BK338" s="101"/>
      <c r="BL338" s="80"/>
      <c r="BM338" s="102"/>
      <c r="BN338" s="102"/>
      <c r="BO338" s="103"/>
      <c r="BP338" s="104"/>
      <c r="BQ338" s="28"/>
      <c r="BR338" s="102"/>
      <c r="BS338" s="102"/>
      <c r="BT338" s="102"/>
      <c r="BU338" s="102"/>
      <c r="BV338" s="105"/>
      <c r="BW338" s="101"/>
      <c r="BX338" s="105"/>
      <c r="BY338" s="11"/>
      <c r="BZ338" s="106"/>
      <c r="CA338" s="101"/>
      <c r="CB338" s="107"/>
      <c r="CC338" s="11"/>
      <c r="CD338" s="101"/>
      <c r="CE338" s="108"/>
      <c r="CF338" s="8"/>
      <c r="DK338" s="11"/>
      <c r="DL338" s="11"/>
      <c r="DM338" s="11"/>
      <c r="DN338" s="11"/>
      <c r="DO338" s="11"/>
      <c r="DP338" s="11"/>
      <c r="DX338" s="99"/>
      <c r="DY338" s="99"/>
      <c r="DZ338" s="99"/>
      <c r="EH338" s="100"/>
      <c r="EI338" s="100"/>
      <c r="EJ338" s="100"/>
      <c r="EK338" s="101"/>
      <c r="EL338" s="80"/>
      <c r="EM338" s="102"/>
      <c r="EN338" s="102"/>
      <c r="EO338" s="103"/>
      <c r="EP338" s="104"/>
      <c r="EQ338" s="28"/>
      <c r="ER338" s="102"/>
      <c r="ES338" s="102"/>
      <c r="ET338" s="102"/>
      <c r="EU338" s="102"/>
      <c r="EV338" s="105"/>
      <c r="EW338" s="101"/>
      <c r="EX338" s="105"/>
      <c r="EY338" s="11"/>
      <c r="EZ338" s="106"/>
      <c r="FA338" s="101"/>
      <c r="FB338" s="107"/>
      <c r="FC338" s="11"/>
      <c r="FD338" s="101"/>
      <c r="FE338" s="108"/>
      <c r="FF338" s="8"/>
    </row>
    <row r="339" spans="37:162">
      <c r="AK339" s="11"/>
      <c r="AL339" s="11"/>
      <c r="AM339" s="11"/>
      <c r="AN339" s="11"/>
      <c r="AO339" s="11"/>
      <c r="AP339" s="11"/>
      <c r="AX339" s="99"/>
      <c r="AY339" s="99"/>
      <c r="AZ339" s="99"/>
      <c r="BH339" s="100"/>
      <c r="BI339" s="100"/>
      <c r="BJ339" s="100"/>
      <c r="BK339" s="101"/>
      <c r="BL339" s="80"/>
      <c r="BM339" s="102"/>
      <c r="BN339" s="102"/>
      <c r="BO339" s="103"/>
      <c r="BP339" s="104"/>
      <c r="BQ339" s="28"/>
      <c r="BR339" s="102"/>
      <c r="BS339" s="102"/>
      <c r="BT339" s="102"/>
      <c r="BU339" s="102"/>
      <c r="BV339" s="105"/>
      <c r="BW339" s="101"/>
      <c r="BX339" s="105"/>
      <c r="BY339" s="11"/>
      <c r="BZ339" s="106"/>
      <c r="CA339" s="101"/>
      <c r="CB339" s="107"/>
      <c r="CC339" s="11"/>
      <c r="CD339" s="101"/>
      <c r="CE339" s="108"/>
      <c r="CF339" s="8"/>
      <c r="DK339" s="11"/>
      <c r="DL339" s="11"/>
      <c r="DM339" s="11"/>
      <c r="DN339" s="11"/>
      <c r="DO339" s="11"/>
      <c r="DP339" s="11"/>
      <c r="DX339" s="99"/>
      <c r="DY339" s="99"/>
      <c r="DZ339" s="99"/>
      <c r="EH339" s="100"/>
      <c r="EI339" s="100"/>
      <c r="EJ339" s="100"/>
      <c r="EK339" s="101"/>
      <c r="EL339" s="80"/>
      <c r="EM339" s="102"/>
      <c r="EN339" s="102"/>
      <c r="EO339" s="103"/>
      <c r="EP339" s="104"/>
      <c r="EQ339" s="28"/>
      <c r="ER339" s="102"/>
      <c r="ES339" s="102"/>
      <c r="ET339" s="102"/>
      <c r="EU339" s="102"/>
      <c r="EV339" s="105"/>
      <c r="EW339" s="101"/>
      <c r="EX339" s="105"/>
      <c r="EY339" s="11"/>
      <c r="EZ339" s="106"/>
      <c r="FA339" s="101"/>
      <c r="FB339" s="107"/>
      <c r="FC339" s="11"/>
      <c r="FD339" s="101"/>
      <c r="FE339" s="108"/>
      <c r="FF339" s="8"/>
    </row>
    <row r="340" spans="37:162">
      <c r="AK340" s="11"/>
      <c r="AL340" s="11"/>
      <c r="AM340" s="11"/>
      <c r="AN340" s="11"/>
      <c r="AO340" s="11"/>
      <c r="AP340" s="11"/>
      <c r="AX340" s="99"/>
      <c r="AY340" s="99"/>
      <c r="AZ340" s="99"/>
      <c r="BH340" s="100"/>
      <c r="BI340" s="100"/>
      <c r="BJ340" s="100"/>
      <c r="BK340" s="101"/>
      <c r="BL340" s="80"/>
      <c r="BM340" s="102"/>
      <c r="BN340" s="102"/>
      <c r="BO340" s="103"/>
      <c r="BP340" s="104"/>
      <c r="BQ340" s="28"/>
      <c r="BR340" s="102"/>
      <c r="BS340" s="102"/>
      <c r="BT340" s="102"/>
      <c r="BU340" s="102"/>
      <c r="BV340" s="105"/>
      <c r="BW340" s="101"/>
      <c r="BX340" s="105"/>
      <c r="BY340" s="11"/>
      <c r="BZ340" s="106"/>
      <c r="CA340" s="101"/>
      <c r="CB340" s="107"/>
      <c r="CC340" s="11"/>
      <c r="CD340" s="101"/>
      <c r="CE340" s="108"/>
      <c r="CF340" s="8"/>
      <c r="DK340" s="11"/>
      <c r="DL340" s="11"/>
      <c r="DM340" s="11"/>
      <c r="DN340" s="11"/>
      <c r="DO340" s="11"/>
      <c r="DP340" s="11"/>
      <c r="DX340" s="99"/>
      <c r="DY340" s="99"/>
      <c r="DZ340" s="99"/>
      <c r="EH340" s="100"/>
      <c r="EI340" s="100"/>
      <c r="EJ340" s="100"/>
      <c r="EK340" s="101"/>
      <c r="EL340" s="80"/>
      <c r="EM340" s="102"/>
      <c r="EN340" s="102"/>
      <c r="EO340" s="103"/>
      <c r="EP340" s="104"/>
      <c r="EQ340" s="28"/>
      <c r="ER340" s="102"/>
      <c r="ES340" s="102"/>
      <c r="ET340" s="102"/>
      <c r="EU340" s="102"/>
      <c r="EV340" s="105"/>
      <c r="EW340" s="101"/>
      <c r="EX340" s="105"/>
      <c r="EY340" s="11"/>
      <c r="EZ340" s="106"/>
      <c r="FA340" s="101"/>
      <c r="FB340" s="107"/>
      <c r="FC340" s="11"/>
      <c r="FD340" s="101"/>
      <c r="FE340" s="108"/>
      <c r="FF340" s="8"/>
    </row>
    <row r="341" spans="37:162">
      <c r="AK341" s="11"/>
      <c r="AL341" s="11"/>
      <c r="AM341" s="11"/>
      <c r="AN341" s="11"/>
      <c r="AO341" s="11"/>
      <c r="AP341" s="11"/>
      <c r="AX341" s="99"/>
      <c r="AY341" s="99"/>
      <c r="AZ341" s="99"/>
      <c r="BH341" s="100"/>
      <c r="BI341" s="100"/>
      <c r="BJ341" s="100"/>
      <c r="BK341" s="101"/>
      <c r="BL341" s="80"/>
      <c r="BM341" s="102"/>
      <c r="BN341" s="102"/>
      <c r="BO341" s="103"/>
      <c r="BP341" s="104"/>
      <c r="BQ341" s="28"/>
      <c r="BR341" s="102"/>
      <c r="BS341" s="102"/>
      <c r="BT341" s="102"/>
      <c r="BU341" s="102"/>
      <c r="BV341" s="105"/>
      <c r="BW341" s="101"/>
      <c r="BX341" s="105"/>
      <c r="BY341" s="11"/>
      <c r="BZ341" s="106"/>
      <c r="CA341" s="101"/>
      <c r="CB341" s="107"/>
      <c r="CC341" s="11"/>
      <c r="CD341" s="101"/>
      <c r="CE341" s="108"/>
      <c r="CF341" s="8"/>
      <c r="DK341" s="11"/>
      <c r="DL341" s="11"/>
      <c r="DM341" s="11"/>
      <c r="DN341" s="11"/>
      <c r="DO341" s="11"/>
      <c r="DP341" s="11"/>
      <c r="DX341" s="99"/>
      <c r="DY341" s="99"/>
      <c r="DZ341" s="99"/>
      <c r="EH341" s="100"/>
      <c r="EI341" s="100"/>
      <c r="EJ341" s="100"/>
      <c r="EK341" s="101"/>
      <c r="EL341" s="80"/>
      <c r="EM341" s="102"/>
      <c r="EN341" s="102"/>
      <c r="EO341" s="103"/>
      <c r="EP341" s="104"/>
      <c r="EQ341" s="28"/>
      <c r="ER341" s="102"/>
      <c r="ES341" s="102"/>
      <c r="ET341" s="102"/>
      <c r="EU341" s="102"/>
      <c r="EV341" s="105"/>
      <c r="EW341" s="101"/>
      <c r="EX341" s="105"/>
      <c r="EY341" s="11"/>
      <c r="EZ341" s="106"/>
      <c r="FA341" s="101"/>
      <c r="FB341" s="107"/>
      <c r="FC341" s="11"/>
      <c r="FD341" s="101"/>
      <c r="FE341" s="108"/>
      <c r="FF341" s="8"/>
    </row>
    <row r="342" spans="37:162">
      <c r="AK342" s="11"/>
      <c r="AL342" s="11"/>
      <c r="AM342" s="11"/>
      <c r="AN342" s="11"/>
      <c r="AO342" s="11"/>
      <c r="AP342" s="11"/>
      <c r="AX342" s="99"/>
      <c r="AY342" s="99"/>
      <c r="AZ342" s="99"/>
      <c r="BH342" s="100"/>
      <c r="BI342" s="100"/>
      <c r="BJ342" s="100"/>
      <c r="BK342" s="101"/>
      <c r="BL342" s="80"/>
      <c r="BM342" s="102"/>
      <c r="BN342" s="102"/>
      <c r="BO342" s="103"/>
      <c r="BP342" s="104"/>
      <c r="BQ342" s="28"/>
      <c r="BR342" s="102"/>
      <c r="BS342" s="102"/>
      <c r="BT342" s="102"/>
      <c r="BU342" s="102"/>
      <c r="BV342" s="105"/>
      <c r="BW342" s="101"/>
      <c r="BX342" s="105"/>
      <c r="BY342" s="11"/>
      <c r="BZ342" s="106"/>
      <c r="CA342" s="101"/>
      <c r="CB342" s="107"/>
      <c r="CC342" s="11"/>
      <c r="CD342" s="101"/>
      <c r="CE342" s="108"/>
      <c r="CF342" s="8"/>
      <c r="DK342" s="11"/>
      <c r="DL342" s="11"/>
      <c r="DM342" s="11"/>
      <c r="DN342" s="11"/>
      <c r="DO342" s="11"/>
      <c r="DP342" s="11"/>
      <c r="DX342" s="99"/>
      <c r="DY342" s="99"/>
      <c r="DZ342" s="99"/>
      <c r="EH342" s="100"/>
      <c r="EI342" s="100"/>
      <c r="EJ342" s="100"/>
      <c r="EK342" s="101"/>
      <c r="EL342" s="80"/>
      <c r="EM342" s="102"/>
      <c r="EN342" s="102"/>
      <c r="EO342" s="103"/>
      <c r="EP342" s="104"/>
      <c r="EQ342" s="28"/>
      <c r="ER342" s="102"/>
      <c r="ES342" s="102"/>
      <c r="ET342" s="102"/>
      <c r="EU342" s="102"/>
      <c r="EV342" s="105"/>
      <c r="EW342" s="101"/>
      <c r="EX342" s="105"/>
      <c r="EY342" s="11"/>
      <c r="EZ342" s="106"/>
      <c r="FA342" s="101"/>
      <c r="FB342" s="107"/>
      <c r="FC342" s="11"/>
      <c r="FD342" s="101"/>
      <c r="FE342" s="108"/>
      <c r="FF342" s="8"/>
    </row>
    <row r="343" spans="37:162">
      <c r="AK343" s="11"/>
      <c r="AL343" s="11"/>
      <c r="AM343" s="11"/>
      <c r="AN343" s="11"/>
      <c r="AO343" s="11"/>
      <c r="AP343" s="11"/>
      <c r="AX343" s="99"/>
      <c r="AY343" s="99"/>
      <c r="AZ343" s="99"/>
      <c r="BH343" s="100"/>
      <c r="BI343" s="100"/>
      <c r="BJ343" s="100"/>
      <c r="BK343" s="101"/>
      <c r="BL343" s="80"/>
      <c r="BM343" s="102"/>
      <c r="BN343" s="102"/>
      <c r="BO343" s="103"/>
      <c r="BP343" s="104"/>
      <c r="BQ343" s="28"/>
      <c r="BR343" s="102"/>
      <c r="BS343" s="102"/>
      <c r="BT343" s="102"/>
      <c r="BU343" s="102"/>
      <c r="BV343" s="105"/>
      <c r="BW343" s="101"/>
      <c r="BX343" s="105"/>
      <c r="BY343" s="11"/>
      <c r="BZ343" s="106"/>
      <c r="CA343" s="101"/>
      <c r="CB343" s="107"/>
      <c r="CC343" s="11"/>
      <c r="CD343" s="101"/>
      <c r="CE343" s="108"/>
      <c r="CF343" s="8"/>
      <c r="DK343" s="11"/>
      <c r="DL343" s="11"/>
      <c r="DM343" s="11"/>
      <c r="DN343" s="11"/>
      <c r="DO343" s="11"/>
      <c r="DP343" s="11"/>
      <c r="DX343" s="99"/>
      <c r="DY343" s="99"/>
      <c r="DZ343" s="99"/>
      <c r="EH343" s="100"/>
      <c r="EI343" s="100"/>
      <c r="EJ343" s="100"/>
      <c r="EK343" s="101"/>
      <c r="EL343" s="80"/>
      <c r="EM343" s="102"/>
      <c r="EN343" s="102"/>
      <c r="EO343" s="103"/>
      <c r="EP343" s="104"/>
      <c r="EQ343" s="28"/>
      <c r="ER343" s="102"/>
      <c r="ES343" s="102"/>
      <c r="ET343" s="102"/>
      <c r="EU343" s="102"/>
      <c r="EV343" s="105"/>
      <c r="EW343" s="101"/>
      <c r="EX343" s="105"/>
      <c r="EY343" s="11"/>
      <c r="EZ343" s="106"/>
      <c r="FA343" s="101"/>
      <c r="FB343" s="107"/>
      <c r="FC343" s="11"/>
      <c r="FD343" s="101"/>
      <c r="FE343" s="108"/>
      <c r="FF343" s="8"/>
    </row>
    <row r="344" spans="37:162">
      <c r="AK344" s="11"/>
      <c r="AL344" s="11"/>
      <c r="AM344" s="11"/>
      <c r="AN344" s="11"/>
      <c r="AO344" s="11"/>
      <c r="AP344" s="11"/>
      <c r="AX344" s="99"/>
      <c r="AY344" s="99"/>
      <c r="AZ344" s="99"/>
      <c r="BH344" s="100"/>
      <c r="BI344" s="100"/>
      <c r="BJ344" s="100"/>
      <c r="BK344" s="101"/>
      <c r="BL344" s="80"/>
      <c r="BM344" s="102"/>
      <c r="BN344" s="102"/>
      <c r="BO344" s="103"/>
      <c r="BP344" s="104"/>
      <c r="BQ344" s="28"/>
      <c r="BR344" s="102"/>
      <c r="BS344" s="102"/>
      <c r="BT344" s="102"/>
      <c r="BU344" s="102"/>
      <c r="BV344" s="105"/>
      <c r="BW344" s="101"/>
      <c r="BX344" s="105"/>
      <c r="BY344" s="11"/>
      <c r="BZ344" s="106"/>
      <c r="CA344" s="101"/>
      <c r="CB344" s="107"/>
      <c r="CC344" s="11"/>
      <c r="CD344" s="101"/>
      <c r="CE344" s="108"/>
      <c r="CF344" s="8"/>
      <c r="DK344" s="11"/>
      <c r="DL344" s="11"/>
      <c r="DM344" s="11"/>
      <c r="DN344" s="11"/>
      <c r="DO344" s="11"/>
      <c r="DP344" s="11"/>
      <c r="DX344" s="99"/>
      <c r="DY344" s="99"/>
      <c r="DZ344" s="99"/>
      <c r="EH344" s="100"/>
      <c r="EI344" s="100"/>
      <c r="EJ344" s="100"/>
      <c r="EK344" s="101"/>
      <c r="EL344" s="80"/>
      <c r="EM344" s="102"/>
      <c r="EN344" s="102"/>
      <c r="EO344" s="103"/>
      <c r="EP344" s="104"/>
      <c r="EQ344" s="28"/>
      <c r="ER344" s="102"/>
      <c r="ES344" s="102"/>
      <c r="ET344" s="102"/>
      <c r="EU344" s="102"/>
      <c r="EV344" s="105"/>
      <c r="EW344" s="101"/>
      <c r="EX344" s="105"/>
      <c r="EY344" s="11"/>
      <c r="EZ344" s="106"/>
      <c r="FA344" s="101"/>
      <c r="FB344" s="107"/>
      <c r="FC344" s="11"/>
      <c r="FD344" s="101"/>
      <c r="FE344" s="108"/>
      <c r="FF344" s="8"/>
    </row>
    <row r="345" spans="37:162">
      <c r="AK345" s="11"/>
      <c r="AL345" s="11"/>
      <c r="AM345" s="11"/>
      <c r="AN345" s="11"/>
      <c r="AO345" s="11"/>
      <c r="AP345" s="11"/>
      <c r="AX345" s="99"/>
      <c r="AY345" s="99"/>
      <c r="AZ345" s="99"/>
      <c r="BH345" s="100"/>
      <c r="BI345" s="100"/>
      <c r="BJ345" s="100"/>
      <c r="BK345" s="101"/>
      <c r="BL345" s="80"/>
      <c r="BM345" s="102"/>
      <c r="BN345" s="102"/>
      <c r="BO345" s="103"/>
      <c r="BP345" s="104"/>
      <c r="BQ345" s="28"/>
      <c r="BR345" s="102"/>
      <c r="BS345" s="102"/>
      <c r="BT345" s="102"/>
      <c r="BU345" s="102"/>
      <c r="BV345" s="105"/>
      <c r="BW345" s="101"/>
      <c r="BX345" s="105"/>
      <c r="BY345" s="11"/>
      <c r="BZ345" s="106"/>
      <c r="CA345" s="101"/>
      <c r="CB345" s="107"/>
      <c r="CC345" s="11"/>
      <c r="CD345" s="101"/>
      <c r="CE345" s="108"/>
      <c r="CF345" s="8"/>
      <c r="DK345" s="11"/>
      <c r="DL345" s="11"/>
      <c r="DM345" s="11"/>
      <c r="DN345" s="11"/>
      <c r="DO345" s="11"/>
      <c r="DP345" s="11"/>
      <c r="DX345" s="99"/>
      <c r="DY345" s="99"/>
      <c r="DZ345" s="99"/>
      <c r="EH345" s="100"/>
      <c r="EI345" s="100"/>
      <c r="EJ345" s="100"/>
      <c r="EK345" s="101"/>
      <c r="EL345" s="80"/>
      <c r="EM345" s="102"/>
      <c r="EN345" s="102"/>
      <c r="EO345" s="103"/>
      <c r="EP345" s="104"/>
      <c r="EQ345" s="28"/>
      <c r="ER345" s="102"/>
      <c r="ES345" s="102"/>
      <c r="ET345" s="102"/>
      <c r="EU345" s="102"/>
      <c r="EV345" s="105"/>
      <c r="EW345" s="101"/>
      <c r="EX345" s="105"/>
      <c r="EY345" s="11"/>
      <c r="EZ345" s="106"/>
      <c r="FA345" s="101"/>
      <c r="FB345" s="107"/>
      <c r="FC345" s="11"/>
      <c r="FD345" s="101"/>
      <c r="FE345" s="108"/>
      <c r="FF345" s="8"/>
    </row>
    <row r="346" spans="37:162">
      <c r="AK346" s="11"/>
      <c r="AL346" s="11"/>
      <c r="AM346" s="11"/>
      <c r="AN346" s="11"/>
      <c r="AO346" s="11"/>
      <c r="AP346" s="11"/>
      <c r="AX346" s="99"/>
      <c r="AY346" s="99"/>
      <c r="AZ346" s="99"/>
      <c r="BH346" s="100"/>
      <c r="BI346" s="100"/>
      <c r="BJ346" s="100"/>
      <c r="BK346" s="101"/>
      <c r="BL346" s="80"/>
      <c r="BM346" s="102"/>
      <c r="BN346" s="102"/>
      <c r="BO346" s="103"/>
      <c r="BP346" s="104"/>
      <c r="BQ346" s="28"/>
      <c r="BR346" s="102"/>
      <c r="BS346" s="102"/>
      <c r="BT346" s="102"/>
      <c r="BU346" s="102"/>
      <c r="BV346" s="105"/>
      <c r="BW346" s="101"/>
      <c r="BX346" s="105"/>
      <c r="BY346" s="11"/>
      <c r="BZ346" s="106"/>
      <c r="CA346" s="101"/>
      <c r="CB346" s="107"/>
      <c r="CC346" s="11"/>
      <c r="CD346" s="101"/>
      <c r="CE346" s="108"/>
      <c r="CF346" s="8"/>
      <c r="DK346" s="11"/>
      <c r="DL346" s="11"/>
      <c r="DM346" s="11"/>
      <c r="DN346" s="11"/>
      <c r="DO346" s="11"/>
      <c r="DP346" s="11"/>
      <c r="DX346" s="99"/>
      <c r="DY346" s="99"/>
      <c r="DZ346" s="99"/>
      <c r="EH346" s="100"/>
      <c r="EI346" s="100"/>
      <c r="EJ346" s="100"/>
      <c r="EK346" s="101"/>
      <c r="EL346" s="80"/>
      <c r="EM346" s="102"/>
      <c r="EN346" s="102"/>
      <c r="EO346" s="103"/>
      <c r="EP346" s="104"/>
      <c r="EQ346" s="28"/>
      <c r="ER346" s="102"/>
      <c r="ES346" s="102"/>
      <c r="ET346" s="102"/>
      <c r="EU346" s="102"/>
      <c r="EV346" s="105"/>
      <c r="EW346" s="101"/>
      <c r="EX346" s="105"/>
      <c r="EY346" s="11"/>
      <c r="EZ346" s="106"/>
      <c r="FA346" s="101"/>
      <c r="FB346" s="107"/>
      <c r="FC346" s="11"/>
      <c r="FD346" s="101"/>
      <c r="FE346" s="108"/>
      <c r="FF346" s="8"/>
    </row>
    <row r="347" spans="37:162">
      <c r="AK347" s="11"/>
      <c r="AL347" s="11"/>
      <c r="AM347" s="11"/>
      <c r="AN347" s="11"/>
      <c r="AO347" s="11"/>
      <c r="AP347" s="11"/>
      <c r="AX347" s="99"/>
      <c r="AY347" s="99"/>
      <c r="AZ347" s="99"/>
      <c r="BH347" s="100"/>
      <c r="BI347" s="100"/>
      <c r="BJ347" s="100"/>
      <c r="BK347" s="101"/>
      <c r="BL347" s="80"/>
      <c r="BM347" s="102"/>
      <c r="BN347" s="102"/>
      <c r="BO347" s="103"/>
      <c r="BP347" s="104"/>
      <c r="BQ347" s="28"/>
      <c r="BR347" s="102"/>
      <c r="BS347" s="102"/>
      <c r="BT347" s="102"/>
      <c r="BU347" s="102"/>
      <c r="BV347" s="105"/>
      <c r="BW347" s="101"/>
      <c r="BX347" s="105"/>
      <c r="BY347" s="11"/>
      <c r="BZ347" s="106"/>
      <c r="CA347" s="101"/>
      <c r="CB347" s="107"/>
      <c r="CC347" s="11"/>
      <c r="CD347" s="101"/>
      <c r="CE347" s="108"/>
      <c r="CF347" s="8"/>
      <c r="DK347" s="11"/>
      <c r="DL347" s="11"/>
      <c r="DM347" s="11"/>
      <c r="DN347" s="11"/>
      <c r="DO347" s="11"/>
      <c r="DP347" s="11"/>
      <c r="DX347" s="99"/>
      <c r="DY347" s="99"/>
      <c r="DZ347" s="99"/>
      <c r="EH347" s="100"/>
      <c r="EI347" s="100"/>
      <c r="EJ347" s="100"/>
      <c r="EK347" s="101"/>
      <c r="EL347" s="80"/>
      <c r="EM347" s="102"/>
      <c r="EN347" s="102"/>
      <c r="EO347" s="103"/>
      <c r="EP347" s="104"/>
      <c r="EQ347" s="28"/>
      <c r="ER347" s="102"/>
      <c r="ES347" s="102"/>
      <c r="ET347" s="102"/>
      <c r="EU347" s="102"/>
      <c r="EV347" s="105"/>
      <c r="EW347" s="101"/>
      <c r="EX347" s="105"/>
      <c r="EY347" s="11"/>
      <c r="EZ347" s="106"/>
      <c r="FA347" s="101"/>
      <c r="FB347" s="107"/>
      <c r="FC347" s="11"/>
      <c r="FD347" s="101"/>
      <c r="FE347" s="108"/>
      <c r="FF347" s="8"/>
    </row>
    <row r="348" spans="37:162">
      <c r="AK348" s="11"/>
      <c r="AL348" s="11"/>
      <c r="AM348" s="11"/>
      <c r="AN348" s="11"/>
      <c r="AO348" s="11"/>
      <c r="AP348" s="11"/>
      <c r="AX348" s="99"/>
      <c r="AY348" s="99"/>
      <c r="AZ348" s="99"/>
      <c r="BH348" s="100"/>
      <c r="BI348" s="100"/>
      <c r="BJ348" s="100"/>
      <c r="BK348" s="101"/>
      <c r="BL348" s="80"/>
      <c r="BM348" s="102"/>
      <c r="BN348" s="102"/>
      <c r="BO348" s="103"/>
      <c r="BP348" s="104"/>
      <c r="BQ348" s="28"/>
      <c r="BR348" s="102"/>
      <c r="BS348" s="102"/>
      <c r="BT348" s="102"/>
      <c r="BU348" s="102"/>
      <c r="BV348" s="105"/>
      <c r="BW348" s="101"/>
      <c r="BX348" s="105"/>
      <c r="BY348" s="11"/>
      <c r="BZ348" s="106"/>
      <c r="CA348" s="101"/>
      <c r="CB348" s="107"/>
      <c r="CC348" s="11"/>
      <c r="CD348" s="101"/>
      <c r="CE348" s="108"/>
      <c r="CF348" s="8"/>
      <c r="DK348" s="11"/>
      <c r="DL348" s="11"/>
      <c r="DM348" s="11"/>
      <c r="DN348" s="11"/>
      <c r="DO348" s="11"/>
      <c r="DP348" s="11"/>
      <c r="DX348" s="99"/>
      <c r="DY348" s="99"/>
      <c r="DZ348" s="99"/>
      <c r="EH348" s="100"/>
      <c r="EI348" s="100"/>
      <c r="EJ348" s="100"/>
      <c r="EK348" s="101"/>
      <c r="EL348" s="80"/>
      <c r="EM348" s="102"/>
      <c r="EN348" s="102"/>
      <c r="EO348" s="103"/>
      <c r="EP348" s="104"/>
      <c r="EQ348" s="28"/>
      <c r="ER348" s="102"/>
      <c r="ES348" s="102"/>
      <c r="ET348" s="102"/>
      <c r="EU348" s="102"/>
      <c r="EV348" s="105"/>
      <c r="EW348" s="101"/>
      <c r="EX348" s="105"/>
      <c r="EY348" s="11"/>
      <c r="EZ348" s="106"/>
      <c r="FA348" s="101"/>
      <c r="FB348" s="107"/>
      <c r="FC348" s="11"/>
      <c r="FD348" s="101"/>
      <c r="FE348" s="108"/>
      <c r="FF348" s="8"/>
    </row>
    <row r="349" spans="37:162">
      <c r="AK349" s="11"/>
      <c r="AL349" s="11"/>
      <c r="AM349" s="11"/>
      <c r="AN349" s="11"/>
      <c r="AO349" s="11"/>
      <c r="AP349" s="11"/>
      <c r="AX349" s="99"/>
      <c r="AY349" s="99"/>
      <c r="AZ349" s="99"/>
      <c r="BH349" s="100"/>
      <c r="BI349" s="100"/>
      <c r="BJ349" s="100"/>
      <c r="BK349" s="101"/>
      <c r="BL349" s="80"/>
      <c r="BM349" s="102"/>
      <c r="BN349" s="102"/>
      <c r="BO349" s="103"/>
      <c r="BP349" s="104"/>
      <c r="BQ349" s="28"/>
      <c r="BR349" s="102"/>
      <c r="BS349" s="102"/>
      <c r="BT349" s="102"/>
      <c r="BU349" s="102"/>
      <c r="BV349" s="105"/>
      <c r="BW349" s="101"/>
      <c r="BX349" s="105"/>
      <c r="BY349" s="11"/>
      <c r="BZ349" s="106"/>
      <c r="CA349" s="101"/>
      <c r="CB349" s="107"/>
      <c r="CC349" s="11"/>
      <c r="CD349" s="101"/>
      <c r="CE349" s="108"/>
      <c r="CF349" s="8"/>
      <c r="DK349" s="11"/>
      <c r="DL349" s="11"/>
      <c r="DM349" s="11"/>
      <c r="DN349" s="11"/>
      <c r="DO349" s="11"/>
      <c r="DP349" s="11"/>
      <c r="DX349" s="99"/>
      <c r="DY349" s="99"/>
      <c r="DZ349" s="99"/>
      <c r="EH349" s="100"/>
      <c r="EI349" s="100"/>
      <c r="EJ349" s="100"/>
      <c r="EK349" s="101"/>
      <c r="EL349" s="80"/>
      <c r="EM349" s="102"/>
      <c r="EN349" s="102"/>
      <c r="EO349" s="103"/>
      <c r="EP349" s="104"/>
      <c r="EQ349" s="28"/>
      <c r="ER349" s="102"/>
      <c r="ES349" s="102"/>
      <c r="ET349" s="102"/>
      <c r="EU349" s="102"/>
      <c r="EV349" s="105"/>
      <c r="EW349" s="101"/>
      <c r="EX349" s="105"/>
      <c r="EY349" s="11"/>
      <c r="EZ349" s="106"/>
      <c r="FA349" s="101"/>
      <c r="FB349" s="107"/>
      <c r="FC349" s="11"/>
      <c r="FD349" s="101"/>
      <c r="FE349" s="108"/>
      <c r="FF349" s="8"/>
    </row>
    <row r="350" spans="37:162">
      <c r="AK350" s="11"/>
      <c r="AL350" s="11"/>
      <c r="AM350" s="11"/>
      <c r="AN350" s="11"/>
      <c r="AO350" s="11"/>
      <c r="AP350" s="11"/>
      <c r="AX350" s="99"/>
      <c r="AY350" s="99"/>
      <c r="AZ350" s="99"/>
      <c r="BH350" s="100"/>
      <c r="BI350" s="100"/>
      <c r="BJ350" s="100"/>
      <c r="BK350" s="101"/>
      <c r="BL350" s="80"/>
      <c r="BM350" s="102"/>
      <c r="BN350" s="102"/>
      <c r="BO350" s="103"/>
      <c r="BP350" s="104"/>
      <c r="BQ350" s="28"/>
      <c r="BR350" s="102"/>
      <c r="BS350" s="102"/>
      <c r="BT350" s="102"/>
      <c r="BU350" s="102"/>
      <c r="BV350" s="105"/>
      <c r="BW350" s="101"/>
      <c r="BX350" s="105"/>
      <c r="BY350" s="11"/>
      <c r="BZ350" s="106"/>
      <c r="CA350" s="101"/>
      <c r="CB350" s="107"/>
      <c r="CC350" s="11"/>
      <c r="CD350" s="101"/>
      <c r="CE350" s="108"/>
      <c r="CF350" s="8"/>
      <c r="DK350" s="11"/>
      <c r="DL350" s="11"/>
      <c r="DM350" s="11"/>
      <c r="DN350" s="11"/>
      <c r="DO350" s="11"/>
      <c r="DP350" s="11"/>
      <c r="DX350" s="99"/>
      <c r="DY350" s="99"/>
      <c r="DZ350" s="99"/>
      <c r="EH350" s="100"/>
      <c r="EI350" s="100"/>
      <c r="EJ350" s="100"/>
      <c r="EK350" s="101"/>
      <c r="EL350" s="80"/>
      <c r="EM350" s="102"/>
      <c r="EN350" s="102"/>
      <c r="EO350" s="103"/>
      <c r="EP350" s="104"/>
      <c r="EQ350" s="28"/>
      <c r="ER350" s="102"/>
      <c r="ES350" s="102"/>
      <c r="ET350" s="102"/>
      <c r="EU350" s="102"/>
      <c r="EV350" s="105"/>
      <c r="EW350" s="101"/>
      <c r="EX350" s="105"/>
      <c r="EY350" s="11"/>
      <c r="EZ350" s="106"/>
      <c r="FA350" s="101"/>
      <c r="FB350" s="107"/>
      <c r="FC350" s="11"/>
      <c r="FD350" s="101"/>
      <c r="FE350" s="108"/>
      <c r="FF350" s="8"/>
    </row>
    <row r="351" spans="37:162">
      <c r="AK351" s="11"/>
      <c r="AL351" s="11"/>
      <c r="AM351" s="11"/>
      <c r="AN351" s="11"/>
      <c r="AO351" s="11"/>
      <c r="AP351" s="11"/>
      <c r="AX351" s="99"/>
      <c r="AY351" s="99"/>
      <c r="AZ351" s="99"/>
      <c r="BH351" s="100"/>
      <c r="BI351" s="100"/>
      <c r="BJ351" s="100"/>
      <c r="BK351" s="101"/>
      <c r="BL351" s="80"/>
      <c r="BM351" s="102"/>
      <c r="BN351" s="102"/>
      <c r="BO351" s="103"/>
      <c r="BP351" s="104"/>
      <c r="BQ351" s="28"/>
      <c r="BR351" s="102"/>
      <c r="BS351" s="102"/>
      <c r="BT351" s="102"/>
      <c r="BU351" s="102"/>
      <c r="BV351" s="105"/>
      <c r="BW351" s="101"/>
      <c r="BX351" s="105"/>
      <c r="BY351" s="11"/>
      <c r="BZ351" s="106"/>
      <c r="CA351" s="101"/>
      <c r="CB351" s="107"/>
      <c r="CC351" s="11"/>
      <c r="CD351" s="101"/>
      <c r="CE351" s="108"/>
      <c r="CF351" s="8"/>
      <c r="DK351" s="11"/>
      <c r="DL351" s="11"/>
      <c r="DM351" s="11"/>
      <c r="DN351" s="11"/>
      <c r="DO351" s="11"/>
      <c r="DP351" s="11"/>
      <c r="DX351" s="99"/>
      <c r="DY351" s="99"/>
      <c r="DZ351" s="99"/>
      <c r="EH351" s="100"/>
      <c r="EI351" s="100"/>
      <c r="EJ351" s="100"/>
      <c r="EK351" s="101"/>
      <c r="EL351" s="80"/>
      <c r="EM351" s="102"/>
      <c r="EN351" s="102"/>
      <c r="EO351" s="103"/>
      <c r="EP351" s="104"/>
      <c r="EQ351" s="28"/>
      <c r="ER351" s="102"/>
      <c r="ES351" s="102"/>
      <c r="ET351" s="102"/>
      <c r="EU351" s="102"/>
      <c r="EV351" s="105"/>
      <c r="EW351" s="101"/>
      <c r="EX351" s="105"/>
      <c r="EY351" s="11"/>
      <c r="EZ351" s="106"/>
      <c r="FA351" s="101"/>
      <c r="FB351" s="107"/>
      <c r="FC351" s="11"/>
      <c r="FD351" s="101"/>
      <c r="FE351" s="108"/>
      <c r="FF351" s="8"/>
    </row>
    <row r="352" spans="37:162">
      <c r="AK352" s="11"/>
      <c r="AL352" s="11"/>
      <c r="AM352" s="11"/>
      <c r="AN352" s="11"/>
      <c r="AO352" s="11"/>
      <c r="AP352" s="11"/>
      <c r="AX352" s="99"/>
      <c r="AY352" s="99"/>
      <c r="AZ352" s="99"/>
      <c r="BH352" s="100"/>
      <c r="BI352" s="100"/>
      <c r="BJ352" s="100"/>
      <c r="BK352" s="101"/>
      <c r="BL352" s="80"/>
      <c r="BM352" s="102"/>
      <c r="BN352" s="102"/>
      <c r="BO352" s="103"/>
      <c r="BP352" s="104"/>
      <c r="BQ352" s="28"/>
      <c r="BR352" s="102"/>
      <c r="BS352" s="102"/>
      <c r="BT352" s="102"/>
      <c r="BU352" s="102"/>
      <c r="BV352" s="105"/>
      <c r="BW352" s="101"/>
      <c r="BX352" s="105"/>
      <c r="BY352" s="11"/>
      <c r="BZ352" s="106"/>
      <c r="CA352" s="101"/>
      <c r="CB352" s="107"/>
      <c r="CC352" s="11"/>
      <c r="CD352" s="101"/>
      <c r="CE352" s="108"/>
      <c r="CF352" s="8"/>
      <c r="DK352" s="11"/>
      <c r="DL352" s="11"/>
      <c r="DM352" s="11"/>
      <c r="DN352" s="11"/>
      <c r="DO352" s="11"/>
      <c r="DP352" s="11"/>
      <c r="DX352" s="99"/>
      <c r="DY352" s="99"/>
      <c r="DZ352" s="99"/>
      <c r="EH352" s="100"/>
      <c r="EI352" s="100"/>
      <c r="EJ352" s="100"/>
      <c r="EK352" s="101"/>
      <c r="EL352" s="80"/>
      <c r="EM352" s="102"/>
      <c r="EN352" s="102"/>
      <c r="EO352" s="103"/>
      <c r="EP352" s="104"/>
      <c r="EQ352" s="28"/>
      <c r="ER352" s="102"/>
      <c r="ES352" s="102"/>
      <c r="ET352" s="102"/>
      <c r="EU352" s="102"/>
      <c r="EV352" s="105"/>
      <c r="EW352" s="101"/>
      <c r="EX352" s="105"/>
      <c r="EY352" s="11"/>
      <c r="EZ352" s="106"/>
      <c r="FA352" s="101"/>
      <c r="FB352" s="107"/>
      <c r="FC352" s="11"/>
      <c r="FD352" s="101"/>
      <c r="FE352" s="108"/>
      <c r="FF352" s="8"/>
    </row>
    <row r="353" spans="37:162">
      <c r="AK353" s="11"/>
      <c r="AL353" s="11"/>
      <c r="AM353" s="11"/>
      <c r="AN353" s="11"/>
      <c r="AO353" s="11"/>
      <c r="AP353" s="11"/>
      <c r="AX353" s="99"/>
      <c r="AY353" s="99"/>
      <c r="AZ353" s="99"/>
      <c r="BH353" s="100"/>
      <c r="BI353" s="100"/>
      <c r="BJ353" s="100"/>
      <c r="BK353" s="101"/>
      <c r="BL353" s="80"/>
      <c r="BM353" s="102"/>
      <c r="BN353" s="102"/>
      <c r="BO353" s="103"/>
      <c r="BP353" s="104"/>
      <c r="BQ353" s="28"/>
      <c r="BR353" s="102"/>
      <c r="BS353" s="102"/>
      <c r="BT353" s="102"/>
      <c r="BU353" s="102"/>
      <c r="BV353" s="105"/>
      <c r="BW353" s="101"/>
      <c r="BX353" s="105"/>
      <c r="BY353" s="11"/>
      <c r="BZ353" s="106"/>
      <c r="CA353" s="101"/>
      <c r="CB353" s="107"/>
      <c r="CC353" s="11"/>
      <c r="CD353" s="101"/>
      <c r="CE353" s="108"/>
      <c r="CF353" s="8"/>
      <c r="DK353" s="11"/>
      <c r="DL353" s="11"/>
      <c r="DM353" s="11"/>
      <c r="DN353" s="11"/>
      <c r="DO353" s="11"/>
      <c r="DP353" s="11"/>
      <c r="DX353" s="99"/>
      <c r="DY353" s="99"/>
      <c r="DZ353" s="99"/>
      <c r="EH353" s="100"/>
      <c r="EI353" s="100"/>
      <c r="EJ353" s="100"/>
      <c r="EK353" s="101"/>
      <c r="EL353" s="80"/>
      <c r="EM353" s="102"/>
      <c r="EN353" s="102"/>
      <c r="EO353" s="103"/>
      <c r="EP353" s="104"/>
      <c r="EQ353" s="28"/>
      <c r="ER353" s="102"/>
      <c r="ES353" s="102"/>
      <c r="ET353" s="102"/>
      <c r="EU353" s="102"/>
      <c r="EV353" s="105"/>
      <c r="EW353" s="101"/>
      <c r="EX353" s="105"/>
      <c r="EY353" s="11"/>
      <c r="EZ353" s="106"/>
      <c r="FA353" s="101"/>
      <c r="FB353" s="107"/>
      <c r="FC353" s="11"/>
      <c r="FD353" s="101"/>
      <c r="FE353" s="108"/>
      <c r="FF353" s="8"/>
    </row>
    <row r="354" spans="37:162">
      <c r="AK354" s="11"/>
      <c r="AL354" s="11"/>
      <c r="AM354" s="11"/>
      <c r="AN354" s="11"/>
      <c r="AO354" s="11"/>
      <c r="AP354" s="11"/>
      <c r="AX354" s="99"/>
      <c r="AY354" s="99"/>
      <c r="AZ354" s="99"/>
      <c r="BH354" s="100"/>
      <c r="BI354" s="100"/>
      <c r="BJ354" s="100"/>
      <c r="BK354" s="101"/>
      <c r="BL354" s="80"/>
      <c r="BM354" s="102"/>
      <c r="BN354" s="102"/>
      <c r="BO354" s="103"/>
      <c r="BP354" s="104"/>
      <c r="BQ354" s="28"/>
      <c r="BR354" s="102"/>
      <c r="BS354" s="102"/>
      <c r="BT354" s="102"/>
      <c r="BU354" s="102"/>
      <c r="BV354" s="105"/>
      <c r="BW354" s="101"/>
      <c r="BX354" s="105"/>
      <c r="BY354" s="11"/>
      <c r="BZ354" s="106"/>
      <c r="CA354" s="101"/>
      <c r="CB354" s="107"/>
      <c r="CC354" s="11"/>
      <c r="CD354" s="101"/>
      <c r="CE354" s="108"/>
      <c r="CF354" s="8"/>
      <c r="DK354" s="11"/>
      <c r="DL354" s="11"/>
      <c r="DM354" s="11"/>
      <c r="DN354" s="11"/>
      <c r="DO354" s="11"/>
      <c r="DP354" s="11"/>
      <c r="DX354" s="99"/>
      <c r="DY354" s="99"/>
      <c r="DZ354" s="99"/>
      <c r="EH354" s="100"/>
      <c r="EI354" s="100"/>
      <c r="EJ354" s="100"/>
      <c r="EK354" s="101"/>
      <c r="EL354" s="80"/>
      <c r="EM354" s="102"/>
      <c r="EN354" s="102"/>
      <c r="EO354" s="103"/>
      <c r="EP354" s="104"/>
      <c r="EQ354" s="28"/>
      <c r="ER354" s="102"/>
      <c r="ES354" s="102"/>
      <c r="ET354" s="102"/>
      <c r="EU354" s="102"/>
      <c r="EV354" s="105"/>
      <c r="EW354" s="101"/>
      <c r="EX354" s="105"/>
      <c r="EY354" s="11"/>
      <c r="EZ354" s="106"/>
      <c r="FA354" s="101"/>
      <c r="FB354" s="107"/>
      <c r="FC354" s="11"/>
      <c r="FD354" s="101"/>
      <c r="FE354" s="108"/>
      <c r="FF354" s="8"/>
    </row>
    <row r="355" spans="37:162">
      <c r="AK355" s="11"/>
      <c r="AL355" s="11"/>
      <c r="AM355" s="11"/>
      <c r="AN355" s="11"/>
      <c r="AO355" s="11"/>
      <c r="AP355" s="11"/>
      <c r="AX355" s="99"/>
      <c r="AY355" s="99"/>
      <c r="AZ355" s="99"/>
      <c r="BH355" s="100"/>
      <c r="BI355" s="100"/>
      <c r="BJ355" s="100"/>
      <c r="BK355" s="101"/>
      <c r="BL355" s="80"/>
      <c r="BM355" s="102"/>
      <c r="BN355" s="102"/>
      <c r="BO355" s="103"/>
      <c r="BP355" s="104"/>
      <c r="BQ355" s="28"/>
      <c r="BR355" s="102"/>
      <c r="BS355" s="102"/>
      <c r="BT355" s="102"/>
      <c r="BU355" s="102"/>
      <c r="BV355" s="105"/>
      <c r="BW355" s="101"/>
      <c r="BX355" s="105"/>
      <c r="BY355" s="11"/>
      <c r="BZ355" s="106"/>
      <c r="CA355" s="101"/>
      <c r="CB355" s="107"/>
      <c r="CC355" s="11"/>
      <c r="CD355" s="101"/>
      <c r="CE355" s="108"/>
      <c r="CF355" s="8"/>
      <c r="DK355" s="11"/>
      <c r="DL355" s="11"/>
      <c r="DM355" s="11"/>
      <c r="DN355" s="11"/>
      <c r="DO355" s="11"/>
      <c r="DP355" s="11"/>
      <c r="DX355" s="99"/>
      <c r="DY355" s="99"/>
      <c r="DZ355" s="99"/>
      <c r="EH355" s="100"/>
      <c r="EI355" s="100"/>
      <c r="EJ355" s="100"/>
      <c r="EK355" s="101"/>
      <c r="EL355" s="80"/>
      <c r="EM355" s="102"/>
      <c r="EN355" s="102"/>
      <c r="EO355" s="103"/>
      <c r="EP355" s="104"/>
      <c r="EQ355" s="28"/>
      <c r="ER355" s="102"/>
      <c r="ES355" s="102"/>
      <c r="ET355" s="102"/>
      <c r="EU355" s="102"/>
      <c r="EV355" s="105"/>
      <c r="EW355" s="101"/>
      <c r="EX355" s="105"/>
      <c r="EY355" s="11"/>
      <c r="EZ355" s="106"/>
      <c r="FA355" s="101"/>
      <c r="FB355" s="107"/>
      <c r="FC355" s="11"/>
      <c r="FD355" s="101"/>
      <c r="FE355" s="108"/>
      <c r="FF355" s="8"/>
    </row>
    <row r="356" spans="37:162">
      <c r="AK356" s="11"/>
      <c r="AL356" s="11"/>
      <c r="AM356" s="11"/>
      <c r="AN356" s="11"/>
      <c r="AO356" s="11"/>
      <c r="AP356" s="11"/>
      <c r="AX356" s="99"/>
      <c r="AY356" s="99"/>
      <c r="AZ356" s="99"/>
      <c r="BH356" s="100"/>
      <c r="BI356" s="100"/>
      <c r="BJ356" s="100"/>
      <c r="BK356" s="101"/>
      <c r="BL356" s="80"/>
      <c r="BM356" s="102"/>
      <c r="BN356" s="102"/>
      <c r="BO356" s="103"/>
      <c r="BP356" s="104"/>
      <c r="BQ356" s="28"/>
      <c r="BR356" s="102"/>
      <c r="BS356" s="102"/>
      <c r="BT356" s="102"/>
      <c r="BU356" s="102"/>
      <c r="BV356" s="105"/>
      <c r="BW356" s="101"/>
      <c r="BX356" s="105"/>
      <c r="BY356" s="11"/>
      <c r="BZ356" s="106"/>
      <c r="CA356" s="101"/>
      <c r="CB356" s="107"/>
      <c r="CC356" s="11"/>
      <c r="CD356" s="101"/>
      <c r="CE356" s="108"/>
      <c r="CF356" s="8"/>
      <c r="DK356" s="11"/>
      <c r="DL356" s="11"/>
      <c r="DM356" s="11"/>
      <c r="DN356" s="11"/>
      <c r="DO356" s="11"/>
      <c r="DP356" s="11"/>
      <c r="DX356" s="99"/>
      <c r="DY356" s="99"/>
      <c r="DZ356" s="99"/>
      <c r="EH356" s="100"/>
      <c r="EI356" s="100"/>
      <c r="EJ356" s="100"/>
      <c r="EK356" s="101"/>
      <c r="EL356" s="80"/>
      <c r="EM356" s="102"/>
      <c r="EN356" s="102"/>
      <c r="EO356" s="103"/>
      <c r="EP356" s="104"/>
      <c r="EQ356" s="28"/>
      <c r="ER356" s="102"/>
      <c r="ES356" s="102"/>
      <c r="ET356" s="102"/>
      <c r="EU356" s="102"/>
      <c r="EV356" s="105"/>
      <c r="EW356" s="101"/>
      <c r="EX356" s="105"/>
      <c r="EY356" s="11"/>
      <c r="EZ356" s="106"/>
      <c r="FA356" s="101"/>
      <c r="FB356" s="107"/>
      <c r="FC356" s="11"/>
      <c r="FD356" s="101"/>
      <c r="FE356" s="108"/>
      <c r="FF356" s="8"/>
    </row>
    <row r="357" spans="37:162">
      <c r="AK357" s="11"/>
      <c r="AL357" s="11"/>
      <c r="AM357" s="11"/>
      <c r="AN357" s="11"/>
      <c r="AO357" s="11"/>
      <c r="AP357" s="11"/>
      <c r="AX357" s="99"/>
      <c r="AY357" s="99"/>
      <c r="AZ357" s="99"/>
      <c r="BH357" s="100"/>
      <c r="BI357" s="100"/>
      <c r="BJ357" s="100"/>
      <c r="BK357" s="101"/>
      <c r="BL357" s="80"/>
      <c r="BM357" s="102"/>
      <c r="BN357" s="102"/>
      <c r="BO357" s="103"/>
      <c r="BP357" s="104"/>
      <c r="BQ357" s="28"/>
      <c r="BR357" s="102"/>
      <c r="BS357" s="102"/>
      <c r="BT357" s="102"/>
      <c r="BU357" s="102"/>
      <c r="BV357" s="105"/>
      <c r="BW357" s="101"/>
      <c r="BX357" s="105"/>
      <c r="BY357" s="11"/>
      <c r="BZ357" s="106"/>
      <c r="CA357" s="101"/>
      <c r="CB357" s="107"/>
      <c r="CC357" s="11"/>
      <c r="CD357" s="101"/>
      <c r="CE357" s="108"/>
      <c r="CF357" s="8"/>
      <c r="DK357" s="11"/>
      <c r="DL357" s="11"/>
      <c r="DM357" s="11"/>
      <c r="DN357" s="11"/>
      <c r="DO357" s="11"/>
      <c r="DP357" s="11"/>
      <c r="DX357" s="99"/>
      <c r="DY357" s="99"/>
      <c r="DZ357" s="99"/>
      <c r="EH357" s="100"/>
      <c r="EI357" s="100"/>
      <c r="EJ357" s="100"/>
      <c r="EK357" s="101"/>
      <c r="EL357" s="80"/>
      <c r="EM357" s="102"/>
      <c r="EN357" s="102"/>
      <c r="EO357" s="103"/>
      <c r="EP357" s="104"/>
      <c r="EQ357" s="28"/>
      <c r="ER357" s="102"/>
      <c r="ES357" s="102"/>
      <c r="ET357" s="102"/>
      <c r="EU357" s="102"/>
      <c r="EV357" s="105"/>
      <c r="EW357" s="101"/>
      <c r="EX357" s="105"/>
      <c r="EY357" s="11"/>
      <c r="EZ357" s="106"/>
      <c r="FA357" s="101"/>
      <c r="FB357" s="107"/>
      <c r="FC357" s="11"/>
      <c r="FD357" s="101"/>
      <c r="FE357" s="108"/>
      <c r="FF357" s="8"/>
    </row>
    <row r="358" spans="37:162">
      <c r="AK358" s="11"/>
      <c r="AL358" s="11"/>
      <c r="AM358" s="11"/>
      <c r="AN358" s="11"/>
      <c r="AO358" s="11"/>
      <c r="AP358" s="11"/>
      <c r="AX358" s="99"/>
      <c r="AY358" s="99"/>
      <c r="AZ358" s="99"/>
      <c r="BH358" s="100"/>
      <c r="BI358" s="100"/>
      <c r="BJ358" s="100"/>
      <c r="BK358" s="101"/>
      <c r="BL358" s="80"/>
      <c r="BM358" s="102"/>
      <c r="BN358" s="102"/>
      <c r="BO358" s="103"/>
      <c r="BP358" s="104"/>
      <c r="BQ358" s="28"/>
      <c r="BR358" s="102"/>
      <c r="BS358" s="102"/>
      <c r="BT358" s="102"/>
      <c r="BU358" s="102"/>
      <c r="BV358" s="105"/>
      <c r="BW358" s="101"/>
      <c r="BX358" s="105"/>
      <c r="BY358" s="11"/>
      <c r="BZ358" s="106"/>
      <c r="CA358" s="101"/>
      <c r="CB358" s="107"/>
      <c r="CC358" s="11"/>
      <c r="CD358" s="101"/>
      <c r="CE358" s="108"/>
      <c r="CF358" s="8"/>
      <c r="DK358" s="11"/>
      <c r="DL358" s="11"/>
      <c r="DM358" s="11"/>
      <c r="DN358" s="11"/>
      <c r="DO358" s="11"/>
      <c r="DP358" s="11"/>
      <c r="DX358" s="99"/>
      <c r="DY358" s="99"/>
      <c r="DZ358" s="99"/>
      <c r="EH358" s="100"/>
      <c r="EI358" s="100"/>
      <c r="EJ358" s="100"/>
      <c r="EK358" s="101"/>
      <c r="EL358" s="80"/>
      <c r="EM358" s="102"/>
      <c r="EN358" s="102"/>
      <c r="EO358" s="103"/>
      <c r="EP358" s="104"/>
      <c r="EQ358" s="28"/>
      <c r="ER358" s="102"/>
      <c r="ES358" s="102"/>
      <c r="ET358" s="102"/>
      <c r="EU358" s="102"/>
      <c r="EV358" s="105"/>
      <c r="EW358" s="101"/>
      <c r="EX358" s="105"/>
      <c r="EY358" s="11"/>
      <c r="EZ358" s="106"/>
      <c r="FA358" s="101"/>
      <c r="FB358" s="107"/>
      <c r="FC358" s="11"/>
      <c r="FD358" s="101"/>
      <c r="FE358" s="108"/>
      <c r="FF358" s="8"/>
    </row>
    <row r="359" spans="37:162">
      <c r="AK359" s="11"/>
      <c r="AL359" s="11"/>
      <c r="AM359" s="11"/>
      <c r="AN359" s="11"/>
      <c r="AO359" s="11"/>
      <c r="AP359" s="11"/>
      <c r="AX359" s="99"/>
      <c r="AY359" s="99"/>
      <c r="AZ359" s="99"/>
      <c r="BH359" s="100"/>
      <c r="BI359" s="100"/>
      <c r="BJ359" s="100"/>
      <c r="BK359" s="101"/>
      <c r="BL359" s="80"/>
      <c r="BM359" s="102"/>
      <c r="BN359" s="102"/>
      <c r="BO359" s="103"/>
      <c r="BP359" s="104"/>
      <c r="BQ359" s="28"/>
      <c r="BR359" s="102"/>
      <c r="BS359" s="102"/>
      <c r="BT359" s="102"/>
      <c r="BU359" s="102"/>
      <c r="BV359" s="105"/>
      <c r="BW359" s="101"/>
      <c r="BX359" s="105"/>
      <c r="BY359" s="11"/>
      <c r="BZ359" s="106"/>
      <c r="CA359" s="101"/>
      <c r="CB359" s="107"/>
      <c r="CC359" s="11"/>
      <c r="CD359" s="101"/>
      <c r="CE359" s="108"/>
      <c r="CF359" s="8"/>
      <c r="DK359" s="11"/>
      <c r="DL359" s="11"/>
      <c r="DM359" s="11"/>
      <c r="DN359" s="11"/>
      <c r="DO359" s="11"/>
      <c r="DP359" s="11"/>
      <c r="DX359" s="99"/>
      <c r="DY359" s="99"/>
      <c r="DZ359" s="99"/>
      <c r="EH359" s="100"/>
      <c r="EI359" s="100"/>
      <c r="EJ359" s="100"/>
      <c r="EK359" s="101"/>
      <c r="EL359" s="80"/>
      <c r="EM359" s="102"/>
      <c r="EN359" s="102"/>
      <c r="EO359" s="103"/>
      <c r="EP359" s="104"/>
      <c r="EQ359" s="28"/>
      <c r="ER359" s="102"/>
      <c r="ES359" s="102"/>
      <c r="ET359" s="102"/>
      <c r="EU359" s="102"/>
      <c r="EV359" s="105"/>
      <c r="EW359" s="101"/>
      <c r="EX359" s="105"/>
      <c r="EY359" s="11"/>
      <c r="EZ359" s="106"/>
      <c r="FA359" s="101"/>
      <c r="FB359" s="107"/>
      <c r="FC359" s="11"/>
      <c r="FD359" s="101"/>
      <c r="FE359" s="108"/>
      <c r="FF359" s="8"/>
    </row>
    <row r="360" spans="37:162">
      <c r="AK360" s="11"/>
      <c r="AL360" s="11"/>
      <c r="AM360" s="11"/>
      <c r="AN360" s="11"/>
      <c r="AO360" s="11"/>
      <c r="AP360" s="11"/>
      <c r="AX360" s="99"/>
      <c r="AY360" s="99"/>
      <c r="AZ360" s="99"/>
      <c r="BH360" s="100"/>
      <c r="BI360" s="100"/>
      <c r="BJ360" s="100"/>
      <c r="BK360" s="101"/>
      <c r="BL360" s="80"/>
      <c r="BM360" s="102"/>
      <c r="BN360" s="102"/>
      <c r="BO360" s="103"/>
      <c r="BP360" s="104"/>
      <c r="BQ360" s="28"/>
      <c r="BR360" s="102"/>
      <c r="BS360" s="102"/>
      <c r="BT360" s="102"/>
      <c r="BU360" s="102"/>
      <c r="BV360" s="105"/>
      <c r="BW360" s="101"/>
      <c r="BX360" s="105"/>
      <c r="BY360" s="11"/>
      <c r="BZ360" s="106"/>
      <c r="CA360" s="101"/>
      <c r="CB360" s="107"/>
      <c r="CC360" s="11"/>
      <c r="CD360" s="101"/>
      <c r="CE360" s="108"/>
      <c r="CF360" s="8"/>
      <c r="DK360" s="11"/>
      <c r="DL360" s="11"/>
      <c r="DM360" s="11"/>
      <c r="DN360" s="11"/>
      <c r="DO360" s="11"/>
      <c r="DP360" s="11"/>
      <c r="DX360" s="99"/>
      <c r="DY360" s="99"/>
      <c r="DZ360" s="99"/>
      <c r="EH360" s="100"/>
      <c r="EI360" s="100"/>
      <c r="EJ360" s="100"/>
      <c r="EK360" s="101"/>
      <c r="EL360" s="80"/>
      <c r="EM360" s="102"/>
      <c r="EN360" s="102"/>
      <c r="EO360" s="103"/>
      <c r="EP360" s="104"/>
      <c r="EQ360" s="28"/>
      <c r="ER360" s="102"/>
      <c r="ES360" s="102"/>
      <c r="ET360" s="102"/>
      <c r="EU360" s="102"/>
      <c r="EV360" s="105"/>
      <c r="EW360" s="101"/>
      <c r="EX360" s="105"/>
      <c r="EY360" s="11"/>
      <c r="EZ360" s="106"/>
      <c r="FA360" s="101"/>
      <c r="FB360" s="107"/>
      <c r="FC360" s="11"/>
      <c r="FD360" s="101"/>
      <c r="FE360" s="108"/>
      <c r="FF360" s="8"/>
    </row>
    <row r="361" spans="37:162">
      <c r="AK361" s="11"/>
      <c r="AL361" s="11"/>
      <c r="AM361" s="11"/>
      <c r="AN361" s="11"/>
      <c r="AO361" s="11"/>
      <c r="AP361" s="11"/>
      <c r="AX361" s="99"/>
      <c r="AY361" s="99"/>
      <c r="AZ361" s="99"/>
      <c r="BH361" s="100"/>
      <c r="BI361" s="100"/>
      <c r="BJ361" s="100"/>
      <c r="BK361" s="101"/>
      <c r="BL361" s="80"/>
      <c r="BM361" s="102"/>
      <c r="BN361" s="102"/>
      <c r="BO361" s="103"/>
      <c r="BP361" s="104"/>
      <c r="BQ361" s="28"/>
      <c r="BR361" s="102"/>
      <c r="BS361" s="102"/>
      <c r="BT361" s="102"/>
      <c r="BU361" s="102"/>
      <c r="BV361" s="105"/>
      <c r="BW361" s="101"/>
      <c r="BX361" s="105"/>
      <c r="BY361" s="11"/>
      <c r="BZ361" s="106"/>
      <c r="CA361" s="101"/>
      <c r="CB361" s="107"/>
      <c r="CC361" s="11"/>
      <c r="CD361" s="101"/>
      <c r="CE361" s="108"/>
      <c r="CF361" s="8"/>
      <c r="DK361" s="11"/>
      <c r="DL361" s="11"/>
      <c r="DM361" s="11"/>
      <c r="DN361" s="11"/>
      <c r="DO361" s="11"/>
      <c r="DP361" s="11"/>
      <c r="DX361" s="99"/>
      <c r="DY361" s="99"/>
      <c r="DZ361" s="99"/>
      <c r="EH361" s="100"/>
      <c r="EI361" s="100"/>
      <c r="EJ361" s="100"/>
      <c r="EK361" s="101"/>
      <c r="EL361" s="80"/>
      <c r="EM361" s="102"/>
      <c r="EN361" s="102"/>
      <c r="EO361" s="103"/>
      <c r="EP361" s="104"/>
      <c r="EQ361" s="28"/>
      <c r="ER361" s="102"/>
      <c r="ES361" s="102"/>
      <c r="ET361" s="102"/>
      <c r="EU361" s="102"/>
      <c r="EV361" s="105"/>
      <c r="EW361" s="101"/>
      <c r="EX361" s="105"/>
      <c r="EY361" s="11"/>
      <c r="EZ361" s="106"/>
      <c r="FA361" s="101"/>
      <c r="FB361" s="107"/>
      <c r="FC361" s="11"/>
      <c r="FD361" s="101"/>
      <c r="FE361" s="108"/>
      <c r="FF361" s="8"/>
    </row>
    <row r="362" spans="37:162">
      <c r="AK362" s="11"/>
      <c r="AL362" s="11"/>
      <c r="AM362" s="11"/>
      <c r="AN362" s="11"/>
      <c r="AO362" s="11"/>
      <c r="AP362" s="11"/>
      <c r="AX362" s="99"/>
      <c r="AY362" s="99"/>
      <c r="AZ362" s="99"/>
      <c r="BH362" s="100"/>
      <c r="BI362" s="100"/>
      <c r="BJ362" s="100"/>
      <c r="BK362" s="101"/>
      <c r="BL362" s="80"/>
      <c r="BM362" s="102"/>
      <c r="BN362" s="102"/>
      <c r="BO362" s="103"/>
      <c r="BP362" s="104"/>
      <c r="BQ362" s="28"/>
      <c r="BR362" s="102"/>
      <c r="BS362" s="102"/>
      <c r="BT362" s="102"/>
      <c r="BU362" s="102"/>
      <c r="BV362" s="105"/>
      <c r="BW362" s="101"/>
      <c r="BX362" s="105"/>
      <c r="BY362" s="11"/>
      <c r="BZ362" s="106"/>
      <c r="CA362" s="101"/>
      <c r="CB362" s="107"/>
      <c r="CC362" s="11"/>
      <c r="CD362" s="101"/>
      <c r="CE362" s="108"/>
      <c r="CF362" s="8"/>
      <c r="DK362" s="11"/>
      <c r="DL362" s="11"/>
      <c r="DM362" s="11"/>
      <c r="DN362" s="11"/>
      <c r="DO362" s="11"/>
      <c r="DP362" s="11"/>
      <c r="DX362" s="99"/>
      <c r="DY362" s="99"/>
      <c r="DZ362" s="99"/>
      <c r="EH362" s="100"/>
      <c r="EI362" s="100"/>
      <c r="EJ362" s="100"/>
      <c r="EK362" s="101"/>
      <c r="EL362" s="80"/>
      <c r="EM362" s="102"/>
      <c r="EN362" s="102"/>
      <c r="EO362" s="103"/>
      <c r="EP362" s="104"/>
      <c r="EQ362" s="28"/>
      <c r="ER362" s="102"/>
      <c r="ES362" s="102"/>
      <c r="ET362" s="102"/>
      <c r="EU362" s="102"/>
      <c r="EV362" s="105"/>
      <c r="EW362" s="101"/>
      <c r="EX362" s="105"/>
      <c r="EY362" s="11"/>
      <c r="EZ362" s="106"/>
      <c r="FA362" s="101"/>
      <c r="FB362" s="107"/>
      <c r="FC362" s="11"/>
      <c r="FD362" s="101"/>
      <c r="FE362" s="108"/>
      <c r="FF362" s="8"/>
    </row>
    <row r="363" spans="37:162">
      <c r="AK363" s="11"/>
      <c r="AL363" s="11"/>
      <c r="AM363" s="11"/>
      <c r="AN363" s="11"/>
      <c r="AO363" s="11"/>
      <c r="AP363" s="11"/>
      <c r="AX363" s="99"/>
      <c r="AY363" s="99"/>
      <c r="AZ363" s="99"/>
      <c r="BH363" s="100"/>
      <c r="BI363" s="100"/>
      <c r="BJ363" s="100"/>
      <c r="BK363" s="101"/>
      <c r="BL363" s="80"/>
      <c r="BM363" s="102"/>
      <c r="BN363" s="102"/>
      <c r="BO363" s="103"/>
      <c r="BP363" s="104"/>
      <c r="BQ363" s="28"/>
      <c r="BR363" s="102"/>
      <c r="BS363" s="102"/>
      <c r="BT363" s="102"/>
      <c r="BU363" s="102"/>
      <c r="BV363" s="105"/>
      <c r="BW363" s="101"/>
      <c r="BX363" s="105"/>
      <c r="BY363" s="11"/>
      <c r="BZ363" s="106"/>
      <c r="CA363" s="101"/>
      <c r="CB363" s="107"/>
      <c r="CC363" s="11"/>
      <c r="CD363" s="101"/>
      <c r="CE363" s="108"/>
      <c r="CF363" s="8"/>
      <c r="DK363" s="11"/>
      <c r="DL363" s="11"/>
      <c r="DM363" s="11"/>
      <c r="DN363" s="11"/>
      <c r="DO363" s="11"/>
      <c r="DP363" s="11"/>
      <c r="DX363" s="99"/>
      <c r="DY363" s="99"/>
      <c r="DZ363" s="99"/>
      <c r="EH363" s="100"/>
      <c r="EI363" s="100"/>
      <c r="EJ363" s="100"/>
      <c r="EK363" s="101"/>
      <c r="EL363" s="80"/>
      <c r="EM363" s="102"/>
      <c r="EN363" s="102"/>
      <c r="EO363" s="103"/>
      <c r="EP363" s="104"/>
      <c r="EQ363" s="28"/>
      <c r="ER363" s="102"/>
      <c r="ES363" s="102"/>
      <c r="ET363" s="102"/>
      <c r="EU363" s="102"/>
      <c r="EV363" s="105"/>
      <c r="EW363" s="101"/>
      <c r="EX363" s="105"/>
      <c r="EY363" s="11"/>
      <c r="EZ363" s="106"/>
      <c r="FA363" s="101"/>
      <c r="FB363" s="107"/>
      <c r="FC363" s="11"/>
      <c r="FD363" s="101"/>
      <c r="FE363" s="108"/>
      <c r="FF363" s="8"/>
    </row>
    <row r="364" spans="37:162">
      <c r="AK364" s="11"/>
      <c r="AL364" s="11"/>
      <c r="AM364" s="11"/>
      <c r="AN364" s="11"/>
      <c r="AO364" s="11"/>
      <c r="AP364" s="11"/>
      <c r="AX364" s="99"/>
      <c r="AY364" s="99"/>
      <c r="AZ364" s="99"/>
      <c r="BH364" s="100"/>
      <c r="BI364" s="100"/>
      <c r="BJ364" s="100"/>
      <c r="BK364" s="101"/>
      <c r="BL364" s="80"/>
      <c r="BM364" s="102"/>
      <c r="BN364" s="102"/>
      <c r="BO364" s="103"/>
      <c r="BP364" s="104"/>
      <c r="BQ364" s="28"/>
      <c r="BR364" s="102"/>
      <c r="BS364" s="102"/>
      <c r="BT364" s="102"/>
      <c r="BU364" s="102"/>
      <c r="BV364" s="105"/>
      <c r="BW364" s="101"/>
      <c r="BX364" s="105"/>
      <c r="BY364" s="11"/>
      <c r="BZ364" s="106"/>
      <c r="CA364" s="101"/>
      <c r="CB364" s="107"/>
      <c r="CC364" s="11"/>
      <c r="CD364" s="101"/>
      <c r="CE364" s="108"/>
      <c r="CF364" s="8"/>
      <c r="DK364" s="11"/>
      <c r="DL364" s="11"/>
      <c r="DM364" s="11"/>
      <c r="DN364" s="11"/>
      <c r="DO364" s="11"/>
      <c r="DP364" s="11"/>
      <c r="DX364" s="99"/>
      <c r="DY364" s="99"/>
      <c r="DZ364" s="99"/>
      <c r="EH364" s="100"/>
      <c r="EI364" s="100"/>
      <c r="EJ364" s="100"/>
      <c r="EK364" s="101"/>
      <c r="EL364" s="80"/>
      <c r="EM364" s="102"/>
      <c r="EN364" s="102"/>
      <c r="EO364" s="103"/>
      <c r="EP364" s="104"/>
      <c r="EQ364" s="28"/>
      <c r="ER364" s="102"/>
      <c r="ES364" s="102"/>
      <c r="ET364" s="102"/>
      <c r="EU364" s="102"/>
      <c r="EV364" s="105"/>
      <c r="EW364" s="101"/>
      <c r="EX364" s="105"/>
      <c r="EY364" s="11"/>
      <c r="EZ364" s="106"/>
      <c r="FA364" s="101"/>
      <c r="FB364" s="107"/>
      <c r="FC364" s="11"/>
      <c r="FD364" s="101"/>
      <c r="FE364" s="108"/>
      <c r="FF364" s="8"/>
    </row>
    <row r="365" spans="37:162">
      <c r="AK365" s="11"/>
      <c r="AL365" s="11"/>
      <c r="AM365" s="11"/>
      <c r="AN365" s="11"/>
      <c r="AO365" s="11"/>
      <c r="AP365" s="11"/>
      <c r="AX365" s="99"/>
      <c r="AY365" s="99"/>
      <c r="AZ365" s="99"/>
      <c r="BH365" s="100"/>
      <c r="BI365" s="100"/>
      <c r="BJ365" s="100"/>
      <c r="BK365" s="101"/>
      <c r="BL365" s="80"/>
      <c r="BM365" s="102"/>
      <c r="BN365" s="102"/>
      <c r="BO365" s="103"/>
      <c r="BP365" s="104"/>
      <c r="BQ365" s="28"/>
      <c r="BR365" s="102"/>
      <c r="BS365" s="102"/>
      <c r="BT365" s="102"/>
      <c r="BU365" s="102"/>
      <c r="BV365" s="105"/>
      <c r="BW365" s="101"/>
      <c r="BX365" s="105"/>
      <c r="BY365" s="11"/>
      <c r="BZ365" s="106"/>
      <c r="CA365" s="101"/>
      <c r="CB365" s="107"/>
      <c r="CC365" s="11"/>
      <c r="CD365" s="101"/>
      <c r="CE365" s="108"/>
      <c r="CF365" s="8"/>
      <c r="DK365" s="11"/>
      <c r="DL365" s="11"/>
      <c r="DM365" s="11"/>
      <c r="DN365" s="11"/>
      <c r="DO365" s="11"/>
      <c r="DP365" s="11"/>
      <c r="DX365" s="99"/>
      <c r="DY365" s="99"/>
      <c r="DZ365" s="99"/>
      <c r="EH365" s="100"/>
      <c r="EI365" s="100"/>
      <c r="EJ365" s="100"/>
      <c r="EK365" s="101"/>
      <c r="EL365" s="80"/>
      <c r="EM365" s="102"/>
      <c r="EN365" s="102"/>
      <c r="EO365" s="103"/>
      <c r="EP365" s="104"/>
      <c r="EQ365" s="28"/>
      <c r="ER365" s="102"/>
      <c r="ES365" s="102"/>
      <c r="ET365" s="102"/>
      <c r="EU365" s="102"/>
      <c r="EV365" s="105"/>
      <c r="EW365" s="101"/>
      <c r="EX365" s="105"/>
      <c r="EY365" s="11"/>
      <c r="EZ365" s="106"/>
      <c r="FA365" s="101"/>
      <c r="FB365" s="107"/>
      <c r="FC365" s="11"/>
      <c r="FD365" s="101"/>
      <c r="FE365" s="108"/>
      <c r="FF365" s="8"/>
    </row>
    <row r="366" spans="37:162">
      <c r="AK366" s="11"/>
      <c r="AL366" s="11"/>
      <c r="AM366" s="11"/>
      <c r="AN366" s="11"/>
      <c r="AO366" s="11"/>
      <c r="AP366" s="11"/>
      <c r="AX366" s="99"/>
      <c r="AY366" s="99"/>
      <c r="AZ366" s="99"/>
      <c r="BH366" s="100"/>
      <c r="BI366" s="100"/>
      <c r="BJ366" s="100"/>
      <c r="BK366" s="101"/>
      <c r="BL366" s="80"/>
      <c r="BM366" s="102"/>
      <c r="BN366" s="102"/>
      <c r="BO366" s="103"/>
      <c r="BP366" s="104"/>
      <c r="BQ366" s="28"/>
      <c r="BR366" s="102"/>
      <c r="BS366" s="102"/>
      <c r="BT366" s="102"/>
      <c r="BU366" s="102"/>
      <c r="BV366" s="105"/>
      <c r="BW366" s="101"/>
      <c r="BX366" s="105"/>
      <c r="BY366" s="11"/>
      <c r="BZ366" s="106"/>
      <c r="CA366" s="101"/>
      <c r="CB366" s="107"/>
      <c r="CC366" s="11"/>
      <c r="CD366" s="101"/>
      <c r="CE366" s="108"/>
      <c r="CF366" s="8"/>
      <c r="DK366" s="11"/>
      <c r="DL366" s="11"/>
      <c r="DM366" s="11"/>
      <c r="DN366" s="11"/>
      <c r="DO366" s="11"/>
      <c r="DP366" s="11"/>
      <c r="DX366" s="99"/>
      <c r="DY366" s="99"/>
      <c r="DZ366" s="99"/>
      <c r="EH366" s="100"/>
      <c r="EI366" s="100"/>
      <c r="EJ366" s="100"/>
      <c r="EK366" s="101"/>
      <c r="EL366" s="80"/>
      <c r="EM366" s="102"/>
      <c r="EN366" s="102"/>
      <c r="EO366" s="103"/>
      <c r="EP366" s="104"/>
      <c r="EQ366" s="28"/>
      <c r="ER366" s="102"/>
      <c r="ES366" s="102"/>
      <c r="ET366" s="102"/>
      <c r="EU366" s="102"/>
      <c r="EV366" s="105"/>
      <c r="EW366" s="101"/>
      <c r="EX366" s="105"/>
      <c r="EY366" s="11"/>
      <c r="EZ366" s="106"/>
      <c r="FA366" s="101"/>
      <c r="FB366" s="107"/>
      <c r="FC366" s="11"/>
      <c r="FD366" s="101"/>
      <c r="FE366" s="108"/>
      <c r="FF366" s="8"/>
    </row>
    <row r="367" spans="37:162">
      <c r="AK367" s="11"/>
      <c r="AL367" s="11"/>
      <c r="AM367" s="11"/>
      <c r="AN367" s="11"/>
      <c r="AO367" s="11"/>
      <c r="AP367" s="11"/>
      <c r="AX367" s="99"/>
      <c r="AY367" s="99"/>
      <c r="AZ367" s="99"/>
      <c r="BH367" s="100"/>
      <c r="BI367" s="100"/>
      <c r="BJ367" s="100"/>
      <c r="BK367" s="101"/>
      <c r="BL367" s="80"/>
      <c r="BM367" s="102"/>
      <c r="BN367" s="102"/>
      <c r="BO367" s="103"/>
      <c r="BP367" s="104"/>
      <c r="BQ367" s="28"/>
      <c r="BR367" s="102"/>
      <c r="BS367" s="102"/>
      <c r="BT367" s="102"/>
      <c r="BU367" s="102"/>
      <c r="BV367" s="105"/>
      <c r="BW367" s="101"/>
      <c r="BX367" s="105"/>
      <c r="BY367" s="11"/>
      <c r="BZ367" s="106"/>
      <c r="CA367" s="101"/>
      <c r="CB367" s="107"/>
      <c r="CC367" s="11"/>
      <c r="CD367" s="101"/>
      <c r="CE367" s="108"/>
      <c r="CF367" s="8"/>
      <c r="DK367" s="11"/>
      <c r="DL367" s="11"/>
      <c r="DM367" s="11"/>
      <c r="DN367" s="11"/>
      <c r="DO367" s="11"/>
      <c r="DP367" s="11"/>
      <c r="DX367" s="99"/>
      <c r="DY367" s="99"/>
      <c r="DZ367" s="99"/>
      <c r="EH367" s="100"/>
      <c r="EI367" s="100"/>
      <c r="EJ367" s="100"/>
      <c r="EK367" s="101"/>
      <c r="EL367" s="80"/>
      <c r="EM367" s="102"/>
      <c r="EN367" s="102"/>
      <c r="EO367" s="103"/>
      <c r="EP367" s="104"/>
      <c r="EQ367" s="28"/>
      <c r="ER367" s="102"/>
      <c r="ES367" s="102"/>
      <c r="ET367" s="102"/>
      <c r="EU367" s="102"/>
      <c r="EV367" s="105"/>
      <c r="EW367" s="101"/>
      <c r="EX367" s="105"/>
      <c r="EY367" s="11"/>
      <c r="EZ367" s="106"/>
      <c r="FA367" s="101"/>
      <c r="FB367" s="107"/>
      <c r="FC367" s="11"/>
      <c r="FD367" s="101"/>
      <c r="FE367" s="108"/>
      <c r="FF367" s="8"/>
    </row>
    <row r="368" spans="37:162">
      <c r="AK368" s="11"/>
      <c r="AL368" s="11"/>
      <c r="AM368" s="11"/>
      <c r="AN368" s="11"/>
      <c r="AO368" s="11"/>
      <c r="AP368" s="11"/>
      <c r="AX368" s="99"/>
      <c r="AY368" s="99"/>
      <c r="AZ368" s="99"/>
      <c r="BH368" s="100"/>
      <c r="BI368" s="100"/>
      <c r="BJ368" s="100"/>
      <c r="BK368" s="101"/>
      <c r="BL368" s="80"/>
      <c r="BM368" s="102"/>
      <c r="BN368" s="102"/>
      <c r="BO368" s="103"/>
      <c r="BP368" s="104"/>
      <c r="BQ368" s="28"/>
      <c r="BR368" s="102"/>
      <c r="BS368" s="102"/>
      <c r="BT368" s="102"/>
      <c r="BU368" s="102"/>
      <c r="BV368" s="105"/>
      <c r="BW368" s="101"/>
      <c r="BX368" s="105"/>
      <c r="BY368" s="11"/>
      <c r="BZ368" s="106"/>
      <c r="CA368" s="101"/>
      <c r="CB368" s="107"/>
      <c r="CC368" s="11"/>
      <c r="CD368" s="101"/>
      <c r="CE368" s="108"/>
      <c r="CF368" s="8"/>
      <c r="DK368" s="11"/>
      <c r="DL368" s="11"/>
      <c r="DM368" s="11"/>
      <c r="DN368" s="11"/>
      <c r="DO368" s="11"/>
      <c r="DP368" s="11"/>
      <c r="DX368" s="99"/>
      <c r="DY368" s="99"/>
      <c r="DZ368" s="99"/>
      <c r="EH368" s="100"/>
      <c r="EI368" s="100"/>
      <c r="EJ368" s="100"/>
      <c r="EK368" s="101"/>
      <c r="EL368" s="80"/>
      <c r="EM368" s="102"/>
      <c r="EN368" s="102"/>
      <c r="EO368" s="103"/>
      <c r="EP368" s="104"/>
      <c r="EQ368" s="28"/>
      <c r="ER368" s="102"/>
      <c r="ES368" s="102"/>
      <c r="ET368" s="102"/>
      <c r="EU368" s="102"/>
      <c r="EV368" s="105"/>
      <c r="EW368" s="101"/>
      <c r="EX368" s="105"/>
      <c r="EY368" s="11"/>
      <c r="EZ368" s="106"/>
      <c r="FA368" s="101"/>
      <c r="FB368" s="107"/>
      <c r="FC368" s="11"/>
      <c r="FD368" s="101"/>
      <c r="FE368" s="108"/>
      <c r="FF368" s="8"/>
    </row>
    <row r="369" spans="37:162">
      <c r="AK369" s="11"/>
      <c r="AL369" s="11"/>
      <c r="AM369" s="11"/>
      <c r="AN369" s="11"/>
      <c r="AO369" s="11"/>
      <c r="AP369" s="11"/>
      <c r="AX369" s="99"/>
      <c r="AY369" s="99"/>
      <c r="AZ369" s="99"/>
      <c r="BH369" s="100"/>
      <c r="BI369" s="100"/>
      <c r="BJ369" s="100"/>
      <c r="BK369" s="101"/>
      <c r="BL369" s="80"/>
      <c r="BM369" s="102"/>
      <c r="BN369" s="102"/>
      <c r="BO369" s="103"/>
      <c r="BP369" s="104"/>
      <c r="BQ369" s="28"/>
      <c r="BR369" s="102"/>
      <c r="BS369" s="102"/>
      <c r="BT369" s="102"/>
      <c r="BU369" s="102"/>
      <c r="BV369" s="105"/>
      <c r="BW369" s="101"/>
      <c r="BX369" s="105"/>
      <c r="BY369" s="11"/>
      <c r="BZ369" s="106"/>
      <c r="CA369" s="101"/>
      <c r="CB369" s="107"/>
      <c r="CC369" s="11"/>
      <c r="CD369" s="101"/>
      <c r="CE369" s="108"/>
      <c r="CF369" s="8"/>
      <c r="DK369" s="11"/>
      <c r="DL369" s="11"/>
      <c r="DM369" s="11"/>
      <c r="DN369" s="11"/>
      <c r="DO369" s="11"/>
      <c r="DP369" s="11"/>
      <c r="DX369" s="99"/>
      <c r="DY369" s="99"/>
      <c r="DZ369" s="99"/>
      <c r="EH369" s="100"/>
      <c r="EI369" s="100"/>
      <c r="EJ369" s="100"/>
      <c r="EK369" s="101"/>
      <c r="EL369" s="80"/>
      <c r="EM369" s="102"/>
      <c r="EN369" s="102"/>
      <c r="EO369" s="103"/>
      <c r="EP369" s="104"/>
      <c r="EQ369" s="28"/>
      <c r="ER369" s="102"/>
      <c r="ES369" s="102"/>
      <c r="ET369" s="102"/>
      <c r="EU369" s="102"/>
      <c r="EV369" s="105"/>
      <c r="EW369" s="101"/>
      <c r="EX369" s="105"/>
      <c r="EY369" s="11"/>
      <c r="EZ369" s="106"/>
      <c r="FA369" s="101"/>
      <c r="FB369" s="107"/>
      <c r="FC369" s="11"/>
      <c r="FD369" s="101"/>
      <c r="FE369" s="108"/>
      <c r="FF369" s="8"/>
    </row>
    <row r="370" spans="37:162">
      <c r="AK370" s="11"/>
      <c r="AL370" s="11"/>
      <c r="AM370" s="11"/>
      <c r="AN370" s="11"/>
      <c r="AO370" s="11"/>
      <c r="AP370" s="11"/>
      <c r="AX370" s="99"/>
      <c r="AY370" s="99"/>
      <c r="AZ370" s="99"/>
      <c r="BH370" s="100"/>
      <c r="BI370" s="100"/>
      <c r="BJ370" s="100"/>
      <c r="BK370" s="101"/>
      <c r="BL370" s="80"/>
      <c r="BM370" s="102"/>
      <c r="BN370" s="102"/>
      <c r="BO370" s="103"/>
      <c r="BP370" s="104"/>
      <c r="BQ370" s="28"/>
      <c r="BR370" s="102"/>
      <c r="BS370" s="102"/>
      <c r="BT370" s="102"/>
      <c r="BU370" s="102"/>
      <c r="BV370" s="105"/>
      <c r="BW370" s="101"/>
      <c r="BX370" s="105"/>
      <c r="BY370" s="11"/>
      <c r="BZ370" s="106"/>
      <c r="CA370" s="101"/>
      <c r="CB370" s="107"/>
      <c r="CC370" s="11"/>
      <c r="CD370" s="101"/>
      <c r="CE370" s="108"/>
      <c r="CF370" s="8"/>
      <c r="DK370" s="11"/>
      <c r="DL370" s="11"/>
      <c r="DM370" s="11"/>
      <c r="DN370" s="11"/>
      <c r="DO370" s="11"/>
      <c r="DP370" s="11"/>
      <c r="DX370" s="99"/>
      <c r="DY370" s="99"/>
      <c r="DZ370" s="99"/>
      <c r="EH370" s="100"/>
      <c r="EI370" s="100"/>
      <c r="EJ370" s="100"/>
      <c r="EK370" s="101"/>
      <c r="EL370" s="80"/>
      <c r="EM370" s="102"/>
      <c r="EN370" s="102"/>
      <c r="EO370" s="103"/>
      <c r="EP370" s="104"/>
      <c r="EQ370" s="28"/>
      <c r="ER370" s="102"/>
      <c r="ES370" s="102"/>
      <c r="ET370" s="102"/>
      <c r="EU370" s="102"/>
      <c r="EV370" s="105"/>
      <c r="EW370" s="101"/>
      <c r="EX370" s="105"/>
      <c r="EY370" s="11"/>
      <c r="EZ370" s="106"/>
      <c r="FA370" s="101"/>
      <c r="FB370" s="107"/>
      <c r="FC370" s="11"/>
      <c r="FD370" s="101"/>
      <c r="FE370" s="108"/>
      <c r="FF370" s="8"/>
    </row>
    <row r="371" spans="37:162">
      <c r="AK371" s="11"/>
      <c r="AL371" s="11"/>
      <c r="AM371" s="11"/>
      <c r="AN371" s="11"/>
      <c r="AO371" s="11"/>
      <c r="AP371" s="11"/>
      <c r="AX371" s="99"/>
      <c r="AY371" s="99"/>
      <c r="AZ371" s="99"/>
      <c r="BH371" s="100"/>
      <c r="BI371" s="100"/>
      <c r="BJ371" s="100"/>
      <c r="BK371" s="101"/>
      <c r="BL371" s="80"/>
      <c r="BM371" s="102"/>
      <c r="BN371" s="102"/>
      <c r="BO371" s="103"/>
      <c r="BP371" s="104"/>
      <c r="BQ371" s="28"/>
      <c r="BR371" s="102"/>
      <c r="BS371" s="102"/>
      <c r="BT371" s="102"/>
      <c r="BU371" s="102"/>
      <c r="BV371" s="105"/>
      <c r="BW371" s="101"/>
      <c r="BX371" s="105"/>
      <c r="BY371" s="11"/>
      <c r="BZ371" s="106"/>
      <c r="CA371" s="101"/>
      <c r="CB371" s="107"/>
      <c r="CC371" s="11"/>
      <c r="CD371" s="101"/>
      <c r="CE371" s="108"/>
      <c r="CF371" s="8"/>
      <c r="DK371" s="11"/>
      <c r="DL371" s="11"/>
      <c r="DM371" s="11"/>
      <c r="DN371" s="11"/>
      <c r="DO371" s="11"/>
      <c r="DP371" s="11"/>
      <c r="DX371" s="99"/>
      <c r="DY371" s="99"/>
      <c r="DZ371" s="99"/>
      <c r="EH371" s="100"/>
      <c r="EI371" s="100"/>
      <c r="EJ371" s="100"/>
      <c r="EK371" s="101"/>
      <c r="EL371" s="80"/>
      <c r="EM371" s="102"/>
      <c r="EN371" s="102"/>
      <c r="EO371" s="103"/>
      <c r="EP371" s="104"/>
      <c r="EQ371" s="28"/>
      <c r="ER371" s="102"/>
      <c r="ES371" s="102"/>
      <c r="ET371" s="102"/>
      <c r="EU371" s="102"/>
      <c r="EV371" s="105"/>
      <c r="EW371" s="101"/>
      <c r="EX371" s="105"/>
      <c r="EY371" s="11"/>
      <c r="EZ371" s="106"/>
      <c r="FA371" s="101"/>
      <c r="FB371" s="107"/>
      <c r="FC371" s="11"/>
      <c r="FD371" s="101"/>
      <c r="FE371" s="108"/>
      <c r="FF371" s="8"/>
    </row>
    <row r="372" spans="37:162">
      <c r="AK372" s="11"/>
      <c r="AL372" s="11"/>
      <c r="AM372" s="11"/>
      <c r="AN372" s="11"/>
      <c r="AO372" s="11"/>
      <c r="AP372" s="11"/>
      <c r="AX372" s="99"/>
      <c r="AY372" s="99"/>
      <c r="AZ372" s="99"/>
      <c r="BH372" s="100"/>
      <c r="BI372" s="100"/>
      <c r="BJ372" s="100"/>
      <c r="BK372" s="101"/>
      <c r="BL372" s="80"/>
      <c r="BM372" s="102"/>
      <c r="BN372" s="102"/>
      <c r="BO372" s="103"/>
      <c r="BP372" s="104"/>
      <c r="BQ372" s="28"/>
      <c r="BR372" s="102"/>
      <c r="BS372" s="102"/>
      <c r="BT372" s="102"/>
      <c r="BU372" s="102"/>
      <c r="BV372" s="105"/>
      <c r="BW372" s="101"/>
      <c r="BX372" s="105"/>
      <c r="BY372" s="11"/>
      <c r="BZ372" s="106"/>
      <c r="CA372" s="101"/>
      <c r="CB372" s="107"/>
      <c r="CC372" s="11"/>
      <c r="CD372" s="101"/>
      <c r="CE372" s="108"/>
      <c r="CF372" s="8"/>
      <c r="DK372" s="11"/>
      <c r="DL372" s="11"/>
      <c r="DM372" s="11"/>
      <c r="DN372" s="11"/>
      <c r="DO372" s="11"/>
      <c r="DP372" s="11"/>
      <c r="DX372" s="99"/>
      <c r="DY372" s="99"/>
      <c r="DZ372" s="99"/>
      <c r="EH372" s="100"/>
      <c r="EI372" s="100"/>
      <c r="EJ372" s="100"/>
      <c r="EK372" s="101"/>
      <c r="EL372" s="80"/>
      <c r="EM372" s="102"/>
      <c r="EN372" s="102"/>
      <c r="EO372" s="103"/>
      <c r="EP372" s="104"/>
      <c r="EQ372" s="28"/>
      <c r="ER372" s="102"/>
      <c r="ES372" s="102"/>
      <c r="ET372" s="102"/>
      <c r="EU372" s="102"/>
      <c r="EV372" s="105"/>
      <c r="EW372" s="101"/>
      <c r="EX372" s="105"/>
      <c r="EY372" s="11"/>
      <c r="EZ372" s="106"/>
      <c r="FA372" s="101"/>
      <c r="FB372" s="107"/>
      <c r="FC372" s="11"/>
      <c r="FD372" s="101"/>
      <c r="FE372" s="108"/>
      <c r="FF372" s="8"/>
    </row>
    <row r="373" spans="37:162">
      <c r="AK373" s="11"/>
      <c r="AL373" s="11"/>
      <c r="AM373" s="11"/>
      <c r="AN373" s="11"/>
      <c r="AO373" s="11"/>
      <c r="AP373" s="11"/>
      <c r="AX373" s="99"/>
      <c r="AY373" s="99"/>
      <c r="AZ373" s="99"/>
      <c r="BH373" s="100"/>
      <c r="BI373" s="100"/>
      <c r="BJ373" s="100"/>
      <c r="BK373" s="101"/>
      <c r="BL373" s="80"/>
      <c r="BM373" s="102"/>
      <c r="BN373" s="102"/>
      <c r="BO373" s="103"/>
      <c r="BP373" s="104"/>
      <c r="BQ373" s="28"/>
      <c r="BR373" s="102"/>
      <c r="BS373" s="102"/>
      <c r="BT373" s="102"/>
      <c r="BU373" s="102"/>
      <c r="BV373" s="105"/>
      <c r="BW373" s="101"/>
      <c r="BX373" s="105"/>
      <c r="BY373" s="11"/>
      <c r="BZ373" s="106"/>
      <c r="CA373" s="101"/>
      <c r="CB373" s="107"/>
      <c r="CC373" s="11"/>
      <c r="CD373" s="101"/>
      <c r="CE373" s="108"/>
      <c r="CF373" s="8"/>
      <c r="DK373" s="11"/>
      <c r="DL373" s="11"/>
      <c r="DM373" s="11"/>
      <c r="DN373" s="11"/>
      <c r="DO373" s="11"/>
      <c r="DP373" s="11"/>
      <c r="DX373" s="99"/>
      <c r="DY373" s="99"/>
      <c r="DZ373" s="99"/>
      <c r="EH373" s="100"/>
      <c r="EI373" s="100"/>
      <c r="EJ373" s="100"/>
      <c r="EK373" s="101"/>
      <c r="EL373" s="80"/>
      <c r="EM373" s="102"/>
      <c r="EN373" s="102"/>
      <c r="EO373" s="103"/>
      <c r="EP373" s="104"/>
      <c r="EQ373" s="28"/>
      <c r="ER373" s="102"/>
      <c r="ES373" s="102"/>
      <c r="ET373" s="102"/>
      <c r="EU373" s="102"/>
      <c r="EV373" s="105"/>
      <c r="EW373" s="101"/>
      <c r="EX373" s="105"/>
      <c r="EY373" s="11"/>
      <c r="EZ373" s="106"/>
      <c r="FA373" s="101"/>
      <c r="FB373" s="107"/>
      <c r="FC373" s="11"/>
      <c r="FD373" s="101"/>
      <c r="FE373" s="108"/>
      <c r="FF373" s="8"/>
    </row>
    <row r="374" spans="37:162">
      <c r="AK374" s="11"/>
      <c r="AL374" s="11"/>
      <c r="AM374" s="11"/>
      <c r="AN374" s="11"/>
      <c r="AO374" s="11"/>
      <c r="AP374" s="11"/>
      <c r="AX374" s="99"/>
      <c r="AY374" s="99"/>
      <c r="AZ374" s="99"/>
      <c r="BH374" s="100"/>
      <c r="BI374" s="100"/>
      <c r="BJ374" s="100"/>
      <c r="BK374" s="101"/>
      <c r="BL374" s="80"/>
      <c r="BM374" s="102"/>
      <c r="BN374" s="102"/>
      <c r="BO374" s="103"/>
      <c r="BP374" s="104"/>
      <c r="BQ374" s="28"/>
      <c r="BR374" s="102"/>
      <c r="BS374" s="102"/>
      <c r="BT374" s="102"/>
      <c r="BU374" s="102"/>
      <c r="BV374" s="105"/>
      <c r="BW374" s="101"/>
      <c r="BX374" s="105"/>
      <c r="BY374" s="11"/>
      <c r="BZ374" s="106"/>
      <c r="CA374" s="101"/>
      <c r="CB374" s="107"/>
      <c r="CC374" s="11"/>
      <c r="CD374" s="101"/>
      <c r="CE374" s="108"/>
      <c r="CF374" s="8"/>
      <c r="DK374" s="11"/>
      <c r="DL374" s="11"/>
      <c r="DM374" s="11"/>
      <c r="DN374" s="11"/>
      <c r="DO374" s="11"/>
      <c r="DP374" s="11"/>
      <c r="DX374" s="99"/>
      <c r="DY374" s="99"/>
      <c r="DZ374" s="99"/>
      <c r="EH374" s="100"/>
      <c r="EI374" s="100"/>
      <c r="EJ374" s="100"/>
      <c r="EK374" s="101"/>
      <c r="EL374" s="80"/>
      <c r="EM374" s="102"/>
      <c r="EN374" s="102"/>
      <c r="EO374" s="103"/>
      <c r="EP374" s="104"/>
      <c r="EQ374" s="28"/>
      <c r="ER374" s="102"/>
      <c r="ES374" s="102"/>
      <c r="ET374" s="102"/>
      <c r="EU374" s="102"/>
      <c r="EV374" s="105"/>
      <c r="EW374" s="101"/>
      <c r="EX374" s="105"/>
      <c r="EY374" s="11"/>
      <c r="EZ374" s="106"/>
      <c r="FA374" s="101"/>
      <c r="FB374" s="107"/>
      <c r="FC374" s="11"/>
      <c r="FD374" s="101"/>
      <c r="FE374" s="108"/>
      <c r="FF374" s="8"/>
    </row>
    <row r="375" spans="37:162">
      <c r="AK375" s="11"/>
      <c r="AL375" s="11"/>
      <c r="AM375" s="11"/>
      <c r="AN375" s="11"/>
      <c r="AO375" s="11"/>
      <c r="AP375" s="11"/>
      <c r="AX375" s="99"/>
      <c r="AY375" s="99"/>
      <c r="AZ375" s="99"/>
      <c r="BH375" s="100"/>
      <c r="BI375" s="100"/>
      <c r="BJ375" s="100"/>
      <c r="BK375" s="101"/>
      <c r="BL375" s="80"/>
      <c r="BM375" s="102"/>
      <c r="BN375" s="102"/>
      <c r="BO375" s="103"/>
      <c r="BP375" s="104"/>
      <c r="BQ375" s="28"/>
      <c r="BR375" s="102"/>
      <c r="BS375" s="102"/>
      <c r="BT375" s="102"/>
      <c r="BU375" s="102"/>
      <c r="BV375" s="105"/>
      <c r="BW375" s="101"/>
      <c r="BX375" s="105"/>
      <c r="BY375" s="11"/>
      <c r="BZ375" s="106"/>
      <c r="CA375" s="101"/>
      <c r="CB375" s="107"/>
      <c r="CC375" s="11"/>
      <c r="CD375" s="101"/>
      <c r="CE375" s="108"/>
      <c r="CF375" s="8"/>
      <c r="DK375" s="11"/>
      <c r="DL375" s="11"/>
      <c r="DM375" s="11"/>
      <c r="DN375" s="11"/>
      <c r="DO375" s="11"/>
      <c r="DP375" s="11"/>
      <c r="DX375" s="99"/>
      <c r="DY375" s="99"/>
      <c r="DZ375" s="99"/>
      <c r="EH375" s="100"/>
      <c r="EI375" s="100"/>
      <c r="EJ375" s="100"/>
      <c r="EK375" s="101"/>
      <c r="EL375" s="80"/>
      <c r="EM375" s="102"/>
      <c r="EN375" s="102"/>
      <c r="EO375" s="103"/>
      <c r="EP375" s="104"/>
      <c r="EQ375" s="28"/>
      <c r="ER375" s="102"/>
      <c r="ES375" s="102"/>
      <c r="ET375" s="102"/>
      <c r="EU375" s="102"/>
      <c r="EV375" s="105"/>
      <c r="EW375" s="101"/>
      <c r="EX375" s="105"/>
      <c r="EY375" s="11"/>
      <c r="EZ375" s="106"/>
      <c r="FA375" s="101"/>
      <c r="FB375" s="107"/>
      <c r="FC375" s="11"/>
      <c r="FD375" s="101"/>
      <c r="FE375" s="108"/>
      <c r="FF375" s="8"/>
    </row>
    <row r="376" spans="37:162">
      <c r="AK376" s="11"/>
      <c r="AL376" s="11"/>
      <c r="AM376" s="11"/>
      <c r="AN376" s="11"/>
      <c r="AO376" s="11"/>
      <c r="AP376" s="11"/>
      <c r="AX376" s="99"/>
      <c r="AY376" s="99"/>
      <c r="AZ376" s="99"/>
      <c r="BH376" s="100"/>
      <c r="BI376" s="100"/>
      <c r="BJ376" s="100"/>
      <c r="BK376" s="101"/>
      <c r="BL376" s="80"/>
      <c r="BM376" s="102"/>
      <c r="BN376" s="102"/>
      <c r="BO376" s="103"/>
      <c r="BP376" s="104"/>
      <c r="BQ376" s="28"/>
      <c r="BR376" s="102"/>
      <c r="BS376" s="102"/>
      <c r="BT376" s="102"/>
      <c r="BU376" s="102"/>
      <c r="BV376" s="105"/>
      <c r="BW376" s="101"/>
      <c r="BX376" s="105"/>
      <c r="BY376" s="11"/>
      <c r="BZ376" s="106"/>
      <c r="CA376" s="101"/>
      <c r="CB376" s="107"/>
      <c r="CC376" s="11"/>
      <c r="CD376" s="101"/>
      <c r="CE376" s="108"/>
      <c r="CF376" s="8"/>
      <c r="DK376" s="11"/>
      <c r="DL376" s="11"/>
      <c r="DM376" s="11"/>
      <c r="DN376" s="11"/>
      <c r="DO376" s="11"/>
      <c r="DP376" s="11"/>
      <c r="DX376" s="99"/>
      <c r="DY376" s="99"/>
      <c r="DZ376" s="99"/>
      <c r="EH376" s="100"/>
      <c r="EI376" s="100"/>
      <c r="EJ376" s="100"/>
      <c r="EK376" s="101"/>
      <c r="EL376" s="80"/>
      <c r="EM376" s="102"/>
      <c r="EN376" s="102"/>
      <c r="EO376" s="103"/>
      <c r="EP376" s="104"/>
      <c r="EQ376" s="28"/>
      <c r="ER376" s="102"/>
      <c r="ES376" s="102"/>
      <c r="ET376" s="102"/>
      <c r="EU376" s="102"/>
      <c r="EV376" s="105"/>
      <c r="EW376" s="101"/>
      <c r="EX376" s="105"/>
      <c r="EY376" s="11"/>
      <c r="EZ376" s="106"/>
      <c r="FA376" s="101"/>
      <c r="FB376" s="107"/>
      <c r="FC376" s="11"/>
      <c r="FD376" s="101"/>
      <c r="FE376" s="108"/>
      <c r="FF376" s="8"/>
    </row>
    <row r="377" spans="37:162">
      <c r="AK377" s="11"/>
      <c r="AL377" s="11"/>
      <c r="AM377" s="11"/>
      <c r="AN377" s="11"/>
      <c r="AO377" s="11"/>
      <c r="AP377" s="11"/>
      <c r="AX377" s="99"/>
      <c r="AY377" s="99"/>
      <c r="AZ377" s="99"/>
      <c r="BH377" s="100"/>
      <c r="BI377" s="100"/>
      <c r="BJ377" s="100"/>
      <c r="BK377" s="101"/>
      <c r="BL377" s="80"/>
      <c r="BM377" s="102"/>
      <c r="BN377" s="102"/>
      <c r="BO377" s="103"/>
      <c r="BP377" s="104"/>
      <c r="BQ377" s="28"/>
      <c r="BR377" s="102"/>
      <c r="BS377" s="102"/>
      <c r="BT377" s="102"/>
      <c r="BU377" s="102"/>
      <c r="BV377" s="105"/>
      <c r="BW377" s="101"/>
      <c r="BX377" s="105"/>
      <c r="BY377" s="11"/>
      <c r="BZ377" s="106"/>
      <c r="CA377" s="101"/>
      <c r="CB377" s="107"/>
      <c r="CC377" s="11"/>
      <c r="CD377" s="101"/>
      <c r="CE377" s="108"/>
      <c r="CF377" s="8"/>
      <c r="DK377" s="11"/>
      <c r="DL377" s="11"/>
      <c r="DM377" s="11"/>
      <c r="DN377" s="11"/>
      <c r="DO377" s="11"/>
      <c r="DP377" s="11"/>
      <c r="DX377" s="99"/>
      <c r="DY377" s="99"/>
      <c r="DZ377" s="99"/>
      <c r="EH377" s="100"/>
      <c r="EI377" s="100"/>
      <c r="EJ377" s="100"/>
      <c r="EK377" s="101"/>
      <c r="EL377" s="80"/>
      <c r="EM377" s="102"/>
      <c r="EN377" s="102"/>
      <c r="EO377" s="103"/>
      <c r="EP377" s="104"/>
      <c r="EQ377" s="28"/>
      <c r="ER377" s="102"/>
      <c r="ES377" s="102"/>
      <c r="ET377" s="102"/>
      <c r="EU377" s="102"/>
      <c r="EV377" s="105"/>
      <c r="EW377" s="101"/>
      <c r="EX377" s="105"/>
      <c r="EY377" s="11"/>
      <c r="EZ377" s="106"/>
      <c r="FA377" s="101"/>
      <c r="FB377" s="107"/>
      <c r="FC377" s="11"/>
      <c r="FD377" s="101"/>
      <c r="FE377" s="108"/>
      <c r="FF377" s="8"/>
    </row>
    <row r="378" spans="37:162">
      <c r="AK378" s="11"/>
      <c r="AL378" s="11"/>
      <c r="AM378" s="11"/>
      <c r="AN378" s="11"/>
      <c r="AO378" s="11"/>
      <c r="AP378" s="11"/>
      <c r="AX378" s="99"/>
      <c r="AY378" s="99"/>
      <c r="AZ378" s="99"/>
      <c r="BH378" s="100"/>
      <c r="BI378" s="100"/>
      <c r="BJ378" s="100"/>
      <c r="BK378" s="101"/>
      <c r="BL378" s="80"/>
      <c r="BM378" s="102"/>
      <c r="BN378" s="102"/>
      <c r="BO378" s="103"/>
      <c r="BP378" s="104"/>
      <c r="BQ378" s="28"/>
      <c r="BR378" s="102"/>
      <c r="BS378" s="102"/>
      <c r="BT378" s="102"/>
      <c r="BU378" s="102"/>
      <c r="BV378" s="105"/>
      <c r="BW378" s="101"/>
      <c r="BX378" s="105"/>
      <c r="BY378" s="11"/>
      <c r="BZ378" s="106"/>
      <c r="CA378" s="101"/>
      <c r="CB378" s="107"/>
      <c r="CC378" s="11"/>
      <c r="CD378" s="101"/>
      <c r="CE378" s="108"/>
      <c r="CF378" s="8"/>
      <c r="DK378" s="11"/>
      <c r="DL378" s="11"/>
      <c r="DM378" s="11"/>
      <c r="DN378" s="11"/>
      <c r="DO378" s="11"/>
      <c r="DP378" s="11"/>
      <c r="DX378" s="99"/>
      <c r="DY378" s="99"/>
      <c r="DZ378" s="99"/>
      <c r="EH378" s="100"/>
      <c r="EI378" s="100"/>
      <c r="EJ378" s="100"/>
      <c r="EK378" s="101"/>
      <c r="EL378" s="80"/>
      <c r="EM378" s="102"/>
      <c r="EN378" s="102"/>
      <c r="EO378" s="103"/>
      <c r="EP378" s="104"/>
      <c r="EQ378" s="28"/>
      <c r="ER378" s="102"/>
      <c r="ES378" s="102"/>
      <c r="ET378" s="102"/>
      <c r="EU378" s="102"/>
      <c r="EV378" s="105"/>
      <c r="EW378" s="101"/>
      <c r="EX378" s="105"/>
      <c r="EY378" s="11"/>
      <c r="EZ378" s="106"/>
      <c r="FA378" s="101"/>
      <c r="FB378" s="107"/>
      <c r="FC378" s="11"/>
      <c r="FD378" s="101"/>
      <c r="FE378" s="108"/>
      <c r="FF378" s="8"/>
    </row>
    <row r="379" spans="37:162">
      <c r="AK379" s="11"/>
      <c r="AL379" s="11"/>
      <c r="AM379" s="11"/>
      <c r="AN379" s="11"/>
      <c r="AO379" s="11"/>
      <c r="AP379" s="11"/>
      <c r="AX379" s="99"/>
      <c r="AY379" s="99"/>
      <c r="AZ379" s="99"/>
      <c r="BH379" s="100"/>
      <c r="BI379" s="100"/>
      <c r="BJ379" s="100"/>
      <c r="BK379" s="101"/>
      <c r="BL379" s="80"/>
      <c r="BM379" s="102"/>
      <c r="BN379" s="102"/>
      <c r="BO379" s="103"/>
      <c r="BP379" s="104"/>
      <c r="BQ379" s="28"/>
      <c r="BR379" s="102"/>
      <c r="BS379" s="102"/>
      <c r="BT379" s="102"/>
      <c r="BU379" s="102"/>
      <c r="BV379" s="105"/>
      <c r="BW379" s="101"/>
      <c r="BX379" s="105"/>
      <c r="BY379" s="11"/>
      <c r="BZ379" s="106"/>
      <c r="CA379" s="101"/>
      <c r="CB379" s="107"/>
      <c r="CC379" s="11"/>
      <c r="CD379" s="101"/>
      <c r="CE379" s="108"/>
      <c r="CF379" s="8"/>
      <c r="DK379" s="11"/>
      <c r="DL379" s="11"/>
      <c r="DM379" s="11"/>
      <c r="DN379" s="11"/>
      <c r="DO379" s="11"/>
      <c r="DP379" s="11"/>
      <c r="DX379" s="99"/>
      <c r="DY379" s="99"/>
      <c r="DZ379" s="99"/>
      <c r="EH379" s="100"/>
      <c r="EI379" s="100"/>
      <c r="EJ379" s="100"/>
      <c r="EK379" s="101"/>
      <c r="EL379" s="80"/>
      <c r="EM379" s="102"/>
      <c r="EN379" s="102"/>
      <c r="EO379" s="103"/>
      <c r="EP379" s="104"/>
      <c r="EQ379" s="28"/>
      <c r="ER379" s="102"/>
      <c r="ES379" s="102"/>
      <c r="ET379" s="102"/>
      <c r="EU379" s="102"/>
      <c r="EV379" s="105"/>
      <c r="EW379" s="101"/>
      <c r="EX379" s="105"/>
      <c r="EY379" s="11"/>
      <c r="EZ379" s="106"/>
      <c r="FA379" s="101"/>
      <c r="FB379" s="107"/>
      <c r="FC379" s="11"/>
      <c r="FD379" s="101"/>
      <c r="FE379" s="108"/>
      <c r="FF379" s="8"/>
    </row>
    <row r="380" spans="37:162">
      <c r="AK380" s="11"/>
      <c r="AL380" s="11"/>
      <c r="AM380" s="11"/>
      <c r="AN380" s="11"/>
      <c r="AO380" s="11"/>
      <c r="AP380" s="11"/>
      <c r="AX380" s="99"/>
      <c r="AY380" s="99"/>
      <c r="AZ380" s="99"/>
      <c r="BH380" s="100"/>
      <c r="BI380" s="100"/>
      <c r="BJ380" s="100"/>
      <c r="BK380" s="101"/>
      <c r="BL380" s="80"/>
      <c r="BM380" s="102"/>
      <c r="BN380" s="102"/>
      <c r="BO380" s="103"/>
      <c r="BP380" s="104"/>
      <c r="BQ380" s="28"/>
      <c r="BR380" s="102"/>
      <c r="BS380" s="102"/>
      <c r="BT380" s="102"/>
      <c r="BU380" s="102"/>
      <c r="BV380" s="105"/>
      <c r="BW380" s="101"/>
      <c r="BX380" s="105"/>
      <c r="BY380" s="11"/>
      <c r="BZ380" s="106"/>
      <c r="CA380" s="101"/>
      <c r="CB380" s="107"/>
      <c r="CC380" s="11"/>
      <c r="CD380" s="101"/>
      <c r="CE380" s="108"/>
      <c r="CF380" s="8"/>
      <c r="DK380" s="11"/>
      <c r="DL380" s="11"/>
      <c r="DM380" s="11"/>
      <c r="DN380" s="11"/>
      <c r="DO380" s="11"/>
      <c r="DP380" s="11"/>
      <c r="DX380" s="99"/>
      <c r="DY380" s="99"/>
      <c r="DZ380" s="99"/>
      <c r="EH380" s="100"/>
      <c r="EI380" s="100"/>
      <c r="EJ380" s="100"/>
      <c r="EK380" s="101"/>
      <c r="EL380" s="80"/>
      <c r="EM380" s="102"/>
      <c r="EN380" s="102"/>
      <c r="EO380" s="103"/>
      <c r="EP380" s="104"/>
      <c r="EQ380" s="28"/>
      <c r="ER380" s="102"/>
      <c r="ES380" s="102"/>
      <c r="ET380" s="102"/>
      <c r="EU380" s="102"/>
      <c r="EV380" s="105"/>
      <c r="EW380" s="101"/>
      <c r="EX380" s="105"/>
      <c r="EY380" s="11"/>
      <c r="EZ380" s="106"/>
      <c r="FA380" s="101"/>
      <c r="FB380" s="107"/>
      <c r="FC380" s="11"/>
      <c r="FD380" s="101"/>
      <c r="FE380" s="108"/>
      <c r="FF380" s="8"/>
    </row>
    <row r="381" spans="37:162">
      <c r="AK381" s="11"/>
      <c r="AL381" s="11"/>
      <c r="AM381" s="11"/>
      <c r="AN381" s="11"/>
      <c r="AO381" s="11"/>
      <c r="AP381" s="11"/>
      <c r="AX381" s="99"/>
      <c r="AY381" s="99"/>
      <c r="AZ381" s="99"/>
      <c r="BH381" s="100"/>
      <c r="BI381" s="100"/>
      <c r="BJ381" s="100"/>
      <c r="BK381" s="101"/>
      <c r="BL381" s="80"/>
      <c r="BM381" s="102"/>
      <c r="BN381" s="102"/>
      <c r="BO381" s="103"/>
      <c r="BP381" s="104"/>
      <c r="BQ381" s="28"/>
      <c r="BR381" s="102"/>
      <c r="BS381" s="102"/>
      <c r="BT381" s="102"/>
      <c r="BU381" s="102"/>
      <c r="BV381" s="105"/>
      <c r="BW381" s="101"/>
      <c r="BX381" s="105"/>
      <c r="BY381" s="11"/>
      <c r="BZ381" s="106"/>
      <c r="CA381" s="101"/>
      <c r="CB381" s="107"/>
      <c r="CC381" s="11"/>
      <c r="CD381" s="101"/>
      <c r="CE381" s="108"/>
      <c r="CF381" s="8"/>
      <c r="DK381" s="11"/>
      <c r="DL381" s="11"/>
      <c r="DM381" s="11"/>
      <c r="DN381" s="11"/>
      <c r="DO381" s="11"/>
      <c r="DP381" s="11"/>
      <c r="DX381" s="99"/>
      <c r="DY381" s="99"/>
      <c r="DZ381" s="99"/>
      <c r="EH381" s="100"/>
      <c r="EI381" s="100"/>
      <c r="EJ381" s="100"/>
      <c r="EK381" s="101"/>
      <c r="EL381" s="80"/>
      <c r="EM381" s="102"/>
      <c r="EN381" s="102"/>
      <c r="EO381" s="103"/>
      <c r="EP381" s="104"/>
      <c r="EQ381" s="28"/>
      <c r="ER381" s="102"/>
      <c r="ES381" s="102"/>
      <c r="ET381" s="102"/>
      <c r="EU381" s="102"/>
      <c r="EV381" s="105"/>
      <c r="EW381" s="101"/>
      <c r="EX381" s="105"/>
      <c r="EY381" s="11"/>
      <c r="EZ381" s="106"/>
      <c r="FA381" s="101"/>
      <c r="FB381" s="107"/>
      <c r="FC381" s="11"/>
      <c r="FD381" s="101"/>
      <c r="FE381" s="108"/>
      <c r="FF381" s="8"/>
    </row>
    <row r="382" spans="37:162">
      <c r="AK382" s="11"/>
      <c r="AL382" s="11"/>
      <c r="AM382" s="11"/>
      <c r="AN382" s="11"/>
      <c r="AO382" s="11"/>
      <c r="AP382" s="11"/>
      <c r="AX382" s="99"/>
      <c r="AY382" s="99"/>
      <c r="AZ382" s="99"/>
      <c r="BH382" s="100"/>
      <c r="BI382" s="100"/>
      <c r="BJ382" s="100"/>
      <c r="BK382" s="101"/>
      <c r="BL382" s="80"/>
      <c r="BM382" s="102"/>
      <c r="BN382" s="102"/>
      <c r="BO382" s="103"/>
      <c r="BP382" s="104"/>
      <c r="BQ382" s="28"/>
      <c r="BR382" s="102"/>
      <c r="BS382" s="102"/>
      <c r="BT382" s="102"/>
      <c r="BU382" s="102"/>
      <c r="BV382" s="105"/>
      <c r="BW382" s="101"/>
      <c r="BX382" s="105"/>
      <c r="BY382" s="11"/>
      <c r="BZ382" s="106"/>
      <c r="CA382" s="101"/>
      <c r="CB382" s="107"/>
      <c r="CC382" s="11"/>
      <c r="CD382" s="101"/>
      <c r="CE382" s="108"/>
      <c r="CF382" s="8"/>
      <c r="DK382" s="11"/>
      <c r="DL382" s="11"/>
      <c r="DM382" s="11"/>
      <c r="DN382" s="11"/>
      <c r="DO382" s="11"/>
      <c r="DP382" s="11"/>
      <c r="DX382" s="99"/>
      <c r="DY382" s="99"/>
      <c r="DZ382" s="99"/>
      <c r="EH382" s="100"/>
      <c r="EI382" s="100"/>
      <c r="EJ382" s="100"/>
      <c r="EK382" s="101"/>
      <c r="EL382" s="80"/>
      <c r="EM382" s="102"/>
      <c r="EN382" s="102"/>
      <c r="EO382" s="103"/>
      <c r="EP382" s="104"/>
      <c r="EQ382" s="28"/>
      <c r="ER382" s="102"/>
      <c r="ES382" s="102"/>
      <c r="ET382" s="102"/>
      <c r="EU382" s="102"/>
      <c r="EV382" s="105"/>
      <c r="EW382" s="101"/>
      <c r="EX382" s="105"/>
      <c r="EY382" s="11"/>
      <c r="EZ382" s="106"/>
      <c r="FA382" s="101"/>
      <c r="FB382" s="107"/>
      <c r="FC382" s="11"/>
      <c r="FD382" s="101"/>
      <c r="FE382" s="108"/>
      <c r="FF382" s="8"/>
    </row>
    <row r="383" spans="37:162">
      <c r="AK383" s="11"/>
      <c r="AL383" s="11"/>
      <c r="AM383" s="11"/>
      <c r="AN383" s="11"/>
      <c r="AO383" s="11"/>
      <c r="AP383" s="11"/>
      <c r="AX383" s="99"/>
      <c r="AY383" s="99"/>
      <c r="AZ383" s="99"/>
      <c r="BH383" s="100"/>
      <c r="BI383" s="100"/>
      <c r="BJ383" s="100"/>
      <c r="BK383" s="101"/>
      <c r="BL383" s="80"/>
      <c r="BM383" s="102"/>
      <c r="BN383" s="102"/>
      <c r="BO383" s="103"/>
      <c r="BP383" s="104"/>
      <c r="BQ383" s="28"/>
      <c r="BR383" s="102"/>
      <c r="BS383" s="102"/>
      <c r="BT383" s="102"/>
      <c r="BU383" s="102"/>
      <c r="BV383" s="105"/>
      <c r="BW383" s="101"/>
      <c r="BX383" s="105"/>
      <c r="BY383" s="11"/>
      <c r="BZ383" s="106"/>
      <c r="CA383" s="101"/>
      <c r="CB383" s="107"/>
      <c r="CC383" s="11"/>
      <c r="CD383" s="101"/>
      <c r="CE383" s="108"/>
      <c r="CF383" s="8"/>
      <c r="DK383" s="11"/>
      <c r="DL383" s="11"/>
      <c r="DM383" s="11"/>
      <c r="DN383" s="11"/>
      <c r="DO383" s="11"/>
      <c r="DP383" s="11"/>
      <c r="DX383" s="99"/>
      <c r="DY383" s="99"/>
      <c r="DZ383" s="99"/>
      <c r="EH383" s="100"/>
      <c r="EI383" s="100"/>
      <c r="EJ383" s="100"/>
      <c r="EK383" s="101"/>
      <c r="EL383" s="80"/>
      <c r="EM383" s="102"/>
      <c r="EN383" s="102"/>
      <c r="EO383" s="103"/>
      <c r="EP383" s="104"/>
      <c r="EQ383" s="28"/>
      <c r="ER383" s="102"/>
      <c r="ES383" s="102"/>
      <c r="ET383" s="102"/>
      <c r="EU383" s="102"/>
      <c r="EV383" s="105"/>
      <c r="EW383" s="101"/>
      <c r="EX383" s="105"/>
      <c r="EY383" s="11"/>
      <c r="EZ383" s="106"/>
      <c r="FA383" s="101"/>
      <c r="FB383" s="107"/>
      <c r="FC383" s="11"/>
      <c r="FD383" s="101"/>
      <c r="FE383" s="108"/>
      <c r="FF383" s="8"/>
    </row>
    <row r="384" spans="37:162">
      <c r="AK384" s="11"/>
      <c r="AL384" s="11"/>
      <c r="AM384" s="11"/>
      <c r="AN384" s="11"/>
      <c r="AO384" s="11"/>
      <c r="AP384" s="11"/>
      <c r="AX384" s="99"/>
      <c r="AY384" s="99"/>
      <c r="AZ384" s="99"/>
      <c r="BH384" s="100"/>
      <c r="BI384" s="100"/>
      <c r="BJ384" s="100"/>
      <c r="BK384" s="101"/>
      <c r="BL384" s="80"/>
      <c r="BM384" s="102"/>
      <c r="BN384" s="102"/>
      <c r="BO384" s="103"/>
      <c r="BP384" s="104"/>
      <c r="BQ384" s="28"/>
      <c r="BR384" s="102"/>
      <c r="BS384" s="102"/>
      <c r="BT384" s="102"/>
      <c r="BU384" s="102"/>
      <c r="BV384" s="105"/>
      <c r="BW384" s="101"/>
      <c r="BX384" s="105"/>
      <c r="BY384" s="11"/>
      <c r="BZ384" s="106"/>
      <c r="CA384" s="101"/>
      <c r="CB384" s="107"/>
      <c r="CC384" s="11"/>
      <c r="CD384" s="101"/>
      <c r="CE384" s="108"/>
      <c r="CF384" s="8"/>
      <c r="DK384" s="11"/>
      <c r="DL384" s="11"/>
      <c r="DM384" s="11"/>
      <c r="DN384" s="11"/>
      <c r="DO384" s="11"/>
      <c r="DP384" s="11"/>
      <c r="DX384" s="99"/>
      <c r="DY384" s="99"/>
      <c r="DZ384" s="99"/>
      <c r="EH384" s="100"/>
      <c r="EI384" s="100"/>
      <c r="EJ384" s="100"/>
      <c r="EK384" s="101"/>
      <c r="EL384" s="80"/>
      <c r="EM384" s="102"/>
      <c r="EN384" s="102"/>
      <c r="EO384" s="103"/>
      <c r="EP384" s="104"/>
      <c r="EQ384" s="28"/>
      <c r="ER384" s="102"/>
      <c r="ES384" s="102"/>
      <c r="ET384" s="102"/>
      <c r="EU384" s="102"/>
      <c r="EV384" s="105"/>
      <c r="EW384" s="101"/>
      <c r="EX384" s="105"/>
      <c r="EY384" s="11"/>
      <c r="EZ384" s="106"/>
      <c r="FA384" s="101"/>
      <c r="FB384" s="107"/>
      <c r="FC384" s="11"/>
      <c r="FD384" s="101"/>
      <c r="FE384" s="108"/>
      <c r="FF384" s="8"/>
    </row>
    <row r="385" spans="37:162">
      <c r="AK385" s="11"/>
      <c r="AL385" s="11"/>
      <c r="AM385" s="11"/>
      <c r="AN385" s="11"/>
      <c r="AO385" s="11"/>
      <c r="AP385" s="11"/>
      <c r="AX385" s="99"/>
      <c r="AY385" s="99"/>
      <c r="AZ385" s="99"/>
      <c r="BH385" s="100"/>
      <c r="BI385" s="100"/>
      <c r="BJ385" s="100"/>
      <c r="BK385" s="101"/>
      <c r="BL385" s="80"/>
      <c r="BM385" s="102"/>
      <c r="BN385" s="102"/>
      <c r="BO385" s="103"/>
      <c r="BP385" s="104"/>
      <c r="BQ385" s="28"/>
      <c r="BR385" s="102"/>
      <c r="BS385" s="102"/>
      <c r="BT385" s="102"/>
      <c r="BU385" s="102"/>
      <c r="BV385" s="105"/>
      <c r="BW385" s="101"/>
      <c r="BX385" s="105"/>
      <c r="BY385" s="11"/>
      <c r="BZ385" s="106"/>
      <c r="CA385" s="101"/>
      <c r="CB385" s="107"/>
      <c r="CC385" s="11"/>
      <c r="CD385" s="101"/>
      <c r="CE385" s="108"/>
      <c r="CF385" s="8"/>
      <c r="DK385" s="11"/>
      <c r="DL385" s="11"/>
      <c r="DM385" s="11"/>
      <c r="DN385" s="11"/>
      <c r="DO385" s="11"/>
      <c r="DP385" s="11"/>
      <c r="DX385" s="99"/>
      <c r="DY385" s="99"/>
      <c r="DZ385" s="99"/>
      <c r="EH385" s="100"/>
      <c r="EI385" s="100"/>
      <c r="EJ385" s="100"/>
      <c r="EK385" s="101"/>
      <c r="EL385" s="80"/>
      <c r="EM385" s="102"/>
      <c r="EN385" s="102"/>
      <c r="EO385" s="103"/>
      <c r="EP385" s="104"/>
      <c r="EQ385" s="28"/>
      <c r="ER385" s="102"/>
      <c r="ES385" s="102"/>
      <c r="ET385" s="102"/>
      <c r="EU385" s="102"/>
      <c r="EV385" s="105"/>
      <c r="EW385" s="101"/>
      <c r="EX385" s="105"/>
      <c r="EY385" s="11"/>
      <c r="EZ385" s="106"/>
      <c r="FA385" s="101"/>
      <c r="FB385" s="107"/>
      <c r="FC385" s="11"/>
      <c r="FD385" s="101"/>
      <c r="FE385" s="108"/>
      <c r="FF385" s="8"/>
    </row>
    <row r="386" spans="37:162">
      <c r="AK386" s="11"/>
      <c r="AL386" s="11"/>
      <c r="AM386" s="11"/>
      <c r="AN386" s="11"/>
      <c r="AO386" s="11"/>
      <c r="AP386" s="11"/>
      <c r="AX386" s="99"/>
      <c r="AY386" s="99"/>
      <c r="AZ386" s="99"/>
      <c r="BH386" s="100"/>
      <c r="BI386" s="100"/>
      <c r="BJ386" s="100"/>
      <c r="BK386" s="101"/>
      <c r="BL386" s="80"/>
      <c r="BM386" s="102"/>
      <c r="BN386" s="102"/>
      <c r="BO386" s="103"/>
      <c r="BP386" s="104"/>
      <c r="BQ386" s="28"/>
      <c r="BR386" s="102"/>
      <c r="BS386" s="102"/>
      <c r="BT386" s="102"/>
      <c r="BU386" s="102"/>
      <c r="BV386" s="105"/>
      <c r="BW386" s="101"/>
      <c r="BX386" s="105"/>
      <c r="BY386" s="11"/>
      <c r="BZ386" s="106"/>
      <c r="CA386" s="101"/>
      <c r="CB386" s="107"/>
      <c r="CC386" s="11"/>
      <c r="CD386" s="101"/>
      <c r="CE386" s="108"/>
      <c r="CF386" s="8"/>
      <c r="DK386" s="11"/>
      <c r="DL386" s="11"/>
      <c r="DM386" s="11"/>
      <c r="DN386" s="11"/>
      <c r="DO386" s="11"/>
      <c r="DP386" s="11"/>
      <c r="DX386" s="99"/>
      <c r="DY386" s="99"/>
      <c r="DZ386" s="99"/>
      <c r="EH386" s="100"/>
      <c r="EI386" s="100"/>
      <c r="EJ386" s="100"/>
      <c r="EK386" s="101"/>
      <c r="EL386" s="80"/>
      <c r="EM386" s="102"/>
      <c r="EN386" s="102"/>
      <c r="EO386" s="103"/>
      <c r="EP386" s="104"/>
      <c r="EQ386" s="28"/>
      <c r="ER386" s="102"/>
      <c r="ES386" s="102"/>
      <c r="ET386" s="102"/>
      <c r="EU386" s="102"/>
      <c r="EV386" s="105"/>
      <c r="EW386" s="101"/>
      <c r="EX386" s="105"/>
      <c r="EY386" s="11"/>
      <c r="EZ386" s="106"/>
      <c r="FA386" s="101"/>
      <c r="FB386" s="107"/>
      <c r="FC386" s="11"/>
      <c r="FD386" s="101"/>
      <c r="FE386" s="108"/>
      <c r="FF386" s="8"/>
    </row>
    <row r="387" spans="37:162">
      <c r="AK387" s="11"/>
      <c r="AL387" s="11"/>
      <c r="AM387" s="11"/>
      <c r="AN387" s="11"/>
      <c r="AO387" s="11"/>
      <c r="AP387" s="11"/>
      <c r="AX387" s="99"/>
      <c r="AY387" s="99"/>
      <c r="AZ387" s="99"/>
      <c r="BH387" s="100"/>
      <c r="BI387" s="100"/>
      <c r="BJ387" s="100"/>
      <c r="BK387" s="101"/>
      <c r="BL387" s="80"/>
      <c r="BM387" s="102"/>
      <c r="BN387" s="102"/>
      <c r="BO387" s="103"/>
      <c r="BP387" s="104"/>
      <c r="BQ387" s="28"/>
      <c r="BR387" s="102"/>
      <c r="BS387" s="102"/>
      <c r="BT387" s="102"/>
      <c r="BU387" s="102"/>
      <c r="BV387" s="105"/>
      <c r="BW387" s="101"/>
      <c r="BX387" s="105"/>
      <c r="BY387" s="11"/>
      <c r="BZ387" s="106"/>
      <c r="CA387" s="101"/>
      <c r="CB387" s="107"/>
      <c r="CC387" s="11"/>
      <c r="CD387" s="101"/>
      <c r="CE387" s="108"/>
      <c r="CF387" s="8"/>
      <c r="DK387" s="11"/>
      <c r="DL387" s="11"/>
      <c r="DM387" s="11"/>
      <c r="DN387" s="11"/>
      <c r="DO387" s="11"/>
      <c r="DP387" s="11"/>
      <c r="DX387" s="99"/>
      <c r="DY387" s="99"/>
      <c r="DZ387" s="99"/>
      <c r="EH387" s="100"/>
      <c r="EI387" s="100"/>
      <c r="EJ387" s="100"/>
      <c r="EK387" s="101"/>
      <c r="EL387" s="80"/>
      <c r="EM387" s="102"/>
      <c r="EN387" s="102"/>
      <c r="EO387" s="103"/>
      <c r="EP387" s="104"/>
      <c r="EQ387" s="28"/>
      <c r="ER387" s="102"/>
      <c r="ES387" s="102"/>
      <c r="ET387" s="102"/>
      <c r="EU387" s="102"/>
      <c r="EV387" s="105"/>
      <c r="EW387" s="101"/>
      <c r="EX387" s="105"/>
      <c r="EY387" s="11"/>
      <c r="EZ387" s="106"/>
      <c r="FA387" s="101"/>
      <c r="FB387" s="107"/>
      <c r="FC387" s="11"/>
      <c r="FD387" s="101"/>
      <c r="FE387" s="108"/>
      <c r="FF387" s="8"/>
    </row>
    <row r="388" spans="37:162">
      <c r="AK388" s="11"/>
      <c r="AL388" s="11"/>
      <c r="AM388" s="11"/>
      <c r="AN388" s="11"/>
      <c r="AO388" s="11"/>
      <c r="AP388" s="11"/>
      <c r="AX388" s="99"/>
      <c r="AY388" s="99"/>
      <c r="AZ388" s="99"/>
      <c r="BH388" s="100"/>
      <c r="BI388" s="100"/>
      <c r="BJ388" s="100"/>
      <c r="BK388" s="101"/>
      <c r="BL388" s="80"/>
      <c r="BM388" s="102"/>
      <c r="BN388" s="102"/>
      <c r="BO388" s="103"/>
      <c r="BP388" s="104"/>
      <c r="BQ388" s="28"/>
      <c r="BR388" s="102"/>
      <c r="BS388" s="102"/>
      <c r="BT388" s="102"/>
      <c r="BU388" s="102"/>
      <c r="BV388" s="105"/>
      <c r="BW388" s="101"/>
      <c r="BX388" s="105"/>
      <c r="BY388" s="11"/>
      <c r="BZ388" s="106"/>
      <c r="CA388" s="101"/>
      <c r="CB388" s="107"/>
      <c r="CC388" s="11"/>
      <c r="CD388" s="101"/>
      <c r="CE388" s="108"/>
      <c r="CF388" s="8"/>
      <c r="DK388" s="11"/>
      <c r="DL388" s="11"/>
      <c r="DM388" s="11"/>
      <c r="DN388" s="11"/>
      <c r="DO388" s="11"/>
      <c r="DP388" s="11"/>
      <c r="DX388" s="99"/>
      <c r="DY388" s="99"/>
      <c r="DZ388" s="99"/>
      <c r="EH388" s="100"/>
      <c r="EI388" s="100"/>
      <c r="EJ388" s="100"/>
      <c r="EK388" s="101"/>
      <c r="EL388" s="80"/>
      <c r="EM388" s="102"/>
      <c r="EN388" s="102"/>
      <c r="EO388" s="103"/>
      <c r="EP388" s="104"/>
      <c r="EQ388" s="28"/>
      <c r="ER388" s="102"/>
      <c r="ES388" s="102"/>
      <c r="ET388" s="102"/>
      <c r="EU388" s="102"/>
      <c r="EV388" s="105"/>
      <c r="EW388" s="101"/>
      <c r="EX388" s="105"/>
      <c r="EY388" s="11"/>
      <c r="EZ388" s="106"/>
      <c r="FA388" s="101"/>
      <c r="FB388" s="107"/>
      <c r="FC388" s="11"/>
      <c r="FD388" s="101"/>
      <c r="FE388" s="108"/>
      <c r="FF388" s="8"/>
    </row>
    <row r="389" spans="37:162">
      <c r="AK389" s="11"/>
      <c r="AL389" s="11"/>
      <c r="AM389" s="11"/>
      <c r="AN389" s="11"/>
      <c r="AO389" s="11"/>
      <c r="AP389" s="11"/>
      <c r="AX389" s="99"/>
      <c r="AY389" s="99"/>
      <c r="AZ389" s="99"/>
      <c r="BH389" s="100"/>
      <c r="BI389" s="100"/>
      <c r="BJ389" s="100"/>
      <c r="BK389" s="101"/>
      <c r="BL389" s="80"/>
      <c r="BM389" s="102"/>
      <c r="BN389" s="102"/>
      <c r="BO389" s="103"/>
      <c r="BP389" s="104"/>
      <c r="BQ389" s="28"/>
      <c r="BR389" s="102"/>
      <c r="BS389" s="102"/>
      <c r="BT389" s="102"/>
      <c r="BU389" s="102"/>
      <c r="BV389" s="105"/>
      <c r="BW389" s="101"/>
      <c r="BX389" s="105"/>
      <c r="BY389" s="11"/>
      <c r="BZ389" s="106"/>
      <c r="CA389" s="101"/>
      <c r="CB389" s="107"/>
      <c r="CC389" s="11"/>
      <c r="CD389" s="101"/>
      <c r="CE389" s="108"/>
      <c r="CF389" s="8"/>
      <c r="DK389" s="11"/>
      <c r="DL389" s="11"/>
      <c r="DM389" s="11"/>
      <c r="DN389" s="11"/>
      <c r="DO389" s="11"/>
      <c r="DP389" s="11"/>
      <c r="DX389" s="99"/>
      <c r="DY389" s="99"/>
      <c r="DZ389" s="99"/>
      <c r="EH389" s="100"/>
      <c r="EI389" s="100"/>
      <c r="EJ389" s="100"/>
      <c r="EK389" s="101"/>
      <c r="EL389" s="80"/>
      <c r="EM389" s="102"/>
      <c r="EN389" s="102"/>
      <c r="EO389" s="103"/>
      <c r="EP389" s="104"/>
      <c r="EQ389" s="28"/>
      <c r="ER389" s="102"/>
      <c r="ES389" s="102"/>
      <c r="ET389" s="102"/>
      <c r="EU389" s="102"/>
      <c r="EV389" s="105"/>
      <c r="EW389" s="101"/>
      <c r="EX389" s="105"/>
      <c r="EY389" s="11"/>
      <c r="EZ389" s="106"/>
      <c r="FA389" s="101"/>
      <c r="FB389" s="107"/>
      <c r="FC389" s="11"/>
      <c r="FD389" s="101"/>
      <c r="FE389" s="108"/>
      <c r="FF389" s="8"/>
    </row>
    <row r="390" spans="37:162">
      <c r="AK390" s="11"/>
      <c r="AL390" s="11"/>
      <c r="AM390" s="11"/>
      <c r="AN390" s="11"/>
      <c r="AO390" s="11"/>
      <c r="AP390" s="11"/>
      <c r="AX390" s="99"/>
      <c r="AY390" s="99"/>
      <c r="AZ390" s="99"/>
      <c r="BH390" s="100"/>
      <c r="BI390" s="100"/>
      <c r="BJ390" s="100"/>
      <c r="BK390" s="101"/>
      <c r="BL390" s="80"/>
      <c r="BM390" s="102"/>
      <c r="BN390" s="102"/>
      <c r="BO390" s="103"/>
      <c r="BP390" s="104"/>
      <c r="BQ390" s="28"/>
      <c r="BR390" s="102"/>
      <c r="BS390" s="102"/>
      <c r="BT390" s="102"/>
      <c r="BU390" s="102"/>
      <c r="BV390" s="105"/>
      <c r="BW390" s="101"/>
      <c r="BX390" s="105"/>
      <c r="BY390" s="11"/>
      <c r="BZ390" s="106"/>
      <c r="CA390" s="101"/>
      <c r="CB390" s="107"/>
      <c r="CC390" s="11"/>
      <c r="CD390" s="101"/>
      <c r="CE390" s="108"/>
      <c r="CF390" s="8"/>
      <c r="DK390" s="11"/>
      <c r="DL390" s="11"/>
      <c r="DM390" s="11"/>
      <c r="DN390" s="11"/>
      <c r="DO390" s="11"/>
      <c r="DP390" s="11"/>
      <c r="DX390" s="99"/>
      <c r="DY390" s="99"/>
      <c r="DZ390" s="99"/>
      <c r="EH390" s="100"/>
      <c r="EI390" s="100"/>
      <c r="EJ390" s="100"/>
      <c r="EK390" s="101"/>
      <c r="EL390" s="80"/>
      <c r="EM390" s="102"/>
      <c r="EN390" s="102"/>
      <c r="EO390" s="103"/>
      <c r="EP390" s="104"/>
      <c r="EQ390" s="28"/>
      <c r="ER390" s="102"/>
      <c r="ES390" s="102"/>
      <c r="ET390" s="102"/>
      <c r="EU390" s="102"/>
      <c r="EV390" s="105"/>
      <c r="EW390" s="101"/>
      <c r="EX390" s="105"/>
      <c r="EY390" s="11"/>
      <c r="EZ390" s="106"/>
      <c r="FA390" s="101"/>
      <c r="FB390" s="107"/>
      <c r="FC390" s="11"/>
      <c r="FD390" s="101"/>
      <c r="FE390" s="108"/>
      <c r="FF390" s="8"/>
    </row>
    <row r="391" spans="37:162">
      <c r="AK391" s="11"/>
      <c r="AL391" s="11"/>
      <c r="AM391" s="11"/>
      <c r="AN391" s="11"/>
      <c r="AO391" s="11"/>
      <c r="AP391" s="11"/>
      <c r="AX391" s="99"/>
      <c r="AY391" s="99"/>
      <c r="AZ391" s="99"/>
      <c r="BH391" s="100"/>
      <c r="BI391" s="100"/>
      <c r="BJ391" s="100"/>
      <c r="BK391" s="101"/>
      <c r="BL391" s="80"/>
      <c r="BM391" s="102"/>
      <c r="BN391" s="102"/>
      <c r="BO391" s="103"/>
      <c r="BP391" s="104"/>
      <c r="BQ391" s="28"/>
      <c r="BR391" s="102"/>
      <c r="BS391" s="102"/>
      <c r="BT391" s="102"/>
      <c r="BU391" s="102"/>
      <c r="BV391" s="105"/>
      <c r="BW391" s="101"/>
      <c r="BX391" s="105"/>
      <c r="BY391" s="11"/>
      <c r="BZ391" s="106"/>
      <c r="CA391" s="101"/>
      <c r="CB391" s="107"/>
      <c r="CC391" s="11"/>
      <c r="CD391" s="101"/>
      <c r="CE391" s="108"/>
      <c r="CF391" s="8"/>
      <c r="DK391" s="11"/>
      <c r="DL391" s="11"/>
      <c r="DM391" s="11"/>
      <c r="DN391" s="11"/>
      <c r="DO391" s="11"/>
      <c r="DP391" s="11"/>
      <c r="DX391" s="99"/>
      <c r="DY391" s="99"/>
      <c r="DZ391" s="99"/>
      <c r="EH391" s="100"/>
      <c r="EI391" s="100"/>
      <c r="EJ391" s="100"/>
      <c r="EK391" s="101"/>
      <c r="EL391" s="80"/>
      <c r="EM391" s="102"/>
      <c r="EN391" s="102"/>
      <c r="EO391" s="103"/>
      <c r="EP391" s="104"/>
      <c r="EQ391" s="28"/>
      <c r="ER391" s="102"/>
      <c r="ES391" s="102"/>
      <c r="ET391" s="102"/>
      <c r="EU391" s="102"/>
      <c r="EV391" s="105"/>
      <c r="EW391" s="101"/>
      <c r="EX391" s="105"/>
      <c r="EY391" s="11"/>
      <c r="EZ391" s="106"/>
      <c r="FA391" s="101"/>
      <c r="FB391" s="107"/>
      <c r="FC391" s="11"/>
      <c r="FD391" s="101"/>
      <c r="FE391" s="108"/>
      <c r="FF391" s="8"/>
    </row>
    <row r="392" spans="37:162">
      <c r="AK392" s="11"/>
      <c r="AL392" s="11"/>
      <c r="AM392" s="11"/>
      <c r="AN392" s="11"/>
      <c r="AO392" s="11"/>
      <c r="AP392" s="11"/>
      <c r="AX392" s="99"/>
      <c r="AY392" s="99"/>
      <c r="AZ392" s="99"/>
      <c r="BH392" s="100"/>
      <c r="BI392" s="100"/>
      <c r="BJ392" s="100"/>
      <c r="BK392" s="101"/>
      <c r="BL392" s="80"/>
      <c r="BM392" s="102"/>
      <c r="BN392" s="102"/>
      <c r="BO392" s="103"/>
      <c r="BP392" s="104"/>
      <c r="BQ392" s="28"/>
      <c r="BR392" s="102"/>
      <c r="BS392" s="102"/>
      <c r="BT392" s="102"/>
      <c r="BU392" s="102"/>
      <c r="BV392" s="105"/>
      <c r="BW392" s="101"/>
      <c r="BX392" s="105"/>
      <c r="BY392" s="11"/>
      <c r="BZ392" s="106"/>
      <c r="CA392" s="101"/>
      <c r="CB392" s="107"/>
      <c r="CC392" s="11"/>
      <c r="CD392" s="101"/>
      <c r="CE392" s="108"/>
      <c r="CF392" s="8"/>
      <c r="DK392" s="11"/>
      <c r="DL392" s="11"/>
      <c r="DM392" s="11"/>
      <c r="DN392" s="11"/>
      <c r="DO392" s="11"/>
      <c r="DP392" s="11"/>
      <c r="DX392" s="99"/>
      <c r="DY392" s="99"/>
      <c r="DZ392" s="99"/>
      <c r="EH392" s="100"/>
      <c r="EI392" s="100"/>
      <c r="EJ392" s="100"/>
      <c r="EK392" s="101"/>
      <c r="EL392" s="80"/>
      <c r="EM392" s="102"/>
      <c r="EN392" s="102"/>
      <c r="EO392" s="103"/>
      <c r="EP392" s="104"/>
      <c r="EQ392" s="28"/>
      <c r="ER392" s="102"/>
      <c r="ES392" s="102"/>
      <c r="ET392" s="102"/>
      <c r="EU392" s="102"/>
      <c r="EV392" s="105"/>
      <c r="EW392" s="101"/>
      <c r="EX392" s="105"/>
      <c r="EY392" s="11"/>
      <c r="EZ392" s="106"/>
      <c r="FA392" s="101"/>
      <c r="FB392" s="107"/>
      <c r="FC392" s="11"/>
      <c r="FD392" s="101"/>
      <c r="FE392" s="108"/>
      <c r="FF392" s="8"/>
    </row>
    <row r="393" spans="37:162">
      <c r="AK393" s="11"/>
      <c r="AL393" s="11"/>
      <c r="AM393" s="11"/>
      <c r="AN393" s="11"/>
      <c r="AO393" s="11"/>
      <c r="AP393" s="11"/>
      <c r="AX393" s="99"/>
      <c r="AY393" s="99"/>
      <c r="AZ393" s="99"/>
      <c r="BH393" s="100"/>
      <c r="BI393" s="100"/>
      <c r="BJ393" s="100"/>
      <c r="BK393" s="101"/>
      <c r="BL393" s="80"/>
      <c r="BM393" s="102"/>
      <c r="BN393" s="102"/>
      <c r="BO393" s="103"/>
      <c r="BP393" s="104"/>
      <c r="BQ393" s="28"/>
      <c r="BR393" s="102"/>
      <c r="BS393" s="102"/>
      <c r="BT393" s="102"/>
      <c r="BU393" s="102"/>
      <c r="BV393" s="105"/>
      <c r="BW393" s="101"/>
      <c r="BX393" s="105"/>
      <c r="BY393" s="11"/>
      <c r="BZ393" s="106"/>
      <c r="CA393" s="101"/>
      <c r="CB393" s="107"/>
      <c r="CC393" s="11"/>
      <c r="CD393" s="101"/>
      <c r="CE393" s="108"/>
      <c r="CF393" s="8"/>
      <c r="DK393" s="11"/>
      <c r="DL393" s="11"/>
      <c r="DM393" s="11"/>
      <c r="DN393" s="11"/>
      <c r="DO393" s="11"/>
      <c r="DP393" s="11"/>
      <c r="DX393" s="99"/>
      <c r="DY393" s="99"/>
      <c r="DZ393" s="99"/>
      <c r="EH393" s="100"/>
      <c r="EI393" s="100"/>
      <c r="EJ393" s="100"/>
      <c r="EK393" s="101"/>
      <c r="EL393" s="80"/>
      <c r="EM393" s="102"/>
      <c r="EN393" s="102"/>
      <c r="EO393" s="103"/>
      <c r="EP393" s="104"/>
      <c r="EQ393" s="28"/>
      <c r="ER393" s="102"/>
      <c r="ES393" s="102"/>
      <c r="ET393" s="102"/>
      <c r="EU393" s="102"/>
      <c r="EV393" s="105"/>
      <c r="EW393" s="101"/>
      <c r="EX393" s="105"/>
      <c r="EY393" s="11"/>
      <c r="EZ393" s="106"/>
      <c r="FA393" s="101"/>
      <c r="FB393" s="107"/>
      <c r="FC393" s="11"/>
      <c r="FD393" s="101"/>
      <c r="FE393" s="108"/>
      <c r="FF393" s="8"/>
    </row>
    <row r="394" spans="37:162">
      <c r="AK394" s="11"/>
      <c r="AL394" s="11"/>
      <c r="AM394" s="11"/>
      <c r="AN394" s="11"/>
      <c r="AO394" s="11"/>
      <c r="AP394" s="11"/>
      <c r="AX394" s="99"/>
      <c r="AY394" s="99"/>
      <c r="AZ394" s="99"/>
      <c r="BH394" s="100"/>
      <c r="BI394" s="100"/>
      <c r="BJ394" s="100"/>
      <c r="BK394" s="101"/>
      <c r="BL394" s="80"/>
      <c r="BM394" s="102"/>
      <c r="BN394" s="102"/>
      <c r="BO394" s="103"/>
      <c r="BP394" s="104"/>
      <c r="BQ394" s="28"/>
      <c r="BR394" s="102"/>
      <c r="BS394" s="102"/>
      <c r="BT394" s="102"/>
      <c r="BU394" s="102"/>
      <c r="BV394" s="105"/>
      <c r="BW394" s="101"/>
      <c r="BX394" s="105"/>
      <c r="BY394" s="11"/>
      <c r="BZ394" s="106"/>
      <c r="CA394" s="101"/>
      <c r="CB394" s="107"/>
      <c r="CC394" s="11"/>
      <c r="CD394" s="101"/>
      <c r="CE394" s="108"/>
      <c r="CF394" s="8"/>
      <c r="DK394" s="11"/>
      <c r="DL394" s="11"/>
      <c r="DM394" s="11"/>
      <c r="DN394" s="11"/>
      <c r="DO394" s="11"/>
      <c r="DP394" s="11"/>
      <c r="DX394" s="99"/>
      <c r="DY394" s="99"/>
      <c r="DZ394" s="99"/>
      <c r="EH394" s="100"/>
      <c r="EI394" s="100"/>
      <c r="EJ394" s="100"/>
      <c r="EK394" s="101"/>
      <c r="EL394" s="80"/>
      <c r="EM394" s="102"/>
      <c r="EN394" s="102"/>
      <c r="EO394" s="103"/>
      <c r="EP394" s="104"/>
      <c r="EQ394" s="28"/>
      <c r="ER394" s="102"/>
      <c r="ES394" s="102"/>
      <c r="ET394" s="102"/>
      <c r="EU394" s="102"/>
      <c r="EV394" s="105"/>
      <c r="EW394" s="101"/>
      <c r="EX394" s="105"/>
      <c r="EY394" s="11"/>
      <c r="EZ394" s="106"/>
      <c r="FA394" s="101"/>
      <c r="FB394" s="107"/>
      <c r="FC394" s="11"/>
      <c r="FD394" s="101"/>
      <c r="FE394" s="108"/>
      <c r="FF394" s="8"/>
    </row>
    <row r="395" spans="37:162">
      <c r="AK395" s="11"/>
      <c r="AL395" s="11"/>
      <c r="AM395" s="11"/>
      <c r="AN395" s="11"/>
      <c r="AO395" s="11"/>
      <c r="AP395" s="11"/>
      <c r="AX395" s="99"/>
      <c r="AY395" s="99"/>
      <c r="AZ395" s="99"/>
      <c r="BH395" s="100"/>
      <c r="BI395" s="100"/>
      <c r="BJ395" s="100"/>
      <c r="BK395" s="101"/>
      <c r="BL395" s="80"/>
      <c r="BM395" s="102"/>
      <c r="BN395" s="102"/>
      <c r="BO395" s="103"/>
      <c r="BP395" s="104"/>
      <c r="BQ395" s="28"/>
      <c r="BR395" s="102"/>
      <c r="BS395" s="102"/>
      <c r="BT395" s="102"/>
      <c r="BU395" s="102"/>
      <c r="BV395" s="105"/>
      <c r="BW395" s="101"/>
      <c r="BX395" s="105"/>
      <c r="BY395" s="11"/>
      <c r="BZ395" s="106"/>
      <c r="CA395" s="101"/>
      <c r="CB395" s="107"/>
      <c r="CC395" s="11"/>
      <c r="CD395" s="101"/>
      <c r="CE395" s="108"/>
      <c r="CF395" s="8"/>
      <c r="DK395" s="11"/>
      <c r="DL395" s="11"/>
      <c r="DM395" s="11"/>
      <c r="DN395" s="11"/>
      <c r="DO395" s="11"/>
      <c r="DP395" s="11"/>
      <c r="DX395" s="99"/>
      <c r="DY395" s="99"/>
      <c r="DZ395" s="99"/>
      <c r="EH395" s="100"/>
      <c r="EI395" s="100"/>
      <c r="EJ395" s="100"/>
      <c r="EK395" s="101"/>
      <c r="EL395" s="80"/>
      <c r="EM395" s="102"/>
      <c r="EN395" s="102"/>
      <c r="EO395" s="103"/>
      <c r="EP395" s="104"/>
      <c r="EQ395" s="28"/>
      <c r="ER395" s="102"/>
      <c r="ES395" s="102"/>
      <c r="ET395" s="102"/>
      <c r="EU395" s="102"/>
      <c r="EV395" s="105"/>
      <c r="EW395" s="101"/>
      <c r="EX395" s="105"/>
      <c r="EY395" s="11"/>
      <c r="EZ395" s="106"/>
      <c r="FA395" s="101"/>
      <c r="FB395" s="107"/>
      <c r="FC395" s="11"/>
      <c r="FD395" s="101"/>
      <c r="FE395" s="108"/>
      <c r="FF395" s="8"/>
    </row>
    <row r="396" spans="37:162">
      <c r="AK396" s="11"/>
      <c r="AL396" s="11"/>
      <c r="AM396" s="11"/>
      <c r="AN396" s="11"/>
      <c r="AO396" s="11"/>
      <c r="AP396" s="11"/>
      <c r="AX396" s="99"/>
      <c r="AY396" s="99"/>
      <c r="AZ396" s="99"/>
      <c r="BH396" s="100"/>
      <c r="BI396" s="100"/>
      <c r="BJ396" s="100"/>
      <c r="BK396" s="101"/>
      <c r="BL396" s="80"/>
      <c r="BM396" s="102"/>
      <c r="BN396" s="102"/>
      <c r="BO396" s="103"/>
      <c r="BP396" s="104"/>
      <c r="BQ396" s="28"/>
      <c r="BR396" s="102"/>
      <c r="BS396" s="102"/>
      <c r="BT396" s="102"/>
      <c r="BU396" s="102"/>
      <c r="BV396" s="105"/>
      <c r="BW396" s="101"/>
      <c r="BX396" s="105"/>
      <c r="BY396" s="11"/>
      <c r="BZ396" s="106"/>
      <c r="CA396" s="101"/>
      <c r="CB396" s="107"/>
      <c r="CC396" s="11"/>
      <c r="CD396" s="101"/>
      <c r="CE396" s="108"/>
      <c r="CF396" s="8"/>
      <c r="DK396" s="11"/>
      <c r="DL396" s="11"/>
      <c r="DM396" s="11"/>
      <c r="DN396" s="11"/>
      <c r="DO396" s="11"/>
      <c r="DP396" s="11"/>
      <c r="DX396" s="99"/>
      <c r="DY396" s="99"/>
      <c r="DZ396" s="99"/>
      <c r="EH396" s="100"/>
      <c r="EI396" s="100"/>
      <c r="EJ396" s="100"/>
      <c r="EK396" s="101"/>
      <c r="EL396" s="80"/>
      <c r="EM396" s="102"/>
      <c r="EN396" s="102"/>
      <c r="EO396" s="103"/>
      <c r="EP396" s="104"/>
      <c r="EQ396" s="28"/>
      <c r="ER396" s="102"/>
      <c r="ES396" s="102"/>
      <c r="ET396" s="102"/>
      <c r="EU396" s="102"/>
      <c r="EV396" s="105"/>
      <c r="EW396" s="101"/>
      <c r="EX396" s="105"/>
      <c r="EY396" s="11"/>
      <c r="EZ396" s="106"/>
      <c r="FA396" s="101"/>
      <c r="FB396" s="107"/>
      <c r="FC396" s="11"/>
      <c r="FD396" s="101"/>
      <c r="FE396" s="108"/>
      <c r="FF396" s="8"/>
    </row>
    <row r="397" spans="37:162">
      <c r="AK397" s="11"/>
      <c r="AL397" s="11"/>
      <c r="AM397" s="11"/>
      <c r="AN397" s="11"/>
      <c r="AO397" s="11"/>
      <c r="AP397" s="11"/>
      <c r="AX397" s="99"/>
      <c r="AY397" s="99"/>
      <c r="AZ397" s="99"/>
      <c r="BH397" s="100"/>
      <c r="BI397" s="100"/>
      <c r="BJ397" s="100"/>
      <c r="BK397" s="101"/>
      <c r="BL397" s="80"/>
      <c r="BM397" s="102"/>
      <c r="BN397" s="102"/>
      <c r="BO397" s="103"/>
      <c r="BP397" s="104"/>
      <c r="BQ397" s="28"/>
      <c r="BR397" s="102"/>
      <c r="BS397" s="102"/>
      <c r="BT397" s="102"/>
      <c r="BU397" s="102"/>
      <c r="BV397" s="105"/>
      <c r="BW397" s="101"/>
      <c r="BX397" s="105"/>
      <c r="BY397" s="11"/>
      <c r="BZ397" s="106"/>
      <c r="CA397" s="101"/>
      <c r="CB397" s="107"/>
      <c r="CC397" s="11"/>
      <c r="CD397" s="101"/>
      <c r="CE397" s="108"/>
      <c r="CF397" s="8"/>
      <c r="DK397" s="11"/>
      <c r="DL397" s="11"/>
      <c r="DM397" s="11"/>
      <c r="DN397" s="11"/>
      <c r="DO397" s="11"/>
      <c r="DP397" s="11"/>
      <c r="DX397" s="99"/>
      <c r="DY397" s="99"/>
      <c r="DZ397" s="99"/>
      <c r="EH397" s="100"/>
      <c r="EI397" s="100"/>
      <c r="EJ397" s="100"/>
      <c r="EK397" s="101"/>
      <c r="EL397" s="80"/>
      <c r="EM397" s="102"/>
      <c r="EN397" s="102"/>
      <c r="EO397" s="103"/>
      <c r="EP397" s="104"/>
      <c r="EQ397" s="28"/>
      <c r="ER397" s="102"/>
      <c r="ES397" s="102"/>
      <c r="ET397" s="102"/>
      <c r="EU397" s="102"/>
      <c r="EV397" s="105"/>
      <c r="EW397" s="101"/>
      <c r="EX397" s="105"/>
      <c r="EY397" s="11"/>
      <c r="EZ397" s="106"/>
      <c r="FA397" s="101"/>
      <c r="FB397" s="107"/>
      <c r="FC397" s="11"/>
      <c r="FD397" s="101"/>
      <c r="FE397" s="108"/>
      <c r="FF397" s="8"/>
    </row>
    <row r="398" spans="37:162">
      <c r="AK398" s="11"/>
      <c r="AL398" s="11"/>
      <c r="AM398" s="11"/>
      <c r="AN398" s="11"/>
      <c r="AO398" s="11"/>
      <c r="AP398" s="11"/>
      <c r="AX398" s="99"/>
      <c r="AY398" s="99"/>
      <c r="AZ398" s="99"/>
      <c r="BH398" s="100"/>
      <c r="BI398" s="100"/>
      <c r="BJ398" s="100"/>
      <c r="BK398" s="101"/>
      <c r="BL398" s="80"/>
      <c r="BM398" s="102"/>
      <c r="BN398" s="102"/>
      <c r="BO398" s="103"/>
      <c r="BP398" s="104"/>
      <c r="BQ398" s="28"/>
      <c r="BR398" s="102"/>
      <c r="BS398" s="102"/>
      <c r="BT398" s="102"/>
      <c r="BU398" s="102"/>
      <c r="BV398" s="105"/>
      <c r="BW398" s="101"/>
      <c r="BX398" s="105"/>
      <c r="BY398" s="11"/>
      <c r="BZ398" s="106"/>
      <c r="CA398" s="101"/>
      <c r="CB398" s="107"/>
      <c r="CC398" s="11"/>
      <c r="CD398" s="101"/>
      <c r="CE398" s="108"/>
      <c r="CF398" s="8"/>
      <c r="DK398" s="11"/>
      <c r="DL398" s="11"/>
      <c r="DM398" s="11"/>
      <c r="DN398" s="11"/>
      <c r="DO398" s="11"/>
      <c r="DP398" s="11"/>
      <c r="DX398" s="99"/>
      <c r="DY398" s="99"/>
      <c r="DZ398" s="99"/>
      <c r="EH398" s="100"/>
      <c r="EI398" s="100"/>
      <c r="EJ398" s="100"/>
      <c r="EK398" s="101"/>
      <c r="EL398" s="80"/>
      <c r="EM398" s="102"/>
      <c r="EN398" s="102"/>
      <c r="EO398" s="103"/>
      <c r="EP398" s="104"/>
      <c r="EQ398" s="28"/>
      <c r="ER398" s="102"/>
      <c r="ES398" s="102"/>
      <c r="ET398" s="102"/>
      <c r="EU398" s="102"/>
      <c r="EV398" s="105"/>
      <c r="EW398" s="101"/>
      <c r="EX398" s="105"/>
      <c r="EY398" s="11"/>
      <c r="EZ398" s="106"/>
      <c r="FA398" s="101"/>
      <c r="FB398" s="107"/>
      <c r="FC398" s="11"/>
      <c r="FD398" s="101"/>
      <c r="FE398" s="108"/>
      <c r="FF398" s="8"/>
    </row>
    <row r="399" spans="37:162">
      <c r="AK399" s="11"/>
      <c r="AL399" s="11"/>
      <c r="AM399" s="11"/>
      <c r="AN399" s="11"/>
      <c r="AO399" s="11"/>
      <c r="AP399" s="11"/>
      <c r="AX399" s="99"/>
      <c r="AY399" s="99"/>
      <c r="AZ399" s="99"/>
      <c r="BH399" s="100"/>
      <c r="BI399" s="100"/>
      <c r="BJ399" s="100"/>
      <c r="BK399" s="101"/>
      <c r="BL399" s="80"/>
      <c r="BM399" s="102"/>
      <c r="BN399" s="102"/>
      <c r="BO399" s="103"/>
      <c r="BP399" s="104"/>
      <c r="BQ399" s="28"/>
      <c r="BR399" s="102"/>
      <c r="BS399" s="102"/>
      <c r="BT399" s="102"/>
      <c r="BU399" s="102"/>
      <c r="BV399" s="105"/>
      <c r="BW399" s="101"/>
      <c r="BX399" s="105"/>
      <c r="BY399" s="11"/>
      <c r="BZ399" s="106"/>
      <c r="CA399" s="101"/>
      <c r="CB399" s="107"/>
      <c r="CC399" s="11"/>
      <c r="CD399" s="101"/>
      <c r="CE399" s="108"/>
      <c r="CF399" s="8"/>
      <c r="DK399" s="11"/>
      <c r="DL399" s="11"/>
      <c r="DM399" s="11"/>
      <c r="DN399" s="11"/>
      <c r="DO399" s="11"/>
      <c r="DP399" s="11"/>
      <c r="DX399" s="99"/>
      <c r="DY399" s="99"/>
      <c r="DZ399" s="99"/>
      <c r="EH399" s="100"/>
      <c r="EI399" s="100"/>
      <c r="EJ399" s="100"/>
      <c r="EK399" s="101"/>
      <c r="EL399" s="80"/>
      <c r="EM399" s="102"/>
      <c r="EN399" s="102"/>
      <c r="EO399" s="103"/>
      <c r="EP399" s="104"/>
      <c r="EQ399" s="28"/>
      <c r="ER399" s="102"/>
      <c r="ES399" s="102"/>
      <c r="ET399" s="102"/>
      <c r="EU399" s="102"/>
      <c r="EV399" s="105"/>
      <c r="EW399" s="101"/>
      <c r="EX399" s="105"/>
      <c r="EY399" s="11"/>
      <c r="EZ399" s="106"/>
      <c r="FA399" s="101"/>
      <c r="FB399" s="107"/>
      <c r="FC399" s="11"/>
      <c r="FD399" s="101"/>
      <c r="FE399" s="108"/>
      <c r="FF399" s="8"/>
    </row>
    <row r="400" spans="37:162">
      <c r="AK400" s="11"/>
      <c r="AL400" s="11"/>
      <c r="AM400" s="11"/>
      <c r="AN400" s="11"/>
      <c r="AO400" s="11"/>
      <c r="AP400" s="11"/>
      <c r="AX400" s="99"/>
      <c r="AY400" s="99"/>
      <c r="AZ400" s="99"/>
      <c r="BH400" s="100"/>
      <c r="BI400" s="100"/>
      <c r="BJ400" s="100"/>
      <c r="BK400" s="101"/>
      <c r="BL400" s="80"/>
      <c r="BM400" s="102"/>
      <c r="BN400" s="102"/>
      <c r="BO400" s="103"/>
      <c r="BP400" s="104"/>
      <c r="BQ400" s="28"/>
      <c r="BR400" s="102"/>
      <c r="BS400" s="102"/>
      <c r="BT400" s="102"/>
      <c r="BU400" s="102"/>
      <c r="BV400" s="105"/>
      <c r="BW400" s="101"/>
      <c r="BX400" s="105"/>
      <c r="BY400" s="11"/>
      <c r="BZ400" s="106"/>
      <c r="CA400" s="101"/>
      <c r="CB400" s="107"/>
      <c r="CC400" s="11"/>
      <c r="CD400" s="101"/>
      <c r="CE400" s="108"/>
      <c r="CF400" s="8"/>
      <c r="DK400" s="11"/>
      <c r="DL400" s="11"/>
      <c r="DM400" s="11"/>
      <c r="DN400" s="11"/>
      <c r="DO400" s="11"/>
      <c r="DP400" s="11"/>
      <c r="DX400" s="99"/>
      <c r="DY400" s="99"/>
      <c r="DZ400" s="99"/>
      <c r="EH400" s="100"/>
      <c r="EI400" s="100"/>
      <c r="EJ400" s="100"/>
      <c r="EK400" s="101"/>
      <c r="EL400" s="80"/>
      <c r="EM400" s="102"/>
      <c r="EN400" s="102"/>
      <c r="EO400" s="103"/>
      <c r="EP400" s="104"/>
      <c r="EQ400" s="28"/>
      <c r="ER400" s="102"/>
      <c r="ES400" s="102"/>
      <c r="ET400" s="102"/>
      <c r="EU400" s="102"/>
      <c r="EV400" s="105"/>
      <c r="EW400" s="101"/>
      <c r="EX400" s="105"/>
      <c r="EY400" s="11"/>
      <c r="EZ400" s="106"/>
      <c r="FA400" s="101"/>
      <c r="FB400" s="107"/>
      <c r="FC400" s="11"/>
      <c r="FD400" s="101"/>
      <c r="FE400" s="108"/>
      <c r="FF400" s="8"/>
    </row>
    <row r="401" spans="37:162">
      <c r="AK401" s="11"/>
      <c r="AL401" s="11"/>
      <c r="AM401" s="11"/>
      <c r="AN401" s="11"/>
      <c r="AO401" s="11"/>
      <c r="AP401" s="11"/>
      <c r="AX401" s="99"/>
      <c r="AY401" s="99"/>
      <c r="AZ401" s="99"/>
      <c r="BH401" s="100"/>
      <c r="BI401" s="100"/>
      <c r="BJ401" s="100"/>
      <c r="BK401" s="101"/>
      <c r="BL401" s="80"/>
      <c r="BM401" s="102"/>
      <c r="BN401" s="102"/>
      <c r="BO401" s="103"/>
      <c r="BP401" s="104"/>
      <c r="BQ401" s="28"/>
      <c r="BR401" s="102"/>
      <c r="BS401" s="102"/>
      <c r="BT401" s="102"/>
      <c r="BU401" s="102"/>
      <c r="BV401" s="105"/>
      <c r="BW401" s="101"/>
      <c r="BX401" s="105"/>
      <c r="BY401" s="11"/>
      <c r="BZ401" s="106"/>
      <c r="CA401" s="101"/>
      <c r="CB401" s="107"/>
      <c r="CC401" s="11"/>
      <c r="CD401" s="101"/>
      <c r="CE401" s="108"/>
      <c r="CF401" s="8"/>
      <c r="DK401" s="11"/>
      <c r="DL401" s="11"/>
      <c r="DM401" s="11"/>
      <c r="DN401" s="11"/>
      <c r="DO401" s="11"/>
      <c r="DP401" s="11"/>
      <c r="DX401" s="99"/>
      <c r="DY401" s="99"/>
      <c r="DZ401" s="99"/>
      <c r="EH401" s="100"/>
      <c r="EI401" s="100"/>
      <c r="EJ401" s="100"/>
      <c r="EK401" s="101"/>
      <c r="EL401" s="80"/>
      <c r="EM401" s="102"/>
      <c r="EN401" s="102"/>
      <c r="EO401" s="103"/>
      <c r="EP401" s="104"/>
      <c r="EQ401" s="28"/>
      <c r="ER401" s="102"/>
      <c r="ES401" s="102"/>
      <c r="ET401" s="102"/>
      <c r="EU401" s="102"/>
      <c r="EV401" s="105"/>
      <c r="EW401" s="101"/>
      <c r="EX401" s="105"/>
      <c r="EY401" s="11"/>
      <c r="EZ401" s="106"/>
      <c r="FA401" s="101"/>
      <c r="FB401" s="107"/>
      <c r="FC401" s="11"/>
      <c r="FD401" s="101"/>
      <c r="FE401" s="108"/>
      <c r="FF401" s="8"/>
    </row>
    <row r="402" spans="37:162">
      <c r="AK402" s="11"/>
      <c r="AL402" s="11"/>
      <c r="AM402" s="11"/>
      <c r="AN402" s="11"/>
      <c r="AO402" s="11"/>
      <c r="AP402" s="11"/>
      <c r="AX402" s="99"/>
      <c r="AY402" s="99"/>
      <c r="AZ402" s="99"/>
      <c r="BH402" s="100"/>
      <c r="BI402" s="100"/>
      <c r="BJ402" s="100"/>
      <c r="BK402" s="101"/>
      <c r="BL402" s="80"/>
      <c r="BM402" s="102"/>
      <c r="BN402" s="102"/>
      <c r="BO402" s="103"/>
      <c r="BP402" s="104"/>
      <c r="BQ402" s="28"/>
      <c r="BR402" s="102"/>
      <c r="BS402" s="102"/>
      <c r="BT402" s="102"/>
      <c r="BU402" s="102"/>
      <c r="BV402" s="105"/>
      <c r="BW402" s="101"/>
      <c r="BX402" s="105"/>
      <c r="BY402" s="11"/>
      <c r="BZ402" s="106"/>
      <c r="CA402" s="101"/>
      <c r="CB402" s="107"/>
      <c r="CC402" s="11"/>
      <c r="CD402" s="101"/>
      <c r="CE402" s="108"/>
      <c r="CF402" s="8"/>
      <c r="DK402" s="11"/>
      <c r="DL402" s="11"/>
      <c r="DM402" s="11"/>
      <c r="DN402" s="11"/>
      <c r="DO402" s="11"/>
      <c r="DP402" s="11"/>
      <c r="DX402" s="99"/>
      <c r="DY402" s="99"/>
      <c r="DZ402" s="99"/>
      <c r="EH402" s="100"/>
      <c r="EI402" s="100"/>
      <c r="EJ402" s="100"/>
      <c r="EK402" s="101"/>
      <c r="EL402" s="80"/>
      <c r="EM402" s="102"/>
      <c r="EN402" s="102"/>
      <c r="EO402" s="103"/>
      <c r="EP402" s="104"/>
      <c r="EQ402" s="28"/>
      <c r="ER402" s="102"/>
      <c r="ES402" s="102"/>
      <c r="ET402" s="102"/>
      <c r="EU402" s="102"/>
      <c r="EV402" s="105"/>
      <c r="EW402" s="101"/>
      <c r="EX402" s="105"/>
      <c r="EY402" s="11"/>
      <c r="EZ402" s="106"/>
      <c r="FA402" s="101"/>
      <c r="FB402" s="107"/>
      <c r="FC402" s="11"/>
      <c r="FD402" s="101"/>
      <c r="FE402" s="108"/>
      <c r="FF402" s="8"/>
    </row>
    <row r="403" spans="37:162">
      <c r="AK403" s="11"/>
      <c r="AL403" s="11"/>
      <c r="AM403" s="11"/>
      <c r="AN403" s="11"/>
      <c r="AO403" s="11"/>
      <c r="AP403" s="11"/>
      <c r="AX403" s="99"/>
      <c r="AY403" s="99"/>
      <c r="AZ403" s="99"/>
      <c r="BH403" s="100"/>
      <c r="BI403" s="100"/>
      <c r="BJ403" s="100"/>
      <c r="BK403" s="101"/>
      <c r="BL403" s="80"/>
      <c r="BM403" s="102"/>
      <c r="BN403" s="102"/>
      <c r="BO403" s="103"/>
      <c r="BP403" s="104"/>
      <c r="BQ403" s="28"/>
      <c r="BR403" s="102"/>
      <c r="BS403" s="102"/>
      <c r="BT403" s="102"/>
      <c r="BU403" s="102"/>
      <c r="BV403" s="105"/>
      <c r="BW403" s="101"/>
      <c r="BX403" s="105"/>
      <c r="BY403" s="11"/>
      <c r="BZ403" s="106"/>
      <c r="CA403" s="101"/>
      <c r="CB403" s="107"/>
      <c r="CC403" s="11"/>
      <c r="CD403" s="101"/>
      <c r="CE403" s="108"/>
      <c r="CF403" s="8"/>
      <c r="DK403" s="11"/>
      <c r="DL403" s="11"/>
      <c r="DM403" s="11"/>
      <c r="DN403" s="11"/>
      <c r="DO403" s="11"/>
      <c r="DP403" s="11"/>
      <c r="DX403" s="99"/>
      <c r="DY403" s="99"/>
      <c r="DZ403" s="99"/>
      <c r="EH403" s="100"/>
      <c r="EI403" s="100"/>
      <c r="EJ403" s="100"/>
      <c r="EK403" s="101"/>
      <c r="EL403" s="80"/>
      <c r="EM403" s="102"/>
      <c r="EN403" s="102"/>
      <c r="EO403" s="103"/>
      <c r="EP403" s="104"/>
      <c r="EQ403" s="28"/>
      <c r="ER403" s="102"/>
      <c r="ES403" s="102"/>
      <c r="ET403" s="102"/>
      <c r="EU403" s="102"/>
      <c r="EV403" s="105"/>
      <c r="EW403" s="101"/>
      <c r="EX403" s="105"/>
      <c r="EY403" s="11"/>
      <c r="EZ403" s="106"/>
      <c r="FA403" s="101"/>
      <c r="FB403" s="107"/>
      <c r="FC403" s="11"/>
      <c r="FD403" s="101"/>
      <c r="FE403" s="108"/>
      <c r="FF403" s="8"/>
    </row>
    <row r="404" spans="37:162">
      <c r="AK404" s="11"/>
      <c r="AL404" s="11"/>
      <c r="AM404" s="11"/>
      <c r="AN404" s="11"/>
      <c r="AO404" s="11"/>
      <c r="AP404" s="11"/>
      <c r="AX404" s="99"/>
      <c r="AY404" s="99"/>
      <c r="AZ404" s="99"/>
      <c r="BH404" s="100"/>
      <c r="BI404" s="100"/>
      <c r="BJ404" s="100"/>
      <c r="BK404" s="101"/>
      <c r="BL404" s="80"/>
      <c r="BM404" s="102"/>
      <c r="BN404" s="102"/>
      <c r="BO404" s="103"/>
      <c r="BP404" s="104"/>
      <c r="BQ404" s="28"/>
      <c r="BR404" s="102"/>
      <c r="BS404" s="102"/>
      <c r="BT404" s="102"/>
      <c r="BU404" s="102"/>
      <c r="BV404" s="105"/>
      <c r="BW404" s="101"/>
      <c r="BX404" s="105"/>
      <c r="BY404" s="11"/>
      <c r="BZ404" s="106"/>
      <c r="CA404" s="101"/>
      <c r="CB404" s="107"/>
      <c r="CC404" s="11"/>
      <c r="CD404" s="101"/>
      <c r="CE404" s="108"/>
      <c r="CF404" s="8"/>
      <c r="DK404" s="11"/>
      <c r="DL404" s="11"/>
      <c r="DM404" s="11"/>
      <c r="DN404" s="11"/>
      <c r="DO404" s="11"/>
      <c r="DP404" s="11"/>
      <c r="DX404" s="99"/>
      <c r="DY404" s="99"/>
      <c r="DZ404" s="99"/>
      <c r="EH404" s="100"/>
      <c r="EI404" s="100"/>
      <c r="EJ404" s="100"/>
      <c r="EK404" s="101"/>
      <c r="EL404" s="80"/>
      <c r="EM404" s="102"/>
      <c r="EN404" s="102"/>
      <c r="EO404" s="103"/>
      <c r="EP404" s="104"/>
      <c r="EQ404" s="28"/>
      <c r="ER404" s="102"/>
      <c r="ES404" s="102"/>
      <c r="ET404" s="102"/>
      <c r="EU404" s="102"/>
      <c r="EV404" s="105"/>
      <c r="EW404" s="101"/>
      <c r="EX404" s="105"/>
      <c r="EY404" s="11"/>
      <c r="EZ404" s="106"/>
      <c r="FA404" s="101"/>
      <c r="FB404" s="107"/>
      <c r="FC404" s="11"/>
      <c r="FD404" s="101"/>
      <c r="FE404" s="108"/>
      <c r="FF404" s="8"/>
    </row>
    <row r="405" spans="37:162">
      <c r="AK405" s="11"/>
      <c r="AL405" s="11"/>
      <c r="AM405" s="11"/>
      <c r="AN405" s="11"/>
      <c r="AO405" s="11"/>
      <c r="AP405" s="11"/>
      <c r="AX405" s="99"/>
      <c r="AY405" s="99"/>
      <c r="AZ405" s="99"/>
      <c r="BH405" s="100"/>
      <c r="BI405" s="100"/>
      <c r="BJ405" s="100"/>
      <c r="BK405" s="101"/>
      <c r="BL405" s="80"/>
      <c r="BM405" s="102"/>
      <c r="BN405" s="102"/>
      <c r="BO405" s="103"/>
      <c r="BP405" s="104"/>
      <c r="BQ405" s="28"/>
      <c r="BR405" s="102"/>
      <c r="BS405" s="102"/>
      <c r="BT405" s="102"/>
      <c r="BU405" s="102"/>
      <c r="BV405" s="105"/>
      <c r="BW405" s="101"/>
      <c r="BX405" s="105"/>
      <c r="BY405" s="11"/>
      <c r="BZ405" s="106"/>
      <c r="CA405" s="101"/>
      <c r="CB405" s="107"/>
      <c r="CC405" s="11"/>
      <c r="CD405" s="101"/>
      <c r="CE405" s="108"/>
      <c r="CF405" s="8"/>
      <c r="DK405" s="11"/>
      <c r="DL405" s="11"/>
      <c r="DM405" s="11"/>
      <c r="DN405" s="11"/>
      <c r="DO405" s="11"/>
      <c r="DP405" s="11"/>
      <c r="DX405" s="99"/>
      <c r="DY405" s="99"/>
      <c r="DZ405" s="99"/>
      <c r="EH405" s="100"/>
      <c r="EI405" s="100"/>
      <c r="EJ405" s="100"/>
      <c r="EK405" s="101"/>
      <c r="EL405" s="80"/>
      <c r="EM405" s="102"/>
      <c r="EN405" s="102"/>
      <c r="EO405" s="103"/>
      <c r="EP405" s="104"/>
      <c r="EQ405" s="28"/>
      <c r="ER405" s="102"/>
      <c r="ES405" s="102"/>
      <c r="ET405" s="102"/>
      <c r="EU405" s="102"/>
      <c r="EV405" s="105"/>
      <c r="EW405" s="101"/>
      <c r="EX405" s="105"/>
      <c r="EY405" s="11"/>
      <c r="EZ405" s="106"/>
      <c r="FA405" s="101"/>
      <c r="FB405" s="107"/>
      <c r="FC405" s="11"/>
      <c r="FD405" s="101"/>
      <c r="FE405" s="108"/>
      <c r="FF405" s="8"/>
    </row>
    <row r="406" spans="37:162">
      <c r="AK406" s="11"/>
      <c r="AL406" s="11"/>
      <c r="AM406" s="11"/>
      <c r="AN406" s="11"/>
      <c r="AO406" s="11"/>
      <c r="AP406" s="11"/>
      <c r="AX406" s="99"/>
      <c r="AY406" s="99"/>
      <c r="AZ406" s="99"/>
      <c r="BH406" s="100"/>
      <c r="BI406" s="100"/>
      <c r="BJ406" s="100"/>
      <c r="BK406" s="101"/>
      <c r="BL406" s="80"/>
      <c r="BM406" s="102"/>
      <c r="BN406" s="102"/>
      <c r="BO406" s="103"/>
      <c r="BP406" s="104"/>
      <c r="BQ406" s="28"/>
      <c r="BR406" s="102"/>
      <c r="BS406" s="102"/>
      <c r="BT406" s="102"/>
      <c r="BU406" s="102"/>
      <c r="BV406" s="105"/>
      <c r="BW406" s="101"/>
      <c r="BX406" s="105"/>
      <c r="BY406" s="11"/>
      <c r="BZ406" s="106"/>
      <c r="CA406" s="101"/>
      <c r="CB406" s="107"/>
      <c r="CC406" s="11"/>
      <c r="CD406" s="101"/>
      <c r="CE406" s="108"/>
      <c r="CF406" s="8"/>
      <c r="DK406" s="11"/>
      <c r="DL406" s="11"/>
      <c r="DM406" s="11"/>
      <c r="DN406" s="11"/>
      <c r="DO406" s="11"/>
      <c r="DP406" s="11"/>
      <c r="DX406" s="99"/>
      <c r="DY406" s="99"/>
      <c r="DZ406" s="99"/>
      <c r="EH406" s="100"/>
      <c r="EI406" s="100"/>
      <c r="EJ406" s="100"/>
      <c r="EK406" s="101"/>
      <c r="EL406" s="80"/>
      <c r="EM406" s="102"/>
      <c r="EN406" s="102"/>
      <c r="EO406" s="103"/>
      <c r="EP406" s="104"/>
      <c r="EQ406" s="28"/>
      <c r="ER406" s="102"/>
      <c r="ES406" s="102"/>
      <c r="ET406" s="102"/>
      <c r="EU406" s="102"/>
      <c r="EV406" s="105"/>
      <c r="EW406" s="101"/>
      <c r="EX406" s="105"/>
      <c r="EY406" s="11"/>
      <c r="EZ406" s="106"/>
      <c r="FA406" s="101"/>
      <c r="FB406" s="107"/>
      <c r="FC406" s="11"/>
      <c r="FD406" s="101"/>
      <c r="FE406" s="108"/>
      <c r="FF406" s="8"/>
    </row>
    <row r="407" spans="37:162">
      <c r="AK407" s="11"/>
      <c r="AL407" s="11"/>
      <c r="AM407" s="11"/>
      <c r="AN407" s="11"/>
      <c r="AO407" s="11"/>
      <c r="AP407" s="11"/>
      <c r="AX407" s="99"/>
      <c r="AY407" s="99"/>
      <c r="AZ407" s="99"/>
      <c r="BH407" s="100"/>
      <c r="BI407" s="100"/>
      <c r="BJ407" s="100"/>
      <c r="BK407" s="101"/>
      <c r="BL407" s="80"/>
      <c r="BM407" s="102"/>
      <c r="BN407" s="102"/>
      <c r="BO407" s="103"/>
      <c r="BP407" s="104"/>
      <c r="BQ407" s="28"/>
      <c r="BR407" s="102"/>
      <c r="BS407" s="102"/>
      <c r="BT407" s="102"/>
      <c r="BU407" s="102"/>
      <c r="BV407" s="105"/>
      <c r="BW407" s="101"/>
      <c r="BX407" s="105"/>
      <c r="BY407" s="11"/>
      <c r="BZ407" s="106"/>
      <c r="CA407" s="101"/>
      <c r="CB407" s="107"/>
      <c r="CC407" s="11"/>
      <c r="CD407" s="101"/>
      <c r="CE407" s="108"/>
      <c r="CF407" s="8"/>
      <c r="DK407" s="11"/>
      <c r="DL407" s="11"/>
      <c r="DM407" s="11"/>
      <c r="DN407" s="11"/>
      <c r="DO407" s="11"/>
      <c r="DP407" s="11"/>
      <c r="DX407" s="99"/>
      <c r="DY407" s="99"/>
      <c r="DZ407" s="99"/>
      <c r="EH407" s="100"/>
      <c r="EI407" s="100"/>
      <c r="EJ407" s="100"/>
      <c r="EK407" s="101"/>
      <c r="EL407" s="80"/>
      <c r="EM407" s="102"/>
      <c r="EN407" s="102"/>
      <c r="EO407" s="103"/>
      <c r="EP407" s="104"/>
      <c r="EQ407" s="28"/>
      <c r="ER407" s="102"/>
      <c r="ES407" s="102"/>
      <c r="ET407" s="102"/>
      <c r="EU407" s="102"/>
      <c r="EV407" s="105"/>
      <c r="EW407" s="101"/>
      <c r="EX407" s="105"/>
      <c r="EY407" s="11"/>
      <c r="EZ407" s="106"/>
      <c r="FA407" s="101"/>
      <c r="FB407" s="107"/>
      <c r="FC407" s="11"/>
      <c r="FD407" s="101"/>
      <c r="FE407" s="108"/>
      <c r="FF407" s="8"/>
    </row>
    <row r="408" spans="37:162">
      <c r="AK408" s="11"/>
      <c r="AL408" s="11"/>
      <c r="AM408" s="11"/>
      <c r="AN408" s="11"/>
      <c r="AO408" s="11"/>
      <c r="AP408" s="11"/>
      <c r="AX408" s="99"/>
      <c r="AY408" s="99"/>
      <c r="AZ408" s="99"/>
      <c r="BH408" s="100"/>
      <c r="BI408" s="100"/>
      <c r="BJ408" s="100"/>
      <c r="BK408" s="101"/>
      <c r="BL408" s="80"/>
      <c r="BM408" s="102"/>
      <c r="BN408" s="102"/>
      <c r="BO408" s="103"/>
      <c r="BP408" s="104"/>
      <c r="BQ408" s="28"/>
      <c r="BR408" s="102"/>
      <c r="BS408" s="102"/>
      <c r="BT408" s="102"/>
      <c r="BU408" s="102"/>
      <c r="BV408" s="105"/>
      <c r="BW408" s="101"/>
      <c r="BX408" s="105"/>
      <c r="BY408" s="11"/>
      <c r="BZ408" s="106"/>
      <c r="CA408" s="101"/>
      <c r="CB408" s="107"/>
      <c r="CC408" s="11"/>
      <c r="CD408" s="101"/>
      <c r="CE408" s="108"/>
      <c r="CF408" s="8"/>
      <c r="DK408" s="11"/>
      <c r="DL408" s="11"/>
      <c r="DM408" s="11"/>
      <c r="DN408" s="11"/>
      <c r="DO408" s="11"/>
      <c r="DP408" s="11"/>
      <c r="DX408" s="99"/>
      <c r="DY408" s="99"/>
      <c r="DZ408" s="99"/>
      <c r="EH408" s="100"/>
      <c r="EI408" s="100"/>
      <c r="EJ408" s="100"/>
      <c r="EK408" s="101"/>
      <c r="EL408" s="80"/>
      <c r="EM408" s="102"/>
      <c r="EN408" s="102"/>
      <c r="EO408" s="103"/>
      <c r="EP408" s="104"/>
      <c r="EQ408" s="28"/>
      <c r="ER408" s="102"/>
      <c r="ES408" s="102"/>
      <c r="ET408" s="102"/>
      <c r="EU408" s="102"/>
      <c r="EV408" s="105"/>
      <c r="EW408" s="101"/>
      <c r="EX408" s="105"/>
      <c r="EY408" s="11"/>
      <c r="EZ408" s="106"/>
      <c r="FA408" s="101"/>
      <c r="FB408" s="107"/>
      <c r="FC408" s="11"/>
      <c r="FD408" s="101"/>
      <c r="FE408" s="108"/>
      <c r="FF408" s="8"/>
    </row>
    <row r="409" spans="37:162">
      <c r="AK409" s="11"/>
      <c r="AL409" s="11"/>
      <c r="AM409" s="11"/>
      <c r="AN409" s="11"/>
      <c r="AO409" s="11"/>
      <c r="AP409" s="11"/>
      <c r="AX409" s="99"/>
      <c r="AY409" s="99"/>
      <c r="AZ409" s="99"/>
      <c r="BH409" s="100"/>
      <c r="BI409" s="100"/>
      <c r="BJ409" s="100"/>
      <c r="BK409" s="101"/>
      <c r="BL409" s="80"/>
      <c r="BM409" s="102"/>
      <c r="BN409" s="102"/>
      <c r="BO409" s="103"/>
      <c r="BP409" s="104"/>
      <c r="BQ409" s="28"/>
      <c r="BR409" s="102"/>
      <c r="BS409" s="102"/>
      <c r="BT409" s="102"/>
      <c r="BU409" s="102"/>
      <c r="BV409" s="105"/>
      <c r="BW409" s="101"/>
      <c r="BX409" s="105"/>
      <c r="BY409" s="11"/>
      <c r="BZ409" s="106"/>
      <c r="CA409" s="101"/>
      <c r="CB409" s="107"/>
      <c r="CC409" s="11"/>
      <c r="CD409" s="101"/>
      <c r="CE409" s="108"/>
      <c r="CF409" s="8"/>
      <c r="DK409" s="11"/>
      <c r="DL409" s="11"/>
      <c r="DM409" s="11"/>
      <c r="DN409" s="11"/>
      <c r="DO409" s="11"/>
      <c r="DP409" s="11"/>
      <c r="DX409" s="99"/>
      <c r="DY409" s="99"/>
      <c r="DZ409" s="99"/>
      <c r="EH409" s="100"/>
      <c r="EI409" s="100"/>
      <c r="EJ409" s="100"/>
      <c r="EK409" s="101"/>
      <c r="EL409" s="80"/>
      <c r="EM409" s="102"/>
      <c r="EN409" s="102"/>
      <c r="EO409" s="103"/>
      <c r="EP409" s="104"/>
      <c r="EQ409" s="28"/>
      <c r="ER409" s="102"/>
      <c r="ES409" s="102"/>
      <c r="ET409" s="102"/>
      <c r="EU409" s="102"/>
      <c r="EV409" s="105"/>
      <c r="EW409" s="101"/>
      <c r="EX409" s="105"/>
      <c r="EY409" s="11"/>
      <c r="EZ409" s="106"/>
      <c r="FA409" s="101"/>
      <c r="FB409" s="107"/>
      <c r="FC409" s="11"/>
      <c r="FD409" s="101"/>
      <c r="FE409" s="108"/>
      <c r="FF409" s="8"/>
    </row>
    <row r="410" spans="37:162">
      <c r="AK410" s="11"/>
      <c r="AL410" s="11"/>
      <c r="AM410" s="11"/>
      <c r="AN410" s="11"/>
      <c r="AO410" s="11"/>
      <c r="AP410" s="11"/>
      <c r="AX410" s="99"/>
      <c r="AY410" s="99"/>
      <c r="AZ410" s="99"/>
      <c r="BH410" s="100"/>
      <c r="BI410" s="100"/>
      <c r="BJ410" s="100"/>
      <c r="BK410" s="101"/>
      <c r="BL410" s="80"/>
      <c r="BM410" s="102"/>
      <c r="BN410" s="102"/>
      <c r="BO410" s="103"/>
      <c r="BP410" s="104"/>
      <c r="BQ410" s="28"/>
      <c r="BR410" s="102"/>
      <c r="BS410" s="102"/>
      <c r="BT410" s="102"/>
      <c r="BU410" s="102"/>
      <c r="BV410" s="105"/>
      <c r="BW410" s="101"/>
      <c r="BX410" s="105"/>
      <c r="BY410" s="11"/>
      <c r="BZ410" s="106"/>
      <c r="CA410" s="101"/>
      <c r="CB410" s="107"/>
      <c r="CC410" s="11"/>
      <c r="CD410" s="101"/>
      <c r="CE410" s="108"/>
      <c r="CF410" s="8"/>
      <c r="DK410" s="11"/>
      <c r="DL410" s="11"/>
      <c r="DM410" s="11"/>
      <c r="DN410" s="11"/>
      <c r="DO410" s="11"/>
      <c r="DP410" s="11"/>
      <c r="DX410" s="99"/>
      <c r="DY410" s="99"/>
      <c r="DZ410" s="99"/>
      <c r="EH410" s="100"/>
      <c r="EI410" s="100"/>
      <c r="EJ410" s="100"/>
      <c r="EK410" s="101"/>
      <c r="EL410" s="80"/>
      <c r="EM410" s="102"/>
      <c r="EN410" s="102"/>
      <c r="EO410" s="103"/>
      <c r="EP410" s="104"/>
      <c r="EQ410" s="28"/>
      <c r="ER410" s="102"/>
      <c r="ES410" s="102"/>
      <c r="ET410" s="102"/>
      <c r="EU410" s="102"/>
      <c r="EV410" s="105"/>
      <c r="EW410" s="101"/>
      <c r="EX410" s="105"/>
      <c r="EY410" s="11"/>
      <c r="EZ410" s="106"/>
      <c r="FA410" s="101"/>
      <c r="FB410" s="107"/>
      <c r="FC410" s="11"/>
      <c r="FD410" s="101"/>
      <c r="FE410" s="108"/>
      <c r="FF410" s="8"/>
    </row>
    <row r="411" spans="37:162">
      <c r="AK411" s="11"/>
      <c r="AL411" s="11"/>
      <c r="AM411" s="11"/>
      <c r="AN411" s="11"/>
      <c r="AO411" s="11"/>
      <c r="AP411" s="11"/>
      <c r="AX411" s="99"/>
      <c r="AY411" s="99"/>
      <c r="AZ411" s="99"/>
      <c r="BH411" s="100"/>
      <c r="BI411" s="100"/>
      <c r="BJ411" s="100"/>
      <c r="BK411" s="101"/>
      <c r="BL411" s="80"/>
      <c r="BM411" s="102"/>
      <c r="BN411" s="102"/>
      <c r="BO411" s="103"/>
      <c r="BP411" s="104"/>
      <c r="BQ411" s="28"/>
      <c r="BR411" s="102"/>
      <c r="BS411" s="102"/>
      <c r="BT411" s="102"/>
      <c r="BU411" s="102"/>
      <c r="BV411" s="105"/>
      <c r="BW411" s="101"/>
      <c r="BX411" s="105"/>
      <c r="BY411" s="11"/>
      <c r="BZ411" s="106"/>
      <c r="CA411" s="101"/>
      <c r="CB411" s="107"/>
      <c r="CC411" s="11"/>
      <c r="CD411" s="101"/>
      <c r="CE411" s="108"/>
      <c r="CF411" s="8"/>
      <c r="DK411" s="11"/>
      <c r="DL411" s="11"/>
      <c r="DM411" s="11"/>
      <c r="DN411" s="11"/>
      <c r="DO411" s="11"/>
      <c r="DP411" s="11"/>
      <c r="DX411" s="99"/>
      <c r="DY411" s="99"/>
      <c r="DZ411" s="99"/>
      <c r="EH411" s="100"/>
      <c r="EI411" s="100"/>
      <c r="EJ411" s="100"/>
      <c r="EK411" s="101"/>
      <c r="EL411" s="80"/>
      <c r="EM411" s="102"/>
      <c r="EN411" s="102"/>
      <c r="EO411" s="103"/>
      <c r="EP411" s="104"/>
      <c r="EQ411" s="28"/>
      <c r="ER411" s="102"/>
      <c r="ES411" s="102"/>
      <c r="ET411" s="102"/>
      <c r="EU411" s="102"/>
      <c r="EV411" s="105"/>
      <c r="EW411" s="101"/>
      <c r="EX411" s="105"/>
      <c r="EY411" s="11"/>
      <c r="EZ411" s="106"/>
      <c r="FA411" s="101"/>
      <c r="FB411" s="107"/>
      <c r="FC411" s="11"/>
      <c r="FD411" s="101"/>
      <c r="FE411" s="108"/>
      <c r="FF411" s="8"/>
    </row>
    <row r="412" spans="37:162">
      <c r="AK412" s="11"/>
      <c r="AL412" s="11"/>
      <c r="AM412" s="11"/>
      <c r="AN412" s="11"/>
      <c r="AO412" s="11"/>
      <c r="AP412" s="11"/>
      <c r="AX412" s="99"/>
      <c r="AY412" s="99"/>
      <c r="AZ412" s="99"/>
      <c r="BH412" s="100"/>
      <c r="BI412" s="100"/>
      <c r="BJ412" s="100"/>
      <c r="BK412" s="101"/>
      <c r="BL412" s="80"/>
      <c r="BM412" s="102"/>
      <c r="BN412" s="102"/>
      <c r="BO412" s="103"/>
      <c r="BP412" s="104"/>
      <c r="BQ412" s="28"/>
      <c r="BR412" s="102"/>
      <c r="BS412" s="102"/>
      <c r="BT412" s="102"/>
      <c r="BU412" s="102"/>
      <c r="BV412" s="105"/>
      <c r="BW412" s="101"/>
      <c r="BX412" s="105"/>
      <c r="BY412" s="11"/>
      <c r="BZ412" s="106"/>
      <c r="CA412" s="101"/>
      <c r="CB412" s="107"/>
      <c r="CC412" s="11"/>
      <c r="CD412" s="101"/>
      <c r="CE412" s="108"/>
      <c r="CF412" s="8"/>
      <c r="DK412" s="11"/>
      <c r="DL412" s="11"/>
      <c r="DM412" s="11"/>
      <c r="DN412" s="11"/>
      <c r="DO412" s="11"/>
      <c r="DP412" s="11"/>
      <c r="DX412" s="99"/>
      <c r="DY412" s="99"/>
      <c r="DZ412" s="99"/>
      <c r="EH412" s="100"/>
      <c r="EI412" s="100"/>
      <c r="EJ412" s="100"/>
      <c r="EK412" s="101"/>
      <c r="EL412" s="80"/>
      <c r="EM412" s="102"/>
      <c r="EN412" s="102"/>
      <c r="EO412" s="103"/>
      <c r="EP412" s="104"/>
      <c r="EQ412" s="28"/>
      <c r="ER412" s="102"/>
      <c r="ES412" s="102"/>
      <c r="ET412" s="102"/>
      <c r="EU412" s="102"/>
      <c r="EV412" s="105"/>
      <c r="EW412" s="101"/>
      <c r="EX412" s="105"/>
      <c r="EY412" s="11"/>
      <c r="EZ412" s="106"/>
      <c r="FA412" s="101"/>
      <c r="FB412" s="107"/>
      <c r="FC412" s="11"/>
      <c r="FD412" s="101"/>
      <c r="FE412" s="108"/>
      <c r="FF412" s="8"/>
    </row>
    <row r="413" spans="37:162">
      <c r="AK413" s="11"/>
      <c r="AL413" s="11"/>
      <c r="AM413" s="11"/>
      <c r="AN413" s="11"/>
      <c r="AO413" s="11"/>
      <c r="AP413" s="11"/>
      <c r="AX413" s="99"/>
      <c r="AY413" s="99"/>
      <c r="AZ413" s="99"/>
      <c r="BH413" s="100"/>
      <c r="BI413" s="100"/>
      <c r="BJ413" s="100"/>
      <c r="BK413" s="101"/>
      <c r="BL413" s="80"/>
      <c r="BM413" s="102"/>
      <c r="BN413" s="102"/>
      <c r="BO413" s="103"/>
      <c r="BP413" s="104"/>
      <c r="BQ413" s="28"/>
      <c r="BR413" s="102"/>
      <c r="BS413" s="102"/>
      <c r="BT413" s="102"/>
      <c r="BU413" s="102"/>
      <c r="BV413" s="105"/>
      <c r="BW413" s="101"/>
      <c r="BX413" s="105"/>
      <c r="BY413" s="11"/>
      <c r="BZ413" s="106"/>
      <c r="CA413" s="101"/>
      <c r="CB413" s="107"/>
      <c r="CC413" s="11"/>
      <c r="CD413" s="101"/>
      <c r="CE413" s="108"/>
      <c r="CF413" s="8"/>
      <c r="DK413" s="11"/>
      <c r="DL413" s="11"/>
      <c r="DM413" s="11"/>
      <c r="DN413" s="11"/>
      <c r="DO413" s="11"/>
      <c r="DP413" s="11"/>
      <c r="DX413" s="99"/>
      <c r="DY413" s="99"/>
      <c r="DZ413" s="99"/>
      <c r="EH413" s="100"/>
      <c r="EI413" s="100"/>
      <c r="EJ413" s="100"/>
      <c r="EK413" s="101"/>
      <c r="EL413" s="80"/>
      <c r="EM413" s="102"/>
      <c r="EN413" s="102"/>
      <c r="EO413" s="103"/>
      <c r="EP413" s="104"/>
      <c r="EQ413" s="28"/>
      <c r="ER413" s="102"/>
      <c r="ES413" s="102"/>
      <c r="ET413" s="102"/>
      <c r="EU413" s="102"/>
      <c r="EV413" s="105"/>
      <c r="EW413" s="101"/>
      <c r="EX413" s="105"/>
      <c r="EY413" s="11"/>
      <c r="EZ413" s="106"/>
      <c r="FA413" s="101"/>
      <c r="FB413" s="107"/>
      <c r="FC413" s="11"/>
      <c r="FD413" s="101"/>
      <c r="FE413" s="108"/>
      <c r="FF413" s="8"/>
    </row>
    <row r="414" spans="37:162">
      <c r="AK414" s="11"/>
      <c r="AL414" s="11"/>
      <c r="AM414" s="11"/>
      <c r="AN414" s="11"/>
      <c r="AO414" s="11"/>
      <c r="AP414" s="11"/>
      <c r="AX414" s="99"/>
      <c r="AY414" s="99"/>
      <c r="AZ414" s="99"/>
      <c r="BH414" s="100"/>
      <c r="BI414" s="100"/>
      <c r="BJ414" s="100"/>
      <c r="BK414" s="101"/>
      <c r="BL414" s="80"/>
      <c r="BM414" s="102"/>
      <c r="BN414" s="102"/>
      <c r="BO414" s="103"/>
      <c r="BP414" s="104"/>
      <c r="BQ414" s="28"/>
      <c r="BR414" s="102"/>
      <c r="BS414" s="102"/>
      <c r="BT414" s="102"/>
      <c r="BU414" s="102"/>
      <c r="BV414" s="105"/>
      <c r="BW414" s="101"/>
      <c r="BX414" s="105"/>
      <c r="BY414" s="11"/>
      <c r="BZ414" s="106"/>
      <c r="CA414" s="101"/>
      <c r="CB414" s="107"/>
      <c r="CC414" s="11"/>
      <c r="CD414" s="101"/>
      <c r="CE414" s="108"/>
      <c r="CF414" s="8"/>
      <c r="DK414" s="11"/>
      <c r="DL414" s="11"/>
      <c r="DM414" s="11"/>
      <c r="DN414" s="11"/>
      <c r="DO414" s="11"/>
      <c r="DP414" s="11"/>
      <c r="DX414" s="99"/>
      <c r="DY414" s="99"/>
      <c r="DZ414" s="99"/>
      <c r="EH414" s="100"/>
      <c r="EI414" s="100"/>
      <c r="EJ414" s="100"/>
      <c r="EK414" s="101"/>
      <c r="EL414" s="80"/>
      <c r="EM414" s="102"/>
      <c r="EN414" s="102"/>
      <c r="EO414" s="103"/>
      <c r="EP414" s="104"/>
      <c r="EQ414" s="28"/>
      <c r="ER414" s="102"/>
      <c r="ES414" s="102"/>
      <c r="ET414" s="102"/>
      <c r="EU414" s="102"/>
      <c r="EV414" s="105"/>
      <c r="EW414" s="101"/>
      <c r="EX414" s="105"/>
      <c r="EY414" s="11"/>
      <c r="EZ414" s="106"/>
      <c r="FA414" s="101"/>
      <c r="FB414" s="107"/>
      <c r="FC414" s="11"/>
      <c r="FD414" s="101"/>
      <c r="FE414" s="108"/>
      <c r="FF414" s="8"/>
    </row>
    <row r="415" spans="37:162">
      <c r="AK415" s="11"/>
      <c r="AL415" s="11"/>
      <c r="AM415" s="11"/>
      <c r="AN415" s="11"/>
      <c r="AO415" s="11"/>
      <c r="AP415" s="11"/>
      <c r="AX415" s="99"/>
      <c r="AY415" s="99"/>
      <c r="AZ415" s="99"/>
      <c r="BH415" s="100"/>
      <c r="BI415" s="100"/>
      <c r="BJ415" s="100"/>
      <c r="BK415" s="101"/>
      <c r="BL415" s="80"/>
      <c r="BM415" s="102"/>
      <c r="BN415" s="102"/>
      <c r="BO415" s="103"/>
      <c r="BP415" s="104"/>
      <c r="BQ415" s="28"/>
      <c r="BR415" s="102"/>
      <c r="BS415" s="102"/>
      <c r="BT415" s="102"/>
      <c r="BU415" s="102"/>
      <c r="BV415" s="105"/>
      <c r="BW415" s="101"/>
      <c r="BX415" s="105"/>
      <c r="BY415" s="11"/>
      <c r="BZ415" s="106"/>
      <c r="CA415" s="101"/>
      <c r="CB415" s="107"/>
      <c r="CC415" s="11"/>
      <c r="CD415" s="101"/>
      <c r="CE415" s="108"/>
      <c r="CF415" s="8"/>
      <c r="DK415" s="11"/>
      <c r="DL415" s="11"/>
      <c r="DM415" s="11"/>
      <c r="DN415" s="11"/>
      <c r="DO415" s="11"/>
      <c r="DP415" s="11"/>
      <c r="DX415" s="99"/>
      <c r="DY415" s="99"/>
      <c r="DZ415" s="99"/>
      <c r="EH415" s="100"/>
      <c r="EI415" s="100"/>
      <c r="EJ415" s="100"/>
      <c r="EK415" s="101"/>
      <c r="EL415" s="80"/>
      <c r="EM415" s="102"/>
      <c r="EN415" s="102"/>
      <c r="EO415" s="103"/>
      <c r="EP415" s="104"/>
      <c r="EQ415" s="28"/>
      <c r="ER415" s="102"/>
      <c r="ES415" s="102"/>
      <c r="ET415" s="102"/>
      <c r="EU415" s="102"/>
      <c r="EV415" s="105"/>
      <c r="EW415" s="101"/>
      <c r="EX415" s="105"/>
      <c r="EY415" s="11"/>
      <c r="EZ415" s="106"/>
      <c r="FA415" s="101"/>
      <c r="FB415" s="107"/>
      <c r="FC415" s="11"/>
      <c r="FD415" s="101"/>
      <c r="FE415" s="108"/>
      <c r="FF415" s="8"/>
    </row>
    <row r="416" spans="37:162">
      <c r="AK416" s="11"/>
      <c r="AL416" s="11"/>
      <c r="AM416" s="11"/>
      <c r="AN416" s="11"/>
      <c r="AO416" s="11"/>
      <c r="AP416" s="11"/>
      <c r="AX416" s="99"/>
      <c r="AY416" s="99"/>
      <c r="AZ416" s="99"/>
      <c r="BH416" s="100"/>
      <c r="BI416" s="100"/>
      <c r="BJ416" s="100"/>
      <c r="BK416" s="101"/>
      <c r="BL416" s="80"/>
      <c r="BM416" s="102"/>
      <c r="BN416" s="102"/>
      <c r="BO416" s="103"/>
      <c r="BP416" s="104"/>
      <c r="BQ416" s="28"/>
      <c r="BR416" s="102"/>
      <c r="BS416" s="102"/>
      <c r="BT416" s="102"/>
      <c r="BU416" s="102"/>
      <c r="BV416" s="105"/>
      <c r="BW416" s="101"/>
      <c r="BX416" s="105"/>
      <c r="BY416" s="11"/>
      <c r="BZ416" s="106"/>
      <c r="CA416" s="101"/>
      <c r="CB416" s="107"/>
      <c r="CC416" s="11"/>
      <c r="CD416" s="101"/>
      <c r="CE416" s="108"/>
      <c r="CF416" s="8"/>
      <c r="DK416" s="11"/>
      <c r="DL416" s="11"/>
      <c r="DM416" s="11"/>
      <c r="DN416" s="11"/>
      <c r="DO416" s="11"/>
      <c r="DP416" s="11"/>
      <c r="DX416" s="99"/>
      <c r="DY416" s="99"/>
      <c r="DZ416" s="99"/>
      <c r="EH416" s="100"/>
      <c r="EI416" s="100"/>
      <c r="EJ416" s="100"/>
      <c r="EK416" s="101"/>
      <c r="EL416" s="80"/>
      <c r="EM416" s="102"/>
      <c r="EN416" s="102"/>
      <c r="EO416" s="103"/>
      <c r="EP416" s="104"/>
      <c r="EQ416" s="28"/>
      <c r="ER416" s="102"/>
      <c r="ES416" s="102"/>
      <c r="ET416" s="102"/>
      <c r="EU416" s="102"/>
      <c r="EV416" s="105"/>
      <c r="EW416" s="101"/>
      <c r="EX416" s="105"/>
      <c r="EY416" s="11"/>
      <c r="EZ416" s="106"/>
      <c r="FA416" s="101"/>
      <c r="FB416" s="107"/>
      <c r="FC416" s="11"/>
      <c r="FD416" s="101"/>
      <c r="FE416" s="108"/>
      <c r="FF416" s="8"/>
    </row>
    <row r="417" spans="37:162">
      <c r="AK417" s="11"/>
      <c r="AL417" s="11"/>
      <c r="AM417" s="11"/>
      <c r="AN417" s="11"/>
      <c r="AO417" s="11"/>
      <c r="AP417" s="11"/>
      <c r="AX417" s="99"/>
      <c r="AY417" s="99"/>
      <c r="AZ417" s="99"/>
      <c r="BH417" s="100"/>
      <c r="BI417" s="100"/>
      <c r="BJ417" s="100"/>
      <c r="BK417" s="101"/>
      <c r="BL417" s="80"/>
      <c r="BM417" s="102"/>
      <c r="BN417" s="102"/>
      <c r="BO417" s="103"/>
      <c r="BP417" s="104"/>
      <c r="BQ417" s="28"/>
      <c r="BR417" s="102"/>
      <c r="BS417" s="102"/>
      <c r="BT417" s="102"/>
      <c r="BU417" s="102"/>
      <c r="BV417" s="105"/>
      <c r="BW417" s="101"/>
      <c r="BX417" s="105"/>
      <c r="BY417" s="11"/>
      <c r="BZ417" s="106"/>
      <c r="CA417" s="101"/>
      <c r="CB417" s="107"/>
      <c r="CC417" s="11"/>
      <c r="CD417" s="101"/>
      <c r="CE417" s="108"/>
      <c r="CF417" s="8"/>
      <c r="DK417" s="11"/>
      <c r="DL417" s="11"/>
      <c r="DM417" s="11"/>
      <c r="DN417" s="11"/>
      <c r="DO417" s="11"/>
      <c r="DP417" s="11"/>
      <c r="DX417" s="99"/>
      <c r="DY417" s="99"/>
      <c r="DZ417" s="99"/>
      <c r="EH417" s="100"/>
      <c r="EI417" s="100"/>
      <c r="EJ417" s="100"/>
      <c r="EK417" s="101"/>
      <c r="EL417" s="80"/>
      <c r="EM417" s="102"/>
      <c r="EN417" s="102"/>
      <c r="EO417" s="103"/>
      <c r="EP417" s="104"/>
      <c r="EQ417" s="28"/>
      <c r="ER417" s="102"/>
      <c r="ES417" s="102"/>
      <c r="ET417" s="102"/>
      <c r="EU417" s="102"/>
      <c r="EV417" s="105"/>
      <c r="EW417" s="101"/>
      <c r="EX417" s="105"/>
      <c r="EY417" s="11"/>
      <c r="EZ417" s="106"/>
      <c r="FA417" s="101"/>
      <c r="FB417" s="107"/>
      <c r="FC417" s="11"/>
      <c r="FD417" s="101"/>
      <c r="FE417" s="108"/>
      <c r="FF417" s="8"/>
    </row>
    <row r="418" spans="37:162">
      <c r="AK418" s="11"/>
      <c r="AL418" s="11"/>
      <c r="AM418" s="11"/>
      <c r="AN418" s="11"/>
      <c r="AO418" s="11"/>
      <c r="AP418" s="11"/>
      <c r="AX418" s="99"/>
      <c r="AY418" s="99"/>
      <c r="AZ418" s="99"/>
      <c r="BH418" s="100"/>
      <c r="BI418" s="100"/>
      <c r="BJ418" s="100"/>
      <c r="BK418" s="101"/>
      <c r="BL418" s="80"/>
      <c r="BM418" s="102"/>
      <c r="BN418" s="102"/>
      <c r="BO418" s="103"/>
      <c r="BP418" s="104"/>
      <c r="BQ418" s="28"/>
      <c r="BR418" s="102"/>
      <c r="BS418" s="102"/>
      <c r="BT418" s="102"/>
      <c r="BU418" s="102"/>
      <c r="BV418" s="105"/>
      <c r="BW418" s="101"/>
      <c r="BX418" s="105"/>
      <c r="BY418" s="11"/>
      <c r="BZ418" s="106"/>
      <c r="CA418" s="101"/>
      <c r="CB418" s="107"/>
      <c r="CC418" s="11"/>
      <c r="CD418" s="101"/>
      <c r="CE418" s="108"/>
      <c r="CF418" s="8"/>
      <c r="DK418" s="11"/>
      <c r="DL418" s="11"/>
      <c r="DM418" s="11"/>
      <c r="DN418" s="11"/>
      <c r="DO418" s="11"/>
      <c r="DP418" s="11"/>
      <c r="DX418" s="99"/>
      <c r="DY418" s="99"/>
      <c r="DZ418" s="99"/>
      <c r="EH418" s="100"/>
      <c r="EI418" s="100"/>
      <c r="EJ418" s="100"/>
      <c r="EK418" s="101"/>
      <c r="EL418" s="80"/>
      <c r="EM418" s="102"/>
      <c r="EN418" s="102"/>
      <c r="EO418" s="103"/>
      <c r="EP418" s="104"/>
      <c r="EQ418" s="28"/>
      <c r="ER418" s="102"/>
      <c r="ES418" s="102"/>
      <c r="ET418" s="102"/>
      <c r="EU418" s="102"/>
      <c r="EV418" s="105"/>
      <c r="EW418" s="101"/>
      <c r="EX418" s="105"/>
      <c r="EY418" s="11"/>
      <c r="EZ418" s="106"/>
      <c r="FA418" s="101"/>
      <c r="FB418" s="107"/>
      <c r="FC418" s="11"/>
      <c r="FD418" s="101"/>
      <c r="FE418" s="108"/>
      <c r="FF418" s="8"/>
    </row>
    <row r="419" spans="37:162">
      <c r="AK419" s="11"/>
      <c r="AL419" s="11"/>
      <c r="AM419" s="11"/>
      <c r="AN419" s="11"/>
      <c r="AO419" s="11"/>
      <c r="AP419" s="11"/>
      <c r="AX419" s="99"/>
      <c r="AY419" s="99"/>
      <c r="AZ419" s="99"/>
      <c r="BH419" s="100"/>
      <c r="BI419" s="100"/>
      <c r="BJ419" s="100"/>
      <c r="BK419" s="101"/>
      <c r="BL419" s="80"/>
      <c r="BM419" s="102"/>
      <c r="BN419" s="102"/>
      <c r="BO419" s="103"/>
      <c r="BP419" s="104"/>
      <c r="BQ419" s="28"/>
      <c r="BR419" s="102"/>
      <c r="BS419" s="102"/>
      <c r="BT419" s="102"/>
      <c r="BU419" s="102"/>
      <c r="BV419" s="105"/>
      <c r="BW419" s="101"/>
      <c r="BX419" s="105"/>
      <c r="BY419" s="11"/>
      <c r="BZ419" s="106"/>
      <c r="CA419" s="101"/>
      <c r="CB419" s="107"/>
      <c r="CC419" s="11"/>
      <c r="CD419" s="101"/>
      <c r="CE419" s="108"/>
      <c r="CF419" s="8"/>
      <c r="DK419" s="11"/>
      <c r="DL419" s="11"/>
      <c r="DM419" s="11"/>
      <c r="DN419" s="11"/>
      <c r="DO419" s="11"/>
      <c r="DP419" s="11"/>
      <c r="DX419" s="99"/>
      <c r="DY419" s="99"/>
      <c r="DZ419" s="99"/>
      <c r="EH419" s="100"/>
      <c r="EI419" s="100"/>
      <c r="EJ419" s="100"/>
      <c r="EK419" s="101"/>
      <c r="EL419" s="80"/>
      <c r="EM419" s="102"/>
      <c r="EN419" s="102"/>
      <c r="EO419" s="103"/>
      <c r="EP419" s="104"/>
      <c r="EQ419" s="28"/>
      <c r="ER419" s="102"/>
      <c r="ES419" s="102"/>
      <c r="ET419" s="102"/>
      <c r="EU419" s="102"/>
      <c r="EV419" s="105"/>
      <c r="EW419" s="101"/>
      <c r="EX419" s="105"/>
      <c r="EY419" s="11"/>
      <c r="EZ419" s="106"/>
      <c r="FA419" s="101"/>
      <c r="FB419" s="107"/>
      <c r="FC419" s="11"/>
      <c r="FD419" s="101"/>
      <c r="FE419" s="108"/>
      <c r="FF419" s="8"/>
    </row>
    <row r="420" spans="37:162">
      <c r="AK420" s="11"/>
      <c r="AL420" s="11"/>
      <c r="AM420" s="11"/>
      <c r="AN420" s="11"/>
      <c r="AO420" s="11"/>
      <c r="AP420" s="11"/>
      <c r="AX420" s="99"/>
      <c r="AY420" s="99"/>
      <c r="AZ420" s="99"/>
      <c r="BH420" s="100"/>
      <c r="BI420" s="100"/>
      <c r="BJ420" s="100"/>
      <c r="BK420" s="101"/>
      <c r="BL420" s="80"/>
      <c r="BM420" s="102"/>
      <c r="BN420" s="102"/>
      <c r="BO420" s="103"/>
      <c r="BP420" s="104"/>
      <c r="BQ420" s="28"/>
      <c r="BR420" s="102"/>
      <c r="BS420" s="102"/>
      <c r="BT420" s="102"/>
      <c r="BU420" s="102"/>
      <c r="BV420" s="105"/>
      <c r="BW420" s="101"/>
      <c r="BX420" s="105"/>
      <c r="BY420" s="11"/>
      <c r="BZ420" s="106"/>
      <c r="CA420" s="101"/>
      <c r="CB420" s="107"/>
      <c r="CC420" s="11"/>
      <c r="CD420" s="101"/>
      <c r="CE420" s="108"/>
      <c r="CF420" s="8"/>
      <c r="DK420" s="11"/>
      <c r="DL420" s="11"/>
      <c r="DM420" s="11"/>
      <c r="DN420" s="11"/>
      <c r="DO420" s="11"/>
      <c r="DP420" s="11"/>
      <c r="DX420" s="99"/>
      <c r="DY420" s="99"/>
      <c r="DZ420" s="99"/>
      <c r="EH420" s="100"/>
      <c r="EI420" s="100"/>
      <c r="EJ420" s="100"/>
      <c r="EK420" s="101"/>
      <c r="EL420" s="80"/>
      <c r="EM420" s="102"/>
      <c r="EN420" s="102"/>
      <c r="EO420" s="103"/>
      <c r="EP420" s="104"/>
      <c r="EQ420" s="28"/>
      <c r="ER420" s="102"/>
      <c r="ES420" s="102"/>
      <c r="ET420" s="102"/>
      <c r="EU420" s="102"/>
      <c r="EV420" s="105"/>
      <c r="EW420" s="101"/>
      <c r="EX420" s="105"/>
      <c r="EY420" s="11"/>
      <c r="EZ420" s="106"/>
      <c r="FA420" s="101"/>
      <c r="FB420" s="107"/>
      <c r="FC420" s="11"/>
      <c r="FD420" s="101"/>
      <c r="FE420" s="108"/>
      <c r="FF420" s="8"/>
    </row>
    <row r="421" spans="37:162">
      <c r="AK421" s="11"/>
      <c r="AL421" s="11"/>
      <c r="AM421" s="11"/>
      <c r="AN421" s="11"/>
      <c r="AO421" s="11"/>
      <c r="AP421" s="11"/>
      <c r="AX421" s="99"/>
      <c r="AY421" s="99"/>
      <c r="AZ421" s="99"/>
      <c r="BH421" s="100"/>
      <c r="BI421" s="100"/>
      <c r="BJ421" s="100"/>
      <c r="BK421" s="101"/>
      <c r="BL421" s="80"/>
      <c r="BM421" s="102"/>
      <c r="BN421" s="102"/>
      <c r="BO421" s="103"/>
      <c r="BP421" s="104"/>
      <c r="BQ421" s="28"/>
      <c r="BR421" s="102"/>
      <c r="BS421" s="102"/>
      <c r="BT421" s="102"/>
      <c r="BU421" s="102"/>
      <c r="BV421" s="105"/>
      <c r="BW421" s="101"/>
      <c r="BX421" s="105"/>
      <c r="BY421" s="11"/>
      <c r="BZ421" s="106"/>
      <c r="CA421" s="101"/>
      <c r="CB421" s="107"/>
      <c r="CC421" s="11"/>
      <c r="CD421" s="101"/>
      <c r="CE421" s="108"/>
      <c r="CF421" s="8"/>
      <c r="DK421" s="11"/>
      <c r="DL421" s="11"/>
      <c r="DM421" s="11"/>
      <c r="DN421" s="11"/>
      <c r="DO421" s="11"/>
      <c r="DP421" s="11"/>
      <c r="DX421" s="99"/>
      <c r="DY421" s="99"/>
      <c r="DZ421" s="99"/>
      <c r="EH421" s="100"/>
      <c r="EI421" s="100"/>
      <c r="EJ421" s="100"/>
      <c r="EK421" s="101"/>
      <c r="EL421" s="80"/>
      <c r="EM421" s="102"/>
      <c r="EN421" s="102"/>
      <c r="EO421" s="103"/>
      <c r="EP421" s="104"/>
      <c r="EQ421" s="28"/>
      <c r="ER421" s="102"/>
      <c r="ES421" s="102"/>
      <c r="ET421" s="102"/>
      <c r="EU421" s="102"/>
      <c r="EV421" s="105"/>
      <c r="EW421" s="101"/>
      <c r="EX421" s="105"/>
      <c r="EY421" s="11"/>
      <c r="EZ421" s="106"/>
      <c r="FA421" s="101"/>
      <c r="FB421" s="107"/>
      <c r="FC421" s="11"/>
      <c r="FD421" s="101"/>
      <c r="FE421" s="108"/>
      <c r="FF421" s="8"/>
    </row>
    <row r="422" spans="37:162">
      <c r="AK422" s="11"/>
      <c r="AL422" s="11"/>
      <c r="AM422" s="11"/>
      <c r="AN422" s="11"/>
      <c r="AO422" s="11"/>
      <c r="AP422" s="11"/>
      <c r="AX422" s="99"/>
      <c r="AY422" s="99"/>
      <c r="AZ422" s="99"/>
      <c r="BH422" s="100"/>
      <c r="BI422" s="100"/>
      <c r="BJ422" s="100"/>
      <c r="BK422" s="101"/>
      <c r="BL422" s="80"/>
      <c r="BM422" s="102"/>
      <c r="BN422" s="102"/>
      <c r="BO422" s="103"/>
      <c r="BP422" s="104"/>
      <c r="BQ422" s="28"/>
      <c r="BR422" s="102"/>
      <c r="BS422" s="102"/>
      <c r="BT422" s="102"/>
      <c r="BU422" s="102"/>
      <c r="BV422" s="105"/>
      <c r="BW422" s="101"/>
      <c r="BX422" s="105"/>
      <c r="BY422" s="11"/>
      <c r="BZ422" s="106"/>
      <c r="CA422" s="101"/>
      <c r="CB422" s="107"/>
      <c r="CC422" s="11"/>
      <c r="CD422" s="101"/>
      <c r="CE422" s="108"/>
      <c r="CF422" s="8"/>
      <c r="DK422" s="11"/>
      <c r="DL422" s="11"/>
      <c r="DM422" s="11"/>
      <c r="DN422" s="11"/>
      <c r="DO422" s="11"/>
      <c r="DP422" s="11"/>
      <c r="DX422" s="99"/>
      <c r="DY422" s="99"/>
      <c r="DZ422" s="99"/>
      <c r="EH422" s="100"/>
      <c r="EI422" s="100"/>
      <c r="EJ422" s="100"/>
      <c r="EK422" s="101"/>
      <c r="EL422" s="80"/>
      <c r="EM422" s="102"/>
      <c r="EN422" s="102"/>
      <c r="EO422" s="103"/>
      <c r="EP422" s="104"/>
      <c r="EQ422" s="28"/>
      <c r="ER422" s="102"/>
      <c r="ES422" s="102"/>
      <c r="ET422" s="102"/>
      <c r="EU422" s="102"/>
      <c r="EV422" s="105"/>
      <c r="EW422" s="101"/>
      <c r="EX422" s="105"/>
      <c r="EY422" s="11"/>
      <c r="EZ422" s="106"/>
      <c r="FA422" s="101"/>
      <c r="FB422" s="107"/>
      <c r="FC422" s="11"/>
      <c r="FD422" s="101"/>
      <c r="FE422" s="108"/>
      <c r="FF422" s="8"/>
    </row>
    <row r="423" spans="37:162">
      <c r="AK423" s="11"/>
      <c r="AL423" s="11"/>
      <c r="AM423" s="11"/>
      <c r="AN423" s="11"/>
      <c r="AO423" s="11"/>
      <c r="AP423" s="11"/>
      <c r="AX423" s="99"/>
      <c r="AY423" s="99"/>
      <c r="AZ423" s="99"/>
      <c r="BH423" s="100"/>
      <c r="BI423" s="100"/>
      <c r="BJ423" s="100"/>
      <c r="BK423" s="101"/>
      <c r="BL423" s="80"/>
      <c r="BM423" s="102"/>
      <c r="BN423" s="102"/>
      <c r="BO423" s="103"/>
      <c r="BP423" s="104"/>
      <c r="BQ423" s="28"/>
      <c r="BR423" s="102"/>
      <c r="BS423" s="102"/>
      <c r="BT423" s="102"/>
      <c r="BU423" s="102"/>
      <c r="BV423" s="105"/>
      <c r="BW423" s="101"/>
      <c r="BX423" s="105"/>
      <c r="BY423" s="11"/>
      <c r="BZ423" s="106"/>
      <c r="CA423" s="101"/>
      <c r="CB423" s="107"/>
      <c r="CC423" s="11"/>
      <c r="CD423" s="101"/>
      <c r="CE423" s="108"/>
      <c r="CF423" s="8"/>
      <c r="DK423" s="11"/>
      <c r="DL423" s="11"/>
      <c r="DM423" s="11"/>
      <c r="DN423" s="11"/>
      <c r="DO423" s="11"/>
      <c r="DP423" s="11"/>
      <c r="DX423" s="99"/>
      <c r="DY423" s="99"/>
      <c r="DZ423" s="99"/>
      <c r="EH423" s="100"/>
      <c r="EI423" s="100"/>
      <c r="EJ423" s="100"/>
      <c r="EK423" s="101"/>
      <c r="EL423" s="80"/>
      <c r="EM423" s="102"/>
      <c r="EN423" s="102"/>
      <c r="EO423" s="103"/>
      <c r="EP423" s="104"/>
      <c r="EQ423" s="28"/>
      <c r="ER423" s="102"/>
      <c r="ES423" s="102"/>
      <c r="ET423" s="102"/>
      <c r="EU423" s="102"/>
      <c r="EV423" s="105"/>
      <c r="EW423" s="101"/>
      <c r="EX423" s="105"/>
      <c r="EY423" s="11"/>
      <c r="EZ423" s="106"/>
      <c r="FA423" s="101"/>
      <c r="FB423" s="107"/>
      <c r="FC423" s="11"/>
      <c r="FD423" s="101"/>
      <c r="FE423" s="108"/>
      <c r="FF423" s="8"/>
    </row>
    <row r="424" spans="37:162">
      <c r="AK424" s="11"/>
      <c r="AL424" s="11"/>
      <c r="AM424" s="11"/>
      <c r="AN424" s="11"/>
      <c r="AO424" s="11"/>
      <c r="AP424" s="11"/>
      <c r="AX424" s="99"/>
      <c r="AY424" s="99"/>
      <c r="AZ424" s="99"/>
      <c r="BH424" s="100"/>
      <c r="BI424" s="100"/>
      <c r="BJ424" s="100"/>
      <c r="BK424" s="101"/>
      <c r="BL424" s="80"/>
      <c r="BM424" s="102"/>
      <c r="BN424" s="102"/>
      <c r="BO424" s="103"/>
      <c r="BP424" s="104"/>
      <c r="BQ424" s="28"/>
      <c r="BR424" s="102"/>
      <c r="BS424" s="102"/>
      <c r="BT424" s="102"/>
      <c r="BU424" s="102"/>
      <c r="BV424" s="105"/>
      <c r="BW424" s="101"/>
      <c r="BX424" s="105"/>
      <c r="BY424" s="11"/>
      <c r="BZ424" s="106"/>
      <c r="CA424" s="101"/>
      <c r="CB424" s="107"/>
      <c r="CC424" s="11"/>
      <c r="CD424" s="101"/>
      <c r="CE424" s="108"/>
      <c r="CF424" s="8"/>
      <c r="DK424" s="11"/>
      <c r="DL424" s="11"/>
      <c r="DM424" s="11"/>
      <c r="DN424" s="11"/>
      <c r="DO424" s="11"/>
      <c r="DP424" s="11"/>
      <c r="DX424" s="99"/>
      <c r="DY424" s="99"/>
      <c r="DZ424" s="99"/>
      <c r="EH424" s="100"/>
      <c r="EI424" s="100"/>
      <c r="EJ424" s="100"/>
      <c r="EK424" s="101"/>
      <c r="EL424" s="80"/>
      <c r="EM424" s="102"/>
      <c r="EN424" s="102"/>
      <c r="EO424" s="103"/>
      <c r="EP424" s="104"/>
      <c r="EQ424" s="28"/>
      <c r="ER424" s="102"/>
      <c r="ES424" s="102"/>
      <c r="ET424" s="102"/>
      <c r="EU424" s="102"/>
      <c r="EV424" s="105"/>
      <c r="EW424" s="101"/>
      <c r="EX424" s="105"/>
      <c r="EY424" s="11"/>
      <c r="EZ424" s="106"/>
      <c r="FA424" s="101"/>
      <c r="FB424" s="107"/>
      <c r="FC424" s="11"/>
      <c r="FD424" s="101"/>
      <c r="FE424" s="108"/>
      <c r="FF424" s="8"/>
    </row>
    <row r="425" spans="37:162">
      <c r="AK425" s="11"/>
      <c r="AL425" s="11"/>
      <c r="AM425" s="11"/>
      <c r="AN425" s="11"/>
      <c r="AO425" s="11"/>
      <c r="AP425" s="11"/>
      <c r="AX425" s="99"/>
      <c r="AY425" s="99"/>
      <c r="AZ425" s="99"/>
      <c r="BH425" s="100"/>
      <c r="BI425" s="100"/>
      <c r="BJ425" s="100"/>
      <c r="BK425" s="101"/>
      <c r="BL425" s="80"/>
      <c r="BM425" s="102"/>
      <c r="BN425" s="102"/>
      <c r="BO425" s="103"/>
      <c r="BP425" s="104"/>
      <c r="BQ425" s="28"/>
      <c r="BR425" s="102"/>
      <c r="BS425" s="102"/>
      <c r="BT425" s="102"/>
      <c r="BU425" s="102"/>
      <c r="BV425" s="105"/>
      <c r="BW425" s="101"/>
      <c r="BX425" s="105"/>
      <c r="BY425" s="11"/>
      <c r="BZ425" s="106"/>
      <c r="CA425" s="101"/>
      <c r="CB425" s="107"/>
      <c r="CC425" s="11"/>
      <c r="CD425" s="101"/>
      <c r="CE425" s="108"/>
      <c r="CF425" s="8"/>
      <c r="DK425" s="11"/>
      <c r="DL425" s="11"/>
      <c r="DM425" s="11"/>
      <c r="DN425" s="11"/>
      <c r="DO425" s="11"/>
      <c r="DP425" s="11"/>
      <c r="DX425" s="99"/>
      <c r="DY425" s="99"/>
      <c r="DZ425" s="99"/>
      <c r="EH425" s="100"/>
      <c r="EI425" s="100"/>
      <c r="EJ425" s="100"/>
      <c r="EK425" s="101"/>
      <c r="EL425" s="80"/>
      <c r="EM425" s="102"/>
      <c r="EN425" s="102"/>
      <c r="EO425" s="103"/>
      <c r="EP425" s="104"/>
      <c r="EQ425" s="28"/>
      <c r="ER425" s="102"/>
      <c r="ES425" s="102"/>
      <c r="ET425" s="102"/>
      <c r="EU425" s="102"/>
      <c r="EV425" s="105"/>
      <c r="EW425" s="101"/>
      <c r="EX425" s="105"/>
      <c r="EY425" s="11"/>
      <c r="EZ425" s="106"/>
      <c r="FA425" s="101"/>
      <c r="FB425" s="107"/>
      <c r="FC425" s="11"/>
      <c r="FD425" s="101"/>
      <c r="FE425" s="108"/>
      <c r="FF425" s="8"/>
    </row>
    <row r="426" spans="37:162">
      <c r="AK426" s="11"/>
      <c r="AL426" s="11"/>
      <c r="AM426" s="11"/>
      <c r="AN426" s="11"/>
      <c r="AO426" s="11"/>
      <c r="AP426" s="11"/>
      <c r="AX426" s="99"/>
      <c r="AY426" s="99"/>
      <c r="AZ426" s="99"/>
      <c r="BH426" s="100"/>
      <c r="BI426" s="100"/>
      <c r="BJ426" s="100"/>
      <c r="BK426" s="101"/>
      <c r="BL426" s="80"/>
      <c r="BM426" s="102"/>
      <c r="BN426" s="102"/>
      <c r="BO426" s="103"/>
      <c r="BP426" s="104"/>
      <c r="BQ426" s="28"/>
      <c r="BR426" s="102"/>
      <c r="BS426" s="102"/>
      <c r="BT426" s="102"/>
      <c r="BU426" s="102"/>
      <c r="BV426" s="105"/>
      <c r="BW426" s="101"/>
      <c r="BX426" s="105"/>
      <c r="BY426" s="11"/>
      <c r="BZ426" s="106"/>
      <c r="CA426" s="101"/>
      <c r="CB426" s="107"/>
      <c r="CC426" s="11"/>
      <c r="CD426" s="101"/>
      <c r="CE426" s="108"/>
      <c r="CF426" s="8"/>
      <c r="DK426" s="11"/>
      <c r="DL426" s="11"/>
      <c r="DM426" s="11"/>
      <c r="DN426" s="11"/>
      <c r="DO426" s="11"/>
      <c r="DP426" s="11"/>
      <c r="DX426" s="99"/>
      <c r="DY426" s="99"/>
      <c r="DZ426" s="99"/>
      <c r="EH426" s="100"/>
      <c r="EI426" s="100"/>
      <c r="EJ426" s="100"/>
      <c r="EK426" s="101"/>
      <c r="EL426" s="80"/>
      <c r="EM426" s="102"/>
      <c r="EN426" s="102"/>
      <c r="EO426" s="103"/>
      <c r="EP426" s="104"/>
      <c r="EQ426" s="28"/>
      <c r="ER426" s="102"/>
      <c r="ES426" s="102"/>
      <c r="ET426" s="102"/>
      <c r="EU426" s="102"/>
      <c r="EV426" s="105"/>
      <c r="EW426" s="101"/>
      <c r="EX426" s="105"/>
      <c r="EY426" s="11"/>
      <c r="EZ426" s="106"/>
      <c r="FA426" s="101"/>
      <c r="FB426" s="107"/>
      <c r="FC426" s="11"/>
      <c r="FD426" s="101"/>
      <c r="FE426" s="108"/>
      <c r="FF426" s="8"/>
    </row>
    <row r="427" spans="37:162">
      <c r="AK427" s="11"/>
      <c r="AL427" s="11"/>
      <c r="AM427" s="11"/>
      <c r="AN427" s="11"/>
      <c r="AO427" s="11"/>
      <c r="AP427" s="11"/>
      <c r="AX427" s="99"/>
      <c r="AY427" s="99"/>
      <c r="AZ427" s="99"/>
      <c r="BH427" s="100"/>
      <c r="BI427" s="100"/>
      <c r="BJ427" s="100"/>
      <c r="BK427" s="101"/>
      <c r="BL427" s="80"/>
      <c r="BM427" s="102"/>
      <c r="BN427" s="102"/>
      <c r="BO427" s="103"/>
      <c r="BP427" s="104"/>
      <c r="BQ427" s="28"/>
      <c r="BR427" s="102"/>
      <c r="BS427" s="102"/>
      <c r="BT427" s="102"/>
      <c r="BU427" s="102"/>
      <c r="BV427" s="105"/>
      <c r="BW427" s="101"/>
      <c r="BX427" s="105"/>
      <c r="BY427" s="11"/>
      <c r="BZ427" s="106"/>
      <c r="CA427" s="101"/>
      <c r="CB427" s="107"/>
      <c r="CC427" s="11"/>
      <c r="CD427" s="101"/>
      <c r="CE427" s="108"/>
      <c r="CF427" s="8"/>
      <c r="DK427" s="11"/>
      <c r="DL427" s="11"/>
      <c r="DM427" s="11"/>
      <c r="DN427" s="11"/>
      <c r="DO427" s="11"/>
      <c r="DP427" s="11"/>
      <c r="DX427" s="99"/>
      <c r="DY427" s="99"/>
      <c r="DZ427" s="99"/>
      <c r="EH427" s="100"/>
      <c r="EI427" s="100"/>
      <c r="EJ427" s="100"/>
      <c r="EK427" s="101"/>
      <c r="EL427" s="80"/>
      <c r="EM427" s="102"/>
      <c r="EN427" s="102"/>
      <c r="EO427" s="103"/>
      <c r="EP427" s="104"/>
      <c r="EQ427" s="28"/>
      <c r="ER427" s="102"/>
      <c r="ES427" s="102"/>
      <c r="ET427" s="102"/>
      <c r="EU427" s="102"/>
      <c r="EV427" s="105"/>
      <c r="EW427" s="101"/>
      <c r="EX427" s="105"/>
      <c r="EY427" s="11"/>
      <c r="EZ427" s="106"/>
      <c r="FA427" s="101"/>
      <c r="FB427" s="107"/>
      <c r="FC427" s="11"/>
      <c r="FD427" s="101"/>
      <c r="FE427" s="108"/>
      <c r="FF427" s="8"/>
    </row>
    <row r="428" spans="37:162">
      <c r="AK428" s="11"/>
      <c r="AL428" s="11"/>
      <c r="AM428" s="11"/>
      <c r="AN428" s="11"/>
      <c r="AO428" s="11"/>
      <c r="AP428" s="11"/>
      <c r="AX428" s="99"/>
      <c r="AY428" s="99"/>
      <c r="AZ428" s="99"/>
      <c r="BH428" s="100"/>
      <c r="BI428" s="100"/>
      <c r="BJ428" s="100"/>
      <c r="BK428" s="101"/>
      <c r="BL428" s="80"/>
      <c r="BM428" s="102"/>
      <c r="BN428" s="102"/>
      <c r="BO428" s="103"/>
      <c r="BP428" s="104"/>
      <c r="BQ428" s="28"/>
      <c r="BR428" s="102"/>
      <c r="BS428" s="102"/>
      <c r="BT428" s="102"/>
      <c r="BU428" s="102"/>
      <c r="BV428" s="105"/>
      <c r="BW428" s="101"/>
      <c r="BX428" s="105"/>
      <c r="BY428" s="11"/>
      <c r="BZ428" s="106"/>
      <c r="CA428" s="101"/>
      <c r="CB428" s="107"/>
      <c r="CC428" s="11"/>
      <c r="CD428" s="101"/>
      <c r="CE428" s="108"/>
      <c r="CF428" s="8"/>
      <c r="DK428" s="11"/>
      <c r="DL428" s="11"/>
      <c r="DM428" s="11"/>
      <c r="DN428" s="11"/>
      <c r="DO428" s="11"/>
      <c r="DP428" s="11"/>
      <c r="DX428" s="99"/>
      <c r="DY428" s="99"/>
      <c r="DZ428" s="99"/>
      <c r="EH428" s="100"/>
      <c r="EI428" s="100"/>
      <c r="EJ428" s="100"/>
      <c r="EK428" s="101"/>
      <c r="EL428" s="80"/>
      <c r="EM428" s="102"/>
      <c r="EN428" s="102"/>
      <c r="EO428" s="103"/>
      <c r="EP428" s="104"/>
      <c r="EQ428" s="28"/>
      <c r="ER428" s="102"/>
      <c r="ES428" s="102"/>
      <c r="ET428" s="102"/>
      <c r="EU428" s="102"/>
      <c r="EV428" s="105"/>
      <c r="EW428" s="101"/>
      <c r="EX428" s="105"/>
      <c r="EY428" s="11"/>
      <c r="EZ428" s="106"/>
      <c r="FA428" s="101"/>
      <c r="FB428" s="107"/>
      <c r="FC428" s="11"/>
      <c r="FD428" s="101"/>
      <c r="FE428" s="108"/>
      <c r="FF428" s="8"/>
    </row>
    <row r="429" spans="37:162">
      <c r="AK429" s="11"/>
      <c r="AL429" s="11"/>
      <c r="AM429" s="11"/>
      <c r="AN429" s="11"/>
      <c r="AO429" s="11"/>
      <c r="AP429" s="11"/>
      <c r="AX429" s="99"/>
      <c r="AY429" s="99"/>
      <c r="AZ429" s="99"/>
      <c r="BH429" s="100"/>
      <c r="BI429" s="100"/>
      <c r="BJ429" s="100"/>
      <c r="BK429" s="101"/>
      <c r="BL429" s="80"/>
      <c r="BM429" s="102"/>
      <c r="BN429" s="102"/>
      <c r="BO429" s="103"/>
      <c r="BP429" s="104"/>
      <c r="BQ429" s="28"/>
      <c r="BR429" s="102"/>
      <c r="BS429" s="102"/>
      <c r="BT429" s="102"/>
      <c r="BU429" s="102"/>
      <c r="BV429" s="105"/>
      <c r="BW429" s="101"/>
      <c r="BX429" s="105"/>
      <c r="BY429" s="11"/>
      <c r="BZ429" s="106"/>
      <c r="CA429" s="101"/>
      <c r="CB429" s="107"/>
      <c r="CC429" s="11"/>
      <c r="CD429" s="101"/>
      <c r="CE429" s="108"/>
      <c r="CF429" s="8"/>
      <c r="DK429" s="11"/>
      <c r="DL429" s="11"/>
      <c r="DM429" s="11"/>
      <c r="DN429" s="11"/>
      <c r="DO429" s="11"/>
      <c r="DP429" s="11"/>
      <c r="DX429" s="99"/>
      <c r="DY429" s="99"/>
      <c r="DZ429" s="99"/>
      <c r="EH429" s="100"/>
      <c r="EI429" s="100"/>
      <c r="EJ429" s="100"/>
      <c r="EK429" s="101"/>
      <c r="EL429" s="80"/>
      <c r="EM429" s="102"/>
      <c r="EN429" s="102"/>
      <c r="EO429" s="103"/>
      <c r="EP429" s="104"/>
      <c r="EQ429" s="28"/>
      <c r="ER429" s="102"/>
      <c r="ES429" s="102"/>
      <c r="ET429" s="102"/>
      <c r="EU429" s="102"/>
      <c r="EV429" s="105"/>
      <c r="EW429" s="101"/>
      <c r="EX429" s="105"/>
      <c r="EY429" s="11"/>
      <c r="EZ429" s="106"/>
      <c r="FA429" s="101"/>
      <c r="FB429" s="107"/>
      <c r="FC429" s="11"/>
      <c r="FD429" s="101"/>
      <c r="FE429" s="108"/>
      <c r="FF429" s="8"/>
    </row>
    <row r="430" spans="37:162">
      <c r="AK430" s="11"/>
      <c r="AL430" s="11"/>
      <c r="AM430" s="11"/>
      <c r="AN430" s="11"/>
      <c r="AO430" s="11"/>
      <c r="AP430" s="11"/>
      <c r="AX430" s="99"/>
      <c r="AY430" s="99"/>
      <c r="AZ430" s="99"/>
      <c r="BH430" s="100"/>
      <c r="BI430" s="100"/>
      <c r="BJ430" s="100"/>
      <c r="BK430" s="101"/>
      <c r="BL430" s="80"/>
      <c r="BM430" s="102"/>
      <c r="BN430" s="102"/>
      <c r="BO430" s="103"/>
      <c r="BP430" s="104"/>
      <c r="BQ430" s="28"/>
      <c r="BR430" s="102"/>
      <c r="BS430" s="102"/>
      <c r="BT430" s="102"/>
      <c r="BU430" s="102"/>
      <c r="BV430" s="105"/>
      <c r="BW430" s="101"/>
      <c r="BX430" s="105"/>
      <c r="BY430" s="11"/>
      <c r="BZ430" s="106"/>
      <c r="CA430" s="101"/>
      <c r="CB430" s="107"/>
      <c r="CC430" s="11"/>
      <c r="CD430" s="101"/>
      <c r="CE430" s="108"/>
      <c r="CF430" s="8"/>
      <c r="DK430" s="11"/>
      <c r="DL430" s="11"/>
      <c r="DM430" s="11"/>
      <c r="DN430" s="11"/>
      <c r="DO430" s="11"/>
      <c r="DP430" s="11"/>
      <c r="DX430" s="99"/>
      <c r="DY430" s="99"/>
      <c r="DZ430" s="99"/>
      <c r="EH430" s="100"/>
      <c r="EI430" s="100"/>
      <c r="EJ430" s="100"/>
      <c r="EK430" s="101"/>
      <c r="EL430" s="80"/>
      <c r="EM430" s="102"/>
      <c r="EN430" s="102"/>
      <c r="EO430" s="103"/>
      <c r="EP430" s="104"/>
      <c r="EQ430" s="28"/>
      <c r="ER430" s="102"/>
      <c r="ES430" s="102"/>
      <c r="ET430" s="102"/>
      <c r="EU430" s="102"/>
      <c r="EV430" s="105"/>
      <c r="EW430" s="101"/>
      <c r="EX430" s="105"/>
      <c r="EY430" s="11"/>
      <c r="EZ430" s="106"/>
      <c r="FA430" s="101"/>
      <c r="FB430" s="107"/>
      <c r="FC430" s="11"/>
      <c r="FD430" s="101"/>
      <c r="FE430" s="108"/>
      <c r="FF430" s="8"/>
    </row>
    <row r="431" spans="37:162">
      <c r="AK431" s="11"/>
      <c r="AL431" s="11"/>
      <c r="AM431" s="11"/>
      <c r="AN431" s="11"/>
      <c r="AO431" s="11"/>
      <c r="AP431" s="11"/>
      <c r="AX431" s="99"/>
      <c r="AY431" s="99"/>
      <c r="AZ431" s="99"/>
      <c r="BH431" s="100"/>
      <c r="BI431" s="100"/>
      <c r="BJ431" s="100"/>
      <c r="BK431" s="101"/>
      <c r="BL431" s="80"/>
      <c r="BM431" s="102"/>
      <c r="BN431" s="102"/>
      <c r="BO431" s="103"/>
      <c r="BP431" s="104"/>
      <c r="BQ431" s="28"/>
      <c r="BR431" s="102"/>
      <c r="BS431" s="102"/>
      <c r="BT431" s="102"/>
      <c r="BU431" s="102"/>
      <c r="BV431" s="105"/>
      <c r="BW431" s="101"/>
      <c r="BX431" s="105"/>
      <c r="BY431" s="11"/>
      <c r="BZ431" s="106"/>
      <c r="CA431" s="101"/>
      <c r="CB431" s="107"/>
      <c r="CC431" s="11"/>
      <c r="CD431" s="101"/>
      <c r="CE431" s="108"/>
      <c r="CF431" s="8"/>
      <c r="DK431" s="11"/>
      <c r="DL431" s="11"/>
      <c r="DM431" s="11"/>
      <c r="DN431" s="11"/>
      <c r="DO431" s="11"/>
      <c r="DP431" s="11"/>
      <c r="DX431" s="99"/>
      <c r="DY431" s="99"/>
      <c r="DZ431" s="99"/>
      <c r="EH431" s="100"/>
      <c r="EI431" s="100"/>
      <c r="EJ431" s="100"/>
      <c r="EK431" s="101"/>
      <c r="EL431" s="80"/>
      <c r="EM431" s="102"/>
      <c r="EN431" s="102"/>
      <c r="EO431" s="103"/>
      <c r="EP431" s="104"/>
      <c r="EQ431" s="28"/>
      <c r="ER431" s="102"/>
      <c r="ES431" s="102"/>
      <c r="ET431" s="102"/>
      <c r="EU431" s="102"/>
      <c r="EV431" s="105"/>
      <c r="EW431" s="101"/>
      <c r="EX431" s="105"/>
      <c r="EY431" s="11"/>
      <c r="EZ431" s="106"/>
      <c r="FA431" s="101"/>
      <c r="FB431" s="107"/>
      <c r="FC431" s="11"/>
      <c r="FD431" s="101"/>
      <c r="FE431" s="108"/>
      <c r="FF431" s="8"/>
    </row>
    <row r="432" spans="37:162">
      <c r="AK432" s="11"/>
      <c r="AL432" s="11"/>
      <c r="AM432" s="11"/>
      <c r="AN432" s="11"/>
      <c r="AO432" s="11"/>
      <c r="AP432" s="11"/>
      <c r="AX432" s="99"/>
      <c r="AY432" s="99"/>
      <c r="AZ432" s="99"/>
      <c r="BH432" s="100"/>
      <c r="BI432" s="100"/>
      <c r="BJ432" s="100"/>
      <c r="BK432" s="101"/>
      <c r="BL432" s="80"/>
      <c r="BM432" s="102"/>
      <c r="BN432" s="102"/>
      <c r="BO432" s="103"/>
      <c r="BP432" s="104"/>
      <c r="BQ432" s="28"/>
      <c r="BR432" s="102"/>
      <c r="BS432" s="102"/>
      <c r="BT432" s="102"/>
      <c r="BU432" s="102"/>
      <c r="BV432" s="105"/>
      <c r="BW432" s="101"/>
      <c r="BX432" s="105"/>
      <c r="BY432" s="11"/>
      <c r="BZ432" s="106"/>
      <c r="CA432" s="101"/>
      <c r="CB432" s="107"/>
      <c r="CC432" s="11"/>
      <c r="CD432" s="101"/>
      <c r="CE432" s="108"/>
      <c r="CF432" s="8"/>
      <c r="DK432" s="11"/>
      <c r="DL432" s="11"/>
      <c r="DM432" s="11"/>
      <c r="DN432" s="11"/>
      <c r="DO432" s="11"/>
      <c r="DP432" s="11"/>
      <c r="DX432" s="99"/>
      <c r="DY432" s="99"/>
      <c r="DZ432" s="99"/>
      <c r="EH432" s="100"/>
      <c r="EI432" s="100"/>
      <c r="EJ432" s="100"/>
      <c r="EK432" s="101"/>
      <c r="EL432" s="80"/>
      <c r="EM432" s="102"/>
      <c r="EN432" s="102"/>
      <c r="EO432" s="103"/>
      <c r="EP432" s="104"/>
      <c r="EQ432" s="28"/>
      <c r="ER432" s="102"/>
      <c r="ES432" s="102"/>
      <c r="ET432" s="102"/>
      <c r="EU432" s="102"/>
      <c r="EV432" s="105"/>
      <c r="EW432" s="101"/>
      <c r="EX432" s="105"/>
      <c r="EY432" s="11"/>
      <c r="EZ432" s="106"/>
      <c r="FA432" s="101"/>
      <c r="FB432" s="107"/>
      <c r="FC432" s="11"/>
      <c r="FD432" s="101"/>
      <c r="FE432" s="108"/>
      <c r="FF432" s="8"/>
    </row>
    <row r="433" spans="37:162">
      <c r="AK433" s="11"/>
      <c r="AL433" s="11"/>
      <c r="AM433" s="11"/>
      <c r="AN433" s="11"/>
      <c r="AO433" s="11"/>
      <c r="AP433" s="11"/>
      <c r="AX433" s="99"/>
      <c r="AY433" s="99"/>
      <c r="AZ433" s="99"/>
      <c r="BH433" s="100"/>
      <c r="BI433" s="100"/>
      <c r="BJ433" s="100"/>
      <c r="BK433" s="101"/>
      <c r="BL433" s="80"/>
      <c r="BM433" s="102"/>
      <c r="BN433" s="102"/>
      <c r="BO433" s="103"/>
      <c r="BP433" s="104"/>
      <c r="BQ433" s="28"/>
      <c r="BR433" s="102"/>
      <c r="BS433" s="102"/>
      <c r="BT433" s="102"/>
      <c r="BU433" s="102"/>
      <c r="BV433" s="105"/>
      <c r="BW433" s="101"/>
      <c r="BX433" s="105"/>
      <c r="BY433" s="11"/>
      <c r="BZ433" s="106"/>
      <c r="CA433" s="101"/>
      <c r="CB433" s="107"/>
      <c r="CC433" s="11"/>
      <c r="CD433" s="101"/>
      <c r="CE433" s="108"/>
      <c r="CF433" s="8"/>
      <c r="DK433" s="11"/>
      <c r="DL433" s="11"/>
      <c r="DM433" s="11"/>
      <c r="DN433" s="11"/>
      <c r="DO433" s="11"/>
      <c r="DP433" s="11"/>
      <c r="DX433" s="99"/>
      <c r="DY433" s="99"/>
      <c r="DZ433" s="99"/>
      <c r="EH433" s="100"/>
      <c r="EI433" s="100"/>
      <c r="EJ433" s="100"/>
      <c r="EK433" s="101"/>
      <c r="EL433" s="80"/>
      <c r="EM433" s="102"/>
      <c r="EN433" s="102"/>
      <c r="EO433" s="103"/>
      <c r="EP433" s="104"/>
      <c r="EQ433" s="28"/>
      <c r="ER433" s="102"/>
      <c r="ES433" s="102"/>
      <c r="ET433" s="102"/>
      <c r="EU433" s="102"/>
      <c r="EV433" s="105"/>
      <c r="EW433" s="101"/>
      <c r="EX433" s="105"/>
      <c r="EY433" s="11"/>
      <c r="EZ433" s="106"/>
      <c r="FA433" s="101"/>
      <c r="FB433" s="107"/>
      <c r="FC433" s="11"/>
      <c r="FD433" s="101"/>
      <c r="FE433" s="108"/>
      <c r="FF433" s="8"/>
    </row>
    <row r="434" spans="37:162">
      <c r="AK434" s="11"/>
      <c r="AL434" s="11"/>
      <c r="AM434" s="11"/>
      <c r="AN434" s="11"/>
      <c r="AO434" s="11"/>
      <c r="AP434" s="11"/>
      <c r="AX434" s="99"/>
      <c r="AY434" s="99"/>
      <c r="AZ434" s="99"/>
      <c r="BH434" s="100"/>
      <c r="BI434" s="100"/>
      <c r="BJ434" s="100"/>
      <c r="BK434" s="101"/>
      <c r="BL434" s="80"/>
      <c r="BM434" s="102"/>
      <c r="BN434" s="102"/>
      <c r="BO434" s="103"/>
      <c r="BP434" s="104"/>
      <c r="BQ434" s="28"/>
      <c r="BR434" s="102"/>
      <c r="BS434" s="102"/>
      <c r="BT434" s="102"/>
      <c r="BU434" s="102"/>
      <c r="BV434" s="105"/>
      <c r="BW434" s="101"/>
      <c r="BX434" s="105"/>
      <c r="BY434" s="11"/>
      <c r="BZ434" s="106"/>
      <c r="CA434" s="101"/>
      <c r="CB434" s="107"/>
      <c r="CC434" s="11"/>
      <c r="CD434" s="101"/>
      <c r="CE434" s="108"/>
      <c r="CF434" s="8"/>
      <c r="DK434" s="11"/>
      <c r="DL434" s="11"/>
      <c r="DM434" s="11"/>
      <c r="DN434" s="11"/>
      <c r="DO434" s="11"/>
      <c r="DP434" s="11"/>
      <c r="DX434" s="99"/>
      <c r="DY434" s="99"/>
      <c r="DZ434" s="99"/>
      <c r="EH434" s="100"/>
      <c r="EI434" s="100"/>
      <c r="EJ434" s="100"/>
      <c r="EK434" s="101"/>
      <c r="EL434" s="80"/>
      <c r="EM434" s="102"/>
      <c r="EN434" s="102"/>
      <c r="EO434" s="103"/>
      <c r="EP434" s="104"/>
      <c r="EQ434" s="28"/>
      <c r="ER434" s="102"/>
      <c r="ES434" s="102"/>
      <c r="ET434" s="102"/>
      <c r="EU434" s="102"/>
      <c r="EV434" s="105"/>
      <c r="EW434" s="101"/>
      <c r="EX434" s="105"/>
      <c r="EY434" s="11"/>
      <c r="EZ434" s="106"/>
      <c r="FA434" s="101"/>
      <c r="FB434" s="107"/>
      <c r="FC434" s="11"/>
      <c r="FD434" s="101"/>
      <c r="FE434" s="108"/>
      <c r="FF434" s="8"/>
    </row>
    <row r="435" spans="37:162">
      <c r="AK435" s="11"/>
      <c r="AL435" s="11"/>
      <c r="AM435" s="11"/>
      <c r="AN435" s="11"/>
      <c r="AO435" s="11"/>
      <c r="AP435" s="11"/>
      <c r="AX435" s="99"/>
      <c r="AY435" s="99"/>
      <c r="AZ435" s="99"/>
      <c r="BH435" s="100"/>
      <c r="BI435" s="100"/>
      <c r="BJ435" s="100"/>
      <c r="BK435" s="101"/>
      <c r="BL435" s="80"/>
      <c r="BM435" s="102"/>
      <c r="BN435" s="102"/>
      <c r="BO435" s="103"/>
      <c r="BP435" s="104"/>
      <c r="BQ435" s="28"/>
      <c r="BR435" s="102"/>
      <c r="BS435" s="102"/>
      <c r="BT435" s="102"/>
      <c r="BU435" s="102"/>
      <c r="BV435" s="105"/>
      <c r="BW435" s="101"/>
      <c r="BX435" s="105"/>
      <c r="BY435" s="11"/>
      <c r="BZ435" s="106"/>
      <c r="CA435" s="101"/>
      <c r="CB435" s="107"/>
      <c r="CC435" s="11"/>
      <c r="CD435" s="101"/>
      <c r="CE435" s="108"/>
      <c r="CF435" s="8"/>
      <c r="DK435" s="11"/>
      <c r="DL435" s="11"/>
      <c r="DM435" s="11"/>
      <c r="DN435" s="11"/>
      <c r="DO435" s="11"/>
      <c r="DP435" s="11"/>
      <c r="DX435" s="99"/>
      <c r="DY435" s="99"/>
      <c r="DZ435" s="99"/>
      <c r="EH435" s="100"/>
      <c r="EI435" s="100"/>
      <c r="EJ435" s="100"/>
      <c r="EK435" s="101"/>
      <c r="EL435" s="80"/>
      <c r="EM435" s="102"/>
      <c r="EN435" s="102"/>
      <c r="EO435" s="103"/>
      <c r="EP435" s="104"/>
      <c r="EQ435" s="28"/>
      <c r="ER435" s="102"/>
      <c r="ES435" s="102"/>
      <c r="ET435" s="102"/>
      <c r="EU435" s="102"/>
      <c r="EV435" s="105"/>
      <c r="EW435" s="101"/>
      <c r="EX435" s="105"/>
      <c r="EY435" s="11"/>
      <c r="EZ435" s="106"/>
      <c r="FA435" s="101"/>
      <c r="FB435" s="107"/>
      <c r="FC435" s="11"/>
      <c r="FD435" s="101"/>
      <c r="FE435" s="108"/>
      <c r="FF435" s="8"/>
    </row>
    <row r="436" spans="37:162">
      <c r="AK436" s="11"/>
      <c r="AL436" s="11"/>
      <c r="AM436" s="11"/>
      <c r="AN436" s="11"/>
      <c r="AO436" s="11"/>
      <c r="AP436" s="11"/>
      <c r="AX436" s="99"/>
      <c r="AY436" s="99"/>
      <c r="AZ436" s="99"/>
      <c r="BH436" s="100"/>
      <c r="BI436" s="100"/>
      <c r="BJ436" s="100"/>
      <c r="BK436" s="101"/>
      <c r="BL436" s="80"/>
      <c r="BM436" s="102"/>
      <c r="BN436" s="102"/>
      <c r="BO436" s="103"/>
      <c r="BP436" s="104"/>
      <c r="BQ436" s="28"/>
      <c r="BR436" s="102"/>
      <c r="BS436" s="102"/>
      <c r="BT436" s="102"/>
      <c r="BU436" s="102"/>
      <c r="BV436" s="105"/>
      <c r="BW436" s="101"/>
      <c r="BX436" s="105"/>
      <c r="BY436" s="11"/>
      <c r="BZ436" s="106"/>
      <c r="CA436" s="101"/>
      <c r="CB436" s="107"/>
      <c r="CC436" s="11"/>
      <c r="CD436" s="101"/>
      <c r="CE436" s="108"/>
      <c r="CF436" s="8"/>
      <c r="DK436" s="11"/>
      <c r="DL436" s="11"/>
      <c r="DM436" s="11"/>
      <c r="DN436" s="11"/>
      <c r="DO436" s="11"/>
      <c r="DP436" s="11"/>
      <c r="DX436" s="99"/>
      <c r="DY436" s="99"/>
      <c r="DZ436" s="99"/>
      <c r="EH436" s="100"/>
      <c r="EI436" s="100"/>
      <c r="EJ436" s="100"/>
      <c r="EK436" s="101"/>
      <c r="EL436" s="80"/>
      <c r="EM436" s="102"/>
      <c r="EN436" s="102"/>
      <c r="EO436" s="103"/>
      <c r="EP436" s="104"/>
      <c r="EQ436" s="28"/>
      <c r="ER436" s="102"/>
      <c r="ES436" s="102"/>
      <c r="ET436" s="102"/>
      <c r="EU436" s="102"/>
      <c r="EV436" s="105"/>
      <c r="EW436" s="101"/>
      <c r="EX436" s="105"/>
      <c r="EY436" s="11"/>
      <c r="EZ436" s="106"/>
      <c r="FA436" s="101"/>
      <c r="FB436" s="107"/>
      <c r="FC436" s="11"/>
      <c r="FD436" s="101"/>
      <c r="FE436" s="108"/>
      <c r="FF436" s="8"/>
    </row>
    <row r="437" spans="37:162">
      <c r="AK437" s="11"/>
      <c r="AL437" s="11"/>
      <c r="AM437" s="11"/>
      <c r="AN437" s="11"/>
      <c r="AO437" s="11"/>
      <c r="AP437" s="11"/>
      <c r="AX437" s="99"/>
      <c r="AY437" s="99"/>
      <c r="AZ437" s="99"/>
      <c r="BH437" s="100"/>
      <c r="BI437" s="100"/>
      <c r="BJ437" s="100"/>
      <c r="BK437" s="101"/>
      <c r="BL437" s="80"/>
      <c r="BM437" s="102"/>
      <c r="BN437" s="102"/>
      <c r="BO437" s="103"/>
      <c r="BP437" s="104"/>
      <c r="BQ437" s="28"/>
      <c r="BR437" s="102"/>
      <c r="BS437" s="102"/>
      <c r="BT437" s="102"/>
      <c r="BU437" s="102"/>
      <c r="BV437" s="105"/>
      <c r="BW437" s="101"/>
      <c r="BX437" s="105"/>
      <c r="BY437" s="11"/>
      <c r="BZ437" s="106"/>
      <c r="CA437" s="101"/>
      <c r="CB437" s="107"/>
      <c r="CC437" s="11"/>
      <c r="CD437" s="101"/>
      <c r="CE437" s="108"/>
      <c r="CF437" s="8"/>
      <c r="DK437" s="11"/>
      <c r="DL437" s="11"/>
      <c r="DM437" s="11"/>
      <c r="DN437" s="11"/>
      <c r="DO437" s="11"/>
      <c r="DP437" s="11"/>
      <c r="DX437" s="99"/>
      <c r="DY437" s="99"/>
      <c r="DZ437" s="99"/>
      <c r="EH437" s="100"/>
      <c r="EI437" s="100"/>
      <c r="EJ437" s="100"/>
      <c r="EK437" s="101"/>
      <c r="EL437" s="80"/>
      <c r="EM437" s="102"/>
      <c r="EN437" s="102"/>
      <c r="EO437" s="103"/>
      <c r="EP437" s="104"/>
      <c r="EQ437" s="28"/>
      <c r="ER437" s="102"/>
      <c r="ES437" s="102"/>
      <c r="ET437" s="102"/>
      <c r="EU437" s="102"/>
      <c r="EV437" s="105"/>
      <c r="EW437" s="101"/>
      <c r="EX437" s="105"/>
      <c r="EY437" s="11"/>
      <c r="EZ437" s="106"/>
      <c r="FA437" s="101"/>
      <c r="FB437" s="107"/>
      <c r="FC437" s="11"/>
      <c r="FD437" s="101"/>
      <c r="FE437" s="108"/>
      <c r="FF437" s="8"/>
    </row>
    <row r="438" spans="37:162">
      <c r="AK438" s="11"/>
      <c r="AL438" s="11"/>
      <c r="AM438" s="11"/>
      <c r="AN438" s="11"/>
      <c r="AO438" s="11"/>
      <c r="AP438" s="11"/>
      <c r="AX438" s="99"/>
      <c r="AY438" s="99"/>
      <c r="AZ438" s="99"/>
      <c r="BH438" s="100"/>
      <c r="BI438" s="100"/>
      <c r="BJ438" s="100"/>
      <c r="BK438" s="101"/>
      <c r="BL438" s="80"/>
      <c r="BM438" s="102"/>
      <c r="BN438" s="102"/>
      <c r="BO438" s="103"/>
      <c r="BP438" s="104"/>
      <c r="BQ438" s="28"/>
      <c r="BR438" s="102"/>
      <c r="BS438" s="102"/>
      <c r="BT438" s="102"/>
      <c r="BU438" s="102"/>
      <c r="BV438" s="105"/>
      <c r="BW438" s="101"/>
      <c r="BX438" s="105"/>
      <c r="BY438" s="11"/>
      <c r="BZ438" s="106"/>
      <c r="CA438" s="101"/>
      <c r="CB438" s="107"/>
      <c r="CC438" s="11"/>
      <c r="CD438" s="101"/>
      <c r="CE438" s="108"/>
      <c r="CF438" s="8"/>
      <c r="DK438" s="11"/>
      <c r="DL438" s="11"/>
      <c r="DM438" s="11"/>
      <c r="DN438" s="11"/>
      <c r="DO438" s="11"/>
      <c r="DP438" s="11"/>
      <c r="DX438" s="99"/>
      <c r="DY438" s="99"/>
      <c r="DZ438" s="99"/>
      <c r="EH438" s="100"/>
      <c r="EI438" s="100"/>
      <c r="EJ438" s="100"/>
      <c r="EK438" s="101"/>
      <c r="EL438" s="80"/>
      <c r="EM438" s="102"/>
      <c r="EN438" s="102"/>
      <c r="EO438" s="103"/>
      <c r="EP438" s="104"/>
      <c r="EQ438" s="28"/>
      <c r="ER438" s="102"/>
      <c r="ES438" s="102"/>
      <c r="ET438" s="102"/>
      <c r="EU438" s="102"/>
      <c r="EV438" s="105"/>
      <c r="EW438" s="101"/>
      <c r="EX438" s="105"/>
      <c r="EY438" s="11"/>
      <c r="EZ438" s="106"/>
      <c r="FA438" s="101"/>
      <c r="FB438" s="107"/>
      <c r="FC438" s="11"/>
      <c r="FD438" s="101"/>
      <c r="FE438" s="108"/>
      <c r="FF438" s="8"/>
    </row>
    <row r="439" spans="37:162">
      <c r="AK439" s="11"/>
      <c r="AL439" s="11"/>
      <c r="AM439" s="11"/>
      <c r="AN439" s="11"/>
      <c r="AO439" s="11"/>
      <c r="AP439" s="11"/>
      <c r="AX439" s="99"/>
      <c r="AY439" s="99"/>
      <c r="AZ439" s="99"/>
      <c r="BH439" s="100"/>
      <c r="BI439" s="100"/>
      <c r="BJ439" s="100"/>
      <c r="BK439" s="101"/>
      <c r="BL439" s="80"/>
      <c r="BM439" s="102"/>
      <c r="BN439" s="102"/>
      <c r="BO439" s="103"/>
      <c r="BP439" s="104"/>
      <c r="BQ439" s="28"/>
      <c r="BR439" s="102"/>
      <c r="BS439" s="102"/>
      <c r="BT439" s="102"/>
      <c r="BU439" s="102"/>
      <c r="BV439" s="105"/>
      <c r="BW439" s="101"/>
      <c r="BX439" s="105"/>
      <c r="BY439" s="11"/>
      <c r="BZ439" s="106"/>
      <c r="CA439" s="101"/>
      <c r="CB439" s="107"/>
      <c r="CC439" s="11"/>
      <c r="CD439" s="101"/>
      <c r="CE439" s="108"/>
      <c r="CF439" s="8"/>
      <c r="DK439" s="11"/>
      <c r="DL439" s="11"/>
      <c r="DM439" s="11"/>
      <c r="DN439" s="11"/>
      <c r="DO439" s="11"/>
      <c r="DP439" s="11"/>
      <c r="DX439" s="99"/>
      <c r="DY439" s="99"/>
      <c r="DZ439" s="99"/>
      <c r="EH439" s="100"/>
      <c r="EI439" s="100"/>
      <c r="EJ439" s="100"/>
      <c r="EK439" s="101"/>
      <c r="EL439" s="80"/>
      <c r="EM439" s="102"/>
      <c r="EN439" s="102"/>
      <c r="EO439" s="103"/>
      <c r="EP439" s="104"/>
      <c r="EQ439" s="28"/>
      <c r="ER439" s="102"/>
      <c r="ES439" s="102"/>
      <c r="ET439" s="102"/>
      <c r="EU439" s="102"/>
      <c r="EV439" s="105"/>
      <c r="EW439" s="101"/>
      <c r="EX439" s="105"/>
      <c r="EY439" s="11"/>
      <c r="EZ439" s="106"/>
      <c r="FA439" s="101"/>
      <c r="FB439" s="107"/>
      <c r="FC439" s="11"/>
      <c r="FD439" s="101"/>
      <c r="FE439" s="108"/>
      <c r="FF439" s="8"/>
    </row>
    <row r="440" spans="37:162">
      <c r="AK440" s="11"/>
      <c r="AL440" s="11"/>
      <c r="AM440" s="11"/>
      <c r="AN440" s="11"/>
      <c r="AO440" s="11"/>
      <c r="AP440" s="11"/>
      <c r="AX440" s="99"/>
      <c r="AY440" s="99"/>
      <c r="AZ440" s="99"/>
      <c r="BH440" s="100"/>
      <c r="BI440" s="100"/>
      <c r="BJ440" s="100"/>
      <c r="BK440" s="101"/>
      <c r="BL440" s="80"/>
      <c r="BM440" s="102"/>
      <c r="BN440" s="102"/>
      <c r="BO440" s="103"/>
      <c r="BP440" s="104"/>
      <c r="BQ440" s="28"/>
      <c r="BR440" s="102"/>
      <c r="BS440" s="102"/>
      <c r="BT440" s="102"/>
      <c r="BU440" s="102"/>
      <c r="BV440" s="105"/>
      <c r="BW440" s="101"/>
      <c r="BX440" s="105"/>
      <c r="BY440" s="11"/>
      <c r="BZ440" s="106"/>
      <c r="CA440" s="101"/>
      <c r="CB440" s="107"/>
      <c r="CC440" s="11"/>
      <c r="CD440" s="101"/>
      <c r="CE440" s="108"/>
      <c r="CF440" s="8"/>
      <c r="DK440" s="11"/>
      <c r="DL440" s="11"/>
      <c r="DM440" s="11"/>
      <c r="DN440" s="11"/>
      <c r="DO440" s="11"/>
      <c r="DP440" s="11"/>
      <c r="DX440" s="99"/>
      <c r="DY440" s="99"/>
      <c r="DZ440" s="99"/>
      <c r="EH440" s="100"/>
      <c r="EI440" s="100"/>
      <c r="EJ440" s="100"/>
      <c r="EK440" s="101"/>
      <c r="EL440" s="80"/>
      <c r="EM440" s="102"/>
      <c r="EN440" s="102"/>
      <c r="EO440" s="103"/>
      <c r="EP440" s="104"/>
      <c r="EQ440" s="28"/>
      <c r="ER440" s="102"/>
      <c r="ES440" s="102"/>
      <c r="ET440" s="102"/>
      <c r="EU440" s="102"/>
      <c r="EV440" s="105"/>
      <c r="EW440" s="101"/>
      <c r="EX440" s="105"/>
      <c r="EY440" s="11"/>
      <c r="EZ440" s="106"/>
      <c r="FA440" s="101"/>
      <c r="FB440" s="107"/>
      <c r="FC440" s="11"/>
      <c r="FD440" s="101"/>
      <c r="FE440" s="108"/>
      <c r="FF440" s="8"/>
    </row>
    <row r="441" spans="37:162">
      <c r="AK441" s="11"/>
      <c r="AL441" s="11"/>
      <c r="AM441" s="11"/>
      <c r="AN441" s="11"/>
      <c r="AO441" s="11"/>
      <c r="AP441" s="11"/>
      <c r="AX441" s="99"/>
      <c r="AY441" s="99"/>
      <c r="AZ441" s="99"/>
      <c r="BH441" s="100"/>
      <c r="BI441" s="100"/>
      <c r="BJ441" s="100"/>
      <c r="BK441" s="101"/>
      <c r="BL441" s="80"/>
      <c r="BM441" s="102"/>
      <c r="BN441" s="102"/>
      <c r="BO441" s="103"/>
      <c r="BP441" s="104"/>
      <c r="BQ441" s="28"/>
      <c r="BR441" s="102"/>
      <c r="BS441" s="102"/>
      <c r="BT441" s="102"/>
      <c r="BU441" s="102"/>
      <c r="BV441" s="105"/>
      <c r="BW441" s="101"/>
      <c r="BX441" s="105"/>
      <c r="BY441" s="11"/>
      <c r="BZ441" s="106"/>
      <c r="CA441" s="101"/>
      <c r="CB441" s="107"/>
      <c r="CC441" s="11"/>
      <c r="CD441" s="101"/>
      <c r="CE441" s="108"/>
      <c r="CF441" s="8"/>
      <c r="DK441" s="11"/>
      <c r="DL441" s="11"/>
      <c r="DM441" s="11"/>
      <c r="DN441" s="11"/>
      <c r="DO441" s="11"/>
      <c r="DP441" s="11"/>
      <c r="DX441" s="99"/>
      <c r="DY441" s="99"/>
      <c r="DZ441" s="99"/>
      <c r="EH441" s="100"/>
      <c r="EI441" s="100"/>
      <c r="EJ441" s="100"/>
      <c r="EK441" s="101"/>
      <c r="EL441" s="80"/>
      <c r="EM441" s="102"/>
      <c r="EN441" s="102"/>
      <c r="EO441" s="103"/>
      <c r="EP441" s="104"/>
      <c r="EQ441" s="28"/>
      <c r="ER441" s="102"/>
      <c r="ES441" s="102"/>
      <c r="ET441" s="102"/>
      <c r="EU441" s="102"/>
      <c r="EV441" s="105"/>
      <c r="EW441" s="101"/>
      <c r="EX441" s="105"/>
      <c r="EY441" s="11"/>
      <c r="EZ441" s="106"/>
      <c r="FA441" s="101"/>
      <c r="FB441" s="107"/>
      <c r="FC441" s="11"/>
      <c r="FD441" s="101"/>
      <c r="FE441" s="108"/>
      <c r="FF441" s="8"/>
    </row>
    <row r="442" spans="37:162">
      <c r="AK442" s="11"/>
      <c r="AL442" s="11"/>
      <c r="AM442" s="11"/>
      <c r="AN442" s="11"/>
      <c r="AO442" s="11"/>
      <c r="AP442" s="11"/>
      <c r="AX442" s="99"/>
      <c r="AY442" s="99"/>
      <c r="AZ442" s="99"/>
      <c r="BH442" s="100"/>
      <c r="BI442" s="100"/>
      <c r="BJ442" s="100"/>
      <c r="BK442" s="101"/>
      <c r="BL442" s="80"/>
      <c r="BM442" s="102"/>
      <c r="BN442" s="102"/>
      <c r="BO442" s="103"/>
      <c r="BP442" s="104"/>
      <c r="BQ442" s="28"/>
      <c r="BR442" s="102"/>
      <c r="BS442" s="102"/>
      <c r="BT442" s="102"/>
      <c r="BU442" s="102"/>
      <c r="BV442" s="105"/>
      <c r="BW442" s="101"/>
      <c r="BX442" s="105"/>
      <c r="BY442" s="11"/>
      <c r="BZ442" s="106"/>
      <c r="CA442" s="101"/>
      <c r="CB442" s="107"/>
      <c r="CC442" s="11"/>
      <c r="CD442" s="101"/>
      <c r="CE442" s="108"/>
      <c r="CF442" s="8"/>
      <c r="DK442" s="11"/>
      <c r="DL442" s="11"/>
      <c r="DM442" s="11"/>
      <c r="DN442" s="11"/>
      <c r="DO442" s="11"/>
      <c r="DP442" s="11"/>
      <c r="DX442" s="99"/>
      <c r="DY442" s="99"/>
      <c r="DZ442" s="99"/>
      <c r="EH442" s="100"/>
      <c r="EI442" s="100"/>
      <c r="EJ442" s="100"/>
      <c r="EK442" s="101"/>
      <c r="EL442" s="80"/>
      <c r="EM442" s="102"/>
      <c r="EN442" s="102"/>
      <c r="EO442" s="103"/>
      <c r="EP442" s="104"/>
      <c r="EQ442" s="28"/>
      <c r="ER442" s="102"/>
      <c r="ES442" s="102"/>
      <c r="ET442" s="102"/>
      <c r="EU442" s="102"/>
      <c r="EV442" s="105"/>
      <c r="EW442" s="101"/>
      <c r="EX442" s="105"/>
      <c r="EY442" s="11"/>
      <c r="EZ442" s="106"/>
      <c r="FA442" s="101"/>
      <c r="FB442" s="107"/>
      <c r="FC442" s="11"/>
      <c r="FD442" s="101"/>
      <c r="FE442" s="108"/>
      <c r="FF442" s="8"/>
    </row>
    <row r="443" spans="37:162">
      <c r="AK443" s="11"/>
      <c r="AL443" s="11"/>
      <c r="AM443" s="11"/>
      <c r="AN443" s="11"/>
      <c r="AO443" s="11"/>
      <c r="AP443" s="11"/>
      <c r="AX443" s="99"/>
      <c r="AY443" s="99"/>
      <c r="AZ443" s="99"/>
      <c r="BH443" s="100"/>
      <c r="BI443" s="100"/>
      <c r="BJ443" s="100"/>
      <c r="BK443" s="101"/>
      <c r="BL443" s="80"/>
      <c r="BM443" s="102"/>
      <c r="BN443" s="102"/>
      <c r="BO443" s="103"/>
      <c r="BP443" s="104"/>
      <c r="BQ443" s="28"/>
      <c r="BR443" s="102"/>
      <c r="BS443" s="102"/>
      <c r="BT443" s="102"/>
      <c r="BU443" s="102"/>
      <c r="BV443" s="105"/>
      <c r="BW443" s="101"/>
      <c r="BX443" s="105"/>
      <c r="BY443" s="11"/>
      <c r="BZ443" s="106"/>
      <c r="CA443" s="101"/>
      <c r="CB443" s="107"/>
      <c r="CC443" s="11"/>
      <c r="CD443" s="101"/>
      <c r="CE443" s="108"/>
      <c r="CF443" s="8"/>
      <c r="DK443" s="11"/>
      <c r="DL443" s="11"/>
      <c r="DM443" s="11"/>
      <c r="DN443" s="11"/>
      <c r="DO443" s="11"/>
      <c r="DP443" s="11"/>
      <c r="DX443" s="99"/>
      <c r="DY443" s="99"/>
      <c r="DZ443" s="99"/>
      <c r="EH443" s="100"/>
      <c r="EI443" s="100"/>
      <c r="EJ443" s="100"/>
      <c r="EK443" s="101"/>
      <c r="EL443" s="80"/>
      <c r="EM443" s="102"/>
      <c r="EN443" s="102"/>
      <c r="EO443" s="103"/>
      <c r="EP443" s="104"/>
      <c r="EQ443" s="28"/>
      <c r="ER443" s="102"/>
      <c r="ES443" s="102"/>
      <c r="ET443" s="102"/>
      <c r="EU443" s="102"/>
      <c r="EV443" s="105"/>
      <c r="EW443" s="101"/>
      <c r="EX443" s="105"/>
      <c r="EY443" s="11"/>
      <c r="EZ443" s="106"/>
      <c r="FA443" s="101"/>
      <c r="FB443" s="107"/>
      <c r="FC443" s="11"/>
      <c r="FD443" s="101"/>
      <c r="FE443" s="108"/>
      <c r="FF443" s="8"/>
    </row>
    <row r="444" spans="37:162">
      <c r="AK444" s="11"/>
      <c r="AL444" s="11"/>
      <c r="AM444" s="11"/>
      <c r="AN444" s="11"/>
      <c r="AO444" s="11"/>
      <c r="AP444" s="11"/>
      <c r="AX444" s="99"/>
      <c r="AY444" s="99"/>
      <c r="AZ444" s="99"/>
      <c r="BH444" s="100"/>
      <c r="BI444" s="100"/>
      <c r="BJ444" s="100"/>
      <c r="BK444" s="101"/>
      <c r="BL444" s="80"/>
      <c r="BM444" s="102"/>
      <c r="BN444" s="102"/>
      <c r="BO444" s="103"/>
      <c r="BP444" s="104"/>
      <c r="BQ444" s="28"/>
      <c r="BR444" s="102"/>
      <c r="BS444" s="102"/>
      <c r="BT444" s="102"/>
      <c r="BU444" s="102"/>
      <c r="BV444" s="105"/>
      <c r="BW444" s="101"/>
      <c r="BX444" s="105"/>
      <c r="BY444" s="11"/>
      <c r="BZ444" s="106"/>
      <c r="CA444" s="101"/>
      <c r="CB444" s="107"/>
      <c r="CC444" s="11"/>
      <c r="CD444" s="101"/>
      <c r="CE444" s="108"/>
      <c r="CF444" s="8"/>
      <c r="DK444" s="11"/>
      <c r="DL444" s="11"/>
      <c r="DM444" s="11"/>
      <c r="DN444" s="11"/>
      <c r="DO444" s="11"/>
      <c r="DP444" s="11"/>
      <c r="DX444" s="99"/>
      <c r="DY444" s="99"/>
      <c r="DZ444" s="99"/>
      <c r="EH444" s="100"/>
      <c r="EI444" s="100"/>
      <c r="EJ444" s="100"/>
      <c r="EK444" s="101"/>
      <c r="EL444" s="80"/>
      <c r="EM444" s="102"/>
      <c r="EN444" s="102"/>
      <c r="EO444" s="103"/>
      <c r="EP444" s="104"/>
      <c r="EQ444" s="28"/>
      <c r="ER444" s="102"/>
      <c r="ES444" s="102"/>
      <c r="ET444" s="102"/>
      <c r="EU444" s="102"/>
      <c r="EV444" s="105"/>
      <c r="EW444" s="101"/>
      <c r="EX444" s="105"/>
      <c r="EY444" s="11"/>
      <c r="EZ444" s="106"/>
      <c r="FA444" s="101"/>
      <c r="FB444" s="107"/>
      <c r="FC444" s="11"/>
      <c r="FD444" s="101"/>
      <c r="FE444" s="108"/>
      <c r="FF444" s="8"/>
    </row>
    <row r="445" spans="37:162">
      <c r="AK445" s="11"/>
      <c r="AL445" s="11"/>
      <c r="AM445" s="11"/>
      <c r="AN445" s="11"/>
      <c r="AO445" s="11"/>
      <c r="AP445" s="11"/>
      <c r="AX445" s="99"/>
      <c r="AY445" s="99"/>
      <c r="AZ445" s="99"/>
      <c r="BH445" s="100"/>
      <c r="BI445" s="100"/>
      <c r="BJ445" s="100"/>
      <c r="BK445" s="101"/>
      <c r="BL445" s="80"/>
      <c r="BM445" s="102"/>
      <c r="BN445" s="102"/>
      <c r="BO445" s="103"/>
      <c r="BP445" s="104"/>
      <c r="BQ445" s="28"/>
      <c r="BR445" s="102"/>
      <c r="BS445" s="102"/>
      <c r="BT445" s="102"/>
      <c r="BU445" s="102"/>
      <c r="BV445" s="105"/>
      <c r="BW445" s="101"/>
      <c r="BX445" s="105"/>
      <c r="BY445" s="11"/>
      <c r="BZ445" s="106"/>
      <c r="CA445" s="101"/>
      <c r="CB445" s="107"/>
      <c r="CC445" s="11"/>
      <c r="CD445" s="101"/>
      <c r="CE445" s="108"/>
      <c r="CF445" s="8"/>
      <c r="DK445" s="11"/>
      <c r="DL445" s="11"/>
      <c r="DM445" s="11"/>
      <c r="DN445" s="11"/>
      <c r="DO445" s="11"/>
      <c r="DP445" s="11"/>
      <c r="DX445" s="99"/>
      <c r="DY445" s="99"/>
      <c r="DZ445" s="99"/>
      <c r="EH445" s="100"/>
      <c r="EI445" s="100"/>
      <c r="EJ445" s="100"/>
      <c r="EK445" s="101"/>
      <c r="EL445" s="80"/>
      <c r="EM445" s="102"/>
      <c r="EN445" s="102"/>
      <c r="EO445" s="103"/>
      <c r="EP445" s="104"/>
      <c r="EQ445" s="28"/>
      <c r="ER445" s="102"/>
      <c r="ES445" s="102"/>
      <c r="ET445" s="102"/>
      <c r="EU445" s="102"/>
      <c r="EV445" s="105"/>
      <c r="EW445" s="101"/>
      <c r="EX445" s="105"/>
      <c r="EY445" s="11"/>
      <c r="EZ445" s="106"/>
      <c r="FA445" s="101"/>
      <c r="FB445" s="107"/>
      <c r="FC445" s="11"/>
      <c r="FD445" s="101"/>
      <c r="FE445" s="108"/>
      <c r="FF445" s="8"/>
    </row>
    <row r="446" spans="37:162">
      <c r="AK446" s="11"/>
      <c r="AL446" s="11"/>
      <c r="AM446" s="11"/>
      <c r="AN446" s="11"/>
      <c r="AO446" s="11"/>
      <c r="AP446" s="11"/>
      <c r="AX446" s="99"/>
      <c r="AY446" s="99"/>
      <c r="AZ446" s="99"/>
      <c r="BH446" s="100"/>
      <c r="BI446" s="100"/>
      <c r="BJ446" s="100"/>
      <c r="BK446" s="101"/>
      <c r="BL446" s="80"/>
      <c r="BM446" s="102"/>
      <c r="BN446" s="102"/>
      <c r="BO446" s="103"/>
      <c r="BP446" s="104"/>
      <c r="BQ446" s="28"/>
      <c r="BR446" s="102"/>
      <c r="BS446" s="102"/>
      <c r="BT446" s="102"/>
      <c r="BU446" s="102"/>
      <c r="BV446" s="105"/>
      <c r="BW446" s="101"/>
      <c r="BX446" s="105"/>
      <c r="BY446" s="11"/>
      <c r="BZ446" s="106"/>
      <c r="CA446" s="101"/>
      <c r="CB446" s="107"/>
      <c r="CC446" s="11"/>
      <c r="CD446" s="101"/>
      <c r="CE446" s="108"/>
      <c r="CF446" s="8"/>
      <c r="DK446" s="11"/>
      <c r="DL446" s="11"/>
      <c r="DM446" s="11"/>
      <c r="DN446" s="11"/>
      <c r="DO446" s="11"/>
      <c r="DP446" s="11"/>
      <c r="DX446" s="99"/>
      <c r="DY446" s="99"/>
      <c r="DZ446" s="99"/>
      <c r="EH446" s="100"/>
      <c r="EI446" s="100"/>
      <c r="EJ446" s="100"/>
      <c r="EK446" s="101"/>
      <c r="EL446" s="80"/>
      <c r="EM446" s="102"/>
      <c r="EN446" s="102"/>
      <c r="EO446" s="103"/>
      <c r="EP446" s="104"/>
      <c r="EQ446" s="28"/>
      <c r="ER446" s="102"/>
      <c r="ES446" s="102"/>
      <c r="ET446" s="102"/>
      <c r="EU446" s="102"/>
      <c r="EV446" s="105"/>
      <c r="EW446" s="101"/>
      <c r="EX446" s="105"/>
      <c r="EY446" s="11"/>
      <c r="EZ446" s="106"/>
      <c r="FA446" s="101"/>
      <c r="FB446" s="107"/>
      <c r="FC446" s="11"/>
      <c r="FD446" s="101"/>
      <c r="FE446" s="108"/>
      <c r="FF446" s="8"/>
    </row>
    <row r="447" spans="37:162">
      <c r="AK447" s="11"/>
      <c r="AL447" s="11"/>
      <c r="AM447" s="11"/>
      <c r="AN447" s="11"/>
      <c r="AO447" s="11"/>
      <c r="AP447" s="11"/>
      <c r="AX447" s="99"/>
      <c r="AY447" s="99"/>
      <c r="AZ447" s="99"/>
      <c r="BH447" s="100"/>
      <c r="BI447" s="100"/>
      <c r="BJ447" s="100"/>
      <c r="BK447" s="101"/>
      <c r="BL447" s="80"/>
      <c r="BM447" s="102"/>
      <c r="BN447" s="102"/>
      <c r="BO447" s="103"/>
      <c r="BP447" s="104"/>
      <c r="BQ447" s="28"/>
      <c r="BR447" s="102"/>
      <c r="BS447" s="102"/>
      <c r="BT447" s="102"/>
      <c r="BU447" s="102"/>
      <c r="BV447" s="105"/>
      <c r="BW447" s="101"/>
      <c r="BX447" s="105"/>
      <c r="BY447" s="11"/>
      <c r="BZ447" s="106"/>
      <c r="CA447" s="101"/>
      <c r="CB447" s="107"/>
      <c r="CC447" s="11"/>
      <c r="CD447" s="101"/>
      <c r="CE447" s="108"/>
      <c r="CF447" s="8"/>
      <c r="DK447" s="11"/>
      <c r="DL447" s="11"/>
      <c r="DM447" s="11"/>
      <c r="DN447" s="11"/>
      <c r="DO447" s="11"/>
      <c r="DP447" s="11"/>
      <c r="DX447" s="99"/>
      <c r="DY447" s="99"/>
      <c r="DZ447" s="99"/>
      <c r="EH447" s="100"/>
      <c r="EI447" s="100"/>
      <c r="EJ447" s="100"/>
      <c r="EK447" s="101"/>
      <c r="EL447" s="80"/>
      <c r="EM447" s="102"/>
      <c r="EN447" s="102"/>
      <c r="EO447" s="103"/>
      <c r="EP447" s="104"/>
      <c r="EQ447" s="28"/>
      <c r="ER447" s="102"/>
      <c r="ES447" s="102"/>
      <c r="ET447" s="102"/>
      <c r="EU447" s="102"/>
      <c r="EV447" s="105"/>
      <c r="EW447" s="101"/>
      <c r="EX447" s="105"/>
      <c r="EY447" s="11"/>
      <c r="EZ447" s="106"/>
      <c r="FA447" s="101"/>
      <c r="FB447" s="107"/>
      <c r="FC447" s="11"/>
      <c r="FD447" s="101"/>
      <c r="FE447" s="108"/>
      <c r="FF447" s="8"/>
    </row>
    <row r="448" spans="37:162">
      <c r="AK448" s="11"/>
      <c r="AL448" s="11"/>
      <c r="AM448" s="11"/>
      <c r="AN448" s="11"/>
      <c r="AO448" s="11"/>
      <c r="AP448" s="11"/>
      <c r="AX448" s="99"/>
      <c r="AY448" s="99"/>
      <c r="AZ448" s="99"/>
      <c r="BH448" s="100"/>
      <c r="BI448" s="100"/>
      <c r="BJ448" s="100"/>
      <c r="BK448" s="101"/>
      <c r="BL448" s="80"/>
      <c r="BM448" s="102"/>
      <c r="BN448" s="102"/>
      <c r="BO448" s="103"/>
      <c r="BP448" s="104"/>
      <c r="BQ448" s="28"/>
      <c r="BR448" s="102"/>
      <c r="BS448" s="102"/>
      <c r="BT448" s="102"/>
      <c r="BU448" s="102"/>
      <c r="BV448" s="105"/>
      <c r="BW448" s="101"/>
      <c r="BX448" s="105"/>
      <c r="BY448" s="11"/>
      <c r="BZ448" s="106"/>
      <c r="CA448" s="101"/>
      <c r="CB448" s="107"/>
      <c r="CC448" s="11"/>
      <c r="CD448" s="101"/>
      <c r="CE448" s="108"/>
      <c r="CF448" s="8"/>
      <c r="DK448" s="11"/>
      <c r="DL448" s="11"/>
      <c r="DM448" s="11"/>
      <c r="DN448" s="11"/>
      <c r="DO448" s="11"/>
      <c r="DP448" s="11"/>
      <c r="DX448" s="99"/>
      <c r="DY448" s="99"/>
      <c r="DZ448" s="99"/>
      <c r="EH448" s="100"/>
      <c r="EI448" s="100"/>
      <c r="EJ448" s="100"/>
      <c r="EK448" s="101"/>
      <c r="EL448" s="80"/>
      <c r="EM448" s="102"/>
      <c r="EN448" s="102"/>
      <c r="EO448" s="103"/>
      <c r="EP448" s="104"/>
      <c r="EQ448" s="28"/>
      <c r="ER448" s="102"/>
      <c r="ES448" s="102"/>
      <c r="ET448" s="102"/>
      <c r="EU448" s="102"/>
      <c r="EV448" s="105"/>
      <c r="EW448" s="101"/>
      <c r="EX448" s="105"/>
      <c r="EY448" s="11"/>
      <c r="EZ448" s="106"/>
      <c r="FA448" s="101"/>
      <c r="FB448" s="107"/>
      <c r="FC448" s="11"/>
      <c r="FD448" s="101"/>
      <c r="FE448" s="108"/>
      <c r="FF448" s="8"/>
    </row>
    <row r="449" spans="37:162">
      <c r="AK449" s="11"/>
      <c r="AL449" s="11"/>
      <c r="AM449" s="11"/>
      <c r="AN449" s="11"/>
      <c r="AO449" s="11"/>
      <c r="AP449" s="11"/>
      <c r="AX449" s="99"/>
      <c r="AY449" s="99"/>
      <c r="AZ449" s="99"/>
      <c r="BH449" s="100"/>
      <c r="BI449" s="100"/>
      <c r="BJ449" s="100"/>
      <c r="BK449" s="101"/>
      <c r="BL449" s="80"/>
      <c r="BM449" s="102"/>
      <c r="BN449" s="102"/>
      <c r="BO449" s="103"/>
      <c r="BP449" s="104"/>
      <c r="BQ449" s="28"/>
      <c r="BR449" s="102"/>
      <c r="BS449" s="102"/>
      <c r="BT449" s="102"/>
      <c r="BU449" s="102"/>
      <c r="BV449" s="105"/>
      <c r="BW449" s="101"/>
      <c r="BX449" s="105"/>
      <c r="BY449" s="11"/>
      <c r="BZ449" s="106"/>
      <c r="CA449" s="101"/>
      <c r="CB449" s="107"/>
      <c r="CC449" s="11"/>
      <c r="CD449" s="101"/>
      <c r="CE449" s="108"/>
      <c r="CF449" s="8"/>
      <c r="DK449" s="11"/>
      <c r="DL449" s="11"/>
      <c r="DM449" s="11"/>
      <c r="DN449" s="11"/>
      <c r="DO449" s="11"/>
      <c r="DP449" s="11"/>
      <c r="DX449" s="99"/>
      <c r="DY449" s="99"/>
      <c r="DZ449" s="99"/>
      <c r="EH449" s="100"/>
      <c r="EI449" s="100"/>
      <c r="EJ449" s="100"/>
      <c r="EK449" s="101"/>
      <c r="EL449" s="80"/>
      <c r="EM449" s="102"/>
      <c r="EN449" s="102"/>
      <c r="EO449" s="103"/>
      <c r="EP449" s="104"/>
      <c r="EQ449" s="28"/>
      <c r="ER449" s="102"/>
      <c r="ES449" s="102"/>
      <c r="ET449" s="102"/>
      <c r="EU449" s="102"/>
      <c r="EV449" s="105"/>
      <c r="EW449" s="101"/>
      <c r="EX449" s="105"/>
      <c r="EY449" s="11"/>
      <c r="EZ449" s="106"/>
      <c r="FA449" s="101"/>
      <c r="FB449" s="107"/>
      <c r="FC449" s="11"/>
      <c r="FD449" s="101"/>
      <c r="FE449" s="108"/>
      <c r="FF449" s="8"/>
    </row>
    <row r="450" spans="37:162">
      <c r="AK450" s="11"/>
      <c r="AL450" s="11"/>
      <c r="AM450" s="11"/>
      <c r="AN450" s="11"/>
      <c r="AO450" s="11"/>
      <c r="AP450" s="11"/>
      <c r="AX450" s="99"/>
      <c r="AY450" s="99"/>
      <c r="AZ450" s="99"/>
      <c r="BH450" s="100"/>
      <c r="BI450" s="100"/>
      <c r="BJ450" s="100"/>
      <c r="BK450" s="101"/>
      <c r="BL450" s="80"/>
      <c r="BM450" s="102"/>
      <c r="BN450" s="102"/>
      <c r="BO450" s="103"/>
      <c r="BP450" s="104"/>
      <c r="BQ450" s="28"/>
      <c r="BR450" s="102"/>
      <c r="BS450" s="102"/>
      <c r="BT450" s="102"/>
      <c r="BU450" s="102"/>
      <c r="BV450" s="105"/>
      <c r="BW450" s="101"/>
      <c r="BX450" s="105"/>
      <c r="BY450" s="11"/>
      <c r="BZ450" s="106"/>
      <c r="CA450" s="101"/>
      <c r="CB450" s="107"/>
      <c r="CC450" s="11"/>
      <c r="CD450" s="101"/>
      <c r="CE450" s="108"/>
      <c r="CF450" s="8"/>
      <c r="DK450" s="11"/>
      <c r="DL450" s="11"/>
      <c r="DM450" s="11"/>
      <c r="DN450" s="11"/>
      <c r="DO450" s="11"/>
      <c r="DP450" s="11"/>
      <c r="DX450" s="99"/>
      <c r="DY450" s="99"/>
      <c r="DZ450" s="99"/>
      <c r="EH450" s="100"/>
      <c r="EI450" s="100"/>
      <c r="EJ450" s="100"/>
      <c r="EK450" s="101"/>
      <c r="EL450" s="80"/>
      <c r="EM450" s="102"/>
      <c r="EN450" s="102"/>
      <c r="EO450" s="103"/>
      <c r="EP450" s="104"/>
      <c r="EQ450" s="28"/>
      <c r="ER450" s="102"/>
      <c r="ES450" s="102"/>
      <c r="ET450" s="102"/>
      <c r="EU450" s="102"/>
      <c r="EV450" s="105"/>
      <c r="EW450" s="101"/>
      <c r="EX450" s="105"/>
      <c r="EY450" s="11"/>
      <c r="EZ450" s="106"/>
      <c r="FA450" s="101"/>
      <c r="FB450" s="107"/>
      <c r="FC450" s="11"/>
      <c r="FD450" s="101"/>
      <c r="FE450" s="108"/>
      <c r="FF450" s="8"/>
    </row>
    <row r="451" spans="37:162">
      <c r="AK451" s="11"/>
      <c r="AL451" s="11"/>
      <c r="AM451" s="11"/>
      <c r="AN451" s="11"/>
      <c r="AO451" s="11"/>
      <c r="AP451" s="11"/>
      <c r="AX451" s="99"/>
      <c r="AY451" s="99"/>
      <c r="AZ451" s="99"/>
      <c r="BH451" s="100"/>
      <c r="BI451" s="100"/>
      <c r="BJ451" s="100"/>
      <c r="BK451" s="101"/>
      <c r="BL451" s="80"/>
      <c r="BM451" s="102"/>
      <c r="BN451" s="102"/>
      <c r="BO451" s="103"/>
      <c r="BP451" s="104"/>
      <c r="BQ451" s="28"/>
      <c r="BR451" s="102"/>
      <c r="BS451" s="102"/>
      <c r="BT451" s="102"/>
      <c r="BU451" s="102"/>
      <c r="BV451" s="105"/>
      <c r="BW451" s="101"/>
      <c r="BX451" s="105"/>
      <c r="BY451" s="11"/>
      <c r="BZ451" s="106"/>
      <c r="CA451" s="101"/>
      <c r="CB451" s="107"/>
      <c r="CC451" s="11"/>
      <c r="CD451" s="101"/>
      <c r="CE451" s="108"/>
      <c r="CF451" s="8"/>
      <c r="DK451" s="11"/>
      <c r="DL451" s="11"/>
      <c r="DM451" s="11"/>
      <c r="DN451" s="11"/>
      <c r="DO451" s="11"/>
      <c r="DP451" s="11"/>
      <c r="DX451" s="99"/>
      <c r="DY451" s="99"/>
      <c r="DZ451" s="99"/>
      <c r="EH451" s="100"/>
      <c r="EI451" s="100"/>
      <c r="EJ451" s="100"/>
      <c r="EK451" s="101"/>
      <c r="EL451" s="80"/>
      <c r="EM451" s="102"/>
      <c r="EN451" s="102"/>
      <c r="EO451" s="103"/>
      <c r="EP451" s="104"/>
      <c r="EQ451" s="28"/>
      <c r="ER451" s="102"/>
      <c r="ES451" s="102"/>
      <c r="ET451" s="102"/>
      <c r="EU451" s="102"/>
      <c r="EV451" s="105"/>
      <c r="EW451" s="101"/>
      <c r="EX451" s="105"/>
      <c r="EY451" s="11"/>
      <c r="EZ451" s="106"/>
      <c r="FA451" s="101"/>
      <c r="FB451" s="107"/>
      <c r="FC451" s="11"/>
      <c r="FD451" s="101"/>
      <c r="FE451" s="108"/>
      <c r="FF451" s="8"/>
    </row>
    <row r="452" spans="37:162">
      <c r="AK452" s="11"/>
      <c r="AL452" s="11"/>
      <c r="AM452" s="11"/>
      <c r="AN452" s="11"/>
      <c r="AO452" s="11"/>
      <c r="AP452" s="11"/>
      <c r="AX452" s="99"/>
      <c r="AY452" s="99"/>
      <c r="AZ452" s="99"/>
      <c r="BH452" s="100"/>
      <c r="BI452" s="100"/>
      <c r="BJ452" s="100"/>
      <c r="BK452" s="101"/>
      <c r="BL452" s="80"/>
      <c r="BM452" s="102"/>
      <c r="BN452" s="102"/>
      <c r="BO452" s="103"/>
      <c r="BP452" s="104"/>
      <c r="BQ452" s="28"/>
      <c r="BR452" s="102"/>
      <c r="BS452" s="102"/>
      <c r="BT452" s="102"/>
      <c r="BU452" s="102"/>
      <c r="BV452" s="105"/>
      <c r="BW452" s="101"/>
      <c r="BX452" s="105"/>
      <c r="BY452" s="11"/>
      <c r="BZ452" s="106"/>
      <c r="CA452" s="101"/>
      <c r="CB452" s="107"/>
      <c r="CC452" s="11"/>
      <c r="CD452" s="101"/>
      <c r="CE452" s="108"/>
      <c r="CF452" s="8"/>
      <c r="DK452" s="11"/>
      <c r="DL452" s="11"/>
      <c r="DM452" s="11"/>
      <c r="DN452" s="11"/>
      <c r="DO452" s="11"/>
      <c r="DP452" s="11"/>
      <c r="DX452" s="99"/>
      <c r="DY452" s="99"/>
      <c r="DZ452" s="99"/>
      <c r="EH452" s="100"/>
      <c r="EI452" s="100"/>
      <c r="EJ452" s="100"/>
      <c r="EK452" s="101"/>
      <c r="EL452" s="80"/>
      <c r="EM452" s="102"/>
      <c r="EN452" s="102"/>
      <c r="EO452" s="103"/>
      <c r="EP452" s="104"/>
      <c r="EQ452" s="28"/>
      <c r="ER452" s="102"/>
      <c r="ES452" s="102"/>
      <c r="ET452" s="102"/>
      <c r="EU452" s="102"/>
      <c r="EV452" s="105"/>
      <c r="EW452" s="101"/>
      <c r="EX452" s="105"/>
      <c r="EY452" s="11"/>
      <c r="EZ452" s="106"/>
      <c r="FA452" s="101"/>
      <c r="FB452" s="107"/>
      <c r="FC452" s="11"/>
      <c r="FD452" s="101"/>
      <c r="FE452" s="108"/>
      <c r="FF452" s="8"/>
    </row>
    <row r="453" spans="37:162">
      <c r="AK453" s="11"/>
      <c r="AL453" s="11"/>
      <c r="AM453" s="11"/>
      <c r="AN453" s="11"/>
      <c r="AO453" s="11"/>
      <c r="AP453" s="11"/>
      <c r="AX453" s="99"/>
      <c r="AY453" s="99"/>
      <c r="AZ453" s="99"/>
      <c r="BH453" s="100"/>
      <c r="BI453" s="100"/>
      <c r="BJ453" s="100"/>
      <c r="BK453" s="101"/>
      <c r="BL453" s="80"/>
      <c r="BM453" s="102"/>
      <c r="BN453" s="102"/>
      <c r="BO453" s="103"/>
      <c r="BP453" s="104"/>
      <c r="BQ453" s="28"/>
      <c r="BR453" s="102"/>
      <c r="BS453" s="102"/>
      <c r="BT453" s="102"/>
      <c r="BU453" s="102"/>
      <c r="BV453" s="105"/>
      <c r="BW453" s="101"/>
      <c r="BX453" s="105"/>
      <c r="BY453" s="11"/>
      <c r="BZ453" s="106"/>
      <c r="CA453" s="101"/>
      <c r="CB453" s="107"/>
      <c r="CC453" s="11"/>
      <c r="CD453" s="101"/>
      <c r="CE453" s="108"/>
      <c r="CF453" s="8"/>
      <c r="DK453" s="11"/>
      <c r="DL453" s="11"/>
      <c r="DM453" s="11"/>
      <c r="DN453" s="11"/>
      <c r="DO453" s="11"/>
      <c r="DP453" s="11"/>
      <c r="DX453" s="99"/>
      <c r="DY453" s="99"/>
      <c r="DZ453" s="99"/>
      <c r="EH453" s="100"/>
      <c r="EI453" s="100"/>
      <c r="EJ453" s="100"/>
      <c r="EK453" s="101"/>
      <c r="EL453" s="80"/>
      <c r="EM453" s="102"/>
      <c r="EN453" s="102"/>
      <c r="EO453" s="103"/>
      <c r="EP453" s="104"/>
      <c r="EQ453" s="28"/>
      <c r="ER453" s="102"/>
      <c r="ES453" s="102"/>
      <c r="ET453" s="102"/>
      <c r="EU453" s="102"/>
      <c r="EV453" s="105"/>
      <c r="EW453" s="101"/>
      <c r="EX453" s="105"/>
      <c r="EY453" s="11"/>
      <c r="EZ453" s="106"/>
      <c r="FA453" s="101"/>
      <c r="FB453" s="107"/>
      <c r="FC453" s="11"/>
      <c r="FD453" s="101"/>
      <c r="FE453" s="108"/>
      <c r="FF453" s="8"/>
    </row>
    <row r="454" spans="37:162">
      <c r="AK454" s="11"/>
      <c r="AL454" s="11"/>
      <c r="AM454" s="11"/>
      <c r="AN454" s="11"/>
      <c r="AO454" s="11"/>
      <c r="AP454" s="11"/>
      <c r="AX454" s="99"/>
      <c r="AY454" s="99"/>
      <c r="AZ454" s="99"/>
      <c r="BH454" s="100"/>
      <c r="BI454" s="100"/>
      <c r="BJ454" s="100"/>
      <c r="BK454" s="101"/>
      <c r="BL454" s="80"/>
      <c r="BM454" s="102"/>
      <c r="BN454" s="102"/>
      <c r="BO454" s="103"/>
      <c r="BP454" s="104"/>
      <c r="BQ454" s="28"/>
      <c r="BR454" s="102"/>
      <c r="BS454" s="102"/>
      <c r="BT454" s="102"/>
      <c r="BU454" s="102"/>
      <c r="BV454" s="105"/>
      <c r="BW454" s="101"/>
      <c r="BX454" s="105"/>
      <c r="BY454" s="11"/>
      <c r="BZ454" s="106"/>
      <c r="CA454" s="101"/>
      <c r="CB454" s="107"/>
      <c r="CC454" s="11"/>
      <c r="CD454" s="101"/>
      <c r="CE454" s="108"/>
      <c r="CF454" s="8"/>
      <c r="DK454" s="11"/>
      <c r="DL454" s="11"/>
      <c r="DM454" s="11"/>
      <c r="DN454" s="11"/>
      <c r="DO454" s="11"/>
      <c r="DP454" s="11"/>
      <c r="DX454" s="99"/>
      <c r="DY454" s="99"/>
      <c r="DZ454" s="99"/>
      <c r="EH454" s="100"/>
      <c r="EI454" s="100"/>
      <c r="EJ454" s="100"/>
      <c r="EK454" s="101"/>
      <c r="EL454" s="80"/>
      <c r="EM454" s="102"/>
      <c r="EN454" s="102"/>
      <c r="EO454" s="103"/>
      <c r="EP454" s="104"/>
      <c r="EQ454" s="28"/>
      <c r="ER454" s="102"/>
      <c r="ES454" s="102"/>
      <c r="ET454" s="102"/>
      <c r="EU454" s="102"/>
      <c r="EV454" s="105"/>
      <c r="EW454" s="101"/>
      <c r="EX454" s="105"/>
      <c r="EY454" s="11"/>
      <c r="EZ454" s="106"/>
      <c r="FA454" s="101"/>
      <c r="FB454" s="107"/>
      <c r="FC454" s="11"/>
      <c r="FD454" s="101"/>
      <c r="FE454" s="108"/>
      <c r="FF454" s="8"/>
    </row>
    <row r="455" spans="37:162">
      <c r="AK455" s="11"/>
      <c r="AL455" s="11"/>
      <c r="AM455" s="11"/>
      <c r="AN455" s="11"/>
      <c r="AO455" s="11"/>
      <c r="AP455" s="11"/>
      <c r="AX455" s="99"/>
      <c r="AY455" s="99"/>
      <c r="AZ455" s="99"/>
      <c r="BH455" s="100"/>
      <c r="BI455" s="100"/>
      <c r="BJ455" s="100"/>
      <c r="BK455" s="101"/>
      <c r="BL455" s="80"/>
      <c r="BM455" s="102"/>
      <c r="BN455" s="102"/>
      <c r="BO455" s="103"/>
      <c r="BP455" s="104"/>
      <c r="BQ455" s="28"/>
      <c r="BR455" s="102"/>
      <c r="BS455" s="102"/>
      <c r="BT455" s="102"/>
      <c r="BU455" s="102"/>
      <c r="BV455" s="105"/>
      <c r="BW455" s="101"/>
      <c r="BX455" s="105"/>
      <c r="BY455" s="11"/>
      <c r="BZ455" s="106"/>
      <c r="CA455" s="101"/>
      <c r="CB455" s="107"/>
      <c r="CC455" s="11"/>
      <c r="CD455" s="101"/>
      <c r="CE455" s="108"/>
      <c r="CF455" s="8"/>
      <c r="DK455" s="11"/>
      <c r="DL455" s="11"/>
      <c r="DM455" s="11"/>
      <c r="DN455" s="11"/>
      <c r="DO455" s="11"/>
      <c r="DP455" s="11"/>
      <c r="DX455" s="99"/>
      <c r="DY455" s="99"/>
      <c r="DZ455" s="99"/>
      <c r="EH455" s="100"/>
      <c r="EI455" s="100"/>
      <c r="EJ455" s="100"/>
      <c r="EK455" s="101"/>
      <c r="EL455" s="80"/>
      <c r="EM455" s="102"/>
      <c r="EN455" s="102"/>
      <c r="EO455" s="103"/>
      <c r="EP455" s="104"/>
      <c r="EQ455" s="28"/>
      <c r="ER455" s="102"/>
      <c r="ES455" s="102"/>
      <c r="ET455" s="102"/>
      <c r="EU455" s="102"/>
      <c r="EV455" s="105"/>
      <c r="EW455" s="101"/>
      <c r="EX455" s="105"/>
      <c r="EY455" s="11"/>
      <c r="EZ455" s="106"/>
      <c r="FA455" s="101"/>
      <c r="FB455" s="107"/>
      <c r="FC455" s="11"/>
      <c r="FD455" s="101"/>
      <c r="FE455" s="108"/>
      <c r="FF455" s="8"/>
    </row>
    <row r="456" spans="37:162">
      <c r="AK456" s="11"/>
      <c r="AL456" s="11"/>
      <c r="AM456" s="11"/>
      <c r="AN456" s="11"/>
      <c r="AO456" s="11"/>
      <c r="AP456" s="11"/>
      <c r="AX456" s="99"/>
      <c r="AY456" s="99"/>
      <c r="AZ456" s="99"/>
      <c r="BH456" s="100"/>
      <c r="BI456" s="100"/>
      <c r="BJ456" s="100"/>
      <c r="BK456" s="101"/>
      <c r="BL456" s="80"/>
      <c r="BM456" s="102"/>
      <c r="BN456" s="102"/>
      <c r="BO456" s="103"/>
      <c r="BP456" s="104"/>
      <c r="BQ456" s="28"/>
      <c r="BR456" s="102"/>
      <c r="BS456" s="102"/>
      <c r="BT456" s="102"/>
      <c r="BU456" s="102"/>
      <c r="BV456" s="105"/>
      <c r="BW456" s="101"/>
      <c r="BX456" s="105"/>
      <c r="BY456" s="11"/>
      <c r="BZ456" s="106"/>
      <c r="CA456" s="101"/>
      <c r="CB456" s="107"/>
      <c r="CC456" s="11"/>
      <c r="CD456" s="101"/>
      <c r="CE456" s="108"/>
      <c r="CF456" s="8"/>
      <c r="DK456" s="11"/>
      <c r="DL456" s="11"/>
      <c r="DM456" s="11"/>
      <c r="DN456" s="11"/>
      <c r="DO456" s="11"/>
      <c r="DP456" s="11"/>
      <c r="DX456" s="99"/>
      <c r="DY456" s="99"/>
      <c r="DZ456" s="99"/>
      <c r="EH456" s="100"/>
      <c r="EI456" s="100"/>
      <c r="EJ456" s="100"/>
      <c r="EK456" s="101"/>
      <c r="EL456" s="80"/>
      <c r="EM456" s="102"/>
      <c r="EN456" s="102"/>
      <c r="EO456" s="103"/>
      <c r="EP456" s="104"/>
      <c r="EQ456" s="28"/>
      <c r="ER456" s="102"/>
      <c r="ES456" s="102"/>
      <c r="ET456" s="102"/>
      <c r="EU456" s="102"/>
      <c r="EV456" s="105"/>
      <c r="EW456" s="101"/>
      <c r="EX456" s="105"/>
      <c r="EY456" s="11"/>
      <c r="EZ456" s="106"/>
      <c r="FA456" s="101"/>
      <c r="FB456" s="107"/>
      <c r="FC456" s="11"/>
      <c r="FD456" s="101"/>
      <c r="FE456" s="108"/>
      <c r="FF456" s="8"/>
    </row>
    <row r="457" spans="37:162">
      <c r="AK457" s="11"/>
      <c r="AL457" s="11"/>
      <c r="AM457" s="11"/>
      <c r="AN457" s="11"/>
      <c r="AO457" s="11"/>
      <c r="AP457" s="11"/>
      <c r="AX457" s="99"/>
      <c r="AY457" s="99"/>
      <c r="AZ457" s="99"/>
      <c r="BH457" s="100"/>
      <c r="BI457" s="100"/>
      <c r="BJ457" s="100"/>
      <c r="BK457" s="101"/>
      <c r="BL457" s="80"/>
      <c r="BM457" s="102"/>
      <c r="BN457" s="102"/>
      <c r="BO457" s="103"/>
      <c r="BP457" s="104"/>
      <c r="BQ457" s="28"/>
      <c r="BR457" s="102"/>
      <c r="BS457" s="102"/>
      <c r="BT457" s="102"/>
      <c r="BU457" s="102"/>
      <c r="BV457" s="105"/>
      <c r="BW457" s="101"/>
      <c r="BX457" s="105"/>
      <c r="BY457" s="11"/>
      <c r="BZ457" s="106"/>
      <c r="CA457" s="101"/>
      <c r="CB457" s="107"/>
      <c r="CC457" s="11"/>
      <c r="CD457" s="101"/>
      <c r="CE457" s="108"/>
      <c r="CF457" s="8"/>
      <c r="DK457" s="11"/>
      <c r="DL457" s="11"/>
      <c r="DM457" s="11"/>
      <c r="DN457" s="11"/>
      <c r="DO457" s="11"/>
      <c r="DP457" s="11"/>
      <c r="DX457" s="99"/>
      <c r="DY457" s="99"/>
      <c r="DZ457" s="99"/>
      <c r="EH457" s="100"/>
      <c r="EI457" s="100"/>
      <c r="EJ457" s="100"/>
      <c r="EK457" s="101"/>
      <c r="EL457" s="80"/>
      <c r="EM457" s="102"/>
      <c r="EN457" s="102"/>
      <c r="EO457" s="103"/>
      <c r="EP457" s="104"/>
      <c r="EQ457" s="28"/>
      <c r="ER457" s="102"/>
      <c r="ES457" s="102"/>
      <c r="ET457" s="102"/>
      <c r="EU457" s="102"/>
      <c r="EV457" s="105"/>
      <c r="EW457" s="101"/>
      <c r="EX457" s="105"/>
      <c r="EY457" s="11"/>
      <c r="EZ457" s="106"/>
      <c r="FA457" s="101"/>
      <c r="FB457" s="107"/>
      <c r="FC457" s="11"/>
      <c r="FD457" s="101"/>
      <c r="FE457" s="108"/>
      <c r="FF457" s="8"/>
    </row>
    <row r="458" spans="37:162">
      <c r="AK458" s="11"/>
      <c r="AL458" s="11"/>
      <c r="AM458" s="11"/>
      <c r="AN458" s="11"/>
      <c r="AO458" s="11"/>
      <c r="AP458" s="11"/>
      <c r="AX458" s="99"/>
      <c r="AY458" s="99"/>
      <c r="AZ458" s="99"/>
      <c r="BH458" s="100"/>
      <c r="BI458" s="100"/>
      <c r="BJ458" s="100"/>
      <c r="BK458" s="101"/>
      <c r="BL458" s="80"/>
      <c r="BM458" s="102"/>
      <c r="BN458" s="102"/>
      <c r="BO458" s="103"/>
      <c r="BP458" s="104"/>
      <c r="BQ458" s="28"/>
      <c r="BR458" s="102"/>
      <c r="BS458" s="102"/>
      <c r="BT458" s="102"/>
      <c r="BU458" s="102"/>
      <c r="BV458" s="105"/>
      <c r="BW458" s="101"/>
      <c r="BX458" s="105"/>
      <c r="BY458" s="11"/>
      <c r="BZ458" s="106"/>
      <c r="CA458" s="101"/>
      <c r="CB458" s="107"/>
      <c r="CC458" s="11"/>
      <c r="CD458" s="101"/>
      <c r="CE458" s="108"/>
      <c r="CF458" s="8"/>
      <c r="DK458" s="11"/>
      <c r="DL458" s="11"/>
      <c r="DM458" s="11"/>
      <c r="DN458" s="11"/>
      <c r="DO458" s="11"/>
      <c r="DP458" s="11"/>
      <c r="DX458" s="99"/>
      <c r="DY458" s="99"/>
      <c r="DZ458" s="99"/>
      <c r="EH458" s="100"/>
      <c r="EI458" s="100"/>
      <c r="EJ458" s="100"/>
      <c r="EK458" s="101"/>
      <c r="EL458" s="80"/>
      <c r="EM458" s="102"/>
      <c r="EN458" s="102"/>
      <c r="EO458" s="103"/>
      <c r="EP458" s="104"/>
      <c r="EQ458" s="28"/>
      <c r="ER458" s="102"/>
      <c r="ES458" s="102"/>
      <c r="ET458" s="102"/>
      <c r="EU458" s="102"/>
      <c r="EV458" s="105"/>
      <c r="EW458" s="101"/>
      <c r="EX458" s="105"/>
      <c r="EY458" s="11"/>
      <c r="EZ458" s="106"/>
      <c r="FA458" s="101"/>
      <c r="FB458" s="107"/>
      <c r="FC458" s="11"/>
      <c r="FD458" s="101"/>
      <c r="FE458" s="108"/>
      <c r="FF458" s="8"/>
    </row>
    <row r="459" spans="37:162">
      <c r="AK459" s="11"/>
      <c r="AL459" s="11"/>
      <c r="AM459" s="11"/>
      <c r="AN459" s="11"/>
      <c r="AO459" s="11"/>
      <c r="AP459" s="11"/>
      <c r="AX459" s="99"/>
      <c r="AY459" s="99"/>
      <c r="AZ459" s="99"/>
      <c r="BH459" s="100"/>
      <c r="BI459" s="100"/>
      <c r="BJ459" s="100"/>
      <c r="BK459" s="101"/>
      <c r="BL459" s="80"/>
      <c r="BM459" s="102"/>
      <c r="BN459" s="102"/>
      <c r="BO459" s="103"/>
      <c r="BP459" s="104"/>
      <c r="BQ459" s="28"/>
      <c r="BR459" s="102"/>
      <c r="BS459" s="102"/>
      <c r="BT459" s="102"/>
      <c r="BU459" s="102"/>
      <c r="BV459" s="105"/>
      <c r="BW459" s="101"/>
      <c r="BX459" s="105"/>
      <c r="BY459" s="11"/>
      <c r="BZ459" s="106"/>
      <c r="CA459" s="101"/>
      <c r="CB459" s="107"/>
      <c r="CC459" s="11"/>
      <c r="CD459" s="101"/>
      <c r="CE459" s="108"/>
      <c r="CF459" s="8"/>
      <c r="DK459" s="11"/>
      <c r="DL459" s="11"/>
      <c r="DM459" s="11"/>
      <c r="DN459" s="11"/>
      <c r="DO459" s="11"/>
      <c r="DP459" s="11"/>
      <c r="DX459" s="99"/>
      <c r="DY459" s="99"/>
      <c r="DZ459" s="99"/>
      <c r="EH459" s="100"/>
      <c r="EI459" s="100"/>
      <c r="EJ459" s="100"/>
      <c r="EK459" s="101"/>
      <c r="EL459" s="80"/>
      <c r="EM459" s="102"/>
      <c r="EN459" s="102"/>
      <c r="EO459" s="103"/>
      <c r="EP459" s="104"/>
      <c r="EQ459" s="28"/>
      <c r="ER459" s="102"/>
      <c r="ES459" s="102"/>
      <c r="ET459" s="102"/>
      <c r="EU459" s="102"/>
      <c r="EV459" s="105"/>
      <c r="EW459" s="101"/>
      <c r="EX459" s="105"/>
      <c r="EY459" s="11"/>
      <c r="EZ459" s="106"/>
      <c r="FA459" s="101"/>
      <c r="FB459" s="107"/>
      <c r="FC459" s="11"/>
      <c r="FD459" s="101"/>
      <c r="FE459" s="108"/>
      <c r="FF459" s="8"/>
    </row>
    <row r="460" spans="37:162">
      <c r="AK460" s="11"/>
      <c r="AL460" s="11"/>
      <c r="AM460" s="11"/>
      <c r="AN460" s="11"/>
      <c r="AO460" s="11"/>
      <c r="AP460" s="11"/>
      <c r="AX460" s="99"/>
      <c r="AY460" s="99"/>
      <c r="AZ460" s="99"/>
      <c r="BH460" s="100"/>
      <c r="BI460" s="100"/>
      <c r="BJ460" s="100"/>
      <c r="BK460" s="101"/>
      <c r="BL460" s="80"/>
      <c r="BM460" s="102"/>
      <c r="BN460" s="102"/>
      <c r="BO460" s="103"/>
      <c r="BP460" s="104"/>
      <c r="BQ460" s="28"/>
      <c r="BR460" s="102"/>
      <c r="BS460" s="102"/>
      <c r="BT460" s="102"/>
      <c r="BU460" s="102"/>
      <c r="BV460" s="105"/>
      <c r="BW460" s="101"/>
      <c r="BX460" s="105"/>
      <c r="BY460" s="11"/>
      <c r="BZ460" s="106"/>
      <c r="CA460" s="101"/>
      <c r="CB460" s="107"/>
      <c r="CC460" s="11"/>
      <c r="CD460" s="101"/>
      <c r="CE460" s="108"/>
      <c r="CF460" s="8"/>
      <c r="DK460" s="11"/>
      <c r="DL460" s="11"/>
      <c r="DM460" s="11"/>
      <c r="DN460" s="11"/>
      <c r="DO460" s="11"/>
      <c r="DP460" s="11"/>
      <c r="DX460" s="99"/>
      <c r="DY460" s="99"/>
      <c r="DZ460" s="99"/>
      <c r="EH460" s="100"/>
      <c r="EI460" s="100"/>
      <c r="EJ460" s="100"/>
      <c r="EK460" s="101"/>
      <c r="EL460" s="80"/>
      <c r="EM460" s="102"/>
      <c r="EN460" s="102"/>
      <c r="EO460" s="103"/>
      <c r="EP460" s="104"/>
      <c r="EQ460" s="28"/>
      <c r="ER460" s="102"/>
      <c r="ES460" s="102"/>
      <c r="ET460" s="102"/>
      <c r="EU460" s="102"/>
      <c r="EV460" s="105"/>
      <c r="EW460" s="101"/>
      <c r="EX460" s="105"/>
      <c r="EY460" s="11"/>
      <c r="EZ460" s="106"/>
      <c r="FA460" s="101"/>
      <c r="FB460" s="107"/>
      <c r="FC460" s="11"/>
      <c r="FD460" s="101"/>
      <c r="FE460" s="108"/>
      <c r="FF460" s="8"/>
    </row>
    <row r="461" spans="37:162">
      <c r="AK461" s="11"/>
      <c r="AL461" s="11"/>
      <c r="AM461" s="11"/>
      <c r="AN461" s="11"/>
      <c r="AO461" s="11"/>
      <c r="AP461" s="11"/>
      <c r="AX461" s="99"/>
      <c r="AY461" s="99"/>
      <c r="AZ461" s="99"/>
      <c r="BH461" s="100"/>
      <c r="BI461" s="100"/>
      <c r="BJ461" s="100"/>
      <c r="BK461" s="101"/>
      <c r="BL461" s="80"/>
      <c r="BM461" s="102"/>
      <c r="BN461" s="102"/>
      <c r="BO461" s="103"/>
      <c r="BP461" s="104"/>
      <c r="BQ461" s="28"/>
      <c r="BR461" s="102"/>
      <c r="BS461" s="102"/>
      <c r="BT461" s="102"/>
      <c r="BU461" s="102"/>
      <c r="BV461" s="105"/>
      <c r="BW461" s="101"/>
      <c r="BX461" s="105"/>
      <c r="BY461" s="11"/>
      <c r="BZ461" s="106"/>
      <c r="CA461" s="101"/>
      <c r="CB461" s="107"/>
      <c r="CC461" s="11"/>
      <c r="CD461" s="101"/>
      <c r="CE461" s="108"/>
      <c r="CF461" s="8"/>
      <c r="DK461" s="11"/>
      <c r="DL461" s="11"/>
      <c r="DM461" s="11"/>
      <c r="DN461" s="11"/>
      <c r="DO461" s="11"/>
      <c r="DP461" s="11"/>
      <c r="DX461" s="99"/>
      <c r="DY461" s="99"/>
      <c r="DZ461" s="99"/>
      <c r="EH461" s="100"/>
      <c r="EI461" s="100"/>
      <c r="EJ461" s="100"/>
      <c r="EK461" s="101"/>
      <c r="EL461" s="80"/>
      <c r="EM461" s="102"/>
      <c r="EN461" s="102"/>
      <c r="EO461" s="103"/>
      <c r="EP461" s="104"/>
      <c r="EQ461" s="28"/>
      <c r="ER461" s="102"/>
      <c r="ES461" s="102"/>
      <c r="ET461" s="102"/>
      <c r="EU461" s="102"/>
      <c r="EV461" s="105"/>
      <c r="EW461" s="101"/>
      <c r="EX461" s="105"/>
      <c r="EY461" s="11"/>
      <c r="EZ461" s="106"/>
      <c r="FA461" s="101"/>
      <c r="FB461" s="107"/>
      <c r="FC461" s="11"/>
      <c r="FD461" s="101"/>
      <c r="FE461" s="108"/>
      <c r="FF461" s="8"/>
    </row>
    <row r="462" spans="37:162">
      <c r="AK462" s="11"/>
      <c r="AL462" s="11"/>
      <c r="AM462" s="11"/>
      <c r="AN462" s="11"/>
      <c r="AO462" s="11"/>
      <c r="AP462" s="11"/>
      <c r="AX462" s="99"/>
      <c r="AY462" s="99"/>
      <c r="AZ462" s="99"/>
      <c r="BH462" s="100"/>
      <c r="BI462" s="100"/>
      <c r="BJ462" s="100"/>
      <c r="BK462" s="101"/>
      <c r="BL462" s="80"/>
      <c r="BM462" s="102"/>
      <c r="BN462" s="102"/>
      <c r="BO462" s="103"/>
      <c r="BP462" s="104"/>
      <c r="BQ462" s="28"/>
      <c r="BR462" s="102"/>
      <c r="BS462" s="102"/>
      <c r="BT462" s="102"/>
      <c r="BU462" s="102"/>
      <c r="BV462" s="105"/>
      <c r="BW462" s="101"/>
      <c r="BX462" s="105"/>
      <c r="BY462" s="11"/>
      <c r="BZ462" s="106"/>
      <c r="CA462" s="101"/>
      <c r="CB462" s="107"/>
      <c r="CC462" s="11"/>
      <c r="CD462" s="101"/>
      <c r="CE462" s="108"/>
      <c r="CF462" s="8"/>
      <c r="DK462" s="11"/>
      <c r="DL462" s="11"/>
      <c r="DM462" s="11"/>
      <c r="DN462" s="11"/>
      <c r="DO462" s="11"/>
      <c r="DP462" s="11"/>
      <c r="DX462" s="99"/>
      <c r="DY462" s="99"/>
      <c r="DZ462" s="99"/>
      <c r="EH462" s="100"/>
      <c r="EI462" s="100"/>
      <c r="EJ462" s="100"/>
      <c r="EK462" s="101"/>
      <c r="EL462" s="80"/>
      <c r="EM462" s="102"/>
      <c r="EN462" s="102"/>
      <c r="EO462" s="103"/>
      <c r="EP462" s="104"/>
      <c r="EQ462" s="28"/>
      <c r="ER462" s="102"/>
      <c r="ES462" s="102"/>
      <c r="ET462" s="102"/>
      <c r="EU462" s="102"/>
      <c r="EV462" s="105"/>
      <c r="EW462" s="101"/>
      <c r="EX462" s="105"/>
      <c r="EY462" s="11"/>
      <c r="EZ462" s="106"/>
      <c r="FA462" s="101"/>
      <c r="FB462" s="107"/>
      <c r="FC462" s="11"/>
      <c r="FD462" s="101"/>
      <c r="FE462" s="108"/>
      <c r="FF462" s="8"/>
    </row>
    <row r="463" spans="37:162">
      <c r="AK463" s="11"/>
      <c r="AL463" s="11"/>
      <c r="AM463" s="11"/>
      <c r="AN463" s="11"/>
      <c r="AO463" s="11"/>
      <c r="AP463" s="11"/>
      <c r="AX463" s="99"/>
      <c r="AY463" s="99"/>
      <c r="AZ463" s="99"/>
      <c r="BH463" s="100"/>
      <c r="BI463" s="100"/>
      <c r="BJ463" s="100"/>
      <c r="BK463" s="101"/>
      <c r="BL463" s="80"/>
      <c r="BM463" s="102"/>
      <c r="BN463" s="102"/>
      <c r="BO463" s="103"/>
      <c r="BP463" s="104"/>
      <c r="BQ463" s="28"/>
      <c r="BR463" s="102"/>
      <c r="BS463" s="102"/>
      <c r="BT463" s="102"/>
      <c r="BU463" s="102"/>
      <c r="BV463" s="105"/>
      <c r="BW463" s="101"/>
      <c r="BX463" s="105"/>
      <c r="BY463" s="11"/>
      <c r="BZ463" s="106"/>
      <c r="CA463" s="101"/>
      <c r="CB463" s="107"/>
      <c r="CC463" s="11"/>
      <c r="CD463" s="101"/>
      <c r="CE463" s="108"/>
      <c r="CF463" s="8"/>
      <c r="DK463" s="11"/>
      <c r="DL463" s="11"/>
      <c r="DM463" s="11"/>
      <c r="DN463" s="11"/>
      <c r="DO463" s="11"/>
      <c r="DP463" s="11"/>
      <c r="DX463" s="99"/>
      <c r="DY463" s="99"/>
      <c r="DZ463" s="99"/>
      <c r="EH463" s="100"/>
      <c r="EI463" s="100"/>
      <c r="EJ463" s="100"/>
      <c r="EK463" s="101"/>
      <c r="EL463" s="80"/>
      <c r="EM463" s="102"/>
      <c r="EN463" s="102"/>
      <c r="EO463" s="103"/>
      <c r="EP463" s="104"/>
      <c r="EQ463" s="28"/>
      <c r="ER463" s="102"/>
      <c r="ES463" s="102"/>
      <c r="ET463" s="102"/>
      <c r="EU463" s="102"/>
      <c r="EV463" s="105"/>
      <c r="EW463" s="101"/>
      <c r="EX463" s="105"/>
      <c r="EY463" s="11"/>
      <c r="EZ463" s="106"/>
      <c r="FA463" s="101"/>
      <c r="FB463" s="107"/>
      <c r="FC463" s="11"/>
      <c r="FD463" s="101"/>
      <c r="FE463" s="108"/>
      <c r="FF463" s="8"/>
    </row>
    <row r="464" spans="37:162">
      <c r="AK464" s="11"/>
      <c r="AL464" s="11"/>
      <c r="AM464" s="11"/>
      <c r="AN464" s="11"/>
      <c r="AO464" s="11"/>
      <c r="AP464" s="11"/>
      <c r="AX464" s="99"/>
      <c r="AY464" s="99"/>
      <c r="AZ464" s="99"/>
      <c r="BH464" s="100"/>
      <c r="BI464" s="100"/>
      <c r="BJ464" s="100"/>
      <c r="BK464" s="101"/>
      <c r="BL464" s="80"/>
      <c r="BM464" s="102"/>
      <c r="BN464" s="102"/>
      <c r="BO464" s="103"/>
      <c r="BP464" s="104"/>
      <c r="BQ464" s="28"/>
      <c r="BR464" s="102"/>
      <c r="BS464" s="102"/>
      <c r="BT464" s="102"/>
      <c r="BU464" s="102"/>
      <c r="BV464" s="105"/>
      <c r="BW464" s="101"/>
      <c r="BX464" s="105"/>
      <c r="BY464" s="11"/>
      <c r="BZ464" s="106"/>
      <c r="CA464" s="101"/>
      <c r="CB464" s="107"/>
      <c r="CC464" s="11"/>
      <c r="CD464" s="101"/>
      <c r="CE464" s="108"/>
      <c r="CF464" s="8"/>
      <c r="DK464" s="11"/>
      <c r="DL464" s="11"/>
      <c r="DM464" s="11"/>
      <c r="DN464" s="11"/>
      <c r="DO464" s="11"/>
      <c r="DP464" s="11"/>
      <c r="DX464" s="99"/>
      <c r="DY464" s="99"/>
      <c r="DZ464" s="99"/>
      <c r="EH464" s="100"/>
      <c r="EI464" s="100"/>
      <c r="EJ464" s="100"/>
      <c r="EK464" s="101"/>
      <c r="EL464" s="80"/>
      <c r="EM464" s="102"/>
      <c r="EN464" s="102"/>
      <c r="EO464" s="103"/>
      <c r="EP464" s="104"/>
      <c r="EQ464" s="28"/>
      <c r="ER464" s="102"/>
      <c r="ES464" s="102"/>
      <c r="ET464" s="102"/>
      <c r="EU464" s="102"/>
      <c r="EV464" s="105"/>
      <c r="EW464" s="101"/>
      <c r="EX464" s="105"/>
      <c r="EY464" s="11"/>
      <c r="EZ464" s="106"/>
      <c r="FA464" s="101"/>
      <c r="FB464" s="107"/>
      <c r="FC464" s="11"/>
      <c r="FD464" s="101"/>
      <c r="FE464" s="108"/>
      <c r="FF464" s="8"/>
    </row>
    <row r="465" spans="37:162">
      <c r="AK465" s="11"/>
      <c r="AL465" s="11"/>
      <c r="AM465" s="11"/>
      <c r="AN465" s="11"/>
      <c r="AO465" s="11"/>
      <c r="AP465" s="11"/>
      <c r="AX465" s="99"/>
      <c r="AY465" s="99"/>
      <c r="AZ465" s="99"/>
      <c r="BH465" s="100"/>
      <c r="BI465" s="100"/>
      <c r="BJ465" s="100"/>
      <c r="BK465" s="101"/>
      <c r="BL465" s="80"/>
      <c r="BM465" s="102"/>
      <c r="BN465" s="102"/>
      <c r="BO465" s="103"/>
      <c r="BP465" s="104"/>
      <c r="BQ465" s="28"/>
      <c r="BR465" s="102"/>
      <c r="BS465" s="102"/>
      <c r="BT465" s="102"/>
      <c r="BU465" s="102"/>
      <c r="BV465" s="105"/>
      <c r="BW465" s="101"/>
      <c r="BX465" s="105"/>
      <c r="BY465" s="11"/>
      <c r="BZ465" s="106"/>
      <c r="CA465" s="101"/>
      <c r="CB465" s="107"/>
      <c r="CC465" s="11"/>
      <c r="CD465" s="101"/>
      <c r="CE465" s="108"/>
      <c r="CF465" s="8"/>
      <c r="DK465" s="11"/>
      <c r="DL465" s="11"/>
      <c r="DM465" s="11"/>
      <c r="DN465" s="11"/>
      <c r="DO465" s="11"/>
      <c r="DP465" s="11"/>
      <c r="DX465" s="99"/>
      <c r="DY465" s="99"/>
      <c r="DZ465" s="99"/>
      <c r="EH465" s="100"/>
      <c r="EI465" s="100"/>
      <c r="EJ465" s="100"/>
      <c r="EK465" s="101"/>
      <c r="EL465" s="80"/>
      <c r="EM465" s="102"/>
      <c r="EN465" s="102"/>
      <c r="EO465" s="103"/>
      <c r="EP465" s="104"/>
      <c r="EQ465" s="28"/>
      <c r="ER465" s="102"/>
      <c r="ES465" s="102"/>
      <c r="ET465" s="102"/>
      <c r="EU465" s="102"/>
      <c r="EV465" s="105"/>
      <c r="EW465" s="101"/>
      <c r="EX465" s="105"/>
      <c r="EY465" s="11"/>
      <c r="EZ465" s="106"/>
      <c r="FA465" s="101"/>
      <c r="FB465" s="107"/>
      <c r="FC465" s="11"/>
      <c r="FD465" s="101"/>
      <c r="FE465" s="108"/>
      <c r="FF465" s="8"/>
    </row>
    <row r="466" spans="37:162">
      <c r="AK466" s="11"/>
      <c r="AL466" s="11"/>
      <c r="AM466" s="11"/>
      <c r="AN466" s="11"/>
      <c r="AO466" s="11"/>
      <c r="AP466" s="11"/>
      <c r="AX466" s="99"/>
      <c r="AY466" s="99"/>
      <c r="AZ466" s="99"/>
      <c r="BH466" s="100"/>
      <c r="BI466" s="100"/>
      <c r="BJ466" s="100"/>
      <c r="BK466" s="101"/>
      <c r="BL466" s="80"/>
      <c r="BM466" s="102"/>
      <c r="BN466" s="102"/>
      <c r="BO466" s="103"/>
      <c r="BP466" s="104"/>
      <c r="BQ466" s="28"/>
      <c r="BR466" s="102"/>
      <c r="BS466" s="102"/>
      <c r="BT466" s="102"/>
      <c r="BU466" s="102"/>
      <c r="BV466" s="105"/>
      <c r="BW466" s="101"/>
      <c r="BX466" s="105"/>
      <c r="BY466" s="11"/>
      <c r="BZ466" s="106"/>
      <c r="CA466" s="101"/>
      <c r="CB466" s="107"/>
      <c r="CC466" s="11"/>
      <c r="CD466" s="101"/>
      <c r="CE466" s="108"/>
      <c r="CF466" s="8"/>
      <c r="DK466" s="11"/>
      <c r="DL466" s="11"/>
      <c r="DM466" s="11"/>
      <c r="DN466" s="11"/>
      <c r="DO466" s="11"/>
      <c r="DP466" s="11"/>
      <c r="DX466" s="99"/>
      <c r="DY466" s="99"/>
      <c r="DZ466" s="99"/>
      <c r="EH466" s="100"/>
      <c r="EI466" s="100"/>
      <c r="EJ466" s="100"/>
      <c r="EK466" s="101"/>
      <c r="EL466" s="80"/>
      <c r="EM466" s="102"/>
      <c r="EN466" s="102"/>
      <c r="EO466" s="103"/>
      <c r="EP466" s="104"/>
      <c r="EQ466" s="28"/>
      <c r="ER466" s="102"/>
      <c r="ES466" s="102"/>
      <c r="ET466" s="102"/>
      <c r="EU466" s="102"/>
      <c r="EV466" s="105"/>
      <c r="EW466" s="101"/>
      <c r="EX466" s="105"/>
      <c r="EY466" s="11"/>
      <c r="EZ466" s="106"/>
      <c r="FA466" s="101"/>
      <c r="FB466" s="107"/>
      <c r="FC466" s="11"/>
      <c r="FD466" s="101"/>
      <c r="FE466" s="108"/>
      <c r="FF466" s="8"/>
    </row>
    <row r="467" spans="37:162">
      <c r="AK467" s="11"/>
      <c r="AL467" s="11"/>
      <c r="AM467" s="11"/>
      <c r="AN467" s="11"/>
      <c r="AO467" s="11"/>
      <c r="AP467" s="11"/>
      <c r="AX467" s="99"/>
      <c r="AY467" s="99"/>
      <c r="AZ467" s="99"/>
      <c r="BH467" s="100"/>
      <c r="BI467" s="100"/>
      <c r="BJ467" s="100"/>
      <c r="BK467" s="101"/>
      <c r="BL467" s="80"/>
      <c r="BM467" s="102"/>
      <c r="BN467" s="102"/>
      <c r="BO467" s="103"/>
      <c r="BP467" s="104"/>
      <c r="BQ467" s="28"/>
      <c r="BR467" s="102"/>
      <c r="BS467" s="102"/>
      <c r="BT467" s="102"/>
      <c r="BU467" s="102"/>
      <c r="BV467" s="105"/>
      <c r="BW467" s="101"/>
      <c r="BX467" s="105"/>
      <c r="BY467" s="11"/>
      <c r="BZ467" s="106"/>
      <c r="CA467" s="101"/>
      <c r="CB467" s="107"/>
      <c r="CC467" s="11"/>
      <c r="CD467" s="101"/>
      <c r="CE467" s="108"/>
      <c r="CF467" s="8"/>
      <c r="DK467" s="11"/>
      <c r="DL467" s="11"/>
      <c r="DM467" s="11"/>
      <c r="DN467" s="11"/>
      <c r="DO467" s="11"/>
      <c r="DP467" s="11"/>
      <c r="DX467" s="99"/>
      <c r="DY467" s="99"/>
      <c r="DZ467" s="99"/>
      <c r="EH467" s="100"/>
      <c r="EI467" s="100"/>
      <c r="EJ467" s="100"/>
      <c r="EK467" s="101"/>
      <c r="EL467" s="80"/>
      <c r="EM467" s="102"/>
      <c r="EN467" s="102"/>
      <c r="EO467" s="103"/>
      <c r="EP467" s="104"/>
      <c r="EQ467" s="28"/>
      <c r="ER467" s="102"/>
      <c r="ES467" s="102"/>
      <c r="ET467" s="102"/>
      <c r="EU467" s="102"/>
      <c r="EV467" s="105"/>
      <c r="EW467" s="101"/>
      <c r="EX467" s="105"/>
      <c r="EY467" s="11"/>
      <c r="EZ467" s="106"/>
      <c r="FA467" s="101"/>
      <c r="FB467" s="107"/>
      <c r="FC467" s="11"/>
      <c r="FD467" s="101"/>
      <c r="FE467" s="108"/>
      <c r="FF467" s="8"/>
    </row>
    <row r="468" spans="37:162">
      <c r="AK468" s="11"/>
      <c r="AL468" s="11"/>
      <c r="AM468" s="11"/>
      <c r="AN468" s="11"/>
      <c r="AO468" s="11"/>
      <c r="AP468" s="11"/>
      <c r="AX468" s="99"/>
      <c r="AY468" s="99"/>
      <c r="AZ468" s="99"/>
      <c r="BH468" s="100"/>
      <c r="BI468" s="100"/>
      <c r="BJ468" s="100"/>
      <c r="BK468" s="101"/>
      <c r="BL468" s="80"/>
      <c r="BM468" s="102"/>
      <c r="BN468" s="102"/>
      <c r="BO468" s="103"/>
      <c r="BP468" s="104"/>
      <c r="BQ468" s="28"/>
      <c r="BR468" s="102"/>
      <c r="BS468" s="102"/>
      <c r="BT468" s="102"/>
      <c r="BU468" s="102"/>
      <c r="BV468" s="105"/>
      <c r="BW468" s="101"/>
      <c r="BX468" s="105"/>
      <c r="BY468" s="11"/>
      <c r="BZ468" s="106"/>
      <c r="CA468" s="101"/>
      <c r="CB468" s="107"/>
      <c r="CC468" s="11"/>
      <c r="CD468" s="101"/>
      <c r="CE468" s="108"/>
      <c r="CF468" s="8"/>
      <c r="DK468" s="11"/>
      <c r="DL468" s="11"/>
      <c r="DM468" s="11"/>
      <c r="DN468" s="11"/>
      <c r="DO468" s="11"/>
      <c r="DP468" s="11"/>
      <c r="DX468" s="99"/>
      <c r="DY468" s="99"/>
      <c r="DZ468" s="99"/>
      <c r="EH468" s="100"/>
      <c r="EI468" s="100"/>
      <c r="EJ468" s="100"/>
      <c r="EK468" s="101"/>
      <c r="EL468" s="80"/>
      <c r="EM468" s="102"/>
      <c r="EN468" s="102"/>
      <c r="EO468" s="103"/>
      <c r="EP468" s="104"/>
      <c r="EQ468" s="28"/>
      <c r="ER468" s="102"/>
      <c r="ES468" s="102"/>
      <c r="ET468" s="102"/>
      <c r="EU468" s="102"/>
      <c r="EV468" s="105"/>
      <c r="EW468" s="101"/>
      <c r="EX468" s="105"/>
      <c r="EY468" s="11"/>
      <c r="EZ468" s="106"/>
      <c r="FA468" s="101"/>
      <c r="FB468" s="107"/>
      <c r="FC468" s="11"/>
      <c r="FD468" s="101"/>
      <c r="FE468" s="108"/>
      <c r="FF468" s="8"/>
    </row>
    <row r="469" spans="37:162">
      <c r="AK469" s="11"/>
      <c r="AL469" s="11"/>
      <c r="AM469" s="11"/>
      <c r="AN469" s="11"/>
      <c r="AO469" s="11"/>
      <c r="AP469" s="11"/>
      <c r="AX469" s="99"/>
      <c r="AY469" s="99"/>
      <c r="AZ469" s="99"/>
      <c r="BH469" s="100"/>
      <c r="BI469" s="100"/>
      <c r="BJ469" s="100"/>
      <c r="BK469" s="101"/>
      <c r="BL469" s="80"/>
      <c r="BM469" s="102"/>
      <c r="BN469" s="102"/>
      <c r="BO469" s="103"/>
      <c r="BP469" s="104"/>
      <c r="BQ469" s="28"/>
      <c r="BR469" s="102"/>
      <c r="BS469" s="102"/>
      <c r="BT469" s="102"/>
      <c r="BU469" s="102"/>
      <c r="BV469" s="105"/>
      <c r="BW469" s="101"/>
      <c r="BX469" s="105"/>
      <c r="BY469" s="11"/>
      <c r="BZ469" s="106"/>
      <c r="CA469" s="101"/>
      <c r="CB469" s="107"/>
      <c r="CC469" s="11"/>
      <c r="CD469" s="101"/>
      <c r="CE469" s="108"/>
      <c r="CF469" s="8"/>
      <c r="DK469" s="11"/>
      <c r="DL469" s="11"/>
      <c r="DM469" s="11"/>
      <c r="DN469" s="11"/>
      <c r="DO469" s="11"/>
      <c r="DP469" s="11"/>
      <c r="DX469" s="99"/>
      <c r="DY469" s="99"/>
      <c r="DZ469" s="99"/>
      <c r="EH469" s="100"/>
      <c r="EI469" s="100"/>
      <c r="EJ469" s="100"/>
      <c r="EK469" s="101"/>
      <c r="EL469" s="80"/>
      <c r="EM469" s="102"/>
      <c r="EN469" s="102"/>
      <c r="EO469" s="103"/>
      <c r="EP469" s="104"/>
      <c r="EQ469" s="28"/>
      <c r="ER469" s="102"/>
      <c r="ES469" s="102"/>
      <c r="ET469" s="102"/>
      <c r="EU469" s="102"/>
      <c r="EV469" s="105"/>
      <c r="EW469" s="101"/>
      <c r="EX469" s="105"/>
      <c r="EY469" s="11"/>
      <c r="EZ469" s="106"/>
      <c r="FA469" s="101"/>
      <c r="FB469" s="107"/>
      <c r="FC469" s="11"/>
      <c r="FD469" s="101"/>
      <c r="FE469" s="108"/>
      <c r="FF469" s="8"/>
    </row>
    <row r="470" spans="37:162">
      <c r="AK470" s="11"/>
      <c r="AL470" s="11"/>
      <c r="AM470" s="11"/>
      <c r="AN470" s="11"/>
      <c r="AO470" s="11"/>
      <c r="AP470" s="11"/>
      <c r="AX470" s="99"/>
      <c r="AY470" s="99"/>
      <c r="AZ470" s="99"/>
      <c r="BH470" s="100"/>
      <c r="BI470" s="100"/>
      <c r="BJ470" s="100"/>
      <c r="BK470" s="101"/>
      <c r="BL470" s="80"/>
      <c r="BM470" s="102"/>
      <c r="BN470" s="102"/>
      <c r="BO470" s="103"/>
      <c r="BP470" s="104"/>
      <c r="BQ470" s="28"/>
      <c r="BR470" s="102"/>
      <c r="BS470" s="102"/>
      <c r="BT470" s="102"/>
      <c r="BU470" s="102"/>
      <c r="BV470" s="105"/>
      <c r="BW470" s="101"/>
      <c r="BX470" s="105"/>
      <c r="BY470" s="11"/>
      <c r="BZ470" s="106"/>
      <c r="CA470" s="101"/>
      <c r="CB470" s="107"/>
      <c r="CC470" s="11"/>
      <c r="CD470" s="101"/>
      <c r="CE470" s="108"/>
      <c r="CF470" s="8"/>
      <c r="DK470" s="11"/>
      <c r="DL470" s="11"/>
      <c r="DM470" s="11"/>
      <c r="DN470" s="11"/>
      <c r="DO470" s="11"/>
      <c r="DP470" s="11"/>
      <c r="DX470" s="99"/>
      <c r="DY470" s="99"/>
      <c r="DZ470" s="99"/>
      <c r="EH470" s="100"/>
      <c r="EI470" s="100"/>
      <c r="EJ470" s="100"/>
      <c r="EK470" s="101"/>
      <c r="EL470" s="80"/>
      <c r="EM470" s="102"/>
      <c r="EN470" s="102"/>
      <c r="EO470" s="103"/>
      <c r="EP470" s="104"/>
      <c r="EQ470" s="28"/>
      <c r="ER470" s="102"/>
      <c r="ES470" s="102"/>
      <c r="ET470" s="102"/>
      <c r="EU470" s="102"/>
      <c r="EV470" s="105"/>
      <c r="EW470" s="101"/>
      <c r="EX470" s="105"/>
      <c r="EY470" s="11"/>
      <c r="EZ470" s="106"/>
      <c r="FA470" s="101"/>
      <c r="FB470" s="107"/>
      <c r="FC470" s="11"/>
      <c r="FD470" s="101"/>
      <c r="FE470" s="108"/>
      <c r="FF470" s="8"/>
    </row>
    <row r="471" spans="37:162">
      <c r="AK471" s="11"/>
      <c r="AL471" s="11"/>
      <c r="AM471" s="11"/>
      <c r="AN471" s="11"/>
      <c r="AO471" s="11"/>
      <c r="AP471" s="11"/>
      <c r="AX471" s="99"/>
      <c r="AY471" s="99"/>
      <c r="AZ471" s="99"/>
      <c r="BH471" s="100"/>
      <c r="BI471" s="100"/>
      <c r="BJ471" s="100"/>
      <c r="BK471" s="101"/>
      <c r="BL471" s="80"/>
      <c r="BM471" s="102"/>
      <c r="BN471" s="102"/>
      <c r="BO471" s="103"/>
      <c r="BP471" s="104"/>
      <c r="BQ471" s="28"/>
      <c r="BR471" s="102"/>
      <c r="BS471" s="102"/>
      <c r="BT471" s="102"/>
      <c r="BU471" s="102"/>
      <c r="BV471" s="105"/>
      <c r="BW471" s="101"/>
      <c r="BX471" s="105"/>
      <c r="BY471" s="11"/>
      <c r="BZ471" s="106"/>
      <c r="CA471" s="101"/>
      <c r="CB471" s="107"/>
      <c r="CC471" s="11"/>
      <c r="CD471" s="101"/>
      <c r="CE471" s="108"/>
      <c r="CF471" s="8"/>
      <c r="DK471" s="11"/>
      <c r="DL471" s="11"/>
      <c r="DM471" s="11"/>
      <c r="DN471" s="11"/>
      <c r="DO471" s="11"/>
      <c r="DP471" s="11"/>
      <c r="DX471" s="99"/>
      <c r="DY471" s="99"/>
      <c r="DZ471" s="99"/>
      <c r="EH471" s="100"/>
      <c r="EI471" s="100"/>
      <c r="EJ471" s="100"/>
      <c r="EK471" s="101"/>
      <c r="EL471" s="80"/>
      <c r="EM471" s="102"/>
      <c r="EN471" s="102"/>
      <c r="EO471" s="103"/>
      <c r="EP471" s="104"/>
      <c r="EQ471" s="28"/>
      <c r="ER471" s="102"/>
      <c r="ES471" s="102"/>
      <c r="ET471" s="102"/>
      <c r="EU471" s="102"/>
      <c r="EV471" s="105"/>
      <c r="EW471" s="101"/>
      <c r="EX471" s="105"/>
      <c r="EY471" s="11"/>
      <c r="EZ471" s="106"/>
      <c r="FA471" s="101"/>
      <c r="FB471" s="107"/>
      <c r="FC471" s="11"/>
      <c r="FD471" s="101"/>
      <c r="FE471" s="108"/>
      <c r="FF471" s="8"/>
    </row>
    <row r="472" spans="37:162">
      <c r="AK472" s="11"/>
      <c r="AL472" s="11"/>
      <c r="AM472" s="11"/>
      <c r="AN472" s="11"/>
      <c r="AO472" s="11"/>
      <c r="AP472" s="11"/>
      <c r="AX472" s="99"/>
      <c r="AY472" s="99"/>
      <c r="AZ472" s="99"/>
      <c r="BH472" s="100"/>
      <c r="BI472" s="100"/>
      <c r="BJ472" s="100"/>
      <c r="BK472" s="101"/>
      <c r="BL472" s="80"/>
      <c r="BM472" s="102"/>
      <c r="BN472" s="102"/>
      <c r="BO472" s="103"/>
      <c r="BP472" s="104"/>
      <c r="BQ472" s="28"/>
      <c r="BR472" s="102"/>
      <c r="BS472" s="102"/>
      <c r="BT472" s="102"/>
      <c r="BU472" s="102"/>
      <c r="BV472" s="105"/>
      <c r="BW472" s="101"/>
      <c r="BX472" s="105"/>
      <c r="BY472" s="11"/>
      <c r="BZ472" s="106"/>
      <c r="CA472" s="101"/>
      <c r="CB472" s="107"/>
      <c r="CC472" s="11"/>
      <c r="CD472" s="101"/>
      <c r="CE472" s="108"/>
      <c r="CF472" s="8"/>
      <c r="DK472" s="11"/>
      <c r="DL472" s="11"/>
      <c r="DM472" s="11"/>
      <c r="DN472" s="11"/>
      <c r="DO472" s="11"/>
      <c r="DP472" s="11"/>
      <c r="DX472" s="99"/>
      <c r="DY472" s="99"/>
      <c r="DZ472" s="99"/>
      <c r="EH472" s="100"/>
      <c r="EI472" s="100"/>
      <c r="EJ472" s="100"/>
      <c r="EK472" s="101"/>
      <c r="EL472" s="80"/>
      <c r="EM472" s="102"/>
      <c r="EN472" s="102"/>
      <c r="EO472" s="103"/>
      <c r="EP472" s="104"/>
      <c r="EQ472" s="28"/>
      <c r="ER472" s="102"/>
      <c r="ES472" s="102"/>
      <c r="ET472" s="102"/>
      <c r="EU472" s="102"/>
      <c r="EV472" s="105"/>
      <c r="EW472" s="101"/>
      <c r="EX472" s="105"/>
      <c r="EY472" s="11"/>
      <c r="EZ472" s="106"/>
      <c r="FA472" s="101"/>
      <c r="FB472" s="107"/>
      <c r="FC472" s="11"/>
      <c r="FD472" s="101"/>
      <c r="FE472" s="108"/>
      <c r="FF472" s="8"/>
    </row>
    <row r="473" spans="37:162">
      <c r="AK473" s="11"/>
      <c r="AL473" s="11"/>
      <c r="AM473" s="11"/>
      <c r="AN473" s="11"/>
      <c r="AO473" s="11"/>
      <c r="AP473" s="11"/>
      <c r="AX473" s="99"/>
      <c r="AY473" s="99"/>
      <c r="AZ473" s="99"/>
      <c r="BH473" s="100"/>
      <c r="BI473" s="100"/>
      <c r="BJ473" s="100"/>
      <c r="BK473" s="101"/>
      <c r="BL473" s="80"/>
      <c r="BM473" s="102"/>
      <c r="BN473" s="102"/>
      <c r="BO473" s="103"/>
      <c r="BP473" s="104"/>
      <c r="BQ473" s="28"/>
      <c r="BR473" s="102"/>
      <c r="BS473" s="102"/>
      <c r="BT473" s="102"/>
      <c r="BU473" s="102"/>
      <c r="BV473" s="105"/>
      <c r="BW473" s="101"/>
      <c r="BX473" s="105"/>
      <c r="BY473" s="11"/>
      <c r="BZ473" s="106"/>
      <c r="CA473" s="101"/>
      <c r="CB473" s="107"/>
      <c r="CC473" s="11"/>
      <c r="CD473" s="101"/>
      <c r="CE473" s="108"/>
      <c r="CF473" s="8"/>
      <c r="DK473" s="11"/>
      <c r="DL473" s="11"/>
      <c r="DM473" s="11"/>
      <c r="DN473" s="11"/>
      <c r="DO473" s="11"/>
      <c r="DP473" s="11"/>
      <c r="DX473" s="99"/>
      <c r="DY473" s="99"/>
      <c r="DZ473" s="99"/>
      <c r="EH473" s="100"/>
      <c r="EI473" s="100"/>
      <c r="EJ473" s="100"/>
      <c r="EK473" s="101"/>
      <c r="EL473" s="80"/>
      <c r="EM473" s="102"/>
      <c r="EN473" s="102"/>
      <c r="EO473" s="103"/>
      <c r="EP473" s="104"/>
      <c r="EQ473" s="28"/>
      <c r="ER473" s="102"/>
      <c r="ES473" s="102"/>
      <c r="ET473" s="102"/>
      <c r="EU473" s="102"/>
      <c r="EV473" s="105"/>
      <c r="EW473" s="101"/>
      <c r="EX473" s="105"/>
      <c r="EY473" s="11"/>
      <c r="EZ473" s="106"/>
      <c r="FA473" s="101"/>
      <c r="FB473" s="107"/>
      <c r="FC473" s="11"/>
      <c r="FD473" s="101"/>
      <c r="FE473" s="108"/>
      <c r="FF473" s="8"/>
    </row>
    <row r="474" spans="37:162">
      <c r="AK474" s="11"/>
      <c r="AL474" s="11"/>
      <c r="AM474" s="11"/>
      <c r="AN474" s="11"/>
      <c r="AO474" s="11"/>
      <c r="AP474" s="11"/>
      <c r="AX474" s="99"/>
      <c r="AY474" s="99"/>
      <c r="AZ474" s="99"/>
      <c r="BH474" s="100"/>
      <c r="BI474" s="100"/>
      <c r="BJ474" s="100"/>
      <c r="BK474" s="101"/>
      <c r="BL474" s="80"/>
      <c r="BM474" s="102"/>
      <c r="BN474" s="102"/>
      <c r="BO474" s="103"/>
      <c r="BP474" s="104"/>
      <c r="BQ474" s="28"/>
      <c r="BR474" s="102"/>
      <c r="BS474" s="102"/>
      <c r="BT474" s="102"/>
      <c r="BU474" s="102"/>
      <c r="BV474" s="105"/>
      <c r="BW474" s="101"/>
      <c r="BX474" s="105"/>
      <c r="BY474" s="11"/>
      <c r="BZ474" s="106"/>
      <c r="CA474" s="101"/>
      <c r="CB474" s="107"/>
      <c r="CC474" s="11"/>
      <c r="CD474" s="101"/>
      <c r="CE474" s="108"/>
      <c r="CF474" s="8"/>
      <c r="DK474" s="11"/>
      <c r="DL474" s="11"/>
      <c r="DM474" s="11"/>
      <c r="DN474" s="11"/>
      <c r="DO474" s="11"/>
      <c r="DP474" s="11"/>
      <c r="DX474" s="99"/>
      <c r="DY474" s="99"/>
      <c r="DZ474" s="99"/>
      <c r="EH474" s="100"/>
      <c r="EI474" s="100"/>
      <c r="EJ474" s="100"/>
      <c r="EK474" s="101"/>
      <c r="EL474" s="80"/>
      <c r="EM474" s="102"/>
      <c r="EN474" s="102"/>
      <c r="EO474" s="103"/>
      <c r="EP474" s="104"/>
      <c r="EQ474" s="28"/>
      <c r="ER474" s="102"/>
      <c r="ES474" s="102"/>
      <c r="ET474" s="102"/>
      <c r="EU474" s="102"/>
      <c r="EV474" s="105"/>
      <c r="EW474" s="101"/>
      <c r="EX474" s="105"/>
      <c r="EY474" s="11"/>
      <c r="EZ474" s="106"/>
      <c r="FA474" s="101"/>
      <c r="FB474" s="107"/>
      <c r="FC474" s="11"/>
      <c r="FD474" s="101"/>
      <c r="FE474" s="108"/>
      <c r="FF474" s="8"/>
    </row>
    <row r="475" spans="37:162">
      <c r="AK475" s="11"/>
      <c r="AL475" s="11"/>
      <c r="AM475" s="11"/>
      <c r="AN475" s="11"/>
      <c r="AO475" s="11"/>
      <c r="AP475" s="11"/>
      <c r="AX475" s="99"/>
      <c r="AY475" s="99"/>
      <c r="AZ475" s="99"/>
      <c r="BH475" s="100"/>
      <c r="BI475" s="100"/>
      <c r="BJ475" s="100"/>
      <c r="BK475" s="101"/>
      <c r="BL475" s="80"/>
      <c r="BM475" s="102"/>
      <c r="BN475" s="102"/>
      <c r="BO475" s="103"/>
      <c r="BP475" s="104"/>
      <c r="BQ475" s="28"/>
      <c r="BR475" s="102"/>
      <c r="BS475" s="102"/>
      <c r="BT475" s="102"/>
      <c r="BU475" s="102"/>
      <c r="BV475" s="105"/>
      <c r="BW475" s="101"/>
      <c r="BX475" s="105"/>
      <c r="BY475" s="11"/>
      <c r="BZ475" s="106"/>
      <c r="CA475" s="101"/>
      <c r="CB475" s="107"/>
      <c r="CC475" s="11"/>
      <c r="CD475" s="101"/>
      <c r="CE475" s="108"/>
      <c r="CF475" s="8"/>
      <c r="DK475" s="11"/>
      <c r="DL475" s="11"/>
      <c r="DM475" s="11"/>
      <c r="DN475" s="11"/>
      <c r="DO475" s="11"/>
      <c r="DP475" s="11"/>
      <c r="DX475" s="99"/>
      <c r="DY475" s="99"/>
      <c r="DZ475" s="99"/>
      <c r="EH475" s="100"/>
      <c r="EI475" s="100"/>
      <c r="EJ475" s="100"/>
      <c r="EK475" s="101"/>
      <c r="EL475" s="80"/>
      <c r="EM475" s="102"/>
      <c r="EN475" s="102"/>
      <c r="EO475" s="103"/>
      <c r="EP475" s="104"/>
      <c r="EQ475" s="28"/>
      <c r="ER475" s="102"/>
      <c r="ES475" s="102"/>
      <c r="ET475" s="102"/>
      <c r="EU475" s="102"/>
      <c r="EV475" s="105"/>
      <c r="EW475" s="101"/>
      <c r="EX475" s="105"/>
      <c r="EY475" s="11"/>
      <c r="EZ475" s="106"/>
      <c r="FA475" s="101"/>
      <c r="FB475" s="107"/>
      <c r="FC475" s="11"/>
      <c r="FD475" s="101"/>
      <c r="FE475" s="108"/>
      <c r="FF475" s="8"/>
    </row>
    <row r="476" spans="37:162">
      <c r="AK476" s="11"/>
      <c r="AL476" s="11"/>
      <c r="AM476" s="11"/>
      <c r="AN476" s="11"/>
      <c r="AO476" s="11"/>
      <c r="AP476" s="11"/>
      <c r="AX476" s="99"/>
      <c r="AY476" s="99"/>
      <c r="AZ476" s="99"/>
      <c r="BH476" s="100"/>
      <c r="BI476" s="100"/>
      <c r="BJ476" s="100"/>
      <c r="BK476" s="101"/>
      <c r="BL476" s="80"/>
      <c r="BM476" s="102"/>
      <c r="BN476" s="102"/>
      <c r="BO476" s="103"/>
      <c r="BP476" s="104"/>
      <c r="BQ476" s="28"/>
      <c r="BR476" s="102"/>
      <c r="BS476" s="102"/>
      <c r="BT476" s="102"/>
      <c r="BU476" s="102"/>
      <c r="BV476" s="105"/>
      <c r="BW476" s="101"/>
      <c r="BX476" s="105"/>
      <c r="BY476" s="11"/>
      <c r="BZ476" s="106"/>
      <c r="CA476" s="101"/>
      <c r="CB476" s="107"/>
      <c r="CC476" s="11"/>
      <c r="CD476" s="101"/>
      <c r="CE476" s="108"/>
      <c r="CF476" s="8"/>
      <c r="DK476" s="11"/>
      <c r="DL476" s="11"/>
      <c r="DM476" s="11"/>
      <c r="DN476" s="11"/>
      <c r="DO476" s="11"/>
      <c r="DP476" s="11"/>
      <c r="DX476" s="99"/>
      <c r="DY476" s="99"/>
      <c r="DZ476" s="99"/>
      <c r="EH476" s="100"/>
      <c r="EI476" s="100"/>
      <c r="EJ476" s="100"/>
      <c r="EK476" s="101"/>
      <c r="EL476" s="80"/>
      <c r="EM476" s="102"/>
      <c r="EN476" s="102"/>
      <c r="EO476" s="103"/>
      <c r="EP476" s="104"/>
      <c r="EQ476" s="28"/>
      <c r="ER476" s="102"/>
      <c r="ES476" s="102"/>
      <c r="ET476" s="102"/>
      <c r="EU476" s="102"/>
      <c r="EV476" s="105"/>
      <c r="EW476" s="101"/>
      <c r="EX476" s="105"/>
      <c r="EY476" s="11"/>
      <c r="EZ476" s="106"/>
      <c r="FA476" s="101"/>
      <c r="FB476" s="107"/>
      <c r="FC476" s="11"/>
      <c r="FD476" s="101"/>
      <c r="FE476" s="108"/>
      <c r="FF476" s="8"/>
    </row>
    <row r="477" spans="37:162">
      <c r="AX477" s="99"/>
      <c r="AY477" s="99"/>
      <c r="AZ477" s="99"/>
      <c r="BH477" s="100"/>
      <c r="BI477" s="100"/>
      <c r="BJ477" s="100"/>
      <c r="BK477" s="101"/>
      <c r="BL477" s="80"/>
      <c r="BM477" s="102"/>
      <c r="BN477" s="102"/>
      <c r="BO477" s="103"/>
      <c r="BP477" s="104"/>
      <c r="BQ477" s="28"/>
      <c r="BR477" s="102"/>
      <c r="BS477" s="102"/>
      <c r="BT477" s="102"/>
      <c r="BU477" s="102"/>
      <c r="BV477" s="105"/>
      <c r="BW477" s="101"/>
      <c r="BX477" s="105"/>
      <c r="BY477" s="11"/>
      <c r="BZ477" s="106"/>
      <c r="CA477" s="101"/>
      <c r="CB477" s="107"/>
      <c r="CC477" s="11"/>
      <c r="CD477" s="101"/>
      <c r="CE477" s="108"/>
      <c r="CF477" s="8"/>
      <c r="DX477" s="99"/>
      <c r="DY477" s="99"/>
      <c r="DZ477" s="99"/>
      <c r="EH477" s="100"/>
      <c r="EI477" s="100"/>
      <c r="EJ477" s="100"/>
      <c r="EK477" s="101"/>
      <c r="EL477" s="80"/>
      <c r="EM477" s="102"/>
      <c r="EN477" s="102"/>
      <c r="EO477" s="103"/>
      <c r="EP477" s="104"/>
      <c r="EQ477" s="28"/>
      <c r="ER477" s="102"/>
      <c r="ES477" s="102"/>
      <c r="ET477" s="102"/>
      <c r="EU477" s="102"/>
      <c r="EV477" s="105"/>
      <c r="EW477" s="101"/>
      <c r="EX477" s="105"/>
      <c r="EY477" s="11"/>
      <c r="EZ477" s="106"/>
      <c r="FA477" s="101"/>
      <c r="FB477" s="107"/>
      <c r="FC477" s="11"/>
      <c r="FD477" s="101"/>
      <c r="FE477" s="108"/>
      <c r="FF477" s="8"/>
    </row>
    <row r="478" spans="37:162">
      <c r="AX478" s="99"/>
      <c r="AY478" s="99"/>
      <c r="AZ478" s="99"/>
      <c r="BH478" s="100"/>
      <c r="BI478" s="100"/>
      <c r="BJ478" s="100"/>
      <c r="BK478" s="101"/>
      <c r="BL478" s="80"/>
      <c r="BM478" s="102"/>
      <c r="BN478" s="102"/>
      <c r="BO478" s="103"/>
      <c r="BP478" s="104"/>
      <c r="BQ478" s="28"/>
      <c r="BR478" s="102"/>
      <c r="BS478" s="102"/>
      <c r="BT478" s="102"/>
      <c r="BU478" s="102"/>
      <c r="BV478" s="105"/>
      <c r="BW478" s="101"/>
      <c r="BX478" s="105"/>
      <c r="BY478" s="11"/>
      <c r="BZ478" s="106"/>
      <c r="CA478" s="101"/>
      <c r="CB478" s="107"/>
      <c r="CC478" s="11"/>
      <c r="CD478" s="101"/>
      <c r="CE478" s="108"/>
      <c r="CF478" s="8"/>
      <c r="DX478" s="99"/>
      <c r="DY478" s="99"/>
      <c r="DZ478" s="99"/>
      <c r="EH478" s="100"/>
      <c r="EI478" s="100"/>
      <c r="EJ478" s="100"/>
      <c r="EK478" s="101"/>
      <c r="EL478" s="80"/>
      <c r="EM478" s="102"/>
      <c r="EN478" s="102"/>
      <c r="EO478" s="103"/>
      <c r="EP478" s="104"/>
      <c r="EQ478" s="28"/>
      <c r="ER478" s="102"/>
      <c r="ES478" s="102"/>
      <c r="ET478" s="102"/>
      <c r="EU478" s="102"/>
      <c r="EV478" s="105"/>
      <c r="EW478" s="101"/>
      <c r="EX478" s="105"/>
      <c r="EY478" s="11"/>
      <c r="EZ478" s="106"/>
      <c r="FA478" s="101"/>
      <c r="FB478" s="107"/>
      <c r="FC478" s="11"/>
      <c r="FD478" s="101"/>
      <c r="FE478" s="108"/>
      <c r="FF478" s="8"/>
    </row>
    <row r="479" spans="37:162">
      <c r="AX479" s="99"/>
      <c r="AY479" s="99"/>
      <c r="AZ479" s="99"/>
      <c r="BH479" s="100"/>
      <c r="BI479" s="100"/>
      <c r="BJ479" s="100"/>
      <c r="BK479" s="101"/>
      <c r="BL479" s="80"/>
      <c r="BM479" s="102"/>
      <c r="BN479" s="102"/>
      <c r="BO479" s="103"/>
      <c r="BP479" s="104"/>
      <c r="BQ479" s="28"/>
      <c r="BR479" s="102"/>
      <c r="BS479" s="102"/>
      <c r="BT479" s="102"/>
      <c r="BU479" s="102"/>
      <c r="BV479" s="105"/>
      <c r="BW479" s="101"/>
      <c r="BX479" s="105"/>
      <c r="BY479" s="11"/>
      <c r="BZ479" s="106"/>
      <c r="CA479" s="101"/>
      <c r="CB479" s="107"/>
      <c r="CC479" s="11"/>
      <c r="CD479" s="101"/>
      <c r="CE479" s="108"/>
      <c r="CF479" s="8"/>
      <c r="DX479" s="99"/>
      <c r="DY479" s="99"/>
      <c r="DZ479" s="99"/>
      <c r="EH479" s="100"/>
      <c r="EI479" s="100"/>
      <c r="EJ479" s="100"/>
      <c r="EK479" s="101"/>
      <c r="EL479" s="80"/>
      <c r="EM479" s="102"/>
      <c r="EN479" s="102"/>
      <c r="EO479" s="103"/>
      <c r="EP479" s="104"/>
      <c r="EQ479" s="28"/>
      <c r="ER479" s="102"/>
      <c r="ES479" s="102"/>
      <c r="ET479" s="102"/>
      <c r="EU479" s="102"/>
      <c r="EV479" s="105"/>
      <c r="EW479" s="101"/>
      <c r="EX479" s="105"/>
      <c r="EY479" s="11"/>
      <c r="EZ479" s="106"/>
      <c r="FA479" s="101"/>
      <c r="FB479" s="107"/>
      <c r="FC479" s="11"/>
      <c r="FD479" s="101"/>
      <c r="FE479" s="108"/>
      <c r="FF479" s="8"/>
    </row>
    <row r="480" spans="37:162">
      <c r="AX480" s="99"/>
      <c r="AY480" s="99"/>
      <c r="AZ480" s="99"/>
      <c r="BH480" s="100"/>
      <c r="BI480" s="100"/>
      <c r="BJ480" s="100"/>
      <c r="BK480" s="101"/>
      <c r="BL480" s="80"/>
      <c r="BM480" s="102"/>
      <c r="BN480" s="102"/>
      <c r="BO480" s="103"/>
      <c r="BP480" s="104"/>
      <c r="BQ480" s="28"/>
      <c r="BR480" s="102"/>
      <c r="BS480" s="102"/>
      <c r="BT480" s="102"/>
      <c r="BU480" s="102"/>
      <c r="BV480" s="105"/>
      <c r="BW480" s="101"/>
      <c r="BX480" s="105"/>
      <c r="BY480" s="11"/>
      <c r="BZ480" s="106"/>
      <c r="CA480" s="101"/>
      <c r="CB480" s="107"/>
      <c r="CC480" s="11"/>
      <c r="CD480" s="101"/>
      <c r="CE480" s="108"/>
      <c r="CF480" s="8"/>
      <c r="DX480" s="99"/>
      <c r="DY480" s="99"/>
      <c r="DZ480" s="99"/>
      <c r="EH480" s="100"/>
      <c r="EI480" s="100"/>
      <c r="EJ480" s="100"/>
      <c r="EK480" s="101"/>
      <c r="EL480" s="80"/>
      <c r="EM480" s="102"/>
      <c r="EN480" s="102"/>
      <c r="EO480" s="103"/>
      <c r="EP480" s="104"/>
      <c r="EQ480" s="28"/>
      <c r="ER480" s="102"/>
      <c r="ES480" s="102"/>
      <c r="ET480" s="102"/>
      <c r="EU480" s="102"/>
      <c r="EV480" s="105"/>
      <c r="EW480" s="101"/>
      <c r="EX480" s="105"/>
      <c r="EY480" s="11"/>
      <c r="EZ480" s="106"/>
      <c r="FA480" s="101"/>
      <c r="FB480" s="107"/>
      <c r="FC480" s="11"/>
      <c r="FD480" s="101"/>
      <c r="FE480" s="108"/>
      <c r="FF480" s="8"/>
    </row>
    <row r="481" spans="50:162">
      <c r="AX481" s="99"/>
      <c r="AY481" s="99"/>
      <c r="AZ481" s="99"/>
      <c r="BH481" s="100"/>
      <c r="BI481" s="100"/>
      <c r="BJ481" s="100"/>
      <c r="BK481" s="101"/>
      <c r="BL481" s="80"/>
      <c r="BM481" s="102"/>
      <c r="BN481" s="102"/>
      <c r="BO481" s="103"/>
      <c r="BP481" s="104"/>
      <c r="BQ481" s="28"/>
      <c r="BR481" s="102"/>
      <c r="BS481" s="102"/>
      <c r="BT481" s="102"/>
      <c r="BU481" s="102"/>
      <c r="BV481" s="105"/>
      <c r="BW481" s="101"/>
      <c r="BX481" s="105"/>
      <c r="BY481" s="11"/>
      <c r="BZ481" s="106"/>
      <c r="CA481" s="101"/>
      <c r="CB481" s="107"/>
      <c r="CC481" s="11"/>
      <c r="CD481" s="101"/>
      <c r="CE481" s="108"/>
      <c r="CF481" s="8"/>
      <c r="DX481" s="99"/>
      <c r="DY481" s="99"/>
      <c r="DZ481" s="99"/>
      <c r="EH481" s="100"/>
      <c r="EI481" s="100"/>
      <c r="EJ481" s="100"/>
      <c r="EK481" s="101"/>
      <c r="EL481" s="80"/>
      <c r="EM481" s="102"/>
      <c r="EN481" s="102"/>
      <c r="EO481" s="103"/>
      <c r="EP481" s="104"/>
      <c r="EQ481" s="28"/>
      <c r="ER481" s="102"/>
      <c r="ES481" s="102"/>
      <c r="ET481" s="102"/>
      <c r="EU481" s="102"/>
      <c r="EV481" s="105"/>
      <c r="EW481" s="101"/>
      <c r="EX481" s="105"/>
      <c r="EY481" s="11"/>
      <c r="EZ481" s="106"/>
      <c r="FA481" s="101"/>
      <c r="FB481" s="107"/>
      <c r="FC481" s="11"/>
      <c r="FD481" s="101"/>
      <c r="FE481" s="108"/>
      <c r="FF481" s="8"/>
    </row>
    <row r="482" spans="50:162">
      <c r="AX482" s="99"/>
      <c r="AY482" s="99"/>
      <c r="AZ482" s="99"/>
      <c r="BH482" s="100"/>
      <c r="BI482" s="100"/>
      <c r="BJ482" s="100"/>
      <c r="BK482" s="101"/>
      <c r="BL482" s="80"/>
      <c r="BM482" s="102"/>
      <c r="BN482" s="102"/>
      <c r="BO482" s="103"/>
      <c r="BP482" s="104"/>
      <c r="BQ482" s="28"/>
      <c r="BR482" s="102"/>
      <c r="BS482" s="102"/>
      <c r="BT482" s="102"/>
      <c r="BU482" s="102"/>
      <c r="BV482" s="105"/>
      <c r="BW482" s="101"/>
      <c r="BX482" s="105"/>
      <c r="BY482" s="11"/>
      <c r="BZ482" s="106"/>
      <c r="CA482" s="101"/>
      <c r="CB482" s="107"/>
      <c r="CC482" s="11"/>
      <c r="CD482" s="101"/>
      <c r="CE482" s="108"/>
      <c r="CF482" s="8"/>
      <c r="DX482" s="99"/>
      <c r="DY482" s="99"/>
      <c r="DZ482" s="99"/>
      <c r="EH482" s="100"/>
      <c r="EI482" s="100"/>
      <c r="EJ482" s="100"/>
      <c r="EK482" s="101"/>
      <c r="EL482" s="80"/>
      <c r="EM482" s="102"/>
      <c r="EN482" s="102"/>
      <c r="EO482" s="103"/>
      <c r="EP482" s="104"/>
      <c r="EQ482" s="28"/>
      <c r="ER482" s="102"/>
      <c r="ES482" s="102"/>
      <c r="ET482" s="102"/>
      <c r="EU482" s="102"/>
      <c r="EV482" s="105"/>
      <c r="EW482" s="101"/>
      <c r="EX482" s="105"/>
      <c r="EY482" s="11"/>
      <c r="EZ482" s="106"/>
      <c r="FA482" s="101"/>
      <c r="FB482" s="107"/>
      <c r="FC482" s="11"/>
      <c r="FD482" s="101"/>
      <c r="FE482" s="108"/>
      <c r="FF482" s="8"/>
    </row>
    <row r="483" spans="50:162">
      <c r="AX483" s="99"/>
      <c r="AY483" s="99"/>
      <c r="AZ483" s="99"/>
      <c r="BH483" s="100"/>
      <c r="BI483" s="100"/>
      <c r="BJ483" s="100"/>
      <c r="BK483" s="101"/>
      <c r="BL483" s="80"/>
      <c r="BM483" s="102"/>
      <c r="BN483" s="102"/>
      <c r="BO483" s="103"/>
      <c r="BP483" s="104"/>
      <c r="BQ483" s="28"/>
      <c r="BR483" s="102"/>
      <c r="BS483" s="102"/>
      <c r="BT483" s="102"/>
      <c r="BU483" s="102"/>
      <c r="BV483" s="105"/>
      <c r="BW483" s="101"/>
      <c r="BX483" s="105"/>
      <c r="BY483" s="11"/>
      <c r="BZ483" s="106"/>
      <c r="CA483" s="101"/>
      <c r="CB483" s="107"/>
      <c r="CC483" s="11"/>
      <c r="CD483" s="101"/>
      <c r="CE483" s="108"/>
      <c r="CF483" s="8"/>
      <c r="DX483" s="99"/>
      <c r="DY483" s="99"/>
      <c r="DZ483" s="99"/>
      <c r="EH483" s="100"/>
      <c r="EI483" s="100"/>
      <c r="EJ483" s="100"/>
      <c r="EK483" s="101"/>
      <c r="EL483" s="80"/>
      <c r="EM483" s="102"/>
      <c r="EN483" s="102"/>
      <c r="EO483" s="103"/>
      <c r="EP483" s="104"/>
      <c r="EQ483" s="28"/>
      <c r="ER483" s="102"/>
      <c r="ES483" s="102"/>
      <c r="ET483" s="102"/>
      <c r="EU483" s="102"/>
      <c r="EV483" s="105"/>
      <c r="EW483" s="101"/>
      <c r="EX483" s="105"/>
      <c r="EY483" s="11"/>
      <c r="EZ483" s="106"/>
      <c r="FA483" s="101"/>
      <c r="FB483" s="107"/>
      <c r="FC483" s="11"/>
      <c r="FD483" s="101"/>
      <c r="FE483" s="108"/>
      <c r="FF483" s="8"/>
    </row>
    <row r="484" spans="50:162">
      <c r="AX484" s="99"/>
      <c r="AY484" s="99"/>
      <c r="AZ484" s="99"/>
      <c r="BH484" s="100"/>
      <c r="BI484" s="100"/>
      <c r="BJ484" s="100"/>
      <c r="BK484" s="101"/>
      <c r="BL484" s="80"/>
      <c r="BM484" s="102"/>
      <c r="BN484" s="102"/>
      <c r="BO484" s="103"/>
      <c r="BP484" s="104"/>
      <c r="BQ484" s="28"/>
      <c r="BR484" s="102"/>
      <c r="BS484" s="102"/>
      <c r="BT484" s="102"/>
      <c r="BU484" s="102"/>
      <c r="BV484" s="105"/>
      <c r="BW484" s="101"/>
      <c r="BX484" s="105"/>
      <c r="BY484" s="11"/>
      <c r="BZ484" s="106"/>
      <c r="CA484" s="101"/>
      <c r="CB484" s="107"/>
      <c r="CC484" s="11"/>
      <c r="CD484" s="101"/>
      <c r="CE484" s="108"/>
      <c r="CF484" s="8"/>
      <c r="DX484" s="99"/>
      <c r="DY484" s="99"/>
      <c r="DZ484" s="99"/>
      <c r="EH484" s="100"/>
      <c r="EI484" s="100"/>
      <c r="EJ484" s="100"/>
      <c r="EK484" s="101"/>
      <c r="EL484" s="80"/>
      <c r="EM484" s="102"/>
      <c r="EN484" s="102"/>
      <c r="EO484" s="103"/>
      <c r="EP484" s="104"/>
      <c r="EQ484" s="28"/>
      <c r="ER484" s="102"/>
      <c r="ES484" s="102"/>
      <c r="ET484" s="102"/>
      <c r="EU484" s="102"/>
      <c r="EV484" s="105"/>
      <c r="EW484" s="101"/>
      <c r="EX484" s="105"/>
      <c r="EY484" s="11"/>
      <c r="EZ484" s="106"/>
      <c r="FA484" s="101"/>
      <c r="FB484" s="107"/>
      <c r="FC484" s="11"/>
      <c r="FD484" s="101"/>
      <c r="FE484" s="108"/>
      <c r="FF484" s="8"/>
    </row>
    <row r="485" spans="50:162">
      <c r="AX485" s="99"/>
      <c r="AY485" s="99"/>
      <c r="AZ485" s="99"/>
      <c r="BH485" s="100"/>
      <c r="BI485" s="100"/>
      <c r="BJ485" s="100"/>
      <c r="BK485" s="101"/>
      <c r="BL485" s="80"/>
      <c r="BM485" s="102"/>
      <c r="BN485" s="102"/>
      <c r="BO485" s="103"/>
      <c r="BP485" s="104"/>
      <c r="BQ485" s="28"/>
      <c r="BR485" s="102"/>
      <c r="BS485" s="102"/>
      <c r="BT485" s="102"/>
      <c r="BU485" s="102"/>
      <c r="BV485" s="105"/>
      <c r="BW485" s="101"/>
      <c r="BX485" s="105"/>
      <c r="BY485" s="11"/>
      <c r="BZ485" s="106"/>
      <c r="CA485" s="101"/>
      <c r="CB485" s="107"/>
      <c r="CC485" s="11"/>
      <c r="CD485" s="101"/>
      <c r="CE485" s="108"/>
      <c r="CF485" s="8"/>
      <c r="DX485" s="99"/>
      <c r="DY485" s="99"/>
      <c r="DZ485" s="99"/>
      <c r="EH485" s="100"/>
      <c r="EI485" s="100"/>
      <c r="EJ485" s="100"/>
      <c r="EK485" s="101"/>
      <c r="EL485" s="80"/>
      <c r="EM485" s="102"/>
      <c r="EN485" s="102"/>
      <c r="EO485" s="103"/>
      <c r="EP485" s="104"/>
      <c r="EQ485" s="28"/>
      <c r="ER485" s="102"/>
      <c r="ES485" s="102"/>
      <c r="ET485" s="102"/>
      <c r="EU485" s="102"/>
      <c r="EV485" s="105"/>
      <c r="EW485" s="101"/>
      <c r="EX485" s="105"/>
      <c r="EY485" s="11"/>
      <c r="EZ485" s="106"/>
      <c r="FA485" s="101"/>
      <c r="FB485" s="107"/>
      <c r="FC485" s="11"/>
      <c r="FD485" s="101"/>
      <c r="FE485" s="108"/>
      <c r="FF485" s="8"/>
    </row>
    <row r="486" spans="50:162">
      <c r="AX486" s="99"/>
      <c r="AY486" s="99"/>
      <c r="AZ486" s="99"/>
      <c r="BH486" s="100"/>
      <c r="BI486" s="100"/>
      <c r="BJ486" s="100"/>
      <c r="BK486" s="101"/>
      <c r="BL486" s="80"/>
      <c r="BM486" s="102"/>
      <c r="BN486" s="102"/>
      <c r="BO486" s="103"/>
      <c r="BP486" s="104"/>
      <c r="BQ486" s="28"/>
      <c r="BR486" s="102"/>
      <c r="BS486" s="102"/>
      <c r="BT486" s="102"/>
      <c r="BU486" s="102"/>
      <c r="BV486" s="105"/>
      <c r="BW486" s="101"/>
      <c r="BX486" s="105"/>
      <c r="BY486" s="11"/>
      <c r="BZ486" s="106"/>
      <c r="CA486" s="101"/>
      <c r="CB486" s="107"/>
      <c r="CC486" s="11"/>
      <c r="CD486" s="101"/>
      <c r="CE486" s="108"/>
      <c r="CF486" s="8"/>
      <c r="DX486" s="99"/>
      <c r="DY486" s="99"/>
      <c r="DZ486" s="99"/>
      <c r="EH486" s="100"/>
      <c r="EI486" s="100"/>
      <c r="EJ486" s="100"/>
      <c r="EK486" s="101"/>
      <c r="EL486" s="80"/>
      <c r="EM486" s="102"/>
      <c r="EN486" s="102"/>
      <c r="EO486" s="103"/>
      <c r="EP486" s="104"/>
      <c r="EQ486" s="28"/>
      <c r="ER486" s="102"/>
      <c r="ES486" s="102"/>
      <c r="ET486" s="102"/>
      <c r="EU486" s="102"/>
      <c r="EV486" s="105"/>
      <c r="EW486" s="101"/>
      <c r="EX486" s="105"/>
      <c r="EY486" s="11"/>
      <c r="EZ486" s="106"/>
      <c r="FA486" s="101"/>
      <c r="FB486" s="107"/>
      <c r="FC486" s="11"/>
      <c r="FD486" s="101"/>
      <c r="FE486" s="108"/>
      <c r="FF486" s="8"/>
    </row>
    <row r="487" spans="50:162">
      <c r="AX487" s="99"/>
      <c r="AY487" s="99"/>
      <c r="AZ487" s="99"/>
      <c r="BH487" s="100"/>
      <c r="BI487" s="100"/>
      <c r="BJ487" s="100"/>
      <c r="BK487" s="101"/>
      <c r="BL487" s="80"/>
      <c r="BM487" s="102"/>
      <c r="BN487" s="102"/>
      <c r="BO487" s="103"/>
      <c r="BP487" s="104"/>
      <c r="BQ487" s="28"/>
      <c r="BR487" s="102"/>
      <c r="BS487" s="102"/>
      <c r="BT487" s="102"/>
      <c r="BU487" s="102"/>
      <c r="BV487" s="105"/>
      <c r="BW487" s="101"/>
      <c r="BX487" s="105"/>
      <c r="BY487" s="11"/>
      <c r="BZ487" s="106"/>
      <c r="CA487" s="101"/>
      <c r="CB487" s="107"/>
      <c r="CC487" s="11"/>
      <c r="CD487" s="101"/>
      <c r="CE487" s="108"/>
      <c r="CF487" s="8"/>
      <c r="DX487" s="99"/>
      <c r="DY487" s="99"/>
      <c r="DZ487" s="99"/>
      <c r="EH487" s="100"/>
      <c r="EI487" s="100"/>
      <c r="EJ487" s="100"/>
      <c r="EK487" s="101"/>
      <c r="EL487" s="80"/>
      <c r="EM487" s="102"/>
      <c r="EN487" s="102"/>
      <c r="EO487" s="103"/>
      <c r="EP487" s="104"/>
      <c r="EQ487" s="28"/>
      <c r="ER487" s="102"/>
      <c r="ES487" s="102"/>
      <c r="ET487" s="102"/>
      <c r="EU487" s="102"/>
      <c r="EV487" s="105"/>
      <c r="EW487" s="101"/>
      <c r="EX487" s="105"/>
      <c r="EY487" s="11"/>
      <c r="EZ487" s="106"/>
      <c r="FA487" s="101"/>
      <c r="FB487" s="107"/>
      <c r="FC487" s="11"/>
      <c r="FD487" s="101"/>
      <c r="FE487" s="108"/>
      <c r="FF487" s="8"/>
    </row>
    <row r="488" spans="50:162">
      <c r="AX488" s="99"/>
      <c r="AY488" s="99"/>
      <c r="AZ488" s="99"/>
      <c r="BH488" s="100"/>
      <c r="BI488" s="100"/>
      <c r="BJ488" s="100"/>
      <c r="BK488" s="101"/>
      <c r="BL488" s="80"/>
      <c r="BM488" s="102"/>
      <c r="BN488" s="102"/>
      <c r="BO488" s="103"/>
      <c r="BP488" s="104"/>
      <c r="BQ488" s="28"/>
      <c r="BR488" s="102"/>
      <c r="BS488" s="102"/>
      <c r="BT488" s="102"/>
      <c r="BU488" s="102"/>
      <c r="BV488" s="105"/>
      <c r="BW488" s="101"/>
      <c r="BX488" s="105"/>
      <c r="BY488" s="11"/>
      <c r="BZ488" s="106"/>
      <c r="CA488" s="101"/>
      <c r="CB488" s="107"/>
      <c r="CC488" s="11"/>
      <c r="CD488" s="101"/>
      <c r="CE488" s="108"/>
      <c r="CF488" s="8"/>
      <c r="DX488" s="99"/>
      <c r="DY488" s="99"/>
      <c r="DZ488" s="99"/>
      <c r="EH488" s="100"/>
      <c r="EI488" s="100"/>
      <c r="EJ488" s="100"/>
      <c r="EK488" s="101"/>
      <c r="EL488" s="80"/>
      <c r="EM488" s="102"/>
      <c r="EN488" s="102"/>
      <c r="EO488" s="103"/>
      <c r="EP488" s="104"/>
      <c r="EQ488" s="28"/>
      <c r="ER488" s="102"/>
      <c r="ES488" s="102"/>
      <c r="ET488" s="102"/>
      <c r="EU488" s="102"/>
      <c r="EV488" s="105"/>
      <c r="EW488" s="101"/>
      <c r="EX488" s="105"/>
      <c r="EY488" s="11"/>
      <c r="EZ488" s="106"/>
      <c r="FA488" s="101"/>
      <c r="FB488" s="107"/>
      <c r="FC488" s="11"/>
      <c r="FD488" s="101"/>
      <c r="FE488" s="108"/>
      <c r="FF488" s="8"/>
    </row>
    <row r="489" spans="50:162">
      <c r="AX489" s="99"/>
      <c r="AY489" s="99"/>
      <c r="AZ489" s="99"/>
      <c r="BH489" s="100"/>
      <c r="BI489" s="100"/>
      <c r="BJ489" s="100"/>
      <c r="BK489" s="101"/>
      <c r="BL489" s="80"/>
      <c r="BM489" s="102"/>
      <c r="BN489" s="102"/>
      <c r="BO489" s="103"/>
      <c r="BP489" s="104"/>
      <c r="BQ489" s="28"/>
      <c r="BR489" s="102"/>
      <c r="BS489" s="102"/>
      <c r="BT489" s="102"/>
      <c r="BU489" s="102"/>
      <c r="BV489" s="105"/>
      <c r="BW489" s="101"/>
      <c r="BX489" s="105"/>
      <c r="BY489" s="11"/>
      <c r="BZ489" s="106"/>
      <c r="CA489" s="101"/>
      <c r="CB489" s="107"/>
      <c r="CC489" s="11"/>
      <c r="CD489" s="101"/>
      <c r="CE489" s="108"/>
      <c r="CF489" s="8"/>
      <c r="DX489" s="99"/>
      <c r="DY489" s="99"/>
      <c r="DZ489" s="99"/>
      <c r="EH489" s="100"/>
      <c r="EI489" s="100"/>
      <c r="EJ489" s="100"/>
      <c r="EK489" s="101"/>
      <c r="EL489" s="80"/>
      <c r="EM489" s="102"/>
      <c r="EN489" s="102"/>
      <c r="EO489" s="103"/>
      <c r="EP489" s="104"/>
      <c r="EQ489" s="28"/>
      <c r="ER489" s="102"/>
      <c r="ES489" s="102"/>
      <c r="ET489" s="102"/>
      <c r="EU489" s="102"/>
      <c r="EV489" s="105"/>
      <c r="EW489" s="101"/>
      <c r="EX489" s="105"/>
      <c r="EY489" s="11"/>
      <c r="EZ489" s="106"/>
      <c r="FA489" s="101"/>
      <c r="FB489" s="107"/>
      <c r="FC489" s="11"/>
      <c r="FD489" s="101"/>
      <c r="FE489" s="108"/>
      <c r="FF489" s="8"/>
    </row>
    <row r="490" spans="50:162">
      <c r="AX490" s="99"/>
      <c r="AY490" s="99"/>
      <c r="AZ490" s="99"/>
      <c r="BH490" s="100"/>
      <c r="BI490" s="100"/>
      <c r="BJ490" s="100"/>
      <c r="BK490" s="101"/>
      <c r="BL490" s="80"/>
      <c r="BM490" s="102"/>
      <c r="BN490" s="102"/>
      <c r="BO490" s="103"/>
      <c r="BP490" s="104"/>
      <c r="BQ490" s="28"/>
      <c r="BR490" s="102"/>
      <c r="BS490" s="102"/>
      <c r="BT490" s="102"/>
      <c r="BU490" s="102"/>
      <c r="BV490" s="105"/>
      <c r="BW490" s="101"/>
      <c r="BX490" s="105"/>
      <c r="BY490" s="11"/>
      <c r="BZ490" s="106"/>
      <c r="CA490" s="101"/>
      <c r="CB490" s="107"/>
      <c r="CC490" s="11"/>
      <c r="CD490" s="101"/>
      <c r="CE490" s="108"/>
      <c r="CF490" s="8"/>
      <c r="DX490" s="99"/>
      <c r="DY490" s="99"/>
      <c r="DZ490" s="99"/>
      <c r="EH490" s="100"/>
      <c r="EI490" s="100"/>
      <c r="EJ490" s="100"/>
      <c r="EK490" s="101"/>
      <c r="EL490" s="80"/>
      <c r="EM490" s="102"/>
      <c r="EN490" s="102"/>
      <c r="EO490" s="103"/>
      <c r="EP490" s="104"/>
      <c r="EQ490" s="28"/>
      <c r="ER490" s="102"/>
      <c r="ES490" s="102"/>
      <c r="ET490" s="102"/>
      <c r="EU490" s="102"/>
      <c r="EV490" s="105"/>
      <c r="EW490" s="101"/>
      <c r="EX490" s="105"/>
      <c r="EY490" s="11"/>
      <c r="EZ490" s="106"/>
      <c r="FA490" s="101"/>
      <c r="FB490" s="107"/>
      <c r="FC490" s="11"/>
      <c r="FD490" s="101"/>
      <c r="FE490" s="108"/>
      <c r="FF490" s="8"/>
    </row>
    <row r="491" spans="50:162">
      <c r="AX491" s="99"/>
      <c r="AY491" s="99"/>
      <c r="AZ491" s="99"/>
      <c r="BH491" s="100"/>
      <c r="BI491" s="100"/>
      <c r="BJ491" s="100"/>
      <c r="BK491" s="101"/>
      <c r="BL491" s="80"/>
      <c r="BM491" s="102"/>
      <c r="BN491" s="102"/>
      <c r="BO491" s="103"/>
      <c r="BP491" s="104"/>
      <c r="BQ491" s="28"/>
      <c r="BR491" s="102"/>
      <c r="BS491" s="102"/>
      <c r="BT491" s="102"/>
      <c r="BU491" s="102"/>
      <c r="BV491" s="105"/>
      <c r="BW491" s="101"/>
      <c r="BX491" s="105"/>
      <c r="BY491" s="11"/>
      <c r="BZ491" s="106"/>
      <c r="CA491" s="101"/>
      <c r="CB491" s="107"/>
      <c r="CC491" s="11"/>
      <c r="CD491" s="101"/>
      <c r="CE491" s="108"/>
      <c r="CF491" s="8"/>
      <c r="DX491" s="99"/>
      <c r="DY491" s="99"/>
      <c r="DZ491" s="99"/>
      <c r="EH491" s="100"/>
      <c r="EI491" s="100"/>
      <c r="EJ491" s="100"/>
      <c r="EK491" s="101"/>
      <c r="EL491" s="80"/>
      <c r="EM491" s="102"/>
      <c r="EN491" s="102"/>
      <c r="EO491" s="103"/>
      <c r="EP491" s="104"/>
      <c r="EQ491" s="28"/>
      <c r="ER491" s="102"/>
      <c r="ES491" s="102"/>
      <c r="ET491" s="102"/>
      <c r="EU491" s="102"/>
      <c r="EV491" s="105"/>
      <c r="EW491" s="101"/>
      <c r="EX491" s="105"/>
      <c r="EY491" s="11"/>
      <c r="EZ491" s="106"/>
      <c r="FA491" s="101"/>
      <c r="FB491" s="107"/>
      <c r="FC491" s="11"/>
      <c r="FD491" s="101"/>
      <c r="FE491" s="108"/>
      <c r="FF491" s="8"/>
    </row>
    <row r="492" spans="50:162">
      <c r="AX492" s="99"/>
      <c r="AY492" s="99"/>
      <c r="AZ492" s="99"/>
      <c r="BH492" s="100"/>
      <c r="BI492" s="100"/>
      <c r="BJ492" s="100"/>
      <c r="BK492" s="101"/>
      <c r="BL492" s="80"/>
      <c r="BM492" s="102"/>
      <c r="BN492" s="102"/>
      <c r="BO492" s="103"/>
      <c r="BP492" s="104"/>
      <c r="BQ492" s="28"/>
      <c r="BR492" s="102"/>
      <c r="BS492" s="102"/>
      <c r="BT492" s="102"/>
      <c r="BU492" s="102"/>
      <c r="BV492" s="105"/>
      <c r="BW492" s="101"/>
      <c r="BX492" s="105"/>
      <c r="BY492" s="11"/>
      <c r="BZ492" s="106"/>
      <c r="CA492" s="101"/>
      <c r="CB492" s="107"/>
      <c r="CC492" s="11"/>
      <c r="CD492" s="101"/>
      <c r="CE492" s="108"/>
      <c r="CF492" s="8"/>
      <c r="DX492" s="99"/>
      <c r="DY492" s="99"/>
      <c r="DZ492" s="99"/>
      <c r="EH492" s="100"/>
      <c r="EI492" s="100"/>
      <c r="EJ492" s="100"/>
      <c r="EK492" s="101"/>
      <c r="EL492" s="80"/>
      <c r="EM492" s="102"/>
      <c r="EN492" s="102"/>
      <c r="EO492" s="103"/>
      <c r="EP492" s="104"/>
      <c r="EQ492" s="28"/>
      <c r="ER492" s="102"/>
      <c r="ES492" s="102"/>
      <c r="ET492" s="102"/>
      <c r="EU492" s="102"/>
      <c r="EV492" s="105"/>
      <c r="EW492" s="101"/>
      <c r="EX492" s="105"/>
      <c r="EY492" s="11"/>
      <c r="EZ492" s="106"/>
      <c r="FA492" s="101"/>
      <c r="FB492" s="107"/>
      <c r="FC492" s="11"/>
      <c r="FD492" s="101"/>
      <c r="FE492" s="108"/>
      <c r="FF492" s="8"/>
    </row>
    <row r="493" spans="50:162">
      <c r="AX493" s="99"/>
      <c r="AY493" s="99"/>
      <c r="AZ493" s="99"/>
      <c r="BH493" s="100"/>
      <c r="BI493" s="100"/>
      <c r="BJ493" s="100"/>
      <c r="BK493" s="101"/>
      <c r="BL493" s="80"/>
      <c r="BM493" s="102"/>
      <c r="BN493" s="102"/>
      <c r="BO493" s="103"/>
      <c r="BP493" s="104"/>
      <c r="BQ493" s="28"/>
      <c r="BR493" s="102"/>
      <c r="BS493" s="102"/>
      <c r="BT493" s="102"/>
      <c r="BU493" s="102"/>
      <c r="BV493" s="105"/>
      <c r="BW493" s="101"/>
      <c r="BX493" s="105"/>
      <c r="BY493" s="11"/>
      <c r="BZ493" s="106"/>
      <c r="CA493" s="101"/>
      <c r="CB493" s="107"/>
      <c r="CC493" s="11"/>
      <c r="CD493" s="101"/>
      <c r="CE493" s="108"/>
      <c r="CF493" s="8"/>
      <c r="DX493" s="99"/>
      <c r="DY493" s="99"/>
      <c r="DZ493" s="99"/>
      <c r="EH493" s="100"/>
      <c r="EI493" s="100"/>
      <c r="EJ493" s="100"/>
      <c r="EK493" s="101"/>
      <c r="EL493" s="80"/>
      <c r="EM493" s="102"/>
      <c r="EN493" s="102"/>
      <c r="EO493" s="103"/>
      <c r="EP493" s="104"/>
      <c r="EQ493" s="28"/>
      <c r="ER493" s="102"/>
      <c r="ES493" s="102"/>
      <c r="ET493" s="102"/>
      <c r="EU493" s="102"/>
      <c r="EV493" s="105"/>
      <c r="EW493" s="101"/>
      <c r="EX493" s="105"/>
      <c r="EY493" s="11"/>
      <c r="EZ493" s="106"/>
      <c r="FA493" s="101"/>
      <c r="FB493" s="107"/>
      <c r="FC493" s="11"/>
      <c r="FD493" s="101"/>
      <c r="FE493" s="108"/>
      <c r="FF493" s="8"/>
    </row>
    <row r="494" spans="50:162">
      <c r="AX494" s="99"/>
      <c r="AY494" s="99"/>
      <c r="AZ494" s="99"/>
      <c r="BH494" s="100"/>
      <c r="BI494" s="100"/>
      <c r="BJ494" s="100"/>
      <c r="BK494" s="101"/>
      <c r="BL494" s="80"/>
      <c r="BM494" s="102"/>
      <c r="BN494" s="102"/>
      <c r="BO494" s="103"/>
      <c r="BP494" s="104"/>
      <c r="BQ494" s="28"/>
      <c r="BR494" s="102"/>
      <c r="BS494" s="102"/>
      <c r="BT494" s="102"/>
      <c r="BU494" s="102"/>
      <c r="BV494" s="105"/>
      <c r="BW494" s="101"/>
      <c r="BX494" s="105"/>
      <c r="BY494" s="11"/>
      <c r="BZ494" s="106"/>
      <c r="CA494" s="101"/>
      <c r="CB494" s="107"/>
      <c r="CC494" s="11"/>
      <c r="CD494" s="101"/>
      <c r="CE494" s="108"/>
      <c r="CF494" s="8"/>
      <c r="DX494" s="99"/>
      <c r="DY494" s="99"/>
      <c r="DZ494" s="99"/>
      <c r="EH494" s="100"/>
      <c r="EI494" s="100"/>
      <c r="EJ494" s="100"/>
      <c r="EK494" s="101"/>
      <c r="EL494" s="80"/>
      <c r="EM494" s="102"/>
      <c r="EN494" s="102"/>
      <c r="EO494" s="103"/>
      <c r="EP494" s="104"/>
      <c r="EQ494" s="28"/>
      <c r="ER494" s="102"/>
      <c r="ES494" s="102"/>
      <c r="ET494" s="102"/>
      <c r="EU494" s="102"/>
      <c r="EV494" s="105"/>
      <c r="EW494" s="101"/>
      <c r="EX494" s="105"/>
      <c r="EY494" s="11"/>
      <c r="EZ494" s="106"/>
      <c r="FA494" s="101"/>
      <c r="FB494" s="107"/>
      <c r="FC494" s="11"/>
      <c r="FD494" s="101"/>
      <c r="FE494" s="108"/>
      <c r="FF494" s="8"/>
    </row>
    <row r="495" spans="50:162">
      <c r="AX495" s="99"/>
      <c r="AY495" s="99"/>
      <c r="AZ495" s="99"/>
      <c r="BH495" s="100"/>
      <c r="BI495" s="100"/>
      <c r="BJ495" s="100"/>
      <c r="BK495" s="101"/>
      <c r="BL495" s="80"/>
      <c r="BM495" s="102"/>
      <c r="BN495" s="102"/>
      <c r="BO495" s="103"/>
      <c r="BP495" s="104"/>
      <c r="BQ495" s="28"/>
      <c r="BR495" s="102"/>
      <c r="BS495" s="102"/>
      <c r="BT495" s="102"/>
      <c r="BU495" s="102"/>
      <c r="BV495" s="105"/>
      <c r="BW495" s="101"/>
      <c r="BX495" s="105"/>
      <c r="BY495" s="11"/>
      <c r="BZ495" s="106"/>
      <c r="CA495" s="101"/>
      <c r="CB495" s="107"/>
      <c r="CC495" s="11"/>
      <c r="CD495" s="101"/>
      <c r="CE495" s="108"/>
      <c r="CF495" s="8"/>
      <c r="DX495" s="99"/>
      <c r="DY495" s="99"/>
      <c r="DZ495" s="99"/>
      <c r="EH495" s="100"/>
      <c r="EI495" s="100"/>
      <c r="EJ495" s="100"/>
      <c r="EK495" s="101"/>
      <c r="EL495" s="80"/>
      <c r="EM495" s="102"/>
      <c r="EN495" s="102"/>
      <c r="EO495" s="103"/>
      <c r="EP495" s="104"/>
      <c r="EQ495" s="28"/>
      <c r="ER495" s="102"/>
      <c r="ES495" s="102"/>
      <c r="ET495" s="102"/>
      <c r="EU495" s="102"/>
      <c r="EV495" s="105"/>
      <c r="EW495" s="101"/>
      <c r="EX495" s="105"/>
      <c r="EY495" s="11"/>
      <c r="EZ495" s="106"/>
      <c r="FA495" s="101"/>
      <c r="FB495" s="107"/>
      <c r="FC495" s="11"/>
      <c r="FD495" s="101"/>
      <c r="FE495" s="108"/>
      <c r="FF495" s="8"/>
    </row>
    <row r="496" spans="50:162">
      <c r="AX496" s="99"/>
      <c r="AY496" s="99"/>
      <c r="AZ496" s="99"/>
      <c r="BH496" s="100"/>
      <c r="BI496" s="100"/>
      <c r="BJ496" s="100"/>
      <c r="BK496" s="101"/>
      <c r="BL496" s="80"/>
      <c r="BM496" s="102"/>
      <c r="BN496" s="102"/>
      <c r="BO496" s="103"/>
      <c r="BP496" s="104"/>
      <c r="BQ496" s="28"/>
      <c r="BR496" s="102"/>
      <c r="BS496" s="102"/>
      <c r="BT496" s="102"/>
      <c r="BU496" s="102"/>
      <c r="BV496" s="105"/>
      <c r="BW496" s="101"/>
      <c r="BX496" s="105"/>
      <c r="BY496" s="11"/>
      <c r="BZ496" s="106"/>
      <c r="CA496" s="101"/>
      <c r="CB496" s="107"/>
      <c r="CC496" s="11"/>
      <c r="CD496" s="101"/>
      <c r="CE496" s="108"/>
      <c r="CF496" s="8"/>
      <c r="DX496" s="99"/>
      <c r="DY496" s="99"/>
      <c r="DZ496" s="99"/>
      <c r="EH496" s="100"/>
      <c r="EI496" s="100"/>
      <c r="EJ496" s="100"/>
      <c r="EK496" s="101"/>
      <c r="EL496" s="80"/>
      <c r="EM496" s="102"/>
      <c r="EN496" s="102"/>
      <c r="EO496" s="103"/>
      <c r="EP496" s="104"/>
      <c r="EQ496" s="28"/>
      <c r="ER496" s="102"/>
      <c r="ES496" s="102"/>
      <c r="ET496" s="102"/>
      <c r="EU496" s="102"/>
      <c r="EV496" s="105"/>
      <c r="EW496" s="101"/>
      <c r="EX496" s="105"/>
      <c r="EY496" s="11"/>
      <c r="EZ496" s="106"/>
      <c r="FA496" s="101"/>
      <c r="FB496" s="107"/>
      <c r="FC496" s="11"/>
      <c r="FD496" s="101"/>
      <c r="FE496" s="108"/>
      <c r="FF496" s="8"/>
    </row>
    <row r="497" spans="50:162">
      <c r="AX497" s="99"/>
      <c r="AY497" s="99"/>
      <c r="AZ497" s="99"/>
      <c r="BH497" s="100"/>
      <c r="BI497" s="100"/>
      <c r="BJ497" s="100"/>
      <c r="BK497" s="101"/>
      <c r="BL497" s="80"/>
      <c r="BM497" s="102"/>
      <c r="BN497" s="102"/>
      <c r="BO497" s="103"/>
      <c r="BP497" s="104"/>
      <c r="BQ497" s="28"/>
      <c r="BR497" s="102"/>
      <c r="BS497" s="102"/>
      <c r="BT497" s="102"/>
      <c r="BU497" s="102"/>
      <c r="BV497" s="105"/>
      <c r="BW497" s="101"/>
      <c r="BX497" s="105"/>
      <c r="BY497" s="11"/>
      <c r="BZ497" s="106"/>
      <c r="CA497" s="101"/>
      <c r="CB497" s="107"/>
      <c r="CC497" s="11"/>
      <c r="CD497" s="101"/>
      <c r="CE497" s="108"/>
      <c r="CF497" s="8"/>
      <c r="DX497" s="99"/>
      <c r="DY497" s="99"/>
      <c r="DZ497" s="99"/>
      <c r="EH497" s="100"/>
      <c r="EI497" s="100"/>
      <c r="EJ497" s="100"/>
      <c r="EK497" s="101"/>
      <c r="EL497" s="80"/>
      <c r="EM497" s="102"/>
      <c r="EN497" s="102"/>
      <c r="EO497" s="103"/>
      <c r="EP497" s="104"/>
      <c r="EQ497" s="28"/>
      <c r="ER497" s="102"/>
      <c r="ES497" s="102"/>
      <c r="ET497" s="102"/>
      <c r="EU497" s="102"/>
      <c r="EV497" s="105"/>
      <c r="EW497" s="101"/>
      <c r="EX497" s="105"/>
      <c r="EY497" s="11"/>
      <c r="EZ497" s="106"/>
      <c r="FA497" s="101"/>
      <c r="FB497" s="107"/>
      <c r="FC497" s="11"/>
      <c r="FD497" s="101"/>
      <c r="FE497" s="108"/>
      <c r="FF497" s="8"/>
    </row>
    <row r="498" spans="50:162">
      <c r="AX498" s="99"/>
      <c r="AY498" s="99"/>
      <c r="AZ498" s="99"/>
      <c r="BH498" s="100"/>
      <c r="BI498" s="100"/>
      <c r="BJ498" s="100"/>
      <c r="BK498" s="101"/>
      <c r="BL498" s="80"/>
      <c r="BM498" s="102"/>
      <c r="BN498" s="102"/>
      <c r="BO498" s="103"/>
      <c r="BP498" s="104"/>
      <c r="BQ498" s="28"/>
      <c r="BR498" s="102"/>
      <c r="BS498" s="102"/>
      <c r="BT498" s="102"/>
      <c r="BU498" s="102"/>
      <c r="BV498" s="105"/>
      <c r="BW498" s="101"/>
      <c r="BX498" s="105"/>
      <c r="BY498" s="11"/>
      <c r="BZ498" s="106"/>
      <c r="CA498" s="101"/>
      <c r="CB498" s="107"/>
      <c r="CC498" s="11"/>
      <c r="CD498" s="101"/>
      <c r="CE498" s="108"/>
      <c r="CF498" s="8"/>
      <c r="DX498" s="99"/>
      <c r="DY498" s="99"/>
      <c r="DZ498" s="99"/>
      <c r="EH498" s="100"/>
      <c r="EI498" s="100"/>
      <c r="EJ498" s="100"/>
      <c r="EK498" s="101"/>
      <c r="EL498" s="80"/>
      <c r="EM498" s="102"/>
      <c r="EN498" s="102"/>
      <c r="EO498" s="103"/>
      <c r="EP498" s="104"/>
      <c r="EQ498" s="28"/>
      <c r="ER498" s="102"/>
      <c r="ES498" s="102"/>
      <c r="ET498" s="102"/>
      <c r="EU498" s="102"/>
      <c r="EV498" s="105"/>
      <c r="EW498" s="101"/>
      <c r="EX498" s="105"/>
      <c r="EY498" s="11"/>
      <c r="EZ498" s="106"/>
      <c r="FA498" s="101"/>
      <c r="FB498" s="107"/>
      <c r="FC498" s="11"/>
      <c r="FD498" s="101"/>
      <c r="FE498" s="108"/>
      <c r="FF498" s="8"/>
    </row>
    <row r="499" spans="50:162">
      <c r="AX499" s="99"/>
      <c r="AY499" s="99"/>
      <c r="AZ499" s="99"/>
      <c r="BH499" s="100"/>
      <c r="BI499" s="100"/>
      <c r="BJ499" s="100"/>
      <c r="BK499" s="101"/>
      <c r="BL499" s="80"/>
      <c r="BM499" s="102"/>
      <c r="BN499" s="102"/>
      <c r="BO499" s="103"/>
      <c r="BP499" s="104"/>
      <c r="BQ499" s="28"/>
      <c r="BR499" s="102"/>
      <c r="BS499" s="102"/>
      <c r="BT499" s="102"/>
      <c r="BU499" s="102"/>
      <c r="BV499" s="105"/>
      <c r="BW499" s="101"/>
      <c r="BX499" s="105"/>
      <c r="BY499" s="11"/>
      <c r="BZ499" s="106"/>
      <c r="CA499" s="101"/>
      <c r="CB499" s="107"/>
      <c r="CC499" s="11"/>
      <c r="CD499" s="101"/>
      <c r="CE499" s="108"/>
      <c r="CF499" s="8"/>
      <c r="DX499" s="99"/>
      <c r="DY499" s="99"/>
      <c r="DZ499" s="99"/>
      <c r="EH499" s="100"/>
      <c r="EI499" s="100"/>
      <c r="EJ499" s="100"/>
      <c r="EK499" s="101"/>
      <c r="EL499" s="80"/>
      <c r="EM499" s="102"/>
      <c r="EN499" s="102"/>
      <c r="EO499" s="103"/>
      <c r="EP499" s="104"/>
      <c r="EQ499" s="28"/>
      <c r="ER499" s="102"/>
      <c r="ES499" s="102"/>
      <c r="ET499" s="102"/>
      <c r="EU499" s="102"/>
      <c r="EV499" s="105"/>
      <c r="EW499" s="101"/>
      <c r="EX499" s="105"/>
      <c r="EY499" s="11"/>
      <c r="EZ499" s="106"/>
      <c r="FA499" s="101"/>
      <c r="FB499" s="107"/>
      <c r="FC499" s="11"/>
      <c r="FD499" s="101"/>
      <c r="FE499" s="108"/>
      <c r="FF499" s="8"/>
    </row>
    <row r="500" spans="50:162">
      <c r="AX500" s="99"/>
      <c r="AY500" s="99"/>
      <c r="AZ500" s="99"/>
      <c r="BH500" s="100"/>
      <c r="BI500" s="100"/>
      <c r="BJ500" s="100"/>
      <c r="BK500" s="101"/>
      <c r="BL500" s="80"/>
      <c r="BM500" s="102"/>
      <c r="BN500" s="102"/>
      <c r="BO500" s="103"/>
      <c r="BP500" s="104"/>
      <c r="BQ500" s="28"/>
      <c r="BR500" s="102"/>
      <c r="BS500" s="102"/>
      <c r="BT500" s="102"/>
      <c r="BU500" s="102"/>
      <c r="BV500" s="105"/>
      <c r="BW500" s="101"/>
      <c r="BX500" s="105"/>
      <c r="BY500" s="11"/>
      <c r="BZ500" s="106"/>
      <c r="CA500" s="101"/>
      <c r="CB500" s="107"/>
      <c r="CC500" s="11"/>
      <c r="CD500" s="101"/>
      <c r="CE500" s="108"/>
      <c r="CF500" s="8"/>
      <c r="DX500" s="99"/>
      <c r="DY500" s="99"/>
      <c r="DZ500" s="99"/>
      <c r="EH500" s="100"/>
      <c r="EI500" s="100"/>
      <c r="EJ500" s="100"/>
      <c r="EK500" s="101"/>
      <c r="EL500" s="80"/>
      <c r="EM500" s="102"/>
      <c r="EN500" s="102"/>
      <c r="EO500" s="103"/>
      <c r="EP500" s="104"/>
      <c r="EQ500" s="28"/>
      <c r="ER500" s="102"/>
      <c r="ES500" s="102"/>
      <c r="ET500" s="102"/>
      <c r="EU500" s="102"/>
      <c r="EV500" s="105"/>
      <c r="EW500" s="101"/>
      <c r="EX500" s="105"/>
      <c r="EY500" s="11"/>
      <c r="EZ500" s="106"/>
      <c r="FA500" s="101"/>
      <c r="FB500" s="107"/>
      <c r="FC500" s="11"/>
      <c r="FD500" s="101"/>
      <c r="FE500" s="108"/>
      <c r="FF500" s="8"/>
    </row>
    <row r="501" spans="50:162">
      <c r="AX501" s="99"/>
      <c r="AY501" s="99"/>
      <c r="AZ501" s="99"/>
      <c r="BH501" s="100"/>
      <c r="BI501" s="100"/>
      <c r="BJ501" s="100"/>
      <c r="BK501" s="101"/>
      <c r="BL501" s="80"/>
      <c r="BM501" s="102"/>
      <c r="BN501" s="102"/>
      <c r="BO501" s="103"/>
      <c r="BP501" s="104"/>
      <c r="BQ501" s="28"/>
      <c r="BR501" s="102"/>
      <c r="BS501" s="102"/>
      <c r="BT501" s="102"/>
      <c r="BU501" s="102"/>
      <c r="BV501" s="105"/>
      <c r="BW501" s="101"/>
      <c r="BX501" s="105"/>
      <c r="BY501" s="11"/>
      <c r="BZ501" s="106"/>
      <c r="CA501" s="101"/>
      <c r="CB501" s="107"/>
      <c r="CC501" s="11"/>
      <c r="CD501" s="101"/>
      <c r="CE501" s="108"/>
      <c r="CF501" s="8"/>
      <c r="DX501" s="99"/>
      <c r="DY501" s="99"/>
      <c r="DZ501" s="99"/>
      <c r="EH501" s="100"/>
      <c r="EI501" s="100"/>
      <c r="EJ501" s="100"/>
      <c r="EK501" s="101"/>
      <c r="EL501" s="80"/>
      <c r="EM501" s="102"/>
      <c r="EN501" s="102"/>
      <c r="EO501" s="103"/>
      <c r="EP501" s="104"/>
      <c r="EQ501" s="28"/>
      <c r="ER501" s="102"/>
      <c r="ES501" s="102"/>
      <c r="ET501" s="102"/>
      <c r="EU501" s="102"/>
      <c r="EV501" s="105"/>
      <c r="EW501" s="101"/>
      <c r="EX501" s="105"/>
      <c r="EY501" s="11"/>
      <c r="EZ501" s="106"/>
      <c r="FA501" s="101"/>
      <c r="FB501" s="107"/>
      <c r="FC501" s="11"/>
      <c r="FD501" s="101"/>
      <c r="FE501" s="108"/>
      <c r="FF501" s="8"/>
    </row>
    <row r="502" spans="50:162">
      <c r="AX502" s="99"/>
      <c r="AY502" s="99"/>
      <c r="AZ502" s="99"/>
      <c r="BH502" s="100"/>
      <c r="BI502" s="100"/>
      <c r="BJ502" s="100"/>
      <c r="BK502" s="101"/>
      <c r="BL502" s="80"/>
      <c r="BM502" s="102"/>
      <c r="BN502" s="102"/>
      <c r="BO502" s="103"/>
      <c r="BP502" s="104"/>
      <c r="BQ502" s="28"/>
      <c r="BR502" s="102"/>
      <c r="BS502" s="102"/>
      <c r="BT502" s="102"/>
      <c r="BU502" s="102"/>
      <c r="BV502" s="105"/>
      <c r="BW502" s="101"/>
      <c r="BX502" s="105"/>
      <c r="BY502" s="11"/>
      <c r="BZ502" s="106"/>
      <c r="CA502" s="101"/>
      <c r="CB502" s="107"/>
      <c r="CC502" s="11"/>
      <c r="CD502" s="101"/>
      <c r="CE502" s="108"/>
      <c r="CF502" s="8"/>
      <c r="DX502" s="99"/>
      <c r="DY502" s="99"/>
      <c r="DZ502" s="99"/>
      <c r="EH502" s="100"/>
      <c r="EI502" s="100"/>
      <c r="EJ502" s="100"/>
      <c r="EK502" s="101"/>
      <c r="EL502" s="80"/>
      <c r="EM502" s="102"/>
      <c r="EN502" s="102"/>
      <c r="EO502" s="103"/>
      <c r="EP502" s="104"/>
      <c r="EQ502" s="28"/>
      <c r="ER502" s="102"/>
      <c r="ES502" s="102"/>
      <c r="ET502" s="102"/>
      <c r="EU502" s="102"/>
      <c r="EV502" s="105"/>
      <c r="EW502" s="101"/>
      <c r="EX502" s="105"/>
      <c r="EY502" s="11"/>
      <c r="EZ502" s="106"/>
      <c r="FA502" s="101"/>
      <c r="FB502" s="107"/>
      <c r="FC502" s="11"/>
      <c r="FD502" s="101"/>
      <c r="FE502" s="108"/>
      <c r="FF502" s="8"/>
    </row>
    <row r="503" spans="50:162">
      <c r="AX503" s="99"/>
      <c r="AY503" s="99"/>
      <c r="AZ503" s="99"/>
      <c r="BH503" s="100"/>
      <c r="BI503" s="100"/>
      <c r="BJ503" s="100"/>
      <c r="BK503" s="101"/>
      <c r="BL503" s="80"/>
      <c r="BM503" s="102"/>
      <c r="BN503" s="102"/>
      <c r="BO503" s="103"/>
      <c r="BP503" s="104"/>
      <c r="BQ503" s="28"/>
      <c r="BR503" s="102"/>
      <c r="BS503" s="102"/>
      <c r="BT503" s="102"/>
      <c r="BU503" s="102"/>
      <c r="BV503" s="105"/>
      <c r="BW503" s="101"/>
      <c r="BX503" s="105"/>
      <c r="BY503" s="11"/>
      <c r="BZ503" s="106"/>
      <c r="CA503" s="101"/>
      <c r="CB503" s="107"/>
      <c r="CC503" s="11"/>
      <c r="CD503" s="101"/>
      <c r="CE503" s="108"/>
      <c r="CF503" s="8"/>
      <c r="DX503" s="99"/>
      <c r="DY503" s="99"/>
      <c r="DZ503" s="99"/>
      <c r="EH503" s="100"/>
      <c r="EI503" s="100"/>
      <c r="EJ503" s="100"/>
      <c r="EK503" s="101"/>
      <c r="EL503" s="80"/>
      <c r="EM503" s="102"/>
      <c r="EN503" s="102"/>
      <c r="EO503" s="103"/>
      <c r="EP503" s="104"/>
      <c r="EQ503" s="28"/>
      <c r="ER503" s="102"/>
      <c r="ES503" s="102"/>
      <c r="ET503" s="102"/>
      <c r="EU503" s="102"/>
      <c r="EV503" s="105"/>
      <c r="EW503" s="101"/>
      <c r="EX503" s="105"/>
      <c r="EY503" s="11"/>
      <c r="EZ503" s="106"/>
      <c r="FA503" s="101"/>
      <c r="FB503" s="107"/>
      <c r="FC503" s="11"/>
      <c r="FD503" s="101"/>
      <c r="FE503" s="108"/>
      <c r="FF503" s="8"/>
    </row>
    <row r="504" spans="50:162">
      <c r="AX504" s="99"/>
      <c r="AY504" s="99"/>
      <c r="AZ504" s="99"/>
      <c r="BH504" s="100"/>
      <c r="BI504" s="100"/>
      <c r="BJ504" s="100"/>
      <c r="BK504" s="101"/>
      <c r="BL504" s="80"/>
      <c r="BM504" s="102"/>
      <c r="BN504" s="102"/>
      <c r="BO504" s="103"/>
      <c r="BP504" s="104"/>
      <c r="BQ504" s="28"/>
      <c r="BR504" s="102"/>
      <c r="BS504" s="102"/>
      <c r="BT504" s="102"/>
      <c r="BU504" s="102"/>
      <c r="BV504" s="105"/>
      <c r="BW504" s="101"/>
      <c r="BX504" s="105"/>
      <c r="BY504" s="11"/>
      <c r="BZ504" s="106"/>
      <c r="CA504" s="101"/>
      <c r="CB504" s="107"/>
      <c r="CC504" s="11"/>
      <c r="CD504" s="101"/>
      <c r="CE504" s="108"/>
      <c r="CF504" s="8"/>
      <c r="DX504" s="99"/>
      <c r="DY504" s="99"/>
      <c r="DZ504" s="99"/>
      <c r="EH504" s="100"/>
      <c r="EI504" s="100"/>
      <c r="EJ504" s="100"/>
      <c r="EK504" s="101"/>
      <c r="EL504" s="80"/>
      <c r="EM504" s="102"/>
      <c r="EN504" s="102"/>
      <c r="EO504" s="103"/>
      <c r="EP504" s="104"/>
      <c r="EQ504" s="28"/>
      <c r="ER504" s="102"/>
      <c r="ES504" s="102"/>
      <c r="ET504" s="102"/>
      <c r="EU504" s="102"/>
      <c r="EV504" s="105"/>
      <c r="EW504" s="101"/>
      <c r="EX504" s="105"/>
      <c r="EY504" s="11"/>
      <c r="EZ504" s="106"/>
      <c r="FA504" s="101"/>
      <c r="FB504" s="107"/>
      <c r="FC504" s="11"/>
      <c r="FD504" s="101"/>
      <c r="FE504" s="108"/>
      <c r="FF504" s="8"/>
    </row>
    <row r="505" spans="50:162">
      <c r="AX505" s="99"/>
      <c r="AY505" s="99"/>
      <c r="AZ505" s="99"/>
      <c r="BH505" s="100"/>
      <c r="BI505" s="100"/>
      <c r="BJ505" s="100"/>
      <c r="BK505" s="101"/>
      <c r="BL505" s="80"/>
      <c r="BM505" s="102"/>
      <c r="BN505" s="102"/>
      <c r="BO505" s="103"/>
      <c r="BP505" s="104"/>
      <c r="BQ505" s="28"/>
      <c r="BR505" s="102"/>
      <c r="BS505" s="102"/>
      <c r="BT505" s="102"/>
      <c r="BU505" s="102"/>
      <c r="BV505" s="105"/>
      <c r="BW505" s="101"/>
      <c r="BX505" s="105"/>
      <c r="BY505" s="11"/>
      <c r="BZ505" s="106"/>
      <c r="CA505" s="101"/>
      <c r="CB505" s="107"/>
      <c r="CC505" s="11"/>
      <c r="CD505" s="101"/>
      <c r="CE505" s="108"/>
      <c r="CF505" s="8"/>
      <c r="DX505" s="99"/>
      <c r="DY505" s="99"/>
      <c r="DZ505" s="99"/>
      <c r="EH505" s="100"/>
      <c r="EI505" s="100"/>
      <c r="EJ505" s="100"/>
      <c r="EK505" s="101"/>
      <c r="EL505" s="80"/>
      <c r="EM505" s="102"/>
      <c r="EN505" s="102"/>
      <c r="EO505" s="103"/>
      <c r="EP505" s="104"/>
      <c r="EQ505" s="28"/>
      <c r="ER505" s="102"/>
      <c r="ES505" s="102"/>
      <c r="ET505" s="102"/>
      <c r="EU505" s="102"/>
      <c r="EV505" s="105"/>
      <c r="EW505" s="101"/>
      <c r="EX505" s="105"/>
      <c r="EY505" s="11"/>
      <c r="EZ505" s="106"/>
      <c r="FA505" s="101"/>
      <c r="FB505" s="107"/>
      <c r="FC505" s="11"/>
      <c r="FD505" s="101"/>
      <c r="FE505" s="108"/>
      <c r="FF505" s="8"/>
    </row>
    <row r="506" spans="50:162">
      <c r="AX506" s="99"/>
      <c r="AY506" s="99"/>
      <c r="AZ506" s="99"/>
      <c r="BH506" s="100"/>
      <c r="BI506" s="100"/>
      <c r="BJ506" s="100"/>
      <c r="BK506" s="101"/>
      <c r="BL506" s="80"/>
      <c r="BM506" s="102"/>
      <c r="BN506" s="102"/>
      <c r="BO506" s="103"/>
      <c r="BP506" s="104"/>
      <c r="BQ506" s="28"/>
      <c r="BR506" s="102"/>
      <c r="BS506" s="102"/>
      <c r="BT506" s="102"/>
      <c r="BU506" s="102"/>
      <c r="BV506" s="105"/>
      <c r="BW506" s="101"/>
      <c r="BX506" s="105"/>
      <c r="BY506" s="11"/>
      <c r="BZ506" s="106"/>
      <c r="CA506" s="101"/>
      <c r="CB506" s="107"/>
      <c r="CC506" s="11"/>
      <c r="CD506" s="101"/>
      <c r="CE506" s="108"/>
      <c r="CF506" s="8"/>
      <c r="DX506" s="99"/>
      <c r="DY506" s="99"/>
      <c r="DZ506" s="99"/>
      <c r="EH506" s="100"/>
      <c r="EI506" s="100"/>
      <c r="EJ506" s="100"/>
      <c r="EK506" s="101"/>
      <c r="EL506" s="80"/>
      <c r="EM506" s="102"/>
      <c r="EN506" s="102"/>
      <c r="EO506" s="103"/>
      <c r="EP506" s="104"/>
      <c r="EQ506" s="28"/>
      <c r="ER506" s="102"/>
      <c r="ES506" s="102"/>
      <c r="ET506" s="102"/>
      <c r="EU506" s="102"/>
      <c r="EV506" s="105"/>
      <c r="EW506" s="101"/>
      <c r="EX506" s="105"/>
      <c r="EY506" s="11"/>
      <c r="EZ506" s="106"/>
      <c r="FA506" s="101"/>
      <c r="FB506" s="107"/>
      <c r="FC506" s="11"/>
      <c r="FD506" s="101"/>
      <c r="FE506" s="108"/>
      <c r="FF506" s="8"/>
    </row>
    <row r="507" spans="50:162">
      <c r="AX507" s="99"/>
      <c r="AY507" s="99"/>
      <c r="AZ507" s="99"/>
      <c r="BH507" s="100"/>
      <c r="BI507" s="100"/>
      <c r="BJ507" s="100"/>
      <c r="BK507" s="101"/>
      <c r="BL507" s="80"/>
      <c r="BM507" s="102"/>
      <c r="BN507" s="102"/>
      <c r="BO507" s="103"/>
      <c r="BP507" s="104"/>
      <c r="BQ507" s="28"/>
      <c r="BR507" s="102"/>
      <c r="BS507" s="102"/>
      <c r="BT507" s="102"/>
      <c r="BU507" s="102"/>
      <c r="BV507" s="105"/>
      <c r="BW507" s="101"/>
      <c r="BX507" s="105"/>
      <c r="BY507" s="11"/>
      <c r="BZ507" s="106"/>
      <c r="CA507" s="101"/>
      <c r="CB507" s="107"/>
      <c r="CC507" s="11"/>
      <c r="CD507" s="101"/>
      <c r="CE507" s="108"/>
      <c r="CF507" s="8"/>
      <c r="DX507" s="99"/>
      <c r="DY507" s="99"/>
      <c r="DZ507" s="99"/>
      <c r="EH507" s="100"/>
      <c r="EI507" s="100"/>
      <c r="EJ507" s="100"/>
      <c r="EK507" s="101"/>
      <c r="EL507" s="80"/>
      <c r="EM507" s="102"/>
      <c r="EN507" s="102"/>
      <c r="EO507" s="103"/>
      <c r="EP507" s="104"/>
      <c r="EQ507" s="28"/>
      <c r="ER507" s="102"/>
      <c r="ES507" s="102"/>
      <c r="ET507" s="102"/>
      <c r="EU507" s="102"/>
      <c r="EV507" s="105"/>
      <c r="EW507" s="101"/>
      <c r="EX507" s="105"/>
      <c r="EY507" s="11"/>
      <c r="EZ507" s="106"/>
      <c r="FA507" s="101"/>
      <c r="FB507" s="107"/>
      <c r="FC507" s="11"/>
      <c r="FD507" s="101"/>
      <c r="FE507" s="108"/>
      <c r="FF507" s="8"/>
    </row>
    <row r="508" spans="50:162">
      <c r="AX508" s="99"/>
      <c r="AY508" s="99"/>
      <c r="AZ508" s="99"/>
      <c r="BH508" s="100"/>
      <c r="BI508" s="100"/>
      <c r="BJ508" s="100"/>
      <c r="BK508" s="101"/>
      <c r="BL508" s="80"/>
      <c r="BM508" s="102"/>
      <c r="BN508" s="102"/>
      <c r="BO508" s="103"/>
      <c r="BP508" s="104"/>
      <c r="BQ508" s="28"/>
      <c r="BR508" s="102"/>
      <c r="BS508" s="102"/>
      <c r="BT508" s="102"/>
      <c r="BU508" s="102"/>
      <c r="BV508" s="105"/>
      <c r="BW508" s="101"/>
      <c r="BX508" s="105"/>
      <c r="BY508" s="11"/>
      <c r="BZ508" s="106"/>
      <c r="CA508" s="101"/>
      <c r="CB508" s="107"/>
      <c r="CC508" s="11"/>
      <c r="CD508" s="101"/>
      <c r="CE508" s="108"/>
      <c r="CF508" s="8"/>
      <c r="DX508" s="99"/>
      <c r="DY508" s="99"/>
      <c r="DZ508" s="99"/>
      <c r="EH508" s="100"/>
      <c r="EI508" s="100"/>
      <c r="EJ508" s="100"/>
      <c r="EK508" s="101"/>
      <c r="EL508" s="80"/>
      <c r="EM508" s="102"/>
      <c r="EN508" s="102"/>
      <c r="EO508" s="103"/>
      <c r="EP508" s="104"/>
      <c r="EQ508" s="28"/>
      <c r="ER508" s="102"/>
      <c r="ES508" s="102"/>
      <c r="ET508" s="102"/>
      <c r="EU508" s="102"/>
      <c r="EV508" s="105"/>
      <c r="EW508" s="101"/>
      <c r="EX508" s="105"/>
      <c r="EY508" s="11"/>
      <c r="EZ508" s="106"/>
      <c r="FA508" s="101"/>
      <c r="FB508" s="107"/>
      <c r="FC508" s="11"/>
      <c r="FD508" s="101"/>
      <c r="FE508" s="108"/>
      <c r="FF508" s="8"/>
    </row>
    <row r="509" spans="50:162">
      <c r="AX509" s="99"/>
      <c r="AY509" s="99"/>
      <c r="AZ509" s="99"/>
      <c r="BH509" s="100"/>
      <c r="BI509" s="100"/>
      <c r="BJ509" s="100"/>
      <c r="BK509" s="101"/>
      <c r="BL509" s="80"/>
      <c r="BM509" s="102"/>
      <c r="BN509" s="102"/>
      <c r="BO509" s="103"/>
      <c r="BP509" s="104"/>
      <c r="BQ509" s="28"/>
      <c r="BR509" s="102"/>
      <c r="BS509" s="102"/>
      <c r="BT509" s="102"/>
      <c r="BU509" s="102"/>
      <c r="BV509" s="105"/>
      <c r="BW509" s="101"/>
      <c r="BX509" s="105"/>
      <c r="BY509" s="11"/>
      <c r="BZ509" s="106"/>
      <c r="CA509" s="101"/>
      <c r="CB509" s="107"/>
      <c r="CC509" s="11"/>
      <c r="CD509" s="101"/>
      <c r="CE509" s="108"/>
      <c r="CF509" s="8"/>
      <c r="DX509" s="99"/>
      <c r="DY509" s="99"/>
      <c r="DZ509" s="99"/>
      <c r="EH509" s="100"/>
      <c r="EI509" s="100"/>
      <c r="EJ509" s="100"/>
      <c r="EK509" s="101"/>
      <c r="EL509" s="80"/>
      <c r="EM509" s="102"/>
      <c r="EN509" s="102"/>
      <c r="EO509" s="103"/>
      <c r="EP509" s="104"/>
      <c r="EQ509" s="28"/>
      <c r="ER509" s="102"/>
      <c r="ES509" s="102"/>
      <c r="ET509" s="102"/>
      <c r="EU509" s="102"/>
      <c r="EV509" s="105"/>
      <c r="EW509" s="101"/>
      <c r="EX509" s="105"/>
      <c r="EY509" s="11"/>
      <c r="EZ509" s="106"/>
      <c r="FA509" s="101"/>
      <c r="FB509" s="107"/>
      <c r="FC509" s="11"/>
      <c r="FD509" s="101"/>
      <c r="FE509" s="108"/>
      <c r="FF509" s="8"/>
    </row>
    <row r="510" spans="50:162">
      <c r="AX510" s="99"/>
      <c r="AY510" s="99"/>
      <c r="AZ510" s="99"/>
      <c r="BH510" s="100"/>
      <c r="BI510" s="100"/>
      <c r="BJ510" s="100"/>
      <c r="BK510" s="101"/>
      <c r="BL510" s="80"/>
      <c r="BM510" s="102"/>
      <c r="BN510" s="102"/>
      <c r="BO510" s="103"/>
      <c r="BP510" s="104"/>
      <c r="BQ510" s="28"/>
      <c r="BR510" s="102"/>
      <c r="BS510" s="102"/>
      <c r="BT510" s="102"/>
      <c r="BU510" s="102"/>
      <c r="BV510" s="105"/>
      <c r="BW510" s="101"/>
      <c r="BX510" s="105"/>
      <c r="BY510" s="11"/>
      <c r="BZ510" s="106"/>
      <c r="CA510" s="101"/>
      <c r="CB510" s="107"/>
      <c r="CC510" s="11"/>
      <c r="CD510" s="101"/>
      <c r="CE510" s="108"/>
      <c r="CF510" s="8"/>
      <c r="DX510" s="99"/>
      <c r="DY510" s="99"/>
      <c r="DZ510" s="99"/>
      <c r="EH510" s="100"/>
      <c r="EI510" s="100"/>
      <c r="EJ510" s="100"/>
      <c r="EK510" s="101"/>
      <c r="EL510" s="80"/>
      <c r="EM510" s="102"/>
      <c r="EN510" s="102"/>
      <c r="EO510" s="103"/>
      <c r="EP510" s="104"/>
      <c r="EQ510" s="28"/>
      <c r="ER510" s="102"/>
      <c r="ES510" s="102"/>
      <c r="ET510" s="102"/>
      <c r="EU510" s="102"/>
      <c r="EV510" s="105"/>
      <c r="EW510" s="101"/>
      <c r="EX510" s="105"/>
      <c r="EY510" s="11"/>
      <c r="EZ510" s="106"/>
      <c r="FA510" s="101"/>
      <c r="FB510" s="107"/>
      <c r="FC510" s="11"/>
      <c r="FD510" s="101"/>
      <c r="FE510" s="108"/>
      <c r="FF510" s="8"/>
    </row>
    <row r="511" spans="50:162">
      <c r="AX511" s="99"/>
      <c r="AY511" s="99"/>
      <c r="AZ511" s="99"/>
      <c r="BH511" s="100"/>
      <c r="BI511" s="100"/>
      <c r="BJ511" s="100"/>
      <c r="BK511" s="101"/>
      <c r="BL511" s="80"/>
      <c r="BM511" s="102"/>
      <c r="BN511" s="102"/>
      <c r="BO511" s="103"/>
      <c r="BP511" s="104"/>
      <c r="BQ511" s="28"/>
      <c r="BR511" s="102"/>
      <c r="BS511" s="102"/>
      <c r="BT511" s="102"/>
      <c r="BU511" s="102"/>
      <c r="BV511" s="105"/>
      <c r="BW511" s="101"/>
      <c r="BX511" s="105"/>
      <c r="BY511" s="11"/>
      <c r="BZ511" s="106"/>
      <c r="CA511" s="101"/>
      <c r="CB511" s="107"/>
      <c r="CC511" s="11"/>
      <c r="CD511" s="101"/>
      <c r="CE511" s="108"/>
      <c r="CF511" s="8"/>
      <c r="DX511" s="99"/>
      <c r="DY511" s="99"/>
      <c r="DZ511" s="99"/>
      <c r="EH511" s="100"/>
      <c r="EI511" s="100"/>
      <c r="EJ511" s="100"/>
      <c r="EK511" s="101"/>
      <c r="EL511" s="80"/>
      <c r="EM511" s="102"/>
      <c r="EN511" s="102"/>
      <c r="EO511" s="103"/>
      <c r="EP511" s="104"/>
      <c r="EQ511" s="28"/>
      <c r="ER511" s="102"/>
      <c r="ES511" s="102"/>
      <c r="ET511" s="102"/>
      <c r="EU511" s="102"/>
      <c r="EV511" s="105"/>
      <c r="EW511" s="101"/>
      <c r="EX511" s="105"/>
      <c r="EY511" s="11"/>
      <c r="EZ511" s="106"/>
      <c r="FA511" s="101"/>
      <c r="FB511" s="107"/>
      <c r="FC511" s="11"/>
      <c r="FD511" s="101"/>
      <c r="FE511" s="108"/>
      <c r="FF511" s="8"/>
    </row>
    <row r="512" spans="50:162">
      <c r="AX512" s="99"/>
      <c r="AY512" s="99"/>
      <c r="AZ512" s="99"/>
      <c r="BH512" s="100"/>
      <c r="BI512" s="100"/>
      <c r="BJ512" s="100"/>
      <c r="BK512" s="101"/>
      <c r="BL512" s="80"/>
      <c r="BM512" s="102"/>
      <c r="BN512" s="102"/>
      <c r="BO512" s="103"/>
      <c r="BP512" s="104"/>
      <c r="BQ512" s="28"/>
      <c r="BR512" s="102"/>
      <c r="BS512" s="102"/>
      <c r="BT512" s="102"/>
      <c r="BU512" s="102"/>
      <c r="BV512" s="105"/>
      <c r="BW512" s="101"/>
      <c r="BX512" s="105"/>
      <c r="BY512" s="11"/>
      <c r="BZ512" s="106"/>
      <c r="CA512" s="101"/>
      <c r="CB512" s="107"/>
      <c r="CC512" s="11"/>
      <c r="CD512" s="101"/>
      <c r="CE512" s="108"/>
      <c r="CF512" s="8"/>
      <c r="DX512" s="99"/>
      <c r="DY512" s="99"/>
      <c r="DZ512" s="99"/>
      <c r="EH512" s="100"/>
      <c r="EI512" s="100"/>
      <c r="EJ512" s="100"/>
      <c r="EK512" s="101"/>
      <c r="EL512" s="80"/>
      <c r="EM512" s="102"/>
      <c r="EN512" s="102"/>
      <c r="EO512" s="103"/>
      <c r="EP512" s="104"/>
      <c r="EQ512" s="28"/>
      <c r="ER512" s="102"/>
      <c r="ES512" s="102"/>
      <c r="ET512" s="102"/>
      <c r="EU512" s="102"/>
      <c r="EV512" s="105"/>
      <c r="EW512" s="101"/>
      <c r="EX512" s="105"/>
      <c r="EY512" s="11"/>
      <c r="EZ512" s="106"/>
      <c r="FA512" s="101"/>
      <c r="FB512" s="107"/>
      <c r="FC512" s="11"/>
      <c r="FD512" s="101"/>
      <c r="FE512" s="108"/>
      <c r="FF512" s="8"/>
    </row>
    <row r="513" spans="50:162">
      <c r="AX513" s="99"/>
      <c r="AY513" s="99"/>
      <c r="AZ513" s="99"/>
      <c r="BH513" s="100"/>
      <c r="BI513" s="100"/>
      <c r="BJ513" s="100"/>
      <c r="BK513" s="101"/>
      <c r="BL513" s="80"/>
      <c r="BM513" s="102"/>
      <c r="BN513" s="102"/>
      <c r="BO513" s="103"/>
      <c r="BP513" s="104"/>
      <c r="BQ513" s="28"/>
      <c r="BR513" s="102"/>
      <c r="BS513" s="102"/>
      <c r="BT513" s="102"/>
      <c r="BU513" s="102"/>
      <c r="BV513" s="105"/>
      <c r="BW513" s="101"/>
      <c r="BX513" s="105"/>
      <c r="BY513" s="11"/>
      <c r="BZ513" s="106"/>
      <c r="CA513" s="101"/>
      <c r="CB513" s="107"/>
      <c r="CC513" s="11"/>
      <c r="CD513" s="101"/>
      <c r="CE513" s="108"/>
      <c r="CF513" s="8"/>
      <c r="DX513" s="99"/>
      <c r="DY513" s="99"/>
      <c r="DZ513" s="99"/>
      <c r="EH513" s="100"/>
      <c r="EI513" s="100"/>
      <c r="EJ513" s="100"/>
      <c r="EK513" s="101"/>
      <c r="EL513" s="80"/>
      <c r="EM513" s="102"/>
      <c r="EN513" s="102"/>
      <c r="EO513" s="103"/>
      <c r="EP513" s="104"/>
      <c r="EQ513" s="28"/>
      <c r="ER513" s="102"/>
      <c r="ES513" s="102"/>
      <c r="ET513" s="102"/>
      <c r="EU513" s="102"/>
      <c r="EV513" s="105"/>
      <c r="EW513" s="101"/>
      <c r="EX513" s="105"/>
      <c r="EY513" s="11"/>
      <c r="EZ513" s="106"/>
      <c r="FA513" s="101"/>
      <c r="FB513" s="107"/>
      <c r="FC513" s="11"/>
      <c r="FD513" s="101"/>
      <c r="FE513" s="108"/>
      <c r="FF513" s="8"/>
    </row>
    <row r="514" spans="50:162">
      <c r="AX514" s="99"/>
      <c r="AY514" s="99"/>
      <c r="AZ514" s="99"/>
      <c r="BH514" s="100"/>
      <c r="BI514" s="100"/>
      <c r="BJ514" s="100"/>
      <c r="BK514" s="101"/>
      <c r="BL514" s="80"/>
      <c r="BM514" s="102"/>
      <c r="BN514" s="102"/>
      <c r="BO514" s="103"/>
      <c r="BP514" s="104"/>
      <c r="BQ514" s="28"/>
      <c r="BR514" s="102"/>
      <c r="BS514" s="102"/>
      <c r="BT514" s="102"/>
      <c r="BU514" s="102"/>
      <c r="BV514" s="105"/>
      <c r="BW514" s="101"/>
      <c r="BX514" s="105"/>
      <c r="BY514" s="11"/>
      <c r="BZ514" s="106"/>
      <c r="CA514" s="101"/>
      <c r="CB514" s="107"/>
      <c r="CC514" s="11"/>
      <c r="CD514" s="101"/>
      <c r="CE514" s="108"/>
      <c r="CF514" s="8"/>
      <c r="DX514" s="99"/>
      <c r="DY514" s="99"/>
      <c r="DZ514" s="99"/>
      <c r="EH514" s="100"/>
      <c r="EI514" s="100"/>
      <c r="EJ514" s="100"/>
      <c r="EK514" s="101"/>
      <c r="EL514" s="80"/>
      <c r="EM514" s="102"/>
      <c r="EN514" s="102"/>
      <c r="EO514" s="103"/>
      <c r="EP514" s="104"/>
      <c r="EQ514" s="28"/>
      <c r="ER514" s="102"/>
      <c r="ES514" s="102"/>
      <c r="ET514" s="102"/>
      <c r="EU514" s="102"/>
      <c r="EV514" s="105"/>
      <c r="EW514" s="101"/>
      <c r="EX514" s="105"/>
      <c r="EY514" s="11"/>
      <c r="EZ514" s="106"/>
      <c r="FA514" s="101"/>
      <c r="FB514" s="107"/>
      <c r="FC514" s="11"/>
      <c r="FD514" s="101"/>
      <c r="FE514" s="108"/>
      <c r="FF514" s="8"/>
    </row>
    <row r="515" spans="50:162">
      <c r="AX515" s="99"/>
      <c r="AY515" s="99"/>
      <c r="AZ515" s="99"/>
      <c r="BH515" s="100"/>
      <c r="BI515" s="100"/>
      <c r="BJ515" s="100"/>
      <c r="BK515" s="101"/>
      <c r="BL515" s="80"/>
      <c r="BM515" s="102"/>
      <c r="BN515" s="102"/>
      <c r="BO515" s="103"/>
      <c r="BP515" s="104"/>
      <c r="BQ515" s="28"/>
      <c r="BR515" s="102"/>
      <c r="BS515" s="102"/>
      <c r="BT515" s="102"/>
      <c r="BU515" s="102"/>
      <c r="BV515" s="105"/>
      <c r="BW515" s="101"/>
      <c r="BX515" s="105"/>
      <c r="BY515" s="11"/>
      <c r="BZ515" s="106"/>
      <c r="CA515" s="101"/>
      <c r="CB515" s="107"/>
      <c r="CC515" s="11"/>
      <c r="CD515" s="101"/>
      <c r="CE515" s="108"/>
      <c r="CF515" s="8"/>
      <c r="DX515" s="99"/>
      <c r="DY515" s="99"/>
      <c r="DZ515" s="99"/>
      <c r="EH515" s="100"/>
      <c r="EI515" s="100"/>
      <c r="EJ515" s="100"/>
      <c r="EK515" s="101"/>
      <c r="EL515" s="80"/>
      <c r="EM515" s="102"/>
      <c r="EN515" s="102"/>
      <c r="EO515" s="103"/>
      <c r="EP515" s="104"/>
      <c r="EQ515" s="28"/>
      <c r="ER515" s="102"/>
      <c r="ES515" s="102"/>
      <c r="ET515" s="102"/>
      <c r="EU515" s="102"/>
      <c r="EV515" s="105"/>
      <c r="EW515" s="101"/>
      <c r="EX515" s="105"/>
      <c r="EY515" s="11"/>
      <c r="EZ515" s="106"/>
      <c r="FA515" s="101"/>
      <c r="FB515" s="107"/>
      <c r="FC515" s="11"/>
      <c r="FD515" s="101"/>
      <c r="FE515" s="108"/>
      <c r="FF515" s="8"/>
    </row>
    <row r="516" spans="50:162">
      <c r="AX516" s="99"/>
      <c r="AY516" s="99"/>
      <c r="AZ516" s="99"/>
      <c r="BH516" s="100"/>
      <c r="BI516" s="100"/>
      <c r="BJ516" s="100"/>
      <c r="BK516" s="101"/>
      <c r="BL516" s="80"/>
      <c r="BM516" s="102"/>
      <c r="BN516" s="102"/>
      <c r="BO516" s="103"/>
      <c r="BP516" s="104"/>
      <c r="BQ516" s="28"/>
      <c r="BR516" s="102"/>
      <c r="BS516" s="102"/>
      <c r="BT516" s="102"/>
      <c r="BU516" s="102"/>
      <c r="BV516" s="105"/>
      <c r="BW516" s="101"/>
      <c r="BX516" s="105"/>
      <c r="BY516" s="11"/>
      <c r="BZ516" s="106"/>
      <c r="CA516" s="101"/>
      <c r="CB516" s="107"/>
      <c r="CC516" s="11"/>
      <c r="CD516" s="101"/>
      <c r="CE516" s="108"/>
      <c r="CF516" s="8"/>
      <c r="DX516" s="99"/>
      <c r="DY516" s="99"/>
      <c r="DZ516" s="99"/>
      <c r="EH516" s="100"/>
      <c r="EI516" s="100"/>
      <c r="EJ516" s="100"/>
      <c r="EK516" s="101"/>
      <c r="EL516" s="80"/>
      <c r="EM516" s="102"/>
      <c r="EN516" s="102"/>
      <c r="EO516" s="103"/>
      <c r="EP516" s="104"/>
      <c r="EQ516" s="28"/>
      <c r="ER516" s="102"/>
      <c r="ES516" s="102"/>
      <c r="ET516" s="102"/>
      <c r="EU516" s="102"/>
      <c r="EV516" s="105"/>
      <c r="EW516" s="101"/>
      <c r="EX516" s="105"/>
      <c r="EY516" s="11"/>
      <c r="EZ516" s="106"/>
      <c r="FA516" s="101"/>
      <c r="FB516" s="107"/>
      <c r="FC516" s="11"/>
      <c r="FD516" s="101"/>
      <c r="FE516" s="108"/>
      <c r="FF516" s="8"/>
    </row>
    <row r="517" spans="50:162">
      <c r="AX517" s="99"/>
      <c r="AY517" s="99"/>
      <c r="AZ517" s="99"/>
      <c r="BH517" s="100"/>
      <c r="BI517" s="100"/>
      <c r="BJ517" s="100"/>
      <c r="BK517" s="101"/>
      <c r="BL517" s="80"/>
      <c r="BM517" s="102"/>
      <c r="BN517" s="102"/>
      <c r="BO517" s="103"/>
      <c r="BP517" s="104"/>
      <c r="BQ517" s="28"/>
      <c r="BR517" s="102"/>
      <c r="BS517" s="102"/>
      <c r="BT517" s="102"/>
      <c r="BU517" s="102"/>
      <c r="BV517" s="105"/>
      <c r="BW517" s="101"/>
      <c r="BX517" s="105"/>
      <c r="BY517" s="11"/>
      <c r="BZ517" s="106"/>
      <c r="CA517" s="101"/>
      <c r="CB517" s="107"/>
      <c r="CC517" s="11"/>
      <c r="CD517" s="101"/>
      <c r="CE517" s="108"/>
      <c r="CF517" s="8"/>
      <c r="DX517" s="99"/>
      <c r="DY517" s="99"/>
      <c r="DZ517" s="99"/>
      <c r="EH517" s="100"/>
      <c r="EI517" s="100"/>
      <c r="EJ517" s="100"/>
      <c r="EK517" s="101"/>
      <c r="EL517" s="80"/>
      <c r="EM517" s="102"/>
      <c r="EN517" s="102"/>
      <c r="EO517" s="103"/>
      <c r="EP517" s="104"/>
      <c r="EQ517" s="28"/>
      <c r="ER517" s="102"/>
      <c r="ES517" s="102"/>
      <c r="ET517" s="102"/>
      <c r="EU517" s="102"/>
      <c r="EV517" s="105"/>
      <c r="EW517" s="101"/>
      <c r="EX517" s="105"/>
      <c r="EY517" s="11"/>
      <c r="EZ517" s="106"/>
      <c r="FA517" s="101"/>
      <c r="FB517" s="107"/>
      <c r="FC517" s="11"/>
      <c r="FD517" s="101"/>
      <c r="FE517" s="108"/>
      <c r="FF517" s="8"/>
    </row>
    <row r="518" spans="50:162">
      <c r="AX518" s="99"/>
      <c r="AY518" s="99"/>
      <c r="AZ518" s="99"/>
      <c r="BH518" s="100"/>
      <c r="BI518" s="100"/>
      <c r="BJ518" s="100"/>
      <c r="BK518" s="101"/>
      <c r="BL518" s="80"/>
      <c r="BM518" s="102"/>
      <c r="BN518" s="102"/>
      <c r="BO518" s="103"/>
      <c r="BP518" s="104"/>
      <c r="BQ518" s="28"/>
      <c r="BR518" s="102"/>
      <c r="BS518" s="102"/>
      <c r="BT518" s="102"/>
      <c r="BU518" s="102"/>
      <c r="BV518" s="105"/>
      <c r="BW518" s="101"/>
      <c r="BX518" s="105"/>
      <c r="BY518" s="11"/>
      <c r="BZ518" s="106"/>
      <c r="CA518" s="101"/>
      <c r="CB518" s="107"/>
      <c r="CC518" s="11"/>
      <c r="CD518" s="101"/>
      <c r="CE518" s="108"/>
      <c r="CF518" s="8"/>
      <c r="DX518" s="99"/>
      <c r="DY518" s="99"/>
      <c r="DZ518" s="99"/>
      <c r="EH518" s="100"/>
      <c r="EI518" s="100"/>
      <c r="EJ518" s="100"/>
      <c r="EK518" s="101"/>
      <c r="EL518" s="80"/>
      <c r="EM518" s="102"/>
      <c r="EN518" s="102"/>
      <c r="EO518" s="103"/>
      <c r="EP518" s="104"/>
      <c r="EQ518" s="28"/>
      <c r="ER518" s="102"/>
      <c r="ES518" s="102"/>
      <c r="ET518" s="102"/>
      <c r="EU518" s="102"/>
      <c r="EV518" s="105"/>
      <c r="EW518" s="101"/>
      <c r="EX518" s="105"/>
      <c r="EY518" s="11"/>
      <c r="EZ518" s="106"/>
      <c r="FA518" s="101"/>
      <c r="FB518" s="107"/>
      <c r="FC518" s="11"/>
      <c r="FD518" s="101"/>
      <c r="FE518" s="108"/>
      <c r="FF518" s="8"/>
    </row>
    <row r="519" spans="50:162">
      <c r="AX519" s="99"/>
      <c r="AY519" s="99"/>
      <c r="AZ519" s="99"/>
      <c r="BH519" s="100"/>
      <c r="BI519" s="100"/>
      <c r="BJ519" s="100"/>
      <c r="BK519" s="101"/>
      <c r="BL519" s="80"/>
      <c r="BM519" s="102"/>
      <c r="BN519" s="102"/>
      <c r="BO519" s="103"/>
      <c r="BP519" s="104"/>
      <c r="BQ519" s="28"/>
      <c r="BR519" s="102"/>
      <c r="BS519" s="102"/>
      <c r="BT519" s="102"/>
      <c r="BU519" s="102"/>
      <c r="BV519" s="105"/>
      <c r="BW519" s="101"/>
      <c r="BX519" s="105"/>
      <c r="BY519" s="11"/>
      <c r="BZ519" s="106"/>
      <c r="CA519" s="101"/>
      <c r="CB519" s="107"/>
      <c r="CC519" s="11"/>
      <c r="CD519" s="101"/>
      <c r="CE519" s="108"/>
      <c r="CF519" s="8"/>
      <c r="DX519" s="99"/>
      <c r="DY519" s="99"/>
      <c r="DZ519" s="99"/>
      <c r="EH519" s="100"/>
      <c r="EI519" s="100"/>
      <c r="EJ519" s="100"/>
      <c r="EK519" s="101"/>
      <c r="EL519" s="80"/>
      <c r="EM519" s="102"/>
      <c r="EN519" s="102"/>
      <c r="EO519" s="103"/>
      <c r="EP519" s="104"/>
      <c r="EQ519" s="28"/>
      <c r="ER519" s="102"/>
      <c r="ES519" s="102"/>
      <c r="ET519" s="102"/>
      <c r="EU519" s="102"/>
      <c r="EV519" s="105"/>
      <c r="EW519" s="101"/>
      <c r="EX519" s="105"/>
      <c r="EY519" s="11"/>
      <c r="EZ519" s="106"/>
      <c r="FA519" s="101"/>
      <c r="FB519" s="107"/>
      <c r="FC519" s="11"/>
      <c r="FD519" s="101"/>
      <c r="FE519" s="108"/>
      <c r="FF519" s="8"/>
    </row>
    <row r="520" spans="50:162">
      <c r="AX520" s="99"/>
      <c r="AY520" s="99"/>
      <c r="AZ520" s="99"/>
      <c r="BH520" s="100"/>
      <c r="BI520" s="100"/>
      <c r="BJ520" s="100"/>
      <c r="BK520" s="101"/>
      <c r="BL520" s="80"/>
      <c r="BM520" s="102"/>
      <c r="BN520" s="102"/>
      <c r="BO520" s="103"/>
      <c r="BP520" s="104"/>
      <c r="BQ520" s="28"/>
      <c r="BR520" s="102"/>
      <c r="BS520" s="102"/>
      <c r="BT520" s="102"/>
      <c r="BU520" s="102"/>
      <c r="BV520" s="105"/>
      <c r="BW520" s="101"/>
      <c r="BX520" s="105"/>
      <c r="BY520" s="11"/>
      <c r="BZ520" s="106"/>
      <c r="CA520" s="101"/>
      <c r="CB520" s="107"/>
      <c r="CC520" s="11"/>
      <c r="CD520" s="101"/>
      <c r="CE520" s="108"/>
      <c r="CF520" s="8"/>
      <c r="DX520" s="99"/>
      <c r="DY520" s="99"/>
      <c r="DZ520" s="99"/>
      <c r="EH520" s="100"/>
      <c r="EI520" s="100"/>
      <c r="EJ520" s="100"/>
      <c r="EK520" s="101"/>
      <c r="EL520" s="80"/>
      <c r="EM520" s="102"/>
      <c r="EN520" s="102"/>
      <c r="EO520" s="103"/>
      <c r="EP520" s="104"/>
      <c r="EQ520" s="28"/>
      <c r="ER520" s="102"/>
      <c r="ES520" s="102"/>
      <c r="ET520" s="102"/>
      <c r="EU520" s="102"/>
      <c r="EV520" s="105"/>
      <c r="EW520" s="101"/>
      <c r="EX520" s="105"/>
      <c r="EY520" s="11"/>
      <c r="EZ520" s="106"/>
      <c r="FA520" s="101"/>
      <c r="FB520" s="107"/>
      <c r="FC520" s="11"/>
      <c r="FD520" s="101"/>
      <c r="FE520" s="108"/>
      <c r="FF520" s="8"/>
    </row>
    <row r="521" spans="50:162">
      <c r="AX521" s="99"/>
      <c r="AY521" s="99"/>
      <c r="AZ521" s="99"/>
      <c r="BH521" s="100"/>
      <c r="BI521" s="100"/>
      <c r="BJ521" s="100"/>
      <c r="BK521" s="101"/>
      <c r="BL521" s="80"/>
      <c r="BM521" s="102"/>
      <c r="BN521" s="102"/>
      <c r="BO521" s="103"/>
      <c r="BP521" s="104"/>
      <c r="BQ521" s="28"/>
      <c r="BR521" s="102"/>
      <c r="BS521" s="102"/>
      <c r="BT521" s="102"/>
      <c r="BU521" s="102"/>
      <c r="BV521" s="105"/>
      <c r="BW521" s="101"/>
      <c r="BX521" s="105"/>
      <c r="BY521" s="11"/>
      <c r="BZ521" s="106"/>
      <c r="CA521" s="101"/>
      <c r="CB521" s="107"/>
      <c r="CC521" s="11"/>
      <c r="CD521" s="101"/>
      <c r="CE521" s="108"/>
      <c r="CF521" s="8"/>
      <c r="DX521" s="99"/>
      <c r="DY521" s="99"/>
      <c r="DZ521" s="99"/>
      <c r="EH521" s="100"/>
      <c r="EI521" s="100"/>
      <c r="EJ521" s="100"/>
      <c r="EK521" s="101"/>
      <c r="EL521" s="80"/>
      <c r="EM521" s="102"/>
      <c r="EN521" s="102"/>
      <c r="EO521" s="103"/>
      <c r="EP521" s="104"/>
      <c r="EQ521" s="28"/>
      <c r="ER521" s="102"/>
      <c r="ES521" s="102"/>
      <c r="ET521" s="102"/>
      <c r="EU521" s="102"/>
      <c r="EV521" s="105"/>
      <c r="EW521" s="101"/>
      <c r="EX521" s="105"/>
      <c r="EY521" s="11"/>
      <c r="EZ521" s="106"/>
      <c r="FA521" s="101"/>
      <c r="FB521" s="107"/>
      <c r="FC521" s="11"/>
      <c r="FD521" s="101"/>
      <c r="FE521" s="108"/>
      <c r="FF521" s="8"/>
    </row>
    <row r="522" spans="50:162">
      <c r="AX522" s="99"/>
      <c r="AY522" s="99"/>
      <c r="AZ522" s="99"/>
      <c r="BH522" s="100"/>
      <c r="BI522" s="100"/>
      <c r="BJ522" s="100"/>
      <c r="BK522" s="101"/>
      <c r="BL522" s="80"/>
      <c r="BM522" s="102"/>
      <c r="BN522" s="102"/>
      <c r="BO522" s="103"/>
      <c r="BP522" s="104"/>
      <c r="BQ522" s="28"/>
      <c r="BR522" s="102"/>
      <c r="BS522" s="102"/>
      <c r="BT522" s="102"/>
      <c r="BU522" s="102"/>
      <c r="BV522" s="105"/>
      <c r="BW522" s="101"/>
      <c r="BX522" s="105"/>
      <c r="BY522" s="11"/>
      <c r="BZ522" s="106"/>
      <c r="CA522" s="101"/>
      <c r="CB522" s="107"/>
      <c r="CC522" s="11"/>
      <c r="CD522" s="101"/>
      <c r="CE522" s="108"/>
      <c r="CF522" s="8"/>
      <c r="DX522" s="99"/>
      <c r="DY522" s="99"/>
      <c r="DZ522" s="99"/>
      <c r="EH522" s="100"/>
      <c r="EI522" s="100"/>
      <c r="EJ522" s="100"/>
      <c r="EK522" s="101"/>
      <c r="EL522" s="80"/>
      <c r="EM522" s="102"/>
      <c r="EN522" s="102"/>
      <c r="EO522" s="103"/>
      <c r="EP522" s="104"/>
      <c r="EQ522" s="28"/>
      <c r="ER522" s="102"/>
      <c r="ES522" s="102"/>
      <c r="ET522" s="102"/>
      <c r="EU522" s="102"/>
      <c r="EV522" s="105"/>
      <c r="EW522" s="101"/>
      <c r="EX522" s="105"/>
      <c r="EY522" s="11"/>
      <c r="EZ522" s="106"/>
      <c r="FA522" s="101"/>
      <c r="FB522" s="107"/>
      <c r="FC522" s="11"/>
      <c r="FD522" s="101"/>
      <c r="FE522" s="108"/>
      <c r="FF522" s="8"/>
    </row>
    <row r="523" spans="50:162">
      <c r="AX523" s="99"/>
      <c r="AY523" s="99"/>
      <c r="AZ523" s="99"/>
      <c r="BH523" s="100"/>
      <c r="BI523" s="100"/>
      <c r="BJ523" s="100"/>
      <c r="BK523" s="101"/>
      <c r="BL523" s="80"/>
      <c r="BM523" s="102"/>
      <c r="BN523" s="102"/>
      <c r="BO523" s="103"/>
      <c r="BP523" s="104"/>
      <c r="BQ523" s="28"/>
      <c r="BR523" s="102"/>
      <c r="BS523" s="102"/>
      <c r="BT523" s="102"/>
      <c r="BU523" s="102"/>
      <c r="BV523" s="105"/>
      <c r="BW523" s="101"/>
      <c r="BX523" s="105"/>
      <c r="BY523" s="11"/>
      <c r="BZ523" s="106"/>
      <c r="CA523" s="101"/>
      <c r="CB523" s="107"/>
      <c r="CC523" s="11"/>
      <c r="CD523" s="101"/>
      <c r="CE523" s="108"/>
      <c r="CF523" s="8"/>
      <c r="DX523" s="99"/>
      <c r="DY523" s="99"/>
      <c r="DZ523" s="99"/>
      <c r="EH523" s="100"/>
      <c r="EI523" s="100"/>
      <c r="EJ523" s="100"/>
      <c r="EK523" s="101"/>
      <c r="EL523" s="80"/>
      <c r="EM523" s="102"/>
      <c r="EN523" s="102"/>
      <c r="EO523" s="103"/>
      <c r="EP523" s="104"/>
      <c r="EQ523" s="28"/>
      <c r="ER523" s="102"/>
      <c r="ES523" s="102"/>
      <c r="ET523" s="102"/>
      <c r="EU523" s="102"/>
      <c r="EV523" s="105"/>
      <c r="EW523" s="101"/>
      <c r="EX523" s="105"/>
      <c r="EY523" s="11"/>
      <c r="EZ523" s="106"/>
      <c r="FA523" s="101"/>
      <c r="FB523" s="107"/>
      <c r="FC523" s="11"/>
      <c r="FD523" s="101"/>
      <c r="FE523" s="108"/>
      <c r="FF523" s="8"/>
    </row>
    <row r="524" spans="50:162">
      <c r="AX524" s="99"/>
      <c r="AY524" s="99"/>
      <c r="AZ524" s="99"/>
      <c r="BH524" s="100"/>
      <c r="BI524" s="100"/>
      <c r="BJ524" s="100"/>
      <c r="BK524" s="101"/>
      <c r="BL524" s="80"/>
      <c r="BM524" s="102"/>
      <c r="BN524" s="102"/>
      <c r="BO524" s="103"/>
      <c r="BP524" s="104"/>
      <c r="BQ524" s="28"/>
      <c r="BR524" s="102"/>
      <c r="BS524" s="102"/>
      <c r="BT524" s="102"/>
      <c r="BU524" s="102"/>
      <c r="BV524" s="105"/>
      <c r="BW524" s="101"/>
      <c r="BX524" s="105"/>
      <c r="BY524" s="11"/>
      <c r="BZ524" s="106"/>
      <c r="CA524" s="101"/>
      <c r="CB524" s="107"/>
      <c r="CC524" s="11"/>
      <c r="CD524" s="101"/>
      <c r="CE524" s="108"/>
      <c r="CF524" s="8"/>
      <c r="DX524" s="99"/>
      <c r="DY524" s="99"/>
      <c r="DZ524" s="99"/>
      <c r="EH524" s="100"/>
      <c r="EI524" s="100"/>
      <c r="EJ524" s="100"/>
      <c r="EK524" s="101"/>
      <c r="EL524" s="80"/>
      <c r="EM524" s="102"/>
      <c r="EN524" s="102"/>
      <c r="EO524" s="103"/>
      <c r="EP524" s="104"/>
      <c r="EQ524" s="28"/>
      <c r="ER524" s="102"/>
      <c r="ES524" s="102"/>
      <c r="ET524" s="102"/>
      <c r="EU524" s="102"/>
      <c r="EV524" s="105"/>
      <c r="EW524" s="101"/>
      <c r="EX524" s="105"/>
      <c r="EY524" s="11"/>
      <c r="EZ524" s="106"/>
      <c r="FA524" s="101"/>
      <c r="FB524" s="107"/>
      <c r="FC524" s="11"/>
      <c r="FD524" s="101"/>
      <c r="FE524" s="108"/>
      <c r="FF524" s="8"/>
    </row>
    <row r="525" spans="50:162">
      <c r="AX525" s="99"/>
      <c r="AY525" s="99"/>
      <c r="AZ525" s="99"/>
      <c r="BH525" s="100"/>
      <c r="BI525" s="100"/>
      <c r="BJ525" s="100"/>
      <c r="BK525" s="101"/>
      <c r="BL525" s="80"/>
      <c r="BM525" s="102"/>
      <c r="BN525" s="102"/>
      <c r="BO525" s="103"/>
      <c r="BP525" s="104"/>
      <c r="BQ525" s="28"/>
      <c r="BR525" s="102"/>
      <c r="BS525" s="102"/>
      <c r="BT525" s="102"/>
      <c r="BU525" s="102"/>
      <c r="BV525" s="105"/>
      <c r="BW525" s="101"/>
      <c r="BX525" s="105"/>
      <c r="BY525" s="11"/>
      <c r="BZ525" s="106"/>
      <c r="CA525" s="101"/>
      <c r="CB525" s="107"/>
      <c r="CC525" s="11"/>
      <c r="CD525" s="101"/>
      <c r="CE525" s="108"/>
      <c r="CF525" s="8"/>
      <c r="DX525" s="99"/>
      <c r="DY525" s="99"/>
      <c r="DZ525" s="99"/>
      <c r="EH525" s="100"/>
      <c r="EI525" s="100"/>
      <c r="EJ525" s="100"/>
      <c r="EK525" s="101"/>
      <c r="EL525" s="80"/>
      <c r="EM525" s="102"/>
      <c r="EN525" s="102"/>
      <c r="EO525" s="103"/>
      <c r="EP525" s="104"/>
      <c r="EQ525" s="28"/>
      <c r="ER525" s="102"/>
      <c r="ES525" s="102"/>
      <c r="ET525" s="102"/>
      <c r="EU525" s="102"/>
      <c r="EV525" s="105"/>
      <c r="EW525" s="101"/>
      <c r="EX525" s="105"/>
      <c r="EY525" s="11"/>
      <c r="EZ525" s="106"/>
      <c r="FA525" s="101"/>
      <c r="FB525" s="107"/>
      <c r="FC525" s="11"/>
      <c r="FD525" s="101"/>
      <c r="FE525" s="108"/>
      <c r="FF525" s="8"/>
    </row>
    <row r="526" spans="50:162">
      <c r="AX526" s="99"/>
      <c r="AY526" s="99"/>
      <c r="AZ526" s="99"/>
      <c r="BH526" s="100"/>
      <c r="BI526" s="100"/>
      <c r="BJ526" s="100"/>
      <c r="BK526" s="101"/>
      <c r="BL526" s="80"/>
      <c r="BM526" s="102"/>
      <c r="BN526" s="102"/>
      <c r="BO526" s="103"/>
      <c r="BP526" s="104"/>
      <c r="BQ526" s="28"/>
      <c r="BR526" s="102"/>
      <c r="BS526" s="102"/>
      <c r="BT526" s="102"/>
      <c r="BU526" s="102"/>
      <c r="BV526" s="105"/>
      <c r="BW526" s="101"/>
      <c r="BX526" s="105"/>
      <c r="BY526" s="11"/>
      <c r="BZ526" s="106"/>
      <c r="CA526" s="101"/>
      <c r="CB526" s="107"/>
      <c r="CC526" s="11"/>
      <c r="CD526" s="101"/>
      <c r="CE526" s="108"/>
      <c r="CF526" s="8"/>
      <c r="DX526" s="99"/>
      <c r="DY526" s="99"/>
      <c r="DZ526" s="99"/>
      <c r="EH526" s="100"/>
      <c r="EI526" s="100"/>
      <c r="EJ526" s="100"/>
      <c r="EK526" s="101"/>
      <c r="EL526" s="80"/>
      <c r="EM526" s="102"/>
      <c r="EN526" s="102"/>
      <c r="EO526" s="103"/>
      <c r="EP526" s="104"/>
      <c r="EQ526" s="28"/>
      <c r="ER526" s="102"/>
      <c r="ES526" s="102"/>
      <c r="ET526" s="102"/>
      <c r="EU526" s="102"/>
      <c r="EV526" s="105"/>
      <c r="EW526" s="101"/>
      <c r="EX526" s="105"/>
      <c r="EY526" s="11"/>
      <c r="EZ526" s="106"/>
      <c r="FA526" s="101"/>
      <c r="FB526" s="107"/>
      <c r="FC526" s="11"/>
      <c r="FD526" s="101"/>
      <c r="FE526" s="108"/>
      <c r="FF526" s="8"/>
    </row>
    <row r="527" spans="50:162">
      <c r="AX527" s="99"/>
      <c r="AY527" s="99"/>
      <c r="AZ527" s="99"/>
      <c r="BH527" s="100"/>
      <c r="BI527" s="100"/>
      <c r="BJ527" s="100"/>
      <c r="BK527" s="101"/>
      <c r="BL527" s="80"/>
      <c r="BM527" s="102"/>
      <c r="BN527" s="102"/>
      <c r="BO527" s="103"/>
      <c r="BP527" s="104"/>
      <c r="BQ527" s="28"/>
      <c r="BR527" s="102"/>
      <c r="BS527" s="102"/>
      <c r="BT527" s="102"/>
      <c r="BU527" s="102"/>
      <c r="BV527" s="105"/>
      <c r="BW527" s="101"/>
      <c r="BX527" s="105"/>
      <c r="BY527" s="11"/>
      <c r="BZ527" s="106"/>
      <c r="CA527" s="101"/>
      <c r="CB527" s="107"/>
      <c r="CC527" s="11"/>
      <c r="CD527" s="101"/>
      <c r="CE527" s="108"/>
      <c r="CF527" s="8"/>
      <c r="DX527" s="99"/>
      <c r="DY527" s="99"/>
      <c r="DZ527" s="99"/>
      <c r="EH527" s="100"/>
      <c r="EI527" s="100"/>
      <c r="EJ527" s="100"/>
      <c r="EK527" s="101"/>
      <c r="EL527" s="80"/>
      <c r="EM527" s="102"/>
      <c r="EN527" s="102"/>
      <c r="EO527" s="103"/>
      <c r="EP527" s="104"/>
      <c r="EQ527" s="28"/>
      <c r="ER527" s="102"/>
      <c r="ES527" s="102"/>
      <c r="ET527" s="102"/>
      <c r="EU527" s="102"/>
      <c r="EV527" s="105"/>
      <c r="EW527" s="101"/>
      <c r="EX527" s="105"/>
      <c r="EY527" s="11"/>
      <c r="EZ527" s="106"/>
      <c r="FA527" s="101"/>
      <c r="FB527" s="107"/>
      <c r="FC527" s="11"/>
      <c r="FD527" s="101"/>
      <c r="FE527" s="108"/>
      <c r="FF527" s="8"/>
    </row>
    <row r="528" spans="50:162">
      <c r="AX528" s="99"/>
      <c r="AY528" s="99"/>
      <c r="AZ528" s="99"/>
      <c r="BH528" s="100"/>
      <c r="BI528" s="100"/>
      <c r="BJ528" s="100"/>
      <c r="BK528" s="101"/>
      <c r="BL528" s="80"/>
      <c r="BM528" s="102"/>
      <c r="BN528" s="102"/>
      <c r="BO528" s="103"/>
      <c r="BP528" s="104"/>
      <c r="BQ528" s="28"/>
      <c r="BR528" s="102"/>
      <c r="BS528" s="102"/>
      <c r="BT528" s="102"/>
      <c r="BU528" s="102"/>
      <c r="BV528" s="105"/>
      <c r="BW528" s="101"/>
      <c r="BX528" s="105"/>
      <c r="BY528" s="11"/>
      <c r="BZ528" s="106"/>
      <c r="CA528" s="101"/>
      <c r="CB528" s="107"/>
      <c r="CC528" s="11"/>
      <c r="CD528" s="101"/>
      <c r="CE528" s="108"/>
      <c r="CF528" s="8"/>
      <c r="DX528" s="99"/>
      <c r="DY528" s="99"/>
      <c r="DZ528" s="99"/>
      <c r="EH528" s="100"/>
      <c r="EI528" s="100"/>
      <c r="EJ528" s="100"/>
      <c r="EK528" s="101"/>
      <c r="EL528" s="80"/>
      <c r="EM528" s="102"/>
      <c r="EN528" s="102"/>
      <c r="EO528" s="103"/>
      <c r="EP528" s="104"/>
      <c r="EQ528" s="28"/>
      <c r="ER528" s="102"/>
      <c r="ES528" s="102"/>
      <c r="ET528" s="102"/>
      <c r="EU528" s="102"/>
      <c r="EV528" s="105"/>
      <c r="EW528" s="101"/>
      <c r="EX528" s="105"/>
      <c r="EY528" s="11"/>
      <c r="EZ528" s="106"/>
      <c r="FA528" s="101"/>
      <c r="FB528" s="107"/>
      <c r="FC528" s="11"/>
      <c r="FD528" s="101"/>
      <c r="FE528" s="108"/>
      <c r="FF528" s="8"/>
    </row>
    <row r="529" spans="50:162">
      <c r="AX529" s="99"/>
      <c r="AY529" s="99"/>
      <c r="AZ529" s="99"/>
      <c r="BH529" s="100"/>
      <c r="BI529" s="100"/>
      <c r="BJ529" s="100"/>
      <c r="BK529" s="101"/>
      <c r="BL529" s="80"/>
      <c r="BM529" s="102"/>
      <c r="BN529" s="102"/>
      <c r="BO529" s="103"/>
      <c r="BP529" s="104"/>
      <c r="BQ529" s="28"/>
      <c r="BR529" s="102"/>
      <c r="BS529" s="102"/>
      <c r="BT529" s="102"/>
      <c r="BU529" s="102"/>
      <c r="BV529" s="105"/>
      <c r="BW529" s="101"/>
      <c r="BX529" s="105"/>
      <c r="BY529" s="11"/>
      <c r="BZ529" s="106"/>
      <c r="CA529" s="101"/>
      <c r="CB529" s="107"/>
      <c r="CC529" s="11"/>
      <c r="CD529" s="101"/>
      <c r="CE529" s="108"/>
      <c r="CF529" s="8"/>
      <c r="DX529" s="99"/>
      <c r="DY529" s="99"/>
      <c r="DZ529" s="99"/>
      <c r="EH529" s="100"/>
      <c r="EI529" s="100"/>
      <c r="EJ529" s="100"/>
      <c r="EK529" s="101"/>
      <c r="EL529" s="80"/>
      <c r="EM529" s="102"/>
      <c r="EN529" s="102"/>
      <c r="EO529" s="103"/>
      <c r="EP529" s="104"/>
      <c r="EQ529" s="28"/>
      <c r="ER529" s="102"/>
      <c r="ES529" s="102"/>
      <c r="ET529" s="102"/>
      <c r="EU529" s="102"/>
      <c r="EV529" s="105"/>
      <c r="EW529" s="101"/>
      <c r="EX529" s="105"/>
      <c r="EY529" s="11"/>
      <c r="EZ529" s="106"/>
      <c r="FA529" s="101"/>
      <c r="FB529" s="107"/>
      <c r="FC529" s="11"/>
      <c r="FD529" s="101"/>
      <c r="FE529" s="108"/>
      <c r="FF529" s="8"/>
    </row>
    <row r="530" spans="50:162">
      <c r="AX530" s="99"/>
      <c r="AY530" s="99"/>
      <c r="AZ530" s="99"/>
      <c r="BH530" s="100"/>
      <c r="BI530" s="100"/>
      <c r="BJ530" s="100"/>
      <c r="BK530" s="101"/>
      <c r="BL530" s="80"/>
      <c r="BM530" s="102"/>
      <c r="BN530" s="102"/>
      <c r="BO530" s="103"/>
      <c r="BP530" s="104"/>
      <c r="BQ530" s="28"/>
      <c r="BR530" s="102"/>
      <c r="BS530" s="102"/>
      <c r="BT530" s="102"/>
      <c r="BU530" s="102"/>
      <c r="BV530" s="105"/>
      <c r="BW530" s="101"/>
      <c r="BX530" s="105"/>
      <c r="BY530" s="11"/>
      <c r="BZ530" s="106"/>
      <c r="CA530" s="101"/>
      <c r="CB530" s="107"/>
      <c r="CC530" s="11"/>
      <c r="CD530" s="101"/>
      <c r="CE530" s="108"/>
      <c r="CF530" s="8"/>
      <c r="DX530" s="99"/>
      <c r="DY530" s="99"/>
      <c r="DZ530" s="99"/>
      <c r="EH530" s="100"/>
      <c r="EI530" s="100"/>
      <c r="EJ530" s="100"/>
      <c r="EK530" s="101"/>
      <c r="EL530" s="80"/>
      <c r="EM530" s="102"/>
      <c r="EN530" s="102"/>
      <c r="EO530" s="103"/>
      <c r="EP530" s="104"/>
      <c r="EQ530" s="28"/>
      <c r="ER530" s="102"/>
      <c r="ES530" s="102"/>
      <c r="ET530" s="102"/>
      <c r="EU530" s="102"/>
      <c r="EV530" s="105"/>
      <c r="EW530" s="101"/>
      <c r="EX530" s="105"/>
      <c r="EY530" s="11"/>
      <c r="EZ530" s="106"/>
      <c r="FA530" s="101"/>
      <c r="FB530" s="107"/>
      <c r="FC530" s="11"/>
      <c r="FD530" s="101"/>
      <c r="FE530" s="108"/>
      <c r="FF530" s="8"/>
    </row>
    <row r="531" spans="50:162">
      <c r="AX531" s="99"/>
      <c r="AY531" s="99"/>
      <c r="AZ531" s="99"/>
      <c r="BH531" s="100"/>
      <c r="BI531" s="100"/>
      <c r="BJ531" s="100"/>
      <c r="BK531" s="101"/>
      <c r="BL531" s="80"/>
      <c r="BM531" s="102"/>
      <c r="BN531" s="102"/>
      <c r="BO531" s="103"/>
      <c r="BP531" s="104"/>
      <c r="BQ531" s="28"/>
      <c r="BR531" s="102"/>
      <c r="BS531" s="102"/>
      <c r="BT531" s="102"/>
      <c r="BU531" s="102"/>
      <c r="BV531" s="105"/>
      <c r="BW531" s="101"/>
      <c r="BX531" s="105"/>
      <c r="BY531" s="11"/>
      <c r="BZ531" s="106"/>
      <c r="CA531" s="101"/>
      <c r="CB531" s="107"/>
      <c r="CC531" s="11"/>
      <c r="CD531" s="101"/>
      <c r="CE531" s="108"/>
      <c r="CF531" s="8"/>
      <c r="DX531" s="99"/>
      <c r="DY531" s="99"/>
      <c r="DZ531" s="99"/>
      <c r="EH531" s="100"/>
      <c r="EI531" s="100"/>
      <c r="EJ531" s="100"/>
      <c r="EK531" s="101"/>
      <c r="EL531" s="80"/>
      <c r="EM531" s="102"/>
      <c r="EN531" s="102"/>
      <c r="EO531" s="103"/>
      <c r="EP531" s="104"/>
      <c r="EQ531" s="28"/>
      <c r="ER531" s="102"/>
      <c r="ES531" s="102"/>
      <c r="ET531" s="102"/>
      <c r="EU531" s="102"/>
      <c r="EV531" s="105"/>
      <c r="EW531" s="101"/>
      <c r="EX531" s="105"/>
      <c r="EY531" s="11"/>
      <c r="EZ531" s="106"/>
      <c r="FA531" s="101"/>
      <c r="FB531" s="107"/>
      <c r="FC531" s="11"/>
      <c r="FD531" s="101"/>
      <c r="FE531" s="108"/>
      <c r="FF531" s="8"/>
    </row>
    <row r="532" spans="50:162">
      <c r="AX532" s="99"/>
      <c r="AY532" s="99"/>
      <c r="AZ532" s="99"/>
      <c r="BH532" s="100"/>
      <c r="BI532" s="100"/>
      <c r="BJ532" s="100"/>
      <c r="BK532" s="101"/>
      <c r="BL532" s="80"/>
      <c r="BM532" s="102"/>
      <c r="BN532" s="102"/>
      <c r="BO532" s="103"/>
      <c r="BP532" s="104"/>
      <c r="BQ532" s="28"/>
      <c r="BR532" s="102"/>
      <c r="BS532" s="102"/>
      <c r="BT532" s="102"/>
      <c r="BU532" s="102"/>
      <c r="BV532" s="105"/>
      <c r="BW532" s="101"/>
      <c r="BX532" s="105"/>
      <c r="BY532" s="11"/>
      <c r="BZ532" s="106"/>
      <c r="CA532" s="101"/>
      <c r="CB532" s="107"/>
      <c r="CC532" s="11"/>
      <c r="CD532" s="101"/>
      <c r="CE532" s="108"/>
      <c r="CF532" s="8"/>
      <c r="DX532" s="99"/>
      <c r="DY532" s="99"/>
      <c r="DZ532" s="99"/>
      <c r="EH532" s="100"/>
      <c r="EI532" s="100"/>
      <c r="EJ532" s="100"/>
      <c r="EK532" s="101"/>
      <c r="EL532" s="80"/>
      <c r="EM532" s="102"/>
      <c r="EN532" s="102"/>
      <c r="EO532" s="103"/>
      <c r="EP532" s="104"/>
      <c r="EQ532" s="28"/>
      <c r="ER532" s="102"/>
      <c r="ES532" s="102"/>
      <c r="ET532" s="102"/>
      <c r="EU532" s="102"/>
      <c r="EV532" s="105"/>
      <c r="EW532" s="101"/>
      <c r="EX532" s="105"/>
      <c r="EY532" s="11"/>
      <c r="EZ532" s="106"/>
      <c r="FA532" s="101"/>
      <c r="FB532" s="107"/>
      <c r="FC532" s="11"/>
      <c r="FD532" s="101"/>
      <c r="FE532" s="108"/>
      <c r="FF532" s="8"/>
    </row>
    <row r="533" spans="50:162">
      <c r="AX533" s="99"/>
      <c r="AY533" s="99"/>
      <c r="AZ533" s="99"/>
      <c r="BH533" s="100"/>
      <c r="BI533" s="100"/>
      <c r="BJ533" s="100"/>
      <c r="BK533" s="101"/>
      <c r="BL533" s="80"/>
      <c r="BM533" s="102"/>
      <c r="BN533" s="102"/>
      <c r="BO533" s="103"/>
      <c r="BP533" s="104"/>
      <c r="BQ533" s="28"/>
      <c r="BR533" s="102"/>
      <c r="BS533" s="102"/>
      <c r="BT533" s="102"/>
      <c r="BU533" s="102"/>
      <c r="BV533" s="105"/>
      <c r="BW533" s="101"/>
      <c r="BX533" s="105"/>
      <c r="BY533" s="11"/>
      <c r="BZ533" s="106"/>
      <c r="CA533" s="101"/>
      <c r="CB533" s="107"/>
      <c r="CC533" s="11"/>
      <c r="CD533" s="101"/>
      <c r="CE533" s="108"/>
      <c r="CF533" s="8"/>
      <c r="DX533" s="99"/>
      <c r="DY533" s="99"/>
      <c r="DZ533" s="99"/>
      <c r="EH533" s="100"/>
      <c r="EI533" s="100"/>
      <c r="EJ533" s="100"/>
      <c r="EK533" s="101"/>
      <c r="EL533" s="80"/>
      <c r="EM533" s="102"/>
      <c r="EN533" s="102"/>
      <c r="EO533" s="103"/>
      <c r="EP533" s="104"/>
      <c r="EQ533" s="28"/>
      <c r="ER533" s="102"/>
      <c r="ES533" s="102"/>
      <c r="ET533" s="102"/>
      <c r="EU533" s="102"/>
      <c r="EV533" s="105"/>
      <c r="EW533" s="101"/>
      <c r="EX533" s="105"/>
      <c r="EY533" s="11"/>
      <c r="EZ533" s="106"/>
      <c r="FA533" s="101"/>
      <c r="FB533" s="107"/>
      <c r="FC533" s="11"/>
      <c r="FD533" s="101"/>
      <c r="FE533" s="108"/>
      <c r="FF533" s="8"/>
    </row>
    <row r="534" spans="50:162">
      <c r="AX534" s="99"/>
      <c r="AY534" s="99"/>
      <c r="AZ534" s="99"/>
      <c r="BH534" s="100"/>
      <c r="BI534" s="100"/>
      <c r="BJ534" s="100"/>
      <c r="BK534" s="101"/>
      <c r="BL534" s="80"/>
      <c r="BM534" s="102"/>
      <c r="BN534" s="102"/>
      <c r="BO534" s="103"/>
      <c r="BP534" s="104"/>
      <c r="BQ534" s="28"/>
      <c r="BR534" s="102"/>
      <c r="BS534" s="102"/>
      <c r="BT534" s="102"/>
      <c r="BU534" s="102"/>
      <c r="BV534" s="105"/>
      <c r="BW534" s="101"/>
      <c r="BX534" s="105"/>
      <c r="BY534" s="11"/>
      <c r="BZ534" s="106"/>
      <c r="CA534" s="101"/>
      <c r="CB534" s="107"/>
      <c r="CC534" s="11"/>
      <c r="CD534" s="101"/>
      <c r="CE534" s="108"/>
      <c r="CF534" s="8"/>
      <c r="DX534" s="99"/>
      <c r="DY534" s="99"/>
      <c r="DZ534" s="99"/>
      <c r="EH534" s="100"/>
      <c r="EI534" s="100"/>
      <c r="EJ534" s="100"/>
      <c r="EK534" s="101"/>
      <c r="EL534" s="80"/>
      <c r="EM534" s="102"/>
      <c r="EN534" s="102"/>
      <c r="EO534" s="103"/>
      <c r="EP534" s="104"/>
      <c r="EQ534" s="28"/>
      <c r="ER534" s="102"/>
      <c r="ES534" s="102"/>
      <c r="ET534" s="102"/>
      <c r="EU534" s="102"/>
      <c r="EV534" s="105"/>
      <c r="EW534" s="101"/>
      <c r="EX534" s="105"/>
      <c r="EY534" s="11"/>
      <c r="EZ534" s="106"/>
      <c r="FA534" s="101"/>
      <c r="FB534" s="107"/>
      <c r="FC534" s="11"/>
      <c r="FD534" s="101"/>
      <c r="FE534" s="108"/>
      <c r="FF534" s="8"/>
    </row>
    <row r="535" spans="50:162">
      <c r="AX535" s="99"/>
      <c r="AY535" s="99"/>
      <c r="AZ535" s="99"/>
      <c r="BH535" s="100"/>
      <c r="BI535" s="100"/>
      <c r="BJ535" s="100"/>
      <c r="BK535" s="101"/>
      <c r="BL535" s="80"/>
      <c r="BM535" s="102"/>
      <c r="BN535" s="102"/>
      <c r="BO535" s="103"/>
      <c r="BP535" s="104"/>
      <c r="BQ535" s="28"/>
      <c r="BR535" s="102"/>
      <c r="BS535" s="102"/>
      <c r="BT535" s="102"/>
      <c r="BU535" s="102"/>
      <c r="BV535" s="105"/>
      <c r="BW535" s="101"/>
      <c r="BX535" s="105"/>
      <c r="BY535" s="11"/>
      <c r="BZ535" s="106"/>
      <c r="CA535" s="101"/>
      <c r="CB535" s="107"/>
      <c r="CC535" s="11"/>
      <c r="CD535" s="101"/>
      <c r="CE535" s="108"/>
      <c r="CF535" s="8"/>
      <c r="DX535" s="99"/>
      <c r="DY535" s="99"/>
      <c r="DZ535" s="99"/>
      <c r="EH535" s="100"/>
      <c r="EI535" s="100"/>
      <c r="EJ535" s="100"/>
      <c r="EK535" s="101"/>
      <c r="EL535" s="80"/>
      <c r="EM535" s="102"/>
      <c r="EN535" s="102"/>
      <c r="EO535" s="103"/>
      <c r="EP535" s="104"/>
      <c r="EQ535" s="28"/>
      <c r="ER535" s="102"/>
      <c r="ES535" s="102"/>
      <c r="ET535" s="102"/>
      <c r="EU535" s="102"/>
      <c r="EV535" s="105"/>
      <c r="EW535" s="101"/>
      <c r="EX535" s="105"/>
      <c r="EY535" s="11"/>
      <c r="EZ535" s="106"/>
      <c r="FA535" s="101"/>
      <c r="FB535" s="107"/>
      <c r="FC535" s="11"/>
      <c r="FD535" s="101"/>
      <c r="FE535" s="108"/>
      <c r="FF535" s="8"/>
    </row>
    <row r="536" spans="50:162">
      <c r="AX536" s="99"/>
      <c r="AY536" s="99"/>
      <c r="AZ536" s="99"/>
      <c r="BH536" s="100"/>
      <c r="BI536" s="100"/>
      <c r="BJ536" s="100"/>
      <c r="BK536" s="101"/>
      <c r="BL536" s="80"/>
      <c r="BM536" s="102"/>
      <c r="BN536" s="102"/>
      <c r="BO536" s="103"/>
      <c r="BP536" s="104"/>
      <c r="BQ536" s="28"/>
      <c r="BR536" s="102"/>
      <c r="BS536" s="102"/>
      <c r="BT536" s="102"/>
      <c r="BU536" s="102"/>
      <c r="BV536" s="105"/>
      <c r="BW536" s="101"/>
      <c r="BX536" s="105"/>
      <c r="BY536" s="11"/>
      <c r="BZ536" s="106"/>
      <c r="CA536" s="101"/>
      <c r="CB536" s="107"/>
      <c r="CC536" s="11"/>
      <c r="CD536" s="101"/>
      <c r="CE536" s="108"/>
      <c r="CF536" s="8"/>
      <c r="DX536" s="99"/>
      <c r="DY536" s="99"/>
      <c r="DZ536" s="99"/>
      <c r="EH536" s="100"/>
      <c r="EI536" s="100"/>
      <c r="EJ536" s="100"/>
      <c r="EK536" s="101"/>
      <c r="EL536" s="80"/>
      <c r="EM536" s="102"/>
      <c r="EN536" s="102"/>
      <c r="EO536" s="103"/>
      <c r="EP536" s="104"/>
      <c r="EQ536" s="28"/>
      <c r="ER536" s="102"/>
      <c r="ES536" s="102"/>
      <c r="ET536" s="102"/>
      <c r="EU536" s="102"/>
      <c r="EV536" s="105"/>
      <c r="EW536" s="101"/>
      <c r="EX536" s="105"/>
      <c r="EY536" s="11"/>
      <c r="EZ536" s="106"/>
      <c r="FA536" s="101"/>
      <c r="FB536" s="107"/>
      <c r="FC536" s="11"/>
      <c r="FD536" s="101"/>
      <c r="FE536" s="108"/>
      <c r="FF536" s="8"/>
    </row>
    <row r="537" spans="50:162">
      <c r="AX537" s="99"/>
      <c r="AY537" s="99"/>
      <c r="AZ537" s="99"/>
      <c r="BH537" s="100"/>
      <c r="BI537" s="100"/>
      <c r="BJ537" s="100"/>
      <c r="BK537" s="101"/>
      <c r="BL537" s="80"/>
      <c r="BM537" s="102"/>
      <c r="BN537" s="102"/>
      <c r="BO537" s="103"/>
      <c r="BP537" s="104"/>
      <c r="BQ537" s="28"/>
      <c r="BR537" s="102"/>
      <c r="BS537" s="102"/>
      <c r="BT537" s="102"/>
      <c r="BU537" s="102"/>
      <c r="BV537" s="105"/>
      <c r="BW537" s="101"/>
      <c r="BX537" s="105"/>
      <c r="BY537" s="11"/>
      <c r="BZ537" s="106"/>
      <c r="CA537" s="101"/>
      <c r="CB537" s="107"/>
      <c r="CC537" s="11"/>
      <c r="CD537" s="101"/>
      <c r="CE537" s="108"/>
      <c r="CF537" s="8"/>
      <c r="DX537" s="99"/>
      <c r="DY537" s="99"/>
      <c r="DZ537" s="99"/>
      <c r="EH537" s="100"/>
      <c r="EI537" s="100"/>
      <c r="EJ537" s="100"/>
      <c r="EK537" s="101"/>
      <c r="EL537" s="80"/>
      <c r="EM537" s="102"/>
      <c r="EN537" s="102"/>
      <c r="EO537" s="103"/>
      <c r="EP537" s="104"/>
      <c r="EQ537" s="28"/>
      <c r="ER537" s="102"/>
      <c r="ES537" s="102"/>
      <c r="ET537" s="102"/>
      <c r="EU537" s="102"/>
      <c r="EV537" s="105"/>
      <c r="EW537" s="101"/>
      <c r="EX537" s="105"/>
      <c r="EY537" s="11"/>
      <c r="EZ537" s="106"/>
      <c r="FA537" s="101"/>
      <c r="FB537" s="107"/>
      <c r="FC537" s="11"/>
      <c r="FD537" s="101"/>
      <c r="FE537" s="108"/>
      <c r="FF537" s="8"/>
    </row>
    <row r="538" spans="50:162">
      <c r="AX538" s="99"/>
      <c r="AY538" s="99"/>
      <c r="AZ538" s="99"/>
      <c r="BH538" s="100"/>
      <c r="BI538" s="100"/>
      <c r="BJ538" s="100"/>
      <c r="BK538" s="101"/>
      <c r="BL538" s="80"/>
      <c r="BM538" s="102"/>
      <c r="BN538" s="102"/>
      <c r="BO538" s="103"/>
      <c r="BP538" s="104"/>
      <c r="BQ538" s="28"/>
      <c r="BR538" s="102"/>
      <c r="BS538" s="102"/>
      <c r="BT538" s="102"/>
      <c r="BU538" s="102"/>
      <c r="BV538" s="105"/>
      <c r="BW538" s="101"/>
      <c r="BX538" s="105"/>
      <c r="BY538" s="11"/>
      <c r="BZ538" s="106"/>
      <c r="CA538" s="101"/>
      <c r="CB538" s="107"/>
      <c r="CC538" s="11"/>
      <c r="CD538" s="101"/>
      <c r="CE538" s="108"/>
      <c r="CF538" s="8"/>
      <c r="DX538" s="99"/>
      <c r="DY538" s="99"/>
      <c r="DZ538" s="99"/>
      <c r="EH538" s="100"/>
      <c r="EI538" s="100"/>
      <c r="EJ538" s="100"/>
      <c r="EK538" s="101"/>
      <c r="EL538" s="80"/>
      <c r="EM538" s="102"/>
      <c r="EN538" s="102"/>
      <c r="EO538" s="103"/>
      <c r="EP538" s="104"/>
      <c r="EQ538" s="28"/>
      <c r="ER538" s="102"/>
      <c r="ES538" s="102"/>
      <c r="ET538" s="102"/>
      <c r="EU538" s="102"/>
      <c r="EV538" s="105"/>
      <c r="EW538" s="101"/>
      <c r="EX538" s="105"/>
      <c r="EY538" s="11"/>
      <c r="EZ538" s="106"/>
      <c r="FA538" s="101"/>
      <c r="FB538" s="107"/>
      <c r="FC538" s="11"/>
      <c r="FD538" s="101"/>
      <c r="FE538" s="108"/>
      <c r="FF538" s="8"/>
    </row>
    <row r="539" spans="50:162">
      <c r="AX539" s="99"/>
      <c r="AY539" s="99"/>
      <c r="AZ539" s="99"/>
      <c r="BH539" s="100"/>
      <c r="BI539" s="100"/>
      <c r="BJ539" s="100"/>
      <c r="BK539" s="101"/>
      <c r="BL539" s="80"/>
      <c r="BM539" s="102"/>
      <c r="BN539" s="102"/>
      <c r="BO539" s="103"/>
      <c r="BP539" s="104"/>
      <c r="BQ539" s="28"/>
      <c r="BR539" s="102"/>
      <c r="BS539" s="102"/>
      <c r="BT539" s="102"/>
      <c r="BU539" s="102"/>
      <c r="BV539" s="105"/>
      <c r="BW539" s="101"/>
      <c r="BX539" s="105"/>
      <c r="BY539" s="11"/>
      <c r="BZ539" s="106"/>
      <c r="CA539" s="101"/>
      <c r="CB539" s="107"/>
      <c r="CC539" s="11"/>
      <c r="CD539" s="101"/>
      <c r="CE539" s="108"/>
      <c r="CF539" s="8"/>
      <c r="DX539" s="99"/>
      <c r="DY539" s="99"/>
      <c r="DZ539" s="99"/>
      <c r="EH539" s="100"/>
      <c r="EI539" s="100"/>
      <c r="EJ539" s="100"/>
      <c r="EK539" s="101"/>
      <c r="EL539" s="80"/>
      <c r="EM539" s="102"/>
      <c r="EN539" s="102"/>
      <c r="EO539" s="103"/>
      <c r="EP539" s="104"/>
      <c r="EQ539" s="28"/>
      <c r="ER539" s="102"/>
      <c r="ES539" s="102"/>
      <c r="ET539" s="102"/>
      <c r="EU539" s="102"/>
      <c r="EV539" s="105"/>
      <c r="EW539" s="101"/>
      <c r="EX539" s="105"/>
      <c r="EY539" s="11"/>
      <c r="EZ539" s="106"/>
      <c r="FA539" s="101"/>
      <c r="FB539" s="107"/>
      <c r="FC539" s="11"/>
      <c r="FD539" s="101"/>
      <c r="FE539" s="108"/>
      <c r="FF539" s="8"/>
    </row>
    <row r="540" spans="50:162">
      <c r="AX540" s="99"/>
      <c r="AY540" s="99"/>
      <c r="AZ540" s="99"/>
      <c r="BH540" s="100"/>
      <c r="BI540" s="100"/>
      <c r="BJ540" s="100"/>
      <c r="BK540" s="101"/>
      <c r="BL540" s="80"/>
      <c r="BM540" s="102"/>
      <c r="BN540" s="102"/>
      <c r="BO540" s="103"/>
      <c r="BP540" s="104"/>
      <c r="BQ540" s="28"/>
      <c r="BR540" s="102"/>
      <c r="BS540" s="102"/>
      <c r="BT540" s="102"/>
      <c r="BU540" s="102"/>
      <c r="BV540" s="105"/>
      <c r="BW540" s="101"/>
      <c r="BX540" s="105"/>
      <c r="BY540" s="11"/>
      <c r="BZ540" s="106"/>
      <c r="CA540" s="101"/>
      <c r="CB540" s="107"/>
      <c r="CC540" s="11"/>
      <c r="CD540" s="101"/>
      <c r="CE540" s="108"/>
      <c r="CF540" s="8"/>
      <c r="DX540" s="99"/>
      <c r="DY540" s="99"/>
      <c r="DZ540" s="99"/>
      <c r="EH540" s="100"/>
      <c r="EI540" s="100"/>
      <c r="EJ540" s="100"/>
      <c r="EK540" s="101"/>
      <c r="EL540" s="80"/>
      <c r="EM540" s="102"/>
      <c r="EN540" s="102"/>
      <c r="EO540" s="103"/>
      <c r="EP540" s="104"/>
      <c r="EQ540" s="28"/>
      <c r="ER540" s="102"/>
      <c r="ES540" s="102"/>
      <c r="ET540" s="102"/>
      <c r="EU540" s="102"/>
      <c r="EV540" s="105"/>
      <c r="EW540" s="101"/>
      <c r="EX540" s="105"/>
      <c r="EY540" s="11"/>
      <c r="EZ540" s="106"/>
      <c r="FA540" s="101"/>
      <c r="FB540" s="107"/>
      <c r="FC540" s="11"/>
      <c r="FD540" s="101"/>
      <c r="FE540" s="108"/>
      <c r="FF540" s="8"/>
    </row>
    <row r="541" spans="50:162">
      <c r="AX541" s="99"/>
      <c r="AY541" s="99"/>
      <c r="AZ541" s="99"/>
      <c r="BH541" s="100"/>
      <c r="BI541" s="100"/>
      <c r="BJ541" s="100"/>
      <c r="BK541" s="101"/>
      <c r="BL541" s="80"/>
      <c r="BM541" s="102"/>
      <c r="BN541" s="102"/>
      <c r="BO541" s="103"/>
      <c r="BP541" s="104"/>
      <c r="BQ541" s="28"/>
      <c r="BR541" s="102"/>
      <c r="BS541" s="102"/>
      <c r="BT541" s="102"/>
      <c r="BU541" s="102"/>
      <c r="BV541" s="105"/>
      <c r="BW541" s="101"/>
      <c r="BX541" s="105"/>
      <c r="BY541" s="11"/>
      <c r="BZ541" s="106"/>
      <c r="CA541" s="101"/>
      <c r="CB541" s="107"/>
      <c r="CC541" s="11"/>
      <c r="CD541" s="101"/>
      <c r="CE541" s="108"/>
      <c r="CF541" s="8"/>
      <c r="DX541" s="99"/>
      <c r="DY541" s="99"/>
      <c r="DZ541" s="99"/>
      <c r="EH541" s="100"/>
      <c r="EI541" s="100"/>
      <c r="EJ541" s="100"/>
      <c r="EK541" s="101"/>
      <c r="EL541" s="80"/>
      <c r="EM541" s="102"/>
      <c r="EN541" s="102"/>
      <c r="EO541" s="103"/>
      <c r="EP541" s="104"/>
      <c r="EQ541" s="28"/>
      <c r="ER541" s="102"/>
      <c r="ES541" s="102"/>
      <c r="ET541" s="102"/>
      <c r="EU541" s="102"/>
      <c r="EV541" s="105"/>
      <c r="EW541" s="101"/>
      <c r="EX541" s="105"/>
      <c r="EY541" s="11"/>
      <c r="EZ541" s="106"/>
      <c r="FA541" s="101"/>
      <c r="FB541" s="107"/>
      <c r="FC541" s="11"/>
      <c r="FD541" s="101"/>
      <c r="FE541" s="108"/>
      <c r="FF541" s="8"/>
    </row>
    <row r="542" spans="50:162">
      <c r="AX542" s="99"/>
      <c r="AY542" s="99"/>
      <c r="AZ542" s="99"/>
      <c r="BH542" s="100"/>
      <c r="BI542" s="100"/>
      <c r="BJ542" s="100"/>
      <c r="BK542" s="101"/>
      <c r="BL542" s="80"/>
      <c r="BM542" s="102"/>
      <c r="BN542" s="102"/>
      <c r="BO542" s="103"/>
      <c r="BP542" s="104"/>
      <c r="BQ542" s="28"/>
      <c r="BR542" s="102"/>
      <c r="BS542" s="102"/>
      <c r="BT542" s="102"/>
      <c r="BU542" s="102"/>
      <c r="BV542" s="105"/>
      <c r="BW542" s="101"/>
      <c r="BX542" s="105"/>
      <c r="BY542" s="11"/>
      <c r="BZ542" s="106"/>
      <c r="CA542" s="101"/>
      <c r="CB542" s="107"/>
      <c r="CC542" s="11"/>
      <c r="CD542" s="101"/>
      <c r="CE542" s="108"/>
      <c r="CF542" s="8"/>
      <c r="DX542" s="99"/>
      <c r="DY542" s="99"/>
      <c r="DZ542" s="99"/>
      <c r="EH542" s="100"/>
      <c r="EI542" s="100"/>
      <c r="EJ542" s="100"/>
      <c r="EK542" s="101"/>
      <c r="EL542" s="80"/>
      <c r="EM542" s="102"/>
      <c r="EN542" s="102"/>
      <c r="EO542" s="103"/>
      <c r="EP542" s="104"/>
      <c r="EQ542" s="28"/>
      <c r="ER542" s="102"/>
      <c r="ES542" s="102"/>
      <c r="ET542" s="102"/>
      <c r="EU542" s="102"/>
      <c r="EV542" s="105"/>
      <c r="EW542" s="101"/>
      <c r="EX542" s="105"/>
      <c r="EY542" s="11"/>
      <c r="EZ542" s="106"/>
      <c r="FA542" s="101"/>
      <c r="FB542" s="107"/>
      <c r="FC542" s="11"/>
      <c r="FD542" s="101"/>
      <c r="FE542" s="108"/>
      <c r="FF542" s="8"/>
    </row>
    <row r="543" spans="50:162">
      <c r="AX543" s="99"/>
      <c r="AY543" s="99"/>
      <c r="AZ543" s="99"/>
      <c r="BH543" s="100"/>
      <c r="BI543" s="100"/>
      <c r="BJ543" s="100"/>
      <c r="BK543" s="101"/>
      <c r="BL543" s="80"/>
      <c r="BM543" s="102"/>
      <c r="BN543" s="102"/>
      <c r="BO543" s="103"/>
      <c r="BP543" s="104"/>
      <c r="BQ543" s="28"/>
      <c r="BR543" s="102"/>
      <c r="BS543" s="102"/>
      <c r="BT543" s="102"/>
      <c r="BU543" s="102"/>
      <c r="BV543" s="105"/>
      <c r="BW543" s="101"/>
      <c r="BX543" s="105"/>
      <c r="BY543" s="11"/>
      <c r="BZ543" s="106"/>
      <c r="CA543" s="101"/>
      <c r="CB543" s="107"/>
      <c r="CC543" s="11"/>
      <c r="CD543" s="101"/>
      <c r="CE543" s="108"/>
      <c r="CF543" s="8"/>
      <c r="DX543" s="99"/>
      <c r="DY543" s="99"/>
      <c r="DZ543" s="99"/>
      <c r="EH543" s="100"/>
      <c r="EI543" s="100"/>
      <c r="EJ543" s="100"/>
      <c r="EK543" s="101"/>
      <c r="EL543" s="80"/>
      <c r="EM543" s="102"/>
      <c r="EN543" s="102"/>
      <c r="EO543" s="103"/>
      <c r="EP543" s="104"/>
      <c r="EQ543" s="28"/>
      <c r="ER543" s="102"/>
      <c r="ES543" s="102"/>
      <c r="ET543" s="102"/>
      <c r="EU543" s="102"/>
      <c r="EV543" s="105"/>
      <c r="EW543" s="101"/>
      <c r="EX543" s="105"/>
      <c r="EY543" s="11"/>
      <c r="EZ543" s="106"/>
      <c r="FA543" s="101"/>
      <c r="FB543" s="107"/>
      <c r="FC543" s="11"/>
      <c r="FD543" s="101"/>
      <c r="FE543" s="108"/>
      <c r="FF543" s="8"/>
    </row>
    <row r="544" spans="50:162">
      <c r="AX544" s="99"/>
      <c r="AY544" s="99"/>
      <c r="AZ544" s="99"/>
      <c r="BH544" s="100"/>
      <c r="BI544" s="100"/>
      <c r="BJ544" s="100"/>
      <c r="BK544" s="101"/>
      <c r="BL544" s="80"/>
      <c r="BM544" s="102"/>
      <c r="BN544" s="102"/>
      <c r="BO544" s="103"/>
      <c r="BP544" s="104"/>
      <c r="BQ544" s="28"/>
      <c r="BR544" s="102"/>
      <c r="BS544" s="102"/>
      <c r="BT544" s="102"/>
      <c r="BU544" s="102"/>
      <c r="BV544" s="105"/>
      <c r="BW544" s="101"/>
      <c r="BX544" s="105"/>
      <c r="BY544" s="11"/>
      <c r="BZ544" s="106"/>
      <c r="CA544" s="101"/>
      <c r="CB544" s="107"/>
      <c r="CC544" s="11"/>
      <c r="CD544" s="101"/>
      <c r="CE544" s="108"/>
      <c r="CF544" s="8"/>
      <c r="DX544" s="99"/>
      <c r="DY544" s="99"/>
      <c r="DZ544" s="99"/>
      <c r="EH544" s="100"/>
      <c r="EI544" s="100"/>
      <c r="EJ544" s="100"/>
      <c r="EK544" s="101"/>
      <c r="EL544" s="80"/>
      <c r="EM544" s="102"/>
      <c r="EN544" s="102"/>
      <c r="EO544" s="103"/>
      <c r="EP544" s="104"/>
      <c r="EQ544" s="28"/>
      <c r="ER544" s="102"/>
      <c r="ES544" s="102"/>
      <c r="ET544" s="102"/>
      <c r="EU544" s="102"/>
      <c r="EV544" s="105"/>
      <c r="EW544" s="101"/>
      <c r="EX544" s="105"/>
      <c r="EY544" s="11"/>
      <c r="EZ544" s="106"/>
      <c r="FA544" s="101"/>
      <c r="FB544" s="107"/>
      <c r="FC544" s="11"/>
      <c r="FD544" s="101"/>
      <c r="FE544" s="108"/>
      <c r="FF544" s="8"/>
    </row>
    <row r="545" spans="50:162">
      <c r="AX545" s="99"/>
      <c r="AY545" s="99"/>
      <c r="AZ545" s="99"/>
      <c r="BH545" s="100"/>
      <c r="BI545" s="100"/>
      <c r="BJ545" s="100"/>
      <c r="BK545" s="101"/>
      <c r="BL545" s="80"/>
      <c r="BM545" s="102"/>
      <c r="BN545" s="102"/>
      <c r="BO545" s="103"/>
      <c r="BP545" s="104"/>
      <c r="BQ545" s="28"/>
      <c r="BR545" s="102"/>
      <c r="BS545" s="102"/>
      <c r="BT545" s="102"/>
      <c r="BU545" s="102"/>
      <c r="BV545" s="105"/>
      <c r="BW545" s="101"/>
      <c r="BX545" s="105"/>
      <c r="BY545" s="11"/>
      <c r="BZ545" s="106"/>
      <c r="CA545" s="101"/>
      <c r="CB545" s="107"/>
      <c r="CC545" s="11"/>
      <c r="CD545" s="101"/>
      <c r="CE545" s="108"/>
      <c r="CF545" s="8"/>
      <c r="DX545" s="99"/>
      <c r="DY545" s="99"/>
      <c r="DZ545" s="99"/>
      <c r="EH545" s="100"/>
      <c r="EI545" s="100"/>
      <c r="EJ545" s="100"/>
      <c r="EK545" s="101"/>
      <c r="EL545" s="80"/>
      <c r="EM545" s="102"/>
      <c r="EN545" s="102"/>
      <c r="EO545" s="103"/>
      <c r="EP545" s="104"/>
      <c r="EQ545" s="28"/>
      <c r="ER545" s="102"/>
      <c r="ES545" s="102"/>
      <c r="ET545" s="102"/>
      <c r="EU545" s="102"/>
      <c r="EV545" s="105"/>
      <c r="EW545" s="101"/>
      <c r="EX545" s="105"/>
      <c r="EY545" s="11"/>
      <c r="EZ545" s="106"/>
      <c r="FA545" s="101"/>
      <c r="FB545" s="107"/>
      <c r="FC545" s="11"/>
      <c r="FD545" s="101"/>
      <c r="FE545" s="108"/>
      <c r="FF545" s="8"/>
    </row>
    <row r="546" spans="50:162">
      <c r="AX546" s="99"/>
      <c r="AY546" s="99"/>
      <c r="AZ546" s="99"/>
      <c r="BH546" s="100"/>
      <c r="BI546" s="100"/>
      <c r="BJ546" s="100"/>
      <c r="BK546" s="101"/>
      <c r="BL546" s="80"/>
      <c r="BM546" s="102"/>
      <c r="BN546" s="102"/>
      <c r="BO546" s="103"/>
      <c r="BP546" s="104"/>
      <c r="BQ546" s="28"/>
      <c r="BR546" s="102"/>
      <c r="BS546" s="102"/>
      <c r="BT546" s="102"/>
      <c r="BU546" s="102"/>
      <c r="BV546" s="105"/>
      <c r="BW546" s="101"/>
      <c r="BX546" s="105"/>
      <c r="BY546" s="11"/>
      <c r="BZ546" s="106"/>
      <c r="CA546" s="101"/>
      <c r="CB546" s="107"/>
      <c r="CC546" s="11"/>
      <c r="CD546" s="101"/>
      <c r="CE546" s="108"/>
      <c r="CF546" s="8"/>
      <c r="DX546" s="99"/>
      <c r="DY546" s="99"/>
      <c r="DZ546" s="99"/>
      <c r="EH546" s="100"/>
      <c r="EI546" s="100"/>
      <c r="EJ546" s="100"/>
      <c r="EK546" s="101"/>
      <c r="EL546" s="80"/>
      <c r="EM546" s="102"/>
      <c r="EN546" s="102"/>
      <c r="EO546" s="103"/>
      <c r="EP546" s="104"/>
      <c r="EQ546" s="28"/>
      <c r="ER546" s="102"/>
      <c r="ES546" s="102"/>
      <c r="ET546" s="102"/>
      <c r="EU546" s="102"/>
      <c r="EV546" s="105"/>
      <c r="EW546" s="101"/>
      <c r="EX546" s="105"/>
      <c r="EY546" s="11"/>
      <c r="EZ546" s="106"/>
      <c r="FA546" s="101"/>
      <c r="FB546" s="107"/>
      <c r="FC546" s="11"/>
      <c r="FD546" s="101"/>
      <c r="FE546" s="108"/>
      <c r="FF546" s="8"/>
    </row>
    <row r="547" spans="50:162">
      <c r="AX547" s="99"/>
      <c r="AY547" s="99"/>
      <c r="AZ547" s="99"/>
      <c r="BH547" s="100"/>
      <c r="BI547" s="100"/>
      <c r="BJ547" s="100"/>
      <c r="BK547" s="101"/>
      <c r="BL547" s="80"/>
      <c r="BM547" s="102"/>
      <c r="BN547" s="102"/>
      <c r="BO547" s="103"/>
      <c r="BP547" s="104"/>
      <c r="BQ547" s="28"/>
      <c r="BR547" s="102"/>
      <c r="BS547" s="102"/>
      <c r="BT547" s="102"/>
      <c r="BU547" s="102"/>
      <c r="BV547" s="105"/>
      <c r="BW547" s="101"/>
      <c r="BX547" s="105"/>
      <c r="BY547" s="11"/>
      <c r="BZ547" s="106"/>
      <c r="CA547" s="101"/>
      <c r="CB547" s="107"/>
      <c r="CC547" s="11"/>
      <c r="CD547" s="101"/>
      <c r="CE547" s="108"/>
      <c r="CF547" s="8"/>
      <c r="DX547" s="99"/>
      <c r="DY547" s="99"/>
      <c r="DZ547" s="99"/>
      <c r="EH547" s="100"/>
      <c r="EI547" s="100"/>
      <c r="EJ547" s="100"/>
      <c r="EK547" s="101"/>
      <c r="EL547" s="80"/>
      <c r="EM547" s="102"/>
      <c r="EN547" s="102"/>
      <c r="EO547" s="103"/>
      <c r="EP547" s="104"/>
      <c r="EQ547" s="28"/>
      <c r="ER547" s="102"/>
      <c r="ES547" s="102"/>
      <c r="ET547" s="102"/>
      <c r="EU547" s="102"/>
      <c r="EV547" s="105"/>
      <c r="EW547" s="101"/>
      <c r="EX547" s="105"/>
      <c r="EY547" s="11"/>
      <c r="EZ547" s="106"/>
      <c r="FA547" s="101"/>
      <c r="FB547" s="107"/>
      <c r="FC547" s="11"/>
      <c r="FD547" s="101"/>
      <c r="FE547" s="108"/>
      <c r="FF547" s="8"/>
    </row>
    <row r="548" spans="50:162">
      <c r="AX548" s="99"/>
      <c r="AY548" s="99"/>
      <c r="AZ548" s="99"/>
      <c r="BH548" s="100"/>
      <c r="BI548" s="100"/>
      <c r="BJ548" s="100"/>
      <c r="BK548" s="101"/>
      <c r="BL548" s="80"/>
      <c r="BM548" s="102"/>
      <c r="BN548" s="102"/>
      <c r="BO548" s="103"/>
      <c r="BP548" s="104"/>
      <c r="BQ548" s="28"/>
      <c r="BR548" s="102"/>
      <c r="BS548" s="102"/>
      <c r="BT548" s="102"/>
      <c r="BU548" s="102"/>
      <c r="BV548" s="105"/>
      <c r="BW548" s="101"/>
      <c r="BX548" s="105"/>
      <c r="BY548" s="11"/>
      <c r="BZ548" s="106"/>
      <c r="CA548" s="101"/>
      <c r="CB548" s="107"/>
      <c r="CC548" s="11"/>
      <c r="CD548" s="101"/>
      <c r="CE548" s="108"/>
      <c r="CF548" s="8"/>
      <c r="DX548" s="99"/>
      <c r="DY548" s="99"/>
      <c r="DZ548" s="99"/>
      <c r="EH548" s="100"/>
      <c r="EI548" s="100"/>
      <c r="EJ548" s="100"/>
      <c r="EK548" s="101"/>
      <c r="EL548" s="80"/>
      <c r="EM548" s="102"/>
      <c r="EN548" s="102"/>
      <c r="EO548" s="103"/>
      <c r="EP548" s="104"/>
      <c r="EQ548" s="28"/>
      <c r="ER548" s="102"/>
      <c r="ES548" s="102"/>
      <c r="ET548" s="102"/>
      <c r="EU548" s="102"/>
      <c r="EV548" s="105"/>
      <c r="EW548" s="101"/>
      <c r="EX548" s="105"/>
      <c r="EY548" s="11"/>
      <c r="EZ548" s="106"/>
      <c r="FA548" s="101"/>
      <c r="FB548" s="107"/>
      <c r="FC548" s="11"/>
      <c r="FD548" s="101"/>
      <c r="FE548" s="108"/>
      <c r="FF548" s="8"/>
    </row>
    <row r="549" spans="50:162">
      <c r="AX549" s="99"/>
      <c r="AY549" s="99"/>
      <c r="AZ549" s="99"/>
      <c r="BH549" s="100"/>
      <c r="BI549" s="100"/>
      <c r="BJ549" s="100"/>
      <c r="BK549" s="101"/>
      <c r="BL549" s="80"/>
      <c r="BM549" s="102"/>
      <c r="BN549" s="102"/>
      <c r="BO549" s="103"/>
      <c r="BP549" s="104"/>
      <c r="BQ549" s="28"/>
      <c r="BR549" s="102"/>
      <c r="BS549" s="102"/>
      <c r="BT549" s="102"/>
      <c r="BU549" s="102"/>
      <c r="BV549" s="105"/>
      <c r="BW549" s="101"/>
      <c r="BX549" s="105"/>
      <c r="BY549" s="11"/>
      <c r="BZ549" s="106"/>
      <c r="CA549" s="101"/>
      <c r="CB549" s="107"/>
      <c r="CC549" s="11"/>
      <c r="CD549" s="101"/>
      <c r="CE549" s="108"/>
      <c r="CF549" s="8"/>
      <c r="DX549" s="99"/>
      <c r="DY549" s="99"/>
      <c r="DZ549" s="99"/>
      <c r="EH549" s="100"/>
      <c r="EI549" s="100"/>
      <c r="EJ549" s="100"/>
      <c r="EK549" s="101"/>
      <c r="EL549" s="80"/>
      <c r="EM549" s="102"/>
      <c r="EN549" s="102"/>
      <c r="EO549" s="103"/>
      <c r="EP549" s="104"/>
      <c r="EQ549" s="28"/>
      <c r="ER549" s="102"/>
      <c r="ES549" s="102"/>
      <c r="ET549" s="102"/>
      <c r="EU549" s="102"/>
      <c r="EV549" s="105"/>
      <c r="EW549" s="101"/>
      <c r="EX549" s="105"/>
      <c r="EY549" s="11"/>
      <c r="EZ549" s="106"/>
      <c r="FA549" s="101"/>
      <c r="FB549" s="107"/>
      <c r="FC549" s="11"/>
      <c r="FD549" s="101"/>
      <c r="FE549" s="108"/>
      <c r="FF549" s="8"/>
    </row>
    <row r="550" spans="50:162">
      <c r="AX550" s="99"/>
      <c r="AY550" s="99"/>
      <c r="AZ550" s="99"/>
      <c r="BH550" s="100"/>
      <c r="BI550" s="100"/>
      <c r="BJ550" s="100"/>
      <c r="BK550" s="101"/>
      <c r="BL550" s="80"/>
      <c r="BM550" s="102"/>
      <c r="BN550" s="102"/>
      <c r="BO550" s="103"/>
      <c r="BP550" s="104"/>
      <c r="BQ550" s="28"/>
      <c r="BR550" s="102"/>
      <c r="BS550" s="102"/>
      <c r="BT550" s="102"/>
      <c r="BU550" s="102"/>
      <c r="BV550" s="105"/>
      <c r="BW550" s="101"/>
      <c r="BX550" s="105"/>
      <c r="BY550" s="11"/>
      <c r="BZ550" s="106"/>
      <c r="CA550" s="101"/>
      <c r="CB550" s="107"/>
      <c r="CC550" s="11"/>
      <c r="CD550" s="101"/>
      <c r="CE550" s="108"/>
      <c r="CF550" s="8"/>
      <c r="DX550" s="99"/>
      <c r="DY550" s="99"/>
      <c r="DZ550" s="99"/>
      <c r="EH550" s="100"/>
      <c r="EI550" s="100"/>
      <c r="EJ550" s="100"/>
      <c r="EK550" s="101"/>
      <c r="EL550" s="80"/>
      <c r="EM550" s="102"/>
      <c r="EN550" s="102"/>
      <c r="EO550" s="103"/>
      <c r="EP550" s="104"/>
      <c r="EQ550" s="28"/>
      <c r="ER550" s="102"/>
      <c r="ES550" s="102"/>
      <c r="ET550" s="102"/>
      <c r="EU550" s="102"/>
      <c r="EV550" s="105"/>
      <c r="EW550" s="101"/>
      <c r="EX550" s="105"/>
      <c r="EY550" s="11"/>
      <c r="EZ550" s="106"/>
      <c r="FA550" s="101"/>
      <c r="FB550" s="107"/>
      <c r="FC550" s="11"/>
      <c r="FD550" s="101"/>
      <c r="FE550" s="108"/>
      <c r="FF550" s="8"/>
    </row>
    <row r="551" spans="50:162">
      <c r="AX551" s="99"/>
      <c r="AY551" s="99"/>
      <c r="AZ551" s="99"/>
      <c r="BH551" s="100"/>
      <c r="BI551" s="100"/>
      <c r="BJ551" s="100"/>
      <c r="BK551" s="101"/>
      <c r="BL551" s="80"/>
      <c r="BM551" s="102"/>
      <c r="BN551" s="102"/>
      <c r="BO551" s="103"/>
      <c r="BP551" s="104"/>
      <c r="BQ551" s="28"/>
      <c r="BR551" s="102"/>
      <c r="BS551" s="102"/>
      <c r="BT551" s="102"/>
      <c r="BU551" s="102"/>
      <c r="BV551" s="105"/>
      <c r="BW551" s="101"/>
      <c r="BX551" s="105"/>
      <c r="BY551" s="11"/>
      <c r="BZ551" s="106"/>
      <c r="CA551" s="101"/>
      <c r="CB551" s="107"/>
      <c r="CC551" s="11"/>
      <c r="CD551" s="101"/>
      <c r="CE551" s="108"/>
      <c r="CF551" s="8"/>
      <c r="DX551" s="99"/>
      <c r="DY551" s="99"/>
      <c r="DZ551" s="99"/>
      <c r="EH551" s="100"/>
      <c r="EI551" s="100"/>
      <c r="EJ551" s="100"/>
      <c r="EK551" s="101"/>
      <c r="EL551" s="80"/>
      <c r="EM551" s="102"/>
      <c r="EN551" s="102"/>
      <c r="EO551" s="103"/>
      <c r="EP551" s="104"/>
      <c r="EQ551" s="28"/>
      <c r="ER551" s="102"/>
      <c r="ES551" s="102"/>
      <c r="ET551" s="102"/>
      <c r="EU551" s="102"/>
      <c r="EV551" s="105"/>
      <c r="EW551" s="101"/>
      <c r="EX551" s="105"/>
      <c r="EY551" s="11"/>
      <c r="EZ551" s="106"/>
      <c r="FA551" s="101"/>
      <c r="FB551" s="107"/>
      <c r="FC551" s="11"/>
      <c r="FD551" s="101"/>
      <c r="FE551" s="108"/>
      <c r="FF551" s="8"/>
    </row>
    <row r="552" spans="50:162">
      <c r="AX552" s="99"/>
      <c r="AY552" s="99"/>
      <c r="AZ552" s="99"/>
      <c r="BH552" s="100"/>
      <c r="BI552" s="100"/>
      <c r="BJ552" s="100"/>
      <c r="BK552" s="101"/>
      <c r="BL552" s="80"/>
      <c r="BM552" s="102"/>
      <c r="BN552" s="102"/>
      <c r="BO552" s="103"/>
      <c r="BP552" s="104"/>
      <c r="BQ552" s="28"/>
      <c r="BR552" s="102"/>
      <c r="BS552" s="102"/>
      <c r="BT552" s="102"/>
      <c r="BU552" s="102"/>
      <c r="BV552" s="105"/>
      <c r="BW552" s="101"/>
      <c r="BX552" s="105"/>
      <c r="BY552" s="11"/>
      <c r="BZ552" s="106"/>
      <c r="CA552" s="101"/>
      <c r="CB552" s="107"/>
      <c r="CC552" s="11"/>
      <c r="CD552" s="101"/>
      <c r="CE552" s="108"/>
      <c r="CF552" s="8"/>
      <c r="DX552" s="99"/>
      <c r="DY552" s="99"/>
      <c r="DZ552" s="99"/>
      <c r="EH552" s="100"/>
      <c r="EI552" s="100"/>
      <c r="EJ552" s="100"/>
      <c r="EK552" s="101"/>
      <c r="EL552" s="80"/>
      <c r="EM552" s="102"/>
      <c r="EN552" s="102"/>
      <c r="EO552" s="103"/>
      <c r="EP552" s="104"/>
      <c r="EQ552" s="28"/>
      <c r="ER552" s="102"/>
      <c r="ES552" s="102"/>
      <c r="ET552" s="102"/>
      <c r="EU552" s="102"/>
      <c r="EV552" s="105"/>
      <c r="EW552" s="101"/>
      <c r="EX552" s="105"/>
      <c r="EY552" s="11"/>
      <c r="EZ552" s="106"/>
      <c r="FA552" s="101"/>
      <c r="FB552" s="107"/>
      <c r="FC552" s="11"/>
      <c r="FD552" s="101"/>
      <c r="FE552" s="108"/>
      <c r="FF552" s="8"/>
    </row>
    <row r="553" spans="50:162">
      <c r="AX553" s="99"/>
      <c r="AY553" s="99"/>
      <c r="AZ553" s="99"/>
      <c r="BH553" s="100"/>
      <c r="BI553" s="100"/>
      <c r="BJ553" s="100"/>
      <c r="BK553" s="101"/>
      <c r="BL553" s="80"/>
      <c r="BM553" s="102"/>
      <c r="BN553" s="102"/>
      <c r="BO553" s="103"/>
      <c r="BP553" s="104"/>
      <c r="BQ553" s="28"/>
      <c r="BR553" s="102"/>
      <c r="BS553" s="102"/>
      <c r="BT553" s="102"/>
      <c r="BU553" s="102"/>
      <c r="BV553" s="105"/>
      <c r="BW553" s="101"/>
      <c r="BX553" s="105"/>
      <c r="BY553" s="11"/>
      <c r="BZ553" s="106"/>
      <c r="CA553" s="101"/>
      <c r="CB553" s="107"/>
      <c r="CC553" s="11"/>
      <c r="CD553" s="101"/>
      <c r="CE553" s="108"/>
      <c r="CF553" s="8"/>
      <c r="DX553" s="99"/>
      <c r="DY553" s="99"/>
      <c r="DZ553" s="99"/>
      <c r="EH553" s="100"/>
      <c r="EI553" s="100"/>
      <c r="EJ553" s="100"/>
      <c r="EK553" s="101"/>
      <c r="EL553" s="80"/>
      <c r="EM553" s="102"/>
      <c r="EN553" s="102"/>
      <c r="EO553" s="103"/>
      <c r="EP553" s="104"/>
      <c r="EQ553" s="28"/>
      <c r="ER553" s="102"/>
      <c r="ES553" s="102"/>
      <c r="ET553" s="102"/>
      <c r="EU553" s="102"/>
      <c r="EV553" s="105"/>
      <c r="EW553" s="101"/>
      <c r="EX553" s="105"/>
      <c r="EY553" s="11"/>
      <c r="EZ553" s="106"/>
      <c r="FA553" s="101"/>
      <c r="FB553" s="107"/>
      <c r="FC553" s="11"/>
      <c r="FD553" s="101"/>
      <c r="FE553" s="108"/>
      <c r="FF553" s="8"/>
    </row>
    <row r="554" spans="50:162">
      <c r="AX554" s="99"/>
      <c r="AY554" s="99"/>
      <c r="AZ554" s="99"/>
      <c r="BH554" s="100"/>
      <c r="BI554" s="100"/>
      <c r="BJ554" s="100"/>
      <c r="BK554" s="101"/>
      <c r="BL554" s="80"/>
      <c r="BM554" s="102"/>
      <c r="BN554" s="102"/>
      <c r="BO554" s="103"/>
      <c r="BP554" s="104"/>
      <c r="BQ554" s="28"/>
      <c r="BR554" s="102"/>
      <c r="BS554" s="102"/>
      <c r="BT554" s="102"/>
      <c r="BU554" s="102"/>
      <c r="BV554" s="105"/>
      <c r="BW554" s="101"/>
      <c r="BX554" s="105"/>
      <c r="BY554" s="11"/>
      <c r="BZ554" s="106"/>
      <c r="CA554" s="101"/>
      <c r="CB554" s="107"/>
      <c r="CC554" s="11"/>
      <c r="CD554" s="101"/>
      <c r="CE554" s="108"/>
      <c r="CF554" s="8"/>
      <c r="DX554" s="99"/>
      <c r="DY554" s="99"/>
      <c r="DZ554" s="99"/>
      <c r="EH554" s="100"/>
      <c r="EI554" s="100"/>
      <c r="EJ554" s="100"/>
      <c r="EK554" s="101"/>
      <c r="EL554" s="80"/>
      <c r="EM554" s="102"/>
      <c r="EN554" s="102"/>
      <c r="EO554" s="103"/>
      <c r="EP554" s="104"/>
      <c r="EQ554" s="28"/>
      <c r="ER554" s="102"/>
      <c r="ES554" s="102"/>
      <c r="ET554" s="102"/>
      <c r="EU554" s="102"/>
      <c r="EV554" s="105"/>
      <c r="EW554" s="101"/>
      <c r="EX554" s="105"/>
      <c r="EY554" s="11"/>
      <c r="EZ554" s="106"/>
      <c r="FA554" s="101"/>
      <c r="FB554" s="107"/>
      <c r="FC554" s="11"/>
      <c r="FD554" s="101"/>
      <c r="FE554" s="108"/>
      <c r="FF554" s="8"/>
    </row>
    <row r="555" spans="50:162">
      <c r="AX555" s="99"/>
      <c r="AY555" s="99"/>
      <c r="AZ555" s="99"/>
      <c r="BH555" s="100"/>
      <c r="BI555" s="100"/>
      <c r="BJ555" s="100"/>
      <c r="BK555" s="101"/>
      <c r="BL555" s="80"/>
      <c r="BM555" s="102"/>
      <c r="BN555" s="102"/>
      <c r="BO555" s="103"/>
      <c r="BP555" s="104"/>
      <c r="BQ555" s="28"/>
      <c r="BR555" s="102"/>
      <c r="BS555" s="102"/>
      <c r="BT555" s="102"/>
      <c r="BU555" s="102"/>
      <c r="BV555" s="105"/>
      <c r="BW555" s="101"/>
      <c r="BX555" s="105"/>
      <c r="BY555" s="11"/>
      <c r="BZ555" s="106"/>
      <c r="CA555" s="101"/>
      <c r="CB555" s="107"/>
      <c r="CC555" s="11"/>
      <c r="CD555" s="101"/>
      <c r="CE555" s="108"/>
      <c r="CF555" s="8"/>
      <c r="DX555" s="99"/>
      <c r="DY555" s="99"/>
      <c r="DZ555" s="99"/>
      <c r="EH555" s="100"/>
      <c r="EI555" s="100"/>
      <c r="EJ555" s="100"/>
      <c r="EK555" s="101"/>
      <c r="EL555" s="80"/>
      <c r="EM555" s="102"/>
      <c r="EN555" s="102"/>
      <c r="EO555" s="103"/>
      <c r="EP555" s="104"/>
      <c r="EQ555" s="28"/>
      <c r="ER555" s="102"/>
      <c r="ES555" s="102"/>
      <c r="ET555" s="102"/>
      <c r="EU555" s="102"/>
      <c r="EV555" s="105"/>
      <c r="EW555" s="101"/>
      <c r="EX555" s="105"/>
      <c r="EY555" s="11"/>
      <c r="EZ555" s="106"/>
      <c r="FA555" s="101"/>
      <c r="FB555" s="107"/>
      <c r="FC555" s="11"/>
      <c r="FD555" s="101"/>
      <c r="FE555" s="108"/>
      <c r="FF555" s="8"/>
    </row>
    <row r="556" spans="50:162">
      <c r="AX556" s="99"/>
      <c r="AY556" s="99"/>
      <c r="AZ556" s="99"/>
      <c r="BH556" s="100"/>
      <c r="BI556" s="100"/>
      <c r="BJ556" s="100"/>
      <c r="BK556" s="101"/>
      <c r="BL556" s="80"/>
      <c r="BM556" s="102"/>
      <c r="BN556" s="102"/>
      <c r="BO556" s="103"/>
      <c r="BP556" s="104"/>
      <c r="BQ556" s="28"/>
      <c r="BR556" s="102"/>
      <c r="BS556" s="102"/>
      <c r="BT556" s="102"/>
      <c r="BU556" s="102"/>
      <c r="BV556" s="105"/>
      <c r="BW556" s="101"/>
      <c r="BX556" s="105"/>
      <c r="BY556" s="11"/>
      <c r="BZ556" s="106"/>
      <c r="CA556" s="101"/>
      <c r="CB556" s="107"/>
      <c r="CC556" s="11"/>
      <c r="CD556" s="101"/>
      <c r="CE556" s="108"/>
      <c r="CF556" s="8"/>
      <c r="DX556" s="99"/>
      <c r="DY556" s="99"/>
      <c r="DZ556" s="99"/>
      <c r="EH556" s="100"/>
      <c r="EI556" s="100"/>
      <c r="EJ556" s="100"/>
      <c r="EK556" s="101"/>
      <c r="EL556" s="80"/>
      <c r="EM556" s="102"/>
      <c r="EN556" s="102"/>
      <c r="EO556" s="103"/>
      <c r="EP556" s="104"/>
      <c r="EQ556" s="28"/>
      <c r="ER556" s="102"/>
      <c r="ES556" s="102"/>
      <c r="ET556" s="102"/>
      <c r="EU556" s="102"/>
      <c r="EV556" s="105"/>
      <c r="EW556" s="101"/>
      <c r="EX556" s="105"/>
      <c r="EY556" s="11"/>
      <c r="EZ556" s="106"/>
      <c r="FA556" s="101"/>
      <c r="FB556" s="107"/>
      <c r="FC556" s="11"/>
      <c r="FD556" s="101"/>
      <c r="FE556" s="108"/>
      <c r="FF556" s="8"/>
    </row>
    <row r="557" spans="50:162">
      <c r="AX557" s="99"/>
      <c r="AY557" s="99"/>
      <c r="AZ557" s="99"/>
      <c r="BH557" s="100"/>
      <c r="BI557" s="100"/>
      <c r="BJ557" s="100"/>
      <c r="BK557" s="101"/>
      <c r="BL557" s="80"/>
      <c r="BM557" s="102"/>
      <c r="BN557" s="102"/>
      <c r="BO557" s="103"/>
      <c r="BP557" s="104"/>
      <c r="BQ557" s="28"/>
      <c r="BR557" s="102"/>
      <c r="BS557" s="102"/>
      <c r="BT557" s="102"/>
      <c r="BU557" s="102"/>
      <c r="BV557" s="105"/>
      <c r="BW557" s="101"/>
      <c r="BX557" s="105"/>
      <c r="BY557" s="11"/>
      <c r="BZ557" s="106"/>
      <c r="CA557" s="101"/>
      <c r="CB557" s="107"/>
      <c r="CC557" s="11"/>
      <c r="CD557" s="101"/>
      <c r="CE557" s="108"/>
      <c r="CF557" s="8"/>
      <c r="DX557" s="99"/>
      <c r="DY557" s="99"/>
      <c r="DZ557" s="99"/>
      <c r="EH557" s="100"/>
      <c r="EI557" s="100"/>
      <c r="EJ557" s="100"/>
      <c r="EK557" s="101"/>
      <c r="EL557" s="80"/>
      <c r="EM557" s="102"/>
      <c r="EN557" s="102"/>
      <c r="EO557" s="103"/>
      <c r="EP557" s="104"/>
      <c r="EQ557" s="28"/>
      <c r="ER557" s="102"/>
      <c r="ES557" s="102"/>
      <c r="ET557" s="102"/>
      <c r="EU557" s="102"/>
      <c r="EV557" s="105"/>
      <c r="EW557" s="101"/>
      <c r="EX557" s="105"/>
      <c r="EY557" s="11"/>
      <c r="EZ557" s="106"/>
      <c r="FA557" s="101"/>
      <c r="FB557" s="107"/>
      <c r="FC557" s="11"/>
      <c r="FD557" s="101"/>
      <c r="FE557" s="108"/>
      <c r="FF557" s="8"/>
    </row>
    <row r="558" spans="50:162">
      <c r="AX558" s="99"/>
      <c r="AY558" s="99"/>
      <c r="AZ558" s="99"/>
      <c r="BH558" s="100"/>
      <c r="BI558" s="100"/>
      <c r="BJ558" s="100"/>
      <c r="BK558" s="101"/>
      <c r="BL558" s="80"/>
      <c r="BM558" s="102"/>
      <c r="BN558" s="102"/>
      <c r="BO558" s="103"/>
      <c r="BP558" s="104"/>
      <c r="BQ558" s="28"/>
      <c r="BR558" s="102"/>
      <c r="BS558" s="102"/>
      <c r="BT558" s="102"/>
      <c r="BU558" s="102"/>
      <c r="BV558" s="105"/>
      <c r="BW558" s="101"/>
      <c r="BX558" s="105"/>
      <c r="BY558" s="11"/>
      <c r="BZ558" s="106"/>
      <c r="CA558" s="101"/>
      <c r="CB558" s="107"/>
      <c r="CC558" s="11"/>
      <c r="CD558" s="101"/>
      <c r="CE558" s="108"/>
      <c r="CF558" s="8"/>
      <c r="DX558" s="99"/>
      <c r="DY558" s="99"/>
      <c r="DZ558" s="99"/>
      <c r="EH558" s="100"/>
      <c r="EI558" s="100"/>
      <c r="EJ558" s="100"/>
      <c r="EK558" s="101"/>
      <c r="EL558" s="80"/>
      <c r="EM558" s="102"/>
      <c r="EN558" s="102"/>
      <c r="EO558" s="103"/>
      <c r="EP558" s="104"/>
      <c r="EQ558" s="28"/>
      <c r="ER558" s="102"/>
      <c r="ES558" s="102"/>
      <c r="ET558" s="102"/>
      <c r="EU558" s="102"/>
      <c r="EV558" s="105"/>
      <c r="EW558" s="101"/>
      <c r="EX558" s="105"/>
      <c r="EY558" s="11"/>
      <c r="EZ558" s="106"/>
      <c r="FA558" s="101"/>
      <c r="FB558" s="107"/>
      <c r="FC558" s="11"/>
      <c r="FD558" s="101"/>
      <c r="FE558" s="108"/>
      <c r="FF558" s="8"/>
    </row>
    <row r="559" spans="50:162">
      <c r="AX559" s="99"/>
      <c r="AY559" s="99"/>
      <c r="AZ559" s="99"/>
      <c r="BH559" s="100"/>
      <c r="BI559" s="100"/>
      <c r="BJ559" s="100"/>
      <c r="BK559" s="101"/>
      <c r="BL559" s="80"/>
      <c r="BM559" s="102"/>
      <c r="BN559" s="102"/>
      <c r="BO559" s="103"/>
      <c r="BP559" s="104"/>
      <c r="BQ559" s="28"/>
      <c r="BR559" s="102"/>
      <c r="BS559" s="102"/>
      <c r="BT559" s="102"/>
      <c r="BU559" s="102"/>
      <c r="BV559" s="105"/>
      <c r="BW559" s="101"/>
      <c r="BX559" s="105"/>
      <c r="BY559" s="11"/>
      <c r="BZ559" s="106"/>
      <c r="CA559" s="101"/>
      <c r="CB559" s="107"/>
      <c r="CC559" s="11"/>
      <c r="CD559" s="101"/>
      <c r="CE559" s="108"/>
      <c r="CF559" s="8"/>
      <c r="DX559" s="99"/>
      <c r="DY559" s="99"/>
      <c r="DZ559" s="99"/>
      <c r="EH559" s="100"/>
      <c r="EI559" s="100"/>
      <c r="EJ559" s="100"/>
      <c r="EK559" s="101"/>
      <c r="EL559" s="80"/>
      <c r="EM559" s="102"/>
      <c r="EN559" s="102"/>
      <c r="EO559" s="103"/>
      <c r="EP559" s="104"/>
      <c r="EQ559" s="28"/>
      <c r="ER559" s="102"/>
      <c r="ES559" s="102"/>
      <c r="ET559" s="102"/>
      <c r="EU559" s="102"/>
      <c r="EV559" s="105"/>
      <c r="EW559" s="101"/>
      <c r="EX559" s="105"/>
      <c r="EY559" s="11"/>
      <c r="EZ559" s="106"/>
      <c r="FA559" s="101"/>
      <c r="FB559" s="107"/>
      <c r="FC559" s="11"/>
      <c r="FD559" s="101"/>
      <c r="FE559" s="108"/>
      <c r="FF559" s="8"/>
    </row>
    <row r="560" spans="50:162">
      <c r="AX560" s="99"/>
      <c r="AY560" s="99"/>
      <c r="AZ560" s="99"/>
      <c r="BH560" s="100"/>
      <c r="BI560" s="100"/>
      <c r="BJ560" s="100"/>
      <c r="BK560" s="101"/>
      <c r="BL560" s="80"/>
      <c r="BM560" s="102"/>
      <c r="BN560" s="102"/>
      <c r="BO560" s="103"/>
      <c r="BP560" s="104"/>
      <c r="BQ560" s="28"/>
      <c r="BR560" s="102"/>
      <c r="BS560" s="102"/>
      <c r="BT560" s="102"/>
      <c r="BU560" s="102"/>
      <c r="BV560" s="105"/>
      <c r="BW560" s="101"/>
      <c r="BX560" s="105"/>
      <c r="BY560" s="11"/>
      <c r="BZ560" s="106"/>
      <c r="CA560" s="101"/>
      <c r="CB560" s="107"/>
      <c r="CC560" s="11"/>
      <c r="CD560" s="101"/>
      <c r="CE560" s="108"/>
      <c r="CF560" s="8"/>
      <c r="DX560" s="99"/>
      <c r="DY560" s="99"/>
      <c r="DZ560" s="99"/>
      <c r="EH560" s="100"/>
      <c r="EI560" s="100"/>
      <c r="EJ560" s="100"/>
      <c r="EK560" s="101"/>
      <c r="EL560" s="80"/>
      <c r="EM560" s="102"/>
      <c r="EN560" s="102"/>
      <c r="EO560" s="103"/>
      <c r="EP560" s="104"/>
      <c r="EQ560" s="28"/>
      <c r="ER560" s="102"/>
      <c r="ES560" s="102"/>
      <c r="ET560" s="102"/>
      <c r="EU560" s="102"/>
      <c r="EV560" s="105"/>
      <c r="EW560" s="101"/>
      <c r="EX560" s="105"/>
      <c r="EY560" s="11"/>
      <c r="EZ560" s="106"/>
      <c r="FA560" s="101"/>
      <c r="FB560" s="107"/>
      <c r="FC560" s="11"/>
      <c r="FD560" s="101"/>
      <c r="FE560" s="108"/>
      <c r="FF560" s="8"/>
    </row>
    <row r="561" spans="50:162">
      <c r="AX561" s="99"/>
      <c r="AY561" s="99"/>
      <c r="AZ561" s="99"/>
      <c r="BH561" s="100"/>
      <c r="BI561" s="100"/>
      <c r="BJ561" s="100"/>
      <c r="BK561" s="101"/>
      <c r="BL561" s="80"/>
      <c r="BM561" s="102"/>
      <c r="BN561" s="102"/>
      <c r="BO561" s="103"/>
      <c r="BP561" s="104"/>
      <c r="BQ561" s="28"/>
      <c r="BR561" s="102"/>
      <c r="BS561" s="102"/>
      <c r="BT561" s="102"/>
      <c r="BU561" s="102"/>
      <c r="BV561" s="105"/>
      <c r="BW561" s="101"/>
      <c r="BX561" s="105"/>
      <c r="BY561" s="11"/>
      <c r="BZ561" s="106"/>
      <c r="CA561" s="101"/>
      <c r="CB561" s="107"/>
      <c r="CC561" s="11"/>
      <c r="CD561" s="101"/>
      <c r="CE561" s="108"/>
      <c r="CF561" s="8"/>
      <c r="DX561" s="99"/>
      <c r="DY561" s="99"/>
      <c r="DZ561" s="99"/>
      <c r="EH561" s="100"/>
      <c r="EI561" s="100"/>
      <c r="EJ561" s="100"/>
      <c r="EK561" s="101"/>
      <c r="EL561" s="80"/>
      <c r="EM561" s="102"/>
      <c r="EN561" s="102"/>
      <c r="EO561" s="103"/>
      <c r="EP561" s="104"/>
      <c r="EQ561" s="28"/>
      <c r="ER561" s="102"/>
      <c r="ES561" s="102"/>
      <c r="ET561" s="102"/>
      <c r="EU561" s="102"/>
      <c r="EV561" s="105"/>
      <c r="EW561" s="101"/>
      <c r="EX561" s="105"/>
      <c r="EY561" s="11"/>
      <c r="EZ561" s="106"/>
      <c r="FA561" s="101"/>
      <c r="FB561" s="107"/>
      <c r="FC561" s="11"/>
      <c r="FD561" s="101"/>
      <c r="FE561" s="108"/>
      <c r="FF561" s="8"/>
    </row>
    <row r="562" spans="50:162">
      <c r="AX562" s="99"/>
      <c r="AY562" s="99"/>
      <c r="AZ562" s="99"/>
      <c r="BH562" s="100"/>
      <c r="BI562" s="100"/>
      <c r="BJ562" s="100"/>
      <c r="BK562" s="101"/>
      <c r="BL562" s="80"/>
      <c r="BM562" s="102"/>
      <c r="BN562" s="102"/>
      <c r="BO562" s="103"/>
      <c r="BP562" s="104"/>
      <c r="BQ562" s="28"/>
      <c r="BR562" s="102"/>
      <c r="BS562" s="102"/>
      <c r="BT562" s="102"/>
      <c r="BU562" s="102"/>
      <c r="BV562" s="105"/>
      <c r="BW562" s="101"/>
      <c r="BX562" s="105"/>
      <c r="BY562" s="11"/>
      <c r="BZ562" s="106"/>
      <c r="CA562" s="101"/>
      <c r="CB562" s="107"/>
      <c r="CC562" s="11"/>
      <c r="CD562" s="101"/>
      <c r="CE562" s="108"/>
      <c r="CF562" s="8"/>
      <c r="DX562" s="99"/>
      <c r="DY562" s="99"/>
      <c r="DZ562" s="99"/>
      <c r="EH562" s="100"/>
      <c r="EI562" s="100"/>
      <c r="EJ562" s="100"/>
      <c r="EK562" s="101"/>
      <c r="EL562" s="80"/>
      <c r="EM562" s="102"/>
      <c r="EN562" s="102"/>
      <c r="EO562" s="103"/>
      <c r="EP562" s="104"/>
      <c r="EQ562" s="28"/>
      <c r="ER562" s="102"/>
      <c r="ES562" s="102"/>
      <c r="ET562" s="102"/>
      <c r="EU562" s="102"/>
      <c r="EV562" s="105"/>
      <c r="EW562" s="101"/>
      <c r="EX562" s="105"/>
      <c r="EY562" s="11"/>
      <c r="EZ562" s="106"/>
      <c r="FA562" s="101"/>
      <c r="FB562" s="107"/>
      <c r="FC562" s="11"/>
      <c r="FD562" s="101"/>
      <c r="FE562" s="108"/>
      <c r="FF562" s="8"/>
    </row>
    <row r="563" spans="50:162">
      <c r="AX563" s="99"/>
      <c r="AY563" s="99"/>
      <c r="AZ563" s="99"/>
      <c r="BH563" s="100"/>
      <c r="BI563" s="100"/>
      <c r="BJ563" s="100"/>
      <c r="BK563" s="101"/>
      <c r="BL563" s="80"/>
      <c r="BM563" s="102"/>
      <c r="BN563" s="102"/>
      <c r="BO563" s="103"/>
      <c r="BP563" s="104"/>
      <c r="BQ563" s="28"/>
      <c r="BR563" s="102"/>
      <c r="BS563" s="102"/>
      <c r="BT563" s="102"/>
      <c r="BU563" s="102"/>
      <c r="BV563" s="105"/>
      <c r="BW563" s="101"/>
      <c r="BX563" s="105"/>
      <c r="BY563" s="11"/>
      <c r="BZ563" s="106"/>
      <c r="CA563" s="101"/>
      <c r="CB563" s="107"/>
      <c r="CC563" s="11"/>
      <c r="CD563" s="101"/>
      <c r="CE563" s="108"/>
      <c r="CF563" s="8"/>
      <c r="DX563" s="99"/>
      <c r="DY563" s="99"/>
      <c r="DZ563" s="99"/>
      <c r="EH563" s="100"/>
      <c r="EI563" s="100"/>
      <c r="EJ563" s="100"/>
      <c r="EK563" s="101"/>
      <c r="EL563" s="80"/>
      <c r="EM563" s="102"/>
      <c r="EN563" s="102"/>
      <c r="EO563" s="103"/>
      <c r="EP563" s="104"/>
      <c r="EQ563" s="28"/>
      <c r="ER563" s="102"/>
      <c r="ES563" s="102"/>
      <c r="ET563" s="102"/>
      <c r="EU563" s="102"/>
      <c r="EV563" s="105"/>
      <c r="EW563" s="101"/>
      <c r="EX563" s="105"/>
      <c r="EY563" s="11"/>
      <c r="EZ563" s="106"/>
      <c r="FA563" s="101"/>
      <c r="FB563" s="107"/>
      <c r="FC563" s="11"/>
      <c r="FD563" s="101"/>
      <c r="FE563" s="108"/>
      <c r="FF563" s="8"/>
    </row>
    <row r="564" spans="50:162">
      <c r="AX564" s="99"/>
      <c r="AY564" s="99"/>
      <c r="AZ564" s="99"/>
      <c r="BH564" s="100"/>
      <c r="BI564" s="100"/>
      <c r="BJ564" s="100"/>
      <c r="BK564" s="101"/>
      <c r="BL564" s="80"/>
      <c r="BM564" s="102"/>
      <c r="BN564" s="102"/>
      <c r="BO564" s="103"/>
      <c r="BP564" s="104"/>
      <c r="BQ564" s="28"/>
      <c r="BR564" s="102"/>
      <c r="BS564" s="102"/>
      <c r="BT564" s="102"/>
      <c r="BU564" s="102"/>
      <c r="BV564" s="105"/>
      <c r="BW564" s="101"/>
      <c r="BX564" s="105"/>
      <c r="BY564" s="11"/>
      <c r="BZ564" s="106"/>
      <c r="CA564" s="101"/>
      <c r="CB564" s="107"/>
      <c r="CC564" s="11"/>
      <c r="CD564" s="101"/>
      <c r="CE564" s="108"/>
      <c r="CF564" s="8"/>
      <c r="DX564" s="99"/>
      <c r="DY564" s="99"/>
      <c r="DZ564" s="99"/>
      <c r="EH564" s="100"/>
      <c r="EI564" s="100"/>
      <c r="EJ564" s="100"/>
      <c r="EK564" s="101"/>
      <c r="EL564" s="80"/>
      <c r="EM564" s="102"/>
      <c r="EN564" s="102"/>
      <c r="EO564" s="103"/>
      <c r="EP564" s="104"/>
      <c r="EQ564" s="28"/>
      <c r="ER564" s="102"/>
      <c r="ES564" s="102"/>
      <c r="ET564" s="102"/>
      <c r="EU564" s="102"/>
      <c r="EV564" s="105"/>
      <c r="EW564" s="101"/>
      <c r="EX564" s="105"/>
      <c r="EY564" s="11"/>
      <c r="EZ564" s="106"/>
      <c r="FA564" s="101"/>
      <c r="FB564" s="107"/>
      <c r="FC564" s="11"/>
      <c r="FD564" s="101"/>
      <c r="FE564" s="108"/>
      <c r="FF564" s="8"/>
    </row>
    <row r="565" spans="50:162">
      <c r="AX565" s="99"/>
      <c r="AY565" s="99"/>
      <c r="AZ565" s="99"/>
      <c r="BH565" s="100"/>
      <c r="BI565" s="100"/>
      <c r="BJ565" s="100"/>
      <c r="BK565" s="101"/>
      <c r="BL565" s="80"/>
      <c r="BM565" s="102"/>
      <c r="BN565" s="102"/>
      <c r="BO565" s="103"/>
      <c r="BP565" s="104"/>
      <c r="BQ565" s="28"/>
      <c r="BR565" s="102"/>
      <c r="BS565" s="102"/>
      <c r="BT565" s="102"/>
      <c r="BU565" s="102"/>
      <c r="BV565" s="105"/>
      <c r="BW565" s="101"/>
      <c r="BX565" s="105"/>
      <c r="BY565" s="11"/>
      <c r="BZ565" s="106"/>
      <c r="CA565" s="101"/>
      <c r="CB565" s="107"/>
      <c r="CC565" s="11"/>
      <c r="CD565" s="101"/>
      <c r="CE565" s="108"/>
      <c r="CF565" s="8"/>
      <c r="DX565" s="99"/>
      <c r="DY565" s="99"/>
      <c r="DZ565" s="99"/>
      <c r="EH565" s="100"/>
      <c r="EI565" s="100"/>
      <c r="EJ565" s="100"/>
      <c r="EK565" s="101"/>
      <c r="EL565" s="80"/>
      <c r="EM565" s="102"/>
      <c r="EN565" s="102"/>
      <c r="EO565" s="103"/>
      <c r="EP565" s="104"/>
      <c r="EQ565" s="28"/>
      <c r="ER565" s="102"/>
      <c r="ES565" s="102"/>
      <c r="ET565" s="102"/>
      <c r="EU565" s="102"/>
      <c r="EV565" s="105"/>
      <c r="EW565" s="101"/>
      <c r="EX565" s="105"/>
      <c r="EY565" s="11"/>
      <c r="EZ565" s="106"/>
      <c r="FA565" s="101"/>
      <c r="FB565" s="107"/>
      <c r="FC565" s="11"/>
      <c r="FD565" s="101"/>
      <c r="FE565" s="108"/>
      <c r="FF565" s="8"/>
    </row>
    <row r="566" spans="50:162">
      <c r="AX566" s="99"/>
      <c r="AY566" s="99"/>
      <c r="AZ566" s="99"/>
      <c r="BH566" s="100"/>
      <c r="BI566" s="100"/>
      <c r="BJ566" s="100"/>
      <c r="BK566" s="101"/>
      <c r="BL566" s="80"/>
      <c r="BM566" s="102"/>
      <c r="BN566" s="102"/>
      <c r="BO566" s="103"/>
      <c r="BP566" s="104"/>
      <c r="BQ566" s="28"/>
      <c r="BR566" s="102"/>
      <c r="BS566" s="102"/>
      <c r="BT566" s="102"/>
      <c r="BU566" s="102"/>
      <c r="BV566" s="105"/>
      <c r="BW566" s="101"/>
      <c r="BX566" s="105"/>
      <c r="BY566" s="11"/>
      <c r="BZ566" s="106"/>
      <c r="CA566" s="101"/>
      <c r="CB566" s="107"/>
      <c r="CC566" s="11"/>
      <c r="CD566" s="101"/>
      <c r="CE566" s="108"/>
      <c r="CF566" s="8"/>
      <c r="DX566" s="99"/>
      <c r="DY566" s="99"/>
      <c r="DZ566" s="99"/>
      <c r="EH566" s="100"/>
      <c r="EI566" s="100"/>
      <c r="EJ566" s="100"/>
      <c r="EK566" s="101"/>
      <c r="EL566" s="80"/>
      <c r="EM566" s="102"/>
      <c r="EN566" s="102"/>
      <c r="EO566" s="103"/>
      <c r="EP566" s="104"/>
      <c r="EQ566" s="28"/>
      <c r="ER566" s="102"/>
      <c r="ES566" s="102"/>
      <c r="ET566" s="102"/>
      <c r="EU566" s="102"/>
      <c r="EV566" s="105"/>
      <c r="EW566" s="101"/>
      <c r="EX566" s="105"/>
      <c r="EY566" s="11"/>
      <c r="EZ566" s="106"/>
      <c r="FA566" s="101"/>
      <c r="FB566" s="107"/>
      <c r="FC566" s="11"/>
      <c r="FD566" s="101"/>
      <c r="FE566" s="108"/>
      <c r="FF566" s="8"/>
    </row>
    <row r="567" spans="50:162">
      <c r="AX567" s="99"/>
      <c r="AY567" s="99"/>
      <c r="AZ567" s="99"/>
      <c r="BH567" s="100"/>
      <c r="BI567" s="100"/>
      <c r="BJ567" s="100"/>
      <c r="BK567" s="101"/>
      <c r="BL567" s="80"/>
      <c r="BM567" s="102"/>
      <c r="BN567" s="102"/>
      <c r="BO567" s="103"/>
      <c r="BP567" s="104"/>
      <c r="BQ567" s="28"/>
      <c r="BR567" s="102"/>
      <c r="BS567" s="102"/>
      <c r="BT567" s="102"/>
      <c r="BU567" s="102"/>
      <c r="BV567" s="105"/>
      <c r="BW567" s="101"/>
      <c r="BX567" s="105"/>
      <c r="BY567" s="11"/>
      <c r="BZ567" s="106"/>
      <c r="CA567" s="101"/>
      <c r="CB567" s="107"/>
      <c r="CC567" s="11"/>
      <c r="CD567" s="101"/>
      <c r="CE567" s="108"/>
      <c r="CF567" s="8"/>
      <c r="DX567" s="99"/>
      <c r="DY567" s="99"/>
      <c r="DZ567" s="99"/>
      <c r="EH567" s="100"/>
      <c r="EI567" s="100"/>
      <c r="EJ567" s="100"/>
      <c r="EK567" s="101"/>
      <c r="EL567" s="80"/>
      <c r="EM567" s="102"/>
      <c r="EN567" s="102"/>
      <c r="EO567" s="103"/>
      <c r="EP567" s="104"/>
      <c r="EQ567" s="28"/>
      <c r="ER567" s="102"/>
      <c r="ES567" s="102"/>
      <c r="ET567" s="102"/>
      <c r="EU567" s="102"/>
      <c r="EV567" s="105"/>
      <c r="EW567" s="101"/>
      <c r="EX567" s="105"/>
      <c r="EY567" s="11"/>
      <c r="EZ567" s="106"/>
      <c r="FA567" s="101"/>
      <c r="FB567" s="107"/>
      <c r="FC567" s="11"/>
      <c r="FD567" s="101"/>
      <c r="FE567" s="108"/>
      <c r="FF567" s="8"/>
    </row>
    <row r="568" spans="50:162">
      <c r="AX568" s="99"/>
      <c r="AY568" s="99"/>
      <c r="AZ568" s="99"/>
      <c r="BH568" s="100"/>
      <c r="BI568" s="100"/>
      <c r="BJ568" s="100"/>
      <c r="BK568" s="101"/>
      <c r="BL568" s="80"/>
      <c r="BM568" s="102"/>
      <c r="BN568" s="102"/>
      <c r="BO568" s="103"/>
      <c r="BP568" s="104"/>
      <c r="BQ568" s="28"/>
      <c r="BR568" s="102"/>
      <c r="BS568" s="102"/>
      <c r="BT568" s="102"/>
      <c r="BU568" s="102"/>
      <c r="BV568" s="105"/>
      <c r="BW568" s="101"/>
      <c r="BX568" s="105"/>
      <c r="BY568" s="11"/>
      <c r="BZ568" s="106"/>
      <c r="CA568" s="101"/>
      <c r="CB568" s="107"/>
      <c r="CC568" s="11"/>
      <c r="CD568" s="101"/>
      <c r="CE568" s="108"/>
      <c r="CF568" s="8"/>
      <c r="DX568" s="99"/>
      <c r="DY568" s="99"/>
      <c r="DZ568" s="99"/>
      <c r="EH568" s="100"/>
      <c r="EI568" s="100"/>
      <c r="EJ568" s="100"/>
      <c r="EK568" s="101"/>
      <c r="EL568" s="80"/>
      <c r="EM568" s="102"/>
      <c r="EN568" s="102"/>
      <c r="EO568" s="103"/>
      <c r="EP568" s="104"/>
      <c r="EQ568" s="28"/>
      <c r="ER568" s="102"/>
      <c r="ES568" s="102"/>
      <c r="ET568" s="102"/>
      <c r="EU568" s="102"/>
      <c r="EV568" s="105"/>
      <c r="EW568" s="101"/>
      <c r="EX568" s="105"/>
      <c r="EY568" s="11"/>
      <c r="EZ568" s="106"/>
      <c r="FA568" s="101"/>
      <c r="FB568" s="107"/>
      <c r="FC568" s="11"/>
      <c r="FD568" s="101"/>
      <c r="FE568" s="108"/>
      <c r="FF568" s="8"/>
    </row>
    <row r="569" spans="50:162">
      <c r="AX569" s="99"/>
      <c r="AY569" s="99"/>
      <c r="AZ569" s="99"/>
      <c r="BH569" s="100"/>
      <c r="BI569" s="100"/>
      <c r="BJ569" s="100"/>
      <c r="BK569" s="101"/>
      <c r="BL569" s="80"/>
      <c r="BM569" s="102"/>
      <c r="BN569" s="102"/>
      <c r="BO569" s="103"/>
      <c r="BP569" s="104"/>
      <c r="BQ569" s="28"/>
      <c r="BR569" s="102"/>
      <c r="BS569" s="102"/>
      <c r="BT569" s="102"/>
      <c r="BU569" s="102"/>
      <c r="BV569" s="105"/>
      <c r="BW569" s="101"/>
      <c r="BX569" s="105"/>
      <c r="BY569" s="11"/>
      <c r="BZ569" s="106"/>
      <c r="CA569" s="101"/>
      <c r="CB569" s="107"/>
      <c r="CC569" s="11"/>
      <c r="CD569" s="101"/>
      <c r="CE569" s="108"/>
      <c r="CF569" s="8"/>
      <c r="DX569" s="99"/>
      <c r="DY569" s="99"/>
      <c r="DZ569" s="99"/>
      <c r="EH569" s="100"/>
      <c r="EI569" s="100"/>
      <c r="EJ569" s="100"/>
      <c r="EK569" s="101"/>
      <c r="EL569" s="80"/>
      <c r="EM569" s="102"/>
      <c r="EN569" s="102"/>
      <c r="EO569" s="103"/>
      <c r="EP569" s="104"/>
      <c r="EQ569" s="28"/>
      <c r="ER569" s="102"/>
      <c r="ES569" s="102"/>
      <c r="ET569" s="102"/>
      <c r="EU569" s="102"/>
      <c r="EV569" s="105"/>
      <c r="EW569" s="101"/>
      <c r="EX569" s="105"/>
      <c r="EY569" s="11"/>
      <c r="EZ569" s="106"/>
      <c r="FA569" s="101"/>
      <c r="FB569" s="107"/>
      <c r="FC569" s="11"/>
      <c r="FD569" s="101"/>
      <c r="FE569" s="108"/>
      <c r="FF569" s="8"/>
    </row>
    <row r="570" spans="50:162">
      <c r="AX570" s="99"/>
      <c r="AY570" s="99"/>
      <c r="AZ570" s="99"/>
      <c r="BH570" s="100"/>
      <c r="BI570" s="100"/>
      <c r="BJ570" s="100"/>
      <c r="BK570" s="101"/>
      <c r="BL570" s="80"/>
      <c r="BM570" s="102"/>
      <c r="BN570" s="102"/>
      <c r="BO570" s="103"/>
      <c r="BP570" s="104"/>
      <c r="BQ570" s="28"/>
      <c r="BR570" s="102"/>
      <c r="BS570" s="102"/>
      <c r="BT570" s="102"/>
      <c r="BU570" s="102"/>
      <c r="BV570" s="105"/>
      <c r="BW570" s="101"/>
      <c r="BX570" s="105"/>
      <c r="BY570" s="11"/>
      <c r="BZ570" s="106"/>
      <c r="CA570" s="101"/>
      <c r="CB570" s="107"/>
      <c r="CC570" s="11"/>
      <c r="CD570" s="101"/>
      <c r="CE570" s="108"/>
      <c r="CF570" s="8"/>
      <c r="DX570" s="99"/>
      <c r="DY570" s="99"/>
      <c r="DZ570" s="99"/>
      <c r="EH570" s="100"/>
      <c r="EI570" s="100"/>
      <c r="EJ570" s="100"/>
      <c r="EK570" s="101"/>
      <c r="EL570" s="80"/>
      <c r="EM570" s="102"/>
      <c r="EN570" s="102"/>
      <c r="EO570" s="103"/>
      <c r="EP570" s="104"/>
      <c r="EQ570" s="28"/>
      <c r="ER570" s="102"/>
      <c r="ES570" s="102"/>
      <c r="ET570" s="102"/>
      <c r="EU570" s="102"/>
      <c r="EV570" s="105"/>
      <c r="EW570" s="101"/>
      <c r="EX570" s="105"/>
      <c r="EY570" s="11"/>
      <c r="EZ570" s="106"/>
      <c r="FA570" s="101"/>
      <c r="FB570" s="107"/>
      <c r="FC570" s="11"/>
      <c r="FD570" s="101"/>
      <c r="FE570" s="108"/>
      <c r="FF570" s="8"/>
    </row>
    <row r="571" spans="50:162">
      <c r="AX571" s="99"/>
      <c r="AY571" s="99"/>
      <c r="AZ571" s="99"/>
      <c r="BH571" s="100"/>
      <c r="BI571" s="100"/>
      <c r="BJ571" s="100"/>
      <c r="BK571" s="101"/>
      <c r="BL571" s="80"/>
      <c r="BM571" s="102"/>
      <c r="BN571" s="102"/>
      <c r="BO571" s="103"/>
      <c r="BP571" s="104"/>
      <c r="BQ571" s="28"/>
      <c r="BR571" s="102"/>
      <c r="BS571" s="102"/>
      <c r="BT571" s="102"/>
      <c r="BU571" s="102"/>
      <c r="BV571" s="105"/>
      <c r="BW571" s="101"/>
      <c r="BX571" s="105"/>
      <c r="BY571" s="11"/>
      <c r="BZ571" s="106"/>
      <c r="CA571" s="101"/>
      <c r="CB571" s="107"/>
      <c r="CC571" s="11"/>
      <c r="CD571" s="101"/>
      <c r="CE571" s="108"/>
      <c r="CF571" s="8"/>
      <c r="DX571" s="99"/>
      <c r="DY571" s="99"/>
      <c r="DZ571" s="99"/>
      <c r="EH571" s="100"/>
      <c r="EI571" s="100"/>
      <c r="EJ571" s="100"/>
      <c r="EK571" s="101"/>
      <c r="EL571" s="80"/>
      <c r="EM571" s="102"/>
      <c r="EN571" s="102"/>
      <c r="EO571" s="103"/>
      <c r="EP571" s="104"/>
      <c r="EQ571" s="28"/>
      <c r="ER571" s="102"/>
      <c r="ES571" s="102"/>
      <c r="ET571" s="102"/>
      <c r="EU571" s="102"/>
      <c r="EV571" s="105"/>
      <c r="EW571" s="101"/>
      <c r="EX571" s="105"/>
      <c r="EY571" s="11"/>
      <c r="EZ571" s="106"/>
      <c r="FA571" s="101"/>
      <c r="FB571" s="107"/>
      <c r="FC571" s="11"/>
      <c r="FD571" s="101"/>
      <c r="FE571" s="108"/>
      <c r="FF571" s="8"/>
    </row>
    <row r="572" spans="50:162">
      <c r="AX572" s="99"/>
      <c r="AY572" s="99"/>
      <c r="AZ572" s="99"/>
      <c r="BH572" s="100"/>
      <c r="BI572" s="100"/>
      <c r="BJ572" s="100"/>
      <c r="BK572" s="101"/>
      <c r="BL572" s="80"/>
      <c r="BM572" s="102"/>
      <c r="BN572" s="102"/>
      <c r="BO572" s="103"/>
      <c r="BP572" s="104"/>
      <c r="BQ572" s="28"/>
      <c r="BR572" s="102"/>
      <c r="BS572" s="102"/>
      <c r="BT572" s="102"/>
      <c r="BU572" s="102"/>
      <c r="BV572" s="105"/>
      <c r="BW572" s="101"/>
      <c r="BX572" s="105"/>
      <c r="BY572" s="11"/>
      <c r="BZ572" s="106"/>
      <c r="CA572" s="101"/>
      <c r="CB572" s="107"/>
      <c r="CC572" s="11"/>
      <c r="CD572" s="101"/>
      <c r="CE572" s="108"/>
      <c r="CF572" s="8"/>
      <c r="DX572" s="99"/>
      <c r="DY572" s="99"/>
      <c r="DZ572" s="99"/>
      <c r="EH572" s="100"/>
      <c r="EI572" s="100"/>
      <c r="EJ572" s="100"/>
      <c r="EK572" s="101"/>
      <c r="EL572" s="80"/>
      <c r="EM572" s="102"/>
      <c r="EN572" s="102"/>
      <c r="EO572" s="103"/>
      <c r="EP572" s="104"/>
      <c r="EQ572" s="28"/>
      <c r="ER572" s="102"/>
      <c r="ES572" s="102"/>
      <c r="ET572" s="102"/>
      <c r="EU572" s="102"/>
      <c r="EV572" s="105"/>
      <c r="EW572" s="101"/>
      <c r="EX572" s="105"/>
      <c r="EY572" s="11"/>
      <c r="EZ572" s="106"/>
      <c r="FA572" s="101"/>
      <c r="FB572" s="107"/>
      <c r="FC572" s="11"/>
      <c r="FD572" s="101"/>
      <c r="FE572" s="108"/>
      <c r="FF572" s="8"/>
    </row>
    <row r="573" spans="50:162">
      <c r="AX573" s="99"/>
      <c r="AY573" s="99"/>
      <c r="AZ573" s="99"/>
      <c r="BH573" s="100"/>
      <c r="BI573" s="100"/>
      <c r="BJ573" s="100"/>
      <c r="BK573" s="101"/>
      <c r="BL573" s="80"/>
      <c r="BM573" s="102"/>
      <c r="BN573" s="102"/>
      <c r="BO573" s="103"/>
      <c r="BP573" s="104"/>
      <c r="BQ573" s="28"/>
      <c r="BR573" s="102"/>
      <c r="BS573" s="102"/>
      <c r="BT573" s="102"/>
      <c r="BU573" s="102"/>
      <c r="BV573" s="105"/>
      <c r="BW573" s="101"/>
      <c r="BX573" s="105"/>
      <c r="BY573" s="11"/>
      <c r="BZ573" s="106"/>
      <c r="CA573" s="101"/>
      <c r="CB573" s="107"/>
      <c r="CC573" s="11"/>
      <c r="CD573" s="101"/>
      <c r="CE573" s="108"/>
      <c r="CF573" s="8"/>
      <c r="DX573" s="99"/>
      <c r="DY573" s="99"/>
      <c r="DZ573" s="99"/>
      <c r="EH573" s="100"/>
      <c r="EI573" s="100"/>
      <c r="EJ573" s="100"/>
      <c r="EK573" s="101"/>
      <c r="EL573" s="80"/>
      <c r="EM573" s="102"/>
      <c r="EN573" s="102"/>
      <c r="EO573" s="103"/>
      <c r="EP573" s="104"/>
      <c r="EQ573" s="28"/>
      <c r="ER573" s="102"/>
      <c r="ES573" s="102"/>
      <c r="ET573" s="102"/>
      <c r="EU573" s="102"/>
      <c r="EV573" s="105"/>
      <c r="EW573" s="101"/>
      <c r="EX573" s="105"/>
      <c r="EY573" s="11"/>
      <c r="EZ573" s="106"/>
      <c r="FA573" s="101"/>
      <c r="FB573" s="107"/>
      <c r="FC573" s="11"/>
      <c r="FD573" s="101"/>
      <c r="FE573" s="108"/>
      <c r="FF573" s="8"/>
    </row>
    <row r="574" spans="50:162">
      <c r="AX574" s="99"/>
      <c r="AY574" s="99"/>
      <c r="AZ574" s="99"/>
      <c r="BH574" s="100"/>
      <c r="BI574" s="100"/>
      <c r="BJ574" s="100"/>
      <c r="BK574" s="101"/>
      <c r="BL574" s="80"/>
      <c r="BM574" s="102"/>
      <c r="BN574" s="102"/>
      <c r="BO574" s="103"/>
      <c r="BP574" s="104"/>
      <c r="BQ574" s="28"/>
      <c r="BR574" s="102"/>
      <c r="BS574" s="102"/>
      <c r="BT574" s="102"/>
      <c r="BU574" s="102"/>
      <c r="BV574" s="105"/>
      <c r="BW574" s="101"/>
      <c r="BX574" s="105"/>
      <c r="BY574" s="11"/>
      <c r="BZ574" s="106"/>
      <c r="CA574" s="101"/>
      <c r="CB574" s="107"/>
      <c r="CC574" s="11"/>
      <c r="CD574" s="101"/>
      <c r="CE574" s="108"/>
      <c r="CF574" s="8"/>
      <c r="DX574" s="99"/>
      <c r="DY574" s="99"/>
      <c r="DZ574" s="99"/>
      <c r="EH574" s="100"/>
      <c r="EI574" s="100"/>
      <c r="EJ574" s="100"/>
      <c r="EK574" s="101"/>
      <c r="EL574" s="80"/>
      <c r="EM574" s="102"/>
      <c r="EN574" s="102"/>
      <c r="EO574" s="103"/>
      <c r="EP574" s="104"/>
      <c r="EQ574" s="28"/>
      <c r="ER574" s="102"/>
      <c r="ES574" s="102"/>
      <c r="ET574" s="102"/>
      <c r="EU574" s="102"/>
      <c r="EV574" s="105"/>
      <c r="EW574" s="101"/>
      <c r="EX574" s="105"/>
      <c r="EY574" s="11"/>
      <c r="EZ574" s="106"/>
      <c r="FA574" s="101"/>
      <c r="FB574" s="107"/>
      <c r="FC574" s="11"/>
      <c r="FD574" s="101"/>
      <c r="FE574" s="108"/>
      <c r="FF574" s="8"/>
    </row>
    <row r="575" spans="50:162">
      <c r="AX575" s="99"/>
      <c r="AY575" s="99"/>
      <c r="AZ575" s="99"/>
      <c r="BH575" s="100"/>
      <c r="BI575" s="100"/>
      <c r="BJ575" s="100"/>
      <c r="BK575" s="101"/>
      <c r="BL575" s="80"/>
      <c r="BM575" s="102"/>
      <c r="BN575" s="102"/>
      <c r="BO575" s="103"/>
      <c r="BP575" s="104"/>
      <c r="BQ575" s="28"/>
      <c r="BR575" s="102"/>
      <c r="BS575" s="102"/>
      <c r="BT575" s="102"/>
      <c r="BU575" s="102"/>
      <c r="BV575" s="105"/>
      <c r="BW575" s="101"/>
      <c r="BX575" s="105"/>
      <c r="BY575" s="11"/>
      <c r="BZ575" s="106"/>
      <c r="CA575" s="101"/>
      <c r="CB575" s="107"/>
      <c r="CC575" s="11"/>
      <c r="CD575" s="101"/>
      <c r="CE575" s="108"/>
      <c r="CF575" s="8"/>
      <c r="DX575" s="99"/>
      <c r="DY575" s="99"/>
      <c r="DZ575" s="99"/>
      <c r="EH575" s="100"/>
      <c r="EI575" s="100"/>
      <c r="EJ575" s="100"/>
      <c r="EK575" s="101"/>
      <c r="EL575" s="80"/>
      <c r="EM575" s="102"/>
      <c r="EN575" s="102"/>
      <c r="EO575" s="103"/>
      <c r="EP575" s="104"/>
      <c r="EQ575" s="28"/>
      <c r="ER575" s="102"/>
      <c r="ES575" s="102"/>
      <c r="ET575" s="102"/>
      <c r="EU575" s="102"/>
      <c r="EV575" s="105"/>
      <c r="EW575" s="101"/>
      <c r="EX575" s="105"/>
      <c r="EY575" s="11"/>
      <c r="EZ575" s="106"/>
      <c r="FA575" s="101"/>
      <c r="FB575" s="107"/>
      <c r="FC575" s="11"/>
      <c r="FD575" s="101"/>
      <c r="FE575" s="108"/>
      <c r="FF575" s="8"/>
    </row>
    <row r="576" spans="50:162">
      <c r="AX576" s="99"/>
      <c r="AY576" s="99"/>
      <c r="AZ576" s="99"/>
      <c r="BH576" s="100"/>
      <c r="BI576" s="100"/>
      <c r="BJ576" s="100"/>
      <c r="BK576" s="101"/>
      <c r="BL576" s="80"/>
      <c r="BM576" s="102"/>
      <c r="BN576" s="102"/>
      <c r="BO576" s="103"/>
      <c r="BP576" s="104"/>
      <c r="BQ576" s="28"/>
      <c r="BR576" s="102"/>
      <c r="BS576" s="102"/>
      <c r="BT576" s="102"/>
      <c r="BU576" s="102"/>
      <c r="BV576" s="105"/>
      <c r="BW576" s="101"/>
      <c r="BX576" s="105"/>
      <c r="BY576" s="11"/>
      <c r="BZ576" s="106"/>
      <c r="CA576" s="101"/>
      <c r="CB576" s="107"/>
      <c r="CC576" s="11"/>
      <c r="CD576" s="101"/>
      <c r="CE576" s="108"/>
      <c r="CF576" s="8"/>
      <c r="DX576" s="99"/>
      <c r="DY576" s="99"/>
      <c r="DZ576" s="99"/>
      <c r="EH576" s="100"/>
      <c r="EI576" s="100"/>
      <c r="EJ576" s="100"/>
      <c r="EK576" s="101"/>
      <c r="EL576" s="80"/>
      <c r="EM576" s="102"/>
      <c r="EN576" s="102"/>
      <c r="EO576" s="103"/>
      <c r="EP576" s="104"/>
      <c r="EQ576" s="28"/>
      <c r="ER576" s="102"/>
      <c r="ES576" s="102"/>
      <c r="ET576" s="102"/>
      <c r="EU576" s="102"/>
      <c r="EV576" s="105"/>
      <c r="EW576" s="101"/>
      <c r="EX576" s="105"/>
      <c r="EY576" s="11"/>
      <c r="EZ576" s="106"/>
      <c r="FA576" s="101"/>
      <c r="FB576" s="107"/>
      <c r="FC576" s="11"/>
      <c r="FD576" s="101"/>
      <c r="FE576" s="108"/>
      <c r="FF576" s="8"/>
    </row>
    <row r="577" spans="50:162">
      <c r="AX577" s="99"/>
      <c r="AY577" s="99"/>
      <c r="AZ577" s="99"/>
      <c r="BH577" s="100"/>
      <c r="BI577" s="100"/>
      <c r="BJ577" s="100"/>
      <c r="BK577" s="101"/>
      <c r="BL577" s="80"/>
      <c r="BM577" s="102"/>
      <c r="BN577" s="102"/>
      <c r="BO577" s="103"/>
      <c r="BP577" s="104"/>
      <c r="BQ577" s="28"/>
      <c r="BR577" s="102"/>
      <c r="BS577" s="102"/>
      <c r="BT577" s="102"/>
      <c r="BU577" s="102"/>
      <c r="BV577" s="105"/>
      <c r="BW577" s="101"/>
      <c r="BX577" s="105"/>
      <c r="BY577" s="11"/>
      <c r="BZ577" s="106"/>
      <c r="CA577" s="101"/>
      <c r="CB577" s="107"/>
      <c r="CC577" s="11"/>
      <c r="CD577" s="101"/>
      <c r="CE577" s="108"/>
      <c r="CF577" s="8"/>
      <c r="DX577" s="99"/>
      <c r="DY577" s="99"/>
      <c r="DZ577" s="99"/>
      <c r="EH577" s="100"/>
      <c r="EI577" s="100"/>
      <c r="EJ577" s="100"/>
      <c r="EK577" s="101"/>
      <c r="EL577" s="80"/>
      <c r="EM577" s="102"/>
      <c r="EN577" s="102"/>
      <c r="EO577" s="103"/>
      <c r="EP577" s="104"/>
      <c r="EQ577" s="28"/>
      <c r="ER577" s="102"/>
      <c r="ES577" s="102"/>
      <c r="ET577" s="102"/>
      <c r="EU577" s="102"/>
      <c r="EV577" s="105"/>
      <c r="EW577" s="101"/>
      <c r="EX577" s="105"/>
      <c r="EY577" s="11"/>
      <c r="EZ577" s="106"/>
      <c r="FA577" s="101"/>
      <c r="FB577" s="107"/>
      <c r="FC577" s="11"/>
      <c r="FD577" s="101"/>
      <c r="FE577" s="108"/>
      <c r="FF577" s="8"/>
    </row>
    <row r="578" spans="50:162">
      <c r="AX578" s="99"/>
      <c r="AY578" s="99"/>
      <c r="AZ578" s="99"/>
      <c r="BH578" s="100"/>
      <c r="BI578" s="100"/>
      <c r="BJ578" s="100"/>
      <c r="BK578" s="101"/>
      <c r="BL578" s="80"/>
      <c r="BM578" s="102"/>
      <c r="BN578" s="102"/>
      <c r="BO578" s="103"/>
      <c r="BP578" s="104"/>
      <c r="BQ578" s="28"/>
      <c r="BR578" s="102"/>
      <c r="BS578" s="102"/>
      <c r="BT578" s="102"/>
      <c r="BU578" s="102"/>
      <c r="BV578" s="105"/>
      <c r="BW578" s="101"/>
      <c r="BX578" s="105"/>
      <c r="BY578" s="11"/>
      <c r="BZ578" s="106"/>
      <c r="CA578" s="101"/>
      <c r="CB578" s="107"/>
      <c r="CC578" s="11"/>
      <c r="CD578" s="101"/>
      <c r="CE578" s="108"/>
      <c r="CF578" s="8"/>
      <c r="DX578" s="99"/>
      <c r="DY578" s="99"/>
      <c r="DZ578" s="99"/>
      <c r="EH578" s="100"/>
      <c r="EI578" s="100"/>
      <c r="EJ578" s="100"/>
      <c r="EK578" s="101"/>
      <c r="EL578" s="80"/>
      <c r="EM578" s="102"/>
      <c r="EN578" s="102"/>
      <c r="EO578" s="103"/>
      <c r="EP578" s="104"/>
      <c r="EQ578" s="28"/>
      <c r="ER578" s="102"/>
      <c r="ES578" s="102"/>
      <c r="ET578" s="102"/>
      <c r="EU578" s="102"/>
      <c r="EV578" s="105"/>
      <c r="EW578" s="101"/>
      <c r="EX578" s="105"/>
      <c r="EY578" s="11"/>
      <c r="EZ578" s="106"/>
      <c r="FA578" s="101"/>
      <c r="FB578" s="107"/>
      <c r="FC578" s="11"/>
      <c r="FD578" s="101"/>
      <c r="FE578" s="108"/>
      <c r="FF578" s="8"/>
    </row>
    <row r="579" spans="50:162">
      <c r="AX579" s="99"/>
      <c r="AY579" s="99"/>
      <c r="AZ579" s="99"/>
      <c r="BH579" s="100"/>
      <c r="BI579" s="100"/>
      <c r="BJ579" s="100"/>
      <c r="BK579" s="101"/>
      <c r="BL579" s="80"/>
      <c r="BM579" s="102"/>
      <c r="BN579" s="102"/>
      <c r="BO579" s="103"/>
      <c r="BP579" s="104"/>
      <c r="BQ579" s="28"/>
      <c r="BR579" s="102"/>
      <c r="BS579" s="102"/>
      <c r="BT579" s="102"/>
      <c r="BU579" s="102"/>
      <c r="BV579" s="105"/>
      <c r="BW579" s="101"/>
      <c r="BX579" s="105"/>
      <c r="BY579" s="11"/>
      <c r="BZ579" s="106"/>
      <c r="CA579" s="101"/>
      <c r="CB579" s="107"/>
      <c r="CC579" s="11"/>
      <c r="CD579" s="101"/>
      <c r="CE579" s="108"/>
      <c r="CF579" s="8"/>
      <c r="DX579" s="99"/>
      <c r="DY579" s="99"/>
      <c r="DZ579" s="99"/>
      <c r="EH579" s="100"/>
      <c r="EI579" s="100"/>
      <c r="EJ579" s="100"/>
      <c r="EK579" s="101"/>
      <c r="EL579" s="80"/>
      <c r="EM579" s="102"/>
      <c r="EN579" s="102"/>
      <c r="EO579" s="103"/>
      <c r="EP579" s="104"/>
      <c r="EQ579" s="28"/>
      <c r="ER579" s="102"/>
      <c r="ES579" s="102"/>
      <c r="ET579" s="102"/>
      <c r="EU579" s="102"/>
      <c r="EV579" s="105"/>
      <c r="EW579" s="101"/>
      <c r="EX579" s="105"/>
      <c r="EY579" s="11"/>
      <c r="EZ579" s="106"/>
      <c r="FA579" s="101"/>
      <c r="FB579" s="107"/>
      <c r="FC579" s="11"/>
      <c r="FD579" s="101"/>
      <c r="FE579" s="108"/>
      <c r="FF579" s="8"/>
    </row>
    <row r="580" spans="50:162">
      <c r="AX580" s="99"/>
      <c r="AY580" s="99"/>
      <c r="AZ580" s="99"/>
      <c r="BH580" s="100"/>
      <c r="BI580" s="100"/>
      <c r="BJ580" s="100"/>
      <c r="BK580" s="101"/>
      <c r="BL580" s="80"/>
      <c r="BM580" s="102"/>
      <c r="BN580" s="102"/>
      <c r="BO580" s="103"/>
      <c r="BP580" s="104"/>
      <c r="BQ580" s="28"/>
      <c r="BR580" s="102"/>
      <c r="BS580" s="102"/>
      <c r="BT580" s="102"/>
      <c r="BU580" s="102"/>
      <c r="BV580" s="105"/>
      <c r="BW580" s="101"/>
      <c r="BX580" s="105"/>
      <c r="BY580" s="11"/>
      <c r="BZ580" s="106"/>
      <c r="CA580" s="101"/>
      <c r="CB580" s="107"/>
      <c r="CC580" s="11"/>
      <c r="CD580" s="101"/>
      <c r="CE580" s="108"/>
      <c r="CF580" s="8"/>
      <c r="DX580" s="99"/>
      <c r="DY580" s="99"/>
      <c r="DZ580" s="99"/>
      <c r="EH580" s="100"/>
      <c r="EI580" s="100"/>
      <c r="EJ580" s="100"/>
      <c r="EK580" s="101"/>
      <c r="EL580" s="80"/>
      <c r="EM580" s="102"/>
      <c r="EN580" s="102"/>
      <c r="EO580" s="103"/>
      <c r="EP580" s="104"/>
      <c r="EQ580" s="28"/>
      <c r="ER580" s="102"/>
      <c r="ES580" s="102"/>
      <c r="ET580" s="102"/>
      <c r="EU580" s="102"/>
      <c r="EV580" s="105"/>
      <c r="EW580" s="101"/>
      <c r="EX580" s="105"/>
      <c r="EY580" s="11"/>
      <c r="EZ580" s="106"/>
      <c r="FA580" s="101"/>
      <c r="FB580" s="107"/>
      <c r="FC580" s="11"/>
      <c r="FD580" s="101"/>
      <c r="FE580" s="108"/>
      <c r="FF580" s="8"/>
    </row>
    <row r="581" spans="50:162">
      <c r="AX581" s="99"/>
      <c r="AY581" s="99"/>
      <c r="AZ581" s="99"/>
      <c r="BH581" s="100"/>
      <c r="BI581" s="100"/>
      <c r="BJ581" s="100"/>
      <c r="BK581" s="101"/>
      <c r="BL581" s="80"/>
      <c r="BM581" s="102"/>
      <c r="BN581" s="102"/>
      <c r="BO581" s="103"/>
      <c r="BP581" s="104"/>
      <c r="BQ581" s="28"/>
      <c r="BR581" s="102"/>
      <c r="BS581" s="102"/>
      <c r="BT581" s="102"/>
      <c r="BU581" s="102"/>
      <c r="BV581" s="105"/>
      <c r="BW581" s="101"/>
      <c r="BX581" s="105"/>
      <c r="BY581" s="11"/>
      <c r="BZ581" s="106"/>
      <c r="CA581" s="101"/>
      <c r="CB581" s="107"/>
      <c r="CC581" s="11"/>
      <c r="CD581" s="101"/>
      <c r="CE581" s="108"/>
      <c r="CF581" s="8"/>
      <c r="DX581" s="99"/>
      <c r="DY581" s="99"/>
      <c r="DZ581" s="99"/>
      <c r="EH581" s="100"/>
      <c r="EI581" s="100"/>
      <c r="EJ581" s="100"/>
      <c r="EK581" s="101"/>
      <c r="EL581" s="80"/>
      <c r="EM581" s="102"/>
      <c r="EN581" s="102"/>
      <c r="EO581" s="103"/>
      <c r="EP581" s="104"/>
      <c r="EQ581" s="28"/>
      <c r="ER581" s="102"/>
      <c r="ES581" s="102"/>
      <c r="ET581" s="102"/>
      <c r="EU581" s="102"/>
      <c r="EV581" s="105"/>
      <c r="EW581" s="101"/>
      <c r="EX581" s="105"/>
      <c r="EY581" s="11"/>
      <c r="EZ581" s="106"/>
      <c r="FA581" s="101"/>
      <c r="FB581" s="107"/>
      <c r="FC581" s="11"/>
      <c r="FD581" s="101"/>
      <c r="FE581" s="108"/>
      <c r="FF581" s="8"/>
    </row>
    <row r="582" spans="50:162">
      <c r="AX582" s="99"/>
      <c r="AY582" s="99"/>
      <c r="AZ582" s="99"/>
      <c r="BH582" s="100"/>
      <c r="BI582" s="100"/>
      <c r="BJ582" s="100"/>
      <c r="BK582" s="101"/>
      <c r="BL582" s="80"/>
      <c r="BM582" s="102"/>
      <c r="BN582" s="102"/>
      <c r="BO582" s="103"/>
      <c r="BP582" s="104"/>
      <c r="BQ582" s="28"/>
      <c r="BR582" s="102"/>
      <c r="BS582" s="102"/>
      <c r="BT582" s="102"/>
      <c r="BU582" s="102"/>
      <c r="BV582" s="105"/>
      <c r="BW582" s="101"/>
      <c r="BX582" s="105"/>
      <c r="BY582" s="11"/>
      <c r="BZ582" s="106"/>
      <c r="CA582" s="101"/>
      <c r="CB582" s="107"/>
      <c r="CC582" s="11"/>
      <c r="CD582" s="101"/>
      <c r="CE582" s="108"/>
      <c r="CF582" s="8"/>
      <c r="DX582" s="99"/>
      <c r="DY582" s="99"/>
      <c r="DZ582" s="99"/>
      <c r="EH582" s="100"/>
      <c r="EI582" s="100"/>
      <c r="EJ582" s="100"/>
      <c r="EK582" s="101"/>
      <c r="EL582" s="80"/>
      <c r="EM582" s="102"/>
      <c r="EN582" s="102"/>
      <c r="EO582" s="103"/>
      <c r="EP582" s="104"/>
      <c r="EQ582" s="28"/>
      <c r="ER582" s="102"/>
      <c r="ES582" s="102"/>
      <c r="ET582" s="102"/>
      <c r="EU582" s="102"/>
      <c r="EV582" s="105"/>
      <c r="EW582" s="101"/>
      <c r="EX582" s="105"/>
      <c r="EY582" s="11"/>
      <c r="EZ582" s="106"/>
      <c r="FA582" s="101"/>
      <c r="FB582" s="107"/>
      <c r="FC582" s="11"/>
      <c r="FD582" s="101"/>
      <c r="FE582" s="108"/>
      <c r="FF582" s="8"/>
    </row>
    <row r="583" spans="50:162">
      <c r="AX583" s="99"/>
      <c r="AY583" s="99"/>
      <c r="AZ583" s="99"/>
      <c r="BH583" s="100"/>
      <c r="BI583" s="100"/>
      <c r="BJ583" s="100"/>
      <c r="BK583" s="101"/>
      <c r="BL583" s="80"/>
      <c r="BM583" s="102"/>
      <c r="BN583" s="102"/>
      <c r="BO583" s="103"/>
      <c r="BP583" s="104"/>
      <c r="BQ583" s="28"/>
      <c r="BR583" s="102"/>
      <c r="BS583" s="102"/>
      <c r="BT583" s="102"/>
      <c r="BU583" s="102"/>
      <c r="BV583" s="105"/>
      <c r="BW583" s="101"/>
      <c r="BX583" s="105"/>
      <c r="BY583" s="11"/>
      <c r="BZ583" s="106"/>
      <c r="CA583" s="101"/>
      <c r="CB583" s="107"/>
      <c r="CC583" s="11"/>
      <c r="CD583" s="101"/>
      <c r="CE583" s="108"/>
      <c r="CF583" s="8"/>
      <c r="DX583" s="99"/>
      <c r="DY583" s="99"/>
      <c r="DZ583" s="99"/>
      <c r="EH583" s="100"/>
      <c r="EI583" s="100"/>
      <c r="EJ583" s="100"/>
      <c r="EK583" s="101"/>
      <c r="EL583" s="80"/>
      <c r="EM583" s="102"/>
      <c r="EN583" s="102"/>
      <c r="EO583" s="103"/>
      <c r="EP583" s="104"/>
      <c r="EQ583" s="28"/>
      <c r="ER583" s="102"/>
      <c r="ES583" s="102"/>
      <c r="ET583" s="102"/>
      <c r="EU583" s="102"/>
      <c r="EV583" s="105"/>
      <c r="EW583" s="101"/>
      <c r="EX583" s="105"/>
      <c r="EY583" s="11"/>
      <c r="EZ583" s="106"/>
      <c r="FA583" s="101"/>
      <c r="FB583" s="107"/>
      <c r="FC583" s="11"/>
      <c r="FD583" s="101"/>
      <c r="FE583" s="108"/>
      <c r="FF583" s="8"/>
    </row>
    <row r="584" spans="50:162">
      <c r="AX584" s="99"/>
      <c r="AY584" s="99"/>
      <c r="AZ584" s="99"/>
      <c r="BH584" s="100"/>
      <c r="BI584" s="100"/>
      <c r="BJ584" s="100"/>
      <c r="BK584" s="101"/>
      <c r="BL584" s="80"/>
      <c r="BM584" s="102"/>
      <c r="BN584" s="102"/>
      <c r="BO584" s="103"/>
      <c r="BP584" s="104"/>
      <c r="BQ584" s="28"/>
      <c r="BR584" s="102"/>
      <c r="BS584" s="102"/>
      <c r="BT584" s="102"/>
      <c r="BU584" s="102"/>
      <c r="BV584" s="105"/>
      <c r="BW584" s="101"/>
      <c r="BX584" s="105"/>
      <c r="BY584" s="11"/>
      <c r="BZ584" s="106"/>
      <c r="CA584" s="101"/>
      <c r="CB584" s="107"/>
      <c r="CC584" s="11"/>
      <c r="CD584" s="101"/>
      <c r="CE584" s="108"/>
      <c r="CF584" s="8"/>
      <c r="DX584" s="99"/>
      <c r="DY584" s="99"/>
      <c r="DZ584" s="99"/>
      <c r="EH584" s="100"/>
      <c r="EI584" s="100"/>
      <c r="EJ584" s="100"/>
      <c r="EK584" s="101"/>
      <c r="EL584" s="80"/>
      <c r="EM584" s="102"/>
      <c r="EN584" s="102"/>
      <c r="EO584" s="103"/>
      <c r="EP584" s="104"/>
      <c r="EQ584" s="28"/>
      <c r="ER584" s="102"/>
      <c r="ES584" s="102"/>
      <c r="ET584" s="102"/>
      <c r="EU584" s="102"/>
      <c r="EV584" s="105"/>
      <c r="EW584" s="101"/>
      <c r="EX584" s="105"/>
      <c r="EY584" s="11"/>
      <c r="EZ584" s="106"/>
      <c r="FA584" s="101"/>
      <c r="FB584" s="107"/>
      <c r="FC584" s="11"/>
      <c r="FD584" s="101"/>
      <c r="FE584" s="108"/>
      <c r="FF584" s="8"/>
    </row>
    <row r="585" spans="50:162">
      <c r="AX585" s="99"/>
      <c r="AY585" s="99"/>
      <c r="AZ585" s="99"/>
      <c r="BH585" s="100"/>
      <c r="BI585" s="100"/>
      <c r="BJ585" s="100"/>
      <c r="BK585" s="101"/>
      <c r="BL585" s="80"/>
      <c r="BM585" s="102"/>
      <c r="BN585" s="102"/>
      <c r="BO585" s="103"/>
      <c r="BP585" s="104"/>
      <c r="BQ585" s="28"/>
      <c r="BR585" s="102"/>
      <c r="BS585" s="102"/>
      <c r="BT585" s="102"/>
      <c r="BU585" s="102"/>
      <c r="BV585" s="105"/>
      <c r="BW585" s="101"/>
      <c r="BX585" s="105"/>
      <c r="BY585" s="11"/>
      <c r="BZ585" s="106"/>
      <c r="CA585" s="101"/>
      <c r="CB585" s="107"/>
      <c r="CC585" s="11"/>
      <c r="CD585" s="101"/>
      <c r="CE585" s="108"/>
      <c r="CF585" s="8"/>
      <c r="DX585" s="99"/>
      <c r="DY585" s="99"/>
      <c r="DZ585" s="99"/>
      <c r="EH585" s="100"/>
      <c r="EI585" s="100"/>
      <c r="EJ585" s="100"/>
      <c r="EK585" s="101"/>
      <c r="EL585" s="80"/>
      <c r="EM585" s="102"/>
      <c r="EN585" s="102"/>
      <c r="EO585" s="103"/>
      <c r="EP585" s="104"/>
      <c r="EQ585" s="28"/>
      <c r="ER585" s="102"/>
      <c r="ES585" s="102"/>
      <c r="ET585" s="102"/>
      <c r="EU585" s="102"/>
      <c r="EV585" s="105"/>
      <c r="EW585" s="101"/>
      <c r="EX585" s="105"/>
      <c r="EY585" s="11"/>
      <c r="EZ585" s="106"/>
      <c r="FA585" s="101"/>
      <c r="FB585" s="107"/>
      <c r="FC585" s="11"/>
      <c r="FD585" s="101"/>
      <c r="FE585" s="108"/>
      <c r="FF585" s="8"/>
    </row>
    <row r="586" spans="50:162">
      <c r="AX586" s="99"/>
      <c r="AY586" s="99"/>
      <c r="AZ586" s="99"/>
      <c r="BH586" s="100"/>
      <c r="BI586" s="100"/>
      <c r="BJ586" s="100"/>
      <c r="BK586" s="101"/>
      <c r="BL586" s="80"/>
      <c r="BM586" s="102"/>
      <c r="BN586" s="102"/>
      <c r="BO586" s="103"/>
      <c r="BP586" s="104"/>
      <c r="BQ586" s="28"/>
      <c r="BR586" s="102"/>
      <c r="BS586" s="102"/>
      <c r="BT586" s="102"/>
      <c r="BU586" s="102"/>
      <c r="BV586" s="105"/>
      <c r="BW586" s="101"/>
      <c r="BX586" s="105"/>
      <c r="BY586" s="11"/>
      <c r="BZ586" s="106"/>
      <c r="CA586" s="101"/>
      <c r="CB586" s="107"/>
      <c r="CC586" s="11"/>
      <c r="CD586" s="101"/>
      <c r="CE586" s="108"/>
      <c r="CF586" s="8"/>
      <c r="DX586" s="99"/>
      <c r="DY586" s="99"/>
      <c r="DZ586" s="99"/>
      <c r="EH586" s="100"/>
      <c r="EI586" s="100"/>
      <c r="EJ586" s="100"/>
      <c r="EK586" s="101"/>
      <c r="EL586" s="80"/>
      <c r="EM586" s="102"/>
      <c r="EN586" s="102"/>
      <c r="EO586" s="103"/>
      <c r="EP586" s="104"/>
      <c r="EQ586" s="28"/>
      <c r="ER586" s="102"/>
      <c r="ES586" s="102"/>
      <c r="ET586" s="102"/>
      <c r="EU586" s="102"/>
      <c r="EV586" s="105"/>
      <c r="EW586" s="101"/>
      <c r="EX586" s="105"/>
      <c r="EY586" s="11"/>
      <c r="EZ586" s="106"/>
      <c r="FA586" s="101"/>
      <c r="FB586" s="107"/>
      <c r="FC586" s="11"/>
      <c r="FD586" s="101"/>
      <c r="FE586" s="108"/>
      <c r="FF586" s="8"/>
    </row>
    <row r="587" spans="50:162">
      <c r="AX587" s="99"/>
      <c r="AY587" s="99"/>
      <c r="AZ587" s="99"/>
      <c r="BH587" s="100"/>
      <c r="BI587" s="100"/>
      <c r="BJ587" s="100"/>
      <c r="BK587" s="101"/>
      <c r="BL587" s="80"/>
      <c r="BM587" s="102"/>
      <c r="BN587" s="102"/>
      <c r="BO587" s="103"/>
      <c r="BP587" s="104"/>
      <c r="BQ587" s="28"/>
      <c r="BR587" s="102"/>
      <c r="BS587" s="102"/>
      <c r="BT587" s="102"/>
      <c r="BU587" s="102"/>
      <c r="BV587" s="105"/>
      <c r="BW587" s="101"/>
      <c r="BX587" s="105"/>
      <c r="BY587" s="11"/>
      <c r="BZ587" s="106"/>
      <c r="CA587" s="101"/>
      <c r="CB587" s="107"/>
      <c r="CC587" s="11"/>
      <c r="CD587" s="101"/>
      <c r="CE587" s="108"/>
      <c r="CF587" s="8"/>
      <c r="DX587" s="99"/>
      <c r="DY587" s="99"/>
      <c r="DZ587" s="99"/>
      <c r="EH587" s="100"/>
      <c r="EI587" s="100"/>
      <c r="EJ587" s="100"/>
      <c r="EK587" s="101"/>
      <c r="EL587" s="80"/>
      <c r="EM587" s="102"/>
      <c r="EN587" s="102"/>
      <c r="EO587" s="103"/>
      <c r="EP587" s="104"/>
      <c r="EQ587" s="28"/>
      <c r="ER587" s="102"/>
      <c r="ES587" s="102"/>
      <c r="ET587" s="102"/>
      <c r="EU587" s="102"/>
      <c r="EV587" s="105"/>
      <c r="EW587" s="101"/>
      <c r="EX587" s="105"/>
      <c r="EY587" s="11"/>
      <c r="EZ587" s="106"/>
      <c r="FA587" s="101"/>
      <c r="FB587" s="107"/>
      <c r="FC587" s="11"/>
      <c r="FD587" s="101"/>
      <c r="FE587" s="108"/>
      <c r="FF587" s="8"/>
    </row>
    <row r="588" spans="50:162">
      <c r="AX588" s="99"/>
      <c r="AY588" s="99"/>
      <c r="AZ588" s="99"/>
      <c r="BH588" s="100"/>
      <c r="BI588" s="100"/>
      <c r="BJ588" s="100"/>
      <c r="BK588" s="101"/>
      <c r="BL588" s="80"/>
      <c r="BM588" s="102"/>
      <c r="BN588" s="102"/>
      <c r="BO588" s="103"/>
      <c r="BP588" s="104"/>
      <c r="BQ588" s="28"/>
      <c r="BR588" s="102"/>
      <c r="BS588" s="102"/>
      <c r="BT588" s="102"/>
      <c r="BU588" s="102"/>
      <c r="BV588" s="105"/>
      <c r="BW588" s="101"/>
      <c r="BX588" s="105"/>
      <c r="BY588" s="11"/>
      <c r="BZ588" s="106"/>
      <c r="CA588" s="101"/>
      <c r="CB588" s="107"/>
      <c r="CC588" s="11"/>
      <c r="CD588" s="101"/>
      <c r="CE588" s="108"/>
      <c r="CF588" s="8"/>
      <c r="DX588" s="99"/>
      <c r="DY588" s="99"/>
      <c r="DZ588" s="99"/>
      <c r="EH588" s="100"/>
      <c r="EI588" s="100"/>
      <c r="EJ588" s="100"/>
      <c r="EK588" s="101"/>
      <c r="EL588" s="80"/>
      <c r="EM588" s="102"/>
      <c r="EN588" s="102"/>
      <c r="EO588" s="103"/>
      <c r="EP588" s="104"/>
      <c r="EQ588" s="28"/>
      <c r="ER588" s="102"/>
      <c r="ES588" s="102"/>
      <c r="ET588" s="102"/>
      <c r="EU588" s="102"/>
      <c r="EV588" s="105"/>
      <c r="EW588" s="101"/>
      <c r="EX588" s="105"/>
      <c r="EY588" s="11"/>
      <c r="EZ588" s="106"/>
      <c r="FA588" s="101"/>
      <c r="FB588" s="107"/>
      <c r="FC588" s="11"/>
      <c r="FD588" s="101"/>
      <c r="FE588" s="108"/>
      <c r="FF588" s="8"/>
    </row>
    <row r="589" spans="50:162">
      <c r="AX589" s="99"/>
      <c r="AY589" s="99"/>
      <c r="AZ589" s="99"/>
      <c r="BH589" s="100"/>
      <c r="BI589" s="100"/>
      <c r="BJ589" s="100"/>
      <c r="BK589" s="101"/>
      <c r="BL589" s="80"/>
      <c r="BM589" s="102"/>
      <c r="BN589" s="102"/>
      <c r="BO589" s="103"/>
      <c r="BP589" s="104"/>
      <c r="BQ589" s="28"/>
      <c r="BR589" s="102"/>
      <c r="BS589" s="102"/>
      <c r="BT589" s="102"/>
      <c r="BU589" s="102"/>
      <c r="BV589" s="105"/>
      <c r="BW589" s="101"/>
      <c r="BX589" s="105"/>
      <c r="BY589" s="11"/>
      <c r="BZ589" s="106"/>
      <c r="CA589" s="101"/>
      <c r="CB589" s="107"/>
      <c r="CC589" s="11"/>
      <c r="CD589" s="101"/>
      <c r="CE589" s="108"/>
      <c r="CF589" s="8"/>
      <c r="DX589" s="99"/>
      <c r="DY589" s="99"/>
      <c r="DZ589" s="99"/>
      <c r="EH589" s="100"/>
      <c r="EI589" s="100"/>
      <c r="EJ589" s="100"/>
      <c r="EK589" s="101"/>
      <c r="EL589" s="80"/>
      <c r="EM589" s="102"/>
      <c r="EN589" s="102"/>
      <c r="EO589" s="103"/>
      <c r="EP589" s="104"/>
      <c r="EQ589" s="28"/>
      <c r="ER589" s="102"/>
      <c r="ES589" s="102"/>
      <c r="ET589" s="102"/>
      <c r="EU589" s="102"/>
      <c r="EV589" s="105"/>
      <c r="EW589" s="101"/>
      <c r="EX589" s="105"/>
      <c r="EY589" s="11"/>
      <c r="EZ589" s="106"/>
      <c r="FA589" s="101"/>
      <c r="FB589" s="107"/>
      <c r="FC589" s="11"/>
      <c r="FD589" s="101"/>
      <c r="FE589" s="108"/>
      <c r="FF589" s="8"/>
    </row>
    <row r="590" spans="50:162">
      <c r="AX590" s="99"/>
      <c r="AY590" s="99"/>
      <c r="AZ590" s="99"/>
      <c r="BH590" s="100"/>
      <c r="BI590" s="100"/>
      <c r="BJ590" s="100"/>
      <c r="BK590" s="101"/>
      <c r="BL590" s="80"/>
      <c r="BM590" s="102"/>
      <c r="BN590" s="102"/>
      <c r="BO590" s="103"/>
      <c r="BP590" s="104"/>
      <c r="BQ590" s="28"/>
      <c r="BR590" s="102"/>
      <c r="BS590" s="102"/>
      <c r="BT590" s="102"/>
      <c r="BU590" s="102"/>
      <c r="BV590" s="105"/>
      <c r="BW590" s="101"/>
      <c r="BX590" s="105"/>
      <c r="BY590" s="11"/>
      <c r="BZ590" s="106"/>
      <c r="CA590" s="101"/>
      <c r="CB590" s="107"/>
      <c r="CC590" s="11"/>
      <c r="CD590" s="101"/>
      <c r="CE590" s="108"/>
      <c r="CF590" s="8"/>
      <c r="DX590" s="99"/>
      <c r="DY590" s="99"/>
      <c r="DZ590" s="99"/>
      <c r="EH590" s="100"/>
      <c r="EI590" s="100"/>
      <c r="EJ590" s="100"/>
      <c r="EK590" s="101"/>
      <c r="EL590" s="80"/>
      <c r="EM590" s="102"/>
      <c r="EN590" s="102"/>
      <c r="EO590" s="103"/>
      <c r="EP590" s="104"/>
      <c r="EQ590" s="28"/>
      <c r="ER590" s="102"/>
      <c r="ES590" s="102"/>
      <c r="ET590" s="102"/>
      <c r="EU590" s="102"/>
      <c r="EV590" s="105"/>
      <c r="EW590" s="101"/>
      <c r="EX590" s="105"/>
      <c r="EY590" s="11"/>
      <c r="EZ590" s="106"/>
      <c r="FA590" s="101"/>
      <c r="FB590" s="107"/>
      <c r="FC590" s="11"/>
      <c r="FD590" s="101"/>
      <c r="FE590" s="108"/>
      <c r="FF590" s="8"/>
    </row>
    <row r="591" spans="50:162">
      <c r="AX591" s="99"/>
      <c r="AY591" s="99"/>
      <c r="AZ591" s="99"/>
      <c r="BH591" s="100"/>
      <c r="BI591" s="100"/>
      <c r="BJ591" s="100"/>
      <c r="BK591" s="101"/>
      <c r="BL591" s="80"/>
      <c r="BM591" s="102"/>
      <c r="BN591" s="102"/>
      <c r="BO591" s="103"/>
      <c r="BP591" s="104"/>
      <c r="BQ591" s="28"/>
      <c r="BR591" s="102"/>
      <c r="BS591" s="102"/>
      <c r="BT591" s="102"/>
      <c r="BU591" s="102"/>
      <c r="BV591" s="105"/>
      <c r="BW591" s="101"/>
      <c r="BX591" s="105"/>
      <c r="BY591" s="11"/>
      <c r="BZ591" s="106"/>
      <c r="CA591" s="101"/>
      <c r="CB591" s="107"/>
      <c r="CC591" s="11"/>
      <c r="CD591" s="101"/>
      <c r="CE591" s="108"/>
      <c r="CF591" s="8"/>
      <c r="DX591" s="99"/>
      <c r="DY591" s="99"/>
      <c r="DZ591" s="99"/>
      <c r="EH591" s="100"/>
      <c r="EI591" s="100"/>
      <c r="EJ591" s="100"/>
      <c r="EK591" s="101"/>
      <c r="EL591" s="80"/>
      <c r="EM591" s="102"/>
      <c r="EN591" s="102"/>
      <c r="EO591" s="103"/>
      <c r="EP591" s="104"/>
      <c r="EQ591" s="28"/>
      <c r="ER591" s="102"/>
      <c r="ES591" s="102"/>
      <c r="ET591" s="102"/>
      <c r="EU591" s="102"/>
      <c r="EV591" s="105"/>
      <c r="EW591" s="101"/>
      <c r="EX591" s="105"/>
      <c r="EY591" s="11"/>
      <c r="EZ591" s="106"/>
      <c r="FA591" s="101"/>
      <c r="FB591" s="107"/>
      <c r="FC591" s="11"/>
      <c r="FD591" s="101"/>
      <c r="FE591" s="108"/>
      <c r="FF591" s="8"/>
    </row>
    <row r="592" spans="50:162">
      <c r="AX592" s="99"/>
      <c r="AY592" s="99"/>
      <c r="AZ592" s="99"/>
      <c r="BH592" s="100"/>
      <c r="BI592" s="100"/>
      <c r="BJ592" s="100"/>
      <c r="BK592" s="101"/>
      <c r="BL592" s="80"/>
      <c r="BM592" s="102"/>
      <c r="BN592" s="102"/>
      <c r="BO592" s="103"/>
      <c r="BP592" s="104"/>
      <c r="BQ592" s="28"/>
      <c r="BR592" s="102"/>
      <c r="BS592" s="102"/>
      <c r="BT592" s="102"/>
      <c r="BU592" s="102"/>
      <c r="BV592" s="105"/>
      <c r="BW592" s="101"/>
      <c r="BX592" s="105"/>
      <c r="BY592" s="11"/>
      <c r="BZ592" s="106"/>
      <c r="CA592" s="101"/>
      <c r="CB592" s="107"/>
      <c r="CC592" s="11"/>
      <c r="CD592" s="101"/>
      <c r="CE592" s="108"/>
      <c r="CF592" s="8"/>
      <c r="DX592" s="99"/>
      <c r="DY592" s="99"/>
      <c r="DZ592" s="99"/>
      <c r="EH592" s="100"/>
      <c r="EI592" s="100"/>
      <c r="EJ592" s="100"/>
      <c r="EK592" s="101"/>
      <c r="EL592" s="80"/>
      <c r="EM592" s="102"/>
      <c r="EN592" s="102"/>
      <c r="EO592" s="103"/>
      <c r="EP592" s="104"/>
      <c r="EQ592" s="28"/>
      <c r="ER592" s="102"/>
      <c r="ES592" s="102"/>
      <c r="ET592" s="102"/>
      <c r="EU592" s="102"/>
      <c r="EV592" s="105"/>
      <c r="EW592" s="101"/>
      <c r="EX592" s="105"/>
      <c r="EY592" s="11"/>
      <c r="EZ592" s="106"/>
      <c r="FA592" s="101"/>
      <c r="FB592" s="107"/>
      <c r="FC592" s="11"/>
      <c r="FD592" s="101"/>
      <c r="FE592" s="108"/>
      <c r="FF592" s="8"/>
    </row>
    <row r="593" spans="50:162">
      <c r="AX593" s="99"/>
      <c r="AY593" s="99"/>
      <c r="AZ593" s="99"/>
      <c r="BH593" s="100"/>
      <c r="BI593" s="100"/>
      <c r="BJ593" s="100"/>
      <c r="BK593" s="101"/>
      <c r="BL593" s="80"/>
      <c r="BM593" s="102"/>
      <c r="BN593" s="102"/>
      <c r="BO593" s="103"/>
      <c r="BP593" s="104"/>
      <c r="BQ593" s="28"/>
      <c r="BR593" s="102"/>
      <c r="BS593" s="102"/>
      <c r="BT593" s="102"/>
      <c r="BU593" s="102"/>
      <c r="BV593" s="105"/>
      <c r="BW593" s="101"/>
      <c r="BX593" s="105"/>
      <c r="BY593" s="11"/>
      <c r="BZ593" s="106"/>
      <c r="CA593" s="101"/>
      <c r="CB593" s="107"/>
      <c r="CC593" s="11"/>
      <c r="CD593" s="101"/>
      <c r="CE593" s="108"/>
      <c r="CF593" s="8"/>
      <c r="DX593" s="99"/>
      <c r="DY593" s="99"/>
      <c r="DZ593" s="99"/>
      <c r="EH593" s="100"/>
      <c r="EI593" s="100"/>
      <c r="EJ593" s="100"/>
      <c r="EK593" s="101"/>
      <c r="EL593" s="80"/>
      <c r="EM593" s="102"/>
      <c r="EN593" s="102"/>
      <c r="EO593" s="103"/>
      <c r="EP593" s="104"/>
      <c r="EQ593" s="28"/>
      <c r="ER593" s="102"/>
      <c r="ES593" s="102"/>
      <c r="ET593" s="102"/>
      <c r="EU593" s="102"/>
      <c r="EV593" s="105"/>
      <c r="EW593" s="101"/>
      <c r="EX593" s="105"/>
      <c r="EY593" s="11"/>
      <c r="EZ593" s="106"/>
      <c r="FA593" s="101"/>
      <c r="FB593" s="107"/>
      <c r="FC593" s="11"/>
      <c r="FD593" s="101"/>
      <c r="FE593" s="108"/>
      <c r="FF593" s="8"/>
    </row>
    <row r="594" spans="50:162">
      <c r="AX594" s="99"/>
      <c r="AY594" s="99"/>
      <c r="AZ594" s="99"/>
      <c r="BH594" s="100"/>
      <c r="BI594" s="100"/>
      <c r="BJ594" s="100"/>
      <c r="BK594" s="101"/>
      <c r="BL594" s="80"/>
      <c r="BM594" s="102"/>
      <c r="BN594" s="102"/>
      <c r="BO594" s="103"/>
      <c r="BP594" s="104"/>
      <c r="BQ594" s="28"/>
      <c r="BR594" s="102"/>
      <c r="BS594" s="102"/>
      <c r="BT594" s="102"/>
      <c r="BU594" s="102"/>
      <c r="BV594" s="105"/>
      <c r="BW594" s="101"/>
      <c r="BX594" s="105"/>
      <c r="BY594" s="11"/>
      <c r="BZ594" s="106"/>
      <c r="CA594" s="101"/>
      <c r="CB594" s="107"/>
      <c r="CC594" s="11"/>
      <c r="CD594" s="101"/>
      <c r="CE594" s="108"/>
      <c r="CF594" s="8"/>
      <c r="DX594" s="99"/>
      <c r="DY594" s="99"/>
      <c r="DZ594" s="99"/>
      <c r="EH594" s="100"/>
      <c r="EI594" s="100"/>
      <c r="EJ594" s="100"/>
      <c r="EK594" s="101"/>
      <c r="EL594" s="80"/>
      <c r="EM594" s="102"/>
      <c r="EN594" s="102"/>
      <c r="EO594" s="103"/>
      <c r="EP594" s="104"/>
      <c r="EQ594" s="28"/>
      <c r="ER594" s="102"/>
      <c r="ES594" s="102"/>
      <c r="ET594" s="102"/>
      <c r="EU594" s="102"/>
      <c r="EV594" s="105"/>
      <c r="EW594" s="101"/>
      <c r="EX594" s="105"/>
      <c r="EY594" s="11"/>
      <c r="EZ594" s="106"/>
      <c r="FA594" s="101"/>
      <c r="FB594" s="107"/>
      <c r="FC594" s="11"/>
      <c r="FD594" s="101"/>
      <c r="FE594" s="108"/>
      <c r="FF594" s="8"/>
    </row>
    <row r="595" spans="50:162">
      <c r="AX595" s="99"/>
      <c r="AY595" s="99"/>
      <c r="AZ595" s="99"/>
      <c r="BH595" s="100"/>
      <c r="BI595" s="100"/>
      <c r="BJ595" s="100"/>
      <c r="BK595" s="101"/>
      <c r="BL595" s="80"/>
      <c r="BM595" s="102"/>
      <c r="BN595" s="102"/>
      <c r="BO595" s="103"/>
      <c r="BP595" s="104"/>
      <c r="BQ595" s="28"/>
      <c r="BR595" s="102"/>
      <c r="BS595" s="102"/>
      <c r="BT595" s="102"/>
      <c r="BU595" s="102"/>
      <c r="BV595" s="105"/>
      <c r="BW595" s="101"/>
      <c r="BX595" s="105"/>
      <c r="BY595" s="11"/>
      <c r="BZ595" s="106"/>
      <c r="CA595" s="101"/>
      <c r="CB595" s="107"/>
      <c r="CC595" s="11"/>
      <c r="CD595" s="101"/>
      <c r="CE595" s="108"/>
      <c r="CF595" s="8"/>
      <c r="DX595" s="99"/>
      <c r="DY595" s="99"/>
      <c r="DZ595" s="99"/>
      <c r="EH595" s="100"/>
      <c r="EI595" s="100"/>
      <c r="EJ595" s="100"/>
      <c r="EK595" s="101"/>
      <c r="EL595" s="80"/>
      <c r="EM595" s="102"/>
      <c r="EN595" s="102"/>
      <c r="EO595" s="103"/>
      <c r="EP595" s="104"/>
      <c r="EQ595" s="28"/>
      <c r="ER595" s="102"/>
      <c r="ES595" s="102"/>
      <c r="ET595" s="102"/>
      <c r="EU595" s="102"/>
      <c r="EV595" s="105"/>
      <c r="EW595" s="101"/>
      <c r="EX595" s="105"/>
      <c r="EY595" s="11"/>
      <c r="EZ595" s="106"/>
      <c r="FA595" s="101"/>
      <c r="FB595" s="107"/>
      <c r="FC595" s="11"/>
      <c r="FD595" s="101"/>
      <c r="FE595" s="108"/>
      <c r="FF595" s="8"/>
    </row>
    <row r="596" spans="50:162">
      <c r="AX596" s="99"/>
      <c r="AY596" s="99"/>
      <c r="AZ596" s="99"/>
      <c r="BH596" s="100"/>
      <c r="BI596" s="100"/>
      <c r="BJ596" s="100"/>
      <c r="BK596" s="101"/>
      <c r="BL596" s="80"/>
      <c r="BM596" s="102"/>
      <c r="BN596" s="102"/>
      <c r="BO596" s="103"/>
      <c r="BP596" s="104"/>
      <c r="BQ596" s="28"/>
      <c r="BR596" s="102"/>
      <c r="BS596" s="102"/>
      <c r="BT596" s="102"/>
      <c r="BU596" s="102"/>
      <c r="BV596" s="105"/>
      <c r="BW596" s="101"/>
      <c r="BX596" s="105"/>
      <c r="BY596" s="11"/>
      <c r="BZ596" s="106"/>
      <c r="CA596" s="101"/>
      <c r="CB596" s="107"/>
      <c r="CC596" s="11"/>
      <c r="CD596" s="101"/>
      <c r="CE596" s="108"/>
      <c r="CF596" s="8"/>
      <c r="DX596" s="99"/>
      <c r="DY596" s="99"/>
      <c r="DZ596" s="99"/>
      <c r="EH596" s="100"/>
      <c r="EI596" s="100"/>
      <c r="EJ596" s="100"/>
      <c r="EK596" s="101"/>
      <c r="EL596" s="80"/>
      <c r="EM596" s="102"/>
      <c r="EN596" s="102"/>
      <c r="EO596" s="103"/>
      <c r="EP596" s="104"/>
      <c r="EQ596" s="28"/>
      <c r="ER596" s="102"/>
      <c r="ES596" s="102"/>
      <c r="ET596" s="102"/>
      <c r="EU596" s="102"/>
      <c r="EV596" s="105"/>
      <c r="EW596" s="101"/>
      <c r="EX596" s="105"/>
      <c r="EY596" s="11"/>
      <c r="EZ596" s="106"/>
      <c r="FA596" s="101"/>
      <c r="FB596" s="107"/>
      <c r="FC596" s="11"/>
      <c r="FD596" s="101"/>
      <c r="FE596" s="108"/>
      <c r="FF596" s="8"/>
    </row>
    <row r="597" spans="50:162">
      <c r="AX597" s="99"/>
      <c r="AY597" s="99"/>
      <c r="AZ597" s="99"/>
      <c r="BH597" s="100"/>
      <c r="BI597" s="100"/>
      <c r="BJ597" s="100"/>
      <c r="BK597" s="101"/>
      <c r="BL597" s="80"/>
      <c r="BM597" s="102"/>
      <c r="BN597" s="102"/>
      <c r="BO597" s="103"/>
      <c r="BP597" s="104"/>
      <c r="BQ597" s="28"/>
      <c r="BR597" s="102"/>
      <c r="BS597" s="102"/>
      <c r="BT597" s="102"/>
      <c r="BU597" s="102"/>
      <c r="BV597" s="105"/>
      <c r="BW597" s="101"/>
      <c r="BX597" s="105"/>
      <c r="BY597" s="11"/>
      <c r="BZ597" s="106"/>
      <c r="CA597" s="101"/>
      <c r="CB597" s="107"/>
      <c r="CC597" s="11"/>
      <c r="CD597" s="101"/>
      <c r="CE597" s="108"/>
      <c r="CF597" s="8"/>
      <c r="DX597" s="99"/>
      <c r="DY597" s="99"/>
      <c r="DZ597" s="99"/>
      <c r="EH597" s="100"/>
      <c r="EI597" s="100"/>
      <c r="EJ597" s="100"/>
      <c r="EK597" s="101"/>
      <c r="EL597" s="80"/>
      <c r="EM597" s="102"/>
      <c r="EN597" s="102"/>
      <c r="EO597" s="103"/>
      <c r="EP597" s="104"/>
      <c r="EQ597" s="28"/>
      <c r="ER597" s="102"/>
      <c r="ES597" s="102"/>
      <c r="ET597" s="102"/>
      <c r="EU597" s="102"/>
      <c r="EV597" s="105"/>
      <c r="EW597" s="101"/>
      <c r="EX597" s="105"/>
      <c r="EY597" s="11"/>
      <c r="EZ597" s="106"/>
      <c r="FA597" s="101"/>
      <c r="FB597" s="107"/>
      <c r="FC597" s="11"/>
      <c r="FD597" s="101"/>
      <c r="FE597" s="108"/>
      <c r="FF597" s="8"/>
    </row>
    <row r="598" spans="50:162">
      <c r="AX598" s="99"/>
      <c r="AY598" s="99"/>
      <c r="AZ598" s="99"/>
      <c r="BH598" s="100"/>
      <c r="BI598" s="100"/>
      <c r="BJ598" s="100"/>
      <c r="BK598" s="101"/>
      <c r="BL598" s="80"/>
      <c r="BM598" s="102"/>
      <c r="BN598" s="102"/>
      <c r="BO598" s="103"/>
      <c r="BP598" s="104"/>
      <c r="BQ598" s="28"/>
      <c r="BR598" s="102"/>
      <c r="BS598" s="102"/>
      <c r="BT598" s="102"/>
      <c r="BU598" s="102"/>
      <c r="BV598" s="105"/>
      <c r="BW598" s="101"/>
      <c r="BX598" s="105"/>
      <c r="BY598" s="11"/>
      <c r="BZ598" s="106"/>
      <c r="CA598" s="101"/>
      <c r="CB598" s="107"/>
      <c r="CC598" s="11"/>
      <c r="CD598" s="101"/>
      <c r="CE598" s="108"/>
      <c r="CF598" s="8"/>
      <c r="DX598" s="99"/>
      <c r="DY598" s="99"/>
      <c r="DZ598" s="99"/>
      <c r="EH598" s="100"/>
      <c r="EI598" s="100"/>
      <c r="EJ598" s="100"/>
      <c r="EK598" s="101"/>
      <c r="EL598" s="80"/>
      <c r="EM598" s="102"/>
      <c r="EN598" s="102"/>
      <c r="EO598" s="103"/>
      <c r="EP598" s="104"/>
      <c r="EQ598" s="28"/>
      <c r="ER598" s="102"/>
      <c r="ES598" s="102"/>
      <c r="ET598" s="102"/>
      <c r="EU598" s="102"/>
      <c r="EV598" s="105"/>
      <c r="EW598" s="101"/>
      <c r="EX598" s="105"/>
      <c r="EY598" s="11"/>
      <c r="EZ598" s="106"/>
      <c r="FA598" s="101"/>
      <c r="FB598" s="107"/>
      <c r="FC598" s="11"/>
      <c r="FD598" s="101"/>
      <c r="FE598" s="108"/>
      <c r="FF598" s="8"/>
    </row>
    <row r="599" spans="50:162">
      <c r="AX599" s="99"/>
      <c r="AY599" s="99"/>
      <c r="AZ599" s="99"/>
      <c r="BH599" s="100"/>
      <c r="BI599" s="100"/>
      <c r="BJ599" s="100"/>
      <c r="BK599" s="101"/>
      <c r="BL599" s="80"/>
      <c r="BM599" s="102"/>
      <c r="BN599" s="102"/>
      <c r="BO599" s="103"/>
      <c r="BP599" s="104"/>
      <c r="BQ599" s="28"/>
      <c r="BR599" s="102"/>
      <c r="BS599" s="102"/>
      <c r="BT599" s="102"/>
      <c r="BU599" s="102"/>
      <c r="BV599" s="105"/>
      <c r="BW599" s="101"/>
      <c r="BX599" s="105"/>
      <c r="BY599" s="11"/>
      <c r="BZ599" s="106"/>
      <c r="CA599" s="101"/>
      <c r="CB599" s="107"/>
      <c r="CC599" s="11"/>
      <c r="CD599" s="101"/>
      <c r="CE599" s="108"/>
      <c r="CF599" s="8"/>
      <c r="DX599" s="99"/>
      <c r="DY599" s="99"/>
      <c r="DZ599" s="99"/>
      <c r="EH599" s="100"/>
      <c r="EI599" s="100"/>
      <c r="EJ599" s="100"/>
      <c r="EK599" s="101"/>
      <c r="EL599" s="80"/>
      <c r="EM599" s="102"/>
      <c r="EN599" s="102"/>
      <c r="EO599" s="103"/>
      <c r="EP599" s="104"/>
      <c r="EQ599" s="28"/>
      <c r="ER599" s="102"/>
      <c r="ES599" s="102"/>
      <c r="ET599" s="102"/>
      <c r="EU599" s="102"/>
      <c r="EV599" s="105"/>
      <c r="EW599" s="101"/>
      <c r="EX599" s="105"/>
      <c r="EY599" s="11"/>
      <c r="EZ599" s="106"/>
      <c r="FA599" s="101"/>
      <c r="FB599" s="107"/>
      <c r="FC599" s="11"/>
      <c r="FD599" s="101"/>
      <c r="FE599" s="108"/>
      <c r="FF599" s="8"/>
    </row>
    <row r="600" spans="50:162">
      <c r="AX600" s="99"/>
      <c r="AY600" s="99"/>
      <c r="AZ600" s="99"/>
      <c r="BH600" s="100"/>
      <c r="BI600" s="100"/>
      <c r="BJ600" s="100"/>
      <c r="BK600" s="101"/>
      <c r="BL600" s="80"/>
      <c r="BM600" s="102"/>
      <c r="BN600" s="102"/>
      <c r="BO600" s="103"/>
      <c r="BP600" s="104"/>
      <c r="BQ600" s="28"/>
      <c r="BR600" s="102"/>
      <c r="BS600" s="102"/>
      <c r="BT600" s="102"/>
      <c r="BU600" s="102"/>
      <c r="BV600" s="105"/>
      <c r="BW600" s="101"/>
      <c r="BX600" s="105"/>
      <c r="BY600" s="11"/>
      <c r="BZ600" s="106"/>
      <c r="CA600" s="101"/>
      <c r="CB600" s="107"/>
      <c r="CC600" s="11"/>
      <c r="CD600" s="101"/>
      <c r="CE600" s="108"/>
      <c r="CF600" s="8"/>
      <c r="DX600" s="99"/>
      <c r="DY600" s="99"/>
      <c r="DZ600" s="99"/>
      <c r="EH600" s="100"/>
      <c r="EI600" s="100"/>
      <c r="EJ600" s="100"/>
      <c r="EK600" s="101"/>
      <c r="EL600" s="80"/>
      <c r="EM600" s="102"/>
      <c r="EN600" s="102"/>
      <c r="EO600" s="103"/>
      <c r="EP600" s="104"/>
      <c r="EQ600" s="28"/>
      <c r="ER600" s="102"/>
      <c r="ES600" s="102"/>
      <c r="ET600" s="102"/>
      <c r="EU600" s="102"/>
      <c r="EV600" s="105"/>
      <c r="EW600" s="101"/>
      <c r="EX600" s="105"/>
      <c r="EY600" s="11"/>
      <c r="EZ600" s="106"/>
      <c r="FA600" s="101"/>
      <c r="FB600" s="107"/>
      <c r="FC600" s="11"/>
      <c r="FD600" s="101"/>
      <c r="FE600" s="108"/>
      <c r="FF600" s="8"/>
    </row>
    <row r="601" spans="50:162">
      <c r="AX601" s="99"/>
      <c r="AY601" s="99"/>
      <c r="AZ601" s="99"/>
      <c r="BH601" s="100"/>
      <c r="BI601" s="100"/>
      <c r="BJ601" s="100"/>
      <c r="BK601" s="101"/>
      <c r="BL601" s="80"/>
      <c r="BM601" s="102"/>
      <c r="BN601" s="102"/>
      <c r="BO601" s="103"/>
      <c r="BP601" s="104"/>
      <c r="BQ601" s="28"/>
      <c r="BR601" s="102"/>
      <c r="BS601" s="102"/>
      <c r="BT601" s="102"/>
      <c r="BU601" s="102"/>
      <c r="BV601" s="105"/>
      <c r="BW601" s="101"/>
      <c r="BX601" s="105"/>
      <c r="BY601" s="11"/>
      <c r="BZ601" s="106"/>
      <c r="CA601" s="101"/>
      <c r="CB601" s="107"/>
      <c r="CC601" s="11"/>
      <c r="CD601" s="101"/>
      <c r="CE601" s="108"/>
      <c r="CF601" s="8"/>
      <c r="DX601" s="99"/>
      <c r="DY601" s="99"/>
      <c r="DZ601" s="99"/>
      <c r="EH601" s="100"/>
      <c r="EI601" s="100"/>
      <c r="EJ601" s="100"/>
      <c r="EK601" s="101"/>
      <c r="EL601" s="80"/>
      <c r="EM601" s="102"/>
      <c r="EN601" s="102"/>
      <c r="EO601" s="103"/>
      <c r="EP601" s="104"/>
      <c r="EQ601" s="28"/>
      <c r="ER601" s="102"/>
      <c r="ES601" s="102"/>
      <c r="ET601" s="102"/>
      <c r="EU601" s="102"/>
      <c r="EV601" s="105"/>
      <c r="EW601" s="101"/>
      <c r="EX601" s="105"/>
      <c r="EY601" s="11"/>
      <c r="EZ601" s="106"/>
      <c r="FA601" s="101"/>
      <c r="FB601" s="107"/>
      <c r="FC601" s="11"/>
      <c r="FD601" s="101"/>
      <c r="FE601" s="108"/>
      <c r="FF601" s="8"/>
    </row>
    <row r="602" spans="50:162">
      <c r="AX602" s="99"/>
      <c r="AY602" s="99"/>
      <c r="AZ602" s="99"/>
      <c r="BH602" s="100"/>
      <c r="BI602" s="100"/>
      <c r="BJ602" s="100"/>
      <c r="BK602" s="101"/>
      <c r="BL602" s="80"/>
      <c r="BM602" s="102"/>
      <c r="BN602" s="102"/>
      <c r="BO602" s="103"/>
      <c r="BP602" s="104"/>
      <c r="BQ602" s="28"/>
      <c r="BR602" s="102"/>
      <c r="BS602" s="102"/>
      <c r="BT602" s="102"/>
      <c r="BU602" s="102"/>
      <c r="BV602" s="105"/>
      <c r="BW602" s="101"/>
      <c r="BX602" s="105"/>
      <c r="BY602" s="11"/>
      <c r="BZ602" s="106"/>
      <c r="CA602" s="101"/>
      <c r="CB602" s="107"/>
      <c r="CC602" s="11"/>
      <c r="CD602" s="101"/>
      <c r="CE602" s="108"/>
      <c r="CF602" s="8"/>
      <c r="DX602" s="99"/>
      <c r="DY602" s="99"/>
      <c r="DZ602" s="99"/>
      <c r="EH602" s="100"/>
      <c r="EI602" s="100"/>
      <c r="EJ602" s="100"/>
      <c r="EK602" s="101"/>
      <c r="EL602" s="80"/>
      <c r="EM602" s="102"/>
      <c r="EN602" s="102"/>
      <c r="EO602" s="103"/>
      <c r="EP602" s="104"/>
      <c r="EQ602" s="28"/>
      <c r="ER602" s="102"/>
      <c r="ES602" s="102"/>
      <c r="ET602" s="102"/>
      <c r="EU602" s="102"/>
      <c r="EV602" s="105"/>
      <c r="EW602" s="101"/>
      <c r="EX602" s="105"/>
      <c r="EY602" s="11"/>
      <c r="EZ602" s="106"/>
      <c r="FA602" s="101"/>
      <c r="FB602" s="107"/>
      <c r="FC602" s="11"/>
      <c r="FD602" s="101"/>
      <c r="FE602" s="108"/>
      <c r="FF602" s="8"/>
    </row>
    <row r="603" spans="50:162">
      <c r="AX603" s="99"/>
      <c r="AY603" s="99"/>
      <c r="AZ603" s="99"/>
      <c r="BH603" s="100"/>
      <c r="BI603" s="100"/>
      <c r="BJ603" s="100"/>
      <c r="BK603" s="101"/>
      <c r="BL603" s="80"/>
      <c r="BM603" s="102"/>
      <c r="BN603" s="102"/>
      <c r="BO603" s="103"/>
      <c r="BP603" s="104"/>
      <c r="BQ603" s="28"/>
      <c r="BR603" s="102"/>
      <c r="BS603" s="102"/>
      <c r="BT603" s="102"/>
      <c r="BU603" s="102"/>
      <c r="BV603" s="105"/>
      <c r="BW603" s="101"/>
      <c r="BX603" s="105"/>
      <c r="BY603" s="11"/>
      <c r="BZ603" s="106"/>
      <c r="CA603" s="101"/>
      <c r="CB603" s="107"/>
      <c r="CC603" s="11"/>
      <c r="CD603" s="101"/>
      <c r="CE603" s="108"/>
      <c r="CF603" s="8"/>
      <c r="DX603" s="99"/>
      <c r="DY603" s="99"/>
      <c r="DZ603" s="99"/>
      <c r="EH603" s="100"/>
      <c r="EI603" s="100"/>
      <c r="EJ603" s="100"/>
      <c r="EK603" s="101"/>
      <c r="EL603" s="80"/>
      <c r="EM603" s="102"/>
      <c r="EN603" s="102"/>
      <c r="EO603" s="103"/>
      <c r="EP603" s="104"/>
      <c r="EQ603" s="28"/>
      <c r="ER603" s="102"/>
      <c r="ES603" s="102"/>
      <c r="ET603" s="102"/>
      <c r="EU603" s="102"/>
      <c r="EV603" s="105"/>
      <c r="EW603" s="101"/>
      <c r="EX603" s="105"/>
      <c r="EY603" s="11"/>
      <c r="EZ603" s="106"/>
      <c r="FA603" s="101"/>
      <c r="FB603" s="107"/>
      <c r="FC603" s="11"/>
      <c r="FD603" s="101"/>
      <c r="FE603" s="108"/>
      <c r="FF603" s="8"/>
    </row>
    <row r="604" spans="50:162">
      <c r="AX604" s="99"/>
      <c r="AY604" s="99"/>
      <c r="AZ604" s="99"/>
      <c r="BH604" s="100"/>
      <c r="BI604" s="100"/>
      <c r="BJ604" s="100"/>
      <c r="BK604" s="101"/>
      <c r="BL604" s="80"/>
      <c r="BM604" s="102"/>
      <c r="BN604" s="102"/>
      <c r="BO604" s="103"/>
      <c r="BP604" s="104"/>
      <c r="BQ604" s="28"/>
      <c r="BR604" s="102"/>
      <c r="BS604" s="102"/>
      <c r="BT604" s="102"/>
      <c r="BU604" s="102"/>
      <c r="BV604" s="105"/>
      <c r="BW604" s="101"/>
      <c r="BX604" s="105"/>
      <c r="BY604" s="11"/>
      <c r="BZ604" s="106"/>
      <c r="CA604" s="101"/>
      <c r="CB604" s="107"/>
      <c r="CC604" s="11"/>
      <c r="CD604" s="101"/>
      <c r="CE604" s="108"/>
      <c r="CF604" s="8"/>
      <c r="DX604" s="99"/>
      <c r="DY604" s="99"/>
      <c r="DZ604" s="99"/>
      <c r="EH604" s="100"/>
      <c r="EI604" s="100"/>
      <c r="EJ604" s="100"/>
      <c r="EK604" s="101"/>
      <c r="EL604" s="80"/>
      <c r="EM604" s="102"/>
      <c r="EN604" s="102"/>
      <c r="EO604" s="103"/>
      <c r="EP604" s="104"/>
      <c r="EQ604" s="28"/>
      <c r="ER604" s="102"/>
      <c r="ES604" s="102"/>
      <c r="ET604" s="102"/>
      <c r="EU604" s="102"/>
      <c r="EV604" s="105"/>
      <c r="EW604" s="101"/>
      <c r="EX604" s="105"/>
      <c r="EY604" s="11"/>
      <c r="EZ604" s="106"/>
      <c r="FA604" s="101"/>
      <c r="FB604" s="107"/>
      <c r="FC604" s="11"/>
      <c r="FD604" s="101"/>
      <c r="FE604" s="108"/>
      <c r="FF604" s="8"/>
    </row>
    <row r="605" spans="50:162">
      <c r="AX605" s="99"/>
      <c r="AY605" s="99"/>
      <c r="AZ605" s="99"/>
      <c r="BH605" s="100"/>
      <c r="BI605" s="100"/>
      <c r="BJ605" s="100"/>
      <c r="BK605" s="101"/>
      <c r="BL605" s="80"/>
      <c r="BM605" s="102"/>
      <c r="BN605" s="102"/>
      <c r="BO605" s="103"/>
      <c r="BP605" s="104"/>
      <c r="BQ605" s="28"/>
      <c r="BR605" s="102"/>
      <c r="BS605" s="102"/>
      <c r="BT605" s="102"/>
      <c r="BU605" s="102"/>
      <c r="BV605" s="105"/>
      <c r="BW605" s="101"/>
      <c r="BX605" s="105"/>
      <c r="BY605" s="11"/>
      <c r="BZ605" s="106"/>
      <c r="CA605" s="101"/>
      <c r="CB605" s="107"/>
      <c r="CC605" s="11"/>
      <c r="CD605" s="101"/>
      <c r="CE605" s="108"/>
      <c r="CF605" s="8"/>
      <c r="DX605" s="99"/>
      <c r="DY605" s="99"/>
      <c r="DZ605" s="99"/>
      <c r="EH605" s="100"/>
      <c r="EI605" s="100"/>
      <c r="EJ605" s="100"/>
      <c r="EK605" s="101"/>
      <c r="EL605" s="80"/>
      <c r="EM605" s="102"/>
      <c r="EN605" s="102"/>
      <c r="EO605" s="103"/>
      <c r="EP605" s="104"/>
      <c r="EQ605" s="28"/>
      <c r="ER605" s="102"/>
      <c r="ES605" s="102"/>
      <c r="ET605" s="102"/>
      <c r="EU605" s="102"/>
      <c r="EV605" s="105"/>
      <c r="EW605" s="101"/>
      <c r="EX605" s="105"/>
      <c r="EY605" s="11"/>
      <c r="EZ605" s="106"/>
      <c r="FA605" s="101"/>
      <c r="FB605" s="107"/>
      <c r="FC605" s="11"/>
      <c r="FD605" s="101"/>
      <c r="FE605" s="108"/>
      <c r="FF605" s="8"/>
    </row>
    <row r="606" spans="50:162">
      <c r="AX606" s="99"/>
      <c r="AY606" s="99"/>
      <c r="AZ606" s="99"/>
      <c r="BH606" s="100"/>
      <c r="BI606" s="100"/>
      <c r="BJ606" s="100"/>
      <c r="BK606" s="101"/>
      <c r="BL606" s="80"/>
      <c r="BM606" s="102"/>
      <c r="BN606" s="102"/>
      <c r="BO606" s="103"/>
      <c r="BP606" s="104"/>
      <c r="BQ606" s="28"/>
      <c r="BR606" s="102"/>
      <c r="BS606" s="102"/>
      <c r="BT606" s="102"/>
      <c r="BU606" s="102"/>
      <c r="BV606" s="105"/>
      <c r="BW606" s="101"/>
      <c r="BX606" s="105"/>
      <c r="BY606" s="11"/>
      <c r="BZ606" s="106"/>
      <c r="CA606" s="101"/>
      <c r="CB606" s="107"/>
      <c r="CC606" s="11"/>
      <c r="CD606" s="101"/>
      <c r="CE606" s="108"/>
      <c r="CF606" s="8"/>
      <c r="DX606" s="99"/>
      <c r="DY606" s="99"/>
      <c r="DZ606" s="99"/>
      <c r="EH606" s="100"/>
      <c r="EI606" s="100"/>
      <c r="EJ606" s="100"/>
      <c r="EK606" s="101"/>
      <c r="EL606" s="80"/>
      <c r="EM606" s="102"/>
      <c r="EN606" s="102"/>
      <c r="EO606" s="103"/>
      <c r="EP606" s="104"/>
      <c r="EQ606" s="28"/>
      <c r="ER606" s="102"/>
      <c r="ES606" s="102"/>
      <c r="ET606" s="102"/>
      <c r="EU606" s="102"/>
      <c r="EV606" s="105"/>
      <c r="EW606" s="101"/>
      <c r="EX606" s="105"/>
      <c r="EY606" s="11"/>
      <c r="EZ606" s="106"/>
      <c r="FA606" s="101"/>
      <c r="FB606" s="107"/>
      <c r="FC606" s="11"/>
      <c r="FD606" s="101"/>
      <c r="FE606" s="108"/>
      <c r="FF606" s="8"/>
    </row>
    <row r="607" spans="50:162">
      <c r="AX607" s="99"/>
      <c r="AY607" s="99"/>
      <c r="AZ607" s="99"/>
      <c r="BH607" s="100"/>
      <c r="BI607" s="100"/>
      <c r="BJ607" s="100"/>
      <c r="BK607" s="101"/>
      <c r="BL607" s="80"/>
      <c r="BM607" s="102"/>
      <c r="BN607" s="102"/>
      <c r="BO607" s="103"/>
      <c r="BP607" s="104"/>
      <c r="BQ607" s="28"/>
      <c r="BR607" s="102"/>
      <c r="BS607" s="102"/>
      <c r="BT607" s="102"/>
      <c r="BU607" s="102"/>
      <c r="BV607" s="105"/>
      <c r="BW607" s="101"/>
      <c r="BX607" s="105"/>
      <c r="BY607" s="11"/>
      <c r="BZ607" s="106"/>
      <c r="CA607" s="101"/>
      <c r="CB607" s="107"/>
      <c r="CC607" s="11"/>
      <c r="CD607" s="101"/>
      <c r="CE607" s="108"/>
      <c r="CF607" s="8"/>
      <c r="DX607" s="99"/>
      <c r="DY607" s="99"/>
      <c r="DZ607" s="99"/>
      <c r="EH607" s="100"/>
      <c r="EI607" s="100"/>
      <c r="EJ607" s="100"/>
      <c r="EK607" s="101"/>
      <c r="EL607" s="80"/>
      <c r="EM607" s="102"/>
      <c r="EN607" s="102"/>
      <c r="EO607" s="103"/>
      <c r="EP607" s="104"/>
      <c r="EQ607" s="28"/>
      <c r="ER607" s="102"/>
      <c r="ES607" s="102"/>
      <c r="ET607" s="102"/>
      <c r="EU607" s="102"/>
      <c r="EV607" s="105"/>
      <c r="EW607" s="101"/>
      <c r="EX607" s="105"/>
      <c r="EY607" s="11"/>
      <c r="EZ607" s="106"/>
      <c r="FA607" s="101"/>
      <c r="FB607" s="107"/>
      <c r="FC607" s="11"/>
      <c r="FD607" s="101"/>
      <c r="FE607" s="108"/>
      <c r="FF607" s="8"/>
    </row>
    <row r="608" spans="50:162">
      <c r="AX608" s="99"/>
      <c r="AY608" s="99"/>
      <c r="AZ608" s="99"/>
      <c r="BH608" s="100"/>
      <c r="BI608" s="100"/>
      <c r="BJ608" s="100"/>
      <c r="BK608" s="101"/>
      <c r="BL608" s="80"/>
      <c r="BM608" s="102"/>
      <c r="BN608" s="102"/>
      <c r="BO608" s="103"/>
      <c r="BP608" s="104"/>
      <c r="BQ608" s="28"/>
      <c r="BR608" s="102"/>
      <c r="BS608" s="102"/>
      <c r="BT608" s="102"/>
      <c r="BU608" s="102"/>
      <c r="BV608" s="105"/>
      <c r="BW608" s="101"/>
      <c r="BX608" s="105"/>
      <c r="BY608" s="11"/>
      <c r="BZ608" s="106"/>
      <c r="CA608" s="101"/>
      <c r="CB608" s="107"/>
      <c r="CC608" s="11"/>
      <c r="CD608" s="101"/>
      <c r="CE608" s="108"/>
      <c r="CF608" s="8"/>
      <c r="DX608" s="99"/>
      <c r="DY608" s="99"/>
      <c r="DZ608" s="99"/>
      <c r="EH608" s="100"/>
      <c r="EI608" s="100"/>
      <c r="EJ608" s="100"/>
      <c r="EK608" s="101"/>
      <c r="EL608" s="80"/>
      <c r="EM608" s="102"/>
      <c r="EN608" s="102"/>
      <c r="EO608" s="103"/>
      <c r="EP608" s="104"/>
      <c r="EQ608" s="28"/>
      <c r="ER608" s="102"/>
      <c r="ES608" s="102"/>
      <c r="ET608" s="102"/>
      <c r="EU608" s="102"/>
      <c r="EV608" s="105"/>
      <c r="EW608" s="101"/>
      <c r="EX608" s="105"/>
      <c r="EY608" s="11"/>
      <c r="EZ608" s="106"/>
      <c r="FA608" s="101"/>
      <c r="FB608" s="107"/>
      <c r="FC608" s="11"/>
      <c r="FD608" s="101"/>
      <c r="FE608" s="108"/>
      <c r="FF608" s="8"/>
    </row>
    <row r="609" spans="50:162">
      <c r="AX609" s="99"/>
      <c r="AY609" s="99"/>
      <c r="AZ609" s="99"/>
      <c r="BH609" s="100"/>
      <c r="BI609" s="100"/>
      <c r="BJ609" s="100"/>
      <c r="BK609" s="101"/>
      <c r="BL609" s="80"/>
      <c r="BM609" s="102"/>
      <c r="BN609" s="102"/>
      <c r="BO609" s="103"/>
      <c r="BP609" s="104"/>
      <c r="BQ609" s="28"/>
      <c r="BR609" s="102"/>
      <c r="BS609" s="102"/>
      <c r="BT609" s="102"/>
      <c r="BU609" s="102"/>
      <c r="BV609" s="105"/>
      <c r="BW609" s="101"/>
      <c r="BX609" s="105"/>
      <c r="BY609" s="11"/>
      <c r="BZ609" s="106"/>
      <c r="CA609" s="101"/>
      <c r="CB609" s="107"/>
      <c r="CC609" s="11"/>
      <c r="CD609" s="101"/>
      <c r="CE609" s="108"/>
      <c r="CF609" s="8"/>
      <c r="DX609" s="99"/>
      <c r="DY609" s="99"/>
      <c r="DZ609" s="99"/>
      <c r="EH609" s="100"/>
      <c r="EI609" s="100"/>
      <c r="EJ609" s="100"/>
      <c r="EK609" s="101"/>
      <c r="EL609" s="80"/>
      <c r="EM609" s="102"/>
      <c r="EN609" s="102"/>
      <c r="EO609" s="103"/>
      <c r="EP609" s="104"/>
      <c r="EQ609" s="28"/>
      <c r="ER609" s="102"/>
      <c r="ES609" s="102"/>
      <c r="ET609" s="102"/>
      <c r="EU609" s="102"/>
      <c r="EV609" s="105"/>
      <c r="EW609" s="101"/>
      <c r="EX609" s="105"/>
      <c r="EY609" s="11"/>
      <c r="EZ609" s="106"/>
      <c r="FA609" s="101"/>
      <c r="FB609" s="107"/>
      <c r="FC609" s="11"/>
      <c r="FD609" s="101"/>
      <c r="FE609" s="108"/>
      <c r="FF609" s="8"/>
    </row>
    <row r="610" spans="50:162">
      <c r="AX610" s="99"/>
      <c r="AY610" s="99"/>
      <c r="AZ610" s="99"/>
      <c r="BH610" s="100"/>
      <c r="BI610" s="100"/>
      <c r="BJ610" s="100"/>
      <c r="BK610" s="101"/>
      <c r="BL610" s="80"/>
      <c r="BM610" s="102"/>
      <c r="BN610" s="102"/>
      <c r="BO610" s="103"/>
      <c r="BP610" s="104"/>
      <c r="BQ610" s="28"/>
      <c r="BR610" s="102"/>
      <c r="BS610" s="102"/>
      <c r="BT610" s="102"/>
      <c r="BU610" s="102"/>
      <c r="BV610" s="105"/>
      <c r="BW610" s="101"/>
      <c r="BX610" s="105"/>
      <c r="BY610" s="11"/>
      <c r="BZ610" s="106"/>
      <c r="CA610" s="101"/>
      <c r="CB610" s="107"/>
      <c r="CC610" s="11"/>
      <c r="CD610" s="101"/>
      <c r="CE610" s="108"/>
      <c r="CF610" s="8"/>
      <c r="DX610" s="99"/>
      <c r="DY610" s="99"/>
      <c r="DZ610" s="99"/>
      <c r="EH610" s="100"/>
      <c r="EI610" s="100"/>
      <c r="EJ610" s="100"/>
      <c r="EK610" s="101"/>
      <c r="EL610" s="80"/>
      <c r="EM610" s="102"/>
      <c r="EN610" s="102"/>
      <c r="EO610" s="103"/>
      <c r="EP610" s="104"/>
      <c r="EQ610" s="28"/>
      <c r="ER610" s="102"/>
      <c r="ES610" s="102"/>
      <c r="ET610" s="102"/>
      <c r="EU610" s="102"/>
      <c r="EV610" s="105"/>
      <c r="EW610" s="101"/>
      <c r="EX610" s="105"/>
      <c r="EY610" s="11"/>
      <c r="EZ610" s="106"/>
      <c r="FA610" s="101"/>
      <c r="FB610" s="107"/>
      <c r="FC610" s="11"/>
      <c r="FD610" s="101"/>
      <c r="FE610" s="108"/>
      <c r="FF610" s="8"/>
    </row>
    <row r="611" spans="50:162">
      <c r="AX611" s="99"/>
      <c r="AY611" s="99"/>
      <c r="AZ611" s="99"/>
      <c r="BH611" s="100"/>
      <c r="BI611" s="100"/>
      <c r="BJ611" s="100"/>
      <c r="BK611" s="101"/>
      <c r="BL611" s="80"/>
      <c r="BM611" s="102"/>
      <c r="BN611" s="102"/>
      <c r="BO611" s="103"/>
      <c r="BP611" s="104"/>
      <c r="BQ611" s="28"/>
      <c r="BR611" s="102"/>
      <c r="BS611" s="102"/>
      <c r="BT611" s="102"/>
      <c r="BU611" s="102"/>
      <c r="BV611" s="105"/>
      <c r="BW611" s="101"/>
      <c r="BX611" s="105"/>
      <c r="BY611" s="11"/>
      <c r="BZ611" s="106"/>
      <c r="CA611" s="101"/>
      <c r="CB611" s="107"/>
      <c r="CC611" s="11"/>
      <c r="CD611" s="101"/>
      <c r="CE611" s="108"/>
      <c r="CF611" s="8"/>
      <c r="DX611" s="99"/>
      <c r="DY611" s="99"/>
      <c r="DZ611" s="99"/>
      <c r="EH611" s="100"/>
      <c r="EI611" s="100"/>
      <c r="EJ611" s="100"/>
      <c r="EK611" s="101"/>
      <c r="EL611" s="80"/>
      <c r="EM611" s="102"/>
      <c r="EN611" s="102"/>
      <c r="EO611" s="103"/>
      <c r="EP611" s="104"/>
      <c r="EQ611" s="28"/>
      <c r="ER611" s="102"/>
      <c r="ES611" s="102"/>
      <c r="ET611" s="102"/>
      <c r="EU611" s="102"/>
      <c r="EV611" s="105"/>
      <c r="EW611" s="101"/>
      <c r="EX611" s="105"/>
      <c r="EY611" s="11"/>
      <c r="EZ611" s="106"/>
      <c r="FA611" s="101"/>
      <c r="FB611" s="107"/>
      <c r="FC611" s="11"/>
      <c r="FD611" s="101"/>
      <c r="FE611" s="108"/>
      <c r="FF611" s="8"/>
    </row>
    <row r="612" spans="50:162">
      <c r="AX612" s="99"/>
      <c r="AY612" s="99"/>
      <c r="AZ612" s="99"/>
      <c r="BH612" s="100"/>
      <c r="BI612" s="100"/>
      <c r="BJ612" s="100"/>
      <c r="BK612" s="101"/>
      <c r="BL612" s="80"/>
      <c r="BM612" s="102"/>
      <c r="BN612" s="102"/>
      <c r="BO612" s="103"/>
      <c r="BP612" s="104"/>
      <c r="BQ612" s="28"/>
      <c r="BR612" s="102"/>
      <c r="BS612" s="102"/>
      <c r="BT612" s="102"/>
      <c r="BU612" s="102"/>
      <c r="BV612" s="105"/>
      <c r="BW612" s="101"/>
      <c r="BX612" s="105"/>
      <c r="BY612" s="11"/>
      <c r="BZ612" s="106"/>
      <c r="CA612" s="101"/>
      <c r="CB612" s="107"/>
      <c r="CC612" s="11"/>
      <c r="CD612" s="101"/>
      <c r="CE612" s="108"/>
      <c r="CF612" s="8"/>
      <c r="DX612" s="99"/>
      <c r="DY612" s="99"/>
      <c r="DZ612" s="99"/>
      <c r="EH612" s="100"/>
      <c r="EI612" s="100"/>
      <c r="EJ612" s="100"/>
      <c r="EK612" s="101"/>
      <c r="EL612" s="80"/>
      <c r="EM612" s="102"/>
      <c r="EN612" s="102"/>
      <c r="EO612" s="103"/>
      <c r="EP612" s="104"/>
      <c r="EQ612" s="28"/>
      <c r="ER612" s="102"/>
      <c r="ES612" s="102"/>
      <c r="ET612" s="102"/>
      <c r="EU612" s="102"/>
      <c r="EV612" s="105"/>
      <c r="EW612" s="101"/>
      <c r="EX612" s="105"/>
      <c r="EY612" s="11"/>
      <c r="EZ612" s="106"/>
      <c r="FA612" s="101"/>
      <c r="FB612" s="107"/>
      <c r="FC612" s="11"/>
      <c r="FD612" s="101"/>
      <c r="FE612" s="108"/>
      <c r="FF612" s="8"/>
    </row>
    <row r="613" spans="50:162">
      <c r="AX613" s="99"/>
      <c r="AY613" s="99"/>
      <c r="AZ613" s="99"/>
      <c r="BH613" s="100"/>
      <c r="BI613" s="100"/>
      <c r="BJ613" s="100"/>
      <c r="BK613" s="101"/>
      <c r="BL613" s="80"/>
      <c r="BM613" s="102"/>
      <c r="BN613" s="102"/>
      <c r="BO613" s="103"/>
      <c r="BP613" s="104"/>
      <c r="BQ613" s="28"/>
      <c r="BR613" s="102"/>
      <c r="BS613" s="102"/>
      <c r="BT613" s="102"/>
      <c r="BU613" s="102"/>
      <c r="BV613" s="105"/>
      <c r="BW613" s="101"/>
      <c r="BX613" s="105"/>
      <c r="BY613" s="11"/>
      <c r="BZ613" s="106"/>
      <c r="CA613" s="101"/>
      <c r="CB613" s="107"/>
      <c r="CC613" s="11"/>
      <c r="CD613" s="101"/>
      <c r="CE613" s="108"/>
      <c r="CF613" s="8"/>
      <c r="DX613" s="99"/>
      <c r="DY613" s="99"/>
      <c r="DZ613" s="99"/>
      <c r="EH613" s="100"/>
      <c r="EI613" s="100"/>
      <c r="EJ613" s="100"/>
      <c r="EK613" s="101"/>
      <c r="EL613" s="80"/>
      <c r="EM613" s="102"/>
      <c r="EN613" s="102"/>
      <c r="EO613" s="103"/>
      <c r="EP613" s="104"/>
      <c r="EQ613" s="28"/>
      <c r="ER613" s="102"/>
      <c r="ES613" s="102"/>
      <c r="ET613" s="102"/>
      <c r="EU613" s="102"/>
      <c r="EV613" s="105"/>
      <c r="EW613" s="101"/>
      <c r="EX613" s="105"/>
      <c r="EY613" s="11"/>
      <c r="EZ613" s="106"/>
      <c r="FA613" s="101"/>
      <c r="FB613" s="107"/>
      <c r="FC613" s="11"/>
      <c r="FD613" s="101"/>
      <c r="FE613" s="108"/>
      <c r="FF613" s="8"/>
    </row>
    <row r="614" spans="50:162">
      <c r="AX614" s="99"/>
      <c r="AY614" s="99"/>
      <c r="AZ614" s="99"/>
      <c r="BH614" s="100"/>
      <c r="BI614" s="100"/>
      <c r="BJ614" s="100"/>
      <c r="BK614" s="101"/>
      <c r="BL614" s="80"/>
      <c r="BM614" s="102"/>
      <c r="BN614" s="102"/>
      <c r="BO614" s="103"/>
      <c r="BP614" s="104"/>
      <c r="BQ614" s="28"/>
      <c r="BR614" s="102"/>
      <c r="BS614" s="102"/>
      <c r="BT614" s="102"/>
      <c r="BU614" s="102"/>
      <c r="BV614" s="105"/>
      <c r="BW614" s="101"/>
      <c r="BX614" s="105"/>
      <c r="BY614" s="11"/>
      <c r="BZ614" s="106"/>
      <c r="CA614" s="101"/>
      <c r="CB614" s="107"/>
      <c r="CC614" s="11"/>
      <c r="CD614" s="101"/>
      <c r="CE614" s="108"/>
      <c r="CF614" s="8"/>
      <c r="DX614" s="99"/>
      <c r="DY614" s="99"/>
      <c r="DZ614" s="99"/>
      <c r="EH614" s="100"/>
      <c r="EI614" s="100"/>
      <c r="EJ614" s="100"/>
      <c r="EK614" s="101"/>
      <c r="EL614" s="80"/>
      <c r="EM614" s="102"/>
      <c r="EN614" s="102"/>
      <c r="EO614" s="103"/>
      <c r="EP614" s="104"/>
      <c r="EQ614" s="28"/>
      <c r="ER614" s="102"/>
      <c r="ES614" s="102"/>
      <c r="ET614" s="102"/>
      <c r="EU614" s="102"/>
      <c r="EV614" s="105"/>
      <c r="EW614" s="101"/>
      <c r="EX614" s="105"/>
      <c r="EY614" s="11"/>
      <c r="EZ614" s="106"/>
      <c r="FA614" s="101"/>
      <c r="FB614" s="107"/>
      <c r="FC614" s="11"/>
      <c r="FD614" s="101"/>
      <c r="FE614" s="108"/>
      <c r="FF614" s="8"/>
    </row>
    <row r="615" spans="50:162">
      <c r="AX615" s="99"/>
      <c r="AY615" s="99"/>
      <c r="AZ615" s="99"/>
      <c r="BH615" s="100"/>
      <c r="BI615" s="100"/>
      <c r="BJ615" s="100"/>
      <c r="BK615" s="101"/>
      <c r="BL615" s="80"/>
      <c r="BM615" s="102"/>
      <c r="BN615" s="102"/>
      <c r="BO615" s="103"/>
      <c r="BP615" s="104"/>
      <c r="BQ615" s="28"/>
      <c r="BR615" s="102"/>
      <c r="BS615" s="102"/>
      <c r="BT615" s="102"/>
      <c r="BU615" s="102"/>
      <c r="BV615" s="105"/>
      <c r="BW615" s="101"/>
      <c r="BX615" s="105"/>
      <c r="BY615" s="11"/>
      <c r="BZ615" s="106"/>
      <c r="CA615" s="101"/>
      <c r="CB615" s="107"/>
      <c r="CC615" s="11"/>
      <c r="CD615" s="101"/>
      <c r="CE615" s="108"/>
      <c r="CF615" s="8"/>
      <c r="DX615" s="99"/>
      <c r="DY615" s="99"/>
      <c r="DZ615" s="99"/>
      <c r="EH615" s="100"/>
      <c r="EI615" s="100"/>
      <c r="EJ615" s="100"/>
      <c r="EK615" s="101"/>
      <c r="EL615" s="80"/>
      <c r="EM615" s="102"/>
      <c r="EN615" s="102"/>
      <c r="EO615" s="103"/>
      <c r="EP615" s="104"/>
      <c r="EQ615" s="28"/>
      <c r="ER615" s="102"/>
      <c r="ES615" s="102"/>
      <c r="ET615" s="102"/>
      <c r="EU615" s="102"/>
      <c r="EV615" s="105"/>
      <c r="EW615" s="101"/>
      <c r="EX615" s="105"/>
      <c r="EY615" s="11"/>
      <c r="EZ615" s="106"/>
      <c r="FA615" s="101"/>
      <c r="FB615" s="107"/>
      <c r="FC615" s="11"/>
      <c r="FD615" s="101"/>
      <c r="FE615" s="108"/>
      <c r="FF615" s="8"/>
    </row>
    <row r="616" spans="50:162">
      <c r="AX616" s="99"/>
      <c r="AY616" s="99"/>
      <c r="AZ616" s="99"/>
      <c r="BH616" s="100"/>
      <c r="BI616" s="100"/>
      <c r="BJ616" s="100"/>
      <c r="BK616" s="101"/>
      <c r="BL616" s="80"/>
      <c r="BM616" s="102"/>
      <c r="BN616" s="102"/>
      <c r="BO616" s="103"/>
      <c r="BP616" s="104"/>
      <c r="BQ616" s="28"/>
      <c r="BR616" s="102"/>
      <c r="BS616" s="102"/>
      <c r="BT616" s="102"/>
      <c r="BU616" s="102"/>
      <c r="BV616" s="105"/>
      <c r="BW616" s="101"/>
      <c r="BX616" s="105"/>
      <c r="BY616" s="11"/>
      <c r="BZ616" s="106"/>
      <c r="CA616" s="101"/>
      <c r="CB616" s="107"/>
      <c r="CC616" s="11"/>
      <c r="CD616" s="101"/>
      <c r="CE616" s="108"/>
      <c r="CF616" s="8"/>
      <c r="DX616" s="99"/>
      <c r="DY616" s="99"/>
      <c r="DZ616" s="99"/>
      <c r="EH616" s="100"/>
      <c r="EI616" s="100"/>
      <c r="EJ616" s="100"/>
      <c r="EK616" s="101"/>
      <c r="EL616" s="80"/>
      <c r="EM616" s="102"/>
      <c r="EN616" s="102"/>
      <c r="EO616" s="103"/>
      <c r="EP616" s="104"/>
      <c r="EQ616" s="28"/>
      <c r="ER616" s="102"/>
      <c r="ES616" s="102"/>
      <c r="ET616" s="102"/>
      <c r="EU616" s="102"/>
      <c r="EV616" s="105"/>
      <c r="EW616" s="101"/>
      <c r="EX616" s="105"/>
      <c r="EY616" s="11"/>
      <c r="EZ616" s="106"/>
      <c r="FA616" s="101"/>
      <c r="FB616" s="107"/>
      <c r="FC616" s="11"/>
      <c r="FD616" s="101"/>
      <c r="FE616" s="108"/>
      <c r="FF616" s="8"/>
    </row>
    <row r="617" spans="50:162">
      <c r="AX617" s="99"/>
      <c r="AY617" s="99"/>
      <c r="AZ617" s="99"/>
      <c r="BH617" s="100"/>
      <c r="BI617" s="100"/>
      <c r="BJ617" s="100"/>
      <c r="BK617" s="101"/>
      <c r="BL617" s="80"/>
      <c r="BM617" s="102"/>
      <c r="BN617" s="102"/>
      <c r="BO617" s="103"/>
      <c r="BP617" s="104"/>
      <c r="BQ617" s="28"/>
      <c r="BR617" s="102"/>
      <c r="BS617" s="102"/>
      <c r="BT617" s="102"/>
      <c r="BU617" s="102"/>
      <c r="BV617" s="105"/>
      <c r="BW617" s="101"/>
      <c r="BX617" s="105"/>
      <c r="BY617" s="11"/>
      <c r="BZ617" s="106"/>
      <c r="CA617" s="101"/>
      <c r="CB617" s="107"/>
      <c r="CC617" s="11"/>
      <c r="CD617" s="101"/>
      <c r="CE617" s="108"/>
      <c r="CF617" s="8"/>
      <c r="DX617" s="99"/>
      <c r="DY617" s="99"/>
      <c r="DZ617" s="99"/>
      <c r="EH617" s="100"/>
      <c r="EI617" s="100"/>
      <c r="EJ617" s="100"/>
      <c r="EK617" s="101"/>
      <c r="EL617" s="80"/>
      <c r="EM617" s="102"/>
      <c r="EN617" s="102"/>
      <c r="EO617" s="103"/>
      <c r="EP617" s="104"/>
      <c r="EQ617" s="28"/>
      <c r="ER617" s="102"/>
      <c r="ES617" s="102"/>
      <c r="ET617" s="102"/>
      <c r="EU617" s="102"/>
      <c r="EV617" s="105"/>
      <c r="EW617" s="101"/>
      <c r="EX617" s="105"/>
      <c r="EY617" s="11"/>
      <c r="EZ617" s="106"/>
      <c r="FA617" s="101"/>
      <c r="FB617" s="107"/>
      <c r="FC617" s="11"/>
      <c r="FD617" s="101"/>
      <c r="FE617" s="108"/>
      <c r="FF617" s="8"/>
    </row>
    <row r="618" spans="50:162">
      <c r="AX618" s="99"/>
      <c r="AY618" s="99"/>
      <c r="AZ618" s="99"/>
      <c r="BH618" s="100"/>
      <c r="BI618" s="100"/>
      <c r="BJ618" s="100"/>
      <c r="BK618" s="101"/>
      <c r="BL618" s="80"/>
      <c r="BM618" s="102"/>
      <c r="BN618" s="102"/>
      <c r="BO618" s="103"/>
      <c r="BP618" s="104"/>
      <c r="BQ618" s="28"/>
      <c r="BR618" s="102"/>
      <c r="BS618" s="102"/>
      <c r="BT618" s="102"/>
      <c r="BU618" s="102"/>
      <c r="BV618" s="105"/>
      <c r="BW618" s="101"/>
      <c r="BX618" s="105"/>
      <c r="BY618" s="11"/>
      <c r="BZ618" s="106"/>
      <c r="CA618" s="101"/>
      <c r="CB618" s="107"/>
      <c r="CC618" s="11"/>
      <c r="CD618" s="101"/>
      <c r="CE618" s="108"/>
      <c r="CF618" s="8"/>
      <c r="DX618" s="99"/>
      <c r="DY618" s="99"/>
      <c r="DZ618" s="99"/>
      <c r="EH618" s="100"/>
      <c r="EI618" s="100"/>
      <c r="EJ618" s="100"/>
      <c r="EK618" s="101"/>
      <c r="EL618" s="80"/>
      <c r="EM618" s="102"/>
      <c r="EN618" s="102"/>
      <c r="EO618" s="103"/>
      <c r="EP618" s="104"/>
      <c r="EQ618" s="28"/>
      <c r="ER618" s="102"/>
      <c r="ES618" s="102"/>
      <c r="ET618" s="102"/>
      <c r="EU618" s="102"/>
      <c r="EV618" s="105"/>
      <c r="EW618" s="101"/>
      <c r="EX618" s="105"/>
      <c r="EY618" s="11"/>
      <c r="EZ618" s="106"/>
      <c r="FA618" s="101"/>
      <c r="FB618" s="107"/>
      <c r="FC618" s="11"/>
      <c r="FD618" s="101"/>
      <c r="FE618" s="108"/>
      <c r="FF618" s="8"/>
    </row>
    <row r="619" spans="50:162">
      <c r="AX619" s="99"/>
      <c r="AY619" s="99"/>
      <c r="AZ619" s="99"/>
      <c r="BH619" s="100"/>
      <c r="BI619" s="100"/>
      <c r="BJ619" s="100"/>
      <c r="BK619" s="101"/>
      <c r="BL619" s="80"/>
      <c r="BM619" s="102"/>
      <c r="BN619" s="102"/>
      <c r="BO619" s="103"/>
      <c r="BP619" s="104"/>
      <c r="BQ619" s="28"/>
      <c r="BR619" s="102"/>
      <c r="BS619" s="102"/>
      <c r="BT619" s="102"/>
      <c r="BU619" s="102"/>
      <c r="BV619" s="105"/>
      <c r="BW619" s="101"/>
      <c r="BX619" s="105"/>
      <c r="BY619" s="11"/>
      <c r="BZ619" s="106"/>
      <c r="CA619" s="101"/>
      <c r="CB619" s="107"/>
      <c r="CC619" s="11"/>
      <c r="CD619" s="101"/>
      <c r="CE619" s="108"/>
      <c r="CF619" s="8"/>
      <c r="DX619" s="99"/>
      <c r="DY619" s="99"/>
      <c r="DZ619" s="99"/>
      <c r="EH619" s="100"/>
      <c r="EI619" s="100"/>
      <c r="EJ619" s="100"/>
      <c r="EK619" s="101"/>
      <c r="EL619" s="80"/>
      <c r="EM619" s="102"/>
      <c r="EN619" s="102"/>
      <c r="EO619" s="103"/>
      <c r="EP619" s="104"/>
      <c r="EQ619" s="28"/>
      <c r="ER619" s="102"/>
      <c r="ES619" s="102"/>
      <c r="ET619" s="102"/>
      <c r="EU619" s="102"/>
      <c r="EV619" s="105"/>
      <c r="EW619" s="101"/>
      <c r="EX619" s="105"/>
      <c r="EY619" s="11"/>
      <c r="EZ619" s="106"/>
      <c r="FA619" s="101"/>
      <c r="FB619" s="107"/>
      <c r="FC619" s="11"/>
      <c r="FD619" s="101"/>
      <c r="FE619" s="108"/>
      <c r="FF619" s="8"/>
    </row>
    <row r="620" spans="50:162">
      <c r="AX620" s="99"/>
      <c r="AY620" s="99"/>
      <c r="AZ620" s="99"/>
      <c r="BH620" s="100"/>
      <c r="BI620" s="100"/>
      <c r="BJ620" s="100"/>
      <c r="BK620" s="101"/>
      <c r="BL620" s="80"/>
      <c r="BM620" s="102"/>
      <c r="BN620" s="102"/>
      <c r="BO620" s="103"/>
      <c r="BP620" s="104"/>
      <c r="BQ620" s="28"/>
      <c r="BR620" s="102"/>
      <c r="BS620" s="102"/>
      <c r="BT620" s="102"/>
      <c r="BU620" s="102"/>
      <c r="BV620" s="105"/>
      <c r="BW620" s="101"/>
      <c r="BX620" s="105"/>
      <c r="BY620" s="11"/>
      <c r="BZ620" s="106"/>
      <c r="CA620" s="101"/>
      <c r="CB620" s="107"/>
      <c r="CC620" s="11"/>
      <c r="CD620" s="101"/>
      <c r="CE620" s="108"/>
      <c r="CF620" s="8"/>
      <c r="DX620" s="99"/>
      <c r="DY620" s="99"/>
      <c r="DZ620" s="99"/>
      <c r="EH620" s="100"/>
      <c r="EI620" s="100"/>
      <c r="EJ620" s="100"/>
      <c r="EK620" s="101"/>
      <c r="EL620" s="80"/>
      <c r="EM620" s="102"/>
      <c r="EN620" s="102"/>
      <c r="EO620" s="103"/>
      <c r="EP620" s="104"/>
      <c r="EQ620" s="28"/>
      <c r="ER620" s="102"/>
      <c r="ES620" s="102"/>
      <c r="ET620" s="102"/>
      <c r="EU620" s="102"/>
      <c r="EV620" s="105"/>
      <c r="EW620" s="101"/>
      <c r="EX620" s="105"/>
      <c r="EY620" s="11"/>
      <c r="EZ620" s="106"/>
      <c r="FA620" s="101"/>
      <c r="FB620" s="107"/>
      <c r="FC620" s="11"/>
      <c r="FD620" s="101"/>
      <c r="FE620" s="108"/>
      <c r="FF620" s="8"/>
    </row>
    <row r="621" spans="50:162">
      <c r="AX621" s="99"/>
      <c r="AY621" s="99"/>
      <c r="AZ621" s="99"/>
      <c r="BH621" s="100"/>
      <c r="BI621" s="100"/>
      <c r="BJ621" s="100"/>
      <c r="BK621" s="101"/>
      <c r="BL621" s="80"/>
      <c r="BM621" s="102"/>
      <c r="BN621" s="102"/>
      <c r="BO621" s="103"/>
      <c r="BP621" s="104"/>
      <c r="BQ621" s="28"/>
      <c r="BR621" s="102"/>
      <c r="BS621" s="102"/>
      <c r="BT621" s="102"/>
      <c r="BU621" s="102"/>
      <c r="BV621" s="105"/>
      <c r="BW621" s="101"/>
      <c r="BX621" s="105"/>
      <c r="BY621" s="11"/>
      <c r="BZ621" s="106"/>
      <c r="CA621" s="101"/>
      <c r="CB621" s="107"/>
      <c r="CC621" s="11"/>
      <c r="CD621" s="101"/>
      <c r="CE621" s="108"/>
      <c r="CF621" s="8"/>
      <c r="DX621" s="99"/>
      <c r="DY621" s="99"/>
      <c r="DZ621" s="99"/>
      <c r="EH621" s="100"/>
      <c r="EI621" s="100"/>
      <c r="EJ621" s="100"/>
      <c r="EK621" s="101"/>
      <c r="EL621" s="80"/>
      <c r="EM621" s="102"/>
      <c r="EN621" s="102"/>
      <c r="EO621" s="103"/>
      <c r="EP621" s="104"/>
      <c r="EQ621" s="28"/>
      <c r="ER621" s="102"/>
      <c r="ES621" s="102"/>
      <c r="ET621" s="102"/>
      <c r="EU621" s="102"/>
      <c r="EV621" s="105"/>
      <c r="EW621" s="101"/>
      <c r="EX621" s="105"/>
      <c r="EY621" s="11"/>
      <c r="EZ621" s="106"/>
      <c r="FA621" s="101"/>
      <c r="FB621" s="107"/>
      <c r="FC621" s="11"/>
      <c r="FD621" s="101"/>
      <c r="FE621" s="108"/>
      <c r="FF621" s="8"/>
    </row>
    <row r="622" spans="50:162">
      <c r="AX622" s="99"/>
      <c r="AY622" s="99"/>
      <c r="AZ622" s="99"/>
      <c r="BH622" s="100"/>
      <c r="BI622" s="100"/>
      <c r="BJ622" s="100"/>
      <c r="BK622" s="101"/>
      <c r="BL622" s="80"/>
      <c r="BM622" s="102"/>
      <c r="BN622" s="102"/>
      <c r="BO622" s="103"/>
      <c r="BP622" s="104"/>
      <c r="BQ622" s="28"/>
      <c r="BR622" s="102"/>
      <c r="BS622" s="102"/>
      <c r="BT622" s="102"/>
      <c r="BU622" s="102"/>
      <c r="BV622" s="105"/>
      <c r="BW622" s="101"/>
      <c r="BX622" s="105"/>
      <c r="BY622" s="11"/>
      <c r="BZ622" s="106"/>
      <c r="CA622" s="101"/>
      <c r="CB622" s="107"/>
      <c r="CC622" s="11"/>
      <c r="CD622" s="101"/>
      <c r="CE622" s="108"/>
      <c r="CF622" s="8"/>
      <c r="DX622" s="99"/>
      <c r="DY622" s="99"/>
      <c r="DZ622" s="99"/>
      <c r="EH622" s="100"/>
      <c r="EI622" s="100"/>
      <c r="EJ622" s="100"/>
      <c r="EK622" s="101"/>
      <c r="EL622" s="80"/>
      <c r="EM622" s="102"/>
      <c r="EN622" s="102"/>
      <c r="EO622" s="103"/>
      <c r="EP622" s="104"/>
      <c r="EQ622" s="28"/>
      <c r="ER622" s="102"/>
      <c r="ES622" s="102"/>
      <c r="ET622" s="102"/>
      <c r="EU622" s="102"/>
      <c r="EV622" s="105"/>
      <c r="EW622" s="101"/>
      <c r="EX622" s="105"/>
      <c r="EY622" s="11"/>
      <c r="EZ622" s="106"/>
      <c r="FA622" s="101"/>
      <c r="FB622" s="107"/>
      <c r="FC622" s="11"/>
      <c r="FD622" s="101"/>
      <c r="FE622" s="108"/>
      <c r="FF622" s="8"/>
    </row>
    <row r="623" spans="50:162">
      <c r="AX623" s="99"/>
      <c r="AY623" s="99"/>
      <c r="AZ623" s="99"/>
      <c r="BH623" s="100"/>
      <c r="BI623" s="100"/>
      <c r="BJ623" s="100"/>
      <c r="BK623" s="101"/>
      <c r="BL623" s="80"/>
      <c r="BM623" s="102"/>
      <c r="BN623" s="102"/>
      <c r="BO623" s="103"/>
      <c r="BP623" s="104"/>
      <c r="BQ623" s="28"/>
      <c r="BR623" s="102"/>
      <c r="BS623" s="102"/>
      <c r="BT623" s="102"/>
      <c r="BU623" s="102"/>
      <c r="BV623" s="105"/>
      <c r="BW623" s="101"/>
      <c r="BX623" s="105"/>
      <c r="BY623" s="11"/>
      <c r="BZ623" s="106"/>
      <c r="CA623" s="101"/>
      <c r="CB623" s="107"/>
      <c r="CC623" s="11"/>
      <c r="CD623" s="101"/>
      <c r="CE623" s="108"/>
      <c r="CF623" s="8"/>
      <c r="DX623" s="99"/>
      <c r="DY623" s="99"/>
      <c r="DZ623" s="99"/>
      <c r="EH623" s="100"/>
      <c r="EI623" s="100"/>
      <c r="EJ623" s="100"/>
      <c r="EK623" s="101"/>
      <c r="EL623" s="80"/>
      <c r="EM623" s="102"/>
      <c r="EN623" s="102"/>
      <c r="EO623" s="103"/>
      <c r="EP623" s="104"/>
      <c r="EQ623" s="28"/>
      <c r="ER623" s="102"/>
      <c r="ES623" s="102"/>
      <c r="ET623" s="102"/>
      <c r="EU623" s="102"/>
      <c r="EV623" s="105"/>
      <c r="EW623" s="101"/>
      <c r="EX623" s="105"/>
      <c r="EY623" s="11"/>
      <c r="EZ623" s="106"/>
      <c r="FA623" s="101"/>
      <c r="FB623" s="107"/>
      <c r="FC623" s="11"/>
      <c r="FD623" s="101"/>
      <c r="FE623" s="108"/>
      <c r="FF623" s="8"/>
    </row>
    <row r="624" spans="50:162">
      <c r="AX624" s="99"/>
      <c r="AY624" s="99"/>
      <c r="AZ624" s="99"/>
      <c r="BH624" s="100"/>
      <c r="BI624" s="100"/>
      <c r="BJ624" s="100"/>
      <c r="BK624" s="101"/>
      <c r="BL624" s="80"/>
      <c r="BM624" s="102"/>
      <c r="BN624" s="102"/>
      <c r="BO624" s="103"/>
      <c r="BP624" s="104"/>
      <c r="BQ624" s="28"/>
      <c r="BR624" s="102"/>
      <c r="BS624" s="102"/>
      <c r="BT624" s="102"/>
      <c r="BU624" s="102"/>
      <c r="BV624" s="105"/>
      <c r="BW624" s="101"/>
      <c r="BX624" s="105"/>
      <c r="BY624" s="11"/>
      <c r="BZ624" s="106"/>
      <c r="CA624" s="101"/>
      <c r="CB624" s="107"/>
      <c r="CC624" s="11"/>
      <c r="CD624" s="101"/>
      <c r="CE624" s="108"/>
      <c r="CF624" s="8"/>
      <c r="DX624" s="99"/>
      <c r="DY624" s="99"/>
      <c r="DZ624" s="99"/>
      <c r="EH624" s="100"/>
      <c r="EI624" s="100"/>
      <c r="EJ624" s="100"/>
      <c r="EK624" s="101"/>
      <c r="EL624" s="80"/>
      <c r="EM624" s="102"/>
      <c r="EN624" s="102"/>
      <c r="EO624" s="103"/>
      <c r="EP624" s="104"/>
      <c r="EQ624" s="28"/>
      <c r="ER624" s="102"/>
      <c r="ES624" s="102"/>
      <c r="ET624" s="102"/>
      <c r="EU624" s="102"/>
      <c r="EV624" s="105"/>
      <c r="EW624" s="101"/>
      <c r="EX624" s="105"/>
      <c r="EY624" s="11"/>
      <c r="EZ624" s="106"/>
      <c r="FA624" s="101"/>
      <c r="FB624" s="107"/>
      <c r="FC624" s="11"/>
      <c r="FD624" s="101"/>
      <c r="FE624" s="108"/>
      <c r="FF624" s="8"/>
    </row>
    <row r="625" spans="50:162">
      <c r="AX625" s="99"/>
      <c r="AY625" s="99"/>
      <c r="AZ625" s="99"/>
      <c r="BH625" s="100"/>
      <c r="BI625" s="100"/>
      <c r="BJ625" s="100"/>
      <c r="BK625" s="101"/>
      <c r="BL625" s="80"/>
      <c r="BM625" s="102"/>
      <c r="BN625" s="102"/>
      <c r="BO625" s="103"/>
      <c r="BP625" s="104"/>
      <c r="BQ625" s="28"/>
      <c r="BR625" s="102"/>
      <c r="BS625" s="102"/>
      <c r="BT625" s="102"/>
      <c r="BU625" s="102"/>
      <c r="BV625" s="105"/>
      <c r="BW625" s="101"/>
      <c r="BX625" s="105"/>
      <c r="BY625" s="11"/>
      <c r="BZ625" s="106"/>
      <c r="CA625" s="101"/>
      <c r="CB625" s="107"/>
      <c r="CC625" s="11"/>
      <c r="CD625" s="101"/>
      <c r="CE625" s="108"/>
      <c r="CF625" s="8"/>
      <c r="DX625" s="99"/>
      <c r="DY625" s="99"/>
      <c r="DZ625" s="99"/>
      <c r="EH625" s="100"/>
      <c r="EI625" s="100"/>
      <c r="EJ625" s="100"/>
      <c r="EK625" s="101"/>
      <c r="EL625" s="80"/>
      <c r="EM625" s="102"/>
      <c r="EN625" s="102"/>
      <c r="EO625" s="103"/>
      <c r="EP625" s="104"/>
      <c r="EQ625" s="28"/>
      <c r="ER625" s="102"/>
      <c r="ES625" s="102"/>
      <c r="ET625" s="102"/>
      <c r="EU625" s="102"/>
      <c r="EV625" s="105"/>
      <c r="EW625" s="101"/>
      <c r="EX625" s="105"/>
      <c r="EY625" s="11"/>
      <c r="EZ625" s="106"/>
      <c r="FA625" s="101"/>
      <c r="FB625" s="107"/>
      <c r="FC625" s="11"/>
      <c r="FD625" s="101"/>
      <c r="FE625" s="108"/>
      <c r="FF625" s="8"/>
    </row>
    <row r="626" spans="50:162">
      <c r="AX626" s="99"/>
      <c r="AY626" s="99"/>
      <c r="AZ626" s="99"/>
      <c r="BH626" s="100"/>
      <c r="BI626" s="100"/>
      <c r="BJ626" s="100"/>
      <c r="BK626" s="101"/>
      <c r="BL626" s="80"/>
      <c r="BM626" s="102"/>
      <c r="BN626" s="102"/>
      <c r="BO626" s="103"/>
      <c r="BP626" s="104"/>
      <c r="BQ626" s="28"/>
      <c r="BR626" s="102"/>
      <c r="BS626" s="102"/>
      <c r="BT626" s="102"/>
      <c r="BU626" s="102"/>
      <c r="BV626" s="105"/>
      <c r="BW626" s="101"/>
      <c r="BX626" s="105"/>
      <c r="BY626" s="11"/>
      <c r="BZ626" s="106"/>
      <c r="CA626" s="101"/>
      <c r="CB626" s="107"/>
      <c r="CC626" s="11"/>
      <c r="CD626" s="101"/>
      <c r="CE626" s="108"/>
      <c r="CF626" s="8"/>
      <c r="DX626" s="99"/>
      <c r="DY626" s="99"/>
      <c r="DZ626" s="99"/>
      <c r="EH626" s="100"/>
      <c r="EI626" s="100"/>
      <c r="EJ626" s="100"/>
      <c r="EK626" s="101"/>
      <c r="EL626" s="80"/>
      <c r="EM626" s="102"/>
      <c r="EN626" s="102"/>
      <c r="EO626" s="103"/>
      <c r="EP626" s="104"/>
      <c r="EQ626" s="28"/>
      <c r="ER626" s="102"/>
      <c r="ES626" s="102"/>
      <c r="ET626" s="102"/>
      <c r="EU626" s="102"/>
      <c r="EV626" s="105"/>
      <c r="EW626" s="101"/>
      <c r="EX626" s="105"/>
      <c r="EY626" s="11"/>
      <c r="EZ626" s="106"/>
      <c r="FA626" s="101"/>
      <c r="FB626" s="107"/>
      <c r="FC626" s="11"/>
      <c r="FD626" s="101"/>
      <c r="FE626" s="108"/>
      <c r="FF626" s="8"/>
    </row>
    <row r="627" spans="50:162">
      <c r="AX627" s="99"/>
      <c r="AY627" s="99"/>
      <c r="AZ627" s="99"/>
      <c r="BH627" s="100"/>
      <c r="BI627" s="100"/>
      <c r="BJ627" s="100"/>
      <c r="BK627" s="101"/>
      <c r="BL627" s="80"/>
      <c r="BM627" s="102"/>
      <c r="BN627" s="102"/>
      <c r="BO627" s="103"/>
      <c r="BP627" s="104"/>
      <c r="BQ627" s="28"/>
      <c r="BR627" s="102"/>
      <c r="BS627" s="102"/>
      <c r="BT627" s="102"/>
      <c r="BU627" s="102"/>
      <c r="BV627" s="105"/>
      <c r="BW627" s="101"/>
      <c r="BX627" s="105"/>
      <c r="BY627" s="11"/>
      <c r="BZ627" s="106"/>
      <c r="CA627" s="101"/>
      <c r="CB627" s="107"/>
      <c r="CC627" s="11"/>
      <c r="CD627" s="101"/>
      <c r="CE627" s="108"/>
      <c r="CF627" s="8"/>
      <c r="DX627" s="99"/>
      <c r="DY627" s="99"/>
      <c r="DZ627" s="99"/>
      <c r="EH627" s="100"/>
      <c r="EI627" s="100"/>
      <c r="EJ627" s="100"/>
      <c r="EK627" s="101"/>
      <c r="EL627" s="80"/>
      <c r="EM627" s="102"/>
      <c r="EN627" s="102"/>
      <c r="EO627" s="103"/>
      <c r="EP627" s="104"/>
      <c r="EQ627" s="28"/>
      <c r="ER627" s="102"/>
      <c r="ES627" s="102"/>
      <c r="ET627" s="102"/>
      <c r="EU627" s="102"/>
      <c r="EV627" s="105"/>
      <c r="EW627" s="101"/>
      <c r="EX627" s="105"/>
      <c r="EY627" s="11"/>
      <c r="EZ627" s="106"/>
      <c r="FA627" s="101"/>
      <c r="FB627" s="107"/>
      <c r="FC627" s="11"/>
      <c r="FD627" s="101"/>
      <c r="FE627" s="108"/>
      <c r="FF627" s="8"/>
    </row>
    <row r="628" spans="50:162">
      <c r="AX628" s="99"/>
      <c r="AY628" s="99"/>
      <c r="AZ628" s="99"/>
      <c r="BH628" s="100"/>
      <c r="BI628" s="100"/>
      <c r="BJ628" s="100"/>
      <c r="BK628" s="101"/>
      <c r="BL628" s="80"/>
      <c r="BM628" s="102"/>
      <c r="BN628" s="102"/>
      <c r="BO628" s="103"/>
      <c r="BP628" s="104"/>
      <c r="BQ628" s="28"/>
      <c r="BR628" s="102"/>
      <c r="BS628" s="102"/>
      <c r="BT628" s="102"/>
      <c r="BU628" s="102"/>
      <c r="BV628" s="105"/>
      <c r="BW628" s="101"/>
      <c r="BX628" s="105"/>
      <c r="BY628" s="11"/>
      <c r="BZ628" s="106"/>
      <c r="CA628" s="101"/>
      <c r="CB628" s="107"/>
      <c r="CC628" s="11"/>
      <c r="CD628" s="101"/>
      <c r="CE628" s="108"/>
      <c r="CF628" s="8"/>
      <c r="DX628" s="99"/>
      <c r="DY628" s="99"/>
      <c r="DZ628" s="99"/>
      <c r="EH628" s="100"/>
      <c r="EI628" s="100"/>
      <c r="EJ628" s="100"/>
      <c r="EK628" s="101"/>
      <c r="EL628" s="80"/>
      <c r="EM628" s="102"/>
      <c r="EN628" s="102"/>
      <c r="EO628" s="103"/>
      <c r="EP628" s="104"/>
      <c r="EQ628" s="28"/>
      <c r="ER628" s="102"/>
      <c r="ES628" s="102"/>
      <c r="ET628" s="102"/>
      <c r="EU628" s="102"/>
      <c r="EV628" s="105"/>
      <c r="EW628" s="101"/>
      <c r="EX628" s="105"/>
      <c r="EY628" s="11"/>
      <c r="EZ628" s="106"/>
      <c r="FA628" s="101"/>
      <c r="FB628" s="107"/>
      <c r="FC628" s="11"/>
      <c r="FD628" s="101"/>
      <c r="FE628" s="108"/>
      <c r="FF628" s="8"/>
    </row>
    <row r="629" spans="50:162">
      <c r="AX629" s="99"/>
      <c r="AY629" s="99"/>
      <c r="AZ629" s="99"/>
      <c r="BH629" s="100"/>
      <c r="BI629" s="100"/>
      <c r="BJ629" s="100"/>
      <c r="BK629" s="101"/>
      <c r="BL629" s="80"/>
      <c r="BM629" s="102"/>
      <c r="BN629" s="102"/>
      <c r="BO629" s="103"/>
      <c r="BP629" s="104"/>
      <c r="BQ629" s="28"/>
      <c r="BR629" s="102"/>
      <c r="BS629" s="102"/>
      <c r="BT629" s="102"/>
      <c r="BU629" s="102"/>
      <c r="BV629" s="105"/>
      <c r="BW629" s="101"/>
      <c r="BX629" s="105"/>
      <c r="BY629" s="11"/>
      <c r="BZ629" s="106"/>
      <c r="CA629" s="101"/>
      <c r="CB629" s="107"/>
      <c r="CC629" s="11"/>
      <c r="CD629" s="101"/>
      <c r="CE629" s="108"/>
      <c r="CF629" s="8"/>
      <c r="DX629" s="99"/>
      <c r="DY629" s="99"/>
      <c r="DZ629" s="99"/>
      <c r="EH629" s="100"/>
      <c r="EI629" s="100"/>
      <c r="EJ629" s="100"/>
      <c r="EK629" s="101"/>
      <c r="EL629" s="80"/>
      <c r="EM629" s="102"/>
      <c r="EN629" s="102"/>
      <c r="EO629" s="103"/>
      <c r="EP629" s="104"/>
      <c r="EQ629" s="28"/>
      <c r="ER629" s="102"/>
      <c r="ES629" s="102"/>
      <c r="ET629" s="102"/>
      <c r="EU629" s="102"/>
      <c r="EV629" s="105"/>
      <c r="EW629" s="101"/>
      <c r="EX629" s="105"/>
      <c r="EY629" s="11"/>
      <c r="EZ629" s="106"/>
      <c r="FA629" s="101"/>
      <c r="FB629" s="107"/>
      <c r="FC629" s="11"/>
      <c r="FD629" s="101"/>
      <c r="FE629" s="108"/>
      <c r="FF629" s="8"/>
    </row>
    <row r="630" spans="50:162">
      <c r="AX630" s="99"/>
      <c r="AY630" s="99"/>
      <c r="AZ630" s="99"/>
      <c r="BH630" s="100"/>
      <c r="BI630" s="100"/>
      <c r="BJ630" s="100"/>
      <c r="BK630" s="101"/>
      <c r="BL630" s="80"/>
      <c r="BM630" s="102"/>
      <c r="BN630" s="102"/>
      <c r="BO630" s="103"/>
      <c r="BP630" s="104"/>
      <c r="BQ630" s="28"/>
      <c r="BR630" s="102"/>
      <c r="BS630" s="102"/>
      <c r="BT630" s="102"/>
      <c r="BU630" s="102"/>
      <c r="BV630" s="105"/>
      <c r="BW630" s="101"/>
      <c r="BX630" s="105"/>
      <c r="BY630" s="11"/>
      <c r="BZ630" s="106"/>
      <c r="CA630" s="101"/>
      <c r="CB630" s="107"/>
      <c r="CC630" s="11"/>
      <c r="CD630" s="101"/>
      <c r="CE630" s="108"/>
      <c r="CF630" s="8"/>
      <c r="DX630" s="99"/>
      <c r="DY630" s="99"/>
      <c r="DZ630" s="99"/>
      <c r="EH630" s="100"/>
      <c r="EI630" s="100"/>
      <c r="EJ630" s="100"/>
      <c r="EK630" s="101"/>
      <c r="EL630" s="80"/>
      <c r="EM630" s="102"/>
      <c r="EN630" s="102"/>
      <c r="EO630" s="103"/>
      <c r="EP630" s="104"/>
      <c r="EQ630" s="28"/>
      <c r="ER630" s="102"/>
      <c r="ES630" s="102"/>
      <c r="ET630" s="102"/>
      <c r="EU630" s="102"/>
      <c r="EV630" s="105"/>
      <c r="EW630" s="101"/>
      <c r="EX630" s="105"/>
      <c r="EY630" s="11"/>
      <c r="EZ630" s="106"/>
      <c r="FA630" s="101"/>
      <c r="FB630" s="107"/>
      <c r="FC630" s="11"/>
      <c r="FD630" s="101"/>
      <c r="FE630" s="108"/>
      <c r="FF630" s="8"/>
    </row>
    <row r="631" spans="50:162">
      <c r="AX631" s="99"/>
      <c r="AY631" s="99"/>
      <c r="AZ631" s="99"/>
      <c r="BH631" s="100"/>
      <c r="BI631" s="100"/>
      <c r="BJ631" s="100"/>
      <c r="BK631" s="101"/>
      <c r="BL631" s="80"/>
      <c r="BM631" s="102"/>
      <c r="BN631" s="102"/>
      <c r="BO631" s="103"/>
      <c r="BP631" s="104"/>
      <c r="BQ631" s="28"/>
      <c r="BR631" s="102"/>
      <c r="BS631" s="102"/>
      <c r="BT631" s="102"/>
      <c r="BU631" s="102"/>
      <c r="BV631" s="105"/>
      <c r="BW631" s="101"/>
      <c r="BX631" s="105"/>
      <c r="BY631" s="11"/>
      <c r="BZ631" s="106"/>
      <c r="CA631" s="101"/>
      <c r="CB631" s="107"/>
      <c r="CC631" s="11"/>
      <c r="CD631" s="101"/>
      <c r="CE631" s="108"/>
      <c r="CF631" s="8"/>
      <c r="DX631" s="99"/>
      <c r="DY631" s="99"/>
      <c r="DZ631" s="99"/>
      <c r="EH631" s="100"/>
      <c r="EI631" s="100"/>
      <c r="EJ631" s="100"/>
      <c r="EK631" s="101"/>
      <c r="EL631" s="80"/>
      <c r="EM631" s="102"/>
      <c r="EN631" s="102"/>
      <c r="EO631" s="103"/>
      <c r="EP631" s="104"/>
      <c r="EQ631" s="28"/>
      <c r="ER631" s="102"/>
      <c r="ES631" s="102"/>
      <c r="ET631" s="102"/>
      <c r="EU631" s="102"/>
      <c r="EV631" s="105"/>
      <c r="EW631" s="101"/>
      <c r="EX631" s="105"/>
      <c r="EY631" s="11"/>
      <c r="EZ631" s="106"/>
      <c r="FA631" s="101"/>
      <c r="FB631" s="107"/>
      <c r="FC631" s="11"/>
      <c r="FD631" s="101"/>
      <c r="FE631" s="108"/>
      <c r="FF631" s="8"/>
    </row>
    <row r="632" spans="50:162">
      <c r="AX632" s="99"/>
      <c r="AY632" s="99"/>
      <c r="AZ632" s="99"/>
      <c r="BH632" s="100"/>
      <c r="BI632" s="100"/>
      <c r="BJ632" s="100"/>
      <c r="BK632" s="101"/>
      <c r="BL632" s="80"/>
      <c r="BM632" s="102"/>
      <c r="BN632" s="102"/>
      <c r="BO632" s="103"/>
      <c r="BP632" s="104"/>
      <c r="BQ632" s="28"/>
      <c r="BR632" s="102"/>
      <c r="BS632" s="102"/>
      <c r="BT632" s="102"/>
      <c r="BU632" s="102"/>
      <c r="BV632" s="105"/>
      <c r="BW632" s="101"/>
      <c r="BX632" s="105"/>
      <c r="BY632" s="11"/>
      <c r="BZ632" s="106"/>
      <c r="CA632" s="101"/>
      <c r="CB632" s="107"/>
      <c r="CC632" s="11"/>
      <c r="CD632" s="101"/>
      <c r="CE632" s="108"/>
      <c r="CF632" s="8"/>
      <c r="DX632" s="99"/>
      <c r="DY632" s="99"/>
      <c r="DZ632" s="99"/>
      <c r="EH632" s="100"/>
      <c r="EI632" s="100"/>
      <c r="EJ632" s="100"/>
      <c r="EK632" s="101"/>
      <c r="EL632" s="80"/>
      <c r="EM632" s="102"/>
      <c r="EN632" s="102"/>
      <c r="EO632" s="103"/>
      <c r="EP632" s="104"/>
      <c r="EQ632" s="28"/>
      <c r="ER632" s="102"/>
      <c r="ES632" s="102"/>
      <c r="ET632" s="102"/>
      <c r="EU632" s="102"/>
      <c r="EV632" s="105"/>
      <c r="EW632" s="101"/>
      <c r="EX632" s="105"/>
      <c r="EY632" s="11"/>
      <c r="EZ632" s="106"/>
      <c r="FA632" s="101"/>
      <c r="FB632" s="107"/>
      <c r="FC632" s="11"/>
      <c r="FD632" s="101"/>
      <c r="FE632" s="108"/>
      <c r="FF632" s="8"/>
    </row>
    <row r="633" spans="50:162">
      <c r="AX633" s="99"/>
      <c r="AY633" s="99"/>
      <c r="AZ633" s="99"/>
      <c r="BH633" s="100"/>
      <c r="BI633" s="100"/>
      <c r="BJ633" s="100"/>
      <c r="BK633" s="101"/>
      <c r="BL633" s="80"/>
      <c r="BM633" s="102"/>
      <c r="BN633" s="102"/>
      <c r="BO633" s="103"/>
      <c r="BP633" s="104"/>
      <c r="BQ633" s="28"/>
      <c r="BR633" s="102"/>
      <c r="BS633" s="102"/>
      <c r="BT633" s="102"/>
      <c r="BU633" s="102"/>
      <c r="BV633" s="105"/>
      <c r="BW633" s="101"/>
      <c r="BX633" s="105"/>
      <c r="BY633" s="11"/>
      <c r="BZ633" s="106"/>
      <c r="CA633" s="101"/>
      <c r="CB633" s="107"/>
      <c r="CC633" s="11"/>
      <c r="CD633" s="101"/>
      <c r="CE633" s="108"/>
      <c r="CF633" s="8"/>
      <c r="DX633" s="99"/>
      <c r="DY633" s="99"/>
      <c r="DZ633" s="99"/>
      <c r="EH633" s="100"/>
      <c r="EI633" s="100"/>
      <c r="EJ633" s="100"/>
      <c r="EK633" s="101"/>
      <c r="EL633" s="80"/>
      <c r="EM633" s="102"/>
      <c r="EN633" s="102"/>
      <c r="EO633" s="103"/>
      <c r="EP633" s="104"/>
      <c r="EQ633" s="28"/>
      <c r="ER633" s="102"/>
      <c r="ES633" s="102"/>
      <c r="ET633" s="102"/>
      <c r="EU633" s="102"/>
      <c r="EV633" s="105"/>
      <c r="EW633" s="101"/>
      <c r="EX633" s="105"/>
      <c r="EY633" s="11"/>
      <c r="EZ633" s="106"/>
      <c r="FA633" s="101"/>
      <c r="FB633" s="107"/>
      <c r="FC633" s="11"/>
      <c r="FD633" s="101"/>
      <c r="FE633" s="108"/>
      <c r="FF633" s="8"/>
    </row>
    <row r="634" spans="50:162">
      <c r="AX634" s="99"/>
      <c r="AY634" s="99"/>
      <c r="AZ634" s="99"/>
      <c r="BH634" s="100"/>
      <c r="BI634" s="100"/>
      <c r="BJ634" s="100"/>
      <c r="BK634" s="101"/>
      <c r="BL634" s="80"/>
      <c r="BM634" s="102"/>
      <c r="BN634" s="102"/>
      <c r="BO634" s="103"/>
      <c r="BP634" s="104"/>
      <c r="BQ634" s="28"/>
      <c r="BR634" s="102"/>
      <c r="BS634" s="102"/>
      <c r="BT634" s="102"/>
      <c r="BU634" s="102"/>
      <c r="BV634" s="105"/>
      <c r="BW634" s="101"/>
      <c r="BX634" s="105"/>
      <c r="BY634" s="11"/>
      <c r="BZ634" s="106"/>
      <c r="CA634" s="101"/>
      <c r="CB634" s="107"/>
      <c r="CC634" s="11"/>
      <c r="CD634" s="101"/>
      <c r="CE634" s="108"/>
      <c r="CF634" s="8"/>
      <c r="DX634" s="99"/>
      <c r="DY634" s="99"/>
      <c r="DZ634" s="99"/>
      <c r="EH634" s="100"/>
      <c r="EI634" s="100"/>
      <c r="EJ634" s="100"/>
      <c r="EK634" s="101"/>
      <c r="EL634" s="80"/>
      <c r="EM634" s="102"/>
      <c r="EN634" s="102"/>
      <c r="EO634" s="103"/>
      <c r="EP634" s="104"/>
      <c r="EQ634" s="28"/>
      <c r="ER634" s="102"/>
      <c r="ES634" s="102"/>
      <c r="ET634" s="102"/>
      <c r="EU634" s="102"/>
      <c r="EV634" s="105"/>
      <c r="EW634" s="101"/>
      <c r="EX634" s="105"/>
      <c r="EY634" s="11"/>
      <c r="EZ634" s="106"/>
      <c r="FA634" s="101"/>
      <c r="FB634" s="107"/>
      <c r="FC634" s="11"/>
      <c r="FD634" s="101"/>
      <c r="FE634" s="108"/>
      <c r="FF634" s="8"/>
    </row>
    <row r="635" spans="50:162">
      <c r="AX635" s="99"/>
      <c r="AY635" s="99"/>
      <c r="AZ635" s="99"/>
      <c r="BH635" s="100"/>
      <c r="BI635" s="100"/>
      <c r="BJ635" s="100"/>
      <c r="BK635" s="101"/>
      <c r="BL635" s="80"/>
      <c r="BM635" s="102"/>
      <c r="BN635" s="102"/>
      <c r="BO635" s="103"/>
      <c r="BP635" s="104"/>
      <c r="BQ635" s="28"/>
      <c r="BR635" s="102"/>
      <c r="BS635" s="102"/>
      <c r="BT635" s="102"/>
      <c r="BU635" s="102"/>
      <c r="BV635" s="105"/>
      <c r="BW635" s="101"/>
      <c r="BX635" s="105"/>
      <c r="BY635" s="11"/>
      <c r="BZ635" s="106"/>
      <c r="CA635" s="101"/>
      <c r="CB635" s="107"/>
      <c r="CC635" s="11"/>
      <c r="CD635" s="101"/>
      <c r="CE635" s="108"/>
      <c r="CF635" s="8"/>
      <c r="DX635" s="99"/>
      <c r="DY635" s="99"/>
      <c r="DZ635" s="99"/>
      <c r="EH635" s="100"/>
      <c r="EI635" s="100"/>
      <c r="EJ635" s="100"/>
      <c r="EK635" s="101"/>
      <c r="EL635" s="80"/>
      <c r="EM635" s="102"/>
      <c r="EN635" s="102"/>
      <c r="EO635" s="103"/>
      <c r="EP635" s="104"/>
      <c r="EQ635" s="28"/>
      <c r="ER635" s="102"/>
      <c r="ES635" s="102"/>
      <c r="ET635" s="102"/>
      <c r="EU635" s="102"/>
      <c r="EV635" s="105"/>
      <c r="EW635" s="101"/>
      <c r="EX635" s="105"/>
      <c r="EY635" s="11"/>
      <c r="EZ635" s="106"/>
      <c r="FA635" s="101"/>
      <c r="FB635" s="107"/>
      <c r="FC635" s="11"/>
      <c r="FD635" s="101"/>
      <c r="FE635" s="108"/>
      <c r="FF635" s="8"/>
    </row>
    <row r="636" spans="50:162">
      <c r="AX636" s="99"/>
      <c r="AY636" s="99"/>
      <c r="AZ636" s="99"/>
      <c r="BH636" s="100"/>
      <c r="BI636" s="100"/>
      <c r="BJ636" s="100"/>
      <c r="BK636" s="101"/>
      <c r="BL636" s="80"/>
      <c r="BM636" s="102"/>
      <c r="BN636" s="102"/>
      <c r="BO636" s="103"/>
      <c r="BP636" s="104"/>
      <c r="BQ636" s="28"/>
      <c r="BR636" s="102"/>
      <c r="BS636" s="102"/>
      <c r="BT636" s="102"/>
      <c r="BU636" s="102"/>
      <c r="BV636" s="105"/>
      <c r="BW636" s="101"/>
      <c r="BX636" s="105"/>
      <c r="BY636" s="11"/>
      <c r="BZ636" s="106"/>
      <c r="CA636" s="101"/>
      <c r="CB636" s="107"/>
      <c r="CC636" s="11"/>
      <c r="CD636" s="101"/>
      <c r="CE636" s="108"/>
      <c r="CF636" s="8"/>
      <c r="DX636" s="99"/>
      <c r="DY636" s="99"/>
      <c r="DZ636" s="99"/>
      <c r="EH636" s="100"/>
      <c r="EI636" s="100"/>
      <c r="EJ636" s="100"/>
      <c r="EK636" s="101"/>
      <c r="EL636" s="80"/>
      <c r="EM636" s="102"/>
      <c r="EN636" s="102"/>
      <c r="EO636" s="103"/>
      <c r="EP636" s="104"/>
      <c r="EQ636" s="28"/>
      <c r="ER636" s="102"/>
      <c r="ES636" s="102"/>
      <c r="ET636" s="102"/>
      <c r="EU636" s="102"/>
      <c r="EV636" s="105"/>
      <c r="EW636" s="101"/>
      <c r="EX636" s="105"/>
      <c r="EY636" s="11"/>
      <c r="EZ636" s="106"/>
      <c r="FA636" s="101"/>
      <c r="FB636" s="107"/>
      <c r="FC636" s="11"/>
      <c r="FD636" s="101"/>
      <c r="FE636" s="108"/>
      <c r="FF636" s="8"/>
    </row>
    <row r="637" spans="50:162">
      <c r="AX637" s="99"/>
      <c r="AY637" s="99"/>
      <c r="AZ637" s="99"/>
      <c r="BH637" s="100"/>
      <c r="BI637" s="100"/>
      <c r="BJ637" s="100"/>
      <c r="BK637" s="101"/>
      <c r="BL637" s="80"/>
      <c r="BM637" s="102"/>
      <c r="BN637" s="102"/>
      <c r="BO637" s="103"/>
      <c r="BP637" s="104"/>
      <c r="BQ637" s="28"/>
      <c r="BR637" s="102"/>
      <c r="BS637" s="102"/>
      <c r="BT637" s="102"/>
      <c r="BU637" s="102"/>
      <c r="BV637" s="105"/>
      <c r="BW637" s="101"/>
      <c r="BX637" s="105"/>
      <c r="BY637" s="11"/>
      <c r="BZ637" s="106"/>
      <c r="CA637" s="101"/>
      <c r="CB637" s="107"/>
      <c r="CC637" s="11"/>
      <c r="CD637" s="101"/>
      <c r="CE637" s="108"/>
      <c r="CF637" s="8"/>
      <c r="DX637" s="99"/>
      <c r="DY637" s="99"/>
      <c r="DZ637" s="99"/>
      <c r="EH637" s="100"/>
      <c r="EI637" s="100"/>
      <c r="EJ637" s="100"/>
      <c r="EK637" s="101"/>
      <c r="EL637" s="80"/>
      <c r="EM637" s="102"/>
      <c r="EN637" s="102"/>
      <c r="EO637" s="103"/>
      <c r="EP637" s="104"/>
      <c r="EQ637" s="28"/>
      <c r="ER637" s="102"/>
      <c r="ES637" s="102"/>
      <c r="ET637" s="102"/>
      <c r="EU637" s="102"/>
      <c r="EV637" s="105"/>
      <c r="EW637" s="101"/>
      <c r="EX637" s="105"/>
      <c r="EY637" s="11"/>
      <c r="EZ637" s="106"/>
      <c r="FA637" s="101"/>
      <c r="FB637" s="107"/>
      <c r="FC637" s="11"/>
      <c r="FD637" s="101"/>
      <c r="FE637" s="108"/>
      <c r="FF637" s="8"/>
    </row>
    <row r="638" spans="50:162">
      <c r="AX638" s="99"/>
      <c r="AY638" s="99"/>
      <c r="AZ638" s="99"/>
      <c r="BH638" s="100"/>
      <c r="BI638" s="100"/>
      <c r="BJ638" s="100"/>
      <c r="BK638" s="101"/>
      <c r="BL638" s="80"/>
      <c r="BM638" s="102"/>
      <c r="BN638" s="102"/>
      <c r="BO638" s="103"/>
      <c r="BP638" s="104"/>
      <c r="BQ638" s="28"/>
      <c r="BR638" s="102"/>
      <c r="BS638" s="102"/>
      <c r="BT638" s="102"/>
      <c r="BU638" s="102"/>
      <c r="BV638" s="105"/>
      <c r="BW638" s="101"/>
      <c r="BX638" s="105"/>
      <c r="BY638" s="11"/>
      <c r="BZ638" s="106"/>
      <c r="CA638" s="101"/>
      <c r="CB638" s="107"/>
      <c r="CC638" s="11"/>
      <c r="CD638" s="101"/>
      <c r="CE638" s="108"/>
      <c r="CF638" s="8"/>
      <c r="DX638" s="99"/>
      <c r="DY638" s="99"/>
      <c r="DZ638" s="99"/>
      <c r="EH638" s="100"/>
      <c r="EI638" s="100"/>
      <c r="EJ638" s="100"/>
      <c r="EK638" s="101"/>
      <c r="EL638" s="80"/>
      <c r="EM638" s="102"/>
      <c r="EN638" s="102"/>
      <c r="EO638" s="103"/>
      <c r="EP638" s="104"/>
      <c r="EQ638" s="28"/>
      <c r="ER638" s="102"/>
      <c r="ES638" s="102"/>
      <c r="ET638" s="102"/>
      <c r="EU638" s="102"/>
      <c r="EV638" s="105"/>
      <c r="EW638" s="101"/>
      <c r="EX638" s="105"/>
      <c r="EY638" s="11"/>
      <c r="EZ638" s="106"/>
      <c r="FA638" s="101"/>
      <c r="FB638" s="107"/>
      <c r="FC638" s="11"/>
      <c r="FD638" s="101"/>
      <c r="FE638" s="108"/>
      <c r="FF638" s="8"/>
    </row>
    <row r="639" spans="50:162">
      <c r="AX639" s="99"/>
      <c r="AY639" s="99"/>
      <c r="AZ639" s="99"/>
      <c r="BH639" s="100"/>
      <c r="BI639" s="100"/>
      <c r="BJ639" s="100"/>
      <c r="BK639" s="101"/>
      <c r="BL639" s="80"/>
      <c r="BM639" s="102"/>
      <c r="BN639" s="102"/>
      <c r="BO639" s="103"/>
      <c r="BP639" s="104"/>
      <c r="BQ639" s="28"/>
      <c r="BR639" s="102"/>
      <c r="BS639" s="102"/>
      <c r="BT639" s="102"/>
      <c r="BU639" s="102"/>
      <c r="BV639" s="105"/>
      <c r="BW639" s="101"/>
      <c r="BX639" s="105"/>
      <c r="BY639" s="11"/>
      <c r="BZ639" s="106"/>
      <c r="CA639" s="101"/>
      <c r="CB639" s="107"/>
      <c r="CC639" s="11"/>
      <c r="CD639" s="101"/>
      <c r="CE639" s="108"/>
      <c r="CF639" s="8"/>
      <c r="DX639" s="99"/>
      <c r="DY639" s="99"/>
      <c r="DZ639" s="99"/>
      <c r="EH639" s="100"/>
      <c r="EI639" s="100"/>
      <c r="EJ639" s="100"/>
      <c r="EK639" s="101"/>
      <c r="EL639" s="80"/>
      <c r="EM639" s="102"/>
      <c r="EN639" s="102"/>
      <c r="EO639" s="103"/>
      <c r="EP639" s="104"/>
      <c r="EQ639" s="28"/>
      <c r="ER639" s="102"/>
      <c r="ES639" s="102"/>
      <c r="ET639" s="102"/>
      <c r="EU639" s="102"/>
      <c r="EV639" s="105"/>
      <c r="EW639" s="101"/>
      <c r="EX639" s="105"/>
      <c r="EY639" s="11"/>
      <c r="EZ639" s="106"/>
      <c r="FA639" s="101"/>
      <c r="FB639" s="107"/>
      <c r="FC639" s="11"/>
      <c r="FD639" s="101"/>
      <c r="FE639" s="108"/>
      <c r="FF639" s="8"/>
    </row>
    <row r="640" spans="50:162">
      <c r="AX640" s="99"/>
      <c r="AY640" s="99"/>
      <c r="AZ640" s="99"/>
      <c r="BH640" s="100"/>
      <c r="BI640" s="100"/>
      <c r="BJ640" s="100"/>
      <c r="BK640" s="101"/>
      <c r="BL640" s="80"/>
      <c r="BM640" s="102"/>
      <c r="BN640" s="102"/>
      <c r="BO640" s="103"/>
      <c r="BP640" s="104"/>
      <c r="BQ640" s="28"/>
      <c r="BR640" s="102"/>
      <c r="BS640" s="102"/>
      <c r="BT640" s="102"/>
      <c r="BU640" s="102"/>
      <c r="BV640" s="105"/>
      <c r="BW640" s="101"/>
      <c r="BX640" s="105"/>
      <c r="BY640" s="11"/>
      <c r="BZ640" s="106"/>
      <c r="CA640" s="101"/>
      <c r="CB640" s="107"/>
      <c r="CC640" s="11"/>
      <c r="CD640" s="101"/>
      <c r="CE640" s="108"/>
      <c r="CF640" s="8"/>
      <c r="DX640" s="99"/>
      <c r="DY640" s="99"/>
      <c r="DZ640" s="99"/>
      <c r="EH640" s="100"/>
      <c r="EI640" s="100"/>
      <c r="EJ640" s="100"/>
      <c r="EK640" s="101"/>
      <c r="EL640" s="80"/>
      <c r="EM640" s="102"/>
      <c r="EN640" s="102"/>
      <c r="EO640" s="103"/>
      <c r="EP640" s="104"/>
      <c r="EQ640" s="28"/>
      <c r="ER640" s="102"/>
      <c r="ES640" s="102"/>
      <c r="ET640" s="102"/>
      <c r="EU640" s="102"/>
      <c r="EV640" s="105"/>
      <c r="EW640" s="101"/>
      <c r="EX640" s="105"/>
      <c r="EY640" s="11"/>
      <c r="EZ640" s="106"/>
      <c r="FA640" s="101"/>
      <c r="FB640" s="107"/>
      <c r="FC640" s="11"/>
      <c r="FD640" s="101"/>
      <c r="FE640" s="108"/>
      <c r="FF640" s="8"/>
    </row>
    <row r="641" spans="50:162">
      <c r="AX641" s="99"/>
      <c r="AY641" s="99"/>
      <c r="AZ641" s="99"/>
      <c r="BH641" s="100"/>
      <c r="BI641" s="100"/>
      <c r="BJ641" s="100"/>
      <c r="BK641" s="101"/>
      <c r="BL641" s="80"/>
      <c r="BM641" s="102"/>
      <c r="BN641" s="102"/>
      <c r="BO641" s="103"/>
      <c r="BP641" s="104"/>
      <c r="BQ641" s="28"/>
      <c r="BR641" s="102"/>
      <c r="BS641" s="102"/>
      <c r="BT641" s="102"/>
      <c r="BU641" s="102"/>
      <c r="BV641" s="105"/>
      <c r="BW641" s="101"/>
      <c r="BX641" s="105"/>
      <c r="BY641" s="11"/>
      <c r="BZ641" s="106"/>
      <c r="CA641" s="101"/>
      <c r="CB641" s="107"/>
      <c r="CC641" s="11"/>
      <c r="CD641" s="101"/>
      <c r="CE641" s="108"/>
      <c r="CF641" s="8"/>
      <c r="DX641" s="99"/>
      <c r="DY641" s="99"/>
      <c r="DZ641" s="99"/>
      <c r="EH641" s="100"/>
      <c r="EI641" s="100"/>
      <c r="EJ641" s="100"/>
      <c r="EK641" s="101"/>
      <c r="EL641" s="80"/>
      <c r="EM641" s="102"/>
      <c r="EN641" s="102"/>
      <c r="EO641" s="103"/>
      <c r="EP641" s="104"/>
      <c r="EQ641" s="28"/>
      <c r="ER641" s="102"/>
      <c r="ES641" s="102"/>
      <c r="ET641" s="102"/>
      <c r="EU641" s="102"/>
      <c r="EV641" s="105"/>
      <c r="EW641" s="101"/>
      <c r="EX641" s="105"/>
      <c r="EY641" s="11"/>
      <c r="EZ641" s="106"/>
      <c r="FA641" s="101"/>
      <c r="FB641" s="107"/>
      <c r="FC641" s="11"/>
      <c r="FD641" s="101"/>
      <c r="FE641" s="108"/>
      <c r="FF641" s="8"/>
    </row>
    <row r="642" spans="50:162">
      <c r="AX642" s="99"/>
      <c r="AY642" s="99"/>
      <c r="AZ642" s="99"/>
      <c r="BH642" s="100"/>
      <c r="BI642" s="100"/>
      <c r="BJ642" s="100"/>
      <c r="BK642" s="101"/>
      <c r="BL642" s="80"/>
      <c r="BM642" s="102"/>
      <c r="BN642" s="102"/>
      <c r="BO642" s="103"/>
      <c r="BP642" s="104"/>
      <c r="BQ642" s="28"/>
      <c r="BR642" s="102"/>
      <c r="BS642" s="102"/>
      <c r="BT642" s="102"/>
      <c r="BU642" s="102"/>
      <c r="BV642" s="105"/>
      <c r="BW642" s="101"/>
      <c r="BX642" s="105"/>
      <c r="BY642" s="11"/>
      <c r="BZ642" s="106"/>
      <c r="CA642" s="101"/>
      <c r="CB642" s="107"/>
      <c r="CC642" s="11"/>
      <c r="CD642" s="101"/>
      <c r="CE642" s="108"/>
      <c r="CF642" s="8"/>
      <c r="DX642" s="99"/>
      <c r="DY642" s="99"/>
      <c r="DZ642" s="99"/>
      <c r="EH642" s="100"/>
      <c r="EI642" s="100"/>
      <c r="EJ642" s="100"/>
      <c r="EK642" s="101"/>
      <c r="EL642" s="80"/>
      <c r="EM642" s="102"/>
      <c r="EN642" s="102"/>
      <c r="EO642" s="103"/>
      <c r="EP642" s="104"/>
      <c r="EQ642" s="28"/>
      <c r="ER642" s="102"/>
      <c r="ES642" s="102"/>
      <c r="ET642" s="102"/>
      <c r="EU642" s="102"/>
      <c r="EV642" s="105"/>
      <c r="EW642" s="101"/>
      <c r="EX642" s="105"/>
      <c r="EY642" s="11"/>
      <c r="EZ642" s="106"/>
      <c r="FA642" s="101"/>
      <c r="FB642" s="107"/>
      <c r="FC642" s="11"/>
      <c r="FD642" s="101"/>
      <c r="FE642" s="108"/>
      <c r="FF642" s="8"/>
    </row>
    <row r="643" spans="50:162">
      <c r="AX643" s="99"/>
      <c r="AY643" s="99"/>
      <c r="AZ643" s="99"/>
      <c r="BH643" s="100"/>
      <c r="BI643" s="100"/>
      <c r="BJ643" s="100"/>
      <c r="BK643" s="101"/>
      <c r="BL643" s="80"/>
      <c r="BM643" s="102"/>
      <c r="BN643" s="102"/>
      <c r="BO643" s="103"/>
      <c r="BP643" s="104"/>
      <c r="BQ643" s="28"/>
      <c r="BR643" s="102"/>
      <c r="BS643" s="102"/>
      <c r="BT643" s="102"/>
      <c r="BU643" s="102"/>
      <c r="BV643" s="105"/>
      <c r="BW643" s="101"/>
      <c r="BX643" s="105"/>
      <c r="BY643" s="11"/>
      <c r="BZ643" s="106"/>
      <c r="CA643" s="101"/>
      <c r="CB643" s="107"/>
      <c r="CC643" s="11"/>
      <c r="CD643" s="101"/>
      <c r="CE643" s="108"/>
      <c r="CF643" s="8"/>
      <c r="DX643" s="99"/>
      <c r="DY643" s="99"/>
      <c r="DZ643" s="99"/>
      <c r="EH643" s="100"/>
      <c r="EI643" s="100"/>
      <c r="EJ643" s="100"/>
      <c r="EK643" s="101"/>
      <c r="EL643" s="80"/>
      <c r="EM643" s="102"/>
      <c r="EN643" s="102"/>
      <c r="EO643" s="103"/>
      <c r="EP643" s="104"/>
      <c r="EQ643" s="28"/>
      <c r="ER643" s="102"/>
      <c r="ES643" s="102"/>
      <c r="ET643" s="102"/>
      <c r="EU643" s="102"/>
      <c r="EV643" s="105"/>
      <c r="EW643" s="101"/>
      <c r="EX643" s="105"/>
      <c r="EY643" s="11"/>
      <c r="EZ643" s="106"/>
      <c r="FA643" s="101"/>
      <c r="FB643" s="107"/>
      <c r="FC643" s="11"/>
      <c r="FD643" s="101"/>
      <c r="FE643" s="108"/>
      <c r="FF643" s="8"/>
    </row>
    <row r="644" spans="50:162">
      <c r="AX644" s="99"/>
      <c r="AY644" s="99"/>
      <c r="AZ644" s="99"/>
      <c r="BH644" s="100"/>
      <c r="BI644" s="100"/>
      <c r="BJ644" s="100"/>
      <c r="BK644" s="101"/>
      <c r="BL644" s="80"/>
      <c r="BM644" s="102"/>
      <c r="BN644" s="102"/>
      <c r="BO644" s="103"/>
      <c r="BP644" s="104"/>
      <c r="BQ644" s="28"/>
      <c r="BR644" s="102"/>
      <c r="BS644" s="102"/>
      <c r="BT644" s="102"/>
      <c r="BU644" s="102"/>
      <c r="BV644" s="105"/>
      <c r="BW644" s="101"/>
      <c r="BX644" s="105"/>
      <c r="BY644" s="11"/>
      <c r="BZ644" s="106"/>
      <c r="CA644" s="101"/>
      <c r="CB644" s="107"/>
      <c r="CC644" s="11"/>
      <c r="CD644" s="101"/>
      <c r="CE644" s="108"/>
      <c r="CF644" s="8"/>
      <c r="DX644" s="99"/>
      <c r="DY644" s="99"/>
      <c r="DZ644" s="99"/>
      <c r="EH644" s="100"/>
      <c r="EI644" s="100"/>
      <c r="EJ644" s="100"/>
      <c r="EK644" s="101"/>
      <c r="EL644" s="80"/>
      <c r="EM644" s="102"/>
      <c r="EN644" s="102"/>
      <c r="EO644" s="103"/>
      <c r="EP644" s="104"/>
      <c r="EQ644" s="28"/>
      <c r="ER644" s="102"/>
      <c r="ES644" s="102"/>
      <c r="ET644" s="102"/>
      <c r="EU644" s="102"/>
      <c r="EV644" s="105"/>
      <c r="EW644" s="101"/>
      <c r="EX644" s="105"/>
      <c r="EY644" s="11"/>
      <c r="EZ644" s="106"/>
      <c r="FA644" s="101"/>
      <c r="FB644" s="107"/>
      <c r="FC644" s="11"/>
      <c r="FD644" s="101"/>
      <c r="FE644" s="108"/>
      <c r="FF644" s="8"/>
    </row>
    <row r="645" spans="50:162">
      <c r="AX645" s="99"/>
      <c r="AY645" s="99"/>
      <c r="AZ645" s="99"/>
      <c r="BH645" s="100"/>
      <c r="BI645" s="100"/>
      <c r="BJ645" s="100"/>
      <c r="BK645" s="101"/>
      <c r="BL645" s="80"/>
      <c r="BM645" s="102"/>
      <c r="BN645" s="102"/>
      <c r="BO645" s="103"/>
      <c r="BP645" s="104"/>
      <c r="BQ645" s="28"/>
      <c r="BR645" s="102"/>
      <c r="BS645" s="102"/>
      <c r="BT645" s="102"/>
      <c r="BU645" s="102"/>
      <c r="BV645" s="105"/>
      <c r="BW645" s="101"/>
      <c r="BX645" s="105"/>
      <c r="BY645" s="11"/>
      <c r="BZ645" s="106"/>
      <c r="CA645" s="101"/>
      <c r="CB645" s="107"/>
      <c r="CC645" s="11"/>
      <c r="CD645" s="101"/>
      <c r="CE645" s="108"/>
      <c r="CF645" s="8"/>
      <c r="DX645" s="99"/>
      <c r="DY645" s="99"/>
      <c r="DZ645" s="99"/>
      <c r="EH645" s="100"/>
      <c r="EI645" s="100"/>
      <c r="EJ645" s="100"/>
      <c r="EK645" s="101"/>
      <c r="EL645" s="80"/>
      <c r="EM645" s="102"/>
      <c r="EN645" s="102"/>
      <c r="EO645" s="103"/>
      <c r="EP645" s="104"/>
      <c r="EQ645" s="28"/>
      <c r="ER645" s="102"/>
      <c r="ES645" s="102"/>
      <c r="ET645" s="102"/>
      <c r="EU645" s="102"/>
      <c r="EV645" s="105"/>
      <c r="EW645" s="101"/>
      <c r="EX645" s="105"/>
      <c r="EY645" s="11"/>
      <c r="EZ645" s="106"/>
      <c r="FA645" s="101"/>
      <c r="FB645" s="107"/>
      <c r="FC645" s="11"/>
      <c r="FD645" s="101"/>
      <c r="FE645" s="108"/>
      <c r="FF645" s="8"/>
    </row>
    <row r="646" spans="50:162">
      <c r="AX646" s="99"/>
      <c r="AY646" s="99"/>
      <c r="AZ646" s="99"/>
      <c r="BH646" s="100"/>
      <c r="BI646" s="100"/>
      <c r="BJ646" s="100"/>
      <c r="BK646" s="101"/>
      <c r="BL646" s="80"/>
      <c r="BM646" s="102"/>
      <c r="BN646" s="102"/>
      <c r="BO646" s="103"/>
      <c r="BP646" s="104"/>
      <c r="BQ646" s="28"/>
      <c r="BR646" s="102"/>
      <c r="BS646" s="102"/>
      <c r="BT646" s="102"/>
      <c r="BU646" s="102"/>
      <c r="BV646" s="105"/>
      <c r="BW646" s="101"/>
      <c r="BX646" s="105"/>
      <c r="BY646" s="11"/>
      <c r="BZ646" s="106"/>
      <c r="CA646" s="101"/>
      <c r="CB646" s="107"/>
      <c r="CC646" s="11"/>
      <c r="CD646" s="101"/>
      <c r="CE646" s="108"/>
      <c r="CF646" s="8"/>
      <c r="DX646" s="99"/>
      <c r="DY646" s="99"/>
      <c r="DZ646" s="99"/>
      <c r="EH646" s="100"/>
      <c r="EI646" s="100"/>
      <c r="EJ646" s="100"/>
      <c r="EK646" s="101"/>
      <c r="EL646" s="80"/>
      <c r="EM646" s="102"/>
      <c r="EN646" s="102"/>
      <c r="EO646" s="103"/>
      <c r="EP646" s="104"/>
      <c r="EQ646" s="28"/>
      <c r="ER646" s="102"/>
      <c r="ES646" s="102"/>
      <c r="ET646" s="102"/>
      <c r="EU646" s="102"/>
      <c r="EV646" s="105"/>
      <c r="EW646" s="101"/>
      <c r="EX646" s="105"/>
      <c r="EY646" s="11"/>
      <c r="EZ646" s="106"/>
      <c r="FA646" s="101"/>
      <c r="FB646" s="107"/>
      <c r="FC646" s="11"/>
      <c r="FD646" s="101"/>
      <c r="FE646" s="108"/>
      <c r="FF646" s="8"/>
    </row>
    <row r="647" spans="50:162">
      <c r="AX647" s="99"/>
      <c r="AY647" s="99"/>
      <c r="AZ647" s="99"/>
      <c r="BH647" s="100"/>
      <c r="BI647" s="100"/>
      <c r="BJ647" s="100"/>
      <c r="BK647" s="101"/>
      <c r="BL647" s="80"/>
      <c r="BM647" s="102"/>
      <c r="BN647" s="102"/>
      <c r="BO647" s="103"/>
      <c r="BP647" s="104"/>
      <c r="BQ647" s="28"/>
      <c r="BR647" s="102"/>
      <c r="BS647" s="102"/>
      <c r="BT647" s="102"/>
      <c r="BU647" s="102"/>
      <c r="BV647" s="105"/>
      <c r="BW647" s="101"/>
      <c r="BX647" s="105"/>
      <c r="BY647" s="11"/>
      <c r="BZ647" s="106"/>
      <c r="CA647" s="101"/>
      <c r="CB647" s="107"/>
      <c r="CC647" s="11"/>
      <c r="CD647" s="101"/>
      <c r="CE647" s="108"/>
      <c r="CF647" s="8"/>
      <c r="DX647" s="99"/>
      <c r="DY647" s="99"/>
      <c r="DZ647" s="99"/>
      <c r="EH647" s="100"/>
      <c r="EI647" s="100"/>
      <c r="EJ647" s="100"/>
      <c r="EK647" s="101"/>
      <c r="EL647" s="80"/>
      <c r="EM647" s="102"/>
      <c r="EN647" s="102"/>
      <c r="EO647" s="103"/>
      <c r="EP647" s="104"/>
      <c r="EQ647" s="28"/>
      <c r="ER647" s="102"/>
      <c r="ES647" s="102"/>
      <c r="ET647" s="102"/>
      <c r="EU647" s="102"/>
      <c r="EV647" s="105"/>
      <c r="EW647" s="101"/>
      <c r="EX647" s="105"/>
      <c r="EY647" s="11"/>
      <c r="EZ647" s="106"/>
      <c r="FA647" s="101"/>
      <c r="FB647" s="107"/>
      <c r="FC647" s="11"/>
      <c r="FD647" s="101"/>
      <c r="FE647" s="108"/>
      <c r="FF647" s="8"/>
    </row>
    <row r="648" spans="50:162">
      <c r="AX648" s="99"/>
      <c r="AY648" s="99"/>
      <c r="AZ648" s="99"/>
      <c r="BH648" s="100"/>
      <c r="BI648" s="100"/>
      <c r="BJ648" s="100"/>
      <c r="BK648" s="101"/>
      <c r="BL648" s="80"/>
      <c r="BM648" s="102"/>
      <c r="BN648" s="102"/>
      <c r="BO648" s="103"/>
      <c r="BP648" s="104"/>
      <c r="BQ648" s="28"/>
      <c r="BR648" s="102"/>
      <c r="BS648" s="102"/>
      <c r="BT648" s="102"/>
      <c r="BU648" s="102"/>
      <c r="BV648" s="105"/>
      <c r="BW648" s="101"/>
      <c r="BX648" s="105"/>
      <c r="BY648" s="11"/>
      <c r="BZ648" s="106"/>
      <c r="CA648" s="101"/>
      <c r="CB648" s="107"/>
      <c r="CC648" s="11"/>
      <c r="CD648" s="101"/>
      <c r="CE648" s="108"/>
      <c r="CF648" s="8"/>
      <c r="DX648" s="99"/>
      <c r="DY648" s="99"/>
      <c r="DZ648" s="99"/>
      <c r="EH648" s="100"/>
      <c r="EI648" s="100"/>
      <c r="EJ648" s="100"/>
      <c r="EK648" s="101"/>
      <c r="EL648" s="80"/>
      <c r="EM648" s="102"/>
      <c r="EN648" s="102"/>
      <c r="EO648" s="103"/>
      <c r="EP648" s="104"/>
      <c r="EQ648" s="28"/>
      <c r="ER648" s="102"/>
      <c r="ES648" s="102"/>
      <c r="ET648" s="102"/>
      <c r="EU648" s="102"/>
      <c r="EV648" s="105"/>
      <c r="EW648" s="101"/>
      <c r="EX648" s="105"/>
      <c r="EY648" s="11"/>
      <c r="EZ648" s="106"/>
      <c r="FA648" s="101"/>
      <c r="FB648" s="107"/>
      <c r="FC648" s="11"/>
      <c r="FD648" s="101"/>
      <c r="FE648" s="108"/>
      <c r="FF648" s="8"/>
    </row>
    <row r="649" spans="50:162">
      <c r="AX649" s="99"/>
      <c r="AY649" s="99"/>
      <c r="AZ649" s="99"/>
      <c r="BH649" s="100"/>
      <c r="BI649" s="100"/>
      <c r="BJ649" s="100"/>
      <c r="BK649" s="101"/>
      <c r="BL649" s="80"/>
      <c r="BM649" s="102"/>
      <c r="BN649" s="102"/>
      <c r="BO649" s="103"/>
      <c r="BP649" s="104"/>
      <c r="BQ649" s="28"/>
      <c r="BR649" s="102"/>
      <c r="BS649" s="102"/>
      <c r="BT649" s="102"/>
      <c r="BU649" s="102"/>
      <c r="BV649" s="105"/>
      <c r="BW649" s="101"/>
      <c r="BX649" s="105"/>
      <c r="BY649" s="11"/>
      <c r="BZ649" s="106"/>
      <c r="CA649" s="101"/>
      <c r="CB649" s="107"/>
      <c r="CC649" s="11"/>
      <c r="CD649" s="101"/>
      <c r="CE649" s="108"/>
      <c r="CF649" s="8"/>
      <c r="DX649" s="99"/>
      <c r="DY649" s="99"/>
      <c r="DZ649" s="99"/>
      <c r="EH649" s="100"/>
      <c r="EI649" s="100"/>
      <c r="EJ649" s="100"/>
      <c r="EK649" s="101"/>
      <c r="EL649" s="80"/>
      <c r="EM649" s="102"/>
      <c r="EN649" s="102"/>
      <c r="EO649" s="103"/>
      <c r="EP649" s="104"/>
      <c r="EQ649" s="28"/>
      <c r="ER649" s="102"/>
      <c r="ES649" s="102"/>
      <c r="ET649" s="102"/>
      <c r="EU649" s="102"/>
      <c r="EV649" s="105"/>
      <c r="EW649" s="101"/>
      <c r="EX649" s="105"/>
      <c r="EY649" s="11"/>
      <c r="EZ649" s="106"/>
      <c r="FA649" s="101"/>
      <c r="FB649" s="107"/>
      <c r="FC649" s="11"/>
      <c r="FD649" s="101"/>
      <c r="FE649" s="108"/>
      <c r="FF649" s="8"/>
    </row>
    <row r="650" spans="50:162">
      <c r="AX650" s="99"/>
      <c r="AY650" s="99"/>
      <c r="AZ650" s="99"/>
      <c r="BH650" s="100"/>
      <c r="BI650" s="100"/>
      <c r="BJ650" s="100"/>
      <c r="BK650" s="101"/>
      <c r="BL650" s="80"/>
      <c r="BM650" s="102"/>
      <c r="BN650" s="102"/>
      <c r="BO650" s="103"/>
      <c r="BP650" s="104"/>
      <c r="BQ650" s="28"/>
      <c r="BR650" s="102"/>
      <c r="BS650" s="102"/>
      <c r="BT650" s="102"/>
      <c r="BU650" s="102"/>
      <c r="BV650" s="105"/>
      <c r="BW650" s="101"/>
      <c r="BX650" s="105"/>
      <c r="BY650" s="11"/>
      <c r="BZ650" s="106"/>
      <c r="CA650" s="101"/>
      <c r="CB650" s="107"/>
      <c r="CC650" s="11"/>
      <c r="CD650" s="101"/>
      <c r="CE650" s="108"/>
      <c r="CF650" s="8"/>
      <c r="DX650" s="99"/>
      <c r="DY650" s="99"/>
      <c r="DZ650" s="99"/>
      <c r="EH650" s="100"/>
      <c r="EI650" s="100"/>
      <c r="EJ650" s="100"/>
      <c r="EK650" s="101"/>
      <c r="EL650" s="80"/>
      <c r="EM650" s="102"/>
      <c r="EN650" s="102"/>
      <c r="EO650" s="103"/>
      <c r="EP650" s="104"/>
      <c r="EQ650" s="28"/>
      <c r="ER650" s="102"/>
      <c r="ES650" s="102"/>
      <c r="ET650" s="102"/>
      <c r="EU650" s="102"/>
      <c r="EV650" s="105"/>
      <c r="EW650" s="101"/>
      <c r="EX650" s="105"/>
      <c r="EY650" s="11"/>
      <c r="EZ650" s="106"/>
      <c r="FA650" s="101"/>
      <c r="FB650" s="107"/>
      <c r="FC650" s="11"/>
      <c r="FD650" s="101"/>
      <c r="FE650" s="108"/>
      <c r="FF650" s="8"/>
    </row>
    <row r="651" spans="50:162">
      <c r="AX651" s="99"/>
      <c r="AY651" s="99"/>
      <c r="AZ651" s="99"/>
      <c r="BH651" s="100"/>
      <c r="BI651" s="100"/>
      <c r="BJ651" s="100"/>
      <c r="BK651" s="101"/>
      <c r="BL651" s="80"/>
      <c r="BM651" s="102"/>
      <c r="BN651" s="102"/>
      <c r="BO651" s="103"/>
      <c r="BP651" s="104"/>
      <c r="BQ651" s="28"/>
      <c r="BR651" s="102"/>
      <c r="BS651" s="102"/>
      <c r="BT651" s="102"/>
      <c r="BU651" s="102"/>
      <c r="BV651" s="105"/>
      <c r="BW651" s="101"/>
      <c r="BX651" s="105"/>
      <c r="BY651" s="11"/>
      <c r="BZ651" s="106"/>
      <c r="CA651" s="101"/>
      <c r="CB651" s="107"/>
      <c r="CC651" s="11"/>
      <c r="CD651" s="101"/>
      <c r="CE651" s="108"/>
      <c r="CF651" s="8"/>
      <c r="DX651" s="99"/>
      <c r="DY651" s="99"/>
      <c r="DZ651" s="99"/>
      <c r="EH651" s="100"/>
      <c r="EI651" s="100"/>
      <c r="EJ651" s="100"/>
      <c r="EK651" s="101"/>
      <c r="EL651" s="80"/>
      <c r="EM651" s="102"/>
      <c r="EN651" s="102"/>
      <c r="EO651" s="103"/>
      <c r="EP651" s="104"/>
      <c r="EQ651" s="28"/>
      <c r="ER651" s="102"/>
      <c r="ES651" s="102"/>
      <c r="ET651" s="102"/>
      <c r="EU651" s="102"/>
      <c r="EV651" s="105"/>
      <c r="EW651" s="101"/>
      <c r="EX651" s="105"/>
      <c r="EY651" s="11"/>
      <c r="EZ651" s="106"/>
      <c r="FA651" s="101"/>
      <c r="FB651" s="107"/>
      <c r="FC651" s="11"/>
      <c r="FD651" s="101"/>
      <c r="FE651" s="108"/>
      <c r="FF651" s="8"/>
    </row>
    <row r="652" spans="50:162">
      <c r="AX652" s="99"/>
      <c r="AY652" s="99"/>
      <c r="AZ652" s="99"/>
      <c r="BH652" s="100"/>
      <c r="BI652" s="100"/>
      <c r="BJ652" s="100"/>
      <c r="BK652" s="101"/>
      <c r="BL652" s="80"/>
      <c r="BM652" s="102"/>
      <c r="BN652" s="102"/>
      <c r="BO652" s="103"/>
      <c r="BP652" s="104"/>
      <c r="BQ652" s="28"/>
      <c r="BR652" s="102"/>
      <c r="BS652" s="102"/>
      <c r="BT652" s="102"/>
      <c r="BU652" s="102"/>
      <c r="BV652" s="105"/>
      <c r="BW652" s="101"/>
      <c r="BX652" s="105"/>
      <c r="BY652" s="11"/>
      <c r="BZ652" s="106"/>
      <c r="CA652" s="101"/>
      <c r="CB652" s="107"/>
      <c r="CC652" s="11"/>
      <c r="CD652" s="101"/>
      <c r="CE652" s="108"/>
      <c r="CF652" s="8"/>
      <c r="DX652" s="99"/>
      <c r="DY652" s="99"/>
      <c r="DZ652" s="99"/>
      <c r="EH652" s="100"/>
      <c r="EI652" s="100"/>
      <c r="EJ652" s="100"/>
      <c r="EK652" s="101"/>
      <c r="EL652" s="80"/>
      <c r="EM652" s="102"/>
      <c r="EN652" s="102"/>
      <c r="EO652" s="103"/>
      <c r="EP652" s="104"/>
      <c r="EQ652" s="28"/>
      <c r="ER652" s="102"/>
      <c r="ES652" s="102"/>
      <c r="ET652" s="102"/>
      <c r="EU652" s="102"/>
      <c r="EV652" s="105"/>
      <c r="EW652" s="101"/>
      <c r="EX652" s="105"/>
      <c r="EY652" s="11"/>
      <c r="EZ652" s="106"/>
      <c r="FA652" s="101"/>
      <c r="FB652" s="107"/>
      <c r="FC652" s="11"/>
      <c r="FD652" s="101"/>
      <c r="FE652" s="108"/>
      <c r="FF652" s="8"/>
    </row>
    <row r="653" spans="50:162">
      <c r="AX653" s="99"/>
      <c r="AY653" s="99"/>
      <c r="AZ653" s="99"/>
      <c r="BH653" s="100"/>
      <c r="BI653" s="100"/>
      <c r="BJ653" s="100"/>
      <c r="BK653" s="101"/>
      <c r="BL653" s="80"/>
      <c r="BM653" s="102"/>
      <c r="BN653" s="102"/>
      <c r="BO653" s="103"/>
      <c r="BP653" s="104"/>
      <c r="BQ653" s="28"/>
      <c r="BR653" s="102"/>
      <c r="BS653" s="102"/>
      <c r="BT653" s="102"/>
      <c r="BU653" s="102"/>
      <c r="BV653" s="105"/>
      <c r="BW653" s="101"/>
      <c r="BX653" s="105"/>
      <c r="BY653" s="11"/>
      <c r="BZ653" s="106"/>
      <c r="CA653" s="101"/>
      <c r="CB653" s="107"/>
      <c r="CC653" s="11"/>
      <c r="CD653" s="101"/>
      <c r="CE653" s="108"/>
      <c r="CF653" s="8"/>
      <c r="DX653" s="99"/>
      <c r="DY653" s="99"/>
      <c r="DZ653" s="99"/>
      <c r="EH653" s="100"/>
      <c r="EI653" s="100"/>
      <c r="EJ653" s="100"/>
      <c r="EK653" s="101"/>
      <c r="EL653" s="80"/>
      <c r="EM653" s="102"/>
      <c r="EN653" s="102"/>
      <c r="EO653" s="103"/>
      <c r="EP653" s="104"/>
      <c r="EQ653" s="28"/>
      <c r="ER653" s="102"/>
      <c r="ES653" s="102"/>
      <c r="ET653" s="102"/>
      <c r="EU653" s="102"/>
      <c r="EV653" s="105"/>
      <c r="EW653" s="101"/>
      <c r="EX653" s="105"/>
      <c r="EY653" s="11"/>
      <c r="EZ653" s="106"/>
      <c r="FA653" s="101"/>
      <c r="FB653" s="107"/>
      <c r="FC653" s="11"/>
      <c r="FD653" s="101"/>
      <c r="FE653" s="108"/>
      <c r="FF653" s="8"/>
    </row>
    <row r="654" spans="50:162">
      <c r="AX654" s="99"/>
      <c r="AY654" s="99"/>
      <c r="AZ654" s="99"/>
      <c r="BH654" s="100"/>
      <c r="BI654" s="100"/>
      <c r="BJ654" s="100"/>
      <c r="BK654" s="101"/>
      <c r="BL654" s="80"/>
      <c r="BM654" s="102"/>
      <c r="BN654" s="102"/>
      <c r="BO654" s="103"/>
      <c r="BP654" s="104"/>
      <c r="BQ654" s="28"/>
      <c r="BR654" s="102"/>
      <c r="BS654" s="102"/>
      <c r="BT654" s="102"/>
      <c r="BU654" s="102"/>
      <c r="BV654" s="105"/>
      <c r="BW654" s="101"/>
      <c r="BX654" s="105"/>
      <c r="BY654" s="11"/>
      <c r="BZ654" s="106"/>
      <c r="CA654" s="101"/>
      <c r="CB654" s="107"/>
      <c r="CC654" s="11"/>
      <c r="CD654" s="101"/>
      <c r="CE654" s="108"/>
      <c r="CF654" s="8"/>
      <c r="DX654" s="99"/>
      <c r="DY654" s="99"/>
      <c r="DZ654" s="99"/>
      <c r="EH654" s="100"/>
      <c r="EI654" s="100"/>
      <c r="EJ654" s="100"/>
      <c r="EK654" s="101"/>
      <c r="EL654" s="80"/>
      <c r="EM654" s="102"/>
      <c r="EN654" s="102"/>
      <c r="EO654" s="103"/>
      <c r="EP654" s="104"/>
      <c r="EQ654" s="28"/>
      <c r="ER654" s="102"/>
      <c r="ES654" s="102"/>
      <c r="ET654" s="102"/>
      <c r="EU654" s="102"/>
      <c r="EV654" s="105"/>
      <c r="EW654" s="101"/>
      <c r="EX654" s="105"/>
      <c r="EY654" s="11"/>
      <c r="EZ654" s="106"/>
      <c r="FA654" s="101"/>
      <c r="FB654" s="107"/>
      <c r="FC654" s="11"/>
      <c r="FD654" s="101"/>
      <c r="FE654" s="108"/>
      <c r="FF654" s="8"/>
    </row>
    <row r="655" spans="50:162">
      <c r="AX655" s="99"/>
      <c r="AY655" s="99"/>
      <c r="AZ655" s="99"/>
      <c r="BH655" s="100"/>
      <c r="BI655" s="100"/>
      <c r="BJ655" s="100"/>
      <c r="BK655" s="101"/>
      <c r="BL655" s="80"/>
      <c r="BM655" s="102"/>
      <c r="BN655" s="102"/>
      <c r="BO655" s="103"/>
      <c r="BP655" s="104"/>
      <c r="BQ655" s="28"/>
      <c r="BR655" s="102"/>
      <c r="BS655" s="102"/>
      <c r="BT655" s="102"/>
      <c r="BU655" s="102"/>
      <c r="BV655" s="105"/>
      <c r="BW655" s="101"/>
      <c r="BX655" s="105"/>
      <c r="BY655" s="11"/>
      <c r="BZ655" s="106"/>
      <c r="CA655" s="101"/>
      <c r="CB655" s="107"/>
      <c r="CC655" s="11"/>
      <c r="CD655" s="101"/>
      <c r="CE655" s="108"/>
      <c r="CF655" s="8"/>
      <c r="DX655" s="99"/>
      <c r="DY655" s="99"/>
      <c r="DZ655" s="99"/>
      <c r="EH655" s="100"/>
      <c r="EI655" s="100"/>
      <c r="EJ655" s="100"/>
      <c r="EK655" s="101"/>
      <c r="EL655" s="80"/>
      <c r="EM655" s="102"/>
      <c r="EN655" s="102"/>
      <c r="EO655" s="103"/>
      <c r="EP655" s="104"/>
      <c r="EQ655" s="28"/>
      <c r="ER655" s="102"/>
      <c r="ES655" s="102"/>
      <c r="ET655" s="102"/>
      <c r="EU655" s="102"/>
      <c r="EV655" s="105"/>
      <c r="EW655" s="101"/>
      <c r="EX655" s="105"/>
      <c r="EY655" s="11"/>
      <c r="EZ655" s="106"/>
      <c r="FA655" s="101"/>
      <c r="FB655" s="107"/>
      <c r="FC655" s="11"/>
      <c r="FD655" s="101"/>
      <c r="FE655" s="108"/>
      <c r="FF655" s="8"/>
    </row>
    <row r="656" spans="50:162">
      <c r="AX656" s="99"/>
      <c r="AY656" s="99"/>
      <c r="AZ656" s="99"/>
      <c r="BH656" s="100"/>
      <c r="BI656" s="100"/>
      <c r="BJ656" s="100"/>
      <c r="BK656" s="101"/>
      <c r="BL656" s="80"/>
      <c r="BM656" s="102"/>
      <c r="BN656" s="102"/>
      <c r="BO656" s="103"/>
      <c r="BP656" s="104"/>
      <c r="BQ656" s="28"/>
      <c r="BR656" s="102"/>
      <c r="BS656" s="102"/>
      <c r="BT656" s="102"/>
      <c r="BU656" s="102"/>
      <c r="BV656" s="105"/>
      <c r="BW656" s="101"/>
      <c r="BX656" s="105"/>
      <c r="BY656" s="11"/>
      <c r="BZ656" s="106"/>
      <c r="CA656" s="101"/>
      <c r="CB656" s="107"/>
      <c r="CC656" s="11"/>
      <c r="CD656" s="101"/>
      <c r="CE656" s="108"/>
      <c r="CF656" s="8"/>
      <c r="DX656" s="99"/>
      <c r="DY656" s="99"/>
      <c r="DZ656" s="99"/>
      <c r="EH656" s="100"/>
      <c r="EI656" s="100"/>
      <c r="EJ656" s="100"/>
      <c r="EK656" s="101"/>
      <c r="EL656" s="80"/>
      <c r="EM656" s="102"/>
      <c r="EN656" s="102"/>
      <c r="EO656" s="103"/>
      <c r="EP656" s="104"/>
      <c r="EQ656" s="28"/>
      <c r="ER656" s="102"/>
      <c r="ES656" s="102"/>
      <c r="ET656" s="102"/>
      <c r="EU656" s="102"/>
      <c r="EV656" s="105"/>
      <c r="EW656" s="101"/>
      <c r="EX656" s="105"/>
      <c r="EY656" s="11"/>
      <c r="EZ656" s="106"/>
      <c r="FA656" s="101"/>
      <c r="FB656" s="107"/>
      <c r="FC656" s="11"/>
      <c r="FD656" s="101"/>
      <c r="FE656" s="108"/>
      <c r="FF656" s="8"/>
    </row>
    <row r="657" spans="50:162">
      <c r="AX657" s="99"/>
      <c r="AY657" s="99"/>
      <c r="AZ657" s="99"/>
      <c r="BH657" s="100"/>
      <c r="BI657" s="100"/>
      <c r="BJ657" s="100"/>
      <c r="BK657" s="101"/>
      <c r="BL657" s="80"/>
      <c r="BM657" s="102"/>
      <c r="BN657" s="102"/>
      <c r="BO657" s="103"/>
      <c r="BP657" s="104"/>
      <c r="BQ657" s="28"/>
      <c r="BR657" s="102"/>
      <c r="BS657" s="102"/>
      <c r="BT657" s="102"/>
      <c r="BU657" s="102"/>
      <c r="BV657" s="105"/>
      <c r="BW657" s="101"/>
      <c r="BX657" s="105"/>
      <c r="BY657" s="11"/>
      <c r="BZ657" s="106"/>
      <c r="CA657" s="101"/>
      <c r="CB657" s="107"/>
      <c r="CC657" s="11"/>
      <c r="CD657" s="101"/>
      <c r="CE657" s="108"/>
      <c r="CF657" s="8"/>
      <c r="DX657" s="99"/>
      <c r="DY657" s="99"/>
      <c r="DZ657" s="99"/>
      <c r="EH657" s="100"/>
      <c r="EI657" s="100"/>
      <c r="EJ657" s="100"/>
      <c r="EK657" s="101"/>
      <c r="EL657" s="80"/>
      <c r="EM657" s="102"/>
      <c r="EN657" s="102"/>
      <c r="EO657" s="103"/>
      <c r="EP657" s="104"/>
      <c r="EQ657" s="28"/>
      <c r="ER657" s="102"/>
      <c r="ES657" s="102"/>
      <c r="ET657" s="102"/>
      <c r="EU657" s="102"/>
      <c r="EV657" s="105"/>
      <c r="EW657" s="101"/>
      <c r="EX657" s="105"/>
      <c r="EY657" s="11"/>
      <c r="EZ657" s="106"/>
      <c r="FA657" s="101"/>
      <c r="FB657" s="107"/>
      <c r="FC657" s="11"/>
      <c r="FD657" s="101"/>
      <c r="FE657" s="108"/>
      <c r="FF657" s="8"/>
    </row>
    <row r="658" spans="50:162">
      <c r="AX658" s="99"/>
      <c r="AY658" s="99"/>
      <c r="AZ658" s="99"/>
      <c r="BH658" s="100"/>
      <c r="BI658" s="100"/>
      <c r="BJ658" s="100"/>
      <c r="BK658" s="101"/>
      <c r="BL658" s="80"/>
      <c r="BM658" s="102"/>
      <c r="BN658" s="102"/>
      <c r="BO658" s="103"/>
      <c r="BP658" s="104"/>
      <c r="BQ658" s="28"/>
      <c r="BR658" s="102"/>
      <c r="BS658" s="102"/>
      <c r="BT658" s="102"/>
      <c r="BU658" s="102"/>
      <c r="BV658" s="105"/>
      <c r="BW658" s="101"/>
      <c r="BX658" s="105"/>
      <c r="BY658" s="11"/>
      <c r="BZ658" s="106"/>
      <c r="CA658" s="101"/>
      <c r="CB658" s="107"/>
      <c r="CC658" s="11"/>
      <c r="CD658" s="101"/>
      <c r="CE658" s="108"/>
      <c r="CF658" s="8"/>
      <c r="DX658" s="99"/>
      <c r="DY658" s="99"/>
      <c r="DZ658" s="99"/>
      <c r="EH658" s="100"/>
      <c r="EI658" s="100"/>
      <c r="EJ658" s="100"/>
      <c r="EK658" s="101"/>
      <c r="EL658" s="80"/>
      <c r="EM658" s="102"/>
      <c r="EN658" s="102"/>
      <c r="EO658" s="103"/>
      <c r="EP658" s="104"/>
      <c r="EQ658" s="28"/>
      <c r="ER658" s="102"/>
      <c r="ES658" s="102"/>
      <c r="ET658" s="102"/>
      <c r="EU658" s="102"/>
      <c r="EV658" s="105"/>
      <c r="EW658" s="101"/>
      <c r="EX658" s="105"/>
      <c r="EY658" s="11"/>
      <c r="EZ658" s="106"/>
      <c r="FA658" s="101"/>
      <c r="FB658" s="107"/>
      <c r="FC658" s="11"/>
      <c r="FD658" s="101"/>
      <c r="FE658" s="108"/>
      <c r="FF658" s="8"/>
    </row>
    <row r="659" spans="50:162">
      <c r="AX659" s="99"/>
      <c r="AY659" s="99"/>
      <c r="AZ659" s="99"/>
      <c r="BH659" s="100"/>
      <c r="BI659" s="100"/>
      <c r="BJ659" s="100"/>
      <c r="BK659" s="101"/>
      <c r="BL659" s="80"/>
      <c r="BM659" s="102"/>
      <c r="BN659" s="102"/>
      <c r="BO659" s="103"/>
      <c r="BP659" s="104"/>
      <c r="BQ659" s="28"/>
      <c r="BR659" s="102"/>
      <c r="BS659" s="102"/>
      <c r="BT659" s="102"/>
      <c r="BU659" s="102"/>
      <c r="BV659" s="105"/>
      <c r="BW659" s="101"/>
      <c r="BX659" s="105"/>
      <c r="BY659" s="11"/>
      <c r="BZ659" s="106"/>
      <c r="CA659" s="101"/>
      <c r="CB659" s="107"/>
      <c r="CC659" s="11"/>
      <c r="CD659" s="101"/>
      <c r="CE659" s="108"/>
      <c r="CF659" s="8"/>
      <c r="DX659" s="99"/>
      <c r="DY659" s="99"/>
      <c r="DZ659" s="99"/>
      <c r="EH659" s="100"/>
      <c r="EI659" s="100"/>
      <c r="EJ659" s="100"/>
      <c r="EK659" s="101"/>
      <c r="EL659" s="80"/>
      <c r="EM659" s="102"/>
      <c r="EN659" s="102"/>
      <c r="EO659" s="103"/>
      <c r="EP659" s="104"/>
      <c r="EQ659" s="28"/>
      <c r="ER659" s="102"/>
      <c r="ES659" s="102"/>
      <c r="ET659" s="102"/>
      <c r="EU659" s="102"/>
      <c r="EV659" s="105"/>
      <c r="EW659" s="101"/>
      <c r="EX659" s="105"/>
      <c r="EY659" s="11"/>
      <c r="EZ659" s="106"/>
      <c r="FA659" s="101"/>
      <c r="FB659" s="107"/>
      <c r="FC659" s="11"/>
      <c r="FD659" s="101"/>
      <c r="FE659" s="108"/>
      <c r="FF659" s="8"/>
    </row>
    <row r="660" spans="50:162">
      <c r="AX660" s="99"/>
      <c r="AY660" s="99"/>
      <c r="AZ660" s="99"/>
      <c r="BH660" s="100"/>
      <c r="BI660" s="100"/>
      <c r="BJ660" s="100"/>
      <c r="BK660" s="101"/>
      <c r="BL660" s="80"/>
      <c r="BM660" s="102"/>
      <c r="BN660" s="102"/>
      <c r="BO660" s="103"/>
      <c r="BP660" s="104"/>
      <c r="BQ660" s="28"/>
      <c r="BR660" s="102"/>
      <c r="BS660" s="102"/>
      <c r="BT660" s="102"/>
      <c r="BU660" s="102"/>
      <c r="BV660" s="105"/>
      <c r="BW660" s="101"/>
      <c r="BX660" s="105"/>
      <c r="BY660" s="11"/>
      <c r="BZ660" s="106"/>
      <c r="CA660" s="101"/>
      <c r="CB660" s="107"/>
      <c r="CC660" s="11"/>
      <c r="CD660" s="101"/>
      <c r="CE660" s="108"/>
      <c r="CF660" s="8"/>
      <c r="DX660" s="99"/>
      <c r="DY660" s="99"/>
      <c r="DZ660" s="99"/>
      <c r="EH660" s="100"/>
      <c r="EI660" s="100"/>
      <c r="EJ660" s="100"/>
      <c r="EK660" s="101"/>
      <c r="EL660" s="80"/>
      <c r="EM660" s="102"/>
      <c r="EN660" s="102"/>
      <c r="EO660" s="103"/>
      <c r="EP660" s="104"/>
      <c r="EQ660" s="28"/>
      <c r="ER660" s="102"/>
      <c r="ES660" s="102"/>
      <c r="ET660" s="102"/>
      <c r="EU660" s="102"/>
      <c r="EV660" s="105"/>
      <c r="EW660" s="101"/>
      <c r="EX660" s="105"/>
      <c r="EY660" s="11"/>
      <c r="EZ660" s="106"/>
      <c r="FA660" s="101"/>
      <c r="FB660" s="107"/>
      <c r="FC660" s="11"/>
      <c r="FD660" s="101"/>
      <c r="FE660" s="108"/>
      <c r="FF660" s="8"/>
    </row>
    <row r="661" spans="50:162">
      <c r="AX661" s="99"/>
      <c r="AY661" s="99"/>
      <c r="AZ661" s="99"/>
      <c r="BH661" s="100"/>
      <c r="BI661" s="100"/>
      <c r="BJ661" s="100"/>
      <c r="BK661" s="101"/>
      <c r="BL661" s="80"/>
      <c r="BM661" s="102"/>
      <c r="BN661" s="102"/>
      <c r="BO661" s="103"/>
      <c r="BP661" s="104"/>
      <c r="BQ661" s="28"/>
      <c r="BR661" s="102"/>
      <c r="BS661" s="102"/>
      <c r="BT661" s="102"/>
      <c r="BU661" s="102"/>
      <c r="BV661" s="105"/>
      <c r="BW661" s="101"/>
      <c r="BX661" s="105"/>
      <c r="BY661" s="11"/>
      <c r="BZ661" s="106"/>
      <c r="CA661" s="101"/>
      <c r="CB661" s="107"/>
      <c r="CC661" s="11"/>
      <c r="CD661" s="101"/>
      <c r="CE661" s="108"/>
      <c r="CF661" s="8"/>
      <c r="DX661" s="99"/>
      <c r="DY661" s="99"/>
      <c r="DZ661" s="99"/>
      <c r="EH661" s="100"/>
      <c r="EI661" s="100"/>
      <c r="EJ661" s="100"/>
      <c r="EK661" s="101"/>
      <c r="EL661" s="80"/>
      <c r="EM661" s="102"/>
      <c r="EN661" s="102"/>
      <c r="EO661" s="103"/>
      <c r="EP661" s="104"/>
      <c r="EQ661" s="28"/>
      <c r="ER661" s="102"/>
      <c r="ES661" s="102"/>
      <c r="ET661" s="102"/>
      <c r="EU661" s="102"/>
      <c r="EV661" s="105"/>
      <c r="EW661" s="101"/>
      <c r="EX661" s="105"/>
      <c r="EY661" s="11"/>
      <c r="EZ661" s="106"/>
      <c r="FA661" s="101"/>
      <c r="FB661" s="107"/>
      <c r="FC661" s="11"/>
      <c r="FD661" s="101"/>
      <c r="FE661" s="108"/>
      <c r="FF661" s="8"/>
    </row>
    <row r="662" spans="50:162">
      <c r="AX662" s="99"/>
      <c r="AY662" s="99"/>
      <c r="AZ662" s="99"/>
      <c r="BH662" s="100"/>
      <c r="BI662" s="100"/>
      <c r="BJ662" s="100"/>
      <c r="BK662" s="101"/>
      <c r="BL662" s="80"/>
      <c r="BM662" s="102"/>
      <c r="BN662" s="102"/>
      <c r="BO662" s="103"/>
      <c r="BP662" s="104"/>
      <c r="BQ662" s="28"/>
      <c r="BR662" s="102"/>
      <c r="BS662" s="102"/>
      <c r="BT662" s="102"/>
      <c r="BU662" s="102"/>
      <c r="BV662" s="105"/>
      <c r="BW662" s="101"/>
      <c r="BX662" s="105"/>
      <c r="BY662" s="11"/>
      <c r="BZ662" s="106"/>
      <c r="CA662" s="101"/>
      <c r="CB662" s="107"/>
      <c r="CC662" s="11"/>
      <c r="CD662" s="101"/>
      <c r="CE662" s="108"/>
      <c r="CF662" s="8"/>
      <c r="DX662" s="99"/>
      <c r="DY662" s="99"/>
      <c r="DZ662" s="99"/>
      <c r="EH662" s="100"/>
      <c r="EI662" s="100"/>
      <c r="EJ662" s="100"/>
      <c r="EK662" s="101"/>
      <c r="EL662" s="80"/>
      <c r="EM662" s="102"/>
      <c r="EN662" s="102"/>
      <c r="EO662" s="103"/>
      <c r="EP662" s="104"/>
      <c r="EQ662" s="28"/>
      <c r="ER662" s="102"/>
      <c r="ES662" s="102"/>
      <c r="ET662" s="102"/>
      <c r="EU662" s="102"/>
      <c r="EV662" s="105"/>
      <c r="EW662" s="101"/>
      <c r="EX662" s="105"/>
      <c r="EY662" s="11"/>
      <c r="EZ662" s="106"/>
      <c r="FA662" s="101"/>
      <c r="FB662" s="107"/>
      <c r="FC662" s="11"/>
      <c r="FD662" s="101"/>
      <c r="FE662" s="108"/>
      <c r="FF662" s="8"/>
    </row>
    <row r="663" spans="50:162">
      <c r="AX663" s="99"/>
      <c r="AY663" s="99"/>
      <c r="AZ663" s="99"/>
      <c r="BH663" s="100"/>
      <c r="BI663" s="100"/>
      <c r="BJ663" s="100"/>
      <c r="BK663" s="101"/>
      <c r="BL663" s="80"/>
      <c r="BM663" s="102"/>
      <c r="BN663" s="102"/>
      <c r="BO663" s="103"/>
      <c r="BP663" s="104"/>
      <c r="BQ663" s="28"/>
      <c r="BR663" s="102"/>
      <c r="BS663" s="102"/>
      <c r="BT663" s="102"/>
      <c r="BU663" s="102"/>
      <c r="BV663" s="105"/>
      <c r="BW663" s="101"/>
      <c r="BX663" s="105"/>
      <c r="BY663" s="11"/>
      <c r="BZ663" s="106"/>
      <c r="CA663" s="101"/>
      <c r="CB663" s="107"/>
      <c r="CC663" s="11"/>
      <c r="CD663" s="101"/>
      <c r="CE663" s="108"/>
      <c r="CF663" s="8"/>
      <c r="DX663" s="99"/>
      <c r="DY663" s="99"/>
      <c r="DZ663" s="99"/>
      <c r="EH663" s="100"/>
      <c r="EI663" s="100"/>
      <c r="EJ663" s="100"/>
      <c r="EK663" s="101"/>
      <c r="EL663" s="80"/>
      <c r="EM663" s="102"/>
      <c r="EN663" s="102"/>
      <c r="EO663" s="103"/>
      <c r="EP663" s="104"/>
      <c r="EQ663" s="28"/>
      <c r="ER663" s="102"/>
      <c r="ES663" s="102"/>
      <c r="ET663" s="102"/>
      <c r="EU663" s="102"/>
      <c r="EV663" s="105"/>
      <c r="EW663" s="101"/>
      <c r="EX663" s="105"/>
      <c r="EY663" s="11"/>
      <c r="EZ663" s="106"/>
      <c r="FA663" s="101"/>
      <c r="FB663" s="107"/>
      <c r="FC663" s="11"/>
      <c r="FD663" s="101"/>
      <c r="FE663" s="108"/>
      <c r="FF663" s="8"/>
    </row>
    <row r="664" spans="50:162">
      <c r="AX664" s="99"/>
      <c r="AY664" s="99"/>
      <c r="AZ664" s="99"/>
      <c r="BH664" s="100"/>
      <c r="BI664" s="100"/>
      <c r="BJ664" s="100"/>
      <c r="BK664" s="101"/>
      <c r="BL664" s="80"/>
      <c r="BM664" s="102"/>
      <c r="BN664" s="102"/>
      <c r="BO664" s="103"/>
      <c r="BP664" s="104"/>
      <c r="BQ664" s="28"/>
      <c r="BR664" s="102"/>
      <c r="BS664" s="102"/>
      <c r="BT664" s="102"/>
      <c r="BU664" s="102"/>
      <c r="BV664" s="105"/>
      <c r="BW664" s="101"/>
      <c r="BX664" s="105"/>
      <c r="BY664" s="11"/>
      <c r="BZ664" s="106"/>
      <c r="CA664" s="101"/>
      <c r="CB664" s="107"/>
      <c r="CC664" s="11"/>
      <c r="CD664" s="101"/>
      <c r="CE664" s="108"/>
      <c r="CF664" s="8"/>
      <c r="DX664" s="99"/>
      <c r="DY664" s="99"/>
      <c r="DZ664" s="99"/>
      <c r="EH664" s="100"/>
      <c r="EI664" s="100"/>
      <c r="EJ664" s="100"/>
      <c r="EK664" s="101"/>
      <c r="EL664" s="80"/>
      <c r="EM664" s="102"/>
      <c r="EN664" s="102"/>
      <c r="EO664" s="103"/>
      <c r="EP664" s="104"/>
      <c r="EQ664" s="28"/>
      <c r="ER664" s="102"/>
      <c r="ES664" s="102"/>
      <c r="ET664" s="102"/>
      <c r="EU664" s="102"/>
      <c r="EV664" s="105"/>
      <c r="EW664" s="101"/>
      <c r="EX664" s="105"/>
      <c r="EY664" s="11"/>
      <c r="EZ664" s="106"/>
      <c r="FA664" s="101"/>
      <c r="FB664" s="107"/>
      <c r="FC664" s="11"/>
      <c r="FD664" s="101"/>
      <c r="FE664" s="108"/>
      <c r="FF664" s="8"/>
    </row>
    <row r="665" spans="50:162">
      <c r="AX665" s="99"/>
      <c r="AY665" s="99"/>
      <c r="AZ665" s="99"/>
      <c r="BH665" s="100"/>
      <c r="BI665" s="100"/>
      <c r="BJ665" s="100"/>
      <c r="BK665" s="101"/>
      <c r="BL665" s="80"/>
      <c r="BM665" s="102"/>
      <c r="BN665" s="102"/>
      <c r="BO665" s="103"/>
      <c r="BP665" s="104"/>
      <c r="BQ665" s="28"/>
      <c r="BR665" s="102"/>
      <c r="BS665" s="102"/>
      <c r="BT665" s="102"/>
      <c r="BU665" s="102"/>
      <c r="BV665" s="105"/>
      <c r="BW665" s="101"/>
      <c r="BX665" s="105"/>
      <c r="BY665" s="11"/>
      <c r="BZ665" s="106"/>
      <c r="CA665" s="101"/>
      <c r="CB665" s="107"/>
      <c r="CC665" s="11"/>
      <c r="CD665" s="101"/>
      <c r="CE665" s="108"/>
      <c r="CF665" s="8"/>
      <c r="DX665" s="99"/>
      <c r="DY665" s="99"/>
      <c r="DZ665" s="99"/>
      <c r="EH665" s="100"/>
      <c r="EI665" s="100"/>
      <c r="EJ665" s="100"/>
      <c r="EK665" s="101"/>
      <c r="EL665" s="80"/>
      <c r="EM665" s="102"/>
      <c r="EN665" s="102"/>
      <c r="EO665" s="103"/>
      <c r="EP665" s="104"/>
      <c r="EQ665" s="28"/>
      <c r="ER665" s="102"/>
      <c r="ES665" s="102"/>
      <c r="ET665" s="102"/>
      <c r="EU665" s="102"/>
      <c r="EV665" s="105"/>
      <c r="EW665" s="101"/>
      <c r="EX665" s="105"/>
      <c r="EY665" s="11"/>
      <c r="EZ665" s="106"/>
      <c r="FA665" s="101"/>
      <c r="FB665" s="107"/>
      <c r="FC665" s="11"/>
      <c r="FD665" s="101"/>
      <c r="FE665" s="108"/>
      <c r="FF665" s="8"/>
    </row>
    <row r="666" spans="50:162">
      <c r="AX666" s="99"/>
      <c r="AY666" s="99"/>
      <c r="AZ666" s="99"/>
      <c r="BH666" s="100"/>
      <c r="BI666" s="100"/>
      <c r="BJ666" s="100"/>
      <c r="BK666" s="101"/>
      <c r="BL666" s="80"/>
      <c r="BM666" s="102"/>
      <c r="BN666" s="102"/>
      <c r="BO666" s="103"/>
      <c r="BP666" s="104"/>
      <c r="BQ666" s="28"/>
      <c r="BR666" s="102"/>
      <c r="BS666" s="102"/>
      <c r="BT666" s="102"/>
      <c r="BU666" s="102"/>
      <c r="BV666" s="105"/>
      <c r="BW666" s="101"/>
      <c r="BX666" s="105"/>
      <c r="BY666" s="11"/>
      <c r="BZ666" s="106"/>
      <c r="CA666" s="101"/>
      <c r="CB666" s="107"/>
      <c r="CC666" s="11"/>
      <c r="CD666" s="101"/>
      <c r="CE666" s="108"/>
      <c r="CF666" s="8"/>
      <c r="DX666" s="99"/>
      <c r="DY666" s="99"/>
      <c r="DZ666" s="99"/>
      <c r="EH666" s="100"/>
      <c r="EI666" s="100"/>
      <c r="EJ666" s="100"/>
      <c r="EK666" s="101"/>
      <c r="EL666" s="80"/>
      <c r="EM666" s="102"/>
      <c r="EN666" s="102"/>
      <c r="EO666" s="103"/>
      <c r="EP666" s="104"/>
      <c r="EQ666" s="28"/>
      <c r="ER666" s="102"/>
      <c r="ES666" s="102"/>
      <c r="ET666" s="102"/>
      <c r="EU666" s="102"/>
      <c r="EV666" s="105"/>
      <c r="EW666" s="101"/>
      <c r="EX666" s="105"/>
      <c r="EY666" s="11"/>
      <c r="EZ666" s="106"/>
      <c r="FA666" s="101"/>
      <c r="FB666" s="107"/>
      <c r="FC666" s="11"/>
      <c r="FD666" s="101"/>
      <c r="FE666" s="108"/>
      <c r="FF666" s="8"/>
    </row>
    <row r="667" spans="50:162">
      <c r="AX667" s="99"/>
      <c r="AY667" s="99"/>
      <c r="AZ667" s="99"/>
      <c r="BH667" s="100"/>
      <c r="BI667" s="100"/>
      <c r="BJ667" s="100"/>
      <c r="BK667" s="101"/>
      <c r="BL667" s="80"/>
      <c r="BM667" s="102"/>
      <c r="BN667" s="102"/>
      <c r="BO667" s="103"/>
      <c r="BP667" s="104"/>
      <c r="BQ667" s="28"/>
      <c r="BR667" s="102"/>
      <c r="BS667" s="102"/>
      <c r="BT667" s="102"/>
      <c r="BU667" s="102"/>
      <c r="BV667" s="105"/>
      <c r="BW667" s="101"/>
      <c r="BX667" s="105"/>
      <c r="BY667" s="11"/>
      <c r="BZ667" s="106"/>
      <c r="CA667" s="101"/>
      <c r="CB667" s="107"/>
      <c r="CC667" s="11"/>
      <c r="CD667" s="101"/>
      <c r="CE667" s="108"/>
      <c r="CF667" s="8"/>
      <c r="DX667" s="99"/>
      <c r="DY667" s="99"/>
      <c r="DZ667" s="99"/>
      <c r="EH667" s="100"/>
      <c r="EI667" s="100"/>
      <c r="EJ667" s="100"/>
      <c r="EK667" s="101"/>
      <c r="EL667" s="80"/>
      <c r="EM667" s="102"/>
      <c r="EN667" s="102"/>
      <c r="EO667" s="103"/>
      <c r="EP667" s="104"/>
      <c r="EQ667" s="28"/>
      <c r="ER667" s="102"/>
      <c r="ES667" s="102"/>
      <c r="ET667" s="102"/>
      <c r="EU667" s="102"/>
      <c r="EV667" s="105"/>
      <c r="EW667" s="101"/>
      <c r="EX667" s="105"/>
      <c r="EY667" s="11"/>
      <c r="EZ667" s="106"/>
      <c r="FA667" s="101"/>
      <c r="FB667" s="107"/>
      <c r="FC667" s="11"/>
      <c r="FD667" s="101"/>
      <c r="FE667" s="108"/>
      <c r="FF667" s="8"/>
    </row>
    <row r="668" spans="50:162">
      <c r="AX668" s="99"/>
      <c r="AY668" s="99"/>
      <c r="AZ668" s="99"/>
      <c r="BH668" s="100"/>
      <c r="BI668" s="100"/>
      <c r="BJ668" s="100"/>
      <c r="BK668" s="101"/>
      <c r="BL668" s="80"/>
      <c r="BM668" s="102"/>
      <c r="BN668" s="102"/>
      <c r="BO668" s="103"/>
      <c r="BP668" s="104"/>
      <c r="BQ668" s="28"/>
      <c r="BR668" s="102"/>
      <c r="BS668" s="102"/>
      <c r="BT668" s="102"/>
      <c r="BU668" s="102"/>
      <c r="BV668" s="105"/>
      <c r="BW668" s="101"/>
      <c r="BX668" s="105"/>
      <c r="BY668" s="11"/>
      <c r="BZ668" s="106"/>
      <c r="CA668" s="101"/>
      <c r="CB668" s="107"/>
      <c r="CC668" s="11"/>
      <c r="CD668" s="101"/>
      <c r="CE668" s="108"/>
      <c r="CF668" s="8"/>
      <c r="DX668" s="99"/>
      <c r="DY668" s="99"/>
      <c r="DZ668" s="99"/>
      <c r="EH668" s="100"/>
      <c r="EI668" s="100"/>
      <c r="EJ668" s="100"/>
      <c r="EK668" s="101"/>
      <c r="EL668" s="80"/>
      <c r="EM668" s="102"/>
      <c r="EN668" s="102"/>
      <c r="EO668" s="103"/>
      <c r="EP668" s="104"/>
      <c r="EQ668" s="28"/>
      <c r="ER668" s="102"/>
      <c r="ES668" s="102"/>
      <c r="ET668" s="102"/>
      <c r="EU668" s="102"/>
      <c r="EV668" s="105"/>
      <c r="EW668" s="101"/>
      <c r="EX668" s="105"/>
      <c r="EY668" s="11"/>
      <c r="EZ668" s="106"/>
      <c r="FA668" s="101"/>
      <c r="FB668" s="107"/>
      <c r="FC668" s="11"/>
      <c r="FD668" s="101"/>
      <c r="FE668" s="108"/>
      <c r="FF668" s="8"/>
    </row>
    <row r="669" spans="50:162">
      <c r="AX669" s="99"/>
      <c r="AY669" s="99"/>
      <c r="AZ669" s="99"/>
      <c r="BH669" s="100"/>
      <c r="BI669" s="100"/>
      <c r="BJ669" s="100"/>
      <c r="BK669" s="101"/>
      <c r="BL669" s="80"/>
      <c r="BM669" s="102"/>
      <c r="BN669" s="102"/>
      <c r="BO669" s="103"/>
      <c r="BP669" s="104"/>
      <c r="BQ669" s="28"/>
      <c r="BR669" s="102"/>
      <c r="BS669" s="102"/>
      <c r="BT669" s="102"/>
      <c r="BU669" s="102"/>
      <c r="BV669" s="105"/>
      <c r="BW669" s="101"/>
      <c r="BX669" s="105"/>
      <c r="BY669" s="11"/>
      <c r="BZ669" s="106"/>
      <c r="CA669" s="101"/>
      <c r="CB669" s="107"/>
      <c r="CC669" s="11"/>
      <c r="CD669" s="101"/>
      <c r="CE669" s="108"/>
      <c r="CF669" s="8"/>
      <c r="DX669" s="99"/>
      <c r="DY669" s="99"/>
      <c r="DZ669" s="99"/>
      <c r="EH669" s="100"/>
      <c r="EI669" s="100"/>
      <c r="EJ669" s="100"/>
      <c r="EK669" s="101"/>
      <c r="EL669" s="80"/>
      <c r="EM669" s="102"/>
      <c r="EN669" s="102"/>
      <c r="EO669" s="103"/>
      <c r="EP669" s="104"/>
      <c r="EQ669" s="28"/>
      <c r="ER669" s="102"/>
      <c r="ES669" s="102"/>
      <c r="ET669" s="102"/>
      <c r="EU669" s="102"/>
      <c r="EV669" s="105"/>
      <c r="EW669" s="101"/>
      <c r="EX669" s="105"/>
      <c r="EY669" s="11"/>
      <c r="EZ669" s="106"/>
      <c r="FA669" s="101"/>
      <c r="FB669" s="107"/>
      <c r="FC669" s="11"/>
      <c r="FD669" s="101"/>
      <c r="FE669" s="108"/>
      <c r="FF669" s="8"/>
    </row>
    <row r="670" spans="50:162">
      <c r="AX670" s="99"/>
      <c r="AY670" s="99"/>
      <c r="AZ670" s="99"/>
      <c r="BH670" s="100"/>
      <c r="BI670" s="100"/>
      <c r="BJ670" s="100"/>
      <c r="BK670" s="101"/>
      <c r="BL670" s="80"/>
      <c r="BM670" s="102"/>
      <c r="BN670" s="102"/>
      <c r="BO670" s="103"/>
      <c r="BP670" s="104"/>
      <c r="BQ670" s="28"/>
      <c r="BR670" s="102"/>
      <c r="BS670" s="102"/>
      <c r="BT670" s="102"/>
      <c r="BU670" s="102"/>
      <c r="BV670" s="105"/>
      <c r="BW670" s="101"/>
      <c r="BX670" s="105"/>
      <c r="BY670" s="11"/>
      <c r="BZ670" s="106"/>
      <c r="CA670" s="101"/>
      <c r="CB670" s="107"/>
      <c r="CC670" s="11"/>
      <c r="CD670" s="101"/>
      <c r="CE670" s="108"/>
      <c r="CF670" s="8"/>
      <c r="DX670" s="99"/>
      <c r="DY670" s="99"/>
      <c r="DZ670" s="99"/>
      <c r="EH670" s="100"/>
      <c r="EI670" s="100"/>
      <c r="EJ670" s="100"/>
      <c r="EK670" s="101"/>
      <c r="EL670" s="80"/>
      <c r="EM670" s="102"/>
      <c r="EN670" s="102"/>
      <c r="EO670" s="103"/>
      <c r="EP670" s="104"/>
      <c r="EQ670" s="28"/>
      <c r="ER670" s="102"/>
      <c r="ES670" s="102"/>
      <c r="ET670" s="102"/>
      <c r="EU670" s="102"/>
      <c r="EV670" s="105"/>
      <c r="EW670" s="101"/>
      <c r="EX670" s="105"/>
      <c r="EY670" s="11"/>
      <c r="EZ670" s="106"/>
      <c r="FA670" s="101"/>
      <c r="FB670" s="107"/>
      <c r="FC670" s="11"/>
      <c r="FD670" s="101"/>
      <c r="FE670" s="108"/>
      <c r="FF670" s="8"/>
    </row>
    <row r="671" spans="50:162">
      <c r="AX671" s="99"/>
      <c r="AY671" s="99"/>
      <c r="AZ671" s="99"/>
      <c r="BH671" s="100"/>
      <c r="BI671" s="100"/>
      <c r="BJ671" s="100"/>
      <c r="BK671" s="101"/>
      <c r="BL671" s="80"/>
      <c r="BM671" s="102"/>
      <c r="BN671" s="102"/>
      <c r="BO671" s="103"/>
      <c r="BP671" s="104"/>
      <c r="BQ671" s="28"/>
      <c r="BR671" s="102"/>
      <c r="BS671" s="102"/>
      <c r="BT671" s="102"/>
      <c r="BU671" s="102"/>
      <c r="BV671" s="105"/>
      <c r="BW671" s="101"/>
      <c r="BX671" s="105"/>
      <c r="BY671" s="11"/>
      <c r="BZ671" s="106"/>
      <c r="CA671" s="101"/>
      <c r="CB671" s="107"/>
      <c r="CC671" s="11"/>
      <c r="CD671" s="101"/>
      <c r="CE671" s="108"/>
      <c r="CF671" s="8"/>
      <c r="DX671" s="99"/>
      <c r="DY671" s="99"/>
      <c r="DZ671" s="99"/>
      <c r="EH671" s="100"/>
      <c r="EI671" s="100"/>
      <c r="EJ671" s="100"/>
      <c r="EK671" s="101"/>
      <c r="EL671" s="80"/>
      <c r="EM671" s="102"/>
      <c r="EN671" s="102"/>
      <c r="EO671" s="103"/>
      <c r="EP671" s="104"/>
      <c r="EQ671" s="28"/>
      <c r="ER671" s="102"/>
      <c r="ES671" s="102"/>
      <c r="ET671" s="102"/>
      <c r="EU671" s="102"/>
      <c r="EV671" s="105"/>
      <c r="EW671" s="101"/>
      <c r="EX671" s="105"/>
      <c r="EY671" s="11"/>
      <c r="EZ671" s="106"/>
      <c r="FA671" s="101"/>
      <c r="FB671" s="107"/>
      <c r="FC671" s="11"/>
      <c r="FD671" s="101"/>
      <c r="FE671" s="108"/>
      <c r="FF671" s="8"/>
    </row>
    <row r="672" spans="50:162">
      <c r="AX672" s="99"/>
      <c r="AY672" s="99"/>
      <c r="AZ672" s="99"/>
      <c r="BH672" s="100"/>
      <c r="BI672" s="100"/>
      <c r="BJ672" s="100"/>
      <c r="BK672" s="101"/>
      <c r="BL672" s="80"/>
      <c r="BM672" s="102"/>
      <c r="BN672" s="102"/>
      <c r="BO672" s="103"/>
      <c r="BP672" s="104"/>
      <c r="BQ672" s="28"/>
      <c r="BR672" s="102"/>
      <c r="BS672" s="102"/>
      <c r="BT672" s="102"/>
      <c r="BU672" s="102"/>
      <c r="BV672" s="105"/>
      <c r="BW672" s="101"/>
      <c r="BX672" s="105"/>
      <c r="BY672" s="11"/>
      <c r="BZ672" s="106"/>
      <c r="CA672" s="101"/>
      <c r="CB672" s="107"/>
      <c r="CC672" s="11"/>
      <c r="CD672" s="101"/>
      <c r="CE672" s="108"/>
      <c r="CF672" s="8"/>
      <c r="DX672" s="99"/>
      <c r="DY672" s="99"/>
      <c r="DZ672" s="99"/>
      <c r="EH672" s="100"/>
      <c r="EI672" s="100"/>
      <c r="EJ672" s="100"/>
      <c r="EK672" s="101"/>
      <c r="EL672" s="80"/>
      <c r="EM672" s="102"/>
      <c r="EN672" s="102"/>
      <c r="EO672" s="103"/>
      <c r="EP672" s="104"/>
      <c r="EQ672" s="28"/>
      <c r="ER672" s="102"/>
      <c r="ES672" s="102"/>
      <c r="ET672" s="102"/>
      <c r="EU672" s="102"/>
      <c r="EV672" s="105"/>
      <c r="EW672" s="101"/>
      <c r="EX672" s="105"/>
      <c r="EY672" s="11"/>
      <c r="EZ672" s="106"/>
      <c r="FA672" s="101"/>
      <c r="FB672" s="107"/>
      <c r="FC672" s="11"/>
      <c r="FD672" s="101"/>
      <c r="FE672" s="108"/>
      <c r="FF672" s="8"/>
    </row>
    <row r="673" spans="50:162">
      <c r="AX673" s="99"/>
      <c r="AY673" s="99"/>
      <c r="AZ673" s="99"/>
      <c r="BH673" s="100"/>
      <c r="BI673" s="100"/>
      <c r="BJ673" s="100"/>
      <c r="BK673" s="101"/>
      <c r="BL673" s="80"/>
      <c r="BM673" s="102"/>
      <c r="BN673" s="102"/>
      <c r="BO673" s="103"/>
      <c r="BP673" s="104"/>
      <c r="BQ673" s="28"/>
      <c r="BR673" s="102"/>
      <c r="BS673" s="102"/>
      <c r="BT673" s="102"/>
      <c r="BU673" s="102"/>
      <c r="BV673" s="105"/>
      <c r="BW673" s="101"/>
      <c r="BX673" s="105"/>
      <c r="BY673" s="11"/>
      <c r="BZ673" s="106"/>
      <c r="CA673" s="101"/>
      <c r="CB673" s="107"/>
      <c r="CC673" s="11"/>
      <c r="CD673" s="101"/>
      <c r="CE673" s="108"/>
      <c r="CF673" s="8"/>
      <c r="DX673" s="99"/>
      <c r="DY673" s="99"/>
      <c r="DZ673" s="99"/>
      <c r="EH673" s="100"/>
      <c r="EI673" s="100"/>
      <c r="EJ673" s="100"/>
      <c r="EK673" s="101"/>
      <c r="EL673" s="80"/>
      <c r="EM673" s="102"/>
      <c r="EN673" s="102"/>
      <c r="EO673" s="103"/>
      <c r="EP673" s="104"/>
      <c r="EQ673" s="28"/>
      <c r="ER673" s="102"/>
      <c r="ES673" s="102"/>
      <c r="ET673" s="102"/>
      <c r="EU673" s="102"/>
      <c r="EV673" s="105"/>
      <c r="EW673" s="101"/>
      <c r="EX673" s="105"/>
      <c r="EY673" s="11"/>
      <c r="EZ673" s="106"/>
      <c r="FA673" s="101"/>
      <c r="FB673" s="107"/>
      <c r="FC673" s="11"/>
      <c r="FD673" s="101"/>
      <c r="FE673" s="108"/>
      <c r="FF673" s="8"/>
    </row>
    <row r="674" spans="50:162">
      <c r="AX674" s="99"/>
      <c r="AY674" s="99"/>
      <c r="AZ674" s="99"/>
      <c r="BH674" s="100"/>
      <c r="BI674" s="100"/>
      <c r="BJ674" s="100"/>
      <c r="BK674" s="101"/>
      <c r="BL674" s="80"/>
      <c r="BM674" s="102"/>
      <c r="BN674" s="102"/>
      <c r="BO674" s="103"/>
      <c r="BP674" s="104"/>
      <c r="BQ674" s="28"/>
      <c r="BR674" s="102"/>
      <c r="BS674" s="102"/>
      <c r="BT674" s="102"/>
      <c r="BU674" s="102"/>
      <c r="BV674" s="105"/>
      <c r="BW674" s="101"/>
      <c r="BX674" s="105"/>
      <c r="BY674" s="11"/>
      <c r="BZ674" s="106"/>
      <c r="CA674" s="101"/>
      <c r="CB674" s="107"/>
      <c r="CC674" s="11"/>
      <c r="CD674" s="101"/>
      <c r="CE674" s="108"/>
      <c r="CF674" s="8"/>
      <c r="DX674" s="99"/>
      <c r="DY674" s="99"/>
      <c r="DZ674" s="99"/>
      <c r="EH674" s="100"/>
      <c r="EI674" s="100"/>
      <c r="EJ674" s="100"/>
      <c r="EK674" s="101"/>
      <c r="EL674" s="80"/>
      <c r="EM674" s="102"/>
      <c r="EN674" s="102"/>
      <c r="EO674" s="103"/>
      <c r="EP674" s="104"/>
      <c r="EQ674" s="28"/>
      <c r="ER674" s="102"/>
      <c r="ES674" s="102"/>
      <c r="ET674" s="102"/>
      <c r="EU674" s="102"/>
      <c r="EV674" s="105"/>
      <c r="EW674" s="101"/>
      <c r="EX674" s="105"/>
      <c r="EY674" s="11"/>
      <c r="EZ674" s="106"/>
      <c r="FA674" s="101"/>
      <c r="FB674" s="107"/>
      <c r="FC674" s="11"/>
      <c r="FD674" s="101"/>
      <c r="FE674" s="108"/>
      <c r="FF674" s="8"/>
    </row>
    <row r="675" spans="50:162">
      <c r="AX675" s="99"/>
      <c r="AY675" s="99"/>
      <c r="AZ675" s="99"/>
      <c r="BH675" s="100"/>
      <c r="BI675" s="100"/>
      <c r="BJ675" s="100"/>
      <c r="BK675" s="101"/>
      <c r="BL675" s="80"/>
      <c r="BM675" s="102"/>
      <c r="BN675" s="102"/>
      <c r="BO675" s="103"/>
      <c r="BP675" s="104"/>
      <c r="BQ675" s="28"/>
      <c r="BR675" s="102"/>
      <c r="BS675" s="102"/>
      <c r="BT675" s="102"/>
      <c r="BU675" s="102"/>
      <c r="BV675" s="105"/>
      <c r="BW675" s="101"/>
      <c r="BX675" s="105"/>
      <c r="BY675" s="11"/>
      <c r="BZ675" s="106"/>
      <c r="CA675" s="101"/>
      <c r="CB675" s="107"/>
      <c r="CC675" s="11"/>
      <c r="CD675" s="101"/>
      <c r="CE675" s="108"/>
      <c r="CF675" s="8"/>
      <c r="DX675" s="99"/>
      <c r="DY675" s="99"/>
      <c r="DZ675" s="99"/>
      <c r="EH675" s="100"/>
      <c r="EI675" s="100"/>
      <c r="EJ675" s="100"/>
      <c r="EK675" s="101"/>
      <c r="EL675" s="80"/>
      <c r="EM675" s="102"/>
      <c r="EN675" s="102"/>
      <c r="EO675" s="103"/>
      <c r="EP675" s="104"/>
      <c r="EQ675" s="28"/>
      <c r="ER675" s="102"/>
      <c r="ES675" s="102"/>
      <c r="ET675" s="102"/>
      <c r="EU675" s="102"/>
      <c r="EV675" s="105"/>
      <c r="EW675" s="101"/>
      <c r="EX675" s="105"/>
      <c r="EY675" s="11"/>
      <c r="EZ675" s="106"/>
      <c r="FA675" s="101"/>
      <c r="FB675" s="107"/>
      <c r="FC675" s="11"/>
      <c r="FD675" s="101"/>
      <c r="FE675" s="108"/>
      <c r="FF675" s="8"/>
    </row>
    <row r="676" spans="50:162">
      <c r="AX676" s="99"/>
      <c r="AY676" s="99"/>
      <c r="AZ676" s="99"/>
      <c r="BH676" s="100"/>
      <c r="BI676" s="100"/>
      <c r="BJ676" s="100"/>
      <c r="BK676" s="101"/>
      <c r="BL676" s="80"/>
      <c r="BM676" s="102"/>
      <c r="BN676" s="102"/>
      <c r="BO676" s="103"/>
      <c r="BP676" s="104"/>
      <c r="BQ676" s="28"/>
      <c r="BR676" s="102"/>
      <c r="BS676" s="102"/>
      <c r="BT676" s="102"/>
      <c r="BU676" s="102"/>
      <c r="BV676" s="105"/>
      <c r="BW676" s="101"/>
      <c r="BX676" s="105"/>
      <c r="BY676" s="11"/>
      <c r="BZ676" s="106"/>
      <c r="CA676" s="101"/>
      <c r="CB676" s="107"/>
      <c r="CC676" s="11"/>
      <c r="CD676" s="101"/>
      <c r="CE676" s="108"/>
      <c r="CF676" s="8"/>
      <c r="DX676" s="99"/>
      <c r="DY676" s="99"/>
      <c r="DZ676" s="99"/>
      <c r="EH676" s="100"/>
      <c r="EI676" s="100"/>
      <c r="EJ676" s="100"/>
      <c r="EK676" s="101"/>
      <c r="EL676" s="80"/>
      <c r="EM676" s="102"/>
      <c r="EN676" s="102"/>
      <c r="EO676" s="103"/>
      <c r="EP676" s="104"/>
      <c r="EQ676" s="28"/>
      <c r="ER676" s="102"/>
      <c r="ES676" s="102"/>
      <c r="ET676" s="102"/>
      <c r="EU676" s="102"/>
      <c r="EV676" s="105"/>
      <c r="EW676" s="101"/>
      <c r="EX676" s="105"/>
      <c r="EY676" s="11"/>
      <c r="EZ676" s="106"/>
      <c r="FA676" s="101"/>
      <c r="FB676" s="107"/>
      <c r="FC676" s="11"/>
      <c r="FD676" s="101"/>
      <c r="FE676" s="108"/>
      <c r="FF676" s="8"/>
    </row>
    <row r="677" spans="50:162">
      <c r="AX677" s="99"/>
      <c r="AY677" s="99"/>
      <c r="AZ677" s="99"/>
      <c r="BH677" s="100"/>
      <c r="BI677" s="100"/>
      <c r="BJ677" s="100"/>
      <c r="BK677" s="101"/>
      <c r="BL677" s="80"/>
      <c r="BM677" s="102"/>
      <c r="BN677" s="102"/>
      <c r="BO677" s="103"/>
      <c r="BP677" s="104"/>
      <c r="BQ677" s="28"/>
      <c r="BR677" s="102"/>
      <c r="BS677" s="102"/>
      <c r="BT677" s="102"/>
      <c r="BU677" s="102"/>
      <c r="BV677" s="105"/>
      <c r="BW677" s="101"/>
      <c r="BX677" s="105"/>
      <c r="BY677" s="11"/>
      <c r="BZ677" s="106"/>
      <c r="CA677" s="101"/>
      <c r="CB677" s="107"/>
      <c r="CC677" s="11"/>
      <c r="CD677" s="101"/>
      <c r="CE677" s="108"/>
      <c r="CF677" s="8"/>
      <c r="DX677" s="99"/>
      <c r="DY677" s="99"/>
      <c r="DZ677" s="99"/>
      <c r="EH677" s="100"/>
      <c r="EI677" s="100"/>
      <c r="EJ677" s="100"/>
      <c r="EK677" s="101"/>
      <c r="EL677" s="80"/>
      <c r="EM677" s="102"/>
      <c r="EN677" s="102"/>
      <c r="EO677" s="103"/>
      <c r="EP677" s="104"/>
      <c r="EQ677" s="28"/>
      <c r="ER677" s="102"/>
      <c r="ES677" s="102"/>
      <c r="ET677" s="102"/>
      <c r="EU677" s="102"/>
      <c r="EV677" s="105"/>
      <c r="EW677" s="101"/>
      <c r="EX677" s="105"/>
      <c r="EY677" s="11"/>
      <c r="EZ677" s="106"/>
      <c r="FA677" s="101"/>
      <c r="FB677" s="107"/>
      <c r="FC677" s="11"/>
      <c r="FD677" s="101"/>
      <c r="FE677" s="108"/>
      <c r="FF677" s="8"/>
    </row>
    <row r="678" spans="50:162">
      <c r="AX678" s="99"/>
      <c r="AY678" s="99"/>
      <c r="AZ678" s="99"/>
      <c r="BH678" s="100"/>
      <c r="BI678" s="100"/>
      <c r="BJ678" s="100"/>
      <c r="BK678" s="101"/>
      <c r="BL678" s="80"/>
      <c r="BM678" s="102"/>
      <c r="BN678" s="102"/>
      <c r="BO678" s="103"/>
      <c r="BP678" s="104"/>
      <c r="BQ678" s="28"/>
      <c r="BR678" s="102"/>
      <c r="BS678" s="102"/>
      <c r="BT678" s="102"/>
      <c r="BU678" s="102"/>
      <c r="BV678" s="105"/>
      <c r="BW678" s="101"/>
      <c r="BX678" s="105"/>
      <c r="BY678" s="11"/>
      <c r="BZ678" s="106"/>
      <c r="CA678" s="101"/>
      <c r="CB678" s="107"/>
      <c r="CC678" s="11"/>
      <c r="CD678" s="101"/>
      <c r="CE678" s="108"/>
      <c r="CF678" s="8"/>
      <c r="DX678" s="99"/>
      <c r="DY678" s="99"/>
      <c r="DZ678" s="99"/>
      <c r="EH678" s="100"/>
      <c r="EI678" s="100"/>
      <c r="EJ678" s="100"/>
      <c r="EK678" s="101"/>
      <c r="EL678" s="80"/>
      <c r="EM678" s="102"/>
      <c r="EN678" s="102"/>
      <c r="EO678" s="103"/>
      <c r="EP678" s="104"/>
      <c r="EQ678" s="28"/>
      <c r="ER678" s="102"/>
      <c r="ES678" s="102"/>
      <c r="ET678" s="102"/>
      <c r="EU678" s="102"/>
      <c r="EV678" s="105"/>
      <c r="EW678" s="101"/>
      <c r="EX678" s="105"/>
      <c r="EY678" s="11"/>
      <c r="EZ678" s="106"/>
      <c r="FA678" s="101"/>
      <c r="FB678" s="107"/>
      <c r="FC678" s="11"/>
      <c r="FD678" s="101"/>
      <c r="FE678" s="108"/>
      <c r="FF678" s="8"/>
    </row>
    <row r="679" spans="50:162">
      <c r="AX679" s="99"/>
      <c r="AY679" s="99"/>
      <c r="AZ679" s="99"/>
      <c r="BH679" s="100"/>
      <c r="BI679" s="100"/>
      <c r="BJ679" s="100"/>
      <c r="BK679" s="101"/>
      <c r="BL679" s="80"/>
      <c r="BM679" s="102"/>
      <c r="BN679" s="102"/>
      <c r="BO679" s="103"/>
      <c r="BP679" s="104"/>
      <c r="BQ679" s="28"/>
      <c r="BR679" s="102"/>
      <c r="BS679" s="102"/>
      <c r="BT679" s="102"/>
      <c r="BU679" s="102"/>
      <c r="BV679" s="105"/>
      <c r="BW679" s="101"/>
      <c r="BX679" s="105"/>
      <c r="BY679" s="11"/>
      <c r="BZ679" s="106"/>
      <c r="CA679" s="101"/>
      <c r="CB679" s="107"/>
      <c r="CC679" s="11"/>
      <c r="CD679" s="101"/>
      <c r="CE679" s="108"/>
      <c r="CF679" s="8"/>
      <c r="DX679" s="99"/>
      <c r="DY679" s="99"/>
      <c r="DZ679" s="99"/>
      <c r="EH679" s="100"/>
      <c r="EI679" s="100"/>
      <c r="EJ679" s="100"/>
      <c r="EK679" s="101"/>
      <c r="EL679" s="80"/>
      <c r="EM679" s="102"/>
      <c r="EN679" s="102"/>
      <c r="EO679" s="103"/>
      <c r="EP679" s="104"/>
      <c r="EQ679" s="28"/>
      <c r="ER679" s="102"/>
      <c r="ES679" s="102"/>
      <c r="ET679" s="102"/>
      <c r="EU679" s="102"/>
      <c r="EV679" s="105"/>
      <c r="EW679" s="101"/>
      <c r="EX679" s="105"/>
      <c r="EY679" s="11"/>
      <c r="EZ679" s="106"/>
      <c r="FA679" s="101"/>
      <c r="FB679" s="107"/>
      <c r="FC679" s="11"/>
      <c r="FD679" s="101"/>
      <c r="FE679" s="108"/>
      <c r="FF679" s="8"/>
    </row>
    <row r="680" spans="50:162">
      <c r="AX680" s="99"/>
      <c r="AY680" s="99"/>
      <c r="AZ680" s="99"/>
      <c r="BH680" s="100"/>
      <c r="BI680" s="100"/>
      <c r="BJ680" s="100"/>
      <c r="BK680" s="101"/>
      <c r="BL680" s="80"/>
      <c r="BM680" s="102"/>
      <c r="BN680" s="102"/>
      <c r="BO680" s="103"/>
      <c r="BP680" s="104"/>
      <c r="BQ680" s="28"/>
      <c r="BR680" s="102"/>
      <c r="BS680" s="102"/>
      <c r="BT680" s="102"/>
      <c r="BU680" s="102"/>
      <c r="BV680" s="105"/>
      <c r="BW680" s="101"/>
      <c r="BX680" s="105"/>
      <c r="BY680" s="11"/>
      <c r="BZ680" s="106"/>
      <c r="CA680" s="101"/>
      <c r="CB680" s="107"/>
      <c r="CC680" s="11"/>
      <c r="CD680" s="101"/>
      <c r="CE680" s="108"/>
      <c r="CF680" s="8"/>
      <c r="DX680" s="99"/>
      <c r="DY680" s="99"/>
      <c r="DZ680" s="99"/>
      <c r="EH680" s="100"/>
      <c r="EI680" s="100"/>
      <c r="EJ680" s="100"/>
      <c r="EK680" s="101"/>
      <c r="EL680" s="80"/>
      <c r="EM680" s="102"/>
      <c r="EN680" s="102"/>
      <c r="EO680" s="103"/>
      <c r="EP680" s="104"/>
      <c r="EQ680" s="28"/>
      <c r="ER680" s="102"/>
      <c r="ES680" s="102"/>
      <c r="ET680" s="102"/>
      <c r="EU680" s="102"/>
      <c r="EV680" s="105"/>
      <c r="EW680" s="101"/>
      <c r="EX680" s="105"/>
      <c r="EY680" s="11"/>
      <c r="EZ680" s="106"/>
      <c r="FA680" s="101"/>
      <c r="FB680" s="107"/>
      <c r="FC680" s="11"/>
      <c r="FD680" s="101"/>
      <c r="FE680" s="108"/>
      <c r="FF680" s="8"/>
    </row>
    <row r="681" spans="50:162">
      <c r="AX681" s="99"/>
      <c r="AY681" s="99"/>
      <c r="AZ681" s="99"/>
      <c r="BH681" s="100"/>
      <c r="BI681" s="100"/>
      <c r="BJ681" s="100"/>
      <c r="BK681" s="101"/>
      <c r="BL681" s="80"/>
      <c r="BM681" s="102"/>
      <c r="BN681" s="102"/>
      <c r="BO681" s="103"/>
      <c r="BP681" s="104"/>
      <c r="BQ681" s="28"/>
      <c r="BR681" s="102"/>
      <c r="BS681" s="102"/>
      <c r="BT681" s="102"/>
      <c r="BU681" s="102"/>
      <c r="BV681" s="105"/>
      <c r="BW681" s="101"/>
      <c r="BX681" s="105"/>
      <c r="BY681" s="11"/>
      <c r="BZ681" s="106"/>
      <c r="CA681" s="101"/>
      <c r="CB681" s="107"/>
      <c r="CC681" s="11"/>
      <c r="CD681" s="101"/>
      <c r="CE681" s="108"/>
      <c r="CF681" s="8"/>
      <c r="DX681" s="99"/>
      <c r="DY681" s="99"/>
      <c r="DZ681" s="99"/>
      <c r="EH681" s="100"/>
      <c r="EI681" s="100"/>
      <c r="EJ681" s="100"/>
      <c r="EK681" s="101"/>
      <c r="EL681" s="80"/>
      <c r="EM681" s="102"/>
      <c r="EN681" s="102"/>
      <c r="EO681" s="103"/>
      <c r="EP681" s="104"/>
      <c r="EQ681" s="28"/>
      <c r="ER681" s="102"/>
      <c r="ES681" s="102"/>
      <c r="ET681" s="102"/>
      <c r="EU681" s="102"/>
      <c r="EV681" s="105"/>
      <c r="EW681" s="101"/>
      <c r="EX681" s="105"/>
      <c r="EY681" s="11"/>
      <c r="EZ681" s="106"/>
      <c r="FA681" s="101"/>
      <c r="FB681" s="107"/>
      <c r="FC681" s="11"/>
      <c r="FD681" s="101"/>
      <c r="FE681" s="108"/>
      <c r="FF681" s="8"/>
    </row>
    <row r="682" spans="50:162">
      <c r="AX682" s="99"/>
      <c r="AY682" s="99"/>
      <c r="AZ682" s="99"/>
      <c r="BH682" s="100"/>
      <c r="BI682" s="100"/>
      <c r="BJ682" s="100"/>
      <c r="BK682" s="101"/>
      <c r="BL682" s="80"/>
      <c r="BM682" s="102"/>
      <c r="BN682" s="102"/>
      <c r="BO682" s="103"/>
      <c r="BP682" s="104"/>
      <c r="BQ682" s="28"/>
      <c r="BR682" s="102"/>
      <c r="BS682" s="102"/>
      <c r="BT682" s="102"/>
      <c r="BU682" s="102"/>
      <c r="BV682" s="105"/>
      <c r="BW682" s="101"/>
      <c r="BX682" s="105"/>
      <c r="BY682" s="11"/>
      <c r="BZ682" s="106"/>
      <c r="CA682" s="101"/>
      <c r="CB682" s="107"/>
      <c r="CC682" s="11"/>
      <c r="CD682" s="101"/>
      <c r="CE682" s="108"/>
      <c r="CF682" s="8"/>
      <c r="DX682" s="99"/>
      <c r="DY682" s="99"/>
      <c r="DZ682" s="99"/>
      <c r="EH682" s="100"/>
      <c r="EI682" s="100"/>
      <c r="EJ682" s="100"/>
      <c r="EK682" s="101"/>
      <c r="EL682" s="80"/>
      <c r="EM682" s="102"/>
      <c r="EN682" s="102"/>
      <c r="EO682" s="103"/>
      <c r="EP682" s="104"/>
      <c r="EQ682" s="28"/>
      <c r="ER682" s="102"/>
      <c r="ES682" s="102"/>
      <c r="ET682" s="102"/>
      <c r="EU682" s="102"/>
      <c r="EV682" s="105"/>
      <c r="EW682" s="101"/>
      <c r="EX682" s="105"/>
      <c r="EY682" s="11"/>
      <c r="EZ682" s="106"/>
      <c r="FA682" s="101"/>
      <c r="FB682" s="107"/>
      <c r="FC682" s="11"/>
      <c r="FD682" s="101"/>
      <c r="FE682" s="108"/>
      <c r="FF682" s="8"/>
    </row>
    <row r="683" spans="50:162">
      <c r="AX683" s="99"/>
      <c r="AY683" s="99"/>
      <c r="AZ683" s="99"/>
      <c r="BH683" s="100"/>
      <c r="BI683" s="100"/>
      <c r="BJ683" s="100"/>
      <c r="BK683" s="101"/>
      <c r="BL683" s="80"/>
      <c r="BM683" s="102"/>
      <c r="BN683" s="102"/>
      <c r="BO683" s="103"/>
      <c r="BP683" s="104"/>
      <c r="BQ683" s="28"/>
      <c r="BR683" s="102"/>
      <c r="BS683" s="102"/>
      <c r="BT683" s="102"/>
      <c r="BU683" s="102"/>
      <c r="BV683" s="105"/>
      <c r="BW683" s="101"/>
      <c r="BX683" s="105"/>
      <c r="BY683" s="11"/>
      <c r="BZ683" s="106"/>
      <c r="CA683" s="101"/>
      <c r="CB683" s="107"/>
      <c r="CC683" s="11"/>
      <c r="CD683" s="101"/>
      <c r="CE683" s="108"/>
      <c r="CF683" s="8"/>
      <c r="DX683" s="99"/>
      <c r="DY683" s="99"/>
      <c r="DZ683" s="99"/>
      <c r="EH683" s="100"/>
      <c r="EI683" s="100"/>
      <c r="EJ683" s="100"/>
      <c r="EK683" s="101"/>
      <c r="EL683" s="80"/>
      <c r="EM683" s="102"/>
      <c r="EN683" s="102"/>
      <c r="EO683" s="103"/>
      <c r="EP683" s="104"/>
      <c r="EQ683" s="28"/>
      <c r="ER683" s="102"/>
      <c r="ES683" s="102"/>
      <c r="ET683" s="102"/>
      <c r="EU683" s="102"/>
      <c r="EV683" s="105"/>
      <c r="EW683" s="101"/>
      <c r="EX683" s="105"/>
      <c r="EY683" s="11"/>
      <c r="EZ683" s="106"/>
      <c r="FA683" s="101"/>
      <c r="FB683" s="107"/>
      <c r="FC683" s="11"/>
      <c r="FD683" s="101"/>
      <c r="FE683" s="108"/>
      <c r="FF683" s="8"/>
    </row>
    <row r="684" spans="50:162">
      <c r="AX684" s="99"/>
      <c r="AY684" s="99"/>
      <c r="AZ684" s="99"/>
      <c r="BH684" s="100"/>
      <c r="BI684" s="100"/>
      <c r="BJ684" s="100"/>
      <c r="BK684" s="101"/>
      <c r="BL684" s="80"/>
      <c r="BM684" s="102"/>
      <c r="BN684" s="102"/>
      <c r="BO684" s="103"/>
      <c r="BP684" s="104"/>
      <c r="BQ684" s="28"/>
      <c r="BR684" s="102"/>
      <c r="BS684" s="102"/>
      <c r="BT684" s="102"/>
      <c r="BU684" s="102"/>
      <c r="BV684" s="105"/>
      <c r="BW684" s="101"/>
      <c r="BX684" s="105"/>
      <c r="BY684" s="11"/>
      <c r="BZ684" s="106"/>
      <c r="CA684" s="101"/>
      <c r="CB684" s="107"/>
      <c r="CC684" s="11"/>
      <c r="CD684" s="101"/>
      <c r="CE684" s="108"/>
      <c r="CF684" s="8"/>
      <c r="DX684" s="99"/>
      <c r="DY684" s="99"/>
      <c r="DZ684" s="99"/>
      <c r="EH684" s="100"/>
      <c r="EI684" s="100"/>
      <c r="EJ684" s="100"/>
      <c r="EK684" s="101"/>
      <c r="EL684" s="80"/>
      <c r="EM684" s="102"/>
      <c r="EN684" s="102"/>
      <c r="EO684" s="103"/>
      <c r="EP684" s="104"/>
      <c r="EQ684" s="28"/>
      <c r="ER684" s="102"/>
      <c r="ES684" s="102"/>
      <c r="ET684" s="102"/>
      <c r="EU684" s="102"/>
      <c r="EV684" s="105"/>
      <c r="EW684" s="101"/>
      <c r="EX684" s="105"/>
      <c r="EY684" s="11"/>
      <c r="EZ684" s="106"/>
      <c r="FA684" s="101"/>
      <c r="FB684" s="107"/>
      <c r="FC684" s="11"/>
      <c r="FD684" s="101"/>
      <c r="FE684" s="108"/>
      <c r="FF684" s="8"/>
    </row>
    <row r="685" spans="50:162">
      <c r="AX685" s="99"/>
      <c r="AY685" s="99"/>
      <c r="AZ685" s="99"/>
      <c r="BH685" s="100"/>
      <c r="BI685" s="100"/>
      <c r="BJ685" s="100"/>
      <c r="BK685" s="101"/>
      <c r="BL685" s="80"/>
      <c r="BM685" s="102"/>
      <c r="BN685" s="102"/>
      <c r="BO685" s="103"/>
      <c r="BP685" s="104"/>
      <c r="BQ685" s="28"/>
      <c r="BR685" s="102"/>
      <c r="BS685" s="102"/>
      <c r="BT685" s="102"/>
      <c r="BU685" s="102"/>
      <c r="BV685" s="105"/>
      <c r="BW685" s="101"/>
      <c r="BX685" s="105"/>
      <c r="BY685" s="11"/>
      <c r="BZ685" s="106"/>
      <c r="CA685" s="101"/>
      <c r="CB685" s="107"/>
      <c r="CC685" s="11"/>
      <c r="CD685" s="101"/>
      <c r="CE685" s="108"/>
      <c r="CF685" s="8"/>
      <c r="DX685" s="99"/>
      <c r="DY685" s="99"/>
      <c r="DZ685" s="99"/>
      <c r="EH685" s="100"/>
      <c r="EI685" s="100"/>
      <c r="EJ685" s="100"/>
      <c r="EK685" s="101"/>
      <c r="EL685" s="80"/>
      <c r="EM685" s="102"/>
      <c r="EN685" s="102"/>
      <c r="EO685" s="103"/>
      <c r="EP685" s="104"/>
      <c r="EQ685" s="28"/>
      <c r="ER685" s="102"/>
      <c r="ES685" s="102"/>
      <c r="ET685" s="102"/>
      <c r="EU685" s="102"/>
      <c r="EV685" s="105"/>
      <c r="EW685" s="101"/>
      <c r="EX685" s="105"/>
      <c r="EY685" s="11"/>
      <c r="EZ685" s="106"/>
      <c r="FA685" s="101"/>
      <c r="FB685" s="107"/>
      <c r="FC685" s="11"/>
      <c r="FD685" s="101"/>
      <c r="FE685" s="108"/>
      <c r="FF685" s="8"/>
    </row>
    <row r="686" spans="50:162">
      <c r="AX686" s="99"/>
      <c r="AY686" s="99"/>
      <c r="AZ686" s="99"/>
      <c r="BH686" s="100"/>
      <c r="BI686" s="100"/>
      <c r="BJ686" s="100"/>
      <c r="BK686" s="101"/>
      <c r="BL686" s="80"/>
      <c r="BM686" s="102"/>
      <c r="BN686" s="102"/>
      <c r="BO686" s="103"/>
      <c r="BP686" s="104"/>
      <c r="BQ686" s="28"/>
      <c r="BR686" s="102"/>
      <c r="BS686" s="102"/>
      <c r="BT686" s="102"/>
      <c r="BU686" s="102"/>
      <c r="BV686" s="105"/>
      <c r="BW686" s="101"/>
      <c r="BX686" s="105"/>
      <c r="BY686" s="11"/>
      <c r="BZ686" s="106"/>
      <c r="CA686" s="101"/>
      <c r="CB686" s="107"/>
      <c r="CC686" s="11"/>
      <c r="CD686" s="101"/>
      <c r="CE686" s="108"/>
      <c r="CF686" s="8"/>
      <c r="DX686" s="99"/>
      <c r="DY686" s="99"/>
      <c r="DZ686" s="99"/>
      <c r="EH686" s="100"/>
      <c r="EI686" s="100"/>
      <c r="EJ686" s="100"/>
      <c r="EK686" s="101"/>
      <c r="EL686" s="80"/>
      <c r="EM686" s="102"/>
      <c r="EN686" s="102"/>
      <c r="EO686" s="103"/>
      <c r="EP686" s="104"/>
      <c r="EQ686" s="28"/>
      <c r="ER686" s="102"/>
      <c r="ES686" s="102"/>
      <c r="ET686" s="102"/>
      <c r="EU686" s="102"/>
      <c r="EV686" s="105"/>
      <c r="EW686" s="101"/>
      <c r="EX686" s="105"/>
      <c r="EY686" s="11"/>
      <c r="EZ686" s="106"/>
      <c r="FA686" s="101"/>
      <c r="FB686" s="107"/>
      <c r="FC686" s="11"/>
      <c r="FD686" s="101"/>
      <c r="FE686" s="108"/>
      <c r="FF686" s="8"/>
    </row>
    <row r="687" spans="50:162">
      <c r="AX687" s="99"/>
      <c r="AY687" s="99"/>
      <c r="AZ687" s="99"/>
      <c r="BH687" s="100"/>
      <c r="BI687" s="100"/>
      <c r="BJ687" s="100"/>
      <c r="BK687" s="101"/>
      <c r="BL687" s="80"/>
      <c r="BM687" s="102"/>
      <c r="BN687" s="102"/>
      <c r="BO687" s="103"/>
      <c r="BP687" s="104"/>
      <c r="BQ687" s="28"/>
      <c r="BR687" s="102"/>
      <c r="BS687" s="102"/>
      <c r="BT687" s="102"/>
      <c r="BU687" s="102"/>
      <c r="BV687" s="105"/>
      <c r="BW687" s="101"/>
      <c r="BX687" s="105"/>
      <c r="BY687" s="11"/>
      <c r="BZ687" s="106"/>
      <c r="CA687" s="101"/>
      <c r="CB687" s="107"/>
      <c r="CC687" s="11"/>
      <c r="CD687" s="101"/>
      <c r="CE687" s="108"/>
      <c r="CF687" s="8"/>
      <c r="DX687" s="99"/>
      <c r="DY687" s="99"/>
      <c r="DZ687" s="99"/>
      <c r="EH687" s="100"/>
      <c r="EI687" s="100"/>
      <c r="EJ687" s="100"/>
      <c r="EK687" s="101"/>
      <c r="EL687" s="80"/>
      <c r="EM687" s="102"/>
      <c r="EN687" s="102"/>
      <c r="EO687" s="103"/>
      <c r="EP687" s="104"/>
      <c r="EQ687" s="28"/>
      <c r="ER687" s="102"/>
      <c r="ES687" s="102"/>
      <c r="ET687" s="102"/>
      <c r="EU687" s="102"/>
      <c r="EV687" s="105"/>
      <c r="EW687" s="101"/>
      <c r="EX687" s="105"/>
      <c r="EY687" s="11"/>
      <c r="EZ687" s="106"/>
      <c r="FA687" s="101"/>
      <c r="FB687" s="107"/>
      <c r="FC687" s="11"/>
      <c r="FD687" s="101"/>
      <c r="FE687" s="108"/>
      <c r="FF687" s="8"/>
    </row>
    <row r="688" spans="50:162">
      <c r="AX688" s="99"/>
      <c r="AY688" s="99"/>
      <c r="AZ688" s="99"/>
      <c r="BH688" s="100"/>
      <c r="BI688" s="100"/>
      <c r="BJ688" s="100"/>
      <c r="BK688" s="101"/>
      <c r="BL688" s="80"/>
      <c r="BM688" s="102"/>
      <c r="BN688" s="102"/>
      <c r="BO688" s="103"/>
      <c r="BP688" s="104"/>
      <c r="BQ688" s="28"/>
      <c r="BR688" s="102"/>
      <c r="BS688" s="102"/>
      <c r="BT688" s="102"/>
      <c r="BU688" s="102"/>
      <c r="BV688" s="105"/>
      <c r="BW688" s="101"/>
      <c r="BX688" s="105"/>
      <c r="BY688" s="11"/>
      <c r="BZ688" s="106"/>
      <c r="CA688" s="101"/>
      <c r="CB688" s="107"/>
      <c r="CC688" s="11"/>
      <c r="CD688" s="101"/>
      <c r="CE688" s="108"/>
      <c r="CF688" s="8"/>
      <c r="DX688" s="99"/>
      <c r="DY688" s="99"/>
      <c r="DZ688" s="99"/>
      <c r="EH688" s="100"/>
      <c r="EI688" s="100"/>
      <c r="EJ688" s="100"/>
      <c r="EK688" s="101"/>
      <c r="EL688" s="80"/>
      <c r="EM688" s="102"/>
      <c r="EN688" s="102"/>
      <c r="EO688" s="103"/>
      <c r="EP688" s="104"/>
      <c r="EQ688" s="28"/>
      <c r="ER688" s="102"/>
      <c r="ES688" s="102"/>
      <c r="ET688" s="102"/>
      <c r="EU688" s="102"/>
      <c r="EV688" s="105"/>
      <c r="EW688" s="101"/>
      <c r="EX688" s="105"/>
      <c r="EY688" s="11"/>
      <c r="EZ688" s="106"/>
      <c r="FA688" s="101"/>
      <c r="FB688" s="107"/>
      <c r="FC688" s="11"/>
      <c r="FD688" s="101"/>
      <c r="FE688" s="108"/>
      <c r="FF688" s="8"/>
    </row>
    <row r="689" spans="50:162">
      <c r="AX689" s="99"/>
      <c r="AY689" s="99"/>
      <c r="AZ689" s="99"/>
      <c r="BH689" s="100"/>
      <c r="BI689" s="100"/>
      <c r="BJ689" s="100"/>
      <c r="BK689" s="101"/>
      <c r="BL689" s="80"/>
      <c r="BM689" s="102"/>
      <c r="BN689" s="102"/>
      <c r="BO689" s="103"/>
      <c r="BP689" s="104"/>
      <c r="BQ689" s="28"/>
      <c r="BR689" s="102"/>
      <c r="BS689" s="102"/>
      <c r="BT689" s="102"/>
      <c r="BU689" s="102"/>
      <c r="BV689" s="105"/>
      <c r="BW689" s="101"/>
      <c r="BX689" s="105"/>
      <c r="BY689" s="11"/>
      <c r="BZ689" s="106"/>
      <c r="CA689" s="101"/>
      <c r="CB689" s="107"/>
      <c r="CC689" s="11"/>
      <c r="CD689" s="101"/>
      <c r="CE689" s="108"/>
      <c r="CF689" s="8"/>
      <c r="DX689" s="99"/>
      <c r="DY689" s="99"/>
      <c r="DZ689" s="99"/>
      <c r="EH689" s="100"/>
      <c r="EI689" s="100"/>
      <c r="EJ689" s="100"/>
      <c r="EK689" s="101"/>
      <c r="EL689" s="80"/>
      <c r="EM689" s="102"/>
      <c r="EN689" s="102"/>
      <c r="EO689" s="103"/>
      <c r="EP689" s="104"/>
      <c r="EQ689" s="28"/>
      <c r="ER689" s="102"/>
      <c r="ES689" s="102"/>
      <c r="ET689" s="102"/>
      <c r="EU689" s="102"/>
      <c r="EV689" s="105"/>
      <c r="EW689" s="101"/>
      <c r="EX689" s="105"/>
      <c r="EY689" s="11"/>
      <c r="EZ689" s="106"/>
      <c r="FA689" s="101"/>
      <c r="FB689" s="107"/>
      <c r="FC689" s="11"/>
      <c r="FD689" s="101"/>
      <c r="FE689" s="108"/>
      <c r="FF689" s="8"/>
    </row>
    <row r="690" spans="50:162">
      <c r="AX690" s="99"/>
      <c r="AY690" s="99"/>
      <c r="AZ690" s="99"/>
      <c r="BH690" s="100"/>
      <c r="BI690" s="100"/>
      <c r="BJ690" s="100"/>
      <c r="BK690" s="101"/>
      <c r="BL690" s="80"/>
      <c r="BM690" s="102"/>
      <c r="BN690" s="102"/>
      <c r="BO690" s="103"/>
      <c r="BP690" s="104"/>
      <c r="BQ690" s="28"/>
      <c r="BR690" s="102"/>
      <c r="BS690" s="102"/>
      <c r="BT690" s="102"/>
      <c r="BU690" s="102"/>
      <c r="BV690" s="105"/>
      <c r="BW690" s="101"/>
      <c r="BX690" s="105"/>
      <c r="BY690" s="11"/>
      <c r="BZ690" s="106"/>
      <c r="CA690" s="101"/>
      <c r="CB690" s="107"/>
      <c r="CC690" s="11"/>
      <c r="CD690" s="101"/>
      <c r="CE690" s="108"/>
      <c r="CF690" s="8"/>
      <c r="DX690" s="99"/>
      <c r="DY690" s="99"/>
      <c r="DZ690" s="99"/>
      <c r="EH690" s="100"/>
      <c r="EI690" s="100"/>
      <c r="EJ690" s="100"/>
      <c r="EK690" s="101"/>
      <c r="EL690" s="80"/>
      <c r="EM690" s="102"/>
      <c r="EN690" s="102"/>
      <c r="EO690" s="103"/>
      <c r="EP690" s="104"/>
      <c r="EQ690" s="28"/>
      <c r="ER690" s="102"/>
      <c r="ES690" s="102"/>
      <c r="ET690" s="102"/>
      <c r="EU690" s="102"/>
      <c r="EV690" s="105"/>
      <c r="EW690" s="101"/>
      <c r="EX690" s="105"/>
      <c r="EY690" s="11"/>
      <c r="EZ690" s="106"/>
      <c r="FA690" s="101"/>
      <c r="FB690" s="107"/>
      <c r="FC690" s="11"/>
      <c r="FD690" s="101"/>
      <c r="FE690" s="108"/>
      <c r="FF690" s="8"/>
    </row>
    <row r="691" spans="50:162">
      <c r="AX691" s="99"/>
      <c r="AY691" s="99"/>
      <c r="AZ691" s="99"/>
      <c r="BH691" s="100"/>
      <c r="BI691" s="100"/>
      <c r="BJ691" s="100"/>
      <c r="BK691" s="101"/>
      <c r="BL691" s="80"/>
      <c r="BM691" s="102"/>
      <c r="BN691" s="102"/>
      <c r="BO691" s="103"/>
      <c r="BP691" s="104"/>
      <c r="BQ691" s="28"/>
      <c r="BR691" s="102"/>
      <c r="BS691" s="102"/>
      <c r="BT691" s="102"/>
      <c r="BU691" s="102"/>
      <c r="BV691" s="105"/>
      <c r="BW691" s="101"/>
      <c r="BX691" s="105"/>
      <c r="BY691" s="11"/>
      <c r="BZ691" s="106"/>
      <c r="CA691" s="101"/>
      <c r="CB691" s="107"/>
      <c r="CC691" s="11"/>
      <c r="CD691" s="101"/>
      <c r="CE691" s="108"/>
      <c r="CF691" s="8"/>
      <c r="DX691" s="99"/>
      <c r="DY691" s="99"/>
      <c r="DZ691" s="99"/>
      <c r="EH691" s="100"/>
      <c r="EI691" s="100"/>
      <c r="EJ691" s="100"/>
      <c r="EK691" s="101"/>
      <c r="EL691" s="80"/>
      <c r="EM691" s="102"/>
      <c r="EN691" s="102"/>
      <c r="EO691" s="103"/>
      <c r="EP691" s="104"/>
      <c r="EQ691" s="28"/>
      <c r="ER691" s="102"/>
      <c r="ES691" s="102"/>
      <c r="ET691" s="102"/>
      <c r="EU691" s="102"/>
      <c r="EV691" s="105"/>
      <c r="EW691" s="101"/>
      <c r="EX691" s="105"/>
      <c r="EY691" s="11"/>
      <c r="EZ691" s="106"/>
      <c r="FA691" s="101"/>
      <c r="FB691" s="107"/>
      <c r="FC691" s="11"/>
      <c r="FD691" s="101"/>
      <c r="FE691" s="108"/>
      <c r="FF691" s="8"/>
    </row>
    <row r="692" spans="50:162">
      <c r="AX692" s="99"/>
      <c r="AY692" s="99"/>
      <c r="AZ692" s="99"/>
      <c r="BA692" s="180"/>
      <c r="BB692" s="180"/>
      <c r="BC692" s="180"/>
      <c r="BD692" s="180"/>
      <c r="BE692" s="180"/>
      <c r="BF692" s="180"/>
      <c r="BG692" s="180"/>
      <c r="BH692" s="100"/>
      <c r="BI692" s="100"/>
      <c r="BJ692" s="100"/>
      <c r="BK692" s="101"/>
      <c r="BL692" s="80"/>
      <c r="BM692" s="102"/>
      <c r="BN692" s="102"/>
      <c r="BO692" s="103"/>
      <c r="BP692" s="104"/>
      <c r="BQ692" s="28"/>
      <c r="BR692" s="102"/>
      <c r="BS692" s="102"/>
      <c r="BT692" s="102"/>
      <c r="BU692" s="102"/>
      <c r="BV692" s="105"/>
      <c r="BW692" s="101"/>
      <c r="BX692" s="105"/>
      <c r="BY692" s="11"/>
      <c r="BZ692" s="106"/>
      <c r="CA692" s="101"/>
      <c r="CB692" s="107"/>
      <c r="CC692" s="11"/>
      <c r="CD692" s="101"/>
      <c r="CE692" s="108"/>
      <c r="CF692" s="22"/>
      <c r="DX692" s="99"/>
      <c r="DY692" s="99"/>
      <c r="DZ692" s="99"/>
      <c r="EA692" s="180"/>
      <c r="EB692" s="180"/>
      <c r="EC692" s="180"/>
      <c r="ED692" s="180"/>
      <c r="EE692" s="180"/>
      <c r="EF692" s="180"/>
      <c r="EG692" s="180"/>
      <c r="EH692" s="100"/>
      <c r="EI692" s="100"/>
      <c r="EJ692" s="100"/>
      <c r="EK692" s="101"/>
      <c r="EL692" s="80"/>
      <c r="EM692" s="102"/>
      <c r="EN692" s="102"/>
      <c r="EO692" s="103"/>
      <c r="EP692" s="104"/>
      <c r="EQ692" s="28"/>
      <c r="ER692" s="102"/>
      <c r="ES692" s="102"/>
      <c r="ET692" s="102"/>
      <c r="EU692" s="102"/>
      <c r="EV692" s="105"/>
      <c r="EW692" s="101"/>
      <c r="EX692" s="105"/>
      <c r="EY692" s="11"/>
      <c r="EZ692" s="106"/>
      <c r="FA692" s="101"/>
      <c r="FB692" s="107"/>
      <c r="FC692" s="11"/>
      <c r="FD692" s="101"/>
      <c r="FE692" s="108"/>
      <c r="FF692" s="22"/>
    </row>
    <row r="693" spans="50:162">
      <c r="AX693" s="99"/>
      <c r="AY693" s="99"/>
      <c r="AZ693" s="99"/>
      <c r="BH693" s="100"/>
      <c r="BI693" s="100"/>
      <c r="BJ693" s="100"/>
      <c r="BK693" s="101"/>
      <c r="BL693" s="80"/>
      <c r="BM693" s="102"/>
      <c r="BN693" s="102"/>
      <c r="BO693" s="103"/>
      <c r="BP693" s="104"/>
      <c r="BQ693" s="28"/>
      <c r="BR693" s="102"/>
      <c r="BS693" s="102"/>
      <c r="BT693" s="102"/>
      <c r="BU693" s="102"/>
      <c r="BV693" s="105"/>
      <c r="BW693" s="101"/>
      <c r="BX693" s="105"/>
      <c r="BY693" s="11"/>
      <c r="BZ693" s="106"/>
      <c r="CA693" s="101"/>
      <c r="CB693" s="107"/>
      <c r="CC693" s="11"/>
      <c r="CD693" s="101"/>
      <c r="CE693" s="108"/>
      <c r="DX693" s="99"/>
      <c r="DY693" s="99"/>
      <c r="DZ693" s="99"/>
      <c r="EH693" s="100"/>
      <c r="EI693" s="100"/>
      <c r="EJ693" s="100"/>
      <c r="EK693" s="101"/>
      <c r="EL693" s="80"/>
      <c r="EM693" s="102"/>
      <c r="EN693" s="102"/>
      <c r="EO693" s="103"/>
      <c r="EP693" s="104"/>
      <c r="EQ693" s="28"/>
      <c r="ER693" s="102"/>
      <c r="ES693" s="102"/>
      <c r="ET693" s="102"/>
      <c r="EU693" s="102"/>
      <c r="EV693" s="105"/>
      <c r="EW693" s="101"/>
      <c r="EX693" s="105"/>
      <c r="EY693" s="11"/>
      <c r="EZ693" s="106"/>
      <c r="FA693" s="101"/>
      <c r="FB693" s="107"/>
      <c r="FC693" s="11"/>
      <c r="FD693" s="101"/>
      <c r="FE693" s="108"/>
    </row>
    <row r="694" spans="50:162">
      <c r="AX694" s="99"/>
      <c r="AY694" s="99"/>
      <c r="AZ694" s="99"/>
      <c r="BH694" s="100"/>
      <c r="BI694" s="100"/>
      <c r="BJ694" s="100"/>
      <c r="BK694" s="101"/>
      <c r="BL694" s="80"/>
      <c r="BM694" s="102"/>
      <c r="BN694" s="102"/>
      <c r="BO694" s="103"/>
      <c r="BP694" s="104"/>
      <c r="BQ694" s="28"/>
      <c r="BR694" s="102"/>
      <c r="BS694" s="102"/>
      <c r="BT694" s="102"/>
      <c r="BU694" s="102"/>
      <c r="BV694" s="105"/>
      <c r="BW694" s="101"/>
      <c r="BX694" s="105"/>
      <c r="BY694" s="11"/>
      <c r="BZ694" s="106"/>
      <c r="CA694" s="101"/>
      <c r="CB694" s="107"/>
      <c r="CC694" s="11"/>
      <c r="CD694" s="101"/>
      <c r="CE694" s="108"/>
      <c r="DX694" s="99"/>
      <c r="DY694" s="99"/>
      <c r="DZ694" s="99"/>
      <c r="EH694" s="100"/>
      <c r="EI694" s="100"/>
      <c r="EJ694" s="100"/>
      <c r="EK694" s="101"/>
      <c r="EL694" s="80"/>
      <c r="EM694" s="102"/>
      <c r="EN694" s="102"/>
      <c r="EO694" s="103"/>
      <c r="EP694" s="104"/>
      <c r="EQ694" s="28"/>
      <c r="ER694" s="102"/>
      <c r="ES694" s="102"/>
      <c r="ET694" s="102"/>
      <c r="EU694" s="102"/>
      <c r="EV694" s="105"/>
      <c r="EW694" s="101"/>
      <c r="EX694" s="105"/>
      <c r="EY694" s="11"/>
      <c r="EZ694" s="106"/>
      <c r="FA694" s="101"/>
      <c r="FB694" s="107"/>
      <c r="FC694" s="11"/>
      <c r="FD694" s="101"/>
      <c r="FE694" s="108"/>
    </row>
    <row r="695" spans="50:162">
      <c r="AX695" s="99"/>
      <c r="AY695" s="99"/>
      <c r="AZ695" s="99"/>
      <c r="BH695" s="100"/>
      <c r="BI695" s="100"/>
      <c r="BJ695" s="100"/>
      <c r="BK695" s="101"/>
      <c r="BL695" s="80"/>
      <c r="BM695" s="102"/>
      <c r="BN695" s="102"/>
      <c r="BO695" s="103"/>
      <c r="BP695" s="104"/>
      <c r="BQ695" s="28"/>
      <c r="BR695" s="102"/>
      <c r="BS695" s="102"/>
      <c r="BT695" s="102"/>
      <c r="BU695" s="102"/>
      <c r="BV695" s="105"/>
      <c r="BW695" s="101"/>
      <c r="BX695" s="105"/>
      <c r="BY695" s="11"/>
      <c r="BZ695" s="106"/>
      <c r="CA695" s="101"/>
      <c r="CB695" s="107"/>
      <c r="CC695" s="11"/>
      <c r="CD695" s="101"/>
      <c r="CE695" s="108"/>
      <c r="DX695" s="99"/>
      <c r="DY695" s="99"/>
      <c r="DZ695" s="99"/>
      <c r="EH695" s="100"/>
      <c r="EI695" s="100"/>
      <c r="EJ695" s="100"/>
      <c r="EK695" s="101"/>
      <c r="EL695" s="80"/>
      <c r="EM695" s="102"/>
      <c r="EN695" s="102"/>
      <c r="EO695" s="103"/>
      <c r="EP695" s="104"/>
      <c r="EQ695" s="28"/>
      <c r="ER695" s="102"/>
      <c r="ES695" s="102"/>
      <c r="ET695" s="102"/>
      <c r="EU695" s="102"/>
      <c r="EV695" s="105"/>
      <c r="EW695" s="101"/>
      <c r="EX695" s="105"/>
      <c r="EY695" s="11"/>
      <c r="EZ695" s="106"/>
      <c r="FA695" s="101"/>
      <c r="FB695" s="107"/>
      <c r="FC695" s="11"/>
      <c r="FD695" s="101"/>
      <c r="FE695" s="108"/>
    </row>
    <row r="696" spans="50:162">
      <c r="AX696" s="99"/>
      <c r="AY696" s="99"/>
      <c r="AZ696" s="99"/>
      <c r="BH696" s="100"/>
      <c r="BI696" s="100"/>
      <c r="BJ696" s="100"/>
      <c r="BK696" s="101"/>
      <c r="BL696" s="80"/>
      <c r="BM696" s="102"/>
      <c r="BN696" s="102"/>
      <c r="BO696" s="103"/>
      <c r="BP696" s="104"/>
      <c r="BQ696" s="28"/>
      <c r="BR696" s="102"/>
      <c r="BS696" s="102"/>
      <c r="BT696" s="102"/>
      <c r="BU696" s="102"/>
      <c r="BV696" s="105"/>
      <c r="BW696" s="101"/>
      <c r="BX696" s="105"/>
      <c r="BY696" s="11"/>
      <c r="BZ696" s="106"/>
      <c r="CA696" s="101"/>
      <c r="CB696" s="107"/>
      <c r="CC696" s="11"/>
      <c r="CD696" s="101"/>
      <c r="CE696" s="108"/>
      <c r="DX696" s="99"/>
      <c r="DY696" s="99"/>
      <c r="DZ696" s="99"/>
      <c r="EH696" s="100"/>
      <c r="EI696" s="100"/>
      <c r="EJ696" s="100"/>
      <c r="EK696" s="101"/>
      <c r="EL696" s="80"/>
      <c r="EM696" s="102"/>
      <c r="EN696" s="102"/>
      <c r="EO696" s="103"/>
      <c r="EP696" s="104"/>
      <c r="EQ696" s="28"/>
      <c r="ER696" s="102"/>
      <c r="ES696" s="102"/>
      <c r="ET696" s="102"/>
      <c r="EU696" s="102"/>
      <c r="EV696" s="105"/>
      <c r="EW696" s="101"/>
      <c r="EX696" s="105"/>
      <c r="EY696" s="11"/>
      <c r="EZ696" s="106"/>
      <c r="FA696" s="101"/>
      <c r="FB696" s="107"/>
      <c r="FC696" s="11"/>
      <c r="FD696" s="101"/>
      <c r="FE696" s="108"/>
    </row>
    <row r="697" spans="50:162">
      <c r="AX697" s="99"/>
      <c r="AY697" s="99"/>
      <c r="AZ697" s="99"/>
      <c r="BH697" s="100"/>
      <c r="BI697" s="100"/>
      <c r="BJ697" s="100"/>
      <c r="BK697" s="101"/>
      <c r="BL697" s="80"/>
      <c r="BM697" s="102"/>
      <c r="BN697" s="102"/>
      <c r="BO697" s="103"/>
      <c r="BP697" s="104"/>
      <c r="BQ697" s="28"/>
      <c r="BR697" s="102"/>
      <c r="BS697" s="102"/>
      <c r="BT697" s="102"/>
      <c r="BU697" s="102"/>
      <c r="BV697" s="105"/>
      <c r="BW697" s="101"/>
      <c r="BX697" s="105"/>
      <c r="BY697" s="11"/>
      <c r="BZ697" s="106"/>
      <c r="CA697" s="101"/>
      <c r="CB697" s="107"/>
      <c r="CC697" s="11"/>
      <c r="CD697" s="101"/>
      <c r="CE697" s="108"/>
      <c r="DX697" s="99"/>
      <c r="DY697" s="99"/>
      <c r="DZ697" s="99"/>
      <c r="EH697" s="100"/>
      <c r="EI697" s="100"/>
      <c r="EJ697" s="100"/>
      <c r="EK697" s="101"/>
      <c r="EL697" s="80"/>
      <c r="EM697" s="102"/>
      <c r="EN697" s="102"/>
      <c r="EO697" s="103"/>
      <c r="EP697" s="104"/>
      <c r="EQ697" s="28"/>
      <c r="ER697" s="102"/>
      <c r="ES697" s="102"/>
      <c r="ET697" s="102"/>
      <c r="EU697" s="102"/>
      <c r="EV697" s="105"/>
      <c r="EW697" s="101"/>
      <c r="EX697" s="105"/>
      <c r="EY697" s="11"/>
      <c r="EZ697" s="106"/>
      <c r="FA697" s="101"/>
      <c r="FB697" s="107"/>
      <c r="FC697" s="11"/>
      <c r="FD697" s="101"/>
      <c r="FE697" s="108"/>
    </row>
    <row r="698" spans="50:162">
      <c r="AX698" s="99"/>
      <c r="AY698" s="99"/>
      <c r="AZ698" s="99"/>
      <c r="BH698" s="100"/>
      <c r="BI698" s="100"/>
      <c r="BJ698" s="100"/>
      <c r="BK698" s="101"/>
      <c r="BL698" s="80"/>
      <c r="BM698" s="102"/>
      <c r="BN698" s="102"/>
      <c r="BO698" s="103"/>
      <c r="BP698" s="104"/>
      <c r="BQ698" s="28"/>
      <c r="BR698" s="102"/>
      <c r="BS698" s="102"/>
      <c r="BT698" s="102"/>
      <c r="BU698" s="102"/>
      <c r="BV698" s="105"/>
      <c r="BW698" s="101"/>
      <c r="BX698" s="105"/>
      <c r="BY698" s="11"/>
      <c r="BZ698" s="106"/>
      <c r="CA698" s="101"/>
      <c r="CB698" s="107"/>
      <c r="CC698" s="11"/>
      <c r="CD698" s="101"/>
      <c r="CE698" s="108"/>
      <c r="DX698" s="99"/>
      <c r="DY698" s="99"/>
      <c r="DZ698" s="99"/>
      <c r="EH698" s="100"/>
      <c r="EI698" s="100"/>
      <c r="EJ698" s="100"/>
      <c r="EK698" s="101"/>
      <c r="EL698" s="80"/>
      <c r="EM698" s="102"/>
      <c r="EN698" s="102"/>
      <c r="EO698" s="103"/>
      <c r="EP698" s="104"/>
      <c r="EQ698" s="28"/>
      <c r="ER698" s="102"/>
      <c r="ES698" s="102"/>
      <c r="ET698" s="102"/>
      <c r="EU698" s="102"/>
      <c r="EV698" s="105"/>
      <c r="EW698" s="101"/>
      <c r="EX698" s="105"/>
      <c r="EY698" s="11"/>
      <c r="EZ698" s="106"/>
      <c r="FA698" s="101"/>
      <c r="FB698" s="107"/>
      <c r="FC698" s="11"/>
      <c r="FD698" s="101"/>
      <c r="FE698" s="108"/>
    </row>
    <row r="699" spans="50:162">
      <c r="AX699" s="99"/>
      <c r="AY699" s="99"/>
      <c r="AZ699" s="99"/>
      <c r="BH699" s="100"/>
      <c r="BI699" s="100"/>
      <c r="BJ699" s="100"/>
      <c r="BK699" s="101"/>
      <c r="BL699" s="80"/>
      <c r="BM699" s="102"/>
      <c r="BN699" s="102"/>
      <c r="BO699" s="103"/>
      <c r="BP699" s="104"/>
      <c r="BQ699" s="28"/>
      <c r="BR699" s="102"/>
      <c r="BS699" s="102"/>
      <c r="BT699" s="102"/>
      <c r="BU699" s="102"/>
      <c r="BV699" s="105"/>
      <c r="BW699" s="101"/>
      <c r="BX699" s="105"/>
      <c r="BY699" s="11"/>
      <c r="BZ699" s="106"/>
      <c r="CA699" s="101"/>
      <c r="CB699" s="107"/>
      <c r="CC699" s="11"/>
      <c r="CD699" s="101"/>
      <c r="CE699" s="108"/>
      <c r="DX699" s="99"/>
      <c r="DY699" s="99"/>
      <c r="DZ699" s="99"/>
      <c r="EH699" s="100"/>
      <c r="EI699" s="100"/>
      <c r="EJ699" s="100"/>
      <c r="EK699" s="101"/>
      <c r="EL699" s="80"/>
      <c r="EM699" s="102"/>
      <c r="EN699" s="102"/>
      <c r="EO699" s="103"/>
      <c r="EP699" s="104"/>
      <c r="EQ699" s="28"/>
      <c r="ER699" s="102"/>
      <c r="ES699" s="102"/>
      <c r="ET699" s="102"/>
      <c r="EU699" s="102"/>
      <c r="EV699" s="105"/>
      <c r="EW699" s="101"/>
      <c r="EX699" s="105"/>
      <c r="EY699" s="11"/>
      <c r="EZ699" s="106"/>
      <c r="FA699" s="101"/>
      <c r="FB699" s="107"/>
      <c r="FC699" s="11"/>
      <c r="FD699" s="101"/>
      <c r="FE699" s="108"/>
    </row>
    <row r="700" spans="50:162">
      <c r="AX700" s="99"/>
      <c r="AY700" s="99"/>
      <c r="AZ700" s="99"/>
      <c r="BH700" s="100"/>
      <c r="BI700" s="100"/>
      <c r="BJ700" s="100"/>
      <c r="BK700" s="101"/>
      <c r="BL700" s="80"/>
      <c r="BM700" s="102"/>
      <c r="BN700" s="102"/>
      <c r="BO700" s="103"/>
      <c r="BP700" s="104"/>
      <c r="BQ700" s="28"/>
      <c r="BR700" s="102"/>
      <c r="BS700" s="102"/>
      <c r="BT700" s="102"/>
      <c r="BU700" s="102"/>
      <c r="BV700" s="105"/>
      <c r="BW700" s="101"/>
      <c r="BX700" s="105"/>
      <c r="BY700" s="11"/>
      <c r="BZ700" s="106"/>
      <c r="CA700" s="101"/>
      <c r="CB700" s="107"/>
      <c r="CC700" s="11"/>
      <c r="CD700" s="101"/>
      <c r="CE700" s="108"/>
      <c r="DX700" s="99"/>
      <c r="DY700" s="99"/>
      <c r="DZ700" s="99"/>
      <c r="EH700" s="100"/>
      <c r="EI700" s="100"/>
      <c r="EJ700" s="100"/>
      <c r="EK700" s="101"/>
      <c r="EL700" s="80"/>
      <c r="EM700" s="102"/>
      <c r="EN700" s="102"/>
      <c r="EO700" s="103"/>
      <c r="EP700" s="104"/>
      <c r="EQ700" s="28"/>
      <c r="ER700" s="102"/>
      <c r="ES700" s="102"/>
      <c r="ET700" s="102"/>
      <c r="EU700" s="102"/>
      <c r="EV700" s="105"/>
      <c r="EW700" s="101"/>
      <c r="EX700" s="105"/>
      <c r="EY700" s="11"/>
      <c r="EZ700" s="106"/>
      <c r="FA700" s="101"/>
      <c r="FB700" s="107"/>
      <c r="FC700" s="11"/>
      <c r="FD700" s="101"/>
      <c r="FE700" s="108"/>
    </row>
    <row r="701" spans="50:162">
      <c r="AX701" s="99"/>
      <c r="AY701" s="99"/>
      <c r="AZ701" s="99"/>
      <c r="BH701" s="100"/>
      <c r="BI701" s="100"/>
      <c r="BJ701" s="100"/>
      <c r="BK701" s="101"/>
      <c r="BL701" s="80"/>
      <c r="BM701" s="102"/>
      <c r="BN701" s="102"/>
      <c r="BO701" s="103"/>
      <c r="BP701" s="104"/>
      <c r="BQ701" s="28"/>
      <c r="BR701" s="102"/>
      <c r="BS701" s="102"/>
      <c r="BT701" s="102"/>
      <c r="BU701" s="102"/>
      <c r="BV701" s="105"/>
      <c r="BW701" s="101"/>
      <c r="BX701" s="105"/>
      <c r="BY701" s="11"/>
      <c r="BZ701" s="106"/>
      <c r="CA701" s="101"/>
      <c r="CB701" s="107"/>
      <c r="CC701" s="11"/>
      <c r="CD701" s="101"/>
      <c r="CE701" s="108"/>
      <c r="DX701" s="99"/>
      <c r="DY701" s="99"/>
      <c r="DZ701" s="99"/>
      <c r="EH701" s="100"/>
      <c r="EI701" s="100"/>
      <c r="EJ701" s="100"/>
      <c r="EK701" s="101"/>
      <c r="EL701" s="80"/>
      <c r="EM701" s="102"/>
      <c r="EN701" s="102"/>
      <c r="EO701" s="103"/>
      <c r="EP701" s="104"/>
      <c r="EQ701" s="28"/>
      <c r="ER701" s="102"/>
      <c r="ES701" s="102"/>
      <c r="ET701" s="102"/>
      <c r="EU701" s="102"/>
      <c r="EV701" s="105"/>
      <c r="EW701" s="101"/>
      <c r="EX701" s="105"/>
      <c r="EY701" s="11"/>
      <c r="EZ701" s="106"/>
      <c r="FA701" s="101"/>
      <c r="FB701" s="107"/>
      <c r="FC701" s="11"/>
      <c r="FD701" s="101"/>
      <c r="FE701" s="108"/>
    </row>
    <row r="702" spans="50:162">
      <c r="AX702" s="99"/>
      <c r="AY702" s="99"/>
      <c r="AZ702" s="99"/>
      <c r="BH702" s="100"/>
      <c r="BI702" s="100"/>
      <c r="BJ702" s="100"/>
      <c r="BK702" s="101"/>
      <c r="BL702" s="80"/>
      <c r="BM702" s="102"/>
      <c r="BN702" s="102"/>
      <c r="BO702" s="103"/>
      <c r="BP702" s="104"/>
      <c r="BQ702" s="28"/>
      <c r="BR702" s="102"/>
      <c r="BS702" s="102"/>
      <c r="BT702" s="102"/>
      <c r="BU702" s="102"/>
      <c r="BV702" s="105"/>
      <c r="BW702" s="101"/>
      <c r="BX702" s="105"/>
      <c r="BY702" s="11"/>
      <c r="BZ702" s="106"/>
      <c r="CA702" s="101"/>
      <c r="CB702" s="107"/>
      <c r="CC702" s="11"/>
      <c r="CD702" s="101"/>
      <c r="CE702" s="108"/>
      <c r="DX702" s="99"/>
      <c r="DY702" s="99"/>
      <c r="DZ702" s="99"/>
      <c r="EH702" s="100"/>
      <c r="EI702" s="100"/>
      <c r="EJ702" s="100"/>
      <c r="EK702" s="101"/>
      <c r="EL702" s="80"/>
      <c r="EM702" s="102"/>
      <c r="EN702" s="102"/>
      <c r="EO702" s="103"/>
      <c r="EP702" s="104"/>
      <c r="EQ702" s="28"/>
      <c r="ER702" s="102"/>
      <c r="ES702" s="102"/>
      <c r="ET702" s="102"/>
      <c r="EU702" s="102"/>
      <c r="EV702" s="105"/>
      <c r="EW702" s="101"/>
      <c r="EX702" s="105"/>
      <c r="EY702" s="11"/>
      <c r="EZ702" s="106"/>
      <c r="FA702" s="101"/>
      <c r="FB702" s="107"/>
      <c r="FC702" s="11"/>
      <c r="FD702" s="101"/>
      <c r="FE702" s="108"/>
    </row>
    <row r="703" spans="50:162">
      <c r="AX703" s="99"/>
      <c r="AY703" s="99"/>
      <c r="AZ703" s="99"/>
      <c r="BH703" s="100"/>
      <c r="BI703" s="100"/>
      <c r="BJ703" s="100"/>
      <c r="BK703" s="101"/>
      <c r="BL703" s="80"/>
      <c r="BM703" s="102"/>
      <c r="BN703" s="102"/>
      <c r="BO703" s="103"/>
      <c r="BP703" s="104"/>
      <c r="BQ703" s="28"/>
      <c r="BR703" s="102"/>
      <c r="BS703" s="102"/>
      <c r="BT703" s="102"/>
      <c r="BU703" s="102"/>
      <c r="BV703" s="105"/>
      <c r="BW703" s="101"/>
      <c r="BX703" s="105"/>
      <c r="BY703" s="11"/>
      <c r="BZ703" s="106"/>
      <c r="CA703" s="101"/>
      <c r="CB703" s="107"/>
      <c r="CC703" s="11"/>
      <c r="CD703" s="101"/>
      <c r="CE703" s="108"/>
      <c r="DX703" s="99"/>
      <c r="DY703" s="99"/>
      <c r="DZ703" s="99"/>
      <c r="EH703" s="100"/>
      <c r="EI703" s="100"/>
      <c r="EJ703" s="100"/>
      <c r="EK703" s="101"/>
      <c r="EL703" s="80"/>
      <c r="EM703" s="102"/>
      <c r="EN703" s="102"/>
      <c r="EO703" s="103"/>
      <c r="EP703" s="104"/>
      <c r="EQ703" s="28"/>
      <c r="ER703" s="102"/>
      <c r="ES703" s="102"/>
      <c r="ET703" s="102"/>
      <c r="EU703" s="102"/>
      <c r="EV703" s="105"/>
      <c r="EW703" s="101"/>
      <c r="EX703" s="105"/>
      <c r="EY703" s="11"/>
      <c r="EZ703" s="106"/>
      <c r="FA703" s="101"/>
      <c r="FB703" s="107"/>
      <c r="FC703" s="11"/>
      <c r="FD703" s="101"/>
      <c r="FE703" s="108"/>
    </row>
    <row r="704" spans="50:162">
      <c r="AX704" s="99"/>
      <c r="AY704" s="99"/>
      <c r="AZ704" s="99"/>
      <c r="BH704" s="100"/>
      <c r="BI704" s="100"/>
      <c r="BJ704" s="100"/>
      <c r="BK704" s="101"/>
      <c r="BL704" s="80"/>
      <c r="BM704" s="102"/>
      <c r="BN704" s="102"/>
      <c r="BO704" s="103"/>
      <c r="BP704" s="104"/>
      <c r="BQ704" s="28"/>
      <c r="BR704" s="102"/>
      <c r="BS704" s="102"/>
      <c r="BT704" s="102"/>
      <c r="BU704" s="102"/>
      <c r="BV704" s="105"/>
      <c r="BW704" s="101"/>
      <c r="BX704" s="105"/>
      <c r="BY704" s="11"/>
      <c r="BZ704" s="106"/>
      <c r="CA704" s="101"/>
      <c r="CB704" s="107"/>
      <c r="CC704" s="11"/>
      <c r="CD704" s="101"/>
      <c r="CE704" s="108"/>
      <c r="DX704" s="99"/>
      <c r="DY704" s="99"/>
      <c r="DZ704" s="99"/>
      <c r="EH704" s="100"/>
      <c r="EI704" s="100"/>
      <c r="EJ704" s="100"/>
      <c r="EK704" s="101"/>
      <c r="EL704" s="80"/>
      <c r="EM704" s="102"/>
      <c r="EN704" s="102"/>
      <c r="EO704" s="103"/>
      <c r="EP704" s="104"/>
      <c r="EQ704" s="28"/>
      <c r="ER704" s="102"/>
      <c r="ES704" s="102"/>
      <c r="ET704" s="102"/>
      <c r="EU704" s="102"/>
      <c r="EV704" s="105"/>
      <c r="EW704" s="101"/>
      <c r="EX704" s="105"/>
      <c r="EY704" s="11"/>
      <c r="EZ704" s="106"/>
      <c r="FA704" s="101"/>
      <c r="FB704" s="107"/>
      <c r="FC704" s="11"/>
      <c r="FD704" s="101"/>
      <c r="FE704" s="108"/>
    </row>
    <row r="705" spans="50:161">
      <c r="AX705" s="99"/>
      <c r="AY705" s="99"/>
      <c r="AZ705" s="99"/>
      <c r="BH705" s="100"/>
      <c r="BI705" s="100"/>
      <c r="BJ705" s="100"/>
      <c r="BK705" s="101"/>
      <c r="BL705" s="80"/>
      <c r="BM705" s="102"/>
      <c r="BN705" s="102"/>
      <c r="BO705" s="103"/>
      <c r="BP705" s="104"/>
      <c r="BQ705" s="28"/>
      <c r="BR705" s="102"/>
      <c r="BS705" s="102"/>
      <c r="BT705" s="102"/>
      <c r="BU705" s="102"/>
      <c r="BV705" s="105"/>
      <c r="BW705" s="101"/>
      <c r="BX705" s="105"/>
      <c r="BY705" s="11"/>
      <c r="BZ705" s="106"/>
      <c r="CA705" s="101"/>
      <c r="CB705" s="107"/>
      <c r="CC705" s="11"/>
      <c r="CD705" s="101"/>
      <c r="CE705" s="108"/>
      <c r="DX705" s="99"/>
      <c r="DY705" s="99"/>
      <c r="DZ705" s="99"/>
      <c r="EH705" s="100"/>
      <c r="EI705" s="100"/>
      <c r="EJ705" s="100"/>
      <c r="EK705" s="101"/>
      <c r="EL705" s="80"/>
      <c r="EM705" s="102"/>
      <c r="EN705" s="102"/>
      <c r="EO705" s="103"/>
      <c r="EP705" s="104"/>
      <c r="EQ705" s="28"/>
      <c r="ER705" s="102"/>
      <c r="ES705" s="102"/>
      <c r="ET705" s="102"/>
      <c r="EU705" s="102"/>
      <c r="EV705" s="105"/>
      <c r="EW705" s="101"/>
      <c r="EX705" s="105"/>
      <c r="EY705" s="11"/>
      <c r="EZ705" s="106"/>
      <c r="FA705" s="101"/>
      <c r="FB705" s="107"/>
      <c r="FC705" s="11"/>
      <c r="FD705" s="101"/>
      <c r="FE705" s="108"/>
    </row>
    <row r="706" spans="50:161">
      <c r="AX706" s="99"/>
      <c r="AY706" s="99"/>
      <c r="AZ706" s="99"/>
      <c r="BH706" s="100"/>
      <c r="BI706" s="100"/>
      <c r="BJ706" s="100"/>
      <c r="BK706" s="101"/>
      <c r="BL706" s="80"/>
      <c r="BM706" s="102"/>
      <c r="BN706" s="102"/>
      <c r="BO706" s="103"/>
      <c r="BP706" s="104"/>
      <c r="BQ706" s="28"/>
      <c r="BR706" s="102"/>
      <c r="BS706" s="102"/>
      <c r="BT706" s="102"/>
      <c r="BU706" s="102"/>
      <c r="BV706" s="105"/>
      <c r="BW706" s="101"/>
      <c r="BX706" s="105"/>
      <c r="BY706" s="11"/>
      <c r="BZ706" s="106"/>
      <c r="CA706" s="101"/>
      <c r="CB706" s="107"/>
      <c r="CC706" s="11"/>
      <c r="CD706" s="101"/>
      <c r="CE706" s="108"/>
      <c r="DX706" s="99"/>
      <c r="DY706" s="99"/>
      <c r="DZ706" s="99"/>
      <c r="EH706" s="100"/>
      <c r="EI706" s="100"/>
      <c r="EJ706" s="100"/>
      <c r="EK706" s="101"/>
      <c r="EL706" s="80"/>
      <c r="EM706" s="102"/>
      <c r="EN706" s="102"/>
      <c r="EO706" s="103"/>
      <c r="EP706" s="104"/>
      <c r="EQ706" s="28"/>
      <c r="ER706" s="102"/>
      <c r="ES706" s="102"/>
      <c r="ET706" s="102"/>
      <c r="EU706" s="102"/>
      <c r="EV706" s="105"/>
      <c r="EW706" s="101"/>
      <c r="EX706" s="105"/>
      <c r="EY706" s="11"/>
      <c r="EZ706" s="106"/>
      <c r="FA706" s="101"/>
      <c r="FB706" s="107"/>
      <c r="FC706" s="11"/>
      <c r="FD706" s="101"/>
      <c r="FE706" s="108"/>
    </row>
    <row r="707" spans="50:161">
      <c r="AX707" s="99"/>
      <c r="AY707" s="99"/>
      <c r="AZ707" s="99"/>
      <c r="BH707" s="100"/>
      <c r="BI707" s="100"/>
      <c r="BJ707" s="100"/>
      <c r="BK707" s="101"/>
      <c r="BL707" s="80"/>
      <c r="BM707" s="102"/>
      <c r="BN707" s="102"/>
      <c r="BO707" s="103"/>
      <c r="BP707" s="104"/>
      <c r="BQ707" s="28"/>
      <c r="BR707" s="102"/>
      <c r="BS707" s="102"/>
      <c r="BT707" s="102"/>
      <c r="BU707" s="102"/>
      <c r="BV707" s="105"/>
      <c r="BW707" s="101"/>
      <c r="BX707" s="105"/>
      <c r="BY707" s="11"/>
      <c r="BZ707" s="106"/>
      <c r="CA707" s="101"/>
      <c r="CB707" s="107"/>
      <c r="CC707" s="11"/>
      <c r="CD707" s="101"/>
      <c r="CE707" s="108"/>
      <c r="DX707" s="99"/>
      <c r="DY707" s="99"/>
      <c r="DZ707" s="99"/>
      <c r="EH707" s="100"/>
      <c r="EI707" s="100"/>
      <c r="EJ707" s="100"/>
      <c r="EK707" s="101"/>
      <c r="EL707" s="80"/>
      <c r="EM707" s="102"/>
      <c r="EN707" s="102"/>
      <c r="EO707" s="103"/>
      <c r="EP707" s="104"/>
      <c r="EQ707" s="28"/>
      <c r="ER707" s="102"/>
      <c r="ES707" s="102"/>
      <c r="ET707" s="102"/>
      <c r="EU707" s="102"/>
      <c r="EV707" s="105"/>
      <c r="EW707" s="101"/>
      <c r="EX707" s="105"/>
      <c r="EY707" s="11"/>
      <c r="EZ707" s="106"/>
      <c r="FA707" s="101"/>
      <c r="FB707" s="107"/>
      <c r="FC707" s="11"/>
      <c r="FD707" s="101"/>
      <c r="FE707" s="108"/>
    </row>
    <row r="708" spans="50:161">
      <c r="AX708" s="99"/>
      <c r="AY708" s="99"/>
      <c r="AZ708" s="99"/>
      <c r="BH708" s="100"/>
      <c r="BI708" s="100"/>
      <c r="BJ708" s="100"/>
      <c r="BK708" s="101"/>
      <c r="BL708" s="80"/>
      <c r="BM708" s="102"/>
      <c r="BN708" s="102"/>
      <c r="BO708" s="103"/>
      <c r="BP708" s="104"/>
      <c r="BQ708" s="28"/>
      <c r="BR708" s="102"/>
      <c r="BS708" s="102"/>
      <c r="BT708" s="102"/>
      <c r="BU708" s="102"/>
      <c r="BV708" s="105"/>
      <c r="BW708" s="101"/>
      <c r="BX708" s="105"/>
      <c r="BY708" s="11"/>
      <c r="BZ708" s="106"/>
      <c r="CA708" s="101"/>
      <c r="CB708" s="107"/>
      <c r="CC708" s="11"/>
      <c r="CD708" s="101"/>
      <c r="CE708" s="108"/>
      <c r="DX708" s="99"/>
      <c r="DY708" s="99"/>
      <c r="DZ708" s="99"/>
      <c r="EH708" s="100"/>
      <c r="EI708" s="100"/>
      <c r="EJ708" s="100"/>
      <c r="EK708" s="101"/>
      <c r="EL708" s="80"/>
      <c r="EM708" s="102"/>
      <c r="EN708" s="102"/>
      <c r="EO708" s="103"/>
      <c r="EP708" s="104"/>
      <c r="EQ708" s="28"/>
      <c r="ER708" s="102"/>
      <c r="ES708" s="102"/>
      <c r="ET708" s="102"/>
      <c r="EU708" s="102"/>
      <c r="EV708" s="105"/>
      <c r="EW708" s="101"/>
      <c r="EX708" s="105"/>
      <c r="EY708" s="11"/>
      <c r="EZ708" s="106"/>
      <c r="FA708" s="101"/>
      <c r="FB708" s="107"/>
      <c r="FC708" s="11"/>
      <c r="FD708" s="101"/>
      <c r="FE708" s="108"/>
    </row>
    <row r="709" spans="50:161">
      <c r="AX709" s="99"/>
      <c r="AY709" s="99"/>
      <c r="AZ709" s="99"/>
      <c r="BH709" s="100"/>
      <c r="BI709" s="100"/>
      <c r="BJ709" s="100"/>
      <c r="BK709" s="101"/>
      <c r="BL709" s="80"/>
      <c r="BM709" s="102"/>
      <c r="BN709" s="102"/>
      <c r="BO709" s="103"/>
      <c r="BP709" s="104"/>
      <c r="BQ709" s="28"/>
      <c r="BR709" s="102"/>
      <c r="BS709" s="102"/>
      <c r="BT709" s="102"/>
      <c r="BU709" s="102"/>
      <c r="BV709" s="105"/>
      <c r="BW709" s="101"/>
      <c r="BX709" s="105"/>
      <c r="BY709" s="11"/>
      <c r="BZ709" s="106"/>
      <c r="CA709" s="101"/>
      <c r="CB709" s="107"/>
      <c r="CC709" s="11"/>
      <c r="CD709" s="101"/>
      <c r="CE709" s="108"/>
      <c r="DX709" s="99"/>
      <c r="DY709" s="99"/>
      <c r="DZ709" s="99"/>
      <c r="EH709" s="100"/>
      <c r="EI709" s="100"/>
      <c r="EJ709" s="100"/>
      <c r="EK709" s="101"/>
      <c r="EL709" s="80"/>
      <c r="EM709" s="102"/>
      <c r="EN709" s="102"/>
      <c r="EO709" s="103"/>
      <c r="EP709" s="104"/>
      <c r="EQ709" s="28"/>
      <c r="ER709" s="102"/>
      <c r="ES709" s="102"/>
      <c r="ET709" s="102"/>
      <c r="EU709" s="102"/>
      <c r="EV709" s="105"/>
      <c r="EW709" s="101"/>
      <c r="EX709" s="105"/>
      <c r="EY709" s="11"/>
      <c r="EZ709" s="106"/>
      <c r="FA709" s="101"/>
      <c r="FB709" s="107"/>
      <c r="FC709" s="11"/>
      <c r="FD709" s="101"/>
      <c r="FE709" s="108"/>
    </row>
    <row r="710" spans="50:161">
      <c r="AX710" s="99"/>
      <c r="AY710" s="99"/>
      <c r="AZ710" s="99"/>
      <c r="BH710" s="100"/>
      <c r="BI710" s="100"/>
      <c r="BJ710" s="100"/>
      <c r="BK710" s="101"/>
      <c r="BL710" s="80"/>
      <c r="BM710" s="102"/>
      <c r="BN710" s="102"/>
      <c r="BO710" s="103"/>
      <c r="BP710" s="104"/>
      <c r="BQ710" s="28"/>
      <c r="BR710" s="102"/>
      <c r="BS710" s="102"/>
      <c r="BT710" s="102"/>
      <c r="BU710" s="102"/>
      <c r="BV710" s="105"/>
      <c r="BW710" s="101"/>
      <c r="BX710" s="105"/>
      <c r="BY710" s="11"/>
      <c r="BZ710" s="106"/>
      <c r="CA710" s="101"/>
      <c r="CB710" s="107"/>
      <c r="CC710" s="11"/>
      <c r="CD710" s="101"/>
      <c r="CE710" s="108"/>
      <c r="DX710" s="99"/>
      <c r="DY710" s="99"/>
      <c r="DZ710" s="99"/>
      <c r="EH710" s="100"/>
      <c r="EI710" s="100"/>
      <c r="EJ710" s="100"/>
      <c r="EK710" s="101"/>
      <c r="EL710" s="80"/>
      <c r="EM710" s="102"/>
      <c r="EN710" s="102"/>
      <c r="EO710" s="103"/>
      <c r="EP710" s="104"/>
      <c r="EQ710" s="28"/>
      <c r="ER710" s="102"/>
      <c r="ES710" s="102"/>
      <c r="ET710" s="102"/>
      <c r="EU710" s="102"/>
      <c r="EV710" s="105"/>
      <c r="EW710" s="101"/>
      <c r="EX710" s="105"/>
      <c r="EY710" s="11"/>
      <c r="EZ710" s="106"/>
      <c r="FA710" s="101"/>
      <c r="FB710" s="107"/>
      <c r="FC710" s="11"/>
      <c r="FD710" s="101"/>
      <c r="FE710" s="108"/>
    </row>
    <row r="711" spans="50:161">
      <c r="AX711" s="99"/>
      <c r="AY711" s="99"/>
      <c r="AZ711" s="99"/>
      <c r="BH711" s="100"/>
      <c r="BI711" s="100"/>
      <c r="BJ711" s="100"/>
      <c r="BK711" s="101"/>
      <c r="BL711" s="80"/>
      <c r="BM711" s="102"/>
      <c r="BN711" s="102"/>
      <c r="BO711" s="103"/>
      <c r="BP711" s="104"/>
      <c r="BQ711" s="28"/>
      <c r="BR711" s="102"/>
      <c r="BS711" s="102"/>
      <c r="BT711" s="102"/>
      <c r="BU711" s="102"/>
      <c r="BV711" s="105"/>
      <c r="BW711" s="101"/>
      <c r="BX711" s="105"/>
      <c r="BY711" s="11"/>
      <c r="BZ711" s="106"/>
      <c r="CA711" s="101"/>
      <c r="CB711" s="107"/>
      <c r="CC711" s="11"/>
      <c r="CD711" s="101"/>
      <c r="CE711" s="108"/>
      <c r="DX711" s="99"/>
      <c r="DY711" s="99"/>
      <c r="DZ711" s="99"/>
      <c r="EH711" s="100"/>
      <c r="EI711" s="100"/>
      <c r="EJ711" s="100"/>
      <c r="EK711" s="101"/>
      <c r="EL711" s="80"/>
      <c r="EM711" s="102"/>
      <c r="EN711" s="102"/>
      <c r="EO711" s="103"/>
      <c r="EP711" s="104"/>
      <c r="EQ711" s="28"/>
      <c r="ER711" s="102"/>
      <c r="ES711" s="102"/>
      <c r="ET711" s="102"/>
      <c r="EU711" s="102"/>
      <c r="EV711" s="105"/>
      <c r="EW711" s="101"/>
      <c r="EX711" s="105"/>
      <c r="EY711" s="11"/>
      <c r="EZ711" s="106"/>
      <c r="FA711" s="101"/>
      <c r="FB711" s="107"/>
      <c r="FC711" s="11"/>
      <c r="FD711" s="101"/>
      <c r="FE711" s="108"/>
    </row>
    <row r="712" spans="50:161">
      <c r="AX712" s="99"/>
      <c r="AY712" s="99"/>
      <c r="AZ712" s="99"/>
      <c r="BH712" s="100"/>
      <c r="BI712" s="100"/>
      <c r="BJ712" s="100"/>
      <c r="BK712" s="101"/>
      <c r="BL712" s="80"/>
      <c r="BM712" s="102"/>
      <c r="BN712" s="102"/>
      <c r="BO712" s="103"/>
      <c r="BP712" s="104"/>
      <c r="BQ712" s="28"/>
      <c r="BR712" s="102"/>
      <c r="BS712" s="102"/>
      <c r="BT712" s="102"/>
      <c r="BU712" s="102"/>
      <c r="BV712" s="105"/>
      <c r="BW712" s="101"/>
      <c r="BX712" s="105"/>
      <c r="BY712" s="11"/>
      <c r="BZ712" s="106"/>
      <c r="CA712" s="101"/>
      <c r="CB712" s="107"/>
      <c r="CC712" s="11"/>
      <c r="CD712" s="101"/>
      <c r="CE712" s="108"/>
      <c r="DX712" s="99"/>
      <c r="DY712" s="99"/>
      <c r="DZ712" s="99"/>
      <c r="EH712" s="100"/>
      <c r="EI712" s="100"/>
      <c r="EJ712" s="100"/>
      <c r="EK712" s="101"/>
      <c r="EL712" s="80"/>
      <c r="EM712" s="102"/>
      <c r="EN712" s="102"/>
      <c r="EO712" s="103"/>
      <c r="EP712" s="104"/>
      <c r="EQ712" s="28"/>
      <c r="ER712" s="102"/>
      <c r="ES712" s="102"/>
      <c r="ET712" s="102"/>
      <c r="EU712" s="102"/>
      <c r="EV712" s="105"/>
      <c r="EW712" s="101"/>
      <c r="EX712" s="105"/>
      <c r="EY712" s="11"/>
      <c r="EZ712" s="106"/>
      <c r="FA712" s="101"/>
      <c r="FB712" s="107"/>
      <c r="FC712" s="11"/>
      <c r="FD712" s="101"/>
      <c r="FE712" s="108"/>
    </row>
    <row r="713" spans="50:161">
      <c r="AX713" s="99"/>
      <c r="AY713" s="99"/>
      <c r="AZ713" s="99"/>
      <c r="BH713" s="100"/>
      <c r="BI713" s="100"/>
      <c r="BJ713" s="100"/>
      <c r="BK713" s="101"/>
      <c r="BL713" s="80"/>
      <c r="BM713" s="102"/>
      <c r="BN713" s="102"/>
      <c r="BO713" s="103"/>
      <c r="BP713" s="104"/>
      <c r="BQ713" s="28"/>
      <c r="BR713" s="102"/>
      <c r="BS713" s="102"/>
      <c r="BT713" s="102"/>
      <c r="BU713" s="102"/>
      <c r="BV713" s="105"/>
      <c r="BW713" s="101"/>
      <c r="BX713" s="105"/>
      <c r="BY713" s="11"/>
      <c r="BZ713" s="106"/>
      <c r="CA713" s="101"/>
      <c r="CB713" s="107"/>
      <c r="CC713" s="11"/>
      <c r="CD713" s="101"/>
      <c r="CE713" s="108"/>
      <c r="DX713" s="99"/>
      <c r="DY713" s="99"/>
      <c r="DZ713" s="99"/>
      <c r="EH713" s="100"/>
      <c r="EI713" s="100"/>
      <c r="EJ713" s="100"/>
      <c r="EK713" s="101"/>
      <c r="EL713" s="80"/>
      <c r="EM713" s="102"/>
      <c r="EN713" s="102"/>
      <c r="EO713" s="103"/>
      <c r="EP713" s="104"/>
      <c r="EQ713" s="28"/>
      <c r="ER713" s="102"/>
      <c r="ES713" s="102"/>
      <c r="ET713" s="102"/>
      <c r="EU713" s="102"/>
      <c r="EV713" s="105"/>
      <c r="EW713" s="101"/>
      <c r="EX713" s="105"/>
      <c r="EY713" s="11"/>
      <c r="EZ713" s="106"/>
      <c r="FA713" s="101"/>
      <c r="FB713" s="107"/>
      <c r="FC713" s="11"/>
      <c r="FD713" s="101"/>
      <c r="FE713" s="108"/>
    </row>
    <row r="714" spans="50:161">
      <c r="AX714" s="99"/>
      <c r="AY714" s="99"/>
      <c r="AZ714" s="99"/>
      <c r="BH714" s="100"/>
      <c r="BI714" s="100"/>
      <c r="BJ714" s="100"/>
      <c r="BK714" s="101"/>
      <c r="BL714" s="80"/>
      <c r="BM714" s="102"/>
      <c r="BN714" s="102"/>
      <c r="BO714" s="103"/>
      <c r="BP714" s="104"/>
      <c r="BQ714" s="28"/>
      <c r="BR714" s="102"/>
      <c r="BS714" s="102"/>
      <c r="BT714" s="102"/>
      <c r="BU714" s="102"/>
      <c r="BV714" s="105"/>
      <c r="BW714" s="101"/>
      <c r="BX714" s="105"/>
      <c r="BY714" s="11"/>
      <c r="BZ714" s="106"/>
      <c r="CA714" s="101"/>
      <c r="CB714" s="107"/>
      <c r="CC714" s="11"/>
      <c r="CD714" s="101"/>
      <c r="CE714" s="108"/>
      <c r="DX714" s="99"/>
      <c r="DY714" s="99"/>
      <c r="DZ714" s="99"/>
      <c r="EH714" s="100"/>
      <c r="EI714" s="100"/>
      <c r="EJ714" s="100"/>
      <c r="EK714" s="101"/>
      <c r="EL714" s="80"/>
      <c r="EM714" s="102"/>
      <c r="EN714" s="102"/>
      <c r="EO714" s="103"/>
      <c r="EP714" s="104"/>
      <c r="EQ714" s="28"/>
      <c r="ER714" s="102"/>
      <c r="ES714" s="102"/>
      <c r="ET714" s="102"/>
      <c r="EU714" s="102"/>
      <c r="EV714" s="105"/>
      <c r="EW714" s="101"/>
      <c r="EX714" s="105"/>
      <c r="EY714" s="11"/>
      <c r="EZ714" s="106"/>
      <c r="FA714" s="101"/>
      <c r="FB714" s="107"/>
      <c r="FC714" s="11"/>
      <c r="FD714" s="101"/>
      <c r="FE714" s="108"/>
    </row>
    <row r="715" spans="50:161">
      <c r="AX715" s="99"/>
      <c r="AY715" s="99"/>
      <c r="AZ715" s="99"/>
      <c r="BH715" s="100"/>
      <c r="BI715" s="100"/>
      <c r="BJ715" s="100"/>
      <c r="BK715" s="101"/>
      <c r="BL715" s="80"/>
      <c r="BM715" s="102"/>
      <c r="BN715" s="102"/>
      <c r="BO715" s="103"/>
      <c r="BP715" s="104"/>
      <c r="BQ715" s="28"/>
      <c r="BR715" s="102"/>
      <c r="BS715" s="102"/>
      <c r="BT715" s="102"/>
      <c r="BU715" s="102"/>
      <c r="BV715" s="105"/>
      <c r="BW715" s="101"/>
      <c r="BX715" s="105"/>
      <c r="BY715" s="11"/>
      <c r="BZ715" s="106"/>
      <c r="CA715" s="101"/>
      <c r="CB715" s="107"/>
      <c r="CC715" s="11"/>
      <c r="CD715" s="101"/>
      <c r="CE715" s="108"/>
      <c r="DX715" s="99"/>
      <c r="DY715" s="99"/>
      <c r="DZ715" s="99"/>
      <c r="EH715" s="100"/>
      <c r="EI715" s="100"/>
      <c r="EJ715" s="100"/>
      <c r="EK715" s="101"/>
      <c r="EL715" s="80"/>
      <c r="EM715" s="102"/>
      <c r="EN715" s="102"/>
      <c r="EO715" s="103"/>
      <c r="EP715" s="104"/>
      <c r="EQ715" s="28"/>
      <c r="ER715" s="102"/>
      <c r="ES715" s="102"/>
      <c r="ET715" s="102"/>
      <c r="EU715" s="102"/>
      <c r="EV715" s="105"/>
      <c r="EW715" s="101"/>
      <c r="EX715" s="105"/>
      <c r="EY715" s="11"/>
      <c r="EZ715" s="106"/>
      <c r="FA715" s="101"/>
      <c r="FB715" s="107"/>
      <c r="FC715" s="11"/>
      <c r="FD715" s="101"/>
      <c r="FE715" s="108"/>
    </row>
    <row r="716" spans="50:161">
      <c r="AX716" s="99"/>
      <c r="AY716" s="99"/>
      <c r="AZ716" s="99"/>
      <c r="BH716" s="100"/>
      <c r="BI716" s="100"/>
      <c r="BJ716" s="100"/>
      <c r="BK716" s="101"/>
      <c r="BL716" s="80"/>
      <c r="BM716" s="102"/>
      <c r="BN716" s="102"/>
      <c r="BO716" s="103"/>
      <c r="BP716" s="104"/>
      <c r="BQ716" s="28"/>
      <c r="BR716" s="102"/>
      <c r="BS716" s="102"/>
      <c r="BT716" s="102"/>
      <c r="BU716" s="102"/>
      <c r="BV716" s="105"/>
      <c r="BW716" s="101"/>
      <c r="BX716" s="105"/>
      <c r="BY716" s="11"/>
      <c r="BZ716" s="106"/>
      <c r="CA716" s="101"/>
      <c r="CB716" s="107"/>
      <c r="CC716" s="11"/>
      <c r="CD716" s="101"/>
      <c r="CE716" s="108"/>
      <c r="DX716" s="99"/>
      <c r="DY716" s="99"/>
      <c r="DZ716" s="99"/>
      <c r="EH716" s="100"/>
      <c r="EI716" s="100"/>
      <c r="EJ716" s="100"/>
      <c r="EK716" s="101"/>
      <c r="EL716" s="80"/>
      <c r="EM716" s="102"/>
      <c r="EN716" s="102"/>
      <c r="EO716" s="103"/>
      <c r="EP716" s="104"/>
      <c r="EQ716" s="28"/>
      <c r="ER716" s="102"/>
      <c r="ES716" s="102"/>
      <c r="ET716" s="102"/>
      <c r="EU716" s="102"/>
      <c r="EV716" s="105"/>
      <c r="EW716" s="101"/>
      <c r="EX716" s="105"/>
      <c r="EY716" s="11"/>
      <c r="EZ716" s="106"/>
      <c r="FA716" s="101"/>
      <c r="FB716" s="107"/>
      <c r="FC716" s="11"/>
      <c r="FD716" s="101"/>
      <c r="FE716" s="108"/>
    </row>
    <row r="717" spans="50:161">
      <c r="AX717" s="99"/>
      <c r="AY717" s="99"/>
      <c r="AZ717" s="99"/>
      <c r="BH717" s="100"/>
      <c r="BI717" s="100"/>
      <c r="BJ717" s="100"/>
      <c r="BK717" s="101"/>
      <c r="BL717" s="80"/>
      <c r="BM717" s="102"/>
      <c r="BN717" s="102"/>
      <c r="BO717" s="103"/>
      <c r="BP717" s="104"/>
      <c r="BQ717" s="28"/>
      <c r="BR717" s="102"/>
      <c r="BS717" s="102"/>
      <c r="BT717" s="102"/>
      <c r="BU717" s="102"/>
      <c r="BV717" s="105"/>
      <c r="BW717" s="101"/>
      <c r="BX717" s="105"/>
      <c r="BY717" s="11"/>
      <c r="BZ717" s="106"/>
      <c r="CA717" s="101"/>
      <c r="CB717" s="107"/>
      <c r="CC717" s="11"/>
      <c r="CD717" s="101"/>
      <c r="CE717" s="108"/>
      <c r="DX717" s="99"/>
      <c r="DY717" s="99"/>
      <c r="DZ717" s="99"/>
      <c r="EH717" s="100"/>
      <c r="EI717" s="100"/>
      <c r="EJ717" s="100"/>
      <c r="EK717" s="101"/>
      <c r="EL717" s="80"/>
      <c r="EM717" s="102"/>
      <c r="EN717" s="102"/>
      <c r="EO717" s="103"/>
      <c r="EP717" s="104"/>
      <c r="EQ717" s="28"/>
      <c r="ER717" s="102"/>
      <c r="ES717" s="102"/>
      <c r="ET717" s="102"/>
      <c r="EU717" s="102"/>
      <c r="EV717" s="105"/>
      <c r="EW717" s="101"/>
      <c r="EX717" s="105"/>
      <c r="EY717" s="11"/>
      <c r="EZ717" s="106"/>
      <c r="FA717" s="101"/>
      <c r="FB717" s="107"/>
      <c r="FC717" s="11"/>
      <c r="FD717" s="101"/>
      <c r="FE717" s="108"/>
    </row>
    <row r="718" spans="50:161">
      <c r="AX718" s="99"/>
      <c r="AY718" s="99"/>
      <c r="AZ718" s="99"/>
      <c r="BH718" s="100"/>
      <c r="BI718" s="100"/>
      <c r="BJ718" s="100"/>
      <c r="BK718" s="101"/>
      <c r="BL718" s="80"/>
      <c r="BM718" s="102"/>
      <c r="BN718" s="102"/>
      <c r="BO718" s="103"/>
      <c r="BP718" s="104"/>
      <c r="BQ718" s="28"/>
      <c r="BR718" s="102"/>
      <c r="BS718" s="102"/>
      <c r="BT718" s="102"/>
      <c r="BU718" s="102"/>
      <c r="BV718" s="105"/>
      <c r="BW718" s="101"/>
      <c r="BX718" s="105"/>
      <c r="BY718" s="11"/>
      <c r="BZ718" s="106"/>
      <c r="CA718" s="101"/>
      <c r="CB718" s="107"/>
      <c r="CC718" s="11"/>
      <c r="CD718" s="101"/>
      <c r="CE718" s="108"/>
      <c r="DX718" s="99"/>
      <c r="DY718" s="99"/>
      <c r="DZ718" s="99"/>
      <c r="EH718" s="100"/>
      <c r="EI718" s="100"/>
      <c r="EJ718" s="100"/>
      <c r="EK718" s="101"/>
      <c r="EL718" s="80"/>
      <c r="EM718" s="102"/>
      <c r="EN718" s="102"/>
      <c r="EO718" s="103"/>
      <c r="EP718" s="104"/>
      <c r="EQ718" s="28"/>
      <c r="ER718" s="102"/>
      <c r="ES718" s="102"/>
      <c r="ET718" s="102"/>
      <c r="EU718" s="102"/>
      <c r="EV718" s="105"/>
      <c r="EW718" s="101"/>
      <c r="EX718" s="105"/>
      <c r="EY718" s="11"/>
      <c r="EZ718" s="106"/>
      <c r="FA718" s="101"/>
      <c r="FB718" s="107"/>
      <c r="FC718" s="11"/>
      <c r="FD718" s="101"/>
      <c r="FE718" s="108"/>
    </row>
    <row r="719" spans="50:161">
      <c r="AX719" s="99"/>
      <c r="AY719" s="99"/>
      <c r="AZ719" s="99"/>
      <c r="BH719" s="100"/>
      <c r="BI719" s="100"/>
      <c r="BJ719" s="100"/>
      <c r="BK719" s="101"/>
      <c r="BL719" s="80"/>
      <c r="BM719" s="102"/>
      <c r="BN719" s="102"/>
      <c r="BO719" s="103"/>
      <c r="BP719" s="104"/>
      <c r="BQ719" s="28"/>
      <c r="BR719" s="102"/>
      <c r="BS719" s="102"/>
      <c r="BT719" s="102"/>
      <c r="BU719" s="102"/>
      <c r="BV719" s="105"/>
      <c r="BW719" s="101"/>
      <c r="BX719" s="105"/>
      <c r="BY719" s="11"/>
      <c r="BZ719" s="106"/>
      <c r="CA719" s="101"/>
      <c r="CB719" s="107"/>
      <c r="CC719" s="11"/>
      <c r="CD719" s="101"/>
      <c r="CE719" s="108"/>
      <c r="DX719" s="99"/>
      <c r="DY719" s="99"/>
      <c r="DZ719" s="99"/>
      <c r="EH719" s="100"/>
      <c r="EI719" s="100"/>
      <c r="EJ719" s="100"/>
      <c r="EK719" s="101"/>
      <c r="EL719" s="80"/>
      <c r="EM719" s="102"/>
      <c r="EN719" s="102"/>
      <c r="EO719" s="103"/>
      <c r="EP719" s="104"/>
      <c r="EQ719" s="28"/>
      <c r="ER719" s="102"/>
      <c r="ES719" s="102"/>
      <c r="ET719" s="102"/>
      <c r="EU719" s="102"/>
      <c r="EV719" s="105"/>
      <c r="EW719" s="101"/>
      <c r="EX719" s="105"/>
      <c r="EY719" s="11"/>
      <c r="EZ719" s="106"/>
      <c r="FA719" s="101"/>
      <c r="FB719" s="107"/>
      <c r="FC719" s="11"/>
      <c r="FD719" s="101"/>
      <c r="FE719" s="108"/>
    </row>
    <row r="720" spans="50:161">
      <c r="AX720" s="99"/>
      <c r="AY720" s="99"/>
      <c r="AZ720" s="99"/>
      <c r="BH720" s="100"/>
      <c r="BI720" s="100"/>
      <c r="BJ720" s="100"/>
      <c r="BK720" s="101"/>
      <c r="BL720" s="80"/>
      <c r="BM720" s="102"/>
      <c r="BN720" s="102"/>
      <c r="BO720" s="103"/>
      <c r="BP720" s="104"/>
      <c r="BQ720" s="28"/>
      <c r="BR720" s="102"/>
      <c r="BS720" s="102"/>
      <c r="BT720" s="102"/>
      <c r="BU720" s="102"/>
      <c r="BV720" s="105"/>
      <c r="BW720" s="101"/>
      <c r="BX720" s="105"/>
      <c r="BY720" s="11"/>
      <c r="BZ720" s="106"/>
      <c r="CA720" s="101"/>
      <c r="CB720" s="107"/>
      <c r="CC720" s="11"/>
      <c r="CD720" s="101"/>
      <c r="CE720" s="108"/>
      <c r="DX720" s="99"/>
      <c r="DY720" s="99"/>
      <c r="DZ720" s="99"/>
      <c r="EH720" s="100"/>
      <c r="EI720" s="100"/>
      <c r="EJ720" s="100"/>
      <c r="EK720" s="101"/>
      <c r="EL720" s="80"/>
      <c r="EM720" s="102"/>
      <c r="EN720" s="102"/>
      <c r="EO720" s="103"/>
      <c r="EP720" s="104"/>
      <c r="EQ720" s="28"/>
      <c r="ER720" s="102"/>
      <c r="ES720" s="102"/>
      <c r="ET720" s="102"/>
      <c r="EU720" s="102"/>
      <c r="EV720" s="105"/>
      <c r="EW720" s="101"/>
      <c r="EX720" s="105"/>
      <c r="EY720" s="11"/>
      <c r="EZ720" s="106"/>
      <c r="FA720" s="101"/>
      <c r="FB720" s="107"/>
      <c r="FC720" s="11"/>
      <c r="FD720" s="101"/>
      <c r="FE720" s="108"/>
    </row>
    <row r="721" spans="50:161">
      <c r="AX721" s="99"/>
      <c r="AY721" s="99"/>
      <c r="AZ721" s="99"/>
      <c r="BH721" s="100"/>
      <c r="BI721" s="100"/>
      <c r="BJ721" s="100"/>
      <c r="BK721" s="101"/>
      <c r="BL721" s="80"/>
      <c r="BM721" s="102"/>
      <c r="BN721" s="102"/>
      <c r="BO721" s="103"/>
      <c r="BP721" s="104"/>
      <c r="BQ721" s="28"/>
      <c r="BR721" s="102"/>
      <c r="BS721" s="102"/>
      <c r="BT721" s="102"/>
      <c r="BU721" s="102"/>
      <c r="BV721" s="105"/>
      <c r="BW721" s="101"/>
      <c r="BX721" s="105"/>
      <c r="BY721" s="11"/>
      <c r="BZ721" s="106"/>
      <c r="CA721" s="101"/>
      <c r="CB721" s="107"/>
      <c r="CC721" s="11"/>
      <c r="CD721" s="101"/>
      <c r="CE721" s="108"/>
      <c r="DX721" s="99"/>
      <c r="DY721" s="99"/>
      <c r="DZ721" s="99"/>
      <c r="EH721" s="100"/>
      <c r="EI721" s="100"/>
      <c r="EJ721" s="100"/>
      <c r="EK721" s="101"/>
      <c r="EL721" s="80"/>
      <c r="EM721" s="102"/>
      <c r="EN721" s="102"/>
      <c r="EO721" s="103"/>
      <c r="EP721" s="104"/>
      <c r="EQ721" s="28"/>
      <c r="ER721" s="102"/>
      <c r="ES721" s="102"/>
      <c r="ET721" s="102"/>
      <c r="EU721" s="102"/>
      <c r="EV721" s="105"/>
      <c r="EW721" s="101"/>
      <c r="EX721" s="105"/>
      <c r="EY721" s="11"/>
      <c r="EZ721" s="106"/>
      <c r="FA721" s="101"/>
      <c r="FB721" s="107"/>
      <c r="FC721" s="11"/>
      <c r="FD721" s="101"/>
      <c r="FE721" s="108"/>
    </row>
    <row r="722" spans="50:161">
      <c r="AX722" s="99"/>
      <c r="AY722" s="99"/>
      <c r="AZ722" s="99"/>
      <c r="BH722" s="100"/>
      <c r="BI722" s="100"/>
      <c r="BJ722" s="100"/>
      <c r="BK722" s="101"/>
      <c r="BL722" s="80"/>
      <c r="BM722" s="102"/>
      <c r="BN722" s="102"/>
      <c r="BO722" s="103"/>
      <c r="BP722" s="104"/>
      <c r="BQ722" s="28"/>
      <c r="BR722" s="102"/>
      <c r="BS722" s="102"/>
      <c r="BT722" s="102"/>
      <c r="BU722" s="102"/>
      <c r="BV722" s="105"/>
      <c r="BW722" s="101"/>
      <c r="BX722" s="105"/>
      <c r="BY722" s="11"/>
      <c r="BZ722" s="106"/>
      <c r="CA722" s="101"/>
      <c r="CB722" s="107"/>
      <c r="CC722" s="11"/>
      <c r="CD722" s="101"/>
      <c r="CE722" s="108"/>
      <c r="DX722" s="99"/>
      <c r="DY722" s="99"/>
      <c r="DZ722" s="99"/>
      <c r="EH722" s="100"/>
      <c r="EI722" s="100"/>
      <c r="EJ722" s="100"/>
      <c r="EK722" s="101"/>
      <c r="EL722" s="80"/>
      <c r="EM722" s="102"/>
      <c r="EN722" s="102"/>
      <c r="EO722" s="103"/>
      <c r="EP722" s="104"/>
      <c r="EQ722" s="28"/>
      <c r="ER722" s="102"/>
      <c r="ES722" s="102"/>
      <c r="ET722" s="102"/>
      <c r="EU722" s="102"/>
      <c r="EV722" s="105"/>
      <c r="EW722" s="101"/>
      <c r="EX722" s="105"/>
      <c r="EY722" s="11"/>
      <c r="EZ722" s="106"/>
      <c r="FA722" s="101"/>
      <c r="FB722" s="107"/>
      <c r="FC722" s="11"/>
      <c r="FD722" s="101"/>
      <c r="FE722" s="108"/>
    </row>
    <row r="723" spans="50:161">
      <c r="AX723" s="99"/>
      <c r="AY723" s="99"/>
      <c r="AZ723" s="99"/>
      <c r="BH723" s="100"/>
      <c r="BI723" s="100"/>
      <c r="BJ723" s="100"/>
      <c r="BK723" s="101"/>
      <c r="BL723" s="80"/>
      <c r="BM723" s="102"/>
      <c r="BN723" s="102"/>
      <c r="BO723" s="103"/>
      <c r="BP723" s="104"/>
      <c r="BQ723" s="28"/>
      <c r="BR723" s="102"/>
      <c r="BS723" s="102"/>
      <c r="BT723" s="102"/>
      <c r="BU723" s="102"/>
      <c r="BV723" s="105"/>
      <c r="BW723" s="101"/>
      <c r="BX723" s="105"/>
      <c r="BY723" s="11"/>
      <c r="BZ723" s="106"/>
      <c r="CA723" s="101"/>
      <c r="CB723" s="107"/>
      <c r="CC723" s="11"/>
      <c r="CD723" s="101"/>
      <c r="CE723" s="108"/>
      <c r="DX723" s="99"/>
      <c r="DY723" s="99"/>
      <c r="DZ723" s="99"/>
      <c r="EH723" s="100"/>
      <c r="EI723" s="100"/>
      <c r="EJ723" s="100"/>
      <c r="EK723" s="101"/>
      <c r="EL723" s="80"/>
      <c r="EM723" s="102"/>
      <c r="EN723" s="102"/>
      <c r="EO723" s="103"/>
      <c r="EP723" s="104"/>
      <c r="EQ723" s="28"/>
      <c r="ER723" s="102"/>
      <c r="ES723" s="102"/>
      <c r="ET723" s="102"/>
      <c r="EU723" s="102"/>
      <c r="EV723" s="105"/>
      <c r="EW723" s="101"/>
      <c r="EX723" s="105"/>
      <c r="EY723" s="11"/>
      <c r="EZ723" s="106"/>
      <c r="FA723" s="101"/>
      <c r="FB723" s="107"/>
      <c r="FC723" s="11"/>
      <c r="FD723" s="101"/>
      <c r="FE723" s="108"/>
    </row>
    <row r="724" spans="50:161">
      <c r="AX724" s="99"/>
      <c r="AY724" s="99"/>
      <c r="AZ724" s="99"/>
      <c r="BH724" s="100"/>
      <c r="BI724" s="100"/>
      <c r="BJ724" s="100"/>
      <c r="BK724" s="101"/>
      <c r="BL724" s="80"/>
      <c r="BM724" s="102"/>
      <c r="BN724" s="102"/>
      <c r="BO724" s="103"/>
      <c r="BP724" s="104"/>
      <c r="BQ724" s="28"/>
      <c r="BR724" s="102"/>
      <c r="BS724" s="102"/>
      <c r="BT724" s="102"/>
      <c r="BU724" s="102"/>
      <c r="BV724" s="105"/>
      <c r="BW724" s="101"/>
      <c r="BX724" s="105"/>
      <c r="BY724" s="11"/>
      <c r="BZ724" s="106"/>
      <c r="CA724" s="101"/>
      <c r="CB724" s="107"/>
      <c r="CC724" s="11"/>
      <c r="CD724" s="101"/>
      <c r="CE724" s="108"/>
      <c r="DX724" s="99"/>
      <c r="DY724" s="99"/>
      <c r="DZ724" s="99"/>
      <c r="EH724" s="100"/>
      <c r="EI724" s="100"/>
      <c r="EJ724" s="100"/>
      <c r="EK724" s="101"/>
      <c r="EL724" s="80"/>
      <c r="EM724" s="102"/>
      <c r="EN724" s="102"/>
      <c r="EO724" s="103"/>
      <c r="EP724" s="104"/>
      <c r="EQ724" s="28"/>
      <c r="ER724" s="102"/>
      <c r="ES724" s="102"/>
      <c r="ET724" s="102"/>
      <c r="EU724" s="102"/>
      <c r="EV724" s="105"/>
      <c r="EW724" s="101"/>
      <c r="EX724" s="105"/>
      <c r="EY724" s="11"/>
      <c r="EZ724" s="106"/>
      <c r="FA724" s="101"/>
      <c r="FB724" s="107"/>
      <c r="FC724" s="11"/>
      <c r="FD724" s="101"/>
      <c r="FE724" s="108"/>
    </row>
    <row r="725" spans="50:161">
      <c r="AX725" s="99"/>
      <c r="AY725" s="99"/>
      <c r="AZ725" s="99"/>
      <c r="BH725" s="100"/>
      <c r="BI725" s="100"/>
      <c r="BJ725" s="100"/>
      <c r="BK725" s="101"/>
      <c r="BL725" s="80"/>
      <c r="BM725" s="102"/>
      <c r="BN725" s="102"/>
      <c r="BO725" s="103"/>
      <c r="BP725" s="104"/>
      <c r="BQ725" s="28"/>
      <c r="BR725" s="102"/>
      <c r="BS725" s="102"/>
      <c r="BT725" s="102"/>
      <c r="BU725" s="102"/>
      <c r="BV725" s="105"/>
      <c r="BW725" s="101"/>
      <c r="BX725" s="105"/>
      <c r="BY725" s="11"/>
      <c r="BZ725" s="106"/>
      <c r="CA725" s="101"/>
      <c r="CB725" s="107"/>
      <c r="CC725" s="11"/>
      <c r="CD725" s="101"/>
      <c r="CE725" s="108"/>
      <c r="DX725" s="99"/>
      <c r="DY725" s="99"/>
      <c r="DZ725" s="99"/>
      <c r="EH725" s="100"/>
      <c r="EI725" s="100"/>
      <c r="EJ725" s="100"/>
      <c r="EK725" s="101"/>
      <c r="EL725" s="80"/>
      <c r="EM725" s="102"/>
      <c r="EN725" s="102"/>
      <c r="EO725" s="103"/>
      <c r="EP725" s="104"/>
      <c r="EQ725" s="28"/>
      <c r="ER725" s="102"/>
      <c r="ES725" s="102"/>
      <c r="ET725" s="102"/>
      <c r="EU725" s="102"/>
      <c r="EV725" s="105"/>
      <c r="EW725" s="101"/>
      <c r="EX725" s="105"/>
      <c r="EY725" s="11"/>
      <c r="EZ725" s="106"/>
      <c r="FA725" s="101"/>
      <c r="FB725" s="107"/>
      <c r="FC725" s="11"/>
      <c r="FD725" s="101"/>
      <c r="FE725" s="108"/>
    </row>
    <row r="726" spans="50:161">
      <c r="AX726" s="99"/>
      <c r="AY726" s="99"/>
      <c r="AZ726" s="99"/>
      <c r="BH726" s="100"/>
      <c r="BI726" s="100"/>
      <c r="BJ726" s="100"/>
      <c r="BK726" s="101"/>
      <c r="BL726" s="80"/>
      <c r="BM726" s="102"/>
      <c r="BN726" s="102"/>
      <c r="BO726" s="103"/>
      <c r="BP726" s="104"/>
      <c r="BQ726" s="28"/>
      <c r="BR726" s="102"/>
      <c r="BS726" s="102"/>
      <c r="BT726" s="102"/>
      <c r="BU726" s="102"/>
      <c r="BV726" s="105"/>
      <c r="BW726" s="101"/>
      <c r="BX726" s="105"/>
      <c r="BY726" s="11"/>
      <c r="BZ726" s="106"/>
      <c r="CA726" s="101"/>
      <c r="CB726" s="107"/>
      <c r="CC726" s="11"/>
      <c r="CD726" s="101"/>
      <c r="CE726" s="108"/>
      <c r="DX726" s="99"/>
      <c r="DY726" s="99"/>
      <c r="DZ726" s="99"/>
      <c r="EH726" s="100"/>
      <c r="EI726" s="100"/>
      <c r="EJ726" s="100"/>
      <c r="EK726" s="101"/>
      <c r="EL726" s="80"/>
      <c r="EM726" s="102"/>
      <c r="EN726" s="102"/>
      <c r="EO726" s="103"/>
      <c r="EP726" s="104"/>
      <c r="EQ726" s="28"/>
      <c r="ER726" s="102"/>
      <c r="ES726" s="102"/>
      <c r="ET726" s="102"/>
      <c r="EU726" s="102"/>
      <c r="EV726" s="105"/>
      <c r="EW726" s="101"/>
      <c r="EX726" s="105"/>
      <c r="EY726" s="11"/>
      <c r="EZ726" s="106"/>
      <c r="FA726" s="101"/>
      <c r="FB726" s="107"/>
      <c r="FC726" s="11"/>
      <c r="FD726" s="101"/>
      <c r="FE726" s="108"/>
    </row>
    <row r="727" spans="50:161">
      <c r="AX727" s="99"/>
      <c r="AY727" s="99"/>
      <c r="AZ727" s="99"/>
      <c r="BH727" s="100"/>
      <c r="BI727" s="100"/>
      <c r="BJ727" s="100"/>
      <c r="BK727" s="101"/>
      <c r="BL727" s="80"/>
      <c r="BM727" s="102"/>
      <c r="BN727" s="102"/>
      <c r="BO727" s="103"/>
      <c r="BP727" s="104"/>
      <c r="BQ727" s="28"/>
      <c r="BR727" s="102"/>
      <c r="BS727" s="102"/>
      <c r="BT727" s="102"/>
      <c r="BU727" s="102"/>
      <c r="BV727" s="105"/>
      <c r="BW727" s="101"/>
      <c r="BX727" s="105"/>
      <c r="BY727" s="11"/>
      <c r="BZ727" s="106"/>
      <c r="CA727" s="101"/>
      <c r="CB727" s="107"/>
      <c r="CC727" s="11"/>
      <c r="CD727" s="101"/>
      <c r="CE727" s="108"/>
      <c r="DX727" s="99"/>
      <c r="DY727" s="99"/>
      <c r="DZ727" s="99"/>
      <c r="EH727" s="100"/>
      <c r="EI727" s="100"/>
      <c r="EJ727" s="100"/>
      <c r="EK727" s="101"/>
      <c r="EL727" s="80"/>
      <c r="EM727" s="102"/>
      <c r="EN727" s="102"/>
      <c r="EO727" s="103"/>
      <c r="EP727" s="104"/>
      <c r="EQ727" s="28"/>
      <c r="ER727" s="102"/>
      <c r="ES727" s="102"/>
      <c r="ET727" s="102"/>
      <c r="EU727" s="102"/>
      <c r="EV727" s="105"/>
      <c r="EW727" s="101"/>
      <c r="EX727" s="105"/>
      <c r="EY727" s="11"/>
      <c r="EZ727" s="106"/>
      <c r="FA727" s="101"/>
      <c r="FB727" s="107"/>
      <c r="FC727" s="11"/>
      <c r="FD727" s="101"/>
      <c r="FE727" s="108"/>
    </row>
    <row r="728" spans="50:161">
      <c r="AX728" s="99"/>
      <c r="AY728" s="99"/>
      <c r="AZ728" s="99"/>
      <c r="BH728" s="100"/>
      <c r="BI728" s="100"/>
      <c r="BJ728" s="100"/>
      <c r="BK728" s="101"/>
      <c r="BL728" s="80"/>
      <c r="BM728" s="102"/>
      <c r="BN728" s="102"/>
      <c r="BO728" s="103"/>
      <c r="BP728" s="104"/>
      <c r="BQ728" s="28"/>
      <c r="BR728" s="102"/>
      <c r="BS728" s="102"/>
      <c r="BT728" s="102"/>
      <c r="BU728" s="102"/>
      <c r="BV728" s="105"/>
      <c r="BW728" s="101"/>
      <c r="BX728" s="105"/>
      <c r="BY728" s="11"/>
      <c r="BZ728" s="106"/>
      <c r="CA728" s="101"/>
      <c r="CB728" s="107"/>
      <c r="CC728" s="11"/>
      <c r="CD728" s="101"/>
      <c r="CE728" s="108"/>
      <c r="DX728" s="99"/>
      <c r="DY728" s="99"/>
      <c r="DZ728" s="99"/>
      <c r="EH728" s="100"/>
      <c r="EI728" s="100"/>
      <c r="EJ728" s="100"/>
      <c r="EK728" s="101"/>
      <c r="EL728" s="80"/>
      <c r="EM728" s="102"/>
      <c r="EN728" s="102"/>
      <c r="EO728" s="103"/>
      <c r="EP728" s="104"/>
      <c r="EQ728" s="28"/>
      <c r="ER728" s="102"/>
      <c r="ES728" s="102"/>
      <c r="ET728" s="102"/>
      <c r="EU728" s="102"/>
      <c r="EV728" s="105"/>
      <c r="EW728" s="101"/>
      <c r="EX728" s="105"/>
      <c r="EY728" s="11"/>
      <c r="EZ728" s="106"/>
      <c r="FA728" s="101"/>
      <c r="FB728" s="107"/>
      <c r="FC728" s="11"/>
      <c r="FD728" s="101"/>
      <c r="FE728" s="108"/>
    </row>
    <row r="729" spans="50:161">
      <c r="AX729" s="99"/>
      <c r="AY729" s="99"/>
      <c r="AZ729" s="99"/>
      <c r="BH729" s="100"/>
      <c r="BI729" s="100"/>
      <c r="BJ729" s="100"/>
      <c r="BK729" s="101"/>
      <c r="BL729" s="80"/>
      <c r="BM729" s="102"/>
      <c r="BN729" s="102"/>
      <c r="BO729" s="103"/>
      <c r="BP729" s="104"/>
      <c r="BQ729" s="28"/>
      <c r="BR729" s="102"/>
      <c r="BS729" s="102"/>
      <c r="BT729" s="102"/>
      <c r="BU729" s="102"/>
      <c r="BV729" s="105"/>
      <c r="BW729" s="101"/>
      <c r="BX729" s="105"/>
      <c r="BY729" s="11"/>
      <c r="BZ729" s="106"/>
      <c r="CA729" s="101"/>
      <c r="CB729" s="107"/>
      <c r="CC729" s="11"/>
      <c r="CD729" s="101"/>
      <c r="CE729" s="108"/>
      <c r="DX729" s="99"/>
      <c r="DY729" s="99"/>
      <c r="DZ729" s="99"/>
      <c r="EH729" s="100"/>
      <c r="EI729" s="100"/>
      <c r="EJ729" s="100"/>
      <c r="EK729" s="101"/>
      <c r="EL729" s="80"/>
      <c r="EM729" s="102"/>
      <c r="EN729" s="102"/>
      <c r="EO729" s="103"/>
      <c r="EP729" s="104"/>
      <c r="EQ729" s="28"/>
      <c r="ER729" s="102"/>
      <c r="ES729" s="102"/>
      <c r="ET729" s="102"/>
      <c r="EU729" s="102"/>
      <c r="EV729" s="105"/>
      <c r="EW729" s="101"/>
      <c r="EX729" s="105"/>
      <c r="EY729" s="11"/>
      <c r="EZ729" s="106"/>
      <c r="FA729" s="101"/>
      <c r="FB729" s="107"/>
      <c r="FC729" s="11"/>
      <c r="FD729" s="101"/>
      <c r="FE729" s="108"/>
    </row>
    <row r="730" spans="50:161">
      <c r="AX730" s="99"/>
      <c r="AY730" s="99"/>
      <c r="AZ730" s="99"/>
      <c r="BH730" s="100"/>
      <c r="BI730" s="100"/>
      <c r="BJ730" s="100"/>
      <c r="BK730" s="101"/>
      <c r="BL730" s="80"/>
      <c r="BM730" s="102"/>
      <c r="BN730" s="102"/>
      <c r="BO730" s="103"/>
      <c r="BP730" s="104"/>
      <c r="BQ730" s="28"/>
      <c r="BR730" s="102"/>
      <c r="BS730" s="102"/>
      <c r="BT730" s="102"/>
      <c r="BU730" s="102"/>
      <c r="BV730" s="105"/>
      <c r="BW730" s="101"/>
      <c r="BX730" s="105"/>
      <c r="BY730" s="11"/>
      <c r="BZ730" s="106"/>
      <c r="CA730" s="101"/>
      <c r="CB730" s="107"/>
      <c r="CC730" s="11"/>
      <c r="CD730" s="101"/>
      <c r="CE730" s="108"/>
      <c r="DX730" s="99"/>
      <c r="DY730" s="99"/>
      <c r="DZ730" s="99"/>
      <c r="EH730" s="100"/>
      <c r="EI730" s="100"/>
      <c r="EJ730" s="100"/>
      <c r="EK730" s="101"/>
      <c r="EL730" s="80"/>
      <c r="EM730" s="102"/>
      <c r="EN730" s="102"/>
      <c r="EO730" s="103"/>
      <c r="EP730" s="104"/>
      <c r="EQ730" s="28"/>
      <c r="ER730" s="102"/>
      <c r="ES730" s="102"/>
      <c r="ET730" s="102"/>
      <c r="EU730" s="102"/>
      <c r="EV730" s="105"/>
      <c r="EW730" s="101"/>
      <c r="EX730" s="105"/>
      <c r="EY730" s="11"/>
      <c r="EZ730" s="106"/>
      <c r="FA730" s="101"/>
      <c r="FB730" s="107"/>
      <c r="FC730" s="11"/>
      <c r="FD730" s="101"/>
      <c r="FE730" s="108"/>
    </row>
    <row r="731" spans="50:161">
      <c r="AX731" s="99"/>
      <c r="AY731" s="99"/>
      <c r="AZ731" s="99"/>
      <c r="BH731" s="100"/>
      <c r="BI731" s="100"/>
      <c r="BJ731" s="100"/>
      <c r="BK731" s="101"/>
      <c r="BL731" s="80"/>
      <c r="BM731" s="102"/>
      <c r="BN731" s="102"/>
      <c r="BO731" s="103"/>
      <c r="BP731" s="104"/>
      <c r="BQ731" s="28"/>
      <c r="BR731" s="102"/>
      <c r="BS731" s="102"/>
      <c r="BT731" s="102"/>
      <c r="BU731" s="102"/>
      <c r="BV731" s="105"/>
      <c r="BW731" s="101"/>
      <c r="BX731" s="105"/>
      <c r="BY731" s="11"/>
      <c r="BZ731" s="106"/>
      <c r="CA731" s="101"/>
      <c r="CB731" s="107"/>
      <c r="CC731" s="11"/>
      <c r="CD731" s="101"/>
      <c r="CE731" s="108"/>
      <c r="DX731" s="99"/>
      <c r="DY731" s="99"/>
      <c r="DZ731" s="99"/>
      <c r="EH731" s="100"/>
      <c r="EI731" s="100"/>
      <c r="EJ731" s="100"/>
      <c r="EK731" s="101"/>
      <c r="EL731" s="80"/>
      <c r="EM731" s="102"/>
      <c r="EN731" s="102"/>
      <c r="EO731" s="103"/>
      <c r="EP731" s="104"/>
      <c r="EQ731" s="28"/>
      <c r="ER731" s="102"/>
      <c r="ES731" s="102"/>
      <c r="ET731" s="102"/>
      <c r="EU731" s="102"/>
      <c r="EV731" s="105"/>
      <c r="EW731" s="101"/>
      <c r="EX731" s="105"/>
      <c r="EY731" s="11"/>
      <c r="EZ731" s="106"/>
      <c r="FA731" s="101"/>
      <c r="FB731" s="107"/>
      <c r="FC731" s="11"/>
      <c r="FD731" s="101"/>
      <c r="FE731" s="108"/>
    </row>
    <row r="732" spans="50:161">
      <c r="AX732" s="99"/>
      <c r="AY732" s="99"/>
      <c r="AZ732" s="99"/>
      <c r="BH732" s="100"/>
      <c r="BI732" s="100"/>
      <c r="BJ732" s="100"/>
      <c r="BK732" s="101"/>
      <c r="BL732" s="80"/>
      <c r="BM732" s="102"/>
      <c r="BN732" s="102"/>
      <c r="BO732" s="103"/>
      <c r="BP732" s="104"/>
      <c r="BQ732" s="28"/>
      <c r="BR732" s="102"/>
      <c r="BS732" s="102"/>
      <c r="BT732" s="102"/>
      <c r="BU732" s="102"/>
      <c r="BV732" s="105"/>
      <c r="BW732" s="101"/>
      <c r="BX732" s="105"/>
      <c r="BY732" s="11"/>
      <c r="BZ732" s="106"/>
      <c r="CA732" s="101"/>
      <c r="CB732" s="107"/>
      <c r="CC732" s="11"/>
      <c r="CD732" s="101"/>
      <c r="CE732" s="108"/>
      <c r="DX732" s="99"/>
      <c r="DY732" s="99"/>
      <c r="DZ732" s="99"/>
      <c r="EH732" s="100"/>
      <c r="EI732" s="100"/>
      <c r="EJ732" s="100"/>
      <c r="EK732" s="101"/>
      <c r="EL732" s="80"/>
      <c r="EM732" s="102"/>
      <c r="EN732" s="102"/>
      <c r="EO732" s="103"/>
      <c r="EP732" s="104"/>
      <c r="EQ732" s="28"/>
      <c r="ER732" s="102"/>
      <c r="ES732" s="102"/>
      <c r="ET732" s="102"/>
      <c r="EU732" s="102"/>
      <c r="EV732" s="105"/>
      <c r="EW732" s="101"/>
      <c r="EX732" s="105"/>
      <c r="EY732" s="11"/>
      <c r="EZ732" s="106"/>
      <c r="FA732" s="101"/>
      <c r="FB732" s="107"/>
      <c r="FC732" s="11"/>
      <c r="FD732" s="101"/>
      <c r="FE732" s="108"/>
    </row>
    <row r="733" spans="50:161">
      <c r="AX733" s="99"/>
      <c r="AY733" s="99"/>
      <c r="AZ733" s="99"/>
      <c r="BH733" s="100"/>
      <c r="BI733" s="100"/>
      <c r="BJ733" s="100"/>
      <c r="BK733" s="101"/>
      <c r="BL733" s="80"/>
      <c r="BM733" s="102"/>
      <c r="BN733" s="102"/>
      <c r="BO733" s="103"/>
      <c r="BP733" s="104"/>
      <c r="BQ733" s="28"/>
      <c r="BR733" s="102"/>
      <c r="BS733" s="102"/>
      <c r="BT733" s="102"/>
      <c r="BU733" s="102"/>
      <c r="BV733" s="105"/>
      <c r="BW733" s="101"/>
      <c r="BX733" s="105"/>
      <c r="BY733" s="11"/>
      <c r="BZ733" s="106"/>
      <c r="CA733" s="101"/>
      <c r="CB733" s="107"/>
      <c r="CC733" s="11"/>
      <c r="CD733" s="101"/>
      <c r="CE733" s="108"/>
      <c r="DX733" s="99"/>
      <c r="DY733" s="99"/>
      <c r="DZ733" s="99"/>
      <c r="EH733" s="100"/>
      <c r="EI733" s="100"/>
      <c r="EJ733" s="100"/>
      <c r="EK733" s="101"/>
      <c r="EL733" s="80"/>
      <c r="EM733" s="102"/>
      <c r="EN733" s="102"/>
      <c r="EO733" s="103"/>
      <c r="EP733" s="104"/>
      <c r="EQ733" s="28"/>
      <c r="ER733" s="102"/>
      <c r="ES733" s="102"/>
      <c r="ET733" s="102"/>
      <c r="EU733" s="102"/>
      <c r="EV733" s="105"/>
      <c r="EW733" s="101"/>
      <c r="EX733" s="105"/>
      <c r="EY733" s="11"/>
      <c r="EZ733" s="106"/>
      <c r="FA733" s="101"/>
      <c r="FB733" s="107"/>
      <c r="FC733" s="11"/>
      <c r="FD733" s="101"/>
      <c r="FE733" s="108"/>
    </row>
    <row r="734" spans="50:161">
      <c r="AX734" s="99"/>
      <c r="AY734" s="99"/>
      <c r="AZ734" s="99"/>
      <c r="BH734" s="100"/>
      <c r="BI734" s="100"/>
      <c r="BJ734" s="100"/>
      <c r="BK734" s="101"/>
      <c r="BL734" s="80"/>
      <c r="BM734" s="102"/>
      <c r="BN734" s="102"/>
      <c r="BO734" s="103"/>
      <c r="BP734" s="104"/>
      <c r="BQ734" s="28"/>
      <c r="BR734" s="102"/>
      <c r="BS734" s="102"/>
      <c r="BT734" s="102"/>
      <c r="BU734" s="102"/>
      <c r="BV734" s="105"/>
      <c r="BW734" s="101"/>
      <c r="BX734" s="105"/>
      <c r="BY734" s="11"/>
      <c r="BZ734" s="106"/>
      <c r="CA734" s="101"/>
      <c r="CB734" s="107"/>
      <c r="CC734" s="11"/>
      <c r="CD734" s="101"/>
      <c r="CE734" s="108"/>
      <c r="DX734" s="99"/>
      <c r="DY734" s="99"/>
      <c r="DZ734" s="99"/>
      <c r="EH734" s="100"/>
      <c r="EI734" s="100"/>
      <c r="EJ734" s="100"/>
      <c r="EK734" s="101"/>
      <c r="EL734" s="80"/>
      <c r="EM734" s="102"/>
      <c r="EN734" s="102"/>
      <c r="EO734" s="103"/>
      <c r="EP734" s="104"/>
      <c r="EQ734" s="28"/>
      <c r="ER734" s="102"/>
      <c r="ES734" s="102"/>
      <c r="ET734" s="102"/>
      <c r="EU734" s="102"/>
      <c r="EV734" s="105"/>
      <c r="EW734" s="101"/>
      <c r="EX734" s="105"/>
      <c r="EY734" s="11"/>
      <c r="EZ734" s="106"/>
      <c r="FA734" s="101"/>
      <c r="FB734" s="107"/>
      <c r="FC734" s="11"/>
      <c r="FD734" s="101"/>
      <c r="FE734" s="108"/>
    </row>
    <row r="735" spans="50:161">
      <c r="AX735" s="99"/>
      <c r="AY735" s="99"/>
      <c r="AZ735" s="99"/>
      <c r="BH735" s="100"/>
      <c r="BI735" s="100"/>
      <c r="BJ735" s="100"/>
      <c r="BK735" s="101"/>
      <c r="BL735" s="80"/>
      <c r="BM735" s="102"/>
      <c r="BN735" s="102"/>
      <c r="BO735" s="103"/>
      <c r="BP735" s="104"/>
      <c r="BQ735" s="28"/>
      <c r="BR735" s="102"/>
      <c r="BS735" s="102"/>
      <c r="BT735" s="102"/>
      <c r="BU735" s="102"/>
      <c r="BV735" s="105"/>
      <c r="BW735" s="101"/>
      <c r="BX735" s="105"/>
      <c r="BY735" s="11"/>
      <c r="BZ735" s="106"/>
      <c r="CA735" s="101"/>
      <c r="CB735" s="107"/>
      <c r="CC735" s="11"/>
      <c r="CD735" s="101"/>
      <c r="CE735" s="108"/>
      <c r="DX735" s="99"/>
      <c r="DY735" s="99"/>
      <c r="DZ735" s="99"/>
      <c r="EH735" s="100"/>
      <c r="EI735" s="100"/>
      <c r="EJ735" s="100"/>
      <c r="EK735" s="101"/>
      <c r="EL735" s="80"/>
      <c r="EM735" s="102"/>
      <c r="EN735" s="102"/>
      <c r="EO735" s="103"/>
      <c r="EP735" s="104"/>
      <c r="EQ735" s="28"/>
      <c r="ER735" s="102"/>
      <c r="ES735" s="102"/>
      <c r="ET735" s="102"/>
      <c r="EU735" s="102"/>
      <c r="EV735" s="105"/>
      <c r="EW735" s="101"/>
      <c r="EX735" s="105"/>
      <c r="EY735" s="11"/>
      <c r="EZ735" s="106"/>
      <c r="FA735" s="101"/>
      <c r="FB735" s="107"/>
      <c r="FC735" s="11"/>
      <c r="FD735" s="101"/>
      <c r="FE735" s="108"/>
    </row>
    <row r="736" spans="50:161">
      <c r="AX736" s="99"/>
      <c r="AY736" s="99"/>
      <c r="AZ736" s="99"/>
      <c r="BH736" s="100"/>
      <c r="BI736" s="100"/>
      <c r="BJ736" s="100"/>
      <c r="BK736" s="101"/>
      <c r="BL736" s="80"/>
      <c r="BM736" s="102"/>
      <c r="BN736" s="102"/>
      <c r="BO736" s="103"/>
      <c r="BP736" s="104"/>
      <c r="BQ736" s="28"/>
      <c r="BR736" s="102"/>
      <c r="BS736" s="102"/>
      <c r="BT736" s="102"/>
      <c r="BU736" s="102"/>
      <c r="BV736" s="105"/>
      <c r="BW736" s="101"/>
      <c r="BX736" s="105"/>
      <c r="BY736" s="11"/>
      <c r="BZ736" s="106"/>
      <c r="CA736" s="101"/>
      <c r="CB736" s="107"/>
      <c r="CC736" s="11"/>
      <c r="CD736" s="101"/>
      <c r="CE736" s="108"/>
      <c r="DX736" s="99"/>
      <c r="DY736" s="99"/>
      <c r="DZ736" s="99"/>
      <c r="EH736" s="100"/>
      <c r="EI736" s="100"/>
      <c r="EJ736" s="100"/>
      <c r="EK736" s="101"/>
      <c r="EL736" s="80"/>
      <c r="EM736" s="102"/>
      <c r="EN736" s="102"/>
      <c r="EO736" s="103"/>
      <c r="EP736" s="104"/>
      <c r="EQ736" s="28"/>
      <c r="ER736" s="102"/>
      <c r="ES736" s="102"/>
      <c r="ET736" s="102"/>
      <c r="EU736" s="102"/>
      <c r="EV736" s="105"/>
      <c r="EW736" s="101"/>
      <c r="EX736" s="105"/>
      <c r="EY736" s="11"/>
      <c r="EZ736" s="106"/>
      <c r="FA736" s="101"/>
      <c r="FB736" s="107"/>
      <c r="FC736" s="11"/>
      <c r="FD736" s="101"/>
      <c r="FE736" s="108"/>
    </row>
    <row r="737" spans="50:161">
      <c r="AX737" s="99"/>
      <c r="AY737" s="99"/>
      <c r="AZ737" s="99"/>
      <c r="BH737" s="100"/>
      <c r="BI737" s="100"/>
      <c r="BJ737" s="100"/>
      <c r="BK737" s="101"/>
      <c r="BL737" s="80"/>
      <c r="BM737" s="102"/>
      <c r="BN737" s="102"/>
      <c r="BO737" s="103"/>
      <c r="BP737" s="104"/>
      <c r="BQ737" s="28"/>
      <c r="BR737" s="102"/>
      <c r="BS737" s="102"/>
      <c r="BT737" s="102"/>
      <c r="BU737" s="102"/>
      <c r="BV737" s="105"/>
      <c r="BW737" s="101"/>
      <c r="BX737" s="105"/>
      <c r="BY737" s="11"/>
      <c r="BZ737" s="106"/>
      <c r="CA737" s="101"/>
      <c r="CB737" s="107"/>
      <c r="CC737" s="11"/>
      <c r="CD737" s="101"/>
      <c r="CE737" s="108"/>
      <c r="DX737" s="99"/>
      <c r="DY737" s="99"/>
      <c r="DZ737" s="99"/>
      <c r="EH737" s="100"/>
      <c r="EI737" s="100"/>
      <c r="EJ737" s="100"/>
      <c r="EK737" s="101"/>
      <c r="EL737" s="80"/>
      <c r="EM737" s="102"/>
      <c r="EN737" s="102"/>
      <c r="EO737" s="103"/>
      <c r="EP737" s="104"/>
      <c r="EQ737" s="28"/>
      <c r="ER737" s="102"/>
      <c r="ES737" s="102"/>
      <c r="ET737" s="102"/>
      <c r="EU737" s="102"/>
      <c r="EV737" s="105"/>
      <c r="EW737" s="101"/>
      <c r="EX737" s="105"/>
      <c r="EY737" s="11"/>
      <c r="EZ737" s="106"/>
      <c r="FA737" s="101"/>
      <c r="FB737" s="107"/>
      <c r="FC737" s="11"/>
      <c r="FD737" s="101"/>
      <c r="FE737" s="108"/>
    </row>
    <row r="738" spans="50:161">
      <c r="AX738" s="99"/>
      <c r="AY738" s="99"/>
      <c r="AZ738" s="99"/>
      <c r="BH738" s="100"/>
      <c r="BI738" s="100"/>
      <c r="BJ738" s="100"/>
      <c r="BK738" s="101"/>
      <c r="BL738" s="80"/>
      <c r="BM738" s="102"/>
      <c r="BN738" s="102"/>
      <c r="BO738" s="103"/>
      <c r="BP738" s="104"/>
      <c r="BQ738" s="28"/>
      <c r="BR738" s="102"/>
      <c r="BS738" s="102"/>
      <c r="BT738" s="102"/>
      <c r="BU738" s="102"/>
      <c r="BV738" s="105"/>
      <c r="BW738" s="101"/>
      <c r="BX738" s="105"/>
      <c r="BY738" s="11"/>
      <c r="BZ738" s="106"/>
      <c r="CA738" s="101"/>
      <c r="CB738" s="107"/>
      <c r="CC738" s="11"/>
      <c r="CD738" s="101"/>
      <c r="CE738" s="108"/>
      <c r="DX738" s="99"/>
      <c r="DY738" s="99"/>
      <c r="DZ738" s="99"/>
      <c r="EH738" s="100"/>
      <c r="EI738" s="100"/>
      <c r="EJ738" s="100"/>
      <c r="EK738" s="101"/>
      <c r="EL738" s="80"/>
      <c r="EM738" s="102"/>
      <c r="EN738" s="102"/>
      <c r="EO738" s="103"/>
      <c r="EP738" s="104"/>
      <c r="EQ738" s="28"/>
      <c r="ER738" s="102"/>
      <c r="ES738" s="102"/>
      <c r="ET738" s="102"/>
      <c r="EU738" s="102"/>
      <c r="EV738" s="105"/>
      <c r="EW738" s="101"/>
      <c r="EX738" s="105"/>
      <c r="EY738" s="11"/>
      <c r="EZ738" s="106"/>
      <c r="FA738" s="101"/>
      <c r="FB738" s="107"/>
      <c r="FC738" s="11"/>
      <c r="FD738" s="101"/>
      <c r="FE738" s="108"/>
    </row>
    <row r="739" spans="50:161">
      <c r="AX739" s="99"/>
      <c r="AY739" s="99"/>
      <c r="AZ739" s="99"/>
      <c r="BH739" s="100"/>
      <c r="BI739" s="100"/>
      <c r="BJ739" s="100"/>
      <c r="BK739" s="101"/>
      <c r="BL739" s="80"/>
      <c r="BM739" s="102"/>
      <c r="BN739" s="102"/>
      <c r="BO739" s="103"/>
      <c r="BP739" s="104"/>
      <c r="BQ739" s="28"/>
      <c r="BR739" s="102"/>
      <c r="BS739" s="102"/>
      <c r="BT739" s="102"/>
      <c r="BU739" s="102"/>
      <c r="BV739" s="105"/>
      <c r="BW739" s="101"/>
      <c r="BX739" s="105"/>
      <c r="BY739" s="11"/>
      <c r="BZ739" s="106"/>
      <c r="CA739" s="101"/>
      <c r="CB739" s="107"/>
      <c r="CC739" s="11"/>
      <c r="CD739" s="101"/>
      <c r="CE739" s="108"/>
      <c r="DX739" s="99"/>
      <c r="DY739" s="99"/>
      <c r="DZ739" s="99"/>
      <c r="EH739" s="100"/>
      <c r="EI739" s="100"/>
      <c r="EJ739" s="100"/>
      <c r="EK739" s="101"/>
      <c r="EL739" s="80"/>
      <c r="EM739" s="102"/>
      <c r="EN739" s="102"/>
      <c r="EO739" s="103"/>
      <c r="EP739" s="104"/>
      <c r="EQ739" s="28"/>
      <c r="ER739" s="102"/>
      <c r="ES739" s="102"/>
      <c r="ET739" s="102"/>
      <c r="EU739" s="102"/>
      <c r="EV739" s="105"/>
      <c r="EW739" s="101"/>
      <c r="EX739" s="105"/>
      <c r="EY739" s="11"/>
      <c r="EZ739" s="106"/>
      <c r="FA739" s="101"/>
      <c r="FB739" s="107"/>
      <c r="FC739" s="11"/>
      <c r="FD739" s="101"/>
      <c r="FE739" s="108"/>
    </row>
    <row r="740" spans="50:161">
      <c r="AX740" s="99"/>
      <c r="AY740" s="99"/>
      <c r="AZ740" s="99"/>
      <c r="BH740" s="100"/>
      <c r="BI740" s="100"/>
      <c r="BJ740" s="100"/>
      <c r="BK740" s="101"/>
      <c r="BL740" s="80"/>
      <c r="BM740" s="102"/>
      <c r="BN740" s="102"/>
      <c r="BO740" s="103"/>
      <c r="BP740" s="104"/>
      <c r="BQ740" s="28"/>
      <c r="BR740" s="102"/>
      <c r="BS740" s="102"/>
      <c r="BT740" s="102"/>
      <c r="BU740" s="102"/>
      <c r="BV740" s="105"/>
      <c r="BW740" s="101"/>
      <c r="BX740" s="105"/>
      <c r="BY740" s="11"/>
      <c r="BZ740" s="106"/>
      <c r="CA740" s="101"/>
      <c r="CB740" s="107"/>
      <c r="CC740" s="11"/>
      <c r="CD740" s="101"/>
      <c r="CE740" s="108"/>
      <c r="DX740" s="99"/>
      <c r="DY740" s="99"/>
      <c r="DZ740" s="99"/>
      <c r="EH740" s="100"/>
      <c r="EI740" s="100"/>
      <c r="EJ740" s="100"/>
      <c r="EK740" s="101"/>
      <c r="EL740" s="80"/>
      <c r="EM740" s="102"/>
      <c r="EN740" s="102"/>
      <c r="EO740" s="103"/>
      <c r="EP740" s="104"/>
      <c r="EQ740" s="28"/>
      <c r="ER740" s="102"/>
      <c r="ES740" s="102"/>
      <c r="ET740" s="102"/>
      <c r="EU740" s="102"/>
      <c r="EV740" s="105"/>
      <c r="EW740" s="101"/>
      <c r="EX740" s="105"/>
      <c r="EY740" s="11"/>
      <c r="EZ740" s="106"/>
      <c r="FA740" s="101"/>
      <c r="FB740" s="107"/>
      <c r="FC740" s="11"/>
      <c r="FD740" s="101"/>
      <c r="FE740" s="108"/>
    </row>
    <row r="741" spans="50:161">
      <c r="AX741" s="99"/>
      <c r="AY741" s="99"/>
      <c r="AZ741" s="99"/>
      <c r="BH741" s="100"/>
      <c r="BI741" s="100"/>
      <c r="BJ741" s="100"/>
      <c r="BK741" s="101"/>
      <c r="BL741" s="80"/>
      <c r="BM741" s="102"/>
      <c r="BN741" s="102"/>
      <c r="BO741" s="103"/>
      <c r="BP741" s="104"/>
      <c r="BQ741" s="28"/>
      <c r="BR741" s="102"/>
      <c r="BS741" s="102"/>
      <c r="BT741" s="102"/>
      <c r="BU741" s="102"/>
      <c r="BV741" s="105"/>
      <c r="BW741" s="101"/>
      <c r="BX741" s="105"/>
      <c r="BY741" s="11"/>
      <c r="BZ741" s="106"/>
      <c r="CA741" s="101"/>
      <c r="CB741" s="107"/>
      <c r="CC741" s="11"/>
      <c r="CD741" s="101"/>
      <c r="CE741" s="108"/>
      <c r="DX741" s="99"/>
      <c r="DY741" s="99"/>
      <c r="DZ741" s="99"/>
      <c r="EH741" s="100"/>
      <c r="EI741" s="100"/>
      <c r="EJ741" s="100"/>
      <c r="EK741" s="101"/>
      <c r="EL741" s="80"/>
      <c r="EM741" s="102"/>
      <c r="EN741" s="102"/>
      <c r="EO741" s="103"/>
      <c r="EP741" s="104"/>
      <c r="EQ741" s="28"/>
      <c r="ER741" s="102"/>
      <c r="ES741" s="102"/>
      <c r="ET741" s="102"/>
      <c r="EU741" s="102"/>
      <c r="EV741" s="105"/>
      <c r="EW741" s="101"/>
      <c r="EX741" s="105"/>
      <c r="EY741" s="11"/>
      <c r="EZ741" s="106"/>
      <c r="FA741" s="101"/>
      <c r="FB741" s="107"/>
      <c r="FC741" s="11"/>
      <c r="FD741" s="101"/>
      <c r="FE741" s="108"/>
    </row>
    <row r="742" spans="50:161">
      <c r="AX742" s="99"/>
      <c r="AY742" s="99"/>
      <c r="AZ742" s="99"/>
      <c r="BH742" s="100"/>
      <c r="BI742" s="100"/>
      <c r="BJ742" s="100"/>
      <c r="BK742" s="101"/>
      <c r="BL742" s="80"/>
      <c r="BM742" s="102"/>
      <c r="BN742" s="102"/>
      <c r="BO742" s="103"/>
      <c r="BP742" s="104"/>
      <c r="BQ742" s="28"/>
      <c r="BR742" s="102"/>
      <c r="BS742" s="102"/>
      <c r="BT742" s="102"/>
      <c r="BU742" s="102"/>
      <c r="BV742" s="105"/>
      <c r="BW742" s="101"/>
      <c r="BX742" s="105"/>
      <c r="BY742" s="11"/>
      <c r="BZ742" s="106"/>
      <c r="CA742" s="101"/>
      <c r="CB742" s="107"/>
      <c r="CC742" s="11"/>
      <c r="CD742" s="101"/>
      <c r="CE742" s="108"/>
      <c r="DX742" s="99"/>
      <c r="DY742" s="99"/>
      <c r="DZ742" s="99"/>
      <c r="EH742" s="100"/>
      <c r="EI742" s="100"/>
      <c r="EJ742" s="100"/>
      <c r="EK742" s="101"/>
      <c r="EL742" s="80"/>
      <c r="EM742" s="102"/>
      <c r="EN742" s="102"/>
      <c r="EO742" s="103"/>
      <c r="EP742" s="104"/>
      <c r="EQ742" s="28"/>
      <c r="ER742" s="102"/>
      <c r="ES742" s="102"/>
      <c r="ET742" s="102"/>
      <c r="EU742" s="102"/>
      <c r="EV742" s="105"/>
      <c r="EW742" s="101"/>
      <c r="EX742" s="105"/>
      <c r="EY742" s="11"/>
      <c r="EZ742" s="106"/>
      <c r="FA742" s="101"/>
      <c r="FB742" s="107"/>
      <c r="FC742" s="11"/>
      <c r="FD742" s="101"/>
      <c r="FE742" s="108"/>
    </row>
    <row r="743" spans="50:161">
      <c r="AX743" s="99"/>
      <c r="AY743" s="99"/>
      <c r="AZ743" s="99"/>
      <c r="BH743" s="100"/>
      <c r="BI743" s="100"/>
      <c r="BJ743" s="100"/>
      <c r="BK743" s="101"/>
      <c r="BL743" s="80"/>
      <c r="BM743" s="102"/>
      <c r="BN743" s="102"/>
      <c r="BO743" s="103"/>
      <c r="BP743" s="104"/>
      <c r="BQ743" s="28"/>
      <c r="BR743" s="102"/>
      <c r="BS743" s="102"/>
      <c r="BT743" s="102"/>
      <c r="BU743" s="102"/>
      <c r="BV743" s="105"/>
      <c r="BW743" s="101"/>
      <c r="BX743" s="105"/>
      <c r="BY743" s="11"/>
      <c r="BZ743" s="106"/>
      <c r="CA743" s="101"/>
      <c r="CB743" s="107"/>
      <c r="CC743" s="11"/>
      <c r="CD743" s="101"/>
      <c r="CE743" s="108"/>
      <c r="DX743" s="99"/>
      <c r="DY743" s="99"/>
      <c r="DZ743" s="99"/>
      <c r="EH743" s="100"/>
      <c r="EI743" s="100"/>
      <c r="EJ743" s="100"/>
      <c r="EK743" s="101"/>
      <c r="EL743" s="80"/>
      <c r="EM743" s="102"/>
      <c r="EN743" s="102"/>
      <c r="EO743" s="103"/>
      <c r="EP743" s="104"/>
      <c r="EQ743" s="28"/>
      <c r="ER743" s="102"/>
      <c r="ES743" s="102"/>
      <c r="ET743" s="102"/>
      <c r="EU743" s="102"/>
      <c r="EV743" s="105"/>
      <c r="EW743" s="101"/>
      <c r="EX743" s="105"/>
      <c r="EY743" s="11"/>
      <c r="EZ743" s="106"/>
      <c r="FA743" s="101"/>
      <c r="FB743" s="107"/>
      <c r="FC743" s="11"/>
      <c r="FD743" s="101"/>
      <c r="FE743" s="108"/>
    </row>
    <row r="744" spans="50:161">
      <c r="AX744" s="99"/>
      <c r="AY744" s="99"/>
      <c r="AZ744" s="99"/>
      <c r="BH744" s="100"/>
      <c r="BI744" s="100"/>
      <c r="BJ744" s="100"/>
      <c r="BK744" s="101"/>
      <c r="BL744" s="80"/>
      <c r="BM744" s="102"/>
      <c r="BN744" s="102"/>
      <c r="BO744" s="103"/>
      <c r="BP744" s="104"/>
      <c r="BQ744" s="28"/>
      <c r="BR744" s="102"/>
      <c r="BS744" s="102"/>
      <c r="BT744" s="102"/>
      <c r="BU744" s="102"/>
      <c r="BV744" s="105"/>
      <c r="BW744" s="101"/>
      <c r="BX744" s="105"/>
      <c r="BY744" s="11"/>
      <c r="BZ744" s="106"/>
      <c r="CA744" s="101"/>
      <c r="CB744" s="107"/>
      <c r="CC744" s="11"/>
      <c r="CD744" s="101"/>
      <c r="CE744" s="108"/>
      <c r="DX744" s="99"/>
      <c r="DY744" s="99"/>
      <c r="DZ744" s="99"/>
      <c r="EH744" s="100"/>
      <c r="EI744" s="100"/>
      <c r="EJ744" s="100"/>
      <c r="EK744" s="101"/>
      <c r="EL744" s="80"/>
      <c r="EM744" s="102"/>
      <c r="EN744" s="102"/>
      <c r="EO744" s="103"/>
      <c r="EP744" s="104"/>
      <c r="EQ744" s="28"/>
      <c r="ER744" s="102"/>
      <c r="ES744" s="102"/>
      <c r="ET744" s="102"/>
      <c r="EU744" s="102"/>
      <c r="EV744" s="105"/>
      <c r="EW744" s="101"/>
      <c r="EX744" s="105"/>
      <c r="EY744" s="11"/>
      <c r="EZ744" s="106"/>
      <c r="FA744" s="101"/>
      <c r="FB744" s="107"/>
      <c r="FC744" s="11"/>
      <c r="FD744" s="101"/>
      <c r="FE744" s="108"/>
    </row>
    <row r="745" spans="50:161">
      <c r="AX745" s="99"/>
      <c r="AY745" s="99"/>
      <c r="AZ745" s="99"/>
      <c r="BH745" s="100"/>
      <c r="BI745" s="100"/>
      <c r="BJ745" s="100"/>
      <c r="BK745" s="101"/>
      <c r="BL745" s="80"/>
      <c r="BM745" s="102"/>
      <c r="BN745" s="102"/>
      <c r="BO745" s="103"/>
      <c r="BP745" s="104"/>
      <c r="BQ745" s="28"/>
      <c r="BR745" s="102"/>
      <c r="BS745" s="102"/>
      <c r="BT745" s="102"/>
      <c r="BU745" s="102"/>
      <c r="BV745" s="105"/>
      <c r="BW745" s="101"/>
      <c r="BX745" s="105"/>
      <c r="BY745" s="11"/>
      <c r="BZ745" s="106"/>
      <c r="CA745" s="101"/>
      <c r="CB745" s="107"/>
      <c r="CC745" s="11"/>
      <c r="CD745" s="101"/>
      <c r="CE745" s="108"/>
      <c r="DX745" s="99"/>
      <c r="DY745" s="99"/>
      <c r="DZ745" s="99"/>
      <c r="EH745" s="100"/>
      <c r="EI745" s="100"/>
      <c r="EJ745" s="100"/>
      <c r="EK745" s="101"/>
      <c r="EL745" s="80"/>
      <c r="EM745" s="102"/>
      <c r="EN745" s="102"/>
      <c r="EO745" s="103"/>
      <c r="EP745" s="104"/>
      <c r="EQ745" s="28"/>
      <c r="ER745" s="102"/>
      <c r="ES745" s="102"/>
      <c r="ET745" s="102"/>
      <c r="EU745" s="102"/>
      <c r="EV745" s="105"/>
      <c r="EW745" s="101"/>
      <c r="EX745" s="105"/>
      <c r="EY745" s="11"/>
      <c r="EZ745" s="106"/>
      <c r="FA745" s="101"/>
      <c r="FB745" s="107"/>
      <c r="FC745" s="11"/>
      <c r="FD745" s="101"/>
      <c r="FE745" s="108"/>
    </row>
    <row r="746" spans="50:161">
      <c r="AX746" s="99"/>
      <c r="AY746" s="99"/>
      <c r="AZ746" s="99"/>
      <c r="BH746" s="100"/>
      <c r="BI746" s="100"/>
      <c r="BJ746" s="100"/>
      <c r="BK746" s="101"/>
      <c r="BL746" s="80"/>
      <c r="BM746" s="102"/>
      <c r="BN746" s="102"/>
      <c r="BO746" s="103"/>
      <c r="BP746" s="104"/>
      <c r="BQ746" s="28"/>
      <c r="BR746" s="102"/>
      <c r="BS746" s="102"/>
      <c r="BT746" s="102"/>
      <c r="BU746" s="102"/>
      <c r="BV746" s="105"/>
      <c r="BW746" s="101"/>
      <c r="BX746" s="105"/>
      <c r="BY746" s="11"/>
      <c r="BZ746" s="106"/>
      <c r="CA746" s="101"/>
      <c r="CB746" s="107"/>
      <c r="CC746" s="11"/>
      <c r="CD746" s="101"/>
      <c r="CE746" s="108"/>
      <c r="DX746" s="99"/>
      <c r="DY746" s="99"/>
      <c r="DZ746" s="99"/>
      <c r="EH746" s="100"/>
      <c r="EI746" s="100"/>
      <c r="EJ746" s="100"/>
      <c r="EK746" s="101"/>
      <c r="EL746" s="80"/>
      <c r="EM746" s="102"/>
      <c r="EN746" s="102"/>
      <c r="EO746" s="103"/>
      <c r="EP746" s="104"/>
      <c r="EQ746" s="28"/>
      <c r="ER746" s="102"/>
      <c r="ES746" s="102"/>
      <c r="ET746" s="102"/>
      <c r="EU746" s="102"/>
      <c r="EV746" s="105"/>
      <c r="EW746" s="101"/>
      <c r="EX746" s="105"/>
      <c r="EY746" s="11"/>
      <c r="EZ746" s="106"/>
      <c r="FA746" s="101"/>
      <c r="FB746" s="107"/>
      <c r="FC746" s="11"/>
      <c r="FD746" s="101"/>
      <c r="FE746" s="108"/>
    </row>
    <row r="747" spans="50:161">
      <c r="AX747" s="99"/>
      <c r="AY747" s="99"/>
      <c r="AZ747" s="99"/>
      <c r="BH747" s="100"/>
      <c r="BI747" s="100"/>
      <c r="BJ747" s="100"/>
      <c r="BK747" s="101"/>
      <c r="BL747" s="80"/>
      <c r="BM747" s="102"/>
      <c r="BN747" s="102"/>
      <c r="BO747" s="103"/>
      <c r="BP747" s="104"/>
      <c r="BQ747" s="28"/>
      <c r="BR747" s="102"/>
      <c r="BS747" s="102"/>
      <c r="BT747" s="102"/>
      <c r="BU747" s="102"/>
      <c r="BV747" s="105"/>
      <c r="BW747" s="101"/>
      <c r="BX747" s="105"/>
      <c r="BY747" s="11"/>
      <c r="BZ747" s="106"/>
      <c r="CA747" s="101"/>
      <c r="CB747" s="107"/>
      <c r="CC747" s="11"/>
      <c r="CD747" s="101"/>
      <c r="CE747" s="108"/>
      <c r="DX747" s="99"/>
      <c r="DY747" s="99"/>
      <c r="DZ747" s="99"/>
      <c r="EH747" s="100"/>
      <c r="EI747" s="100"/>
      <c r="EJ747" s="100"/>
      <c r="EK747" s="101"/>
      <c r="EL747" s="80"/>
      <c r="EM747" s="102"/>
      <c r="EN747" s="102"/>
      <c r="EO747" s="103"/>
      <c r="EP747" s="104"/>
      <c r="EQ747" s="28"/>
      <c r="ER747" s="102"/>
      <c r="ES747" s="102"/>
      <c r="ET747" s="102"/>
      <c r="EU747" s="102"/>
      <c r="EV747" s="105"/>
      <c r="EW747" s="101"/>
      <c r="EX747" s="105"/>
      <c r="EY747" s="11"/>
      <c r="EZ747" s="106"/>
      <c r="FA747" s="101"/>
      <c r="FB747" s="107"/>
      <c r="FC747" s="11"/>
      <c r="FD747" s="101"/>
      <c r="FE747" s="108"/>
    </row>
    <row r="748" spans="50:161">
      <c r="AX748" s="99"/>
      <c r="AY748" s="99"/>
      <c r="AZ748" s="99"/>
      <c r="BH748" s="100"/>
      <c r="BI748" s="100"/>
      <c r="BJ748" s="100"/>
      <c r="BK748" s="101"/>
      <c r="BL748" s="80"/>
      <c r="BM748" s="102"/>
      <c r="BN748" s="102"/>
      <c r="BO748" s="103"/>
      <c r="BP748" s="104"/>
      <c r="BQ748" s="28"/>
      <c r="BR748" s="102"/>
      <c r="BS748" s="102"/>
      <c r="BT748" s="102"/>
      <c r="BU748" s="102"/>
      <c r="BV748" s="105"/>
      <c r="BW748" s="101"/>
      <c r="BX748" s="105"/>
      <c r="BY748" s="11"/>
      <c r="BZ748" s="106"/>
      <c r="CA748" s="101"/>
      <c r="CB748" s="107"/>
      <c r="CC748" s="11"/>
      <c r="CD748" s="101"/>
      <c r="CE748" s="108"/>
      <c r="DX748" s="99"/>
      <c r="DY748" s="99"/>
      <c r="DZ748" s="99"/>
      <c r="EH748" s="100"/>
      <c r="EI748" s="100"/>
      <c r="EJ748" s="100"/>
      <c r="EK748" s="101"/>
      <c r="EL748" s="80"/>
      <c r="EM748" s="102"/>
      <c r="EN748" s="102"/>
      <c r="EO748" s="103"/>
      <c r="EP748" s="104"/>
      <c r="EQ748" s="28"/>
      <c r="ER748" s="102"/>
      <c r="ES748" s="102"/>
      <c r="ET748" s="102"/>
      <c r="EU748" s="102"/>
      <c r="EV748" s="105"/>
      <c r="EW748" s="101"/>
      <c r="EX748" s="105"/>
      <c r="EY748" s="11"/>
      <c r="EZ748" s="106"/>
      <c r="FA748" s="101"/>
      <c r="FB748" s="107"/>
      <c r="FC748" s="11"/>
      <c r="FD748" s="101"/>
      <c r="FE748" s="108"/>
    </row>
    <row r="749" spans="50:161">
      <c r="AX749" s="99"/>
      <c r="AY749" s="99"/>
      <c r="AZ749" s="99"/>
      <c r="BH749" s="100"/>
      <c r="BI749" s="100"/>
      <c r="BJ749" s="100"/>
      <c r="BK749" s="101"/>
      <c r="BL749" s="80"/>
      <c r="BM749" s="102"/>
      <c r="BN749" s="102"/>
      <c r="BO749" s="103"/>
      <c r="BP749" s="104"/>
      <c r="BQ749" s="28"/>
      <c r="BR749" s="102"/>
      <c r="BS749" s="102"/>
      <c r="BT749" s="102"/>
      <c r="BU749" s="102"/>
      <c r="BV749" s="105"/>
      <c r="BW749" s="101"/>
      <c r="BX749" s="105"/>
      <c r="BY749" s="11"/>
      <c r="BZ749" s="106"/>
      <c r="CA749" s="101"/>
      <c r="CB749" s="107"/>
      <c r="CC749" s="11"/>
      <c r="CD749" s="101"/>
      <c r="CE749" s="108"/>
      <c r="DX749" s="99"/>
      <c r="DY749" s="99"/>
      <c r="DZ749" s="99"/>
      <c r="EH749" s="100"/>
      <c r="EI749" s="100"/>
      <c r="EJ749" s="100"/>
      <c r="EK749" s="101"/>
      <c r="EL749" s="80"/>
      <c r="EM749" s="102"/>
      <c r="EN749" s="102"/>
      <c r="EO749" s="103"/>
      <c r="EP749" s="104"/>
      <c r="EQ749" s="28"/>
      <c r="ER749" s="102"/>
      <c r="ES749" s="102"/>
      <c r="ET749" s="102"/>
      <c r="EU749" s="102"/>
      <c r="EV749" s="105"/>
      <c r="EW749" s="101"/>
      <c r="EX749" s="105"/>
      <c r="EY749" s="11"/>
      <c r="EZ749" s="106"/>
      <c r="FA749" s="101"/>
      <c r="FB749" s="107"/>
      <c r="FC749" s="11"/>
      <c r="FD749" s="101"/>
      <c r="FE749" s="108"/>
    </row>
    <row r="750" spans="50:161">
      <c r="AX750" s="99"/>
      <c r="AY750" s="99"/>
      <c r="AZ750" s="99"/>
      <c r="BH750" s="100"/>
      <c r="BI750" s="100"/>
      <c r="BJ750" s="100"/>
      <c r="BK750" s="101"/>
      <c r="BL750" s="80"/>
      <c r="BM750" s="102"/>
      <c r="BN750" s="102"/>
      <c r="BO750" s="103"/>
      <c r="BP750" s="104"/>
      <c r="BQ750" s="28"/>
      <c r="BR750" s="102"/>
      <c r="BS750" s="102"/>
      <c r="BT750" s="102"/>
      <c r="BU750" s="102"/>
      <c r="BV750" s="105"/>
      <c r="BW750" s="101"/>
      <c r="BX750" s="105"/>
      <c r="BY750" s="11"/>
      <c r="BZ750" s="106"/>
      <c r="CA750" s="101"/>
      <c r="CB750" s="107"/>
      <c r="CC750" s="11"/>
      <c r="CD750" s="101"/>
      <c r="CE750" s="108"/>
      <c r="DX750" s="99"/>
      <c r="DY750" s="99"/>
      <c r="DZ750" s="99"/>
      <c r="EH750" s="100"/>
      <c r="EI750" s="100"/>
      <c r="EJ750" s="100"/>
      <c r="EK750" s="101"/>
      <c r="EL750" s="80"/>
      <c r="EM750" s="102"/>
      <c r="EN750" s="102"/>
      <c r="EO750" s="103"/>
      <c r="EP750" s="104"/>
      <c r="EQ750" s="28"/>
      <c r="ER750" s="102"/>
      <c r="ES750" s="102"/>
      <c r="ET750" s="102"/>
      <c r="EU750" s="102"/>
      <c r="EV750" s="105"/>
      <c r="EW750" s="101"/>
      <c r="EX750" s="105"/>
      <c r="EY750" s="11"/>
      <c r="EZ750" s="106"/>
      <c r="FA750" s="101"/>
      <c r="FB750" s="107"/>
      <c r="FC750" s="11"/>
      <c r="FD750" s="101"/>
      <c r="FE750" s="108"/>
    </row>
    <row r="751" spans="50:161">
      <c r="AX751" s="99"/>
      <c r="AY751" s="99"/>
      <c r="AZ751" s="99"/>
      <c r="BH751" s="100"/>
      <c r="BI751" s="100"/>
      <c r="BJ751" s="100"/>
      <c r="BK751" s="101"/>
      <c r="BL751" s="80"/>
      <c r="BM751" s="102"/>
      <c r="BN751" s="102"/>
      <c r="BO751" s="103"/>
      <c r="BP751" s="104"/>
      <c r="BQ751" s="28"/>
      <c r="BR751" s="102"/>
      <c r="BS751" s="102"/>
      <c r="BT751" s="102"/>
      <c r="BU751" s="102"/>
      <c r="BV751" s="105"/>
      <c r="BW751" s="101"/>
      <c r="BX751" s="105"/>
      <c r="BY751" s="11"/>
      <c r="BZ751" s="106"/>
      <c r="CA751" s="101"/>
      <c r="CB751" s="107"/>
      <c r="CC751" s="11"/>
      <c r="CD751" s="101"/>
      <c r="CE751" s="108"/>
      <c r="DX751" s="99"/>
      <c r="DY751" s="99"/>
      <c r="DZ751" s="99"/>
      <c r="EH751" s="100"/>
      <c r="EI751" s="100"/>
      <c r="EJ751" s="100"/>
      <c r="EK751" s="101"/>
      <c r="EL751" s="80"/>
      <c r="EM751" s="102"/>
      <c r="EN751" s="102"/>
      <c r="EO751" s="103"/>
      <c r="EP751" s="104"/>
      <c r="EQ751" s="28"/>
      <c r="ER751" s="102"/>
      <c r="ES751" s="102"/>
      <c r="ET751" s="102"/>
      <c r="EU751" s="102"/>
      <c r="EV751" s="105"/>
      <c r="EW751" s="101"/>
      <c r="EX751" s="105"/>
      <c r="EY751" s="11"/>
      <c r="EZ751" s="106"/>
      <c r="FA751" s="101"/>
      <c r="FB751" s="107"/>
      <c r="FC751" s="11"/>
      <c r="FD751" s="101"/>
      <c r="FE751" s="108"/>
    </row>
    <row r="752" spans="50:161">
      <c r="AX752" s="99"/>
      <c r="AY752" s="99"/>
      <c r="AZ752" s="99"/>
      <c r="BH752" s="100"/>
      <c r="BI752" s="100"/>
      <c r="BJ752" s="100"/>
      <c r="BK752" s="101"/>
      <c r="BL752" s="80"/>
      <c r="BM752" s="102"/>
      <c r="BN752" s="102"/>
      <c r="BO752" s="103"/>
      <c r="BP752" s="104"/>
      <c r="BQ752" s="28"/>
      <c r="BR752" s="102"/>
      <c r="BS752" s="102"/>
      <c r="BT752" s="102"/>
      <c r="BU752" s="102"/>
      <c r="BV752" s="105"/>
      <c r="BW752" s="101"/>
      <c r="BX752" s="105"/>
      <c r="BY752" s="11"/>
      <c r="BZ752" s="106"/>
      <c r="CA752" s="101"/>
      <c r="CB752" s="107"/>
      <c r="CC752" s="11"/>
      <c r="CD752" s="101"/>
      <c r="CE752" s="108"/>
      <c r="DX752" s="99"/>
      <c r="DY752" s="99"/>
      <c r="DZ752" s="99"/>
      <c r="EH752" s="100"/>
      <c r="EI752" s="100"/>
      <c r="EJ752" s="100"/>
      <c r="EK752" s="101"/>
      <c r="EL752" s="80"/>
      <c r="EM752" s="102"/>
      <c r="EN752" s="102"/>
      <c r="EO752" s="103"/>
      <c r="EP752" s="104"/>
      <c r="EQ752" s="28"/>
      <c r="ER752" s="102"/>
      <c r="ES752" s="102"/>
      <c r="ET752" s="102"/>
      <c r="EU752" s="102"/>
      <c r="EV752" s="105"/>
      <c r="EW752" s="101"/>
      <c r="EX752" s="105"/>
      <c r="EY752" s="11"/>
      <c r="EZ752" s="106"/>
      <c r="FA752" s="101"/>
      <c r="FB752" s="107"/>
      <c r="FC752" s="11"/>
      <c r="FD752" s="101"/>
      <c r="FE752" s="108"/>
    </row>
    <row r="753" spans="50:161">
      <c r="AX753" s="99"/>
      <c r="AY753" s="99"/>
      <c r="AZ753" s="99"/>
      <c r="BH753" s="100"/>
      <c r="BI753" s="100"/>
      <c r="BJ753" s="100"/>
      <c r="BK753" s="101"/>
      <c r="BL753" s="80"/>
      <c r="BM753" s="102"/>
      <c r="BN753" s="102"/>
      <c r="BO753" s="103"/>
      <c r="BP753" s="104"/>
      <c r="BQ753" s="28"/>
      <c r="BR753" s="102"/>
      <c r="BS753" s="102"/>
      <c r="BT753" s="102"/>
      <c r="BU753" s="102"/>
      <c r="BV753" s="105"/>
      <c r="BW753" s="101"/>
      <c r="BX753" s="105"/>
      <c r="BY753" s="11"/>
      <c r="BZ753" s="106"/>
      <c r="CA753" s="101"/>
      <c r="CB753" s="107"/>
      <c r="CC753" s="11"/>
      <c r="CD753" s="101"/>
      <c r="CE753" s="108"/>
      <c r="DX753" s="99"/>
      <c r="DY753" s="99"/>
      <c r="DZ753" s="99"/>
      <c r="EH753" s="100"/>
      <c r="EI753" s="100"/>
      <c r="EJ753" s="100"/>
      <c r="EK753" s="101"/>
      <c r="EL753" s="80"/>
      <c r="EM753" s="102"/>
      <c r="EN753" s="102"/>
      <c r="EO753" s="103"/>
      <c r="EP753" s="104"/>
      <c r="EQ753" s="28"/>
      <c r="ER753" s="102"/>
      <c r="ES753" s="102"/>
      <c r="ET753" s="102"/>
      <c r="EU753" s="102"/>
      <c r="EV753" s="105"/>
      <c r="EW753" s="101"/>
      <c r="EX753" s="105"/>
      <c r="EY753" s="11"/>
      <c r="EZ753" s="106"/>
      <c r="FA753" s="101"/>
      <c r="FB753" s="107"/>
      <c r="FC753" s="11"/>
      <c r="FD753" s="101"/>
      <c r="FE753" s="108"/>
    </row>
    <row r="754" spans="50:161">
      <c r="AX754" s="99"/>
      <c r="AY754" s="99"/>
      <c r="AZ754" s="99"/>
      <c r="BH754" s="100"/>
      <c r="BI754" s="100"/>
      <c r="BJ754" s="100"/>
      <c r="BK754" s="101"/>
      <c r="BL754" s="80"/>
      <c r="BM754" s="102"/>
      <c r="BN754" s="102"/>
      <c r="BO754" s="103"/>
      <c r="BP754" s="104"/>
      <c r="BQ754" s="28"/>
      <c r="BR754" s="102"/>
      <c r="BS754" s="102"/>
      <c r="BT754" s="102"/>
      <c r="BU754" s="102"/>
      <c r="BV754" s="105"/>
      <c r="BW754" s="101"/>
      <c r="BX754" s="105"/>
      <c r="BY754" s="11"/>
      <c r="BZ754" s="106"/>
      <c r="CA754" s="101"/>
      <c r="CB754" s="107"/>
      <c r="CC754" s="11"/>
      <c r="CD754" s="101"/>
      <c r="CE754" s="108"/>
      <c r="DX754" s="99"/>
      <c r="DY754" s="99"/>
      <c r="DZ754" s="99"/>
      <c r="EH754" s="100"/>
      <c r="EI754" s="100"/>
      <c r="EJ754" s="100"/>
      <c r="EK754" s="101"/>
      <c r="EL754" s="80"/>
      <c r="EM754" s="102"/>
      <c r="EN754" s="102"/>
      <c r="EO754" s="103"/>
      <c r="EP754" s="104"/>
      <c r="EQ754" s="28"/>
      <c r="ER754" s="102"/>
      <c r="ES754" s="102"/>
      <c r="ET754" s="102"/>
      <c r="EU754" s="102"/>
      <c r="EV754" s="105"/>
      <c r="EW754" s="101"/>
      <c r="EX754" s="105"/>
      <c r="EY754" s="11"/>
      <c r="EZ754" s="106"/>
      <c r="FA754" s="101"/>
      <c r="FB754" s="107"/>
      <c r="FC754" s="11"/>
      <c r="FD754" s="101"/>
      <c r="FE754" s="108"/>
    </row>
    <row r="755" spans="50:161">
      <c r="AX755" s="99"/>
      <c r="AY755" s="99"/>
      <c r="AZ755" s="99"/>
      <c r="BH755" s="100"/>
      <c r="BI755" s="100"/>
      <c r="BJ755" s="100"/>
      <c r="BK755" s="101"/>
      <c r="BL755" s="80"/>
      <c r="BM755" s="102"/>
      <c r="BN755" s="102"/>
      <c r="BO755" s="103"/>
      <c r="BP755" s="104"/>
      <c r="BQ755" s="28"/>
      <c r="BR755" s="102"/>
      <c r="BS755" s="102"/>
      <c r="BT755" s="102"/>
      <c r="BU755" s="102"/>
      <c r="BV755" s="105"/>
      <c r="BW755" s="101"/>
      <c r="BX755" s="105"/>
      <c r="BY755" s="11"/>
      <c r="BZ755" s="106"/>
      <c r="CA755" s="101"/>
      <c r="CB755" s="107"/>
      <c r="CC755" s="11"/>
      <c r="CD755" s="101"/>
      <c r="CE755" s="108"/>
      <c r="DX755" s="99"/>
      <c r="DY755" s="99"/>
      <c r="DZ755" s="99"/>
      <c r="EH755" s="100"/>
      <c r="EI755" s="100"/>
      <c r="EJ755" s="100"/>
      <c r="EK755" s="101"/>
      <c r="EL755" s="80"/>
      <c r="EM755" s="102"/>
      <c r="EN755" s="102"/>
      <c r="EO755" s="103"/>
      <c r="EP755" s="104"/>
      <c r="EQ755" s="28"/>
      <c r="ER755" s="102"/>
      <c r="ES755" s="102"/>
      <c r="ET755" s="102"/>
      <c r="EU755" s="102"/>
      <c r="EV755" s="105"/>
      <c r="EW755" s="101"/>
      <c r="EX755" s="105"/>
      <c r="EY755" s="11"/>
      <c r="EZ755" s="106"/>
      <c r="FA755" s="101"/>
      <c r="FB755" s="107"/>
      <c r="FC755" s="11"/>
      <c r="FD755" s="101"/>
      <c r="FE755" s="108"/>
    </row>
    <row r="756" spans="50:161">
      <c r="AX756" s="99"/>
      <c r="AY756" s="99"/>
      <c r="AZ756" s="99"/>
      <c r="BH756" s="100"/>
      <c r="BI756" s="100"/>
      <c r="BJ756" s="100"/>
      <c r="BK756" s="101"/>
      <c r="BL756" s="80"/>
      <c r="BM756" s="102"/>
      <c r="BN756" s="102"/>
      <c r="BO756" s="103"/>
      <c r="BP756" s="104"/>
      <c r="BQ756" s="28"/>
      <c r="BR756" s="102"/>
      <c r="BS756" s="102"/>
      <c r="BT756" s="102"/>
      <c r="BU756" s="102"/>
      <c r="BV756" s="105"/>
      <c r="BW756" s="101"/>
      <c r="BX756" s="105"/>
      <c r="BY756" s="11"/>
      <c r="BZ756" s="106"/>
      <c r="CA756" s="101"/>
      <c r="CB756" s="107"/>
      <c r="CC756" s="11"/>
      <c r="CD756" s="101"/>
      <c r="CE756" s="108"/>
      <c r="DX756" s="99"/>
      <c r="DY756" s="99"/>
      <c r="DZ756" s="99"/>
      <c r="EH756" s="100"/>
      <c r="EI756" s="100"/>
      <c r="EJ756" s="100"/>
      <c r="EK756" s="101"/>
      <c r="EL756" s="80"/>
      <c r="EM756" s="102"/>
      <c r="EN756" s="102"/>
      <c r="EO756" s="103"/>
      <c r="EP756" s="104"/>
      <c r="EQ756" s="28"/>
      <c r="ER756" s="102"/>
      <c r="ES756" s="102"/>
      <c r="ET756" s="102"/>
      <c r="EU756" s="102"/>
      <c r="EV756" s="105"/>
      <c r="EW756" s="101"/>
      <c r="EX756" s="105"/>
      <c r="EY756" s="11"/>
      <c r="EZ756" s="106"/>
      <c r="FA756" s="101"/>
      <c r="FB756" s="107"/>
      <c r="FC756" s="11"/>
      <c r="FD756" s="101"/>
      <c r="FE756" s="108"/>
    </row>
    <row r="757" spans="50:161">
      <c r="AX757" s="99"/>
      <c r="AY757" s="99"/>
      <c r="AZ757" s="99"/>
      <c r="BH757" s="100"/>
      <c r="BI757" s="100"/>
      <c r="BJ757" s="100"/>
      <c r="BK757" s="101"/>
      <c r="BL757" s="80"/>
      <c r="BM757" s="102"/>
      <c r="BN757" s="102"/>
      <c r="BO757" s="103"/>
      <c r="BP757" s="104"/>
      <c r="BQ757" s="28"/>
      <c r="BR757" s="102"/>
      <c r="BS757" s="102"/>
      <c r="BT757" s="102"/>
      <c r="BU757" s="102"/>
      <c r="BV757" s="105"/>
      <c r="BW757" s="101"/>
      <c r="BX757" s="105"/>
      <c r="BY757" s="11"/>
      <c r="BZ757" s="106"/>
      <c r="CA757" s="101"/>
      <c r="CB757" s="107"/>
      <c r="CC757" s="11"/>
      <c r="CD757" s="101"/>
      <c r="CE757" s="108"/>
      <c r="DX757" s="99"/>
      <c r="DY757" s="99"/>
      <c r="DZ757" s="99"/>
      <c r="EH757" s="100"/>
      <c r="EI757" s="100"/>
      <c r="EJ757" s="100"/>
      <c r="EK757" s="101"/>
      <c r="EL757" s="80"/>
      <c r="EM757" s="102"/>
      <c r="EN757" s="102"/>
      <c r="EO757" s="103"/>
      <c r="EP757" s="104"/>
      <c r="EQ757" s="28"/>
      <c r="ER757" s="102"/>
      <c r="ES757" s="102"/>
      <c r="ET757" s="102"/>
      <c r="EU757" s="102"/>
      <c r="EV757" s="105"/>
      <c r="EW757" s="101"/>
      <c r="EX757" s="105"/>
      <c r="EY757" s="11"/>
      <c r="EZ757" s="106"/>
      <c r="FA757" s="101"/>
      <c r="FB757" s="107"/>
      <c r="FC757" s="11"/>
      <c r="FD757" s="101"/>
      <c r="FE757" s="108"/>
    </row>
    <row r="758" spans="50:161">
      <c r="AX758" s="99"/>
      <c r="AY758" s="99"/>
      <c r="AZ758" s="99"/>
      <c r="BH758" s="100"/>
      <c r="BI758" s="100"/>
      <c r="BJ758" s="100"/>
      <c r="BK758" s="101"/>
      <c r="BL758" s="80"/>
      <c r="BM758" s="102"/>
      <c r="BN758" s="102"/>
      <c r="BO758" s="103"/>
      <c r="BP758" s="104"/>
      <c r="BQ758" s="28"/>
      <c r="BR758" s="102"/>
      <c r="BS758" s="102"/>
      <c r="BT758" s="102"/>
      <c r="BU758" s="102"/>
      <c r="BV758" s="105"/>
      <c r="BW758" s="101"/>
      <c r="BX758" s="105"/>
      <c r="BY758" s="11"/>
      <c r="BZ758" s="106"/>
      <c r="CA758" s="101"/>
      <c r="CB758" s="107"/>
      <c r="CC758" s="11"/>
      <c r="CD758" s="101"/>
      <c r="CE758" s="108"/>
      <c r="DX758" s="99"/>
      <c r="DY758" s="99"/>
      <c r="DZ758" s="99"/>
      <c r="EH758" s="100"/>
      <c r="EI758" s="100"/>
      <c r="EJ758" s="100"/>
      <c r="EK758" s="101"/>
      <c r="EL758" s="80"/>
      <c r="EM758" s="102"/>
      <c r="EN758" s="102"/>
      <c r="EO758" s="103"/>
      <c r="EP758" s="104"/>
      <c r="EQ758" s="28"/>
      <c r="ER758" s="102"/>
      <c r="ES758" s="102"/>
      <c r="ET758" s="102"/>
      <c r="EU758" s="102"/>
      <c r="EV758" s="105"/>
      <c r="EW758" s="101"/>
      <c r="EX758" s="105"/>
      <c r="EY758" s="11"/>
      <c r="EZ758" s="106"/>
      <c r="FA758" s="101"/>
      <c r="FB758" s="107"/>
      <c r="FC758" s="11"/>
      <c r="FD758" s="101"/>
      <c r="FE758" s="108"/>
    </row>
    <row r="759" spans="50:161">
      <c r="AX759" s="99"/>
      <c r="AY759" s="99"/>
      <c r="AZ759" s="99"/>
      <c r="BH759" s="100"/>
      <c r="BI759" s="100"/>
      <c r="BJ759" s="100"/>
      <c r="BK759" s="101"/>
      <c r="BL759" s="80"/>
      <c r="BM759" s="102"/>
      <c r="BN759" s="102"/>
      <c r="BO759" s="103"/>
      <c r="BP759" s="104"/>
      <c r="BQ759" s="28"/>
      <c r="BR759" s="102"/>
      <c r="BS759" s="102"/>
      <c r="BT759" s="102"/>
      <c r="BU759" s="102"/>
      <c r="BV759" s="105"/>
      <c r="BW759" s="101"/>
      <c r="BX759" s="105"/>
      <c r="BY759" s="11"/>
      <c r="BZ759" s="106"/>
      <c r="CA759" s="101"/>
      <c r="CB759" s="107"/>
      <c r="CC759" s="11"/>
      <c r="CD759" s="101"/>
      <c r="CE759" s="108"/>
      <c r="DX759" s="99"/>
      <c r="DY759" s="99"/>
      <c r="DZ759" s="99"/>
      <c r="EH759" s="100"/>
      <c r="EI759" s="100"/>
      <c r="EJ759" s="100"/>
      <c r="EK759" s="101"/>
      <c r="EL759" s="80"/>
      <c r="EM759" s="102"/>
      <c r="EN759" s="102"/>
      <c r="EO759" s="103"/>
      <c r="EP759" s="104"/>
      <c r="EQ759" s="28"/>
      <c r="ER759" s="102"/>
      <c r="ES759" s="102"/>
      <c r="ET759" s="102"/>
      <c r="EU759" s="102"/>
      <c r="EV759" s="105"/>
      <c r="EW759" s="101"/>
      <c r="EX759" s="105"/>
      <c r="EY759" s="11"/>
      <c r="EZ759" s="106"/>
      <c r="FA759" s="101"/>
      <c r="FB759" s="107"/>
      <c r="FC759" s="11"/>
      <c r="FD759" s="101"/>
      <c r="FE759" s="108"/>
    </row>
    <row r="760" spans="50:161">
      <c r="AX760" s="99"/>
      <c r="AY760" s="99"/>
      <c r="AZ760" s="99"/>
      <c r="BH760" s="100"/>
      <c r="BI760" s="100"/>
      <c r="BJ760" s="100"/>
      <c r="BK760" s="101"/>
      <c r="BL760" s="80"/>
      <c r="BM760" s="102"/>
      <c r="BN760" s="102"/>
      <c r="BO760" s="103"/>
      <c r="BP760" s="104"/>
      <c r="BQ760" s="28"/>
      <c r="BR760" s="102"/>
      <c r="BS760" s="102"/>
      <c r="BT760" s="102"/>
      <c r="BU760" s="102"/>
      <c r="BV760" s="105"/>
      <c r="BW760" s="101"/>
      <c r="BX760" s="105"/>
      <c r="BY760" s="11"/>
      <c r="BZ760" s="106"/>
      <c r="CA760" s="101"/>
      <c r="CB760" s="107"/>
      <c r="CC760" s="11"/>
      <c r="CD760" s="101"/>
      <c r="CE760" s="108"/>
      <c r="DX760" s="99"/>
      <c r="DY760" s="99"/>
      <c r="DZ760" s="99"/>
      <c r="EH760" s="100"/>
      <c r="EI760" s="100"/>
      <c r="EJ760" s="100"/>
      <c r="EK760" s="101"/>
      <c r="EL760" s="80"/>
      <c r="EM760" s="102"/>
      <c r="EN760" s="102"/>
      <c r="EO760" s="103"/>
      <c r="EP760" s="104"/>
      <c r="EQ760" s="28"/>
      <c r="ER760" s="102"/>
      <c r="ES760" s="102"/>
      <c r="ET760" s="102"/>
      <c r="EU760" s="102"/>
      <c r="EV760" s="105"/>
      <c r="EW760" s="101"/>
      <c r="EX760" s="105"/>
      <c r="EY760" s="11"/>
      <c r="EZ760" s="106"/>
      <c r="FA760" s="101"/>
      <c r="FB760" s="107"/>
      <c r="FC760" s="11"/>
      <c r="FD760" s="101"/>
      <c r="FE760" s="108"/>
    </row>
    <row r="761" spans="50:161">
      <c r="AX761" s="99"/>
      <c r="AY761" s="99"/>
      <c r="AZ761" s="99"/>
      <c r="BH761" s="100"/>
      <c r="BI761" s="100"/>
      <c r="BJ761" s="100"/>
      <c r="BK761" s="101"/>
      <c r="BL761" s="80"/>
      <c r="BM761" s="102"/>
      <c r="BN761" s="102"/>
      <c r="BO761" s="103"/>
      <c r="BP761" s="104"/>
      <c r="BQ761" s="28"/>
      <c r="BR761" s="102"/>
      <c r="BS761" s="102"/>
      <c r="BT761" s="102"/>
      <c r="BU761" s="102"/>
      <c r="BV761" s="105"/>
      <c r="BW761" s="101"/>
      <c r="BX761" s="105"/>
      <c r="BY761" s="11"/>
      <c r="BZ761" s="106"/>
      <c r="CA761" s="101"/>
      <c r="CB761" s="107"/>
      <c r="CC761" s="11"/>
      <c r="CD761" s="101"/>
      <c r="CE761" s="108"/>
      <c r="DX761" s="99"/>
      <c r="DY761" s="99"/>
      <c r="DZ761" s="99"/>
      <c r="EH761" s="100"/>
      <c r="EI761" s="100"/>
      <c r="EJ761" s="100"/>
      <c r="EK761" s="101"/>
      <c r="EL761" s="80"/>
      <c r="EM761" s="102"/>
      <c r="EN761" s="102"/>
      <c r="EO761" s="103"/>
      <c r="EP761" s="104"/>
      <c r="EQ761" s="28"/>
      <c r="ER761" s="102"/>
      <c r="ES761" s="102"/>
      <c r="ET761" s="102"/>
      <c r="EU761" s="102"/>
      <c r="EV761" s="105"/>
      <c r="EW761" s="101"/>
      <c r="EX761" s="105"/>
      <c r="EY761" s="11"/>
      <c r="EZ761" s="106"/>
      <c r="FA761" s="101"/>
      <c r="FB761" s="107"/>
      <c r="FC761" s="11"/>
      <c r="FD761" s="101"/>
      <c r="FE761" s="108"/>
    </row>
    <row r="762" spans="50:161">
      <c r="AX762" s="99"/>
      <c r="AY762" s="99"/>
      <c r="AZ762" s="99"/>
      <c r="BH762" s="100"/>
      <c r="BI762" s="100"/>
      <c r="BJ762" s="100"/>
      <c r="BK762" s="101"/>
      <c r="BL762" s="80"/>
      <c r="BM762" s="102"/>
      <c r="BN762" s="102"/>
      <c r="BO762" s="103"/>
      <c r="BP762" s="104"/>
      <c r="BQ762" s="28"/>
      <c r="BR762" s="102"/>
      <c r="BS762" s="102"/>
      <c r="BT762" s="102"/>
      <c r="BU762" s="102"/>
      <c r="BV762" s="105"/>
      <c r="BW762" s="101"/>
      <c r="BX762" s="105"/>
      <c r="BY762" s="11"/>
      <c r="BZ762" s="106"/>
      <c r="CA762" s="101"/>
      <c r="CB762" s="107"/>
      <c r="CC762" s="11"/>
      <c r="CD762" s="101"/>
      <c r="CE762" s="108"/>
      <c r="DX762" s="99"/>
      <c r="DY762" s="99"/>
      <c r="DZ762" s="99"/>
      <c r="EH762" s="100"/>
      <c r="EI762" s="100"/>
      <c r="EJ762" s="100"/>
      <c r="EK762" s="101"/>
      <c r="EL762" s="80"/>
      <c r="EM762" s="102"/>
      <c r="EN762" s="102"/>
      <c r="EO762" s="103"/>
      <c r="EP762" s="104"/>
      <c r="EQ762" s="28"/>
      <c r="ER762" s="102"/>
      <c r="ES762" s="102"/>
      <c r="ET762" s="102"/>
      <c r="EU762" s="102"/>
      <c r="EV762" s="105"/>
      <c r="EW762" s="101"/>
      <c r="EX762" s="105"/>
      <c r="EY762" s="11"/>
      <c r="EZ762" s="106"/>
      <c r="FA762" s="101"/>
      <c r="FB762" s="107"/>
      <c r="FC762" s="11"/>
      <c r="FD762" s="101"/>
      <c r="FE762" s="108"/>
    </row>
    <row r="763" spans="50:161">
      <c r="AX763" s="99"/>
      <c r="AY763" s="99"/>
      <c r="AZ763" s="99"/>
      <c r="BH763" s="100"/>
      <c r="BI763" s="100"/>
      <c r="BJ763" s="100"/>
      <c r="BK763" s="101"/>
      <c r="BL763" s="80"/>
      <c r="BM763" s="102"/>
      <c r="BN763" s="102"/>
      <c r="BO763" s="103"/>
      <c r="BP763" s="104"/>
      <c r="BQ763" s="28"/>
      <c r="BR763" s="102"/>
      <c r="BS763" s="102"/>
      <c r="BT763" s="102"/>
      <c r="BU763" s="102"/>
      <c r="BV763" s="105"/>
      <c r="BW763" s="101"/>
      <c r="BX763" s="105"/>
      <c r="BY763" s="11"/>
      <c r="BZ763" s="106"/>
      <c r="CA763" s="101"/>
      <c r="CB763" s="107"/>
      <c r="CC763" s="11"/>
      <c r="CD763" s="101"/>
      <c r="CE763" s="108"/>
      <c r="DX763" s="99"/>
      <c r="DY763" s="99"/>
      <c r="DZ763" s="99"/>
      <c r="EH763" s="100"/>
      <c r="EI763" s="100"/>
      <c r="EJ763" s="100"/>
      <c r="EK763" s="101"/>
      <c r="EL763" s="80"/>
      <c r="EM763" s="102"/>
      <c r="EN763" s="102"/>
      <c r="EO763" s="103"/>
      <c r="EP763" s="104"/>
      <c r="EQ763" s="28"/>
      <c r="ER763" s="102"/>
      <c r="ES763" s="102"/>
      <c r="ET763" s="102"/>
      <c r="EU763" s="102"/>
      <c r="EV763" s="105"/>
      <c r="EW763" s="101"/>
      <c r="EX763" s="105"/>
      <c r="EY763" s="11"/>
      <c r="EZ763" s="106"/>
      <c r="FA763" s="101"/>
      <c r="FB763" s="107"/>
      <c r="FC763" s="11"/>
      <c r="FD763" s="101"/>
      <c r="FE763" s="108"/>
    </row>
    <row r="764" spans="50:161">
      <c r="AX764" s="99"/>
      <c r="AY764" s="99"/>
      <c r="AZ764" s="99"/>
      <c r="BH764" s="100"/>
      <c r="BI764" s="100"/>
      <c r="BJ764" s="100"/>
      <c r="BK764" s="101"/>
      <c r="BL764" s="80"/>
      <c r="BM764" s="102"/>
      <c r="BN764" s="102"/>
      <c r="BO764" s="103"/>
      <c r="BP764" s="104"/>
      <c r="BQ764" s="28"/>
      <c r="BR764" s="102"/>
      <c r="BS764" s="102"/>
      <c r="BT764" s="102"/>
      <c r="BU764" s="102"/>
      <c r="BV764" s="105"/>
      <c r="BW764" s="101"/>
      <c r="BX764" s="105"/>
      <c r="BY764" s="11"/>
      <c r="BZ764" s="106"/>
      <c r="CA764" s="101"/>
      <c r="CB764" s="107"/>
      <c r="CC764" s="11"/>
      <c r="CD764" s="101"/>
      <c r="CE764" s="108"/>
      <c r="DX764" s="99"/>
      <c r="DY764" s="99"/>
      <c r="DZ764" s="99"/>
      <c r="EH764" s="100"/>
      <c r="EI764" s="100"/>
      <c r="EJ764" s="100"/>
      <c r="EK764" s="101"/>
      <c r="EL764" s="80"/>
      <c r="EM764" s="102"/>
      <c r="EN764" s="102"/>
      <c r="EO764" s="103"/>
      <c r="EP764" s="104"/>
      <c r="EQ764" s="28"/>
      <c r="ER764" s="102"/>
      <c r="ES764" s="102"/>
      <c r="ET764" s="102"/>
      <c r="EU764" s="102"/>
      <c r="EV764" s="105"/>
      <c r="EW764" s="101"/>
      <c r="EX764" s="105"/>
      <c r="EY764" s="11"/>
      <c r="EZ764" s="106"/>
      <c r="FA764" s="101"/>
      <c r="FB764" s="107"/>
      <c r="FC764" s="11"/>
      <c r="FD764" s="101"/>
      <c r="FE764" s="108"/>
    </row>
    <row r="765" spans="50:161">
      <c r="AX765" s="99"/>
      <c r="AY765" s="99"/>
      <c r="AZ765" s="99"/>
      <c r="BH765" s="100"/>
      <c r="BI765" s="100"/>
      <c r="BJ765" s="100"/>
      <c r="BK765" s="101"/>
      <c r="BL765" s="80"/>
      <c r="BM765" s="102"/>
      <c r="BN765" s="102"/>
      <c r="BO765" s="103"/>
      <c r="BP765" s="104"/>
      <c r="BQ765" s="28"/>
      <c r="BR765" s="102"/>
      <c r="BS765" s="102"/>
      <c r="BT765" s="102"/>
      <c r="BU765" s="102"/>
      <c r="BV765" s="105"/>
      <c r="BW765" s="101"/>
      <c r="BX765" s="105"/>
      <c r="BY765" s="11"/>
      <c r="BZ765" s="106"/>
      <c r="CA765" s="101"/>
      <c r="CB765" s="107"/>
      <c r="CC765" s="11"/>
      <c r="CD765" s="101"/>
      <c r="CE765" s="108"/>
      <c r="DX765" s="99"/>
      <c r="DY765" s="99"/>
      <c r="DZ765" s="99"/>
      <c r="EH765" s="100"/>
      <c r="EI765" s="100"/>
      <c r="EJ765" s="100"/>
      <c r="EK765" s="101"/>
      <c r="EL765" s="80"/>
      <c r="EM765" s="102"/>
      <c r="EN765" s="102"/>
      <c r="EO765" s="103"/>
      <c r="EP765" s="104"/>
      <c r="EQ765" s="28"/>
      <c r="ER765" s="102"/>
      <c r="ES765" s="102"/>
      <c r="ET765" s="102"/>
      <c r="EU765" s="102"/>
      <c r="EV765" s="105"/>
      <c r="EW765" s="101"/>
      <c r="EX765" s="105"/>
      <c r="EY765" s="11"/>
      <c r="EZ765" s="106"/>
      <c r="FA765" s="101"/>
      <c r="FB765" s="107"/>
      <c r="FC765" s="11"/>
      <c r="FD765" s="101"/>
      <c r="FE765" s="108"/>
    </row>
    <row r="766" spans="50:161">
      <c r="AX766" s="99"/>
      <c r="AY766" s="99"/>
      <c r="AZ766" s="99"/>
      <c r="BH766" s="100"/>
      <c r="BI766" s="100"/>
      <c r="BJ766" s="100"/>
      <c r="BK766" s="101"/>
      <c r="BL766" s="80"/>
      <c r="BM766" s="102"/>
      <c r="BN766" s="102"/>
      <c r="BO766" s="103"/>
      <c r="BP766" s="104"/>
      <c r="BQ766" s="28"/>
      <c r="BR766" s="102"/>
      <c r="BS766" s="102"/>
      <c r="BT766" s="102"/>
      <c r="BU766" s="102"/>
      <c r="BV766" s="105"/>
      <c r="BW766" s="101"/>
      <c r="BX766" s="105"/>
      <c r="BY766" s="11"/>
      <c r="BZ766" s="106"/>
      <c r="CA766" s="101"/>
      <c r="CB766" s="107"/>
      <c r="CC766" s="11"/>
      <c r="CD766" s="101"/>
      <c r="CE766" s="108"/>
      <c r="DX766" s="99"/>
      <c r="DY766" s="99"/>
      <c r="DZ766" s="99"/>
      <c r="EH766" s="100"/>
      <c r="EI766" s="100"/>
      <c r="EJ766" s="100"/>
      <c r="EK766" s="101"/>
      <c r="EL766" s="80"/>
      <c r="EM766" s="102"/>
      <c r="EN766" s="102"/>
      <c r="EO766" s="103"/>
      <c r="EP766" s="104"/>
      <c r="EQ766" s="28"/>
      <c r="ER766" s="102"/>
      <c r="ES766" s="102"/>
      <c r="ET766" s="102"/>
      <c r="EU766" s="102"/>
      <c r="EV766" s="105"/>
      <c r="EW766" s="101"/>
      <c r="EX766" s="105"/>
      <c r="EY766" s="11"/>
      <c r="EZ766" s="106"/>
      <c r="FA766" s="101"/>
      <c r="FB766" s="107"/>
      <c r="FC766" s="11"/>
      <c r="FD766" s="101"/>
      <c r="FE766" s="108"/>
    </row>
    <row r="767" spans="50:161">
      <c r="AX767" s="99"/>
      <c r="AY767" s="99"/>
      <c r="AZ767" s="99"/>
      <c r="BH767" s="100"/>
      <c r="BI767" s="100"/>
      <c r="BJ767" s="100"/>
      <c r="BK767" s="101"/>
      <c r="BL767" s="80"/>
      <c r="BM767" s="102"/>
      <c r="BN767" s="102"/>
      <c r="BO767" s="103"/>
      <c r="BP767" s="104"/>
      <c r="BQ767" s="28"/>
      <c r="BR767" s="102"/>
      <c r="BS767" s="102"/>
      <c r="BT767" s="102"/>
      <c r="BU767" s="102"/>
      <c r="BV767" s="105"/>
      <c r="BW767" s="101"/>
      <c r="BX767" s="105"/>
      <c r="BY767" s="11"/>
      <c r="BZ767" s="106"/>
      <c r="CA767" s="101"/>
      <c r="CB767" s="107"/>
      <c r="CC767" s="11"/>
      <c r="CD767" s="101"/>
      <c r="CE767" s="108"/>
      <c r="DX767" s="99"/>
      <c r="DY767" s="99"/>
      <c r="DZ767" s="99"/>
      <c r="EH767" s="100"/>
      <c r="EI767" s="100"/>
      <c r="EJ767" s="100"/>
      <c r="EK767" s="101"/>
      <c r="EL767" s="80"/>
      <c r="EM767" s="102"/>
      <c r="EN767" s="102"/>
      <c r="EO767" s="103"/>
      <c r="EP767" s="104"/>
      <c r="EQ767" s="28"/>
      <c r="ER767" s="102"/>
      <c r="ES767" s="102"/>
      <c r="ET767" s="102"/>
      <c r="EU767" s="102"/>
      <c r="EV767" s="105"/>
      <c r="EW767" s="101"/>
      <c r="EX767" s="105"/>
      <c r="EY767" s="11"/>
      <c r="EZ767" s="106"/>
      <c r="FA767" s="101"/>
      <c r="FB767" s="107"/>
      <c r="FC767" s="11"/>
      <c r="FD767" s="101"/>
      <c r="FE767" s="108"/>
    </row>
    <row r="768" spans="50:161">
      <c r="AX768" s="99"/>
      <c r="AY768" s="99"/>
      <c r="AZ768" s="99"/>
      <c r="BH768" s="100"/>
      <c r="BI768" s="100"/>
      <c r="BJ768" s="100"/>
      <c r="BK768" s="101"/>
      <c r="BL768" s="80"/>
      <c r="BM768" s="102"/>
      <c r="BN768" s="102"/>
      <c r="BO768" s="103"/>
      <c r="BP768" s="104"/>
      <c r="BQ768" s="28"/>
      <c r="BR768" s="102"/>
      <c r="BS768" s="102"/>
      <c r="BT768" s="102"/>
      <c r="BU768" s="102"/>
      <c r="BV768" s="105"/>
      <c r="BW768" s="101"/>
      <c r="BX768" s="105"/>
      <c r="BY768" s="11"/>
      <c r="BZ768" s="106"/>
      <c r="CA768" s="101"/>
      <c r="CB768" s="107"/>
      <c r="CC768" s="11"/>
      <c r="CD768" s="101"/>
      <c r="CE768" s="108"/>
      <c r="DX768" s="99"/>
      <c r="DY768" s="99"/>
      <c r="DZ768" s="99"/>
      <c r="EH768" s="100"/>
      <c r="EI768" s="100"/>
      <c r="EJ768" s="100"/>
      <c r="EK768" s="101"/>
      <c r="EL768" s="80"/>
      <c r="EM768" s="102"/>
      <c r="EN768" s="102"/>
      <c r="EO768" s="103"/>
      <c r="EP768" s="104"/>
      <c r="EQ768" s="28"/>
      <c r="ER768" s="102"/>
      <c r="ES768" s="102"/>
      <c r="ET768" s="102"/>
      <c r="EU768" s="102"/>
      <c r="EV768" s="105"/>
      <c r="EW768" s="101"/>
      <c r="EX768" s="105"/>
      <c r="EY768" s="11"/>
      <c r="EZ768" s="106"/>
      <c r="FA768" s="101"/>
      <c r="FB768" s="107"/>
      <c r="FC768" s="11"/>
      <c r="FD768" s="101"/>
      <c r="FE768" s="108"/>
    </row>
    <row r="769" spans="50:161">
      <c r="AX769" s="99"/>
      <c r="AY769" s="99"/>
      <c r="AZ769" s="99"/>
      <c r="BH769" s="100"/>
      <c r="BI769" s="100"/>
      <c r="BJ769" s="100"/>
      <c r="BK769" s="101"/>
      <c r="BL769" s="80"/>
      <c r="BM769" s="102"/>
      <c r="BN769" s="102"/>
      <c r="BO769" s="103"/>
      <c r="BP769" s="104"/>
      <c r="BQ769" s="28"/>
      <c r="BR769" s="102"/>
      <c r="BS769" s="102"/>
      <c r="BT769" s="102"/>
      <c r="BU769" s="102"/>
      <c r="BV769" s="105"/>
      <c r="BW769" s="101"/>
      <c r="BX769" s="105"/>
      <c r="BY769" s="11"/>
      <c r="BZ769" s="106"/>
      <c r="CA769" s="101"/>
      <c r="CB769" s="107"/>
      <c r="CC769" s="11"/>
      <c r="CD769" s="101"/>
      <c r="CE769" s="108"/>
      <c r="DX769" s="99"/>
      <c r="DY769" s="99"/>
      <c r="DZ769" s="99"/>
      <c r="EH769" s="100"/>
      <c r="EI769" s="100"/>
      <c r="EJ769" s="100"/>
      <c r="EK769" s="101"/>
      <c r="EL769" s="80"/>
      <c r="EM769" s="102"/>
      <c r="EN769" s="102"/>
      <c r="EO769" s="103"/>
      <c r="EP769" s="104"/>
      <c r="EQ769" s="28"/>
      <c r="ER769" s="102"/>
      <c r="ES769" s="102"/>
      <c r="ET769" s="102"/>
      <c r="EU769" s="102"/>
      <c r="EV769" s="105"/>
      <c r="EW769" s="101"/>
      <c r="EX769" s="105"/>
      <c r="EY769" s="11"/>
      <c r="EZ769" s="106"/>
      <c r="FA769" s="101"/>
      <c r="FB769" s="107"/>
      <c r="FC769" s="11"/>
      <c r="FD769" s="101"/>
      <c r="FE769" s="108"/>
    </row>
    <row r="770" spans="50:161">
      <c r="AX770" s="99"/>
      <c r="AY770" s="99"/>
      <c r="AZ770" s="99"/>
      <c r="BH770" s="100"/>
      <c r="BI770" s="100"/>
      <c r="BJ770" s="100"/>
      <c r="BK770" s="101"/>
      <c r="BL770" s="80"/>
      <c r="BM770" s="102"/>
      <c r="BN770" s="102"/>
      <c r="BO770" s="103"/>
      <c r="BP770" s="104"/>
      <c r="BQ770" s="28"/>
      <c r="BR770" s="102"/>
      <c r="BS770" s="102"/>
      <c r="BT770" s="102"/>
      <c r="BU770" s="102"/>
      <c r="BV770" s="105"/>
      <c r="BW770" s="101"/>
      <c r="BX770" s="105"/>
      <c r="BY770" s="11"/>
      <c r="BZ770" s="106"/>
      <c r="CA770" s="101"/>
      <c r="CB770" s="107"/>
      <c r="CC770" s="11"/>
      <c r="CD770" s="101"/>
      <c r="CE770" s="108"/>
      <c r="DX770" s="99"/>
      <c r="DY770" s="99"/>
      <c r="DZ770" s="99"/>
      <c r="EH770" s="100"/>
      <c r="EI770" s="100"/>
      <c r="EJ770" s="100"/>
      <c r="EK770" s="101"/>
      <c r="EL770" s="80"/>
      <c r="EM770" s="102"/>
      <c r="EN770" s="102"/>
      <c r="EO770" s="103"/>
      <c r="EP770" s="104"/>
      <c r="EQ770" s="28"/>
      <c r="ER770" s="102"/>
      <c r="ES770" s="102"/>
      <c r="ET770" s="102"/>
      <c r="EU770" s="102"/>
      <c r="EV770" s="105"/>
      <c r="EW770" s="101"/>
      <c r="EX770" s="105"/>
      <c r="EY770" s="11"/>
      <c r="EZ770" s="106"/>
      <c r="FA770" s="101"/>
      <c r="FB770" s="107"/>
      <c r="FC770" s="11"/>
      <c r="FD770" s="101"/>
      <c r="FE770" s="108"/>
    </row>
    <row r="771" spans="50:161">
      <c r="AX771" s="99"/>
      <c r="AY771" s="99"/>
      <c r="AZ771" s="99"/>
      <c r="BH771" s="100"/>
      <c r="BI771" s="100"/>
      <c r="BJ771" s="100"/>
      <c r="BK771" s="101"/>
      <c r="BL771" s="80"/>
      <c r="BM771" s="102"/>
      <c r="BN771" s="102"/>
      <c r="BO771" s="103"/>
      <c r="BP771" s="104"/>
      <c r="BQ771" s="28"/>
      <c r="BR771" s="102"/>
      <c r="BS771" s="102"/>
      <c r="BT771" s="102"/>
      <c r="BU771" s="102"/>
      <c r="BV771" s="105"/>
      <c r="BW771" s="101"/>
      <c r="BX771" s="105"/>
      <c r="BY771" s="11"/>
      <c r="BZ771" s="106"/>
      <c r="CA771" s="101"/>
      <c r="CB771" s="107"/>
      <c r="CC771" s="11"/>
      <c r="CD771" s="101"/>
      <c r="CE771" s="108"/>
      <c r="DX771" s="99"/>
      <c r="DY771" s="99"/>
      <c r="DZ771" s="99"/>
      <c r="EH771" s="100"/>
      <c r="EI771" s="100"/>
      <c r="EJ771" s="100"/>
      <c r="EK771" s="101"/>
      <c r="EL771" s="80"/>
      <c r="EM771" s="102"/>
      <c r="EN771" s="102"/>
      <c r="EO771" s="103"/>
      <c r="EP771" s="104"/>
      <c r="EQ771" s="28"/>
      <c r="ER771" s="102"/>
      <c r="ES771" s="102"/>
      <c r="ET771" s="102"/>
      <c r="EU771" s="102"/>
      <c r="EV771" s="105"/>
      <c r="EW771" s="101"/>
      <c r="EX771" s="105"/>
      <c r="EY771" s="11"/>
      <c r="EZ771" s="106"/>
      <c r="FA771" s="101"/>
      <c r="FB771" s="107"/>
      <c r="FC771" s="11"/>
      <c r="FD771" s="101"/>
      <c r="FE771" s="108"/>
    </row>
    <row r="772" spans="50:161">
      <c r="AX772" s="99"/>
      <c r="AY772" s="99"/>
      <c r="AZ772" s="99"/>
      <c r="BH772" s="100"/>
      <c r="BI772" s="100"/>
      <c r="BJ772" s="100"/>
      <c r="BK772" s="101"/>
      <c r="BL772" s="80"/>
      <c r="BM772" s="102"/>
      <c r="BN772" s="102"/>
      <c r="BO772" s="103"/>
      <c r="BP772" s="104"/>
      <c r="BQ772" s="28"/>
      <c r="BR772" s="102"/>
      <c r="BS772" s="102"/>
      <c r="BT772" s="102"/>
      <c r="BU772" s="102"/>
      <c r="BV772" s="105"/>
      <c r="BW772" s="101"/>
      <c r="BX772" s="105"/>
      <c r="BY772" s="11"/>
      <c r="BZ772" s="106"/>
      <c r="CA772" s="101"/>
      <c r="CB772" s="107"/>
      <c r="CC772" s="11"/>
      <c r="CD772" s="101"/>
      <c r="CE772" s="108"/>
      <c r="DX772" s="99"/>
      <c r="DY772" s="99"/>
      <c r="DZ772" s="99"/>
      <c r="EH772" s="100"/>
      <c r="EI772" s="100"/>
      <c r="EJ772" s="100"/>
      <c r="EK772" s="101"/>
      <c r="EL772" s="80"/>
      <c r="EM772" s="102"/>
      <c r="EN772" s="102"/>
      <c r="EO772" s="103"/>
      <c r="EP772" s="104"/>
      <c r="EQ772" s="28"/>
      <c r="ER772" s="102"/>
      <c r="ES772" s="102"/>
      <c r="ET772" s="102"/>
      <c r="EU772" s="102"/>
      <c r="EV772" s="105"/>
      <c r="EW772" s="101"/>
      <c r="EX772" s="105"/>
      <c r="EY772" s="11"/>
      <c r="EZ772" s="106"/>
      <c r="FA772" s="101"/>
      <c r="FB772" s="107"/>
      <c r="FC772" s="11"/>
      <c r="FD772" s="101"/>
      <c r="FE772" s="108"/>
    </row>
    <row r="773" spans="50:161">
      <c r="AX773" s="99"/>
      <c r="AY773" s="99"/>
      <c r="AZ773" s="99"/>
      <c r="BH773" s="100"/>
      <c r="BI773" s="100"/>
      <c r="BJ773" s="100"/>
      <c r="BK773" s="101"/>
      <c r="BL773" s="80"/>
      <c r="BM773" s="102"/>
      <c r="BN773" s="102"/>
      <c r="BO773" s="103"/>
      <c r="BP773" s="104"/>
      <c r="BQ773" s="28"/>
      <c r="BR773" s="102"/>
      <c r="BS773" s="102"/>
      <c r="BT773" s="102"/>
      <c r="BU773" s="102"/>
      <c r="BV773" s="105"/>
      <c r="BW773" s="101"/>
      <c r="BX773" s="105"/>
      <c r="BY773" s="11"/>
      <c r="BZ773" s="106"/>
      <c r="CA773" s="101"/>
      <c r="CB773" s="107"/>
      <c r="CC773" s="11"/>
      <c r="CD773" s="101"/>
      <c r="CE773" s="108"/>
      <c r="DX773" s="99"/>
      <c r="DY773" s="99"/>
      <c r="DZ773" s="99"/>
      <c r="EH773" s="100"/>
      <c r="EI773" s="100"/>
      <c r="EJ773" s="100"/>
      <c r="EK773" s="101"/>
      <c r="EL773" s="80"/>
      <c r="EM773" s="102"/>
      <c r="EN773" s="102"/>
      <c r="EO773" s="103"/>
      <c r="EP773" s="104"/>
      <c r="EQ773" s="28"/>
      <c r="ER773" s="102"/>
      <c r="ES773" s="102"/>
      <c r="ET773" s="102"/>
      <c r="EU773" s="102"/>
      <c r="EV773" s="105"/>
      <c r="EW773" s="101"/>
      <c r="EX773" s="105"/>
      <c r="EY773" s="11"/>
      <c r="EZ773" s="106"/>
      <c r="FA773" s="101"/>
      <c r="FB773" s="107"/>
      <c r="FC773" s="11"/>
      <c r="FD773" s="101"/>
      <c r="FE773" s="108"/>
    </row>
    <row r="774" spans="50:161">
      <c r="AX774" s="99"/>
      <c r="AY774" s="99"/>
      <c r="AZ774" s="99"/>
      <c r="BH774" s="100"/>
      <c r="BI774" s="100"/>
      <c r="BJ774" s="100"/>
      <c r="BK774" s="101"/>
      <c r="BL774" s="80"/>
      <c r="BM774" s="102"/>
      <c r="BN774" s="102"/>
      <c r="BO774" s="103"/>
      <c r="BP774" s="104"/>
      <c r="BQ774" s="28"/>
      <c r="BR774" s="102"/>
      <c r="BS774" s="102"/>
      <c r="BT774" s="102"/>
      <c r="BU774" s="102"/>
      <c r="BV774" s="105"/>
      <c r="BW774" s="101"/>
      <c r="BX774" s="105"/>
      <c r="BY774" s="11"/>
      <c r="BZ774" s="106"/>
      <c r="CA774" s="101"/>
      <c r="CB774" s="107"/>
      <c r="CC774" s="11"/>
      <c r="CD774" s="101"/>
      <c r="CE774" s="108"/>
      <c r="DX774" s="99"/>
      <c r="DY774" s="99"/>
      <c r="DZ774" s="99"/>
      <c r="EH774" s="100"/>
      <c r="EI774" s="100"/>
      <c r="EJ774" s="100"/>
      <c r="EK774" s="101"/>
      <c r="EL774" s="80"/>
      <c r="EM774" s="102"/>
      <c r="EN774" s="102"/>
      <c r="EO774" s="103"/>
      <c r="EP774" s="104"/>
      <c r="EQ774" s="28"/>
      <c r="ER774" s="102"/>
      <c r="ES774" s="102"/>
      <c r="ET774" s="102"/>
      <c r="EU774" s="102"/>
      <c r="EV774" s="105"/>
      <c r="EW774" s="101"/>
      <c r="EX774" s="105"/>
      <c r="EY774" s="11"/>
      <c r="EZ774" s="106"/>
      <c r="FA774" s="101"/>
      <c r="FB774" s="107"/>
      <c r="FC774" s="11"/>
      <c r="FD774" s="101"/>
      <c r="FE774" s="108"/>
    </row>
    <row r="775" spans="50:161">
      <c r="AX775" s="99"/>
      <c r="AY775" s="99"/>
      <c r="AZ775" s="99"/>
      <c r="BH775" s="100"/>
      <c r="BI775" s="100"/>
      <c r="BJ775" s="100"/>
      <c r="BK775" s="101"/>
      <c r="BL775" s="80"/>
      <c r="BM775" s="102"/>
      <c r="BN775" s="102"/>
      <c r="BO775" s="103"/>
      <c r="BP775" s="104"/>
      <c r="BQ775" s="28"/>
      <c r="BR775" s="102"/>
      <c r="BS775" s="102"/>
      <c r="BT775" s="102"/>
      <c r="BU775" s="102"/>
      <c r="BV775" s="105"/>
      <c r="BW775" s="101"/>
      <c r="BX775" s="105"/>
      <c r="BY775" s="11"/>
      <c r="BZ775" s="106"/>
      <c r="CA775" s="101"/>
      <c r="CB775" s="107"/>
      <c r="CC775" s="11"/>
      <c r="CD775" s="101"/>
      <c r="CE775" s="108"/>
      <c r="DX775" s="99"/>
      <c r="DY775" s="99"/>
      <c r="DZ775" s="99"/>
      <c r="EH775" s="100"/>
      <c r="EI775" s="100"/>
      <c r="EJ775" s="100"/>
      <c r="EK775" s="101"/>
      <c r="EL775" s="80"/>
      <c r="EM775" s="102"/>
      <c r="EN775" s="102"/>
      <c r="EO775" s="103"/>
      <c r="EP775" s="104"/>
      <c r="EQ775" s="28"/>
      <c r="ER775" s="102"/>
      <c r="ES775" s="102"/>
      <c r="ET775" s="102"/>
      <c r="EU775" s="102"/>
      <c r="EV775" s="105"/>
      <c r="EW775" s="101"/>
      <c r="EX775" s="105"/>
      <c r="EY775" s="11"/>
      <c r="EZ775" s="106"/>
      <c r="FA775" s="101"/>
      <c r="FB775" s="107"/>
      <c r="FC775" s="11"/>
      <c r="FD775" s="101"/>
      <c r="FE775" s="108"/>
    </row>
    <row r="776" spans="50:161">
      <c r="AX776" s="99"/>
      <c r="AY776" s="99"/>
      <c r="AZ776" s="99"/>
      <c r="BH776" s="100"/>
      <c r="BI776" s="100"/>
      <c r="BJ776" s="100"/>
      <c r="BK776" s="101"/>
      <c r="BL776" s="80"/>
      <c r="BM776" s="102"/>
      <c r="BN776" s="102"/>
      <c r="BO776" s="103"/>
      <c r="BP776" s="104"/>
      <c r="BQ776" s="28"/>
      <c r="BR776" s="102"/>
      <c r="BS776" s="102"/>
      <c r="BT776" s="102"/>
      <c r="BU776" s="102"/>
      <c r="BV776" s="105"/>
      <c r="BW776" s="101"/>
      <c r="BX776" s="105"/>
      <c r="BY776" s="11"/>
      <c r="BZ776" s="106"/>
      <c r="CA776" s="101"/>
      <c r="CB776" s="107"/>
      <c r="CC776" s="11"/>
      <c r="CD776" s="101"/>
      <c r="CE776" s="108"/>
      <c r="DX776" s="99"/>
      <c r="DY776" s="99"/>
      <c r="DZ776" s="99"/>
      <c r="EH776" s="100"/>
      <c r="EI776" s="100"/>
      <c r="EJ776" s="100"/>
      <c r="EK776" s="101"/>
      <c r="EL776" s="80"/>
      <c r="EM776" s="102"/>
      <c r="EN776" s="102"/>
      <c r="EO776" s="103"/>
      <c r="EP776" s="104"/>
      <c r="EQ776" s="28"/>
      <c r="ER776" s="102"/>
      <c r="ES776" s="102"/>
      <c r="ET776" s="102"/>
      <c r="EU776" s="102"/>
      <c r="EV776" s="105"/>
      <c r="EW776" s="101"/>
      <c r="EX776" s="105"/>
      <c r="EY776" s="11"/>
      <c r="EZ776" s="106"/>
      <c r="FA776" s="101"/>
      <c r="FB776" s="107"/>
      <c r="FC776" s="11"/>
      <c r="FD776" s="101"/>
      <c r="FE776" s="108"/>
    </row>
    <row r="777" spans="50:161">
      <c r="AX777" s="99"/>
      <c r="AY777" s="99"/>
      <c r="AZ777" s="99"/>
      <c r="BH777" s="100"/>
      <c r="BI777" s="100"/>
      <c r="BJ777" s="100"/>
      <c r="BK777" s="101"/>
      <c r="BL777" s="80"/>
      <c r="BM777" s="102"/>
      <c r="BN777" s="102"/>
      <c r="BO777" s="103"/>
      <c r="BP777" s="104"/>
      <c r="BQ777" s="28"/>
      <c r="BR777" s="102"/>
      <c r="BS777" s="102"/>
      <c r="BT777" s="102"/>
      <c r="BU777" s="102"/>
      <c r="BV777" s="105"/>
      <c r="BW777" s="101"/>
      <c r="BX777" s="105"/>
      <c r="BY777" s="11"/>
      <c r="BZ777" s="106"/>
      <c r="CA777" s="101"/>
      <c r="CB777" s="107"/>
      <c r="CC777" s="11"/>
      <c r="CD777" s="101"/>
      <c r="CE777" s="108"/>
      <c r="DX777" s="99"/>
      <c r="DY777" s="99"/>
      <c r="DZ777" s="99"/>
      <c r="EH777" s="100"/>
      <c r="EI777" s="100"/>
      <c r="EJ777" s="100"/>
      <c r="EK777" s="101"/>
      <c r="EL777" s="80"/>
      <c r="EM777" s="102"/>
      <c r="EN777" s="102"/>
      <c r="EO777" s="103"/>
      <c r="EP777" s="104"/>
      <c r="EQ777" s="28"/>
      <c r="ER777" s="102"/>
      <c r="ES777" s="102"/>
      <c r="ET777" s="102"/>
      <c r="EU777" s="102"/>
      <c r="EV777" s="105"/>
      <c r="EW777" s="101"/>
      <c r="EX777" s="105"/>
      <c r="EY777" s="11"/>
      <c r="EZ777" s="106"/>
      <c r="FA777" s="101"/>
      <c r="FB777" s="107"/>
      <c r="FC777" s="11"/>
      <c r="FD777" s="101"/>
      <c r="FE777" s="108"/>
    </row>
    <row r="778" spans="50:161">
      <c r="AX778" s="99"/>
      <c r="AY778" s="99"/>
      <c r="AZ778" s="99"/>
      <c r="BH778" s="100"/>
      <c r="BI778" s="100"/>
      <c r="BJ778" s="100"/>
      <c r="BK778" s="101"/>
      <c r="BL778" s="80"/>
      <c r="BM778" s="102"/>
      <c r="BN778" s="102"/>
      <c r="BO778" s="103"/>
      <c r="BP778" s="104"/>
      <c r="BQ778" s="28"/>
      <c r="BR778" s="102"/>
      <c r="BS778" s="102"/>
      <c r="BT778" s="102"/>
      <c r="BU778" s="102"/>
      <c r="BV778" s="105"/>
      <c r="BW778" s="101"/>
      <c r="BX778" s="105"/>
      <c r="BY778" s="11"/>
      <c r="BZ778" s="106"/>
      <c r="CA778" s="101"/>
      <c r="CB778" s="107"/>
      <c r="CC778" s="11"/>
      <c r="CD778" s="101"/>
      <c r="CE778" s="108"/>
      <c r="DX778" s="99"/>
      <c r="DY778" s="99"/>
      <c r="DZ778" s="99"/>
      <c r="EH778" s="100"/>
      <c r="EI778" s="100"/>
      <c r="EJ778" s="100"/>
      <c r="EK778" s="101"/>
      <c r="EL778" s="80"/>
      <c r="EM778" s="102"/>
      <c r="EN778" s="102"/>
      <c r="EO778" s="103"/>
      <c r="EP778" s="104"/>
      <c r="EQ778" s="28"/>
      <c r="ER778" s="102"/>
      <c r="ES778" s="102"/>
      <c r="ET778" s="102"/>
      <c r="EU778" s="102"/>
      <c r="EV778" s="105"/>
      <c r="EW778" s="101"/>
      <c r="EX778" s="105"/>
      <c r="EY778" s="11"/>
      <c r="EZ778" s="106"/>
      <c r="FA778" s="101"/>
      <c r="FB778" s="107"/>
      <c r="FC778" s="11"/>
      <c r="FD778" s="101"/>
      <c r="FE778" s="108"/>
    </row>
    <row r="779" spans="50:161">
      <c r="AX779" s="99"/>
      <c r="AY779" s="99"/>
      <c r="AZ779" s="99"/>
      <c r="BH779" s="100"/>
      <c r="BI779" s="100"/>
      <c r="BJ779" s="100"/>
      <c r="BK779" s="101"/>
      <c r="BL779" s="80"/>
      <c r="BM779" s="102"/>
      <c r="BN779" s="102"/>
      <c r="BO779" s="103"/>
      <c r="BP779" s="104"/>
      <c r="BQ779" s="28"/>
      <c r="BR779" s="102"/>
      <c r="BS779" s="102"/>
      <c r="BT779" s="102"/>
      <c r="BU779" s="102"/>
      <c r="BV779" s="105"/>
      <c r="BW779" s="101"/>
      <c r="BX779" s="105"/>
      <c r="BY779" s="11"/>
      <c r="BZ779" s="106"/>
      <c r="CA779" s="101"/>
      <c r="CB779" s="107"/>
      <c r="CC779" s="11"/>
      <c r="CD779" s="101"/>
      <c r="CE779" s="108"/>
      <c r="DX779" s="99"/>
      <c r="DY779" s="99"/>
      <c r="DZ779" s="99"/>
      <c r="EH779" s="100"/>
      <c r="EI779" s="100"/>
      <c r="EJ779" s="100"/>
      <c r="EK779" s="101"/>
      <c r="EL779" s="80"/>
      <c r="EM779" s="102"/>
      <c r="EN779" s="102"/>
      <c r="EO779" s="103"/>
      <c r="EP779" s="104"/>
      <c r="EQ779" s="28"/>
      <c r="ER779" s="102"/>
      <c r="ES779" s="102"/>
      <c r="ET779" s="102"/>
      <c r="EU779" s="102"/>
      <c r="EV779" s="105"/>
      <c r="EW779" s="101"/>
      <c r="EX779" s="105"/>
      <c r="EY779" s="11"/>
      <c r="EZ779" s="106"/>
      <c r="FA779" s="101"/>
      <c r="FB779" s="107"/>
      <c r="FC779" s="11"/>
      <c r="FD779" s="101"/>
      <c r="FE779" s="108"/>
    </row>
    <row r="780" spans="50:161">
      <c r="AX780" s="99"/>
      <c r="AY780" s="99"/>
      <c r="AZ780" s="99"/>
      <c r="BH780" s="100"/>
      <c r="BI780" s="100"/>
      <c r="BJ780" s="100"/>
      <c r="BK780" s="101"/>
      <c r="BL780" s="80"/>
      <c r="BM780" s="102"/>
      <c r="BN780" s="102"/>
      <c r="BO780" s="103"/>
      <c r="BP780" s="104"/>
      <c r="BQ780" s="28"/>
      <c r="BR780" s="102"/>
      <c r="BS780" s="102"/>
      <c r="BT780" s="102"/>
      <c r="BU780" s="102"/>
      <c r="BV780" s="105"/>
      <c r="BW780" s="101"/>
      <c r="BX780" s="105"/>
      <c r="BY780" s="11"/>
      <c r="BZ780" s="106"/>
      <c r="CA780" s="101"/>
      <c r="CB780" s="107"/>
      <c r="CC780" s="11"/>
      <c r="CD780" s="101"/>
      <c r="CE780" s="108"/>
      <c r="DX780" s="99"/>
      <c r="DY780" s="99"/>
      <c r="DZ780" s="99"/>
      <c r="EH780" s="100"/>
      <c r="EI780" s="100"/>
      <c r="EJ780" s="100"/>
      <c r="EK780" s="101"/>
      <c r="EL780" s="80"/>
      <c r="EM780" s="102"/>
      <c r="EN780" s="102"/>
      <c r="EO780" s="103"/>
      <c r="EP780" s="104"/>
      <c r="EQ780" s="28"/>
      <c r="ER780" s="102"/>
      <c r="ES780" s="102"/>
      <c r="ET780" s="102"/>
      <c r="EU780" s="102"/>
      <c r="EV780" s="105"/>
      <c r="EW780" s="101"/>
      <c r="EX780" s="105"/>
      <c r="EY780" s="11"/>
      <c r="EZ780" s="106"/>
      <c r="FA780" s="101"/>
      <c r="FB780" s="107"/>
      <c r="FC780" s="11"/>
      <c r="FD780" s="101"/>
      <c r="FE780" s="108"/>
    </row>
    <row r="781" spans="50:161">
      <c r="AX781" s="99"/>
      <c r="AY781" s="99"/>
      <c r="AZ781" s="99"/>
      <c r="BH781" s="100"/>
      <c r="BI781" s="100"/>
      <c r="BJ781" s="100"/>
      <c r="BK781" s="101"/>
      <c r="BL781" s="80"/>
      <c r="BM781" s="102"/>
      <c r="BN781" s="102"/>
      <c r="BO781" s="103"/>
      <c r="BP781" s="104"/>
      <c r="BQ781" s="28"/>
      <c r="BR781" s="102"/>
      <c r="BS781" s="102"/>
      <c r="BT781" s="102"/>
      <c r="BU781" s="102"/>
      <c r="BV781" s="105"/>
      <c r="BW781" s="101"/>
      <c r="BX781" s="105"/>
      <c r="BY781" s="11"/>
      <c r="BZ781" s="106"/>
      <c r="CA781" s="101"/>
      <c r="CB781" s="107"/>
      <c r="CC781" s="11"/>
      <c r="CD781" s="101"/>
      <c r="CE781" s="108"/>
      <c r="DX781" s="99"/>
      <c r="DY781" s="99"/>
      <c r="DZ781" s="99"/>
      <c r="EH781" s="100"/>
      <c r="EI781" s="100"/>
      <c r="EJ781" s="100"/>
      <c r="EK781" s="101"/>
      <c r="EL781" s="80"/>
      <c r="EM781" s="102"/>
      <c r="EN781" s="102"/>
      <c r="EO781" s="103"/>
      <c r="EP781" s="104"/>
      <c r="EQ781" s="28"/>
      <c r="ER781" s="102"/>
      <c r="ES781" s="102"/>
      <c r="ET781" s="102"/>
      <c r="EU781" s="102"/>
      <c r="EV781" s="105"/>
      <c r="EW781" s="101"/>
      <c r="EX781" s="105"/>
      <c r="EY781" s="11"/>
      <c r="EZ781" s="106"/>
      <c r="FA781" s="101"/>
      <c r="FB781" s="107"/>
      <c r="FC781" s="11"/>
      <c r="FD781" s="101"/>
      <c r="FE781" s="108"/>
    </row>
    <row r="782" spans="50:161">
      <c r="AX782" s="99"/>
      <c r="AY782" s="99"/>
      <c r="AZ782" s="99"/>
      <c r="BH782" s="100"/>
      <c r="BI782" s="100"/>
      <c r="BJ782" s="100"/>
      <c r="BK782" s="101"/>
      <c r="BL782" s="80"/>
      <c r="BM782" s="102"/>
      <c r="BN782" s="102"/>
      <c r="BO782" s="103"/>
      <c r="BP782" s="104"/>
      <c r="BQ782" s="28"/>
      <c r="BR782" s="102"/>
      <c r="BS782" s="102"/>
      <c r="BT782" s="102"/>
      <c r="BU782" s="102"/>
      <c r="BV782" s="105"/>
      <c r="BW782" s="101"/>
      <c r="BX782" s="105"/>
      <c r="BY782" s="11"/>
      <c r="BZ782" s="106"/>
      <c r="CA782" s="101"/>
      <c r="CB782" s="107"/>
      <c r="CC782" s="11"/>
      <c r="CD782" s="101"/>
      <c r="CE782" s="108"/>
      <c r="DX782" s="99"/>
      <c r="DY782" s="99"/>
      <c r="DZ782" s="99"/>
      <c r="EH782" s="100"/>
      <c r="EI782" s="100"/>
      <c r="EJ782" s="100"/>
      <c r="EK782" s="101"/>
      <c r="EL782" s="80"/>
      <c r="EM782" s="102"/>
      <c r="EN782" s="102"/>
      <c r="EO782" s="103"/>
      <c r="EP782" s="104"/>
      <c r="EQ782" s="28"/>
      <c r="ER782" s="102"/>
      <c r="ES782" s="102"/>
      <c r="ET782" s="102"/>
      <c r="EU782" s="102"/>
      <c r="EV782" s="105"/>
      <c r="EW782" s="101"/>
      <c r="EX782" s="105"/>
      <c r="EY782" s="11"/>
      <c r="EZ782" s="106"/>
      <c r="FA782" s="101"/>
      <c r="FB782" s="107"/>
      <c r="FC782" s="11"/>
      <c r="FD782" s="101"/>
      <c r="FE782" s="108"/>
    </row>
    <row r="783" spans="50:161">
      <c r="AX783" s="99"/>
      <c r="AY783" s="99"/>
      <c r="AZ783" s="99"/>
      <c r="BH783" s="100"/>
      <c r="BI783" s="100"/>
      <c r="BJ783" s="100"/>
      <c r="BK783" s="101"/>
      <c r="BL783" s="80"/>
      <c r="BM783" s="102"/>
      <c r="BN783" s="102"/>
      <c r="BO783" s="103"/>
      <c r="BP783" s="104"/>
      <c r="BQ783" s="28"/>
      <c r="BR783" s="102"/>
      <c r="BS783" s="102"/>
      <c r="BT783" s="102"/>
      <c r="BU783" s="102"/>
      <c r="BV783" s="105"/>
      <c r="BW783" s="101"/>
      <c r="BX783" s="105"/>
      <c r="BY783" s="11"/>
      <c r="BZ783" s="106"/>
      <c r="CA783" s="101"/>
      <c r="CB783" s="107"/>
      <c r="CC783" s="11"/>
      <c r="CD783" s="101"/>
      <c r="CE783" s="108"/>
      <c r="DX783" s="99"/>
      <c r="DY783" s="99"/>
      <c r="DZ783" s="99"/>
      <c r="EH783" s="100"/>
      <c r="EI783" s="100"/>
      <c r="EJ783" s="100"/>
      <c r="EK783" s="101"/>
      <c r="EL783" s="80"/>
      <c r="EM783" s="102"/>
      <c r="EN783" s="102"/>
      <c r="EO783" s="103"/>
      <c r="EP783" s="104"/>
      <c r="EQ783" s="28"/>
      <c r="ER783" s="102"/>
      <c r="ES783" s="102"/>
      <c r="ET783" s="102"/>
      <c r="EU783" s="102"/>
      <c r="EV783" s="105"/>
      <c r="EW783" s="101"/>
      <c r="EX783" s="105"/>
      <c r="EY783" s="11"/>
      <c r="EZ783" s="106"/>
      <c r="FA783" s="101"/>
      <c r="FB783" s="107"/>
      <c r="FC783" s="11"/>
      <c r="FD783" s="101"/>
      <c r="FE783" s="108"/>
    </row>
    <row r="784" spans="50:161">
      <c r="AX784" s="99"/>
      <c r="AY784" s="99"/>
      <c r="AZ784" s="99"/>
      <c r="BH784" s="100"/>
      <c r="BI784" s="100"/>
      <c r="BJ784" s="100"/>
      <c r="BK784" s="101"/>
      <c r="BL784" s="80"/>
      <c r="BM784" s="102"/>
      <c r="BN784" s="102"/>
      <c r="BO784" s="103"/>
      <c r="BP784" s="104"/>
      <c r="BQ784" s="28"/>
      <c r="BR784" s="102"/>
      <c r="BS784" s="102"/>
      <c r="BT784" s="102"/>
      <c r="BU784" s="102"/>
      <c r="BV784" s="105"/>
      <c r="BW784" s="101"/>
      <c r="BX784" s="105"/>
      <c r="BY784" s="11"/>
      <c r="BZ784" s="106"/>
      <c r="CA784" s="101"/>
      <c r="CB784" s="107"/>
      <c r="CC784" s="11"/>
      <c r="CD784" s="101"/>
      <c r="CE784" s="108"/>
      <c r="DX784" s="99"/>
      <c r="DY784" s="99"/>
      <c r="DZ784" s="99"/>
      <c r="EH784" s="100"/>
      <c r="EI784" s="100"/>
      <c r="EJ784" s="100"/>
      <c r="EK784" s="101"/>
      <c r="EL784" s="80"/>
      <c r="EM784" s="102"/>
      <c r="EN784" s="102"/>
      <c r="EO784" s="103"/>
      <c r="EP784" s="104"/>
      <c r="EQ784" s="28"/>
      <c r="ER784" s="102"/>
      <c r="ES784" s="102"/>
      <c r="ET784" s="102"/>
      <c r="EU784" s="102"/>
      <c r="EV784" s="105"/>
      <c r="EW784" s="101"/>
      <c r="EX784" s="105"/>
      <c r="EY784" s="11"/>
      <c r="EZ784" s="106"/>
      <c r="FA784" s="101"/>
      <c r="FB784" s="107"/>
      <c r="FC784" s="11"/>
      <c r="FD784" s="101"/>
      <c r="FE784" s="108"/>
    </row>
    <row r="785" spans="50:161">
      <c r="AX785" s="99"/>
      <c r="AY785" s="99"/>
      <c r="AZ785" s="99"/>
      <c r="BH785" s="100"/>
      <c r="BI785" s="100"/>
      <c r="BJ785" s="100"/>
      <c r="BK785" s="101"/>
      <c r="BL785" s="80"/>
      <c r="BM785" s="102"/>
      <c r="BN785" s="102"/>
      <c r="BO785" s="103"/>
      <c r="BP785" s="104"/>
      <c r="BQ785" s="28"/>
      <c r="BR785" s="102"/>
      <c r="BS785" s="102"/>
      <c r="BT785" s="102"/>
      <c r="BU785" s="102"/>
      <c r="BV785" s="105"/>
      <c r="BW785" s="101"/>
      <c r="BX785" s="105"/>
      <c r="BY785" s="11"/>
      <c r="BZ785" s="106"/>
      <c r="CA785" s="101"/>
      <c r="CB785" s="107"/>
      <c r="CC785" s="11"/>
      <c r="CD785" s="101"/>
      <c r="CE785" s="108"/>
      <c r="DX785" s="99"/>
      <c r="DY785" s="99"/>
      <c r="DZ785" s="99"/>
      <c r="EH785" s="100"/>
      <c r="EI785" s="100"/>
      <c r="EJ785" s="100"/>
      <c r="EK785" s="101"/>
      <c r="EL785" s="80"/>
      <c r="EM785" s="102"/>
      <c r="EN785" s="102"/>
      <c r="EO785" s="103"/>
      <c r="EP785" s="104"/>
      <c r="EQ785" s="28"/>
      <c r="ER785" s="102"/>
      <c r="ES785" s="102"/>
      <c r="ET785" s="102"/>
      <c r="EU785" s="102"/>
      <c r="EV785" s="105"/>
      <c r="EW785" s="101"/>
      <c r="EX785" s="105"/>
      <c r="EY785" s="11"/>
      <c r="EZ785" s="106"/>
      <c r="FA785" s="101"/>
      <c r="FB785" s="107"/>
      <c r="FC785" s="11"/>
      <c r="FD785" s="101"/>
      <c r="FE785" s="108"/>
    </row>
    <row r="786" spans="50:161">
      <c r="AX786" s="99"/>
      <c r="AY786" s="99"/>
      <c r="AZ786" s="99"/>
      <c r="BH786" s="100"/>
      <c r="BI786" s="100"/>
      <c r="BJ786" s="100"/>
      <c r="BK786" s="101"/>
      <c r="BL786" s="80"/>
      <c r="BM786" s="102"/>
      <c r="BN786" s="102"/>
      <c r="BO786" s="103"/>
      <c r="BP786" s="104"/>
      <c r="BQ786" s="28"/>
      <c r="BR786" s="102"/>
      <c r="BS786" s="102"/>
      <c r="BT786" s="102"/>
      <c r="BU786" s="102"/>
      <c r="BV786" s="105"/>
      <c r="BW786" s="101"/>
      <c r="BX786" s="105"/>
      <c r="BY786" s="11"/>
      <c r="BZ786" s="106"/>
      <c r="CA786" s="101"/>
      <c r="CB786" s="107"/>
      <c r="CC786" s="11"/>
      <c r="CD786" s="101"/>
      <c r="CE786" s="108"/>
      <c r="DX786" s="99"/>
      <c r="DY786" s="99"/>
      <c r="DZ786" s="99"/>
      <c r="EH786" s="100"/>
      <c r="EI786" s="100"/>
      <c r="EJ786" s="100"/>
      <c r="EK786" s="101"/>
      <c r="EL786" s="80"/>
      <c r="EM786" s="102"/>
      <c r="EN786" s="102"/>
      <c r="EO786" s="103"/>
      <c r="EP786" s="104"/>
      <c r="EQ786" s="28"/>
      <c r="ER786" s="102"/>
      <c r="ES786" s="102"/>
      <c r="ET786" s="102"/>
      <c r="EU786" s="102"/>
      <c r="EV786" s="105"/>
      <c r="EW786" s="101"/>
      <c r="EX786" s="105"/>
      <c r="EY786" s="11"/>
      <c r="EZ786" s="106"/>
      <c r="FA786" s="101"/>
      <c r="FB786" s="107"/>
      <c r="FC786" s="11"/>
      <c r="FD786" s="101"/>
      <c r="FE786" s="108"/>
    </row>
    <row r="787" spans="50:161">
      <c r="AX787" s="99"/>
      <c r="AY787" s="99"/>
      <c r="AZ787" s="99"/>
      <c r="BH787" s="100"/>
      <c r="BI787" s="100"/>
      <c r="BJ787" s="100"/>
      <c r="BK787" s="101"/>
      <c r="BL787" s="80"/>
      <c r="BM787" s="102"/>
      <c r="BN787" s="102"/>
      <c r="BO787" s="103"/>
      <c r="BP787" s="104"/>
      <c r="BQ787" s="28"/>
      <c r="BR787" s="102"/>
      <c r="BS787" s="102"/>
      <c r="BT787" s="102"/>
      <c r="BU787" s="102"/>
      <c r="BV787" s="105"/>
      <c r="BW787" s="101"/>
      <c r="BX787" s="105"/>
      <c r="BY787" s="11"/>
      <c r="BZ787" s="106"/>
      <c r="CA787" s="101"/>
      <c r="CB787" s="107"/>
      <c r="CC787" s="11"/>
      <c r="CD787" s="101"/>
      <c r="CE787" s="108"/>
      <c r="DX787" s="99"/>
      <c r="DY787" s="99"/>
      <c r="DZ787" s="99"/>
      <c r="EH787" s="100"/>
      <c r="EI787" s="100"/>
      <c r="EJ787" s="100"/>
      <c r="EK787" s="101"/>
      <c r="EL787" s="80"/>
      <c r="EM787" s="102"/>
      <c r="EN787" s="102"/>
      <c r="EO787" s="103"/>
      <c r="EP787" s="104"/>
      <c r="EQ787" s="28"/>
      <c r="ER787" s="102"/>
      <c r="ES787" s="102"/>
      <c r="ET787" s="102"/>
      <c r="EU787" s="102"/>
      <c r="EV787" s="105"/>
      <c r="EW787" s="101"/>
      <c r="EX787" s="105"/>
      <c r="EY787" s="11"/>
      <c r="EZ787" s="106"/>
      <c r="FA787" s="101"/>
      <c r="FB787" s="107"/>
      <c r="FC787" s="11"/>
      <c r="FD787" s="101"/>
      <c r="FE787" s="108"/>
    </row>
    <row r="788" spans="50:161">
      <c r="AX788" s="99"/>
      <c r="AY788" s="99"/>
      <c r="AZ788" s="99"/>
      <c r="BH788" s="100"/>
      <c r="BI788" s="100"/>
      <c r="BJ788" s="100"/>
      <c r="BK788" s="101"/>
      <c r="BL788" s="80"/>
      <c r="BM788" s="102"/>
      <c r="BN788" s="102"/>
      <c r="BO788" s="103"/>
      <c r="BP788" s="104"/>
      <c r="BQ788" s="28"/>
      <c r="BR788" s="102"/>
      <c r="BS788" s="102"/>
      <c r="BT788" s="102"/>
      <c r="BU788" s="102"/>
      <c r="BV788" s="105"/>
      <c r="BW788" s="101"/>
      <c r="BX788" s="105"/>
      <c r="BY788" s="11"/>
      <c r="BZ788" s="106"/>
      <c r="CA788" s="101"/>
      <c r="CB788" s="107"/>
      <c r="CC788" s="11"/>
      <c r="CD788" s="101"/>
      <c r="CE788" s="108"/>
      <c r="DX788" s="99"/>
      <c r="DY788" s="99"/>
      <c r="DZ788" s="99"/>
      <c r="EH788" s="100"/>
      <c r="EI788" s="100"/>
      <c r="EJ788" s="100"/>
      <c r="EK788" s="101"/>
      <c r="EL788" s="80"/>
      <c r="EM788" s="102"/>
      <c r="EN788" s="102"/>
      <c r="EO788" s="103"/>
      <c r="EP788" s="104"/>
      <c r="EQ788" s="28"/>
      <c r="ER788" s="102"/>
      <c r="ES788" s="102"/>
      <c r="ET788" s="102"/>
      <c r="EU788" s="102"/>
      <c r="EV788" s="105"/>
      <c r="EW788" s="101"/>
      <c r="EX788" s="105"/>
      <c r="EY788" s="11"/>
      <c r="EZ788" s="106"/>
      <c r="FA788" s="101"/>
      <c r="FB788" s="107"/>
      <c r="FC788" s="11"/>
      <c r="FD788" s="101"/>
      <c r="FE788" s="108"/>
    </row>
    <row r="789" spans="50:161">
      <c r="AX789" s="99"/>
      <c r="AY789" s="99"/>
      <c r="AZ789" s="99"/>
      <c r="BH789" s="100"/>
      <c r="BI789" s="100"/>
      <c r="BJ789" s="100"/>
      <c r="BK789" s="101"/>
      <c r="BL789" s="80"/>
      <c r="BM789" s="102"/>
      <c r="BN789" s="102"/>
      <c r="BO789" s="103"/>
      <c r="BP789" s="104"/>
      <c r="BQ789" s="28"/>
      <c r="BR789" s="102"/>
      <c r="BS789" s="102"/>
      <c r="BT789" s="102"/>
      <c r="BU789" s="102"/>
      <c r="BV789" s="105"/>
      <c r="BW789" s="101"/>
      <c r="BX789" s="105"/>
      <c r="BY789" s="11"/>
      <c r="BZ789" s="106"/>
      <c r="CA789" s="101"/>
      <c r="CB789" s="107"/>
      <c r="CC789" s="11"/>
      <c r="CD789" s="101"/>
      <c r="CE789" s="108"/>
      <c r="DX789" s="99"/>
      <c r="DY789" s="99"/>
      <c r="DZ789" s="99"/>
      <c r="EH789" s="100"/>
      <c r="EI789" s="100"/>
      <c r="EJ789" s="100"/>
      <c r="EK789" s="101"/>
      <c r="EL789" s="80"/>
      <c r="EM789" s="102"/>
      <c r="EN789" s="102"/>
      <c r="EO789" s="103"/>
      <c r="EP789" s="104"/>
      <c r="EQ789" s="28"/>
      <c r="ER789" s="102"/>
      <c r="ES789" s="102"/>
      <c r="ET789" s="102"/>
      <c r="EU789" s="102"/>
      <c r="EV789" s="105"/>
      <c r="EW789" s="101"/>
      <c r="EX789" s="105"/>
      <c r="EY789" s="11"/>
      <c r="EZ789" s="106"/>
      <c r="FA789" s="101"/>
      <c r="FB789" s="107"/>
      <c r="FC789" s="11"/>
      <c r="FD789" s="101"/>
      <c r="FE789" s="108"/>
    </row>
    <row r="790" spans="50:161">
      <c r="AX790" s="99"/>
      <c r="AY790" s="99"/>
      <c r="AZ790" s="99"/>
      <c r="BH790" s="100"/>
      <c r="BI790" s="100"/>
      <c r="BJ790" s="100"/>
      <c r="BK790" s="101"/>
      <c r="BL790" s="80"/>
      <c r="BM790" s="102"/>
      <c r="BN790" s="102"/>
      <c r="BO790" s="103"/>
      <c r="BP790" s="104"/>
      <c r="BQ790" s="28"/>
      <c r="BR790" s="102"/>
      <c r="BS790" s="102"/>
      <c r="BT790" s="102"/>
      <c r="BU790" s="102"/>
      <c r="BV790" s="105"/>
      <c r="BW790" s="101"/>
      <c r="BX790" s="105"/>
      <c r="BY790" s="11"/>
      <c r="BZ790" s="106"/>
      <c r="CA790" s="101"/>
      <c r="CB790" s="107"/>
      <c r="CC790" s="11"/>
      <c r="CD790" s="101"/>
      <c r="CE790" s="108"/>
      <c r="DX790" s="99"/>
      <c r="DY790" s="99"/>
      <c r="DZ790" s="99"/>
      <c r="EH790" s="100"/>
      <c r="EI790" s="100"/>
      <c r="EJ790" s="100"/>
      <c r="EK790" s="101"/>
      <c r="EL790" s="80"/>
      <c r="EM790" s="102"/>
      <c r="EN790" s="102"/>
      <c r="EO790" s="103"/>
      <c r="EP790" s="104"/>
      <c r="EQ790" s="28"/>
      <c r="ER790" s="102"/>
      <c r="ES790" s="102"/>
      <c r="ET790" s="102"/>
      <c r="EU790" s="102"/>
      <c r="EV790" s="105"/>
      <c r="EW790" s="101"/>
      <c r="EX790" s="105"/>
      <c r="EY790" s="11"/>
      <c r="EZ790" s="106"/>
      <c r="FA790" s="101"/>
      <c r="FB790" s="107"/>
      <c r="FC790" s="11"/>
      <c r="FD790" s="101"/>
      <c r="FE790" s="108"/>
    </row>
    <row r="791" spans="50:161">
      <c r="AX791" s="99"/>
      <c r="AY791" s="99"/>
      <c r="AZ791" s="99"/>
      <c r="BH791" s="100"/>
      <c r="BI791" s="100"/>
      <c r="BJ791" s="100"/>
      <c r="BK791" s="101"/>
      <c r="BL791" s="80"/>
      <c r="BM791" s="102"/>
      <c r="BN791" s="102"/>
      <c r="BO791" s="103"/>
      <c r="BP791" s="104"/>
      <c r="BQ791" s="28"/>
      <c r="BR791" s="102"/>
      <c r="BS791" s="102"/>
      <c r="BT791" s="102"/>
      <c r="BU791" s="102"/>
      <c r="BV791" s="105"/>
      <c r="BW791" s="101"/>
      <c r="BX791" s="105"/>
      <c r="BY791" s="11"/>
      <c r="BZ791" s="106"/>
      <c r="CA791" s="101"/>
      <c r="CB791" s="107"/>
      <c r="CC791" s="11"/>
      <c r="CD791" s="101"/>
      <c r="CE791" s="108"/>
      <c r="DX791" s="99"/>
      <c r="DY791" s="99"/>
      <c r="DZ791" s="99"/>
      <c r="EH791" s="100"/>
      <c r="EI791" s="100"/>
      <c r="EJ791" s="100"/>
      <c r="EK791" s="101"/>
      <c r="EL791" s="80"/>
      <c r="EM791" s="102"/>
      <c r="EN791" s="102"/>
      <c r="EO791" s="103"/>
      <c r="EP791" s="104"/>
      <c r="EQ791" s="28"/>
      <c r="ER791" s="102"/>
      <c r="ES791" s="102"/>
      <c r="ET791" s="102"/>
      <c r="EU791" s="102"/>
      <c r="EV791" s="105"/>
      <c r="EW791" s="101"/>
      <c r="EX791" s="105"/>
      <c r="EY791" s="11"/>
      <c r="EZ791" s="106"/>
      <c r="FA791" s="101"/>
      <c r="FB791" s="107"/>
      <c r="FC791" s="11"/>
      <c r="FD791" s="101"/>
      <c r="FE791" s="108"/>
    </row>
    <row r="792" spans="50:161">
      <c r="AX792" s="99"/>
      <c r="AY792" s="99"/>
      <c r="AZ792" s="99"/>
      <c r="BH792" s="100"/>
      <c r="BI792" s="100"/>
      <c r="BJ792" s="100"/>
      <c r="BK792" s="101"/>
      <c r="BL792" s="80"/>
      <c r="BM792" s="102"/>
      <c r="BN792" s="102"/>
      <c r="BO792" s="103"/>
      <c r="BP792" s="104"/>
      <c r="BQ792" s="28"/>
      <c r="BR792" s="102"/>
      <c r="BS792" s="102"/>
      <c r="BT792" s="102"/>
      <c r="BU792" s="102"/>
      <c r="BV792" s="105"/>
      <c r="BW792" s="101"/>
      <c r="BX792" s="105"/>
      <c r="BY792" s="11"/>
      <c r="BZ792" s="106"/>
      <c r="CA792" s="101"/>
      <c r="CB792" s="107"/>
      <c r="CC792" s="11"/>
      <c r="CD792" s="101"/>
      <c r="CE792" s="108"/>
      <c r="DX792" s="99"/>
      <c r="DY792" s="99"/>
      <c r="DZ792" s="99"/>
      <c r="EH792" s="100"/>
      <c r="EI792" s="100"/>
      <c r="EJ792" s="100"/>
      <c r="EK792" s="101"/>
      <c r="EL792" s="80"/>
      <c r="EM792" s="102"/>
      <c r="EN792" s="102"/>
      <c r="EO792" s="103"/>
      <c r="EP792" s="104"/>
      <c r="EQ792" s="28"/>
      <c r="ER792" s="102"/>
      <c r="ES792" s="102"/>
      <c r="ET792" s="102"/>
      <c r="EU792" s="102"/>
      <c r="EV792" s="105"/>
      <c r="EW792" s="101"/>
      <c r="EX792" s="105"/>
      <c r="EY792" s="11"/>
      <c r="EZ792" s="106"/>
      <c r="FA792" s="101"/>
      <c r="FB792" s="107"/>
      <c r="FC792" s="11"/>
      <c r="FD792" s="101"/>
      <c r="FE792" s="108"/>
    </row>
    <row r="793" spans="50:161">
      <c r="AX793" s="99"/>
      <c r="AY793" s="99"/>
      <c r="AZ793" s="99"/>
      <c r="BH793" s="100"/>
      <c r="BI793" s="100"/>
      <c r="BJ793" s="100"/>
      <c r="BK793" s="101"/>
      <c r="BL793" s="80"/>
      <c r="BM793" s="102"/>
      <c r="BN793" s="102"/>
      <c r="BO793" s="103"/>
      <c r="BP793" s="104"/>
      <c r="BQ793" s="28"/>
      <c r="BR793" s="102"/>
      <c r="BS793" s="102"/>
      <c r="BT793" s="102"/>
      <c r="BU793" s="102"/>
      <c r="BV793" s="105"/>
      <c r="BW793" s="101"/>
      <c r="BX793" s="105"/>
      <c r="BY793" s="11"/>
      <c r="BZ793" s="106"/>
      <c r="CA793" s="101"/>
      <c r="CB793" s="107"/>
      <c r="CC793" s="11"/>
      <c r="CD793" s="101"/>
      <c r="CE793" s="108"/>
      <c r="DX793" s="99"/>
      <c r="DY793" s="99"/>
      <c r="DZ793" s="99"/>
      <c r="EH793" s="100"/>
      <c r="EI793" s="100"/>
      <c r="EJ793" s="100"/>
      <c r="EK793" s="101"/>
      <c r="EL793" s="80"/>
      <c r="EM793" s="102"/>
      <c r="EN793" s="102"/>
      <c r="EO793" s="103"/>
      <c r="EP793" s="104"/>
      <c r="EQ793" s="28"/>
      <c r="ER793" s="102"/>
      <c r="ES793" s="102"/>
      <c r="ET793" s="102"/>
      <c r="EU793" s="102"/>
      <c r="EV793" s="105"/>
      <c r="EW793" s="101"/>
      <c r="EX793" s="105"/>
      <c r="EY793" s="11"/>
      <c r="EZ793" s="106"/>
      <c r="FA793" s="101"/>
      <c r="FB793" s="107"/>
      <c r="FC793" s="11"/>
      <c r="FD793" s="101"/>
      <c r="FE793" s="108"/>
    </row>
    <row r="794" spans="50:161">
      <c r="AX794" s="99"/>
      <c r="AY794" s="99"/>
      <c r="AZ794" s="99"/>
      <c r="BH794" s="100"/>
      <c r="BI794" s="100"/>
      <c r="BJ794" s="100"/>
      <c r="BK794" s="101"/>
      <c r="BL794" s="80"/>
      <c r="BM794" s="102"/>
      <c r="BN794" s="102"/>
      <c r="BO794" s="103"/>
      <c r="BP794" s="104"/>
      <c r="BQ794" s="28"/>
      <c r="BR794" s="102"/>
      <c r="BS794" s="102"/>
      <c r="BT794" s="102"/>
      <c r="BU794" s="102"/>
      <c r="BV794" s="105"/>
      <c r="BW794" s="101"/>
      <c r="BX794" s="105"/>
      <c r="BY794" s="11"/>
      <c r="BZ794" s="106"/>
      <c r="CA794" s="101"/>
      <c r="CB794" s="107"/>
      <c r="CC794" s="11"/>
      <c r="CD794" s="101"/>
      <c r="CE794" s="108"/>
      <c r="DX794" s="99"/>
      <c r="DY794" s="99"/>
      <c r="DZ794" s="99"/>
      <c r="EH794" s="100"/>
      <c r="EI794" s="100"/>
      <c r="EJ794" s="100"/>
      <c r="EK794" s="101"/>
      <c r="EL794" s="80"/>
      <c r="EM794" s="102"/>
      <c r="EN794" s="102"/>
      <c r="EO794" s="103"/>
      <c r="EP794" s="104"/>
      <c r="EQ794" s="28"/>
      <c r="ER794" s="102"/>
      <c r="ES794" s="102"/>
      <c r="ET794" s="102"/>
      <c r="EU794" s="102"/>
      <c r="EV794" s="105"/>
      <c r="EW794" s="101"/>
      <c r="EX794" s="105"/>
      <c r="EY794" s="11"/>
      <c r="EZ794" s="106"/>
      <c r="FA794" s="101"/>
      <c r="FB794" s="107"/>
      <c r="FC794" s="11"/>
      <c r="FD794" s="101"/>
      <c r="FE794" s="108"/>
    </row>
    <row r="795" spans="50:161">
      <c r="AX795" s="99"/>
      <c r="AY795" s="99"/>
      <c r="AZ795" s="99"/>
      <c r="BH795" s="100"/>
      <c r="BI795" s="100"/>
      <c r="BJ795" s="100"/>
      <c r="BK795" s="101"/>
      <c r="BL795" s="80"/>
      <c r="BM795" s="102"/>
      <c r="BN795" s="102"/>
      <c r="BO795" s="103"/>
      <c r="BP795" s="104"/>
      <c r="BQ795" s="28"/>
      <c r="BR795" s="102"/>
      <c r="BS795" s="102"/>
      <c r="BT795" s="102"/>
      <c r="BU795" s="102"/>
      <c r="BV795" s="105"/>
      <c r="BW795" s="101"/>
      <c r="BX795" s="105"/>
      <c r="BY795" s="11"/>
      <c r="BZ795" s="106"/>
      <c r="CA795" s="101"/>
      <c r="CB795" s="107"/>
      <c r="CC795" s="11"/>
      <c r="CD795" s="101"/>
      <c r="CE795" s="108"/>
      <c r="DX795" s="99"/>
      <c r="DY795" s="99"/>
      <c r="DZ795" s="99"/>
      <c r="EH795" s="100"/>
      <c r="EI795" s="100"/>
      <c r="EJ795" s="100"/>
      <c r="EK795" s="101"/>
      <c r="EL795" s="80"/>
      <c r="EM795" s="102"/>
      <c r="EN795" s="102"/>
      <c r="EO795" s="103"/>
      <c r="EP795" s="104"/>
      <c r="EQ795" s="28"/>
      <c r="ER795" s="102"/>
      <c r="ES795" s="102"/>
      <c r="ET795" s="102"/>
      <c r="EU795" s="102"/>
      <c r="EV795" s="105"/>
      <c r="EW795" s="101"/>
      <c r="EX795" s="105"/>
      <c r="EY795" s="11"/>
      <c r="EZ795" s="106"/>
      <c r="FA795" s="101"/>
      <c r="FB795" s="107"/>
      <c r="FC795" s="11"/>
      <c r="FD795" s="101"/>
      <c r="FE795" s="108"/>
    </row>
    <row r="796" spans="50:161">
      <c r="AX796" s="99"/>
      <c r="AY796" s="99"/>
      <c r="AZ796" s="99"/>
      <c r="BH796" s="100"/>
      <c r="BI796" s="100"/>
      <c r="BJ796" s="100"/>
      <c r="BK796" s="101"/>
      <c r="BL796" s="80"/>
      <c r="BM796" s="102"/>
      <c r="BN796" s="102"/>
      <c r="BO796" s="103"/>
      <c r="BP796" s="104"/>
      <c r="BQ796" s="28"/>
      <c r="BR796" s="102"/>
      <c r="BS796" s="102"/>
      <c r="BT796" s="102"/>
      <c r="BU796" s="102"/>
      <c r="BV796" s="105"/>
      <c r="BW796" s="101"/>
      <c r="BX796" s="105"/>
      <c r="BY796" s="11"/>
      <c r="BZ796" s="106"/>
      <c r="CA796" s="101"/>
      <c r="CB796" s="107"/>
      <c r="CC796" s="11"/>
      <c r="CD796" s="101"/>
      <c r="CE796" s="108"/>
      <c r="DX796" s="99"/>
      <c r="DY796" s="99"/>
      <c r="DZ796" s="99"/>
      <c r="EH796" s="100"/>
      <c r="EI796" s="100"/>
      <c r="EJ796" s="100"/>
      <c r="EK796" s="101"/>
      <c r="EL796" s="80"/>
      <c r="EM796" s="102"/>
      <c r="EN796" s="102"/>
      <c r="EO796" s="103"/>
      <c r="EP796" s="104"/>
      <c r="EQ796" s="28"/>
      <c r="ER796" s="102"/>
      <c r="ES796" s="102"/>
      <c r="ET796" s="102"/>
      <c r="EU796" s="102"/>
      <c r="EV796" s="105"/>
      <c r="EW796" s="101"/>
      <c r="EX796" s="105"/>
      <c r="EY796" s="11"/>
      <c r="EZ796" s="106"/>
      <c r="FA796" s="101"/>
      <c r="FB796" s="107"/>
      <c r="FC796" s="11"/>
      <c r="FD796" s="101"/>
      <c r="FE796" s="108"/>
    </row>
    <row r="797" spans="50:161">
      <c r="AX797" s="99"/>
      <c r="AY797" s="99"/>
      <c r="AZ797" s="99"/>
      <c r="BH797" s="100"/>
      <c r="BI797" s="100"/>
      <c r="BJ797" s="100"/>
      <c r="BK797" s="101"/>
      <c r="BL797" s="80"/>
      <c r="BM797" s="102"/>
      <c r="BN797" s="102"/>
      <c r="BO797" s="103"/>
      <c r="BP797" s="104"/>
      <c r="BQ797" s="28"/>
      <c r="BR797" s="102"/>
      <c r="BS797" s="102"/>
      <c r="BT797" s="102"/>
      <c r="BU797" s="102"/>
      <c r="BV797" s="105"/>
      <c r="BW797" s="101"/>
      <c r="BX797" s="105"/>
      <c r="BY797" s="11"/>
      <c r="BZ797" s="106"/>
      <c r="CA797" s="101"/>
      <c r="CB797" s="107"/>
      <c r="CC797" s="11"/>
      <c r="CD797" s="101"/>
      <c r="CE797" s="108"/>
      <c r="DX797" s="99"/>
      <c r="DY797" s="99"/>
      <c r="DZ797" s="99"/>
      <c r="EH797" s="100"/>
      <c r="EI797" s="100"/>
      <c r="EJ797" s="100"/>
      <c r="EK797" s="101"/>
      <c r="EL797" s="80"/>
      <c r="EM797" s="102"/>
      <c r="EN797" s="102"/>
      <c r="EO797" s="103"/>
      <c r="EP797" s="104"/>
      <c r="EQ797" s="28"/>
      <c r="ER797" s="102"/>
      <c r="ES797" s="102"/>
      <c r="ET797" s="102"/>
      <c r="EU797" s="102"/>
      <c r="EV797" s="105"/>
      <c r="EW797" s="101"/>
      <c r="EX797" s="105"/>
      <c r="EY797" s="11"/>
      <c r="EZ797" s="106"/>
      <c r="FA797" s="101"/>
      <c r="FB797" s="107"/>
      <c r="FC797" s="11"/>
      <c r="FD797" s="101"/>
      <c r="FE797" s="108"/>
    </row>
    <row r="798" spans="50:161">
      <c r="AX798" s="99"/>
      <c r="AY798" s="99"/>
      <c r="AZ798" s="99"/>
      <c r="BH798" s="100"/>
      <c r="BI798" s="100"/>
      <c r="BJ798" s="100"/>
      <c r="BK798" s="101"/>
      <c r="BL798" s="80"/>
      <c r="BM798" s="102"/>
      <c r="BN798" s="102"/>
      <c r="BO798" s="103"/>
      <c r="BP798" s="104"/>
      <c r="BQ798" s="28"/>
      <c r="BR798" s="102"/>
      <c r="BS798" s="102"/>
      <c r="BT798" s="102"/>
      <c r="BU798" s="102"/>
      <c r="BV798" s="105"/>
      <c r="BW798" s="101"/>
      <c r="BX798" s="105"/>
      <c r="BY798" s="11"/>
      <c r="BZ798" s="106"/>
      <c r="CA798" s="101"/>
      <c r="CB798" s="107"/>
      <c r="CC798" s="11"/>
      <c r="CD798" s="101"/>
      <c r="CE798" s="108"/>
      <c r="DX798" s="99"/>
      <c r="DY798" s="99"/>
      <c r="DZ798" s="99"/>
      <c r="EH798" s="100"/>
      <c r="EI798" s="100"/>
      <c r="EJ798" s="100"/>
      <c r="EK798" s="101"/>
      <c r="EL798" s="80"/>
      <c r="EM798" s="102"/>
      <c r="EN798" s="102"/>
      <c r="EO798" s="103"/>
      <c r="EP798" s="104"/>
      <c r="EQ798" s="28"/>
      <c r="ER798" s="102"/>
      <c r="ES798" s="102"/>
      <c r="ET798" s="102"/>
      <c r="EU798" s="102"/>
      <c r="EV798" s="105"/>
      <c r="EW798" s="101"/>
      <c r="EX798" s="105"/>
      <c r="EY798" s="11"/>
      <c r="EZ798" s="106"/>
      <c r="FA798" s="101"/>
      <c r="FB798" s="107"/>
      <c r="FC798" s="11"/>
      <c r="FD798" s="101"/>
      <c r="FE798" s="108"/>
    </row>
    <row r="799" spans="50:161">
      <c r="AX799" s="99"/>
      <c r="AY799" s="99"/>
      <c r="AZ799" s="99"/>
      <c r="BH799" s="100"/>
      <c r="BI799" s="100"/>
      <c r="BJ799" s="100"/>
      <c r="BK799" s="101"/>
      <c r="BL799" s="80"/>
      <c r="BM799" s="102"/>
      <c r="BN799" s="102"/>
      <c r="BO799" s="103"/>
      <c r="BP799" s="104"/>
      <c r="BQ799" s="28"/>
      <c r="BR799" s="102"/>
      <c r="BS799" s="102"/>
      <c r="BT799" s="102"/>
      <c r="BU799" s="102"/>
      <c r="BV799" s="105"/>
      <c r="BW799" s="101"/>
      <c r="BX799" s="105"/>
      <c r="BY799" s="11"/>
      <c r="BZ799" s="106"/>
      <c r="CA799" s="101"/>
      <c r="CB799" s="107"/>
      <c r="CC799" s="11"/>
      <c r="CD799" s="101"/>
      <c r="CE799" s="108"/>
      <c r="DX799" s="99"/>
      <c r="DY799" s="99"/>
      <c r="DZ799" s="99"/>
      <c r="EH799" s="100"/>
      <c r="EI799" s="100"/>
      <c r="EJ799" s="100"/>
      <c r="EK799" s="101"/>
      <c r="EL799" s="80"/>
      <c r="EM799" s="102"/>
      <c r="EN799" s="102"/>
      <c r="EO799" s="103"/>
      <c r="EP799" s="104"/>
      <c r="EQ799" s="28"/>
      <c r="ER799" s="102"/>
      <c r="ES799" s="102"/>
      <c r="ET799" s="102"/>
      <c r="EU799" s="102"/>
      <c r="EV799" s="105"/>
      <c r="EW799" s="101"/>
      <c r="EX799" s="105"/>
      <c r="EY799" s="11"/>
      <c r="EZ799" s="106"/>
      <c r="FA799" s="101"/>
      <c r="FB799" s="107"/>
      <c r="FC799" s="11"/>
      <c r="FD799" s="101"/>
      <c r="FE799" s="108"/>
    </row>
    <row r="800" spans="50:161">
      <c r="AX800" s="99"/>
      <c r="AY800" s="99"/>
      <c r="AZ800" s="99"/>
      <c r="BH800" s="100"/>
      <c r="BI800" s="100"/>
      <c r="BJ800" s="100"/>
      <c r="BK800" s="101"/>
      <c r="BL800" s="80"/>
      <c r="BM800" s="102"/>
      <c r="BN800" s="102"/>
      <c r="BO800" s="103"/>
      <c r="BP800" s="104"/>
      <c r="BQ800" s="28"/>
      <c r="BR800" s="102"/>
      <c r="BS800" s="102"/>
      <c r="BT800" s="102"/>
      <c r="BU800" s="102"/>
      <c r="BV800" s="105"/>
      <c r="BW800" s="101"/>
      <c r="BX800" s="105"/>
      <c r="BY800" s="11"/>
      <c r="BZ800" s="106"/>
      <c r="CA800" s="101"/>
      <c r="CB800" s="107"/>
      <c r="CC800" s="11"/>
      <c r="CD800" s="101"/>
      <c r="CE800" s="108"/>
      <c r="DX800" s="99"/>
      <c r="DY800" s="99"/>
      <c r="DZ800" s="99"/>
      <c r="EH800" s="100"/>
      <c r="EI800" s="100"/>
      <c r="EJ800" s="100"/>
      <c r="EK800" s="101"/>
      <c r="EL800" s="80"/>
      <c r="EM800" s="102"/>
      <c r="EN800" s="102"/>
      <c r="EO800" s="103"/>
      <c r="EP800" s="104"/>
      <c r="EQ800" s="28"/>
      <c r="ER800" s="102"/>
      <c r="ES800" s="102"/>
      <c r="ET800" s="102"/>
      <c r="EU800" s="102"/>
      <c r="EV800" s="105"/>
      <c r="EW800" s="101"/>
      <c r="EX800" s="105"/>
      <c r="EY800" s="11"/>
      <c r="EZ800" s="106"/>
      <c r="FA800" s="101"/>
      <c r="FB800" s="107"/>
      <c r="FC800" s="11"/>
      <c r="FD800" s="101"/>
      <c r="FE800" s="108"/>
    </row>
    <row r="801" spans="50:161">
      <c r="AX801" s="99"/>
      <c r="AY801" s="99"/>
      <c r="AZ801" s="99"/>
      <c r="BH801" s="100"/>
      <c r="BI801" s="100"/>
      <c r="BJ801" s="100"/>
      <c r="BK801" s="101"/>
      <c r="BL801" s="80"/>
      <c r="BM801" s="102"/>
      <c r="BN801" s="102"/>
      <c r="BO801" s="103"/>
      <c r="BP801" s="104"/>
      <c r="BQ801" s="28"/>
      <c r="BR801" s="102"/>
      <c r="BS801" s="102"/>
      <c r="BT801" s="102"/>
      <c r="BU801" s="102"/>
      <c r="BV801" s="105"/>
      <c r="BW801" s="101"/>
      <c r="BX801" s="105"/>
      <c r="BY801" s="11"/>
      <c r="BZ801" s="106"/>
      <c r="CA801" s="101"/>
      <c r="CB801" s="107"/>
      <c r="CC801" s="11"/>
      <c r="CD801" s="101"/>
      <c r="CE801" s="108"/>
      <c r="DX801" s="99"/>
      <c r="DY801" s="99"/>
      <c r="DZ801" s="99"/>
      <c r="EH801" s="100"/>
      <c r="EI801" s="100"/>
      <c r="EJ801" s="100"/>
      <c r="EK801" s="101"/>
      <c r="EL801" s="80"/>
      <c r="EM801" s="102"/>
      <c r="EN801" s="102"/>
      <c r="EO801" s="103"/>
      <c r="EP801" s="104"/>
      <c r="EQ801" s="28"/>
      <c r="ER801" s="102"/>
      <c r="ES801" s="102"/>
      <c r="ET801" s="102"/>
      <c r="EU801" s="102"/>
      <c r="EV801" s="105"/>
      <c r="EW801" s="101"/>
      <c r="EX801" s="105"/>
      <c r="EY801" s="11"/>
      <c r="EZ801" s="106"/>
      <c r="FA801" s="101"/>
      <c r="FB801" s="107"/>
      <c r="FC801" s="11"/>
      <c r="FD801" s="101"/>
      <c r="FE801" s="108"/>
    </row>
    <row r="802" spans="50:161">
      <c r="AX802" s="99"/>
      <c r="AY802" s="99"/>
      <c r="AZ802" s="99"/>
      <c r="BH802" s="100"/>
      <c r="BI802" s="100"/>
      <c r="BJ802" s="100"/>
      <c r="BK802" s="101"/>
      <c r="BL802" s="80"/>
      <c r="BM802" s="102"/>
      <c r="BN802" s="102"/>
      <c r="BO802" s="103"/>
      <c r="BP802" s="104"/>
      <c r="BQ802" s="28"/>
      <c r="BR802" s="102"/>
      <c r="BS802" s="102"/>
      <c r="BT802" s="102"/>
      <c r="BU802" s="102"/>
      <c r="BV802" s="105"/>
      <c r="BW802" s="101"/>
      <c r="BX802" s="105"/>
      <c r="BY802" s="11"/>
      <c r="BZ802" s="106"/>
      <c r="CA802" s="101"/>
      <c r="CB802" s="107"/>
      <c r="CC802" s="11"/>
      <c r="CD802" s="101"/>
      <c r="CE802" s="108"/>
      <c r="DX802" s="99"/>
      <c r="DY802" s="99"/>
      <c r="DZ802" s="99"/>
      <c r="EH802" s="100"/>
      <c r="EI802" s="100"/>
      <c r="EJ802" s="100"/>
      <c r="EK802" s="101"/>
      <c r="EL802" s="80"/>
      <c r="EM802" s="102"/>
      <c r="EN802" s="102"/>
      <c r="EO802" s="103"/>
      <c r="EP802" s="104"/>
      <c r="EQ802" s="28"/>
      <c r="ER802" s="102"/>
      <c r="ES802" s="102"/>
      <c r="ET802" s="102"/>
      <c r="EU802" s="102"/>
      <c r="EV802" s="105"/>
      <c r="EW802" s="101"/>
      <c r="EX802" s="105"/>
      <c r="EY802" s="11"/>
      <c r="EZ802" s="106"/>
      <c r="FA802" s="101"/>
      <c r="FB802" s="107"/>
      <c r="FC802" s="11"/>
      <c r="FD802" s="101"/>
      <c r="FE802" s="108"/>
    </row>
    <row r="803" spans="50:161">
      <c r="AX803" s="99"/>
      <c r="AY803" s="99"/>
      <c r="AZ803" s="99"/>
      <c r="BH803" s="100"/>
      <c r="BI803" s="100"/>
      <c r="BJ803" s="100"/>
      <c r="BK803" s="101"/>
      <c r="BL803" s="80"/>
      <c r="BM803" s="102"/>
      <c r="BN803" s="102"/>
      <c r="BO803" s="103"/>
      <c r="BP803" s="104"/>
      <c r="BQ803" s="28"/>
      <c r="BR803" s="102"/>
      <c r="BS803" s="102"/>
      <c r="BT803" s="102"/>
      <c r="BU803" s="102"/>
      <c r="BV803" s="105"/>
      <c r="BW803" s="101"/>
      <c r="BX803" s="105"/>
      <c r="BY803" s="11"/>
      <c r="BZ803" s="106"/>
      <c r="CA803" s="101"/>
      <c r="CB803" s="107"/>
      <c r="CC803" s="11"/>
      <c r="CD803" s="101"/>
      <c r="CE803" s="108"/>
      <c r="DX803" s="99"/>
      <c r="DY803" s="99"/>
      <c r="DZ803" s="99"/>
      <c r="EH803" s="100"/>
      <c r="EI803" s="100"/>
      <c r="EJ803" s="100"/>
      <c r="EK803" s="101"/>
      <c r="EL803" s="80"/>
      <c r="EM803" s="102"/>
      <c r="EN803" s="102"/>
      <c r="EO803" s="103"/>
      <c r="EP803" s="104"/>
      <c r="EQ803" s="28"/>
      <c r="ER803" s="102"/>
      <c r="ES803" s="102"/>
      <c r="ET803" s="102"/>
      <c r="EU803" s="102"/>
      <c r="EV803" s="105"/>
      <c r="EW803" s="101"/>
      <c r="EX803" s="105"/>
      <c r="EY803" s="11"/>
      <c r="EZ803" s="106"/>
      <c r="FA803" s="101"/>
      <c r="FB803" s="107"/>
      <c r="FC803" s="11"/>
      <c r="FD803" s="101"/>
      <c r="FE803" s="108"/>
    </row>
    <row r="804" spans="50:161">
      <c r="AX804" s="99"/>
      <c r="AY804" s="99"/>
      <c r="AZ804" s="99"/>
      <c r="BH804" s="100"/>
      <c r="BI804" s="100"/>
      <c r="BJ804" s="100"/>
      <c r="BK804" s="101"/>
      <c r="BL804" s="80"/>
      <c r="BM804" s="102"/>
      <c r="BN804" s="102"/>
      <c r="BO804" s="103"/>
      <c r="BP804" s="104"/>
      <c r="BQ804" s="28"/>
      <c r="BR804" s="102"/>
      <c r="BS804" s="102"/>
      <c r="BT804" s="102"/>
      <c r="BU804" s="102"/>
      <c r="BV804" s="105"/>
      <c r="BW804" s="101"/>
      <c r="BX804" s="105"/>
      <c r="BY804" s="11"/>
      <c r="BZ804" s="106"/>
      <c r="CA804" s="101"/>
      <c r="CB804" s="107"/>
      <c r="CC804" s="11"/>
      <c r="CD804" s="101"/>
      <c r="CE804" s="108"/>
      <c r="DX804" s="99"/>
      <c r="DY804" s="99"/>
      <c r="DZ804" s="99"/>
      <c r="EH804" s="100"/>
      <c r="EI804" s="100"/>
      <c r="EJ804" s="100"/>
      <c r="EK804" s="101"/>
      <c r="EL804" s="80"/>
      <c r="EM804" s="102"/>
      <c r="EN804" s="102"/>
      <c r="EO804" s="103"/>
      <c r="EP804" s="104"/>
      <c r="EQ804" s="28"/>
      <c r="ER804" s="102"/>
      <c r="ES804" s="102"/>
      <c r="ET804" s="102"/>
      <c r="EU804" s="102"/>
      <c r="EV804" s="105"/>
      <c r="EW804" s="101"/>
      <c r="EX804" s="105"/>
      <c r="EY804" s="11"/>
      <c r="EZ804" s="106"/>
      <c r="FA804" s="101"/>
      <c r="FB804" s="107"/>
      <c r="FC804" s="11"/>
      <c r="FD804" s="101"/>
      <c r="FE804" s="108"/>
    </row>
    <row r="805" spans="50:161">
      <c r="AX805" s="99"/>
      <c r="AY805" s="99"/>
      <c r="AZ805" s="99"/>
      <c r="BH805" s="100"/>
      <c r="BI805" s="100"/>
      <c r="BJ805" s="100"/>
      <c r="BK805" s="101"/>
      <c r="BL805" s="80"/>
      <c r="BM805" s="102"/>
      <c r="BN805" s="102"/>
      <c r="BO805" s="103"/>
      <c r="BP805" s="104"/>
      <c r="BQ805" s="28"/>
      <c r="BR805" s="102"/>
      <c r="BS805" s="102"/>
      <c r="BT805" s="102"/>
      <c r="BU805" s="102"/>
      <c r="BV805" s="105"/>
      <c r="BW805" s="101"/>
      <c r="BX805" s="105"/>
      <c r="BY805" s="11"/>
      <c r="BZ805" s="106"/>
      <c r="CA805" s="101"/>
      <c r="CB805" s="107"/>
      <c r="CC805" s="11"/>
      <c r="CD805" s="101"/>
      <c r="CE805" s="108"/>
      <c r="DX805" s="99"/>
      <c r="DY805" s="99"/>
      <c r="DZ805" s="99"/>
      <c r="EH805" s="100"/>
      <c r="EI805" s="100"/>
      <c r="EJ805" s="100"/>
      <c r="EK805" s="101"/>
      <c r="EL805" s="80"/>
      <c r="EM805" s="102"/>
      <c r="EN805" s="102"/>
      <c r="EO805" s="103"/>
      <c r="EP805" s="104"/>
      <c r="EQ805" s="28"/>
      <c r="ER805" s="102"/>
      <c r="ES805" s="102"/>
      <c r="ET805" s="102"/>
      <c r="EU805" s="102"/>
      <c r="EV805" s="105"/>
      <c r="EW805" s="101"/>
      <c r="EX805" s="105"/>
      <c r="EY805" s="11"/>
      <c r="EZ805" s="106"/>
      <c r="FA805" s="101"/>
      <c r="FB805" s="107"/>
      <c r="FC805" s="11"/>
      <c r="FD805" s="101"/>
      <c r="FE805" s="108"/>
    </row>
    <row r="806" spans="50:161">
      <c r="AX806" s="99"/>
      <c r="AY806" s="99"/>
      <c r="AZ806" s="99"/>
      <c r="BH806" s="100"/>
      <c r="BI806" s="100"/>
      <c r="BJ806" s="100"/>
      <c r="BK806" s="101"/>
      <c r="BL806" s="80"/>
      <c r="BM806" s="102"/>
      <c r="BN806" s="102"/>
      <c r="BO806" s="103"/>
      <c r="BP806" s="104"/>
      <c r="BQ806" s="28"/>
      <c r="BR806" s="102"/>
      <c r="BS806" s="102"/>
      <c r="BT806" s="102"/>
      <c r="BU806" s="102"/>
      <c r="BV806" s="105"/>
      <c r="BW806" s="101"/>
      <c r="BX806" s="105"/>
      <c r="BY806" s="11"/>
      <c r="BZ806" s="106"/>
      <c r="CA806" s="101"/>
      <c r="CB806" s="107"/>
      <c r="CC806" s="11"/>
      <c r="CD806" s="101"/>
      <c r="CE806" s="108"/>
      <c r="DX806" s="99"/>
      <c r="DY806" s="99"/>
      <c r="DZ806" s="99"/>
      <c r="EH806" s="100"/>
      <c r="EI806" s="100"/>
      <c r="EJ806" s="100"/>
      <c r="EK806" s="101"/>
      <c r="EL806" s="80"/>
      <c r="EM806" s="102"/>
      <c r="EN806" s="102"/>
      <c r="EO806" s="103"/>
      <c r="EP806" s="104"/>
      <c r="EQ806" s="28"/>
      <c r="ER806" s="102"/>
      <c r="ES806" s="102"/>
      <c r="ET806" s="102"/>
      <c r="EU806" s="102"/>
      <c r="EV806" s="105"/>
      <c r="EW806" s="101"/>
      <c r="EX806" s="105"/>
      <c r="EY806" s="11"/>
      <c r="EZ806" s="106"/>
      <c r="FA806" s="101"/>
      <c r="FB806" s="107"/>
      <c r="FC806" s="11"/>
      <c r="FD806" s="101"/>
      <c r="FE806" s="108"/>
    </row>
    <row r="807" spans="50:161">
      <c r="AX807" s="99"/>
      <c r="AY807" s="99"/>
      <c r="AZ807" s="99"/>
      <c r="BH807" s="100"/>
      <c r="BI807" s="100"/>
      <c r="BJ807" s="100"/>
      <c r="BK807" s="101"/>
      <c r="BL807" s="80"/>
      <c r="BM807" s="102"/>
      <c r="BN807" s="102"/>
      <c r="BO807" s="103"/>
      <c r="BP807" s="104"/>
      <c r="BQ807" s="28"/>
      <c r="BR807" s="102"/>
      <c r="BS807" s="102"/>
      <c r="BT807" s="102"/>
      <c r="BU807" s="102"/>
      <c r="BV807" s="105"/>
      <c r="BW807" s="101"/>
      <c r="BX807" s="105"/>
      <c r="BY807" s="11"/>
      <c r="BZ807" s="106"/>
      <c r="CA807" s="101"/>
      <c r="CB807" s="107"/>
      <c r="CC807" s="11"/>
      <c r="CD807" s="101"/>
      <c r="CE807" s="108"/>
      <c r="DX807" s="99"/>
      <c r="DY807" s="99"/>
      <c r="DZ807" s="99"/>
      <c r="EH807" s="100"/>
      <c r="EI807" s="100"/>
      <c r="EJ807" s="100"/>
      <c r="EK807" s="101"/>
      <c r="EL807" s="80"/>
      <c r="EM807" s="102"/>
      <c r="EN807" s="102"/>
      <c r="EO807" s="103"/>
      <c r="EP807" s="104"/>
      <c r="EQ807" s="28"/>
      <c r="ER807" s="102"/>
      <c r="ES807" s="102"/>
      <c r="ET807" s="102"/>
      <c r="EU807" s="102"/>
      <c r="EV807" s="105"/>
      <c r="EW807" s="101"/>
      <c r="EX807" s="105"/>
      <c r="EY807" s="11"/>
      <c r="EZ807" s="106"/>
      <c r="FA807" s="101"/>
      <c r="FB807" s="107"/>
      <c r="FC807" s="11"/>
      <c r="FD807" s="101"/>
      <c r="FE807" s="108"/>
    </row>
    <row r="808" spans="50:161">
      <c r="AX808" s="99"/>
      <c r="AY808" s="99"/>
      <c r="AZ808" s="99"/>
      <c r="BH808" s="100"/>
      <c r="BI808" s="100"/>
      <c r="BJ808" s="100"/>
      <c r="BK808" s="101"/>
      <c r="BL808" s="80"/>
      <c r="BM808" s="102"/>
      <c r="BN808" s="102"/>
      <c r="BO808" s="103"/>
      <c r="BP808" s="104"/>
      <c r="BQ808" s="28"/>
      <c r="BR808" s="102"/>
      <c r="BS808" s="102"/>
      <c r="BT808" s="102"/>
      <c r="BU808" s="102"/>
      <c r="BV808" s="105"/>
      <c r="BW808" s="101"/>
      <c r="BX808" s="105"/>
      <c r="BY808" s="11"/>
      <c r="BZ808" s="106"/>
      <c r="CA808" s="101"/>
      <c r="CB808" s="107"/>
      <c r="CC808" s="11"/>
      <c r="CD808" s="101"/>
      <c r="CE808" s="108"/>
      <c r="DX808" s="99"/>
      <c r="DY808" s="99"/>
      <c r="DZ808" s="99"/>
      <c r="EH808" s="100"/>
      <c r="EI808" s="100"/>
      <c r="EJ808" s="100"/>
      <c r="EK808" s="101"/>
      <c r="EL808" s="80"/>
      <c r="EM808" s="102"/>
      <c r="EN808" s="102"/>
      <c r="EO808" s="103"/>
      <c r="EP808" s="104"/>
      <c r="EQ808" s="28"/>
      <c r="ER808" s="102"/>
      <c r="ES808" s="102"/>
      <c r="ET808" s="102"/>
      <c r="EU808" s="102"/>
      <c r="EV808" s="105"/>
      <c r="EW808" s="101"/>
      <c r="EX808" s="105"/>
      <c r="EY808" s="11"/>
      <c r="EZ808" s="106"/>
      <c r="FA808" s="101"/>
      <c r="FB808" s="107"/>
      <c r="FC808" s="11"/>
      <c r="FD808" s="101"/>
      <c r="FE808" s="108"/>
    </row>
    <row r="809" spans="50:161">
      <c r="AX809" s="99"/>
      <c r="AY809" s="99"/>
      <c r="AZ809" s="99"/>
      <c r="BH809" s="100"/>
      <c r="BI809" s="100"/>
      <c r="BJ809" s="100"/>
      <c r="BK809" s="101"/>
      <c r="BL809" s="80"/>
      <c r="BM809" s="102"/>
      <c r="BN809" s="102"/>
      <c r="BO809" s="103"/>
      <c r="BP809" s="104"/>
      <c r="BQ809" s="28"/>
      <c r="BR809" s="102"/>
      <c r="BS809" s="102"/>
      <c r="BT809" s="102"/>
      <c r="BU809" s="102"/>
      <c r="BV809" s="105"/>
      <c r="BW809" s="101"/>
      <c r="BX809" s="105"/>
      <c r="BY809" s="11"/>
      <c r="BZ809" s="106"/>
      <c r="CA809" s="101"/>
      <c r="CB809" s="107"/>
      <c r="CC809" s="11"/>
      <c r="CD809" s="101"/>
      <c r="CE809" s="108"/>
      <c r="DX809" s="99"/>
      <c r="DY809" s="99"/>
      <c r="DZ809" s="99"/>
      <c r="EH809" s="100"/>
      <c r="EI809" s="100"/>
      <c r="EJ809" s="100"/>
      <c r="EK809" s="101"/>
      <c r="EL809" s="80"/>
      <c r="EM809" s="102"/>
      <c r="EN809" s="102"/>
      <c r="EO809" s="103"/>
      <c r="EP809" s="104"/>
      <c r="EQ809" s="28"/>
      <c r="ER809" s="102"/>
      <c r="ES809" s="102"/>
      <c r="ET809" s="102"/>
      <c r="EU809" s="102"/>
      <c r="EV809" s="105"/>
      <c r="EW809" s="101"/>
      <c r="EX809" s="105"/>
      <c r="EY809" s="11"/>
      <c r="EZ809" s="106"/>
      <c r="FA809" s="101"/>
      <c r="FB809" s="107"/>
      <c r="FC809" s="11"/>
      <c r="FD809" s="101"/>
      <c r="FE809" s="108"/>
    </row>
    <row r="810" spans="50:161">
      <c r="AX810" s="99"/>
      <c r="AY810" s="99"/>
      <c r="AZ810" s="99"/>
      <c r="BH810" s="100"/>
      <c r="BI810" s="100"/>
      <c r="BJ810" s="100"/>
      <c r="BK810" s="101"/>
      <c r="BL810" s="80"/>
      <c r="BM810" s="102"/>
      <c r="BN810" s="102"/>
      <c r="BO810" s="103"/>
      <c r="BP810" s="104"/>
      <c r="BQ810" s="28"/>
      <c r="BR810" s="102"/>
      <c r="BS810" s="102"/>
      <c r="BT810" s="102"/>
      <c r="BU810" s="102"/>
      <c r="BV810" s="105"/>
      <c r="BW810" s="101"/>
      <c r="BX810" s="105"/>
      <c r="BY810" s="11"/>
      <c r="BZ810" s="106"/>
      <c r="CA810" s="101"/>
      <c r="CB810" s="107"/>
      <c r="CC810" s="11"/>
      <c r="CD810" s="101"/>
      <c r="CE810" s="108"/>
      <c r="DX810" s="99"/>
      <c r="DY810" s="99"/>
      <c r="DZ810" s="99"/>
      <c r="EH810" s="100"/>
      <c r="EI810" s="100"/>
      <c r="EJ810" s="100"/>
      <c r="EK810" s="101"/>
      <c r="EL810" s="80"/>
      <c r="EM810" s="102"/>
      <c r="EN810" s="102"/>
      <c r="EO810" s="103"/>
      <c r="EP810" s="104"/>
      <c r="EQ810" s="28"/>
      <c r="ER810" s="102"/>
      <c r="ES810" s="102"/>
      <c r="ET810" s="102"/>
      <c r="EU810" s="102"/>
      <c r="EV810" s="105"/>
      <c r="EW810" s="101"/>
      <c r="EX810" s="105"/>
      <c r="EY810" s="11"/>
      <c r="EZ810" s="106"/>
      <c r="FA810" s="101"/>
      <c r="FB810" s="107"/>
      <c r="FC810" s="11"/>
      <c r="FD810" s="101"/>
      <c r="FE810" s="108"/>
    </row>
    <row r="811" spans="50:161">
      <c r="AX811" s="99"/>
      <c r="AY811" s="99"/>
      <c r="AZ811" s="99"/>
      <c r="BH811" s="100"/>
      <c r="BI811" s="100"/>
      <c r="BJ811" s="100"/>
      <c r="BK811" s="101"/>
      <c r="BL811" s="80"/>
      <c r="BM811" s="102"/>
      <c r="BN811" s="102"/>
      <c r="BO811" s="103"/>
      <c r="BP811" s="104"/>
      <c r="BQ811" s="28"/>
      <c r="BR811" s="102"/>
      <c r="BS811" s="102"/>
      <c r="BT811" s="102"/>
      <c r="BU811" s="102"/>
      <c r="BV811" s="105"/>
      <c r="BW811" s="101"/>
      <c r="BX811" s="105"/>
      <c r="BY811" s="11"/>
      <c r="BZ811" s="106"/>
      <c r="CA811" s="101"/>
      <c r="CB811" s="107"/>
      <c r="CC811" s="11"/>
      <c r="CD811" s="101"/>
      <c r="CE811" s="108"/>
      <c r="DX811" s="99"/>
      <c r="DY811" s="99"/>
      <c r="DZ811" s="99"/>
      <c r="EH811" s="100"/>
      <c r="EI811" s="100"/>
      <c r="EJ811" s="100"/>
      <c r="EK811" s="101"/>
      <c r="EL811" s="80"/>
      <c r="EM811" s="102"/>
      <c r="EN811" s="102"/>
      <c r="EO811" s="103"/>
      <c r="EP811" s="104"/>
      <c r="EQ811" s="28"/>
      <c r="ER811" s="102"/>
      <c r="ES811" s="102"/>
      <c r="ET811" s="102"/>
      <c r="EU811" s="102"/>
      <c r="EV811" s="105"/>
      <c r="EW811" s="101"/>
      <c r="EX811" s="105"/>
      <c r="EY811" s="11"/>
      <c r="EZ811" s="106"/>
      <c r="FA811" s="101"/>
      <c r="FB811" s="107"/>
      <c r="FC811" s="11"/>
      <c r="FD811" s="101"/>
      <c r="FE811" s="108"/>
    </row>
    <row r="812" spans="50:161">
      <c r="AX812" s="99"/>
      <c r="AY812" s="99"/>
      <c r="AZ812" s="99"/>
      <c r="BH812" s="100"/>
      <c r="BI812" s="100"/>
      <c r="BJ812" s="100"/>
      <c r="BK812" s="101"/>
      <c r="BL812" s="80"/>
      <c r="BM812" s="102"/>
      <c r="BN812" s="102"/>
      <c r="BO812" s="103"/>
      <c r="BP812" s="104"/>
      <c r="BQ812" s="28"/>
      <c r="BR812" s="102"/>
      <c r="BS812" s="102"/>
      <c r="BT812" s="102"/>
      <c r="BU812" s="102"/>
      <c r="BV812" s="105"/>
      <c r="BW812" s="101"/>
      <c r="BX812" s="105"/>
      <c r="BY812" s="11"/>
      <c r="BZ812" s="106"/>
      <c r="CA812" s="101"/>
      <c r="CB812" s="107"/>
      <c r="CC812" s="11"/>
      <c r="CD812" s="101"/>
      <c r="CE812" s="108"/>
      <c r="DX812" s="99"/>
      <c r="DY812" s="99"/>
      <c r="DZ812" s="99"/>
      <c r="EH812" s="100"/>
      <c r="EI812" s="100"/>
      <c r="EJ812" s="100"/>
      <c r="EK812" s="101"/>
      <c r="EL812" s="80"/>
      <c r="EM812" s="102"/>
      <c r="EN812" s="102"/>
      <c r="EO812" s="103"/>
      <c r="EP812" s="104"/>
      <c r="EQ812" s="28"/>
      <c r="ER812" s="102"/>
      <c r="ES812" s="102"/>
      <c r="ET812" s="102"/>
      <c r="EU812" s="102"/>
      <c r="EV812" s="105"/>
      <c r="EW812" s="101"/>
      <c r="EX812" s="105"/>
      <c r="EY812" s="11"/>
      <c r="EZ812" s="106"/>
      <c r="FA812" s="101"/>
      <c r="FB812" s="107"/>
      <c r="FC812" s="11"/>
      <c r="FD812" s="101"/>
      <c r="FE812" s="108"/>
    </row>
    <row r="813" spans="50:161">
      <c r="AX813" s="99"/>
      <c r="AY813" s="99"/>
      <c r="AZ813" s="99"/>
      <c r="BH813" s="100"/>
      <c r="BI813" s="100"/>
      <c r="BJ813" s="100"/>
      <c r="BK813" s="101"/>
      <c r="BL813" s="80"/>
      <c r="BM813" s="102"/>
      <c r="BN813" s="102"/>
      <c r="BO813" s="103"/>
      <c r="BP813" s="104"/>
      <c r="BQ813" s="28"/>
      <c r="BR813" s="102"/>
      <c r="BS813" s="102"/>
      <c r="BT813" s="102"/>
      <c r="BU813" s="102"/>
      <c r="BV813" s="105"/>
      <c r="BW813" s="101"/>
      <c r="BX813" s="105"/>
      <c r="BY813" s="11"/>
      <c r="BZ813" s="106"/>
      <c r="CA813" s="101"/>
      <c r="CB813" s="107"/>
      <c r="CC813" s="11"/>
      <c r="CD813" s="101"/>
      <c r="CE813" s="108"/>
      <c r="DX813" s="99"/>
      <c r="DY813" s="99"/>
      <c r="DZ813" s="99"/>
      <c r="EH813" s="100"/>
      <c r="EI813" s="100"/>
      <c r="EJ813" s="100"/>
      <c r="EK813" s="101"/>
      <c r="EL813" s="80"/>
      <c r="EM813" s="102"/>
      <c r="EN813" s="102"/>
      <c r="EO813" s="103"/>
      <c r="EP813" s="104"/>
      <c r="EQ813" s="28"/>
      <c r="ER813" s="102"/>
      <c r="ES813" s="102"/>
      <c r="ET813" s="102"/>
      <c r="EU813" s="102"/>
      <c r="EV813" s="105"/>
      <c r="EW813" s="101"/>
      <c r="EX813" s="105"/>
      <c r="EY813" s="11"/>
      <c r="EZ813" s="106"/>
      <c r="FA813" s="101"/>
      <c r="FB813" s="107"/>
      <c r="FC813" s="11"/>
      <c r="FD813" s="101"/>
      <c r="FE813" s="108"/>
    </row>
    <row r="814" spans="50:161">
      <c r="AX814" s="99"/>
      <c r="AY814" s="99"/>
      <c r="AZ814" s="99"/>
      <c r="BH814" s="100"/>
      <c r="BI814" s="100"/>
      <c r="BJ814" s="100"/>
      <c r="BK814" s="101"/>
      <c r="BL814" s="80"/>
      <c r="BM814" s="102"/>
      <c r="BN814" s="102"/>
      <c r="BO814" s="103"/>
      <c r="BP814" s="104"/>
      <c r="BQ814" s="28"/>
      <c r="BR814" s="102"/>
      <c r="BS814" s="102"/>
      <c r="BT814" s="102"/>
      <c r="BU814" s="102"/>
      <c r="BV814" s="105"/>
      <c r="BW814" s="101"/>
      <c r="BX814" s="105"/>
      <c r="BY814" s="11"/>
      <c r="BZ814" s="106"/>
      <c r="CA814" s="101"/>
      <c r="CB814" s="107"/>
      <c r="CC814" s="11"/>
      <c r="CD814" s="101"/>
      <c r="CE814" s="108"/>
      <c r="DX814" s="99"/>
      <c r="DY814" s="99"/>
      <c r="DZ814" s="99"/>
      <c r="EH814" s="100"/>
      <c r="EI814" s="100"/>
      <c r="EJ814" s="100"/>
      <c r="EK814" s="101"/>
      <c r="EL814" s="80"/>
      <c r="EM814" s="102"/>
      <c r="EN814" s="102"/>
      <c r="EO814" s="103"/>
      <c r="EP814" s="104"/>
      <c r="EQ814" s="28"/>
      <c r="ER814" s="102"/>
      <c r="ES814" s="102"/>
      <c r="ET814" s="102"/>
      <c r="EU814" s="102"/>
      <c r="EV814" s="105"/>
      <c r="EW814" s="101"/>
      <c r="EX814" s="105"/>
      <c r="EY814" s="11"/>
      <c r="EZ814" s="106"/>
      <c r="FA814" s="101"/>
      <c r="FB814" s="107"/>
      <c r="FC814" s="11"/>
      <c r="FD814" s="101"/>
      <c r="FE814" s="108"/>
    </row>
    <row r="815" spans="50:161">
      <c r="AX815" s="99"/>
      <c r="AY815" s="99"/>
      <c r="AZ815" s="99"/>
      <c r="BH815" s="100"/>
      <c r="BI815" s="100"/>
      <c r="BJ815" s="100"/>
      <c r="BK815" s="101"/>
      <c r="BL815" s="80"/>
      <c r="BM815" s="102"/>
      <c r="BN815" s="102"/>
      <c r="BO815" s="103"/>
      <c r="BP815" s="104"/>
      <c r="BQ815" s="28"/>
      <c r="BR815" s="102"/>
      <c r="BS815" s="102"/>
      <c r="BT815" s="102"/>
      <c r="BU815" s="102"/>
      <c r="BV815" s="105"/>
      <c r="BW815" s="101"/>
      <c r="BX815" s="105"/>
      <c r="BY815" s="11"/>
      <c r="BZ815" s="106"/>
      <c r="CA815" s="101"/>
      <c r="CB815" s="107"/>
      <c r="CC815" s="11"/>
      <c r="CD815" s="101"/>
      <c r="CE815" s="108"/>
      <c r="DX815" s="99"/>
      <c r="DY815" s="99"/>
      <c r="DZ815" s="99"/>
      <c r="EH815" s="100"/>
      <c r="EI815" s="100"/>
      <c r="EJ815" s="100"/>
      <c r="EK815" s="101"/>
      <c r="EL815" s="80"/>
      <c r="EM815" s="102"/>
      <c r="EN815" s="102"/>
      <c r="EO815" s="103"/>
      <c r="EP815" s="104"/>
      <c r="EQ815" s="28"/>
      <c r="ER815" s="102"/>
      <c r="ES815" s="102"/>
      <c r="ET815" s="102"/>
      <c r="EU815" s="102"/>
      <c r="EV815" s="105"/>
      <c r="EW815" s="101"/>
      <c r="EX815" s="105"/>
      <c r="EY815" s="11"/>
      <c r="EZ815" s="106"/>
      <c r="FA815" s="101"/>
      <c r="FB815" s="107"/>
      <c r="FC815" s="11"/>
      <c r="FD815" s="101"/>
      <c r="FE815" s="108"/>
    </row>
    <row r="816" spans="50:161">
      <c r="AX816" s="99"/>
      <c r="AY816" s="99"/>
      <c r="AZ816" s="99"/>
      <c r="BH816" s="100"/>
      <c r="BI816" s="100"/>
      <c r="BJ816" s="100"/>
      <c r="BK816" s="101"/>
      <c r="BL816" s="80"/>
      <c r="BM816" s="102"/>
      <c r="BN816" s="102"/>
      <c r="BO816" s="103"/>
      <c r="BP816" s="104"/>
      <c r="BQ816" s="28"/>
      <c r="BR816" s="102"/>
      <c r="BS816" s="102"/>
      <c r="BT816" s="102"/>
      <c r="BU816" s="102"/>
      <c r="BV816" s="105"/>
      <c r="BW816" s="101"/>
      <c r="BX816" s="105"/>
      <c r="BY816" s="11"/>
      <c r="BZ816" s="106"/>
      <c r="CA816" s="101"/>
      <c r="CB816" s="107"/>
      <c r="CC816" s="11"/>
      <c r="CD816" s="101"/>
      <c r="CE816" s="108"/>
      <c r="DX816" s="99"/>
      <c r="DY816" s="99"/>
      <c r="DZ816" s="99"/>
      <c r="EH816" s="100"/>
      <c r="EI816" s="100"/>
      <c r="EJ816" s="100"/>
      <c r="EK816" s="101"/>
      <c r="EL816" s="80"/>
      <c r="EM816" s="102"/>
      <c r="EN816" s="102"/>
      <c r="EO816" s="103"/>
      <c r="EP816" s="104"/>
      <c r="EQ816" s="28"/>
      <c r="ER816" s="102"/>
      <c r="ES816" s="102"/>
      <c r="ET816" s="102"/>
      <c r="EU816" s="102"/>
      <c r="EV816" s="105"/>
      <c r="EW816" s="101"/>
      <c r="EX816" s="105"/>
      <c r="EY816" s="11"/>
      <c r="EZ816" s="106"/>
      <c r="FA816" s="101"/>
      <c r="FB816" s="107"/>
      <c r="FC816" s="11"/>
      <c r="FD816" s="101"/>
      <c r="FE816" s="108"/>
    </row>
    <row r="817" spans="50:161">
      <c r="AX817" s="99"/>
      <c r="AY817" s="99"/>
      <c r="AZ817" s="99"/>
      <c r="BH817" s="100"/>
      <c r="BI817" s="100"/>
      <c r="BJ817" s="100"/>
      <c r="BK817" s="101"/>
      <c r="BL817" s="80"/>
      <c r="BM817" s="102"/>
      <c r="BN817" s="102"/>
      <c r="BO817" s="103"/>
      <c r="BP817" s="104"/>
      <c r="BQ817" s="28"/>
      <c r="BR817" s="102"/>
      <c r="BS817" s="102"/>
      <c r="BT817" s="102"/>
      <c r="BU817" s="102"/>
      <c r="BV817" s="105"/>
      <c r="BW817" s="101"/>
      <c r="BX817" s="105"/>
      <c r="BY817" s="11"/>
      <c r="BZ817" s="106"/>
      <c r="CA817" s="101"/>
      <c r="CB817" s="107"/>
      <c r="CC817" s="11"/>
      <c r="CD817" s="101"/>
      <c r="CE817" s="108"/>
      <c r="DX817" s="99"/>
      <c r="DY817" s="99"/>
      <c r="DZ817" s="99"/>
      <c r="EH817" s="100"/>
      <c r="EI817" s="100"/>
      <c r="EJ817" s="100"/>
      <c r="EK817" s="101"/>
      <c r="EL817" s="80"/>
      <c r="EM817" s="102"/>
      <c r="EN817" s="102"/>
      <c r="EO817" s="103"/>
      <c r="EP817" s="104"/>
      <c r="EQ817" s="28"/>
      <c r="ER817" s="102"/>
      <c r="ES817" s="102"/>
      <c r="ET817" s="102"/>
      <c r="EU817" s="102"/>
      <c r="EV817" s="105"/>
      <c r="EW817" s="101"/>
      <c r="EX817" s="105"/>
      <c r="EY817" s="11"/>
      <c r="EZ817" s="106"/>
      <c r="FA817" s="101"/>
      <c r="FB817" s="107"/>
      <c r="FC817" s="11"/>
      <c r="FD817" s="101"/>
      <c r="FE817" s="108"/>
    </row>
    <row r="818" spans="50:161">
      <c r="AX818" s="99"/>
      <c r="AY818" s="99"/>
      <c r="AZ818" s="99"/>
      <c r="BH818" s="100"/>
      <c r="BI818" s="100"/>
      <c r="BJ818" s="100"/>
      <c r="BK818" s="101"/>
      <c r="BL818" s="80"/>
      <c r="BM818" s="102"/>
      <c r="BN818" s="102"/>
      <c r="BO818" s="103"/>
      <c r="BP818" s="104"/>
      <c r="BQ818" s="28"/>
      <c r="BR818" s="102"/>
      <c r="BS818" s="102"/>
      <c r="BT818" s="102"/>
      <c r="BU818" s="102"/>
      <c r="BV818" s="105"/>
      <c r="BW818" s="101"/>
      <c r="BX818" s="105"/>
      <c r="BY818" s="11"/>
      <c r="BZ818" s="106"/>
      <c r="CA818" s="101"/>
      <c r="CB818" s="107"/>
      <c r="CC818" s="11"/>
      <c r="CD818" s="101"/>
      <c r="CE818" s="108"/>
      <c r="DX818" s="99"/>
      <c r="DY818" s="99"/>
      <c r="DZ818" s="99"/>
      <c r="EH818" s="100"/>
      <c r="EI818" s="100"/>
      <c r="EJ818" s="100"/>
      <c r="EK818" s="101"/>
      <c r="EL818" s="80"/>
      <c r="EM818" s="102"/>
      <c r="EN818" s="102"/>
      <c r="EO818" s="103"/>
      <c r="EP818" s="104"/>
      <c r="EQ818" s="28"/>
      <c r="ER818" s="102"/>
      <c r="ES818" s="102"/>
      <c r="ET818" s="102"/>
      <c r="EU818" s="102"/>
      <c r="EV818" s="105"/>
      <c r="EW818" s="101"/>
      <c r="EX818" s="105"/>
      <c r="EY818" s="11"/>
      <c r="EZ818" s="106"/>
      <c r="FA818" s="101"/>
      <c r="FB818" s="107"/>
      <c r="FC818" s="11"/>
      <c r="FD818" s="101"/>
      <c r="FE818" s="108"/>
    </row>
    <row r="819" spans="50:161">
      <c r="AX819" s="99"/>
      <c r="AY819" s="99"/>
      <c r="AZ819" s="99"/>
      <c r="BH819" s="100"/>
      <c r="BI819" s="100"/>
      <c r="BJ819" s="100"/>
      <c r="BK819" s="101"/>
      <c r="BL819" s="80"/>
      <c r="BM819" s="102"/>
      <c r="BN819" s="102"/>
      <c r="BO819" s="103"/>
      <c r="BP819" s="104"/>
      <c r="BQ819" s="28"/>
      <c r="BR819" s="102"/>
      <c r="BS819" s="102"/>
      <c r="BT819" s="102"/>
      <c r="BU819" s="102"/>
      <c r="BV819" s="105"/>
      <c r="BW819" s="101"/>
      <c r="BX819" s="105"/>
      <c r="BY819" s="11"/>
      <c r="BZ819" s="106"/>
      <c r="CA819" s="101"/>
      <c r="CB819" s="107"/>
      <c r="CC819" s="11"/>
      <c r="CD819" s="101"/>
      <c r="CE819" s="108"/>
      <c r="DX819" s="99"/>
      <c r="DY819" s="99"/>
      <c r="DZ819" s="99"/>
      <c r="EH819" s="100"/>
      <c r="EI819" s="100"/>
      <c r="EJ819" s="100"/>
      <c r="EK819" s="101"/>
      <c r="EL819" s="80"/>
      <c r="EM819" s="102"/>
      <c r="EN819" s="102"/>
      <c r="EO819" s="103"/>
      <c r="EP819" s="104"/>
      <c r="EQ819" s="28"/>
      <c r="ER819" s="102"/>
      <c r="ES819" s="102"/>
      <c r="ET819" s="102"/>
      <c r="EU819" s="102"/>
      <c r="EV819" s="105"/>
      <c r="EW819" s="101"/>
      <c r="EX819" s="105"/>
      <c r="EY819" s="11"/>
      <c r="EZ819" s="106"/>
      <c r="FA819" s="101"/>
      <c r="FB819" s="107"/>
      <c r="FC819" s="11"/>
      <c r="FD819" s="101"/>
      <c r="FE819" s="108"/>
    </row>
    <row r="820" spans="50:161">
      <c r="AX820" s="99"/>
      <c r="AY820" s="99"/>
      <c r="AZ820" s="99"/>
      <c r="BH820" s="100"/>
      <c r="BI820" s="100"/>
      <c r="BJ820" s="100"/>
      <c r="BK820" s="101"/>
      <c r="BL820" s="80"/>
      <c r="BM820" s="102"/>
      <c r="BN820" s="102"/>
      <c r="BO820" s="103"/>
      <c r="BP820" s="104"/>
      <c r="BQ820" s="28"/>
      <c r="BR820" s="102"/>
      <c r="BS820" s="102"/>
      <c r="BT820" s="102"/>
      <c r="BU820" s="102"/>
      <c r="BV820" s="105"/>
      <c r="BW820" s="101"/>
      <c r="BX820" s="105"/>
      <c r="BY820" s="11"/>
      <c r="BZ820" s="106"/>
      <c r="CA820" s="101"/>
      <c r="CB820" s="107"/>
      <c r="CC820" s="11"/>
      <c r="CD820" s="101"/>
      <c r="CE820" s="108"/>
      <c r="DX820" s="99"/>
      <c r="DY820" s="99"/>
      <c r="DZ820" s="99"/>
      <c r="EH820" s="100"/>
      <c r="EI820" s="100"/>
      <c r="EJ820" s="100"/>
      <c r="EK820" s="101"/>
      <c r="EL820" s="80"/>
      <c r="EM820" s="102"/>
      <c r="EN820" s="102"/>
      <c r="EO820" s="103"/>
      <c r="EP820" s="104"/>
      <c r="EQ820" s="28"/>
      <c r="ER820" s="102"/>
      <c r="ES820" s="102"/>
      <c r="ET820" s="102"/>
      <c r="EU820" s="102"/>
      <c r="EV820" s="105"/>
      <c r="EW820" s="101"/>
      <c r="EX820" s="105"/>
      <c r="EY820" s="11"/>
      <c r="EZ820" s="106"/>
      <c r="FA820" s="101"/>
      <c r="FB820" s="107"/>
      <c r="FC820" s="11"/>
      <c r="FD820" s="101"/>
      <c r="FE820" s="108"/>
    </row>
    <row r="821" spans="50:161">
      <c r="AX821" s="99"/>
      <c r="AY821" s="99"/>
      <c r="AZ821" s="99"/>
      <c r="BH821" s="100"/>
      <c r="BI821" s="100"/>
      <c r="BJ821" s="100"/>
      <c r="BK821" s="101"/>
      <c r="BL821" s="80"/>
      <c r="BM821" s="102"/>
      <c r="BN821" s="102"/>
      <c r="BO821" s="103"/>
      <c r="BP821" s="104"/>
      <c r="BQ821" s="28"/>
      <c r="BR821" s="102"/>
      <c r="BS821" s="102"/>
      <c r="BT821" s="102"/>
      <c r="BU821" s="102"/>
      <c r="BV821" s="105"/>
      <c r="BW821" s="101"/>
      <c r="BX821" s="105"/>
      <c r="BY821" s="11"/>
      <c r="BZ821" s="106"/>
      <c r="CA821" s="101"/>
      <c r="CB821" s="107"/>
      <c r="CC821" s="11"/>
      <c r="CD821" s="101"/>
      <c r="CE821" s="108"/>
      <c r="DX821" s="99"/>
      <c r="DY821" s="99"/>
      <c r="DZ821" s="99"/>
      <c r="EH821" s="100"/>
      <c r="EI821" s="100"/>
      <c r="EJ821" s="100"/>
      <c r="EK821" s="101"/>
      <c r="EL821" s="80"/>
      <c r="EM821" s="102"/>
      <c r="EN821" s="102"/>
      <c r="EO821" s="103"/>
      <c r="EP821" s="104"/>
      <c r="EQ821" s="28"/>
      <c r="ER821" s="102"/>
      <c r="ES821" s="102"/>
      <c r="ET821" s="102"/>
      <c r="EU821" s="102"/>
      <c r="EV821" s="105"/>
      <c r="EW821" s="101"/>
      <c r="EX821" s="105"/>
      <c r="EY821" s="11"/>
      <c r="EZ821" s="106"/>
      <c r="FA821" s="101"/>
      <c r="FB821" s="107"/>
      <c r="FC821" s="11"/>
      <c r="FD821" s="101"/>
      <c r="FE821" s="108"/>
    </row>
    <row r="822" spans="50:161">
      <c r="AX822" s="99"/>
      <c r="AY822" s="99"/>
      <c r="AZ822" s="99"/>
      <c r="BH822" s="100"/>
      <c r="BI822" s="100"/>
      <c r="BJ822" s="100"/>
      <c r="BK822" s="101"/>
      <c r="BL822" s="80"/>
      <c r="BM822" s="102"/>
      <c r="BN822" s="102"/>
      <c r="BO822" s="103"/>
      <c r="BP822" s="104"/>
      <c r="BQ822" s="28"/>
      <c r="BR822" s="102"/>
      <c r="BS822" s="102"/>
      <c r="BT822" s="102"/>
      <c r="BU822" s="102"/>
      <c r="BV822" s="105"/>
      <c r="BW822" s="101"/>
      <c r="BX822" s="105"/>
      <c r="BY822" s="11"/>
      <c r="BZ822" s="106"/>
      <c r="CA822" s="101"/>
      <c r="CB822" s="107"/>
      <c r="CC822" s="11"/>
      <c r="CD822" s="101"/>
      <c r="CE822" s="108"/>
      <c r="DX822" s="99"/>
      <c r="DY822" s="99"/>
      <c r="DZ822" s="99"/>
      <c r="EH822" s="100"/>
      <c r="EI822" s="100"/>
      <c r="EJ822" s="100"/>
      <c r="EK822" s="101"/>
      <c r="EL822" s="80"/>
      <c r="EM822" s="102"/>
      <c r="EN822" s="102"/>
      <c r="EO822" s="103"/>
      <c r="EP822" s="104"/>
      <c r="EQ822" s="28"/>
      <c r="ER822" s="102"/>
      <c r="ES822" s="102"/>
      <c r="ET822" s="102"/>
      <c r="EU822" s="102"/>
      <c r="EV822" s="105"/>
      <c r="EW822" s="101"/>
      <c r="EX822" s="105"/>
      <c r="EY822" s="11"/>
      <c r="EZ822" s="106"/>
      <c r="FA822" s="101"/>
      <c r="FB822" s="107"/>
      <c r="FC822" s="11"/>
      <c r="FD822" s="101"/>
      <c r="FE822" s="108"/>
    </row>
    <row r="823" spans="50:161">
      <c r="AX823" s="99"/>
      <c r="AY823" s="99"/>
      <c r="AZ823" s="99"/>
      <c r="BH823" s="100"/>
      <c r="BI823" s="100"/>
      <c r="BJ823" s="100"/>
      <c r="BK823" s="101"/>
      <c r="BL823" s="80"/>
      <c r="BM823" s="102"/>
      <c r="BN823" s="102"/>
      <c r="BO823" s="103"/>
      <c r="BP823" s="104"/>
      <c r="BQ823" s="28"/>
      <c r="BR823" s="102"/>
      <c r="BS823" s="102"/>
      <c r="BT823" s="102"/>
      <c r="BU823" s="102"/>
      <c r="BV823" s="105"/>
      <c r="BW823" s="101"/>
      <c r="BX823" s="105"/>
      <c r="BY823" s="11"/>
      <c r="BZ823" s="106"/>
      <c r="CA823" s="101"/>
      <c r="CB823" s="107"/>
      <c r="CC823" s="11"/>
      <c r="CD823" s="101"/>
      <c r="CE823" s="108"/>
      <c r="DX823" s="99"/>
      <c r="DY823" s="99"/>
      <c r="DZ823" s="99"/>
      <c r="EH823" s="100"/>
      <c r="EI823" s="100"/>
      <c r="EJ823" s="100"/>
      <c r="EK823" s="101"/>
      <c r="EL823" s="80"/>
      <c r="EM823" s="102"/>
      <c r="EN823" s="102"/>
      <c r="EO823" s="103"/>
      <c r="EP823" s="104"/>
      <c r="EQ823" s="28"/>
      <c r="ER823" s="102"/>
      <c r="ES823" s="102"/>
      <c r="ET823" s="102"/>
      <c r="EU823" s="102"/>
      <c r="EV823" s="105"/>
      <c r="EW823" s="101"/>
      <c r="EX823" s="105"/>
      <c r="EY823" s="11"/>
      <c r="EZ823" s="106"/>
      <c r="FA823" s="101"/>
      <c r="FB823" s="107"/>
      <c r="FC823" s="11"/>
      <c r="FD823" s="101"/>
      <c r="FE823" s="108"/>
    </row>
    <row r="824" spans="50:161">
      <c r="AX824" s="99"/>
      <c r="AY824" s="99"/>
      <c r="AZ824" s="99"/>
      <c r="BH824" s="100"/>
      <c r="BI824" s="100"/>
      <c r="BJ824" s="100"/>
      <c r="BK824" s="101"/>
      <c r="BL824" s="80"/>
      <c r="BM824" s="102"/>
      <c r="BN824" s="102"/>
      <c r="BO824" s="103"/>
      <c r="BP824" s="104"/>
      <c r="BQ824" s="28"/>
      <c r="BR824" s="102"/>
      <c r="BS824" s="102"/>
      <c r="BT824" s="102"/>
      <c r="BU824" s="102"/>
      <c r="BV824" s="105"/>
      <c r="BW824" s="101"/>
      <c r="BX824" s="105"/>
      <c r="BY824" s="11"/>
      <c r="BZ824" s="106"/>
      <c r="CA824" s="101"/>
      <c r="CB824" s="107"/>
      <c r="CC824" s="11"/>
      <c r="CD824" s="101"/>
      <c r="CE824" s="108"/>
      <c r="DX824" s="99"/>
      <c r="DY824" s="99"/>
      <c r="DZ824" s="99"/>
      <c r="EH824" s="100"/>
      <c r="EI824" s="100"/>
      <c r="EJ824" s="100"/>
      <c r="EK824" s="101"/>
      <c r="EL824" s="80"/>
      <c r="EM824" s="102"/>
      <c r="EN824" s="102"/>
      <c r="EO824" s="103"/>
      <c r="EP824" s="104"/>
      <c r="EQ824" s="28"/>
      <c r="ER824" s="102"/>
      <c r="ES824" s="102"/>
      <c r="ET824" s="102"/>
      <c r="EU824" s="102"/>
      <c r="EV824" s="105"/>
      <c r="EW824" s="101"/>
      <c r="EX824" s="105"/>
      <c r="EY824" s="11"/>
      <c r="EZ824" s="106"/>
      <c r="FA824" s="101"/>
      <c r="FB824" s="107"/>
      <c r="FC824" s="11"/>
      <c r="FD824" s="101"/>
      <c r="FE824" s="108"/>
    </row>
    <row r="825" spans="50:161">
      <c r="AX825" s="99"/>
      <c r="AY825" s="99"/>
      <c r="AZ825" s="99"/>
      <c r="BH825" s="100"/>
      <c r="BI825" s="100"/>
      <c r="BJ825" s="100"/>
      <c r="BK825" s="101"/>
      <c r="BL825" s="80"/>
      <c r="BM825" s="102"/>
      <c r="BN825" s="102"/>
      <c r="BO825" s="103"/>
      <c r="BP825" s="104"/>
      <c r="BQ825" s="28"/>
      <c r="BR825" s="102"/>
      <c r="BS825" s="102"/>
      <c r="BT825" s="102"/>
      <c r="BU825" s="102"/>
      <c r="BV825" s="105"/>
      <c r="BW825" s="101"/>
      <c r="BX825" s="105"/>
      <c r="BY825" s="11"/>
      <c r="BZ825" s="106"/>
      <c r="CA825" s="101"/>
      <c r="CB825" s="107"/>
      <c r="CC825" s="11"/>
      <c r="CD825" s="101"/>
      <c r="CE825" s="108"/>
      <c r="DX825" s="99"/>
      <c r="DY825" s="99"/>
      <c r="DZ825" s="99"/>
      <c r="EH825" s="100"/>
      <c r="EI825" s="100"/>
      <c r="EJ825" s="100"/>
      <c r="EK825" s="101"/>
      <c r="EL825" s="80"/>
      <c r="EM825" s="102"/>
      <c r="EN825" s="102"/>
      <c r="EO825" s="103"/>
      <c r="EP825" s="104"/>
      <c r="EQ825" s="28"/>
      <c r="ER825" s="102"/>
      <c r="ES825" s="102"/>
      <c r="ET825" s="102"/>
      <c r="EU825" s="102"/>
      <c r="EV825" s="105"/>
      <c r="EW825" s="101"/>
      <c r="EX825" s="105"/>
      <c r="EY825" s="11"/>
      <c r="EZ825" s="106"/>
      <c r="FA825" s="101"/>
      <c r="FB825" s="107"/>
      <c r="FC825" s="11"/>
      <c r="FD825" s="101"/>
      <c r="FE825" s="108"/>
    </row>
    <row r="826" spans="50:161">
      <c r="AX826" s="99"/>
      <c r="AY826" s="99"/>
      <c r="AZ826" s="99"/>
      <c r="BH826" s="100"/>
      <c r="BI826" s="100"/>
      <c r="BJ826" s="100"/>
      <c r="BK826" s="101"/>
      <c r="BL826" s="80"/>
      <c r="BM826" s="102"/>
      <c r="BN826" s="102"/>
      <c r="BO826" s="103"/>
      <c r="BP826" s="104"/>
      <c r="BQ826" s="28"/>
      <c r="BR826" s="102"/>
      <c r="BS826" s="102"/>
      <c r="BT826" s="102"/>
      <c r="BU826" s="102"/>
      <c r="BV826" s="105"/>
      <c r="BW826" s="101"/>
      <c r="BX826" s="105"/>
      <c r="BY826" s="11"/>
      <c r="BZ826" s="106"/>
      <c r="CA826" s="101"/>
      <c r="CB826" s="107"/>
      <c r="CC826" s="11"/>
      <c r="CD826" s="101"/>
      <c r="CE826" s="108"/>
      <c r="DX826" s="99"/>
      <c r="DY826" s="99"/>
      <c r="DZ826" s="99"/>
      <c r="EH826" s="100"/>
      <c r="EI826" s="100"/>
      <c r="EJ826" s="100"/>
      <c r="EK826" s="101"/>
      <c r="EL826" s="80"/>
      <c r="EM826" s="102"/>
      <c r="EN826" s="102"/>
      <c r="EO826" s="103"/>
      <c r="EP826" s="104"/>
      <c r="EQ826" s="28"/>
      <c r="ER826" s="102"/>
      <c r="ES826" s="102"/>
      <c r="ET826" s="102"/>
      <c r="EU826" s="102"/>
      <c r="EV826" s="105"/>
      <c r="EW826" s="101"/>
      <c r="EX826" s="105"/>
      <c r="EY826" s="11"/>
      <c r="EZ826" s="106"/>
      <c r="FA826" s="101"/>
      <c r="FB826" s="107"/>
      <c r="FC826" s="11"/>
      <c r="FD826" s="101"/>
      <c r="FE826" s="108"/>
    </row>
    <row r="827" spans="50:161">
      <c r="AX827" s="99"/>
      <c r="AY827" s="99"/>
      <c r="AZ827" s="99"/>
      <c r="BH827" s="100"/>
      <c r="BI827" s="100"/>
      <c r="BJ827" s="100"/>
      <c r="BK827" s="101"/>
      <c r="BL827" s="80"/>
      <c r="BM827" s="102"/>
      <c r="BN827" s="102"/>
      <c r="BO827" s="103"/>
      <c r="BP827" s="104"/>
      <c r="BQ827" s="28"/>
      <c r="BR827" s="102"/>
      <c r="BS827" s="102"/>
      <c r="BT827" s="102"/>
      <c r="BU827" s="102"/>
      <c r="BV827" s="105"/>
      <c r="BW827" s="101"/>
      <c r="BX827" s="105"/>
      <c r="BY827" s="11"/>
      <c r="BZ827" s="106"/>
      <c r="CA827" s="101"/>
      <c r="CB827" s="107"/>
      <c r="CC827" s="11"/>
      <c r="CD827" s="101"/>
      <c r="CE827" s="108"/>
      <c r="DX827" s="99"/>
      <c r="DY827" s="99"/>
      <c r="DZ827" s="99"/>
      <c r="EH827" s="100"/>
      <c r="EI827" s="100"/>
      <c r="EJ827" s="100"/>
      <c r="EK827" s="101"/>
      <c r="EL827" s="80"/>
      <c r="EM827" s="102"/>
      <c r="EN827" s="102"/>
      <c r="EO827" s="103"/>
      <c r="EP827" s="104"/>
      <c r="EQ827" s="28"/>
      <c r="ER827" s="102"/>
      <c r="ES827" s="102"/>
      <c r="ET827" s="102"/>
      <c r="EU827" s="102"/>
      <c r="EV827" s="105"/>
      <c r="EW827" s="101"/>
      <c r="EX827" s="105"/>
      <c r="EY827" s="11"/>
      <c r="EZ827" s="106"/>
      <c r="FA827" s="101"/>
      <c r="FB827" s="107"/>
      <c r="FC827" s="11"/>
      <c r="FD827" s="101"/>
      <c r="FE827" s="108"/>
    </row>
    <row r="828" spans="50:161">
      <c r="AX828" s="99"/>
      <c r="AY828" s="99"/>
      <c r="AZ828" s="99"/>
      <c r="BH828" s="100"/>
      <c r="BI828" s="100"/>
      <c r="BJ828" s="100"/>
      <c r="BK828" s="101"/>
      <c r="BL828" s="80"/>
      <c r="BM828" s="102"/>
      <c r="BN828" s="102"/>
      <c r="BO828" s="103"/>
      <c r="BP828" s="104"/>
      <c r="BQ828" s="28"/>
      <c r="BR828" s="102"/>
      <c r="BS828" s="102"/>
      <c r="BT828" s="102"/>
      <c r="BU828" s="102"/>
      <c r="BV828" s="105"/>
      <c r="BW828" s="101"/>
      <c r="BX828" s="105"/>
      <c r="BY828" s="11"/>
      <c r="BZ828" s="106"/>
      <c r="CA828" s="101"/>
      <c r="CB828" s="107"/>
      <c r="CC828" s="11"/>
      <c r="CD828" s="101"/>
      <c r="CE828" s="108"/>
      <c r="DX828" s="99"/>
      <c r="DY828" s="99"/>
      <c r="DZ828" s="99"/>
      <c r="EH828" s="100"/>
      <c r="EI828" s="100"/>
      <c r="EJ828" s="100"/>
      <c r="EK828" s="101"/>
      <c r="EL828" s="80"/>
      <c r="EM828" s="102"/>
      <c r="EN828" s="102"/>
      <c r="EO828" s="103"/>
      <c r="EP828" s="104"/>
      <c r="EQ828" s="28"/>
      <c r="ER828" s="102"/>
      <c r="ES828" s="102"/>
      <c r="ET828" s="102"/>
      <c r="EU828" s="102"/>
      <c r="EV828" s="105"/>
      <c r="EW828" s="101"/>
      <c r="EX828" s="105"/>
      <c r="EY828" s="11"/>
      <c r="EZ828" s="106"/>
      <c r="FA828" s="101"/>
      <c r="FB828" s="107"/>
      <c r="FC828" s="11"/>
      <c r="FD828" s="101"/>
      <c r="FE828" s="108"/>
    </row>
    <row r="829" spans="50:161">
      <c r="AX829" s="99"/>
      <c r="AY829" s="99"/>
      <c r="AZ829" s="99"/>
      <c r="BH829" s="100"/>
      <c r="BI829" s="100"/>
      <c r="BJ829" s="100"/>
      <c r="BK829" s="101"/>
      <c r="BL829" s="80"/>
      <c r="BM829" s="102"/>
      <c r="BN829" s="102"/>
      <c r="BO829" s="103"/>
      <c r="BP829" s="104"/>
      <c r="BQ829" s="28"/>
      <c r="BR829" s="102"/>
      <c r="BS829" s="102"/>
      <c r="BT829" s="102"/>
      <c r="BU829" s="102"/>
      <c r="BV829" s="105"/>
      <c r="BW829" s="101"/>
      <c r="BX829" s="105"/>
      <c r="BY829" s="11"/>
      <c r="BZ829" s="106"/>
      <c r="CA829" s="101"/>
      <c r="CB829" s="107"/>
      <c r="CC829" s="11"/>
      <c r="CD829" s="101"/>
      <c r="CE829" s="108"/>
      <c r="DX829" s="99"/>
      <c r="DY829" s="99"/>
      <c r="DZ829" s="99"/>
      <c r="EH829" s="100"/>
      <c r="EI829" s="100"/>
      <c r="EJ829" s="100"/>
      <c r="EK829" s="101"/>
      <c r="EL829" s="80"/>
      <c r="EM829" s="102"/>
      <c r="EN829" s="102"/>
      <c r="EO829" s="103"/>
      <c r="EP829" s="104"/>
      <c r="EQ829" s="28"/>
      <c r="ER829" s="102"/>
      <c r="ES829" s="102"/>
      <c r="ET829" s="102"/>
      <c r="EU829" s="102"/>
      <c r="EV829" s="105"/>
      <c r="EW829" s="101"/>
      <c r="EX829" s="105"/>
      <c r="EY829" s="11"/>
      <c r="EZ829" s="106"/>
      <c r="FA829" s="101"/>
      <c r="FB829" s="107"/>
      <c r="FC829" s="11"/>
      <c r="FD829" s="101"/>
      <c r="FE829" s="108"/>
    </row>
    <row r="830" spans="50:161">
      <c r="AX830" s="99"/>
      <c r="AY830" s="99"/>
      <c r="AZ830" s="99"/>
      <c r="BH830" s="100"/>
      <c r="BI830" s="100"/>
      <c r="BJ830" s="100"/>
      <c r="BK830" s="101"/>
      <c r="BL830" s="80"/>
      <c r="BM830" s="102"/>
      <c r="BN830" s="102"/>
      <c r="BO830" s="103"/>
      <c r="BP830" s="104"/>
      <c r="BQ830" s="28"/>
      <c r="BR830" s="102"/>
      <c r="BS830" s="102"/>
      <c r="BT830" s="102"/>
      <c r="BU830" s="102"/>
      <c r="BV830" s="105"/>
      <c r="BW830" s="101"/>
      <c r="BX830" s="105"/>
      <c r="BY830" s="11"/>
      <c r="BZ830" s="106"/>
      <c r="CA830" s="101"/>
      <c r="CB830" s="107"/>
      <c r="CC830" s="11"/>
      <c r="CD830" s="101"/>
      <c r="CE830" s="108"/>
      <c r="DX830" s="99"/>
      <c r="DY830" s="99"/>
      <c r="DZ830" s="99"/>
      <c r="EH830" s="100"/>
      <c r="EI830" s="100"/>
      <c r="EJ830" s="100"/>
      <c r="EK830" s="101"/>
      <c r="EL830" s="80"/>
      <c r="EM830" s="102"/>
      <c r="EN830" s="102"/>
      <c r="EO830" s="103"/>
      <c r="EP830" s="104"/>
      <c r="EQ830" s="28"/>
      <c r="ER830" s="102"/>
      <c r="ES830" s="102"/>
      <c r="ET830" s="102"/>
      <c r="EU830" s="102"/>
      <c r="EV830" s="105"/>
      <c r="EW830" s="101"/>
      <c r="EX830" s="105"/>
      <c r="EY830" s="11"/>
      <c r="EZ830" s="106"/>
      <c r="FA830" s="101"/>
      <c r="FB830" s="107"/>
      <c r="FC830" s="11"/>
      <c r="FD830" s="101"/>
      <c r="FE830" s="108"/>
    </row>
    <row r="831" spans="50:161">
      <c r="AX831" s="99"/>
      <c r="AY831" s="99"/>
      <c r="AZ831" s="99"/>
      <c r="BH831" s="100"/>
      <c r="BI831" s="100"/>
      <c r="BJ831" s="100"/>
      <c r="BK831" s="101"/>
      <c r="BL831" s="80"/>
      <c r="BM831" s="102"/>
      <c r="BN831" s="102"/>
      <c r="BO831" s="103"/>
      <c r="BP831" s="104"/>
      <c r="BQ831" s="28"/>
      <c r="BR831" s="102"/>
      <c r="BS831" s="102"/>
      <c r="BT831" s="102"/>
      <c r="BU831" s="102"/>
      <c r="BV831" s="105"/>
      <c r="BW831" s="101"/>
      <c r="BX831" s="105"/>
      <c r="BY831" s="11"/>
      <c r="BZ831" s="106"/>
      <c r="CA831" s="101"/>
      <c r="CB831" s="107"/>
      <c r="CC831" s="11"/>
      <c r="CD831" s="101"/>
      <c r="CE831" s="108"/>
      <c r="DX831" s="99"/>
      <c r="DY831" s="99"/>
      <c r="DZ831" s="99"/>
      <c r="EH831" s="100"/>
      <c r="EI831" s="100"/>
      <c r="EJ831" s="100"/>
      <c r="EK831" s="101"/>
      <c r="EL831" s="80"/>
      <c r="EM831" s="102"/>
      <c r="EN831" s="102"/>
      <c r="EO831" s="103"/>
      <c r="EP831" s="104"/>
      <c r="EQ831" s="28"/>
      <c r="ER831" s="102"/>
      <c r="ES831" s="102"/>
      <c r="ET831" s="102"/>
      <c r="EU831" s="102"/>
      <c r="EV831" s="105"/>
      <c r="EW831" s="101"/>
      <c r="EX831" s="105"/>
      <c r="EY831" s="11"/>
      <c r="EZ831" s="106"/>
      <c r="FA831" s="101"/>
      <c r="FB831" s="107"/>
      <c r="FC831" s="11"/>
      <c r="FD831" s="101"/>
      <c r="FE831" s="108"/>
    </row>
    <row r="832" spans="50:161">
      <c r="AX832" s="99"/>
      <c r="AY832" s="99"/>
      <c r="AZ832" s="99"/>
      <c r="BH832" s="100"/>
      <c r="BI832" s="100"/>
      <c r="BJ832" s="100"/>
      <c r="BK832" s="101"/>
      <c r="BL832" s="80"/>
      <c r="BM832" s="102"/>
      <c r="BN832" s="102"/>
      <c r="BO832" s="103"/>
      <c r="BP832" s="104"/>
      <c r="BQ832" s="28"/>
      <c r="BR832" s="102"/>
      <c r="BS832" s="102"/>
      <c r="BT832" s="102"/>
      <c r="BU832" s="102"/>
      <c r="BV832" s="105"/>
      <c r="BW832" s="101"/>
      <c r="BX832" s="105"/>
      <c r="BY832" s="11"/>
      <c r="BZ832" s="106"/>
      <c r="CA832" s="101"/>
      <c r="CB832" s="107"/>
      <c r="CC832" s="11"/>
      <c r="CD832" s="101"/>
      <c r="CE832" s="108"/>
      <c r="DX832" s="99"/>
      <c r="DY832" s="99"/>
      <c r="DZ832" s="99"/>
      <c r="EH832" s="100"/>
      <c r="EI832" s="100"/>
      <c r="EJ832" s="100"/>
      <c r="EK832" s="101"/>
      <c r="EL832" s="80"/>
      <c r="EM832" s="102"/>
      <c r="EN832" s="102"/>
      <c r="EO832" s="103"/>
      <c r="EP832" s="104"/>
      <c r="EQ832" s="28"/>
      <c r="ER832" s="102"/>
      <c r="ES832" s="102"/>
      <c r="ET832" s="102"/>
      <c r="EU832" s="102"/>
      <c r="EV832" s="105"/>
      <c r="EW832" s="101"/>
      <c r="EX832" s="105"/>
      <c r="EY832" s="11"/>
      <c r="EZ832" s="106"/>
      <c r="FA832" s="101"/>
      <c r="FB832" s="107"/>
      <c r="FC832" s="11"/>
      <c r="FD832" s="101"/>
      <c r="FE832" s="108"/>
    </row>
    <row r="833" spans="50:161">
      <c r="AX833" s="99"/>
      <c r="AY833" s="99"/>
      <c r="AZ833" s="99"/>
      <c r="BH833" s="100"/>
      <c r="BI833" s="100"/>
      <c r="BJ833" s="100"/>
      <c r="BK833" s="101"/>
      <c r="BL833" s="80"/>
      <c r="BM833" s="102"/>
      <c r="BN833" s="102"/>
      <c r="BO833" s="103"/>
      <c r="BP833" s="104"/>
      <c r="BQ833" s="28"/>
      <c r="BR833" s="102"/>
      <c r="BS833" s="102"/>
      <c r="BT833" s="102"/>
      <c r="BU833" s="102"/>
      <c r="BV833" s="105"/>
      <c r="BW833" s="101"/>
      <c r="BX833" s="105"/>
      <c r="BY833" s="11"/>
      <c r="BZ833" s="106"/>
      <c r="CA833" s="101"/>
      <c r="CB833" s="107"/>
      <c r="CC833" s="11"/>
      <c r="CD833" s="101"/>
      <c r="CE833" s="108"/>
      <c r="DX833" s="99"/>
      <c r="DY833" s="99"/>
      <c r="DZ833" s="99"/>
      <c r="EH833" s="100"/>
      <c r="EI833" s="100"/>
      <c r="EJ833" s="100"/>
      <c r="EK833" s="101"/>
      <c r="EL833" s="80"/>
      <c r="EM833" s="102"/>
      <c r="EN833" s="102"/>
      <c r="EO833" s="103"/>
      <c r="EP833" s="104"/>
      <c r="EQ833" s="28"/>
      <c r="ER833" s="102"/>
      <c r="ES833" s="102"/>
      <c r="ET833" s="102"/>
      <c r="EU833" s="102"/>
      <c r="EV833" s="105"/>
      <c r="EW833" s="101"/>
      <c r="EX833" s="105"/>
      <c r="EY833" s="11"/>
      <c r="EZ833" s="106"/>
      <c r="FA833" s="101"/>
      <c r="FB833" s="107"/>
      <c r="FC833" s="11"/>
      <c r="FD833" s="101"/>
      <c r="FE833" s="108"/>
    </row>
    <row r="834" spans="50:161">
      <c r="AX834" s="99"/>
      <c r="AY834" s="99"/>
      <c r="AZ834" s="99"/>
      <c r="BH834" s="100"/>
      <c r="BI834" s="100"/>
      <c r="BJ834" s="100"/>
      <c r="BK834" s="101"/>
      <c r="BL834" s="80"/>
      <c r="BM834" s="102"/>
      <c r="BN834" s="102"/>
      <c r="BO834" s="103"/>
      <c r="BP834" s="104"/>
      <c r="BQ834" s="28"/>
      <c r="BR834" s="102"/>
      <c r="BS834" s="102"/>
      <c r="BT834" s="102"/>
      <c r="BU834" s="102"/>
      <c r="BV834" s="105"/>
      <c r="BW834" s="101"/>
      <c r="BX834" s="105"/>
      <c r="BY834" s="11"/>
      <c r="BZ834" s="106"/>
      <c r="CA834" s="101"/>
      <c r="CB834" s="107"/>
      <c r="CC834" s="11"/>
      <c r="CD834" s="101"/>
      <c r="CE834" s="108"/>
      <c r="DX834" s="99"/>
      <c r="DY834" s="99"/>
      <c r="DZ834" s="99"/>
      <c r="EH834" s="100"/>
      <c r="EI834" s="100"/>
      <c r="EJ834" s="100"/>
      <c r="EK834" s="101"/>
      <c r="EL834" s="80"/>
      <c r="EM834" s="102"/>
      <c r="EN834" s="102"/>
      <c r="EO834" s="103"/>
      <c r="EP834" s="104"/>
      <c r="EQ834" s="28"/>
      <c r="ER834" s="102"/>
      <c r="ES834" s="102"/>
      <c r="ET834" s="102"/>
      <c r="EU834" s="102"/>
      <c r="EV834" s="105"/>
      <c r="EW834" s="101"/>
      <c r="EX834" s="105"/>
      <c r="EY834" s="11"/>
      <c r="EZ834" s="106"/>
      <c r="FA834" s="101"/>
      <c r="FB834" s="107"/>
      <c r="FC834" s="11"/>
      <c r="FD834" s="101"/>
      <c r="FE834" s="108"/>
    </row>
    <row r="835" spans="50:161">
      <c r="AX835" s="99"/>
      <c r="AY835" s="99"/>
      <c r="AZ835" s="99"/>
      <c r="BH835" s="100"/>
      <c r="BI835" s="100"/>
      <c r="BJ835" s="100"/>
      <c r="BK835" s="101"/>
      <c r="BL835" s="80"/>
      <c r="BM835" s="102"/>
      <c r="BN835" s="102"/>
      <c r="BO835" s="103"/>
      <c r="BP835" s="104"/>
      <c r="BQ835" s="28"/>
      <c r="BR835" s="102"/>
      <c r="BS835" s="102"/>
      <c r="BT835" s="102"/>
      <c r="BU835" s="102"/>
      <c r="BV835" s="105"/>
      <c r="BW835" s="101"/>
      <c r="BX835" s="105"/>
      <c r="BY835" s="11"/>
      <c r="BZ835" s="106"/>
      <c r="CA835" s="101"/>
      <c r="CB835" s="107"/>
      <c r="CC835" s="11"/>
      <c r="CD835" s="101"/>
      <c r="CE835" s="108"/>
      <c r="DX835" s="99"/>
      <c r="DY835" s="99"/>
      <c r="DZ835" s="99"/>
      <c r="EH835" s="100"/>
      <c r="EI835" s="100"/>
      <c r="EJ835" s="100"/>
      <c r="EK835" s="101"/>
      <c r="EL835" s="80"/>
      <c r="EM835" s="102"/>
      <c r="EN835" s="102"/>
      <c r="EO835" s="103"/>
      <c r="EP835" s="104"/>
      <c r="EQ835" s="28"/>
      <c r="ER835" s="102"/>
      <c r="ES835" s="102"/>
      <c r="ET835" s="102"/>
      <c r="EU835" s="102"/>
      <c r="EV835" s="105"/>
      <c r="EW835" s="101"/>
      <c r="EX835" s="105"/>
      <c r="EY835" s="11"/>
      <c r="EZ835" s="106"/>
      <c r="FA835" s="101"/>
      <c r="FB835" s="107"/>
      <c r="FC835" s="11"/>
      <c r="FD835" s="101"/>
      <c r="FE835" s="108"/>
    </row>
    <row r="836" spans="50:161">
      <c r="AX836" s="99"/>
      <c r="AY836" s="99"/>
      <c r="AZ836" s="99"/>
      <c r="BH836" s="100"/>
      <c r="BI836" s="100"/>
      <c r="BJ836" s="100"/>
      <c r="BK836" s="101"/>
      <c r="BL836" s="80"/>
      <c r="BM836" s="102"/>
      <c r="BN836" s="102"/>
      <c r="BO836" s="103"/>
      <c r="BP836" s="104"/>
      <c r="BQ836" s="28"/>
      <c r="BR836" s="102"/>
      <c r="BS836" s="102"/>
      <c r="BT836" s="102"/>
      <c r="BU836" s="102"/>
      <c r="BV836" s="105"/>
      <c r="BW836" s="101"/>
      <c r="BX836" s="105"/>
      <c r="BY836" s="11"/>
      <c r="BZ836" s="106"/>
      <c r="CA836" s="101"/>
      <c r="CB836" s="107"/>
      <c r="CC836" s="11"/>
      <c r="CD836" s="101"/>
      <c r="CE836" s="108"/>
      <c r="DX836" s="99"/>
      <c r="DY836" s="99"/>
      <c r="DZ836" s="99"/>
      <c r="EH836" s="100"/>
      <c r="EI836" s="100"/>
      <c r="EJ836" s="100"/>
      <c r="EK836" s="101"/>
      <c r="EL836" s="80"/>
      <c r="EM836" s="102"/>
      <c r="EN836" s="102"/>
      <c r="EO836" s="103"/>
      <c r="EP836" s="104"/>
      <c r="EQ836" s="28"/>
      <c r="ER836" s="102"/>
      <c r="ES836" s="102"/>
      <c r="ET836" s="102"/>
      <c r="EU836" s="102"/>
      <c r="EV836" s="105"/>
      <c r="EW836" s="101"/>
      <c r="EX836" s="105"/>
      <c r="EY836" s="11"/>
      <c r="EZ836" s="106"/>
      <c r="FA836" s="101"/>
      <c r="FB836" s="107"/>
      <c r="FC836" s="11"/>
      <c r="FD836" s="101"/>
      <c r="FE836" s="108"/>
    </row>
    <row r="837" spans="50:161">
      <c r="AX837" s="99"/>
      <c r="AY837" s="99"/>
      <c r="AZ837" s="99"/>
      <c r="BH837" s="100"/>
      <c r="BI837" s="100"/>
      <c r="BJ837" s="100"/>
      <c r="BK837" s="101"/>
      <c r="BL837" s="80"/>
      <c r="BM837" s="102"/>
      <c r="BN837" s="102"/>
      <c r="BO837" s="103"/>
      <c r="BP837" s="104"/>
      <c r="BQ837" s="28"/>
      <c r="BR837" s="102"/>
      <c r="BS837" s="102"/>
      <c r="BT837" s="102"/>
      <c r="BU837" s="102"/>
      <c r="BV837" s="105"/>
      <c r="BW837" s="101"/>
      <c r="BX837" s="105"/>
      <c r="BY837" s="11"/>
      <c r="BZ837" s="106"/>
      <c r="CA837" s="101"/>
      <c r="CB837" s="107"/>
      <c r="CC837" s="11"/>
      <c r="CD837" s="101"/>
      <c r="CE837" s="108"/>
      <c r="DX837" s="99"/>
      <c r="DY837" s="99"/>
      <c r="DZ837" s="99"/>
      <c r="EH837" s="100"/>
      <c r="EI837" s="100"/>
      <c r="EJ837" s="100"/>
      <c r="EK837" s="101"/>
      <c r="EL837" s="80"/>
      <c r="EM837" s="102"/>
      <c r="EN837" s="102"/>
      <c r="EO837" s="103"/>
      <c r="EP837" s="104"/>
      <c r="EQ837" s="28"/>
      <c r="ER837" s="102"/>
      <c r="ES837" s="102"/>
      <c r="ET837" s="102"/>
      <c r="EU837" s="102"/>
      <c r="EV837" s="105"/>
      <c r="EW837" s="101"/>
      <c r="EX837" s="105"/>
      <c r="EY837" s="11"/>
      <c r="EZ837" s="106"/>
      <c r="FA837" s="101"/>
      <c r="FB837" s="107"/>
      <c r="FC837" s="11"/>
      <c r="FD837" s="101"/>
      <c r="FE837" s="108"/>
    </row>
    <row r="838" spans="50:161">
      <c r="AX838" s="99"/>
      <c r="AY838" s="99"/>
      <c r="AZ838" s="99"/>
      <c r="BH838" s="100"/>
      <c r="BI838" s="100"/>
      <c r="BJ838" s="100"/>
      <c r="BK838" s="101"/>
      <c r="BL838" s="80"/>
      <c r="BM838" s="102"/>
      <c r="BN838" s="102"/>
      <c r="BO838" s="103"/>
      <c r="BP838" s="104"/>
      <c r="BQ838" s="28"/>
      <c r="BR838" s="102"/>
      <c r="BS838" s="102"/>
      <c r="BT838" s="102"/>
      <c r="BU838" s="102"/>
      <c r="BV838" s="105"/>
      <c r="BW838" s="101"/>
      <c r="BX838" s="105"/>
      <c r="BY838" s="11"/>
      <c r="BZ838" s="106"/>
      <c r="CA838" s="101"/>
      <c r="CB838" s="107"/>
      <c r="CC838" s="11"/>
      <c r="CD838" s="101"/>
      <c r="CE838" s="108"/>
      <c r="DX838" s="99"/>
      <c r="DY838" s="99"/>
      <c r="DZ838" s="99"/>
      <c r="EH838" s="100"/>
      <c r="EI838" s="100"/>
      <c r="EJ838" s="100"/>
      <c r="EK838" s="101"/>
      <c r="EL838" s="80"/>
      <c r="EM838" s="102"/>
      <c r="EN838" s="102"/>
      <c r="EO838" s="103"/>
      <c r="EP838" s="104"/>
      <c r="EQ838" s="28"/>
      <c r="ER838" s="102"/>
      <c r="ES838" s="102"/>
      <c r="ET838" s="102"/>
      <c r="EU838" s="102"/>
      <c r="EV838" s="105"/>
      <c r="EW838" s="101"/>
      <c r="EX838" s="105"/>
      <c r="EY838" s="11"/>
      <c r="EZ838" s="106"/>
      <c r="FA838" s="101"/>
      <c r="FB838" s="107"/>
      <c r="FC838" s="11"/>
      <c r="FD838" s="101"/>
      <c r="FE838" s="108"/>
    </row>
    <row r="839" spans="50:161">
      <c r="AX839" s="99"/>
      <c r="AY839" s="99"/>
      <c r="AZ839" s="99"/>
      <c r="BH839" s="100"/>
      <c r="BI839" s="100"/>
      <c r="BJ839" s="100"/>
      <c r="BK839" s="101"/>
      <c r="BL839" s="80"/>
      <c r="BM839" s="102"/>
      <c r="BN839" s="102"/>
      <c r="BO839" s="103"/>
      <c r="BP839" s="104"/>
      <c r="BQ839" s="28"/>
      <c r="BR839" s="102"/>
      <c r="BS839" s="102"/>
      <c r="BT839" s="102"/>
      <c r="BU839" s="102"/>
      <c r="BV839" s="105"/>
      <c r="BW839" s="101"/>
      <c r="BX839" s="105"/>
      <c r="BY839" s="11"/>
      <c r="BZ839" s="106"/>
      <c r="CA839" s="101"/>
      <c r="CB839" s="107"/>
      <c r="CC839" s="11"/>
      <c r="CD839" s="101"/>
      <c r="CE839" s="108"/>
      <c r="DX839" s="99"/>
      <c r="DY839" s="99"/>
      <c r="DZ839" s="99"/>
      <c r="EH839" s="100"/>
      <c r="EI839" s="100"/>
      <c r="EJ839" s="100"/>
      <c r="EK839" s="101"/>
      <c r="EL839" s="80"/>
      <c r="EM839" s="102"/>
      <c r="EN839" s="102"/>
      <c r="EO839" s="103"/>
      <c r="EP839" s="104"/>
      <c r="EQ839" s="28"/>
      <c r="ER839" s="102"/>
      <c r="ES839" s="102"/>
      <c r="ET839" s="102"/>
      <c r="EU839" s="102"/>
      <c r="EV839" s="105"/>
      <c r="EW839" s="101"/>
      <c r="EX839" s="105"/>
      <c r="EY839" s="11"/>
      <c r="EZ839" s="106"/>
      <c r="FA839" s="101"/>
      <c r="FB839" s="107"/>
      <c r="FC839" s="11"/>
      <c r="FD839" s="101"/>
      <c r="FE839" s="108"/>
    </row>
    <row r="840" spans="50:161">
      <c r="AX840" s="99"/>
      <c r="AY840" s="99"/>
      <c r="AZ840" s="99"/>
      <c r="BH840" s="100"/>
      <c r="BI840" s="100"/>
      <c r="BJ840" s="100"/>
      <c r="BK840" s="101"/>
      <c r="BL840" s="80"/>
      <c r="BM840" s="102"/>
      <c r="BN840" s="102"/>
      <c r="BO840" s="103"/>
      <c r="BP840" s="104"/>
      <c r="BQ840" s="28"/>
      <c r="BR840" s="102"/>
      <c r="BS840" s="102"/>
      <c r="BT840" s="102"/>
      <c r="BU840" s="102"/>
      <c r="BV840" s="105"/>
      <c r="BW840" s="101"/>
      <c r="BX840" s="105"/>
      <c r="BY840" s="11"/>
      <c r="BZ840" s="106"/>
      <c r="CA840" s="101"/>
      <c r="CB840" s="107"/>
      <c r="CC840" s="11"/>
      <c r="CD840" s="101"/>
      <c r="CE840" s="108"/>
      <c r="DX840" s="99"/>
      <c r="DY840" s="99"/>
      <c r="DZ840" s="99"/>
      <c r="EH840" s="100"/>
      <c r="EI840" s="100"/>
      <c r="EJ840" s="100"/>
      <c r="EK840" s="101"/>
      <c r="EL840" s="80"/>
      <c r="EM840" s="102"/>
      <c r="EN840" s="102"/>
      <c r="EO840" s="103"/>
      <c r="EP840" s="104"/>
      <c r="EQ840" s="28"/>
      <c r="ER840" s="102"/>
      <c r="ES840" s="102"/>
      <c r="ET840" s="102"/>
      <c r="EU840" s="102"/>
      <c r="EV840" s="105"/>
      <c r="EW840" s="101"/>
      <c r="EX840" s="105"/>
      <c r="EY840" s="11"/>
      <c r="EZ840" s="106"/>
      <c r="FA840" s="101"/>
      <c r="FB840" s="107"/>
      <c r="FC840" s="11"/>
      <c r="FD840" s="101"/>
      <c r="FE840" s="108"/>
    </row>
    <row r="841" spans="50:161">
      <c r="AX841" s="99"/>
      <c r="AY841" s="99"/>
      <c r="AZ841" s="99"/>
      <c r="BH841" s="100"/>
      <c r="BI841" s="100"/>
      <c r="BJ841" s="100"/>
      <c r="BK841" s="101"/>
      <c r="BL841" s="80"/>
      <c r="BM841" s="102"/>
      <c r="BN841" s="102"/>
      <c r="BO841" s="103"/>
      <c r="BP841" s="104"/>
      <c r="BQ841" s="28"/>
      <c r="BR841" s="102"/>
      <c r="BS841" s="102"/>
      <c r="BT841" s="102"/>
      <c r="BU841" s="102"/>
      <c r="BV841" s="105"/>
      <c r="BW841" s="101"/>
      <c r="BX841" s="105"/>
      <c r="BY841" s="11"/>
      <c r="BZ841" s="106"/>
      <c r="CA841" s="101"/>
      <c r="CB841" s="107"/>
      <c r="CC841" s="11"/>
      <c r="CD841" s="101"/>
      <c r="CE841" s="108"/>
      <c r="DX841" s="99"/>
      <c r="DY841" s="99"/>
      <c r="DZ841" s="99"/>
      <c r="EH841" s="100"/>
      <c r="EI841" s="100"/>
      <c r="EJ841" s="100"/>
      <c r="EK841" s="101"/>
      <c r="EL841" s="80"/>
      <c r="EM841" s="102"/>
      <c r="EN841" s="102"/>
      <c r="EO841" s="103"/>
      <c r="EP841" s="104"/>
      <c r="EQ841" s="28"/>
      <c r="ER841" s="102"/>
      <c r="ES841" s="102"/>
      <c r="ET841" s="102"/>
      <c r="EU841" s="102"/>
      <c r="EV841" s="105"/>
      <c r="EW841" s="101"/>
      <c r="EX841" s="105"/>
      <c r="EY841" s="11"/>
      <c r="EZ841" s="106"/>
      <c r="FA841" s="101"/>
      <c r="FB841" s="107"/>
      <c r="FC841" s="11"/>
      <c r="FD841" s="101"/>
      <c r="FE841" s="108"/>
    </row>
    <row r="842" spans="50:161">
      <c r="AX842" s="99"/>
      <c r="AY842" s="99"/>
      <c r="AZ842" s="99"/>
      <c r="BH842" s="100"/>
      <c r="BI842" s="100"/>
      <c r="BJ842" s="100"/>
      <c r="BK842" s="101"/>
      <c r="BL842" s="80"/>
      <c r="BM842" s="102"/>
      <c r="BN842" s="102"/>
      <c r="BO842" s="103"/>
      <c r="BP842" s="104"/>
      <c r="BQ842" s="28"/>
      <c r="BR842" s="102"/>
      <c r="BS842" s="102"/>
      <c r="BT842" s="102"/>
      <c r="BU842" s="102"/>
      <c r="BV842" s="105"/>
      <c r="BW842" s="101"/>
      <c r="BX842" s="105"/>
      <c r="BY842" s="11"/>
      <c r="BZ842" s="106"/>
      <c r="CA842" s="101"/>
      <c r="CB842" s="107"/>
      <c r="CC842" s="11"/>
      <c r="CD842" s="101"/>
      <c r="CE842" s="108"/>
      <c r="DX842" s="99"/>
      <c r="DY842" s="99"/>
      <c r="DZ842" s="99"/>
      <c r="EH842" s="100"/>
      <c r="EI842" s="100"/>
      <c r="EJ842" s="100"/>
      <c r="EK842" s="101"/>
      <c r="EL842" s="80"/>
      <c r="EM842" s="102"/>
      <c r="EN842" s="102"/>
      <c r="EO842" s="103"/>
      <c r="EP842" s="104"/>
      <c r="EQ842" s="28"/>
      <c r="ER842" s="102"/>
      <c r="ES842" s="102"/>
      <c r="ET842" s="102"/>
      <c r="EU842" s="102"/>
      <c r="EV842" s="105"/>
      <c r="EW842" s="101"/>
      <c r="EX842" s="105"/>
      <c r="EY842" s="11"/>
      <c r="EZ842" s="106"/>
      <c r="FA842" s="101"/>
      <c r="FB842" s="107"/>
      <c r="FC842" s="11"/>
      <c r="FD842" s="101"/>
      <c r="FE842" s="108"/>
    </row>
    <row r="843" spans="50:161">
      <c r="AX843" s="99"/>
      <c r="AY843" s="99"/>
      <c r="AZ843" s="99"/>
      <c r="BH843" s="100"/>
      <c r="BI843" s="100"/>
      <c r="BJ843" s="100"/>
      <c r="BK843" s="101"/>
      <c r="BL843" s="80"/>
      <c r="BM843" s="102"/>
      <c r="BN843" s="102"/>
      <c r="BO843" s="103"/>
      <c r="BP843" s="104"/>
      <c r="BQ843" s="28"/>
      <c r="BR843" s="102"/>
      <c r="BS843" s="102"/>
      <c r="BT843" s="102"/>
      <c r="BU843" s="102"/>
      <c r="BV843" s="105"/>
      <c r="BW843" s="101"/>
      <c r="BX843" s="105"/>
      <c r="BY843" s="11"/>
      <c r="BZ843" s="106"/>
      <c r="CA843" s="101"/>
      <c r="CB843" s="107"/>
      <c r="CC843" s="11"/>
      <c r="CD843" s="101"/>
      <c r="CE843" s="108"/>
      <c r="DX843" s="99"/>
      <c r="DY843" s="99"/>
      <c r="DZ843" s="99"/>
      <c r="EH843" s="100"/>
      <c r="EI843" s="100"/>
      <c r="EJ843" s="100"/>
      <c r="EK843" s="101"/>
      <c r="EL843" s="80"/>
      <c r="EM843" s="102"/>
      <c r="EN843" s="102"/>
      <c r="EO843" s="103"/>
      <c r="EP843" s="104"/>
      <c r="EQ843" s="28"/>
      <c r="ER843" s="102"/>
      <c r="ES843" s="102"/>
      <c r="ET843" s="102"/>
      <c r="EU843" s="102"/>
      <c r="EV843" s="105"/>
      <c r="EW843" s="101"/>
      <c r="EX843" s="105"/>
      <c r="EY843" s="11"/>
      <c r="EZ843" s="106"/>
      <c r="FA843" s="101"/>
      <c r="FB843" s="107"/>
      <c r="FC843" s="11"/>
      <c r="FD843" s="101"/>
      <c r="FE843" s="108"/>
    </row>
    <row r="844" spans="50:161">
      <c r="AX844" s="99"/>
      <c r="AY844" s="99"/>
      <c r="AZ844" s="99"/>
      <c r="BH844" s="100"/>
      <c r="BI844" s="100"/>
      <c r="BJ844" s="100"/>
      <c r="BK844" s="101"/>
      <c r="BL844" s="80"/>
      <c r="BM844" s="102"/>
      <c r="BN844" s="102"/>
      <c r="BO844" s="103"/>
      <c r="BP844" s="104"/>
      <c r="BQ844" s="28"/>
      <c r="BR844" s="102"/>
      <c r="BS844" s="102"/>
      <c r="BT844" s="102"/>
      <c r="BU844" s="102"/>
      <c r="BV844" s="105"/>
      <c r="BW844" s="101"/>
      <c r="BX844" s="105"/>
      <c r="BY844" s="11"/>
      <c r="BZ844" s="106"/>
      <c r="CA844" s="101"/>
      <c r="CB844" s="107"/>
      <c r="CC844" s="11"/>
      <c r="CD844" s="101"/>
      <c r="CE844" s="108"/>
      <c r="DX844" s="99"/>
      <c r="DY844" s="99"/>
      <c r="DZ844" s="99"/>
      <c r="EH844" s="100"/>
      <c r="EI844" s="100"/>
      <c r="EJ844" s="100"/>
      <c r="EK844" s="101"/>
      <c r="EL844" s="80"/>
      <c r="EM844" s="102"/>
      <c r="EN844" s="102"/>
      <c r="EO844" s="103"/>
      <c r="EP844" s="104"/>
      <c r="EQ844" s="28"/>
      <c r="ER844" s="102"/>
      <c r="ES844" s="102"/>
      <c r="ET844" s="102"/>
      <c r="EU844" s="102"/>
      <c r="EV844" s="105"/>
      <c r="EW844" s="101"/>
      <c r="EX844" s="105"/>
      <c r="EY844" s="11"/>
      <c r="EZ844" s="106"/>
      <c r="FA844" s="101"/>
      <c r="FB844" s="107"/>
      <c r="FC844" s="11"/>
      <c r="FD844" s="101"/>
      <c r="FE844" s="108"/>
    </row>
    <row r="845" spans="50:161">
      <c r="AX845" s="99"/>
      <c r="AY845" s="99"/>
      <c r="AZ845" s="99"/>
      <c r="BH845" s="100"/>
      <c r="BI845" s="100"/>
      <c r="BJ845" s="100"/>
      <c r="BK845" s="101"/>
      <c r="BL845" s="80"/>
      <c r="BM845" s="102"/>
      <c r="BN845" s="102"/>
      <c r="BO845" s="103"/>
      <c r="BP845" s="104"/>
      <c r="BQ845" s="28"/>
      <c r="BR845" s="102"/>
      <c r="BS845" s="102"/>
      <c r="BT845" s="102"/>
      <c r="BU845" s="102"/>
      <c r="BV845" s="105"/>
      <c r="BW845" s="101"/>
      <c r="BX845" s="105"/>
      <c r="BY845" s="11"/>
      <c r="BZ845" s="106"/>
      <c r="CA845" s="101"/>
      <c r="CB845" s="107"/>
      <c r="CC845" s="11"/>
      <c r="CD845" s="101"/>
      <c r="CE845" s="108"/>
      <c r="DX845" s="99"/>
      <c r="DY845" s="99"/>
      <c r="DZ845" s="99"/>
      <c r="EH845" s="100"/>
      <c r="EI845" s="100"/>
      <c r="EJ845" s="100"/>
      <c r="EK845" s="101"/>
      <c r="EL845" s="80"/>
      <c r="EM845" s="102"/>
      <c r="EN845" s="102"/>
      <c r="EO845" s="103"/>
      <c r="EP845" s="104"/>
      <c r="EQ845" s="28"/>
      <c r="ER845" s="102"/>
      <c r="ES845" s="102"/>
      <c r="ET845" s="102"/>
      <c r="EU845" s="102"/>
      <c r="EV845" s="105"/>
      <c r="EW845" s="101"/>
      <c r="EX845" s="105"/>
      <c r="EY845" s="11"/>
      <c r="EZ845" s="106"/>
      <c r="FA845" s="101"/>
      <c r="FB845" s="107"/>
      <c r="FC845" s="11"/>
      <c r="FD845" s="101"/>
      <c r="FE845" s="108"/>
    </row>
    <row r="846" spans="50:161">
      <c r="AX846" s="99"/>
      <c r="AY846" s="99"/>
      <c r="AZ846" s="99"/>
      <c r="BH846" s="100"/>
      <c r="BI846" s="100"/>
      <c r="BJ846" s="100"/>
      <c r="BK846" s="101"/>
      <c r="BL846" s="80"/>
      <c r="BM846" s="102"/>
      <c r="BN846" s="102"/>
      <c r="BO846" s="103"/>
      <c r="BP846" s="104"/>
      <c r="BQ846" s="28"/>
      <c r="BR846" s="102"/>
      <c r="BS846" s="102"/>
      <c r="BT846" s="102"/>
      <c r="BU846" s="102"/>
      <c r="BV846" s="105"/>
      <c r="BW846" s="101"/>
      <c r="BX846" s="105"/>
      <c r="BY846" s="11"/>
      <c r="BZ846" s="106"/>
      <c r="CA846" s="101"/>
      <c r="CB846" s="107"/>
      <c r="CC846" s="11"/>
      <c r="CD846" s="101"/>
      <c r="CE846" s="108"/>
      <c r="DX846" s="99"/>
      <c r="DY846" s="99"/>
      <c r="DZ846" s="99"/>
      <c r="EH846" s="100"/>
      <c r="EI846" s="100"/>
      <c r="EJ846" s="100"/>
      <c r="EK846" s="101"/>
      <c r="EL846" s="80"/>
      <c r="EM846" s="102"/>
      <c r="EN846" s="102"/>
      <c r="EO846" s="103"/>
      <c r="EP846" s="104"/>
      <c r="EQ846" s="28"/>
      <c r="ER846" s="102"/>
      <c r="ES846" s="102"/>
      <c r="ET846" s="102"/>
      <c r="EU846" s="102"/>
      <c r="EV846" s="105"/>
      <c r="EW846" s="101"/>
      <c r="EX846" s="105"/>
      <c r="EY846" s="11"/>
      <c r="EZ846" s="106"/>
      <c r="FA846" s="101"/>
      <c r="FB846" s="107"/>
      <c r="FC846" s="11"/>
      <c r="FD846" s="101"/>
      <c r="FE846" s="108"/>
    </row>
    <row r="847" spans="50:161">
      <c r="AX847" s="99"/>
      <c r="AY847" s="99"/>
      <c r="AZ847" s="99"/>
      <c r="BH847" s="100"/>
      <c r="BI847" s="100"/>
      <c r="BJ847" s="100"/>
      <c r="BK847" s="101"/>
      <c r="BL847" s="80"/>
      <c r="BM847" s="102"/>
      <c r="BN847" s="102"/>
      <c r="BO847" s="103"/>
      <c r="BP847" s="104"/>
      <c r="BQ847" s="28"/>
      <c r="BR847" s="102"/>
      <c r="BS847" s="102"/>
      <c r="BT847" s="102"/>
      <c r="BU847" s="102"/>
      <c r="BV847" s="105"/>
      <c r="BW847" s="101"/>
      <c r="BX847" s="105"/>
      <c r="BY847" s="11"/>
      <c r="BZ847" s="106"/>
      <c r="CA847" s="101"/>
      <c r="CB847" s="107"/>
      <c r="CC847" s="11"/>
      <c r="CD847" s="101"/>
      <c r="CE847" s="108"/>
      <c r="DX847" s="99"/>
      <c r="DY847" s="99"/>
      <c r="DZ847" s="99"/>
      <c r="EH847" s="100"/>
      <c r="EI847" s="100"/>
      <c r="EJ847" s="100"/>
      <c r="EK847" s="101"/>
      <c r="EL847" s="80"/>
      <c r="EM847" s="102"/>
      <c r="EN847" s="102"/>
      <c r="EO847" s="103"/>
      <c r="EP847" s="104"/>
      <c r="EQ847" s="28"/>
      <c r="ER847" s="102"/>
      <c r="ES847" s="102"/>
      <c r="ET847" s="102"/>
      <c r="EU847" s="102"/>
      <c r="EV847" s="105"/>
      <c r="EW847" s="101"/>
      <c r="EX847" s="105"/>
      <c r="EY847" s="11"/>
      <c r="EZ847" s="106"/>
      <c r="FA847" s="101"/>
      <c r="FB847" s="107"/>
      <c r="FC847" s="11"/>
      <c r="FD847" s="101"/>
      <c r="FE847" s="108"/>
    </row>
    <row r="848" spans="50:161">
      <c r="AX848" s="99"/>
      <c r="AY848" s="99"/>
      <c r="AZ848" s="99"/>
      <c r="BH848" s="100"/>
      <c r="BI848" s="100"/>
      <c r="BJ848" s="100"/>
      <c r="BK848" s="101"/>
      <c r="BL848" s="80"/>
      <c r="BM848" s="102"/>
      <c r="BN848" s="102"/>
      <c r="BO848" s="103"/>
      <c r="BP848" s="104"/>
      <c r="BQ848" s="28"/>
      <c r="BR848" s="102"/>
      <c r="BS848" s="102"/>
      <c r="BT848" s="102"/>
      <c r="BU848" s="102"/>
      <c r="BV848" s="105"/>
      <c r="BW848" s="101"/>
      <c r="BX848" s="105"/>
      <c r="BY848" s="11"/>
      <c r="BZ848" s="106"/>
      <c r="CA848" s="101"/>
      <c r="CB848" s="107"/>
      <c r="CC848" s="11"/>
      <c r="CD848" s="101"/>
      <c r="CE848" s="108"/>
      <c r="DX848" s="99"/>
      <c r="DY848" s="99"/>
      <c r="DZ848" s="99"/>
      <c r="EH848" s="100"/>
      <c r="EI848" s="100"/>
      <c r="EJ848" s="100"/>
      <c r="EK848" s="101"/>
      <c r="EL848" s="80"/>
      <c r="EM848" s="102"/>
      <c r="EN848" s="102"/>
      <c r="EO848" s="103"/>
      <c r="EP848" s="104"/>
      <c r="EQ848" s="28"/>
      <c r="ER848" s="102"/>
      <c r="ES848" s="102"/>
      <c r="ET848" s="102"/>
      <c r="EU848" s="102"/>
      <c r="EV848" s="105"/>
      <c r="EW848" s="101"/>
      <c r="EX848" s="105"/>
      <c r="EY848" s="11"/>
      <c r="EZ848" s="106"/>
      <c r="FA848" s="101"/>
      <c r="FB848" s="107"/>
      <c r="FC848" s="11"/>
      <c r="FD848" s="101"/>
      <c r="FE848" s="108"/>
    </row>
    <row r="849" spans="50:161">
      <c r="AX849" s="99"/>
      <c r="AY849" s="99"/>
      <c r="AZ849" s="99"/>
      <c r="BH849" s="100"/>
      <c r="BI849" s="100"/>
      <c r="BJ849" s="100"/>
      <c r="BK849" s="101"/>
      <c r="BL849" s="80"/>
      <c r="BM849" s="102"/>
      <c r="BN849" s="102"/>
      <c r="BO849" s="103"/>
      <c r="BP849" s="104"/>
      <c r="BQ849" s="28"/>
      <c r="BR849" s="102"/>
      <c r="BS849" s="102"/>
      <c r="BT849" s="102"/>
      <c r="BU849" s="102"/>
      <c r="BV849" s="105"/>
      <c r="BW849" s="101"/>
      <c r="BX849" s="105"/>
      <c r="BY849" s="11"/>
      <c r="BZ849" s="106"/>
      <c r="CA849" s="101"/>
      <c r="CB849" s="107"/>
      <c r="CC849" s="11"/>
      <c r="CD849" s="101"/>
      <c r="CE849" s="108"/>
      <c r="DX849" s="99"/>
      <c r="DY849" s="99"/>
      <c r="DZ849" s="99"/>
      <c r="EH849" s="100"/>
      <c r="EI849" s="100"/>
      <c r="EJ849" s="100"/>
      <c r="EK849" s="101"/>
      <c r="EL849" s="80"/>
      <c r="EM849" s="102"/>
      <c r="EN849" s="102"/>
      <c r="EO849" s="103"/>
      <c r="EP849" s="104"/>
      <c r="EQ849" s="28"/>
      <c r="ER849" s="102"/>
      <c r="ES849" s="102"/>
      <c r="ET849" s="102"/>
      <c r="EU849" s="102"/>
      <c r="EV849" s="105"/>
      <c r="EW849" s="101"/>
      <c r="EX849" s="105"/>
      <c r="EY849" s="11"/>
      <c r="EZ849" s="106"/>
      <c r="FA849" s="101"/>
      <c r="FB849" s="107"/>
      <c r="FC849" s="11"/>
      <c r="FD849" s="101"/>
      <c r="FE849" s="108"/>
    </row>
    <row r="850" spans="50:161">
      <c r="AX850" s="99"/>
      <c r="AY850" s="99"/>
      <c r="AZ850" s="99"/>
      <c r="BH850" s="100"/>
      <c r="BI850" s="100"/>
      <c r="BJ850" s="100"/>
      <c r="BK850" s="101"/>
      <c r="BL850" s="80"/>
      <c r="BM850" s="102"/>
      <c r="BN850" s="102"/>
      <c r="BO850" s="103"/>
      <c r="BP850" s="104"/>
      <c r="BQ850" s="28"/>
      <c r="BR850" s="102"/>
      <c r="BS850" s="102"/>
      <c r="BT850" s="102"/>
      <c r="BU850" s="102"/>
      <c r="BV850" s="105"/>
      <c r="BW850" s="101"/>
      <c r="BX850" s="105"/>
      <c r="BY850" s="11"/>
      <c r="BZ850" s="106"/>
      <c r="CA850" s="101"/>
      <c r="CB850" s="107"/>
      <c r="CC850" s="11"/>
      <c r="CD850" s="101"/>
      <c r="CE850" s="108"/>
      <c r="DX850" s="99"/>
      <c r="DY850" s="99"/>
      <c r="DZ850" s="99"/>
      <c r="EH850" s="100"/>
      <c r="EI850" s="100"/>
      <c r="EJ850" s="100"/>
      <c r="EK850" s="101"/>
      <c r="EL850" s="80"/>
      <c r="EM850" s="102"/>
      <c r="EN850" s="102"/>
      <c r="EO850" s="103"/>
      <c r="EP850" s="104"/>
      <c r="EQ850" s="28"/>
      <c r="ER850" s="102"/>
      <c r="ES850" s="102"/>
      <c r="ET850" s="102"/>
      <c r="EU850" s="102"/>
      <c r="EV850" s="105"/>
      <c r="EW850" s="101"/>
      <c r="EX850" s="105"/>
      <c r="EY850" s="11"/>
      <c r="EZ850" s="106"/>
      <c r="FA850" s="101"/>
      <c r="FB850" s="107"/>
      <c r="FC850" s="11"/>
      <c r="FD850" s="101"/>
      <c r="FE850" s="108"/>
    </row>
    <row r="851" spans="50:161">
      <c r="AX851" s="99"/>
      <c r="AY851" s="99"/>
      <c r="AZ851" s="99"/>
      <c r="BH851" s="100"/>
      <c r="BI851" s="100"/>
      <c r="BJ851" s="100"/>
      <c r="BK851" s="101"/>
      <c r="BL851" s="80"/>
      <c r="BM851" s="102"/>
      <c r="BN851" s="102"/>
      <c r="BO851" s="103"/>
      <c r="BP851" s="104"/>
      <c r="BQ851" s="28"/>
      <c r="BR851" s="102"/>
      <c r="BS851" s="102"/>
      <c r="BT851" s="102"/>
      <c r="BU851" s="102"/>
      <c r="BV851" s="105"/>
      <c r="BW851" s="101"/>
      <c r="BX851" s="105"/>
      <c r="BY851" s="11"/>
      <c r="BZ851" s="106"/>
      <c r="CA851" s="101"/>
      <c r="CB851" s="107"/>
      <c r="CC851" s="11"/>
      <c r="CD851" s="101"/>
      <c r="CE851" s="108"/>
      <c r="DX851" s="99"/>
      <c r="DY851" s="99"/>
      <c r="DZ851" s="99"/>
      <c r="EH851" s="100"/>
      <c r="EI851" s="100"/>
      <c r="EJ851" s="100"/>
      <c r="EK851" s="101"/>
      <c r="EL851" s="80"/>
      <c r="EM851" s="102"/>
      <c r="EN851" s="102"/>
      <c r="EO851" s="103"/>
      <c r="EP851" s="104"/>
      <c r="EQ851" s="28"/>
      <c r="ER851" s="102"/>
      <c r="ES851" s="102"/>
      <c r="ET851" s="102"/>
      <c r="EU851" s="102"/>
      <c r="EV851" s="105"/>
      <c r="EW851" s="101"/>
      <c r="EX851" s="105"/>
      <c r="EY851" s="11"/>
      <c r="EZ851" s="106"/>
      <c r="FA851" s="101"/>
      <c r="FB851" s="107"/>
      <c r="FC851" s="11"/>
      <c r="FD851" s="101"/>
      <c r="FE851" s="108"/>
    </row>
    <row r="852" spans="50:161">
      <c r="AX852" s="99"/>
      <c r="AY852" s="99"/>
      <c r="AZ852" s="99"/>
      <c r="BH852" s="100"/>
      <c r="BI852" s="100"/>
      <c r="BJ852" s="100"/>
      <c r="BK852" s="101"/>
      <c r="BL852" s="80"/>
      <c r="BM852" s="102"/>
      <c r="BN852" s="102"/>
      <c r="BO852" s="103"/>
      <c r="BP852" s="104"/>
      <c r="BQ852" s="28"/>
      <c r="BR852" s="102"/>
      <c r="BS852" s="102"/>
      <c r="BT852" s="102"/>
      <c r="BU852" s="102"/>
      <c r="BV852" s="105"/>
      <c r="BW852" s="101"/>
      <c r="BX852" s="105"/>
      <c r="BY852" s="11"/>
      <c r="BZ852" s="106"/>
      <c r="CA852" s="101"/>
      <c r="CB852" s="107"/>
      <c r="CC852" s="11"/>
      <c r="CD852" s="101"/>
      <c r="CE852" s="108"/>
      <c r="DX852" s="99"/>
      <c r="DY852" s="99"/>
      <c r="DZ852" s="99"/>
      <c r="EH852" s="100"/>
      <c r="EI852" s="100"/>
      <c r="EJ852" s="100"/>
      <c r="EK852" s="101"/>
      <c r="EL852" s="80"/>
      <c r="EM852" s="102"/>
      <c r="EN852" s="102"/>
      <c r="EO852" s="103"/>
      <c r="EP852" s="104"/>
      <c r="EQ852" s="28"/>
      <c r="ER852" s="102"/>
      <c r="ES852" s="102"/>
      <c r="ET852" s="102"/>
      <c r="EU852" s="102"/>
      <c r="EV852" s="105"/>
      <c r="EW852" s="101"/>
      <c r="EX852" s="105"/>
      <c r="EY852" s="11"/>
      <c r="EZ852" s="106"/>
      <c r="FA852" s="101"/>
      <c r="FB852" s="107"/>
      <c r="FC852" s="11"/>
      <c r="FD852" s="101"/>
      <c r="FE852" s="108"/>
    </row>
    <row r="853" spans="50:161">
      <c r="AX853" s="99"/>
      <c r="AY853" s="99"/>
      <c r="AZ853" s="99"/>
      <c r="BH853" s="100"/>
      <c r="BI853" s="100"/>
      <c r="BJ853" s="100"/>
      <c r="BK853" s="101"/>
      <c r="BL853" s="80"/>
      <c r="BM853" s="102"/>
      <c r="BN853" s="102"/>
      <c r="BO853" s="103"/>
      <c r="BP853" s="104"/>
      <c r="BQ853" s="28"/>
      <c r="BR853" s="102"/>
      <c r="BS853" s="102"/>
      <c r="BT853" s="102"/>
      <c r="BU853" s="102"/>
      <c r="BV853" s="105"/>
      <c r="BW853" s="101"/>
      <c r="BX853" s="105"/>
      <c r="BY853" s="11"/>
      <c r="BZ853" s="106"/>
      <c r="CA853" s="101"/>
      <c r="CB853" s="107"/>
      <c r="CC853" s="11"/>
      <c r="CD853" s="101"/>
      <c r="CE853" s="108"/>
      <c r="DX853" s="99"/>
      <c r="DY853" s="99"/>
      <c r="DZ853" s="99"/>
      <c r="EH853" s="100"/>
      <c r="EI853" s="100"/>
      <c r="EJ853" s="100"/>
      <c r="EK853" s="101"/>
      <c r="EL853" s="80"/>
      <c r="EM853" s="102"/>
      <c r="EN853" s="102"/>
      <c r="EO853" s="103"/>
      <c r="EP853" s="104"/>
      <c r="EQ853" s="28"/>
      <c r="ER853" s="102"/>
      <c r="ES853" s="102"/>
      <c r="ET853" s="102"/>
      <c r="EU853" s="102"/>
      <c r="EV853" s="105"/>
      <c r="EW853" s="101"/>
      <c r="EX853" s="105"/>
      <c r="EY853" s="11"/>
      <c r="EZ853" s="106"/>
      <c r="FA853" s="101"/>
      <c r="FB853" s="107"/>
      <c r="FC853" s="11"/>
      <c r="FD853" s="101"/>
      <c r="FE853" s="108"/>
    </row>
    <row r="854" spans="50:161">
      <c r="AX854" s="99"/>
      <c r="AY854" s="99"/>
      <c r="AZ854" s="99"/>
      <c r="BH854" s="100"/>
      <c r="BI854" s="100"/>
      <c r="BJ854" s="100"/>
      <c r="BK854" s="101"/>
      <c r="BL854" s="80"/>
      <c r="BM854" s="102"/>
      <c r="BN854" s="102"/>
      <c r="BO854" s="103"/>
      <c r="BP854" s="104"/>
      <c r="BQ854" s="28"/>
      <c r="BR854" s="102"/>
      <c r="BS854" s="102"/>
      <c r="BT854" s="102"/>
      <c r="BU854" s="102"/>
      <c r="BV854" s="105"/>
      <c r="BW854" s="101"/>
      <c r="BX854" s="105"/>
      <c r="BY854" s="11"/>
      <c r="BZ854" s="106"/>
      <c r="CA854" s="101"/>
      <c r="CB854" s="107"/>
      <c r="CC854" s="11"/>
      <c r="CD854" s="101"/>
      <c r="CE854" s="108"/>
      <c r="DX854" s="99"/>
      <c r="DY854" s="99"/>
      <c r="DZ854" s="99"/>
      <c r="EH854" s="100"/>
      <c r="EI854" s="100"/>
      <c r="EJ854" s="100"/>
      <c r="EK854" s="101"/>
      <c r="EL854" s="80"/>
      <c r="EM854" s="102"/>
      <c r="EN854" s="102"/>
      <c r="EO854" s="103"/>
      <c r="EP854" s="104"/>
      <c r="EQ854" s="28"/>
      <c r="ER854" s="102"/>
      <c r="ES854" s="102"/>
      <c r="ET854" s="102"/>
      <c r="EU854" s="102"/>
      <c r="EV854" s="105"/>
      <c r="EW854" s="101"/>
      <c r="EX854" s="105"/>
      <c r="EY854" s="11"/>
      <c r="EZ854" s="106"/>
      <c r="FA854" s="101"/>
      <c r="FB854" s="107"/>
      <c r="FC854" s="11"/>
      <c r="FD854" s="101"/>
      <c r="FE854" s="108"/>
    </row>
    <row r="855" spans="50:161">
      <c r="AX855" s="99"/>
      <c r="AY855" s="99"/>
      <c r="AZ855" s="99"/>
      <c r="BH855" s="100"/>
      <c r="BI855" s="100"/>
      <c r="BJ855" s="100"/>
      <c r="BK855" s="101"/>
      <c r="BL855" s="80"/>
      <c r="BM855" s="102"/>
      <c r="BN855" s="102"/>
      <c r="BO855" s="103"/>
      <c r="BP855" s="104"/>
      <c r="BQ855" s="28"/>
      <c r="BR855" s="102"/>
      <c r="BS855" s="102"/>
      <c r="BT855" s="102"/>
      <c r="BU855" s="102"/>
      <c r="BV855" s="105"/>
      <c r="BW855" s="101"/>
      <c r="BX855" s="105"/>
      <c r="BY855" s="11"/>
      <c r="BZ855" s="106"/>
      <c r="CA855" s="101"/>
      <c r="CB855" s="107"/>
      <c r="CC855" s="11"/>
      <c r="CD855" s="101"/>
      <c r="CE855" s="108"/>
      <c r="DX855" s="99"/>
      <c r="DY855" s="99"/>
      <c r="DZ855" s="99"/>
      <c r="EH855" s="100"/>
      <c r="EI855" s="100"/>
      <c r="EJ855" s="100"/>
      <c r="EK855" s="101"/>
      <c r="EL855" s="80"/>
      <c r="EM855" s="102"/>
      <c r="EN855" s="102"/>
      <c r="EO855" s="103"/>
      <c r="EP855" s="104"/>
      <c r="EQ855" s="28"/>
      <c r="ER855" s="102"/>
      <c r="ES855" s="102"/>
      <c r="ET855" s="102"/>
      <c r="EU855" s="102"/>
      <c r="EV855" s="105"/>
      <c r="EW855" s="101"/>
      <c r="EX855" s="105"/>
      <c r="EY855" s="11"/>
      <c r="EZ855" s="106"/>
      <c r="FA855" s="101"/>
      <c r="FB855" s="107"/>
      <c r="FC855" s="11"/>
      <c r="FD855" s="101"/>
      <c r="FE855" s="108"/>
    </row>
    <row r="856" spans="50:161">
      <c r="AX856" s="99"/>
      <c r="AY856" s="99"/>
      <c r="AZ856" s="99"/>
      <c r="BH856" s="100"/>
      <c r="BI856" s="100"/>
      <c r="BJ856" s="100"/>
      <c r="BK856" s="101"/>
      <c r="BL856" s="80"/>
      <c r="BM856" s="102"/>
      <c r="BN856" s="102"/>
      <c r="BO856" s="103"/>
      <c r="BP856" s="104"/>
      <c r="BQ856" s="28"/>
      <c r="BR856" s="102"/>
      <c r="BS856" s="102"/>
      <c r="BT856" s="102"/>
      <c r="BU856" s="102"/>
      <c r="BV856" s="105"/>
      <c r="BW856" s="101"/>
      <c r="BX856" s="105"/>
      <c r="BY856" s="11"/>
      <c r="BZ856" s="106"/>
      <c r="CA856" s="101"/>
      <c r="CB856" s="107"/>
      <c r="CC856" s="11"/>
      <c r="CD856" s="101"/>
      <c r="CE856" s="108"/>
      <c r="DX856" s="99"/>
      <c r="DY856" s="99"/>
      <c r="DZ856" s="99"/>
      <c r="EH856" s="100"/>
      <c r="EI856" s="100"/>
      <c r="EJ856" s="100"/>
      <c r="EK856" s="101"/>
      <c r="EL856" s="80"/>
      <c r="EM856" s="102"/>
      <c r="EN856" s="102"/>
      <c r="EO856" s="103"/>
      <c r="EP856" s="104"/>
      <c r="EQ856" s="28"/>
      <c r="ER856" s="102"/>
      <c r="ES856" s="102"/>
      <c r="ET856" s="102"/>
      <c r="EU856" s="102"/>
      <c r="EV856" s="105"/>
      <c r="EW856" s="101"/>
      <c r="EX856" s="105"/>
      <c r="EY856" s="11"/>
      <c r="EZ856" s="106"/>
      <c r="FA856" s="101"/>
      <c r="FB856" s="107"/>
      <c r="FC856" s="11"/>
      <c r="FD856" s="101"/>
      <c r="FE856" s="108"/>
    </row>
    <row r="857" spans="50:161">
      <c r="AX857" s="99"/>
      <c r="AY857" s="99"/>
      <c r="AZ857" s="99"/>
      <c r="BH857" s="100"/>
      <c r="BI857" s="100"/>
      <c r="BJ857" s="100"/>
      <c r="BK857" s="101"/>
      <c r="BL857" s="80"/>
      <c r="BM857" s="102"/>
      <c r="BN857" s="102"/>
      <c r="BO857" s="103"/>
      <c r="BP857" s="104"/>
      <c r="BQ857" s="28"/>
      <c r="BR857" s="102"/>
      <c r="BS857" s="102"/>
      <c r="BT857" s="102"/>
      <c r="BU857" s="102"/>
      <c r="BV857" s="105"/>
      <c r="BW857" s="101"/>
      <c r="BX857" s="105"/>
      <c r="BY857" s="11"/>
      <c r="BZ857" s="106"/>
      <c r="CA857" s="101"/>
      <c r="CB857" s="107"/>
      <c r="CC857" s="11"/>
      <c r="CD857" s="101"/>
      <c r="CE857" s="108"/>
      <c r="DX857" s="99"/>
      <c r="DY857" s="99"/>
      <c r="DZ857" s="99"/>
      <c r="EH857" s="100"/>
      <c r="EI857" s="100"/>
      <c r="EJ857" s="100"/>
      <c r="EK857" s="101"/>
      <c r="EL857" s="80"/>
      <c r="EM857" s="102"/>
      <c r="EN857" s="102"/>
      <c r="EO857" s="103"/>
      <c r="EP857" s="104"/>
      <c r="EQ857" s="28"/>
      <c r="ER857" s="102"/>
      <c r="ES857" s="102"/>
      <c r="ET857" s="102"/>
      <c r="EU857" s="102"/>
      <c r="EV857" s="105"/>
      <c r="EW857" s="101"/>
      <c r="EX857" s="105"/>
      <c r="EY857" s="11"/>
      <c r="EZ857" s="106"/>
      <c r="FA857" s="101"/>
      <c r="FB857" s="107"/>
      <c r="FC857" s="11"/>
      <c r="FD857" s="101"/>
      <c r="FE857" s="108"/>
    </row>
    <row r="858" spans="50:161">
      <c r="AX858" s="99"/>
      <c r="AY858" s="99"/>
      <c r="AZ858" s="99"/>
      <c r="BH858" s="100"/>
      <c r="BI858" s="100"/>
      <c r="BJ858" s="100"/>
      <c r="BK858" s="101"/>
      <c r="BL858" s="80"/>
      <c r="BM858" s="102"/>
      <c r="BN858" s="102"/>
      <c r="BO858" s="103"/>
      <c r="BP858" s="104"/>
      <c r="BQ858" s="28"/>
      <c r="BR858" s="102"/>
      <c r="BS858" s="102"/>
      <c r="BT858" s="102"/>
      <c r="BU858" s="102"/>
      <c r="BV858" s="105"/>
      <c r="BW858" s="101"/>
      <c r="BX858" s="105"/>
      <c r="BY858" s="11"/>
      <c r="BZ858" s="106"/>
      <c r="CA858" s="101"/>
      <c r="CB858" s="107"/>
      <c r="CC858" s="11"/>
      <c r="CD858" s="101"/>
      <c r="CE858" s="108"/>
      <c r="DX858" s="99"/>
      <c r="DY858" s="99"/>
      <c r="DZ858" s="99"/>
      <c r="EH858" s="100"/>
      <c r="EI858" s="100"/>
      <c r="EJ858" s="100"/>
      <c r="EK858" s="101"/>
      <c r="EL858" s="80"/>
      <c r="EM858" s="102"/>
      <c r="EN858" s="102"/>
      <c r="EO858" s="103"/>
      <c r="EP858" s="104"/>
      <c r="EQ858" s="28"/>
      <c r="ER858" s="102"/>
      <c r="ES858" s="102"/>
      <c r="ET858" s="102"/>
      <c r="EU858" s="102"/>
      <c r="EV858" s="105"/>
      <c r="EW858" s="101"/>
      <c r="EX858" s="105"/>
      <c r="EY858" s="11"/>
      <c r="EZ858" s="106"/>
      <c r="FA858" s="101"/>
      <c r="FB858" s="107"/>
      <c r="FC858" s="11"/>
      <c r="FD858" s="101"/>
      <c r="FE858" s="108"/>
    </row>
    <row r="859" spans="50:161">
      <c r="AX859" s="99"/>
      <c r="AY859" s="99"/>
      <c r="AZ859" s="99"/>
      <c r="BH859" s="100"/>
      <c r="BI859" s="100"/>
      <c r="BJ859" s="100"/>
      <c r="BK859" s="101"/>
      <c r="BL859" s="80"/>
      <c r="BM859" s="102"/>
      <c r="BN859" s="102"/>
      <c r="BO859" s="103"/>
      <c r="BP859" s="104"/>
      <c r="BQ859" s="28"/>
      <c r="BR859" s="102"/>
      <c r="BS859" s="102"/>
      <c r="BT859" s="102"/>
      <c r="BU859" s="102"/>
      <c r="BV859" s="105"/>
      <c r="BW859" s="101"/>
      <c r="BX859" s="105"/>
      <c r="BY859" s="11"/>
      <c r="BZ859" s="106"/>
      <c r="CA859" s="101"/>
      <c r="CB859" s="107"/>
      <c r="CC859" s="11"/>
      <c r="CD859" s="101"/>
      <c r="CE859" s="108"/>
      <c r="DX859" s="99"/>
      <c r="DY859" s="99"/>
      <c r="DZ859" s="99"/>
      <c r="EH859" s="100"/>
      <c r="EI859" s="100"/>
      <c r="EJ859" s="100"/>
      <c r="EK859" s="101"/>
      <c r="EL859" s="80"/>
      <c r="EM859" s="102"/>
      <c r="EN859" s="102"/>
      <c r="EO859" s="103"/>
      <c r="EP859" s="104"/>
      <c r="EQ859" s="28"/>
      <c r="ER859" s="102"/>
      <c r="ES859" s="102"/>
      <c r="ET859" s="102"/>
      <c r="EU859" s="102"/>
      <c r="EV859" s="105"/>
      <c r="EW859" s="101"/>
      <c r="EX859" s="105"/>
      <c r="EY859" s="11"/>
      <c r="EZ859" s="106"/>
      <c r="FA859" s="101"/>
      <c r="FB859" s="107"/>
      <c r="FC859" s="11"/>
      <c r="FD859" s="101"/>
      <c r="FE859" s="108"/>
    </row>
    <row r="860" spans="50:161">
      <c r="AX860" s="99"/>
      <c r="AY860" s="99"/>
      <c r="AZ860" s="99"/>
      <c r="BH860" s="100"/>
      <c r="BI860" s="100"/>
      <c r="BJ860" s="100"/>
      <c r="BK860" s="101"/>
      <c r="BL860" s="80"/>
      <c r="BM860" s="102"/>
      <c r="BN860" s="102"/>
      <c r="BO860" s="103"/>
      <c r="BP860" s="104"/>
      <c r="BQ860" s="28"/>
      <c r="BR860" s="102"/>
      <c r="BS860" s="102"/>
      <c r="BT860" s="102"/>
      <c r="BU860" s="102"/>
      <c r="BV860" s="105"/>
      <c r="BW860" s="101"/>
      <c r="BX860" s="105"/>
      <c r="BY860" s="11"/>
      <c r="BZ860" s="106"/>
      <c r="CA860" s="101"/>
      <c r="CB860" s="107"/>
      <c r="CC860" s="11"/>
      <c r="CD860" s="101"/>
      <c r="CE860" s="108"/>
      <c r="DX860" s="99"/>
      <c r="DY860" s="99"/>
      <c r="DZ860" s="99"/>
      <c r="EH860" s="100"/>
      <c r="EI860" s="100"/>
      <c r="EJ860" s="100"/>
      <c r="EK860" s="101"/>
      <c r="EL860" s="80"/>
      <c r="EM860" s="102"/>
      <c r="EN860" s="102"/>
      <c r="EO860" s="103"/>
      <c r="EP860" s="104"/>
      <c r="EQ860" s="28"/>
      <c r="ER860" s="102"/>
      <c r="ES860" s="102"/>
      <c r="ET860" s="102"/>
      <c r="EU860" s="102"/>
      <c r="EV860" s="105"/>
      <c r="EW860" s="101"/>
      <c r="EX860" s="105"/>
      <c r="EY860" s="11"/>
      <c r="EZ860" s="106"/>
      <c r="FA860" s="101"/>
      <c r="FB860" s="107"/>
      <c r="FC860" s="11"/>
      <c r="FD860" s="101"/>
      <c r="FE860" s="108"/>
    </row>
    <row r="861" spans="50:161">
      <c r="AX861" s="99"/>
      <c r="AY861" s="99"/>
      <c r="AZ861" s="99"/>
      <c r="BH861" s="100"/>
      <c r="BI861" s="100"/>
      <c r="BJ861" s="100"/>
      <c r="BK861" s="101"/>
      <c r="BL861" s="80"/>
      <c r="BM861" s="102"/>
      <c r="BN861" s="102"/>
      <c r="BO861" s="103"/>
      <c r="BP861" s="104"/>
      <c r="BQ861" s="28"/>
      <c r="BR861" s="102"/>
      <c r="BS861" s="102"/>
      <c r="BT861" s="102"/>
      <c r="BU861" s="102"/>
      <c r="BV861" s="105"/>
      <c r="BW861" s="101"/>
      <c r="BX861" s="105"/>
      <c r="BY861" s="11"/>
      <c r="BZ861" s="106"/>
      <c r="CA861" s="101"/>
      <c r="CB861" s="107"/>
      <c r="CC861" s="11"/>
      <c r="CD861" s="101"/>
      <c r="CE861" s="108"/>
      <c r="DX861" s="99"/>
      <c r="DY861" s="99"/>
      <c r="DZ861" s="99"/>
      <c r="EH861" s="100"/>
      <c r="EI861" s="100"/>
      <c r="EJ861" s="100"/>
      <c r="EK861" s="101"/>
      <c r="EL861" s="80"/>
      <c r="EM861" s="102"/>
      <c r="EN861" s="102"/>
      <c r="EO861" s="103"/>
      <c r="EP861" s="104"/>
      <c r="EQ861" s="28"/>
      <c r="ER861" s="102"/>
      <c r="ES861" s="102"/>
      <c r="ET861" s="102"/>
      <c r="EU861" s="102"/>
      <c r="EV861" s="105"/>
      <c r="EW861" s="101"/>
      <c r="EX861" s="105"/>
      <c r="EY861" s="11"/>
      <c r="EZ861" s="106"/>
      <c r="FA861" s="101"/>
      <c r="FB861" s="107"/>
      <c r="FC861" s="11"/>
      <c r="FD861" s="101"/>
      <c r="FE861" s="108"/>
    </row>
    <row r="862" spans="50:161">
      <c r="AX862" s="99"/>
      <c r="AY862" s="99"/>
      <c r="AZ862" s="99"/>
      <c r="BH862" s="100"/>
      <c r="BI862" s="100"/>
      <c r="BJ862" s="100"/>
      <c r="BK862" s="101"/>
      <c r="BL862" s="80"/>
      <c r="BM862" s="102"/>
      <c r="BN862" s="102"/>
      <c r="BO862" s="103"/>
      <c r="BP862" s="104"/>
      <c r="BQ862" s="28"/>
      <c r="BR862" s="102"/>
      <c r="BS862" s="102"/>
      <c r="BT862" s="102"/>
      <c r="BU862" s="102"/>
      <c r="BV862" s="105"/>
      <c r="BW862" s="101"/>
      <c r="BX862" s="105"/>
      <c r="BY862" s="11"/>
      <c r="BZ862" s="106"/>
      <c r="CA862" s="101"/>
      <c r="CB862" s="107"/>
      <c r="CC862" s="11"/>
      <c r="CD862" s="101"/>
      <c r="CE862" s="108"/>
      <c r="DX862" s="99"/>
      <c r="DY862" s="99"/>
      <c r="DZ862" s="99"/>
      <c r="EH862" s="100"/>
      <c r="EI862" s="100"/>
      <c r="EJ862" s="100"/>
      <c r="EK862" s="101"/>
      <c r="EL862" s="80"/>
      <c r="EM862" s="102"/>
      <c r="EN862" s="102"/>
      <c r="EO862" s="103"/>
      <c r="EP862" s="104"/>
      <c r="EQ862" s="28"/>
      <c r="ER862" s="102"/>
      <c r="ES862" s="102"/>
      <c r="ET862" s="102"/>
      <c r="EU862" s="102"/>
      <c r="EV862" s="105"/>
      <c r="EW862" s="101"/>
      <c r="EX862" s="105"/>
      <c r="EY862" s="11"/>
      <c r="EZ862" s="106"/>
      <c r="FA862" s="101"/>
      <c r="FB862" s="107"/>
      <c r="FC862" s="11"/>
      <c r="FD862" s="101"/>
      <c r="FE862" s="108"/>
    </row>
    <row r="863" spans="50:161">
      <c r="AX863" s="99"/>
      <c r="AY863" s="99"/>
      <c r="AZ863" s="99"/>
      <c r="BH863" s="100"/>
      <c r="BI863" s="100"/>
      <c r="BJ863" s="100"/>
      <c r="BK863" s="101"/>
      <c r="BL863" s="80"/>
      <c r="BM863" s="102"/>
      <c r="BN863" s="102"/>
      <c r="BO863" s="103"/>
      <c r="BP863" s="104"/>
      <c r="BQ863" s="28"/>
      <c r="BR863" s="102"/>
      <c r="BS863" s="102"/>
      <c r="BT863" s="102"/>
      <c r="BU863" s="102"/>
      <c r="BV863" s="105"/>
      <c r="BW863" s="101"/>
      <c r="BX863" s="105"/>
      <c r="BY863" s="11"/>
      <c r="BZ863" s="106"/>
      <c r="CA863" s="101"/>
      <c r="CB863" s="107"/>
      <c r="CC863" s="11"/>
      <c r="CD863" s="101"/>
      <c r="CE863" s="108"/>
      <c r="DX863" s="99"/>
      <c r="DY863" s="99"/>
      <c r="DZ863" s="99"/>
      <c r="EH863" s="100"/>
      <c r="EI863" s="100"/>
      <c r="EJ863" s="100"/>
      <c r="EK863" s="101"/>
      <c r="EL863" s="80"/>
      <c r="EM863" s="102"/>
      <c r="EN863" s="102"/>
      <c r="EO863" s="103"/>
      <c r="EP863" s="104"/>
      <c r="EQ863" s="28"/>
      <c r="ER863" s="102"/>
      <c r="ES863" s="102"/>
      <c r="ET863" s="102"/>
      <c r="EU863" s="102"/>
      <c r="EV863" s="105"/>
      <c r="EW863" s="101"/>
      <c r="EX863" s="105"/>
      <c r="EY863" s="11"/>
      <c r="EZ863" s="106"/>
      <c r="FA863" s="101"/>
      <c r="FB863" s="107"/>
      <c r="FC863" s="11"/>
      <c r="FD863" s="101"/>
      <c r="FE863" s="108"/>
    </row>
    <row r="864" spans="50:161">
      <c r="AX864" s="99"/>
      <c r="AY864" s="99"/>
      <c r="AZ864" s="99"/>
      <c r="BH864" s="100"/>
      <c r="BI864" s="100"/>
      <c r="BJ864" s="100"/>
      <c r="BK864" s="101"/>
      <c r="BL864" s="80"/>
      <c r="BM864" s="102"/>
      <c r="BN864" s="102"/>
      <c r="BO864" s="103"/>
      <c r="BP864" s="104"/>
      <c r="BQ864" s="28"/>
      <c r="BR864" s="102"/>
      <c r="BS864" s="102"/>
      <c r="BT864" s="102"/>
      <c r="BU864" s="102"/>
      <c r="BV864" s="105"/>
      <c r="BW864" s="101"/>
      <c r="BX864" s="105"/>
      <c r="BY864" s="11"/>
      <c r="BZ864" s="106"/>
      <c r="CA864" s="101"/>
      <c r="CB864" s="107"/>
      <c r="CC864" s="11"/>
      <c r="CD864" s="101"/>
      <c r="CE864" s="108"/>
      <c r="DX864" s="99"/>
      <c r="DY864" s="99"/>
      <c r="DZ864" s="99"/>
      <c r="EH864" s="100"/>
      <c r="EI864" s="100"/>
      <c r="EJ864" s="100"/>
      <c r="EK864" s="101"/>
      <c r="EL864" s="80"/>
      <c r="EM864" s="102"/>
      <c r="EN864" s="102"/>
      <c r="EO864" s="103"/>
      <c r="EP864" s="104"/>
      <c r="EQ864" s="28"/>
      <c r="ER864" s="102"/>
      <c r="ES864" s="102"/>
      <c r="ET864" s="102"/>
      <c r="EU864" s="102"/>
      <c r="EV864" s="105"/>
      <c r="EW864" s="101"/>
      <c r="EX864" s="105"/>
      <c r="EY864" s="11"/>
      <c r="EZ864" s="106"/>
      <c r="FA864" s="101"/>
      <c r="FB864" s="107"/>
      <c r="FC864" s="11"/>
      <c r="FD864" s="101"/>
      <c r="FE864" s="108"/>
    </row>
    <row r="865" spans="50:161">
      <c r="AX865" s="99"/>
      <c r="AY865" s="99"/>
      <c r="AZ865" s="99"/>
      <c r="BH865" s="100"/>
      <c r="BI865" s="100"/>
      <c r="BJ865" s="100"/>
      <c r="BK865" s="101"/>
      <c r="BL865" s="80"/>
      <c r="BM865" s="102"/>
      <c r="BN865" s="102"/>
      <c r="BO865" s="103"/>
      <c r="BP865" s="104"/>
      <c r="BQ865" s="28"/>
      <c r="BR865" s="102"/>
      <c r="BS865" s="102"/>
      <c r="BT865" s="102"/>
      <c r="BU865" s="102"/>
      <c r="BV865" s="105"/>
      <c r="BW865" s="101"/>
      <c r="BX865" s="105"/>
      <c r="BY865" s="11"/>
      <c r="BZ865" s="106"/>
      <c r="CA865" s="101"/>
      <c r="CB865" s="107"/>
      <c r="CC865" s="11"/>
      <c r="CD865" s="101"/>
      <c r="CE865" s="108"/>
      <c r="DX865" s="99"/>
      <c r="DY865" s="99"/>
      <c r="DZ865" s="99"/>
      <c r="EH865" s="100"/>
      <c r="EI865" s="100"/>
      <c r="EJ865" s="100"/>
      <c r="EK865" s="101"/>
      <c r="EL865" s="80"/>
      <c r="EM865" s="102"/>
      <c r="EN865" s="102"/>
      <c r="EO865" s="103"/>
      <c r="EP865" s="104"/>
      <c r="EQ865" s="28"/>
      <c r="ER865" s="102"/>
      <c r="ES865" s="102"/>
      <c r="ET865" s="102"/>
      <c r="EU865" s="102"/>
      <c r="EV865" s="105"/>
      <c r="EW865" s="101"/>
      <c r="EX865" s="105"/>
      <c r="EY865" s="11"/>
      <c r="EZ865" s="106"/>
      <c r="FA865" s="101"/>
      <c r="FB865" s="107"/>
      <c r="FC865" s="11"/>
      <c r="FD865" s="101"/>
      <c r="FE865" s="108"/>
    </row>
    <row r="866" spans="50:161">
      <c r="AX866" s="99"/>
      <c r="AY866" s="99"/>
      <c r="AZ866" s="99"/>
      <c r="BH866" s="100"/>
      <c r="BI866" s="100"/>
      <c r="BJ866" s="100"/>
      <c r="BK866" s="101"/>
      <c r="BL866" s="80"/>
      <c r="BM866" s="102"/>
      <c r="BN866" s="102"/>
      <c r="BO866" s="103"/>
      <c r="BP866" s="104"/>
      <c r="BQ866" s="28"/>
      <c r="BR866" s="102"/>
      <c r="BS866" s="102"/>
      <c r="BT866" s="102"/>
      <c r="BU866" s="102"/>
      <c r="BV866" s="105"/>
      <c r="BW866" s="101"/>
      <c r="BX866" s="105"/>
      <c r="BY866" s="11"/>
      <c r="BZ866" s="106"/>
      <c r="CA866" s="101"/>
      <c r="CB866" s="107"/>
      <c r="CC866" s="11"/>
      <c r="CD866" s="101"/>
      <c r="CE866" s="108"/>
      <c r="DX866" s="99"/>
      <c r="DY866" s="99"/>
      <c r="DZ866" s="99"/>
      <c r="EH866" s="100"/>
      <c r="EI866" s="100"/>
      <c r="EJ866" s="100"/>
      <c r="EK866" s="101"/>
      <c r="EL866" s="80"/>
      <c r="EM866" s="102"/>
      <c r="EN866" s="102"/>
      <c r="EO866" s="103"/>
      <c r="EP866" s="104"/>
      <c r="EQ866" s="28"/>
      <c r="ER866" s="102"/>
      <c r="ES866" s="102"/>
      <c r="ET866" s="102"/>
      <c r="EU866" s="102"/>
      <c r="EV866" s="105"/>
      <c r="EW866" s="101"/>
      <c r="EX866" s="105"/>
      <c r="EY866" s="11"/>
      <c r="EZ866" s="106"/>
      <c r="FA866" s="101"/>
      <c r="FB866" s="107"/>
      <c r="FC866" s="11"/>
      <c r="FD866" s="101"/>
      <c r="FE866" s="108"/>
    </row>
    <row r="867" spans="50:161">
      <c r="AX867" s="99"/>
      <c r="AY867" s="99"/>
      <c r="AZ867" s="99"/>
      <c r="BH867" s="100"/>
      <c r="BI867" s="100"/>
      <c r="BJ867" s="100"/>
      <c r="BK867" s="101"/>
      <c r="BL867" s="80"/>
      <c r="BM867" s="102"/>
      <c r="BN867" s="102"/>
      <c r="BO867" s="103"/>
      <c r="BP867" s="104"/>
      <c r="BQ867" s="28"/>
      <c r="BR867" s="102"/>
      <c r="BS867" s="102"/>
      <c r="BT867" s="102"/>
      <c r="BU867" s="102"/>
      <c r="BV867" s="105"/>
      <c r="BW867" s="101"/>
      <c r="BX867" s="105"/>
      <c r="BY867" s="11"/>
      <c r="BZ867" s="106"/>
      <c r="CA867" s="101"/>
      <c r="CB867" s="107"/>
      <c r="CC867" s="11"/>
      <c r="CD867" s="101"/>
      <c r="CE867" s="108"/>
      <c r="DX867" s="99"/>
      <c r="DY867" s="99"/>
      <c r="DZ867" s="99"/>
      <c r="EH867" s="100"/>
      <c r="EI867" s="100"/>
      <c r="EJ867" s="100"/>
      <c r="EK867" s="101"/>
      <c r="EL867" s="80"/>
      <c r="EM867" s="102"/>
      <c r="EN867" s="102"/>
      <c r="EO867" s="103"/>
      <c r="EP867" s="104"/>
      <c r="EQ867" s="28"/>
      <c r="ER867" s="102"/>
      <c r="ES867" s="102"/>
      <c r="ET867" s="102"/>
      <c r="EU867" s="102"/>
      <c r="EV867" s="105"/>
      <c r="EW867" s="101"/>
      <c r="EX867" s="105"/>
      <c r="EY867" s="11"/>
      <c r="EZ867" s="106"/>
      <c r="FA867" s="101"/>
      <c r="FB867" s="107"/>
      <c r="FC867" s="11"/>
      <c r="FD867" s="101"/>
      <c r="FE867" s="108"/>
    </row>
    <row r="868" spans="50:161">
      <c r="AX868" s="99"/>
      <c r="AY868" s="99"/>
      <c r="AZ868" s="99"/>
      <c r="BH868" s="100"/>
      <c r="BI868" s="100"/>
      <c r="BJ868" s="100"/>
      <c r="BK868" s="101"/>
      <c r="BL868" s="80"/>
      <c r="BM868" s="102"/>
      <c r="BN868" s="102"/>
      <c r="BO868" s="103"/>
      <c r="BP868" s="104"/>
      <c r="BQ868" s="28"/>
      <c r="BR868" s="102"/>
      <c r="BS868" s="102"/>
      <c r="BT868" s="102"/>
      <c r="BU868" s="102"/>
      <c r="BV868" s="105"/>
      <c r="BW868" s="101"/>
      <c r="BX868" s="105"/>
      <c r="BY868" s="11"/>
      <c r="BZ868" s="106"/>
      <c r="CA868" s="101"/>
      <c r="CB868" s="107"/>
      <c r="CC868" s="11"/>
      <c r="CD868" s="101"/>
      <c r="CE868" s="108"/>
      <c r="DX868" s="99"/>
      <c r="DY868" s="99"/>
      <c r="DZ868" s="99"/>
      <c r="EH868" s="100"/>
      <c r="EI868" s="100"/>
      <c r="EJ868" s="100"/>
      <c r="EK868" s="101"/>
      <c r="EL868" s="80"/>
      <c r="EM868" s="102"/>
      <c r="EN868" s="102"/>
      <c r="EO868" s="103"/>
      <c r="EP868" s="104"/>
      <c r="EQ868" s="28"/>
      <c r="ER868" s="102"/>
      <c r="ES868" s="102"/>
      <c r="ET868" s="102"/>
      <c r="EU868" s="102"/>
      <c r="EV868" s="105"/>
      <c r="EW868" s="101"/>
      <c r="EX868" s="105"/>
      <c r="EY868" s="11"/>
      <c r="EZ868" s="106"/>
      <c r="FA868" s="101"/>
      <c r="FB868" s="107"/>
      <c r="FC868" s="11"/>
      <c r="FD868" s="101"/>
      <c r="FE868" s="108"/>
    </row>
    <row r="869" spans="50:161">
      <c r="AX869" s="99"/>
      <c r="AY869" s="99"/>
      <c r="AZ869" s="99"/>
      <c r="BH869" s="100"/>
      <c r="BI869" s="100"/>
      <c r="BJ869" s="100"/>
      <c r="BK869" s="101"/>
      <c r="BL869" s="80"/>
      <c r="BM869" s="102"/>
      <c r="BN869" s="102"/>
      <c r="BO869" s="103"/>
      <c r="BP869" s="104"/>
      <c r="BQ869" s="28"/>
      <c r="BR869" s="102"/>
      <c r="BS869" s="102"/>
      <c r="BT869" s="102"/>
      <c r="BU869" s="102"/>
      <c r="BV869" s="105"/>
      <c r="BW869" s="101"/>
      <c r="BX869" s="105"/>
      <c r="BY869" s="11"/>
      <c r="BZ869" s="106"/>
      <c r="CA869" s="101"/>
      <c r="CB869" s="107"/>
      <c r="CC869" s="11"/>
      <c r="CD869" s="101"/>
      <c r="CE869" s="108"/>
      <c r="DX869" s="99"/>
      <c r="DY869" s="99"/>
      <c r="DZ869" s="99"/>
      <c r="EH869" s="100"/>
      <c r="EI869" s="100"/>
      <c r="EJ869" s="100"/>
      <c r="EK869" s="101"/>
      <c r="EL869" s="80"/>
      <c r="EM869" s="102"/>
      <c r="EN869" s="102"/>
      <c r="EO869" s="103"/>
      <c r="EP869" s="104"/>
      <c r="EQ869" s="28"/>
      <c r="ER869" s="102"/>
      <c r="ES869" s="102"/>
      <c r="ET869" s="102"/>
      <c r="EU869" s="102"/>
      <c r="EV869" s="105"/>
      <c r="EW869" s="101"/>
      <c r="EX869" s="105"/>
      <c r="EY869" s="11"/>
      <c r="EZ869" s="106"/>
      <c r="FA869" s="101"/>
      <c r="FB869" s="107"/>
      <c r="FC869" s="11"/>
      <c r="FD869" s="101"/>
      <c r="FE869" s="108"/>
    </row>
    <row r="870" spans="50:161">
      <c r="AX870" s="99"/>
      <c r="AY870" s="99"/>
      <c r="AZ870" s="99"/>
      <c r="BH870" s="100"/>
      <c r="BI870" s="100"/>
      <c r="BJ870" s="100"/>
      <c r="BK870" s="101"/>
      <c r="BL870" s="80"/>
      <c r="BM870" s="102"/>
      <c r="BN870" s="102"/>
      <c r="BO870" s="103"/>
      <c r="BP870" s="104"/>
      <c r="BQ870" s="28"/>
      <c r="BR870" s="102"/>
      <c r="BS870" s="102"/>
      <c r="BT870" s="102"/>
      <c r="BU870" s="102"/>
      <c r="BV870" s="105"/>
      <c r="BW870" s="101"/>
      <c r="BX870" s="105"/>
      <c r="BY870" s="11"/>
      <c r="BZ870" s="106"/>
      <c r="CA870" s="101"/>
      <c r="CB870" s="107"/>
      <c r="CC870" s="11"/>
      <c r="CD870" s="101"/>
      <c r="CE870" s="108"/>
      <c r="DX870" s="99"/>
      <c r="DY870" s="99"/>
      <c r="DZ870" s="99"/>
      <c r="EH870" s="100"/>
      <c r="EI870" s="100"/>
      <c r="EJ870" s="100"/>
      <c r="EK870" s="101"/>
      <c r="EL870" s="80"/>
      <c r="EM870" s="102"/>
      <c r="EN870" s="102"/>
      <c r="EO870" s="103"/>
      <c r="EP870" s="104"/>
      <c r="EQ870" s="28"/>
      <c r="ER870" s="102"/>
      <c r="ES870" s="102"/>
      <c r="ET870" s="102"/>
      <c r="EU870" s="102"/>
      <c r="EV870" s="105"/>
      <c r="EW870" s="101"/>
      <c r="EX870" s="105"/>
      <c r="EY870" s="11"/>
      <c r="EZ870" s="106"/>
      <c r="FA870" s="101"/>
      <c r="FB870" s="107"/>
      <c r="FC870" s="11"/>
      <c r="FD870" s="101"/>
      <c r="FE870" s="108"/>
    </row>
    <row r="871" spans="50:161">
      <c r="AX871" s="99"/>
      <c r="AY871" s="99"/>
      <c r="AZ871" s="99"/>
      <c r="BH871" s="100"/>
      <c r="BI871" s="100"/>
      <c r="BJ871" s="100"/>
      <c r="BK871" s="101"/>
      <c r="BL871" s="80"/>
      <c r="BM871" s="102"/>
      <c r="BN871" s="102"/>
      <c r="BO871" s="103"/>
      <c r="BP871" s="104"/>
      <c r="BQ871" s="28"/>
      <c r="BR871" s="102"/>
      <c r="BS871" s="102"/>
      <c r="BT871" s="102"/>
      <c r="BU871" s="102"/>
      <c r="BV871" s="105"/>
      <c r="BW871" s="101"/>
      <c r="BX871" s="105"/>
      <c r="BY871" s="11"/>
      <c r="BZ871" s="106"/>
      <c r="CA871" s="101"/>
      <c r="CB871" s="107"/>
      <c r="CC871" s="11"/>
      <c r="CD871" s="101"/>
      <c r="CE871" s="108"/>
      <c r="DX871" s="99"/>
      <c r="DY871" s="99"/>
      <c r="DZ871" s="99"/>
      <c r="EH871" s="100"/>
      <c r="EI871" s="100"/>
      <c r="EJ871" s="100"/>
      <c r="EK871" s="101"/>
      <c r="EL871" s="80"/>
      <c r="EM871" s="102"/>
      <c r="EN871" s="102"/>
      <c r="EO871" s="103"/>
      <c r="EP871" s="104"/>
      <c r="EQ871" s="28"/>
      <c r="ER871" s="102"/>
      <c r="ES871" s="102"/>
      <c r="ET871" s="102"/>
      <c r="EU871" s="102"/>
      <c r="EV871" s="105"/>
      <c r="EW871" s="101"/>
      <c r="EX871" s="105"/>
      <c r="EY871" s="11"/>
      <c r="EZ871" s="106"/>
      <c r="FA871" s="101"/>
      <c r="FB871" s="107"/>
      <c r="FC871" s="11"/>
      <c r="FD871" s="101"/>
      <c r="FE871" s="108"/>
    </row>
    <row r="872" spans="50:161">
      <c r="AX872" s="99"/>
      <c r="AY872" s="99"/>
      <c r="AZ872" s="99"/>
      <c r="BH872" s="100"/>
      <c r="BI872" s="100"/>
      <c r="BJ872" s="100"/>
      <c r="BK872" s="101"/>
      <c r="BL872" s="80"/>
      <c r="BM872" s="102"/>
      <c r="BN872" s="102"/>
      <c r="BO872" s="103"/>
      <c r="BP872" s="104"/>
      <c r="BQ872" s="28"/>
      <c r="BR872" s="102"/>
      <c r="BS872" s="102"/>
      <c r="BT872" s="102"/>
      <c r="BU872" s="102"/>
      <c r="BV872" s="105"/>
      <c r="BW872" s="101"/>
      <c r="BX872" s="105"/>
      <c r="BY872" s="11"/>
      <c r="BZ872" s="106"/>
      <c r="CA872" s="101"/>
      <c r="CB872" s="107"/>
      <c r="CC872" s="11"/>
      <c r="CD872" s="101"/>
      <c r="CE872" s="108"/>
      <c r="DX872" s="99"/>
      <c r="DY872" s="99"/>
      <c r="DZ872" s="99"/>
      <c r="EH872" s="100"/>
      <c r="EI872" s="100"/>
      <c r="EJ872" s="100"/>
      <c r="EK872" s="101"/>
      <c r="EL872" s="80"/>
      <c r="EM872" s="102"/>
      <c r="EN872" s="102"/>
      <c r="EO872" s="103"/>
      <c r="EP872" s="104"/>
      <c r="EQ872" s="28"/>
      <c r="ER872" s="102"/>
      <c r="ES872" s="102"/>
      <c r="ET872" s="102"/>
      <c r="EU872" s="102"/>
      <c r="EV872" s="105"/>
      <c r="EW872" s="101"/>
      <c r="EX872" s="105"/>
      <c r="EY872" s="11"/>
      <c r="EZ872" s="106"/>
      <c r="FA872" s="101"/>
      <c r="FB872" s="107"/>
      <c r="FC872" s="11"/>
      <c r="FD872" s="101"/>
      <c r="FE872" s="108"/>
    </row>
    <row r="873" spans="50:161">
      <c r="AX873" s="99"/>
      <c r="AY873" s="99"/>
      <c r="AZ873" s="99"/>
      <c r="BH873" s="100"/>
      <c r="BI873" s="100"/>
      <c r="BJ873" s="100"/>
      <c r="BK873" s="101"/>
      <c r="BL873" s="80"/>
      <c r="BM873" s="102"/>
      <c r="BN873" s="102"/>
      <c r="BO873" s="103"/>
      <c r="BP873" s="104"/>
      <c r="BQ873" s="28"/>
      <c r="BR873" s="102"/>
      <c r="BS873" s="102"/>
      <c r="BT873" s="102"/>
      <c r="BU873" s="102"/>
      <c r="BV873" s="105"/>
      <c r="BW873" s="101"/>
      <c r="BX873" s="105"/>
      <c r="BY873" s="11"/>
      <c r="BZ873" s="106"/>
      <c r="CA873" s="101"/>
      <c r="CB873" s="107"/>
      <c r="CC873" s="11"/>
      <c r="CD873" s="101"/>
      <c r="CE873" s="108"/>
      <c r="DX873" s="99"/>
      <c r="DY873" s="99"/>
      <c r="DZ873" s="99"/>
      <c r="EH873" s="100"/>
      <c r="EI873" s="100"/>
      <c r="EJ873" s="100"/>
      <c r="EK873" s="101"/>
      <c r="EL873" s="80"/>
      <c r="EM873" s="102"/>
      <c r="EN873" s="102"/>
      <c r="EO873" s="103"/>
      <c r="EP873" s="104"/>
      <c r="EQ873" s="28"/>
      <c r="ER873" s="102"/>
      <c r="ES873" s="102"/>
      <c r="ET873" s="102"/>
      <c r="EU873" s="102"/>
      <c r="EV873" s="105"/>
      <c r="EW873" s="101"/>
      <c r="EX873" s="105"/>
      <c r="EY873" s="11"/>
      <c r="EZ873" s="106"/>
      <c r="FA873" s="101"/>
      <c r="FB873" s="107"/>
      <c r="FC873" s="11"/>
      <c r="FD873" s="101"/>
      <c r="FE873" s="108"/>
    </row>
    <row r="874" spans="50:161">
      <c r="AX874" s="99"/>
      <c r="AY874" s="99"/>
      <c r="AZ874" s="99"/>
      <c r="BH874" s="100"/>
      <c r="BI874" s="100"/>
      <c r="BJ874" s="100"/>
      <c r="BK874" s="101"/>
      <c r="BL874" s="80"/>
      <c r="BM874" s="102"/>
      <c r="BN874" s="102"/>
      <c r="BO874" s="103"/>
      <c r="BP874" s="104"/>
      <c r="BQ874" s="28"/>
      <c r="BR874" s="102"/>
      <c r="BS874" s="102"/>
      <c r="BT874" s="102"/>
      <c r="BU874" s="102"/>
      <c r="BV874" s="105"/>
      <c r="BW874" s="101"/>
      <c r="BX874" s="105"/>
      <c r="BY874" s="11"/>
      <c r="BZ874" s="106"/>
      <c r="CA874" s="101"/>
      <c r="CB874" s="107"/>
      <c r="CC874" s="11"/>
      <c r="CD874" s="101"/>
      <c r="CE874" s="108"/>
      <c r="DX874" s="99"/>
      <c r="DY874" s="99"/>
      <c r="DZ874" s="99"/>
      <c r="EH874" s="100"/>
      <c r="EI874" s="100"/>
      <c r="EJ874" s="100"/>
      <c r="EK874" s="101"/>
      <c r="EL874" s="80"/>
      <c r="EM874" s="102"/>
      <c r="EN874" s="102"/>
      <c r="EO874" s="103"/>
      <c r="EP874" s="104"/>
      <c r="EQ874" s="28"/>
      <c r="ER874" s="102"/>
      <c r="ES874" s="102"/>
      <c r="ET874" s="102"/>
      <c r="EU874" s="102"/>
      <c r="EV874" s="105"/>
      <c r="EW874" s="101"/>
      <c r="EX874" s="105"/>
      <c r="EY874" s="11"/>
      <c r="EZ874" s="106"/>
      <c r="FA874" s="101"/>
      <c r="FB874" s="107"/>
      <c r="FC874" s="11"/>
      <c r="FD874" s="101"/>
      <c r="FE874" s="108"/>
    </row>
    <row r="875" spans="50:161">
      <c r="AX875" s="99"/>
      <c r="AY875" s="99"/>
      <c r="AZ875" s="99"/>
      <c r="BH875" s="100"/>
      <c r="BI875" s="100"/>
      <c r="BJ875" s="100"/>
      <c r="BK875" s="101"/>
      <c r="BL875" s="80"/>
      <c r="BM875" s="102"/>
      <c r="BN875" s="102"/>
      <c r="BO875" s="103"/>
      <c r="BP875" s="104"/>
      <c r="BQ875" s="28"/>
      <c r="BR875" s="102"/>
      <c r="BS875" s="102"/>
      <c r="BT875" s="102"/>
      <c r="BU875" s="102"/>
      <c r="BV875" s="105"/>
      <c r="BW875" s="101"/>
      <c r="BX875" s="105"/>
      <c r="BY875" s="11"/>
      <c r="BZ875" s="106"/>
      <c r="CA875" s="101"/>
      <c r="CB875" s="107"/>
      <c r="CC875" s="11"/>
      <c r="CD875" s="101"/>
      <c r="CE875" s="108"/>
      <c r="DX875" s="99"/>
      <c r="DY875" s="99"/>
      <c r="DZ875" s="99"/>
      <c r="EH875" s="100"/>
      <c r="EI875" s="100"/>
      <c r="EJ875" s="100"/>
      <c r="EK875" s="101"/>
      <c r="EL875" s="80"/>
      <c r="EM875" s="102"/>
      <c r="EN875" s="102"/>
      <c r="EO875" s="103"/>
      <c r="EP875" s="104"/>
      <c r="EQ875" s="28"/>
      <c r="ER875" s="102"/>
      <c r="ES875" s="102"/>
      <c r="ET875" s="102"/>
      <c r="EU875" s="102"/>
      <c r="EV875" s="105"/>
      <c r="EW875" s="101"/>
      <c r="EX875" s="105"/>
      <c r="EY875" s="11"/>
      <c r="EZ875" s="106"/>
      <c r="FA875" s="101"/>
      <c r="FB875" s="107"/>
      <c r="FC875" s="11"/>
      <c r="FD875" s="101"/>
      <c r="FE875" s="108"/>
    </row>
    <row r="876" spans="50:161">
      <c r="AX876" s="99"/>
      <c r="AY876" s="99"/>
      <c r="AZ876" s="99"/>
      <c r="BH876" s="100"/>
      <c r="BI876" s="100"/>
      <c r="BJ876" s="100"/>
      <c r="BK876" s="101"/>
      <c r="BL876" s="80"/>
      <c r="BM876" s="102"/>
      <c r="BN876" s="102"/>
      <c r="BO876" s="103"/>
      <c r="BP876" s="104"/>
      <c r="BQ876" s="28"/>
      <c r="BR876" s="102"/>
      <c r="BS876" s="102"/>
      <c r="BT876" s="102"/>
      <c r="BU876" s="102"/>
      <c r="BV876" s="105"/>
      <c r="BW876" s="101"/>
      <c r="BX876" s="105"/>
      <c r="BY876" s="11"/>
      <c r="BZ876" s="106"/>
      <c r="CA876" s="101"/>
      <c r="CB876" s="107"/>
      <c r="CC876" s="11"/>
      <c r="CD876" s="101"/>
      <c r="CE876" s="108"/>
      <c r="DX876" s="99"/>
      <c r="DY876" s="99"/>
      <c r="DZ876" s="99"/>
      <c r="EH876" s="100"/>
      <c r="EI876" s="100"/>
      <c r="EJ876" s="100"/>
      <c r="EK876" s="101"/>
      <c r="EL876" s="80"/>
      <c r="EM876" s="102"/>
      <c r="EN876" s="102"/>
      <c r="EO876" s="103"/>
      <c r="EP876" s="104"/>
      <c r="EQ876" s="28"/>
      <c r="ER876" s="102"/>
      <c r="ES876" s="102"/>
      <c r="ET876" s="102"/>
      <c r="EU876" s="102"/>
      <c r="EV876" s="105"/>
      <c r="EW876" s="101"/>
      <c r="EX876" s="105"/>
      <c r="EY876" s="11"/>
      <c r="EZ876" s="106"/>
      <c r="FA876" s="101"/>
      <c r="FB876" s="107"/>
      <c r="FC876" s="11"/>
      <c r="FD876" s="101"/>
      <c r="FE876" s="108"/>
    </row>
    <row r="877" spans="50:161">
      <c r="AX877" s="99"/>
      <c r="AY877" s="99"/>
      <c r="AZ877" s="99"/>
      <c r="BH877" s="100"/>
      <c r="BI877" s="100"/>
      <c r="BJ877" s="100"/>
      <c r="BK877" s="101"/>
      <c r="BL877" s="80"/>
      <c r="BM877" s="102"/>
      <c r="BN877" s="102"/>
      <c r="BO877" s="103"/>
      <c r="BP877" s="104"/>
      <c r="BQ877" s="28"/>
      <c r="BR877" s="102"/>
      <c r="BS877" s="102"/>
      <c r="BT877" s="102"/>
      <c r="BU877" s="102"/>
      <c r="BV877" s="105"/>
      <c r="BW877" s="101"/>
      <c r="BX877" s="105"/>
      <c r="BY877" s="11"/>
      <c r="BZ877" s="106"/>
      <c r="CA877" s="101"/>
      <c r="CB877" s="107"/>
      <c r="CC877" s="11"/>
      <c r="CD877" s="101"/>
      <c r="CE877" s="108"/>
      <c r="DX877" s="99"/>
      <c r="DY877" s="99"/>
      <c r="DZ877" s="99"/>
      <c r="EH877" s="100"/>
      <c r="EI877" s="100"/>
      <c r="EJ877" s="100"/>
      <c r="EK877" s="101"/>
      <c r="EL877" s="80"/>
      <c r="EM877" s="102"/>
      <c r="EN877" s="102"/>
      <c r="EO877" s="103"/>
      <c r="EP877" s="104"/>
      <c r="EQ877" s="28"/>
      <c r="ER877" s="102"/>
      <c r="ES877" s="102"/>
      <c r="ET877" s="102"/>
      <c r="EU877" s="102"/>
      <c r="EV877" s="105"/>
      <c r="EW877" s="101"/>
      <c r="EX877" s="105"/>
      <c r="EY877" s="11"/>
      <c r="EZ877" s="106"/>
      <c r="FA877" s="101"/>
      <c r="FB877" s="107"/>
      <c r="FC877" s="11"/>
      <c r="FD877" s="101"/>
      <c r="FE877" s="108"/>
    </row>
    <row r="878" spans="50:161">
      <c r="AX878" s="99"/>
      <c r="AY878" s="99"/>
      <c r="AZ878" s="99"/>
      <c r="BH878" s="100"/>
      <c r="BI878" s="100"/>
      <c r="BJ878" s="100"/>
      <c r="BK878" s="101"/>
      <c r="BL878" s="80"/>
      <c r="BM878" s="102"/>
      <c r="BN878" s="102"/>
      <c r="BO878" s="103"/>
      <c r="BP878" s="104"/>
      <c r="BQ878" s="28"/>
      <c r="BR878" s="102"/>
      <c r="BS878" s="102"/>
      <c r="BT878" s="102"/>
      <c r="BU878" s="102"/>
      <c r="BV878" s="105"/>
      <c r="BW878" s="101"/>
      <c r="BX878" s="105"/>
      <c r="BY878" s="11"/>
      <c r="BZ878" s="106"/>
      <c r="CA878" s="101"/>
      <c r="CB878" s="107"/>
      <c r="CC878" s="11"/>
      <c r="CD878" s="101"/>
      <c r="CE878" s="108"/>
      <c r="DX878" s="99"/>
      <c r="DY878" s="99"/>
      <c r="DZ878" s="99"/>
      <c r="EH878" s="100"/>
      <c r="EI878" s="100"/>
      <c r="EJ878" s="100"/>
      <c r="EK878" s="101"/>
      <c r="EL878" s="80"/>
      <c r="EM878" s="102"/>
      <c r="EN878" s="102"/>
      <c r="EO878" s="103"/>
      <c r="EP878" s="104"/>
      <c r="EQ878" s="28"/>
      <c r="ER878" s="102"/>
      <c r="ES878" s="102"/>
      <c r="ET878" s="102"/>
      <c r="EU878" s="102"/>
      <c r="EV878" s="105"/>
      <c r="EW878" s="101"/>
      <c r="EX878" s="105"/>
      <c r="EY878" s="11"/>
      <c r="EZ878" s="106"/>
      <c r="FA878" s="101"/>
      <c r="FB878" s="107"/>
      <c r="FC878" s="11"/>
      <c r="FD878" s="101"/>
      <c r="FE878" s="108"/>
    </row>
    <row r="879" spans="50:161">
      <c r="AX879" s="99"/>
      <c r="AY879" s="99"/>
      <c r="AZ879" s="99"/>
      <c r="BH879" s="100"/>
      <c r="BI879" s="100"/>
      <c r="BJ879" s="100"/>
      <c r="BK879" s="101"/>
      <c r="BL879" s="80"/>
      <c r="BM879" s="102"/>
      <c r="BN879" s="102"/>
      <c r="BO879" s="103"/>
      <c r="BP879" s="104"/>
      <c r="BQ879" s="28"/>
      <c r="BR879" s="102"/>
      <c r="BS879" s="102"/>
      <c r="BT879" s="102"/>
      <c r="BU879" s="102"/>
      <c r="BV879" s="105"/>
      <c r="BW879" s="101"/>
      <c r="BX879" s="105"/>
      <c r="BY879" s="11"/>
      <c r="BZ879" s="106"/>
      <c r="CA879" s="101"/>
      <c r="CB879" s="107"/>
      <c r="CC879" s="11"/>
      <c r="CD879" s="101"/>
      <c r="CE879" s="108"/>
      <c r="DX879" s="99"/>
      <c r="DY879" s="99"/>
      <c r="DZ879" s="99"/>
      <c r="EH879" s="100"/>
      <c r="EI879" s="100"/>
      <c r="EJ879" s="100"/>
      <c r="EK879" s="101"/>
      <c r="EL879" s="80"/>
      <c r="EM879" s="102"/>
      <c r="EN879" s="102"/>
      <c r="EO879" s="103"/>
      <c r="EP879" s="104"/>
      <c r="EQ879" s="28"/>
      <c r="ER879" s="102"/>
      <c r="ES879" s="102"/>
      <c r="ET879" s="102"/>
      <c r="EU879" s="102"/>
      <c r="EV879" s="105"/>
      <c r="EW879" s="101"/>
      <c r="EX879" s="105"/>
      <c r="EY879" s="11"/>
      <c r="EZ879" s="106"/>
      <c r="FA879" s="101"/>
      <c r="FB879" s="107"/>
      <c r="FC879" s="11"/>
      <c r="FD879" s="101"/>
      <c r="FE879" s="108"/>
    </row>
    <row r="880" spans="50:161">
      <c r="AX880" s="99"/>
      <c r="AY880" s="99"/>
      <c r="AZ880" s="99"/>
      <c r="BH880" s="100"/>
      <c r="BI880" s="100"/>
      <c r="BJ880" s="100"/>
      <c r="BK880" s="101"/>
      <c r="BL880" s="80"/>
      <c r="BM880" s="102"/>
      <c r="BN880" s="102"/>
      <c r="BO880" s="103"/>
      <c r="BP880" s="104"/>
      <c r="BQ880" s="28"/>
      <c r="BR880" s="102"/>
      <c r="BS880" s="102"/>
      <c r="BT880" s="102"/>
      <c r="BU880" s="102"/>
      <c r="BV880" s="105"/>
      <c r="BW880" s="101"/>
      <c r="BX880" s="105"/>
      <c r="BY880" s="11"/>
      <c r="BZ880" s="106"/>
      <c r="CA880" s="101"/>
      <c r="CB880" s="107"/>
      <c r="CC880" s="11"/>
      <c r="CD880" s="101"/>
      <c r="CE880" s="108"/>
      <c r="DX880" s="99"/>
      <c r="DY880" s="99"/>
      <c r="DZ880" s="99"/>
      <c r="EH880" s="100"/>
      <c r="EI880" s="100"/>
      <c r="EJ880" s="100"/>
      <c r="EK880" s="101"/>
      <c r="EL880" s="80"/>
      <c r="EM880" s="102"/>
      <c r="EN880" s="102"/>
      <c r="EO880" s="103"/>
      <c r="EP880" s="104"/>
      <c r="EQ880" s="28"/>
      <c r="ER880" s="102"/>
      <c r="ES880" s="102"/>
      <c r="ET880" s="102"/>
      <c r="EU880" s="102"/>
      <c r="EV880" s="105"/>
      <c r="EW880" s="101"/>
      <c r="EX880" s="105"/>
      <c r="EY880" s="11"/>
      <c r="EZ880" s="106"/>
      <c r="FA880" s="101"/>
      <c r="FB880" s="107"/>
      <c r="FC880" s="11"/>
      <c r="FD880" s="101"/>
      <c r="FE880" s="108"/>
    </row>
    <row r="881" spans="50:161">
      <c r="AX881" s="99"/>
      <c r="AY881" s="99"/>
      <c r="AZ881" s="99"/>
      <c r="BH881" s="100"/>
      <c r="BI881" s="100"/>
      <c r="BJ881" s="100"/>
      <c r="BK881" s="101"/>
      <c r="BL881" s="80"/>
      <c r="BM881" s="102"/>
      <c r="BN881" s="102"/>
      <c r="BO881" s="103"/>
      <c r="BP881" s="104"/>
      <c r="BQ881" s="28"/>
      <c r="BR881" s="102"/>
      <c r="BS881" s="102"/>
      <c r="BT881" s="102"/>
      <c r="BU881" s="102"/>
      <c r="BV881" s="105"/>
      <c r="BW881" s="101"/>
      <c r="BX881" s="105"/>
      <c r="BY881" s="11"/>
      <c r="BZ881" s="106"/>
      <c r="CA881" s="101"/>
      <c r="CB881" s="107"/>
      <c r="CC881" s="11"/>
      <c r="CD881" s="101"/>
      <c r="CE881" s="108"/>
      <c r="DX881" s="99"/>
      <c r="DY881" s="99"/>
      <c r="DZ881" s="99"/>
      <c r="EH881" s="100"/>
      <c r="EI881" s="100"/>
      <c r="EJ881" s="100"/>
      <c r="EK881" s="101"/>
      <c r="EL881" s="80"/>
      <c r="EM881" s="102"/>
      <c r="EN881" s="102"/>
      <c r="EO881" s="103"/>
      <c r="EP881" s="104"/>
      <c r="EQ881" s="28"/>
      <c r="ER881" s="102"/>
      <c r="ES881" s="102"/>
      <c r="ET881" s="102"/>
      <c r="EU881" s="102"/>
      <c r="EV881" s="105"/>
      <c r="EW881" s="101"/>
      <c r="EX881" s="105"/>
      <c r="EY881" s="11"/>
      <c r="EZ881" s="106"/>
      <c r="FA881" s="101"/>
      <c r="FB881" s="107"/>
      <c r="FC881" s="11"/>
      <c r="FD881" s="101"/>
      <c r="FE881" s="108"/>
    </row>
    <row r="882" spans="50:161">
      <c r="AX882" s="99"/>
      <c r="AY882" s="99"/>
      <c r="AZ882" s="99"/>
      <c r="BH882" s="100"/>
      <c r="BI882" s="100"/>
      <c r="BJ882" s="100"/>
      <c r="BK882" s="101"/>
      <c r="BL882" s="80"/>
      <c r="BM882" s="102"/>
      <c r="BN882" s="102"/>
      <c r="BO882" s="103"/>
      <c r="BP882" s="104"/>
      <c r="BQ882" s="28"/>
      <c r="BR882" s="102"/>
      <c r="BS882" s="102"/>
      <c r="BT882" s="102"/>
      <c r="BU882" s="102"/>
      <c r="BV882" s="105"/>
      <c r="BW882" s="101"/>
      <c r="BX882" s="105"/>
      <c r="BY882" s="11"/>
      <c r="BZ882" s="106"/>
      <c r="CA882" s="101"/>
      <c r="CB882" s="107"/>
      <c r="CC882" s="11"/>
      <c r="CD882" s="101"/>
      <c r="CE882" s="108"/>
      <c r="DX882" s="99"/>
      <c r="DY882" s="99"/>
      <c r="DZ882" s="99"/>
      <c r="EH882" s="100"/>
      <c r="EI882" s="100"/>
      <c r="EJ882" s="100"/>
      <c r="EK882" s="101"/>
      <c r="EL882" s="80"/>
      <c r="EM882" s="102"/>
      <c r="EN882" s="102"/>
      <c r="EO882" s="103"/>
      <c r="EP882" s="104"/>
      <c r="EQ882" s="28"/>
      <c r="ER882" s="102"/>
      <c r="ES882" s="102"/>
      <c r="ET882" s="102"/>
      <c r="EU882" s="102"/>
      <c r="EV882" s="105"/>
      <c r="EW882" s="101"/>
      <c r="EX882" s="105"/>
      <c r="EY882" s="11"/>
      <c r="EZ882" s="106"/>
      <c r="FA882" s="101"/>
      <c r="FB882" s="107"/>
      <c r="FC882" s="11"/>
      <c r="FD882" s="101"/>
      <c r="FE882" s="108"/>
    </row>
    <row r="883" spans="50:161">
      <c r="AX883" s="99"/>
      <c r="AY883" s="99"/>
      <c r="AZ883" s="99"/>
      <c r="BH883" s="100"/>
      <c r="BI883" s="100"/>
      <c r="BJ883" s="100"/>
      <c r="BK883" s="101"/>
      <c r="BL883" s="80"/>
      <c r="BM883" s="102"/>
      <c r="BN883" s="102"/>
      <c r="BO883" s="103"/>
      <c r="BP883" s="104"/>
      <c r="BQ883" s="28"/>
      <c r="BR883" s="102"/>
      <c r="BS883" s="102"/>
      <c r="BT883" s="102"/>
      <c r="BU883" s="102"/>
      <c r="BV883" s="105"/>
      <c r="BW883" s="101"/>
      <c r="BX883" s="105"/>
      <c r="BY883" s="11"/>
      <c r="BZ883" s="106"/>
      <c r="CA883" s="101"/>
      <c r="CB883" s="107"/>
      <c r="CC883" s="11"/>
      <c r="CD883" s="101"/>
      <c r="CE883" s="108"/>
      <c r="DX883" s="99"/>
      <c r="DY883" s="99"/>
      <c r="DZ883" s="99"/>
      <c r="EH883" s="100"/>
      <c r="EI883" s="100"/>
      <c r="EJ883" s="100"/>
      <c r="EK883" s="101"/>
      <c r="EL883" s="80"/>
      <c r="EM883" s="102"/>
      <c r="EN883" s="102"/>
      <c r="EO883" s="103"/>
      <c r="EP883" s="104"/>
      <c r="EQ883" s="28"/>
      <c r="ER883" s="102"/>
      <c r="ES883" s="102"/>
      <c r="ET883" s="102"/>
      <c r="EU883" s="102"/>
      <c r="EV883" s="105"/>
      <c r="EW883" s="101"/>
      <c r="EX883" s="105"/>
      <c r="EY883" s="11"/>
      <c r="EZ883" s="106"/>
      <c r="FA883" s="101"/>
      <c r="FB883" s="107"/>
      <c r="FC883" s="11"/>
      <c r="FD883" s="101"/>
      <c r="FE883" s="108"/>
    </row>
    <row r="884" spans="50:161">
      <c r="AX884" s="99"/>
      <c r="AY884" s="99"/>
      <c r="AZ884" s="99"/>
      <c r="BH884" s="100"/>
      <c r="BI884" s="100"/>
      <c r="BJ884" s="100"/>
      <c r="BK884" s="101"/>
      <c r="BL884" s="80"/>
      <c r="BM884" s="102"/>
      <c r="BN884" s="102"/>
      <c r="BO884" s="103"/>
      <c r="BP884" s="104"/>
      <c r="BQ884" s="28"/>
      <c r="BR884" s="102"/>
      <c r="BS884" s="102"/>
      <c r="BT884" s="102"/>
      <c r="BU884" s="102"/>
      <c r="BV884" s="105"/>
      <c r="BW884" s="101"/>
      <c r="BX884" s="105"/>
      <c r="BY884" s="11"/>
      <c r="BZ884" s="106"/>
      <c r="CA884" s="101"/>
      <c r="CB884" s="107"/>
      <c r="CC884" s="11"/>
      <c r="CD884" s="101"/>
      <c r="CE884" s="108"/>
      <c r="DX884" s="99"/>
      <c r="DY884" s="99"/>
      <c r="DZ884" s="99"/>
      <c r="EH884" s="100"/>
      <c r="EI884" s="100"/>
      <c r="EJ884" s="100"/>
      <c r="EK884" s="101"/>
      <c r="EL884" s="80"/>
      <c r="EM884" s="102"/>
      <c r="EN884" s="102"/>
      <c r="EO884" s="103"/>
      <c r="EP884" s="104"/>
      <c r="EQ884" s="28"/>
      <c r="ER884" s="102"/>
      <c r="ES884" s="102"/>
      <c r="ET884" s="102"/>
      <c r="EU884" s="102"/>
      <c r="EV884" s="105"/>
      <c r="EW884" s="101"/>
      <c r="EX884" s="105"/>
      <c r="EY884" s="11"/>
      <c r="EZ884" s="106"/>
      <c r="FA884" s="101"/>
      <c r="FB884" s="107"/>
      <c r="FC884" s="11"/>
      <c r="FD884" s="101"/>
      <c r="FE884" s="108"/>
    </row>
    <row r="885" spans="50:161">
      <c r="AX885" s="99"/>
      <c r="AY885" s="99"/>
      <c r="AZ885" s="99"/>
      <c r="BH885" s="100"/>
      <c r="BI885" s="100"/>
      <c r="BJ885" s="100"/>
      <c r="BK885" s="101"/>
      <c r="BL885" s="80"/>
      <c r="BM885" s="102"/>
      <c r="BN885" s="102"/>
      <c r="BO885" s="103"/>
      <c r="BP885" s="104"/>
      <c r="BQ885" s="28"/>
      <c r="BR885" s="102"/>
      <c r="BS885" s="102"/>
      <c r="BT885" s="102"/>
      <c r="BU885" s="102"/>
      <c r="BV885" s="105"/>
      <c r="BW885" s="101"/>
      <c r="BX885" s="105"/>
      <c r="BY885" s="11"/>
      <c r="BZ885" s="106"/>
      <c r="CA885" s="101"/>
      <c r="CB885" s="107"/>
      <c r="CC885" s="11"/>
      <c r="CD885" s="101"/>
      <c r="CE885" s="108"/>
      <c r="DX885" s="99"/>
      <c r="DY885" s="99"/>
      <c r="DZ885" s="99"/>
      <c r="EH885" s="100"/>
      <c r="EI885" s="100"/>
      <c r="EJ885" s="100"/>
      <c r="EK885" s="101"/>
      <c r="EL885" s="80"/>
      <c r="EM885" s="102"/>
      <c r="EN885" s="102"/>
      <c r="EO885" s="103"/>
      <c r="EP885" s="104"/>
      <c r="EQ885" s="28"/>
      <c r="ER885" s="102"/>
      <c r="ES885" s="102"/>
      <c r="ET885" s="102"/>
      <c r="EU885" s="102"/>
      <c r="EV885" s="105"/>
      <c r="EW885" s="101"/>
      <c r="EX885" s="105"/>
      <c r="EY885" s="11"/>
      <c r="EZ885" s="106"/>
      <c r="FA885" s="101"/>
      <c r="FB885" s="107"/>
      <c r="FC885" s="11"/>
      <c r="FD885" s="101"/>
      <c r="FE885" s="108"/>
    </row>
    <row r="886" spans="50:161">
      <c r="AX886" s="99"/>
      <c r="AY886" s="99"/>
      <c r="AZ886" s="99"/>
      <c r="BH886" s="100"/>
      <c r="BI886" s="100"/>
      <c r="BJ886" s="100"/>
      <c r="BK886" s="101"/>
      <c r="BL886" s="80"/>
      <c r="BM886" s="102"/>
      <c r="BN886" s="102"/>
      <c r="BO886" s="103"/>
      <c r="BP886" s="104"/>
      <c r="BQ886" s="28"/>
      <c r="BR886" s="102"/>
      <c r="BS886" s="102"/>
      <c r="BT886" s="102"/>
      <c r="BU886" s="102"/>
      <c r="BV886" s="105"/>
      <c r="BW886" s="101"/>
      <c r="BX886" s="105"/>
      <c r="BY886" s="11"/>
      <c r="BZ886" s="106"/>
      <c r="CA886" s="101"/>
      <c r="CB886" s="107"/>
      <c r="CC886" s="11"/>
      <c r="CD886" s="101"/>
      <c r="CE886" s="108"/>
      <c r="DX886" s="99"/>
      <c r="DY886" s="99"/>
      <c r="DZ886" s="99"/>
      <c r="EH886" s="100"/>
      <c r="EI886" s="100"/>
      <c r="EJ886" s="100"/>
      <c r="EK886" s="101"/>
      <c r="EL886" s="80"/>
      <c r="EM886" s="102"/>
      <c r="EN886" s="102"/>
      <c r="EO886" s="103"/>
      <c r="EP886" s="104"/>
      <c r="EQ886" s="28"/>
      <c r="ER886" s="102"/>
      <c r="ES886" s="102"/>
      <c r="ET886" s="102"/>
      <c r="EU886" s="102"/>
      <c r="EV886" s="105"/>
      <c r="EW886" s="101"/>
      <c r="EX886" s="105"/>
      <c r="EY886" s="11"/>
      <c r="EZ886" s="106"/>
      <c r="FA886" s="101"/>
      <c r="FB886" s="107"/>
      <c r="FC886" s="11"/>
      <c r="FD886" s="101"/>
      <c r="FE886" s="108"/>
    </row>
    <row r="887" spans="50:161">
      <c r="AX887" s="99"/>
      <c r="AY887" s="99"/>
      <c r="AZ887" s="99"/>
      <c r="BH887" s="100"/>
      <c r="BI887" s="100"/>
      <c r="BJ887" s="100"/>
      <c r="BK887" s="101"/>
      <c r="BL887" s="80"/>
      <c r="BM887" s="102"/>
      <c r="BN887" s="102"/>
      <c r="BO887" s="103"/>
      <c r="BP887" s="104"/>
      <c r="BQ887" s="28"/>
      <c r="BR887" s="102"/>
      <c r="BS887" s="102"/>
      <c r="BT887" s="102"/>
      <c r="BU887" s="102"/>
      <c r="BV887" s="105"/>
      <c r="BW887" s="101"/>
      <c r="BX887" s="105"/>
      <c r="BY887" s="11"/>
      <c r="BZ887" s="106"/>
      <c r="CA887" s="101"/>
      <c r="CB887" s="107"/>
      <c r="CC887" s="11"/>
      <c r="CD887" s="101"/>
      <c r="CE887" s="108"/>
      <c r="DX887" s="99"/>
      <c r="DY887" s="99"/>
      <c r="DZ887" s="99"/>
      <c r="EH887" s="100"/>
      <c r="EI887" s="100"/>
      <c r="EJ887" s="100"/>
      <c r="EK887" s="101"/>
      <c r="EL887" s="80"/>
      <c r="EM887" s="102"/>
      <c r="EN887" s="102"/>
      <c r="EO887" s="103"/>
      <c r="EP887" s="104"/>
      <c r="EQ887" s="28"/>
      <c r="ER887" s="102"/>
      <c r="ES887" s="102"/>
      <c r="ET887" s="102"/>
      <c r="EU887" s="102"/>
      <c r="EV887" s="105"/>
      <c r="EW887" s="101"/>
      <c r="EX887" s="105"/>
      <c r="EY887" s="11"/>
      <c r="EZ887" s="106"/>
      <c r="FA887" s="101"/>
      <c r="FB887" s="107"/>
      <c r="FC887" s="11"/>
      <c r="FD887" s="101"/>
      <c r="FE887" s="108"/>
    </row>
    <row r="888" spans="50:161">
      <c r="AX888" s="99"/>
      <c r="AY888" s="99"/>
      <c r="AZ888" s="99"/>
      <c r="BH888" s="100"/>
      <c r="BI888" s="100"/>
      <c r="BJ888" s="100"/>
      <c r="BK888" s="101"/>
      <c r="BL888" s="80"/>
      <c r="BM888" s="102"/>
      <c r="BN888" s="102"/>
      <c r="BO888" s="103"/>
      <c r="BP888" s="104"/>
      <c r="BQ888" s="28"/>
      <c r="BR888" s="102"/>
      <c r="BS888" s="102"/>
      <c r="BT888" s="102"/>
      <c r="BU888" s="102"/>
      <c r="BV888" s="105"/>
      <c r="BW888" s="101"/>
      <c r="BX888" s="105"/>
      <c r="BY888" s="11"/>
      <c r="BZ888" s="106"/>
      <c r="CA888" s="101"/>
      <c r="CB888" s="107"/>
      <c r="CC888" s="11"/>
      <c r="CD888" s="101"/>
      <c r="CE888" s="108"/>
      <c r="DX888" s="99"/>
      <c r="DY888" s="99"/>
      <c r="DZ888" s="99"/>
      <c r="EH888" s="100"/>
      <c r="EI888" s="100"/>
      <c r="EJ888" s="100"/>
      <c r="EK888" s="101"/>
      <c r="EL888" s="80"/>
      <c r="EM888" s="102"/>
      <c r="EN888" s="102"/>
      <c r="EO888" s="103"/>
      <c r="EP888" s="104"/>
      <c r="EQ888" s="28"/>
      <c r="ER888" s="102"/>
      <c r="ES888" s="102"/>
      <c r="ET888" s="102"/>
      <c r="EU888" s="102"/>
      <c r="EV888" s="105"/>
      <c r="EW888" s="101"/>
      <c r="EX888" s="105"/>
      <c r="EY888" s="11"/>
      <c r="EZ888" s="106"/>
      <c r="FA888" s="101"/>
      <c r="FB888" s="107"/>
      <c r="FC888" s="11"/>
      <c r="FD888" s="101"/>
      <c r="FE888" s="108"/>
    </row>
    <row r="889" spans="50:161">
      <c r="AX889" s="99"/>
      <c r="AY889" s="99"/>
      <c r="AZ889" s="99"/>
      <c r="BH889" s="100"/>
      <c r="BI889" s="100"/>
      <c r="BJ889" s="100"/>
      <c r="BK889" s="101"/>
      <c r="BL889" s="80"/>
      <c r="BM889" s="102"/>
      <c r="BN889" s="102"/>
      <c r="BO889" s="103"/>
      <c r="BP889" s="104"/>
      <c r="BQ889" s="28"/>
      <c r="BR889" s="102"/>
      <c r="BS889" s="102"/>
      <c r="BT889" s="102"/>
      <c r="BU889" s="102"/>
      <c r="BV889" s="105"/>
      <c r="BW889" s="101"/>
      <c r="BX889" s="105"/>
      <c r="BY889" s="11"/>
      <c r="BZ889" s="106"/>
      <c r="CA889" s="101"/>
      <c r="CB889" s="107"/>
      <c r="CC889" s="11"/>
      <c r="CD889" s="101"/>
      <c r="CE889" s="108"/>
      <c r="DX889" s="99"/>
      <c r="DY889" s="99"/>
      <c r="DZ889" s="99"/>
      <c r="EH889" s="100"/>
      <c r="EI889" s="100"/>
      <c r="EJ889" s="100"/>
      <c r="EK889" s="101"/>
      <c r="EL889" s="80"/>
      <c r="EM889" s="102"/>
      <c r="EN889" s="102"/>
      <c r="EO889" s="103"/>
      <c r="EP889" s="104"/>
      <c r="EQ889" s="28"/>
      <c r="ER889" s="102"/>
      <c r="ES889" s="102"/>
      <c r="ET889" s="102"/>
      <c r="EU889" s="102"/>
      <c r="EV889" s="105"/>
      <c r="EW889" s="101"/>
      <c r="EX889" s="105"/>
      <c r="EY889" s="11"/>
      <c r="EZ889" s="106"/>
      <c r="FA889" s="101"/>
      <c r="FB889" s="107"/>
      <c r="FC889" s="11"/>
      <c r="FD889" s="101"/>
      <c r="FE889" s="108"/>
    </row>
    <row r="890" spans="50:161">
      <c r="AX890" s="99"/>
      <c r="AY890" s="99"/>
      <c r="AZ890" s="99"/>
      <c r="BH890" s="100"/>
      <c r="BI890" s="100"/>
      <c r="BJ890" s="100"/>
      <c r="BK890" s="101"/>
      <c r="BL890" s="80"/>
      <c r="BM890" s="102"/>
      <c r="BN890" s="102"/>
      <c r="BO890" s="103"/>
      <c r="BP890" s="104"/>
      <c r="BQ890" s="28"/>
      <c r="BR890" s="102"/>
      <c r="BS890" s="102"/>
      <c r="BT890" s="102"/>
      <c r="BU890" s="102"/>
      <c r="BV890" s="105"/>
      <c r="BW890" s="101"/>
      <c r="BX890" s="105"/>
      <c r="BY890" s="11"/>
      <c r="BZ890" s="106"/>
      <c r="CA890" s="101"/>
      <c r="CB890" s="107"/>
      <c r="CC890" s="11"/>
      <c r="CD890" s="101"/>
      <c r="CE890" s="108"/>
      <c r="DX890" s="99"/>
      <c r="DY890" s="99"/>
      <c r="DZ890" s="99"/>
      <c r="EH890" s="100"/>
      <c r="EI890" s="100"/>
      <c r="EJ890" s="100"/>
      <c r="EK890" s="101"/>
      <c r="EL890" s="80"/>
      <c r="EM890" s="102"/>
      <c r="EN890" s="102"/>
      <c r="EO890" s="103"/>
      <c r="EP890" s="104"/>
      <c r="EQ890" s="28"/>
      <c r="ER890" s="102"/>
      <c r="ES890" s="102"/>
      <c r="ET890" s="102"/>
      <c r="EU890" s="102"/>
      <c r="EV890" s="105"/>
      <c r="EW890" s="101"/>
      <c r="EX890" s="105"/>
      <c r="EY890" s="11"/>
      <c r="EZ890" s="106"/>
      <c r="FA890" s="101"/>
      <c r="FB890" s="107"/>
      <c r="FC890" s="11"/>
      <c r="FD890" s="101"/>
      <c r="FE890" s="108"/>
    </row>
    <row r="891" spans="50:161">
      <c r="AX891" s="99"/>
      <c r="AY891" s="99"/>
      <c r="AZ891" s="99"/>
      <c r="BH891" s="100"/>
      <c r="BI891" s="100"/>
      <c r="BJ891" s="100"/>
      <c r="BK891" s="101"/>
      <c r="BL891" s="80"/>
      <c r="BM891" s="102"/>
      <c r="BN891" s="102"/>
      <c r="BO891" s="103"/>
      <c r="BP891" s="104"/>
      <c r="BQ891" s="28"/>
      <c r="BR891" s="102"/>
      <c r="BS891" s="102"/>
      <c r="BT891" s="102"/>
      <c r="BU891" s="102"/>
      <c r="BV891" s="105"/>
      <c r="BW891" s="101"/>
      <c r="BX891" s="105"/>
      <c r="BY891" s="11"/>
      <c r="BZ891" s="106"/>
      <c r="CA891" s="101"/>
      <c r="CB891" s="107"/>
      <c r="CC891" s="11"/>
      <c r="CD891" s="101"/>
      <c r="CE891" s="108"/>
      <c r="DX891" s="99"/>
      <c r="DY891" s="99"/>
      <c r="DZ891" s="99"/>
      <c r="EH891" s="100"/>
      <c r="EI891" s="100"/>
      <c r="EJ891" s="100"/>
      <c r="EK891" s="101"/>
      <c r="EL891" s="80"/>
      <c r="EM891" s="102"/>
      <c r="EN891" s="102"/>
      <c r="EO891" s="103"/>
      <c r="EP891" s="104"/>
      <c r="EQ891" s="28"/>
      <c r="ER891" s="102"/>
      <c r="ES891" s="102"/>
      <c r="ET891" s="102"/>
      <c r="EU891" s="102"/>
      <c r="EV891" s="105"/>
      <c r="EW891" s="101"/>
      <c r="EX891" s="105"/>
      <c r="EY891" s="11"/>
      <c r="EZ891" s="106"/>
      <c r="FA891" s="101"/>
      <c r="FB891" s="107"/>
      <c r="FC891" s="11"/>
      <c r="FD891" s="101"/>
      <c r="FE891" s="108"/>
    </row>
    <row r="892" spans="50:161">
      <c r="AX892" s="99"/>
      <c r="AY892" s="99"/>
      <c r="AZ892" s="99"/>
      <c r="BH892" s="100"/>
      <c r="BI892" s="100"/>
      <c r="BJ892" s="100"/>
      <c r="BK892" s="101"/>
      <c r="BL892" s="80"/>
      <c r="BM892" s="102"/>
      <c r="BN892" s="102"/>
      <c r="BO892" s="103"/>
      <c r="BP892" s="104"/>
      <c r="BQ892" s="28"/>
      <c r="BR892" s="102"/>
      <c r="BS892" s="102"/>
      <c r="BT892" s="102"/>
      <c r="BU892" s="102"/>
      <c r="BV892" s="105"/>
      <c r="BW892" s="101"/>
      <c r="BX892" s="105"/>
      <c r="BY892" s="11"/>
      <c r="BZ892" s="106"/>
      <c r="CA892" s="101"/>
      <c r="CB892" s="107"/>
      <c r="CC892" s="11"/>
      <c r="CD892" s="101"/>
      <c r="CE892" s="108"/>
      <c r="DX892" s="99"/>
      <c r="DY892" s="99"/>
      <c r="DZ892" s="99"/>
      <c r="EH892" s="100"/>
      <c r="EI892" s="100"/>
      <c r="EJ892" s="100"/>
      <c r="EK892" s="101"/>
      <c r="EL892" s="80"/>
      <c r="EM892" s="102"/>
      <c r="EN892" s="102"/>
      <c r="EO892" s="103"/>
      <c r="EP892" s="104"/>
      <c r="EQ892" s="28"/>
      <c r="ER892" s="102"/>
      <c r="ES892" s="102"/>
      <c r="ET892" s="102"/>
      <c r="EU892" s="102"/>
      <c r="EV892" s="105"/>
      <c r="EW892" s="101"/>
      <c r="EX892" s="105"/>
      <c r="EY892" s="11"/>
      <c r="EZ892" s="106"/>
      <c r="FA892" s="101"/>
      <c r="FB892" s="107"/>
      <c r="FC892" s="11"/>
      <c r="FD892" s="101"/>
      <c r="FE892" s="108"/>
    </row>
  </sheetData>
  <customSheetViews>
    <customSheetView guid="{811F7E87-3F01-4CA8-BC58-02D3A05CE88F}" showPageBreaks="1" showGridLines="0" hiddenRows="1" hiddenColumns="1" view="pageBreakPreview" topLeftCell="A11">
      <selection activeCell="H11" sqref="H11:S92"/>
      <pageMargins left="0.59055118110236227" right="0.31496062992125984" top="0.59055118110236227" bottom="0.59055118110236227" header="0.31496062992125984" footer="0.31496062992125984"/>
      <pageSetup orientation="portrait" r:id="rId1"/>
    </customSheetView>
  </customSheetViews>
  <mergeCells count="61">
    <mergeCell ref="T11:V12"/>
    <mergeCell ref="EK19:EN20"/>
    <mergeCell ref="EO19:ES20"/>
    <mergeCell ref="ET19:EU20"/>
    <mergeCell ref="EV19:FF20"/>
    <mergeCell ref="DB21:DC21"/>
    <mergeCell ref="DJ21:DJ22"/>
    <mergeCell ref="DN21:DO21"/>
    <mergeCell ref="DP21:DP22"/>
    <mergeCell ref="DQ21:DQ22"/>
    <mergeCell ref="FF21:FF22"/>
    <mergeCell ref="CF21:CF22"/>
    <mergeCell ref="BV19:CF20"/>
    <mergeCell ref="DK19:DP20"/>
    <mergeCell ref="DQ19:DW20"/>
    <mergeCell ref="DA19:DJ20"/>
    <mergeCell ref="EU21:EU22"/>
    <mergeCell ref="FE21:FE22"/>
    <mergeCell ref="EA19:EG20"/>
    <mergeCell ref="EH19:EJ20"/>
    <mergeCell ref="CE21:CE22"/>
    <mergeCell ref="EM21:EM22"/>
    <mergeCell ref="EN21:EN22"/>
    <mergeCell ref="ER21:ER22"/>
    <mergeCell ref="ES21:ES22"/>
    <mergeCell ref="ET21:ET22"/>
    <mergeCell ref="BS21:BS22"/>
    <mergeCell ref="BO19:BS20"/>
    <mergeCell ref="BT19:BU20"/>
    <mergeCell ref="BT21:BT22"/>
    <mergeCell ref="BU21:BU22"/>
    <mergeCell ref="BR21:BR22"/>
    <mergeCell ref="AK19:AP20"/>
    <mergeCell ref="AP21:AP22"/>
    <mergeCell ref="BN21:BN22"/>
    <mergeCell ref="BK19:BN20"/>
    <mergeCell ref="AN21:AO21"/>
    <mergeCell ref="AQ21:AQ22"/>
    <mergeCell ref="BM21:BM22"/>
    <mergeCell ref="AQ19:AW20"/>
    <mergeCell ref="BA19:BG20"/>
    <mergeCell ref="BH19:BJ20"/>
    <mergeCell ref="AB21:AC21"/>
    <mergeCell ref="AE19:AJ20"/>
    <mergeCell ref="H101:J101"/>
    <mergeCell ref="H102:J102"/>
    <mergeCell ref="H103:J103"/>
    <mergeCell ref="H100:J100"/>
    <mergeCell ref="R100:S103"/>
    <mergeCell ref="H65:J65"/>
    <mergeCell ref="L54:N55"/>
    <mergeCell ref="L62:L63"/>
    <mergeCell ref="N62:O63"/>
    <mergeCell ref="N64:O64"/>
    <mergeCell ref="AJ21:AJ22"/>
    <mergeCell ref="B34:E34"/>
    <mergeCell ref="H11:P12"/>
    <mergeCell ref="Q11:S12"/>
    <mergeCell ref="H13:J13"/>
    <mergeCell ref="B11:F11"/>
    <mergeCell ref="B23:C23"/>
  </mergeCells>
  <conditionalFormatting sqref="L98:L99">
    <cfRule type="containsText" dxfId="33" priority="71" operator="containsText" text="OK">
      <formula>NOT(ISERROR(SEARCH("OK",L98)))</formula>
    </cfRule>
  </conditionalFormatting>
  <conditionalFormatting sqref="S74 S97 S87 S89 S91 S77 S79:S82">
    <cfRule type="containsText" dxfId="32" priority="67" operator="containsText" text="Check">
      <formula>NOT(ISERROR(SEARCH("Check",S74)))</formula>
    </cfRule>
    <cfRule type="containsText" dxfId="31" priority="68" operator="containsText" text="OK">
      <formula>NOT(ISERROR(SEARCH("OK",S74)))</formula>
    </cfRule>
  </conditionalFormatting>
  <conditionalFormatting sqref="S55">
    <cfRule type="cellIs" dxfId="30" priority="52" operator="lessThan">
      <formula>0</formula>
    </cfRule>
  </conditionalFormatting>
  <conditionalFormatting sqref="BM1:BN18 BM239:BN1048576">
    <cfRule type="top10" dxfId="29" priority="51" rank="1"/>
  </conditionalFormatting>
  <conditionalFormatting sqref="BR1:BU18 BR239:BU1048576">
    <cfRule type="top10" dxfId="28" priority="50" rank="1"/>
  </conditionalFormatting>
  <conditionalFormatting sqref="CE1:CE18 CE23:CE1048576">
    <cfRule type="top10" dxfId="27" priority="49" rank="1"/>
  </conditionalFormatting>
  <conditionalFormatting sqref="CF1:CF12 CF24:CF1048576">
    <cfRule type="top10" dxfId="26" priority="37" rank="1"/>
  </conditionalFormatting>
  <conditionalFormatting sqref="CF13:CF18">
    <cfRule type="top10" dxfId="25" priority="35" rank="1"/>
  </conditionalFormatting>
  <conditionalFormatting sqref="EM1:EN12 EM267:EN1048576 EM18:EN18 EN13:EN17">
    <cfRule type="top10" dxfId="24" priority="34" rank="1"/>
  </conditionalFormatting>
  <conditionalFormatting sqref="ER1:EU18 ER267:EU1048576">
    <cfRule type="top10" dxfId="23" priority="33" rank="1"/>
  </conditionalFormatting>
  <conditionalFormatting sqref="FE1:FE18 FE267:FE1048576">
    <cfRule type="top10" dxfId="22" priority="32" rank="1"/>
  </conditionalFormatting>
  <conditionalFormatting sqref="FF1:FF12 FF267:FF1048576">
    <cfRule type="top10" dxfId="21" priority="27" rank="1"/>
  </conditionalFormatting>
  <conditionalFormatting sqref="FF13:FF18">
    <cfRule type="top10" dxfId="20" priority="25" rank="1"/>
  </conditionalFormatting>
  <conditionalFormatting sqref="BM21:BN22">
    <cfRule type="top10" dxfId="19" priority="17" rank="1"/>
  </conditionalFormatting>
  <conditionalFormatting sqref="BR21:BR22 BT21 BT19">
    <cfRule type="top10" dxfId="18" priority="16" rank="1"/>
  </conditionalFormatting>
  <conditionalFormatting sqref="CE21:CE22">
    <cfRule type="top10" dxfId="17" priority="15" rank="1"/>
  </conditionalFormatting>
  <conditionalFormatting sqref="BS21:BS22">
    <cfRule type="top10" dxfId="16" priority="14" rank="1"/>
  </conditionalFormatting>
  <conditionalFormatting sqref="BU21:BU22">
    <cfRule type="top10" dxfId="15" priority="13" rank="1"/>
  </conditionalFormatting>
  <conditionalFormatting sqref="CF21:CF22">
    <cfRule type="top10" dxfId="14" priority="12" rank="1"/>
  </conditionalFormatting>
  <conditionalFormatting sqref="EM21:EN22">
    <cfRule type="top10" dxfId="13" priority="11" rank="1"/>
  </conditionalFormatting>
  <conditionalFormatting sqref="ER21:ER22 ET19 ET21:ET22">
    <cfRule type="top10" dxfId="12" priority="10" rank="1"/>
  </conditionalFormatting>
  <conditionalFormatting sqref="FE21:FE22">
    <cfRule type="top10" dxfId="11" priority="9" rank="1"/>
  </conditionalFormatting>
  <conditionalFormatting sqref="ES21:ES22">
    <cfRule type="top10" dxfId="10" priority="8" rank="1"/>
  </conditionalFormatting>
  <conditionalFormatting sqref="FF21:FF22">
    <cfRule type="top10" dxfId="9" priority="7" rank="1"/>
  </conditionalFormatting>
  <conditionalFormatting sqref="EU21:EU22">
    <cfRule type="top10" dxfId="8" priority="6" rank="1"/>
  </conditionalFormatting>
  <conditionalFormatting sqref="EM13:EM17">
    <cfRule type="top10" dxfId="7" priority="5" rank="1"/>
  </conditionalFormatting>
  <conditionalFormatting sqref="EM64:EN266">
    <cfRule type="top10" dxfId="6" priority="4" rank="1"/>
  </conditionalFormatting>
  <conditionalFormatting sqref="ER64:EU266">
    <cfRule type="top10" dxfId="5" priority="3" rank="1"/>
  </conditionalFormatting>
  <conditionalFormatting sqref="FE64:FE266">
    <cfRule type="top10" dxfId="4" priority="2" rank="1"/>
  </conditionalFormatting>
  <conditionalFormatting sqref="FF64:FF266">
    <cfRule type="top10" dxfId="3" priority="1" rank="1"/>
  </conditionalFormatting>
  <conditionalFormatting sqref="B13:F21">
    <cfRule type="expression" dxfId="2" priority="78">
      <formula>$B13=$R$20</formula>
    </cfRule>
  </conditionalFormatting>
  <conditionalFormatting sqref="B36:F47">
    <cfRule type="expression" dxfId="1" priority="79">
      <formula>$B36=$F$34</formula>
    </cfRule>
  </conditionalFormatting>
  <conditionalFormatting sqref="B25:C32">
    <cfRule type="expression" dxfId="0" priority="80">
      <formula>$B25=$R$52</formula>
    </cfRule>
  </conditionalFormatting>
  <dataValidations count="4">
    <dataValidation type="list" allowBlank="1" showInputMessage="1" showErrorMessage="1" sqref="S16" xr:uid="{00000000-0002-0000-0100-000000000000}">
      <formula1>"A,B"</formula1>
    </dataValidation>
    <dataValidation type="list" allowBlank="1" showInputMessage="1" showErrorMessage="1" sqref="R49" xr:uid="{00000000-0002-0000-0100-000001000000}">
      <formula1>"4,6,8,10,12,14,16,18"</formula1>
    </dataValidation>
    <dataValidation type="list" allowBlank="1" showInputMessage="1" showErrorMessage="1" sqref="T11" xr:uid="{D4192111-F185-465F-AB0D-8E3307DA7AAE}">
      <formula1>$T$13:$T$15</formula1>
    </dataValidation>
    <dataValidation type="list" allowBlank="1" showInputMessage="1" showErrorMessage="1" sqref="V14" xr:uid="{4EC88ABE-8EE3-493D-A536-33D5838B18EA}">
      <formula1>"H Tổng,H Bụng"</formula1>
    </dataValidation>
  </dataValidations>
  <pageMargins left="0.59055118110236227" right="0.31496062992125984" top="0.59055118110236227" bottom="0.59055118110236227" header="0.31496062992125984" footer="0.31496062992125984"/>
  <pageSetup scale="67" orientation="portrait" r:id="rId2"/>
  <colBreaks count="1" manualBreakCount="1">
    <brk id="47" min="1" max="149" man="1"/>
  </colBreaks>
  <ignoredErrors>
    <ignoredError sqref="R88 R90 H90" formula="1"/>
  </ignoredErrors>
  <drawing r:id="rId3"/>
  <legacyDrawing r:id="rId4"/>
  <picture r:id="rId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2000000}">
          <x14:formula1>
            <xm:f>Data!$G$4:$G$8</xm:f>
          </x14:formula1>
          <xm:sqref>R16</xm:sqref>
        </x14:dataValidation>
        <x14:dataValidation type="list" allowBlank="1" showInputMessage="1" showErrorMessage="1" xr:uid="{00000000-0002-0000-0100-000003000000}">
          <x14:formula1>
            <xm:f>Data!$H$31:$Q$31</xm:f>
          </x14:formula1>
          <xm:sqref>R20</xm:sqref>
        </x14:dataValidation>
        <x14:dataValidation type="list" allowBlank="1" showInputMessage="1" showErrorMessage="1" xr:uid="{00000000-0002-0000-0100-000004000000}">
          <x14:formula1>
            <xm:f>Data!$A$3:$A$99</xm:f>
          </x14:formula1>
          <xm:sqref>R27</xm:sqref>
        </x14:dataValidation>
        <x14:dataValidation type="list" allowBlank="1" showInputMessage="1" showErrorMessage="1" xr:uid="{00000000-0002-0000-0100-000005000000}">
          <x14:formula1>
            <xm:f>Data!$L$39:$L$43</xm:f>
          </x14:formula1>
          <xm:sqref>R34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2026-09-21T13:57:12Z</dcterms:modified>
</cp:coreProperties>
</file>