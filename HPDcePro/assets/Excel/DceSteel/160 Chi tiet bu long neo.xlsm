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Dce Pro\Excel\"/>
    </mc:Choice>
  </mc:AlternateContent>
  <xr:revisionPtr revIDLastSave="0" documentId="13_ncr:1_{946C61D0-45A6-413C-BF1E-C5B9B693C9F8}" xr6:coauthVersionLast="47" xr6:coauthVersionMax="47" xr10:uidLastSave="{00000000-0000-0000-0000-000000000000}"/>
  <bookViews>
    <workbookView xWindow="-28920" yWindow="-120" windowWidth="29040" windowHeight="15720" xr2:uid="{6A1BBD03-AFAF-439D-B19E-97499C346F36}"/>
  </bookViews>
  <sheets>
    <sheet name="CTBLN" sheetId="2" r:id="rId1"/>
  </sheets>
  <definedNames>
    <definedName name="_xleta.COT" hidden="1" xlm="1">#NAME?</definedName>
    <definedName name="_xleta.OR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2" l="1"/>
  <c r="E17" i="2"/>
  <c r="E1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E12" authorId="0" shapeId="0" xr:uid="{716EBDAD-BAF6-476B-85A3-0967CA20958B}">
      <text>
        <r>
          <rPr>
            <b/>
            <sz val="9"/>
            <color indexed="81"/>
            <rFont val="Tahoma"/>
            <family val="2"/>
          </rPr>
          <t>Bu lông J, L có mũi tên để có thể xoay trái or phải tùy trường hợp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5" authorId="0" shapeId="0" xr:uid="{B58F8CE2-CC44-479A-9EBF-C419D2887840}">
      <text>
        <r>
          <rPr>
            <b/>
            <sz val="9"/>
            <color indexed="81"/>
            <rFont val="Tahoma"/>
            <charset val="1"/>
          </rPr>
          <t>- Khoảng cách giữa 2 bolt theo phương bề rộng
- Khoảng cách giữa 2 bolt theo phương chiều cao hiệu chỉnh trong setup</t>
        </r>
      </text>
    </comment>
    <comment ref="E16" authorId="0" shapeId="0" xr:uid="{D0F844E8-075B-4857-A100-3CB21D0D7579}">
      <text>
        <r>
          <rPr>
            <sz val="9"/>
            <color indexed="81"/>
            <rFont val="Tahoma"/>
            <family val="2"/>
          </rPr>
          <t>[HVMT]
- D &lt; 24,  Max (8,tw)
- D &gt;=24, Max (10,tw)</t>
        </r>
      </text>
    </comment>
    <comment ref="E17" authorId="0" shapeId="0" xr:uid="{BC0C76A1-C091-4E81-932B-6E5D09968FB5}">
      <text>
        <r>
          <rPr>
            <sz val="9"/>
            <color indexed="81"/>
            <rFont val="Tahoma"/>
            <family val="2"/>
          </rPr>
          <t xml:space="preserve">[HVMT]
ts = tb / 2
</t>
        </r>
      </text>
    </comment>
    <comment ref="E22" authorId="0" shapeId="0" xr:uid="{CF1FBD23-5FD5-4AEC-942A-BC79AF818945}">
      <text>
        <r>
          <rPr>
            <sz val="9"/>
            <color indexed="81"/>
            <rFont val="Tahoma"/>
            <family val="2"/>
          </rPr>
          <t xml:space="preserve">[HVMT]
- Nhập = 0 thì sẽ bỏ qua dim
</t>
        </r>
      </text>
    </comment>
  </commentList>
</comments>
</file>

<file path=xl/sharedStrings.xml><?xml version="1.0" encoding="utf-8"?>
<sst xmlns="http://schemas.openxmlformats.org/spreadsheetml/2006/main" count="37" uniqueCount="36">
  <si>
    <t>Tên lệnh trong autocad</t>
  </si>
  <si>
    <t>CTBLN</t>
  </si>
  <si>
    <t>Tên chi tiết</t>
  </si>
  <si>
    <t>CHI TIẾT B1</t>
  </si>
  <si>
    <t>Tỉ lệ bản vẽ</t>
  </si>
  <si>
    <t>Hình dạng tiết diện</t>
  </si>
  <si>
    <t>Kích thước I</t>
  </si>
  <si>
    <t>Chiều cao tổng , H</t>
  </si>
  <si>
    <t>Bề rộng cánh, B</t>
  </si>
  <si>
    <t>Bề dày bụng, tw</t>
  </si>
  <si>
    <t>Bề dày cánh, tf</t>
  </si>
  <si>
    <t>Bu lông</t>
  </si>
  <si>
    <t>Đường kính, D</t>
  </si>
  <si>
    <t>Bu lông nằm bên ngoài, n</t>
  </si>
  <si>
    <t>Bu lông nằm bên trong, n</t>
  </si>
  <si>
    <t>Loại bu lông</t>
  </si>
  <si>
    <t>J</t>
  </si>
  <si>
    <t>Bản đế</t>
  </si>
  <si>
    <t>Chiều dày, t</t>
  </si>
  <si>
    <t>Sườn tăng cứng</t>
  </si>
  <si>
    <t>Gia cường bản cánh, ta</t>
  </si>
  <si>
    <t>Gia cường bản bụng, tb</t>
  </si>
  <si>
    <t>Chiều cao sườn tăng cứng</t>
  </si>
  <si>
    <t>Thông tin khác</t>
  </si>
  <si>
    <t>Cao độ (Đỉnh lớp vữa grouting)</t>
  </si>
  <si>
    <t>Chiều dày lớp vữa</t>
  </si>
  <si>
    <t>Lớp vữa vát góc 45 độ</t>
  </si>
  <si>
    <t>Y</t>
  </si>
  <si>
    <t>Chiều dài bu lông proj.</t>
  </si>
  <si>
    <t>Thể hiện dim cấu kiện</t>
  </si>
  <si>
    <t>Bảng tra</t>
  </si>
  <si>
    <t>D bolt</t>
  </si>
  <si>
    <t>L</t>
  </si>
  <si>
    <t>Bề rộng bản đế</t>
  </si>
  <si>
    <t>Khoảng cách giữa 2 bu lông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</si>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</sst>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/>
    <xf numFmtId="0" fontId="4" fillId="3" borderId="1" xfId="0" applyFont="1" applyFill="1" applyBorder="1" applyAlignment="1">
      <alignment horizontal="center" vertical="center"/>
    </xf>
    <xf numFmtId="0" fontId="5" fillId="3" borderId="0" xfId="0" applyFont="1" applyFill="1" applyProtection="1">
      <protection locked="0"/>
    </xf>
    <xf numFmtId="0" fontId="4" fillId="3" borderId="2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6" fillId="3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6" xfId="0" applyFill="1" applyBorder="1" applyAlignment="1">
      <alignment horizontal="right" vertical="center" indent="1"/>
    </xf>
    <xf numFmtId="0" fontId="0" fillId="3" borderId="10" xfId="0" applyFill="1" applyBorder="1" applyAlignment="1">
      <alignment horizontal="right" vertical="center" indent="1"/>
    </xf>
    <xf numFmtId="0" fontId="0" fillId="3" borderId="1" xfId="0" applyFill="1" applyBorder="1" applyAlignment="1">
      <alignment horizontal="center"/>
    </xf>
    <xf numFmtId="0" fontId="1" fillId="3" borderId="18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right" vertical="center" indent="1"/>
    </xf>
    <xf numFmtId="0" fontId="0" fillId="3" borderId="4" xfId="0" applyFill="1" applyBorder="1" applyAlignment="1">
      <alignment horizontal="right" vertical="center" indent="1"/>
    </xf>
    <xf numFmtId="0" fontId="0" fillId="3" borderId="5" xfId="0" applyFill="1" applyBorder="1" applyAlignment="1">
      <alignment horizontal="right" vertical="center" indent="1"/>
    </xf>
    <xf numFmtId="0" fontId="0" fillId="3" borderId="7" xfId="0" applyFill="1" applyBorder="1" applyAlignment="1">
      <alignment horizontal="right" vertical="center" indent="1"/>
    </xf>
    <xf numFmtId="0" fontId="0" fillId="3" borderId="8" xfId="0" applyFill="1" applyBorder="1" applyAlignment="1">
      <alignment horizontal="right" vertical="center" indent="1"/>
    </xf>
    <xf numFmtId="0" fontId="0" fillId="3" borderId="9" xfId="0" applyFill="1" applyBorder="1" applyAlignment="1">
      <alignment horizontal="right" vertical="center" indent="1"/>
    </xf>
    <xf numFmtId="0" fontId="0" fillId="3" borderId="11" xfId="0" applyFill="1" applyBorder="1" applyAlignment="1">
      <alignment horizontal="right" vertical="center" indent="1"/>
    </xf>
    <xf numFmtId="0" fontId="0" fillId="3" borderId="12" xfId="0" applyFill="1" applyBorder="1" applyAlignment="1">
      <alignment horizontal="right" vertical="center" indent="1"/>
    </xf>
    <xf numFmtId="0" fontId="0" fillId="3" borderId="13" xfId="0" applyFill="1" applyBorder="1" applyAlignment="1">
      <alignment horizontal="right" vertical="center" inden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right" vertical="center" indent="1"/>
    </xf>
    <xf numFmtId="0" fontId="0" fillId="3" borderId="10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4" borderId="0" xfId="0" applyFont="1" applyFill="1" applyAlignment="1">
      <alignment horizont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170792</xdr:colOff>
      <xdr:row>3</xdr:row>
      <xdr:rowOff>6569</xdr:rowOff>
    </xdr:from>
    <xdr:to>
      <xdr:col>17</xdr:col>
      <xdr:colOff>226835</xdr:colOff>
      <xdr:row>18</xdr:row>
      <xdr:rowOff>146768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2F5CA2-DF65-4447-BAA2-1AFAB4F30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42642" y="587594"/>
          <a:ext cx="7047393" cy="2997699"/>
        </a:xfrm>
        <a:prstGeom prst="rect">
          <a:avLst/>
        </a:prstGeom>
      </xdr:spPr>
    </xdr:pic>
    <xdr:clientData/>
  </xdr:twoCellAnchor>
  <xdr:twoCellAnchor editAs="oneCell">
    <xdr:from>
      <xdr:col>2</xdr:col>
      <xdr:colOff>354723</xdr:colOff>
      <xdr:row>24</xdr:row>
      <xdr:rowOff>124809</xdr:rowOff>
    </xdr:from>
    <xdr:to>
      <xdr:col>4</xdr:col>
      <xdr:colOff>564970</xdr:colOff>
      <xdr:row>36</xdr:row>
      <xdr:rowOff>56880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06D77B-9A79-D4DF-FCC3-D778F5ECC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1654" y="4703378"/>
          <a:ext cx="1432075" cy="2218071"/>
        </a:xfrm>
        <a:prstGeom prst="rect">
          <a:avLst/>
        </a:prstGeom>
      </xdr:spPr>
    </xdr:pic>
    <xdr:clientData/>
  </xdr:twoCellAnchor>
  <xdr:twoCellAnchor>
    <xdr:from>
      <xdr:col>3</xdr:col>
      <xdr:colOff>374431</xdr:colOff>
      <xdr:row>31</xdr:row>
      <xdr:rowOff>131379</xdr:rowOff>
    </xdr:from>
    <xdr:to>
      <xdr:col>4</xdr:col>
      <xdr:colOff>19707</xdr:colOff>
      <xdr:row>32</xdr:row>
      <xdr:rowOff>170793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87C91EA-5D76-B899-C69B-F933A119DB3D}"/>
            </a:ext>
          </a:extLst>
        </xdr:cNvPr>
        <xdr:cNvSpPr/>
      </xdr:nvSpPr>
      <xdr:spPr>
        <a:xfrm>
          <a:off x="2312276" y="6043448"/>
          <a:ext cx="256190" cy="229914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FE78-E0AE-4789-9709-2CCC9C536A2F}">
  <sheetPr codeName="Sheet16">
    <tabColor rgb="FF00B050"/>
  </sheetPr>
  <dimension ref="A1:F36"/>
  <sheetViews>
    <sheetView showGridLines="0" tabSelected="1" zoomScale="145" zoomScaleNormal="145" workbookViewId="0">
      <selection activeCell="H22" sqref="H22"/>
    </sheetView>
  </sheetViews>
  <sheetFormatPr defaultRowHeight="15" x14ac:dyDescent="0.25"/>
  <cols>
    <col min="1" max="1" width="10.7109375" style="3" customWidth="1"/>
    <col min="2" max="4" width="9.140625" style="3"/>
    <col min="5" max="5" width="12.42578125" style="3" bestFit="1" customWidth="1"/>
    <col min="6" max="6" width="9.140625" style="3"/>
    <col min="7" max="7" width="4.28515625" style="3" customWidth="1"/>
    <col min="8" max="16384" width="9.140625" style="3"/>
  </cols>
  <sheetData>
    <row r="1" spans="1:6" x14ac:dyDescent="0.25">
      <c r="A1" s="30" t="s">
        <v>0</v>
      </c>
      <c r="B1" s="30"/>
      <c r="C1" s="30"/>
      <c r="D1" s="30"/>
      <c r="E1" s="2" t="s">
        <v>1</v>
      </c>
    </row>
    <row r="2" spans="1:6" ht="15.75" x14ac:dyDescent="0.25">
      <c r="A2" s="1" t="s">
        <v>2</v>
      </c>
      <c r="B2" s="31" t="s">
        <v>3</v>
      </c>
      <c r="C2" s="31"/>
      <c r="D2" s="31"/>
      <c r="E2" s="31"/>
    </row>
    <row r="3" spans="1:6" x14ac:dyDescent="0.25">
      <c r="A3" s="14" t="s">
        <v>4</v>
      </c>
      <c r="B3" s="14"/>
      <c r="C3" s="14"/>
      <c r="D3" s="14"/>
      <c r="E3" s="4">
        <v>10</v>
      </c>
    </row>
    <row r="4" spans="1:6" x14ac:dyDescent="0.25">
      <c r="A4" s="14" t="s">
        <v>5</v>
      </c>
      <c r="B4" s="14"/>
      <c r="C4" s="14"/>
      <c r="D4" s="14"/>
      <c r="E4" s="4" t="s">
        <v>35</v>
      </c>
      <c r="F4" s="5"/>
    </row>
    <row r="5" spans="1:6" x14ac:dyDescent="0.25">
      <c r="A5" s="32" t="s">
        <v>6</v>
      </c>
      <c r="B5" s="18" t="s">
        <v>7</v>
      </c>
      <c r="C5" s="19"/>
      <c r="D5" s="20"/>
      <c r="E5" s="6">
        <v>800</v>
      </c>
      <c r="F5" s="5"/>
    </row>
    <row r="6" spans="1:6" x14ac:dyDescent="0.25">
      <c r="A6" s="33"/>
      <c r="B6" s="21" t="s">
        <v>8</v>
      </c>
      <c r="C6" s="22"/>
      <c r="D6" s="23"/>
      <c r="E6" s="7">
        <v>200</v>
      </c>
      <c r="F6" s="5"/>
    </row>
    <row r="7" spans="1:6" x14ac:dyDescent="0.25">
      <c r="A7" s="33"/>
      <c r="B7" s="21" t="s">
        <v>9</v>
      </c>
      <c r="C7" s="22"/>
      <c r="D7" s="23"/>
      <c r="E7" s="7">
        <v>6</v>
      </c>
      <c r="F7" s="5"/>
    </row>
    <row r="8" spans="1:6" x14ac:dyDescent="0.25">
      <c r="A8" s="34"/>
      <c r="B8" s="24" t="s">
        <v>10</v>
      </c>
      <c r="C8" s="25"/>
      <c r="D8" s="26"/>
      <c r="E8" s="8">
        <v>10</v>
      </c>
      <c r="F8" s="9"/>
    </row>
    <row r="9" spans="1:6" x14ac:dyDescent="0.25">
      <c r="A9" s="35" t="s">
        <v>11</v>
      </c>
      <c r="B9" s="18" t="s">
        <v>12</v>
      </c>
      <c r="C9" s="19"/>
      <c r="D9" s="20"/>
      <c r="E9" s="6">
        <v>24</v>
      </c>
      <c r="F9" s="9"/>
    </row>
    <row r="10" spans="1:6" x14ac:dyDescent="0.25">
      <c r="A10" s="36"/>
      <c r="B10" s="21" t="s">
        <v>13</v>
      </c>
      <c r="C10" s="22"/>
      <c r="D10" s="23"/>
      <c r="E10" s="7">
        <v>4</v>
      </c>
      <c r="F10" s="5"/>
    </row>
    <row r="11" spans="1:6" x14ac:dyDescent="0.25">
      <c r="A11" s="36"/>
      <c r="B11" s="21" t="s">
        <v>14</v>
      </c>
      <c r="C11" s="22"/>
      <c r="D11" s="23"/>
      <c r="E11" s="7">
        <v>10</v>
      </c>
    </row>
    <row r="12" spans="1:6" x14ac:dyDescent="0.25">
      <c r="A12" s="37"/>
      <c r="B12" s="13" t="s">
        <v>15</v>
      </c>
      <c r="C12" s="13"/>
      <c r="D12" s="13"/>
      <c r="E12" s="8" t="s">
        <v>16</v>
      </c>
    </row>
    <row r="13" spans="1:6" x14ac:dyDescent="0.25">
      <c r="A13" s="38" t="s">
        <v>17</v>
      </c>
      <c r="B13" s="28" t="s">
        <v>18</v>
      </c>
      <c r="C13" s="28"/>
      <c r="D13" s="28"/>
      <c r="E13" s="10">
        <v>16</v>
      </c>
    </row>
    <row r="14" spans="1:6" x14ac:dyDescent="0.25">
      <c r="A14" s="39"/>
      <c r="B14" s="12" t="s">
        <v>33</v>
      </c>
      <c r="C14" s="12"/>
      <c r="D14" s="12"/>
      <c r="E14" s="10">
        <v>200</v>
      </c>
    </row>
    <row r="15" spans="1:6" x14ac:dyDescent="0.25">
      <c r="A15" s="40"/>
      <c r="B15" s="13" t="s">
        <v>34</v>
      </c>
      <c r="C15" s="13"/>
      <c r="D15" s="13"/>
      <c r="E15" s="10">
        <v>120</v>
      </c>
    </row>
    <row r="16" spans="1:6" x14ac:dyDescent="0.25">
      <c r="A16" s="15" t="s">
        <v>19</v>
      </c>
      <c r="B16" s="18" t="s">
        <v>20</v>
      </c>
      <c r="C16" s="19"/>
      <c r="D16" s="20"/>
      <c r="E16" s="6">
        <f>MAX(E7,IF(E9&lt;24,8,10))</f>
        <v>10</v>
      </c>
    </row>
    <row r="17" spans="1:6" x14ac:dyDescent="0.25">
      <c r="A17" s="16"/>
      <c r="B17" s="21" t="s">
        <v>21</v>
      </c>
      <c r="C17" s="22"/>
      <c r="D17" s="23"/>
      <c r="E17" s="7">
        <f>E13/2</f>
        <v>8</v>
      </c>
    </row>
    <row r="18" spans="1:6" ht="15" customHeight="1" x14ac:dyDescent="0.25">
      <c r="A18" s="17"/>
      <c r="B18" s="24" t="s">
        <v>22</v>
      </c>
      <c r="C18" s="25"/>
      <c r="D18" s="26"/>
      <c r="E18" s="8">
        <v>100</v>
      </c>
    </row>
    <row r="19" spans="1:6" x14ac:dyDescent="0.25">
      <c r="A19" s="27" t="s">
        <v>23</v>
      </c>
      <c r="B19" s="28" t="s">
        <v>24</v>
      </c>
      <c r="C19" s="28"/>
      <c r="D19" s="28"/>
      <c r="E19" s="4">
        <v>0.05</v>
      </c>
    </row>
    <row r="20" spans="1:6" x14ac:dyDescent="0.25">
      <c r="A20" s="27"/>
      <c r="B20" s="12" t="s">
        <v>25</v>
      </c>
      <c r="C20" s="12"/>
      <c r="D20" s="12"/>
      <c r="E20" s="4">
        <v>50</v>
      </c>
    </row>
    <row r="21" spans="1:6" ht="15" customHeight="1" x14ac:dyDescent="0.25">
      <c r="A21" s="27"/>
      <c r="B21" s="12" t="s">
        <v>26</v>
      </c>
      <c r="C21" s="12"/>
      <c r="D21" s="12"/>
      <c r="E21" s="4" t="s">
        <v>27</v>
      </c>
      <c r="F21" s="9"/>
    </row>
    <row r="22" spans="1:6" x14ac:dyDescent="0.25">
      <c r="A22" s="27"/>
      <c r="B22" s="12" t="s">
        <v>28</v>
      </c>
      <c r="C22" s="12"/>
      <c r="D22" s="12"/>
      <c r="E22" s="4">
        <f>VLOOKUP(E9,$A$33:$B$36,2,FALSE)</f>
        <v>90</v>
      </c>
      <c r="F22" s="9"/>
    </row>
    <row r="23" spans="1:6" x14ac:dyDescent="0.25">
      <c r="A23" s="27"/>
      <c r="B23" s="29" t="s">
        <v>29</v>
      </c>
      <c r="C23" s="29"/>
      <c r="D23" s="29"/>
      <c r="E23" s="4" t="s">
        <v>27</v>
      </c>
    </row>
    <row r="31" spans="1:6" x14ac:dyDescent="0.25">
      <c r="A31" s="14" t="s">
        <v>30</v>
      </c>
      <c r="B31" s="14"/>
    </row>
    <row r="32" spans="1:6" x14ac:dyDescent="0.25">
      <c r="A32" s="11" t="s">
        <v>31</v>
      </c>
      <c r="B32" s="11" t="s">
        <v>32</v>
      </c>
    </row>
    <row r="33" spans="1:2" x14ac:dyDescent="0.25">
      <c r="A33" s="11">
        <v>16</v>
      </c>
      <c r="B33" s="11">
        <v>80</v>
      </c>
    </row>
    <row r="34" spans="1:2" x14ac:dyDescent="0.25">
      <c r="A34" s="11">
        <v>20</v>
      </c>
      <c r="B34" s="11">
        <v>90</v>
      </c>
    </row>
    <row r="35" spans="1:2" x14ac:dyDescent="0.25">
      <c r="A35" s="11">
        <v>24</v>
      </c>
      <c r="B35" s="11">
        <v>90</v>
      </c>
    </row>
    <row r="36" spans="1:2" x14ac:dyDescent="0.25">
      <c r="A36" s="11">
        <v>27</v>
      </c>
      <c r="B36" s="11">
        <v>100</v>
      </c>
    </row>
  </sheetData>
  <mergeCells count="29">
    <mergeCell ref="B13:D13"/>
    <mergeCell ref="A1:D1"/>
    <mergeCell ref="B2:E2"/>
    <mergeCell ref="A3:D3"/>
    <mergeCell ref="A4:D4"/>
    <mergeCell ref="A5:A8"/>
    <mergeCell ref="B5:D5"/>
    <mergeCell ref="B6:D6"/>
    <mergeCell ref="B7:D7"/>
    <mergeCell ref="B8:D8"/>
    <mergeCell ref="A9:A12"/>
    <mergeCell ref="B9:D9"/>
    <mergeCell ref="B10:D10"/>
    <mergeCell ref="B11:D11"/>
    <mergeCell ref="B12:D12"/>
    <mergeCell ref="A13:A15"/>
    <mergeCell ref="B14:D14"/>
    <mergeCell ref="B15:D15"/>
    <mergeCell ref="A31:B31"/>
    <mergeCell ref="A16:A18"/>
    <mergeCell ref="B16:D16"/>
    <mergeCell ref="B17:D17"/>
    <mergeCell ref="B18:D18"/>
    <mergeCell ref="A19:A23"/>
    <mergeCell ref="B19:D19"/>
    <mergeCell ref="B20:D20"/>
    <mergeCell ref="B21:D21"/>
    <mergeCell ref="B22:D22"/>
    <mergeCell ref="B23:D23"/>
  </mergeCells>
  <dataValidations count="6">
    <dataValidation type="list" allowBlank="1" showInputMessage="1" showErrorMessage="1" sqref="E12" xr:uid="{F0F60253-32DB-4DAC-9B46-DE7E0762B4F6}">
      <formula1>"Thẳng,L,J"</formula1>
    </dataValidation>
    <dataValidation type="list" allowBlank="1" showInputMessage="1" showErrorMessage="1" sqref="E18" xr:uid="{DAB90C52-75C2-461B-8955-803017E5E8DE}">
      <formula1>"100,120,130,150,200,250,300"</formula1>
    </dataValidation>
    <dataValidation type="list" allowBlank="1" showInputMessage="1" showErrorMessage="1" sqref="E21 E23" xr:uid="{2A4153FA-4F0F-451A-85AA-9BD4098E3126}">
      <formula1>"Y,N"</formula1>
    </dataValidation>
    <dataValidation type="list" allowBlank="1" showInputMessage="1" showErrorMessage="1" sqref="E4" xr:uid="{76AA7C73-F3CD-48EC-BF20-164048CFEC8A}">
      <formula1>"H,I"</formula1>
    </dataValidation>
    <dataValidation type="list" allowBlank="1" showInputMessage="1" showErrorMessage="1" sqref="E10" xr:uid="{98BF115A-E36D-4BEE-947E-C0001C9537C2}">
      <formula1>"0,4,6"</formula1>
    </dataValidation>
    <dataValidation type="list" allowBlank="1" showInputMessage="1" showErrorMessage="1" sqref="E11" xr:uid="{59EC0E94-0067-4998-ABC1-4850FB9F0056}">
      <formula1>"2,4,6,8,10"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CTBLN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2024-11-14T14:43:40Z</dcterms:created>
  <dcterms:modified xsi:type="dcterms:W3CDTF">2026-02-16T05:46:32Z</dcterms:modified>
</cp:coreProperties>
</file>