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897e0139b14c7e2/03 Spreadsheet/01 CALCULATION REPORT/00 UPDATED SEND DUY/"/>
    </mc:Choice>
  </mc:AlternateContent>
  <xr:revisionPtr revIDLastSave="39" documentId="13_ncr:1_{AF9CF583-F0EB-4CFE-8E56-4EC30DB6219A}" xr6:coauthVersionLast="47" xr6:coauthVersionMax="47" xr10:uidLastSave="{375D3C7D-D42F-4B49-B796-85A00A523B3D}"/>
  <bookViews>
    <workbookView xWindow="-28920" yWindow="-120" windowWidth="29040" windowHeight="15720" xr2:uid="{DB86EC56-B01C-4A4A-A986-4470FE9DD248}"/>
  </bookViews>
  <sheets>
    <sheet name="VKD" sheetId="1" r:id="rId1"/>
  </sheets>
  <definedNames>
    <definedName name="_xleta.COT" hidden="1" xlm="1">#NAME?</definedName>
    <definedName name="_xleta.OR" hidden="1" xlm="1">#NAME?</definedName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I4" authorId="0" shapeId="0" xr:uid="{A70BEE18-7B06-4F9C-8058-6A0C4B168B50}">
      <text>
        <r>
          <rPr>
            <sz val="9"/>
            <color indexed="81"/>
            <rFont val="Tahoma"/>
            <family val="2"/>
          </rPr>
          <t xml:space="preserve">[HVMT]
Tên giằng ngang trong bản vẽ
</t>
        </r>
      </text>
    </comment>
    <comment ref="K4" authorId="0" shapeId="0" xr:uid="{75BEE834-0A00-448F-B7B2-4E6BA3FBEA75}">
      <text>
        <r>
          <rPr>
            <sz val="9"/>
            <color indexed="81"/>
            <rFont val="Tahoma"/>
            <family val="2"/>
          </rPr>
          <t xml:space="preserve">[HVMT]:
Khoảng cách từ đỉnh cột tới mép trên của dầm giằng đỉnh
</t>
        </r>
      </text>
    </comment>
    <comment ref="M4" authorId="0" shapeId="0" xr:uid="{B6E82190-A24F-464B-A9B8-81E20BDEA769}">
      <text>
        <r>
          <rPr>
            <sz val="9"/>
            <color indexed="81"/>
            <rFont val="Tahoma"/>
            <family val="2"/>
          </rPr>
          <t xml:space="preserve">Chiều cao cấu kiện giằng.
Ví dụ hộp cao 150mm, nhập 150
</t>
        </r>
      </text>
    </comment>
    <comment ref="N4" authorId="0" shapeId="0" xr:uid="{2424F2C8-F0C0-40B8-A758-46437A47F1F9}">
      <text>
        <r>
          <rPr>
            <sz val="9"/>
            <color indexed="81"/>
            <rFont val="Tahoma"/>
            <charset val="1"/>
          </rPr>
          <t xml:space="preserve">Toan
Sliver: Màu số 8
Gray: Màu số 9
</t>
        </r>
      </text>
    </comment>
    <comment ref="K7" authorId="0" shapeId="0" xr:uid="{3BBF185C-F70B-412C-8863-6B779C9CE97B}">
      <text>
        <r>
          <rPr>
            <b/>
            <sz val="9"/>
            <color indexed="81"/>
            <rFont val="Tahoma"/>
            <family val="2"/>
          </rPr>
          <t>[HVMT]:
Chiều cao từ nền điểm thấp của giằng 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7" authorId="0" shapeId="0" xr:uid="{29E18E58-214C-4C59-B0F2-C03CCE1FC042}">
      <text>
        <r>
          <rPr>
            <b/>
            <sz val="9"/>
            <color indexed="81"/>
            <rFont val="Tahoma"/>
            <charset val="1"/>
          </rPr>
          <t>Chiều cao từ đỉnh cột đến đỉnh giằng</t>
        </r>
      </text>
    </comment>
    <comment ref="N7" authorId="0" shapeId="0" xr:uid="{6E4B334F-E086-4DE1-B6ED-301E60BC0081}">
      <text>
        <r>
          <rPr>
            <sz val="9"/>
            <color indexed="81"/>
            <rFont val="Tahoma"/>
            <charset val="1"/>
          </rPr>
          <t xml:space="preserve">Toan
Sliver: Màu số 8
Gray: Màu số 9
</t>
        </r>
      </text>
    </comment>
    <comment ref="K11" authorId="0" shapeId="0" xr:uid="{0498F415-B7C8-49A4-BE1E-6AC0834C92BC}">
      <text>
        <r>
          <rPr>
            <sz val="9"/>
            <color indexed="81"/>
            <rFont val="Tahoma"/>
            <family val="2"/>
          </rPr>
          <t xml:space="preserve">[HVMT]
Chiều cao từ nền đến chân cột thép
</t>
        </r>
      </text>
    </comment>
    <comment ref="M11" authorId="0" shapeId="0" xr:uid="{7BA6AD4F-8C5E-4FC3-9B31-6D26F18BC75C}">
      <text>
        <r>
          <rPr>
            <sz val="9"/>
            <color indexed="81"/>
            <rFont val="Tahoma"/>
            <family val="2"/>
          </rPr>
          <t xml:space="preserve">[HVMT]:
Chiều cao từ nền lên đáy dầm ngang
</t>
        </r>
      </text>
    </comment>
    <comment ref="N11" authorId="0" shapeId="0" xr:uid="{55DE6AD4-99DA-49F2-BC18-74825D637BDD}">
      <text>
        <r>
          <rPr>
            <sz val="9"/>
            <color indexed="81"/>
            <rFont val="Tahoma"/>
            <charset val="1"/>
          </rPr>
          <t xml:space="preserve">Tên của giằng X
</t>
        </r>
      </text>
    </comment>
    <comment ref="J13" authorId="0" shapeId="0" xr:uid="{6BB92482-A27A-4515-AD46-71EE2094D7A2}">
      <text>
        <r>
          <rPr>
            <sz val="9"/>
            <color indexed="81"/>
            <rFont val="Tahoma"/>
            <family val="2"/>
          </rPr>
          <t xml:space="preserve">[HVMT]
Chiều cao tổng
</t>
        </r>
      </text>
    </comment>
    <comment ref="E14" authorId="0" shapeId="0" xr:uid="{2F421228-8A53-4ECA-84D2-D979774E7B85}">
      <text>
        <r>
          <rPr>
            <sz val="9"/>
            <color indexed="81"/>
            <rFont val="Tahoma"/>
            <charset val="1"/>
          </rPr>
          <t>- Số 0 là cột I chạy thẳng, bỏ qua
- Điền 1 số là chiều cao tất cả các cột
- Điền 2 số: Số bên trái là cột đầu hồi, số bên phải là cột giữa. Ví dụ 300/700
- Điền 3 số: Được hiểu cột đầu hồi trái, cột giữa và cột đầu hồi phải. Ví dụ 300/700/300</t>
        </r>
      </text>
    </comment>
    <comment ref="J14" authorId="0" shapeId="0" xr:uid="{727564D7-D628-4D10-BB5B-FD109A3D47E0}">
      <text>
        <r>
          <rPr>
            <b/>
            <sz val="9"/>
            <color indexed="81"/>
            <rFont val="Tahoma"/>
            <family val="2"/>
          </rPr>
          <t>[HVMT]
Chiều cao tổng</t>
        </r>
      </text>
    </comment>
    <comment ref="D15" authorId="0" shapeId="0" xr:uid="{96879131-067E-47B8-90A5-D864347DDD32}">
      <text>
        <r>
          <rPr>
            <sz val="9"/>
            <color indexed="81"/>
            <rFont val="Tahoma"/>
            <charset val="1"/>
          </rPr>
          <t xml:space="preserve">Xà gồ đầu tiên cách mép cột 1 khoảng
</t>
        </r>
      </text>
    </comment>
    <comment ref="F15" authorId="0" shapeId="0" xr:uid="{7444B65C-34A2-4630-8168-14CE12D5EEA2}">
      <text>
        <r>
          <rPr>
            <sz val="9"/>
            <color indexed="81"/>
            <rFont val="Tahoma"/>
            <charset val="1"/>
          </rPr>
          <t xml:space="preserve">Nhập =0 là không vẽ
</t>
        </r>
      </text>
    </comment>
    <comment ref="K16" authorId="0" shapeId="0" xr:uid="{143A414A-9E8A-46F0-8D81-8540CA8C4180}">
      <text>
        <r>
          <rPr>
            <sz val="9"/>
            <color indexed="81"/>
            <rFont val="Tahoma"/>
            <family val="2"/>
          </rPr>
          <t xml:space="preserve">[HVMT]
Chiều cao từ nền đến chân cột thép
</t>
        </r>
      </text>
    </comment>
    <comment ref="M16" authorId="0" shapeId="0" xr:uid="{40FAF500-2462-46CB-99C6-407A38837CAF}">
      <text>
        <r>
          <rPr>
            <sz val="9"/>
            <color indexed="81"/>
            <rFont val="Tahoma"/>
            <family val="2"/>
          </rPr>
          <t xml:space="preserve">[HVMT]:
Chiều cao từ nền lên đáy dầm ngang
</t>
        </r>
      </text>
    </comment>
    <comment ref="J18" authorId="0" shapeId="0" xr:uid="{B96C0E7C-81A4-4663-8310-9307F6F85F52}">
      <text>
        <r>
          <rPr>
            <sz val="9"/>
            <color indexed="81"/>
            <rFont val="Tahoma"/>
            <family val="2"/>
          </rPr>
          <t xml:space="preserve">[HVMT]
Chiều cao tổng
</t>
        </r>
      </text>
    </comment>
    <comment ref="J19" authorId="0" shapeId="0" xr:uid="{A3CDD8A5-E6B0-4414-A193-C729314FFF0F}">
      <text>
        <r>
          <rPr>
            <b/>
            <sz val="9"/>
            <color indexed="81"/>
            <rFont val="Tahoma"/>
            <family val="2"/>
          </rPr>
          <t>[HVMT]
Chiều cao tổng</t>
        </r>
      </text>
    </comment>
  </commentList>
</comments>
</file>

<file path=xl/sharedStrings.xml><?xml version="1.0" encoding="utf-8"?>
<sst xmlns="http://schemas.openxmlformats.org/spreadsheetml/2006/main" count="128" uniqueCount="82">
  <si>
    <t>MẶT ĐỨNG KHUNG TRỤC 1-2</t>
  </si>
  <si>
    <t>Tên lệnh Autocad</t>
  </si>
  <si>
    <t>VKD</t>
  </si>
  <si>
    <t>Tỉ lệ bản vẽ</t>
  </si>
  <si>
    <t>Giằng đỉnh</t>
  </si>
  <si>
    <t>EB</t>
  </si>
  <si>
    <t>Đỉnh cột</t>
  </si>
  <si>
    <t>Chiều cao</t>
  </si>
  <si>
    <t>Yellow</t>
  </si>
  <si>
    <t>Cao độ nền</t>
  </si>
  <si>
    <t>mm</t>
  </si>
  <si>
    <t>Vị trí
Giằng</t>
  </si>
  <si>
    <t>All</t>
  </si>
  <si>
    <t>Chiều cao cột tính từ cao độ nền</t>
  </si>
  <si>
    <t>Chiều dày bản đế</t>
  </si>
  <si>
    <t>Giằng X</t>
  </si>
  <si>
    <t>BR1</t>
  </si>
  <si>
    <t>Chân cột</t>
  </si>
  <si>
    <t>Blue</t>
  </si>
  <si>
    <t>Chiều dày vữa</t>
  </si>
  <si>
    <t>Vị trí</t>
  </si>
  <si>
    <t>Chiều cao bệ bê tông</t>
  </si>
  <si>
    <t>Lỗ mở</t>
  </si>
  <si>
    <t>Bề rộng</t>
  </si>
  <si>
    <t>K/c trục ngoài đến mép cột</t>
  </si>
  <si>
    <t>Chiều dày tường biên bao che</t>
  </si>
  <si>
    <t>Giằng cổng chữ X</t>
  </si>
  <si>
    <t>Thông thủy</t>
  </si>
  <si>
    <t>ROD20</t>
  </si>
  <si>
    <t>Chiều cao tường biên bao che</t>
  </si>
  <si>
    <t>Kích thước</t>
  </si>
  <si>
    <t>Dày bụng</t>
  </si>
  <si>
    <t>Dày cánh</t>
  </si>
  <si>
    <t>K/c mép tường và mép cột</t>
  </si>
  <si>
    <t>Thanh ngang</t>
  </si>
  <si>
    <t>Chiều cao dầm ảo trên đỉnh cột</t>
  </si>
  <si>
    <t>300/500</t>
  </si>
  <si>
    <t>Thanh chống xiên</t>
  </si>
  <si>
    <t>150/388</t>
  </si>
  <si>
    <t>Xà gồ tường</t>
  </si>
  <si>
    <t>Bước xà gồ</t>
  </si>
  <si>
    <t>Giằng cổng thanh xiên</t>
  </si>
  <si>
    <t>V63x5</t>
  </si>
  <si>
    <t>Tên lưới</t>
  </si>
  <si>
    <t>Khoảng cách</t>
  </si>
  <si>
    <t>Tiết diện thép</t>
  </si>
  <si>
    <t>Giằng X, Lỗ mở, Giằng cổng: Xóa vị trí là phần mềm bỏ qua, k vẽ</t>
  </si>
  <si>
    <t>Chiều dày bụng</t>
  </si>
  <si>
    <t>Bề rộng cánh</t>
  </si>
  <si>
    <t>Chiều dày cánh</t>
  </si>
  <si>
    <t>Tiết diện cột thép: chiều cao và chiều dày cánh bỏ qua</t>
  </si>
  <si>
    <t>H</t>
  </si>
  <si>
    <t>tw</t>
  </si>
  <si>
    <t>Bf</t>
  </si>
  <si>
    <t>Tf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</si>
  <si>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</si>
  <si>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</si>
  <si>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</si>
  <si>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</si>
  <si>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</si>
  <si>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</si>
  <si>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</si>
  <si>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</si>
  <si>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</si>
  <si>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</si>
  <si>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</si>
  <si>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</si>
  <si>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Color</t>
  </si>
  <si>
    <t>Red</t>
  </si>
  <si>
    <t>Green</t>
  </si>
  <si>
    <t>Cyan</t>
  </si>
  <si>
    <t>Magenta</t>
  </si>
  <si>
    <t>White</t>
  </si>
  <si>
    <t>Sliver</t>
  </si>
  <si>
    <t>Gray</t>
  </si>
  <si>
    <t>Tên cấu kiện</t>
  </si>
  <si>
    <t>C1</t>
  </si>
  <si>
    <t>Quy định ty giằng</t>
  </si>
  <si>
    <t>Lmax</t>
  </si>
  <si>
    <t>n</t>
  </si>
  <si>
    <t>Tên</t>
  </si>
  <si>
    <t>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</si>
</sst>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Nhịp &quot;0"/>
    <numFmt numFmtId="165" formatCode="&quot;(&quot;0&quot;)&quot;"/>
  </numFmts>
  <fonts count="23" x14ac:knownFonts="1"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8"/>
      <color rgb="FF0000CC"/>
      <name val="Aptos Narrow"/>
      <family val="2"/>
      <scheme val="minor"/>
    </font>
    <font>
      <sz val="20"/>
      <color rgb="FF006100"/>
      <name val="Aptos Narrow"/>
      <family val="2"/>
      <scheme val="minor"/>
    </font>
    <font>
      <sz val="11"/>
      <color rgb="FF0000CC"/>
      <name val="Aptos Narrow"/>
      <family val="2"/>
      <scheme val="minor"/>
    </font>
    <font>
      <sz val="11"/>
      <color rgb="FFFFFFFF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00CC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1"/>
      <color rgb="FFFF000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D5D000"/>
      <name val="Aptos Narrow"/>
      <family val="2"/>
      <scheme val="minor"/>
    </font>
    <font>
      <sz val="11"/>
      <color rgb="FF00B050"/>
      <name val="Aptos Narrow"/>
      <family val="2"/>
      <scheme val="minor"/>
    </font>
    <font>
      <sz val="11"/>
      <color rgb="FF00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sz val="11"/>
      <color rgb="FFFF00FF"/>
      <name val="Aptos Narrow"/>
      <family val="2"/>
      <scheme val="minor"/>
    </font>
    <font>
      <b/>
      <sz val="11"/>
      <color rgb="FF0070C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0070C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theme="5"/>
        <bgColor indexed="64"/>
      </patternFill>
    </fill>
  </fills>
  <borders count="3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</cellStyleXfs>
  <cellXfs count="88">
    <xf numFmtId="0" fontId="0" fillId="0" borderId="0" xfId="0"/>
    <xf numFmtId="0" fontId="0" fillId="0" borderId="3" xfId="0" applyBorder="1"/>
    <xf numFmtId="0" fontId="0" fillId="0" borderId="4" xfId="0" applyBorder="1"/>
    <xf numFmtId="0" fontId="0" fillId="0" borderId="5" xfId="0" applyBorder="1" applyAlignment="1">
      <alignment horizontal="left" indent="1"/>
    </xf>
    <xf numFmtId="0" fontId="0" fillId="0" borderId="6" xfId="0" applyBorder="1" applyAlignment="1">
      <alignment horizontal="right"/>
    </xf>
    <xf numFmtId="0" fontId="0" fillId="0" borderId="6" xfId="0" applyBorder="1"/>
    <xf numFmtId="1" fontId="6" fillId="0" borderId="6" xfId="0" applyNumberFormat="1" applyFont="1" applyBorder="1" applyAlignment="1">
      <alignment horizontal="center" vertical="center"/>
    </xf>
    <xf numFmtId="0" fontId="0" fillId="0" borderId="7" xfId="0" applyBorder="1"/>
    <xf numFmtId="0" fontId="2" fillId="3" borderId="8" xfId="2" applyBorder="1" applyAlignment="1">
      <alignment horizontal="left" indent="1"/>
    </xf>
    <xf numFmtId="0" fontId="6" fillId="0" borderId="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left" indent="1"/>
    </xf>
    <xf numFmtId="0" fontId="0" fillId="0" borderId="11" xfId="0" applyBorder="1"/>
    <xf numFmtId="0" fontId="6" fillId="0" borderId="11" xfId="0" applyFont="1" applyBorder="1" applyAlignment="1">
      <alignment horizontal="center" vertical="center"/>
    </xf>
    <xf numFmtId="0" fontId="0" fillId="0" borderId="12" xfId="0" applyBorder="1"/>
    <xf numFmtId="164" fontId="6" fillId="0" borderId="11" xfId="0" applyNumberFormat="1" applyFont="1" applyBorder="1" applyAlignment="1">
      <alignment horizontal="center" vertical="center"/>
    </xf>
    <xf numFmtId="164" fontId="6" fillId="5" borderId="14" xfId="0" applyNumberFormat="1" applyFont="1" applyFill="1" applyBorder="1" applyAlignment="1">
      <alignment horizontal="center" vertical="center"/>
    </xf>
    <xf numFmtId="0" fontId="0" fillId="5" borderId="14" xfId="0" applyFill="1" applyBorder="1"/>
    <xf numFmtId="0" fontId="0" fillId="5" borderId="15" xfId="0" applyFill="1" applyBorder="1"/>
    <xf numFmtId="0" fontId="0" fillId="0" borderId="10" xfId="0" applyBorder="1" applyAlignment="1">
      <alignment horizontal="left" indent="2"/>
    </xf>
    <xf numFmtId="0" fontId="7" fillId="6" borderId="9" xfId="0" applyFont="1" applyFill="1" applyBorder="1" applyAlignment="1">
      <alignment horizontal="center" vertical="center"/>
    </xf>
    <xf numFmtId="0" fontId="0" fillId="0" borderId="13" xfId="0" applyBorder="1" applyAlignment="1">
      <alignment horizontal="left" indent="2"/>
    </xf>
    <xf numFmtId="164" fontId="6" fillId="5" borderId="15" xfId="0" applyNumberFormat="1" applyFont="1" applyFill="1" applyBorder="1" applyAlignment="1">
      <alignment horizontal="center" vertical="center"/>
    </xf>
    <xf numFmtId="0" fontId="2" fillId="3" borderId="8" xfId="2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left" vertical="center" indent="1"/>
    </xf>
    <xf numFmtId="0" fontId="0" fillId="0" borderId="11" xfId="0" applyBorder="1" applyAlignment="1">
      <alignment vertical="center" wrapText="1"/>
    </xf>
    <xf numFmtId="0" fontId="6" fillId="0" borderId="7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0" fillId="0" borderId="13" xfId="0" applyBorder="1" applyAlignment="1">
      <alignment horizontal="left" vertical="center" indent="2"/>
    </xf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8" xfId="0" applyBorder="1"/>
    <xf numFmtId="0" fontId="0" fillId="0" borderId="2" xfId="0" applyBorder="1"/>
    <xf numFmtId="0" fontId="0" fillId="0" borderId="19" xfId="0" applyBorder="1"/>
    <xf numFmtId="0" fontId="0" fillId="0" borderId="3" xfId="0" applyBorder="1" applyAlignment="1">
      <alignment horizontal="left" indent="1"/>
    </xf>
    <xf numFmtId="0" fontId="9" fillId="7" borderId="27" xfId="0" applyFont="1" applyFill="1" applyBorder="1" applyAlignment="1">
      <alignment horizontal="center" vertical="center"/>
    </xf>
    <xf numFmtId="0" fontId="9" fillId="7" borderId="28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10" fillId="0" borderId="24" xfId="0" applyFont="1" applyBorder="1"/>
    <xf numFmtId="0" fontId="6" fillId="0" borderId="24" xfId="0" applyFont="1" applyBorder="1"/>
    <xf numFmtId="0" fontId="15" fillId="0" borderId="0" xfId="0" applyFont="1"/>
    <xf numFmtId="0" fontId="17" fillId="0" borderId="0" xfId="0" applyFont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21" fillId="0" borderId="0" xfId="0" applyFont="1"/>
    <xf numFmtId="0" fontId="7" fillId="8" borderId="9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 wrapText="1"/>
    </xf>
    <xf numFmtId="0" fontId="16" fillId="4" borderId="31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9" fillId="7" borderId="20" xfId="0" applyFont="1" applyFill="1" applyBorder="1" applyAlignment="1">
      <alignment horizontal="center" vertical="center" wrapText="1"/>
    </xf>
    <xf numFmtId="0" fontId="9" fillId="7" borderId="22" xfId="0" applyFont="1" applyFill="1" applyBorder="1" applyAlignment="1">
      <alignment horizontal="center" vertical="center" wrapText="1"/>
    </xf>
    <xf numFmtId="0" fontId="9" fillId="7" borderId="25" xfId="0" applyFont="1" applyFill="1" applyBorder="1" applyAlignment="1">
      <alignment horizontal="center" vertical="center" wrapText="1"/>
    </xf>
    <xf numFmtId="0" fontId="9" fillId="7" borderId="21" xfId="0" applyFont="1" applyFill="1" applyBorder="1" applyAlignment="1">
      <alignment horizontal="center" vertical="center" wrapText="1"/>
    </xf>
    <xf numFmtId="0" fontId="9" fillId="7" borderId="23" xfId="0" applyFont="1" applyFill="1" applyBorder="1" applyAlignment="1">
      <alignment horizontal="center" vertical="center" wrapText="1"/>
    </xf>
    <xf numFmtId="0" fontId="9" fillId="7" borderId="26" xfId="0" applyFont="1" applyFill="1" applyBorder="1" applyAlignment="1">
      <alignment horizontal="center" vertical="center" wrapText="1"/>
    </xf>
    <xf numFmtId="0" fontId="5" fillId="2" borderId="0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6" fillId="0" borderId="11" xfId="0" applyFont="1" applyBorder="1" applyAlignment="1">
      <alignment horizontal="right" vertical="center"/>
    </xf>
    <xf numFmtId="0" fontId="2" fillId="3" borderId="16" xfId="2" applyBorder="1" applyAlignment="1">
      <alignment horizontal="center"/>
    </xf>
    <xf numFmtId="0" fontId="2" fillId="3" borderId="17" xfId="2" applyBorder="1" applyAlignment="1">
      <alignment horizontal="center"/>
    </xf>
    <xf numFmtId="0" fontId="9" fillId="7" borderId="24" xfId="0" applyFont="1" applyFill="1" applyBorder="1" applyAlignment="1">
      <alignment horizontal="center" vertical="center" wrapText="1"/>
    </xf>
    <xf numFmtId="0" fontId="9" fillId="7" borderId="9" xfId="0" applyFont="1" applyFill="1" applyBorder="1" applyAlignment="1">
      <alignment horizontal="center" vertical="center" wrapText="1"/>
    </xf>
    <xf numFmtId="0" fontId="2" fillId="3" borderId="16" xfId="2" applyBorder="1" applyAlignment="1">
      <alignment horizontal="left" indent="1"/>
    </xf>
    <xf numFmtId="0" fontId="2" fillId="3" borderId="17" xfId="2" applyBorder="1" applyAlignment="1">
      <alignment horizontal="left" indent="1"/>
    </xf>
    <xf numFmtId="0" fontId="9" fillId="7" borderId="30" xfId="0" applyFont="1" applyFill="1" applyBorder="1" applyAlignment="1">
      <alignment horizontal="center" vertical="center" wrapText="1"/>
    </xf>
    <xf numFmtId="0" fontId="6" fillId="0" borderId="24" xfId="0" applyFont="1" applyBorder="1" applyAlignment="1">
      <alignment vertical="center"/>
    </xf>
    <xf numFmtId="0" fontId="0" fillId="0" borderId="4" xfId="0" applyBorder="1" applyAlignment="1">
      <alignment horizontal="left" indent="1"/>
    </xf>
    <xf numFmtId="0" fontId="9" fillId="7" borderId="32" xfId="0" applyFont="1" applyFill="1" applyBorder="1" applyAlignment="1">
      <alignment horizontal="center"/>
    </xf>
    <xf numFmtId="0" fontId="9" fillId="7" borderId="33" xfId="0" applyFont="1" applyFill="1" applyBorder="1" applyAlignment="1">
      <alignment horizontal="center"/>
    </xf>
    <xf numFmtId="0" fontId="9" fillId="7" borderId="34" xfId="0" applyFont="1" applyFill="1" applyBorder="1" applyAlignment="1">
      <alignment horizontal="center"/>
    </xf>
    <xf numFmtId="0" fontId="22" fillId="5" borderId="24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0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9" borderId="0" xfId="0" applyFill="1"/>
  </cellXfs>
  <cellStyles count="3">
    <cellStyle name="Good" xfId="1" builtinId="26"/>
    <cellStyle name="Input" xfId="2" builtinId="20"/>
    <cellStyle name="Normal" xfId="0" builtinId="0"/>
  </cellStyles>
  <dxfs count="2"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040FC-0EA8-4446-AF1C-82DB4C0C904D}">
  <sheetPr codeName="Sheet6">
    <tabColor rgb="FFFFC000"/>
  </sheetPr>
  <dimension ref="B1:AB62"/>
  <sheetViews>
    <sheetView showGridLines="0" tabSelected="1" topLeftCell="A10" zoomScale="130" zoomScaleNormal="130" workbookViewId="0">
      <selection activeCell="AB20" sqref="AB20"/>
    </sheetView>
  </sheetViews>
  <sheetFormatPr defaultRowHeight="15" x14ac:dyDescent="0.25"/>
  <cols>
    <col min="1" max="1" width="3.140625" customWidth="1"/>
    <col min="2" max="7" width="9.140625" customWidth="1"/>
    <col min="8" max="8" width="11.85546875" bestFit="1" customWidth="1"/>
    <col min="9" max="14" width="9.140625" customWidth="1"/>
    <col min="15" max="16" width="9.7109375" hidden="1" customWidth="1"/>
    <col min="17" max="25" width="7.7109375" hidden="1" customWidth="1"/>
    <col min="26" max="26" width="3.42578125" style="87" customWidth="1"/>
  </cols>
  <sheetData>
    <row r="1" spans="2:28" ht="15" customHeight="1" x14ac:dyDescent="0.25">
      <c r="B1" s="56" t="s">
        <v>0</v>
      </c>
      <c r="C1" s="56"/>
      <c r="D1" s="56"/>
      <c r="E1" s="56"/>
      <c r="F1" s="56"/>
      <c r="G1" s="56"/>
      <c r="H1" s="57" t="s">
        <v>1</v>
      </c>
      <c r="I1" s="57"/>
      <c r="J1" s="57"/>
      <c r="K1" s="57"/>
      <c r="L1" s="57"/>
      <c r="M1" s="65" t="s">
        <v>2</v>
      </c>
      <c r="N1" s="65"/>
      <c r="AA1" s="83" t="s">
        <v>77</v>
      </c>
      <c r="AB1" s="83"/>
    </row>
    <row r="2" spans="2:28" ht="15" customHeight="1" x14ac:dyDescent="0.25">
      <c r="B2" s="56"/>
      <c r="C2" s="56"/>
      <c r="D2" s="56"/>
      <c r="E2" s="56"/>
      <c r="F2" s="56"/>
      <c r="G2" s="56"/>
      <c r="H2" s="58"/>
      <c r="I2" s="58"/>
      <c r="J2" s="58"/>
      <c r="K2" s="58"/>
      <c r="L2" s="58"/>
      <c r="M2" s="65"/>
      <c r="N2" s="65"/>
      <c r="AA2" s="84" t="s">
        <v>78</v>
      </c>
      <c r="AB2" s="84" t="s">
        <v>79</v>
      </c>
    </row>
    <row r="3" spans="2:28" ht="15" customHeight="1" thickBot="1" x14ac:dyDescent="0.3">
      <c r="H3" s="1"/>
      <c r="I3" s="2"/>
      <c r="J3" s="2"/>
      <c r="K3" s="2"/>
      <c r="L3" s="2"/>
      <c r="M3" s="2"/>
      <c r="N3" s="2"/>
      <c r="AA3" s="85">
        <v>6000</v>
      </c>
      <c r="AB3" s="86">
        <v>1</v>
      </c>
    </row>
    <row r="4" spans="2:28" ht="15" customHeight="1" x14ac:dyDescent="0.25">
      <c r="B4" s="3" t="s">
        <v>3</v>
      </c>
      <c r="C4" s="4"/>
      <c r="D4" s="5"/>
      <c r="E4" s="5"/>
      <c r="F4" s="6">
        <v>150</v>
      </c>
      <c r="G4" s="7"/>
      <c r="H4" s="8" t="s">
        <v>4</v>
      </c>
      <c r="I4" s="9" t="s">
        <v>5</v>
      </c>
      <c r="J4" s="10" t="s">
        <v>6</v>
      </c>
      <c r="K4" s="9">
        <v>250</v>
      </c>
      <c r="L4" s="10" t="s">
        <v>7</v>
      </c>
      <c r="M4" s="9">
        <v>150</v>
      </c>
      <c r="N4" s="20" t="s">
        <v>18</v>
      </c>
      <c r="AA4" s="85">
        <v>9000</v>
      </c>
      <c r="AB4" s="86">
        <v>2</v>
      </c>
    </row>
    <row r="5" spans="2:28" ht="15" customHeight="1" x14ac:dyDescent="0.25">
      <c r="B5" s="11" t="s">
        <v>9</v>
      </c>
      <c r="C5" s="12"/>
      <c r="D5" s="12"/>
      <c r="E5" s="12"/>
      <c r="F5" s="13">
        <v>0</v>
      </c>
      <c r="G5" s="14" t="s">
        <v>10</v>
      </c>
      <c r="H5" s="66" t="s">
        <v>11</v>
      </c>
      <c r="I5" s="15" t="s">
        <v>12</v>
      </c>
      <c r="J5" s="68" t="str">
        <f>IF(I5="All","Giằng toàn bộ đỉnh cột, không quan tâm hàng dưới","Giằng theo nhịp bên dưới")</f>
        <v>Giằng toàn bộ đỉnh cột, không quan tâm hàng dưới</v>
      </c>
      <c r="K5" s="68"/>
      <c r="L5" s="68"/>
      <c r="M5" s="68"/>
      <c r="N5" s="69"/>
      <c r="AA5" s="85">
        <v>12000</v>
      </c>
      <c r="AB5" s="86">
        <v>3</v>
      </c>
    </row>
    <row r="6" spans="2:28" ht="15" customHeight="1" thickBot="1" x14ac:dyDescent="0.3">
      <c r="B6" s="11" t="s">
        <v>13</v>
      </c>
      <c r="C6" s="12"/>
      <c r="D6" s="12"/>
      <c r="E6" s="12"/>
      <c r="F6" s="13">
        <v>10000</v>
      </c>
      <c r="G6" s="14" t="s">
        <v>10</v>
      </c>
      <c r="H6" s="67"/>
      <c r="I6" s="16"/>
      <c r="J6" s="16"/>
      <c r="K6" s="16"/>
      <c r="L6" s="16"/>
      <c r="M6" s="17"/>
      <c r="N6" s="18"/>
      <c r="AA6" s="85">
        <v>15000</v>
      </c>
      <c r="AB6" s="86">
        <v>4</v>
      </c>
    </row>
    <row r="7" spans="2:28" ht="15" customHeight="1" x14ac:dyDescent="0.25">
      <c r="B7" s="19" t="s">
        <v>14</v>
      </c>
      <c r="C7" s="12"/>
      <c r="D7" s="12"/>
      <c r="E7" s="12"/>
      <c r="F7" s="13">
        <v>20</v>
      </c>
      <c r="G7" s="14" t="s">
        <v>10</v>
      </c>
      <c r="H7" s="8" t="s">
        <v>15</v>
      </c>
      <c r="I7" s="9" t="s">
        <v>16</v>
      </c>
      <c r="J7" s="10" t="s">
        <v>17</v>
      </c>
      <c r="K7" s="9">
        <v>300</v>
      </c>
      <c r="L7" s="10" t="s">
        <v>6</v>
      </c>
      <c r="M7" s="9">
        <v>500</v>
      </c>
      <c r="N7" s="53" t="s">
        <v>74</v>
      </c>
      <c r="AA7" s="85">
        <v>18000</v>
      </c>
      <c r="AB7" s="86">
        <v>5</v>
      </c>
    </row>
    <row r="8" spans="2:28" ht="15" customHeight="1" thickBot="1" x14ac:dyDescent="0.3">
      <c r="B8" s="19" t="s">
        <v>19</v>
      </c>
      <c r="C8" s="12"/>
      <c r="D8" s="12"/>
      <c r="E8" s="12"/>
      <c r="F8" s="13">
        <v>50</v>
      </c>
      <c r="G8" s="14" t="s">
        <v>10</v>
      </c>
      <c r="H8" s="21" t="s">
        <v>20</v>
      </c>
      <c r="I8" s="16">
        <v>1</v>
      </c>
      <c r="J8" s="16">
        <v>11</v>
      </c>
      <c r="K8" s="16"/>
      <c r="L8" s="16"/>
      <c r="M8" s="16"/>
      <c r="N8" s="22"/>
    </row>
    <row r="9" spans="2:28" ht="15" customHeight="1" x14ac:dyDescent="0.25">
      <c r="B9" s="19" t="s">
        <v>21</v>
      </c>
      <c r="C9" s="12"/>
      <c r="D9" s="12"/>
      <c r="E9" s="12"/>
      <c r="F9" s="13">
        <v>300</v>
      </c>
      <c r="G9" s="14" t="s">
        <v>10</v>
      </c>
      <c r="H9" s="23" t="s">
        <v>22</v>
      </c>
      <c r="I9" s="10" t="s">
        <v>23</v>
      </c>
      <c r="J9" s="9">
        <v>4500</v>
      </c>
      <c r="K9" s="10" t="s">
        <v>7</v>
      </c>
      <c r="L9" s="9">
        <v>3000</v>
      </c>
      <c r="M9" s="10"/>
      <c r="N9" s="24"/>
    </row>
    <row r="10" spans="2:28" ht="15" customHeight="1" thickBot="1" x14ac:dyDescent="0.3">
      <c r="B10" s="25" t="s">
        <v>24</v>
      </c>
      <c r="C10" s="26"/>
      <c r="D10" s="26"/>
      <c r="E10" s="12"/>
      <c r="F10" s="13">
        <v>250</v>
      </c>
      <c r="G10" s="14" t="s">
        <v>10</v>
      </c>
      <c r="H10" s="21" t="s">
        <v>20</v>
      </c>
      <c r="I10" s="16"/>
      <c r="J10" s="16"/>
      <c r="K10" s="16"/>
      <c r="L10" s="16"/>
      <c r="M10" s="16"/>
      <c r="N10" s="22"/>
    </row>
    <row r="11" spans="2:28" ht="15" customHeight="1" x14ac:dyDescent="0.25">
      <c r="B11" s="11" t="s">
        <v>25</v>
      </c>
      <c r="C11" s="12"/>
      <c r="D11" s="12"/>
      <c r="E11" s="12"/>
      <c r="F11" s="13">
        <v>200</v>
      </c>
      <c r="G11" s="14" t="s">
        <v>10</v>
      </c>
      <c r="H11" s="75" t="s">
        <v>26</v>
      </c>
      <c r="I11" s="76"/>
      <c r="J11" s="10" t="s">
        <v>17</v>
      </c>
      <c r="K11" s="9">
        <v>900</v>
      </c>
      <c r="L11" s="10" t="s">
        <v>27</v>
      </c>
      <c r="M11" s="9">
        <v>6400</v>
      </c>
      <c r="N11" s="27" t="s">
        <v>28</v>
      </c>
      <c r="O11" s="28"/>
    </row>
    <row r="12" spans="2:28" ht="15" customHeight="1" x14ac:dyDescent="0.25">
      <c r="B12" s="11" t="s">
        <v>29</v>
      </c>
      <c r="C12" s="12"/>
      <c r="D12" s="12"/>
      <c r="E12" s="12"/>
      <c r="F12" s="13">
        <v>2500</v>
      </c>
      <c r="G12" s="14" t="s">
        <v>10</v>
      </c>
      <c r="H12" s="19" t="s">
        <v>30</v>
      </c>
      <c r="I12" s="12"/>
      <c r="J12" s="29" t="s">
        <v>7</v>
      </c>
      <c r="K12" s="29" t="s">
        <v>23</v>
      </c>
      <c r="L12" s="29" t="s">
        <v>31</v>
      </c>
      <c r="M12" s="29" t="s">
        <v>32</v>
      </c>
      <c r="N12" s="30" t="s">
        <v>80</v>
      </c>
      <c r="O12" s="28"/>
    </row>
    <row r="13" spans="2:28" x14ac:dyDescent="0.25">
      <c r="B13" s="11" t="s">
        <v>33</v>
      </c>
      <c r="C13" s="12"/>
      <c r="D13" s="12"/>
      <c r="E13" s="12"/>
      <c r="F13" s="13">
        <v>250</v>
      </c>
      <c r="G13" s="14" t="s">
        <v>10</v>
      </c>
      <c r="H13" s="19" t="s">
        <v>34</v>
      </c>
      <c r="I13" s="12"/>
      <c r="J13" s="13">
        <v>388</v>
      </c>
      <c r="K13" s="13">
        <v>164</v>
      </c>
      <c r="L13" s="13">
        <v>5</v>
      </c>
      <c r="M13" s="13">
        <v>8</v>
      </c>
      <c r="N13" s="31" t="s">
        <v>81</v>
      </c>
    </row>
    <row r="14" spans="2:28" x14ac:dyDescent="0.25">
      <c r="B14" s="11" t="s">
        <v>35</v>
      </c>
      <c r="C14" s="12"/>
      <c r="D14" s="12"/>
      <c r="E14" s="70" t="s">
        <v>36</v>
      </c>
      <c r="F14" s="70"/>
      <c r="G14" s="14" t="s">
        <v>10</v>
      </c>
      <c r="H14" s="19" t="s">
        <v>37</v>
      </c>
      <c r="I14" s="12"/>
      <c r="J14" s="13" t="s">
        <v>38</v>
      </c>
      <c r="K14" s="13">
        <v>164</v>
      </c>
      <c r="L14" s="13">
        <v>5</v>
      </c>
      <c r="M14" s="13">
        <v>8</v>
      </c>
      <c r="N14" s="31" t="s">
        <v>76</v>
      </c>
    </row>
    <row r="15" spans="2:28" ht="15.75" thickBot="1" x14ac:dyDescent="0.3">
      <c r="B15" s="11" t="s">
        <v>39</v>
      </c>
      <c r="C15" s="12"/>
      <c r="D15" s="13">
        <v>200</v>
      </c>
      <c r="E15" s="12" t="s">
        <v>40</v>
      </c>
      <c r="F15" s="13">
        <v>1200</v>
      </c>
      <c r="G15" s="14" t="s">
        <v>10</v>
      </c>
      <c r="H15" s="32" t="s">
        <v>20</v>
      </c>
      <c r="I15" s="16">
        <v>4</v>
      </c>
      <c r="J15" s="16">
        <v>8</v>
      </c>
      <c r="K15" s="16"/>
      <c r="L15" s="16"/>
      <c r="M15" s="16"/>
      <c r="N15" s="22"/>
    </row>
    <row r="16" spans="2:28" x14ac:dyDescent="0.25">
      <c r="B16" s="33"/>
      <c r="C16" s="12"/>
      <c r="D16" s="12"/>
      <c r="E16" s="12"/>
      <c r="F16" s="12"/>
      <c r="G16" s="14"/>
      <c r="H16" s="71" t="s">
        <v>41</v>
      </c>
      <c r="I16" s="72"/>
      <c r="J16" s="10" t="s">
        <v>17</v>
      </c>
      <c r="K16" s="9">
        <v>900</v>
      </c>
      <c r="L16" s="10" t="s">
        <v>27</v>
      </c>
      <c r="M16" s="9">
        <v>8000</v>
      </c>
      <c r="N16" s="27" t="s">
        <v>42</v>
      </c>
    </row>
    <row r="17" spans="2:15" x14ac:dyDescent="0.25">
      <c r="B17" s="33"/>
      <c r="C17" s="12"/>
      <c r="D17" s="12"/>
      <c r="E17" s="12"/>
      <c r="F17" s="12"/>
      <c r="G17" s="14"/>
      <c r="H17" s="19" t="s">
        <v>30</v>
      </c>
      <c r="I17" s="12"/>
      <c r="J17" s="29" t="s">
        <v>7</v>
      </c>
      <c r="K17" s="29" t="s">
        <v>23</v>
      </c>
      <c r="L17" s="29" t="s">
        <v>31</v>
      </c>
      <c r="M17" s="29" t="s">
        <v>32</v>
      </c>
      <c r="N17" s="30" t="s">
        <v>80</v>
      </c>
    </row>
    <row r="18" spans="2:15" x14ac:dyDescent="0.25">
      <c r="B18" s="33"/>
      <c r="C18" s="12"/>
      <c r="D18" s="12"/>
      <c r="E18" s="12"/>
      <c r="F18" s="12"/>
      <c r="G18" s="14"/>
      <c r="H18" s="19" t="s">
        <v>34</v>
      </c>
      <c r="I18" s="12"/>
      <c r="J18" s="13">
        <v>388</v>
      </c>
      <c r="K18" s="13">
        <v>164</v>
      </c>
      <c r="L18" s="13">
        <v>5</v>
      </c>
      <c r="M18" s="13">
        <v>8</v>
      </c>
      <c r="N18" s="31" t="s">
        <v>81</v>
      </c>
    </row>
    <row r="19" spans="2:15" ht="15" customHeight="1" x14ac:dyDescent="0.25">
      <c r="B19" s="33"/>
      <c r="C19" s="12"/>
      <c r="D19" s="12"/>
      <c r="E19" s="12"/>
      <c r="F19" s="12"/>
      <c r="G19" s="14"/>
      <c r="H19" s="19" t="s">
        <v>37</v>
      </c>
      <c r="I19" s="12"/>
      <c r="J19" s="13" t="s">
        <v>38</v>
      </c>
      <c r="K19" s="13">
        <v>164</v>
      </c>
      <c r="L19" s="13">
        <v>5</v>
      </c>
      <c r="M19" s="13">
        <v>8</v>
      </c>
      <c r="N19" s="31" t="s">
        <v>76</v>
      </c>
    </row>
    <row r="20" spans="2:15" ht="15" customHeight="1" thickBot="1" x14ac:dyDescent="0.3">
      <c r="B20" s="34"/>
      <c r="C20" s="35"/>
      <c r="D20" s="35"/>
      <c r="E20" s="35"/>
      <c r="F20" s="35"/>
      <c r="G20" s="36"/>
      <c r="H20" s="32" t="s">
        <v>20</v>
      </c>
      <c r="I20" s="16">
        <v>6</v>
      </c>
      <c r="J20" s="16"/>
      <c r="K20" s="16"/>
      <c r="L20" s="16"/>
      <c r="M20" s="16"/>
      <c r="N20" s="22"/>
    </row>
    <row r="21" spans="2:15" ht="15" hidden="1" customHeight="1" x14ac:dyDescent="0.3">
      <c r="B21" s="37"/>
      <c r="C21" s="38"/>
      <c r="D21" s="38"/>
      <c r="E21" s="38"/>
      <c r="F21" s="38"/>
      <c r="G21" s="38"/>
      <c r="H21" s="12"/>
      <c r="I21" s="12"/>
      <c r="J21" s="12"/>
      <c r="K21" s="12"/>
      <c r="L21" s="12"/>
      <c r="M21" s="12"/>
      <c r="N21" s="12"/>
    </row>
    <row r="22" spans="2:15" ht="15" hidden="1" customHeight="1" x14ac:dyDescent="0.3">
      <c r="B22" s="39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</row>
    <row r="23" spans="2:15" ht="15" hidden="1" customHeight="1" x14ac:dyDescent="0.3">
      <c r="B23" s="39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</row>
    <row r="24" spans="2:15" ht="15" hidden="1" customHeight="1" thickBot="1" x14ac:dyDescent="0.3">
      <c r="B24" s="40"/>
      <c r="C24" s="2"/>
      <c r="D24" s="2"/>
      <c r="E24" s="2"/>
      <c r="F24" s="2"/>
      <c r="G24" s="2"/>
      <c r="H24" s="79"/>
      <c r="I24" s="12"/>
      <c r="J24" s="12"/>
      <c r="K24" s="13"/>
      <c r="L24" s="12"/>
      <c r="M24" s="12"/>
      <c r="N24" s="12"/>
      <c r="O24" s="28"/>
    </row>
    <row r="25" spans="2:15" ht="15" customHeight="1" x14ac:dyDescent="0.25">
      <c r="B25" s="59" t="s">
        <v>43</v>
      </c>
      <c r="C25" s="62" t="s">
        <v>44</v>
      </c>
      <c r="D25" s="80" t="s">
        <v>45</v>
      </c>
      <c r="E25" s="81"/>
      <c r="F25" s="81"/>
      <c r="G25" s="81"/>
      <c r="H25" s="82"/>
      <c r="I25" t="s">
        <v>46</v>
      </c>
    </row>
    <row r="26" spans="2:15" ht="15" customHeight="1" x14ac:dyDescent="0.25">
      <c r="B26" s="60"/>
      <c r="C26" s="63"/>
      <c r="D26" s="77" t="s">
        <v>75</v>
      </c>
      <c r="E26" s="73" t="s">
        <v>7</v>
      </c>
      <c r="F26" s="73" t="s">
        <v>47</v>
      </c>
      <c r="G26" s="73" t="s">
        <v>48</v>
      </c>
      <c r="H26" s="74" t="s">
        <v>49</v>
      </c>
      <c r="I26" t="s">
        <v>50</v>
      </c>
    </row>
    <row r="27" spans="2:15" x14ac:dyDescent="0.25">
      <c r="B27" s="60"/>
      <c r="C27" s="63"/>
      <c r="D27" s="63"/>
      <c r="E27" s="73"/>
      <c r="F27" s="73"/>
      <c r="G27" s="73"/>
      <c r="H27" s="74"/>
    </row>
    <row r="28" spans="2:15" ht="15.75" thickBot="1" x14ac:dyDescent="0.3">
      <c r="B28" s="61"/>
      <c r="C28" s="64"/>
      <c r="D28" s="64"/>
      <c r="E28" s="41" t="s">
        <v>51</v>
      </c>
      <c r="F28" s="41" t="s">
        <v>52</v>
      </c>
      <c r="G28" s="41" t="s">
        <v>53</v>
      </c>
      <c r="H28" s="42" t="s">
        <v>54</v>
      </c>
    </row>
    <row r="29" spans="2:15" x14ac:dyDescent="0.25">
      <c r="B29" s="43">
        <v>1</v>
      </c>
      <c r="C29" s="43">
        <v>2</v>
      </c>
      <c r="D29" s="43">
        <v>3</v>
      </c>
      <c r="E29" s="43">
        <v>4</v>
      </c>
      <c r="F29" s="43">
        <v>5</v>
      </c>
      <c r="G29" s="43">
        <v>6</v>
      </c>
      <c r="H29" s="43">
        <v>7</v>
      </c>
    </row>
    <row r="30" spans="2:15" x14ac:dyDescent="0.25">
      <c r="B30" s="44" t="s">
        <v>55</v>
      </c>
      <c r="C30" s="44">
        <v>7000</v>
      </c>
      <c r="D30" s="44" t="s">
        <v>76</v>
      </c>
      <c r="E30" s="44">
        <v>300</v>
      </c>
      <c r="F30" s="44">
        <v>5</v>
      </c>
      <c r="G30" s="44">
        <v>164</v>
      </c>
      <c r="H30" s="44">
        <v>8</v>
      </c>
    </row>
    <row r="31" spans="2:15" x14ac:dyDescent="0.25">
      <c r="B31" s="44" t="s">
        <v>56</v>
      </c>
      <c r="C31" s="44">
        <v>8000</v>
      </c>
      <c r="D31" s="44" t="s">
        <v>76</v>
      </c>
      <c r="E31" s="44">
        <v>300</v>
      </c>
      <c r="F31" s="44">
        <v>5</v>
      </c>
      <c r="G31" s="44">
        <v>164</v>
      </c>
      <c r="H31" s="44">
        <v>8</v>
      </c>
    </row>
    <row r="32" spans="2:15" x14ac:dyDescent="0.25">
      <c r="B32" s="44" t="s">
        <v>57</v>
      </c>
      <c r="C32" s="44">
        <v>7500</v>
      </c>
      <c r="D32" s="44" t="s">
        <v>76</v>
      </c>
      <c r="E32" s="44">
        <v>300</v>
      </c>
      <c r="F32" s="44">
        <v>5</v>
      </c>
      <c r="G32" s="44">
        <v>164</v>
      </c>
      <c r="H32" s="44">
        <v>8</v>
      </c>
    </row>
    <row r="33" spans="2:8" x14ac:dyDescent="0.25">
      <c r="B33" s="44" t="s">
        <v>58</v>
      </c>
      <c r="C33" s="44">
        <v>8000</v>
      </c>
      <c r="D33" s="44" t="s">
        <v>76</v>
      </c>
      <c r="E33" s="44">
        <v>300</v>
      </c>
      <c r="F33" s="44">
        <v>5</v>
      </c>
      <c r="G33" s="44">
        <v>164</v>
      </c>
      <c r="H33" s="44">
        <v>8</v>
      </c>
    </row>
    <row r="34" spans="2:8" x14ac:dyDescent="0.25">
      <c r="B34" s="44" t="s">
        <v>59</v>
      </c>
      <c r="C34" s="44">
        <v>7000</v>
      </c>
      <c r="D34" s="44" t="s">
        <v>76</v>
      </c>
      <c r="E34" s="44">
        <v>300</v>
      </c>
      <c r="F34" s="44">
        <v>5</v>
      </c>
      <c r="G34" s="44">
        <v>164</v>
      </c>
      <c r="H34" s="44">
        <v>8</v>
      </c>
    </row>
    <row r="35" spans="2:8" x14ac:dyDescent="0.25">
      <c r="B35" s="44" t="s">
        <v>60</v>
      </c>
      <c r="C35" s="44">
        <v>8000</v>
      </c>
      <c r="D35" s="44" t="s">
        <v>76</v>
      </c>
      <c r="E35" s="44">
        <v>300</v>
      </c>
      <c r="F35" s="44">
        <v>5</v>
      </c>
      <c r="G35" s="44">
        <v>164</v>
      </c>
      <c r="H35" s="44">
        <v>8</v>
      </c>
    </row>
    <row r="36" spans="2:8" x14ac:dyDescent="0.25">
      <c r="B36" s="44" t="s">
        <v>61</v>
      </c>
      <c r="C36" s="44">
        <v>8000</v>
      </c>
      <c r="D36" s="44" t="s">
        <v>76</v>
      </c>
      <c r="E36" s="44">
        <v>300</v>
      </c>
      <c r="F36" s="44">
        <v>5</v>
      </c>
      <c r="G36" s="44">
        <v>164</v>
      </c>
      <c r="H36" s="44">
        <v>8</v>
      </c>
    </row>
    <row r="37" spans="2:8" x14ac:dyDescent="0.25">
      <c r="B37" s="44" t="s">
        <v>62</v>
      </c>
      <c r="C37" s="44">
        <v>7500</v>
      </c>
      <c r="D37" s="44" t="s">
        <v>76</v>
      </c>
      <c r="E37" s="44">
        <v>300</v>
      </c>
      <c r="F37" s="44">
        <v>5</v>
      </c>
      <c r="G37" s="44">
        <v>164</v>
      </c>
      <c r="H37" s="44">
        <v>8</v>
      </c>
    </row>
    <row r="38" spans="2:8" x14ac:dyDescent="0.25">
      <c r="B38" s="44" t="s">
        <v>63</v>
      </c>
      <c r="C38" s="44">
        <v>8000</v>
      </c>
      <c r="D38" s="44" t="s">
        <v>76</v>
      </c>
      <c r="E38" s="44">
        <v>300</v>
      </c>
      <c r="F38" s="44">
        <v>5</v>
      </c>
      <c r="G38" s="44">
        <v>164</v>
      </c>
      <c r="H38" s="44">
        <v>8</v>
      </c>
    </row>
    <row r="39" spans="2:8" x14ac:dyDescent="0.25">
      <c r="B39" s="44" t="s">
        <v>64</v>
      </c>
      <c r="C39" s="44">
        <v>8000</v>
      </c>
      <c r="D39" s="44" t="s">
        <v>76</v>
      </c>
      <c r="E39" s="44">
        <v>300</v>
      </c>
      <c r="F39" s="44">
        <v>5</v>
      </c>
      <c r="G39" s="44">
        <v>164</v>
      </c>
      <c r="H39" s="44">
        <v>8</v>
      </c>
    </row>
    <row r="40" spans="2:8" x14ac:dyDescent="0.25">
      <c r="B40" s="44" t="s">
        <v>65</v>
      </c>
      <c r="C40" s="44">
        <v>7000</v>
      </c>
      <c r="D40" s="44" t="s">
        <v>76</v>
      </c>
      <c r="E40" s="44">
        <v>300</v>
      </c>
      <c r="F40" s="44">
        <v>5</v>
      </c>
      <c r="G40" s="44">
        <v>164</v>
      </c>
      <c r="H40" s="44">
        <v>8</v>
      </c>
    </row>
    <row r="41" spans="2:8" x14ac:dyDescent="0.25">
      <c r="B41" s="44" t="s">
        <v>66</v>
      </c>
      <c r="C41" s="44"/>
      <c r="D41" s="44" t="s">
        <v>76</v>
      </c>
      <c r="E41" s="44">
        <v>300</v>
      </c>
      <c r="F41" s="44">
        <v>5</v>
      </c>
      <c r="G41" s="44">
        <v>164</v>
      </c>
      <c r="H41" s="44">
        <v>8</v>
      </c>
    </row>
    <row r="42" spans="2:8" x14ac:dyDescent="0.25">
      <c r="B42" s="44"/>
      <c r="C42" s="44"/>
      <c r="D42" s="78"/>
      <c r="E42" s="78"/>
      <c r="F42" s="44"/>
      <c r="G42" s="44"/>
      <c r="H42" s="78"/>
    </row>
    <row r="43" spans="2:8" x14ac:dyDescent="0.25">
      <c r="B43" s="44"/>
      <c r="C43" s="45"/>
      <c r="D43" s="78"/>
      <c r="E43" s="78"/>
      <c r="F43" s="44"/>
      <c r="G43" s="44"/>
      <c r="H43" s="78"/>
    </row>
    <row r="44" spans="2:8" x14ac:dyDescent="0.25">
      <c r="B44" s="44"/>
      <c r="C44" s="45"/>
      <c r="D44" s="78"/>
      <c r="E44" s="78"/>
      <c r="F44" s="44"/>
      <c r="G44" s="44"/>
      <c r="H44" s="78"/>
    </row>
    <row r="45" spans="2:8" x14ac:dyDescent="0.25">
      <c r="B45" s="46"/>
      <c r="C45" s="46"/>
      <c r="D45" s="78"/>
      <c r="E45" s="78"/>
      <c r="F45" s="46"/>
      <c r="G45" s="46"/>
      <c r="H45" s="78"/>
    </row>
    <row r="46" spans="2:8" x14ac:dyDescent="0.25">
      <c r="B46" s="46"/>
      <c r="C46" s="46"/>
      <c r="D46" s="78"/>
      <c r="E46" s="78"/>
      <c r="F46" s="46"/>
      <c r="G46" s="46"/>
      <c r="H46" s="78"/>
    </row>
    <row r="47" spans="2:8" x14ac:dyDescent="0.25">
      <c r="B47" s="46"/>
      <c r="C47" s="46"/>
      <c r="D47" s="78"/>
      <c r="E47" s="78"/>
      <c r="F47" s="46"/>
      <c r="G47" s="46"/>
      <c r="H47" s="78"/>
    </row>
    <row r="48" spans="2:8" x14ac:dyDescent="0.25">
      <c r="B48" s="46"/>
      <c r="C48" s="46"/>
      <c r="D48" s="78"/>
      <c r="E48" s="78"/>
      <c r="F48" s="46"/>
      <c r="G48" s="46"/>
      <c r="H48" s="78"/>
    </row>
    <row r="49" spans="2:8" x14ac:dyDescent="0.25">
      <c r="B49" s="46"/>
      <c r="C49" s="46"/>
      <c r="D49" s="78"/>
      <c r="E49" s="78"/>
      <c r="F49" s="46"/>
      <c r="G49" s="46"/>
      <c r="H49" s="78"/>
    </row>
    <row r="50" spans="2:8" x14ac:dyDescent="0.25">
      <c r="B50" s="46"/>
      <c r="C50" s="46"/>
      <c r="D50" s="78"/>
      <c r="E50" s="78"/>
      <c r="F50" s="46"/>
      <c r="G50" s="46"/>
      <c r="H50" s="78"/>
    </row>
    <row r="52" spans="2:8" x14ac:dyDescent="0.25">
      <c r="B52" s="54" t="s">
        <v>67</v>
      </c>
    </row>
    <row r="53" spans="2:8" x14ac:dyDescent="0.25">
      <c r="B53" s="55"/>
    </row>
    <row r="54" spans="2:8" x14ac:dyDescent="0.25">
      <c r="B54" s="47" t="s">
        <v>68</v>
      </c>
    </row>
    <row r="55" spans="2:8" x14ac:dyDescent="0.25">
      <c r="B55" s="48" t="s">
        <v>8</v>
      </c>
    </row>
    <row r="56" spans="2:8" x14ac:dyDescent="0.25">
      <c r="B56" s="49" t="s">
        <v>69</v>
      </c>
    </row>
    <row r="57" spans="2:8" x14ac:dyDescent="0.25">
      <c r="B57" s="50" t="s">
        <v>70</v>
      </c>
    </row>
    <row r="58" spans="2:8" x14ac:dyDescent="0.25">
      <c r="B58" s="51" t="s">
        <v>18</v>
      </c>
    </row>
    <row r="59" spans="2:8" x14ac:dyDescent="0.25">
      <c r="B59" s="52" t="s">
        <v>71</v>
      </c>
    </row>
    <row r="60" spans="2:8" x14ac:dyDescent="0.25">
      <c r="B60" t="s">
        <v>72</v>
      </c>
    </row>
    <row r="61" spans="2:8" x14ac:dyDescent="0.25">
      <c r="B61" t="s">
        <v>73</v>
      </c>
    </row>
    <row r="62" spans="2:8" x14ac:dyDescent="0.25">
      <c r="B62" t="s">
        <v>74</v>
      </c>
    </row>
  </sheetData>
  <mergeCells count="18">
    <mergeCell ref="AA1:AB1"/>
    <mergeCell ref="M1:N2"/>
    <mergeCell ref="H5:H6"/>
    <mergeCell ref="J5:N5"/>
    <mergeCell ref="E14:F14"/>
    <mergeCell ref="H16:I16"/>
    <mergeCell ref="E26:E27"/>
    <mergeCell ref="F26:F27"/>
    <mergeCell ref="G26:G27"/>
    <mergeCell ref="H26:H27"/>
    <mergeCell ref="H11:I11"/>
    <mergeCell ref="D26:D28"/>
    <mergeCell ref="B52:B53"/>
    <mergeCell ref="B1:G2"/>
    <mergeCell ref="H1:L2"/>
    <mergeCell ref="B25:B28"/>
    <mergeCell ref="C25:C28"/>
    <mergeCell ref="D25:H25"/>
  </mergeCells>
  <conditionalFormatting sqref="C43:C44">
    <cfRule type="containsText" dxfId="1" priority="1" operator="containsText" text="P">
      <formula>NOT(ISERROR(SEARCH("P",C43)))</formula>
    </cfRule>
    <cfRule type="containsText" dxfId="0" priority="2" operator="containsText" text="T">
      <formula>NOT(ISERROR(SEARCH("T",C43)))</formula>
    </cfRule>
  </conditionalFormatting>
  <dataValidations disablePrompts="1" count="3">
    <dataValidation type="list" allowBlank="1" showInputMessage="1" showErrorMessage="1" sqref="I5" xr:uid="{A74380E0-40AC-4C1E-9770-FBA77A38D70D}">
      <formula1>"All,No"</formula1>
    </dataValidation>
    <dataValidation type="list" allowBlank="1" showInputMessage="1" showErrorMessage="1" sqref="K24" xr:uid="{0D5B5426-D097-4467-9043-5AED55936AFC}">
      <formula1>"-,~"</formula1>
    </dataValidation>
    <dataValidation type="list" allowBlank="1" showInputMessage="1" showErrorMessage="1" sqref="N7 N4" xr:uid="{B05B64A9-2F24-4616-8D81-1B3CC78BD220}">
      <formula1>$B$54:$B$62</formula1>
    </dataValidation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VKD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toan huynh vu minh</dc:creator>
  <cp:lastModifiedBy>toan huynh vu minh</cp:lastModifiedBy>
  <dcterms:created xsi:type="dcterms:W3CDTF">2024-11-15T01:00:47Z</dcterms:created>
  <dcterms:modified xsi:type="dcterms:W3CDTF">2025-02-09T11:38:00Z</dcterms:modified>
</cp:coreProperties>
</file>