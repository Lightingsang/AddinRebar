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BCDD2F0B-B7AA-418B-9443-A2CDF858DAD1}" xr6:coauthVersionLast="47" xr6:coauthVersionMax="47" xr10:uidLastSave="{00000000-0000-0000-0000-000000000000}"/>
  <bookViews>
    <workbookView xWindow="-28920" yWindow="-120" windowWidth="29040" windowHeight="15720" firstSheet="1" activeTab="1" xr2:uid="{00000000-000D-0000-FFFF-FFFF00000000}"/>
  </bookViews>
  <sheets>
    <sheet name="Data" sheetId="9" state="hidden" r:id="rId1"/>
    <sheet name="User3" sheetId="6" r:id="rId2"/>
  </sheets>
  <functionGroups builtInGroupCount="19"/>
  <externalReferences>
    <externalReference r:id="rId3"/>
  </externalReferences>
  <definedNames>
    <definedName name="_xleta.CONCATENATE" hidden="1" xlm="1">#NAME?</definedName>
    <definedName name="nn">'[1]DESIGN SHEET OF BMB'!$Q$4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7" i="6" l="1" a="1"/>
  <c r="B127" i="6" a="1"/>
  <c r="B117" i="6" a="1"/>
  <c r="B107" i="6" a="1"/>
  <c r="B97" i="6" a="1"/>
  <c r="B87" i="6" a="1"/>
  <c r="B77" i="6" a="1"/>
  <c r="B67" i="6" a="1"/>
  <c r="B57" i="6" a="1"/>
  <c r="B47" i="6" a="1"/>
  <c r="B37" i="6" a="1"/>
  <c r="B27" i="6" a="1"/>
  <c r="B17" i="6" a="1"/>
  <c r="B136" i="6" a="1"/>
  <c r="B126" i="6" a="1"/>
  <c r="B116" i="6" a="1"/>
  <c r="B106" i="6" a="1"/>
  <c r="B96" i="6" a="1"/>
  <c r="B86" i="6" a="1"/>
  <c r="B76" i="6" a="1"/>
  <c r="B66" i="6" a="1"/>
  <c r="B56" i="6" a="1"/>
  <c r="B46" i="6" a="1"/>
  <c r="B36" i="6" a="1"/>
  <c r="B26" i="6" a="1"/>
  <c r="B16" i="6" a="1"/>
  <c r="B135" i="6" a="1"/>
  <c r="B125" i="6" a="1"/>
  <c r="B115" i="6" a="1"/>
  <c r="B95" i="6" a="1"/>
  <c r="B85" i="6" a="1"/>
  <c r="B75" i="6" a="1"/>
  <c r="B65" i="6" a="1"/>
  <c r="B55" i="6" a="1"/>
  <c r="B45" i="6" a="1"/>
  <c r="B35" i="6" a="1"/>
  <c r="B25" i="6" a="1"/>
  <c r="B15" i="6" a="1"/>
  <c r="B134" i="6" a="1"/>
  <c r="B124" i="6" a="1"/>
  <c r="B114" i="6" a="1"/>
  <c r="B104" i="6" a="1"/>
  <c r="B94" i="6" a="1"/>
  <c r="B84" i="6" a="1"/>
  <c r="B74" i="6" a="1"/>
  <c r="B54" i="6" a="1"/>
  <c r="B44" i="6" a="1"/>
  <c r="B24" i="6" a="1"/>
  <c r="B123" i="6" a="1"/>
  <c r="B103" i="6" a="1"/>
  <c r="B83" i="6" a="1"/>
  <c r="B63" i="6" a="1"/>
  <c r="B13" i="6" a="1"/>
  <c r="B122" i="6" a="1"/>
  <c r="B102" i="6" a="1"/>
  <c r="B92" i="6" a="1"/>
  <c r="B72" i="6" a="1"/>
  <c r="B52" i="6" a="1"/>
  <c r="B42" i="6" a="1"/>
  <c r="B22" i="6" a="1"/>
  <c r="B121" i="6" a="1"/>
  <c r="B101" i="6" a="1"/>
  <c r="B81" i="6" a="1"/>
  <c r="B61" i="6" a="1"/>
  <c r="B41" i="6" a="1"/>
  <c r="B21" i="6" a="1"/>
  <c r="B120" i="6" a="1"/>
  <c r="B100" i="6" a="1"/>
  <c r="B80" i="6" a="1"/>
  <c r="B60" i="6" a="1"/>
  <c r="B30" i="6" a="1"/>
  <c r="B119" i="6" a="1"/>
  <c r="B99" i="6" a="1"/>
  <c r="B79" i="6" a="1"/>
  <c r="B59" i="6" a="1"/>
  <c r="B39" i="6" a="1"/>
  <c r="B19" i="6" a="1"/>
  <c r="B128" i="6" a="1"/>
  <c r="B98" i="6" a="1"/>
  <c r="B78" i="6" a="1"/>
  <c r="B58" i="6" a="1"/>
  <c r="B38" i="6" a="1"/>
  <c r="B40" i="6" a="1"/>
  <c r="B28" i="6" a="1"/>
  <c r="B105" i="6" a="1"/>
  <c r="B64" i="6" a="1"/>
  <c r="B34" i="6" a="1"/>
  <c r="B14" i="6" a="1"/>
  <c r="B133" i="6" a="1"/>
  <c r="B113" i="6" a="1"/>
  <c r="B93" i="6" a="1"/>
  <c r="B73" i="6" a="1"/>
  <c r="B53" i="6" a="1"/>
  <c r="B43" i="6" a="1"/>
  <c r="B33" i="6" a="1"/>
  <c r="B23" i="6" a="1"/>
  <c r="B132" i="6" a="1"/>
  <c r="B112" i="6" a="1"/>
  <c r="B82" i="6" a="1"/>
  <c r="B62" i="6" a="1"/>
  <c r="B32" i="6" a="1"/>
  <c r="B131" i="6" a="1"/>
  <c r="B111" i="6" a="1"/>
  <c r="B91" i="6" a="1"/>
  <c r="B71" i="6" a="1"/>
  <c r="B51" i="6" a="1"/>
  <c r="B31" i="6" a="1"/>
  <c r="B130" i="6" a="1"/>
  <c r="B110" i="6" a="1"/>
  <c r="B90" i="6" a="1"/>
  <c r="B70" i="6" a="1"/>
  <c r="B50" i="6" a="1"/>
  <c r="B20" i="6" a="1"/>
  <c r="B129" i="6" a="1"/>
  <c r="B109" i="6" a="1"/>
  <c r="B89" i="6" a="1"/>
  <c r="B69" i="6" a="1"/>
  <c r="B49" i="6" a="1"/>
  <c r="B29" i="6" a="1"/>
  <c r="B118" i="6" a="1"/>
  <c r="B108" i="6" a="1"/>
  <c r="B88" i="6" a="1"/>
  <c r="B68" i="6" a="1"/>
  <c r="B48" i="6" a="1"/>
  <c r="B18" i="6" a="1"/>
  <c r="B12" i="6" a="1"/>
  <c r="B18" i="6" l="1"/>
  <c r="B48" i="6"/>
  <c r="B68" i="6"/>
  <c r="B88" i="6"/>
  <c r="B108" i="6"/>
  <c r="B118" i="6"/>
  <c r="B29" i="6"/>
  <c r="B49" i="6"/>
  <c r="B69" i="6"/>
  <c r="B89" i="6"/>
  <c r="B109" i="6"/>
  <c r="B129" i="6"/>
  <c r="B20" i="6"/>
  <c r="B50" i="6"/>
  <c r="B70" i="6"/>
  <c r="B90" i="6"/>
  <c r="B110" i="6"/>
  <c r="B130" i="6"/>
  <c r="B31" i="6"/>
  <c r="B51" i="6"/>
  <c r="B71" i="6"/>
  <c r="B91" i="6"/>
  <c r="B111" i="6"/>
  <c r="B131" i="6"/>
  <c r="B32" i="6"/>
  <c r="B62" i="6"/>
  <c r="B82" i="6"/>
  <c r="B112" i="6"/>
  <c r="B132" i="6"/>
  <c r="B23" i="6"/>
  <c r="B33" i="6"/>
  <c r="B43" i="6"/>
  <c r="B53" i="6"/>
  <c r="B73" i="6"/>
  <c r="B93" i="6"/>
  <c r="B113" i="6"/>
  <c r="B133" i="6"/>
  <c r="B14" i="6"/>
  <c r="B34" i="6"/>
  <c r="B64" i="6"/>
  <c r="B105" i="6"/>
  <c r="B28" i="6"/>
  <c r="B40" i="6"/>
  <c r="B38" i="6"/>
  <c r="B58" i="6"/>
  <c r="B78" i="6"/>
  <c r="B98" i="6"/>
  <c r="B128" i="6"/>
  <c r="B19" i="6"/>
  <c r="B39" i="6"/>
  <c r="B59" i="6"/>
  <c r="B79" i="6"/>
  <c r="B99" i="6"/>
  <c r="B119" i="6"/>
  <c r="B30" i="6"/>
  <c r="B60" i="6"/>
  <c r="B80" i="6"/>
  <c r="B100" i="6"/>
  <c r="B120" i="6"/>
  <c r="B21" i="6"/>
  <c r="B41" i="6"/>
  <c r="B61" i="6"/>
  <c r="B81" i="6"/>
  <c r="B101" i="6"/>
  <c r="B121" i="6"/>
  <c r="B22" i="6"/>
  <c r="B42" i="6"/>
  <c r="B52" i="6"/>
  <c r="B72" i="6"/>
  <c r="B92" i="6"/>
  <c r="B102" i="6"/>
  <c r="B122" i="6"/>
  <c r="B13" i="6"/>
  <c r="B63" i="6"/>
  <c r="B83" i="6"/>
  <c r="B103" i="6"/>
  <c r="B123" i="6"/>
  <c r="B24" i="6"/>
  <c r="B44" i="6"/>
  <c r="B54" i="6"/>
  <c r="B74" i="6"/>
  <c r="B84" i="6"/>
  <c r="B94" i="6"/>
  <c r="B104" i="6"/>
  <c r="B114" i="6"/>
  <c r="B124" i="6"/>
  <c r="B134" i="6"/>
  <c r="B15" i="6"/>
  <c r="B25" i="6"/>
  <c r="B35" i="6"/>
  <c r="B45" i="6"/>
  <c r="B55" i="6"/>
  <c r="B65" i="6"/>
  <c r="B75" i="6"/>
  <c r="B85" i="6"/>
  <c r="B95" i="6"/>
  <c r="B115" i="6"/>
  <c r="B125" i="6"/>
  <c r="B135" i="6"/>
  <c r="B16" i="6"/>
  <c r="B26" i="6"/>
  <c r="B36" i="6"/>
  <c r="B46" i="6"/>
  <c r="B56" i="6"/>
  <c r="B66" i="6"/>
  <c r="B76" i="6"/>
  <c r="B86" i="6"/>
  <c r="B96" i="6"/>
  <c r="B106" i="6"/>
  <c r="B116" i="6"/>
  <c r="B126" i="6"/>
  <c r="B136" i="6"/>
  <c r="B17" i="6"/>
  <c r="B27" i="6"/>
  <c r="B37" i="6"/>
  <c r="B47" i="6"/>
  <c r="B57" i="6"/>
  <c r="B67" i="6"/>
  <c r="B77" i="6"/>
  <c r="B87" i="6"/>
  <c r="B97" i="6"/>
  <c r="B107" i="6"/>
  <c r="B117" i="6"/>
  <c r="B127" i="6"/>
  <c r="B137" i="6"/>
  <c r="B12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<sst xmlns="http://schemas.openxmlformats.org/spreadsheetml/2006/main" count="267" uniqueCount="164">
  <si>
    <t>Live</t>
  </si>
  <si>
    <t>Wind</t>
  </si>
  <si>
    <t>Dead</t>
  </si>
  <si>
    <t>Load type</t>
  </si>
  <si>
    <t>Giải thích</t>
  </si>
  <si>
    <t>Name</t>
  </si>
  <si>
    <t>SuperDead</t>
  </si>
  <si>
    <t>ReduceLive</t>
  </si>
  <si>
    <t>Quake</t>
  </si>
  <si>
    <t>Snow</t>
  </si>
  <si>
    <t>Other</t>
  </si>
  <si>
    <t>Temperature</t>
  </si>
  <si>
    <t>Rooflive</t>
  </si>
  <si>
    <t>Notional</t>
  </si>
  <si>
    <t>PatternLive</t>
  </si>
  <si>
    <t>Combination</t>
  </si>
  <si>
    <t>DEAD</t>
  </si>
  <si>
    <t>COLL</t>
  </si>
  <si>
    <t>RLIVE</t>
  </si>
  <si>
    <t>FLIVE</t>
  </si>
  <si>
    <t>CRANE</t>
  </si>
  <si>
    <t>CR1</t>
  </si>
  <si>
    <t>CR2</t>
  </si>
  <si>
    <t>CR3</t>
  </si>
  <si>
    <t>CR4</t>
  </si>
  <si>
    <t>WX1+</t>
  </si>
  <si>
    <t>WX1-</t>
  </si>
  <si>
    <t>WX2+</t>
  </si>
  <si>
    <t>WX2-</t>
  </si>
  <si>
    <t>WY1+</t>
  </si>
  <si>
    <t>WY1-</t>
  </si>
  <si>
    <t>WY2+</t>
  </si>
  <si>
    <t>WY2-</t>
  </si>
  <si>
    <t>EhX1</t>
  </si>
  <si>
    <t>EhX2</t>
  </si>
  <si>
    <t>EhY1</t>
  </si>
  <si>
    <t>EhY2</t>
  </si>
  <si>
    <t>Ev</t>
  </si>
  <si>
    <t>CR</t>
  </si>
  <si>
    <t>EVV</t>
  </si>
  <si>
    <t>ASD:1.0*DEAD+1.0*COLL</t>
  </si>
  <si>
    <t>ASD:1.0*DEAD+1.0*COLL+1.0*FLIVE+1.0*CRANE</t>
  </si>
  <si>
    <t>ASD:1.0*DEAD+1.0*COLL+1.0*RLIVE</t>
  </si>
  <si>
    <t>ASD:1.0*DEAD+1.0*COLL+0.75*FLIVE+0.75*CRANE+0.75*RLIVE</t>
  </si>
  <si>
    <t>ASD:1.0*DEAD+1.0*COLL+0.6*WX1+</t>
  </si>
  <si>
    <t>ASD:1.0*DEAD+1.0*COLL+0.6*WX1-</t>
  </si>
  <si>
    <t>ASD:1.0*DEAD+1.0*COLL+0.6*WX2+</t>
  </si>
  <si>
    <t>ASD:1.0*DEAD+1.0*COLL+0.6*WX2-</t>
  </si>
  <si>
    <t>ASD:1.0*DEAD+1.0*COLL+0.6*WY1+</t>
  </si>
  <si>
    <t>ASD:1.0*DEAD+1.0*COLL+0.6*WY1-</t>
  </si>
  <si>
    <t>ASD:1.0*DEAD+1.0*COLL+0.6*WY2+</t>
  </si>
  <si>
    <t>ASD:1.0*DEAD+1.0*COLL+0.6*WY2-</t>
  </si>
  <si>
    <t>ASD:1.0*DEAD+1.0*COLL+0.7*EhX1+0.7*Ev</t>
  </si>
  <si>
    <t>ASD:1.0*DEAD+1.0*COLL+0.7*EhX2+0.7*Ev</t>
  </si>
  <si>
    <t>ASD:1.0*DEAD+1.0*COLL+0.7*EhY1+0.7*Ev</t>
  </si>
  <si>
    <t>ASD:1.0*DEAD+1.0*COLL+0.7*EhY2+0.7*Ev</t>
  </si>
  <si>
    <t>ASD:1.0*DEAD+1.0*COLL+-0.7*EhX1+-0.7*Ev</t>
  </si>
  <si>
    <t>ASD:1.0*DEAD+1.0*COLL+-0.7*EhX2+-0.7*Ev</t>
  </si>
  <si>
    <t>ASD:1.0*DEAD+1.0*COLL+-0.7*EhY1+-0.7*Ev</t>
  </si>
  <si>
    <t>ASD:1.0*DEAD+1.0*COLL+-0.7*EhY2+-0.7*Ev</t>
  </si>
  <si>
    <t>ASD:1.0*DEAD+1.0*COLL+0.75*FLIVE+0.75*CRANE+0.75*RLIVE+0.45*WX1+</t>
  </si>
  <si>
    <t>ASD:1.0*DEAD+1.0*COLL+0.75*FLIVE+0.75*CRANE+0.75*RLIVE+0.45*WX1-</t>
  </si>
  <si>
    <t>ASD:1.0*DEAD+1.0*COLL+0.75*FLIVE+0.75*CRANE+0.75*RLIVE+0.45*WX2+</t>
  </si>
  <si>
    <t>ASD:1.0*DEAD+1.0*COLL+0.75*FLIVE+0.75*CRANE+0.75*RLIVE+0.45*WX2-</t>
  </si>
  <si>
    <t>ASD:1.0*DEAD+1.0*COLL+0.75*FLIVE+0.75*CRANE+0.75*RLIVE+0.45*WY1+</t>
  </si>
  <si>
    <t>ASD:1.0*DEAD+1.0*COLL+0.75*FLIVE+0.75*CRANE+0.75*RLIVE+0.45*WY1-</t>
  </si>
  <si>
    <t>ASD:1.0*DEAD+1.0*COLL+0.75*FLIVE+0.75*CRANE+0.75*RLIVE+0.45*WY2+</t>
  </si>
  <si>
    <t>ASD:1.0*DEAD+1.0*COLL+0.75*FLIVE+0.75*CRANE+0.75*RLIVE+0.45*WY2-</t>
  </si>
  <si>
    <t>ASD:1.0*DEAD+1.0*COLL+0.75*FLIVE+0.75*CRANE+0.525*EhX1+0.525*Ev</t>
  </si>
  <si>
    <t>ASD:1.0*DEAD+1.0*COLL+0.75*FLIVE+0.75*CRANE+0.525*EhX2+0.525*Ev</t>
  </si>
  <si>
    <t>ASD:1.0*DEAD+1.0*COLL+0.75*FLIVE+0.75*CRANE+0.525*EhY1+0.525*Ev</t>
  </si>
  <si>
    <t>ASD:1.0*DEAD+1.0*COLL+0.75*FLIVE+0.75*CRANE+0.525*EhY2+0.525*Ev</t>
  </si>
  <si>
    <t>ASD:1.0*DEAD+1.0*COLL+0.75*FLIVE+0.75*CRANE+-0.525*EhX1+-0.525*Ev</t>
  </si>
  <si>
    <t>ASD:1.0*DEAD+1.0*COLL+0.75*FLIVE+0.75*CRANE+-0.525*EhX2+-0.525*Ev</t>
  </si>
  <si>
    <t>ASD:1.0*DEAD+1.0*COLL+0.75*FLIVE+0.75*CRANE+-0.525*EhY1+-0.525*Ev</t>
  </si>
  <si>
    <t>ASD:1.0*DEAD+1.0*COLL+0.75*FLIVE+0.75*CRANE+-0.525*EhY2+-0.525*Ev</t>
  </si>
  <si>
    <t>ASD:0.6*DEAD+0.6*COLL+0.6*WX1+</t>
  </si>
  <si>
    <t>ASD:0.6*DEAD+0.6*COLL+0.6*WX1-</t>
  </si>
  <si>
    <t>ASD:0.6*DEAD+0.6*COLL+0.6*WX2+</t>
  </si>
  <si>
    <t>ASD:0.6*DEAD+0.6*COLL+0.6*WX2-</t>
  </si>
  <si>
    <t>ASD:0.6*DEAD+0.6*COLL+0.6*WY1+</t>
  </si>
  <si>
    <t>ASD:0.6*DEAD+0.6*COLL+0.6*WY1-</t>
  </si>
  <si>
    <t>ASD:0.6*DEAD+0.6*COLL+0.6*WY2+</t>
  </si>
  <si>
    <t>ASD:0.6*DEAD+0.6*COLL+0.6*WY2-</t>
  </si>
  <si>
    <t>ASD:0.6*DEAD+0.6*COLL+0.7*EhX1+-0.7*Ev</t>
  </si>
  <si>
    <t>ASD:0.6*DEAD+0.6*COLL+0.7*EhX2+-0.7*Ev</t>
  </si>
  <si>
    <t>ASD:0.6*DEAD+0.6*COLL+0.7*EhY1+-0.7*Ev</t>
  </si>
  <si>
    <t>ASD:0.6*DEAD+0.6*COLL+0.7*EhY2+-0.7*Ev</t>
  </si>
  <si>
    <t>ASD:0.6*DEAD+0.6*COLL+-0.7*EhX1+0.7*Ev</t>
  </si>
  <si>
    <t>ASD:0.6*DEAD+0.6*COLL+-0.7*EhX2+0.7*Ev</t>
  </si>
  <si>
    <t>ASD:0.6*DEAD+0.6*COLL+-0.7*EhY1+0.7*Ev</t>
  </si>
  <si>
    <t>ASD:0.6*DEAD+0.6*COLL+-0.7*EhY2+0.7*Ev</t>
  </si>
  <si>
    <t>LRFD:1.4*DEAD+1.4*COLL</t>
  </si>
  <si>
    <t>LRFD:1.2*DEAD+1.2*COLL+1.6*FLIVE+1.6*CRANE+0.5*RLIVE</t>
  </si>
  <si>
    <t>LRFD:1.2*DEAD+1.2*COLL+1.0*FLIVE+1.0*CRANE+1.6*RLIVE</t>
  </si>
  <si>
    <t>LRFD:1.2*DEAD+1.2*COLL+1.6*RLIVE+0.5*WX1+</t>
  </si>
  <si>
    <t>LRFD:1.2*DEAD+1.2*COLL+1.6*RLIVE+0.5*WX1-</t>
  </si>
  <si>
    <t>LRFD:1.2*DEAD+1.2*COLL+1.6*RLIVE+0.5*WX2+</t>
  </si>
  <si>
    <t>LRFD:1.2*DEAD+1.2*COLL+1.6*RLIVE+0.5*WX2-</t>
  </si>
  <si>
    <t>LRFD:1.2*DEAD+1.2*COLL+1.6*RLIVE+0.5*WY1+</t>
  </si>
  <si>
    <t>LRFD:1.2*DEAD+1.2*COLL+1.6*RLIVE+0.5*WY1-</t>
  </si>
  <si>
    <t>LRFD:1.2*DEAD+1.2*COLL+1.6*RLIVE+0.5*WY2+</t>
  </si>
  <si>
    <t>LRFD:1.2*DEAD+1.2*COLL+1.6*RLIVE+0.5*WY2-</t>
  </si>
  <si>
    <t>LRFD:1.2*DEAD+1.2*COLL+1.0*FLIVE+1.0*CRANE+0.5*RLIVE+1.0*WX1+</t>
  </si>
  <si>
    <t>LRFD:1.2*DEAD+1.2*COLL+1.0*FLIVE+1.0*CRANE+0.5*RLIVE+1.0*WX1-</t>
  </si>
  <si>
    <t>LRFD:1.2*DEAD+1.2*COLL+1.0*FLIVE+1.0*CRANE+0.5*RLIVE+1.0*WX2+</t>
  </si>
  <si>
    <t>LRFD:1.2*DEAD+1.2*COLL+1.0*FLIVE+1.0*CRANE+0.5*RLIVE+1.0*WX2-</t>
  </si>
  <si>
    <t>LRFD:1.2*DEAD+1.2*COLL+1.0*FLIVE+1.0*CRANE+0.5*RLIVE+1.0*WY1+</t>
  </si>
  <si>
    <t>LRFD:1.2*DEAD+1.2*COLL+1.0*FLIVE+1.0*CRANE+0.5*RLIVE+1.0*WY1-</t>
  </si>
  <si>
    <t>LRFD:1.2*DEAD+1.2*COLL+1.0*FLIVE+1.0*CRANE+0.5*RLIVE+1.0*WY2+</t>
  </si>
  <si>
    <t>LRFD:1.2*DEAD+1.2*COLL+1.0*FLIVE+1.0*CRANE+0.5*RLIVE+1.0*WY2-</t>
  </si>
  <si>
    <t>LRFD:1.2*DEAD+1.2*COLL+1.0*FLIVE+1.0*CRANE+1.0*EhX1+1.0*Ev</t>
  </si>
  <si>
    <t>LRFD:1.2*DEAD+1.2*COLL+1.0*FLIVE+1.0*CRANE+1.0*EhX2+1.0*Ev</t>
  </si>
  <si>
    <t>LRFD:1.2*DEAD+1.2*COLL+1.0*FLIVE+1.0*CRANE+1.0*EhY1+1.0*Ev</t>
  </si>
  <si>
    <t>LRFD:1.2*DEAD+1.2*COLL+1.0*FLIVE+1.0*CRANE+1.0*EhY2+1.0*Ev</t>
  </si>
  <si>
    <t>LRFD:1.2*DEAD+1.2*COLL+1.0*FLIVE+1.0*CRANE+-1.0*EhX1+-1.0*Ev</t>
  </si>
  <si>
    <t>LRFD:1.2*DEAD+1.2*COLL+1.0*FLIVE+1.0*CRANE+-1.0*EhX2+-1.0*Ev</t>
  </si>
  <si>
    <t>LRFD:1.2*DEAD+1.2*COLL+1.0*FLIVE+1.0*CRANE+-1.0*EhY1+-1.0*Ev</t>
  </si>
  <si>
    <t>LRFD:1.2*DEAD+1.2*COLL+1.0*FLIVE+1.0*CRANE+-1.0*EhY2+-1.0*Ev</t>
  </si>
  <si>
    <t>LRFD:0.9*DEAD+0.9*COLL+1.0*WX1+</t>
  </si>
  <si>
    <t>LRFD:0.9*DEAD+0.9*COLL+1.0*WX1-</t>
  </si>
  <si>
    <t>LRFD:0.9*DEAD+0.9*COLL+1.0*WX2+</t>
  </si>
  <si>
    <t>LRFD:0.9*DEAD+0.9*COLL+1.0*WX2-</t>
  </si>
  <si>
    <t>LRFD:0.9*DEAD+0.9*COLL+1.0*WY1+</t>
  </si>
  <si>
    <t>LRFD:0.9*DEAD+0.9*COLL+1.0*WY1-</t>
  </si>
  <si>
    <t>LRFD:0.9*DEAD+0.9*COLL+1.0*WY2+</t>
  </si>
  <si>
    <t>LRFD:0.9*DEAD+0.9*COLL+1.0*WY2-</t>
  </si>
  <si>
    <t>LRFD:0.9*DEAD+0.9*COLL+1.0*EhX1+-1.0*Ev</t>
  </si>
  <si>
    <t>LRFD:0.9*DEAD+0.9*COLL+1.0*EhX2+-1.0*Ev</t>
  </si>
  <si>
    <t>LRFD:0.9*DEAD+0.9*COLL+1.0*EhY1+-1.0*Ev</t>
  </si>
  <si>
    <t>LRFD:0.9*DEAD+0.9*COLL+1.0*EhY2+-1.0*Ev</t>
  </si>
  <si>
    <t>LRFD:0.9*DEAD+0.9*COLL+-1.0*EhX1+1.0*Ev</t>
  </si>
  <si>
    <t>LRFD:0.9*DEAD+0.9*COLL+-1.0*EhX2+1.0*Ev</t>
  </si>
  <si>
    <t>LRFD:0.9*DEAD+0.9*COLL+-1.0*EhY1+1.0*Ev</t>
  </si>
  <si>
    <t>LRFD:0.9*DEAD+0.9*COLL+-1.0*EhY2+1.0*Ev</t>
  </si>
  <si>
    <t>DEF:1.0*DEAD+1.0*COLL+1.0*FLIVE+1.0*CRANE+1.0*RLIVE</t>
  </si>
  <si>
    <t>DEF:1.0*DEAD+1.0*COLL+0.5*FLIVE+0.5*CRANE+0.42*WX1+</t>
  </si>
  <si>
    <t>DEF:1.0*DEAD+1.0*COLL+0.5*FLIVE+0.5*CRANE+0.42*WX1-</t>
  </si>
  <si>
    <t>DEF:1.0*DEAD+1.0*COLL+0.5*FLIVE+0.5*CRANE+0.42*WX2+</t>
  </si>
  <si>
    <t>DEF:1.0*DEAD+1.0*COLL+0.5*FLIVE+0.5*CRANE+0.42*WX2-</t>
  </si>
  <si>
    <t>DEF:1.0*DEAD+1.0*COLL+0.5*FLIVE+0.5*CRANE+0.42*WY1+</t>
  </si>
  <si>
    <t>DEF:1.0*DEAD+1.0*COLL+0.5*FLIVE+0.5*CRANE+0.42*WY1-</t>
  </si>
  <si>
    <t>DEF:1.0*DEAD+1.0*COLL+0.5*FLIVE+0.5*CRANE+0.42*WY2+</t>
  </si>
  <si>
    <t>DEF:1.0*DEAD+1.0*COLL+0.5*FLIVE+0.5*CRANE+0.42*WY2-</t>
  </si>
  <si>
    <t>DEF:1.0*DEAD+1.0*COLL+1.0*CR1</t>
  </si>
  <si>
    <t>DEF:1.0*DEAD+1.0*COLL+1.0*CR2</t>
  </si>
  <si>
    <t>DEF:1.0*DEAD+1.0*COLL+1.0*CR3</t>
  </si>
  <si>
    <t>DEF:1.0*DEAD+1.0*COLL+1.0*CR4</t>
  </si>
  <si>
    <t>DEF:1.0*DEAD+1.0*COLL+1.0*EhX1+1.0*Ev</t>
  </si>
  <si>
    <t>DEF:1.0*DEAD+1.0*COLL+1.0*EhX2+1.0*Ev</t>
  </si>
  <si>
    <t>DEF:1.0*DEAD+1.0*COLL+1.0*EhY1+1.0*Ev</t>
  </si>
  <si>
    <t>DEF:1.0*DEAD+1.0*COLL+1.0*EhY2+1.0*Ev</t>
  </si>
  <si>
    <t>DEF:1.0*DEAD+1.0*COLL+1.0*EhX1+-1.0*Ev</t>
  </si>
  <si>
    <t>DEF:1.0*DEAD+1.0*COLL+1.0*EhX2+-1.0*Ev</t>
  </si>
  <si>
    <t>DEF:1.0*DEAD+1.0*COLL+1.0*EhY1+-1.0*Ev</t>
  </si>
  <si>
    <t>DEF:1.0*DEAD+1.0*COLL+1.0*EhY2+-1.0*Ev</t>
  </si>
  <si>
    <t>DEF:1.0*DEAD+1.0*COLL+-1.0*EhX1+1.0*Ev</t>
  </si>
  <si>
    <t>DEF:1.0*DEAD+1.0*COLL+-1.0*EhX2+1.0*Ev</t>
  </si>
  <si>
    <t>DEF:1.0*DEAD+1.0*COLL+-1.0*EhY1+1.0*Ev</t>
  </si>
  <si>
    <t>DEF:1.0*DEAD+1.0*COLL+-1.0*EhY2+1.0*Ev</t>
  </si>
  <si>
    <t>DEF:1.0*DEAD+1.0*COLL+-1.0*EhX1+-1.0*Ev</t>
  </si>
  <si>
    <t>DEF:1.0*DEAD+1.0*COLL+-1.0*EhX2+-1.0*Ev</t>
  </si>
  <si>
    <t>DEF:1.0*DEAD+1.0*COLL+-1.0*EhY1+-1.0*Ev</t>
  </si>
  <si>
    <t>DEF:1.0*DEAD+1.0*COLL+-1.0*EhY2+-1.0*Ev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</si>
</sst>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  <font>
      <sz val="8"/>
      <name val="Calibri"/>
      <family val="2"/>
      <scheme val="minor"/>
    </font>
    <font>
      <sz val="10"/>
      <color rgb="FF13499C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3" borderId="2" applyNumberFormat="0" applyAlignment="0" applyProtection="0"/>
    <xf numFmtId="0" fontId="5" fillId="4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1" fillId="0" borderId="1" xfId="0" applyFont="1" applyBorder="1"/>
    <xf numFmtId="0" fontId="4" fillId="4" borderId="1" xfId="2" applyFont="1" applyBorder="1" applyAlignment="1">
      <alignment horizontal="center" vertical="center"/>
    </xf>
    <xf numFmtId="0" fontId="1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/>
    <xf numFmtId="0" fontId="4" fillId="4" borderId="3" xfId="2" applyFont="1" applyBorder="1" applyAlignment="1">
      <alignment horizontal="center"/>
    </xf>
  </cellXfs>
  <cellStyles count="3">
    <cellStyle name="Accent1" xfId="2" builtinId="29"/>
    <cellStyle name="Input 2" xfId="1" xr:uid="{AB773100-D783-4B38-B649-AC0D668A1330}"/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Downloads\1A%20-%20LOAD%20APPLICATION%20AND%20PURLIN%20-%20Under%2018m%20-%20R22.2.xlsm" TargetMode="External"/><Relationship Id="rId1" Type="http://schemas.openxmlformats.org/officeDocument/2006/relationships/externalLinkPath" Target="https://d.docs.live.net/Users/DELL/Downloads/1A%20-%20LOAD%20APPLICATION%20AND%20PURLIN%20-%20Under%2018m%20-%20R22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SIGN SHEET OF BMB"/>
      <sheetName val="1-TM"/>
      <sheetName val="1"/>
      <sheetName val="1-Parapet"/>
      <sheetName val="1-Autoload"/>
      <sheetName val="1-Canopy"/>
      <sheetName val="2"/>
      <sheetName val="3-TM"/>
      <sheetName val="3"/>
      <sheetName val="3-1A"/>
      <sheetName val="3-1B"/>
      <sheetName val="3-2A"/>
      <sheetName val="3-2B"/>
      <sheetName val="3-3A"/>
      <sheetName val="3-3B"/>
      <sheetName val="3-4A"/>
      <sheetName val="3-4B"/>
      <sheetName val="3-5"/>
      <sheetName val="4-TM"/>
      <sheetName val="4"/>
      <sheetName val="4-1A"/>
      <sheetName val="4-1B"/>
      <sheetName val="4-2A"/>
      <sheetName val="4-2B"/>
      <sheetName val="4-3A"/>
      <sheetName val="4-3B"/>
      <sheetName val="4-4A"/>
      <sheetName val="4-4B"/>
      <sheetName val="4-5"/>
      <sheetName val="5"/>
      <sheetName val="6A"/>
      <sheetName val="6-A"/>
      <sheetName val="6-B"/>
      <sheetName val="6B"/>
      <sheetName val="6-A (2)"/>
      <sheetName val="6-B (2)"/>
      <sheetName val="7"/>
      <sheetName val="7-1A"/>
      <sheetName val="7-1B"/>
      <sheetName val="7-2A"/>
      <sheetName val="7-2B"/>
      <sheetName val="7-3"/>
      <sheetName val="8"/>
      <sheetName val="8-1A"/>
      <sheetName val="8-1B"/>
      <sheetName val="8-2A"/>
      <sheetName val="8-2B"/>
      <sheetName val="8-3"/>
      <sheetName val="9"/>
      <sheetName val="Autoload"/>
      <sheetName val="ControlPanel"/>
      <sheetName val="BT"/>
      <sheetName val="10"/>
      <sheetName val="GEN-TUBE."/>
      <sheetName val="DETAIL-TUBE"/>
      <sheetName val="DTHH-XG"/>
      <sheetName val="NL-C1"/>
      <sheetName val="NL-RL"/>
      <sheetName val="NL-C2"/>
      <sheetName val="NL-CV2"/>
      <sheetName val="NL-C3"/>
      <sheetName val="NL-CV3"/>
      <sheetName val="NL-C4"/>
      <sheetName val="NL-C5"/>
      <sheetName val="NL-CV5"/>
    </sheetNames>
    <sheetDataSet>
      <sheetData sheetId="0">
        <row r="4">
          <cell r="Q4">
            <v>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00AB1-11B8-404F-A93E-7956969056FB}">
  <sheetPr codeName="Sheet6"/>
  <dimension ref="A1:A13"/>
  <sheetViews>
    <sheetView workbookViewId="0">
      <selection activeCell="D12" sqref="D12"/>
    </sheetView>
  </sheetViews>
  <sheetFormatPr defaultRowHeight="15" x14ac:dyDescent="0.25"/>
  <cols>
    <col min="1" max="1" width="12.5703125" bestFit="1" customWidth="1"/>
  </cols>
  <sheetData>
    <row r="1" spans="1:1" x14ac:dyDescent="0.25">
      <c r="A1" t="s">
        <v>2</v>
      </c>
    </row>
    <row r="2" spans="1:1" x14ac:dyDescent="0.25">
      <c r="A2" t="s">
        <v>6</v>
      </c>
    </row>
    <row r="3" spans="1:1" x14ac:dyDescent="0.25">
      <c r="A3" t="s">
        <v>0</v>
      </c>
    </row>
    <row r="4" spans="1:1" x14ac:dyDescent="0.25">
      <c r="A4" t="s">
        <v>7</v>
      </c>
    </row>
    <row r="5" spans="1:1" x14ac:dyDescent="0.25">
      <c r="A5" t="s">
        <v>8</v>
      </c>
    </row>
    <row r="6" spans="1:1" x14ac:dyDescent="0.25">
      <c r="A6" t="s">
        <v>1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957B3-6F83-43BA-95F4-67102B47140B}">
  <sheetPr codeName="Sheet1">
    <tabColor theme="8"/>
  </sheetPr>
  <dimension ref="A1:CY137"/>
  <sheetViews>
    <sheetView showGridLines="0" tabSelected="1" workbookViewId="0">
      <pane xSplit="2" ySplit="12" topLeftCell="C16" activePane="bottomRight" state="frozen"/>
      <selection pane="topRight" activeCell="D1" sqref="D1"/>
      <selection pane="bottomLeft" activeCell="A4" sqref="A4"/>
      <selection pane="bottomRight" activeCell="K29" sqref="K29"/>
    </sheetView>
  </sheetViews>
  <sheetFormatPr defaultRowHeight="15" x14ac:dyDescent="0.25"/>
  <cols>
    <col min="1" max="1" width="9.140625" style="4"/>
    <col min="2" max="2" width="45.7109375" style="2" bestFit="1" customWidth="1"/>
    <col min="3" max="17" width="9.140625" style="3"/>
    <col min="18" max="103" width="9.140625" style="2"/>
  </cols>
  <sheetData>
    <row r="1" spans="1:103" x14ac:dyDescent="0.25">
      <c r="A1" s="6"/>
      <c r="B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</row>
    <row r="2" spans="1:103" hidden="1" x14ac:dyDescent="0.25">
      <c r="A2" s="6"/>
      <c r="B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</row>
    <row r="3" spans="1:103" hidden="1" x14ac:dyDescent="0.25">
      <c r="A3" s="6"/>
      <c r="B3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</row>
    <row r="4" spans="1:103" hidden="1" x14ac:dyDescent="0.25">
      <c r="A4" s="6"/>
      <c r="B4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</row>
    <row r="5" spans="1:103" hidden="1" x14ac:dyDescent="0.25">
      <c r="A5" s="6"/>
      <c r="B5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</row>
    <row r="6" spans="1:103" hidden="1" x14ac:dyDescent="0.25">
      <c r="A6" s="6"/>
      <c r="B6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</row>
    <row r="7" spans="1:103" hidden="1" x14ac:dyDescent="0.25">
      <c r="A7" s="6"/>
      <c r="B7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</row>
    <row r="8" spans="1:103" hidden="1" x14ac:dyDescent="0.25">
      <c r="A8" s="6"/>
      <c r="B8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</row>
    <row r="9" spans="1:103" hidden="1" x14ac:dyDescent="0.25">
      <c r="A9" s="6"/>
      <c r="B9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</row>
    <row r="10" spans="1:103" x14ac:dyDescent="0.25">
      <c r="A10" s="9" t="s">
        <v>3</v>
      </c>
      <c r="B10" s="9"/>
      <c r="C10" s="7" t="s">
        <v>2</v>
      </c>
      <c r="D10" s="7" t="s">
        <v>2</v>
      </c>
      <c r="E10" s="7" t="s">
        <v>12</v>
      </c>
      <c r="F10" s="7" t="s">
        <v>0</v>
      </c>
      <c r="G10" s="7" t="s">
        <v>0</v>
      </c>
      <c r="H10" s="7" t="s">
        <v>10</v>
      </c>
      <c r="I10" s="7" t="s">
        <v>10</v>
      </c>
      <c r="J10" s="7" t="s">
        <v>10</v>
      </c>
      <c r="K10" s="7" t="s">
        <v>10</v>
      </c>
      <c r="L10" s="7" t="s">
        <v>1</v>
      </c>
      <c r="M10" s="7" t="s">
        <v>1</v>
      </c>
      <c r="N10" s="7" t="s">
        <v>1</v>
      </c>
      <c r="O10" s="7" t="s">
        <v>1</v>
      </c>
      <c r="P10" s="7" t="s">
        <v>1</v>
      </c>
      <c r="Q10" s="7" t="s">
        <v>1</v>
      </c>
      <c r="R10" s="7" t="s">
        <v>1</v>
      </c>
      <c r="S10" s="7" t="s">
        <v>1</v>
      </c>
      <c r="T10" s="7" t="s">
        <v>8</v>
      </c>
      <c r="U10" s="7" t="s">
        <v>8</v>
      </c>
      <c r="V10" s="7" t="s">
        <v>8</v>
      </c>
      <c r="W10" s="7" t="s">
        <v>8</v>
      </c>
      <c r="X10" s="7" t="s">
        <v>9</v>
      </c>
      <c r="Y10" s="7" t="s">
        <v>15</v>
      </c>
      <c r="Z10" s="7" t="s">
        <v>15</v>
      </c>
      <c r="AA10" s="7" t="s">
        <v>0</v>
      </c>
      <c r="AB10" s="7" t="s">
        <v>0</v>
      </c>
      <c r="AC10" s="7" t="s">
        <v>0</v>
      </c>
      <c r="AD10" s="7" t="s">
        <v>0</v>
      </c>
      <c r="AE10" s="7" t="s">
        <v>0</v>
      </c>
      <c r="AF10" s="7" t="s">
        <v>0</v>
      </c>
      <c r="AG10" s="7" t="s">
        <v>0</v>
      </c>
      <c r="AH10" s="7" t="s">
        <v>0</v>
      </c>
      <c r="AI10" s="7" t="s">
        <v>0</v>
      </c>
      <c r="AJ10" s="7" t="s">
        <v>0</v>
      </c>
      <c r="AK10" s="7" t="s">
        <v>0</v>
      </c>
      <c r="AL10" s="7" t="s">
        <v>0</v>
      </c>
      <c r="AM10" s="7" t="s">
        <v>0</v>
      </c>
      <c r="AN10" s="7" t="s">
        <v>0</v>
      </c>
      <c r="AO10" s="7" t="s">
        <v>0</v>
      </c>
      <c r="AP10" s="7" t="s">
        <v>0</v>
      </c>
      <c r="AQ10" s="7" t="s">
        <v>0</v>
      </c>
      <c r="AR10" s="7" t="s">
        <v>0</v>
      </c>
      <c r="AS10" s="7" t="s">
        <v>0</v>
      </c>
      <c r="AT10" s="7" t="s">
        <v>0</v>
      </c>
      <c r="AU10" s="7" t="s">
        <v>0</v>
      </c>
      <c r="AV10" s="7" t="s">
        <v>0</v>
      </c>
      <c r="AW10" s="7" t="s">
        <v>0</v>
      </c>
      <c r="AX10" s="7" t="s">
        <v>0</v>
      </c>
      <c r="AY10" s="7" t="s">
        <v>0</v>
      </c>
      <c r="AZ10" s="7" t="s">
        <v>0</v>
      </c>
      <c r="BA10" s="7" t="s">
        <v>0</v>
      </c>
      <c r="BB10" s="7" t="s">
        <v>0</v>
      </c>
      <c r="BC10" s="7" t="s">
        <v>0</v>
      </c>
      <c r="BD10" s="7" t="s">
        <v>0</v>
      </c>
      <c r="BE10" s="7" t="s">
        <v>0</v>
      </c>
      <c r="BF10" s="7" t="s">
        <v>0</v>
      </c>
      <c r="BG10" s="7" t="s">
        <v>0</v>
      </c>
      <c r="BH10" s="7" t="s">
        <v>0</v>
      </c>
      <c r="BI10" s="7" t="s">
        <v>0</v>
      </c>
      <c r="BJ10" s="7" t="s">
        <v>0</v>
      </c>
      <c r="BK10" s="7" t="s">
        <v>0</v>
      </c>
      <c r="BL10" s="7" t="s">
        <v>0</v>
      </c>
      <c r="BM10" s="7" t="s">
        <v>0</v>
      </c>
      <c r="BN10" s="7" t="s">
        <v>0</v>
      </c>
      <c r="BO10" s="7" t="s">
        <v>0</v>
      </c>
      <c r="BP10" s="7" t="s">
        <v>0</v>
      </c>
      <c r="BQ10" s="7" t="s">
        <v>0</v>
      </c>
      <c r="BR10" s="7" t="s">
        <v>0</v>
      </c>
      <c r="BS10" s="7" t="s">
        <v>0</v>
      </c>
      <c r="BT10" s="7" t="s">
        <v>0</v>
      </c>
      <c r="BU10" s="7" t="s">
        <v>0</v>
      </c>
      <c r="BV10" s="7" t="s">
        <v>0</v>
      </c>
      <c r="BW10" s="7" t="s">
        <v>0</v>
      </c>
      <c r="BX10" s="7" t="s">
        <v>0</v>
      </c>
      <c r="BY10" s="7" t="s">
        <v>0</v>
      </c>
      <c r="BZ10" s="7" t="s">
        <v>0</v>
      </c>
      <c r="CA10" s="7" t="s">
        <v>0</v>
      </c>
      <c r="CB10" s="7" t="s">
        <v>0</v>
      </c>
      <c r="CC10" s="7" t="s">
        <v>0</v>
      </c>
      <c r="CD10" s="7" t="s">
        <v>0</v>
      </c>
      <c r="CE10" s="7" t="s">
        <v>0</v>
      </c>
      <c r="CF10" s="7" t="s">
        <v>0</v>
      </c>
      <c r="CG10" s="7" t="s">
        <v>0</v>
      </c>
      <c r="CH10" s="7" t="s">
        <v>0</v>
      </c>
      <c r="CI10" s="7" t="s">
        <v>0</v>
      </c>
      <c r="CJ10" s="7" t="s">
        <v>0</v>
      </c>
      <c r="CK10" s="7" t="s">
        <v>0</v>
      </c>
      <c r="CL10" s="7" t="s">
        <v>0</v>
      </c>
      <c r="CM10" s="7" t="s">
        <v>0</v>
      </c>
      <c r="CN10" s="7" t="s">
        <v>0</v>
      </c>
      <c r="CO10" s="7" t="s">
        <v>0</v>
      </c>
      <c r="CP10" s="7" t="s">
        <v>0</v>
      </c>
      <c r="CQ10" s="7" t="s">
        <v>0</v>
      </c>
      <c r="CR10" s="7" t="s">
        <v>0</v>
      </c>
      <c r="CS10" s="7" t="s">
        <v>0</v>
      </c>
      <c r="CT10" s="7" t="s">
        <v>0</v>
      </c>
      <c r="CU10" s="7" t="s">
        <v>0</v>
      </c>
      <c r="CV10" s="7" t="s">
        <v>0</v>
      </c>
      <c r="CW10" s="7" t="s">
        <v>0</v>
      </c>
      <c r="CX10" s="7" t="s">
        <v>0</v>
      </c>
      <c r="CY10" s="7" t="s">
        <v>0</v>
      </c>
    </row>
    <row r="11" spans="1:103" x14ac:dyDescent="0.25">
      <c r="A11" s="5" t="s">
        <v>5</v>
      </c>
      <c r="B11" s="5" t="s">
        <v>4</v>
      </c>
      <c r="C11" s="7" t="s">
        <v>16</v>
      </c>
      <c r="D11" s="7" t="s">
        <v>17</v>
      </c>
      <c r="E11" s="7" t="s">
        <v>18</v>
      </c>
      <c r="F11" s="7" t="s">
        <v>19</v>
      </c>
      <c r="G11" s="7" t="s">
        <v>20</v>
      </c>
      <c r="H11" s="7" t="s">
        <v>21</v>
      </c>
      <c r="I11" s="7" t="s">
        <v>22</v>
      </c>
      <c r="J11" s="7" t="s">
        <v>23</v>
      </c>
      <c r="K11" s="7" t="s">
        <v>24</v>
      </c>
      <c r="L11" s="7" t="s">
        <v>25</v>
      </c>
      <c r="M11" s="7" t="s">
        <v>26</v>
      </c>
      <c r="N11" s="7" t="s">
        <v>27</v>
      </c>
      <c r="O11" s="7" t="s">
        <v>28</v>
      </c>
      <c r="P11" s="7" t="s">
        <v>29</v>
      </c>
      <c r="Q11" s="7" t="s">
        <v>30</v>
      </c>
      <c r="R11" s="7" t="s">
        <v>31</v>
      </c>
      <c r="S11" s="7" t="s">
        <v>32</v>
      </c>
      <c r="T11" s="8" t="s">
        <v>33</v>
      </c>
      <c r="U11" s="8" t="s">
        <v>34</v>
      </c>
      <c r="V11" s="8" t="s">
        <v>35</v>
      </c>
      <c r="W11" s="8" t="s">
        <v>36</v>
      </c>
      <c r="X11" s="8" t="s">
        <v>37</v>
      </c>
      <c r="Y11" s="8" t="s">
        <v>38</v>
      </c>
      <c r="Z11" s="8" t="s">
        <v>39</v>
      </c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</row>
    <row r="12" spans="1:103" x14ac:dyDescent="0.25">
      <c r="A12" s="4" t="s">
        <v>38</v>
      </c>
      <c r="B12" s="2" t="str" cm="1">
        <f t="array" ref="B12">User3($C$11:$ZX$11,C12:ZX12)</f>
        <v>DEAD+1CR1+1CR2+1CR3+1CR4</v>
      </c>
      <c r="H12" s="3">
        <v>1</v>
      </c>
      <c r="I12" s="3">
        <v>1</v>
      </c>
      <c r="J12" s="3">
        <v>1</v>
      </c>
      <c r="K12" s="3">
        <v>1</v>
      </c>
    </row>
    <row r="13" spans="1:103" x14ac:dyDescent="0.25">
      <c r="A13" s="4" t="s">
        <v>39</v>
      </c>
      <c r="B13" s="2" t="str" cm="1">
        <f t="array" ref="B13">User3($C$11:$ZX$11,C13:ZX13)</f>
        <v>0DEAD</v>
      </c>
      <c r="C13" s="3">
        <v>0</v>
      </c>
      <c r="D13" s="3">
        <v>0</v>
      </c>
    </row>
    <row r="14" spans="1:103" x14ac:dyDescent="0.25">
      <c r="A14" s="4" t="s">
        <v>40</v>
      </c>
      <c r="B14" s="2" t="str" cm="1">
        <f t="array" ref="B14">User3($C$11:$ZX$11,C14:ZX14)</f>
        <v>1DEAD+1COLL</v>
      </c>
      <c r="C14" s="3">
        <v>1</v>
      </c>
      <c r="D14" s="3">
        <v>1</v>
      </c>
    </row>
    <row r="15" spans="1:103" x14ac:dyDescent="0.25">
      <c r="A15" s="4" t="s">
        <v>41</v>
      </c>
      <c r="B15" s="2" t="str" cm="1">
        <f t="array" ref="B15">User3($C$11:$ZX$11,C15:ZX15)</f>
        <v>1DEAD+1COLL+1FLIVE+1CRANE+1CR</v>
      </c>
      <c r="C15" s="3">
        <v>1</v>
      </c>
      <c r="D15" s="3">
        <v>1</v>
      </c>
      <c r="F15" s="3">
        <v>1</v>
      </c>
      <c r="G15" s="3">
        <v>1</v>
      </c>
      <c r="Y15" s="2">
        <v>1</v>
      </c>
    </row>
    <row r="16" spans="1:103" x14ac:dyDescent="0.25">
      <c r="A16" s="4" t="s">
        <v>42</v>
      </c>
      <c r="B16" s="2" t="str" cm="1">
        <f t="array" ref="B16">User3($C$11:$ZX$11,C16:ZX16)</f>
        <v>1DEAD+1COLL+1RLIVE</v>
      </c>
      <c r="C16" s="3">
        <v>1</v>
      </c>
      <c r="D16" s="3">
        <v>1</v>
      </c>
      <c r="E16" s="3">
        <v>1</v>
      </c>
    </row>
    <row r="17" spans="1:26" x14ac:dyDescent="0.25">
      <c r="A17" s="4" t="s">
        <v>43</v>
      </c>
      <c r="B17" s="2" t="str" cm="1">
        <f t="array" ref="B17">User3($C$11:$ZX$11,C17:ZX17)</f>
        <v>1DEAD+1COLL+0.75RLIVE+0.75FLIVE+0.75CRANE+0.75CR</v>
      </c>
      <c r="C17" s="3">
        <v>1</v>
      </c>
      <c r="D17" s="3">
        <v>1</v>
      </c>
      <c r="E17" s="3">
        <v>0.75</v>
      </c>
      <c r="F17" s="3">
        <v>0.75</v>
      </c>
      <c r="G17" s="3">
        <v>0.75</v>
      </c>
      <c r="Y17" s="2">
        <v>0.75</v>
      </c>
    </row>
    <row r="18" spans="1:26" x14ac:dyDescent="0.25">
      <c r="A18" s="4" t="s">
        <v>44</v>
      </c>
      <c r="B18" s="2" t="str" cm="1">
        <f t="array" ref="B18">User3($C$11:$ZX$11,C18:ZX18)</f>
        <v>1DEAD+1COLL+0.6WX1+</v>
      </c>
      <c r="C18" s="3">
        <v>1</v>
      </c>
      <c r="D18" s="3">
        <v>1</v>
      </c>
      <c r="L18" s="3">
        <v>0.6</v>
      </c>
    </row>
    <row r="19" spans="1:26" x14ac:dyDescent="0.25">
      <c r="A19" s="4" t="s">
        <v>45</v>
      </c>
      <c r="B19" s="2" t="str" cm="1">
        <f t="array" ref="B19">User3($C$11:$ZX$11,C19:ZX19)</f>
        <v>1DEAD+1COLL+0.6WX1-</v>
      </c>
      <c r="C19" s="3">
        <v>1</v>
      </c>
      <c r="D19" s="3">
        <v>1</v>
      </c>
      <c r="M19" s="3">
        <v>0.6</v>
      </c>
    </row>
    <row r="20" spans="1:26" x14ac:dyDescent="0.25">
      <c r="A20" s="4" t="s">
        <v>46</v>
      </c>
      <c r="B20" s="2" t="str" cm="1">
        <f t="array" ref="B20">User3($C$11:$ZX$11,C20:ZX20)</f>
        <v>1DEAD+1COLL+0.6WX2+</v>
      </c>
      <c r="C20" s="3">
        <v>1</v>
      </c>
      <c r="D20" s="3">
        <v>1</v>
      </c>
      <c r="N20" s="3">
        <v>0.6</v>
      </c>
    </row>
    <row r="21" spans="1:26" x14ac:dyDescent="0.25">
      <c r="A21" s="4" t="s">
        <v>47</v>
      </c>
      <c r="B21" s="2" t="str" cm="1">
        <f t="array" ref="B21">User3($C$11:$ZX$11,C21:ZX21)</f>
        <v>1DEAD+1COLL+0.6WX2-</v>
      </c>
      <c r="C21" s="3">
        <v>1</v>
      </c>
      <c r="D21" s="3">
        <v>1</v>
      </c>
      <c r="O21" s="3">
        <v>0.6</v>
      </c>
    </row>
    <row r="22" spans="1:26" x14ac:dyDescent="0.25">
      <c r="A22" s="4" t="s">
        <v>48</v>
      </c>
      <c r="B22" s="2" t="str" cm="1">
        <f t="array" ref="B22">User3($C$11:$ZX$11,C22:ZX22)</f>
        <v>1DEAD+1COLL+0.6WY1+</v>
      </c>
      <c r="C22" s="3">
        <v>1</v>
      </c>
      <c r="D22" s="3">
        <v>1</v>
      </c>
      <c r="P22" s="3">
        <v>0.6</v>
      </c>
    </row>
    <row r="23" spans="1:26" x14ac:dyDescent="0.25">
      <c r="A23" s="4" t="s">
        <v>49</v>
      </c>
      <c r="B23" s="2" t="str" cm="1">
        <f t="array" ref="B23">User3($C$11:$ZX$11,C23:ZX23)</f>
        <v>1DEAD+1COLL+0.6WY1-</v>
      </c>
      <c r="C23" s="3">
        <v>1</v>
      </c>
      <c r="D23" s="3">
        <v>1</v>
      </c>
      <c r="Q23" s="3">
        <v>0.6</v>
      </c>
    </row>
    <row r="24" spans="1:26" x14ac:dyDescent="0.25">
      <c r="A24" s="4" t="s">
        <v>50</v>
      </c>
      <c r="B24" s="2" t="str" cm="1">
        <f t="array" ref="B24">User3($C$11:$ZX$11,C24:ZX24)</f>
        <v>1DEAD+1COLL+0.6WY2+</v>
      </c>
      <c r="C24" s="3">
        <v>1</v>
      </c>
      <c r="D24" s="3">
        <v>1</v>
      </c>
      <c r="R24" s="2">
        <v>0.6</v>
      </c>
    </row>
    <row r="25" spans="1:26" x14ac:dyDescent="0.25">
      <c r="A25" s="4" t="s">
        <v>51</v>
      </c>
      <c r="B25" s="2" t="str" cm="1">
        <f t="array" ref="B25">User3($C$11:$ZX$11,C25:ZX25)</f>
        <v>1DEAD+1COLL+0.6WY2-</v>
      </c>
      <c r="C25" s="3">
        <v>1</v>
      </c>
      <c r="D25" s="3">
        <v>1</v>
      </c>
      <c r="S25" s="2">
        <v>0.6</v>
      </c>
    </row>
    <row r="26" spans="1:26" x14ac:dyDescent="0.25">
      <c r="A26" s="4" t="s">
        <v>52</v>
      </c>
      <c r="B26" s="2" t="str" cm="1">
        <f t="array" ref="B26">User3($C$11:$ZX$11,C26:ZX26)</f>
        <v>1DEAD+1COLL+0.7EhX1+0.7Ev+0.7EVV</v>
      </c>
      <c r="C26" s="3">
        <v>1</v>
      </c>
      <c r="D26" s="3">
        <v>1</v>
      </c>
      <c r="T26" s="2">
        <v>0.7</v>
      </c>
      <c r="X26" s="2">
        <v>0.7</v>
      </c>
      <c r="Z26" s="2">
        <v>0.7</v>
      </c>
    </row>
    <row r="27" spans="1:26" x14ac:dyDescent="0.25">
      <c r="A27" s="4" t="s">
        <v>53</v>
      </c>
      <c r="B27" s="2" t="str" cm="1">
        <f t="array" ref="B27">User3($C$11:$ZX$11,C27:ZX27)</f>
        <v>1DEAD+1COLL+0.7EhX2+0.7Ev+0.7EVV</v>
      </c>
      <c r="C27" s="3">
        <v>1</v>
      </c>
      <c r="D27" s="3">
        <v>1</v>
      </c>
      <c r="U27" s="2">
        <v>0.7</v>
      </c>
      <c r="X27" s="2">
        <v>0.7</v>
      </c>
      <c r="Z27" s="2">
        <v>0.7</v>
      </c>
    </row>
    <row r="28" spans="1:26" x14ac:dyDescent="0.25">
      <c r="A28" s="4" t="s">
        <v>54</v>
      </c>
      <c r="B28" s="2" t="str" cm="1">
        <f t="array" ref="B28">User3($C$11:$ZX$11,C28:ZX28)</f>
        <v>1DEAD+1COLL+0.7EhY1+0.7Ev+0.7EVV</v>
      </c>
      <c r="C28" s="3">
        <v>1</v>
      </c>
      <c r="D28" s="3">
        <v>1</v>
      </c>
      <c r="V28" s="2">
        <v>0.7</v>
      </c>
      <c r="X28" s="2">
        <v>0.7</v>
      </c>
      <c r="Z28" s="2">
        <v>0.7</v>
      </c>
    </row>
    <row r="29" spans="1:26" x14ac:dyDescent="0.25">
      <c r="A29" s="4" t="s">
        <v>55</v>
      </c>
      <c r="B29" s="2" t="str" cm="1">
        <f t="array" ref="B29">User3($C$11:$ZX$11,C29:ZX29)</f>
        <v>1DEAD+1COLL+0.7EhY2+0.7Ev+0.7EVV</v>
      </c>
      <c r="C29" s="3">
        <v>1</v>
      </c>
      <c r="D29" s="3">
        <v>1</v>
      </c>
      <c r="W29" s="2">
        <v>0.7</v>
      </c>
      <c r="X29" s="2">
        <v>0.7</v>
      </c>
      <c r="Z29" s="2">
        <v>0.7</v>
      </c>
    </row>
    <row r="30" spans="1:26" x14ac:dyDescent="0.25">
      <c r="A30" s="4" t="s">
        <v>56</v>
      </c>
      <c r="B30" s="2" t="str" cm="1">
        <f t="array" ref="B30">User3($C$11:$ZX$11,C30:ZX30)</f>
        <v>1DEAD+1COLL-0.7EhX1-0.7Ev-0.7EVV</v>
      </c>
      <c r="C30" s="3">
        <v>1</v>
      </c>
      <c r="D30" s="3">
        <v>1</v>
      </c>
      <c r="T30" s="2">
        <v>-0.7</v>
      </c>
      <c r="X30" s="2">
        <v>-0.7</v>
      </c>
      <c r="Z30" s="2">
        <v>-0.7</v>
      </c>
    </row>
    <row r="31" spans="1:26" x14ac:dyDescent="0.25">
      <c r="A31" s="4" t="s">
        <v>57</v>
      </c>
      <c r="B31" s="2" t="str" cm="1">
        <f t="array" ref="B31">User3($C$11:$ZX$11,C31:ZX31)</f>
        <v>1DEAD+1COLL-0.7EhX2-0.7Ev-0.7EVV</v>
      </c>
      <c r="C31" s="3">
        <v>1</v>
      </c>
      <c r="D31" s="3">
        <v>1</v>
      </c>
      <c r="U31" s="2">
        <v>-0.7</v>
      </c>
      <c r="X31" s="2">
        <v>-0.7</v>
      </c>
      <c r="Z31" s="2">
        <v>-0.7</v>
      </c>
    </row>
    <row r="32" spans="1:26" x14ac:dyDescent="0.25">
      <c r="A32" s="4" t="s">
        <v>58</v>
      </c>
      <c r="B32" s="2" t="str" cm="1">
        <f t="array" ref="B32">User3($C$11:$ZX$11,C32:ZX32)</f>
        <v>1DEAD+1COLL-0.7EhY1-0.7Ev-0.7EVV</v>
      </c>
      <c r="C32" s="3">
        <v>1</v>
      </c>
      <c r="D32" s="3">
        <v>1</v>
      </c>
      <c r="V32" s="2">
        <v>-0.7</v>
      </c>
      <c r="X32" s="2">
        <v>-0.7</v>
      </c>
      <c r="Z32" s="2">
        <v>-0.7</v>
      </c>
    </row>
    <row r="33" spans="1:26" x14ac:dyDescent="0.25">
      <c r="A33" s="4" t="s">
        <v>59</v>
      </c>
      <c r="B33" s="2" t="str" cm="1">
        <f t="array" ref="B33">User3($C$11:$ZX$11,C33:ZX33)</f>
        <v>1DEAD+1COLL-0.7EhY2-0.7Ev-0.7EVV</v>
      </c>
      <c r="C33" s="3">
        <v>1</v>
      </c>
      <c r="D33" s="3">
        <v>1</v>
      </c>
      <c r="W33" s="2">
        <v>-0.7</v>
      </c>
      <c r="X33" s="2">
        <v>-0.7</v>
      </c>
      <c r="Z33" s="2">
        <v>-0.7</v>
      </c>
    </row>
    <row r="34" spans="1:26" x14ac:dyDescent="0.25">
      <c r="A34" s="4" t="s">
        <v>60</v>
      </c>
      <c r="B34" s="2" t="str" cm="1">
        <f t="array" ref="B34">User3($C$11:$ZX$11,C34:ZX34)</f>
        <v>1DEAD+1COLL+0.75RLIVE+0.75FLIVE+0.75CRANE+0.45WX1++0.75CR</v>
      </c>
      <c r="C34" s="3">
        <v>1</v>
      </c>
      <c r="D34" s="3">
        <v>1</v>
      </c>
      <c r="E34" s="3">
        <v>0.75</v>
      </c>
      <c r="F34" s="3">
        <v>0.75</v>
      </c>
      <c r="G34" s="3">
        <v>0.75</v>
      </c>
      <c r="L34" s="3">
        <v>0.45</v>
      </c>
      <c r="Y34" s="2">
        <v>0.75</v>
      </c>
    </row>
    <row r="35" spans="1:26" x14ac:dyDescent="0.25">
      <c r="A35" s="4" t="s">
        <v>61</v>
      </c>
      <c r="B35" s="2" t="str" cm="1">
        <f t="array" ref="B35">User3($C$11:$ZX$11,C35:ZX35)</f>
        <v>1DEAD+1COLL+0.75RLIVE+0.75FLIVE+0.75CRANE+0.45WX1-+0.75CR</v>
      </c>
      <c r="C35" s="3">
        <v>1</v>
      </c>
      <c r="D35" s="3">
        <v>1</v>
      </c>
      <c r="E35" s="3">
        <v>0.75</v>
      </c>
      <c r="F35" s="3">
        <v>0.75</v>
      </c>
      <c r="G35" s="3">
        <v>0.75</v>
      </c>
      <c r="M35" s="3">
        <v>0.45</v>
      </c>
      <c r="Y35" s="2">
        <v>0.75</v>
      </c>
    </row>
    <row r="36" spans="1:26" x14ac:dyDescent="0.25">
      <c r="A36" s="4" t="s">
        <v>62</v>
      </c>
      <c r="B36" s="2" t="str" cm="1">
        <f t="array" ref="B36">User3($C$11:$ZX$11,C36:ZX36)</f>
        <v>1DEAD+1COLL+0.75RLIVE+0.75FLIVE+0.75CRANE+0.45WX2++0.75CR</v>
      </c>
      <c r="C36" s="3">
        <v>1</v>
      </c>
      <c r="D36" s="3">
        <v>1</v>
      </c>
      <c r="E36" s="3">
        <v>0.75</v>
      </c>
      <c r="F36" s="3">
        <v>0.75</v>
      </c>
      <c r="G36" s="3">
        <v>0.75</v>
      </c>
      <c r="N36" s="3">
        <v>0.45</v>
      </c>
      <c r="Y36" s="2">
        <v>0.75</v>
      </c>
    </row>
    <row r="37" spans="1:26" x14ac:dyDescent="0.25">
      <c r="A37" s="4" t="s">
        <v>63</v>
      </c>
      <c r="B37" s="2" t="str" cm="1">
        <f t="array" ref="B37">User3($C$11:$ZX$11,C37:ZX37)</f>
        <v>1DEAD+1COLL+0.75RLIVE+0.75FLIVE+0.75CRANE+0.45WX2-+0.75CR</v>
      </c>
      <c r="C37" s="3">
        <v>1</v>
      </c>
      <c r="D37" s="3">
        <v>1</v>
      </c>
      <c r="E37" s="3">
        <v>0.75</v>
      </c>
      <c r="F37" s="3">
        <v>0.75</v>
      </c>
      <c r="G37" s="3">
        <v>0.75</v>
      </c>
      <c r="O37" s="3">
        <v>0.45</v>
      </c>
      <c r="Y37" s="2">
        <v>0.75</v>
      </c>
    </row>
    <row r="38" spans="1:26" x14ac:dyDescent="0.25">
      <c r="A38" s="4" t="s">
        <v>64</v>
      </c>
      <c r="B38" s="2" t="str" cm="1">
        <f t="array" ref="B38">User3($C$11:$ZX$11,C38:ZX38)</f>
        <v>1DEAD+1COLL+0.75RLIVE+0.75FLIVE+0.75CRANE+0.45WY1++0.75CR</v>
      </c>
      <c r="C38" s="3">
        <v>1</v>
      </c>
      <c r="D38" s="3">
        <v>1</v>
      </c>
      <c r="E38" s="3">
        <v>0.75</v>
      </c>
      <c r="F38" s="3">
        <v>0.75</v>
      </c>
      <c r="G38" s="3">
        <v>0.75</v>
      </c>
      <c r="P38" s="3">
        <v>0.45</v>
      </c>
      <c r="Y38" s="2">
        <v>0.75</v>
      </c>
    </row>
    <row r="39" spans="1:26" x14ac:dyDescent="0.25">
      <c r="A39" s="4" t="s">
        <v>65</v>
      </c>
      <c r="B39" s="2" t="str" cm="1">
        <f t="array" ref="B39">User3($C$11:$ZX$11,C39:ZX39)</f>
        <v>1DEAD+1COLL+0.75RLIVE+0.75FLIVE+0.75CRANE+0.45WY1-+0.75CR</v>
      </c>
      <c r="C39" s="3">
        <v>1</v>
      </c>
      <c r="D39" s="3">
        <v>1</v>
      </c>
      <c r="E39" s="3">
        <v>0.75</v>
      </c>
      <c r="F39" s="3">
        <v>0.75</v>
      </c>
      <c r="G39" s="3">
        <v>0.75</v>
      </c>
      <c r="Q39" s="3">
        <v>0.45</v>
      </c>
      <c r="Y39" s="2">
        <v>0.75</v>
      </c>
    </row>
    <row r="40" spans="1:26" x14ac:dyDescent="0.25">
      <c r="A40" s="4" t="s">
        <v>66</v>
      </c>
      <c r="B40" s="2" t="str" cm="1">
        <f t="array" ref="B40">User3($C$11:$ZX$11,C40:ZX40)</f>
        <v>1DEAD+1COLL+0.75RLIVE+0.75FLIVE+0.75CRANE+0.45WY2++0.75CR</v>
      </c>
      <c r="C40" s="3">
        <v>1</v>
      </c>
      <c r="D40" s="3">
        <v>1</v>
      </c>
      <c r="E40" s="3">
        <v>0.75</v>
      </c>
      <c r="F40" s="3">
        <v>0.75</v>
      </c>
      <c r="G40" s="3">
        <v>0.75</v>
      </c>
      <c r="R40" s="2">
        <v>0.45</v>
      </c>
      <c r="Y40" s="2">
        <v>0.75</v>
      </c>
    </row>
    <row r="41" spans="1:26" x14ac:dyDescent="0.25">
      <c r="A41" s="4" t="s">
        <v>67</v>
      </c>
      <c r="B41" s="2" t="str" cm="1">
        <f t="array" ref="B41">User3($C$11:$ZX$11,C41:ZX41)</f>
        <v>1DEAD+1COLL+0.75RLIVE+0.75FLIVE+0.75CRANE+0.45WY2-+0.75CR</v>
      </c>
      <c r="C41" s="3">
        <v>1</v>
      </c>
      <c r="D41" s="3">
        <v>1</v>
      </c>
      <c r="E41" s="3">
        <v>0.75</v>
      </c>
      <c r="F41" s="3">
        <v>0.75</v>
      </c>
      <c r="G41" s="3">
        <v>0.75</v>
      </c>
      <c r="S41" s="2">
        <v>0.45</v>
      </c>
      <c r="Y41" s="2">
        <v>0.75</v>
      </c>
    </row>
    <row r="42" spans="1:26" x14ac:dyDescent="0.25">
      <c r="A42" s="4" t="s">
        <v>68</v>
      </c>
      <c r="B42" s="2" t="str" cm="1">
        <f t="array" ref="B42">User3($C$11:$ZX$11,C42:ZX42)</f>
        <v>1DEAD+1COLL+0.75FLIVE+0.75CRANE+0.525EhX1+0.525Ev+0.75CR+0.525EVV</v>
      </c>
      <c r="C42" s="3">
        <v>1</v>
      </c>
      <c r="D42" s="3">
        <v>1</v>
      </c>
      <c r="F42" s="3">
        <v>0.75</v>
      </c>
      <c r="G42" s="3">
        <v>0.75</v>
      </c>
      <c r="T42" s="2">
        <v>0.52500000000000002</v>
      </c>
      <c r="X42" s="2">
        <v>0.52500000000000002</v>
      </c>
      <c r="Y42" s="2">
        <v>0.75</v>
      </c>
      <c r="Z42" s="2">
        <v>0.52500000000000002</v>
      </c>
    </row>
    <row r="43" spans="1:26" x14ac:dyDescent="0.25">
      <c r="A43" s="4" t="s">
        <v>69</v>
      </c>
      <c r="B43" s="2" t="str" cm="1">
        <f t="array" ref="B43">User3($C$11:$ZX$11,C43:ZX43)</f>
        <v>1DEAD+1COLL+0.75FLIVE+0.75CRANE+0.525EhX2+0.525Ev+0.75CR+0.525EVV</v>
      </c>
      <c r="C43" s="3">
        <v>1</v>
      </c>
      <c r="D43" s="3">
        <v>1</v>
      </c>
      <c r="F43" s="3">
        <v>0.75</v>
      </c>
      <c r="G43" s="3">
        <v>0.75</v>
      </c>
      <c r="U43" s="2">
        <v>0.52500000000000002</v>
      </c>
      <c r="X43" s="2">
        <v>0.52500000000000002</v>
      </c>
      <c r="Y43" s="2">
        <v>0.75</v>
      </c>
      <c r="Z43" s="2">
        <v>0.52500000000000002</v>
      </c>
    </row>
    <row r="44" spans="1:26" x14ac:dyDescent="0.25">
      <c r="A44" s="4" t="s">
        <v>70</v>
      </c>
      <c r="B44" s="2" t="str" cm="1">
        <f t="array" ref="B44">User3($C$11:$ZX$11,C44:ZX44)</f>
        <v>1DEAD+1COLL+0.75FLIVE+0.75CRANE+0.525EhY1+0.525Ev+0.75CR+0.525EVV</v>
      </c>
      <c r="C44" s="3">
        <v>1</v>
      </c>
      <c r="D44" s="3">
        <v>1</v>
      </c>
      <c r="F44" s="3">
        <v>0.75</v>
      </c>
      <c r="G44" s="3">
        <v>0.75</v>
      </c>
      <c r="V44" s="2">
        <v>0.52500000000000002</v>
      </c>
      <c r="X44" s="2">
        <v>0.52500000000000002</v>
      </c>
      <c r="Y44" s="2">
        <v>0.75</v>
      </c>
      <c r="Z44" s="2">
        <v>0.52500000000000002</v>
      </c>
    </row>
    <row r="45" spans="1:26" x14ac:dyDescent="0.25">
      <c r="A45" s="4" t="s">
        <v>71</v>
      </c>
      <c r="B45" s="2" t="str" cm="1">
        <f t="array" ref="B45">User3($C$11:$ZX$11,C45:ZX45)</f>
        <v>1DEAD+1COLL+0.75FLIVE+0.75CRANE+0.525EhY2+0.525Ev+0.75CR+0.525EVV</v>
      </c>
      <c r="C45" s="3">
        <v>1</v>
      </c>
      <c r="D45" s="3">
        <v>1</v>
      </c>
      <c r="F45" s="3">
        <v>0.75</v>
      </c>
      <c r="G45" s="3">
        <v>0.75</v>
      </c>
      <c r="W45" s="2">
        <v>0.52500000000000002</v>
      </c>
      <c r="X45" s="2">
        <v>0.52500000000000002</v>
      </c>
      <c r="Y45" s="2">
        <v>0.75</v>
      </c>
      <c r="Z45" s="2">
        <v>0.52500000000000002</v>
      </c>
    </row>
    <row r="46" spans="1:26" x14ac:dyDescent="0.25">
      <c r="A46" s="4" t="s">
        <v>72</v>
      </c>
      <c r="B46" s="2" t="str" cm="1">
        <f t="array" ref="B46">User3($C$11:$ZX$11,C46:ZX46)</f>
        <v>1DEAD+1COLL+0.75FLIVE+0.75CRANE-0.525EhX1-0.525Ev+0.75CR-0.525EVV</v>
      </c>
      <c r="C46" s="3">
        <v>1</v>
      </c>
      <c r="D46" s="3">
        <v>1</v>
      </c>
      <c r="F46" s="3">
        <v>0.75</v>
      </c>
      <c r="G46" s="3">
        <v>0.75</v>
      </c>
      <c r="T46" s="2">
        <v>-0.52500000000000002</v>
      </c>
      <c r="X46" s="2">
        <v>-0.52500000000000002</v>
      </c>
      <c r="Y46" s="2">
        <v>0.75</v>
      </c>
      <c r="Z46" s="2">
        <v>-0.52500000000000002</v>
      </c>
    </row>
    <row r="47" spans="1:26" x14ac:dyDescent="0.25">
      <c r="A47" s="4" t="s">
        <v>73</v>
      </c>
      <c r="B47" s="2" t="str" cm="1">
        <f t="array" ref="B47">User3($C$11:$ZX$11,C47:ZX47)</f>
        <v>1DEAD+1COLL+0.75FLIVE+0.75CRANE-0.525EhX2-0.525Ev+0.75CR-0.525EVV</v>
      </c>
      <c r="C47" s="3">
        <v>1</v>
      </c>
      <c r="D47" s="3">
        <v>1</v>
      </c>
      <c r="F47" s="3">
        <v>0.75</v>
      </c>
      <c r="G47" s="3">
        <v>0.75</v>
      </c>
      <c r="U47" s="2">
        <v>-0.52500000000000002</v>
      </c>
      <c r="X47" s="2">
        <v>-0.52500000000000002</v>
      </c>
      <c r="Y47" s="2">
        <v>0.75</v>
      </c>
      <c r="Z47" s="2">
        <v>-0.52500000000000002</v>
      </c>
    </row>
    <row r="48" spans="1:26" x14ac:dyDescent="0.25">
      <c r="A48" s="4" t="s">
        <v>74</v>
      </c>
      <c r="B48" s="2" t="str" cm="1">
        <f t="array" ref="B48">User3($C$11:$ZX$11,C48:ZX48)</f>
        <v>1DEAD+1COLL+0.75FLIVE+0.75CRANE-0.525EhY1-0.525Ev+0.75CR-0.525EVV</v>
      </c>
      <c r="C48" s="3">
        <v>1</v>
      </c>
      <c r="D48" s="3">
        <v>1</v>
      </c>
      <c r="F48" s="3">
        <v>0.75</v>
      </c>
      <c r="G48" s="3">
        <v>0.75</v>
      </c>
      <c r="V48" s="2">
        <v>-0.52500000000000002</v>
      </c>
      <c r="X48" s="2">
        <v>-0.52500000000000002</v>
      </c>
      <c r="Y48" s="2">
        <v>0.75</v>
      </c>
      <c r="Z48" s="2">
        <v>-0.52500000000000002</v>
      </c>
    </row>
    <row r="49" spans="1:26" x14ac:dyDescent="0.25">
      <c r="A49" s="4" t="s">
        <v>75</v>
      </c>
      <c r="B49" s="2" t="str" cm="1">
        <f t="array" ref="B49">User3($C$11:$ZX$11,C49:ZX49)</f>
        <v>1DEAD+1COLL+0.75FLIVE+0.75CRANE-0.525EhY2-0.525Ev+0.75CR-0.525EVV</v>
      </c>
      <c r="C49" s="3">
        <v>1</v>
      </c>
      <c r="D49" s="3">
        <v>1</v>
      </c>
      <c r="F49" s="3">
        <v>0.75</v>
      </c>
      <c r="G49" s="3">
        <v>0.75</v>
      </c>
      <c r="W49" s="2">
        <v>-0.52500000000000002</v>
      </c>
      <c r="X49" s="2">
        <v>-0.52500000000000002</v>
      </c>
      <c r="Y49" s="2">
        <v>0.75</v>
      </c>
      <c r="Z49" s="2">
        <v>-0.52500000000000002</v>
      </c>
    </row>
    <row r="50" spans="1:26" x14ac:dyDescent="0.25">
      <c r="A50" s="4" t="s">
        <v>76</v>
      </c>
      <c r="B50" s="2" t="str" cm="1">
        <f t="array" ref="B50">User3($C$11:$ZX$11,C50:ZX50)</f>
        <v>0.6DEAD+0.6COLL+0.6WX1+</v>
      </c>
      <c r="C50" s="3">
        <v>0.6</v>
      </c>
      <c r="D50" s="3">
        <v>0.6</v>
      </c>
      <c r="L50" s="3">
        <v>0.6</v>
      </c>
    </row>
    <row r="51" spans="1:26" x14ac:dyDescent="0.25">
      <c r="A51" s="4" t="s">
        <v>77</v>
      </c>
      <c r="B51" s="2" t="str" cm="1">
        <f t="array" ref="B51">User3($C$11:$ZX$11,C51:ZX51)</f>
        <v>0.6DEAD+0.6COLL+0.6WX1-</v>
      </c>
      <c r="C51" s="3">
        <v>0.6</v>
      </c>
      <c r="D51" s="3">
        <v>0.6</v>
      </c>
      <c r="M51" s="3">
        <v>0.6</v>
      </c>
    </row>
    <row r="52" spans="1:26" x14ac:dyDescent="0.25">
      <c r="A52" s="4" t="s">
        <v>78</v>
      </c>
      <c r="B52" s="2" t="str" cm="1">
        <f t="array" ref="B52">User3($C$11:$ZX$11,C52:ZX52)</f>
        <v>0.6DEAD+0.6COLL+0.6WX2+</v>
      </c>
      <c r="C52" s="3">
        <v>0.6</v>
      </c>
      <c r="D52" s="3">
        <v>0.6</v>
      </c>
      <c r="N52" s="3">
        <v>0.6</v>
      </c>
    </row>
    <row r="53" spans="1:26" x14ac:dyDescent="0.25">
      <c r="A53" s="4" t="s">
        <v>79</v>
      </c>
      <c r="B53" s="2" t="str" cm="1">
        <f t="array" ref="B53">User3($C$11:$ZX$11,C53:ZX53)</f>
        <v>0.6DEAD+0.6COLL+0.6WX2-</v>
      </c>
      <c r="C53" s="3">
        <v>0.6</v>
      </c>
      <c r="D53" s="3">
        <v>0.6</v>
      </c>
      <c r="O53" s="3">
        <v>0.6</v>
      </c>
    </row>
    <row r="54" spans="1:26" x14ac:dyDescent="0.25">
      <c r="A54" s="4" t="s">
        <v>80</v>
      </c>
      <c r="B54" s="2" t="str" cm="1">
        <f t="array" ref="B54">User3($C$11:$ZX$11,C54:ZX54)</f>
        <v>0.6DEAD+0.6COLL+0.6WY1+</v>
      </c>
      <c r="C54" s="3">
        <v>0.6</v>
      </c>
      <c r="D54" s="3">
        <v>0.6</v>
      </c>
      <c r="P54" s="3">
        <v>0.6</v>
      </c>
    </row>
    <row r="55" spans="1:26" x14ac:dyDescent="0.25">
      <c r="A55" s="4" t="s">
        <v>81</v>
      </c>
      <c r="B55" s="2" t="str" cm="1">
        <f t="array" ref="B55">User3($C$11:$ZX$11,C55:ZX55)</f>
        <v>0.6DEAD+0.6COLL+0.6WY1-</v>
      </c>
      <c r="C55" s="3">
        <v>0.6</v>
      </c>
      <c r="D55" s="3">
        <v>0.6</v>
      </c>
      <c r="Q55" s="3">
        <v>0.6</v>
      </c>
    </row>
    <row r="56" spans="1:26" x14ac:dyDescent="0.25">
      <c r="A56" s="4" t="s">
        <v>82</v>
      </c>
      <c r="B56" s="2" t="str" cm="1">
        <f t="array" ref="B56">User3($C$11:$ZX$11,C56:ZX56)</f>
        <v>0.6DEAD+0.6COLL+0.6WY2+</v>
      </c>
      <c r="C56" s="3">
        <v>0.6</v>
      </c>
      <c r="D56" s="3">
        <v>0.6</v>
      </c>
      <c r="R56" s="2">
        <v>0.6</v>
      </c>
    </row>
    <row r="57" spans="1:26" x14ac:dyDescent="0.25">
      <c r="A57" s="4" t="s">
        <v>83</v>
      </c>
      <c r="B57" s="2" t="str" cm="1">
        <f t="array" ref="B57">User3($C$11:$ZX$11,C57:ZX57)</f>
        <v>0.6DEAD+0.6COLL+0.6WY2-</v>
      </c>
      <c r="C57" s="3">
        <v>0.6</v>
      </c>
      <c r="D57" s="3">
        <v>0.6</v>
      </c>
      <c r="S57" s="2">
        <v>0.6</v>
      </c>
    </row>
    <row r="58" spans="1:26" x14ac:dyDescent="0.25">
      <c r="A58" s="4" t="s">
        <v>84</v>
      </c>
      <c r="B58" s="2" t="str" cm="1">
        <f t="array" ref="B58">User3($C$11:$ZX$11,C58:ZX58)</f>
        <v>0.6DEAD+0.6COLL+0.7EhX1-0.7Ev-0.7EVV</v>
      </c>
      <c r="C58" s="3">
        <v>0.6</v>
      </c>
      <c r="D58" s="3">
        <v>0.6</v>
      </c>
      <c r="T58" s="2">
        <v>0.7</v>
      </c>
      <c r="X58" s="2">
        <v>-0.7</v>
      </c>
      <c r="Z58" s="2">
        <v>-0.7</v>
      </c>
    </row>
    <row r="59" spans="1:26" x14ac:dyDescent="0.25">
      <c r="A59" s="4" t="s">
        <v>85</v>
      </c>
      <c r="B59" s="2" t="str" cm="1">
        <f t="array" ref="B59">User3($C$11:$ZX$11,C59:ZX59)</f>
        <v>0.6DEAD+0.6COLL+0.7EhX2-0.7Ev-0.7EVV</v>
      </c>
      <c r="C59" s="3">
        <v>0.6</v>
      </c>
      <c r="D59" s="3">
        <v>0.6</v>
      </c>
      <c r="U59" s="2">
        <v>0.7</v>
      </c>
      <c r="X59" s="2">
        <v>-0.7</v>
      </c>
      <c r="Z59" s="2">
        <v>-0.7</v>
      </c>
    </row>
    <row r="60" spans="1:26" x14ac:dyDescent="0.25">
      <c r="A60" s="4" t="s">
        <v>86</v>
      </c>
      <c r="B60" s="2" t="str" cm="1">
        <f t="array" ref="B60">User3($C$11:$ZX$11,C60:ZX60)</f>
        <v>0.6DEAD+0.6COLL+0.7EhY1-0.7Ev-0.7EVV</v>
      </c>
      <c r="C60" s="3">
        <v>0.6</v>
      </c>
      <c r="D60" s="3">
        <v>0.6</v>
      </c>
      <c r="V60" s="2">
        <v>0.7</v>
      </c>
      <c r="X60" s="2">
        <v>-0.7</v>
      </c>
      <c r="Z60" s="2">
        <v>-0.7</v>
      </c>
    </row>
    <row r="61" spans="1:26" x14ac:dyDescent="0.25">
      <c r="A61" s="4" t="s">
        <v>87</v>
      </c>
      <c r="B61" s="2" t="str" cm="1">
        <f t="array" ref="B61">User3($C$11:$ZX$11,C61:ZX61)</f>
        <v>0.6DEAD+0.6COLL+0.7EhY2-0.7Ev-0.7EVV</v>
      </c>
      <c r="C61" s="3">
        <v>0.6</v>
      </c>
      <c r="D61" s="3">
        <v>0.6</v>
      </c>
      <c r="W61" s="2">
        <v>0.7</v>
      </c>
      <c r="X61" s="2">
        <v>-0.7</v>
      </c>
      <c r="Z61" s="2">
        <v>-0.7</v>
      </c>
    </row>
    <row r="62" spans="1:26" x14ac:dyDescent="0.25">
      <c r="A62" s="4" t="s">
        <v>88</v>
      </c>
      <c r="B62" s="2" t="str" cm="1">
        <f t="array" ref="B62">User3($C$11:$ZX$11,C62:ZX62)</f>
        <v>0.6DEAD+0.6COLL-0.7EhX1+0.7Ev+0.7EVV</v>
      </c>
      <c r="C62" s="3">
        <v>0.6</v>
      </c>
      <c r="D62" s="3">
        <v>0.6</v>
      </c>
      <c r="T62" s="2">
        <v>-0.7</v>
      </c>
      <c r="X62" s="2">
        <v>0.7</v>
      </c>
      <c r="Z62" s="2">
        <v>0.7</v>
      </c>
    </row>
    <row r="63" spans="1:26" x14ac:dyDescent="0.25">
      <c r="A63" s="4" t="s">
        <v>89</v>
      </c>
      <c r="B63" s="2" t="str" cm="1">
        <f t="array" ref="B63">User3($C$11:$ZX$11,C63:ZX63)</f>
        <v>0.6DEAD+0.6COLL-0.7EhX2+0.7Ev+0.7EVV</v>
      </c>
      <c r="C63" s="3">
        <v>0.6</v>
      </c>
      <c r="D63" s="3">
        <v>0.6</v>
      </c>
      <c r="U63" s="2">
        <v>-0.7</v>
      </c>
      <c r="X63" s="2">
        <v>0.7</v>
      </c>
      <c r="Z63" s="2">
        <v>0.7</v>
      </c>
    </row>
    <row r="64" spans="1:26" x14ac:dyDescent="0.25">
      <c r="A64" s="4" t="s">
        <v>90</v>
      </c>
      <c r="B64" s="2" t="str" cm="1">
        <f t="array" ref="B64">User3($C$11:$ZX$11,C64:ZX64)</f>
        <v>0.6DEAD+0.6COLL-0.7EhY1+0.7Ev+0.7EVV</v>
      </c>
      <c r="C64" s="3">
        <v>0.6</v>
      </c>
      <c r="D64" s="3">
        <v>0.6</v>
      </c>
      <c r="V64" s="2">
        <v>-0.7</v>
      </c>
      <c r="X64" s="2">
        <v>0.7</v>
      </c>
      <c r="Z64" s="2">
        <v>0.7</v>
      </c>
    </row>
    <row r="65" spans="1:26" x14ac:dyDescent="0.25">
      <c r="A65" s="4" t="s">
        <v>91</v>
      </c>
      <c r="B65" s="2" t="str" cm="1">
        <f t="array" ref="B65">User3($C$11:$ZX$11,C65:ZX65)</f>
        <v>0.6DEAD+0.6COLL-0.7EhY2+0.7Ev+0.7EVV</v>
      </c>
      <c r="C65" s="3">
        <v>0.6</v>
      </c>
      <c r="D65" s="3">
        <v>0.6</v>
      </c>
      <c r="W65" s="2">
        <v>-0.7</v>
      </c>
      <c r="X65" s="2">
        <v>0.7</v>
      </c>
      <c r="Z65" s="2">
        <v>0.7</v>
      </c>
    </row>
    <row r="66" spans="1:26" x14ac:dyDescent="0.25">
      <c r="A66" s="4" t="s">
        <v>92</v>
      </c>
      <c r="B66" s="2" t="str" cm="1">
        <f t="array" ref="B66">User3($C$11:$ZX$11,C66:ZX66)</f>
        <v>1.4DEAD+1.4COLL</v>
      </c>
      <c r="C66" s="3">
        <v>1.4</v>
      </c>
      <c r="D66" s="3">
        <v>1.4</v>
      </c>
    </row>
    <row r="67" spans="1:26" x14ac:dyDescent="0.25">
      <c r="A67" s="4" t="s">
        <v>93</v>
      </c>
      <c r="B67" s="2" t="str" cm="1">
        <f t="array" ref="B67">User3($C$11:$ZX$11,C67:ZX67)</f>
        <v>1.2DEAD+1.2COLL+0.5RLIVE+1.6FLIVE+1.6CRANE+1.6CR</v>
      </c>
      <c r="C67" s="3">
        <v>1.2</v>
      </c>
      <c r="D67" s="3">
        <v>1.2</v>
      </c>
      <c r="E67" s="3">
        <v>0.5</v>
      </c>
      <c r="F67" s="3">
        <v>1.6</v>
      </c>
      <c r="G67" s="3">
        <v>1.6</v>
      </c>
      <c r="Y67" s="2">
        <v>1.6</v>
      </c>
    </row>
    <row r="68" spans="1:26" x14ac:dyDescent="0.25">
      <c r="A68" s="4" t="s">
        <v>94</v>
      </c>
      <c r="B68" s="2" t="str" cm="1">
        <f t="array" ref="B68">User3($C$11:$ZX$11,C68:ZX68)</f>
        <v>1.2DEAD+1.2COLL+1.6RLIVE+1FLIVE+1CRANE+1CR</v>
      </c>
      <c r="C68" s="3">
        <v>1.2</v>
      </c>
      <c r="D68" s="3">
        <v>1.2</v>
      </c>
      <c r="E68" s="3">
        <v>1.6</v>
      </c>
      <c r="F68" s="3">
        <v>1</v>
      </c>
      <c r="G68" s="3">
        <v>1</v>
      </c>
      <c r="Y68" s="2">
        <v>1</v>
      </c>
    </row>
    <row r="69" spans="1:26" x14ac:dyDescent="0.25">
      <c r="A69" s="4" t="s">
        <v>95</v>
      </c>
      <c r="B69" s="2" t="str" cm="1">
        <f t="array" ref="B69">User3($C$11:$ZX$11,C69:ZX69)</f>
        <v>1.2DEAD+1.2COLL+1.6RLIVE+0.5WX1+</v>
      </c>
      <c r="C69" s="3">
        <v>1.2</v>
      </c>
      <c r="D69" s="3">
        <v>1.2</v>
      </c>
      <c r="E69" s="3">
        <v>1.6</v>
      </c>
      <c r="L69" s="3">
        <v>0.5</v>
      </c>
    </row>
    <row r="70" spans="1:26" x14ac:dyDescent="0.25">
      <c r="A70" s="4" t="s">
        <v>96</v>
      </c>
      <c r="B70" s="2" t="str" cm="1">
        <f t="array" ref="B70">User3($C$11:$ZX$11,C70:ZX70)</f>
        <v>1.2DEAD+1.2COLL+1.6RLIVE+0.5WX1-</v>
      </c>
      <c r="C70" s="3">
        <v>1.2</v>
      </c>
      <c r="D70" s="3">
        <v>1.2</v>
      </c>
      <c r="E70" s="3">
        <v>1.6</v>
      </c>
      <c r="M70" s="3">
        <v>0.5</v>
      </c>
    </row>
    <row r="71" spans="1:26" x14ac:dyDescent="0.25">
      <c r="A71" s="4" t="s">
        <v>97</v>
      </c>
      <c r="B71" s="2" t="str" cm="1">
        <f t="array" ref="B71">User3($C$11:$ZX$11,C71:ZX71)</f>
        <v>1.2DEAD+1.2COLL+1.6RLIVE+0.5WX2+</v>
      </c>
      <c r="C71" s="3">
        <v>1.2</v>
      </c>
      <c r="D71" s="3">
        <v>1.2</v>
      </c>
      <c r="E71" s="3">
        <v>1.6</v>
      </c>
      <c r="N71" s="3">
        <v>0.5</v>
      </c>
    </row>
    <row r="72" spans="1:26" x14ac:dyDescent="0.25">
      <c r="A72" s="4" t="s">
        <v>98</v>
      </c>
      <c r="B72" s="2" t="str" cm="1">
        <f t="array" ref="B72">User3($C$11:$ZX$11,C72:ZX72)</f>
        <v>1.2DEAD+1.2COLL+1.6RLIVE+0.5WX2-</v>
      </c>
      <c r="C72" s="3">
        <v>1.2</v>
      </c>
      <c r="D72" s="3">
        <v>1.2</v>
      </c>
      <c r="E72" s="3">
        <v>1.6</v>
      </c>
      <c r="O72" s="3">
        <v>0.5</v>
      </c>
    </row>
    <row r="73" spans="1:26" x14ac:dyDescent="0.25">
      <c r="A73" s="4" t="s">
        <v>99</v>
      </c>
      <c r="B73" s="2" t="str" cm="1">
        <f t="array" ref="B73">User3($C$11:$ZX$11,C73:ZX73)</f>
        <v>1.2DEAD+1.2COLL+1.6RLIVE+0.5WY1+</v>
      </c>
      <c r="C73" s="3">
        <v>1.2</v>
      </c>
      <c r="D73" s="3">
        <v>1.2</v>
      </c>
      <c r="E73" s="3">
        <v>1.6</v>
      </c>
      <c r="P73" s="3">
        <v>0.5</v>
      </c>
    </row>
    <row r="74" spans="1:26" x14ac:dyDescent="0.25">
      <c r="A74" s="4" t="s">
        <v>100</v>
      </c>
      <c r="B74" s="2" t="str" cm="1">
        <f t="array" ref="B74">User3($C$11:$ZX$11,C74:ZX74)</f>
        <v>1.2DEAD+1.2COLL+1.6RLIVE+0.5WY1-</v>
      </c>
      <c r="C74" s="3">
        <v>1.2</v>
      </c>
      <c r="D74" s="3">
        <v>1.2</v>
      </c>
      <c r="E74" s="3">
        <v>1.6</v>
      </c>
      <c r="Q74" s="3">
        <v>0.5</v>
      </c>
    </row>
    <row r="75" spans="1:26" x14ac:dyDescent="0.25">
      <c r="A75" s="4" t="s">
        <v>101</v>
      </c>
      <c r="B75" s="2" t="str" cm="1">
        <f t="array" ref="B75">User3($C$11:$ZX$11,C75:ZX75)</f>
        <v>1.2DEAD+1.2COLL+1.6RLIVE+0.5WY2+</v>
      </c>
      <c r="C75" s="3">
        <v>1.2</v>
      </c>
      <c r="D75" s="3">
        <v>1.2</v>
      </c>
      <c r="E75" s="3">
        <v>1.6</v>
      </c>
      <c r="R75" s="2">
        <v>0.5</v>
      </c>
    </row>
    <row r="76" spans="1:26" x14ac:dyDescent="0.25">
      <c r="A76" s="4" t="s">
        <v>102</v>
      </c>
      <c r="B76" s="2" t="str" cm="1">
        <f t="array" ref="B76">User3($C$11:$ZX$11,C76:ZX76)</f>
        <v>1.2DEAD+1.2COLL+1.6RLIVE+0.5WY2-</v>
      </c>
      <c r="C76" s="3">
        <v>1.2</v>
      </c>
      <c r="D76" s="3">
        <v>1.2</v>
      </c>
      <c r="E76" s="3">
        <v>1.6</v>
      </c>
      <c r="S76" s="2">
        <v>0.5</v>
      </c>
    </row>
    <row r="77" spans="1:26" x14ac:dyDescent="0.25">
      <c r="A77" s="4" t="s">
        <v>103</v>
      </c>
      <c r="B77" s="2" t="str" cm="1">
        <f t="array" ref="B77">User3($C$11:$ZX$11,C77:ZX77)</f>
        <v>1.2DEAD+1.2COLL+0.5RLIVE+1FLIVE+1CRANE+1WX1++1CR</v>
      </c>
      <c r="C77" s="3">
        <v>1.2</v>
      </c>
      <c r="D77" s="3">
        <v>1.2</v>
      </c>
      <c r="E77" s="3">
        <v>0.5</v>
      </c>
      <c r="F77" s="3">
        <v>1</v>
      </c>
      <c r="G77" s="3">
        <v>1</v>
      </c>
      <c r="L77" s="3">
        <v>1</v>
      </c>
      <c r="Y77" s="2">
        <v>1</v>
      </c>
    </row>
    <row r="78" spans="1:26" x14ac:dyDescent="0.25">
      <c r="A78" s="4" t="s">
        <v>104</v>
      </c>
      <c r="B78" s="2" t="str" cm="1">
        <f t="array" ref="B78">User3($C$11:$ZX$11,C78:ZX78)</f>
        <v>1.2DEAD+1.2COLL+0.5RLIVE+1FLIVE+1CRANE+1WX1-+1CR</v>
      </c>
      <c r="C78" s="3">
        <v>1.2</v>
      </c>
      <c r="D78" s="3">
        <v>1.2</v>
      </c>
      <c r="E78" s="3">
        <v>0.5</v>
      </c>
      <c r="F78" s="3">
        <v>1</v>
      </c>
      <c r="G78" s="3">
        <v>1</v>
      </c>
      <c r="M78" s="3">
        <v>1</v>
      </c>
      <c r="Y78" s="2">
        <v>1</v>
      </c>
    </row>
    <row r="79" spans="1:26" x14ac:dyDescent="0.25">
      <c r="A79" s="4" t="s">
        <v>105</v>
      </c>
      <c r="B79" s="2" t="str" cm="1">
        <f t="array" ref="B79">User3($C$11:$ZX$11,C79:ZX79)</f>
        <v>1.2DEAD+1.2COLL+0.5RLIVE+1FLIVE+1CRANE+1WX2++1CR</v>
      </c>
      <c r="C79" s="3">
        <v>1.2</v>
      </c>
      <c r="D79" s="3">
        <v>1.2</v>
      </c>
      <c r="E79" s="3">
        <v>0.5</v>
      </c>
      <c r="F79" s="3">
        <v>1</v>
      </c>
      <c r="G79" s="3">
        <v>1</v>
      </c>
      <c r="N79" s="3">
        <v>1</v>
      </c>
      <c r="Y79" s="2">
        <v>1</v>
      </c>
    </row>
    <row r="80" spans="1:26" x14ac:dyDescent="0.25">
      <c r="A80" s="4" t="s">
        <v>106</v>
      </c>
      <c r="B80" s="2" t="str" cm="1">
        <f t="array" ref="B80">User3($C$11:$ZX$11,C80:ZX80)</f>
        <v>1.2DEAD+1.2COLL+0.5RLIVE+1FLIVE+1CRANE+1WX2-+1CR</v>
      </c>
      <c r="C80" s="3">
        <v>1.2</v>
      </c>
      <c r="D80" s="3">
        <v>1.2</v>
      </c>
      <c r="E80" s="3">
        <v>0.5</v>
      </c>
      <c r="F80" s="3">
        <v>1</v>
      </c>
      <c r="G80" s="3">
        <v>1</v>
      </c>
      <c r="O80" s="3">
        <v>1</v>
      </c>
      <c r="Y80" s="2">
        <v>1</v>
      </c>
    </row>
    <row r="81" spans="1:26" x14ac:dyDescent="0.25">
      <c r="A81" s="4" t="s">
        <v>107</v>
      </c>
      <c r="B81" s="2" t="str" cm="1">
        <f t="array" ref="B81">User3($C$11:$ZX$11,C81:ZX81)</f>
        <v>1.2DEAD+1.2COLL+0.5RLIVE+1FLIVE+1CRANE+1WY1++1CR</v>
      </c>
      <c r="C81" s="3">
        <v>1.2</v>
      </c>
      <c r="D81" s="3">
        <v>1.2</v>
      </c>
      <c r="E81" s="3">
        <v>0.5</v>
      </c>
      <c r="F81" s="3">
        <v>1</v>
      </c>
      <c r="G81" s="3">
        <v>1</v>
      </c>
      <c r="P81" s="3">
        <v>1</v>
      </c>
      <c r="Y81" s="2">
        <v>1</v>
      </c>
    </row>
    <row r="82" spans="1:26" x14ac:dyDescent="0.25">
      <c r="A82" s="4" t="s">
        <v>108</v>
      </c>
      <c r="B82" s="2" t="str" cm="1">
        <f t="array" ref="B82">User3($C$11:$ZX$11,C82:ZX82)</f>
        <v>1.2DEAD+1.2COLL+0.5RLIVE+1FLIVE+1CRANE+1WY1-+1CR</v>
      </c>
      <c r="C82" s="3">
        <v>1.2</v>
      </c>
      <c r="D82" s="3">
        <v>1.2</v>
      </c>
      <c r="E82" s="3">
        <v>0.5</v>
      </c>
      <c r="F82" s="3">
        <v>1</v>
      </c>
      <c r="G82" s="3">
        <v>1</v>
      </c>
      <c r="Q82" s="3">
        <v>1</v>
      </c>
      <c r="Y82" s="2">
        <v>1</v>
      </c>
    </row>
    <row r="83" spans="1:26" x14ac:dyDescent="0.25">
      <c r="A83" s="4" t="s">
        <v>109</v>
      </c>
      <c r="B83" s="2" t="str" cm="1">
        <f t="array" ref="B83">User3($C$11:$ZX$11,C83:ZX83)</f>
        <v>1.2DEAD+1.2COLL+0.5RLIVE+1FLIVE+1CRANE+1WY2++1CR</v>
      </c>
      <c r="C83" s="3">
        <v>1.2</v>
      </c>
      <c r="D83" s="3">
        <v>1.2</v>
      </c>
      <c r="E83" s="3">
        <v>0.5</v>
      </c>
      <c r="F83" s="3">
        <v>1</v>
      </c>
      <c r="G83" s="3">
        <v>1</v>
      </c>
      <c r="R83" s="2">
        <v>1</v>
      </c>
      <c r="Y83" s="2">
        <v>1</v>
      </c>
    </row>
    <row r="84" spans="1:26" x14ac:dyDescent="0.25">
      <c r="A84" s="4" t="s">
        <v>110</v>
      </c>
      <c r="B84" s="2" t="str" cm="1">
        <f t="array" ref="B84">User3($C$11:$ZX$11,C84:ZX84)</f>
        <v>1.2DEAD+1.2COLL+0.5RLIVE+1FLIVE+1CRANE+1WY2-+1CR</v>
      </c>
      <c r="C84" s="3">
        <v>1.2</v>
      </c>
      <c r="D84" s="3">
        <v>1.2</v>
      </c>
      <c r="E84" s="3">
        <v>0.5</v>
      </c>
      <c r="F84" s="3">
        <v>1</v>
      </c>
      <c r="G84" s="3">
        <v>1</v>
      </c>
      <c r="S84" s="2">
        <v>1</v>
      </c>
      <c r="Y84" s="2">
        <v>1</v>
      </c>
    </row>
    <row r="85" spans="1:26" x14ac:dyDescent="0.25">
      <c r="A85" s="4" t="s">
        <v>111</v>
      </c>
      <c r="B85" s="2" t="str" cm="1">
        <f t="array" ref="B85">User3($C$11:$ZX$11,C85:ZX85)</f>
        <v>1.2DEAD+1.2COLL+1FLIVE+1CRANE+1EhX1+1Ev+1CR+1EVV</v>
      </c>
      <c r="C85" s="3">
        <v>1.2</v>
      </c>
      <c r="D85" s="3">
        <v>1.2</v>
      </c>
      <c r="F85" s="3">
        <v>1</v>
      </c>
      <c r="G85" s="3">
        <v>1</v>
      </c>
      <c r="T85" s="2">
        <v>1</v>
      </c>
      <c r="X85" s="2">
        <v>1</v>
      </c>
      <c r="Y85" s="2">
        <v>1</v>
      </c>
      <c r="Z85" s="2">
        <v>1</v>
      </c>
    </row>
    <row r="86" spans="1:26" x14ac:dyDescent="0.25">
      <c r="A86" s="4" t="s">
        <v>112</v>
      </c>
      <c r="B86" s="2" t="str" cm="1">
        <f t="array" ref="B86">User3($C$11:$ZX$11,C86:ZX86)</f>
        <v>1.2DEAD+1.2COLL+1FLIVE+1CRANE+1EhX2+1Ev+1CR+1EVV</v>
      </c>
      <c r="C86" s="3">
        <v>1.2</v>
      </c>
      <c r="D86" s="3">
        <v>1.2</v>
      </c>
      <c r="F86" s="3">
        <v>1</v>
      </c>
      <c r="G86" s="3">
        <v>1</v>
      </c>
      <c r="U86" s="2">
        <v>1</v>
      </c>
      <c r="X86" s="2">
        <v>1</v>
      </c>
      <c r="Y86" s="2">
        <v>1</v>
      </c>
      <c r="Z86" s="2">
        <v>1</v>
      </c>
    </row>
    <row r="87" spans="1:26" x14ac:dyDescent="0.25">
      <c r="A87" s="4" t="s">
        <v>113</v>
      </c>
      <c r="B87" s="2" t="str" cm="1">
        <f t="array" ref="B87">User3($C$11:$ZX$11,C87:ZX87)</f>
        <v>1.2DEAD+1.2COLL+1FLIVE+1CRANE+1EhY1+1Ev+1CR+1EVV</v>
      </c>
      <c r="C87" s="3">
        <v>1.2</v>
      </c>
      <c r="D87" s="3">
        <v>1.2</v>
      </c>
      <c r="F87" s="3">
        <v>1</v>
      </c>
      <c r="G87" s="3">
        <v>1</v>
      </c>
      <c r="V87" s="2">
        <v>1</v>
      </c>
      <c r="X87" s="2">
        <v>1</v>
      </c>
      <c r="Y87" s="2">
        <v>1</v>
      </c>
      <c r="Z87" s="2">
        <v>1</v>
      </c>
    </row>
    <row r="88" spans="1:26" x14ac:dyDescent="0.25">
      <c r="A88" s="4" t="s">
        <v>114</v>
      </c>
      <c r="B88" s="2" t="str" cm="1">
        <f t="array" ref="B88">User3($C$11:$ZX$11,C88:ZX88)</f>
        <v>1.2DEAD+1.2COLL+1FLIVE+1CRANE+1EhY2+1Ev+1CR+1EVV</v>
      </c>
      <c r="C88" s="3">
        <v>1.2</v>
      </c>
      <c r="D88" s="3">
        <v>1.2</v>
      </c>
      <c r="F88" s="3">
        <v>1</v>
      </c>
      <c r="G88" s="3">
        <v>1</v>
      </c>
      <c r="W88" s="2">
        <v>1</v>
      </c>
      <c r="X88" s="2">
        <v>1</v>
      </c>
      <c r="Y88" s="2">
        <v>1</v>
      </c>
      <c r="Z88" s="2">
        <v>1</v>
      </c>
    </row>
    <row r="89" spans="1:26" x14ac:dyDescent="0.25">
      <c r="A89" s="4" t="s">
        <v>115</v>
      </c>
      <c r="B89" s="2" t="str" cm="1">
        <f t="array" ref="B89">User3($C$11:$ZX$11,C89:ZX89)</f>
        <v>1.2DEAD+1.2COLL+1FLIVE+1CRANE-1EhX1-1Ev+1CR-1EVV</v>
      </c>
      <c r="C89" s="3">
        <v>1.2</v>
      </c>
      <c r="D89" s="3">
        <v>1.2</v>
      </c>
      <c r="F89" s="3">
        <v>1</v>
      </c>
      <c r="G89" s="3">
        <v>1</v>
      </c>
      <c r="T89" s="2">
        <v>-1</v>
      </c>
      <c r="X89" s="2">
        <v>-1</v>
      </c>
      <c r="Y89" s="2">
        <v>1</v>
      </c>
      <c r="Z89" s="2">
        <v>-1</v>
      </c>
    </row>
    <row r="90" spans="1:26" x14ac:dyDescent="0.25">
      <c r="A90" s="4" t="s">
        <v>116</v>
      </c>
      <c r="B90" s="2" t="str" cm="1">
        <f t="array" ref="B90">User3($C$11:$ZX$11,C90:ZX90)</f>
        <v>1.2DEAD+1.2COLL+1FLIVE+1CRANE-1EhX2-1Ev+1CR-1EVV</v>
      </c>
      <c r="C90" s="3">
        <v>1.2</v>
      </c>
      <c r="D90" s="3">
        <v>1.2</v>
      </c>
      <c r="F90" s="3">
        <v>1</v>
      </c>
      <c r="G90" s="3">
        <v>1</v>
      </c>
      <c r="U90" s="2">
        <v>-1</v>
      </c>
      <c r="X90" s="2">
        <v>-1</v>
      </c>
      <c r="Y90" s="2">
        <v>1</v>
      </c>
      <c r="Z90" s="2">
        <v>-1</v>
      </c>
    </row>
    <row r="91" spans="1:26" x14ac:dyDescent="0.25">
      <c r="A91" s="4" t="s">
        <v>117</v>
      </c>
      <c r="B91" s="2" t="str" cm="1">
        <f t="array" ref="B91">User3($C$11:$ZX$11,C91:ZX91)</f>
        <v>1.2DEAD+1.2COLL+1FLIVE+1CRANE-1EhY1-1Ev+1CR-1EVV</v>
      </c>
      <c r="C91" s="3">
        <v>1.2</v>
      </c>
      <c r="D91" s="3">
        <v>1.2</v>
      </c>
      <c r="F91" s="3">
        <v>1</v>
      </c>
      <c r="G91" s="3">
        <v>1</v>
      </c>
      <c r="V91" s="2">
        <v>-1</v>
      </c>
      <c r="X91" s="2">
        <v>-1</v>
      </c>
      <c r="Y91" s="2">
        <v>1</v>
      </c>
      <c r="Z91" s="2">
        <v>-1</v>
      </c>
    </row>
    <row r="92" spans="1:26" x14ac:dyDescent="0.25">
      <c r="A92" s="4" t="s">
        <v>118</v>
      </c>
      <c r="B92" s="2" t="str" cm="1">
        <f t="array" ref="B92">User3($C$11:$ZX$11,C92:ZX92)</f>
        <v>1.2DEAD+1.2COLL+1FLIVE+1CRANE-1EhY2-1Ev+1CR-1EVV</v>
      </c>
      <c r="C92" s="3">
        <v>1.2</v>
      </c>
      <c r="D92" s="3">
        <v>1.2</v>
      </c>
      <c r="F92" s="3">
        <v>1</v>
      </c>
      <c r="G92" s="3">
        <v>1</v>
      </c>
      <c r="W92" s="2">
        <v>-1</v>
      </c>
      <c r="X92" s="2">
        <v>-1</v>
      </c>
      <c r="Y92" s="2">
        <v>1</v>
      </c>
      <c r="Z92" s="2">
        <v>-1</v>
      </c>
    </row>
    <row r="93" spans="1:26" x14ac:dyDescent="0.25">
      <c r="A93" s="4" t="s">
        <v>119</v>
      </c>
      <c r="B93" s="2" t="str" cm="1">
        <f t="array" ref="B93">User3($C$11:$ZX$11,C93:ZX93)</f>
        <v>0.9DEAD+0.9COLL+1WX1+</v>
      </c>
      <c r="C93" s="3">
        <v>0.9</v>
      </c>
      <c r="D93" s="3">
        <v>0.9</v>
      </c>
      <c r="L93" s="3">
        <v>1</v>
      </c>
    </row>
    <row r="94" spans="1:26" x14ac:dyDescent="0.25">
      <c r="A94" s="4" t="s">
        <v>120</v>
      </c>
      <c r="B94" s="2" t="str" cm="1">
        <f t="array" ref="B94">User3($C$11:$ZX$11,C94:ZX94)</f>
        <v>0.9DEAD+0.9COLL+1WX1-</v>
      </c>
      <c r="C94" s="3">
        <v>0.9</v>
      </c>
      <c r="D94" s="3">
        <v>0.9</v>
      </c>
      <c r="M94" s="3">
        <v>1</v>
      </c>
    </row>
    <row r="95" spans="1:26" x14ac:dyDescent="0.25">
      <c r="A95" s="4" t="s">
        <v>121</v>
      </c>
      <c r="B95" s="2" t="str" cm="1">
        <f t="array" ref="B95">User3($C$11:$ZX$11,C95:ZX95)</f>
        <v>0.9DEAD+0.9COLL+1WX2+</v>
      </c>
      <c r="C95" s="3">
        <v>0.9</v>
      </c>
      <c r="D95" s="3">
        <v>0.9</v>
      </c>
      <c r="N95" s="3">
        <v>1</v>
      </c>
    </row>
    <row r="96" spans="1:26" x14ac:dyDescent="0.25">
      <c r="A96" s="4" t="s">
        <v>122</v>
      </c>
      <c r="B96" s="2" t="str" cm="1">
        <f t="array" ref="B96">User3($C$11:$ZX$11,C96:ZX96)</f>
        <v>0.9DEAD+0.9COLL+1WX2-</v>
      </c>
      <c r="C96" s="3">
        <v>0.9</v>
      </c>
      <c r="D96" s="3">
        <v>0.9</v>
      </c>
      <c r="O96" s="3">
        <v>1</v>
      </c>
    </row>
    <row r="97" spans="1:26" x14ac:dyDescent="0.25">
      <c r="A97" s="4" t="s">
        <v>123</v>
      </c>
      <c r="B97" s="2" t="str" cm="1">
        <f t="array" ref="B97">User3($C$11:$ZX$11,C97:ZX97)</f>
        <v>0.9DEAD+0.9COLL+1WY1+</v>
      </c>
      <c r="C97" s="3">
        <v>0.9</v>
      </c>
      <c r="D97" s="3">
        <v>0.9</v>
      </c>
      <c r="P97" s="3">
        <v>1</v>
      </c>
    </row>
    <row r="98" spans="1:26" x14ac:dyDescent="0.25">
      <c r="A98" s="4" t="s">
        <v>124</v>
      </c>
      <c r="B98" s="2" t="str" cm="1">
        <f t="array" ref="B98">User3($C$11:$ZX$11,C98:ZX98)</f>
        <v>0.9DEAD+0.9COLL+1WY1-</v>
      </c>
      <c r="C98" s="3">
        <v>0.9</v>
      </c>
      <c r="D98" s="3">
        <v>0.9</v>
      </c>
      <c r="Q98" s="3">
        <v>1</v>
      </c>
    </row>
    <row r="99" spans="1:26" x14ac:dyDescent="0.25">
      <c r="A99" s="4" t="s">
        <v>125</v>
      </c>
      <c r="B99" s="2" t="str" cm="1">
        <f t="array" ref="B99">User3($C$11:$ZX$11,C99:ZX99)</f>
        <v>0.9DEAD+0.9COLL+1WY2+</v>
      </c>
      <c r="C99" s="3">
        <v>0.9</v>
      </c>
      <c r="D99" s="3">
        <v>0.9</v>
      </c>
      <c r="R99" s="2">
        <v>1</v>
      </c>
    </row>
    <row r="100" spans="1:26" x14ac:dyDescent="0.25">
      <c r="A100" s="4" t="s">
        <v>126</v>
      </c>
      <c r="B100" s="2" t="str" cm="1">
        <f t="array" ref="B100">User3($C$11:$ZX$11,C100:ZX100)</f>
        <v>0.9DEAD+0.9COLL+1WY2-</v>
      </c>
      <c r="C100" s="3">
        <v>0.9</v>
      </c>
      <c r="D100" s="3">
        <v>0.9</v>
      </c>
      <c r="S100" s="2">
        <v>1</v>
      </c>
    </row>
    <row r="101" spans="1:26" x14ac:dyDescent="0.25">
      <c r="A101" s="4" t="s">
        <v>127</v>
      </c>
      <c r="B101" s="2" t="str" cm="1">
        <f t="array" ref="B101">User3($C$11:$ZX$11,C101:ZX101)</f>
        <v>0.9DEAD+0.9COLL+1EhX1-1Ev-1EVV</v>
      </c>
      <c r="C101" s="3">
        <v>0.9</v>
      </c>
      <c r="D101" s="3">
        <v>0.9</v>
      </c>
      <c r="T101" s="2">
        <v>1</v>
      </c>
      <c r="X101" s="2">
        <v>-1</v>
      </c>
      <c r="Z101" s="2">
        <v>-1</v>
      </c>
    </row>
    <row r="102" spans="1:26" x14ac:dyDescent="0.25">
      <c r="A102" s="4" t="s">
        <v>128</v>
      </c>
      <c r="B102" s="2" t="str" cm="1">
        <f t="array" ref="B102">User3($C$11:$ZX$11,C102:ZX102)</f>
        <v>0.9DEAD+0.9COLL+1EhX2-1Ev-1EVV</v>
      </c>
      <c r="C102" s="3">
        <v>0.9</v>
      </c>
      <c r="D102" s="3">
        <v>0.9</v>
      </c>
      <c r="U102" s="2">
        <v>1</v>
      </c>
      <c r="X102" s="2">
        <v>-1</v>
      </c>
      <c r="Z102" s="2">
        <v>-1</v>
      </c>
    </row>
    <row r="103" spans="1:26" x14ac:dyDescent="0.25">
      <c r="A103" s="4" t="s">
        <v>129</v>
      </c>
      <c r="B103" s="2" t="str" cm="1">
        <f t="array" ref="B103">User3($C$11:$ZX$11,C103:ZX103)</f>
        <v>0.9DEAD+0.9COLL+1EhY1-1Ev-1EVV</v>
      </c>
      <c r="C103" s="3">
        <v>0.9</v>
      </c>
      <c r="D103" s="3">
        <v>0.9</v>
      </c>
      <c r="V103" s="2">
        <v>1</v>
      </c>
      <c r="X103" s="2">
        <v>-1</v>
      </c>
      <c r="Z103" s="2">
        <v>-1</v>
      </c>
    </row>
    <row r="104" spans="1:26" x14ac:dyDescent="0.25">
      <c r="A104" s="4" t="s">
        <v>130</v>
      </c>
      <c r="B104" s="2" t="str" cm="1">
        <f t="array" ref="B104">User3($C$11:$ZX$11,C104:ZX104)</f>
        <v>0.9DEAD+0.9COLL+1EhY2-1Ev-1EVV</v>
      </c>
      <c r="C104" s="3">
        <v>0.9</v>
      </c>
      <c r="D104" s="3">
        <v>0.9</v>
      </c>
      <c r="W104" s="2">
        <v>1</v>
      </c>
      <c r="X104" s="2">
        <v>-1</v>
      </c>
      <c r="Z104" s="2">
        <v>-1</v>
      </c>
    </row>
    <row r="105" spans="1:26" x14ac:dyDescent="0.25">
      <c r="A105" s="4" t="s">
        <v>131</v>
      </c>
      <c r="B105" s="2" t="str" cm="1">
        <f t="array" ref="B105">User3($C$11:$ZX$11,C105:ZX105)</f>
        <v>0.9DEAD+0.9COLL-1EhX1+1Ev+1EVV</v>
      </c>
      <c r="C105" s="3">
        <v>0.9</v>
      </c>
      <c r="D105" s="3">
        <v>0.9</v>
      </c>
      <c r="T105" s="2">
        <v>-1</v>
      </c>
      <c r="X105" s="2">
        <v>1</v>
      </c>
      <c r="Z105" s="2">
        <v>1</v>
      </c>
    </row>
    <row r="106" spans="1:26" x14ac:dyDescent="0.25">
      <c r="A106" s="4" t="s">
        <v>132</v>
      </c>
      <c r="B106" s="2" t="str" cm="1">
        <f t="array" ref="B106">User3($C$11:$ZX$11,C106:ZX106)</f>
        <v>0.9DEAD+0.9COLL-1EhX2+1Ev+1EVV</v>
      </c>
      <c r="C106" s="3">
        <v>0.9</v>
      </c>
      <c r="D106" s="3">
        <v>0.9</v>
      </c>
      <c r="U106" s="2">
        <v>-1</v>
      </c>
      <c r="X106" s="2">
        <v>1</v>
      </c>
      <c r="Z106" s="2">
        <v>1</v>
      </c>
    </row>
    <row r="107" spans="1:26" x14ac:dyDescent="0.25">
      <c r="A107" s="4" t="s">
        <v>133</v>
      </c>
      <c r="B107" s="2" t="str" cm="1">
        <f t="array" ref="B107">User3($C$11:$ZX$11,C107:ZX107)</f>
        <v>0.9DEAD+0.9COLL-1EhY1+1Ev+1EVV</v>
      </c>
      <c r="C107" s="3">
        <v>0.9</v>
      </c>
      <c r="D107" s="3">
        <v>0.9</v>
      </c>
      <c r="V107" s="2">
        <v>-1</v>
      </c>
      <c r="X107" s="2">
        <v>1</v>
      </c>
      <c r="Z107" s="2">
        <v>1</v>
      </c>
    </row>
    <row r="108" spans="1:26" x14ac:dyDescent="0.25">
      <c r="A108" s="4" t="s">
        <v>134</v>
      </c>
      <c r="B108" s="2" t="str" cm="1">
        <f t="array" ref="B108">User3($C$11:$ZX$11,C108:ZX108)</f>
        <v>0.9DEAD+0.9COLL-1EhY2+1Ev+1EVV</v>
      </c>
      <c r="C108" s="3">
        <v>0.9</v>
      </c>
      <c r="D108" s="3">
        <v>0.9</v>
      </c>
      <c r="W108" s="2">
        <v>-1</v>
      </c>
      <c r="X108" s="2">
        <v>1</v>
      </c>
      <c r="Z108" s="2">
        <v>1</v>
      </c>
    </row>
    <row r="109" spans="1:26" x14ac:dyDescent="0.25">
      <c r="A109" s="4" t="s">
        <v>135</v>
      </c>
      <c r="B109" s="2" t="str" cm="1">
        <f t="array" ref="B109">User3($C$11:$ZX$11,C109:ZX109)</f>
        <v>1DEAD+1COLL+1RLIVE+1FLIVE+1CRANE+1CR</v>
      </c>
      <c r="C109" s="3">
        <v>1</v>
      </c>
      <c r="D109" s="3">
        <v>1</v>
      </c>
      <c r="E109" s="3">
        <v>1</v>
      </c>
      <c r="F109" s="3">
        <v>1</v>
      </c>
      <c r="G109" s="3">
        <v>1</v>
      </c>
      <c r="Y109" s="2">
        <v>1</v>
      </c>
    </row>
    <row r="110" spans="1:26" x14ac:dyDescent="0.25">
      <c r="A110" s="4" t="s">
        <v>136</v>
      </c>
      <c r="B110" s="2" t="str" cm="1">
        <f t="array" ref="B110">User3($C$11:$ZX$11,C110:ZX110)</f>
        <v>1DEAD+1COLL+0.5FLIVE+0.5CRANE+0.42WX1++0.5CR</v>
      </c>
      <c r="C110" s="3">
        <v>1</v>
      </c>
      <c r="D110" s="3">
        <v>1</v>
      </c>
      <c r="F110" s="3">
        <v>0.5</v>
      </c>
      <c r="G110" s="3">
        <v>0.5</v>
      </c>
      <c r="L110" s="3">
        <v>0.42</v>
      </c>
      <c r="Y110" s="2">
        <v>0.5</v>
      </c>
    </row>
    <row r="111" spans="1:26" x14ac:dyDescent="0.25">
      <c r="A111" s="4" t="s">
        <v>137</v>
      </c>
      <c r="B111" s="2" t="str" cm="1">
        <f t="array" ref="B111">User3($C$11:$ZX$11,C111:ZX111)</f>
        <v>1DEAD+1COLL+0.5FLIVE+0.5CRANE+0.42WX1-+0.5CR</v>
      </c>
      <c r="C111" s="3">
        <v>1</v>
      </c>
      <c r="D111" s="3">
        <v>1</v>
      </c>
      <c r="F111" s="3">
        <v>0.5</v>
      </c>
      <c r="G111" s="3">
        <v>0.5</v>
      </c>
      <c r="M111" s="3">
        <v>0.42</v>
      </c>
      <c r="Y111" s="2">
        <v>0.5</v>
      </c>
    </row>
    <row r="112" spans="1:26" x14ac:dyDescent="0.25">
      <c r="A112" s="4" t="s">
        <v>138</v>
      </c>
      <c r="B112" s="2" t="str" cm="1">
        <f t="array" ref="B112">User3($C$11:$ZX$11,C112:ZX112)</f>
        <v>1DEAD+1COLL+0.5FLIVE+0.5CRANE+0.42WX2++0.5CR</v>
      </c>
      <c r="C112" s="3">
        <v>1</v>
      </c>
      <c r="D112" s="3">
        <v>1</v>
      </c>
      <c r="F112" s="3">
        <v>0.5</v>
      </c>
      <c r="G112" s="3">
        <v>0.5</v>
      </c>
      <c r="N112" s="3">
        <v>0.42</v>
      </c>
      <c r="Y112" s="2">
        <v>0.5</v>
      </c>
    </row>
    <row r="113" spans="1:26" x14ac:dyDescent="0.25">
      <c r="A113" s="4" t="s">
        <v>139</v>
      </c>
      <c r="B113" s="2" t="str" cm="1">
        <f t="array" ref="B113">User3($C$11:$ZX$11,C113:ZX113)</f>
        <v>1DEAD+1COLL+0.5FLIVE+0.5CRANE+0.42WX2-+0.5CR</v>
      </c>
      <c r="C113" s="3">
        <v>1</v>
      </c>
      <c r="D113" s="3">
        <v>1</v>
      </c>
      <c r="F113" s="3">
        <v>0.5</v>
      </c>
      <c r="G113" s="3">
        <v>0.5</v>
      </c>
      <c r="O113" s="3">
        <v>0.42</v>
      </c>
      <c r="Y113" s="2">
        <v>0.5</v>
      </c>
    </row>
    <row r="114" spans="1:26" x14ac:dyDescent="0.25">
      <c r="A114" s="4" t="s">
        <v>140</v>
      </c>
      <c r="B114" s="2" t="str" cm="1">
        <f t="array" ref="B114">User3($C$11:$ZX$11,C114:ZX114)</f>
        <v>1DEAD+1COLL+0.5FLIVE+0.5CRANE+0.42WY1++0.5CR</v>
      </c>
      <c r="C114" s="3">
        <v>1</v>
      </c>
      <c r="D114" s="3">
        <v>1</v>
      </c>
      <c r="F114" s="3">
        <v>0.5</v>
      </c>
      <c r="G114" s="3">
        <v>0.5</v>
      </c>
      <c r="P114" s="3">
        <v>0.42</v>
      </c>
      <c r="Y114" s="2">
        <v>0.5</v>
      </c>
    </row>
    <row r="115" spans="1:26" x14ac:dyDescent="0.25">
      <c r="A115" s="4" t="s">
        <v>141</v>
      </c>
      <c r="B115" s="2" t="str" cm="1">
        <f t="array" ref="B115">User3($C$11:$ZX$11,C115:ZX115)</f>
        <v>1DEAD+1COLL+0.5FLIVE+0.5CRANE+0.42WY1-+0.5CR</v>
      </c>
      <c r="C115" s="3">
        <v>1</v>
      </c>
      <c r="D115" s="3">
        <v>1</v>
      </c>
      <c r="F115" s="3">
        <v>0.5</v>
      </c>
      <c r="G115" s="3">
        <v>0.5</v>
      </c>
      <c r="Q115" s="3">
        <v>0.42</v>
      </c>
      <c r="Y115" s="2">
        <v>0.5</v>
      </c>
    </row>
    <row r="116" spans="1:26" x14ac:dyDescent="0.25">
      <c r="A116" s="4" t="s">
        <v>142</v>
      </c>
      <c r="B116" s="2" t="str" cm="1">
        <f t="array" ref="B116">User3($C$11:$ZX$11,C116:ZX116)</f>
        <v>1DEAD+1COLL+0.5FLIVE+0.5CRANE+0.42WY2++0.5CR</v>
      </c>
      <c r="C116" s="3">
        <v>1</v>
      </c>
      <c r="D116" s="3">
        <v>1</v>
      </c>
      <c r="F116" s="3">
        <v>0.5</v>
      </c>
      <c r="G116" s="3">
        <v>0.5</v>
      </c>
      <c r="R116" s="2">
        <v>0.42</v>
      </c>
      <c r="Y116" s="2">
        <v>0.5</v>
      </c>
    </row>
    <row r="117" spans="1:26" x14ac:dyDescent="0.25">
      <c r="A117" s="4" t="s">
        <v>143</v>
      </c>
      <c r="B117" s="2" t="str" cm="1">
        <f t="array" ref="B117">User3($C$11:$ZX$11,C117:ZX117)</f>
        <v>1DEAD+1COLL+0.5FLIVE+0.5CRANE+0.42WY2-+0.5CR</v>
      </c>
      <c r="C117" s="3">
        <v>1</v>
      </c>
      <c r="D117" s="3">
        <v>1</v>
      </c>
      <c r="F117" s="3">
        <v>0.5</v>
      </c>
      <c r="G117" s="3">
        <v>0.5</v>
      </c>
      <c r="S117" s="2">
        <v>0.42</v>
      </c>
      <c r="Y117" s="2">
        <v>0.5</v>
      </c>
    </row>
    <row r="118" spans="1:26" x14ac:dyDescent="0.25">
      <c r="A118" s="4" t="s">
        <v>144</v>
      </c>
      <c r="B118" s="2" t="str" cm="1">
        <f t="array" ref="B118">User3($C$11:$ZX$11,C118:ZX118)</f>
        <v>1DEAD+1COLL+1CR1</v>
      </c>
      <c r="C118" s="3">
        <v>1</v>
      </c>
      <c r="D118" s="3">
        <v>1</v>
      </c>
      <c r="H118" s="3">
        <v>1</v>
      </c>
    </row>
    <row r="119" spans="1:26" x14ac:dyDescent="0.25">
      <c r="A119" s="4" t="s">
        <v>145</v>
      </c>
      <c r="B119" s="2" t="str" cm="1">
        <f t="array" ref="B119">User3($C$11:$ZX$11,C119:ZX119)</f>
        <v>1DEAD+1COLL+1CR2</v>
      </c>
      <c r="C119" s="3">
        <v>1</v>
      </c>
      <c r="D119" s="3">
        <v>1</v>
      </c>
      <c r="I119" s="3">
        <v>1</v>
      </c>
    </row>
    <row r="120" spans="1:26" x14ac:dyDescent="0.25">
      <c r="A120" s="4" t="s">
        <v>146</v>
      </c>
      <c r="B120" s="2" t="str" cm="1">
        <f t="array" ref="B120">User3($C$11:$ZX$11,C120:ZX120)</f>
        <v>1DEAD+1COLL+1CR3</v>
      </c>
      <c r="C120" s="3">
        <v>1</v>
      </c>
      <c r="D120" s="3">
        <v>1</v>
      </c>
      <c r="J120" s="3">
        <v>1</v>
      </c>
    </row>
    <row r="121" spans="1:26" x14ac:dyDescent="0.25">
      <c r="A121" s="4" t="s">
        <v>147</v>
      </c>
      <c r="B121" s="2" t="str" cm="1">
        <f t="array" ref="B121">User3($C$11:$ZX$11,C121:ZX121)</f>
        <v>1DEAD+1COLL+1CR4</v>
      </c>
      <c r="C121" s="3">
        <v>1</v>
      </c>
      <c r="D121" s="3">
        <v>1</v>
      </c>
      <c r="K121" s="3">
        <v>1</v>
      </c>
    </row>
    <row r="122" spans="1:26" x14ac:dyDescent="0.25">
      <c r="A122" s="4" t="s">
        <v>148</v>
      </c>
      <c r="B122" s="2" t="str" cm="1">
        <f t="array" ref="B122">User3($C$11:$ZX$11,C122:ZX122)</f>
        <v>1DEAD+1COLL+1EhX1+1Ev+1EVV</v>
      </c>
      <c r="C122" s="3">
        <v>1</v>
      </c>
      <c r="D122" s="3">
        <v>1</v>
      </c>
      <c r="T122" s="2">
        <v>1</v>
      </c>
      <c r="X122" s="2">
        <v>1</v>
      </c>
      <c r="Z122" s="2">
        <v>1</v>
      </c>
    </row>
    <row r="123" spans="1:26" x14ac:dyDescent="0.25">
      <c r="A123" s="4" t="s">
        <v>149</v>
      </c>
      <c r="B123" s="2" t="str" cm="1">
        <f t="array" ref="B123">User3($C$11:$ZX$11,C123:ZX123)</f>
        <v>1DEAD+1COLL+1EhX2+1Ev+1EVV</v>
      </c>
      <c r="C123" s="3">
        <v>1</v>
      </c>
      <c r="D123" s="3">
        <v>1</v>
      </c>
      <c r="U123" s="2">
        <v>1</v>
      </c>
      <c r="X123" s="2">
        <v>1</v>
      </c>
      <c r="Z123" s="2">
        <v>1</v>
      </c>
    </row>
    <row r="124" spans="1:26" x14ac:dyDescent="0.25">
      <c r="A124" s="4" t="s">
        <v>150</v>
      </c>
      <c r="B124" s="2" t="str" cm="1">
        <f t="array" ref="B124">User3($C$11:$ZX$11,C124:ZX124)</f>
        <v>1DEAD+1COLL+1EhY1+1Ev+1EVV</v>
      </c>
      <c r="C124" s="3">
        <v>1</v>
      </c>
      <c r="D124" s="3">
        <v>1</v>
      </c>
      <c r="V124" s="2">
        <v>1</v>
      </c>
      <c r="X124" s="2">
        <v>1</v>
      </c>
      <c r="Z124" s="2">
        <v>1</v>
      </c>
    </row>
    <row r="125" spans="1:26" x14ac:dyDescent="0.25">
      <c r="A125" s="4" t="s">
        <v>151</v>
      </c>
      <c r="B125" s="2" t="str" cm="1">
        <f t="array" ref="B125">User3($C$11:$ZX$11,C125:ZX125)</f>
        <v>1DEAD+1COLL+1EhY2+1Ev+1EVV</v>
      </c>
      <c r="C125" s="3">
        <v>1</v>
      </c>
      <c r="D125" s="3">
        <v>1</v>
      </c>
      <c r="W125" s="2">
        <v>1</v>
      </c>
      <c r="X125" s="2">
        <v>1</v>
      </c>
      <c r="Z125" s="2">
        <v>1</v>
      </c>
    </row>
    <row r="126" spans="1:26" x14ac:dyDescent="0.25">
      <c r="A126" s="4" t="s">
        <v>152</v>
      </c>
      <c r="B126" s="2" t="str" cm="1">
        <f t="array" ref="B126">User3($C$11:$ZX$11,C126:ZX126)</f>
        <v>1DEAD+1COLL+1EhX1-1Ev-1EVV</v>
      </c>
      <c r="C126" s="3">
        <v>1</v>
      </c>
      <c r="D126" s="3">
        <v>1</v>
      </c>
      <c r="T126" s="2">
        <v>1</v>
      </c>
      <c r="X126" s="2">
        <v>-1</v>
      </c>
      <c r="Z126" s="2">
        <v>-1</v>
      </c>
    </row>
    <row r="127" spans="1:26" x14ac:dyDescent="0.25">
      <c r="A127" s="4" t="s">
        <v>153</v>
      </c>
      <c r="B127" s="2" t="str" cm="1">
        <f t="array" ref="B127">User3($C$11:$ZX$11,C127:ZX127)</f>
        <v>1DEAD+1COLL+1EhX2-1Ev-1EVV</v>
      </c>
      <c r="C127" s="3">
        <v>1</v>
      </c>
      <c r="D127" s="3">
        <v>1</v>
      </c>
      <c r="U127" s="2">
        <v>1</v>
      </c>
      <c r="X127" s="2">
        <v>-1</v>
      </c>
      <c r="Z127" s="2">
        <v>-1</v>
      </c>
    </row>
    <row r="128" spans="1:26" x14ac:dyDescent="0.25">
      <c r="A128" s="4" t="s">
        <v>154</v>
      </c>
      <c r="B128" s="2" t="str" cm="1">
        <f t="array" ref="B128">User3($C$11:$ZX$11,C128:ZX128)</f>
        <v>1DEAD+1COLL+1EhY1-1Ev-1EVV</v>
      </c>
      <c r="C128" s="3">
        <v>1</v>
      </c>
      <c r="D128" s="3">
        <v>1</v>
      </c>
      <c r="V128" s="2">
        <v>1</v>
      </c>
      <c r="X128" s="2">
        <v>-1</v>
      </c>
      <c r="Z128" s="2">
        <v>-1</v>
      </c>
    </row>
    <row r="129" spans="1:26" x14ac:dyDescent="0.25">
      <c r="A129" s="4" t="s">
        <v>155</v>
      </c>
      <c r="B129" s="2" t="str" cm="1">
        <f t="array" ref="B129">User3($C$11:$ZX$11,C129:ZX129)</f>
        <v>1DEAD+1COLL+1EhY2-1Ev-1EVV</v>
      </c>
      <c r="C129" s="3">
        <v>1</v>
      </c>
      <c r="D129" s="3">
        <v>1</v>
      </c>
      <c r="W129" s="2">
        <v>1</v>
      </c>
      <c r="X129" s="2">
        <v>-1</v>
      </c>
      <c r="Z129" s="2">
        <v>-1</v>
      </c>
    </row>
    <row r="130" spans="1:26" x14ac:dyDescent="0.25">
      <c r="A130" s="4" t="s">
        <v>156</v>
      </c>
      <c r="B130" s="2" t="str" cm="1">
        <f t="array" ref="B130">User3($C$11:$ZX$11,C130:ZX130)</f>
        <v>1DEAD+1COLL-1EhX1+1Ev+1EVV</v>
      </c>
      <c r="C130" s="3">
        <v>1</v>
      </c>
      <c r="D130" s="3">
        <v>1</v>
      </c>
      <c r="T130" s="2">
        <v>-1</v>
      </c>
      <c r="X130" s="2">
        <v>1</v>
      </c>
      <c r="Z130" s="2">
        <v>1</v>
      </c>
    </row>
    <row r="131" spans="1:26" x14ac:dyDescent="0.25">
      <c r="A131" s="4" t="s">
        <v>157</v>
      </c>
      <c r="B131" s="2" t="str" cm="1">
        <f t="array" ref="B131">User3($C$11:$ZX$11,C131:ZX131)</f>
        <v>1DEAD+1COLL-1EhX2+1Ev+1EVV</v>
      </c>
      <c r="C131" s="3">
        <v>1</v>
      </c>
      <c r="D131" s="3">
        <v>1</v>
      </c>
      <c r="U131" s="2">
        <v>-1</v>
      </c>
      <c r="X131" s="2">
        <v>1</v>
      </c>
      <c r="Z131" s="2">
        <v>1</v>
      </c>
    </row>
    <row r="132" spans="1:26" x14ac:dyDescent="0.25">
      <c r="A132" s="4" t="s">
        <v>158</v>
      </c>
      <c r="B132" s="2" t="str" cm="1">
        <f t="array" ref="B132">User3($C$11:$ZX$11,C132:ZX132)</f>
        <v>1DEAD+1COLL-1EhY1+1Ev+1EVV</v>
      </c>
      <c r="C132" s="3">
        <v>1</v>
      </c>
      <c r="D132" s="3">
        <v>1</v>
      </c>
      <c r="V132" s="2">
        <v>-1</v>
      </c>
      <c r="X132" s="2">
        <v>1</v>
      </c>
      <c r="Z132" s="2">
        <v>1</v>
      </c>
    </row>
    <row r="133" spans="1:26" x14ac:dyDescent="0.25">
      <c r="A133" s="4" t="s">
        <v>159</v>
      </c>
      <c r="B133" s="2" t="str" cm="1">
        <f t="array" ref="B133">User3($C$11:$ZX$11,C133:ZX133)</f>
        <v>1DEAD+1COLL-1EhY2+1Ev+1EVV</v>
      </c>
      <c r="C133" s="3">
        <v>1</v>
      </c>
      <c r="D133" s="3">
        <v>1</v>
      </c>
      <c r="W133" s="2">
        <v>-1</v>
      </c>
      <c r="X133" s="2">
        <v>1</v>
      </c>
      <c r="Z133" s="2">
        <v>1</v>
      </c>
    </row>
    <row r="134" spans="1:26" x14ac:dyDescent="0.25">
      <c r="A134" s="4" t="s">
        <v>160</v>
      </c>
      <c r="B134" s="2" t="str" cm="1">
        <f t="array" ref="B134">User3($C$11:$ZX$11,C134:ZX134)</f>
        <v>1DEAD+1COLL-1EhX1-1Ev-1EVV</v>
      </c>
      <c r="C134" s="3">
        <v>1</v>
      </c>
      <c r="D134" s="3">
        <v>1</v>
      </c>
      <c r="T134" s="2">
        <v>-1</v>
      </c>
      <c r="X134" s="2">
        <v>-1</v>
      </c>
      <c r="Z134" s="2">
        <v>-1</v>
      </c>
    </row>
    <row r="135" spans="1:26" x14ac:dyDescent="0.25">
      <c r="A135" s="4" t="s">
        <v>161</v>
      </c>
      <c r="B135" s="2" t="str" cm="1">
        <f t="array" ref="B135">User3($C$11:$ZX$11,C135:ZX135)</f>
        <v>1DEAD+1COLL-1EhX2-1Ev-1EVV</v>
      </c>
      <c r="C135" s="3">
        <v>1</v>
      </c>
      <c r="D135" s="3">
        <v>1</v>
      </c>
      <c r="U135" s="2">
        <v>-1</v>
      </c>
      <c r="X135" s="2">
        <v>-1</v>
      </c>
      <c r="Z135" s="2">
        <v>-1</v>
      </c>
    </row>
    <row r="136" spans="1:26" x14ac:dyDescent="0.25">
      <c r="A136" s="4" t="s">
        <v>162</v>
      </c>
      <c r="B136" s="2" t="str" cm="1">
        <f t="array" ref="B136">User3($C$11:$ZX$11,C136:ZX136)</f>
        <v>1DEAD+1COLL-1EhY1-1Ev-1EVV</v>
      </c>
      <c r="C136" s="3">
        <v>1</v>
      </c>
      <c r="D136" s="3">
        <v>1</v>
      </c>
      <c r="V136" s="2">
        <v>-1</v>
      </c>
      <c r="X136" s="2">
        <v>-1</v>
      </c>
      <c r="Z136" s="2">
        <v>-1</v>
      </c>
    </row>
    <row r="137" spans="1:26" x14ac:dyDescent="0.25">
      <c r="A137" s="4" t="s">
        <v>163</v>
      </c>
      <c r="B137" s="2" t="str" cm="1">
        <f t="array" ref="B137">User3($C$11:$ZX$11,C137:ZX137)</f>
        <v>1DEAD+1COLL-1EhY2-1Ev-1EVV</v>
      </c>
      <c r="C137" s="3">
        <v>1</v>
      </c>
      <c r="D137" s="3">
        <v>1</v>
      </c>
      <c r="W137" s="2">
        <v>-1</v>
      </c>
      <c r="X137" s="2">
        <v>-1</v>
      </c>
      <c r="Z137" s="2">
        <v>-1</v>
      </c>
    </row>
  </sheetData>
  <mergeCells count="1">
    <mergeCell ref="A10:B10"/>
  </mergeCells>
  <phoneticPr fontId="2" type="noConversion"/>
  <conditionalFormatting sqref="C22:H29 C30:G37 H30:O36 I37:O37 C12:DA20 I21:DA29 C38:DA1048576 P30:DA37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C21:E21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C5E872C-3754-4FAA-9F2A-96625DFF8EC3}">
          <x14:formula1>
            <xm:f>Data!$A:$A</xm:f>
          </x14:formula1>
          <xm:sqref>C10:CY10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User3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toan huynh vu minh</cp:lastModifiedBy>
  <dcterms:created xsi:type="dcterms:W3CDTF">2015-06-05T18:17:20Z</dcterms:created>
  <dcterms:modified xsi:type="dcterms:W3CDTF">2025-09-02T14:22:31Z</dcterms:modified>
</cp:coreProperties>
</file>