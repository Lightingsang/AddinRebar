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ACBE9C6D-4729-4411-93B8-FD24DE31359E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Data" sheetId="1" r:id="rId1"/>
    <sheet name="Force" sheetId="6" r:id="rId2"/>
    <sheet name="Cal" sheetId="9" r:id="rId3"/>
    <sheet name="Corbel" sheetId="10" r:id="rId4"/>
    <sheet name="Pic" sheetId="8" state="veryHidden" r:id="rId5"/>
  </sheets>
  <definedNames>
    <definedName name="_xlnm._FilterDatabase" localSheetId="2" hidden="1">Cal!#REF!</definedName>
    <definedName name="_xlnm._FilterDatabase" localSheetId="3" hidden="1">Corbel!#REF!</definedName>
    <definedName name="_xlnm._FilterDatabase" localSheetId="1" hidden="1">Force!#REF!</definedName>
    <definedName name="_xleta.LEN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Crane">INDEX(Pic!$A$2:$B$3,MATCH(Pic!$B$4,Pic!$A$2:$A$3,0),2)</definedName>
    <definedName name="CraneLoad">INDEX(Pic!$A$6:$B$7,MATCH(Pic!$B$8,Pic!$A$6:$A$7,0),2)</definedName>
    <definedName name="PicMV">INDEX(Pic!$A$9:$B$10,MATCH(Pic!$B$11,Pic!$A$9:$A$10,0),2)</definedName>
    <definedName name="_xlnm.Print_Area" localSheetId="2">Cal!$A$11:$L$97</definedName>
    <definedName name="_xlnm.Print_Area" localSheetId="3">Corbel!$A$11:$L$36</definedName>
    <definedName name="_xlnm.Print_Area" localSheetId="0">Data!#REF!</definedName>
    <definedName name="_xlnm.Print_Area" localSheetId="1">Force!$A$11:$K$99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9" l="1"/>
  <c r="D27" i="10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J83" i="6"/>
  <c r="J82" i="6"/>
  <c r="J25" i="6"/>
  <c r="J26" i="6"/>
  <c r="J27" i="6"/>
  <c r="J28" i="6"/>
  <c r="D18" i="6"/>
  <c r="D17" i="6"/>
  <c r="J11" i="10"/>
  <c r="J11" i="9"/>
  <c r="J11" i="6"/>
  <c r="J72" i="6"/>
  <c r="A65" i="6"/>
  <c r="J47" i="6"/>
  <c r="B49" i="6"/>
  <c r="B48" i="6"/>
  <c r="B46" i="6"/>
  <c r="A27" i="6"/>
  <c r="A22" i="6"/>
  <c r="O11" i="10" a="1"/>
  <c r="O12" i="10" a="1"/>
  <c r="O12" i="9" a="1"/>
  <c r="O11" i="9" a="1"/>
  <c r="O11" i="10" l="1"/>
  <c r="O12" i="10"/>
  <c r="O12" i="9"/>
  <c r="O11" i="9"/>
  <c r="A21" i="10"/>
  <c r="J90" i="9"/>
  <c r="J88" i="9"/>
  <c r="A32" i="10"/>
  <c r="A35" i="10"/>
  <c r="A34" i="10"/>
  <c r="A33" i="10"/>
  <c r="A31" i="10"/>
  <c r="A30" i="10"/>
  <c r="A29" i="10"/>
  <c r="A20" i="10"/>
  <c r="A19" i="10"/>
  <c r="A18" i="10"/>
  <c r="A17" i="10"/>
  <c r="A16" i="10"/>
  <c r="A15" i="10"/>
  <c r="E20" i="10"/>
  <c r="J61" i="10" s="1"/>
  <c r="E19" i="10"/>
  <c r="A92" i="10"/>
  <c r="A91" i="10"/>
  <c r="A90" i="10"/>
  <c r="G88" i="10"/>
  <c r="J87" i="10"/>
  <c r="A87" i="10"/>
  <c r="J82" i="10"/>
  <c r="D61" i="10"/>
  <c r="J52" i="10" s="1"/>
  <c r="B27" i="10"/>
  <c r="C27" i="10" s="1"/>
  <c r="A27" i="10"/>
  <c r="FE1" i="1"/>
  <c r="FF5" i="1" s="1"/>
  <c r="E21" i="9"/>
  <c r="G29" i="9" s="1"/>
  <c r="J30" i="10" s="1"/>
  <c r="J27" i="10"/>
  <c r="I27" i="10"/>
  <c r="H27" i="10"/>
  <c r="G27" i="10"/>
  <c r="B61" i="10" a="1"/>
  <c r="F27" i="10" a="1"/>
  <c r="L27" i="10"/>
  <c r="K27" i="10"/>
  <c r="F27" i="9" a="1"/>
  <c r="J29" i="9" l="1"/>
  <c r="J95" i="9"/>
  <c r="J90" i="10"/>
  <c r="J91" i="10" s="1"/>
  <c r="G61" i="10"/>
  <c r="M57" i="10"/>
  <c r="F27" i="10"/>
  <c r="J31" i="10" s="1"/>
  <c r="B61" i="10"/>
  <c r="J44" i="10"/>
  <c r="J40" i="10"/>
  <c r="J86" i="10"/>
  <c r="J83" i="10"/>
  <c r="J84" i="10" s="1"/>
  <c r="L84" i="10" s="1"/>
  <c r="F27" i="9"/>
  <c r="FE5" i="1"/>
  <c r="FF10" i="1"/>
  <c r="FF9" i="1"/>
  <c r="FF8" i="1"/>
  <c r="FF12" i="1"/>
  <c r="FE14" i="1"/>
  <c r="FE12" i="1"/>
  <c r="FE11" i="1"/>
  <c r="FF7" i="1"/>
  <c r="FE7" i="1"/>
  <c r="FF15" i="1"/>
  <c r="FF13" i="1"/>
  <c r="FF11" i="1"/>
  <c r="FE10" i="1"/>
  <c r="FF6" i="1"/>
  <c r="FE8" i="1"/>
  <c r="FE6" i="1"/>
  <c r="FF4" i="1"/>
  <c r="FF14" i="1"/>
  <c r="FE4" i="1"/>
  <c r="FE15" i="1"/>
  <c r="FE13" i="1"/>
  <c r="FE9" i="1"/>
  <c r="EA135" i="1"/>
  <c r="EA134" i="1"/>
  <c r="EA133" i="1"/>
  <c r="EA132" i="1"/>
  <c r="EA131" i="1"/>
  <c r="EA130" i="1"/>
  <c r="EA129" i="1"/>
  <c r="EA128" i="1"/>
  <c r="EA127" i="1"/>
  <c r="EA126" i="1"/>
  <c r="EA125" i="1"/>
  <c r="EA124" i="1"/>
  <c r="EA123" i="1"/>
  <c r="EA122" i="1"/>
  <c r="EA121" i="1"/>
  <c r="EA120" i="1"/>
  <c r="EA119" i="1"/>
  <c r="EA118" i="1"/>
  <c r="EA117" i="1"/>
  <c r="EA116" i="1"/>
  <c r="EA115" i="1"/>
  <c r="EA114" i="1"/>
  <c r="EA113" i="1"/>
  <c r="EA112" i="1"/>
  <c r="EA111" i="1"/>
  <c r="EA110" i="1"/>
  <c r="EA109" i="1"/>
  <c r="EA108" i="1"/>
  <c r="EA107" i="1"/>
  <c r="EA106" i="1"/>
  <c r="EA105" i="1"/>
  <c r="EA104" i="1"/>
  <c r="EA103" i="1"/>
  <c r="EA102" i="1"/>
  <c r="EA101" i="1"/>
  <c r="EA100" i="1"/>
  <c r="EA99" i="1"/>
  <c r="EA98" i="1"/>
  <c r="EA97" i="1"/>
  <c r="EA96" i="1"/>
  <c r="EA95" i="1"/>
  <c r="EA94" i="1"/>
  <c r="EA93" i="1"/>
  <c r="EA92" i="1"/>
  <c r="EA91" i="1"/>
  <c r="EA90" i="1"/>
  <c r="EA89" i="1"/>
  <c r="EA88" i="1"/>
  <c r="B27" i="9"/>
  <c r="C27" i="9" s="1"/>
  <c r="A91" i="9"/>
  <c r="A90" i="9"/>
  <c r="A89" i="9"/>
  <c r="A88" i="9"/>
  <c r="G86" i="9"/>
  <c r="J85" i="9"/>
  <c r="A85" i="9"/>
  <c r="J80" i="9"/>
  <c r="J59" i="9"/>
  <c r="G59" i="9"/>
  <c r="D59" i="9"/>
  <c r="J50" i="9" s="1"/>
  <c r="M55" i="9"/>
  <c r="J64" i="9" s="1"/>
  <c r="A84" i="6"/>
  <c r="A83" i="6"/>
  <c r="A82" i="6"/>
  <c r="A78" i="6"/>
  <c r="A31" i="6"/>
  <c r="A28" i="6"/>
  <c r="A25" i="6"/>
  <c r="A23" i="6"/>
  <c r="A21" i="6"/>
  <c r="A20" i="6"/>
  <c r="A19" i="6"/>
  <c r="A18" i="6"/>
  <c r="A17" i="6"/>
  <c r="A16" i="6"/>
  <c r="A15" i="6"/>
  <c r="B8" i="8"/>
  <c r="E8" i="8" s="1"/>
  <c r="B4" i="8"/>
  <c r="E5" i="8" s="1"/>
  <c r="J54" i="6"/>
  <c r="J56" i="6" s="1"/>
  <c r="EA87" i="1"/>
  <c r="EA86" i="1"/>
  <c r="EA85" i="1"/>
  <c r="EA84" i="1"/>
  <c r="EA83" i="1"/>
  <c r="EA82" i="1"/>
  <c r="EA81" i="1"/>
  <c r="EA80" i="1"/>
  <c r="EA79" i="1"/>
  <c r="EA78" i="1"/>
  <c r="EA77" i="1"/>
  <c r="EA76" i="1"/>
  <c r="EA75" i="1"/>
  <c r="EA74" i="1"/>
  <c r="EA73" i="1"/>
  <c r="EA72" i="1"/>
  <c r="EA71" i="1"/>
  <c r="EA70" i="1"/>
  <c r="EA69" i="1"/>
  <c r="EA68" i="1"/>
  <c r="EA67" i="1"/>
  <c r="EA66" i="1"/>
  <c r="EA65" i="1"/>
  <c r="EA64" i="1"/>
  <c r="EA63" i="1"/>
  <c r="EA62" i="1"/>
  <c r="EA61" i="1"/>
  <c r="EA60" i="1"/>
  <c r="EA59" i="1"/>
  <c r="EA58" i="1"/>
  <c r="EA57" i="1"/>
  <c r="EA56" i="1"/>
  <c r="EA55" i="1"/>
  <c r="EA54" i="1"/>
  <c r="EA53" i="1"/>
  <c r="EA52" i="1"/>
  <c r="EA51" i="1"/>
  <c r="EA50" i="1"/>
  <c r="EA49" i="1"/>
  <c r="EA48" i="1"/>
  <c r="EA47" i="1"/>
  <c r="EA46" i="1"/>
  <c r="EA45" i="1"/>
  <c r="EA44" i="1"/>
  <c r="EA43" i="1"/>
  <c r="EA42" i="1"/>
  <c r="EA41" i="1"/>
  <c r="EA40" i="1"/>
  <c r="EA39" i="1"/>
  <c r="EA38" i="1"/>
  <c r="EA37" i="1"/>
  <c r="EA36" i="1"/>
  <c r="EA35" i="1"/>
  <c r="EA34" i="1"/>
  <c r="EA33" i="1"/>
  <c r="EA32" i="1"/>
  <c r="EA31" i="1"/>
  <c r="EA30" i="1"/>
  <c r="EA29" i="1"/>
  <c r="EA28" i="1"/>
  <c r="EA27" i="1"/>
  <c r="EA26" i="1"/>
  <c r="EA25" i="1"/>
  <c r="EA24" i="1"/>
  <c r="EA23" i="1"/>
  <c r="EA22" i="1"/>
  <c r="EA21" i="1"/>
  <c r="EA20" i="1"/>
  <c r="EA19" i="1"/>
  <c r="EA18" i="1"/>
  <c r="EA17" i="1"/>
  <c r="EA16" i="1"/>
  <c r="EA15" i="1"/>
  <c r="EA14" i="1"/>
  <c r="EA13" i="1"/>
  <c r="EA12" i="1"/>
  <c r="EA11" i="1"/>
  <c r="EA10" i="1"/>
  <c r="EA9" i="1"/>
  <c r="EA8" i="1"/>
  <c r="EA7" i="1"/>
  <c r="EA6" i="1"/>
  <c r="EA5" i="1"/>
  <c r="EA4" i="1"/>
  <c r="S15" i="6" s="1"/>
  <c r="DA62" i="1"/>
  <c r="DA61" i="1"/>
  <c r="DA60" i="1"/>
  <c r="DA59" i="1"/>
  <c r="DA58" i="1"/>
  <c r="DA57" i="1"/>
  <c r="DA56" i="1"/>
  <c r="DA55" i="1"/>
  <c r="DA54" i="1"/>
  <c r="DA53" i="1"/>
  <c r="DA52" i="1"/>
  <c r="DA51" i="1"/>
  <c r="DA50" i="1"/>
  <c r="DA49" i="1"/>
  <c r="DA48" i="1"/>
  <c r="DA47" i="1"/>
  <c r="DA46" i="1"/>
  <c r="DA45" i="1"/>
  <c r="DA44" i="1"/>
  <c r="DA43" i="1"/>
  <c r="DA42" i="1"/>
  <c r="DA41" i="1"/>
  <c r="DA40" i="1"/>
  <c r="DA39" i="1"/>
  <c r="DA38" i="1"/>
  <c r="DA37" i="1"/>
  <c r="DA36" i="1"/>
  <c r="DA35" i="1"/>
  <c r="DA34" i="1"/>
  <c r="DA33" i="1"/>
  <c r="DA32" i="1"/>
  <c r="DA31" i="1"/>
  <c r="DA30" i="1"/>
  <c r="DA29" i="1"/>
  <c r="DA28" i="1"/>
  <c r="DA27" i="1"/>
  <c r="DA26" i="1"/>
  <c r="DA25" i="1"/>
  <c r="DA24" i="1"/>
  <c r="DA23" i="1"/>
  <c r="DA22" i="1"/>
  <c r="DA21" i="1"/>
  <c r="DA20" i="1"/>
  <c r="DA19" i="1"/>
  <c r="DA18" i="1"/>
  <c r="DA17" i="1"/>
  <c r="DA16" i="1"/>
  <c r="DA15" i="1"/>
  <c r="DA14" i="1"/>
  <c r="DA13" i="1"/>
  <c r="DA12" i="1"/>
  <c r="DA11" i="1"/>
  <c r="DA10" i="1"/>
  <c r="DA9" i="1"/>
  <c r="DA8" i="1"/>
  <c r="DA7" i="1"/>
  <c r="DA6" i="1"/>
  <c r="DA5" i="1"/>
  <c r="DA4" i="1"/>
  <c r="K27" i="9"/>
  <c r="L27" i="9"/>
  <c r="B59" i="9" a="1"/>
  <c r="J27" i="9"/>
  <c r="G27" i="9"/>
  <c r="H27" i="9"/>
  <c r="I27" i="9"/>
  <c r="F66" i="10" l="1"/>
  <c r="J62" i="10"/>
  <c r="J70" i="10"/>
  <c r="J69" i="10"/>
  <c r="J67" i="10"/>
  <c r="D75" i="10"/>
  <c r="J72" i="10"/>
  <c r="J71" i="10"/>
  <c r="J63" i="10"/>
  <c r="J65" i="10"/>
  <c r="H75" i="10"/>
  <c r="J75" i="10"/>
  <c r="K57" i="10"/>
  <c r="J68" i="10" a="1"/>
  <c r="J68" i="10" s="1"/>
  <c r="J66" i="10"/>
  <c r="B75" i="10"/>
  <c r="F75" i="10" s="1"/>
  <c r="J76" i="10" s="1"/>
  <c r="J77" i="10" s="1"/>
  <c r="J78" i="10" s="1"/>
  <c r="J58" i="10" s="1"/>
  <c r="J73" i="10"/>
  <c r="J64" i="10"/>
  <c r="E88" i="10"/>
  <c r="P15" i="6"/>
  <c r="O15" i="6" s="1"/>
  <c r="J24" i="6" s="1"/>
  <c r="Q15" i="6"/>
  <c r="J73" i="6" s="1"/>
  <c r="J74" i="6" s="1"/>
  <c r="J75" i="6" s="1"/>
  <c r="R15" i="6"/>
  <c r="J66" i="9" a="1"/>
  <c r="J66" i="9" s="1"/>
  <c r="B11" i="8"/>
  <c r="E11" i="8" s="1"/>
  <c r="B59" i="9"/>
  <c r="J63" i="9"/>
  <c r="F64" i="9" s="1"/>
  <c r="J42" i="9"/>
  <c r="J38" i="9"/>
  <c r="B73" i="9"/>
  <c r="J67" i="9"/>
  <c r="K55" i="9"/>
  <c r="D73" i="9"/>
  <c r="H73" i="9"/>
  <c r="J68" i="9"/>
  <c r="J73" i="9"/>
  <c r="J60" i="9"/>
  <c r="J61" i="9" s="1"/>
  <c r="J62" i="9" s="1"/>
  <c r="J65" i="9" s="1"/>
  <c r="CI15" i="1"/>
  <c r="CI16" i="1"/>
  <c r="CI17" i="1"/>
  <c r="CI18" i="1"/>
  <c r="CI19" i="1"/>
  <c r="CI5" i="1"/>
  <c r="CI6" i="1"/>
  <c r="CI7" i="1"/>
  <c r="CI8" i="1"/>
  <c r="CI9" i="1"/>
  <c r="CI4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G17" i="1" s="1"/>
  <c r="CF18" i="1"/>
  <c r="CH18" i="1" s="1"/>
  <c r="CF19" i="1"/>
  <c r="CH19" i="1" s="1"/>
  <c r="CF4" i="1"/>
  <c r="CG4" i="1" s="1"/>
  <c r="J33" i="9" l="1"/>
  <c r="J48" i="6"/>
  <c r="J49" i="9"/>
  <c r="J51" i="9" s="1"/>
  <c r="J52" i="9" s="1"/>
  <c r="L52" i="9" s="1"/>
  <c r="J23" i="6"/>
  <c r="CH8" i="1"/>
  <c r="F73" i="9"/>
  <c r="J74" i="9" s="1"/>
  <c r="J69" i="9"/>
  <c r="J70" i="9"/>
  <c r="J71" i="9" s="1"/>
  <c r="CH7" i="1"/>
  <c r="CG18" i="1"/>
  <c r="CH9" i="1"/>
  <c r="CH6" i="1"/>
  <c r="CG19" i="1"/>
  <c r="CH5" i="1"/>
  <c r="CH4" i="1"/>
  <c r="CH17" i="1"/>
  <c r="CG15" i="1"/>
  <c r="CG16" i="1"/>
  <c r="BQ7" i="1"/>
  <c r="BQ8" i="1"/>
  <c r="BQ9" i="1"/>
  <c r="BQ10" i="1"/>
  <c r="BQ11" i="1"/>
  <c r="BQ12" i="1"/>
  <c r="BQ13" i="1"/>
  <c r="BQ14" i="1"/>
  <c r="BQ15" i="1"/>
  <c r="BQ6" i="1"/>
  <c r="H81" i="6" a="1"/>
  <c r="J81" i="6" a="1"/>
  <c r="J31" i="6" a="1"/>
  <c r="J32" i="6" a="1"/>
  <c r="J33" i="6" a="1"/>
  <c r="J34" i="6" a="1"/>
  <c r="H79" i="6" a="1"/>
  <c r="H80" i="6" a="1"/>
  <c r="J79" i="6" a="1"/>
  <c r="J80" i="6" a="1"/>
  <c r="J80" i="6" l="1"/>
  <c r="J79" i="6"/>
  <c r="H80" i="6"/>
  <c r="H79" i="6"/>
  <c r="J34" i="6"/>
  <c r="J33" i="6"/>
  <c r="J32" i="6"/>
  <c r="J31" i="6"/>
  <c r="J81" i="6"/>
  <c r="H81" i="6"/>
  <c r="J40" i="6"/>
  <c r="J43" i="6" s="1"/>
  <c r="X15" i="1"/>
  <c r="X14" i="1"/>
  <c r="X13" i="1"/>
  <c r="X12" i="1"/>
  <c r="X11" i="1"/>
  <c r="X10" i="1"/>
  <c r="X9" i="1"/>
  <c r="X8" i="1"/>
  <c r="X7" i="1"/>
  <c r="X6" i="1"/>
  <c r="J84" i="6" l="1"/>
  <c r="J31" i="9" s="1"/>
  <c r="N39" i="9" s="1"/>
  <c r="J49" i="6"/>
  <c r="J51" i="6" s="1"/>
  <c r="J60" i="6"/>
  <c r="J62" i="6" s="1"/>
  <c r="J39" i="6"/>
  <c r="J42" i="6" s="1"/>
  <c r="J32" i="9"/>
  <c r="J43" i="9" s="1"/>
  <c r="J30" i="9"/>
  <c r="M39" i="9" s="1"/>
  <c r="A27" i="9"/>
  <c r="J89" i="9" s="1"/>
  <c r="J29" i="10" l="1"/>
  <c r="J32" i="10" s="1"/>
  <c r="J51" i="10" s="1"/>
  <c r="J53" i="10" s="1"/>
  <c r="J54" i="10" s="1"/>
  <c r="L54" i="10" s="1"/>
  <c r="J39" i="9"/>
  <c r="L39" i="9" s="1"/>
  <c r="J46" i="9"/>
  <c r="L43" i="9"/>
  <c r="J84" i="9"/>
  <c r="J81" i="9"/>
  <c r="J82" i="9" s="1"/>
  <c r="L82" i="9" s="1"/>
  <c r="J94" i="9"/>
  <c r="J96" i="9" s="1"/>
  <c r="L96" i="9" s="1"/>
  <c r="J75" i="9"/>
  <c r="J76" i="9" s="1"/>
  <c r="J56" i="9" s="1"/>
  <c r="J33" i="10" l="1"/>
  <c r="J59" i="10" s="1"/>
  <c r="L59" i="10" s="1"/>
  <c r="J35" i="10"/>
  <c r="J45" i="10" s="1"/>
  <c r="J48" i="10" s="1"/>
  <c r="J41" i="10"/>
  <c r="L41" i="10" s="1"/>
  <c r="J42" i="10"/>
  <c r="L42" i="10" s="1"/>
  <c r="J40" i="9"/>
  <c r="L40" i="9" s="1"/>
  <c r="J57" i="9"/>
  <c r="L57" i="9" s="1"/>
  <c r="E86" i="9"/>
  <c r="J45" i="9"/>
  <c r="J47" i="9" s="1"/>
  <c r="L47" i="9" s="1"/>
  <c r="J91" i="9"/>
  <c r="G92" i="9" s="1"/>
  <c r="J92" i="10" l="1"/>
  <c r="G93" i="10" s="1"/>
  <c r="J47" i="10"/>
  <c r="L45" i="10"/>
  <c r="J49" i="10"/>
  <c r="L49" i="10" s="1"/>
  <c r="E92" i="9"/>
  <c r="E9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15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Lưu ý:
Chọn loại cầu trục trước
</t>
        </r>
      </text>
    </comment>
    <comment ref="N15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Lưu ý:
Chọn loại cầu trục trước
</t>
        </r>
      </text>
    </comment>
    <comment ref="J21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* 2 cầu trục
     + Chế độ cầu trục làm việc nhẹ và trung bình: 0.85
     + Chế độ cầu trục làm việc nặng và rất nặng: 0.95
*4 cầu trục
     + Chế độ cầu trục làm việc nhẹ và trung bình: 0.7
     + Chế độ cầu trục làm việc nặng và rất nặng: 0.8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E2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Toàn
Mục 8.4.2</t>
        </r>
        <r>
          <rPr>
            <sz val="9"/>
            <color indexed="81"/>
            <rFont val="Tahoma"/>
            <family val="2"/>
          </rPr>
          <t xml:space="preserve">
- Khoảng cách giữa các điểm liên kết cánh chịu nén chặn chuyển dịch ngang
- Bằng L - Khi không có điểm giằng</t>
        </r>
      </text>
    </comment>
    <comment ref="J91" authorId="0" shapeId="0" xr:uid="{00000000-0006-0000-0200-000002000000}">
      <text>
        <r>
          <rPr>
            <sz val="9"/>
            <color indexed="81"/>
            <rFont val="Tahoma"/>
            <family val="2"/>
          </rPr>
          <t xml:space="preserve">Toàn
Mục 8.5.11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J92" authorId="0" shapeId="0" xr:uid="{1B2DBCD5-CFC2-4848-A6C7-1179FE3FC32C}">
      <text>
        <r>
          <rPr>
            <sz val="9"/>
            <color indexed="81"/>
            <rFont val="Tahoma"/>
            <family val="2"/>
          </rPr>
          <t xml:space="preserve">Toàn
Mục 8.5.11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<sst xmlns="http://schemas.openxmlformats.org/spreadsheetml/2006/main" count="770" uniqueCount="396">
  <si>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</si>
  <si>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</si>
  <si>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</si>
  <si>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</si>
  <si>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</si>
  <si>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</si>
  <si>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</si>
  <si>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</si>
  <si>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</si>
  <si>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</si>
  <si>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</si>
  <si>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</si>
  <si>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</si>
  <si>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</si>
  <si>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</si>
  <si>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</si>
  <si>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</si>
  <si>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</si>
  <si>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</si>
  <si>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</si>
  <si>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A</t>
  </si>
  <si>
    <t>B. QUY TRÌNH TÍNH TOÁN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</si>
  <si>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</si>
  <si>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</si>
  <si>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</si>
  <si>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</si>
  <si>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</si>
  <si>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</si>
  <si>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</si>
  <si>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B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</si>
  <si>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</si>
  <si>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</si>
  <si>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</si>
  <si>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</si>
  <si>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</si>
  <si>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</si>
  <si>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</si>
  <si>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</si>
  <si>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</si>
  <si>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</si>
  <si>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</si>
  <si>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</si>
  <si>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</si>
  <si>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</si>
  <si>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</si>
  <si>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</si>
  <si>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</si>
  <si>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</si>
  <si>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</si>
  <si>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</si>
  <si>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</si>
  <si>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</si>
  <si>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</si>
  <si>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</si>
  <si>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</si>
  <si>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</si>
  <si>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</si>
  <si>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</si>
  <si>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</si>
  <si>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</si>
  <si>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</si>
  <si>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</si>
  <si>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</si>
  <si>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</si>
  <si>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</si>
  <si>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</si>
  <si>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</si>
  <si>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</si>
  <si>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</si>
  <si>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</si>
  <si>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</si>
  <si>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</si>
  <si>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</si>
  <si>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</si>
  <si>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</si>
  <si>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</si>
  <si>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</si>
  <si>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</si>
  <si>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</si>
  <si>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</si>
  <si>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</si>
  <si>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</si>
  <si>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</si>
  <si>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</si>
  <si>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</si>
  <si>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</si>
  <si>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</si>
  <si>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</si>
  <si>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</si>
  <si>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</si>
  <si>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</si>
  <si>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</si>
  <si>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</si>
  <si>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</si>
  <si>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</si>
  <si>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</si>
  <si>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</si>
  <si>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</si>
  <si>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</si>
  <si>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</si>
  <si>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</si>
  <si>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</si>
  <si>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</si>
  <si>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</si>
  <si>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</si>
  <si>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</si>
  <si>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</si>
  <si>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</si>
  <si>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</si>
  <si>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</si>
  <si>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</si>
  <si>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</si>
  <si>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</si>
  <si>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</si>
  <si>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</si>
  <si>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</si>
  <si>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</si>
  <si>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</si>
  <si>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</si>
  <si>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</si>
  <si>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</si>
  <si>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</si>
  <si>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Cầu trục 1 dầm kiểu ELV/ELK</t>
  </si>
  <si>
    <t>Q</t>
  </si>
  <si>
    <t>kN</t>
  </si>
  <si>
    <t>S</t>
  </si>
  <si>
    <t>m</t>
  </si>
  <si>
    <t>R</t>
  </si>
  <si>
    <t>Pmax</t>
  </si>
  <si>
    <t>Pmin</t>
  </si>
  <si>
    <t>K3</t>
  </si>
  <si>
    <t>C3</t>
  </si>
  <si>
    <t>L1</t>
  </si>
  <si>
    <t>L2</t>
  </si>
  <si>
    <t>Zmin</t>
  </si>
  <si>
    <t>Hmax</t>
  </si>
  <si>
    <t>LK</t>
  </si>
  <si>
    <r>
      <t>R</t>
    </r>
    <r>
      <rPr>
        <vertAlign val="subscript"/>
        <sz val="10"/>
        <color rgb="FF0070C0"/>
        <rFont val="Arial"/>
        <family val="2"/>
      </rPr>
      <t>sn</t>
    </r>
  </si>
  <si>
    <r>
      <t>R</t>
    </r>
    <r>
      <rPr>
        <vertAlign val="subscript"/>
        <sz val="10"/>
        <color rgb="FF0070C0"/>
        <rFont val="Arial"/>
        <family val="2"/>
      </rPr>
      <t>s</t>
    </r>
  </si>
  <si>
    <r>
      <t>R</t>
    </r>
    <r>
      <rPr>
        <vertAlign val="subscript"/>
        <sz val="10"/>
        <color rgb="FF0070C0"/>
        <rFont val="Arial"/>
        <family val="2"/>
      </rPr>
      <t>sc</t>
    </r>
  </si>
  <si>
    <r>
      <t>R</t>
    </r>
    <r>
      <rPr>
        <vertAlign val="subscript"/>
        <sz val="10"/>
        <color rgb="FF0070C0"/>
        <rFont val="Arial"/>
        <family val="2"/>
      </rPr>
      <t>sw</t>
    </r>
  </si>
  <si>
    <r>
      <t>E</t>
    </r>
    <r>
      <rPr>
        <vertAlign val="subscript"/>
        <sz val="10"/>
        <color rgb="FF0070C0"/>
        <rFont val="Arial"/>
        <family val="2"/>
      </rPr>
      <t>s</t>
    </r>
  </si>
  <si>
    <r>
      <t>G</t>
    </r>
    <r>
      <rPr>
        <b/>
        <vertAlign val="subscript"/>
        <sz val="10"/>
        <color rgb="FF0070C0"/>
        <rFont val="Arial"/>
        <family val="2"/>
      </rPr>
      <t>xe</t>
    </r>
  </si>
  <si>
    <t>Cầu trục 2 dầm kiểu ELV/ELK</t>
  </si>
  <si>
    <t>Catalogue</t>
  </si>
  <si>
    <t>User</t>
  </si>
  <si>
    <t>Chọn kiểu dữ liệu</t>
  </si>
  <si>
    <t>Q-S</t>
  </si>
  <si>
    <t>TẢI TRỌNG TIÊU CHUẨN CẦU TRỤC</t>
  </si>
  <si>
    <t>B =</t>
  </si>
  <si>
    <t>S =</t>
  </si>
  <si>
    <t>Q =</t>
  </si>
  <si>
    <t>Nhẹ và vừa</t>
  </si>
  <si>
    <t>Nặng và rất nặng</t>
  </si>
  <si>
    <t>R =</t>
  </si>
  <si>
    <t>A =</t>
  </si>
  <si>
    <r>
      <t>P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</t>
    </r>
  </si>
  <si>
    <r>
      <t>P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</t>
    </r>
  </si>
  <si>
    <r>
      <t>G</t>
    </r>
    <r>
      <rPr>
        <vertAlign val="subscript"/>
        <sz val="10"/>
        <color theme="1"/>
        <rFont val="Calibri"/>
        <family val="2"/>
        <scheme val="minor"/>
      </rPr>
      <t>xe</t>
    </r>
    <r>
      <rPr>
        <sz val="10"/>
        <color theme="1"/>
        <rFont val="Calibri"/>
        <family val="2"/>
        <scheme val="minor"/>
      </rPr>
      <t xml:space="preserve"> =</t>
    </r>
  </si>
  <si>
    <t>1 Dầm (ELV/ELK)</t>
  </si>
  <si>
    <t>2 Dầm (ZLK)</t>
  </si>
  <si>
    <r>
      <t>y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</si>
  <si>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t>y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</si>
  <si>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y</t>
    </r>
    <r>
      <rPr>
        <vertAlign val="sub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=</t>
    </r>
  </si>
  <si>
    <r>
      <t>y</t>
    </r>
    <r>
      <rPr>
        <vertAlign val="subscript"/>
        <sz val="10"/>
        <color theme="1"/>
        <rFont val="Calibri"/>
        <family val="2"/>
        <scheme val="minor"/>
      </rPr>
      <t>4</t>
    </r>
    <r>
      <rPr>
        <sz val="10"/>
        <color theme="1"/>
        <rFont val="Calibri"/>
        <family val="2"/>
        <scheme val="minor"/>
      </rPr>
      <t xml:space="preserve"> =</t>
    </r>
  </si>
  <si>
    <t>STT</t>
  </si>
  <si>
    <t xml:space="preserve">Hinh anh </t>
  </si>
  <si>
    <t>Thông số cầu trục</t>
  </si>
  <si>
    <t>kNm</t>
  </si>
  <si>
    <t>THIẾT KẾ DẦM CẦU TRỤC</t>
  </si>
  <si>
    <t>1. Kích Thước</t>
  </si>
  <si>
    <t>Chiều cao tổng tiết diện</t>
  </si>
  <si>
    <t>H =</t>
  </si>
  <si>
    <t>Chiều dày bản bụng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</si>
  <si>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</si>
  <si>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Bề rộng bản cánh trên</t>
  </si>
  <si>
    <r>
      <t>b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</si>
  <si>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t>Chiều dày bản cánh trên</t>
  </si>
  <si>
    <r>
      <t>t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</si>
  <si>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t>Bề rộng bản cánh dưới</t>
  </si>
  <si>
    <r>
      <t>b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</si>
  <si>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Chiều dày bản cánh dưới</t>
  </si>
  <si>
    <r>
      <t>t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</si>
  <si>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Chiều dài tính toán của dầm</t>
  </si>
  <si>
    <r>
      <t>L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=</t>
    </r>
  </si>
  <si>
    <t>2. Vật Liệu - Đặc Trưng Hình Học</t>
  </si>
  <si>
    <t>Mác</t>
  </si>
  <si>
    <t>Hệ số</t>
  </si>
  <si>
    <t>Đặc Trưng Hình Học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</si>
  <si>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</si>
  <si>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</si>
  <si>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</si>
  <si>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</si>
  <si>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</si>
  <si>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</si>
  <si>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t>W</t>
    </r>
    <r>
      <rPr>
        <vertAlign val="subscript"/>
        <sz val="10"/>
        <color theme="1"/>
        <rFont val="Calibri"/>
        <family val="2"/>
        <scheme val="minor"/>
      </rPr>
      <t>1x</t>
    </r>
  </si>
  <si>
    <r>
      <t>W</t>
    </r>
    <r>
      <rPr>
        <vertAlign val="subscript"/>
        <sz val="10"/>
        <color theme="1"/>
        <rFont val="Calibri"/>
        <family val="2"/>
        <scheme val="minor"/>
      </rPr>
      <t>2x</t>
    </r>
  </si>
  <si>
    <r>
      <t>I</t>
    </r>
    <r>
      <rPr>
        <vertAlign val="subscript"/>
        <sz val="10"/>
        <color theme="1"/>
        <rFont val="Calibri"/>
        <family val="2"/>
        <scheme val="minor"/>
      </rPr>
      <t>T</t>
    </r>
  </si>
  <si>
    <r>
      <t>S</t>
    </r>
    <r>
      <rPr>
        <vertAlign val="subscript"/>
        <sz val="10"/>
        <color theme="1"/>
        <rFont val="Calibri"/>
        <family val="2"/>
        <scheme val="minor"/>
      </rPr>
      <t>1x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</si>
  <si>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</si>
  <si>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</si>
  <si>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</si>
  <si>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3. Nội Lực</t>
  </si>
  <si>
    <t xml:space="preserve"> </t>
  </si>
  <si>
    <t>1. Tính toán độ bền của dầm</t>
  </si>
  <si>
    <t>a. Kiểm tra điều kiện bền chịu uốn</t>
  </si>
  <si>
    <t>Ứng suất pháp giới hạn</t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</si>
  <si>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</si>
  <si>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Tỷ số huy động ứng suất pháp của cấu kiện tại cánh trên</t>
  </si>
  <si>
    <r>
      <rPr>
        <sz val="10"/>
        <color theme="1"/>
        <rFont val="Calibri"/>
        <family val="2"/>
      </rPr>
      <t>(M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1x</t>
    </r>
    <r>
      <rPr>
        <sz val="10"/>
        <color theme="1"/>
        <rFont val="Calibri"/>
        <family val="2"/>
      </rPr>
      <t>+M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1y</t>
    </r>
    <r>
      <rPr>
        <sz val="10"/>
        <color theme="1"/>
        <rFont val="Calibri"/>
        <family val="2"/>
      </rPr>
      <t>)/(f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</si>
  <si>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®</t>
  </si>
  <si>
    <t>Tỷ số huy động ứng suất pháp của cấu kiện tại cánh dưới</t>
  </si>
  <si>
    <r>
      <rPr>
        <sz val="10"/>
        <color theme="1"/>
        <rFont val="Calibri"/>
        <family val="2"/>
      </rPr>
      <t>(M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2x</t>
    </r>
    <r>
      <rPr>
        <sz val="10"/>
        <color theme="1"/>
        <rFont val="Calibri"/>
        <family val="2"/>
      </rPr>
      <t>)/(f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</si>
  <si>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b. Kiểm tra điều kiện bền chịu cắt</t>
  </si>
  <si>
    <t>Ứng suất tiếp giới hạn</t>
  </si>
  <si>
    <r>
      <t>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=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</si>
  <si>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Tỷ số huy động ứng suất tiếp</t>
  </si>
  <si>
    <t>c. Kiểm tra điều kiện khi có tác dụng đồng thời của moment và lực cắt</t>
  </si>
  <si>
    <t>Ứng suất pháp</t>
  </si>
  <si>
    <r>
      <rPr>
        <sz val="10"/>
        <color theme="1"/>
        <rFont val="Symbol"/>
        <family val="1"/>
        <charset val="2"/>
      </rPr>
      <t>s</t>
    </r>
    <r>
      <rPr>
        <sz val="14.5"/>
        <color theme="1"/>
        <rFont val="Calibri"/>
        <family val="2"/>
        <charset val="2"/>
      </rPr>
      <t xml:space="preserve"> </t>
    </r>
    <r>
      <rPr>
        <sz val="10"/>
        <color theme="1"/>
        <rFont val="Calibri"/>
        <family val="2"/>
      </rPr>
      <t>=</t>
    </r>
  </si>
  <si>
    <t>Ứng suất tiếp</t>
  </si>
  <si>
    <r>
      <rPr>
        <sz val="10"/>
        <color theme="1"/>
        <rFont val="Symbol"/>
        <family val="1"/>
        <charset val="2"/>
      </rPr>
      <t>t</t>
    </r>
    <r>
      <rPr>
        <sz val="14.5"/>
        <color theme="1"/>
        <rFont val="Calibri"/>
        <family val="2"/>
        <charset val="2"/>
      </rPr>
      <t xml:space="preserve"> </t>
    </r>
    <r>
      <rPr>
        <sz val="10"/>
        <color theme="1"/>
        <rFont val="Calibri"/>
        <family val="2"/>
      </rPr>
      <t>=</t>
    </r>
  </si>
  <si>
    <t>Tỷ số huy động của cấu kiện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</si>
  <si>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charset val="2"/>
      </rPr>
      <t xml:space="preserve"> / [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charset val="2"/>
      </rPr>
      <t>]</t>
    </r>
    <r>
      <rPr>
        <sz val="10"/>
        <color theme="1"/>
        <rFont val="Calibri"/>
        <family val="2"/>
      </rPr>
      <t>=</t>
    </r>
  </si>
  <si>
    <t>d. Kiểm tra bụng dầm chịu ứng suất cục bộ</t>
  </si>
  <si>
    <t>Lực tập trung truyền vào dầm chính</t>
  </si>
  <si>
    <t>F =</t>
  </si>
  <si>
    <t>Chiều dài phân bố quy ước tải trọng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</si>
  <si>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</si>
  <si>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</rPr>
      <t>ef</t>
    </r>
    <r>
      <rPr>
        <sz val="10"/>
        <color theme="1"/>
        <rFont val="Calibri"/>
        <family val="1"/>
        <charset val="2"/>
      </rPr>
      <t xml:space="preserve"> = 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1"/>
        <charset val="2"/>
      </rPr>
      <t>.(I</t>
    </r>
    <r>
      <rPr>
        <vertAlign val="subscript"/>
        <sz val="10"/>
        <color theme="1"/>
        <rFont val="Calibri"/>
        <family val="2"/>
      </rPr>
      <t>1f</t>
    </r>
    <r>
      <rPr>
        <sz val="10"/>
        <color theme="1"/>
        <rFont val="Calibri"/>
        <family val="1"/>
        <charset val="2"/>
      </rPr>
      <t>/t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1"/>
        <charset val="2"/>
      </rPr>
      <t>)</t>
    </r>
    <r>
      <rPr>
        <vertAlign val="superscript"/>
        <sz val="10"/>
        <color theme="1"/>
        <rFont val="Calibri"/>
        <family val="2"/>
      </rPr>
      <t>1/3</t>
    </r>
    <r>
      <rPr>
        <sz val="10"/>
        <color theme="1"/>
        <rFont val="Calibri"/>
        <family val="1"/>
        <charset val="2"/>
      </rPr>
      <t xml:space="preserve"> =</t>
    </r>
  </si>
  <si>
    <t>Ứng suất cục bộ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</si>
  <si>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loc</t>
    </r>
    <r>
      <rPr>
        <sz val="10"/>
        <color theme="1"/>
        <rFont val="Calibri"/>
        <family val="1"/>
        <charset val="2"/>
      </rPr>
      <t xml:space="preserve"> = F/(L</t>
    </r>
    <r>
      <rPr>
        <vertAlign val="subscript"/>
        <sz val="10"/>
        <color theme="1"/>
        <rFont val="Calibri"/>
        <family val="2"/>
      </rPr>
      <t>ef</t>
    </r>
    <r>
      <rPr>
        <sz val="10"/>
        <color theme="1"/>
        <rFont val="Calibri"/>
        <family val="1"/>
        <charset val="2"/>
      </rPr>
      <t>.t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1"/>
        <charset val="2"/>
      </rPr>
      <t>)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</si>
  <si>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loc</t>
    </r>
    <r>
      <rPr>
        <sz val="10"/>
        <color theme="1"/>
        <rFont val="Calibri"/>
        <family val="1"/>
        <charset val="2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.f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Calibri"/>
        <family val="1"/>
        <charset val="2"/>
      </rPr>
      <t>) =</t>
    </r>
  </si>
  <si>
    <t>2. Tính toán về ổn định</t>
  </si>
  <si>
    <t>a. Kiểm tra điều kiện ổn định tổng thể</t>
  </si>
  <si>
    <t>Đặc trưng tiết diện hình học tiết diện</t>
  </si>
  <si>
    <r>
      <t xml:space="preserve">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Symbol"/>
        <family val="1"/>
        <charset val="2"/>
      </rPr>
      <t>b</t>
    </r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</si>
  <si>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</si>
  <si>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t>Tỷ số huy động cấu kiện</t>
  </si>
  <si>
    <r>
      <rPr>
        <sz val="10"/>
        <color theme="1"/>
        <rFont val="Calibri"/>
        <family val="2"/>
      </rPr>
      <t>(M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</rPr>
      <t>W</t>
    </r>
    <r>
      <rPr>
        <vertAlign val="subscript"/>
        <sz val="10"/>
        <color theme="1"/>
        <rFont val="Calibri"/>
        <family val="2"/>
      </rPr>
      <t>1x</t>
    </r>
    <r>
      <rPr>
        <sz val="10"/>
        <color theme="1"/>
        <rFont val="Calibri"/>
        <family val="2"/>
      </rPr>
      <t>)+My/W</t>
    </r>
    <r>
      <rPr>
        <vertAlign val="subscript"/>
        <sz val="10"/>
        <color theme="1"/>
        <rFont val="Calibri"/>
        <family val="2"/>
      </rPr>
      <t>1fy</t>
    </r>
    <r>
      <rPr>
        <sz val="10"/>
        <color theme="1"/>
        <rFont val="Calibri"/>
        <family val="2"/>
      </rPr>
      <t>)/(f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</si>
  <si>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 xml:space="preserve">                                                                                                                                   </t>
  </si>
  <si>
    <t>Trường hợp tiết diện có 1 trục đối xứng</t>
  </si>
  <si>
    <t>n =</t>
  </si>
  <si>
    <r>
      <t>I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=I</t>
    </r>
    <r>
      <rPr>
        <vertAlign val="subscript"/>
        <sz val="10"/>
        <color theme="1"/>
        <rFont val="Calibri"/>
        <family val="2"/>
        <scheme val="minor"/>
      </rPr>
      <t>1f</t>
    </r>
    <r>
      <rPr>
        <sz val="10"/>
        <color theme="1"/>
        <rFont val="Calibri"/>
        <family val="2"/>
        <scheme val="minor"/>
      </rPr>
      <t xml:space="preserve"> =</t>
    </r>
  </si>
  <si>
    <r>
      <t>I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=I</t>
    </r>
    <r>
      <rPr>
        <vertAlign val="subscript"/>
        <sz val="10"/>
        <color theme="1"/>
        <rFont val="Calibri"/>
        <family val="2"/>
        <scheme val="minor"/>
      </rPr>
      <t>2f</t>
    </r>
    <r>
      <rPr>
        <sz val="10"/>
        <color theme="1"/>
        <rFont val="Calibri"/>
        <family val="2"/>
        <scheme val="minor"/>
      </rPr>
      <t xml:space="preserve"> =</t>
    </r>
  </si>
  <si>
    <t>h =</t>
  </si>
  <si>
    <r>
      <t xml:space="preserve">Hệ số </t>
    </r>
    <r>
      <rPr>
        <sz val="10"/>
        <color theme="1"/>
        <rFont val="Symbol"/>
        <family val="1"/>
        <charset val="2"/>
      </rPr>
      <t xml:space="preserve"> b </t>
    </r>
    <r>
      <rPr>
        <sz val="10"/>
        <color theme="1"/>
        <rFont val="Calibri"/>
        <family val="2"/>
        <scheme val="minor"/>
      </rPr>
      <t>(TCVN 5574:2024 - F.12)</t>
    </r>
  </si>
  <si>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</si>
  <si>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Hệ số </t>
    </r>
    <r>
      <rPr>
        <sz val="10"/>
        <color theme="1"/>
        <rFont val="Symbol"/>
        <family val="1"/>
        <charset val="2"/>
      </rPr>
      <t xml:space="preserve"> d </t>
    </r>
    <r>
      <rPr>
        <sz val="10"/>
        <color theme="1"/>
        <rFont val="Calibri"/>
        <family val="2"/>
        <scheme val="minor"/>
      </rPr>
      <t>(TCVN 5574:2024 - F.10)</t>
    </r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</si>
  <si>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 xml:space="preserve"> =</t>
    </r>
  </si>
  <si>
    <r>
      <t>Hệ số B</t>
    </r>
    <r>
      <rPr>
        <sz val="10"/>
        <color theme="1"/>
        <rFont val="Symbol"/>
        <family val="1"/>
        <charset val="2"/>
      </rPr>
      <t xml:space="preserve"> </t>
    </r>
    <r>
      <rPr>
        <sz val="10"/>
        <color theme="1"/>
        <rFont val="Calibri"/>
        <family val="2"/>
        <scheme val="minor"/>
      </rPr>
      <t>(TCVN 5574:2024 - Bảng F.4)</t>
    </r>
  </si>
  <si>
    <t>Tải trọng tập trung ở giữa nhịp</t>
  </si>
  <si>
    <r>
      <t>B =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-1=</t>
    </r>
  </si>
  <si>
    <r>
      <t xml:space="preserve">Hệ số </t>
    </r>
    <r>
      <rPr>
        <sz val="10"/>
        <color theme="1"/>
        <rFont val="Symbol"/>
        <family val="1"/>
        <charset val="2"/>
      </rPr>
      <t xml:space="preserve"> h </t>
    </r>
    <r>
      <rPr>
        <sz val="10"/>
        <color theme="1"/>
        <rFont val="Calibri"/>
        <family val="2"/>
        <scheme val="minor"/>
      </rPr>
      <t>(TCVN 5574:2024 - F.13)</t>
    </r>
  </si>
  <si>
    <r>
      <rPr>
        <sz val="10"/>
        <color theme="1"/>
        <rFont val="Symbol"/>
        <family val="1"/>
        <charset val="2"/>
      </rPr>
      <t>h</t>
    </r>
    <r>
      <rPr>
        <sz val="10"/>
        <color theme="1"/>
        <rFont val="Calibri"/>
        <family val="2"/>
        <scheme val="minor"/>
      </rPr>
      <t xml:space="preserve"> =</t>
    </r>
  </si>
  <si>
    <t xml:space="preserve">                                               </t>
  </si>
  <si>
    <t>Hệ số C (TCVN 5574:2024 - Bảng F.5)</t>
  </si>
  <si>
    <t>C =</t>
  </si>
  <si>
    <t>D =</t>
  </si>
  <si>
    <r>
      <t xml:space="preserve">Hệ số </t>
    </r>
    <r>
      <rPr>
        <sz val="10"/>
        <color theme="1"/>
        <rFont val="Symbol"/>
        <family val="1"/>
        <charset val="2"/>
      </rPr>
      <t>y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 xml:space="preserve"> (TCVN 5574:2024 - F.9)</t>
    </r>
  </si>
  <si>
    <r>
      <rPr>
        <sz val="10"/>
        <color theme="1"/>
        <rFont val="Symbol"/>
        <family val="1"/>
        <charset val="2"/>
      </rPr>
      <t>y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 xml:space="preserve"> = [B+(B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+C)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]D =</t>
    </r>
  </si>
  <si>
    <t>Khoảng cách từ trọng tâm tiết diện đến mép cánh dưới dầm</t>
  </si>
  <si>
    <t>y =</t>
  </si>
  <si>
    <t>Khoảng cách từ trọng tâm tiết diện đến trục của cánh lớn</t>
  </si>
  <si>
    <r>
      <t>h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</si>
  <si>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t>Khoảng cách từ trọng tâm tiết diện đến trục của cánh nhỏ</t>
  </si>
  <si>
    <r>
      <t>h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</si>
  <si>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Symbol"/>
        <family val="1"/>
        <charset val="2"/>
      </rPr>
      <t>1</t>
    </r>
    <r>
      <rPr>
        <sz val="10"/>
        <color theme="1"/>
        <rFont val="Calibri"/>
        <family val="2"/>
        <scheme val="minor"/>
      </rPr>
      <t xml:space="preserve"> (TCVN 5574:2024 - F.6)</t>
    </r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</si>
  <si>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</si>
  <si>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Symbol"/>
        <family val="1"/>
        <charset val="2"/>
      </rPr>
      <t>2</t>
    </r>
    <r>
      <rPr>
        <sz val="10"/>
        <color theme="1"/>
        <rFont val="Calibri"/>
        <family val="2"/>
        <scheme val="minor"/>
      </rPr>
      <t xml:space="preserve"> (TCVN 5574:2024 - F.7)</t>
    </r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</si>
  <si>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</si>
  <si>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Hệ số </t>
    </r>
    <r>
      <rPr>
        <sz val="10"/>
        <color theme="1"/>
        <rFont val="Symbol"/>
        <family val="1"/>
        <charset val="2"/>
      </rPr>
      <t>j</t>
    </r>
    <r>
      <rPr>
        <sz val="10"/>
        <color theme="1"/>
        <rFont val="Calibri"/>
        <family val="2"/>
        <scheme val="minor"/>
      </rPr>
      <t xml:space="preserve"> (TCVN 5574:2024 - Bảng F.3)</t>
    </r>
  </si>
  <si>
    <r>
      <rPr>
        <sz val="10"/>
        <color theme="1"/>
        <rFont val="Symbol"/>
        <family val="1"/>
        <charset val="2"/>
      </rPr>
      <t>j</t>
    </r>
    <r>
      <rPr>
        <sz val="10"/>
        <color theme="1"/>
        <rFont val="Calibri"/>
        <family val="2"/>
        <scheme val="minor"/>
      </rPr>
      <t xml:space="preserve"> =</t>
    </r>
  </si>
  <si>
    <t>Trường hợp tiết diện có 2 trục đối xứng</t>
  </si>
  <si>
    <t>k =</t>
  </si>
  <si>
    <r>
      <t>h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</si>
  <si>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</si>
  <si>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t>C1 =</t>
  </si>
  <si>
    <t>C2 =</t>
  </si>
  <si>
    <r>
      <t xml:space="preserve">Hệ số 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(TCVN 5574:2024 - Bảng F.1)</t>
    </r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</si>
  <si>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</si>
  <si>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Symbol"/>
        <family val="1"/>
        <charset val="2"/>
      </rPr>
      <t>1</t>
    </r>
    <r>
      <rPr>
        <sz val="10"/>
        <color theme="1"/>
        <rFont val="Calibri"/>
        <family val="2"/>
        <scheme val="minor"/>
      </rPr>
      <t xml:space="preserve"> (TCVN 5574:2024 - F.2)</t>
    </r>
  </si>
  <si>
    <r>
      <t xml:space="preserve">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(TCVN 5574:2024 - F.2)</t>
    </r>
  </si>
  <si>
    <t>b. Kiểm tra điều kiện ổn định cục bộ</t>
  </si>
  <si>
    <t>b.1 Kiểm tra điều kiện ổn định cục bộ bản cánh</t>
  </si>
  <si>
    <t>Độ mảnh quy ước của phần vươn cánh</t>
  </si>
  <si>
    <r>
      <t>b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1f</t>
    </r>
    <r>
      <rPr>
        <sz val="10"/>
        <color theme="1"/>
        <rFont val="Calibri"/>
        <family val="1"/>
        <charset val="2"/>
        <scheme val="minor"/>
      </rPr>
      <t xml:space="preserve"> = (b</t>
    </r>
    <r>
      <rPr>
        <vertAlign val="subscript"/>
        <sz val="10"/>
        <color theme="1"/>
        <rFont val="Calibri"/>
        <family val="2"/>
        <scheme val="minor"/>
      </rPr>
      <t>1f</t>
    </r>
    <r>
      <rPr>
        <sz val="10"/>
        <color theme="1"/>
        <rFont val="Calibri"/>
        <family val="1"/>
        <charset val="2"/>
        <scheme val="minor"/>
      </rPr>
      <t>-t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)/(2t</t>
    </r>
    <r>
      <rPr>
        <vertAlign val="subscript"/>
        <sz val="10"/>
        <color theme="1"/>
        <rFont val="Calibri"/>
        <family val="2"/>
        <scheme val="minor"/>
      </rPr>
      <t>1f</t>
    </r>
    <r>
      <rPr>
        <sz val="10"/>
        <color theme="1"/>
        <rFont val="Calibri"/>
        <family val="1"/>
        <charset val="2"/>
        <scheme val="minor"/>
      </rPr>
      <t>)=</t>
    </r>
  </si>
  <si>
    <t>Độ mảnh giới hạn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</si>
  <si>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qu,uf</t>
    </r>
    <r>
      <rPr>
        <sz val="10"/>
        <color theme="1"/>
        <rFont val="Calibri"/>
        <family val="2"/>
        <scheme val="minor"/>
      </rPr>
      <t xml:space="preserve"> =0.5(E/f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</si>
  <si>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/ </t>
    </r>
    <r>
      <rPr>
        <sz val="10"/>
        <color theme="1"/>
        <rFont val="Calibri"/>
        <family val="1"/>
        <charset val="2"/>
        <scheme val="minor"/>
      </rPr>
      <t xml:space="preserve"> </t>
    </r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 xml:space="preserve">qu,uf </t>
    </r>
    <r>
      <rPr>
        <sz val="10"/>
        <color theme="1"/>
        <rFont val="Calibri"/>
        <family val="1"/>
        <charset val="2"/>
        <scheme val="minor"/>
      </rPr>
      <t>=</t>
    </r>
  </si>
  <si>
    <t>b.2 Kiểm tra điều kiện ổn định cục bộ bản bụng</t>
  </si>
  <si>
    <t>Độ mảnh quy ước của bản bụng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</si>
  <si>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qu,w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Calibri"/>
        <family val="1"/>
        <charset val="2"/>
        <scheme val="minor"/>
      </rPr>
      <t>(h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</si>
  <si>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t>Tải trọng di dộng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</si>
  <si>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qu,uw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 xml:space="preserve"> =</t>
    </r>
  </si>
  <si>
    <t>Kết luận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</si>
  <si>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qu,w</t>
    </r>
    <r>
      <rPr>
        <sz val="10"/>
        <color theme="1"/>
        <rFont val="Calibri"/>
        <family val="2"/>
        <scheme val="minor"/>
      </rPr>
      <t xml:space="preserve"> </t>
    </r>
  </si>
  <si>
    <r>
      <rPr>
        <sz val="10"/>
        <color theme="1"/>
        <rFont val="Symbol"/>
        <family val="1"/>
        <charset val="2"/>
      </rPr>
      <t>[ 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]</t>
    </r>
    <r>
      <rPr>
        <sz val="10"/>
        <color theme="1"/>
        <rFont val="Calibri"/>
        <family val="1"/>
        <charset val="2"/>
        <scheme val="minor"/>
      </rPr>
      <t xml:space="preserve"> </t>
    </r>
    <r>
      <rPr>
        <sz val="10"/>
        <color theme="1"/>
        <rFont val="Symbol"/>
        <family val="1"/>
        <charset val="2"/>
      </rPr>
      <t>®</t>
    </r>
  </si>
  <si>
    <t>Trong trường hợp cần bố trí sườn cứng ngang</t>
  </si>
  <si>
    <r>
      <t>b</t>
    </r>
    <r>
      <rPr>
        <vertAlign val="subscript"/>
        <sz val="10"/>
        <color theme="1"/>
        <rFont val="Calibri"/>
        <family val="2"/>
        <scheme val="minor"/>
      </rPr>
      <t>r,min</t>
    </r>
    <r>
      <rPr>
        <sz val="10"/>
        <color theme="1"/>
        <rFont val="Calibri"/>
        <family val="1"/>
        <charset val="2"/>
        <scheme val="minor"/>
      </rPr>
      <t xml:space="preserve"> =h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/30+25=</t>
    </r>
  </si>
  <si>
    <r>
      <t>t</t>
    </r>
    <r>
      <rPr>
        <vertAlign val="subscript"/>
        <sz val="10"/>
        <color theme="1"/>
        <rFont val="Calibri"/>
        <family val="2"/>
        <scheme val="minor"/>
      </rPr>
      <t>r,min</t>
    </r>
    <r>
      <rPr>
        <sz val="10"/>
        <color theme="1"/>
        <rFont val="Calibri"/>
        <family val="1"/>
        <charset val="2"/>
        <scheme val="minor"/>
      </rPr>
      <t xml:space="preserve"> =2b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1"/>
        <charset val="2"/>
        <scheme val="minor"/>
      </rPr>
      <t>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</si>
  <si>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r>
      <t>a</t>
    </r>
    <r>
      <rPr>
        <vertAlign val="subscript"/>
        <sz val="10"/>
        <color theme="1"/>
        <rFont val="Calibri"/>
        <family val="2"/>
        <scheme val="minor"/>
      </rPr>
      <t>r,max</t>
    </r>
    <r>
      <rPr>
        <sz val="10"/>
        <color theme="1"/>
        <rFont val="Calibri"/>
        <family val="1"/>
        <charset val="2"/>
        <scheme val="minor"/>
      </rPr>
      <t xml:space="preserve"> =2.5h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</si>
  <si>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Calibri"/>
        <family val="2"/>
        <scheme val="minor"/>
      </rPr>
      <t>Độ mảnh giới hạn</t>
    </r>
    <r>
      <rPr>
        <sz val="10"/>
        <color theme="1"/>
        <rFont val="Symbol"/>
        <family val="1"/>
        <charset val="2"/>
      </rPr>
      <t xml:space="preserve"> [ 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] =5.5(f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</si>
  <si>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t>3. Kiểm tra độ võng</t>
  </si>
  <si>
    <t>Độ võng tính toán</t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</si>
  <si>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1"/>
        <charset val="2"/>
        <scheme val="minor"/>
      </rPr>
      <t>=</t>
    </r>
  </si>
  <si>
    <t>Độ võng cho phép</t>
  </si>
  <si>
    <r>
      <rPr>
        <sz val="10"/>
        <color theme="1"/>
        <rFont val="Symbol"/>
        <family val="1"/>
        <charset val="2"/>
      </rPr>
      <t>[D]</t>
    </r>
    <r>
      <rPr>
        <sz val="10"/>
        <color theme="1"/>
        <rFont val="Calibri"/>
        <family val="1"/>
        <charset val="2"/>
        <scheme val="minor"/>
      </rPr>
      <t>= L/400 =</t>
    </r>
  </si>
  <si>
    <r>
      <rPr>
        <sz val="10"/>
        <color theme="1"/>
        <rFont val="Symbol"/>
        <family val="1"/>
        <charset val="2"/>
      </rPr>
      <t>D/[D]</t>
    </r>
    <r>
      <rPr>
        <sz val="10"/>
        <color theme="1"/>
        <rFont val="Calibri"/>
        <family val="1"/>
        <charset val="2"/>
        <scheme val="minor"/>
      </rPr>
      <t>=</t>
    </r>
  </si>
  <si>
    <r>
      <rPr>
        <b/>
        <u/>
        <sz val="10"/>
        <color theme="1"/>
        <rFont val="Calibri"/>
        <family val="2"/>
        <scheme val="minor"/>
      </rP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</si>
  <si>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Moment trong mặt phẳng</t>
  </si>
  <si>
    <t>Moment ngoài mặt phẳng</t>
  </si>
  <si>
    <t>Lực cắt</t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</si>
  <si>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</si>
  <si>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</si>
  <si>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P =</t>
  </si>
  <si>
    <t>V =</t>
  </si>
  <si>
    <r>
      <t>[(VS</t>
    </r>
    <r>
      <rPr>
        <vertAlign val="subscript"/>
        <sz val="10"/>
        <color theme="1"/>
        <rFont val="Calibri"/>
        <family val="2"/>
      </rPr>
      <t>1x</t>
    </r>
    <r>
      <rPr>
        <sz val="10"/>
        <color theme="1"/>
        <rFont val="Calibri"/>
        <family val="2"/>
        <charset val="2"/>
      </rPr>
      <t>)/(I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  <charset val="2"/>
      </rPr>
      <t>t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2"/>
        <charset val="2"/>
      </rPr>
      <t>)]/[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  <charset val="2"/>
      </rPr>
      <t>]=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</si>
  <si>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</si>
  <si>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n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y</t>
    </r>
    <r>
      <rPr>
        <vertAlign val="subscript"/>
        <sz val="10"/>
        <color theme="1"/>
        <rFont val="Calibri"/>
        <family val="2"/>
        <scheme val="minor"/>
      </rPr>
      <t>1~3</t>
    </r>
    <r>
      <rPr>
        <sz val="10"/>
        <color theme="1"/>
        <rFont val="Calibri"/>
        <family val="2"/>
        <scheme val="minor"/>
      </rPr>
      <t xml:space="preserve">  =</t>
    </r>
  </si>
  <si>
    <t>Chiều dài nhịp dầm</t>
  </si>
  <si>
    <r>
      <t>L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</si>
  <si>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SW</t>
    </r>
    <r>
      <rPr>
        <sz val="10"/>
        <color theme="1"/>
        <rFont val="Calibri"/>
        <family val="2"/>
        <scheme val="minor"/>
      </rPr>
      <t xml:space="preserve"> =</t>
    </r>
  </si>
  <si>
    <t>Nội lực do trọng lượng bản thân</t>
  </si>
  <si>
    <r>
      <t>V</t>
    </r>
    <r>
      <rPr>
        <vertAlign val="subscript"/>
        <sz val="10"/>
        <color theme="1"/>
        <rFont val="Calibri"/>
        <family val="2"/>
        <scheme val="minor"/>
      </rPr>
      <t>SW</t>
    </r>
    <r>
      <rPr>
        <sz val="10"/>
        <color theme="1"/>
        <rFont val="Calibri"/>
        <family val="2"/>
        <scheme val="minor"/>
      </rPr>
      <t xml:space="preserve"> =</t>
    </r>
  </si>
  <si>
    <t>Loại 1 dầm</t>
  </si>
  <si>
    <t>Loại 2 dầm</t>
  </si>
  <si>
    <t>THIẾT KẾ VAI CỘT</t>
  </si>
  <si>
    <r>
      <t>D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</t>
    </r>
  </si>
  <si>
    <r>
      <t>G</t>
    </r>
    <r>
      <rPr>
        <vertAlign val="subscript"/>
        <sz val="10"/>
        <color theme="1"/>
        <rFont val="Calibri"/>
        <family val="2"/>
        <scheme val="minor"/>
      </rPr>
      <t>dct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</si>
  <si>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bscript"/>
        <sz val="10"/>
        <color theme="1"/>
        <rFont val="Calibri"/>
        <family val="2"/>
        <scheme val="minor"/>
      </rPr>
      <t>SW</t>
    </r>
    <r>
      <rPr>
        <sz val="10"/>
        <color theme="1"/>
        <rFont val="Calibri"/>
        <family val="2"/>
        <scheme val="minor"/>
      </rPr>
      <t xml:space="preserve"> =</t>
    </r>
  </si>
  <si>
    <t>kN/m</t>
  </si>
  <si>
    <r>
      <t>D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+ G</t>
    </r>
    <r>
      <rPr>
        <vertAlign val="subscript"/>
        <sz val="10"/>
        <color theme="1"/>
        <rFont val="Calibri"/>
        <family val="2"/>
        <scheme val="minor"/>
      </rPr>
      <t>dct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</si>
  <si>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  <scheme val="minor"/>
      </rPr>
      <t xml:space="preserve">f </t>
    </r>
    <r>
      <rPr>
        <sz val="10"/>
        <color theme="1"/>
        <rFont val="Calibri"/>
        <family val="2"/>
        <scheme val="minor"/>
      </rPr>
      <t>=</t>
    </r>
  </si>
  <si>
    <t>Móc treo cứng</t>
  </si>
  <si>
    <r>
      <t>ψ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 xml:space="preserve"> =</t>
    </r>
  </si>
  <si>
    <t>ξ =</t>
  </si>
  <si>
    <r>
      <t>G</t>
    </r>
    <r>
      <rPr>
        <vertAlign val="subscript"/>
        <sz val="10"/>
        <color theme="1"/>
        <rFont val="Times New Roman"/>
        <family val="1"/>
      </rPr>
      <t>ct</t>
    </r>
    <r>
      <rPr>
        <sz val="10"/>
        <color theme="1"/>
        <rFont val="Times New Roman"/>
        <family val="1"/>
      </rPr>
      <t xml:space="preserve"> =</t>
    </r>
  </si>
  <si>
    <r>
      <t>G</t>
    </r>
    <r>
      <rPr>
        <b/>
        <vertAlign val="subscript"/>
        <sz val="10"/>
        <color rgb="FF0070C0"/>
        <rFont val="Arial"/>
        <family val="2"/>
      </rPr>
      <t>ct</t>
    </r>
  </si>
  <si>
    <t>1. Biểu đồ tương tác</t>
  </si>
  <si>
    <t>2. Tải trọng cầu trục tác dụng lên vai cột</t>
  </si>
  <si>
    <t>2.1 Giá trị tiêu chuẩn của tải trọng thẳng đứng (mục 9.2 TCVN 2737-2023)</t>
  </si>
  <si>
    <r>
      <t>D</t>
    </r>
    <r>
      <rPr>
        <vertAlign val="subscript"/>
        <sz val="10"/>
        <color theme="1"/>
        <rFont val="Times New Roman"/>
        <family val="1"/>
      </rPr>
      <t>max0</t>
    </r>
    <r>
      <rPr>
        <sz val="10"/>
        <color theme="1"/>
        <rFont val="Times New Roman"/>
        <family val="1"/>
      </rPr>
      <t xml:space="preserve"> = ψ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>P</t>
    </r>
    <r>
      <rPr>
        <vertAlign val="subscript"/>
        <sz val="10"/>
        <color theme="1"/>
        <rFont val="Times New Roman"/>
        <family val="1"/>
      </rPr>
      <t>max</t>
    </r>
    <r>
      <rPr>
        <sz val="10"/>
        <color theme="1"/>
        <rFont val="Times New Roman"/>
        <family val="1"/>
      </rPr>
      <t>Σy</t>
    </r>
    <r>
      <rPr>
        <vertAlign val="subscript"/>
        <sz val="10"/>
        <color theme="1"/>
        <rFont val="Times New Roman"/>
        <family val="1"/>
      </rPr>
      <t>i</t>
    </r>
    <r>
      <rPr>
        <sz val="10"/>
        <color theme="1"/>
        <rFont val="Times New Roman"/>
        <family val="1"/>
      </rPr>
      <t xml:space="preserve"> =</t>
    </r>
  </si>
  <si>
    <r>
      <t>D</t>
    </r>
    <r>
      <rPr>
        <vertAlign val="subscript"/>
        <sz val="10"/>
        <color theme="1"/>
        <rFont val="Times New Roman"/>
        <family val="1"/>
      </rPr>
      <t>min0</t>
    </r>
    <r>
      <rPr>
        <sz val="10"/>
        <color theme="1"/>
        <rFont val="Times New Roman"/>
        <family val="1"/>
      </rPr>
      <t xml:space="preserve"> = ψ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>P</t>
    </r>
    <r>
      <rPr>
        <vertAlign val="subscript"/>
        <sz val="10"/>
        <color theme="1"/>
        <rFont val="Times New Roman"/>
        <family val="1"/>
      </rPr>
      <t>min</t>
    </r>
    <r>
      <rPr>
        <sz val="10"/>
        <color theme="1"/>
        <rFont val="Times New Roman"/>
        <family val="1"/>
      </rPr>
      <t>Σy</t>
    </r>
    <r>
      <rPr>
        <vertAlign val="subscript"/>
        <sz val="10"/>
        <color theme="1"/>
        <rFont val="Times New Roman"/>
        <family val="1"/>
      </rPr>
      <t>i</t>
    </r>
    <r>
      <rPr>
        <sz val="10"/>
        <color theme="1"/>
        <rFont val="Times New Roman"/>
        <family val="1"/>
      </rPr>
      <t xml:space="preserve"> =</t>
    </r>
  </si>
  <si>
    <t xml:space="preserve">        a) Khi tính toán kết cấu chịu mỏi và kiểm tra biến dạng</t>
  </si>
  <si>
    <r>
      <t>D</t>
    </r>
    <r>
      <rPr>
        <vertAlign val="subscript"/>
        <sz val="10"/>
        <color theme="1"/>
        <rFont val="Times New Roman"/>
        <family val="1"/>
      </rPr>
      <t>max</t>
    </r>
    <r>
      <rPr>
        <sz val="10"/>
        <color theme="1"/>
        <rFont val="Times New Roman"/>
        <family val="1"/>
      </rPr>
      <t xml:space="preserve"> = ξD</t>
    </r>
    <r>
      <rPr>
        <vertAlign val="subscript"/>
        <sz val="10"/>
        <color theme="1"/>
        <rFont val="Times New Roman"/>
        <family val="1"/>
      </rPr>
      <t>max0</t>
    </r>
    <r>
      <rPr>
        <sz val="10"/>
        <color theme="1"/>
        <rFont val="Times New Roman"/>
        <family val="1"/>
      </rPr>
      <t xml:space="preserve"> =</t>
    </r>
  </si>
  <si>
    <r>
      <t>D</t>
    </r>
    <r>
      <rPr>
        <vertAlign val="subscript"/>
        <sz val="10"/>
        <color theme="1"/>
        <rFont val="Times New Roman"/>
        <family val="1"/>
      </rPr>
      <t>min</t>
    </r>
    <r>
      <rPr>
        <sz val="10"/>
        <color theme="1"/>
        <rFont val="Times New Roman"/>
        <family val="1"/>
      </rPr>
      <t xml:space="preserve"> = ξD</t>
    </r>
    <r>
      <rPr>
        <vertAlign val="subscript"/>
        <sz val="10"/>
        <color theme="1"/>
        <rFont val="Times New Roman"/>
        <family val="1"/>
      </rPr>
      <t>min0</t>
    </r>
    <r>
      <rPr>
        <sz val="10"/>
        <color theme="1"/>
        <rFont val="Times New Roman"/>
        <family val="1"/>
      </rPr>
      <t xml:space="preserve"> =</t>
    </r>
  </si>
  <si>
    <t xml:space="preserve">        b) Khi tính toán độ bền và ổn định</t>
  </si>
  <si>
    <t>2.2 Giá trị tiêu chuẩn của tải trọng ngang, hướng vuông góc đường cẩu do lực hãm (mục 9.4 TCVN 2737:2023)</t>
  </si>
  <si>
    <r>
      <t>n</t>
    </r>
    <r>
      <rPr>
        <vertAlign val="subscript"/>
        <sz val="10"/>
        <color theme="1"/>
        <rFont val="Times New Roman"/>
        <family val="1"/>
      </rPr>
      <t>mt</t>
    </r>
    <r>
      <rPr>
        <sz val="10"/>
        <color theme="1"/>
        <rFont val="Times New Roman"/>
        <family val="1"/>
      </rPr>
      <t xml:space="preserve"> =</t>
    </r>
  </si>
  <si>
    <r>
      <t>T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 n</t>
    </r>
    <r>
      <rPr>
        <vertAlign val="subscript"/>
        <sz val="10"/>
        <color theme="1"/>
        <rFont val="Times New Roman"/>
        <family val="1"/>
      </rPr>
      <t>mt</t>
    </r>
    <r>
      <rPr>
        <sz val="10"/>
        <color theme="1"/>
        <rFont val="Times New Roman"/>
        <family val="1"/>
      </rPr>
      <t>(Q+G</t>
    </r>
    <r>
      <rPr>
        <vertAlign val="subscript"/>
        <sz val="10"/>
        <color theme="1"/>
        <rFont val="Times New Roman"/>
        <family val="1"/>
      </rPr>
      <t>xe</t>
    </r>
    <r>
      <rPr>
        <sz val="10"/>
        <color theme="1"/>
        <rFont val="Times New Roman"/>
        <family val="1"/>
      </rPr>
      <t>)/n</t>
    </r>
    <r>
      <rPr>
        <vertAlign val="sub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 xml:space="preserve"> =</t>
    </r>
  </si>
  <si>
    <r>
      <t>T</t>
    </r>
    <r>
      <rPr>
        <vertAlign val="sub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 xml:space="preserve"> = ψ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>T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>Σy</t>
    </r>
    <r>
      <rPr>
        <vertAlign val="subscript"/>
        <sz val="10"/>
        <color theme="1"/>
        <rFont val="Times New Roman"/>
        <family val="1"/>
      </rPr>
      <t>i</t>
    </r>
    <r>
      <rPr>
        <sz val="10"/>
        <color theme="1"/>
        <rFont val="Times New Roman"/>
        <family val="1"/>
      </rPr>
      <t xml:space="preserve"> =</t>
    </r>
  </si>
  <si>
    <t xml:space="preserve">       b) Khi tính toán độ bền và ổn định</t>
  </si>
  <si>
    <r>
      <t>T=ξT</t>
    </r>
    <r>
      <rPr>
        <vertAlign val="sub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 xml:space="preserve"> =</t>
    </r>
  </si>
  <si>
    <t>2.3 Giá trị tiêu chuẩn của tải trọng ngang, hướng dọc theo đường cẩu do lực hãm (mục 9.3 TCVN 2737:2023)</t>
  </si>
  <si>
    <r>
      <t>H</t>
    </r>
    <r>
      <rPr>
        <vertAlign val="subscript"/>
        <sz val="10"/>
        <color theme="1"/>
        <rFont val="Times New Roman"/>
        <family val="1"/>
      </rPr>
      <t>L0</t>
    </r>
    <r>
      <rPr>
        <sz val="10"/>
        <color theme="1"/>
        <rFont val="Times New Roman"/>
        <family val="1"/>
      </rPr>
      <t xml:space="preserve"> = 0.1ψ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>Σ(Q+G</t>
    </r>
    <r>
      <rPr>
        <vertAlign val="subscript"/>
        <sz val="10"/>
        <color theme="1"/>
        <rFont val="Times New Roman"/>
        <family val="1"/>
      </rPr>
      <t>ct</t>
    </r>
    <r>
      <rPr>
        <sz val="10"/>
        <color theme="1"/>
        <rFont val="Times New Roman"/>
        <family val="1"/>
      </rPr>
      <t>)/2 =</t>
    </r>
  </si>
  <si>
    <r>
      <t>H</t>
    </r>
    <r>
      <rPr>
        <vertAlign val="subscript"/>
        <sz val="10"/>
        <color theme="1"/>
        <rFont val="Times New Roman"/>
        <family val="1"/>
      </rPr>
      <t>L</t>
    </r>
    <r>
      <rPr>
        <sz val="10"/>
        <color theme="1"/>
        <rFont val="Times New Roman"/>
        <family val="1"/>
      </rPr>
      <t>=ξH</t>
    </r>
    <r>
      <rPr>
        <vertAlign val="subscript"/>
        <sz val="10"/>
        <color theme="1"/>
        <rFont val="Times New Roman"/>
        <family val="1"/>
      </rPr>
      <t>L0</t>
    </r>
    <r>
      <rPr>
        <sz val="10"/>
        <color theme="1"/>
        <rFont val="Times New Roman"/>
        <family val="1"/>
      </rPr>
      <t xml:space="preserve"> =</t>
    </r>
  </si>
  <si>
    <t xml:space="preserve">2.4 Giá trị tiêu chuẩn của tải trọng ngang, hướng vuông góc đường cẩu và do cầu trục bị lệch và đường cẩu </t>
  </si>
  <si>
    <t>không song song (lực xô ngang) - cho nhóm chế độ làm việc A7, A8 (mục 9.5 TCVN 2737:2023)</t>
  </si>
  <si>
    <r>
      <t>H</t>
    </r>
    <r>
      <rPr>
        <vertAlign val="subscript"/>
        <sz val="10"/>
        <color theme="1"/>
        <rFont val="Times New Roman"/>
        <family val="1"/>
      </rPr>
      <t>T0</t>
    </r>
    <r>
      <rPr>
        <sz val="10"/>
        <color theme="1"/>
        <rFont val="Times New Roman"/>
        <family val="1"/>
      </rPr>
      <t xml:space="preserve"> = 0.2ψ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>Σ(P</t>
    </r>
    <r>
      <rPr>
        <vertAlign val="subscript"/>
        <sz val="10"/>
        <color theme="1"/>
        <rFont val="Times New Roman"/>
        <family val="1"/>
      </rPr>
      <t>maxi</t>
    </r>
    <r>
      <rPr>
        <sz val="10"/>
        <color theme="1"/>
        <rFont val="Times New Roman"/>
        <family val="1"/>
      </rPr>
      <t>y</t>
    </r>
    <r>
      <rPr>
        <vertAlign val="subscript"/>
        <sz val="10"/>
        <color theme="1"/>
        <rFont val="Times New Roman"/>
        <family val="1"/>
      </rPr>
      <t>i</t>
    </r>
    <r>
      <rPr>
        <sz val="10"/>
        <color theme="1"/>
        <rFont val="Times New Roman"/>
        <family val="1"/>
      </rPr>
      <t>) =</t>
    </r>
  </si>
  <si>
    <r>
      <t>H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>=ξH</t>
    </r>
    <r>
      <rPr>
        <vertAlign val="subscript"/>
        <sz val="10"/>
        <color theme="1"/>
        <rFont val="Times New Roman"/>
        <family val="1"/>
      </rPr>
      <t>T0</t>
    </r>
    <r>
      <rPr>
        <sz val="10"/>
        <color theme="1"/>
        <rFont val="Times New Roman"/>
        <family val="1"/>
      </rPr>
      <t xml:space="preserve"> =</t>
    </r>
  </si>
  <si>
    <t>3. Hệ số độ tin cậy</t>
  </si>
  <si>
    <r>
      <t>γ</t>
    </r>
    <r>
      <rPr>
        <vertAlign val="subscript"/>
        <sz val="10"/>
        <color theme="1"/>
        <rFont val="Times New Roman"/>
        <family val="1"/>
      </rPr>
      <t xml:space="preserve">f </t>
    </r>
    <r>
      <rPr>
        <sz val="10"/>
        <color theme="1"/>
        <rFont val="Times New Roman"/>
        <family val="1"/>
      </rPr>
      <t>=</t>
    </r>
  </si>
  <si>
    <t>- Hệ số bổ sung khi kể đến t.dụng cục bộ và t.dụng động của tải trọng đứng t.trung</t>
  </si>
  <si>
    <t>Nhóm A8, móc treo cứng</t>
  </si>
  <si>
    <r>
      <t>γ</t>
    </r>
    <r>
      <rPr>
        <vertAlign val="subscript"/>
        <sz val="10"/>
        <color theme="1"/>
        <rFont val="Times New Roman"/>
        <family val="1"/>
      </rPr>
      <t xml:space="preserve">f1 </t>
    </r>
    <r>
      <rPr>
        <sz val="10"/>
        <color theme="1"/>
        <rFont val="Times New Roman"/>
        <family val="1"/>
      </rPr>
      <t>=</t>
    </r>
  </si>
  <si>
    <t>4. Tải trọng do va chạm cần trục với gối chặn cuối đường ray (Mục B.2, phụ lục B, TCVN 2737:2023)</t>
  </si>
  <si>
    <t>- Khoảng cách từ xa tời đến ray có gối</t>
  </si>
  <si>
    <r>
      <t>L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</t>
    </r>
  </si>
  <si>
    <t>- Vận tốc va chạm</t>
  </si>
  <si>
    <t>v =</t>
  </si>
  <si>
    <t>m/s</t>
  </si>
  <si>
    <t>- Độ nhún lớn nhất của bộ giảm xóc</t>
  </si>
  <si>
    <t>f =</t>
  </si>
  <si>
    <t>- Hệ số k</t>
  </si>
  <si>
    <t>- Khối lượng quy đổi của cần trục</t>
  </si>
  <si>
    <r>
      <t>m=G</t>
    </r>
    <r>
      <rPr>
        <vertAlign val="subscript"/>
        <sz val="10"/>
        <color theme="1"/>
        <rFont val="Times New Roman"/>
        <family val="1"/>
      </rPr>
      <t>ct</t>
    </r>
    <r>
      <rPr>
        <sz val="10"/>
        <color theme="1"/>
        <rFont val="Times New Roman"/>
        <family val="1"/>
      </rPr>
      <t>/2+(G</t>
    </r>
    <r>
      <rPr>
        <vertAlign val="subscript"/>
        <sz val="10"/>
        <color theme="1"/>
        <rFont val="Times New Roman"/>
        <family val="1"/>
      </rPr>
      <t>xe</t>
    </r>
    <r>
      <rPr>
        <sz val="10"/>
        <color theme="1"/>
        <rFont val="Times New Roman"/>
        <family val="1"/>
      </rPr>
      <t>+kQ)(L-L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>)/L =</t>
    </r>
  </si>
  <si>
    <t>- Giá trị tiêu chuẩn của lực va chạm</t>
  </si>
  <si>
    <r>
      <t>F</t>
    </r>
    <r>
      <rPr>
        <vertAlign val="subscript"/>
        <sz val="10"/>
        <color theme="1"/>
        <rFont val="Times New Roman"/>
        <family val="1"/>
      </rPr>
      <t>k</t>
    </r>
    <r>
      <rPr>
        <sz val="10"/>
        <color theme="1"/>
        <rFont val="Times New Roman"/>
        <family val="1"/>
      </rPr>
      <t>=mv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/f =</t>
    </r>
  </si>
  <si>
    <t>- Giá trị tính toán của lực va chạm</t>
  </si>
  <si>
    <r>
      <t>F</t>
    </r>
    <r>
      <rPr>
        <vertAlign val="subscript"/>
        <sz val="10"/>
        <color theme="1"/>
        <rFont val="Times New Roman"/>
        <family val="1"/>
      </rPr>
      <t>d</t>
    </r>
    <r>
      <rPr>
        <sz val="10"/>
        <color theme="1"/>
        <rFont val="Times New Roman"/>
        <family val="1"/>
      </rPr>
      <t>=γ</t>
    </r>
    <r>
      <rPr>
        <vertAlign val="subscript"/>
        <sz val="10"/>
        <color theme="1"/>
        <rFont val="Times New Roman"/>
        <family val="1"/>
      </rPr>
      <t>f</t>
    </r>
    <r>
      <rPr>
        <sz val="10"/>
        <color theme="1"/>
        <rFont val="Times New Roman"/>
        <family val="1"/>
      </rPr>
      <t>F</t>
    </r>
    <r>
      <rPr>
        <vertAlign val="subscript"/>
        <sz val="10"/>
        <color theme="1"/>
        <rFont val="Times New Roman"/>
        <family val="1"/>
      </rPr>
      <t>k</t>
    </r>
    <r>
      <rPr>
        <sz val="10"/>
        <color theme="1"/>
        <rFont val="Times New Roman"/>
        <family val="1"/>
      </rPr>
      <t xml:space="preserve"> =</t>
    </r>
  </si>
  <si>
    <t>5. Tính toán nội lực</t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</si>
  <si>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x,f</t>
    </r>
    <r>
      <rPr>
        <sz val="10"/>
        <color theme="1"/>
        <rFont val="Calibri"/>
        <family val="2"/>
        <scheme val="minor"/>
      </rPr>
      <t xml:space="preserve"> + M</t>
    </r>
    <r>
      <rPr>
        <vertAlign val="subscript"/>
        <sz val="10"/>
        <color theme="1"/>
        <rFont val="Calibri"/>
        <family val="2"/>
        <scheme val="minor"/>
      </rPr>
      <t>sw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</si>
  <si>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Calibri"/>
        <family val="2"/>
      </rPr>
      <t>(M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1x</t>
    </r>
    <r>
      <rPr>
        <sz val="10"/>
        <color theme="1"/>
        <rFont val="Calibri"/>
        <family val="2"/>
      </rPr>
      <t>)/
(f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</si>
  <si>
    <r>
      <rPr>
        <sz val="10"/>
        <color theme="1"/>
        <rFont val="Calibri"/>
        <family val="2"/>
      </rPr>
      <t>(M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1y</t>
    </r>
    <r>
      <rPr>
        <sz val="10"/>
        <color theme="1"/>
        <rFont val="Calibri"/>
        <family val="2"/>
      </rPr>
      <t>)/(f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</si>
  <si>
    <t>Xem xét sự ảnh hưởng của My trong tính toán</t>
  </si>
  <si>
    <t>Y</t>
  </si>
  <si>
    <t>H Tổng</t>
  </si>
  <si>
    <t>H Bụng</t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</si>
  <si>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x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f.</t>
    </r>
    <r>
      <rPr>
        <sz val="10"/>
        <color theme="1"/>
        <rFont val="Calibri"/>
        <family val="2"/>
        <scheme val="minor"/>
      </rPr>
      <t>n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P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y</t>
    </r>
    <r>
      <rPr>
        <vertAlign val="subscript"/>
        <sz val="10"/>
        <color theme="1"/>
        <rFont val="Calibri"/>
        <family val="2"/>
        <scheme val="minor"/>
      </rPr>
      <t>1~3</t>
    </r>
    <r>
      <rPr>
        <sz val="10"/>
        <color theme="1"/>
        <rFont val="Calibri"/>
        <family val="2"/>
        <scheme val="minor"/>
      </rPr>
      <t xml:space="preserve">  =</t>
    </r>
  </si>
  <si>
    <r>
      <t>V =</t>
    </r>
    <r>
      <rPr>
        <sz val="10"/>
        <color theme="1"/>
        <rFont val="Symbol"/>
        <family val="1"/>
        <charset val="2"/>
      </rPr>
      <t>x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P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y</t>
    </r>
    <r>
      <rPr>
        <vertAlign val="subscript"/>
        <sz val="10"/>
        <color theme="1"/>
        <rFont val="Calibri"/>
        <family val="2"/>
        <scheme val="minor"/>
      </rPr>
      <t>1~3</t>
    </r>
    <r>
      <rPr>
        <sz val="10"/>
        <color theme="1"/>
        <rFont val="Calibri"/>
        <family val="2"/>
        <scheme val="minor"/>
      </rPr>
      <t xml:space="preserve">  =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</si>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</sst>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(* #,##0_);_(* \(#,##0\);_(* &quot;-&quot;??_);_(@_)"/>
    <numFmt numFmtId="166" formatCode="0.000"/>
  </numFmts>
  <fonts count="5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sz val="11"/>
      <name val="Times New Roman"/>
      <family val="1"/>
    </font>
    <font>
      <sz val="10"/>
      <color rgb="FF0000FF"/>
      <name val="Arial"/>
      <family val="2"/>
    </font>
    <font>
      <b/>
      <vertAlign val="subscript"/>
      <sz val="10"/>
      <color rgb="FF0070C0"/>
      <name val="Arial"/>
      <family val="2"/>
    </font>
    <font>
      <sz val="10"/>
      <color rgb="FF0070C0"/>
      <name val="Arial"/>
      <family val="2"/>
    </font>
    <font>
      <vertAlign val="subscript"/>
      <sz val="10"/>
      <color rgb="FF0070C0"/>
      <name val="Arial"/>
      <family val="2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vertAlign val="superscript"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charset val="2"/>
    </font>
    <font>
      <b/>
      <u/>
      <sz val="10"/>
      <color rgb="FFFF0000"/>
      <name val="Calibri"/>
      <family val="2"/>
      <scheme val="minor"/>
    </font>
    <font>
      <sz val="14.5"/>
      <color theme="1"/>
      <name val="Calibri"/>
      <family val="2"/>
      <charset val="2"/>
    </font>
    <font>
      <vertAlign val="superscript"/>
      <sz val="10"/>
      <color theme="1"/>
      <name val="Calibri"/>
      <family val="2"/>
    </font>
    <font>
      <u/>
      <sz val="10"/>
      <color theme="1"/>
      <name val="Calibri"/>
      <family val="2"/>
      <scheme val="minor"/>
    </font>
    <font>
      <vertAlign val="subscript"/>
      <sz val="10"/>
      <color theme="1"/>
      <name val="Symbol"/>
      <family val="1"/>
      <charset val="2"/>
    </font>
    <font>
      <sz val="10"/>
      <color theme="1"/>
      <name val="Calibri"/>
      <family val="1"/>
      <charset val="2"/>
      <scheme val="minor"/>
    </font>
    <font>
      <i/>
      <u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charset val="2"/>
      <scheme val="minor"/>
    </font>
    <font>
      <b/>
      <sz val="9"/>
      <color indexed="81"/>
      <name val="Tahoma"/>
      <family val="2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sz val="10"/>
      <color rgb="FF0000CC"/>
      <name val="Times New Roman"/>
      <family val="1"/>
    </font>
    <font>
      <u/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Times New Roman"/>
      <family val="1"/>
    </font>
    <font>
      <vertAlign val="superscript"/>
      <sz val="10"/>
      <color theme="1"/>
      <name val="Times New Roman"/>
      <family val="1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8">
    <xf numFmtId="0" fontId="0" fillId="0" borderId="0"/>
    <xf numFmtId="0" fontId="13" fillId="0" borderId="0"/>
    <xf numFmtId="0" fontId="19" fillId="0" borderId="0"/>
    <xf numFmtId="164" fontId="19" fillId="0" borderId="0" applyFont="0" applyFill="0" applyBorder="0" applyAlignment="0" applyProtection="0"/>
    <xf numFmtId="0" fontId="24" fillId="0" borderId="0"/>
    <xf numFmtId="0" fontId="25" fillId="0" borderId="0"/>
    <xf numFmtId="0" fontId="25" fillId="0" borderId="0"/>
    <xf numFmtId="0" fontId="31" fillId="14" borderId="33" applyNumberFormat="0" applyAlignment="0" applyProtection="0"/>
  </cellStyleXfs>
  <cellXfs count="235">
    <xf numFmtId="0" fontId="0" fillId="0" borderId="0" xfId="0"/>
    <xf numFmtId="0" fontId="1" fillId="0" borderId="0" xfId="0" applyFont="1"/>
    <xf numFmtId="0" fontId="1" fillId="2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top"/>
    </xf>
    <xf numFmtId="0" fontId="2" fillId="2" borderId="16" xfId="0" applyFont="1" applyFill="1" applyBorder="1" applyAlignment="1">
      <alignment horizontal="left" indent="1"/>
    </xf>
    <xf numFmtId="0" fontId="1" fillId="2" borderId="16" xfId="0" applyFont="1" applyFill="1" applyBorder="1" applyAlignment="1">
      <alignment horizontal="left" vertical="top" indent="2"/>
    </xf>
    <xf numFmtId="0" fontId="1" fillId="2" borderId="15" xfId="0" applyFont="1" applyFill="1" applyBorder="1"/>
    <xf numFmtId="0" fontId="1" fillId="2" borderId="16" xfId="0" applyFont="1" applyFill="1" applyBorder="1"/>
    <xf numFmtId="0" fontId="1" fillId="2" borderId="5" xfId="0" applyFont="1" applyFill="1" applyBorder="1"/>
    <xf numFmtId="1" fontId="1" fillId="2" borderId="12" xfId="0" applyNumberFormat="1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right" vertical="center"/>
    </xf>
    <xf numFmtId="0" fontId="7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6" xfId="0" applyFont="1" applyFill="1" applyBorder="1"/>
    <xf numFmtId="0" fontId="1" fillId="6" borderId="0" xfId="0" applyFont="1" applyFill="1"/>
    <xf numFmtId="0" fontId="11" fillId="5" borderId="0" xfId="0" applyFont="1" applyFill="1" applyAlignment="1">
      <alignment horizontal="center" wrapText="1"/>
    </xf>
    <xf numFmtId="0" fontId="7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17" fillId="2" borderId="12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20" fillId="0" borderId="27" xfId="2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165" fontId="21" fillId="0" borderId="12" xfId="3" applyNumberFormat="1" applyFont="1" applyBorder="1" applyAlignment="1" applyProtection="1">
      <alignment horizontal="center" vertical="center"/>
      <protection hidden="1"/>
    </xf>
    <xf numFmtId="164" fontId="21" fillId="0" borderId="12" xfId="2" applyNumberFormat="1" applyFont="1" applyBorder="1" applyAlignment="1" applyProtection="1">
      <alignment horizontal="center" vertical="center"/>
      <protection hidden="1"/>
    </xf>
    <xf numFmtId="2" fontId="21" fillId="0" borderId="12" xfId="2" applyNumberFormat="1" applyFont="1" applyBorder="1" applyAlignment="1" applyProtection="1">
      <alignment horizontal="center" vertical="center"/>
      <protection hidden="1"/>
    </xf>
    <xf numFmtId="0" fontId="20" fillId="0" borderId="28" xfId="2" applyFont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165" fontId="21" fillId="0" borderId="29" xfId="3" applyNumberFormat="1" applyFont="1" applyBorder="1" applyAlignment="1" applyProtection="1">
      <alignment horizontal="center" vertical="center"/>
      <protection hidden="1"/>
    </xf>
    <xf numFmtId="164" fontId="21" fillId="0" borderId="29" xfId="2" applyNumberFormat="1" applyFont="1" applyBorder="1" applyAlignment="1" applyProtection="1">
      <alignment horizontal="center" vertical="center"/>
      <protection hidden="1"/>
    </xf>
    <xf numFmtId="2" fontId="21" fillId="0" borderId="29" xfId="2" applyNumberFormat="1" applyFont="1" applyBorder="1" applyAlignment="1" applyProtection="1">
      <alignment horizontal="center" vertical="center"/>
      <protection hidden="1"/>
    </xf>
    <xf numFmtId="0" fontId="22" fillId="5" borderId="12" xfId="2" applyFont="1" applyFill="1" applyBorder="1" applyAlignment="1">
      <alignment horizontal="center" vertical="center" wrapText="1"/>
    </xf>
    <xf numFmtId="0" fontId="20" fillId="0" borderId="30" xfId="2" applyFont="1" applyBorder="1" applyAlignment="1" applyProtection="1">
      <alignment horizontal="center" vertical="center"/>
      <protection hidden="1"/>
    </xf>
    <xf numFmtId="0" fontId="0" fillId="0" borderId="31" xfId="0" applyBorder="1" applyAlignment="1">
      <alignment horizontal="center" vertical="center"/>
    </xf>
    <xf numFmtId="165" fontId="21" fillId="0" borderId="31" xfId="3" applyNumberFormat="1" applyFont="1" applyBorder="1" applyAlignment="1" applyProtection="1">
      <alignment horizontal="center" vertical="center"/>
      <protection hidden="1"/>
    </xf>
    <xf numFmtId="164" fontId="21" fillId="0" borderId="31" xfId="2" applyNumberFormat="1" applyFont="1" applyBorder="1" applyAlignment="1" applyProtection="1">
      <alignment horizontal="center" vertical="center"/>
      <protection hidden="1"/>
    </xf>
    <xf numFmtId="2" fontId="21" fillId="0" borderId="31" xfId="2" applyNumberFormat="1" applyFont="1" applyBorder="1" applyAlignment="1" applyProtection="1">
      <alignment horizontal="center" vertical="center"/>
      <protection hidden="1"/>
    </xf>
    <xf numFmtId="0" fontId="22" fillId="5" borderId="12" xfId="2" applyFont="1" applyFill="1" applyBorder="1" applyAlignment="1">
      <alignment vertical="center"/>
    </xf>
    <xf numFmtId="2" fontId="21" fillId="0" borderId="4" xfId="2" applyNumberFormat="1" applyFont="1" applyBorder="1" applyAlignment="1" applyProtection="1">
      <alignment horizontal="center" vertical="center"/>
      <protection hidden="1"/>
    </xf>
    <xf numFmtId="2" fontId="21" fillId="0" borderId="17" xfId="2" applyNumberFormat="1" applyFont="1" applyBorder="1" applyAlignment="1" applyProtection="1">
      <alignment horizontal="center" vertical="center"/>
      <protection hidden="1"/>
    </xf>
    <xf numFmtId="2" fontId="21" fillId="0" borderId="32" xfId="2" applyNumberFormat="1" applyFont="1" applyBorder="1" applyAlignment="1" applyProtection="1">
      <alignment horizontal="center" vertical="center"/>
      <protection hidden="1"/>
    </xf>
    <xf numFmtId="0" fontId="1" fillId="0" borderId="12" xfId="0" applyFont="1" applyBorder="1"/>
    <xf numFmtId="1" fontId="21" fillId="2" borderId="12" xfId="5" applyNumberFormat="1" applyFont="1" applyFill="1" applyBorder="1" applyAlignment="1">
      <alignment vertical="center"/>
    </xf>
    <xf numFmtId="0" fontId="21" fillId="2" borderId="12" xfId="5" applyFont="1" applyFill="1" applyBorder="1" applyAlignment="1">
      <alignment vertical="center"/>
    </xf>
    <xf numFmtId="0" fontId="21" fillId="2" borderId="17" xfId="5" applyFont="1" applyFill="1" applyBorder="1" applyAlignment="1">
      <alignment vertical="center"/>
    </xf>
    <xf numFmtId="0" fontId="26" fillId="2" borderId="12" xfId="4" applyFont="1" applyFill="1" applyBorder="1" applyAlignment="1">
      <alignment horizontal="left" vertical="center"/>
    </xf>
    <xf numFmtId="0" fontId="26" fillId="2" borderId="17" xfId="4" applyFont="1" applyFill="1" applyBorder="1" applyAlignment="1">
      <alignment horizontal="left" vertical="center"/>
    </xf>
    <xf numFmtId="0" fontId="26" fillId="2" borderId="17" xfId="5" applyFont="1" applyFill="1" applyBorder="1" applyAlignment="1">
      <alignment horizontal="left" vertical="center"/>
    </xf>
    <xf numFmtId="0" fontId="26" fillId="2" borderId="17" xfId="6" applyFont="1" applyFill="1" applyBorder="1" applyAlignment="1">
      <alignment horizontal="left" vertical="center"/>
    </xf>
    <xf numFmtId="0" fontId="26" fillId="2" borderId="12" xfId="4" applyFont="1" applyFill="1" applyBorder="1" applyAlignment="1">
      <alignment horizontal="center" vertical="center"/>
    </xf>
    <xf numFmtId="1" fontId="21" fillId="2" borderId="12" xfId="5" applyNumberFormat="1" applyFont="1" applyFill="1" applyBorder="1" applyAlignment="1">
      <alignment horizontal="center" vertical="center"/>
    </xf>
    <xf numFmtId="0" fontId="21" fillId="2" borderId="12" xfId="5" applyFont="1" applyFill="1" applyBorder="1" applyAlignment="1">
      <alignment horizontal="center" vertical="center"/>
    </xf>
    <xf numFmtId="0" fontId="28" fillId="4" borderId="12" xfId="4" applyFont="1" applyFill="1" applyBorder="1" applyAlignment="1">
      <alignment horizontal="center" vertical="center"/>
    </xf>
    <xf numFmtId="0" fontId="28" fillId="4" borderId="12" xfId="0" applyFont="1" applyFill="1" applyBorder="1" applyAlignment="1">
      <alignment horizontal="center" vertical="center"/>
    </xf>
    <xf numFmtId="0" fontId="28" fillId="4" borderId="12" xfId="0" applyFont="1" applyFill="1" applyBorder="1" applyAlignment="1">
      <alignment vertical="center"/>
    </xf>
    <xf numFmtId="0" fontId="28" fillId="4" borderId="17" xfId="5" applyFont="1" applyFill="1" applyBorder="1" applyAlignment="1">
      <alignment horizontal="center" vertical="center"/>
    </xf>
    <xf numFmtId="0" fontId="28" fillId="4" borderId="17" xfId="4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1" borderId="12" xfId="0" applyFont="1" applyFill="1" applyBorder="1" applyAlignment="1">
      <alignment horizontal="center" vertical="center"/>
    </xf>
    <xf numFmtId="0" fontId="1" fillId="12" borderId="12" xfId="0" applyFont="1" applyFill="1" applyBorder="1" applyAlignment="1">
      <alignment horizontal="center" vertical="center"/>
    </xf>
    <xf numFmtId="0" fontId="1" fillId="13" borderId="12" xfId="0" applyFont="1" applyFill="1" applyBorder="1" applyAlignment="1">
      <alignment horizontal="center" vertical="center"/>
    </xf>
    <xf numFmtId="0" fontId="1" fillId="0" borderId="18" xfId="0" applyFont="1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/>
    </xf>
    <xf numFmtId="0" fontId="1" fillId="2" borderId="4" xfId="0" applyFont="1" applyFill="1" applyBorder="1"/>
    <xf numFmtId="0" fontId="1" fillId="2" borderId="0" xfId="0" applyFont="1" applyFill="1"/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top"/>
    </xf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vertical="top"/>
    </xf>
    <xf numFmtId="2" fontId="1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vertical="top"/>
    </xf>
    <xf numFmtId="164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2" fontId="8" fillId="2" borderId="0" xfId="0" applyNumberFormat="1" applyFont="1" applyFill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2" fontId="1" fillId="2" borderId="12" xfId="0" applyNumberFormat="1" applyFont="1" applyFill="1" applyBorder="1" applyAlignment="1">
      <alignment horizontal="center"/>
    </xf>
    <xf numFmtId="1" fontId="1" fillId="2" borderId="12" xfId="0" applyNumberFormat="1" applyFont="1" applyFill="1" applyBorder="1" applyAlignment="1">
      <alignment horizontal="center" vertical="top"/>
    </xf>
    <xf numFmtId="2" fontId="1" fillId="2" borderId="12" xfId="0" applyNumberFormat="1" applyFont="1" applyFill="1" applyBorder="1" applyAlignment="1">
      <alignment horizontal="center" vertical="top"/>
    </xf>
    <xf numFmtId="164" fontId="1" fillId="2" borderId="12" xfId="0" applyNumberFormat="1" applyFont="1" applyFill="1" applyBorder="1" applyAlignment="1">
      <alignment horizontal="center" vertical="top"/>
    </xf>
    <xf numFmtId="164" fontId="1" fillId="2" borderId="0" xfId="0" applyNumberFormat="1" applyFont="1" applyFill="1"/>
    <xf numFmtId="0" fontId="35" fillId="2" borderId="16" xfId="0" applyFont="1" applyFill="1" applyBorder="1" applyAlignment="1">
      <alignment horizontal="left" indent="1"/>
    </xf>
    <xf numFmtId="164" fontId="1" fillId="2" borderId="0" xfId="0" applyNumberFormat="1" applyFont="1" applyFill="1" applyAlignment="1">
      <alignment vertical="top"/>
    </xf>
    <xf numFmtId="0" fontId="36" fillId="2" borderId="0" xfId="0" applyFont="1" applyFill="1" applyAlignment="1">
      <alignment horizontal="right" vertical="top"/>
    </xf>
    <xf numFmtId="2" fontId="31" fillId="14" borderId="33" xfId="7" applyNumberFormat="1"/>
    <xf numFmtId="0" fontId="5" fillId="2" borderId="0" xfId="0" applyFont="1" applyFill="1" applyAlignment="1">
      <alignment horizontal="center"/>
    </xf>
    <xf numFmtId="0" fontId="37" fillId="2" borderId="15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right" vertical="center"/>
    </xf>
    <xf numFmtId="1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/>
    </xf>
    <xf numFmtId="164" fontId="1" fillId="2" borderId="0" xfId="0" applyNumberFormat="1" applyFont="1" applyFill="1" applyAlignment="1">
      <alignment horizontal="center" vertical="top"/>
    </xf>
    <xf numFmtId="0" fontId="40" fillId="2" borderId="0" xfId="0" applyFont="1" applyFill="1" applyAlignment="1">
      <alignment horizontal="right" vertical="center"/>
    </xf>
    <xf numFmtId="1" fontId="31" fillId="14" borderId="34" xfId="7" applyNumberFormat="1" applyBorder="1" applyAlignment="1">
      <alignment horizontal="center" vertical="center"/>
    </xf>
    <xf numFmtId="166" fontId="1" fillId="2" borderId="0" xfId="0" applyNumberFormat="1" applyFont="1" applyFill="1" applyAlignment="1">
      <alignment horizontal="center"/>
    </xf>
    <xf numFmtId="0" fontId="42" fillId="2" borderId="0" xfId="0" applyFont="1" applyFill="1" applyAlignment="1">
      <alignment horizontal="right" vertical="center"/>
    </xf>
    <xf numFmtId="0" fontId="43" fillId="2" borderId="16" xfId="0" applyFont="1" applyFill="1" applyBorder="1" applyAlignment="1">
      <alignment horizontal="left" vertical="top" indent="2"/>
    </xf>
    <xf numFmtId="0" fontId="1" fillId="2" borderId="16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left" vertical="top" indent="3"/>
    </xf>
    <xf numFmtId="166" fontId="1" fillId="2" borderId="0" xfId="0" applyNumberFormat="1" applyFont="1" applyFill="1" applyAlignment="1">
      <alignment horizontal="left" vertical="center"/>
    </xf>
    <xf numFmtId="2" fontId="1" fillId="2" borderId="0" xfId="0" applyNumberFormat="1" applyFont="1" applyFill="1" applyAlignment="1">
      <alignment horizontal="center"/>
    </xf>
    <xf numFmtId="0" fontId="40" fillId="2" borderId="16" xfId="0" applyFont="1" applyFill="1" applyBorder="1" applyAlignment="1">
      <alignment horizontal="left" vertical="top" indent="1"/>
    </xf>
    <xf numFmtId="2" fontId="1" fillId="2" borderId="0" xfId="0" applyNumberFormat="1" applyFont="1" applyFill="1"/>
    <xf numFmtId="0" fontId="44" fillId="2" borderId="16" xfId="0" applyFont="1" applyFill="1" applyBorder="1" applyAlignment="1">
      <alignment horizontal="left" vertical="top" indent="3"/>
    </xf>
    <xf numFmtId="0" fontId="1" fillId="2" borderId="0" xfId="0" applyFont="1" applyFill="1" applyAlignment="1">
      <alignment horizontal="left" vertical="top" indent="2"/>
    </xf>
    <xf numFmtId="0" fontId="45" fillId="2" borderId="0" xfId="0" applyFont="1" applyFill="1" applyAlignment="1">
      <alignment horizontal="right" vertical="center"/>
    </xf>
    <xf numFmtId="0" fontId="40" fillId="2" borderId="16" xfId="0" applyFont="1" applyFill="1" applyBorder="1" applyAlignment="1">
      <alignment horizontal="left" vertical="top" indent="3"/>
    </xf>
    <xf numFmtId="0" fontId="42" fillId="2" borderId="0" xfId="0" applyFont="1" applyFill="1" applyAlignment="1">
      <alignment horizontal="left" vertical="center"/>
    </xf>
    <xf numFmtId="0" fontId="1" fillId="2" borderId="16" xfId="0" applyFont="1" applyFill="1" applyBorder="1" applyAlignment="1">
      <alignment horizontal="left" vertical="top" indent="4"/>
    </xf>
    <xf numFmtId="0" fontId="1" fillId="2" borderId="0" xfId="0" applyFont="1" applyFill="1" applyAlignment="1">
      <alignment horizontal="right" vertical="top" indent="2"/>
    </xf>
    <xf numFmtId="0" fontId="35" fillId="2" borderId="4" xfId="0" applyFont="1" applyFill="1" applyBorder="1" applyAlignment="1">
      <alignment horizontal="left" indent="1"/>
    </xf>
    <xf numFmtId="0" fontId="1" fillId="2" borderId="6" xfId="0" applyFont="1" applyFill="1" applyBorder="1" applyAlignment="1">
      <alignment vertical="top"/>
    </xf>
    <xf numFmtId="1" fontId="0" fillId="0" borderId="0" xfId="0" applyNumberFormat="1"/>
    <xf numFmtId="164" fontId="7" fillId="2" borderId="0" xfId="0" applyNumberFormat="1" applyFont="1" applyFill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0" fontId="42" fillId="2" borderId="0" xfId="0" applyFont="1" applyFill="1" applyAlignment="1">
      <alignment horizontal="right" vertical="top"/>
    </xf>
    <xf numFmtId="0" fontId="1" fillId="15" borderId="12" xfId="0" applyFont="1" applyFill="1" applyBorder="1" applyAlignment="1">
      <alignment horizontal="center" vertical="center"/>
    </xf>
    <xf numFmtId="0" fontId="1" fillId="16" borderId="1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8" fillId="4" borderId="18" xfId="4" applyFont="1" applyFill="1" applyBorder="1" applyAlignment="1">
      <alignment horizontal="center" vertical="center"/>
    </xf>
    <xf numFmtId="0" fontId="28" fillId="4" borderId="27" xfId="4" applyFont="1" applyFill="1" applyBorder="1" applyAlignment="1">
      <alignment horizontal="center" vertical="center"/>
    </xf>
    <xf numFmtId="0" fontId="28" fillId="4" borderId="37" xfId="4" applyFont="1" applyFill="1" applyBorder="1" applyAlignment="1">
      <alignment horizontal="center" vertical="center"/>
    </xf>
    <xf numFmtId="0" fontId="1" fillId="0" borderId="38" xfId="0" applyFont="1" applyBorder="1"/>
    <xf numFmtId="0" fontId="1" fillId="0" borderId="39" xfId="0" applyFont="1" applyBorder="1"/>
    <xf numFmtId="0" fontId="1" fillId="2" borderId="12" xfId="0" applyFont="1" applyFill="1" applyBorder="1"/>
    <xf numFmtId="0" fontId="1" fillId="2" borderId="27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7" xfId="0" applyFont="1" applyFill="1" applyBorder="1"/>
    <xf numFmtId="0" fontId="8" fillId="12" borderId="12" xfId="0" applyFont="1" applyFill="1" applyBorder="1" applyAlignment="1">
      <alignment horizontal="center" vertical="center"/>
    </xf>
    <xf numFmtId="0" fontId="50" fillId="2" borderId="16" xfId="0" applyFont="1" applyFill="1" applyBorder="1" applyAlignment="1">
      <alignment horizontal="left" indent="1"/>
    </xf>
    <xf numFmtId="0" fontId="47" fillId="2" borderId="15" xfId="0" applyFont="1" applyFill="1" applyBorder="1" applyAlignment="1">
      <alignment vertical="top"/>
    </xf>
    <xf numFmtId="0" fontId="47" fillId="2" borderId="16" xfId="0" applyFont="1" applyFill="1" applyBorder="1" applyAlignment="1">
      <alignment horizontal="left" indent="1"/>
    </xf>
    <xf numFmtId="0" fontId="47" fillId="2" borderId="15" xfId="0" applyFont="1" applyFill="1" applyBorder="1"/>
    <xf numFmtId="0" fontId="51" fillId="2" borderId="16" xfId="0" applyFont="1" applyFill="1" applyBorder="1" applyAlignment="1">
      <alignment horizontal="left" indent="1"/>
    </xf>
    <xf numFmtId="0" fontId="47" fillId="2" borderId="16" xfId="0" quotePrefix="1" applyFont="1" applyFill="1" applyBorder="1" applyAlignment="1">
      <alignment horizontal="left" indent="1"/>
    </xf>
    <xf numFmtId="0" fontId="2" fillId="2" borderId="15" xfId="0" applyFont="1" applyFill="1" applyBorder="1" applyAlignment="1">
      <alignment horizontal="left" indent="1"/>
    </xf>
    <xf numFmtId="0" fontId="47" fillId="2" borderId="4" xfId="0" applyFont="1" applyFill="1" applyBorder="1" applyAlignment="1">
      <alignment horizontal="left" indent="1"/>
    </xf>
    <xf numFmtId="0" fontId="47" fillId="2" borderId="5" xfId="0" applyFont="1" applyFill="1" applyBorder="1"/>
    <xf numFmtId="0" fontId="47" fillId="2" borderId="5" xfId="0" applyFont="1" applyFill="1" applyBorder="1" applyAlignment="1">
      <alignment horizontal="right" vertical="top"/>
    </xf>
    <xf numFmtId="164" fontId="47" fillId="2" borderId="5" xfId="0" applyNumberFormat="1" applyFont="1" applyFill="1" applyBorder="1" applyAlignment="1">
      <alignment horizontal="center" vertical="center"/>
    </xf>
    <xf numFmtId="0" fontId="47" fillId="2" borderId="6" xfId="0" applyFont="1" applyFill="1" applyBorder="1" applyAlignment="1">
      <alignment vertical="top"/>
    </xf>
    <xf numFmtId="0" fontId="2" fillId="2" borderId="1" xfId="0" applyFont="1" applyFill="1" applyBorder="1" applyAlignment="1">
      <alignment horizontal="left" indent="1"/>
    </xf>
    <xf numFmtId="0" fontId="1" fillId="2" borderId="2" xfId="0" applyFont="1" applyFill="1" applyBorder="1"/>
    <xf numFmtId="166" fontId="1" fillId="0" borderId="0" xfId="0" applyNumberFormat="1" applyFont="1"/>
    <xf numFmtId="0" fontId="47" fillId="2" borderId="0" xfId="0" applyFont="1" applyFill="1"/>
    <xf numFmtId="0" fontId="47" fillId="2" borderId="0" xfId="0" applyFont="1" applyFill="1" applyAlignment="1">
      <alignment horizontal="right" vertical="top"/>
    </xf>
    <xf numFmtId="164" fontId="47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vertical="top"/>
    </xf>
    <xf numFmtId="0" fontId="7" fillId="2" borderId="0" xfId="0" applyFont="1" applyFill="1" applyAlignment="1">
      <alignment vertical="top"/>
    </xf>
    <xf numFmtId="1" fontId="8" fillId="2" borderId="0" xfId="0" applyNumberFormat="1" applyFont="1" applyFill="1" applyAlignment="1">
      <alignment horizontal="center" vertical="center"/>
    </xf>
    <xf numFmtId="0" fontId="47" fillId="2" borderId="0" xfId="0" applyFont="1" applyFill="1" applyAlignment="1">
      <alignment horizontal="right" vertical="center"/>
    </xf>
    <xf numFmtId="2" fontId="49" fillId="2" borderId="0" xfId="0" applyNumberFormat="1" applyFont="1" applyFill="1" applyAlignment="1">
      <alignment horizontal="center" vertical="center"/>
    </xf>
    <xf numFmtId="166" fontId="1" fillId="2" borderId="0" xfId="0" applyNumberFormat="1" applyFont="1" applyFill="1" applyAlignment="1">
      <alignment horizontal="center" vertical="center"/>
    </xf>
    <xf numFmtId="0" fontId="47" fillId="2" borderId="0" xfId="0" applyFont="1" applyFill="1" applyAlignment="1">
      <alignment horizontal="left" indent="1"/>
    </xf>
    <xf numFmtId="0" fontId="49" fillId="2" borderId="0" xfId="0" applyFont="1" applyFill="1" applyAlignment="1">
      <alignment horizontal="center"/>
    </xf>
    <xf numFmtId="0" fontId="47" fillId="2" borderId="0" xfId="0" applyFont="1" applyFill="1" applyAlignment="1">
      <alignment horizontal="right"/>
    </xf>
    <xf numFmtId="0" fontId="47" fillId="2" borderId="0" xfId="0" applyFont="1" applyFill="1" applyAlignment="1">
      <alignment horizontal="center" vertical="center"/>
    </xf>
    <xf numFmtId="0" fontId="1" fillId="2" borderId="3" xfId="0" applyFont="1" applyFill="1" applyBorder="1"/>
    <xf numFmtId="2" fontId="47" fillId="2" borderId="0" xfId="0" applyNumberFormat="1" applyFont="1" applyFill="1" applyAlignment="1">
      <alignment horizontal="center" vertical="center"/>
    </xf>
    <xf numFmtId="164" fontId="49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left" indent="1"/>
    </xf>
    <xf numFmtId="164" fontId="52" fillId="2" borderId="0" xfId="0" applyNumberFormat="1" applyFont="1" applyFill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" fillId="2" borderId="4" xfId="0" applyFont="1" applyFill="1" applyBorder="1" applyAlignment="1">
      <alignment horizontal="left" vertical="top" indent="3"/>
    </xf>
    <xf numFmtId="0" fontId="42" fillId="2" borderId="5" xfId="0" applyFont="1" applyFill="1" applyBorder="1" applyAlignment="1">
      <alignment horizontal="right" vertical="center"/>
    </xf>
    <xf numFmtId="166" fontId="1" fillId="2" borderId="5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 vertical="top" indent="3"/>
    </xf>
    <xf numFmtId="0" fontId="1" fillId="2" borderId="2" xfId="0" applyFont="1" applyFill="1" applyBorder="1" applyAlignment="1">
      <alignment horizontal="right" vertical="center"/>
    </xf>
    <xf numFmtId="166" fontId="1" fillId="2" borderId="2" xfId="0" applyNumberFormat="1" applyFont="1" applyFill="1" applyBorder="1" applyAlignment="1">
      <alignment horizontal="center"/>
    </xf>
    <xf numFmtId="2" fontId="7" fillId="2" borderId="0" xfId="0" applyNumberFormat="1" applyFont="1" applyFill="1" applyAlignment="1">
      <alignment horizontal="right" vertical="center"/>
    </xf>
    <xf numFmtId="0" fontId="11" fillId="5" borderId="11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/>
    </xf>
    <xf numFmtId="0" fontId="49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left" vertical="top" wrapText="1" indent="2"/>
    </xf>
    <xf numFmtId="0" fontId="1" fillId="2" borderId="0" xfId="0" applyFont="1" applyFill="1" applyAlignment="1">
      <alignment horizontal="left" vertical="top" wrapText="1" indent="2"/>
    </xf>
    <xf numFmtId="0" fontId="8" fillId="0" borderId="5" xfId="0" applyFont="1" applyBorder="1" applyAlignment="1">
      <alignment horizontal="left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14" fillId="4" borderId="19" xfId="0" applyFont="1" applyFill="1" applyBorder="1" applyAlignment="1">
      <alignment horizontal="left" vertical="center"/>
    </xf>
    <xf numFmtId="0" fontId="14" fillId="4" borderId="20" xfId="0" applyFont="1" applyFill="1" applyBorder="1" applyAlignment="1">
      <alignment horizontal="left" vertical="center"/>
    </xf>
    <xf numFmtId="0" fontId="11" fillId="5" borderId="21" xfId="0" applyFont="1" applyFill="1" applyBorder="1" applyAlignment="1">
      <alignment horizontal="center" wrapText="1"/>
    </xf>
    <xf numFmtId="0" fontId="11" fillId="5" borderId="22" xfId="0" applyFont="1" applyFill="1" applyBorder="1" applyAlignment="1">
      <alignment horizontal="center" wrapText="1"/>
    </xf>
    <xf numFmtId="0" fontId="11" fillId="5" borderId="7" xfId="0" applyFont="1" applyFill="1" applyBorder="1" applyAlignment="1">
      <alignment horizontal="center" wrapText="1"/>
    </xf>
    <xf numFmtId="0" fontId="11" fillId="5" borderId="0" xfId="0" applyFont="1" applyFill="1" applyAlignment="1">
      <alignment horizontal="center" wrapText="1"/>
    </xf>
    <xf numFmtId="0" fontId="28" fillId="4" borderId="12" xfId="4" applyFont="1" applyFill="1" applyBorder="1" applyAlignment="1">
      <alignment horizontal="center" vertical="center"/>
    </xf>
    <xf numFmtId="0" fontId="22" fillId="5" borderId="4" xfId="2" applyFont="1" applyFill="1" applyBorder="1" applyAlignment="1">
      <alignment horizontal="center" vertical="center" wrapText="1"/>
    </xf>
    <xf numFmtId="0" fontId="22" fillId="5" borderId="5" xfId="2" applyFont="1" applyFill="1" applyBorder="1" applyAlignment="1">
      <alignment horizontal="center" vertical="center" wrapText="1"/>
    </xf>
    <xf numFmtId="0" fontId="22" fillId="5" borderId="12" xfId="2" applyFont="1" applyFill="1" applyBorder="1" applyAlignment="1">
      <alignment horizontal="center" vertical="center" wrapText="1"/>
    </xf>
    <xf numFmtId="0" fontId="22" fillId="5" borderId="12" xfId="2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5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/>
    </xf>
    <xf numFmtId="0" fontId="11" fillId="5" borderId="24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0" fontId="22" fillId="5" borderId="26" xfId="2" applyFont="1" applyFill="1" applyBorder="1" applyAlignment="1">
      <alignment horizontal="center" vertical="center"/>
    </xf>
    <xf numFmtId="0" fontId="22" fillId="5" borderId="31" xfId="2" applyFont="1" applyFill="1" applyBorder="1" applyAlignment="1">
      <alignment horizontal="center" vertical="center"/>
    </xf>
    <xf numFmtId="0" fontId="22" fillId="5" borderId="35" xfId="2" applyFont="1" applyFill="1" applyBorder="1" applyAlignment="1">
      <alignment horizontal="center" vertical="center" wrapText="1"/>
    </xf>
    <xf numFmtId="0" fontId="22" fillId="5" borderId="36" xfId="2" applyFont="1" applyFill="1" applyBorder="1" applyAlignment="1">
      <alignment horizontal="center" vertical="center" wrapText="1"/>
    </xf>
    <xf numFmtId="0" fontId="22" fillId="5" borderId="35" xfId="2" applyFont="1" applyFill="1" applyBorder="1" applyAlignment="1">
      <alignment horizontal="center" vertical="center"/>
    </xf>
    <xf numFmtId="0" fontId="22" fillId="5" borderId="36" xfId="2" applyFont="1" applyFill="1" applyBorder="1" applyAlignment="1">
      <alignment horizontal="center" vertical="center"/>
    </xf>
    <xf numFmtId="0" fontId="36" fillId="2" borderId="12" xfId="0" applyFont="1" applyFill="1" applyBorder="1" applyAlignment="1">
      <alignment horizontal="center" vertical="top" wrapText="1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0" borderId="16" xfId="0" applyFont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32" fillId="2" borderId="1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54" fillId="5" borderId="10" xfId="0" applyFont="1" applyFill="1" applyBorder="1" applyAlignment="1">
      <alignment horizontal="center"/>
    </xf>
    <xf numFmtId="0" fontId="11" fillId="5" borderId="40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</cellXfs>
  <cellStyles count="8">
    <cellStyle name="Calculation" xfId="7" builtinId="22"/>
    <cellStyle name="Comma 2" xfId="3" xr:uid="{00000000-0005-0000-0000-000001000000}"/>
    <cellStyle name="Normal" xfId="0" builtinId="0"/>
    <cellStyle name="Normal 2" xfId="5" xr:uid="{00000000-0005-0000-0000-000003000000}"/>
    <cellStyle name="Normal 2 2" xfId="6" xr:uid="{00000000-0005-0000-0000-000004000000}"/>
    <cellStyle name="Normal 5" xfId="2" xr:uid="{00000000-0005-0000-0000-000005000000}"/>
    <cellStyle name="Normal 6" xfId="1" xr:uid="{00000000-0005-0000-0000-000006000000}"/>
    <cellStyle name="Normal_Sheet3" xfId="4" xr:uid="{00000000-0005-0000-0000-000007000000}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94896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476498-ADB7-45B0-B990-CEF7A1BFC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FFE9E404-B6A6-46CF-82EB-C924B2147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141517</xdr:colOff>
          <xdr:row>12</xdr:row>
          <xdr:rowOff>152400</xdr:rowOff>
        </xdr:from>
        <xdr:to>
          <xdr:col>8</xdr:col>
          <xdr:colOff>364672</xdr:colOff>
          <xdr:row>18</xdr:row>
          <xdr:rowOff>21771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0D1ECCC7-A964-406D-A146-7929CFBCFB9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rane" spid="_x0000_s1367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5580" t="12772" r="7511" b="4918"/>
            <a:stretch>
              <a:fillRect/>
            </a:stretch>
          </xdr:blipFill>
          <xdr:spPr>
            <a:xfrm>
              <a:off x="2993574" y="571500"/>
              <a:ext cx="1774369" cy="903514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400642</xdr:colOff>
          <xdr:row>28</xdr:row>
          <xdr:rowOff>0</xdr:rowOff>
        </xdr:from>
        <xdr:to>
          <xdr:col>8</xdr:col>
          <xdr:colOff>90399</xdr:colOff>
          <xdr:row>35</xdr:row>
          <xdr:rowOff>50679</xdr:rowOff>
        </xdr:to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141A4F25-B3F2-4104-9C8D-8BA5A520205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raneLoad" spid="_x0000_s13676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1353" t="3544" r="2204" b="7874"/>
            <a:stretch>
              <a:fillRect/>
            </a:stretch>
          </xdr:blipFill>
          <xdr:spPr>
            <a:xfrm>
              <a:off x="1692729" y="3072137"/>
              <a:ext cx="2770887" cy="1277934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4</xdr:col>
      <xdr:colOff>479534</xdr:colOff>
      <xdr:row>22</xdr:row>
      <xdr:rowOff>32844</xdr:rowOff>
    </xdr:from>
    <xdr:to>
      <xdr:col>6</xdr:col>
      <xdr:colOff>420414</xdr:colOff>
      <xdr:row>26</xdr:row>
      <xdr:rowOff>97872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677241-2A30-686E-C9CB-EEB72F526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98379" y="2036378"/>
          <a:ext cx="965638" cy="7876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39413</xdr:colOff>
          <xdr:row>84</xdr:row>
          <xdr:rowOff>0</xdr:rowOff>
        </xdr:from>
        <xdr:to>
          <xdr:col>7</xdr:col>
          <xdr:colOff>210207</xdr:colOff>
          <xdr:row>98</xdr:row>
          <xdr:rowOff>78828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23A1A230-280E-48D9-9EBD-2269AF065A6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MV" spid="_x0000_s13677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l="2078" t="2077" r="1848" b="1265"/>
            <a:stretch>
              <a:fillRect/>
            </a:stretch>
          </xdr:blipFill>
          <xdr:spPr>
            <a:xfrm>
              <a:off x="1333499" y="6424449"/>
              <a:ext cx="2732691" cy="2377966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12</xdr:row>
          <xdr:rowOff>152400</xdr:rowOff>
        </xdr:from>
        <xdr:to>
          <xdr:col>8</xdr:col>
          <xdr:colOff>361950</xdr:colOff>
          <xdr:row>18</xdr:row>
          <xdr:rowOff>19050</xdr:rowOff>
        </xdr:to>
        <xdr:pic>
          <xdr:nvPicPr>
            <xdr:cNvPr id="1313" name="Picture 8">
              <a:extLst>
                <a:ext uri="{FF2B5EF4-FFF2-40B4-BE49-F238E27FC236}">
                  <a16:creationId xmlns:a16="http://schemas.microsoft.com/office/drawing/2014/main" id="{AEB1F081-EA30-92DC-73E4-B93CBB088C2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rane" spid="_x0000_s13678"/>
                </a:ext>
              </a:extLst>
            </xdr:cNvPicPr>
          </xdr:nvPicPr>
          <xdr:blipFill>
            <a:blip xmlns:r="http://schemas.openxmlformats.org/officeDocument/2006/relationships" r:embed="rId1"/>
            <a:srcRect l="5580" t="12772" r="7510" b="4918"/>
            <a:stretch>
              <a:fillRect/>
            </a:stretch>
          </xdr:blipFill>
          <xdr:spPr bwMode="auto">
            <a:xfrm>
              <a:off x="2981325" y="571500"/>
              <a:ext cx="1762125" cy="8953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28</xdr:row>
          <xdr:rowOff>0</xdr:rowOff>
        </xdr:from>
        <xdr:to>
          <xdr:col>8</xdr:col>
          <xdr:colOff>85725</xdr:colOff>
          <xdr:row>35</xdr:row>
          <xdr:rowOff>47625</xdr:rowOff>
        </xdr:to>
        <xdr:pic>
          <xdr:nvPicPr>
            <xdr:cNvPr id="1314" name="Picture 9">
              <a:extLst>
                <a:ext uri="{FF2B5EF4-FFF2-40B4-BE49-F238E27FC236}">
                  <a16:creationId xmlns:a16="http://schemas.microsoft.com/office/drawing/2014/main" id="{3E428763-33EA-BA34-9137-8886BD1408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raneLoad" spid="_x0000_s13679"/>
                </a:ext>
              </a:extLst>
            </xdr:cNvPicPr>
          </xdr:nvPicPr>
          <xdr:blipFill>
            <a:blip xmlns:r="http://schemas.openxmlformats.org/officeDocument/2006/relationships" r:embed="rId2"/>
            <a:srcRect l="1353" t="3545" r="2203" b="7874"/>
            <a:stretch>
              <a:fillRect/>
            </a:stretch>
          </xdr:blipFill>
          <xdr:spPr bwMode="auto">
            <a:xfrm>
              <a:off x="1695450" y="2886075"/>
              <a:ext cx="2771775" cy="12573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84</xdr:row>
          <xdr:rowOff>0</xdr:rowOff>
        </xdr:from>
        <xdr:to>
          <xdr:col>7</xdr:col>
          <xdr:colOff>209550</xdr:colOff>
          <xdr:row>98</xdr:row>
          <xdr:rowOff>78499</xdr:rowOff>
        </xdr:to>
        <xdr:pic>
          <xdr:nvPicPr>
            <xdr:cNvPr id="1315" name="Picture 2">
              <a:extLst>
                <a:ext uri="{FF2B5EF4-FFF2-40B4-BE49-F238E27FC236}">
                  <a16:creationId xmlns:a16="http://schemas.microsoft.com/office/drawing/2014/main" id="{D083B49C-5433-F34E-A8D9-F419A628ED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MV" spid="_x0000_s13680"/>
                </a:ext>
              </a:extLst>
            </xdr:cNvPicPr>
          </xdr:nvPicPr>
          <xdr:blipFill>
            <a:blip xmlns:r="http://schemas.openxmlformats.org/officeDocument/2006/relationships" r:embed="rId4"/>
            <a:srcRect l="2078" t="2077" r="1848" b="1265"/>
            <a:stretch>
              <a:fillRect/>
            </a:stretch>
          </xdr:blipFill>
          <xdr:spPr bwMode="auto">
            <a:xfrm>
              <a:off x="1333500" y="6343650"/>
              <a:ext cx="2743200" cy="23431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446691</xdr:colOff>
      <xdr:row>12</xdr:row>
      <xdr:rowOff>131379</xdr:rowOff>
    </xdr:from>
    <xdr:to>
      <xdr:col>9</xdr:col>
      <xdr:colOff>286660</xdr:colOff>
      <xdr:row>21</xdr:row>
      <xdr:rowOff>22468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D70E6D-0137-424C-91BC-A3F1837D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9491" y="550479"/>
          <a:ext cx="1373494" cy="15230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85396</xdr:rowOff>
    </xdr:from>
    <xdr:to>
      <xdr:col>11</xdr:col>
      <xdr:colOff>21455</xdr:colOff>
      <xdr:row>133</xdr:row>
      <xdr:rowOff>165661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FCB220A-D3F0-4296-AC8B-54847F86F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392071"/>
          <a:ext cx="5949815" cy="5256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446691</xdr:colOff>
      <xdr:row>12</xdr:row>
      <xdr:rowOff>131379</xdr:rowOff>
    </xdr:from>
    <xdr:to>
      <xdr:col>9</xdr:col>
      <xdr:colOff>282850</xdr:colOff>
      <xdr:row>21</xdr:row>
      <xdr:rowOff>18658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6832C8-76BD-4DF7-B9CE-497C85577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9491" y="550479"/>
          <a:ext cx="1373494" cy="15236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85396</xdr:rowOff>
    </xdr:from>
    <xdr:to>
      <xdr:col>10</xdr:col>
      <xdr:colOff>212809</xdr:colOff>
      <xdr:row>131</xdr:row>
      <xdr:rowOff>2488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24E623-5E62-47A9-A970-8A7303DF8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915946"/>
          <a:ext cx="5949815" cy="5256150"/>
        </a:xfrm>
        <a:prstGeom prst="rect">
          <a:avLst/>
        </a:prstGeom>
      </xdr:spPr>
    </xdr:pic>
    <xdr:clientData/>
  </xdr:twoCellAnchor>
  <xdr:twoCellAnchor editAs="oneCell">
    <xdr:from>
      <xdr:col>3</xdr:col>
      <xdr:colOff>302173</xdr:colOff>
      <xdr:row>27</xdr:row>
      <xdr:rowOff>72615</xdr:rowOff>
    </xdr:from>
    <xdr:to>
      <xdr:col>6</xdr:col>
      <xdr:colOff>94901</xdr:colOff>
      <xdr:row>35</xdr:row>
      <xdr:rowOff>95341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91A4C2F-EEFE-284B-3A69-0CEDCFA45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08639" y="3192874"/>
          <a:ext cx="1345105" cy="14547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2</xdr:row>
      <xdr:rowOff>152400</xdr:rowOff>
    </xdr:from>
    <xdr:to>
      <xdr:col>1</xdr:col>
      <xdr:colOff>3491962</xdr:colOff>
      <xdr:row>2</xdr:row>
      <xdr:rowOff>1762125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04FAD7-15F6-4B66-9CBA-3122E7BF5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025" y="2314575"/>
          <a:ext cx="3177637" cy="16097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285751</xdr:colOff>
      <xdr:row>1</xdr:row>
      <xdr:rowOff>95250</xdr:rowOff>
    </xdr:from>
    <xdr:to>
      <xdr:col>1</xdr:col>
      <xdr:colOff>3465991</xdr:colOff>
      <xdr:row>1</xdr:row>
      <xdr:rowOff>1905000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C8F54CE-BE82-B49E-162E-B4AE4D055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4451" y="285750"/>
          <a:ext cx="3180240" cy="1809750"/>
        </a:xfrm>
        <a:prstGeom prst="rect">
          <a:avLst/>
        </a:prstGeom>
      </xdr:spPr>
    </xdr:pic>
    <xdr:clientData/>
  </xdr:twoCellAnchor>
  <xdr:twoCellAnchor editAs="oneCell">
    <xdr:from>
      <xdr:col>1</xdr:col>
      <xdr:colOff>265679</xdr:colOff>
      <xdr:row>6</xdr:row>
      <xdr:rowOff>104775</xdr:rowOff>
    </xdr:from>
    <xdr:to>
      <xdr:col>1</xdr:col>
      <xdr:colOff>3338342</xdr:colOff>
      <xdr:row>6</xdr:row>
      <xdr:rowOff>1658170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99D9738-7073-411A-99C8-1DE1EEFBA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4379" y="6419850"/>
          <a:ext cx="3072663" cy="1553395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238124</xdr:colOff>
      <xdr:row>5</xdr:row>
      <xdr:rowOff>219075</xdr:rowOff>
    </xdr:from>
    <xdr:to>
      <xdr:col>1</xdr:col>
      <xdr:colOff>3305175</xdr:colOff>
      <xdr:row>5</xdr:row>
      <xdr:rowOff>1570509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E0CEC94-974B-4D7F-A749-5D0A1ACB3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6584"/>
        <a:stretch/>
      </xdr:blipFill>
      <xdr:spPr>
        <a:xfrm>
          <a:off x="1266824" y="4733925"/>
          <a:ext cx="3067051" cy="1351434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8</xdr:row>
      <xdr:rowOff>247650</xdr:rowOff>
    </xdr:from>
    <xdr:to>
      <xdr:col>1</xdr:col>
      <xdr:colOff>3565678</xdr:colOff>
      <xdr:row>8</xdr:row>
      <xdr:rowOff>2971300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0C420A-9978-9ECE-B9B3-8CA80F1AE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8725" y="8553450"/>
          <a:ext cx="3365653" cy="27236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9</xdr:row>
      <xdr:rowOff>133350</xdr:rowOff>
    </xdr:from>
    <xdr:to>
      <xdr:col>1</xdr:col>
      <xdr:colOff>3528959</xdr:colOff>
      <xdr:row>9</xdr:row>
      <xdr:rowOff>3009350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DBB46F-CF1D-9D06-0210-CD6060513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52525" y="11610975"/>
          <a:ext cx="3405134" cy="28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3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image" Target="../media/image3.png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FF135"/>
  <sheetViews>
    <sheetView showGridLines="0" zoomScale="115" zoomScaleNormal="115" zoomScaleSheetLayoutView="100" workbookViewId="0">
      <pane ySplit="3" topLeftCell="A4" activePane="bottomLeft" state="frozen"/>
      <selection activeCell="CH1" sqref="CH1"/>
      <selection pane="bottomLeft" activeCell="M21" sqref="M21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17" customWidth="1"/>
    <col min="11" max="15" width="7.33203125" style="1"/>
    <col min="16" max="20" width="0" style="1" hidden="1" customWidth="1"/>
    <col min="21" max="21" width="3.33203125" style="17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17" customWidth="1"/>
    <col min="48" max="50" width="7.33203125" style="1"/>
    <col min="51" max="51" width="3.33203125" style="17" customWidth="1"/>
    <col min="52" max="54" width="7.33203125" style="1"/>
    <col min="55" max="59" width="0" style="1" hidden="1" customWidth="1"/>
    <col min="60" max="60" width="3.33203125" style="17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17" customWidth="1"/>
    <col min="81" max="81" width="9.5546875" style="49" bestFit="1" customWidth="1"/>
    <col min="82" max="83" width="9.5546875" style="57" customWidth="1"/>
    <col min="84" max="85" width="5" style="49" bestFit="1" customWidth="1"/>
    <col min="86" max="86" width="5" style="49" customWidth="1"/>
    <col min="87" max="87" width="5" style="49" bestFit="1" customWidth="1"/>
    <col min="88" max="88" width="7" style="50" bestFit="1" customWidth="1"/>
    <col min="89" max="103" width="0" style="1" hidden="1" customWidth="1"/>
    <col min="104" max="104" width="3.33203125" style="17" customWidth="1"/>
    <col min="105" max="111" width="7.33203125" style="1"/>
    <col min="112" max="118" width="7.33203125" style="1" customWidth="1"/>
    <col min="119" max="129" width="7.33203125" style="1" hidden="1" customWidth="1"/>
    <col min="130" max="130" width="3.33203125" style="17" customWidth="1"/>
    <col min="131" max="137" width="7.33203125" style="1"/>
    <col min="138" max="144" width="7.33203125" style="1" customWidth="1"/>
    <col min="145" max="155" width="7.33203125" style="1" hidden="1" customWidth="1"/>
    <col min="156" max="156" width="3.33203125" style="17" customWidth="1"/>
    <col min="157" max="157" width="7.33203125" style="135"/>
    <col min="158" max="158" width="7.33203125" style="136"/>
    <col min="159" max="159" width="7.33203125" style="135"/>
    <col min="160" max="160" width="7.33203125" style="136"/>
    <col min="161" max="16384" width="7.33203125" style="1"/>
  </cols>
  <sheetData>
    <row r="1" spans="1:162" ht="14.25" customHeight="1">
      <c r="A1" s="185" t="s">
        <v>2</v>
      </c>
      <c r="B1" s="12" t="s">
        <v>18</v>
      </c>
      <c r="C1" s="12" t="s">
        <v>23</v>
      </c>
      <c r="D1" s="12" t="s">
        <v>24</v>
      </c>
      <c r="E1" s="232" t="s">
        <v>391</v>
      </c>
      <c r="F1" s="24"/>
      <c r="G1" s="24"/>
      <c r="H1" s="24"/>
      <c r="I1" s="24"/>
      <c r="K1" s="202" t="s">
        <v>39</v>
      </c>
      <c r="L1" s="203"/>
      <c r="M1" s="203"/>
      <c r="N1" s="203"/>
      <c r="O1" s="203"/>
      <c r="P1" s="18"/>
      <c r="Q1" s="18"/>
      <c r="R1" s="18"/>
      <c r="S1" s="18"/>
      <c r="T1" s="18"/>
      <c r="V1" s="211" t="s">
        <v>49</v>
      </c>
      <c r="W1" s="211"/>
      <c r="X1" s="211"/>
      <c r="Y1" s="211"/>
      <c r="Z1" s="211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V1" s="213" t="s">
        <v>102</v>
      </c>
      <c r="AW1" s="214"/>
      <c r="AX1" s="215"/>
      <c r="AZ1" s="213" t="s">
        <v>50</v>
      </c>
      <c r="BA1" s="214"/>
      <c r="BB1" s="215"/>
      <c r="BI1" s="209" t="s">
        <v>59</v>
      </c>
      <c r="BJ1" s="209"/>
      <c r="BK1" s="210" t="s">
        <v>84</v>
      </c>
      <c r="BL1" s="209" t="s">
        <v>60</v>
      </c>
      <c r="BM1" s="209"/>
      <c r="BN1" s="209"/>
      <c r="BO1" s="209"/>
      <c r="BP1" s="210" t="s">
        <v>89</v>
      </c>
      <c r="BQ1" s="210"/>
      <c r="CC1" s="207" t="s">
        <v>60</v>
      </c>
      <c r="CD1" s="208"/>
      <c r="CE1" s="208"/>
      <c r="CF1" s="208"/>
      <c r="CG1" s="208"/>
      <c r="CH1" s="208"/>
      <c r="CI1" s="208"/>
      <c r="CJ1" s="208"/>
      <c r="DA1" s="207" t="s">
        <v>122</v>
      </c>
      <c r="DB1" s="208"/>
      <c r="DC1" s="208"/>
      <c r="DD1" s="208"/>
      <c r="DE1" s="208"/>
      <c r="DF1" s="208"/>
      <c r="DG1" s="208"/>
      <c r="DH1" s="208"/>
      <c r="DI1" s="208"/>
      <c r="DJ1" s="208"/>
      <c r="DK1" s="208"/>
      <c r="DL1" s="208"/>
      <c r="DM1" s="208"/>
      <c r="DN1" s="208"/>
      <c r="EA1" s="207" t="s">
        <v>143</v>
      </c>
      <c r="EB1" s="208"/>
      <c r="EC1" s="208"/>
      <c r="ED1" s="208"/>
      <c r="EE1" s="208"/>
      <c r="EF1" s="208"/>
      <c r="EG1" s="208"/>
      <c r="EH1" s="208"/>
      <c r="EI1" s="208"/>
      <c r="EJ1" s="208"/>
      <c r="EK1" s="208"/>
      <c r="EL1" s="208"/>
      <c r="EM1" s="208"/>
      <c r="EN1" s="208"/>
      <c r="FA1" s="218" t="s">
        <v>325</v>
      </c>
      <c r="FB1" s="219"/>
      <c r="FC1" s="218" t="s">
        <v>326</v>
      </c>
      <c r="FD1" s="219"/>
      <c r="FE1" s="220" t="str">
        <f>Force!D15</f>
        <v>2 Dầm (ZLK)</v>
      </c>
      <c r="FF1" s="221"/>
    </row>
    <row r="2" spans="1:162" ht="15.6">
      <c r="A2" s="186"/>
      <c r="B2" s="12" t="s">
        <v>19</v>
      </c>
      <c r="C2" s="12" t="s">
        <v>19</v>
      </c>
      <c r="D2" s="12" t="s">
        <v>19</v>
      </c>
      <c r="E2" s="233"/>
      <c r="F2" s="24"/>
      <c r="G2" s="24"/>
      <c r="H2" s="24"/>
      <c r="I2" s="24"/>
      <c r="K2" s="204"/>
      <c r="L2" s="205"/>
      <c r="M2" s="205"/>
      <c r="N2" s="205"/>
      <c r="O2" s="205"/>
      <c r="P2" s="18"/>
      <c r="Q2" s="18"/>
      <c r="R2" s="18"/>
      <c r="S2" s="18"/>
      <c r="T2" s="18"/>
      <c r="V2" s="212"/>
      <c r="W2" s="212"/>
      <c r="X2" s="212"/>
      <c r="Y2" s="212"/>
      <c r="Z2" s="212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V2" s="12" t="s">
        <v>103</v>
      </c>
      <c r="AW2" s="12" t="s">
        <v>20</v>
      </c>
      <c r="AX2" s="12" t="s">
        <v>29</v>
      </c>
      <c r="AZ2" s="12" t="s">
        <v>51</v>
      </c>
      <c r="BA2" s="12" t="s">
        <v>52</v>
      </c>
      <c r="BB2" s="12" t="s">
        <v>53</v>
      </c>
      <c r="BI2" s="209"/>
      <c r="BJ2" s="209"/>
      <c r="BK2" s="210"/>
      <c r="BL2" s="209" t="s">
        <v>61</v>
      </c>
      <c r="BM2" s="209"/>
      <c r="BN2" s="209" t="s">
        <v>62</v>
      </c>
      <c r="BO2" s="209"/>
      <c r="BP2" s="210"/>
      <c r="BQ2" s="210"/>
      <c r="CC2" s="206" t="s">
        <v>104</v>
      </c>
      <c r="CD2" s="59" t="s">
        <v>114</v>
      </c>
      <c r="CE2" s="59" t="s">
        <v>103</v>
      </c>
      <c r="CF2" s="60" t="s">
        <v>137</v>
      </c>
      <c r="CG2" s="60" t="s">
        <v>138</v>
      </c>
      <c r="CH2" s="60" t="s">
        <v>139</v>
      </c>
      <c r="CI2" s="60" t="s">
        <v>140</v>
      </c>
      <c r="CJ2" s="61" t="s">
        <v>141</v>
      </c>
      <c r="DA2" s="206" t="s">
        <v>147</v>
      </c>
      <c r="DB2" s="58" t="s">
        <v>123</v>
      </c>
      <c r="DC2" s="58" t="s">
        <v>125</v>
      </c>
      <c r="DD2" s="58" t="s">
        <v>127</v>
      </c>
      <c r="DE2" s="58" t="s">
        <v>142</v>
      </c>
      <c r="DF2" s="58" t="s">
        <v>128</v>
      </c>
      <c r="DG2" s="58" t="s">
        <v>129</v>
      </c>
      <c r="DH2" s="58" t="s">
        <v>130</v>
      </c>
      <c r="DI2" s="58" t="s">
        <v>131</v>
      </c>
      <c r="DJ2" s="58" t="s">
        <v>132</v>
      </c>
      <c r="DK2" s="58" t="s">
        <v>133</v>
      </c>
      <c r="DL2" s="58" t="s">
        <v>134</v>
      </c>
      <c r="DM2" s="58" t="s">
        <v>135</v>
      </c>
      <c r="DN2" s="58" t="s">
        <v>136</v>
      </c>
      <c r="EA2" s="206"/>
      <c r="EB2" s="58" t="s">
        <v>123</v>
      </c>
      <c r="EC2" s="58" t="s">
        <v>125</v>
      </c>
      <c r="ED2" s="58" t="s">
        <v>127</v>
      </c>
      <c r="EE2" s="58" t="s">
        <v>142</v>
      </c>
      <c r="EF2" s="58" t="s">
        <v>128</v>
      </c>
      <c r="EG2" s="58" t="s">
        <v>129</v>
      </c>
      <c r="EH2" s="58" t="s">
        <v>130</v>
      </c>
      <c r="EI2" s="58" t="s">
        <v>131</v>
      </c>
      <c r="EJ2" s="58" t="s">
        <v>132</v>
      </c>
      <c r="EK2" s="58" t="s">
        <v>133</v>
      </c>
      <c r="EL2" s="58" t="s">
        <v>134</v>
      </c>
      <c r="EM2" s="58" t="s">
        <v>135</v>
      </c>
      <c r="EN2" s="58" t="s">
        <v>136</v>
      </c>
      <c r="FA2" s="133" t="s">
        <v>123</v>
      </c>
      <c r="FB2" s="134" t="s">
        <v>125</v>
      </c>
      <c r="FC2" s="133" t="s">
        <v>123</v>
      </c>
      <c r="FD2" s="134" t="s">
        <v>125</v>
      </c>
      <c r="FE2" s="132" t="s">
        <v>123</v>
      </c>
      <c r="FF2" s="134" t="s">
        <v>125</v>
      </c>
    </row>
    <row r="3" spans="1:162" ht="15.6">
      <c r="A3" s="13" t="s">
        <v>25</v>
      </c>
      <c r="B3" s="2">
        <f>2.06*10^5</f>
        <v>206000</v>
      </c>
      <c r="C3" s="2">
        <v>235</v>
      </c>
      <c r="D3" s="234">
        <v>370</v>
      </c>
      <c r="E3" s="85">
        <v>1.1000000000000001</v>
      </c>
      <c r="F3" s="25"/>
      <c r="G3" s="25"/>
      <c r="H3" s="25"/>
      <c r="I3" s="25"/>
      <c r="K3" s="19" t="s">
        <v>40</v>
      </c>
      <c r="L3" s="19" t="s">
        <v>41</v>
      </c>
      <c r="M3" s="19" t="s">
        <v>42</v>
      </c>
      <c r="N3" s="19" t="s">
        <v>43</v>
      </c>
      <c r="O3" s="19" t="s">
        <v>44</v>
      </c>
      <c r="P3" s="14"/>
      <c r="Q3" s="14"/>
      <c r="R3" s="14"/>
      <c r="S3" s="14"/>
      <c r="T3" s="14"/>
      <c r="V3" s="20" t="s">
        <v>38</v>
      </c>
      <c r="W3" s="20" t="s">
        <v>45</v>
      </c>
      <c r="X3" s="20" t="s">
        <v>46</v>
      </c>
      <c r="Y3" s="20" t="s">
        <v>47</v>
      </c>
      <c r="Z3" s="22" t="s">
        <v>48</v>
      </c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V3" s="3">
        <v>360</v>
      </c>
      <c r="AW3" s="3">
        <v>560</v>
      </c>
      <c r="AX3" s="3">
        <v>475</v>
      </c>
      <c r="AZ3" s="3" t="s">
        <v>54</v>
      </c>
      <c r="BA3" s="3">
        <v>430</v>
      </c>
      <c r="BB3" s="3">
        <v>180</v>
      </c>
      <c r="BI3" s="209"/>
      <c r="BJ3" s="209"/>
      <c r="BK3" s="210"/>
      <c r="BL3" s="37" t="s">
        <v>85</v>
      </c>
      <c r="BM3" s="37" t="s">
        <v>86</v>
      </c>
      <c r="BN3" s="37" t="s">
        <v>87</v>
      </c>
      <c r="BO3" s="37" t="s">
        <v>88</v>
      </c>
      <c r="BP3" s="216" t="s">
        <v>100</v>
      </c>
      <c r="BQ3" s="43" t="s">
        <v>101</v>
      </c>
      <c r="CC3" s="206"/>
      <c r="CD3" s="58" t="s">
        <v>22</v>
      </c>
      <c r="CE3" s="58" t="s">
        <v>22</v>
      </c>
      <c r="CF3" s="58" t="s">
        <v>22</v>
      </c>
      <c r="CG3" s="58" t="s">
        <v>22</v>
      </c>
      <c r="CH3" s="58" t="s">
        <v>22</v>
      </c>
      <c r="CI3" s="58" t="s">
        <v>22</v>
      </c>
      <c r="CJ3" s="62" t="s">
        <v>22</v>
      </c>
      <c r="DA3" s="206"/>
      <c r="DB3" s="58" t="s">
        <v>124</v>
      </c>
      <c r="DC3" s="58" t="s">
        <v>126</v>
      </c>
      <c r="DD3" s="58" t="s">
        <v>1</v>
      </c>
      <c r="DE3" s="58" t="s">
        <v>124</v>
      </c>
      <c r="DF3" s="58" t="s">
        <v>124</v>
      </c>
      <c r="DG3" s="58" t="s">
        <v>124</v>
      </c>
      <c r="DH3" s="58" t="s">
        <v>1</v>
      </c>
      <c r="DI3" s="58" t="s">
        <v>1</v>
      </c>
      <c r="DJ3" s="58" t="s">
        <v>1</v>
      </c>
      <c r="DK3" s="58" t="s">
        <v>1</v>
      </c>
      <c r="DL3" s="58" t="s">
        <v>1</v>
      </c>
      <c r="DM3" s="58" t="s">
        <v>1</v>
      </c>
      <c r="DN3" s="58" t="s">
        <v>1</v>
      </c>
      <c r="EA3" s="206"/>
      <c r="EB3" s="58" t="s">
        <v>124</v>
      </c>
      <c r="EC3" s="58" t="s">
        <v>126</v>
      </c>
      <c r="ED3" s="58" t="s">
        <v>1</v>
      </c>
      <c r="EE3" s="58" t="s">
        <v>124</v>
      </c>
      <c r="EF3" s="58" t="s">
        <v>124</v>
      </c>
      <c r="EG3" s="58" t="s">
        <v>124</v>
      </c>
      <c r="EH3" s="58" t="s">
        <v>1</v>
      </c>
      <c r="EI3" s="58" t="s">
        <v>1</v>
      </c>
      <c r="EJ3" s="58" t="s">
        <v>1</v>
      </c>
      <c r="EK3" s="58" t="s">
        <v>1</v>
      </c>
      <c r="EL3" s="58" t="s">
        <v>1</v>
      </c>
      <c r="EM3" s="58" t="s">
        <v>1</v>
      </c>
      <c r="EN3" s="58" t="s">
        <v>1</v>
      </c>
      <c r="FA3" s="133" t="s">
        <v>124</v>
      </c>
      <c r="FB3" s="134" t="s">
        <v>126</v>
      </c>
      <c r="FC3" s="133" t="s">
        <v>124</v>
      </c>
      <c r="FD3" s="134" t="s">
        <v>126</v>
      </c>
      <c r="FE3" s="132" t="s">
        <v>124</v>
      </c>
      <c r="FF3" s="134" t="s">
        <v>126</v>
      </c>
    </row>
    <row r="4" spans="1:162">
      <c r="A4" s="13" t="s">
        <v>26</v>
      </c>
      <c r="B4" s="2">
        <f t="shared" ref="B4:B33" si="0">2.06*10^5</f>
        <v>206000</v>
      </c>
      <c r="C4" s="2">
        <v>345</v>
      </c>
      <c r="D4" s="234">
        <v>510</v>
      </c>
      <c r="E4" s="85">
        <v>1.1000000000000001</v>
      </c>
      <c r="F4" s="25"/>
      <c r="G4" s="25"/>
      <c r="H4" s="25"/>
      <c r="I4" s="25"/>
      <c r="K4" s="19">
        <v>5.6</v>
      </c>
      <c r="L4" s="19">
        <v>500</v>
      </c>
      <c r="M4" s="19">
        <v>300</v>
      </c>
      <c r="N4" s="19">
        <v>210</v>
      </c>
      <c r="O4" s="19">
        <v>225</v>
      </c>
      <c r="P4" s="14"/>
      <c r="Q4" s="14"/>
      <c r="R4" s="14"/>
      <c r="S4" s="14"/>
      <c r="T4" s="14"/>
      <c r="V4" s="21">
        <v>10</v>
      </c>
      <c r="W4" s="3">
        <v>1.5</v>
      </c>
      <c r="X4" s="11">
        <v>78.5</v>
      </c>
      <c r="Y4" s="3">
        <v>57.1</v>
      </c>
      <c r="Z4" s="3">
        <v>1</v>
      </c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V4" s="3">
        <v>370</v>
      </c>
      <c r="AW4" s="3">
        <v>580</v>
      </c>
      <c r="AX4" s="3">
        <v>485</v>
      </c>
      <c r="AZ4" s="3" t="s">
        <v>55</v>
      </c>
      <c r="BA4" s="3">
        <v>510</v>
      </c>
      <c r="BB4" s="3">
        <v>225</v>
      </c>
      <c r="BI4" s="209"/>
      <c r="BJ4" s="209"/>
      <c r="BK4" s="37" t="s">
        <v>22</v>
      </c>
      <c r="BL4" s="37" t="s">
        <v>22</v>
      </c>
      <c r="BM4" s="37" t="s">
        <v>22</v>
      </c>
      <c r="BN4" s="37" t="s">
        <v>22</v>
      </c>
      <c r="BO4" s="37" t="s">
        <v>22</v>
      </c>
      <c r="BP4" s="217"/>
      <c r="BQ4" s="37" t="s">
        <v>22</v>
      </c>
      <c r="CC4" s="51" t="s">
        <v>105</v>
      </c>
      <c r="CD4" s="55">
        <v>235</v>
      </c>
      <c r="CE4" s="55">
        <v>373</v>
      </c>
      <c r="CF4" s="51">
        <f>CD4</f>
        <v>235</v>
      </c>
      <c r="CG4" s="51">
        <f>CF4/1.15</f>
        <v>204.34782608695653</v>
      </c>
      <c r="CH4" s="51">
        <f>CF4</f>
        <v>235</v>
      </c>
      <c r="CI4" s="51">
        <f>0.7*CD4</f>
        <v>164.5</v>
      </c>
      <c r="CJ4" s="52">
        <v>200000</v>
      </c>
      <c r="DA4" s="63" t="str">
        <f>DB4&amp;"-"&amp;DC4</f>
        <v>5-5</v>
      </c>
      <c r="DB4" s="63">
        <v>5</v>
      </c>
      <c r="DC4" s="63">
        <v>5</v>
      </c>
      <c r="DD4" s="63">
        <v>1900</v>
      </c>
      <c r="DE4" s="63">
        <v>0.9</v>
      </c>
      <c r="DF4" s="63">
        <v>3.9</v>
      </c>
      <c r="DG4" s="63">
        <v>1.6</v>
      </c>
      <c r="DH4" s="63"/>
      <c r="DI4" s="63"/>
      <c r="DJ4" s="63"/>
      <c r="DK4" s="63"/>
      <c r="DL4" s="63"/>
      <c r="DM4" s="63"/>
      <c r="DN4" s="63"/>
      <c r="EA4" s="63" t="str">
        <f>EB4&amp;"-"&amp;EC4</f>
        <v>50-10</v>
      </c>
      <c r="EB4" s="63">
        <v>50</v>
      </c>
      <c r="EC4" s="63">
        <v>10</v>
      </c>
      <c r="ED4" s="63">
        <v>2700</v>
      </c>
      <c r="EE4" s="63">
        <v>5.0999999999999996</v>
      </c>
      <c r="EF4" s="63">
        <v>30.5</v>
      </c>
      <c r="EG4" s="63">
        <v>6.8</v>
      </c>
      <c r="EH4" s="63"/>
      <c r="EI4" s="63"/>
      <c r="EJ4" s="63"/>
      <c r="EK4" s="63"/>
      <c r="EL4" s="63"/>
      <c r="EM4" s="63"/>
      <c r="EN4" s="63"/>
      <c r="EQ4" s="130"/>
      <c r="ER4" s="130"/>
      <c r="FA4" s="138">
        <v>5</v>
      </c>
      <c r="FB4" s="139">
        <v>5</v>
      </c>
      <c r="FC4" s="3">
        <v>50</v>
      </c>
      <c r="FD4" s="3">
        <v>10</v>
      </c>
      <c r="FE4" s="85">
        <f>IF($FE$1="1 Dầm (ELV/ELK)",FA4,FC4)</f>
        <v>50</v>
      </c>
      <c r="FF4" s="137">
        <f>IF($FE$1="1 Dầm (ELV/ELK)",FB4,FD4)</f>
        <v>10</v>
      </c>
    </row>
    <row r="5" spans="1:162" ht="14.4">
      <c r="A5" s="13" t="s">
        <v>392</v>
      </c>
      <c r="B5" s="2">
        <f t="shared" si="0"/>
        <v>206000</v>
      </c>
      <c r="C5" s="2">
        <v>355</v>
      </c>
      <c r="D5" s="234">
        <v>510</v>
      </c>
      <c r="E5" s="85">
        <v>1.1000000000000001</v>
      </c>
      <c r="F5" s="25"/>
      <c r="G5" s="25"/>
      <c r="H5" s="25"/>
      <c r="I5" s="25"/>
      <c r="K5" s="19">
        <v>5.8</v>
      </c>
      <c r="L5" s="19">
        <v>500</v>
      </c>
      <c r="M5" s="19">
        <v>400</v>
      </c>
      <c r="N5" s="19">
        <v>210</v>
      </c>
      <c r="O5" s="19">
        <v>210</v>
      </c>
      <c r="P5" s="14"/>
      <c r="Q5" s="14"/>
      <c r="R5" s="14"/>
      <c r="S5" s="14"/>
      <c r="T5" s="14"/>
      <c r="V5" s="21">
        <v>12</v>
      </c>
      <c r="W5" s="3">
        <v>1.5</v>
      </c>
      <c r="X5" s="11">
        <v>113</v>
      </c>
      <c r="Y5" s="3">
        <v>84.2</v>
      </c>
      <c r="Z5" s="3">
        <v>1</v>
      </c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V5" s="3">
        <v>380</v>
      </c>
      <c r="AW5" s="3">
        <v>590</v>
      </c>
      <c r="AX5" s="3">
        <v>500</v>
      </c>
      <c r="AZ5" s="3" t="s">
        <v>56</v>
      </c>
      <c r="BA5" s="3">
        <v>410</v>
      </c>
      <c r="BB5" s="3">
        <v>180</v>
      </c>
      <c r="BI5" s="38" t="s">
        <v>63</v>
      </c>
      <c r="BJ5" s="39" t="s">
        <v>64</v>
      </c>
      <c r="BK5" s="40">
        <v>19000</v>
      </c>
      <c r="BL5" s="41">
        <v>7.5</v>
      </c>
      <c r="BM5" s="41">
        <v>6</v>
      </c>
      <c r="BN5" s="42">
        <v>0.85</v>
      </c>
      <c r="BO5" s="44">
        <v>0.56000000000000005</v>
      </c>
      <c r="BP5" s="47"/>
      <c r="BQ5" s="47"/>
      <c r="CC5" s="51" t="s">
        <v>106</v>
      </c>
      <c r="CD5" s="55">
        <v>295</v>
      </c>
      <c r="CE5" s="55">
        <v>490</v>
      </c>
      <c r="CF5" s="51">
        <f t="shared" ref="CF5:CF19" si="1">CD5</f>
        <v>295</v>
      </c>
      <c r="CG5" s="51">
        <f t="shared" ref="CG5:CG19" si="2">CF5/1.15</f>
        <v>256.52173913043481</v>
      </c>
      <c r="CH5" s="51">
        <f t="shared" ref="CH5:CH19" si="3">CF5</f>
        <v>295</v>
      </c>
      <c r="CI5" s="51">
        <f t="shared" ref="CI5:CI19" si="4">0.7*CD5</f>
        <v>206.5</v>
      </c>
      <c r="CJ5" s="52">
        <v>200000</v>
      </c>
      <c r="DA5" s="63" t="str">
        <f t="shared" ref="DA5:DA62" si="5">DB5&amp;"-"&amp;DC5</f>
        <v>5-10</v>
      </c>
      <c r="DB5" s="63">
        <v>5</v>
      </c>
      <c r="DC5" s="63">
        <v>10</v>
      </c>
      <c r="DD5" s="63">
        <v>1900</v>
      </c>
      <c r="DE5" s="63">
        <v>0.9</v>
      </c>
      <c r="DF5" s="63">
        <v>4.9000000000000004</v>
      </c>
      <c r="DG5" s="63">
        <v>2.2999999999999998</v>
      </c>
      <c r="DH5" s="63"/>
      <c r="DI5" s="63"/>
      <c r="DJ5" s="63"/>
      <c r="DK5" s="63"/>
      <c r="DL5" s="63"/>
      <c r="DM5" s="63"/>
      <c r="DN5" s="63"/>
      <c r="EA5" s="63" t="str">
        <f t="shared" ref="EA5:EA68" si="6">EB5&amp;"-"&amp;EC5</f>
        <v>50-14</v>
      </c>
      <c r="EB5" s="63">
        <v>50</v>
      </c>
      <c r="EC5" s="63">
        <v>14</v>
      </c>
      <c r="ED5" s="63">
        <v>2700</v>
      </c>
      <c r="EE5" s="63">
        <v>5.0999999999999996</v>
      </c>
      <c r="EF5" s="63">
        <v>33.299999999999997</v>
      </c>
      <c r="EG5" s="63">
        <v>8.6</v>
      </c>
      <c r="EH5" s="63"/>
      <c r="EI5" s="63"/>
      <c r="EJ5" s="63"/>
      <c r="EK5" s="63"/>
      <c r="EL5" s="63"/>
      <c r="EM5" s="63"/>
      <c r="EN5" s="63"/>
      <c r="EQ5" s="130"/>
      <c r="ER5" s="130"/>
      <c r="FA5" s="138">
        <v>10</v>
      </c>
      <c r="FB5" s="139">
        <v>10</v>
      </c>
      <c r="FC5" s="3">
        <v>63</v>
      </c>
      <c r="FD5" s="3">
        <v>14</v>
      </c>
      <c r="FE5" s="85">
        <f t="shared" ref="FE5:FE15" si="7">IF($FE$1="1 Dầm (ELV/ELK)",FA5,FC5)</f>
        <v>63</v>
      </c>
      <c r="FF5" s="137">
        <f t="shared" ref="FF5:FF15" si="8">IF($FE$1="1 Dầm (ELV/ELK)",FB5,FD5)</f>
        <v>14</v>
      </c>
    </row>
    <row r="6" spans="1:162" ht="14.4">
      <c r="A6" s="13" t="s">
        <v>28</v>
      </c>
      <c r="B6" s="2">
        <f t="shared" si="0"/>
        <v>206000</v>
      </c>
      <c r="C6" s="2">
        <v>250</v>
      </c>
      <c r="D6" s="234">
        <v>400</v>
      </c>
      <c r="E6" s="85">
        <v>1.1000000000000001</v>
      </c>
      <c r="F6" s="25"/>
      <c r="G6" s="25"/>
      <c r="H6" s="25"/>
      <c r="I6" s="25"/>
      <c r="K6" s="19">
        <v>8.8000000000000007</v>
      </c>
      <c r="L6" s="19">
        <v>830</v>
      </c>
      <c r="M6" s="19">
        <v>660</v>
      </c>
      <c r="N6" s="19">
        <v>332</v>
      </c>
      <c r="O6" s="19">
        <v>448</v>
      </c>
      <c r="P6" s="14"/>
      <c r="Q6" s="14"/>
      <c r="R6" s="14"/>
      <c r="S6" s="14"/>
      <c r="T6" s="14"/>
      <c r="V6" s="21">
        <v>16</v>
      </c>
      <c r="W6" s="3">
        <v>2</v>
      </c>
      <c r="X6" s="11">
        <f t="shared" ref="X6:X15" si="9">PI()*V6^2/4</f>
        <v>201.06192982974676</v>
      </c>
      <c r="Y6" s="3">
        <v>157</v>
      </c>
      <c r="Z6" s="3">
        <v>1</v>
      </c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V6" s="3">
        <v>390</v>
      </c>
      <c r="AW6" s="3">
        <v>610</v>
      </c>
      <c r="AX6" s="3">
        <v>515</v>
      </c>
      <c r="AZ6" s="3" t="s">
        <v>57</v>
      </c>
      <c r="BA6" s="3">
        <v>450</v>
      </c>
      <c r="BB6" s="3">
        <v>200</v>
      </c>
      <c r="BI6" s="27" t="s">
        <v>65</v>
      </c>
      <c r="BJ6" s="28" t="s">
        <v>66</v>
      </c>
      <c r="BK6" s="29">
        <v>24000</v>
      </c>
      <c r="BL6" s="30">
        <v>11</v>
      </c>
      <c r="BM6" s="30">
        <v>8.5</v>
      </c>
      <c r="BN6" s="31">
        <v>1.1000000000000001</v>
      </c>
      <c r="BO6" s="45">
        <v>0.75</v>
      </c>
      <c r="BP6" s="47" t="s">
        <v>90</v>
      </c>
      <c r="BQ6" s="47">
        <f>VALUE(MID(BP6,2,2))</f>
        <v>12</v>
      </c>
      <c r="CC6" s="51" t="s">
        <v>107</v>
      </c>
      <c r="CD6" s="55">
        <v>390</v>
      </c>
      <c r="CE6" s="55">
        <v>590</v>
      </c>
      <c r="CF6" s="51">
        <f t="shared" si="1"/>
        <v>390</v>
      </c>
      <c r="CG6" s="51">
        <f t="shared" si="2"/>
        <v>339.13043478260875</v>
      </c>
      <c r="CH6" s="51">
        <f t="shared" si="3"/>
        <v>390</v>
      </c>
      <c r="CI6" s="51">
        <f t="shared" si="4"/>
        <v>273</v>
      </c>
      <c r="CJ6" s="52">
        <v>200000</v>
      </c>
      <c r="DA6" s="63" t="str">
        <f t="shared" si="5"/>
        <v>5-15</v>
      </c>
      <c r="DB6" s="63">
        <v>5</v>
      </c>
      <c r="DC6" s="63">
        <v>15</v>
      </c>
      <c r="DD6" s="63">
        <v>2200</v>
      </c>
      <c r="DE6" s="63">
        <v>0.9</v>
      </c>
      <c r="DF6" s="63">
        <v>7.4</v>
      </c>
      <c r="DG6" s="63">
        <v>4.7</v>
      </c>
      <c r="DH6" s="63"/>
      <c r="DI6" s="63"/>
      <c r="DJ6" s="63"/>
      <c r="DK6" s="63"/>
      <c r="DL6" s="63"/>
      <c r="DM6" s="63"/>
      <c r="DN6" s="63"/>
      <c r="EA6" s="63" t="str">
        <f t="shared" si="6"/>
        <v>50-16</v>
      </c>
      <c r="EB6" s="63">
        <v>50</v>
      </c>
      <c r="EC6" s="63">
        <v>16</v>
      </c>
      <c r="ED6" s="63">
        <v>2700</v>
      </c>
      <c r="EE6" s="63">
        <v>5.0999999999999996</v>
      </c>
      <c r="EF6" s="63">
        <v>35.299999999999997</v>
      </c>
      <c r="EG6" s="63">
        <v>10.3</v>
      </c>
      <c r="EH6" s="63"/>
      <c r="EI6" s="63"/>
      <c r="EJ6" s="63"/>
      <c r="EK6" s="63"/>
      <c r="EL6" s="63"/>
      <c r="EM6" s="63"/>
      <c r="EN6" s="63"/>
      <c r="EQ6" s="130"/>
      <c r="ER6" s="131"/>
      <c r="FA6" s="138">
        <v>16</v>
      </c>
      <c r="FB6" s="139">
        <v>15</v>
      </c>
      <c r="FC6" s="3">
        <v>80</v>
      </c>
      <c r="FD6" s="3">
        <v>16</v>
      </c>
      <c r="FE6" s="85">
        <f t="shared" si="7"/>
        <v>80</v>
      </c>
      <c r="FF6" s="137">
        <f t="shared" si="8"/>
        <v>16</v>
      </c>
    </row>
    <row r="7" spans="1:162" ht="14.4">
      <c r="A7" s="13" t="s">
        <v>27</v>
      </c>
      <c r="B7" s="2">
        <f t="shared" si="0"/>
        <v>206000</v>
      </c>
      <c r="C7" s="2">
        <v>345</v>
      </c>
      <c r="D7" s="234">
        <v>450</v>
      </c>
      <c r="E7" s="85">
        <v>1.1000000000000001</v>
      </c>
      <c r="F7" s="25"/>
      <c r="G7" s="25"/>
      <c r="H7" s="25"/>
      <c r="I7" s="25"/>
      <c r="K7" s="19">
        <v>10.9</v>
      </c>
      <c r="L7" s="19">
        <v>1040</v>
      </c>
      <c r="M7" s="19">
        <v>940</v>
      </c>
      <c r="N7" s="19">
        <v>416</v>
      </c>
      <c r="O7" s="19">
        <v>728</v>
      </c>
      <c r="P7" s="14"/>
      <c r="Q7" s="14"/>
      <c r="R7" s="14"/>
      <c r="S7" s="14"/>
      <c r="T7" s="14"/>
      <c r="V7" s="21">
        <v>18</v>
      </c>
      <c r="W7" s="3">
        <v>2.5</v>
      </c>
      <c r="X7" s="11">
        <f t="shared" si="9"/>
        <v>254.46900494077323</v>
      </c>
      <c r="Y7" s="3">
        <v>192</v>
      </c>
      <c r="Z7" s="3">
        <v>1.05</v>
      </c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V7" s="3">
        <v>430</v>
      </c>
      <c r="AW7" s="3">
        <v>670</v>
      </c>
      <c r="AX7" s="3">
        <v>565</v>
      </c>
      <c r="AZ7" s="3" t="s">
        <v>58</v>
      </c>
      <c r="BA7" s="3">
        <v>490</v>
      </c>
      <c r="BB7" s="3">
        <v>215</v>
      </c>
      <c r="BI7" s="27" t="s">
        <v>67</v>
      </c>
      <c r="BJ7" s="28" t="s">
        <v>68</v>
      </c>
      <c r="BK7" s="29">
        <v>27500</v>
      </c>
      <c r="BL7" s="30">
        <v>15</v>
      </c>
      <c r="BM7" s="30">
        <v>11.5</v>
      </c>
      <c r="BN7" s="31">
        <v>1.35</v>
      </c>
      <c r="BO7" s="45">
        <v>0.9</v>
      </c>
      <c r="BP7" s="47" t="s">
        <v>91</v>
      </c>
      <c r="BQ7" s="47">
        <f t="shared" ref="BQ7:BQ15" si="10">VALUE(MID(BP7,2,2))</f>
        <v>16</v>
      </c>
      <c r="CC7" s="51" t="s">
        <v>108</v>
      </c>
      <c r="CD7" s="55">
        <v>235</v>
      </c>
      <c r="CE7" s="55">
        <v>373</v>
      </c>
      <c r="CF7" s="51">
        <f t="shared" si="1"/>
        <v>235</v>
      </c>
      <c r="CG7" s="51">
        <f t="shared" si="2"/>
        <v>204.34782608695653</v>
      </c>
      <c r="CH7" s="51">
        <f t="shared" si="3"/>
        <v>235</v>
      </c>
      <c r="CI7" s="51">
        <f t="shared" si="4"/>
        <v>164.5</v>
      </c>
      <c r="CJ7" s="53">
        <v>200000</v>
      </c>
      <c r="DA7" s="63" t="str">
        <f t="shared" si="5"/>
        <v>5-18</v>
      </c>
      <c r="DB7" s="63">
        <v>5</v>
      </c>
      <c r="DC7" s="63">
        <v>18</v>
      </c>
      <c r="DD7" s="63">
        <v>2700</v>
      </c>
      <c r="DE7" s="63">
        <v>0.9</v>
      </c>
      <c r="DF7" s="63">
        <v>9.9</v>
      </c>
      <c r="DG7" s="63">
        <v>7.2</v>
      </c>
      <c r="DH7" s="63"/>
      <c r="DI7" s="63"/>
      <c r="DJ7" s="63"/>
      <c r="DK7" s="63"/>
      <c r="DL7" s="63"/>
      <c r="DM7" s="63"/>
      <c r="DN7" s="63"/>
      <c r="EA7" s="63" t="str">
        <f t="shared" si="6"/>
        <v>50-18</v>
      </c>
      <c r="EB7" s="63">
        <v>50</v>
      </c>
      <c r="EC7" s="63">
        <v>18</v>
      </c>
      <c r="ED7" s="63">
        <v>2700</v>
      </c>
      <c r="EE7" s="63">
        <v>5.5</v>
      </c>
      <c r="EF7" s="63">
        <v>37.200000000000003</v>
      </c>
      <c r="EG7" s="63">
        <v>11.9</v>
      </c>
      <c r="EH7" s="63"/>
      <c r="EI7" s="63"/>
      <c r="EJ7" s="63"/>
      <c r="EK7" s="63"/>
      <c r="EL7" s="63"/>
      <c r="EM7" s="63"/>
      <c r="EN7" s="63"/>
      <c r="EQ7" s="130"/>
      <c r="ER7" s="130"/>
      <c r="FA7" s="138">
        <v>20</v>
      </c>
      <c r="FB7" s="139">
        <v>18</v>
      </c>
      <c r="FC7" s="3">
        <v>100</v>
      </c>
      <c r="FD7" s="3">
        <v>18</v>
      </c>
      <c r="FE7" s="85">
        <f t="shared" si="7"/>
        <v>100</v>
      </c>
      <c r="FF7" s="137">
        <f t="shared" si="8"/>
        <v>18</v>
      </c>
    </row>
    <row r="8" spans="1:162" ht="14.4">
      <c r="A8" s="13" t="s">
        <v>4</v>
      </c>
      <c r="B8" s="2">
        <f t="shared" si="0"/>
        <v>206000</v>
      </c>
      <c r="C8" s="2">
        <v>235</v>
      </c>
      <c r="D8" s="234">
        <v>360</v>
      </c>
      <c r="E8" s="85">
        <v>1.05</v>
      </c>
      <c r="F8" s="25"/>
      <c r="G8" s="25"/>
      <c r="H8" s="25"/>
      <c r="I8" s="25"/>
      <c r="K8" s="19">
        <v>12.9</v>
      </c>
      <c r="L8" s="19">
        <v>1220</v>
      </c>
      <c r="M8" s="19">
        <v>1100</v>
      </c>
      <c r="N8" s="19">
        <v>427</v>
      </c>
      <c r="O8" s="19">
        <v>854</v>
      </c>
      <c r="P8" s="14"/>
      <c r="Q8" s="14"/>
      <c r="R8" s="14"/>
      <c r="S8" s="14"/>
      <c r="T8" s="14"/>
      <c r="V8" s="21">
        <v>20</v>
      </c>
      <c r="W8" s="3">
        <v>2.5</v>
      </c>
      <c r="X8" s="11">
        <f t="shared" si="9"/>
        <v>314.15926535897933</v>
      </c>
      <c r="Y8" s="3">
        <v>245</v>
      </c>
      <c r="Z8" s="3">
        <v>1.1000000000000001</v>
      </c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V8" s="3">
        <v>440</v>
      </c>
      <c r="AW8" s="3">
        <v>685</v>
      </c>
      <c r="AX8" s="3">
        <v>580</v>
      </c>
      <c r="BI8" s="27" t="s">
        <v>69</v>
      </c>
      <c r="BJ8" s="28" t="s">
        <v>70</v>
      </c>
      <c r="BK8" s="29">
        <v>30000</v>
      </c>
      <c r="BL8" s="30">
        <v>18.5</v>
      </c>
      <c r="BM8" s="30">
        <v>14.5</v>
      </c>
      <c r="BN8" s="31">
        <v>1.55</v>
      </c>
      <c r="BO8" s="45">
        <v>1.05</v>
      </c>
      <c r="BP8" s="47" t="s">
        <v>92</v>
      </c>
      <c r="BQ8" s="47">
        <f t="shared" si="10"/>
        <v>20</v>
      </c>
      <c r="CC8" s="51" t="s">
        <v>109</v>
      </c>
      <c r="CD8" s="55">
        <v>295</v>
      </c>
      <c r="CE8" s="55">
        <v>490</v>
      </c>
      <c r="CF8" s="51">
        <f t="shared" si="1"/>
        <v>295</v>
      </c>
      <c r="CG8" s="51">
        <f t="shared" si="2"/>
        <v>256.52173913043481</v>
      </c>
      <c r="CH8" s="51">
        <f t="shared" si="3"/>
        <v>295</v>
      </c>
      <c r="CI8" s="51">
        <f t="shared" si="4"/>
        <v>206.5</v>
      </c>
      <c r="CJ8" s="53">
        <v>200000</v>
      </c>
      <c r="DA8" s="64" t="str">
        <f t="shared" si="5"/>
        <v>10-5</v>
      </c>
      <c r="DB8" s="64">
        <v>10</v>
      </c>
      <c r="DC8" s="64">
        <v>5</v>
      </c>
      <c r="DD8" s="64">
        <v>1900</v>
      </c>
      <c r="DE8" s="64">
        <v>1.2</v>
      </c>
      <c r="DF8" s="64">
        <v>6.4</v>
      </c>
      <c r="DG8" s="64">
        <v>1.9</v>
      </c>
      <c r="DH8" s="64"/>
      <c r="DI8" s="64"/>
      <c r="DJ8" s="64"/>
      <c r="DK8" s="64"/>
      <c r="DL8" s="64"/>
      <c r="DM8" s="64"/>
      <c r="DN8" s="64"/>
      <c r="EA8" s="63" t="str">
        <f t="shared" si="6"/>
        <v>50-20</v>
      </c>
      <c r="EB8" s="63">
        <v>50</v>
      </c>
      <c r="EC8" s="63">
        <v>20</v>
      </c>
      <c r="ED8" s="63">
        <v>2900</v>
      </c>
      <c r="EE8" s="63">
        <v>5.5</v>
      </c>
      <c r="EF8" s="63">
        <v>39.700000000000003</v>
      </c>
      <c r="EG8" s="63">
        <v>14.1</v>
      </c>
      <c r="EH8" s="63"/>
      <c r="EI8" s="63"/>
      <c r="EJ8" s="63"/>
      <c r="EK8" s="63"/>
      <c r="EL8" s="63"/>
      <c r="EM8" s="63"/>
      <c r="EN8" s="63"/>
      <c r="EQ8" s="130"/>
      <c r="ER8" s="130"/>
      <c r="FA8" s="138">
        <v>32</v>
      </c>
      <c r="FB8" s="139">
        <v>20</v>
      </c>
      <c r="FC8" s="3">
        <v>125</v>
      </c>
      <c r="FD8" s="3">
        <v>20</v>
      </c>
      <c r="FE8" s="85">
        <f t="shared" si="7"/>
        <v>125</v>
      </c>
      <c r="FF8" s="137">
        <f t="shared" si="8"/>
        <v>20</v>
      </c>
    </row>
    <row r="9" spans="1:162" ht="14.4">
      <c r="A9" s="13" t="s">
        <v>3</v>
      </c>
      <c r="B9" s="2">
        <f t="shared" si="0"/>
        <v>206000</v>
      </c>
      <c r="C9" s="2">
        <v>225</v>
      </c>
      <c r="D9" s="234">
        <v>360</v>
      </c>
      <c r="E9" s="85">
        <v>1.05</v>
      </c>
      <c r="F9" s="25"/>
      <c r="G9" s="25"/>
      <c r="H9" s="25"/>
      <c r="I9" s="25"/>
      <c r="V9" s="21">
        <v>22</v>
      </c>
      <c r="W9" s="3">
        <v>2.5</v>
      </c>
      <c r="X9" s="11">
        <f t="shared" si="9"/>
        <v>380.13271108436498</v>
      </c>
      <c r="Y9" s="3">
        <v>303</v>
      </c>
      <c r="Z9" s="3">
        <v>1.1000000000000001</v>
      </c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V9" s="3">
        <v>450</v>
      </c>
      <c r="AW9" s="3">
        <v>700</v>
      </c>
      <c r="AX9" s="3">
        <v>595</v>
      </c>
      <c r="BI9" s="27" t="s">
        <v>71</v>
      </c>
      <c r="BJ9" s="28" t="s">
        <v>72</v>
      </c>
      <c r="BK9" s="29">
        <v>32500</v>
      </c>
      <c r="BL9" s="30">
        <v>22</v>
      </c>
      <c r="BM9" s="30">
        <v>17</v>
      </c>
      <c r="BN9" s="31">
        <v>1.75</v>
      </c>
      <c r="BO9" s="45">
        <v>1.1499999999999999</v>
      </c>
      <c r="BP9" s="47" t="s">
        <v>93</v>
      </c>
      <c r="BQ9" s="47">
        <f t="shared" si="10"/>
        <v>25</v>
      </c>
      <c r="CC9" s="51" t="s">
        <v>110</v>
      </c>
      <c r="CD9" s="55">
        <v>390</v>
      </c>
      <c r="CE9" s="55">
        <v>590</v>
      </c>
      <c r="CF9" s="51">
        <f t="shared" si="1"/>
        <v>390</v>
      </c>
      <c r="CG9" s="51">
        <f t="shared" si="2"/>
        <v>339.13043478260875</v>
      </c>
      <c r="CH9" s="51">
        <f t="shared" si="3"/>
        <v>390</v>
      </c>
      <c r="CI9" s="51">
        <f t="shared" si="4"/>
        <v>273</v>
      </c>
      <c r="CJ9" s="53">
        <v>200000</v>
      </c>
      <c r="DA9" s="64" t="str">
        <f t="shared" si="5"/>
        <v>10-10</v>
      </c>
      <c r="DB9" s="64">
        <v>10</v>
      </c>
      <c r="DC9" s="64">
        <v>10</v>
      </c>
      <c r="DD9" s="64">
        <v>1900</v>
      </c>
      <c r="DE9" s="64">
        <v>1.2</v>
      </c>
      <c r="DF9" s="64">
        <v>7.7</v>
      </c>
      <c r="DG9" s="64">
        <v>2.7</v>
      </c>
      <c r="DH9" s="64"/>
      <c r="DI9" s="64"/>
      <c r="DJ9" s="64"/>
      <c r="DK9" s="64"/>
      <c r="DL9" s="64"/>
      <c r="DM9" s="64"/>
      <c r="DN9" s="64"/>
      <c r="EA9" s="63" t="str">
        <f t="shared" si="6"/>
        <v>50-22</v>
      </c>
      <c r="EB9" s="63">
        <v>50</v>
      </c>
      <c r="EC9" s="63">
        <v>22</v>
      </c>
      <c r="ED9" s="63">
        <v>3200</v>
      </c>
      <c r="EE9" s="63">
        <v>5.5</v>
      </c>
      <c r="EF9" s="63">
        <v>42.3</v>
      </c>
      <c r="EG9" s="63">
        <v>16.7</v>
      </c>
      <c r="EH9" s="63"/>
      <c r="EI9" s="63"/>
      <c r="EJ9" s="63"/>
      <c r="EK9" s="63"/>
      <c r="EL9" s="63"/>
      <c r="EM9" s="63"/>
      <c r="EN9" s="63"/>
      <c r="EQ9" s="130"/>
      <c r="ER9" s="130"/>
      <c r="FA9" s="138">
        <v>50</v>
      </c>
      <c r="FB9" s="139">
        <v>22</v>
      </c>
      <c r="FC9" s="3">
        <v>160</v>
      </c>
      <c r="FD9" s="3">
        <v>22</v>
      </c>
      <c r="FE9" s="85">
        <f t="shared" si="7"/>
        <v>160</v>
      </c>
      <c r="FF9" s="137">
        <f t="shared" si="8"/>
        <v>22</v>
      </c>
    </row>
    <row r="10" spans="1:162" ht="14.4">
      <c r="A10" s="13" t="s">
        <v>5</v>
      </c>
      <c r="B10" s="2">
        <f t="shared" si="0"/>
        <v>206000</v>
      </c>
      <c r="C10" s="2">
        <v>215</v>
      </c>
      <c r="D10" s="234">
        <v>360</v>
      </c>
      <c r="E10" s="85">
        <v>1.05</v>
      </c>
      <c r="F10" s="25"/>
      <c r="G10" s="25"/>
      <c r="H10" s="25"/>
      <c r="I10" s="25"/>
      <c r="V10" s="21">
        <v>24</v>
      </c>
      <c r="W10" s="3">
        <v>3</v>
      </c>
      <c r="X10" s="11">
        <f t="shared" si="9"/>
        <v>452.38934211693021</v>
      </c>
      <c r="Y10" s="3">
        <v>353</v>
      </c>
      <c r="Z10" s="3">
        <v>1.1000000000000001</v>
      </c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V10" s="3">
        <v>460</v>
      </c>
      <c r="AW10" s="3">
        <v>720</v>
      </c>
      <c r="AX10" s="3">
        <v>605</v>
      </c>
      <c r="BI10" s="27" t="s">
        <v>73</v>
      </c>
      <c r="BJ10" s="28" t="s">
        <v>74</v>
      </c>
      <c r="BK10" s="29">
        <v>34500</v>
      </c>
      <c r="BL10" s="30">
        <v>25.5</v>
      </c>
      <c r="BM10" s="30">
        <v>19.5</v>
      </c>
      <c r="BN10" s="31">
        <v>1.95</v>
      </c>
      <c r="BO10" s="45">
        <v>1.3</v>
      </c>
      <c r="BP10" s="47" t="s">
        <v>94</v>
      </c>
      <c r="BQ10" s="47">
        <f t="shared" si="10"/>
        <v>28</v>
      </c>
      <c r="CC10" s="51" t="s">
        <v>117</v>
      </c>
      <c r="CD10" s="55">
        <v>240</v>
      </c>
      <c r="CE10" s="55">
        <v>380</v>
      </c>
      <c r="CF10" s="51">
        <f t="shared" si="1"/>
        <v>240</v>
      </c>
      <c r="CG10" s="51"/>
      <c r="CH10" s="51">
        <f t="shared" si="3"/>
        <v>240</v>
      </c>
      <c r="CI10" s="51">
        <v>170</v>
      </c>
      <c r="CJ10" s="52">
        <v>200000</v>
      </c>
      <c r="DA10" s="64" t="str">
        <f t="shared" si="5"/>
        <v>10-15</v>
      </c>
      <c r="DB10" s="64">
        <v>10</v>
      </c>
      <c r="DC10" s="64">
        <v>15</v>
      </c>
      <c r="DD10" s="64">
        <v>2200</v>
      </c>
      <c r="DE10" s="64">
        <v>1.2</v>
      </c>
      <c r="DF10" s="64">
        <v>10</v>
      </c>
      <c r="DG10" s="64">
        <v>4.9000000000000004</v>
      </c>
      <c r="DH10" s="64"/>
      <c r="DI10" s="64"/>
      <c r="DJ10" s="64"/>
      <c r="DK10" s="64"/>
      <c r="DL10" s="64"/>
      <c r="DM10" s="64"/>
      <c r="DN10" s="64"/>
      <c r="EA10" s="63" t="str">
        <f t="shared" si="6"/>
        <v>50-24</v>
      </c>
      <c r="EB10" s="63">
        <v>50</v>
      </c>
      <c r="EC10" s="63">
        <v>24</v>
      </c>
      <c r="ED10" s="63">
        <v>3800</v>
      </c>
      <c r="EE10" s="63">
        <v>5.5</v>
      </c>
      <c r="EF10" s="63">
        <v>45.4</v>
      </c>
      <c r="EG10" s="63">
        <v>19.399999999999999</v>
      </c>
      <c r="EH10" s="63"/>
      <c r="EI10" s="63"/>
      <c r="EJ10" s="63"/>
      <c r="EK10" s="63"/>
      <c r="EL10" s="63"/>
      <c r="EM10" s="63"/>
      <c r="EN10" s="63"/>
      <c r="EQ10" s="130"/>
      <c r="ER10" s="130"/>
      <c r="FA10" s="138">
        <v>63</v>
      </c>
      <c r="FB10" s="139">
        <v>24</v>
      </c>
      <c r="FC10" s="3">
        <v>200</v>
      </c>
      <c r="FD10" s="3">
        <v>24</v>
      </c>
      <c r="FE10" s="85">
        <f t="shared" si="7"/>
        <v>200</v>
      </c>
      <c r="FF10" s="137">
        <f t="shared" si="8"/>
        <v>24</v>
      </c>
    </row>
    <row r="11" spans="1:162" ht="14.4">
      <c r="A11" s="13" t="s">
        <v>6</v>
      </c>
      <c r="B11" s="2">
        <f t="shared" si="0"/>
        <v>206000</v>
      </c>
      <c r="C11" s="2">
        <v>215</v>
      </c>
      <c r="D11" s="234">
        <v>360</v>
      </c>
      <c r="E11" s="85">
        <v>1.05</v>
      </c>
      <c r="F11" s="25"/>
      <c r="G11" s="25"/>
      <c r="H11" s="25"/>
      <c r="I11" s="25"/>
      <c r="V11" s="21">
        <v>27</v>
      </c>
      <c r="W11" s="3">
        <v>3</v>
      </c>
      <c r="X11" s="11">
        <f t="shared" si="9"/>
        <v>572.55526111673976</v>
      </c>
      <c r="Y11" s="3">
        <v>459</v>
      </c>
      <c r="Z11" s="3">
        <v>1.2</v>
      </c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V11" s="3">
        <v>470</v>
      </c>
      <c r="AW11" s="3">
        <v>735</v>
      </c>
      <c r="AX11" s="3">
        <v>620</v>
      </c>
      <c r="BI11" s="27" t="s">
        <v>75</v>
      </c>
      <c r="BJ11" s="28" t="s">
        <v>76</v>
      </c>
      <c r="BK11" s="29">
        <v>36000</v>
      </c>
      <c r="BL11" s="30">
        <v>29</v>
      </c>
      <c r="BM11" s="30">
        <v>22</v>
      </c>
      <c r="BN11" s="31">
        <v>2.1</v>
      </c>
      <c r="BO11" s="45">
        <v>1.4</v>
      </c>
      <c r="BP11" s="47" t="s">
        <v>95</v>
      </c>
      <c r="BQ11" s="47">
        <f t="shared" si="10"/>
        <v>32</v>
      </c>
      <c r="CC11" s="51" t="s">
        <v>118</v>
      </c>
      <c r="CD11" s="55">
        <v>300</v>
      </c>
      <c r="CE11" s="55">
        <v>440</v>
      </c>
      <c r="CF11" s="51">
        <f t="shared" si="1"/>
        <v>300</v>
      </c>
      <c r="CG11" s="51"/>
      <c r="CH11" s="51">
        <f t="shared" si="3"/>
        <v>300</v>
      </c>
      <c r="CI11" s="51">
        <v>210</v>
      </c>
      <c r="CJ11" s="52">
        <v>200000</v>
      </c>
      <c r="DA11" s="64" t="str">
        <f t="shared" si="5"/>
        <v>10-18</v>
      </c>
      <c r="DB11" s="64">
        <v>10</v>
      </c>
      <c r="DC11" s="64">
        <v>18</v>
      </c>
      <c r="DD11" s="64">
        <v>2700</v>
      </c>
      <c r="DE11" s="64">
        <v>1.2</v>
      </c>
      <c r="DF11" s="64">
        <v>12.6</v>
      </c>
      <c r="DG11" s="64">
        <v>7.3</v>
      </c>
      <c r="DH11" s="64"/>
      <c r="DI11" s="64"/>
      <c r="DJ11" s="64"/>
      <c r="DK11" s="64"/>
      <c r="DL11" s="64"/>
      <c r="DM11" s="64"/>
      <c r="DN11" s="64"/>
      <c r="EA11" s="63" t="str">
        <f t="shared" si="6"/>
        <v>50-26</v>
      </c>
      <c r="EB11" s="63">
        <v>50</v>
      </c>
      <c r="EC11" s="63">
        <v>26</v>
      </c>
      <c r="ED11" s="63">
        <v>3800</v>
      </c>
      <c r="EE11" s="63">
        <v>5.8</v>
      </c>
      <c r="EF11" s="63">
        <v>49.8</v>
      </c>
      <c r="EG11" s="63">
        <v>23.7</v>
      </c>
      <c r="EH11" s="63"/>
      <c r="EI11" s="63"/>
      <c r="EJ11" s="63"/>
      <c r="EK11" s="63"/>
      <c r="EL11" s="63"/>
      <c r="EM11" s="63"/>
      <c r="EN11" s="63"/>
      <c r="EQ11" s="130"/>
      <c r="ER11" s="130"/>
      <c r="FA11" s="138">
        <v>80</v>
      </c>
      <c r="FB11" s="139">
        <v>26</v>
      </c>
      <c r="FC11" s="3">
        <v>250</v>
      </c>
      <c r="FD11" s="3">
        <v>26</v>
      </c>
      <c r="FE11" s="85">
        <f t="shared" si="7"/>
        <v>250</v>
      </c>
      <c r="FF11" s="137">
        <f t="shared" si="8"/>
        <v>26</v>
      </c>
    </row>
    <row r="12" spans="1:162" ht="14.4">
      <c r="A12" s="13" t="s">
        <v>7</v>
      </c>
      <c r="B12" s="2">
        <f t="shared" si="0"/>
        <v>206000</v>
      </c>
      <c r="C12" s="2">
        <v>215</v>
      </c>
      <c r="D12" s="234">
        <v>360</v>
      </c>
      <c r="E12" s="85">
        <v>1.05</v>
      </c>
      <c r="F12" s="25"/>
      <c r="G12" s="25"/>
      <c r="H12" s="25"/>
      <c r="I12" s="25"/>
      <c r="V12" s="21">
        <v>30</v>
      </c>
      <c r="W12" s="3">
        <v>3.5</v>
      </c>
      <c r="X12" s="11">
        <f t="shared" si="9"/>
        <v>706.85834705770344</v>
      </c>
      <c r="Y12" s="3">
        <v>561</v>
      </c>
      <c r="Z12" s="3">
        <v>1.3</v>
      </c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V12" s="3">
        <v>480</v>
      </c>
      <c r="AW12" s="3">
        <v>750</v>
      </c>
      <c r="AX12" s="3">
        <v>630</v>
      </c>
      <c r="BI12" s="27" t="s">
        <v>77</v>
      </c>
      <c r="BJ12" s="28" t="s">
        <v>78</v>
      </c>
      <c r="BK12" s="29">
        <v>37000</v>
      </c>
      <c r="BL12" s="30">
        <v>32</v>
      </c>
      <c r="BM12" s="30">
        <v>25</v>
      </c>
      <c r="BN12" s="31">
        <v>2.25</v>
      </c>
      <c r="BO12" s="45">
        <v>1.5</v>
      </c>
      <c r="BP12" s="47" t="s">
        <v>96</v>
      </c>
      <c r="BQ12" s="47">
        <f t="shared" si="10"/>
        <v>35</v>
      </c>
      <c r="CC12" s="51" t="s">
        <v>119</v>
      </c>
      <c r="CD12" s="55">
        <v>300</v>
      </c>
      <c r="CE12" s="55">
        <v>450</v>
      </c>
      <c r="CF12" s="51">
        <f t="shared" si="1"/>
        <v>300</v>
      </c>
      <c r="CG12" s="51"/>
      <c r="CH12" s="51">
        <f t="shared" si="3"/>
        <v>300</v>
      </c>
      <c r="CI12" s="51">
        <v>210</v>
      </c>
      <c r="CJ12" s="52">
        <v>200000</v>
      </c>
      <c r="DA12" s="65" t="str">
        <f t="shared" si="5"/>
        <v>16-5</v>
      </c>
      <c r="DB12" s="65">
        <v>16</v>
      </c>
      <c r="DC12" s="65">
        <v>5</v>
      </c>
      <c r="DD12" s="65">
        <v>1900</v>
      </c>
      <c r="DE12" s="65">
        <v>1.7</v>
      </c>
      <c r="DF12" s="65">
        <v>9.6999999999999993</v>
      </c>
      <c r="DG12" s="65">
        <v>2.9</v>
      </c>
      <c r="DH12" s="65"/>
      <c r="DI12" s="65"/>
      <c r="DJ12" s="65"/>
      <c r="DK12" s="65"/>
      <c r="DL12" s="65"/>
      <c r="DM12" s="65"/>
      <c r="DN12" s="65"/>
      <c r="EA12" s="63" t="str">
        <f t="shared" si="6"/>
        <v>50-28</v>
      </c>
      <c r="EB12" s="63">
        <v>50</v>
      </c>
      <c r="EC12" s="63">
        <v>28</v>
      </c>
      <c r="ED12" s="63">
        <v>4600</v>
      </c>
      <c r="EE12" s="63">
        <v>5.8</v>
      </c>
      <c r="EF12" s="63">
        <v>52.7</v>
      </c>
      <c r="EG12" s="63">
        <v>26.4</v>
      </c>
      <c r="EH12" s="63"/>
      <c r="EI12" s="63"/>
      <c r="EJ12" s="63"/>
      <c r="EK12" s="63"/>
      <c r="EL12" s="63"/>
      <c r="EM12" s="63"/>
      <c r="EN12" s="63"/>
      <c r="EQ12" s="130"/>
      <c r="ER12" s="130"/>
      <c r="FA12" s="138">
        <v>100</v>
      </c>
      <c r="FB12" s="140"/>
      <c r="FC12" s="3">
        <v>320</v>
      </c>
      <c r="FD12" s="3">
        <v>28</v>
      </c>
      <c r="FE12" s="85">
        <f t="shared" si="7"/>
        <v>320</v>
      </c>
      <c r="FF12" s="137">
        <f t="shared" si="8"/>
        <v>28</v>
      </c>
    </row>
    <row r="13" spans="1:162" ht="14.4">
      <c r="A13" s="13" t="s">
        <v>8</v>
      </c>
      <c r="B13" s="2">
        <f t="shared" si="0"/>
        <v>206000</v>
      </c>
      <c r="C13" s="2">
        <v>275</v>
      </c>
      <c r="D13" s="234">
        <v>410</v>
      </c>
      <c r="E13" s="85">
        <v>1.05</v>
      </c>
      <c r="F13" s="25"/>
      <c r="G13" s="25"/>
      <c r="H13" s="25"/>
      <c r="I13" s="25"/>
      <c r="V13" s="21">
        <v>36</v>
      </c>
      <c r="W13" s="3">
        <v>4</v>
      </c>
      <c r="X13" s="11">
        <f t="shared" si="9"/>
        <v>1017.8760197630929</v>
      </c>
      <c r="Y13" s="3">
        <v>816</v>
      </c>
      <c r="Z13" s="3">
        <v>1.3</v>
      </c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V13" s="3">
        <v>490</v>
      </c>
      <c r="AW13" s="3">
        <v>765</v>
      </c>
      <c r="AX13" s="3">
        <v>645</v>
      </c>
      <c r="BI13" s="27" t="s">
        <v>79</v>
      </c>
      <c r="BJ13" s="28" t="s">
        <v>80</v>
      </c>
      <c r="BK13" s="29">
        <v>38000</v>
      </c>
      <c r="BL13" s="30">
        <v>36</v>
      </c>
      <c r="BM13" s="30">
        <v>27.5</v>
      </c>
      <c r="BN13" s="31">
        <v>2.4500000000000002</v>
      </c>
      <c r="BO13" s="45">
        <v>1.6</v>
      </c>
      <c r="BP13" s="47" t="s">
        <v>97</v>
      </c>
      <c r="BQ13" s="47">
        <f t="shared" si="10"/>
        <v>40</v>
      </c>
      <c r="CC13" s="51" t="s">
        <v>120</v>
      </c>
      <c r="CD13" s="55">
        <v>400</v>
      </c>
      <c r="CE13" s="55">
        <v>570</v>
      </c>
      <c r="CF13" s="51">
        <f t="shared" si="1"/>
        <v>400</v>
      </c>
      <c r="CG13" s="51"/>
      <c r="CH13" s="51">
        <f t="shared" si="3"/>
        <v>400</v>
      </c>
      <c r="CI13" s="51">
        <v>280</v>
      </c>
      <c r="CJ13" s="52">
        <v>200000</v>
      </c>
      <c r="DA13" s="65" t="str">
        <f t="shared" si="5"/>
        <v>16-10</v>
      </c>
      <c r="DB13" s="65">
        <v>16</v>
      </c>
      <c r="DC13" s="65">
        <v>10</v>
      </c>
      <c r="DD13" s="65">
        <v>1900</v>
      </c>
      <c r="DE13" s="65">
        <v>1.7</v>
      </c>
      <c r="DF13" s="65">
        <v>11.7</v>
      </c>
      <c r="DG13" s="65">
        <v>3.7</v>
      </c>
      <c r="DH13" s="65"/>
      <c r="DI13" s="65"/>
      <c r="DJ13" s="65"/>
      <c r="DK13" s="65"/>
      <c r="DL13" s="65"/>
      <c r="DM13" s="65"/>
      <c r="DN13" s="65"/>
      <c r="EA13" s="63" t="str">
        <f t="shared" si="6"/>
        <v>50-30</v>
      </c>
      <c r="EB13" s="63">
        <v>50</v>
      </c>
      <c r="EC13" s="63">
        <v>30</v>
      </c>
      <c r="ED13" s="63">
        <v>4600</v>
      </c>
      <c r="EE13" s="63">
        <v>5.8</v>
      </c>
      <c r="EF13" s="63">
        <v>56.6</v>
      </c>
      <c r="EG13" s="63">
        <v>30.4</v>
      </c>
      <c r="EH13" s="63"/>
      <c r="EI13" s="63"/>
      <c r="EJ13" s="63"/>
      <c r="EK13" s="63"/>
      <c r="EL13" s="63"/>
      <c r="EM13" s="63"/>
      <c r="EN13" s="63"/>
      <c r="EQ13" s="130"/>
      <c r="ER13" s="130"/>
      <c r="FB13" s="1"/>
      <c r="FC13" s="3">
        <v>400</v>
      </c>
      <c r="FD13" s="3">
        <v>30</v>
      </c>
      <c r="FE13" s="85">
        <f t="shared" si="7"/>
        <v>400</v>
      </c>
      <c r="FF13" s="137">
        <f t="shared" si="8"/>
        <v>30</v>
      </c>
    </row>
    <row r="14" spans="1:162" ht="14.4">
      <c r="A14" s="13" t="s">
        <v>9</v>
      </c>
      <c r="B14" s="2">
        <f t="shared" si="0"/>
        <v>206000</v>
      </c>
      <c r="C14" s="2">
        <v>265</v>
      </c>
      <c r="D14" s="234">
        <v>410</v>
      </c>
      <c r="E14" s="85">
        <v>1.05</v>
      </c>
      <c r="F14" s="25"/>
      <c r="G14" s="25"/>
      <c r="H14" s="25"/>
      <c r="I14" s="25"/>
      <c r="V14" s="21">
        <v>42</v>
      </c>
      <c r="W14" s="3">
        <v>4.5</v>
      </c>
      <c r="X14" s="11">
        <f t="shared" si="9"/>
        <v>1385.4423602330987</v>
      </c>
      <c r="Y14" s="3">
        <v>1120</v>
      </c>
      <c r="Z14" s="3">
        <v>1.6</v>
      </c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V14" s="3">
        <v>510</v>
      </c>
      <c r="AW14" s="3">
        <v>795</v>
      </c>
      <c r="AX14" s="3">
        <v>670</v>
      </c>
      <c r="BI14" s="27" t="s">
        <v>79</v>
      </c>
      <c r="BJ14" s="28" t="s">
        <v>81</v>
      </c>
      <c r="BK14" s="29">
        <v>39000</v>
      </c>
      <c r="BL14" s="30">
        <v>39.5</v>
      </c>
      <c r="BM14" s="30">
        <v>30</v>
      </c>
      <c r="BN14" s="31">
        <v>2.6</v>
      </c>
      <c r="BO14" s="45">
        <v>1.7</v>
      </c>
      <c r="BP14" s="47" t="s">
        <v>98</v>
      </c>
      <c r="BQ14" s="47">
        <f t="shared" si="10"/>
        <v>45</v>
      </c>
      <c r="CC14" s="51" t="s">
        <v>121</v>
      </c>
      <c r="CD14" s="55">
        <v>500</v>
      </c>
      <c r="CE14" s="55">
        <v>650</v>
      </c>
      <c r="CF14" s="51">
        <f t="shared" si="1"/>
        <v>500</v>
      </c>
      <c r="CG14" s="51"/>
      <c r="CH14" s="51">
        <f t="shared" si="3"/>
        <v>500</v>
      </c>
      <c r="CI14" s="51">
        <v>300</v>
      </c>
      <c r="CJ14" s="52">
        <v>200000</v>
      </c>
      <c r="DA14" s="65" t="str">
        <f t="shared" si="5"/>
        <v>16-15</v>
      </c>
      <c r="DB14" s="65">
        <v>16</v>
      </c>
      <c r="DC14" s="65">
        <v>15</v>
      </c>
      <c r="DD14" s="65">
        <v>2200</v>
      </c>
      <c r="DE14" s="65">
        <v>1.7</v>
      </c>
      <c r="DF14" s="65">
        <v>13.7</v>
      </c>
      <c r="DG14" s="65">
        <v>5.3</v>
      </c>
      <c r="DH14" s="65"/>
      <c r="DI14" s="65"/>
      <c r="DJ14" s="65"/>
      <c r="DK14" s="65"/>
      <c r="DL14" s="65"/>
      <c r="DM14" s="65"/>
      <c r="DN14" s="65"/>
      <c r="EA14" s="63" t="str">
        <f t="shared" si="6"/>
        <v>50-32</v>
      </c>
      <c r="EB14" s="63">
        <v>50</v>
      </c>
      <c r="EC14" s="63">
        <v>32</v>
      </c>
      <c r="ED14" s="63">
        <v>5100</v>
      </c>
      <c r="EE14" s="63">
        <v>6.15</v>
      </c>
      <c r="EF14" s="63">
        <v>65.7</v>
      </c>
      <c r="EG14" s="63">
        <v>39.200000000000003</v>
      </c>
      <c r="EH14" s="63"/>
      <c r="EI14" s="63"/>
      <c r="EJ14" s="63"/>
      <c r="EK14" s="63"/>
      <c r="EL14" s="63"/>
      <c r="EM14" s="63"/>
      <c r="EN14" s="63"/>
      <c r="EQ14" s="130"/>
      <c r="ER14" s="130"/>
      <c r="FB14" s="1"/>
      <c r="FC14" s="3">
        <v>500</v>
      </c>
      <c r="FD14" s="3">
        <v>32</v>
      </c>
      <c r="FE14" s="85">
        <f t="shared" si="7"/>
        <v>500</v>
      </c>
      <c r="FF14" s="137">
        <f t="shared" si="8"/>
        <v>32</v>
      </c>
    </row>
    <row r="15" spans="1:162" ht="15" thickBot="1">
      <c r="A15" s="13" t="s">
        <v>10</v>
      </c>
      <c r="B15" s="2">
        <f t="shared" si="0"/>
        <v>206000</v>
      </c>
      <c r="C15" s="2">
        <v>255</v>
      </c>
      <c r="D15" s="234">
        <v>410</v>
      </c>
      <c r="E15" s="85">
        <v>1.05</v>
      </c>
      <c r="F15" s="25"/>
      <c r="G15" s="25"/>
      <c r="H15" s="25"/>
      <c r="I15" s="25"/>
      <c r="V15" s="21">
        <v>48</v>
      </c>
      <c r="W15" s="3">
        <v>5</v>
      </c>
      <c r="X15" s="11">
        <f t="shared" si="9"/>
        <v>1809.5573684677208</v>
      </c>
      <c r="Y15" s="3">
        <v>1472</v>
      </c>
      <c r="Z15" s="3">
        <v>1.6</v>
      </c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V15" s="3">
        <v>540</v>
      </c>
      <c r="AW15" s="3">
        <v>845</v>
      </c>
      <c r="AX15" s="3">
        <v>710</v>
      </c>
      <c r="BI15" s="32" t="s">
        <v>82</v>
      </c>
      <c r="BJ15" s="33" t="s">
        <v>83</v>
      </c>
      <c r="BK15" s="34">
        <v>39500</v>
      </c>
      <c r="BL15" s="35">
        <v>43</v>
      </c>
      <c r="BM15" s="35">
        <v>33</v>
      </c>
      <c r="BN15" s="36">
        <v>2.75</v>
      </c>
      <c r="BO15" s="46">
        <v>1.8</v>
      </c>
      <c r="BP15" s="47" t="s">
        <v>99</v>
      </c>
      <c r="BQ15" s="47">
        <f t="shared" si="10"/>
        <v>50</v>
      </c>
      <c r="CC15" s="51" t="s">
        <v>115</v>
      </c>
      <c r="CD15" s="55">
        <v>235</v>
      </c>
      <c r="CE15" s="55">
        <v>380</v>
      </c>
      <c r="CF15" s="51">
        <f t="shared" si="1"/>
        <v>235</v>
      </c>
      <c r="CG15" s="51">
        <f t="shared" si="2"/>
        <v>204.34782608695653</v>
      </c>
      <c r="CH15" s="51">
        <f t="shared" si="3"/>
        <v>235</v>
      </c>
      <c r="CI15" s="51">
        <f t="shared" si="4"/>
        <v>164.5</v>
      </c>
      <c r="CJ15" s="54">
        <v>200000</v>
      </c>
      <c r="DA15" s="65" t="str">
        <f t="shared" si="5"/>
        <v>16-18</v>
      </c>
      <c r="DB15" s="65">
        <v>16</v>
      </c>
      <c r="DC15" s="65">
        <v>18</v>
      </c>
      <c r="DD15" s="65">
        <v>2700</v>
      </c>
      <c r="DE15" s="65">
        <v>1.7</v>
      </c>
      <c r="DF15" s="65">
        <v>16.600000000000001</v>
      </c>
      <c r="DG15" s="65">
        <v>8.1</v>
      </c>
      <c r="DH15" s="65"/>
      <c r="DI15" s="65"/>
      <c r="DJ15" s="65"/>
      <c r="DK15" s="65"/>
      <c r="DL15" s="65"/>
      <c r="DM15" s="65"/>
      <c r="DN15" s="65"/>
      <c r="EA15" s="63" t="str">
        <f t="shared" si="6"/>
        <v>50-34</v>
      </c>
      <c r="EB15" s="63">
        <v>50</v>
      </c>
      <c r="EC15" s="63">
        <v>34</v>
      </c>
      <c r="ED15" s="63">
        <v>5100</v>
      </c>
      <c r="EE15" s="63">
        <v>6.15</v>
      </c>
      <c r="EF15" s="63">
        <v>70.900000000000006</v>
      </c>
      <c r="EG15" s="63">
        <v>44.6</v>
      </c>
      <c r="EH15" s="63"/>
      <c r="EI15" s="63"/>
      <c r="EJ15" s="63"/>
      <c r="EK15" s="63"/>
      <c r="EL15" s="63"/>
      <c r="EM15" s="63"/>
      <c r="EN15" s="63"/>
      <c r="EQ15" s="130"/>
      <c r="ER15" s="130"/>
      <c r="FB15" s="1"/>
      <c r="FC15" s="137"/>
      <c r="FD15" s="3">
        <v>34</v>
      </c>
      <c r="FE15" s="85">
        <f t="shared" si="7"/>
        <v>0</v>
      </c>
      <c r="FF15" s="137">
        <f t="shared" si="8"/>
        <v>34</v>
      </c>
    </row>
    <row r="16" spans="1:162">
      <c r="A16" s="13" t="s">
        <v>11</v>
      </c>
      <c r="B16" s="2">
        <f t="shared" si="0"/>
        <v>206000</v>
      </c>
      <c r="C16" s="2">
        <v>245</v>
      </c>
      <c r="D16" s="234">
        <v>410</v>
      </c>
      <c r="E16" s="85">
        <v>1.05</v>
      </c>
      <c r="F16" s="25"/>
      <c r="G16" s="25"/>
      <c r="H16" s="25"/>
      <c r="I16" s="25"/>
      <c r="AV16" s="3">
        <v>570</v>
      </c>
      <c r="AW16" s="3">
        <v>890</v>
      </c>
      <c r="AX16" s="3">
        <v>750</v>
      </c>
      <c r="CC16" s="51" t="s">
        <v>116</v>
      </c>
      <c r="CD16" s="55">
        <v>295</v>
      </c>
      <c r="CE16" s="55">
        <v>440</v>
      </c>
      <c r="CF16" s="51">
        <f t="shared" si="1"/>
        <v>295</v>
      </c>
      <c r="CG16" s="51">
        <f t="shared" si="2"/>
        <v>256.52173913043481</v>
      </c>
      <c r="CH16" s="51">
        <f t="shared" si="3"/>
        <v>295</v>
      </c>
      <c r="CI16" s="51">
        <f t="shared" si="4"/>
        <v>206.5</v>
      </c>
      <c r="CJ16" s="54">
        <v>200000</v>
      </c>
      <c r="DA16" s="66" t="str">
        <f t="shared" si="5"/>
        <v>20-5</v>
      </c>
      <c r="DB16" s="66">
        <v>20</v>
      </c>
      <c r="DC16" s="66">
        <v>5</v>
      </c>
      <c r="DD16" s="66">
        <v>1900</v>
      </c>
      <c r="DE16" s="66">
        <v>2.6</v>
      </c>
      <c r="DF16" s="66">
        <v>11.5</v>
      </c>
      <c r="DG16" s="66">
        <v>3.3</v>
      </c>
      <c r="DH16" s="66"/>
      <c r="DI16" s="66"/>
      <c r="DJ16" s="66"/>
      <c r="DK16" s="66"/>
      <c r="DL16" s="66"/>
      <c r="DM16" s="66"/>
      <c r="DN16" s="66"/>
      <c r="EA16" s="65" t="str">
        <f t="shared" si="6"/>
        <v>63-10</v>
      </c>
      <c r="EB16" s="65">
        <v>63</v>
      </c>
      <c r="EC16" s="65">
        <v>10</v>
      </c>
      <c r="ED16" s="65">
        <v>2700</v>
      </c>
      <c r="EE16" s="65">
        <v>5.5</v>
      </c>
      <c r="EF16" s="65">
        <v>36.799999999999997</v>
      </c>
      <c r="EG16" s="65">
        <v>7.3</v>
      </c>
      <c r="EH16" s="65"/>
      <c r="EI16" s="65"/>
      <c r="EJ16" s="65"/>
      <c r="EK16" s="65"/>
      <c r="EL16" s="65"/>
      <c r="EM16" s="65"/>
      <c r="EN16" s="65"/>
      <c r="EQ16" s="130"/>
      <c r="ER16" s="130"/>
    </row>
    <row r="17" spans="1:148">
      <c r="A17" s="13" t="s">
        <v>12</v>
      </c>
      <c r="B17" s="2">
        <f t="shared" si="0"/>
        <v>206000</v>
      </c>
      <c r="C17" s="2">
        <v>235</v>
      </c>
      <c r="D17" s="234">
        <v>410</v>
      </c>
      <c r="E17" s="85">
        <v>1.05</v>
      </c>
      <c r="F17" s="25"/>
      <c r="G17" s="25"/>
      <c r="H17" s="25"/>
      <c r="I17" s="25"/>
      <c r="AV17" s="3">
        <v>590</v>
      </c>
      <c r="AW17" s="3">
        <v>920</v>
      </c>
      <c r="AX17" s="3">
        <v>775</v>
      </c>
      <c r="CC17" s="51" t="s">
        <v>111</v>
      </c>
      <c r="CD17" s="55">
        <v>295</v>
      </c>
      <c r="CE17" s="55">
        <v>440</v>
      </c>
      <c r="CF17" s="51">
        <f t="shared" si="1"/>
        <v>295</v>
      </c>
      <c r="CG17" s="51">
        <f t="shared" si="2"/>
        <v>256.52173913043481</v>
      </c>
      <c r="CH17" s="51">
        <f t="shared" si="3"/>
        <v>295</v>
      </c>
      <c r="CI17" s="51">
        <f t="shared" si="4"/>
        <v>206.5</v>
      </c>
      <c r="CJ17" s="54">
        <v>200000</v>
      </c>
      <c r="DA17" s="66" t="str">
        <f t="shared" si="5"/>
        <v>20-10</v>
      </c>
      <c r="DB17" s="66">
        <v>20</v>
      </c>
      <c r="DC17" s="66">
        <v>10</v>
      </c>
      <c r="DD17" s="66">
        <v>1900</v>
      </c>
      <c r="DE17" s="66">
        <v>2.6</v>
      </c>
      <c r="DF17" s="66">
        <v>13.8</v>
      </c>
      <c r="DG17" s="66">
        <v>4.2</v>
      </c>
      <c r="DH17" s="66"/>
      <c r="DI17" s="66"/>
      <c r="DJ17" s="66"/>
      <c r="DK17" s="66"/>
      <c r="DL17" s="66"/>
      <c r="DM17" s="66"/>
      <c r="DN17" s="66"/>
      <c r="EA17" s="65" t="str">
        <f t="shared" si="6"/>
        <v>63-14</v>
      </c>
      <c r="EB17" s="65">
        <v>63</v>
      </c>
      <c r="EC17" s="65">
        <v>14</v>
      </c>
      <c r="ED17" s="65">
        <v>2700</v>
      </c>
      <c r="EE17" s="65">
        <v>5.5</v>
      </c>
      <c r="EF17" s="65">
        <v>40.700000000000003</v>
      </c>
      <c r="EG17" s="65">
        <v>9.9</v>
      </c>
      <c r="EH17" s="65"/>
      <c r="EI17" s="65"/>
      <c r="EJ17" s="65"/>
      <c r="EK17" s="65"/>
      <c r="EL17" s="65"/>
      <c r="EM17" s="65"/>
      <c r="EN17" s="65"/>
      <c r="EQ17" s="130"/>
      <c r="ER17" s="130"/>
    </row>
    <row r="18" spans="1:148">
      <c r="A18" s="13" t="s">
        <v>13</v>
      </c>
      <c r="B18" s="2">
        <f t="shared" si="0"/>
        <v>206000</v>
      </c>
      <c r="C18" s="2">
        <v>355</v>
      </c>
      <c r="D18" s="234">
        <v>470</v>
      </c>
      <c r="E18" s="85">
        <v>1.05</v>
      </c>
      <c r="F18" s="25"/>
      <c r="G18" s="25"/>
      <c r="H18" s="25"/>
      <c r="I18" s="25"/>
      <c r="AV18" s="3"/>
      <c r="AW18" s="3"/>
      <c r="AX18" s="3"/>
      <c r="CC18" s="51" t="s">
        <v>112</v>
      </c>
      <c r="CD18" s="55">
        <v>390</v>
      </c>
      <c r="CE18" s="55">
        <v>560</v>
      </c>
      <c r="CF18" s="51">
        <f t="shared" si="1"/>
        <v>390</v>
      </c>
      <c r="CG18" s="51">
        <f t="shared" si="2"/>
        <v>339.13043478260875</v>
      </c>
      <c r="CH18" s="51">
        <f t="shared" si="3"/>
        <v>390</v>
      </c>
      <c r="CI18" s="51">
        <f t="shared" si="4"/>
        <v>273</v>
      </c>
      <c r="CJ18" s="53">
        <v>200000</v>
      </c>
      <c r="DA18" s="66" t="str">
        <f t="shared" si="5"/>
        <v>20-15</v>
      </c>
      <c r="DB18" s="66">
        <v>20</v>
      </c>
      <c r="DC18" s="66">
        <v>15</v>
      </c>
      <c r="DD18" s="66">
        <v>2200</v>
      </c>
      <c r="DE18" s="66">
        <v>2.6</v>
      </c>
      <c r="DF18" s="66">
        <v>15.8</v>
      </c>
      <c r="DG18" s="66">
        <v>5.6</v>
      </c>
      <c r="DH18" s="66"/>
      <c r="DI18" s="66"/>
      <c r="DJ18" s="66"/>
      <c r="DK18" s="66"/>
      <c r="DL18" s="66"/>
      <c r="DM18" s="66"/>
      <c r="DN18" s="66"/>
      <c r="EA18" s="65" t="str">
        <f t="shared" si="6"/>
        <v>63-16</v>
      </c>
      <c r="EB18" s="65">
        <v>63</v>
      </c>
      <c r="EC18" s="65">
        <v>16</v>
      </c>
      <c r="ED18" s="65">
        <v>2900</v>
      </c>
      <c r="EE18" s="65">
        <v>5.5</v>
      </c>
      <c r="EF18" s="65">
        <v>42.8</v>
      </c>
      <c r="EG18" s="65">
        <v>11.6</v>
      </c>
      <c r="EH18" s="65"/>
      <c r="EI18" s="65"/>
      <c r="EJ18" s="65"/>
      <c r="EK18" s="65"/>
      <c r="EL18" s="65"/>
      <c r="EM18" s="65"/>
      <c r="EN18" s="65"/>
      <c r="EQ18" s="130"/>
      <c r="ER18" s="130"/>
    </row>
    <row r="19" spans="1:148">
      <c r="A19" s="13" t="s">
        <v>14</v>
      </c>
      <c r="B19" s="2">
        <f t="shared" si="0"/>
        <v>206000</v>
      </c>
      <c r="C19" s="2">
        <v>345</v>
      </c>
      <c r="D19" s="234">
        <v>470</v>
      </c>
      <c r="E19" s="85">
        <v>1.05</v>
      </c>
      <c r="F19" s="25"/>
      <c r="G19" s="25"/>
      <c r="H19" s="25"/>
      <c r="I19" s="25"/>
      <c r="AV19" s="3"/>
      <c r="AW19" s="3"/>
      <c r="AX19" s="3"/>
      <c r="CC19" s="51" t="s">
        <v>113</v>
      </c>
      <c r="CD19" s="55">
        <v>490</v>
      </c>
      <c r="CE19" s="55">
        <v>620</v>
      </c>
      <c r="CF19" s="51">
        <f t="shared" si="1"/>
        <v>490</v>
      </c>
      <c r="CG19" s="51">
        <f t="shared" si="2"/>
        <v>426.08695652173918</v>
      </c>
      <c r="CH19" s="51">
        <f t="shared" si="3"/>
        <v>490</v>
      </c>
      <c r="CI19" s="51">
        <f t="shared" si="4"/>
        <v>343</v>
      </c>
      <c r="CJ19" s="54">
        <v>200000</v>
      </c>
      <c r="DA19" s="66" t="str">
        <f t="shared" si="5"/>
        <v>20-18</v>
      </c>
      <c r="DB19" s="66">
        <v>20</v>
      </c>
      <c r="DC19" s="66">
        <v>18</v>
      </c>
      <c r="DD19" s="66">
        <v>2700</v>
      </c>
      <c r="DE19" s="66">
        <v>2.6</v>
      </c>
      <c r="DF19" s="66">
        <v>16.600000000000001</v>
      </c>
      <c r="DG19" s="66">
        <v>6.3</v>
      </c>
      <c r="DH19" s="66"/>
      <c r="DI19" s="66"/>
      <c r="DJ19" s="66"/>
      <c r="DK19" s="66"/>
      <c r="DL19" s="66"/>
      <c r="DM19" s="66"/>
      <c r="DN19" s="66"/>
      <c r="EA19" s="65" t="str">
        <f t="shared" si="6"/>
        <v>63-18</v>
      </c>
      <c r="EB19" s="65">
        <v>63</v>
      </c>
      <c r="EC19" s="65">
        <v>18</v>
      </c>
      <c r="ED19" s="65">
        <v>2900</v>
      </c>
      <c r="EE19" s="65">
        <v>5.75</v>
      </c>
      <c r="EF19" s="65">
        <v>44.9</v>
      </c>
      <c r="EG19" s="65">
        <v>13.4</v>
      </c>
      <c r="EH19" s="65"/>
      <c r="EI19" s="65"/>
      <c r="EJ19" s="65"/>
      <c r="EK19" s="65"/>
      <c r="EL19" s="65"/>
      <c r="EM19" s="65"/>
      <c r="EN19" s="65"/>
      <c r="EQ19" s="130"/>
      <c r="ER19" s="130"/>
    </row>
    <row r="20" spans="1:148">
      <c r="A20" s="13" t="s">
        <v>15</v>
      </c>
      <c r="B20" s="2">
        <f t="shared" si="0"/>
        <v>206000</v>
      </c>
      <c r="C20" s="2">
        <v>335</v>
      </c>
      <c r="D20" s="234">
        <v>470</v>
      </c>
      <c r="E20" s="85">
        <v>1.05</v>
      </c>
      <c r="F20" s="25"/>
      <c r="G20" s="25"/>
      <c r="H20" s="25"/>
      <c r="I20" s="25"/>
      <c r="AV20" s="3"/>
      <c r="AW20" s="3"/>
      <c r="AX20" s="3"/>
      <c r="CC20" s="48"/>
      <c r="CD20" s="56"/>
      <c r="CE20" s="56"/>
      <c r="DA20" s="66" t="str">
        <f t="shared" si="5"/>
        <v>20-20</v>
      </c>
      <c r="DB20" s="66">
        <v>20</v>
      </c>
      <c r="DC20" s="66">
        <v>20</v>
      </c>
      <c r="DD20" s="66">
        <v>3200</v>
      </c>
      <c r="DE20" s="66">
        <v>2.6</v>
      </c>
      <c r="DF20" s="66">
        <v>18.2</v>
      </c>
      <c r="DG20" s="66">
        <v>7.8</v>
      </c>
      <c r="DH20" s="66"/>
      <c r="DI20" s="66"/>
      <c r="DJ20" s="66"/>
      <c r="DK20" s="66"/>
      <c r="DL20" s="66"/>
      <c r="DM20" s="66"/>
      <c r="DN20" s="66"/>
      <c r="EA20" s="65" t="str">
        <f t="shared" si="6"/>
        <v>63-20</v>
      </c>
      <c r="EB20" s="65">
        <v>63</v>
      </c>
      <c r="EC20" s="65">
        <v>20</v>
      </c>
      <c r="ED20" s="65">
        <v>2900</v>
      </c>
      <c r="EE20" s="65">
        <v>5.75</v>
      </c>
      <c r="EF20" s="65">
        <v>46.2</v>
      </c>
      <c r="EG20" s="65">
        <v>14.4</v>
      </c>
      <c r="EH20" s="65"/>
      <c r="EI20" s="65"/>
      <c r="EJ20" s="65"/>
      <c r="EK20" s="65"/>
      <c r="EL20" s="65"/>
      <c r="EM20" s="65"/>
      <c r="EN20" s="65"/>
      <c r="EQ20" s="130"/>
      <c r="ER20" s="130"/>
    </row>
    <row r="21" spans="1:148">
      <c r="A21" s="13" t="s">
        <v>16</v>
      </c>
      <c r="B21" s="2">
        <f t="shared" si="0"/>
        <v>206000</v>
      </c>
      <c r="C21" s="2">
        <v>325</v>
      </c>
      <c r="D21" s="234">
        <v>470</v>
      </c>
      <c r="E21" s="85">
        <v>1.05</v>
      </c>
      <c r="F21" s="25"/>
      <c r="G21" s="25"/>
      <c r="H21" s="25"/>
      <c r="I21" s="25"/>
      <c r="AV21" s="3"/>
      <c r="AW21" s="3"/>
      <c r="AX21" s="3"/>
      <c r="CC21" s="48"/>
      <c r="CD21" s="56"/>
      <c r="CE21" s="56"/>
      <c r="DA21" s="66" t="str">
        <f t="shared" si="5"/>
        <v>20-22</v>
      </c>
      <c r="DB21" s="66">
        <v>20</v>
      </c>
      <c r="DC21" s="66">
        <v>22</v>
      </c>
      <c r="DD21" s="66">
        <v>3200</v>
      </c>
      <c r="DE21" s="66">
        <v>2.6</v>
      </c>
      <c r="DF21" s="66">
        <v>19.100000000000001</v>
      </c>
      <c r="DG21" s="66">
        <v>8.6999999999999993</v>
      </c>
      <c r="DH21" s="66"/>
      <c r="DI21" s="66"/>
      <c r="DJ21" s="66"/>
      <c r="DK21" s="66"/>
      <c r="DL21" s="66"/>
      <c r="DM21" s="66"/>
      <c r="DN21" s="66"/>
      <c r="EA21" s="65" t="str">
        <f t="shared" si="6"/>
        <v>63-22</v>
      </c>
      <c r="EB21" s="65">
        <v>63</v>
      </c>
      <c r="EC21" s="65">
        <v>22</v>
      </c>
      <c r="ED21" s="65">
        <v>3200</v>
      </c>
      <c r="EE21" s="65">
        <v>5.75</v>
      </c>
      <c r="EF21" s="65">
        <v>48.7</v>
      </c>
      <c r="EG21" s="65">
        <v>16.7</v>
      </c>
      <c r="EH21" s="65"/>
      <c r="EI21" s="65"/>
      <c r="EJ21" s="65"/>
      <c r="EK21" s="65"/>
      <c r="EL21" s="65"/>
      <c r="EM21" s="65"/>
      <c r="EN21" s="65"/>
    </row>
    <row r="22" spans="1:148">
      <c r="A22" s="13" t="s">
        <v>17</v>
      </c>
      <c r="B22" s="2">
        <f t="shared" si="0"/>
        <v>206000</v>
      </c>
      <c r="C22" s="2">
        <v>315</v>
      </c>
      <c r="D22" s="234">
        <v>470</v>
      </c>
      <c r="E22" s="85">
        <v>1.05</v>
      </c>
      <c r="F22" s="25"/>
      <c r="G22" s="25"/>
      <c r="H22" s="25"/>
      <c r="I22" s="25"/>
      <c r="AV22" s="3"/>
      <c r="AW22" s="3"/>
      <c r="AX22" s="3"/>
      <c r="DA22" s="66" t="str">
        <f t="shared" si="5"/>
        <v>20-24</v>
      </c>
      <c r="DB22" s="66">
        <v>20</v>
      </c>
      <c r="DC22" s="66">
        <v>24</v>
      </c>
      <c r="DD22" s="66">
        <v>3200</v>
      </c>
      <c r="DE22" s="66">
        <v>2.6</v>
      </c>
      <c r="DF22" s="66">
        <v>20.6</v>
      </c>
      <c r="DG22" s="66">
        <v>10.4</v>
      </c>
      <c r="DH22" s="66"/>
      <c r="DI22" s="66"/>
      <c r="DJ22" s="66"/>
      <c r="DK22" s="66"/>
      <c r="DL22" s="66"/>
      <c r="DM22" s="66"/>
      <c r="DN22" s="66"/>
      <c r="EA22" s="65" t="str">
        <f t="shared" si="6"/>
        <v>63-24</v>
      </c>
      <c r="EB22" s="65">
        <v>63</v>
      </c>
      <c r="EC22" s="65">
        <v>24</v>
      </c>
      <c r="ED22" s="65">
        <v>3800</v>
      </c>
      <c r="EE22" s="65">
        <v>6.1</v>
      </c>
      <c r="EF22" s="65">
        <v>54.6</v>
      </c>
      <c r="EG22" s="65">
        <v>22.4</v>
      </c>
      <c r="EH22" s="65"/>
      <c r="EI22" s="65"/>
      <c r="EJ22" s="65"/>
      <c r="EK22" s="65"/>
      <c r="EL22" s="65"/>
      <c r="EM22" s="65"/>
      <c r="EN22" s="65"/>
    </row>
    <row r="23" spans="1:148">
      <c r="A23" s="13" t="s">
        <v>30</v>
      </c>
      <c r="B23" s="2">
        <f t="shared" si="0"/>
        <v>206000</v>
      </c>
      <c r="C23" s="2">
        <v>205</v>
      </c>
      <c r="D23" s="234">
        <v>330</v>
      </c>
      <c r="E23" s="85">
        <v>1.05</v>
      </c>
      <c r="F23" s="25"/>
      <c r="G23" s="25"/>
      <c r="H23" s="25"/>
      <c r="I23" s="25"/>
      <c r="AV23" s="3"/>
      <c r="AW23" s="3"/>
      <c r="AX23" s="3"/>
      <c r="DA23" s="66" t="str">
        <f t="shared" si="5"/>
        <v>20-26</v>
      </c>
      <c r="DB23" s="66">
        <v>20</v>
      </c>
      <c r="DC23" s="66">
        <v>26</v>
      </c>
      <c r="DD23" s="66">
        <v>3800</v>
      </c>
      <c r="DE23" s="66">
        <v>2.6</v>
      </c>
      <c r="DF23" s="66">
        <v>22.6</v>
      </c>
      <c r="DG23" s="66">
        <v>12.2</v>
      </c>
      <c r="DH23" s="66"/>
      <c r="DI23" s="66"/>
      <c r="DJ23" s="66"/>
      <c r="DK23" s="66"/>
      <c r="DL23" s="66"/>
      <c r="DM23" s="66"/>
      <c r="DN23" s="66"/>
      <c r="EA23" s="65" t="str">
        <f t="shared" si="6"/>
        <v>63-26</v>
      </c>
      <c r="EB23" s="65">
        <v>63</v>
      </c>
      <c r="EC23" s="65">
        <v>26</v>
      </c>
      <c r="ED23" s="65">
        <v>3800</v>
      </c>
      <c r="EE23" s="65">
        <v>6.1</v>
      </c>
      <c r="EF23" s="65">
        <v>58</v>
      </c>
      <c r="EG23" s="65">
        <v>26.3</v>
      </c>
      <c r="EH23" s="65"/>
      <c r="EI23" s="65"/>
      <c r="EJ23" s="65"/>
      <c r="EK23" s="65"/>
      <c r="EL23" s="65"/>
      <c r="EM23" s="65"/>
      <c r="EN23" s="65"/>
    </row>
    <row r="24" spans="1:148">
      <c r="A24" s="13" t="s">
        <v>31</v>
      </c>
      <c r="B24" s="2">
        <f t="shared" si="0"/>
        <v>206000</v>
      </c>
      <c r="C24" s="2">
        <v>195</v>
      </c>
      <c r="D24" s="234">
        <v>330</v>
      </c>
      <c r="E24" s="85">
        <v>1.05</v>
      </c>
      <c r="F24" s="25"/>
      <c r="G24" s="25"/>
      <c r="H24" s="25"/>
      <c r="I24" s="25"/>
      <c r="DA24" s="67" t="str">
        <f t="shared" si="5"/>
        <v>32-5</v>
      </c>
      <c r="DB24" s="67">
        <v>32</v>
      </c>
      <c r="DC24" s="67">
        <v>5</v>
      </c>
      <c r="DD24" s="67">
        <v>1900</v>
      </c>
      <c r="DE24" s="67">
        <v>2.6</v>
      </c>
      <c r="DF24" s="67">
        <v>16.7</v>
      </c>
      <c r="DG24" s="67">
        <v>4.0999999999999996</v>
      </c>
      <c r="DH24" s="67"/>
      <c r="DI24" s="67"/>
      <c r="DJ24" s="67"/>
      <c r="DK24" s="67"/>
      <c r="DL24" s="67"/>
      <c r="DM24" s="67"/>
      <c r="DN24" s="67"/>
      <c r="EA24" s="65" t="str">
        <f t="shared" si="6"/>
        <v>63-28</v>
      </c>
      <c r="EB24" s="65">
        <v>63</v>
      </c>
      <c r="EC24" s="65">
        <v>28</v>
      </c>
      <c r="ED24" s="65">
        <v>4600</v>
      </c>
      <c r="EE24" s="65">
        <v>6.45</v>
      </c>
      <c r="EF24" s="65">
        <v>61.1</v>
      </c>
      <c r="EG24" s="65">
        <v>29.2</v>
      </c>
      <c r="EH24" s="65"/>
      <c r="EI24" s="65"/>
      <c r="EJ24" s="65"/>
      <c r="EK24" s="65"/>
      <c r="EL24" s="65"/>
      <c r="EM24" s="65"/>
      <c r="EN24" s="65"/>
    </row>
    <row r="25" spans="1:148">
      <c r="A25" s="13" t="s">
        <v>32</v>
      </c>
      <c r="B25" s="2">
        <f t="shared" si="0"/>
        <v>206000</v>
      </c>
      <c r="C25" s="2">
        <v>245</v>
      </c>
      <c r="D25" s="234">
        <v>400</v>
      </c>
      <c r="E25" s="85">
        <v>1.05</v>
      </c>
      <c r="F25" s="25"/>
      <c r="G25" s="25"/>
      <c r="H25" s="25"/>
      <c r="I25" s="25"/>
      <c r="DA25" s="67" t="str">
        <f t="shared" si="5"/>
        <v>32-10</v>
      </c>
      <c r="DB25" s="67">
        <v>32</v>
      </c>
      <c r="DC25" s="67">
        <v>10</v>
      </c>
      <c r="DD25" s="67">
        <v>1900</v>
      </c>
      <c r="DE25" s="67">
        <v>2.6</v>
      </c>
      <c r="DF25" s="67">
        <v>19.7</v>
      </c>
      <c r="DG25" s="67">
        <v>4.9000000000000004</v>
      </c>
      <c r="DH25" s="67"/>
      <c r="DI25" s="67"/>
      <c r="DJ25" s="67"/>
      <c r="DK25" s="67"/>
      <c r="DL25" s="67"/>
      <c r="DM25" s="67"/>
      <c r="DN25" s="67"/>
      <c r="EA25" s="65" t="str">
        <f t="shared" si="6"/>
        <v>63-30</v>
      </c>
      <c r="EB25" s="65">
        <v>63</v>
      </c>
      <c r="EC25" s="65">
        <v>30</v>
      </c>
      <c r="ED25" s="65">
        <v>4600</v>
      </c>
      <c r="EE25" s="65">
        <v>6.45</v>
      </c>
      <c r="EF25" s="65">
        <v>65.3</v>
      </c>
      <c r="EG25" s="65">
        <v>33.200000000000003</v>
      </c>
      <c r="EH25" s="65"/>
      <c r="EI25" s="65"/>
      <c r="EJ25" s="65"/>
      <c r="EK25" s="65"/>
      <c r="EL25" s="65"/>
      <c r="EM25" s="65"/>
      <c r="EN25" s="65"/>
    </row>
    <row r="26" spans="1:148">
      <c r="A26" s="13" t="s">
        <v>33</v>
      </c>
      <c r="B26" s="2">
        <f t="shared" si="0"/>
        <v>206000</v>
      </c>
      <c r="C26" s="2">
        <v>235</v>
      </c>
      <c r="D26" s="234">
        <v>400</v>
      </c>
      <c r="E26" s="85">
        <v>1.05</v>
      </c>
      <c r="F26" s="25"/>
      <c r="G26" s="25"/>
      <c r="H26" s="25"/>
      <c r="I26" s="25"/>
      <c r="DA26" s="67" t="str">
        <f t="shared" si="5"/>
        <v>32-15</v>
      </c>
      <c r="DB26" s="67">
        <v>32</v>
      </c>
      <c r="DC26" s="67">
        <v>15</v>
      </c>
      <c r="DD26" s="67">
        <v>2200</v>
      </c>
      <c r="DE26" s="67">
        <v>2.6</v>
      </c>
      <c r="DF26" s="67">
        <v>22.8</v>
      </c>
      <c r="DG26" s="67">
        <v>7.3</v>
      </c>
      <c r="DH26" s="67"/>
      <c r="DI26" s="67"/>
      <c r="DJ26" s="67"/>
      <c r="DK26" s="67"/>
      <c r="DL26" s="67"/>
      <c r="DM26" s="67"/>
      <c r="DN26" s="67"/>
      <c r="EA26" s="65" t="str">
        <f t="shared" si="6"/>
        <v>63-32</v>
      </c>
      <c r="EB26" s="65">
        <v>63</v>
      </c>
      <c r="EC26" s="65">
        <v>32</v>
      </c>
      <c r="ED26" s="65">
        <v>5100</v>
      </c>
      <c r="EE26" s="65">
        <v>7.8</v>
      </c>
      <c r="EF26" s="65">
        <v>75.099999999999994</v>
      </c>
      <c r="EG26" s="65">
        <v>42.7</v>
      </c>
      <c r="EH26" s="65"/>
      <c r="EI26" s="65"/>
      <c r="EJ26" s="65"/>
      <c r="EK26" s="65"/>
      <c r="EL26" s="65"/>
      <c r="EM26" s="65"/>
      <c r="EN26" s="65"/>
    </row>
    <row r="27" spans="1:148">
      <c r="A27" s="13" t="s">
        <v>34</v>
      </c>
      <c r="B27" s="2">
        <f t="shared" si="0"/>
        <v>206000</v>
      </c>
      <c r="C27" s="2">
        <v>285</v>
      </c>
      <c r="D27" s="234">
        <v>490</v>
      </c>
      <c r="E27" s="85">
        <v>1.05</v>
      </c>
      <c r="F27" s="25"/>
      <c r="G27" s="25"/>
      <c r="H27" s="25"/>
      <c r="I27" s="25"/>
      <c r="DA27" s="67" t="str">
        <f t="shared" si="5"/>
        <v>32-18</v>
      </c>
      <c r="DB27" s="67">
        <v>32</v>
      </c>
      <c r="DC27" s="67">
        <v>18</v>
      </c>
      <c r="DD27" s="67">
        <v>2700</v>
      </c>
      <c r="DE27" s="67">
        <v>2.6</v>
      </c>
      <c r="DF27" s="67">
        <v>23.6</v>
      </c>
      <c r="DG27" s="67">
        <v>7.8</v>
      </c>
      <c r="DH27" s="67"/>
      <c r="DI27" s="67"/>
      <c r="DJ27" s="67"/>
      <c r="DK27" s="67"/>
      <c r="DL27" s="67"/>
      <c r="DM27" s="67"/>
      <c r="DN27" s="67"/>
      <c r="EA27" s="65" t="str">
        <f t="shared" si="6"/>
        <v>63-34</v>
      </c>
      <c r="EB27" s="65">
        <v>63</v>
      </c>
      <c r="EC27" s="65">
        <v>34</v>
      </c>
      <c r="ED27" s="65">
        <v>5100</v>
      </c>
      <c r="EE27" s="65">
        <v>7.8</v>
      </c>
      <c r="EF27" s="65">
        <v>77.8</v>
      </c>
      <c r="EG27" s="65">
        <v>45.4</v>
      </c>
      <c r="EH27" s="65"/>
      <c r="EI27" s="65"/>
      <c r="EJ27" s="65"/>
      <c r="EK27" s="65"/>
      <c r="EL27" s="65"/>
      <c r="EM27" s="65"/>
      <c r="EN27" s="65"/>
    </row>
    <row r="28" spans="1:148">
      <c r="A28" s="13" t="s">
        <v>35</v>
      </c>
      <c r="B28" s="2">
        <f t="shared" si="0"/>
        <v>206000</v>
      </c>
      <c r="C28" s="2">
        <v>275</v>
      </c>
      <c r="D28" s="234">
        <v>490</v>
      </c>
      <c r="E28" s="85">
        <v>1.05</v>
      </c>
      <c r="F28" s="25"/>
      <c r="G28" s="25"/>
      <c r="H28" s="25"/>
      <c r="I28" s="25"/>
      <c r="DA28" s="67" t="str">
        <f t="shared" si="5"/>
        <v>32-20</v>
      </c>
      <c r="DB28" s="67">
        <v>32</v>
      </c>
      <c r="DC28" s="67">
        <v>20</v>
      </c>
      <c r="DD28" s="67">
        <v>3200</v>
      </c>
      <c r="DE28" s="67">
        <v>2.6</v>
      </c>
      <c r="DF28" s="67">
        <v>24.6</v>
      </c>
      <c r="DG28" s="67">
        <v>8.6999999999999993</v>
      </c>
      <c r="DH28" s="67"/>
      <c r="DI28" s="67"/>
      <c r="DJ28" s="67"/>
      <c r="DK28" s="67"/>
      <c r="DL28" s="67"/>
      <c r="DM28" s="67"/>
      <c r="DN28" s="67"/>
      <c r="EA28" s="68" t="str">
        <f t="shared" si="6"/>
        <v>80-10</v>
      </c>
      <c r="EB28" s="68">
        <v>80</v>
      </c>
      <c r="EC28" s="68">
        <v>10</v>
      </c>
      <c r="ED28" s="68">
        <v>2700</v>
      </c>
      <c r="EE28" s="68">
        <v>7.65</v>
      </c>
      <c r="EF28" s="68">
        <v>46</v>
      </c>
      <c r="EG28" s="68">
        <v>9.1999999999999993</v>
      </c>
      <c r="EH28" s="68"/>
      <c r="EI28" s="68"/>
      <c r="EJ28" s="68"/>
      <c r="EK28" s="68"/>
      <c r="EL28" s="68"/>
      <c r="EM28" s="68"/>
      <c r="EN28" s="68"/>
    </row>
    <row r="29" spans="1:148">
      <c r="A29" s="13" t="s">
        <v>36</v>
      </c>
      <c r="B29" s="2">
        <f t="shared" si="0"/>
        <v>206000</v>
      </c>
      <c r="C29" s="2">
        <v>400</v>
      </c>
      <c r="D29" s="234">
        <v>540</v>
      </c>
      <c r="E29" s="85">
        <v>1.05</v>
      </c>
      <c r="F29" s="25"/>
      <c r="G29" s="25"/>
      <c r="H29" s="25"/>
      <c r="I29" s="25"/>
      <c r="DA29" s="67" t="str">
        <f t="shared" si="5"/>
        <v>32-22</v>
      </c>
      <c r="DB29" s="67">
        <v>32</v>
      </c>
      <c r="DC29" s="67">
        <v>22</v>
      </c>
      <c r="DD29" s="67">
        <v>3200</v>
      </c>
      <c r="DE29" s="67">
        <v>2.6</v>
      </c>
      <c r="DF29" s="67">
        <v>26.1</v>
      </c>
      <c r="DG29" s="67">
        <v>10.1</v>
      </c>
      <c r="DH29" s="67"/>
      <c r="DI29" s="67"/>
      <c r="DJ29" s="67"/>
      <c r="DK29" s="67"/>
      <c r="DL29" s="67"/>
      <c r="DM29" s="67"/>
      <c r="DN29" s="67"/>
      <c r="EA29" s="68" t="str">
        <f t="shared" si="6"/>
        <v>80-14</v>
      </c>
      <c r="EB29" s="68">
        <v>80</v>
      </c>
      <c r="EC29" s="68">
        <v>14</v>
      </c>
      <c r="ED29" s="68">
        <v>2700</v>
      </c>
      <c r="EE29" s="68">
        <v>7.65</v>
      </c>
      <c r="EF29" s="68">
        <v>50</v>
      </c>
      <c r="EG29" s="68">
        <v>11.3</v>
      </c>
      <c r="EH29" s="68"/>
      <c r="EI29" s="68"/>
      <c r="EJ29" s="68"/>
      <c r="EK29" s="68"/>
      <c r="EL29" s="68"/>
      <c r="EM29" s="68"/>
      <c r="EN29" s="68"/>
    </row>
    <row r="30" spans="1:148">
      <c r="A30" s="13" t="s">
        <v>37</v>
      </c>
      <c r="B30" s="2">
        <f t="shared" si="0"/>
        <v>206000</v>
      </c>
      <c r="C30" s="2">
        <v>390</v>
      </c>
      <c r="D30" s="234">
        <v>540</v>
      </c>
      <c r="E30" s="85">
        <v>1.05</v>
      </c>
      <c r="DA30" s="67" t="str">
        <f t="shared" si="5"/>
        <v>32-24</v>
      </c>
      <c r="DB30" s="67">
        <v>32</v>
      </c>
      <c r="DC30" s="67">
        <v>24</v>
      </c>
      <c r="DD30" s="67">
        <v>3800</v>
      </c>
      <c r="DE30" s="67">
        <v>2.6</v>
      </c>
      <c r="DF30" s="67">
        <v>28.3</v>
      </c>
      <c r="DG30" s="67">
        <v>12.4</v>
      </c>
      <c r="DH30" s="67"/>
      <c r="DI30" s="67"/>
      <c r="DJ30" s="67"/>
      <c r="DK30" s="67"/>
      <c r="DL30" s="67"/>
      <c r="DM30" s="67"/>
      <c r="DN30" s="67"/>
      <c r="EA30" s="68" t="str">
        <f t="shared" si="6"/>
        <v>80-16</v>
      </c>
      <c r="EB30" s="68">
        <v>80</v>
      </c>
      <c r="EC30" s="68">
        <v>16</v>
      </c>
      <c r="ED30" s="68">
        <v>2900</v>
      </c>
      <c r="EE30" s="68">
        <v>7.65</v>
      </c>
      <c r="EF30" s="68">
        <v>52.3</v>
      </c>
      <c r="EG30" s="68">
        <v>13</v>
      </c>
      <c r="EH30" s="68"/>
      <c r="EI30" s="68"/>
      <c r="EJ30" s="68"/>
      <c r="EK30" s="68"/>
      <c r="EL30" s="68"/>
      <c r="EM30" s="68"/>
      <c r="EN30" s="68"/>
    </row>
    <row r="31" spans="1:148">
      <c r="A31" s="13" t="s">
        <v>393</v>
      </c>
      <c r="B31" s="2">
        <f t="shared" si="0"/>
        <v>206000</v>
      </c>
      <c r="C31" s="2">
        <v>220</v>
      </c>
      <c r="D31" s="234">
        <v>340</v>
      </c>
      <c r="E31" s="85">
        <v>1.05</v>
      </c>
      <c r="DA31" s="67" t="str">
        <f t="shared" si="5"/>
        <v>32-26</v>
      </c>
      <c r="DB31" s="67">
        <v>32</v>
      </c>
      <c r="DC31" s="67">
        <v>26</v>
      </c>
      <c r="DD31" s="67">
        <v>3800</v>
      </c>
      <c r="DE31" s="67">
        <v>2.6</v>
      </c>
      <c r="DF31" s="67">
        <v>29.6</v>
      </c>
      <c r="DG31" s="67">
        <v>13.6</v>
      </c>
      <c r="DH31" s="67"/>
      <c r="DI31" s="67"/>
      <c r="DJ31" s="67"/>
      <c r="DK31" s="67"/>
      <c r="DL31" s="67"/>
      <c r="DM31" s="67"/>
      <c r="DN31" s="67"/>
      <c r="EA31" s="68" t="str">
        <f t="shared" si="6"/>
        <v>80-18</v>
      </c>
      <c r="EB31" s="68">
        <v>80</v>
      </c>
      <c r="EC31" s="68">
        <v>18</v>
      </c>
      <c r="ED31" s="68">
        <v>2900</v>
      </c>
      <c r="EE31" s="68">
        <v>8</v>
      </c>
      <c r="EF31" s="68">
        <v>53.7</v>
      </c>
      <c r="EG31" s="68">
        <v>14</v>
      </c>
      <c r="EH31" s="68"/>
      <c r="EI31" s="68"/>
      <c r="EJ31" s="68"/>
      <c r="EK31" s="68"/>
      <c r="EL31" s="68"/>
      <c r="EM31" s="68"/>
      <c r="EN31" s="68"/>
    </row>
    <row r="32" spans="1:148">
      <c r="A32" s="13" t="s">
        <v>394</v>
      </c>
      <c r="B32" s="2">
        <f t="shared" si="0"/>
        <v>206000</v>
      </c>
      <c r="C32" s="2">
        <v>240</v>
      </c>
      <c r="D32" s="234">
        <v>380</v>
      </c>
      <c r="E32" s="85">
        <v>1.05</v>
      </c>
      <c r="DA32" s="68" t="str">
        <f t="shared" si="5"/>
        <v>50-5</v>
      </c>
      <c r="DB32" s="68">
        <v>50</v>
      </c>
      <c r="DC32" s="68">
        <v>5</v>
      </c>
      <c r="DD32" s="68">
        <v>1900</v>
      </c>
      <c r="DE32" s="68">
        <v>3.8</v>
      </c>
      <c r="DF32" s="68">
        <v>25.5</v>
      </c>
      <c r="DG32" s="68">
        <v>6.5</v>
      </c>
      <c r="DH32" s="68"/>
      <c r="DI32" s="68"/>
      <c r="DJ32" s="68"/>
      <c r="DK32" s="68"/>
      <c r="DL32" s="68"/>
      <c r="DM32" s="68"/>
      <c r="DN32" s="68"/>
      <c r="EA32" s="68" t="str">
        <f t="shared" si="6"/>
        <v>80-20</v>
      </c>
      <c r="EB32" s="68">
        <v>80</v>
      </c>
      <c r="EC32" s="68">
        <v>20</v>
      </c>
      <c r="ED32" s="68">
        <v>2900</v>
      </c>
      <c r="EE32" s="68">
        <v>8</v>
      </c>
      <c r="EF32" s="68">
        <v>56.2</v>
      </c>
      <c r="EG32" s="68">
        <v>16.100000000000001</v>
      </c>
      <c r="EH32" s="68"/>
      <c r="EI32" s="68"/>
      <c r="EJ32" s="68"/>
      <c r="EK32" s="68"/>
      <c r="EL32" s="68"/>
      <c r="EM32" s="68"/>
      <c r="EN32" s="68"/>
    </row>
    <row r="33" spans="1:144">
      <c r="A33" s="13" t="s">
        <v>395</v>
      </c>
      <c r="B33" s="2">
        <f t="shared" si="0"/>
        <v>206000</v>
      </c>
      <c r="C33" s="2">
        <v>260</v>
      </c>
      <c r="D33" s="234">
        <v>420</v>
      </c>
      <c r="E33" s="85">
        <v>1.05</v>
      </c>
      <c r="DA33" s="68" t="str">
        <f t="shared" si="5"/>
        <v>50-10</v>
      </c>
      <c r="DB33" s="68">
        <v>50</v>
      </c>
      <c r="DC33" s="68">
        <v>10</v>
      </c>
      <c r="DD33" s="68">
        <v>1900</v>
      </c>
      <c r="DE33" s="68">
        <v>3.8</v>
      </c>
      <c r="DF33" s="68">
        <v>29.6</v>
      </c>
      <c r="DG33" s="68">
        <v>6.9</v>
      </c>
      <c r="DH33" s="68"/>
      <c r="DI33" s="68"/>
      <c r="DJ33" s="68"/>
      <c r="DK33" s="68"/>
      <c r="DL33" s="68"/>
      <c r="DM33" s="68"/>
      <c r="DN33" s="68"/>
      <c r="EA33" s="68" t="str">
        <f t="shared" si="6"/>
        <v>80-22</v>
      </c>
      <c r="EB33" s="68">
        <v>80</v>
      </c>
      <c r="EC33" s="68">
        <v>22</v>
      </c>
      <c r="ED33" s="68">
        <v>3200</v>
      </c>
      <c r="EE33" s="68">
        <v>8</v>
      </c>
      <c r="EF33" s="68">
        <v>59</v>
      </c>
      <c r="EG33" s="68">
        <v>18.600000000000001</v>
      </c>
      <c r="EH33" s="68"/>
      <c r="EI33" s="68"/>
      <c r="EJ33" s="68"/>
      <c r="EK33" s="68"/>
      <c r="EL33" s="68"/>
      <c r="EM33" s="68"/>
      <c r="EN33" s="68"/>
    </row>
    <row r="34" spans="1:144">
      <c r="DA34" s="68" t="str">
        <f t="shared" si="5"/>
        <v>50-15</v>
      </c>
      <c r="DB34" s="68">
        <v>50</v>
      </c>
      <c r="DC34" s="68">
        <v>15</v>
      </c>
      <c r="DD34" s="68">
        <v>2200</v>
      </c>
      <c r="DE34" s="68">
        <v>3.8</v>
      </c>
      <c r="DF34" s="68">
        <v>32.799999999999997</v>
      </c>
      <c r="DG34" s="68">
        <v>8.9</v>
      </c>
      <c r="DH34" s="68"/>
      <c r="DI34" s="68"/>
      <c r="DJ34" s="68"/>
      <c r="DK34" s="68"/>
      <c r="DL34" s="68"/>
      <c r="DM34" s="68"/>
      <c r="DN34" s="68"/>
      <c r="EA34" s="68" t="str">
        <f t="shared" si="6"/>
        <v>80-24</v>
      </c>
      <c r="EB34" s="68">
        <v>80</v>
      </c>
      <c r="EC34" s="68">
        <v>24</v>
      </c>
      <c r="ED34" s="68">
        <v>3800</v>
      </c>
      <c r="EE34" s="68">
        <v>8</v>
      </c>
      <c r="EF34" s="68">
        <v>65.400000000000006</v>
      </c>
      <c r="EG34" s="68">
        <v>24.8</v>
      </c>
      <c r="EH34" s="68"/>
      <c r="EI34" s="68"/>
      <c r="EJ34" s="68"/>
      <c r="EK34" s="68"/>
      <c r="EL34" s="68"/>
      <c r="EM34" s="68"/>
      <c r="EN34" s="68"/>
    </row>
    <row r="35" spans="1:144">
      <c r="DA35" s="68" t="str">
        <f t="shared" si="5"/>
        <v>50-18</v>
      </c>
      <c r="DB35" s="68">
        <v>50</v>
      </c>
      <c r="DC35" s="68">
        <v>18</v>
      </c>
      <c r="DD35" s="68">
        <v>2700</v>
      </c>
      <c r="DE35" s="68">
        <v>3.8</v>
      </c>
      <c r="DF35" s="68">
        <v>34</v>
      </c>
      <c r="DG35" s="68">
        <v>9.6</v>
      </c>
      <c r="DH35" s="68"/>
      <c r="DI35" s="68"/>
      <c r="DJ35" s="68"/>
      <c r="DK35" s="68"/>
      <c r="DL35" s="68"/>
      <c r="DM35" s="68"/>
      <c r="DN35" s="68"/>
      <c r="EA35" s="68" t="str">
        <f t="shared" si="6"/>
        <v>80-26</v>
      </c>
      <c r="EB35" s="68">
        <v>80</v>
      </c>
      <c r="EC35" s="68">
        <v>26</v>
      </c>
      <c r="ED35" s="68">
        <v>3800</v>
      </c>
      <c r="EE35" s="68">
        <v>8.4</v>
      </c>
      <c r="EF35" s="68">
        <v>67.8</v>
      </c>
      <c r="EG35" s="68">
        <v>27.4</v>
      </c>
      <c r="EH35" s="68"/>
      <c r="EI35" s="68"/>
      <c r="EJ35" s="68"/>
      <c r="EK35" s="68"/>
      <c r="EL35" s="68"/>
      <c r="EM35" s="68"/>
      <c r="EN35" s="68"/>
    </row>
    <row r="36" spans="1:144">
      <c r="DA36" s="68" t="str">
        <f t="shared" si="5"/>
        <v>50-20</v>
      </c>
      <c r="DB36" s="68">
        <v>50</v>
      </c>
      <c r="DC36" s="68">
        <v>20</v>
      </c>
      <c r="DD36" s="68">
        <v>3200</v>
      </c>
      <c r="DE36" s="68">
        <v>3.8</v>
      </c>
      <c r="DF36" s="68">
        <v>35.799999999999997</v>
      </c>
      <c r="DG36" s="68">
        <v>11.2</v>
      </c>
      <c r="DH36" s="68"/>
      <c r="DI36" s="68"/>
      <c r="DJ36" s="68"/>
      <c r="DK36" s="68"/>
      <c r="DL36" s="68"/>
      <c r="DM36" s="68"/>
      <c r="DN36" s="68"/>
      <c r="EA36" s="68" t="str">
        <f t="shared" si="6"/>
        <v>80-28</v>
      </c>
      <c r="EB36" s="68">
        <v>80</v>
      </c>
      <c r="EC36" s="68">
        <v>28</v>
      </c>
      <c r="ED36" s="68">
        <v>4600</v>
      </c>
      <c r="EE36" s="68">
        <v>8.4</v>
      </c>
      <c r="EF36" s="68">
        <v>70.2</v>
      </c>
      <c r="EG36" s="68">
        <v>29.5</v>
      </c>
      <c r="EH36" s="68"/>
      <c r="EI36" s="68"/>
      <c r="EJ36" s="68"/>
      <c r="EK36" s="68"/>
      <c r="EL36" s="68"/>
      <c r="EM36" s="68"/>
      <c r="EN36" s="68"/>
    </row>
    <row r="37" spans="1:144">
      <c r="DA37" s="68" t="str">
        <f t="shared" si="5"/>
        <v>50-22</v>
      </c>
      <c r="DB37" s="68">
        <v>50</v>
      </c>
      <c r="DC37" s="68">
        <v>22</v>
      </c>
      <c r="DD37" s="68">
        <v>3200</v>
      </c>
      <c r="DE37" s="68">
        <v>3.8</v>
      </c>
      <c r="DF37" s="68">
        <v>36.700000000000003</v>
      </c>
      <c r="DG37" s="68">
        <v>12</v>
      </c>
      <c r="DH37" s="68"/>
      <c r="DI37" s="68"/>
      <c r="DJ37" s="68"/>
      <c r="DK37" s="68"/>
      <c r="DL37" s="68"/>
      <c r="DM37" s="68"/>
      <c r="DN37" s="68"/>
      <c r="EA37" s="68" t="str">
        <f t="shared" si="6"/>
        <v>80-30</v>
      </c>
      <c r="EB37" s="68">
        <v>80</v>
      </c>
      <c r="EC37" s="68">
        <v>30</v>
      </c>
      <c r="ED37" s="68">
        <v>4600</v>
      </c>
      <c r="EE37" s="68">
        <v>8.8000000000000007</v>
      </c>
      <c r="EF37" s="68">
        <v>78.400000000000006</v>
      </c>
      <c r="EG37" s="68">
        <v>37.6</v>
      </c>
      <c r="EH37" s="68"/>
      <c r="EI37" s="68"/>
      <c r="EJ37" s="68"/>
      <c r="EK37" s="68"/>
      <c r="EL37" s="68"/>
      <c r="EM37" s="68"/>
      <c r="EN37" s="68"/>
    </row>
    <row r="38" spans="1:144">
      <c r="DA38" s="68" t="str">
        <f t="shared" si="5"/>
        <v>50-24</v>
      </c>
      <c r="DB38" s="68">
        <v>50</v>
      </c>
      <c r="DC38" s="68">
        <v>24</v>
      </c>
      <c r="DD38" s="68">
        <v>3800</v>
      </c>
      <c r="DE38" s="68">
        <v>3.8</v>
      </c>
      <c r="DF38" s="68">
        <v>39.299999999999997</v>
      </c>
      <c r="DG38" s="68">
        <v>14.7</v>
      </c>
      <c r="DH38" s="68"/>
      <c r="DI38" s="68"/>
      <c r="DJ38" s="68"/>
      <c r="DK38" s="68"/>
      <c r="DL38" s="68"/>
      <c r="DM38" s="68"/>
      <c r="DN38" s="68"/>
      <c r="EA38" s="68" t="str">
        <f t="shared" si="6"/>
        <v>80-32</v>
      </c>
      <c r="EB38" s="68">
        <v>80</v>
      </c>
      <c r="EC38" s="68">
        <v>32</v>
      </c>
      <c r="ED38" s="68">
        <v>5100</v>
      </c>
      <c r="EE38" s="68">
        <v>8.8000000000000007</v>
      </c>
      <c r="EF38" s="68">
        <v>84.7</v>
      </c>
      <c r="EG38" s="68">
        <v>43.5</v>
      </c>
      <c r="EH38" s="68"/>
      <c r="EI38" s="68"/>
      <c r="EJ38" s="68"/>
      <c r="EK38" s="68"/>
      <c r="EL38" s="68"/>
      <c r="EM38" s="68"/>
      <c r="EN38" s="68"/>
    </row>
    <row r="39" spans="1:144">
      <c r="DA39" s="68" t="str">
        <f t="shared" si="5"/>
        <v>50-26</v>
      </c>
      <c r="DB39" s="68">
        <v>50</v>
      </c>
      <c r="DC39" s="68">
        <v>26</v>
      </c>
      <c r="DD39" s="68">
        <v>3800</v>
      </c>
      <c r="DE39" s="68">
        <v>3.8</v>
      </c>
      <c r="DF39" s="68">
        <v>41.4</v>
      </c>
      <c r="DG39" s="68">
        <v>16.7</v>
      </c>
      <c r="DH39" s="68"/>
      <c r="DI39" s="68"/>
      <c r="DJ39" s="68"/>
      <c r="DK39" s="68"/>
      <c r="DL39" s="68"/>
      <c r="DM39" s="68"/>
      <c r="DN39" s="68"/>
      <c r="EA39" s="68" t="str">
        <f t="shared" si="6"/>
        <v>80-34</v>
      </c>
      <c r="EB39" s="68">
        <v>80</v>
      </c>
      <c r="EC39" s="68">
        <v>34</v>
      </c>
      <c r="ED39" s="68">
        <v>5100</v>
      </c>
      <c r="EE39" s="68">
        <v>8.8000000000000007</v>
      </c>
      <c r="EF39" s="68">
        <v>87</v>
      </c>
      <c r="EG39" s="68">
        <v>45.7</v>
      </c>
      <c r="EH39" s="68"/>
      <c r="EI39" s="68"/>
      <c r="EJ39" s="68"/>
      <c r="EK39" s="68"/>
      <c r="EL39" s="68"/>
      <c r="EM39" s="68"/>
      <c r="EN39" s="68"/>
    </row>
    <row r="40" spans="1:144">
      <c r="DA40" s="65" t="str">
        <f t="shared" si="5"/>
        <v>63-5</v>
      </c>
      <c r="DB40" s="65">
        <v>63</v>
      </c>
      <c r="DC40" s="65">
        <v>5</v>
      </c>
      <c r="DD40" s="65">
        <v>1900</v>
      </c>
      <c r="DE40" s="65">
        <v>5</v>
      </c>
      <c r="DF40" s="65">
        <v>30.9</v>
      </c>
      <c r="DG40" s="65">
        <v>8.3000000000000007</v>
      </c>
      <c r="DH40" s="65"/>
      <c r="DI40" s="65"/>
      <c r="DJ40" s="65"/>
      <c r="DK40" s="65"/>
      <c r="DL40" s="65"/>
      <c r="DM40" s="65"/>
      <c r="DN40" s="65"/>
      <c r="EA40" s="69" t="str">
        <f t="shared" si="6"/>
        <v>100-10</v>
      </c>
      <c r="EB40" s="69">
        <v>100</v>
      </c>
      <c r="EC40" s="69">
        <v>10</v>
      </c>
      <c r="ED40" s="69">
        <v>2700</v>
      </c>
      <c r="EE40" s="69">
        <v>7.65</v>
      </c>
      <c r="EF40" s="69">
        <v>55.6</v>
      </c>
      <c r="EG40" s="69">
        <v>10.4</v>
      </c>
      <c r="EH40" s="69"/>
      <c r="EI40" s="69"/>
      <c r="EJ40" s="69"/>
      <c r="EK40" s="69"/>
      <c r="EL40" s="69"/>
      <c r="EM40" s="69"/>
      <c r="EN40" s="69"/>
    </row>
    <row r="41" spans="1:144">
      <c r="DA41" s="65" t="str">
        <f t="shared" si="5"/>
        <v>63-10</v>
      </c>
      <c r="DB41" s="65">
        <v>63</v>
      </c>
      <c r="DC41" s="65">
        <v>10</v>
      </c>
      <c r="DD41" s="65">
        <v>1900</v>
      </c>
      <c r="DE41" s="65">
        <v>5</v>
      </c>
      <c r="DF41" s="65">
        <v>36.1</v>
      </c>
      <c r="DG41" s="65">
        <v>8.1999999999999993</v>
      </c>
      <c r="DH41" s="65"/>
      <c r="DI41" s="65"/>
      <c r="DJ41" s="65"/>
      <c r="DK41" s="65"/>
      <c r="DL41" s="65"/>
      <c r="DM41" s="65"/>
      <c r="DN41" s="65"/>
      <c r="EA41" s="69" t="str">
        <f t="shared" si="6"/>
        <v>100-14</v>
      </c>
      <c r="EB41" s="69">
        <v>100</v>
      </c>
      <c r="EC41" s="69">
        <v>14</v>
      </c>
      <c r="ED41" s="69">
        <v>2700</v>
      </c>
      <c r="EE41" s="69">
        <v>7.65</v>
      </c>
      <c r="EF41" s="69">
        <v>59.9</v>
      </c>
      <c r="EG41" s="69">
        <v>12.4</v>
      </c>
      <c r="EH41" s="69"/>
      <c r="EI41" s="69"/>
      <c r="EJ41" s="69"/>
      <c r="EK41" s="69"/>
      <c r="EL41" s="69"/>
      <c r="EM41" s="69"/>
      <c r="EN41" s="69"/>
    </row>
    <row r="42" spans="1:144">
      <c r="DA42" s="65" t="str">
        <f t="shared" si="5"/>
        <v>63-15</v>
      </c>
      <c r="DB42" s="65">
        <v>63</v>
      </c>
      <c r="DC42" s="65">
        <v>15</v>
      </c>
      <c r="DD42" s="65">
        <v>2200</v>
      </c>
      <c r="DE42" s="65">
        <v>5</v>
      </c>
      <c r="DF42" s="65">
        <v>38.6</v>
      </c>
      <c r="DG42" s="65">
        <v>8.9</v>
      </c>
      <c r="DH42" s="65"/>
      <c r="DI42" s="65"/>
      <c r="DJ42" s="65"/>
      <c r="DK42" s="65"/>
      <c r="DL42" s="65"/>
      <c r="DM42" s="65"/>
      <c r="DN42" s="65"/>
      <c r="EA42" s="69" t="str">
        <f t="shared" si="6"/>
        <v>100-16</v>
      </c>
      <c r="EB42" s="69">
        <v>100</v>
      </c>
      <c r="EC42" s="69">
        <v>16</v>
      </c>
      <c r="ED42" s="69">
        <v>2900</v>
      </c>
      <c r="EE42" s="69">
        <v>7.65</v>
      </c>
      <c r="EF42" s="69">
        <v>63.3</v>
      </c>
      <c r="EG42" s="69">
        <v>15.2</v>
      </c>
      <c r="EH42" s="69"/>
      <c r="EI42" s="69"/>
      <c r="EJ42" s="69"/>
      <c r="EK42" s="69"/>
      <c r="EL42" s="69"/>
      <c r="EM42" s="69"/>
      <c r="EN42" s="69"/>
    </row>
    <row r="43" spans="1:144">
      <c r="DA43" s="65" t="str">
        <f t="shared" si="5"/>
        <v>63-18</v>
      </c>
      <c r="DB43" s="65">
        <v>63</v>
      </c>
      <c r="DC43" s="65">
        <v>18</v>
      </c>
      <c r="DD43" s="65">
        <v>2700</v>
      </c>
      <c r="DE43" s="65">
        <v>5</v>
      </c>
      <c r="DF43" s="65">
        <v>40.9</v>
      </c>
      <c r="DG43" s="65">
        <v>11</v>
      </c>
      <c r="DH43" s="65"/>
      <c r="DI43" s="65"/>
      <c r="DJ43" s="65"/>
      <c r="DK43" s="65"/>
      <c r="DL43" s="65"/>
      <c r="DM43" s="65"/>
      <c r="DN43" s="65"/>
      <c r="EA43" s="69" t="str">
        <f t="shared" si="6"/>
        <v>100-18</v>
      </c>
      <c r="EB43" s="69">
        <v>100</v>
      </c>
      <c r="EC43" s="69">
        <v>18</v>
      </c>
      <c r="ED43" s="69">
        <v>2900</v>
      </c>
      <c r="EE43" s="69">
        <v>8</v>
      </c>
      <c r="EF43" s="69">
        <v>65</v>
      </c>
      <c r="EG43" s="69">
        <v>16.2</v>
      </c>
      <c r="EH43" s="69"/>
      <c r="EI43" s="69"/>
      <c r="EJ43" s="69"/>
      <c r="EK43" s="69"/>
      <c r="EL43" s="69"/>
      <c r="EM43" s="69"/>
      <c r="EN43" s="69"/>
    </row>
    <row r="44" spans="1:144">
      <c r="DA44" s="65" t="str">
        <f t="shared" si="5"/>
        <v>63-20</v>
      </c>
      <c r="DB44" s="65">
        <v>63</v>
      </c>
      <c r="DC44" s="65">
        <v>20</v>
      </c>
      <c r="DD44" s="65">
        <v>3200</v>
      </c>
      <c r="DE44" s="65">
        <v>5</v>
      </c>
      <c r="DF44" s="65">
        <v>42.6</v>
      </c>
      <c r="DG44" s="65">
        <v>12.4</v>
      </c>
      <c r="DH44" s="65"/>
      <c r="DI44" s="65"/>
      <c r="DJ44" s="65"/>
      <c r="DK44" s="65"/>
      <c r="DL44" s="65"/>
      <c r="DM44" s="65"/>
      <c r="DN44" s="65"/>
      <c r="EA44" s="69" t="str">
        <f t="shared" si="6"/>
        <v>100-20</v>
      </c>
      <c r="EB44" s="69">
        <v>100</v>
      </c>
      <c r="EC44" s="69">
        <v>20</v>
      </c>
      <c r="ED44" s="69">
        <v>2900</v>
      </c>
      <c r="EE44" s="69">
        <v>8</v>
      </c>
      <c r="EF44" s="69">
        <v>67.5</v>
      </c>
      <c r="EG44" s="69">
        <v>18.3</v>
      </c>
      <c r="EH44" s="69"/>
      <c r="EI44" s="69"/>
      <c r="EJ44" s="69"/>
      <c r="EK44" s="69"/>
      <c r="EL44" s="69"/>
      <c r="EM44" s="69"/>
      <c r="EN44" s="69"/>
    </row>
    <row r="45" spans="1:144">
      <c r="DA45" s="65" t="str">
        <f t="shared" si="5"/>
        <v>63-22</v>
      </c>
      <c r="DB45" s="65">
        <v>63</v>
      </c>
      <c r="DC45" s="65">
        <v>22</v>
      </c>
      <c r="DD45" s="65">
        <v>3200</v>
      </c>
      <c r="DE45" s="65">
        <v>5</v>
      </c>
      <c r="DF45" s="65">
        <v>44.9</v>
      </c>
      <c r="DG45" s="65">
        <v>14.4</v>
      </c>
      <c r="DH45" s="65"/>
      <c r="DI45" s="65"/>
      <c r="DJ45" s="65"/>
      <c r="DK45" s="65"/>
      <c r="DL45" s="65"/>
      <c r="DM45" s="65"/>
      <c r="DN45" s="65"/>
      <c r="EA45" s="69" t="str">
        <f t="shared" si="6"/>
        <v>100-22</v>
      </c>
      <c r="EB45" s="69">
        <v>100</v>
      </c>
      <c r="EC45" s="69">
        <v>22</v>
      </c>
      <c r="ED45" s="69">
        <v>3200</v>
      </c>
      <c r="EE45" s="69">
        <v>8</v>
      </c>
      <c r="EF45" s="69">
        <v>70.7</v>
      </c>
      <c r="EG45" s="69">
        <v>21.1</v>
      </c>
      <c r="EH45" s="69"/>
      <c r="EI45" s="69"/>
      <c r="EJ45" s="69"/>
      <c r="EK45" s="69"/>
      <c r="EL45" s="69"/>
      <c r="EM45" s="69"/>
      <c r="EN45" s="69"/>
    </row>
    <row r="46" spans="1:144">
      <c r="DA46" s="65" t="str">
        <f t="shared" si="5"/>
        <v>63-24</v>
      </c>
      <c r="DB46" s="65">
        <v>63</v>
      </c>
      <c r="DC46" s="65">
        <v>24</v>
      </c>
      <c r="DD46" s="65">
        <v>3800</v>
      </c>
      <c r="DE46" s="65">
        <v>5</v>
      </c>
      <c r="DF46" s="65">
        <v>48.3</v>
      </c>
      <c r="DG46" s="65">
        <v>17.600000000000001</v>
      </c>
      <c r="DH46" s="65"/>
      <c r="DI46" s="65"/>
      <c r="DJ46" s="65"/>
      <c r="DK46" s="65"/>
      <c r="DL46" s="65"/>
      <c r="DM46" s="65"/>
      <c r="DN46" s="65"/>
      <c r="EA46" s="69" t="str">
        <f t="shared" si="6"/>
        <v>100-24</v>
      </c>
      <c r="EB46" s="69">
        <v>100</v>
      </c>
      <c r="EC46" s="69">
        <v>24</v>
      </c>
      <c r="ED46" s="69">
        <v>3800</v>
      </c>
      <c r="EE46" s="69">
        <v>8</v>
      </c>
      <c r="EF46" s="69">
        <v>75.7</v>
      </c>
      <c r="EG46" s="69">
        <v>25.8</v>
      </c>
      <c r="EH46" s="69"/>
      <c r="EI46" s="69"/>
      <c r="EJ46" s="69"/>
      <c r="EK46" s="69"/>
      <c r="EL46" s="69"/>
      <c r="EM46" s="69"/>
      <c r="EN46" s="69"/>
    </row>
    <row r="47" spans="1:144">
      <c r="DA47" s="65" t="str">
        <f t="shared" si="5"/>
        <v>63-26</v>
      </c>
      <c r="DB47" s="65">
        <v>63</v>
      </c>
      <c r="DC47" s="65">
        <v>26</v>
      </c>
      <c r="DD47" s="65">
        <v>3800</v>
      </c>
      <c r="DE47" s="65">
        <v>5</v>
      </c>
      <c r="DF47" s="65">
        <v>49.9</v>
      </c>
      <c r="DG47" s="65">
        <v>19</v>
      </c>
      <c r="DH47" s="65"/>
      <c r="DI47" s="65"/>
      <c r="DJ47" s="65"/>
      <c r="DK47" s="65"/>
      <c r="DL47" s="65"/>
      <c r="DM47" s="65"/>
      <c r="DN47" s="65"/>
      <c r="EA47" s="69" t="str">
        <f t="shared" si="6"/>
        <v>100-26</v>
      </c>
      <c r="EB47" s="69">
        <v>100</v>
      </c>
      <c r="EC47" s="69">
        <v>26</v>
      </c>
      <c r="ED47" s="69">
        <v>3800</v>
      </c>
      <c r="EE47" s="69">
        <v>8.4</v>
      </c>
      <c r="EF47" s="69">
        <v>77.3</v>
      </c>
      <c r="EG47" s="69">
        <v>27.7</v>
      </c>
      <c r="EH47" s="69"/>
      <c r="EI47" s="69"/>
      <c r="EJ47" s="69"/>
      <c r="EK47" s="69"/>
      <c r="EL47" s="69"/>
      <c r="EM47" s="69"/>
      <c r="EN47" s="69"/>
    </row>
    <row r="48" spans="1:144">
      <c r="DA48" s="66" t="str">
        <f t="shared" si="5"/>
        <v>80-5</v>
      </c>
      <c r="DB48" s="66">
        <v>80</v>
      </c>
      <c r="DC48" s="66">
        <v>5</v>
      </c>
      <c r="DD48" s="66">
        <v>1900</v>
      </c>
      <c r="DE48" s="66">
        <v>7.2</v>
      </c>
      <c r="DF48" s="66">
        <v>37.700000000000003</v>
      </c>
      <c r="DG48" s="66">
        <v>11.9</v>
      </c>
      <c r="DH48" s="66"/>
      <c r="DI48" s="66"/>
      <c r="DJ48" s="66"/>
      <c r="DK48" s="66"/>
      <c r="DL48" s="66"/>
      <c r="DM48" s="66"/>
      <c r="DN48" s="66"/>
      <c r="EA48" s="69" t="str">
        <f t="shared" si="6"/>
        <v>100-28</v>
      </c>
      <c r="EB48" s="69">
        <v>100</v>
      </c>
      <c r="EC48" s="69">
        <v>28</v>
      </c>
      <c r="ED48" s="69">
        <v>4600</v>
      </c>
      <c r="EE48" s="69">
        <v>8.4</v>
      </c>
      <c r="EF48" s="69">
        <v>81.900000000000006</v>
      </c>
      <c r="EG48" s="69">
        <v>32</v>
      </c>
      <c r="EH48" s="69"/>
      <c r="EI48" s="69"/>
      <c r="EJ48" s="69"/>
      <c r="EK48" s="69"/>
      <c r="EL48" s="69"/>
      <c r="EM48" s="69"/>
      <c r="EN48" s="69"/>
    </row>
    <row r="49" spans="105:144">
      <c r="DA49" s="66" t="str">
        <f t="shared" si="5"/>
        <v>80-10</v>
      </c>
      <c r="DB49" s="66">
        <v>80</v>
      </c>
      <c r="DC49" s="66">
        <v>10</v>
      </c>
      <c r="DD49" s="66">
        <v>1900</v>
      </c>
      <c r="DE49" s="66">
        <v>7.2</v>
      </c>
      <c r="DF49" s="66">
        <v>44.2</v>
      </c>
      <c r="DG49" s="66">
        <v>9.9</v>
      </c>
      <c r="DH49" s="66"/>
      <c r="DI49" s="66"/>
      <c r="DJ49" s="66"/>
      <c r="DK49" s="66"/>
      <c r="DL49" s="66"/>
      <c r="DM49" s="66"/>
      <c r="DN49" s="66"/>
      <c r="EA49" s="69" t="str">
        <f t="shared" si="6"/>
        <v>100-30</v>
      </c>
      <c r="EB49" s="69">
        <v>100</v>
      </c>
      <c r="EC49" s="69">
        <v>30</v>
      </c>
      <c r="ED49" s="69">
        <v>4600</v>
      </c>
      <c r="EE49" s="69">
        <v>8.8000000000000007</v>
      </c>
      <c r="EF49" s="69">
        <v>91</v>
      </c>
      <c r="EG49" s="69">
        <v>40.700000000000003</v>
      </c>
      <c r="EH49" s="69"/>
      <c r="EI49" s="69"/>
      <c r="EJ49" s="69"/>
      <c r="EK49" s="69"/>
      <c r="EL49" s="69"/>
      <c r="EM49" s="69"/>
      <c r="EN49" s="69"/>
    </row>
    <row r="50" spans="105:144">
      <c r="DA50" s="66" t="str">
        <f t="shared" si="5"/>
        <v>80-15</v>
      </c>
      <c r="DB50" s="66">
        <v>80</v>
      </c>
      <c r="DC50" s="66">
        <v>15</v>
      </c>
      <c r="DD50" s="66">
        <v>2200</v>
      </c>
      <c r="DE50" s="66">
        <v>7.2</v>
      </c>
      <c r="DF50" s="66">
        <v>48.6</v>
      </c>
      <c r="DG50" s="66">
        <v>11.4</v>
      </c>
      <c r="DH50" s="66"/>
      <c r="DI50" s="66"/>
      <c r="DJ50" s="66"/>
      <c r="DK50" s="66"/>
      <c r="DL50" s="66"/>
      <c r="DM50" s="66"/>
      <c r="DN50" s="66"/>
      <c r="EA50" s="69" t="str">
        <f t="shared" si="6"/>
        <v>100-32</v>
      </c>
      <c r="EB50" s="69">
        <v>100</v>
      </c>
      <c r="EC50" s="69">
        <v>32</v>
      </c>
      <c r="ED50" s="69">
        <v>5100</v>
      </c>
      <c r="EE50" s="69">
        <v>8.8000000000000007</v>
      </c>
      <c r="EF50" s="69">
        <v>94</v>
      </c>
      <c r="EG50" s="69">
        <v>43.8</v>
      </c>
      <c r="EH50" s="69"/>
      <c r="EI50" s="69"/>
      <c r="EJ50" s="69"/>
      <c r="EK50" s="69"/>
      <c r="EL50" s="69"/>
      <c r="EM50" s="69"/>
      <c r="EN50" s="69"/>
    </row>
    <row r="51" spans="105:144">
      <c r="DA51" s="66" t="str">
        <f t="shared" si="5"/>
        <v>80-18</v>
      </c>
      <c r="DB51" s="66">
        <v>80</v>
      </c>
      <c r="DC51" s="66">
        <v>18</v>
      </c>
      <c r="DD51" s="66">
        <v>2700</v>
      </c>
      <c r="DE51" s="66">
        <v>7.2</v>
      </c>
      <c r="DF51" s="66">
        <v>21.3</v>
      </c>
      <c r="DG51" s="66">
        <v>13.3</v>
      </c>
      <c r="DH51" s="66"/>
      <c r="DI51" s="66"/>
      <c r="DJ51" s="66"/>
      <c r="DK51" s="66"/>
      <c r="DL51" s="66"/>
      <c r="DM51" s="66"/>
      <c r="DN51" s="66"/>
      <c r="EA51" s="69" t="str">
        <f t="shared" si="6"/>
        <v>100-34</v>
      </c>
      <c r="EB51" s="69">
        <v>100</v>
      </c>
      <c r="EC51" s="69">
        <v>34</v>
      </c>
      <c r="ED51" s="69">
        <v>5100</v>
      </c>
      <c r="EE51" s="69">
        <v>8.8000000000000007</v>
      </c>
      <c r="EF51" s="69">
        <v>99.7</v>
      </c>
      <c r="EG51" s="69">
        <v>49.1</v>
      </c>
      <c r="EH51" s="69"/>
      <c r="EI51" s="69"/>
      <c r="EJ51" s="69"/>
      <c r="EK51" s="69"/>
      <c r="EL51" s="69"/>
      <c r="EM51" s="69"/>
      <c r="EN51" s="69"/>
    </row>
    <row r="52" spans="105:144">
      <c r="DA52" s="66" t="str">
        <f t="shared" si="5"/>
        <v>80-20</v>
      </c>
      <c r="DB52" s="66">
        <v>80</v>
      </c>
      <c r="DC52" s="66">
        <v>20</v>
      </c>
      <c r="DD52" s="66">
        <v>3200</v>
      </c>
      <c r="DE52" s="66">
        <v>7.2</v>
      </c>
      <c r="DF52" s="66">
        <v>53.5</v>
      </c>
      <c r="DG52" s="66">
        <v>14.9</v>
      </c>
      <c r="DH52" s="66"/>
      <c r="DI52" s="66"/>
      <c r="DJ52" s="66"/>
      <c r="DK52" s="66"/>
      <c r="DL52" s="66"/>
      <c r="DM52" s="66"/>
      <c r="DN52" s="66"/>
      <c r="EA52" s="67" t="str">
        <f t="shared" si="6"/>
        <v>125-10</v>
      </c>
      <c r="EB52" s="67">
        <v>125</v>
      </c>
      <c r="EC52" s="67">
        <v>10</v>
      </c>
      <c r="ED52" s="67">
        <v>2700</v>
      </c>
      <c r="EE52" s="67">
        <v>11.37</v>
      </c>
      <c r="EF52" s="67">
        <v>70.7</v>
      </c>
      <c r="EG52" s="67">
        <v>13.4</v>
      </c>
      <c r="EH52" s="67"/>
      <c r="EI52" s="67"/>
      <c r="EJ52" s="67"/>
      <c r="EK52" s="67"/>
      <c r="EL52" s="67"/>
      <c r="EM52" s="67"/>
      <c r="EN52" s="67"/>
    </row>
    <row r="53" spans="105:144">
      <c r="DA53" s="66" t="str">
        <f t="shared" si="5"/>
        <v>80-22</v>
      </c>
      <c r="DB53" s="66">
        <v>80</v>
      </c>
      <c r="DC53" s="66">
        <v>22</v>
      </c>
      <c r="DD53" s="66">
        <v>3200</v>
      </c>
      <c r="DE53" s="66">
        <v>7.2</v>
      </c>
      <c r="DF53" s="66">
        <v>56.9</v>
      </c>
      <c r="DG53" s="66">
        <v>18</v>
      </c>
      <c r="DH53" s="66"/>
      <c r="DI53" s="66"/>
      <c r="DJ53" s="66"/>
      <c r="DK53" s="66"/>
      <c r="DL53" s="66"/>
      <c r="DM53" s="66"/>
      <c r="DN53" s="66"/>
      <c r="EA53" s="67" t="str">
        <f t="shared" si="6"/>
        <v>125-14</v>
      </c>
      <c r="EB53" s="67">
        <v>125</v>
      </c>
      <c r="EC53" s="67">
        <v>14</v>
      </c>
      <c r="ED53" s="67">
        <v>2700</v>
      </c>
      <c r="EE53" s="67">
        <v>11.37</v>
      </c>
      <c r="EF53" s="67">
        <v>76.400000000000006</v>
      </c>
      <c r="EG53" s="67">
        <v>16</v>
      </c>
      <c r="EH53" s="67"/>
      <c r="EI53" s="67"/>
      <c r="EJ53" s="67"/>
      <c r="EK53" s="67"/>
      <c r="EL53" s="67"/>
      <c r="EM53" s="67"/>
      <c r="EN53" s="67"/>
    </row>
    <row r="54" spans="105:144">
      <c r="DA54" s="66" t="str">
        <f t="shared" si="5"/>
        <v>80-24</v>
      </c>
      <c r="DB54" s="66">
        <v>80</v>
      </c>
      <c r="DC54" s="66">
        <v>24</v>
      </c>
      <c r="DD54" s="66">
        <v>3800</v>
      </c>
      <c r="DE54" s="66">
        <v>7.2</v>
      </c>
      <c r="DF54" s="66">
        <v>60</v>
      </c>
      <c r="DG54" s="66">
        <v>20.7</v>
      </c>
      <c r="DH54" s="66"/>
      <c r="DI54" s="66"/>
      <c r="DJ54" s="66"/>
      <c r="DK54" s="66"/>
      <c r="DL54" s="66"/>
      <c r="DM54" s="66"/>
      <c r="DN54" s="66"/>
      <c r="EA54" s="67" t="str">
        <f t="shared" si="6"/>
        <v>125-16</v>
      </c>
      <c r="EB54" s="67">
        <v>125</v>
      </c>
      <c r="EC54" s="67">
        <v>16</v>
      </c>
      <c r="ED54" s="67">
        <v>2900</v>
      </c>
      <c r="EE54" s="67">
        <v>11.37</v>
      </c>
      <c r="EF54" s="67">
        <v>78.3</v>
      </c>
      <c r="EG54" s="67">
        <v>16.899999999999999</v>
      </c>
      <c r="EH54" s="67"/>
      <c r="EI54" s="67"/>
      <c r="EJ54" s="67"/>
      <c r="EK54" s="67"/>
      <c r="EL54" s="67"/>
      <c r="EM54" s="67"/>
      <c r="EN54" s="67"/>
    </row>
    <row r="55" spans="105:144">
      <c r="DA55" s="66" t="str">
        <f t="shared" si="5"/>
        <v>80-26</v>
      </c>
      <c r="DB55" s="66">
        <v>80</v>
      </c>
      <c r="DC55" s="66">
        <v>26</v>
      </c>
      <c r="DD55" s="66">
        <v>3800</v>
      </c>
      <c r="DE55" s="66">
        <v>7.2</v>
      </c>
      <c r="DF55" s="66">
        <v>61.8</v>
      </c>
      <c r="DG55" s="66">
        <v>22.3</v>
      </c>
      <c r="DH55" s="66"/>
      <c r="DI55" s="66"/>
      <c r="DJ55" s="66"/>
      <c r="DK55" s="66"/>
      <c r="DL55" s="66"/>
      <c r="DM55" s="66"/>
      <c r="DN55" s="66"/>
      <c r="EA55" s="67" t="str">
        <f t="shared" si="6"/>
        <v>125-18</v>
      </c>
      <c r="EB55" s="67">
        <v>125</v>
      </c>
      <c r="EC55" s="67">
        <v>18</v>
      </c>
      <c r="ED55" s="67">
        <v>2900</v>
      </c>
      <c r="EE55" s="67">
        <v>11.37</v>
      </c>
      <c r="EF55" s="67">
        <v>81.099999999999994</v>
      </c>
      <c r="EG55" s="67">
        <v>19</v>
      </c>
      <c r="EH55" s="67"/>
      <c r="EI55" s="67"/>
      <c r="EJ55" s="67"/>
      <c r="EK55" s="67"/>
      <c r="EL55" s="67"/>
      <c r="EM55" s="67"/>
      <c r="EN55" s="67"/>
    </row>
    <row r="56" spans="105:144">
      <c r="DA56" s="67" t="str">
        <f t="shared" si="5"/>
        <v>100-5</v>
      </c>
      <c r="DB56" s="67">
        <v>100</v>
      </c>
      <c r="DC56" s="67">
        <v>5</v>
      </c>
      <c r="DD56" s="67">
        <v>1900</v>
      </c>
      <c r="DE56" s="67">
        <v>7.2</v>
      </c>
      <c r="DF56" s="67">
        <v>45.6</v>
      </c>
      <c r="DG56" s="67">
        <v>13.8</v>
      </c>
      <c r="DH56" s="67"/>
      <c r="DI56" s="67"/>
      <c r="DJ56" s="67"/>
      <c r="DK56" s="67"/>
      <c r="DL56" s="67"/>
      <c r="DM56" s="67"/>
      <c r="DN56" s="67"/>
      <c r="EA56" s="67" t="str">
        <f t="shared" si="6"/>
        <v>125-20</v>
      </c>
      <c r="EB56" s="67">
        <v>125</v>
      </c>
      <c r="EC56" s="67">
        <v>20</v>
      </c>
      <c r="ED56" s="67">
        <v>2900</v>
      </c>
      <c r="EE56" s="67">
        <v>11.85</v>
      </c>
      <c r="EF56" s="67">
        <v>84.3</v>
      </c>
      <c r="EG56" s="67">
        <v>21.6</v>
      </c>
      <c r="EH56" s="67"/>
      <c r="EI56" s="67"/>
      <c r="EJ56" s="67"/>
      <c r="EK56" s="67"/>
      <c r="EL56" s="67"/>
      <c r="EM56" s="67"/>
      <c r="EN56" s="67"/>
    </row>
    <row r="57" spans="105:144">
      <c r="DA57" s="67" t="str">
        <f t="shared" si="5"/>
        <v>100-10</v>
      </c>
      <c r="DB57" s="67">
        <v>100</v>
      </c>
      <c r="DC57" s="67">
        <v>10</v>
      </c>
      <c r="DD57" s="67">
        <v>1900</v>
      </c>
      <c r="DE57" s="67">
        <v>7.2</v>
      </c>
      <c r="DF57" s="67">
        <v>53.2</v>
      </c>
      <c r="DG57" s="67">
        <v>11</v>
      </c>
      <c r="DH57" s="67"/>
      <c r="DI57" s="67"/>
      <c r="DJ57" s="67"/>
      <c r="DK57" s="67"/>
      <c r="DL57" s="67"/>
      <c r="DM57" s="67"/>
      <c r="DN57" s="67"/>
      <c r="EA57" s="67" t="str">
        <f t="shared" si="6"/>
        <v>125-22</v>
      </c>
      <c r="EB57" s="67">
        <v>125</v>
      </c>
      <c r="EC57" s="67">
        <v>22</v>
      </c>
      <c r="ED57" s="67">
        <v>3200</v>
      </c>
      <c r="EE57" s="67">
        <v>11.85</v>
      </c>
      <c r="EF57" s="67">
        <v>87.7</v>
      </c>
      <c r="EG57" s="67">
        <v>24.5</v>
      </c>
      <c r="EH57" s="67"/>
      <c r="EI57" s="67"/>
      <c r="EJ57" s="67"/>
      <c r="EK57" s="67"/>
      <c r="EL57" s="67"/>
      <c r="EM57" s="67"/>
      <c r="EN57" s="67"/>
    </row>
    <row r="58" spans="105:144">
      <c r="DA58" s="67" t="str">
        <f t="shared" si="5"/>
        <v>100-15</v>
      </c>
      <c r="DB58" s="67">
        <v>100</v>
      </c>
      <c r="DC58" s="67">
        <v>15</v>
      </c>
      <c r="DD58" s="67">
        <v>2200</v>
      </c>
      <c r="DE58" s="67">
        <v>7.2</v>
      </c>
      <c r="DF58" s="67">
        <v>58.3</v>
      </c>
      <c r="DG58" s="67">
        <v>12.7</v>
      </c>
      <c r="DH58" s="67"/>
      <c r="DI58" s="67"/>
      <c r="DJ58" s="67"/>
      <c r="DK58" s="67"/>
      <c r="DL58" s="67"/>
      <c r="DM58" s="67"/>
      <c r="DN58" s="67"/>
      <c r="EA58" s="67" t="str">
        <f t="shared" si="6"/>
        <v>125-24</v>
      </c>
      <c r="EB58" s="67">
        <v>125</v>
      </c>
      <c r="EC58" s="67">
        <v>24</v>
      </c>
      <c r="ED58" s="67">
        <v>3800</v>
      </c>
      <c r="EE58" s="67">
        <v>11.85</v>
      </c>
      <c r="EF58" s="67">
        <v>93.2</v>
      </c>
      <c r="EG58" s="67">
        <v>29.4</v>
      </c>
      <c r="EH58" s="67"/>
      <c r="EI58" s="67"/>
      <c r="EJ58" s="67"/>
      <c r="EK58" s="67"/>
      <c r="EL58" s="67"/>
      <c r="EM58" s="67"/>
      <c r="EN58" s="67"/>
    </row>
    <row r="59" spans="105:144">
      <c r="DA59" s="67" t="str">
        <f t="shared" si="5"/>
        <v>100-18</v>
      </c>
      <c r="DB59" s="67">
        <v>100</v>
      </c>
      <c r="DC59" s="67">
        <v>18</v>
      </c>
      <c r="DD59" s="67">
        <v>2700</v>
      </c>
      <c r="DE59" s="67">
        <v>7.2</v>
      </c>
      <c r="DF59" s="67">
        <v>62.8</v>
      </c>
      <c r="DG59" s="67">
        <v>16</v>
      </c>
      <c r="DH59" s="67"/>
      <c r="DI59" s="67"/>
      <c r="DJ59" s="67"/>
      <c r="DK59" s="67"/>
      <c r="DL59" s="67"/>
      <c r="DM59" s="67"/>
      <c r="DN59" s="67"/>
      <c r="EA59" s="67" t="str">
        <f t="shared" si="6"/>
        <v>125-26</v>
      </c>
      <c r="EB59" s="67">
        <v>125</v>
      </c>
      <c r="EC59" s="67">
        <v>26</v>
      </c>
      <c r="ED59" s="67">
        <v>3800</v>
      </c>
      <c r="EE59" s="67">
        <v>12.46</v>
      </c>
      <c r="EF59" s="67">
        <v>96.9</v>
      </c>
      <c r="EG59" s="67">
        <v>33.799999999999997</v>
      </c>
      <c r="EH59" s="67"/>
      <c r="EI59" s="67"/>
      <c r="EJ59" s="67"/>
      <c r="EK59" s="67"/>
      <c r="EL59" s="67"/>
      <c r="EM59" s="67"/>
      <c r="EN59" s="67"/>
    </row>
    <row r="60" spans="105:144">
      <c r="DA60" s="67" t="str">
        <f t="shared" si="5"/>
        <v>100-20</v>
      </c>
      <c r="DB60" s="67">
        <v>100</v>
      </c>
      <c r="DC60" s="67">
        <v>20</v>
      </c>
      <c r="DD60" s="67">
        <v>3200</v>
      </c>
      <c r="DE60" s="67">
        <v>7.2</v>
      </c>
      <c r="DF60" s="67">
        <v>65.5</v>
      </c>
      <c r="DG60" s="67">
        <v>18.100000000000001</v>
      </c>
      <c r="DH60" s="67"/>
      <c r="DI60" s="67"/>
      <c r="DJ60" s="67"/>
      <c r="DK60" s="67"/>
      <c r="DL60" s="67"/>
      <c r="DM60" s="67"/>
      <c r="DN60" s="67"/>
      <c r="EA60" s="67" t="str">
        <f t="shared" si="6"/>
        <v>125-28</v>
      </c>
      <c r="EB60" s="67">
        <v>125</v>
      </c>
      <c r="EC60" s="67">
        <v>28</v>
      </c>
      <c r="ED60" s="67">
        <v>4200</v>
      </c>
      <c r="EE60" s="67">
        <v>12.46</v>
      </c>
      <c r="EF60" s="67">
        <v>102</v>
      </c>
      <c r="EG60" s="67">
        <v>37.4</v>
      </c>
      <c r="EH60" s="67"/>
      <c r="EI60" s="67"/>
      <c r="EJ60" s="67"/>
      <c r="EK60" s="67"/>
      <c r="EL60" s="67"/>
      <c r="EM60" s="67"/>
      <c r="EN60" s="67"/>
    </row>
    <row r="61" spans="105:144">
      <c r="DA61" s="67" t="str">
        <f t="shared" si="5"/>
        <v>100-22</v>
      </c>
      <c r="DB61" s="67">
        <v>100</v>
      </c>
      <c r="DC61" s="67">
        <v>22</v>
      </c>
      <c r="DD61" s="67">
        <v>3200</v>
      </c>
      <c r="DE61" s="67">
        <v>7.2</v>
      </c>
      <c r="DF61" s="67">
        <v>67.599999999999994</v>
      </c>
      <c r="DG61" s="67">
        <v>19.7</v>
      </c>
      <c r="DH61" s="67"/>
      <c r="DI61" s="67"/>
      <c r="DJ61" s="67"/>
      <c r="DK61" s="67"/>
      <c r="DL61" s="67"/>
      <c r="DM61" s="67"/>
      <c r="DN61" s="67"/>
      <c r="EA61" s="67" t="str">
        <f t="shared" si="6"/>
        <v>125-30</v>
      </c>
      <c r="EB61" s="67">
        <v>125</v>
      </c>
      <c r="EC61" s="67">
        <v>30</v>
      </c>
      <c r="ED61" s="67">
        <v>4600</v>
      </c>
      <c r="EE61" s="67">
        <v>13.15</v>
      </c>
      <c r="EF61" s="67">
        <v>106</v>
      </c>
      <c r="EG61" s="67">
        <v>42</v>
      </c>
      <c r="EH61" s="67"/>
      <c r="EI61" s="67"/>
      <c r="EJ61" s="67"/>
      <c r="EK61" s="67"/>
      <c r="EL61" s="67"/>
      <c r="EM61" s="67"/>
      <c r="EN61" s="67"/>
    </row>
    <row r="62" spans="105:144">
      <c r="DA62" s="67" t="str">
        <f t="shared" si="5"/>
        <v>100-24</v>
      </c>
      <c r="DB62" s="67">
        <v>100</v>
      </c>
      <c r="DC62" s="67">
        <v>24</v>
      </c>
      <c r="DD62" s="67">
        <v>3800</v>
      </c>
      <c r="DE62" s="67">
        <v>7.2</v>
      </c>
      <c r="DF62" s="67">
        <v>69.7</v>
      </c>
      <c r="DG62" s="67">
        <v>21.5</v>
      </c>
      <c r="DH62" s="67"/>
      <c r="DI62" s="67"/>
      <c r="DJ62" s="67"/>
      <c r="DK62" s="67"/>
      <c r="DL62" s="67"/>
      <c r="DM62" s="67"/>
      <c r="DN62" s="67"/>
      <c r="EA62" s="67" t="str">
        <f t="shared" si="6"/>
        <v>125-32</v>
      </c>
      <c r="EB62" s="67">
        <v>125</v>
      </c>
      <c r="EC62" s="67">
        <v>32</v>
      </c>
      <c r="ED62" s="67">
        <v>5100</v>
      </c>
      <c r="EE62" s="67">
        <v>13.15</v>
      </c>
      <c r="EF62" s="67">
        <v>113</v>
      </c>
      <c r="EG62" s="67">
        <v>47.5</v>
      </c>
      <c r="EH62" s="67"/>
      <c r="EI62" s="67"/>
      <c r="EJ62" s="67"/>
      <c r="EK62" s="67"/>
      <c r="EL62" s="67"/>
      <c r="EM62" s="67"/>
      <c r="EN62" s="67"/>
    </row>
    <row r="63" spans="105:144">
      <c r="EA63" s="67" t="str">
        <f t="shared" si="6"/>
        <v>125-34</v>
      </c>
      <c r="EB63" s="67">
        <v>125</v>
      </c>
      <c r="EC63" s="67">
        <v>34</v>
      </c>
      <c r="ED63" s="67">
        <v>5100</v>
      </c>
      <c r="EE63" s="67">
        <v>13.15</v>
      </c>
      <c r="EF63" s="67">
        <v>120</v>
      </c>
      <c r="EG63" s="67">
        <v>54.3</v>
      </c>
      <c r="EH63" s="67"/>
      <c r="EI63" s="67"/>
      <c r="EJ63" s="67"/>
      <c r="EK63" s="67"/>
      <c r="EL63" s="67"/>
      <c r="EM63" s="67"/>
      <c r="EN63" s="67"/>
    </row>
    <row r="64" spans="105:144">
      <c r="EA64" s="65" t="str">
        <f t="shared" si="6"/>
        <v>160-10</v>
      </c>
      <c r="EB64" s="65">
        <v>160</v>
      </c>
      <c r="EC64" s="65">
        <v>10</v>
      </c>
      <c r="ED64" s="65">
        <v>2700</v>
      </c>
      <c r="EE64" s="65">
        <v>11.37</v>
      </c>
      <c r="EF64" s="65">
        <v>87.1</v>
      </c>
      <c r="EG64" s="65">
        <v>15.2</v>
      </c>
      <c r="EH64" s="65"/>
      <c r="EI64" s="65"/>
      <c r="EJ64" s="65"/>
      <c r="EK64" s="65"/>
      <c r="EL64" s="65"/>
      <c r="EM64" s="65"/>
      <c r="EN64" s="65"/>
    </row>
    <row r="65" spans="131:144">
      <c r="EA65" s="65" t="str">
        <f t="shared" si="6"/>
        <v>160-14</v>
      </c>
      <c r="EB65" s="65">
        <v>160</v>
      </c>
      <c r="EC65" s="65">
        <v>14</v>
      </c>
      <c r="ED65" s="65">
        <v>2700</v>
      </c>
      <c r="EE65" s="65">
        <v>11.37</v>
      </c>
      <c r="EF65" s="65">
        <v>94.5</v>
      </c>
      <c r="EG65" s="65">
        <v>18.899999999999999</v>
      </c>
      <c r="EH65" s="65"/>
      <c r="EI65" s="65"/>
      <c r="EJ65" s="65"/>
      <c r="EK65" s="65"/>
      <c r="EL65" s="65"/>
      <c r="EM65" s="65"/>
      <c r="EN65" s="65"/>
    </row>
    <row r="66" spans="131:144">
      <c r="EA66" s="65" t="str">
        <f t="shared" si="6"/>
        <v>160-16</v>
      </c>
      <c r="EB66" s="65">
        <v>160</v>
      </c>
      <c r="EC66" s="65">
        <v>16</v>
      </c>
      <c r="ED66" s="65">
        <v>2900</v>
      </c>
      <c r="EE66" s="65">
        <v>11.37</v>
      </c>
      <c r="EF66" s="65">
        <v>97.7</v>
      </c>
      <c r="EG66" s="65">
        <v>20.9</v>
      </c>
      <c r="EH66" s="65"/>
      <c r="EI66" s="65"/>
      <c r="EJ66" s="65"/>
      <c r="EK66" s="65"/>
      <c r="EL66" s="65"/>
      <c r="EM66" s="65"/>
      <c r="EN66" s="65"/>
    </row>
    <row r="67" spans="131:144">
      <c r="EA67" s="65" t="str">
        <f t="shared" si="6"/>
        <v>160-18</v>
      </c>
      <c r="EB67" s="65">
        <v>160</v>
      </c>
      <c r="EC67" s="65">
        <v>18</v>
      </c>
      <c r="ED67" s="65">
        <v>2900</v>
      </c>
      <c r="EE67" s="65">
        <v>11.37</v>
      </c>
      <c r="EF67" s="65">
        <v>101</v>
      </c>
      <c r="EG67" s="65">
        <v>23.1</v>
      </c>
      <c r="EH67" s="65"/>
      <c r="EI67" s="65"/>
      <c r="EJ67" s="65"/>
      <c r="EK67" s="65"/>
      <c r="EL67" s="65"/>
      <c r="EM67" s="65"/>
      <c r="EN67" s="65"/>
    </row>
    <row r="68" spans="131:144">
      <c r="EA68" s="65" t="str">
        <f t="shared" si="6"/>
        <v>160-20</v>
      </c>
      <c r="EB68" s="65">
        <v>160</v>
      </c>
      <c r="EC68" s="65">
        <v>20</v>
      </c>
      <c r="ED68" s="65">
        <v>2900</v>
      </c>
      <c r="EE68" s="65">
        <v>11.85</v>
      </c>
      <c r="EF68" s="65">
        <v>105</v>
      </c>
      <c r="EG68" s="65">
        <v>26.2</v>
      </c>
      <c r="EH68" s="65"/>
      <c r="EI68" s="65"/>
      <c r="EJ68" s="65"/>
      <c r="EK68" s="65"/>
      <c r="EL68" s="65"/>
      <c r="EM68" s="65"/>
      <c r="EN68" s="65"/>
    </row>
    <row r="69" spans="131:144">
      <c r="EA69" s="65" t="str">
        <f t="shared" ref="EA69:EA87" si="11">EB69&amp;"-"&amp;EC69</f>
        <v>160-22</v>
      </c>
      <c r="EB69" s="65">
        <v>160</v>
      </c>
      <c r="EC69" s="65">
        <v>22</v>
      </c>
      <c r="ED69" s="65">
        <v>3200</v>
      </c>
      <c r="EE69" s="65">
        <v>11.85</v>
      </c>
      <c r="EF69" s="65">
        <v>108</v>
      </c>
      <c r="EG69" s="65">
        <v>27.9</v>
      </c>
      <c r="EH69" s="65"/>
      <c r="EI69" s="65"/>
      <c r="EJ69" s="65"/>
      <c r="EK69" s="65"/>
      <c r="EL69" s="65"/>
      <c r="EM69" s="65"/>
      <c r="EN69" s="65"/>
    </row>
    <row r="70" spans="131:144">
      <c r="EA70" s="65" t="str">
        <f t="shared" si="11"/>
        <v>160-24</v>
      </c>
      <c r="EB70" s="65">
        <v>160</v>
      </c>
      <c r="EC70" s="65">
        <v>24</v>
      </c>
      <c r="ED70" s="65">
        <v>3800</v>
      </c>
      <c r="EE70" s="65">
        <v>11.85</v>
      </c>
      <c r="EF70" s="65">
        <v>112</v>
      </c>
      <c r="EG70" s="65">
        <v>32</v>
      </c>
      <c r="EH70" s="65"/>
      <c r="EI70" s="65"/>
      <c r="EJ70" s="65"/>
      <c r="EK70" s="65"/>
      <c r="EL70" s="65"/>
      <c r="EM70" s="65"/>
      <c r="EN70" s="65"/>
    </row>
    <row r="71" spans="131:144">
      <c r="EA71" s="65" t="str">
        <f t="shared" si="11"/>
        <v>160-26</v>
      </c>
      <c r="EB71" s="65">
        <v>160</v>
      </c>
      <c r="EC71" s="65">
        <v>26</v>
      </c>
      <c r="ED71" s="65">
        <v>3800</v>
      </c>
      <c r="EE71" s="65">
        <v>12.46</v>
      </c>
      <c r="EF71" s="65">
        <v>115</v>
      </c>
      <c r="EG71" s="65">
        <v>35.5</v>
      </c>
      <c r="EH71" s="65"/>
      <c r="EI71" s="65"/>
      <c r="EJ71" s="65"/>
      <c r="EK71" s="65"/>
      <c r="EL71" s="65"/>
      <c r="EM71" s="65"/>
      <c r="EN71" s="65"/>
    </row>
    <row r="72" spans="131:144">
      <c r="EA72" s="65" t="str">
        <f t="shared" si="11"/>
        <v>160-28</v>
      </c>
      <c r="EB72" s="65">
        <v>160</v>
      </c>
      <c r="EC72" s="65">
        <v>28</v>
      </c>
      <c r="ED72" s="65">
        <v>4200</v>
      </c>
      <c r="EE72" s="65">
        <v>12.46</v>
      </c>
      <c r="EF72" s="65">
        <v>118</v>
      </c>
      <c r="EG72" s="65">
        <v>37.9</v>
      </c>
      <c r="EH72" s="65"/>
      <c r="EI72" s="65"/>
      <c r="EJ72" s="65"/>
      <c r="EK72" s="65"/>
      <c r="EL72" s="65"/>
      <c r="EM72" s="65"/>
      <c r="EN72" s="65"/>
    </row>
    <row r="73" spans="131:144">
      <c r="EA73" s="65" t="str">
        <f t="shared" si="11"/>
        <v>160-30</v>
      </c>
      <c r="EB73" s="65">
        <v>160</v>
      </c>
      <c r="EC73" s="65">
        <v>30</v>
      </c>
      <c r="ED73" s="65">
        <v>4600</v>
      </c>
      <c r="EE73" s="65">
        <v>13.15</v>
      </c>
      <c r="EF73" s="65">
        <v>126</v>
      </c>
      <c r="EG73" s="65">
        <v>45.2</v>
      </c>
      <c r="EH73" s="65"/>
      <c r="EI73" s="65"/>
      <c r="EJ73" s="65"/>
      <c r="EK73" s="65"/>
      <c r="EL73" s="65"/>
      <c r="EM73" s="65"/>
      <c r="EN73" s="65"/>
    </row>
    <row r="74" spans="131:144">
      <c r="EA74" s="65" t="str">
        <f t="shared" si="11"/>
        <v>160-32</v>
      </c>
      <c r="EB74" s="65">
        <v>160</v>
      </c>
      <c r="EC74" s="65">
        <v>32</v>
      </c>
      <c r="ED74" s="65">
        <v>5100</v>
      </c>
      <c r="EE74" s="65">
        <v>13.15</v>
      </c>
      <c r="EF74" s="65">
        <v>134</v>
      </c>
      <c r="EG74" s="65">
        <v>52.3</v>
      </c>
      <c r="EH74" s="65"/>
      <c r="EI74" s="65"/>
      <c r="EJ74" s="65"/>
      <c r="EK74" s="65"/>
      <c r="EL74" s="65"/>
      <c r="EM74" s="65"/>
      <c r="EN74" s="65"/>
    </row>
    <row r="75" spans="131:144">
      <c r="EA75" s="65" t="str">
        <f t="shared" si="11"/>
        <v>160-34</v>
      </c>
      <c r="EB75" s="65">
        <v>160</v>
      </c>
      <c r="EC75" s="65">
        <v>34</v>
      </c>
      <c r="ED75" s="65">
        <v>5100</v>
      </c>
      <c r="EE75" s="65">
        <v>13.15</v>
      </c>
      <c r="EF75" s="65">
        <v>140</v>
      </c>
      <c r="EG75" s="65">
        <v>58.1</v>
      </c>
      <c r="EH75" s="65"/>
      <c r="EI75" s="65"/>
      <c r="EJ75" s="65"/>
      <c r="EK75" s="65"/>
      <c r="EL75" s="65"/>
      <c r="EM75" s="65"/>
      <c r="EN75" s="65"/>
    </row>
    <row r="76" spans="131:144">
      <c r="EA76" s="66" t="str">
        <f t="shared" si="11"/>
        <v>200-10</v>
      </c>
      <c r="EB76" s="66">
        <v>200</v>
      </c>
      <c r="EC76" s="66">
        <v>10</v>
      </c>
      <c r="ED76" s="66">
        <v>2900</v>
      </c>
      <c r="EE76" s="66">
        <v>14.4</v>
      </c>
      <c r="EF76" s="66">
        <v>108</v>
      </c>
      <c r="EG76" s="66">
        <v>19.8</v>
      </c>
      <c r="EH76" s="66"/>
      <c r="EI76" s="66"/>
      <c r="EJ76" s="66"/>
      <c r="EK76" s="66"/>
      <c r="EL76" s="66"/>
      <c r="EM76" s="66"/>
      <c r="EN76" s="66"/>
    </row>
    <row r="77" spans="131:144">
      <c r="EA77" s="66" t="str">
        <f t="shared" si="11"/>
        <v>200-14</v>
      </c>
      <c r="EB77" s="66">
        <v>200</v>
      </c>
      <c r="EC77" s="66">
        <v>14</v>
      </c>
      <c r="ED77" s="66">
        <v>2900</v>
      </c>
      <c r="EE77" s="66">
        <v>14.4</v>
      </c>
      <c r="EF77" s="66">
        <v>115</v>
      </c>
      <c r="EG77" s="66">
        <v>21.8</v>
      </c>
      <c r="EH77" s="66"/>
      <c r="EI77" s="66"/>
      <c r="EJ77" s="66"/>
      <c r="EK77" s="66"/>
      <c r="EL77" s="66"/>
      <c r="EM77" s="66"/>
      <c r="EN77" s="66"/>
    </row>
    <row r="78" spans="131:144">
      <c r="EA78" s="66" t="str">
        <f t="shared" si="11"/>
        <v>200-16</v>
      </c>
      <c r="EB78" s="66">
        <v>200</v>
      </c>
      <c r="EC78" s="66">
        <v>16</v>
      </c>
      <c r="ED78" s="66">
        <v>2900</v>
      </c>
      <c r="EE78" s="66">
        <v>14.4</v>
      </c>
      <c r="EF78" s="66">
        <v>119</v>
      </c>
      <c r="EG78" s="66">
        <v>23.7</v>
      </c>
      <c r="EH78" s="66"/>
      <c r="EI78" s="66"/>
      <c r="EJ78" s="66"/>
      <c r="EK78" s="66"/>
      <c r="EL78" s="66"/>
      <c r="EM78" s="66"/>
      <c r="EN78" s="66"/>
    </row>
    <row r="79" spans="131:144">
      <c r="EA79" s="66" t="str">
        <f t="shared" si="11"/>
        <v>200-18</v>
      </c>
      <c r="EB79" s="66">
        <v>200</v>
      </c>
      <c r="EC79" s="66">
        <v>18</v>
      </c>
      <c r="ED79" s="66">
        <v>2900</v>
      </c>
      <c r="EE79" s="66">
        <v>14.4</v>
      </c>
      <c r="EF79" s="66">
        <v>122</v>
      </c>
      <c r="EG79" s="66">
        <v>25.9</v>
      </c>
      <c r="EH79" s="66"/>
      <c r="EI79" s="66"/>
      <c r="EJ79" s="66"/>
      <c r="EK79" s="66"/>
      <c r="EL79" s="66"/>
      <c r="EM79" s="66"/>
      <c r="EN79" s="66"/>
    </row>
    <row r="80" spans="131:144">
      <c r="EA80" s="66" t="str">
        <f t="shared" si="11"/>
        <v>200-20</v>
      </c>
      <c r="EB80" s="66">
        <v>200</v>
      </c>
      <c r="EC80" s="66">
        <v>20</v>
      </c>
      <c r="ED80" s="66">
        <v>3200</v>
      </c>
      <c r="EE80" s="66">
        <v>15</v>
      </c>
      <c r="EF80" s="66">
        <v>127</v>
      </c>
      <c r="EG80" s="66">
        <v>29.5</v>
      </c>
      <c r="EH80" s="66"/>
      <c r="EI80" s="66"/>
      <c r="EJ80" s="66"/>
      <c r="EK80" s="66"/>
      <c r="EL80" s="66"/>
      <c r="EM80" s="66"/>
      <c r="EN80" s="66"/>
    </row>
    <row r="81" spans="131:144">
      <c r="EA81" s="66" t="str">
        <f t="shared" si="11"/>
        <v>200-22</v>
      </c>
      <c r="EB81" s="66">
        <v>200</v>
      </c>
      <c r="EC81" s="66">
        <v>22</v>
      </c>
      <c r="ED81" s="66">
        <v>3200</v>
      </c>
      <c r="EE81" s="66">
        <v>15</v>
      </c>
      <c r="EF81" s="66">
        <v>130</v>
      </c>
      <c r="EG81" s="66">
        <v>32.299999999999997</v>
      </c>
      <c r="EH81" s="66"/>
      <c r="EI81" s="66"/>
      <c r="EJ81" s="66"/>
      <c r="EK81" s="66"/>
      <c r="EL81" s="66"/>
      <c r="EM81" s="66"/>
      <c r="EN81" s="66"/>
    </row>
    <row r="82" spans="131:144">
      <c r="EA82" s="66" t="str">
        <f t="shared" si="11"/>
        <v>200-24</v>
      </c>
      <c r="EB82" s="66">
        <v>200</v>
      </c>
      <c r="EC82" s="66">
        <v>24</v>
      </c>
      <c r="ED82" s="66">
        <v>3800</v>
      </c>
      <c r="EE82" s="66">
        <v>15</v>
      </c>
      <c r="EF82" s="66">
        <v>134</v>
      </c>
      <c r="EG82" s="66">
        <v>34.6</v>
      </c>
      <c r="EH82" s="66"/>
      <c r="EI82" s="66"/>
      <c r="EJ82" s="66"/>
      <c r="EK82" s="66"/>
      <c r="EL82" s="66"/>
      <c r="EM82" s="66"/>
      <c r="EN82" s="66"/>
    </row>
    <row r="83" spans="131:144">
      <c r="EA83" s="66" t="str">
        <f t="shared" si="11"/>
        <v>200-26</v>
      </c>
      <c r="EB83" s="66">
        <v>200</v>
      </c>
      <c r="EC83" s="66">
        <v>26</v>
      </c>
      <c r="ED83" s="66">
        <v>3800</v>
      </c>
      <c r="EE83" s="66">
        <v>15.85</v>
      </c>
      <c r="EF83" s="66">
        <v>138</v>
      </c>
      <c r="EG83" s="66">
        <v>39.200000000000003</v>
      </c>
      <c r="EH83" s="66"/>
      <c r="EI83" s="66"/>
      <c r="EJ83" s="66"/>
      <c r="EK83" s="66"/>
      <c r="EL83" s="66"/>
      <c r="EM83" s="66"/>
      <c r="EN83" s="66"/>
    </row>
    <row r="84" spans="131:144">
      <c r="EA84" s="66" t="str">
        <f t="shared" si="11"/>
        <v>200-28</v>
      </c>
      <c r="EB84" s="66">
        <v>200</v>
      </c>
      <c r="EC84" s="66">
        <v>28</v>
      </c>
      <c r="ED84" s="66">
        <v>4100</v>
      </c>
      <c r="EE84" s="66">
        <v>15.85</v>
      </c>
      <c r="EF84" s="66">
        <v>145</v>
      </c>
      <c r="EG84" s="66">
        <v>45</v>
      </c>
      <c r="EH84" s="66"/>
      <c r="EI84" s="66"/>
      <c r="EJ84" s="66"/>
      <c r="EK84" s="66"/>
      <c r="EL84" s="66"/>
      <c r="EM84" s="66"/>
      <c r="EN84" s="66"/>
    </row>
    <row r="85" spans="131:144">
      <c r="EA85" s="66" t="str">
        <f t="shared" si="11"/>
        <v>200-30</v>
      </c>
      <c r="EB85" s="66">
        <v>200</v>
      </c>
      <c r="EC85" s="66">
        <v>30</v>
      </c>
      <c r="ED85" s="66">
        <v>4600</v>
      </c>
      <c r="EE85" s="66">
        <v>16.95</v>
      </c>
      <c r="EF85" s="66">
        <v>151</v>
      </c>
      <c r="EG85" s="66">
        <v>51</v>
      </c>
      <c r="EH85" s="66"/>
      <c r="EI85" s="66"/>
      <c r="EJ85" s="66"/>
      <c r="EK85" s="66"/>
      <c r="EL85" s="66"/>
      <c r="EM85" s="66"/>
      <c r="EN85" s="66"/>
    </row>
    <row r="86" spans="131:144">
      <c r="EA86" s="66" t="str">
        <f t="shared" si="11"/>
        <v>200-32</v>
      </c>
      <c r="EB86" s="66">
        <v>200</v>
      </c>
      <c r="EC86" s="66">
        <v>32</v>
      </c>
      <c r="ED86" s="66">
        <v>5100</v>
      </c>
      <c r="EE86" s="66">
        <v>16.95</v>
      </c>
      <c r="EF86" s="66">
        <v>158</v>
      </c>
      <c r="EG86" s="66">
        <v>56.8</v>
      </c>
      <c r="EH86" s="66"/>
      <c r="EI86" s="66"/>
      <c r="EJ86" s="66"/>
      <c r="EK86" s="66"/>
      <c r="EL86" s="66"/>
      <c r="EM86" s="66"/>
      <c r="EN86" s="66"/>
    </row>
    <row r="87" spans="131:144">
      <c r="EA87" s="66" t="str">
        <f t="shared" si="11"/>
        <v>200-34</v>
      </c>
      <c r="EB87" s="66">
        <v>200</v>
      </c>
      <c r="EC87" s="66">
        <v>34</v>
      </c>
      <c r="ED87" s="66">
        <v>5100</v>
      </c>
      <c r="EE87" s="66">
        <v>16.95</v>
      </c>
      <c r="EF87" s="66">
        <v>161</v>
      </c>
      <c r="EG87" s="66">
        <v>59.7</v>
      </c>
      <c r="EH87" s="66"/>
      <c r="EI87" s="66"/>
      <c r="EJ87" s="66"/>
      <c r="EK87" s="66"/>
      <c r="EL87" s="66"/>
      <c r="EM87" s="66"/>
      <c r="EN87" s="66"/>
    </row>
    <row r="88" spans="131:144">
      <c r="EA88" s="67" t="str">
        <f t="shared" ref="EA88:EA99" si="12">EB88&amp;"-"&amp;EC88</f>
        <v>250-10</v>
      </c>
      <c r="EB88" s="67">
        <v>250</v>
      </c>
      <c r="EC88" s="67">
        <v>10</v>
      </c>
      <c r="ED88" s="67">
        <v>2900</v>
      </c>
      <c r="EE88" s="67">
        <v>14.4</v>
      </c>
      <c r="EF88" s="67">
        <v>131</v>
      </c>
      <c r="EG88" s="67">
        <v>22.4</v>
      </c>
      <c r="EH88" s="67"/>
      <c r="EI88" s="67"/>
      <c r="EJ88" s="67"/>
      <c r="EK88" s="67"/>
      <c r="EL88" s="67"/>
      <c r="EM88" s="67"/>
      <c r="EN88" s="67"/>
    </row>
    <row r="89" spans="131:144">
      <c r="EA89" s="67" t="str">
        <f t="shared" si="12"/>
        <v>250-14</v>
      </c>
      <c r="EB89" s="67">
        <v>250</v>
      </c>
      <c r="EC89" s="67">
        <v>14</v>
      </c>
      <c r="ED89" s="67">
        <v>2900</v>
      </c>
      <c r="EE89" s="67">
        <v>14.4</v>
      </c>
      <c r="EF89" s="67">
        <v>140</v>
      </c>
      <c r="EG89" s="67">
        <v>25</v>
      </c>
      <c r="EH89" s="67"/>
      <c r="EI89" s="67"/>
      <c r="EJ89" s="67"/>
      <c r="EK89" s="67"/>
      <c r="EL89" s="67"/>
      <c r="EM89" s="67"/>
      <c r="EN89" s="67"/>
    </row>
    <row r="90" spans="131:144">
      <c r="EA90" s="67" t="str">
        <f t="shared" si="12"/>
        <v>250-16</v>
      </c>
      <c r="EB90" s="67">
        <v>250</v>
      </c>
      <c r="EC90" s="67">
        <v>16</v>
      </c>
      <c r="ED90" s="67">
        <v>2900</v>
      </c>
      <c r="EE90" s="67">
        <v>14.4</v>
      </c>
      <c r="EF90" s="67">
        <v>146</v>
      </c>
      <c r="EG90" s="67">
        <v>29</v>
      </c>
      <c r="EH90" s="67"/>
      <c r="EI90" s="67"/>
      <c r="EJ90" s="67"/>
      <c r="EK90" s="67"/>
      <c r="EL90" s="67"/>
      <c r="EM90" s="67"/>
      <c r="EN90" s="67"/>
    </row>
    <row r="91" spans="131:144">
      <c r="EA91" s="67" t="str">
        <f t="shared" si="12"/>
        <v>250-18</v>
      </c>
      <c r="EB91" s="67">
        <v>250</v>
      </c>
      <c r="EC91" s="67">
        <v>18</v>
      </c>
      <c r="ED91" s="67">
        <v>2900</v>
      </c>
      <c r="EE91" s="67">
        <v>14.4</v>
      </c>
      <c r="EF91" s="67">
        <v>149</v>
      </c>
      <c r="EG91" s="67">
        <v>30.3</v>
      </c>
      <c r="EH91" s="67"/>
      <c r="EI91" s="67"/>
      <c r="EJ91" s="67"/>
      <c r="EK91" s="67"/>
      <c r="EL91" s="67"/>
      <c r="EM91" s="67"/>
      <c r="EN91" s="67"/>
    </row>
    <row r="92" spans="131:144">
      <c r="EA92" s="67" t="str">
        <f t="shared" si="12"/>
        <v>250-20</v>
      </c>
      <c r="EB92" s="67">
        <v>250</v>
      </c>
      <c r="EC92" s="67">
        <v>20</v>
      </c>
      <c r="ED92" s="67">
        <v>3200</v>
      </c>
      <c r="EE92" s="67">
        <v>15</v>
      </c>
      <c r="EF92" s="67">
        <v>153</v>
      </c>
      <c r="EG92" s="67">
        <v>33.299999999999997</v>
      </c>
      <c r="EH92" s="67"/>
      <c r="EI92" s="67"/>
      <c r="EJ92" s="67"/>
      <c r="EK92" s="67"/>
      <c r="EL92" s="67"/>
      <c r="EM92" s="67"/>
      <c r="EN92" s="67"/>
    </row>
    <row r="93" spans="131:144">
      <c r="EA93" s="67" t="str">
        <f t="shared" si="12"/>
        <v>250-22</v>
      </c>
      <c r="EB93" s="67">
        <v>250</v>
      </c>
      <c r="EC93" s="67">
        <v>22</v>
      </c>
      <c r="ED93" s="67">
        <v>3200</v>
      </c>
      <c r="EE93" s="67">
        <v>15</v>
      </c>
      <c r="EF93" s="67">
        <v>158</v>
      </c>
      <c r="EG93" s="67">
        <v>36.9</v>
      </c>
      <c r="EH93" s="67"/>
      <c r="EI93" s="67"/>
      <c r="EJ93" s="67"/>
      <c r="EK93" s="67"/>
      <c r="EL93" s="67"/>
      <c r="EM93" s="67"/>
      <c r="EN93" s="67"/>
    </row>
    <row r="94" spans="131:144">
      <c r="EA94" s="67" t="str">
        <f t="shared" si="12"/>
        <v>250-24</v>
      </c>
      <c r="EB94" s="67">
        <v>250</v>
      </c>
      <c r="EC94" s="67">
        <v>24</v>
      </c>
      <c r="ED94" s="67">
        <v>3800</v>
      </c>
      <c r="EE94" s="67">
        <v>15</v>
      </c>
      <c r="EF94" s="67">
        <v>163</v>
      </c>
      <c r="EG94" s="67">
        <v>41.3</v>
      </c>
      <c r="EH94" s="67"/>
      <c r="EI94" s="67"/>
      <c r="EJ94" s="67"/>
      <c r="EK94" s="67"/>
      <c r="EL94" s="67"/>
      <c r="EM94" s="67"/>
      <c r="EN94" s="67"/>
    </row>
    <row r="95" spans="131:144">
      <c r="EA95" s="67" t="str">
        <f t="shared" si="12"/>
        <v>250-26</v>
      </c>
      <c r="EB95" s="67">
        <v>250</v>
      </c>
      <c r="EC95" s="67">
        <v>26</v>
      </c>
      <c r="ED95" s="67">
        <v>3800</v>
      </c>
      <c r="EE95" s="67">
        <v>15.85</v>
      </c>
      <c r="EF95" s="67">
        <v>166</v>
      </c>
      <c r="EG95" s="67">
        <v>44.3</v>
      </c>
      <c r="EH95" s="67"/>
      <c r="EI95" s="67"/>
      <c r="EJ95" s="67"/>
      <c r="EK95" s="67"/>
      <c r="EL95" s="67"/>
      <c r="EM95" s="67"/>
      <c r="EN95" s="67"/>
    </row>
    <row r="96" spans="131:144">
      <c r="EA96" s="67" t="str">
        <f t="shared" si="12"/>
        <v>250-28</v>
      </c>
      <c r="EB96" s="67">
        <v>250</v>
      </c>
      <c r="EC96" s="67">
        <v>28</v>
      </c>
      <c r="ED96" s="67">
        <v>4600</v>
      </c>
      <c r="EE96" s="67">
        <v>15.85</v>
      </c>
      <c r="EF96" s="67">
        <v>173</v>
      </c>
      <c r="EG96" s="67">
        <v>50.3</v>
      </c>
      <c r="EH96" s="67"/>
      <c r="EI96" s="67"/>
      <c r="EJ96" s="67"/>
      <c r="EK96" s="67"/>
      <c r="EL96" s="67"/>
      <c r="EM96" s="67"/>
      <c r="EN96" s="67"/>
    </row>
    <row r="97" spans="131:144">
      <c r="EA97" s="67" t="str">
        <f t="shared" si="12"/>
        <v>250-30</v>
      </c>
      <c r="EB97" s="67">
        <v>250</v>
      </c>
      <c r="EC97" s="67">
        <v>30</v>
      </c>
      <c r="ED97" s="67">
        <v>4600</v>
      </c>
      <c r="EE97" s="67">
        <v>16.95</v>
      </c>
      <c r="EF97" s="67">
        <v>180</v>
      </c>
      <c r="EG97" s="67">
        <v>57.2</v>
      </c>
      <c r="EH97" s="67"/>
      <c r="EI97" s="67"/>
      <c r="EJ97" s="67"/>
      <c r="EK97" s="67"/>
      <c r="EL97" s="67"/>
      <c r="EM97" s="67"/>
      <c r="EN97" s="67"/>
    </row>
    <row r="98" spans="131:144">
      <c r="EA98" s="67" t="str">
        <f t="shared" si="12"/>
        <v>250-32</v>
      </c>
      <c r="EB98" s="67">
        <v>250</v>
      </c>
      <c r="EC98" s="67">
        <v>32</v>
      </c>
      <c r="ED98" s="67">
        <v>5100</v>
      </c>
      <c r="EE98" s="67">
        <v>16.95</v>
      </c>
      <c r="EF98" s="67">
        <v>185</v>
      </c>
      <c r="EG98" s="67">
        <v>61.5</v>
      </c>
      <c r="EH98" s="67"/>
      <c r="EI98" s="67"/>
      <c r="EJ98" s="67"/>
      <c r="EK98" s="67"/>
      <c r="EL98" s="67"/>
      <c r="EM98" s="67"/>
      <c r="EN98" s="67"/>
    </row>
    <row r="99" spans="131:144">
      <c r="EA99" s="67" t="str">
        <f t="shared" si="12"/>
        <v>250-34</v>
      </c>
      <c r="EB99" s="67">
        <v>250</v>
      </c>
      <c r="EC99" s="67">
        <v>34</v>
      </c>
      <c r="ED99" s="67">
        <v>5100</v>
      </c>
      <c r="EE99" s="67">
        <v>16.95</v>
      </c>
      <c r="EF99" s="67">
        <v>199</v>
      </c>
      <c r="EG99" s="67">
        <v>74.8</v>
      </c>
      <c r="EH99" s="67"/>
      <c r="EI99" s="67"/>
      <c r="EJ99" s="67"/>
      <c r="EK99" s="67"/>
      <c r="EL99" s="67"/>
      <c r="EM99" s="67"/>
      <c r="EN99" s="67"/>
    </row>
    <row r="100" spans="131:144">
      <c r="EA100" s="64" t="str">
        <f t="shared" ref="EA100:EA111" si="13">EB100&amp;"-"&amp;EC100</f>
        <v>320-10</v>
      </c>
      <c r="EB100" s="64">
        <v>320</v>
      </c>
      <c r="EC100" s="64">
        <v>10</v>
      </c>
      <c r="ED100" s="64">
        <v>3400</v>
      </c>
      <c r="EE100" s="64">
        <v>27</v>
      </c>
      <c r="EF100" s="64">
        <v>166</v>
      </c>
      <c r="EG100" s="64">
        <v>33</v>
      </c>
      <c r="EH100" s="64"/>
      <c r="EI100" s="64"/>
      <c r="EJ100" s="64"/>
      <c r="EK100" s="64"/>
      <c r="EL100" s="64"/>
      <c r="EM100" s="64"/>
      <c r="EN100" s="64"/>
    </row>
    <row r="101" spans="131:144">
      <c r="EA101" s="64" t="str">
        <f t="shared" si="13"/>
        <v>320-14</v>
      </c>
      <c r="EB101" s="64">
        <v>320</v>
      </c>
      <c r="EC101" s="64">
        <v>14</v>
      </c>
      <c r="ED101" s="64">
        <v>3600</v>
      </c>
      <c r="EE101" s="64">
        <v>27</v>
      </c>
      <c r="EF101" s="64">
        <v>179</v>
      </c>
      <c r="EG101" s="64">
        <v>34.799999999999997</v>
      </c>
      <c r="EH101" s="64"/>
      <c r="EI101" s="64"/>
      <c r="EJ101" s="64"/>
      <c r="EK101" s="64"/>
      <c r="EL101" s="64"/>
      <c r="EM101" s="64"/>
      <c r="EN101" s="64"/>
    </row>
    <row r="102" spans="131:144">
      <c r="EA102" s="64" t="str">
        <f t="shared" si="13"/>
        <v>320-16</v>
      </c>
      <c r="EB102" s="64">
        <v>320</v>
      </c>
      <c r="EC102" s="64">
        <v>16</v>
      </c>
      <c r="ED102" s="64">
        <v>3600</v>
      </c>
      <c r="EE102" s="64">
        <v>27</v>
      </c>
      <c r="EF102" s="64">
        <v>184</v>
      </c>
      <c r="EG102" s="64">
        <v>36.6</v>
      </c>
      <c r="EH102" s="64"/>
      <c r="EI102" s="64"/>
      <c r="EJ102" s="64"/>
      <c r="EK102" s="64"/>
      <c r="EL102" s="64"/>
      <c r="EM102" s="64"/>
      <c r="EN102" s="64"/>
    </row>
    <row r="103" spans="131:144">
      <c r="EA103" s="64" t="str">
        <f t="shared" si="13"/>
        <v>320-18</v>
      </c>
      <c r="EB103" s="64">
        <v>320</v>
      </c>
      <c r="EC103" s="64">
        <v>18</v>
      </c>
      <c r="ED103" s="64">
        <v>3600</v>
      </c>
      <c r="EE103" s="64">
        <v>27</v>
      </c>
      <c r="EF103" s="64">
        <v>189</v>
      </c>
      <c r="EG103" s="64">
        <v>39.200000000000003</v>
      </c>
      <c r="EH103" s="64"/>
      <c r="EI103" s="64"/>
      <c r="EJ103" s="64"/>
      <c r="EK103" s="64"/>
      <c r="EL103" s="64"/>
      <c r="EM103" s="64"/>
      <c r="EN103" s="64"/>
    </row>
    <row r="104" spans="131:144">
      <c r="EA104" s="64" t="str">
        <f t="shared" si="13"/>
        <v>320-20</v>
      </c>
      <c r="EB104" s="64">
        <v>320</v>
      </c>
      <c r="EC104" s="64">
        <v>20</v>
      </c>
      <c r="ED104" s="64">
        <v>3600</v>
      </c>
      <c r="EE104" s="64">
        <v>27</v>
      </c>
      <c r="EF104" s="64">
        <v>193</v>
      </c>
      <c r="EG104" s="64">
        <v>40.799999999999997</v>
      </c>
      <c r="EH104" s="64"/>
      <c r="EI104" s="64"/>
      <c r="EJ104" s="64"/>
      <c r="EK104" s="64"/>
      <c r="EL104" s="64"/>
      <c r="EM104" s="64"/>
      <c r="EN104" s="64"/>
    </row>
    <row r="105" spans="131:144">
      <c r="EA105" s="64" t="str">
        <f t="shared" si="13"/>
        <v>320-22</v>
      </c>
      <c r="EB105" s="64">
        <v>320</v>
      </c>
      <c r="EC105" s="64">
        <v>22</v>
      </c>
      <c r="ED105" s="64">
        <v>3600</v>
      </c>
      <c r="EE105" s="64">
        <v>27</v>
      </c>
      <c r="EF105" s="64">
        <v>198</v>
      </c>
      <c r="EG105" s="64">
        <v>44.3</v>
      </c>
      <c r="EH105" s="64"/>
      <c r="EI105" s="64"/>
      <c r="EJ105" s="64"/>
      <c r="EK105" s="64"/>
      <c r="EL105" s="64"/>
      <c r="EM105" s="64"/>
      <c r="EN105" s="64"/>
    </row>
    <row r="106" spans="131:144">
      <c r="EA106" s="64" t="str">
        <f t="shared" si="13"/>
        <v>320-24</v>
      </c>
      <c r="EB106" s="64">
        <v>320</v>
      </c>
      <c r="EC106" s="64">
        <v>24</v>
      </c>
      <c r="ED106" s="64">
        <v>3800</v>
      </c>
      <c r="EE106" s="64">
        <v>28.1</v>
      </c>
      <c r="EF106" s="64">
        <v>206</v>
      </c>
      <c r="EG106" s="64">
        <v>51.5</v>
      </c>
      <c r="EH106" s="64"/>
      <c r="EI106" s="64"/>
      <c r="EJ106" s="64"/>
      <c r="EK106" s="64"/>
      <c r="EL106" s="64"/>
      <c r="EM106" s="64"/>
      <c r="EN106" s="64"/>
    </row>
    <row r="107" spans="131:144">
      <c r="EA107" s="64" t="str">
        <f t="shared" si="13"/>
        <v>320-26</v>
      </c>
      <c r="EB107" s="64">
        <v>320</v>
      </c>
      <c r="EC107" s="64">
        <v>26</v>
      </c>
      <c r="ED107" s="64">
        <v>4000</v>
      </c>
      <c r="EE107" s="64">
        <v>28.1</v>
      </c>
      <c r="EF107" s="64">
        <v>212</v>
      </c>
      <c r="EG107" s="64">
        <v>56.1</v>
      </c>
      <c r="EH107" s="64"/>
      <c r="EI107" s="64"/>
      <c r="EJ107" s="64"/>
      <c r="EK107" s="64"/>
      <c r="EL107" s="64"/>
      <c r="EM107" s="64"/>
      <c r="EN107" s="64"/>
    </row>
    <row r="108" spans="131:144">
      <c r="EA108" s="64" t="str">
        <f t="shared" si="13"/>
        <v>320-28</v>
      </c>
      <c r="EB108" s="64">
        <v>320</v>
      </c>
      <c r="EC108" s="64">
        <v>28</v>
      </c>
      <c r="ED108" s="64">
        <v>4600</v>
      </c>
      <c r="EE108" s="64">
        <v>28.1</v>
      </c>
      <c r="EF108" s="64">
        <v>219</v>
      </c>
      <c r="EG108" s="64">
        <v>62.8</v>
      </c>
      <c r="EH108" s="64"/>
      <c r="EI108" s="64"/>
      <c r="EJ108" s="64"/>
      <c r="EK108" s="64"/>
      <c r="EL108" s="64"/>
      <c r="EM108" s="64"/>
      <c r="EN108" s="64"/>
    </row>
    <row r="109" spans="131:144">
      <c r="EA109" s="64" t="str">
        <f t="shared" si="13"/>
        <v>320-30</v>
      </c>
      <c r="EB109" s="64">
        <v>320</v>
      </c>
      <c r="EC109" s="64">
        <v>30</v>
      </c>
      <c r="ED109" s="64">
        <v>4600</v>
      </c>
      <c r="EE109" s="64">
        <v>29.5</v>
      </c>
      <c r="EF109" s="64">
        <v>223</v>
      </c>
      <c r="EG109" s="64">
        <v>65.7</v>
      </c>
      <c r="EH109" s="64"/>
      <c r="EI109" s="64"/>
      <c r="EJ109" s="64"/>
      <c r="EK109" s="64"/>
      <c r="EL109" s="64"/>
      <c r="EM109" s="64"/>
      <c r="EN109" s="64"/>
    </row>
    <row r="110" spans="131:144">
      <c r="EA110" s="64" t="str">
        <f t="shared" si="13"/>
        <v>320-32</v>
      </c>
      <c r="EB110" s="64">
        <v>320</v>
      </c>
      <c r="EC110" s="64">
        <v>32</v>
      </c>
      <c r="ED110" s="64">
        <v>5100</v>
      </c>
      <c r="EE110" s="64">
        <v>29.5</v>
      </c>
      <c r="EF110" s="64">
        <v>232</v>
      </c>
      <c r="EG110" s="64">
        <v>73.7</v>
      </c>
      <c r="EH110" s="64"/>
      <c r="EI110" s="64"/>
      <c r="EJ110" s="64"/>
      <c r="EK110" s="64"/>
      <c r="EL110" s="64"/>
      <c r="EM110" s="64"/>
      <c r="EN110" s="64"/>
    </row>
    <row r="111" spans="131:144">
      <c r="EA111" s="64" t="str">
        <f t="shared" si="13"/>
        <v>320-34</v>
      </c>
      <c r="EB111" s="64">
        <v>320</v>
      </c>
      <c r="EC111" s="64">
        <v>34</v>
      </c>
      <c r="ED111" s="64">
        <v>5100</v>
      </c>
      <c r="EE111" s="64">
        <v>29.5</v>
      </c>
      <c r="EF111" s="64">
        <v>245</v>
      </c>
      <c r="EG111" s="64">
        <v>85.2</v>
      </c>
      <c r="EH111" s="64"/>
      <c r="EI111" s="64"/>
      <c r="EJ111" s="64"/>
      <c r="EK111" s="64"/>
      <c r="EL111" s="64"/>
      <c r="EM111" s="64"/>
      <c r="EN111" s="64"/>
    </row>
    <row r="112" spans="131:144">
      <c r="EA112" s="127" t="str">
        <f t="shared" ref="EA112:EA123" si="14">EB112&amp;"-"&amp;EC112</f>
        <v>400-10</v>
      </c>
      <c r="EB112" s="127">
        <v>400</v>
      </c>
      <c r="EC112" s="127">
        <v>10</v>
      </c>
      <c r="ED112" s="127">
        <v>3400</v>
      </c>
      <c r="EE112" s="127">
        <v>27</v>
      </c>
      <c r="EF112" s="127">
        <v>206</v>
      </c>
      <c r="EG112" s="127">
        <v>42</v>
      </c>
      <c r="EH112" s="127"/>
      <c r="EI112" s="127"/>
      <c r="EJ112" s="127"/>
      <c r="EK112" s="127"/>
      <c r="EL112" s="127"/>
      <c r="EM112" s="127"/>
      <c r="EN112" s="127"/>
    </row>
    <row r="113" spans="131:144">
      <c r="EA113" s="127" t="str">
        <f t="shared" si="14"/>
        <v>400-14</v>
      </c>
      <c r="EB113" s="127">
        <v>400</v>
      </c>
      <c r="EC113" s="127">
        <v>14</v>
      </c>
      <c r="ED113" s="127">
        <v>3400</v>
      </c>
      <c r="EE113" s="127">
        <v>27</v>
      </c>
      <c r="EF113" s="127">
        <v>219</v>
      </c>
      <c r="EG113" s="127">
        <v>42.8</v>
      </c>
      <c r="EH113" s="127"/>
      <c r="EI113" s="127"/>
      <c r="EJ113" s="127"/>
      <c r="EK113" s="127"/>
      <c r="EL113" s="127"/>
      <c r="EM113" s="127"/>
      <c r="EN113" s="127"/>
    </row>
    <row r="114" spans="131:144">
      <c r="EA114" s="127" t="str">
        <f t="shared" si="14"/>
        <v>400-16</v>
      </c>
      <c r="EB114" s="127">
        <v>400</v>
      </c>
      <c r="EC114" s="127">
        <v>16</v>
      </c>
      <c r="ED114" s="127">
        <v>3400</v>
      </c>
      <c r="EE114" s="127">
        <v>27</v>
      </c>
      <c r="EF114" s="127">
        <v>226</v>
      </c>
      <c r="EG114" s="127">
        <v>45.3</v>
      </c>
      <c r="EH114" s="127"/>
      <c r="EI114" s="127"/>
      <c r="EJ114" s="127"/>
      <c r="EK114" s="127"/>
      <c r="EL114" s="127"/>
      <c r="EM114" s="127"/>
      <c r="EN114" s="127"/>
    </row>
    <row r="115" spans="131:144">
      <c r="EA115" s="127" t="str">
        <f t="shared" si="14"/>
        <v>400-18</v>
      </c>
      <c r="EB115" s="127">
        <v>400</v>
      </c>
      <c r="EC115" s="127">
        <v>18</v>
      </c>
      <c r="ED115" s="127">
        <v>3400</v>
      </c>
      <c r="EE115" s="127">
        <v>27</v>
      </c>
      <c r="EF115" s="127">
        <v>232</v>
      </c>
      <c r="EG115" s="127">
        <v>58.2</v>
      </c>
      <c r="EH115" s="127"/>
      <c r="EI115" s="127"/>
      <c r="EJ115" s="127"/>
      <c r="EK115" s="127"/>
      <c r="EL115" s="127"/>
      <c r="EM115" s="127"/>
      <c r="EN115" s="127"/>
    </row>
    <row r="116" spans="131:144">
      <c r="EA116" s="127" t="str">
        <f t="shared" si="14"/>
        <v>400-20</v>
      </c>
      <c r="EB116" s="127">
        <v>400</v>
      </c>
      <c r="EC116" s="127">
        <v>20</v>
      </c>
      <c r="ED116" s="127">
        <v>3400</v>
      </c>
      <c r="EE116" s="127">
        <v>27</v>
      </c>
      <c r="EF116" s="127">
        <v>239</v>
      </c>
      <c r="EG116" s="127">
        <v>52.2</v>
      </c>
      <c r="EH116" s="127"/>
      <c r="EI116" s="127"/>
      <c r="EJ116" s="127"/>
      <c r="EK116" s="127"/>
      <c r="EL116" s="127"/>
      <c r="EM116" s="127"/>
      <c r="EN116" s="127"/>
    </row>
    <row r="117" spans="131:144">
      <c r="EA117" s="127" t="str">
        <f t="shared" si="14"/>
        <v>400-22</v>
      </c>
      <c r="EB117" s="127">
        <v>400</v>
      </c>
      <c r="EC117" s="127">
        <v>22</v>
      </c>
      <c r="ED117" s="127">
        <v>3400</v>
      </c>
      <c r="EE117" s="127">
        <v>27</v>
      </c>
      <c r="EF117" s="127">
        <v>243</v>
      </c>
      <c r="EG117" s="127">
        <v>54.5</v>
      </c>
      <c r="EH117" s="127"/>
      <c r="EI117" s="127"/>
      <c r="EJ117" s="127"/>
      <c r="EK117" s="127"/>
      <c r="EL117" s="127"/>
      <c r="EM117" s="127"/>
      <c r="EN117" s="127"/>
    </row>
    <row r="118" spans="131:144">
      <c r="EA118" s="127" t="str">
        <f t="shared" si="14"/>
        <v>400-24</v>
      </c>
      <c r="EB118" s="127">
        <v>400</v>
      </c>
      <c r="EC118" s="127">
        <v>24</v>
      </c>
      <c r="ED118" s="127">
        <v>4000</v>
      </c>
      <c r="EE118" s="127">
        <v>28.1</v>
      </c>
      <c r="EF118" s="127">
        <v>250</v>
      </c>
      <c r="EG118" s="127">
        <v>59.6</v>
      </c>
      <c r="EH118" s="127"/>
      <c r="EI118" s="127"/>
      <c r="EJ118" s="127"/>
      <c r="EK118" s="127"/>
      <c r="EL118" s="127"/>
      <c r="EM118" s="127"/>
      <c r="EN118" s="127"/>
    </row>
    <row r="119" spans="131:144">
      <c r="EA119" s="127" t="str">
        <f t="shared" si="14"/>
        <v>400-26</v>
      </c>
      <c r="EB119" s="127">
        <v>400</v>
      </c>
      <c r="EC119" s="127">
        <v>26</v>
      </c>
      <c r="ED119" s="127">
        <v>4000</v>
      </c>
      <c r="EE119" s="127">
        <v>28.1</v>
      </c>
      <c r="EF119" s="127">
        <v>257</v>
      </c>
      <c r="EG119" s="127">
        <v>64.900000000000006</v>
      </c>
      <c r="EH119" s="127"/>
      <c r="EI119" s="127"/>
      <c r="EJ119" s="127"/>
      <c r="EK119" s="127"/>
      <c r="EL119" s="127"/>
      <c r="EM119" s="127"/>
      <c r="EN119" s="127"/>
    </row>
    <row r="120" spans="131:144">
      <c r="EA120" s="127" t="str">
        <f t="shared" si="14"/>
        <v>400-28</v>
      </c>
      <c r="EB120" s="127">
        <v>400</v>
      </c>
      <c r="EC120" s="127">
        <v>28</v>
      </c>
      <c r="ED120" s="127">
        <v>4600</v>
      </c>
      <c r="EE120" s="127">
        <v>28.1</v>
      </c>
      <c r="EF120" s="127">
        <v>266</v>
      </c>
      <c r="EG120" s="127">
        <v>73.099999999999994</v>
      </c>
      <c r="EH120" s="127"/>
      <c r="EI120" s="127"/>
      <c r="EJ120" s="127"/>
      <c r="EK120" s="127"/>
      <c r="EL120" s="127"/>
      <c r="EM120" s="127"/>
      <c r="EN120" s="127"/>
    </row>
    <row r="121" spans="131:144">
      <c r="EA121" s="127" t="str">
        <f t="shared" si="14"/>
        <v>400-30</v>
      </c>
      <c r="EB121" s="127">
        <v>400</v>
      </c>
      <c r="EC121" s="127">
        <v>30</v>
      </c>
      <c r="ED121" s="127">
        <v>4600</v>
      </c>
      <c r="EE121" s="127">
        <v>29.5</v>
      </c>
      <c r="EF121" s="127">
        <v>270</v>
      </c>
      <c r="EG121" s="127">
        <v>76.599999999999994</v>
      </c>
      <c r="EH121" s="127"/>
      <c r="EI121" s="127"/>
      <c r="EJ121" s="127"/>
      <c r="EK121" s="127"/>
      <c r="EL121" s="127"/>
      <c r="EM121" s="127"/>
      <c r="EN121" s="127"/>
    </row>
    <row r="122" spans="131:144">
      <c r="EA122" s="127" t="str">
        <f t="shared" si="14"/>
        <v>400-32</v>
      </c>
      <c r="EB122" s="127">
        <v>400</v>
      </c>
      <c r="EC122" s="127">
        <v>32</v>
      </c>
      <c r="ED122" s="127">
        <v>5100</v>
      </c>
      <c r="EE122" s="127">
        <v>29.5</v>
      </c>
      <c r="EF122" s="127">
        <v>280</v>
      </c>
      <c r="EG122" s="127">
        <v>84.7</v>
      </c>
      <c r="EH122" s="127"/>
      <c r="EI122" s="127"/>
      <c r="EJ122" s="127"/>
      <c r="EK122" s="127"/>
      <c r="EL122" s="127"/>
      <c r="EM122" s="127"/>
      <c r="EN122" s="127"/>
    </row>
    <row r="123" spans="131:144">
      <c r="EA123" s="127" t="str">
        <f t="shared" si="14"/>
        <v>400-34</v>
      </c>
      <c r="EB123" s="127">
        <v>400</v>
      </c>
      <c r="EC123" s="127">
        <v>34</v>
      </c>
      <c r="ED123" s="127">
        <v>5100</v>
      </c>
      <c r="EE123" s="127">
        <v>29.5</v>
      </c>
      <c r="EF123" s="127">
        <v>290</v>
      </c>
      <c r="EG123" s="127">
        <v>93.4</v>
      </c>
      <c r="EH123" s="127"/>
      <c r="EI123" s="127"/>
      <c r="EJ123" s="127"/>
      <c r="EK123" s="127"/>
      <c r="EL123" s="127"/>
      <c r="EM123" s="127"/>
      <c r="EN123" s="127"/>
    </row>
    <row r="124" spans="131:144">
      <c r="EA124" s="128" t="str">
        <f t="shared" ref="EA124:EA135" si="15">EB124&amp;"-"&amp;EC124</f>
        <v>500-10</v>
      </c>
      <c r="EB124" s="128">
        <v>500</v>
      </c>
      <c r="EC124" s="128">
        <v>10</v>
      </c>
      <c r="ED124" s="128">
        <v>4600</v>
      </c>
      <c r="EE124" s="128">
        <v>38.65</v>
      </c>
      <c r="EF124" s="128">
        <v>253</v>
      </c>
      <c r="EG124" s="128">
        <v>57.9</v>
      </c>
      <c r="EH124" s="128"/>
      <c r="EI124" s="128"/>
      <c r="EJ124" s="128"/>
      <c r="EK124" s="128"/>
      <c r="EL124" s="128"/>
      <c r="EM124" s="128"/>
      <c r="EN124" s="128"/>
    </row>
    <row r="125" spans="131:144">
      <c r="EA125" s="128" t="str">
        <f t="shared" si="15"/>
        <v>500-14</v>
      </c>
      <c r="EB125" s="128">
        <v>500</v>
      </c>
      <c r="EC125" s="128">
        <v>14</v>
      </c>
      <c r="ED125" s="128">
        <v>4600</v>
      </c>
      <c r="EE125" s="128">
        <v>38.65</v>
      </c>
      <c r="EF125" s="128">
        <v>271</v>
      </c>
      <c r="EG125" s="128">
        <v>55.3</v>
      </c>
      <c r="EH125" s="128"/>
      <c r="EI125" s="128"/>
      <c r="EJ125" s="128"/>
      <c r="EK125" s="128"/>
      <c r="EL125" s="128"/>
      <c r="EM125" s="128"/>
      <c r="EN125" s="128"/>
    </row>
    <row r="126" spans="131:144">
      <c r="EA126" s="128" t="str">
        <f t="shared" si="15"/>
        <v>500-16</v>
      </c>
      <c r="EB126" s="128">
        <v>500</v>
      </c>
      <c r="EC126" s="128">
        <v>16</v>
      </c>
      <c r="ED126" s="128">
        <v>4600</v>
      </c>
      <c r="EE126" s="128">
        <v>38.65</v>
      </c>
      <c r="EF126" s="128">
        <v>279</v>
      </c>
      <c r="EG126" s="128">
        <v>57.4</v>
      </c>
      <c r="EH126" s="128"/>
      <c r="EI126" s="128"/>
      <c r="EJ126" s="128"/>
      <c r="EK126" s="128"/>
      <c r="EL126" s="128"/>
      <c r="EM126" s="128"/>
      <c r="EN126" s="128"/>
    </row>
    <row r="127" spans="131:144">
      <c r="EA127" s="128" t="str">
        <f t="shared" si="15"/>
        <v>500-18</v>
      </c>
      <c r="EB127" s="128">
        <v>500</v>
      </c>
      <c r="EC127" s="128">
        <v>18</v>
      </c>
      <c r="ED127" s="128">
        <v>4600</v>
      </c>
      <c r="EE127" s="128">
        <v>40.299999999999997</v>
      </c>
      <c r="EF127" s="128">
        <v>287</v>
      </c>
      <c r="EG127" s="128">
        <v>59.7</v>
      </c>
      <c r="EH127" s="128"/>
      <c r="EI127" s="128"/>
      <c r="EJ127" s="128"/>
      <c r="EK127" s="128"/>
      <c r="EL127" s="128"/>
      <c r="EM127" s="128"/>
      <c r="EN127" s="128"/>
    </row>
    <row r="128" spans="131:144">
      <c r="EA128" s="128" t="str">
        <f t="shared" si="15"/>
        <v>500-20</v>
      </c>
      <c r="EB128" s="128">
        <v>500</v>
      </c>
      <c r="EC128" s="128">
        <v>20</v>
      </c>
      <c r="ED128" s="128">
        <v>4600</v>
      </c>
      <c r="EE128" s="128">
        <v>40.299999999999997</v>
      </c>
      <c r="EF128" s="128">
        <v>295</v>
      </c>
      <c r="EG128" s="128">
        <v>64</v>
      </c>
      <c r="EH128" s="128"/>
      <c r="EI128" s="128"/>
      <c r="EJ128" s="128"/>
      <c r="EK128" s="128"/>
      <c r="EL128" s="128"/>
      <c r="EM128" s="128"/>
      <c r="EN128" s="128"/>
    </row>
    <row r="129" spans="131:144">
      <c r="EA129" s="128" t="str">
        <f t="shared" si="15"/>
        <v>500-22</v>
      </c>
      <c r="EB129" s="128">
        <v>500</v>
      </c>
      <c r="EC129" s="128">
        <v>22</v>
      </c>
      <c r="ED129" s="128">
        <v>4600</v>
      </c>
      <c r="EE129" s="128">
        <v>40.299999999999997</v>
      </c>
      <c r="EF129" s="128">
        <v>305</v>
      </c>
      <c r="EG129" s="128">
        <v>70.5</v>
      </c>
      <c r="EH129" s="128"/>
      <c r="EI129" s="128"/>
      <c r="EJ129" s="128"/>
      <c r="EK129" s="128"/>
      <c r="EL129" s="128"/>
      <c r="EM129" s="128"/>
      <c r="EN129" s="128"/>
    </row>
    <row r="130" spans="131:144">
      <c r="EA130" s="128" t="str">
        <f t="shared" si="15"/>
        <v>500-24</v>
      </c>
      <c r="EB130" s="128">
        <v>500</v>
      </c>
      <c r="EC130" s="128">
        <v>24</v>
      </c>
      <c r="ED130" s="128">
        <v>4600</v>
      </c>
      <c r="EE130" s="128">
        <v>42.8</v>
      </c>
      <c r="EF130" s="128">
        <v>313</v>
      </c>
      <c r="EG130" s="128">
        <v>76.3</v>
      </c>
      <c r="EH130" s="128"/>
      <c r="EI130" s="128"/>
      <c r="EJ130" s="128"/>
      <c r="EK130" s="128"/>
      <c r="EL130" s="128"/>
      <c r="EM130" s="128"/>
      <c r="EN130" s="128"/>
    </row>
    <row r="131" spans="131:144">
      <c r="EA131" s="128" t="str">
        <f t="shared" si="15"/>
        <v>500-26</v>
      </c>
      <c r="EB131" s="128">
        <v>500</v>
      </c>
      <c r="EC131" s="128">
        <v>26</v>
      </c>
      <c r="ED131" s="128">
        <v>4600</v>
      </c>
      <c r="EE131" s="128">
        <v>42.8</v>
      </c>
      <c r="EF131" s="128">
        <v>319</v>
      </c>
      <c r="EG131" s="128">
        <v>79.5</v>
      </c>
      <c r="EH131" s="128"/>
      <c r="EI131" s="128"/>
      <c r="EJ131" s="128"/>
      <c r="EK131" s="128"/>
      <c r="EL131" s="128"/>
      <c r="EM131" s="128"/>
      <c r="EN131" s="128"/>
    </row>
    <row r="132" spans="131:144">
      <c r="EA132" s="128" t="str">
        <f t="shared" si="15"/>
        <v>500-28</v>
      </c>
      <c r="EB132" s="128">
        <v>500</v>
      </c>
      <c r="EC132" s="128">
        <v>28</v>
      </c>
      <c r="ED132" s="128">
        <v>4600</v>
      </c>
      <c r="EE132" s="128">
        <v>42.8</v>
      </c>
      <c r="EF132" s="128">
        <v>328</v>
      </c>
      <c r="EG132" s="128">
        <v>86.9</v>
      </c>
      <c r="EH132" s="128"/>
      <c r="EI132" s="128"/>
      <c r="EJ132" s="128"/>
      <c r="EK132" s="128"/>
      <c r="EL132" s="128"/>
      <c r="EM132" s="128"/>
      <c r="EN132" s="128"/>
    </row>
    <row r="133" spans="131:144">
      <c r="EA133" s="128" t="str">
        <f t="shared" si="15"/>
        <v>500-30</v>
      </c>
      <c r="EB133" s="128">
        <v>500</v>
      </c>
      <c r="EC133" s="128">
        <v>30</v>
      </c>
      <c r="ED133" s="128">
        <v>4600</v>
      </c>
      <c r="EE133" s="128">
        <v>45.65</v>
      </c>
      <c r="EF133" s="128">
        <v>338</v>
      </c>
      <c r="EG133" s="128">
        <v>94.7</v>
      </c>
      <c r="EH133" s="128"/>
      <c r="EI133" s="128"/>
      <c r="EJ133" s="128"/>
      <c r="EK133" s="128"/>
      <c r="EL133" s="128"/>
      <c r="EM133" s="128"/>
      <c r="EN133" s="128"/>
    </row>
    <row r="134" spans="131:144">
      <c r="EA134" s="128" t="str">
        <f t="shared" si="15"/>
        <v>500-32</v>
      </c>
      <c r="EB134" s="128">
        <v>500</v>
      </c>
      <c r="EC134" s="128">
        <v>32</v>
      </c>
      <c r="ED134" s="128">
        <v>5200</v>
      </c>
      <c r="EE134" s="128">
        <v>45.64</v>
      </c>
      <c r="EF134" s="128">
        <v>350</v>
      </c>
      <c r="EG134" s="128">
        <v>105</v>
      </c>
      <c r="EH134" s="128"/>
      <c r="EI134" s="128"/>
      <c r="EJ134" s="128"/>
      <c r="EK134" s="128"/>
      <c r="EL134" s="128"/>
      <c r="EM134" s="128"/>
      <c r="EN134" s="128"/>
    </row>
    <row r="135" spans="131:144">
      <c r="EA135" s="128" t="str">
        <f t="shared" si="15"/>
        <v>500-34</v>
      </c>
      <c r="EB135" s="128">
        <v>500</v>
      </c>
      <c r="EC135" s="128">
        <v>34</v>
      </c>
      <c r="ED135" s="128">
        <v>5200</v>
      </c>
      <c r="EE135" s="128">
        <v>45.64</v>
      </c>
      <c r="EF135" s="128">
        <v>350</v>
      </c>
      <c r="EG135" s="128">
        <v>105</v>
      </c>
      <c r="EH135" s="128"/>
      <c r="EI135" s="128"/>
      <c r="EJ135" s="128"/>
      <c r="EK135" s="128"/>
      <c r="EL135" s="128"/>
      <c r="EM135" s="128"/>
      <c r="EN135" s="128"/>
    </row>
  </sheetData>
  <mergeCells count="20">
    <mergeCell ref="FA1:FB1"/>
    <mergeCell ref="FC1:FD1"/>
    <mergeCell ref="FE1:FF1"/>
    <mergeCell ref="DA2:DA3"/>
    <mergeCell ref="DA1:DN1"/>
    <mergeCell ref="EA1:EN1"/>
    <mergeCell ref="EA2:EA3"/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AV1:AX1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6666"/>
  </sheetPr>
  <dimension ref="A1:U101"/>
  <sheetViews>
    <sheetView showGridLines="0" topLeftCell="A104" zoomScale="145" zoomScaleNormal="145" zoomScaleSheetLayoutView="100" workbookViewId="0">
      <selection activeCell="N93" sqref="N93"/>
    </sheetView>
  </sheetViews>
  <sheetFormatPr defaultColWidth="7.33203125" defaultRowHeight="13.8"/>
  <cols>
    <col min="1" max="1" width="11.6640625" style="1" bestFit="1" customWidth="1"/>
    <col min="2" max="11" width="7.6640625" style="1" customWidth="1"/>
    <col min="12" max="16" width="7.33203125" style="1"/>
    <col min="17" max="17" width="8.88671875" style="1" bestFit="1" customWidth="1"/>
    <col min="18" max="19" width="7.33203125" style="1"/>
    <col min="20" max="21" width="8.88671875" style="1" bestFit="1" customWidth="1"/>
    <col min="22" max="16384" width="7.33203125" style="1"/>
  </cols>
  <sheetData>
    <row r="1" spans="1:21" hidden="1"/>
    <row r="2" spans="1:21" hidden="1"/>
    <row r="3" spans="1:21" hidden="1"/>
    <row r="4" spans="1:21" hidden="1"/>
    <row r="5" spans="1:21" hidden="1"/>
    <row r="6" spans="1:21" hidden="1"/>
    <row r="7" spans="1:21" hidden="1"/>
    <row r="8" spans="1:21" hidden="1"/>
    <row r="9" spans="1:21" hidden="1"/>
    <row r="10" spans="1:21" hidden="1"/>
    <row r="11" spans="1:21" ht="20.25" customHeight="1">
      <c r="A11" s="196" t="s">
        <v>148</v>
      </c>
      <c r="B11" s="197"/>
      <c r="C11" s="197"/>
      <c r="D11" s="197"/>
      <c r="E11" s="197"/>
      <c r="F11" s="197"/>
      <c r="G11" s="197"/>
      <c r="H11" s="197"/>
      <c r="I11" s="197"/>
      <c r="J11" s="192" t="str">
        <f>D15</f>
        <v>2 Dầm (ZLK)</v>
      </c>
      <c r="K11" s="193"/>
    </row>
    <row r="12" spans="1:21" ht="12.75" customHeight="1">
      <c r="A12" s="198"/>
      <c r="B12" s="199"/>
      <c r="C12" s="199"/>
      <c r="D12" s="199"/>
      <c r="E12" s="199"/>
      <c r="F12" s="199"/>
      <c r="G12" s="199"/>
      <c r="H12" s="199"/>
      <c r="I12" s="199"/>
      <c r="J12" s="194"/>
      <c r="K12" s="195"/>
      <c r="M12" s="1" t="s">
        <v>146</v>
      </c>
      <c r="O12" s="191" t="s">
        <v>144</v>
      </c>
      <c r="P12" s="191"/>
    </row>
    <row r="13" spans="1:21" ht="15" customHeight="1">
      <c r="A13" s="200" t="s">
        <v>0</v>
      </c>
      <c r="B13" s="201"/>
      <c r="C13" s="201"/>
      <c r="D13" s="79"/>
      <c r="E13" s="79"/>
      <c r="F13" s="79"/>
      <c r="G13" s="79"/>
      <c r="H13" s="79"/>
      <c r="I13" s="79"/>
      <c r="J13" s="79"/>
      <c r="K13" s="5"/>
      <c r="M13" s="58" t="s">
        <v>123</v>
      </c>
      <c r="N13" s="58" t="s">
        <v>125</v>
      </c>
      <c r="O13" s="58" t="s">
        <v>20</v>
      </c>
      <c r="P13" s="58" t="s">
        <v>127</v>
      </c>
      <c r="Q13" s="58" t="s">
        <v>142</v>
      </c>
      <c r="R13" s="58" t="s">
        <v>128</v>
      </c>
      <c r="S13" s="58" t="s">
        <v>129</v>
      </c>
      <c r="T13" s="58" t="s">
        <v>338</v>
      </c>
    </row>
    <row r="14" spans="1:21">
      <c r="A14" s="6" t="s">
        <v>167</v>
      </c>
      <c r="B14" s="79"/>
      <c r="C14" s="79"/>
      <c r="D14" s="79"/>
      <c r="E14" s="79"/>
      <c r="F14" s="79"/>
      <c r="G14" s="77"/>
      <c r="H14" s="81"/>
      <c r="I14" s="79"/>
      <c r="J14" s="75"/>
      <c r="K14" s="8"/>
      <c r="M14" s="58" t="s">
        <v>124</v>
      </c>
      <c r="N14" s="58" t="s">
        <v>126</v>
      </c>
      <c r="O14" s="58" t="s">
        <v>1</v>
      </c>
      <c r="P14" s="58" t="s">
        <v>1</v>
      </c>
      <c r="Q14" s="58" t="s">
        <v>124</v>
      </c>
      <c r="R14" s="58" t="s">
        <v>124</v>
      </c>
      <c r="S14" s="58" t="s">
        <v>124</v>
      </c>
      <c r="T14" s="58" t="s">
        <v>124</v>
      </c>
    </row>
    <row r="15" spans="1:21">
      <c r="A15" s="7" t="str">
        <f>"- Loại cầu trục:"</f>
        <v>- Loại cầu trục:</v>
      </c>
      <c r="B15" s="79"/>
      <c r="C15" s="79"/>
      <c r="D15" s="160" t="s">
        <v>160</v>
      </c>
      <c r="E15" s="79"/>
      <c r="F15" s="75"/>
      <c r="G15" s="75"/>
      <c r="H15" s="75"/>
      <c r="I15" s="75"/>
      <c r="J15" s="75"/>
      <c r="K15" s="8"/>
      <c r="M15" s="141">
        <v>200</v>
      </c>
      <c r="N15" s="141">
        <v>16</v>
      </c>
      <c r="O15" s="3">
        <f>P15+1000</f>
        <v>3900</v>
      </c>
      <c r="P15" s="3">
        <f>IF(D15="1 Dầm (ELV/ELK)",VLOOKUP(M15&amp;"-"&amp;N15,Data!$DA$4:$DN$9999,4,FALSE),VLOOKUP(M15&amp;"-"&amp;N15,Data!$EA$4:$EN$9999,4,FALSE))</f>
        <v>2900</v>
      </c>
      <c r="Q15" s="3">
        <f>IF(D15="1 Dầm (ELV/ELK)",VLOOKUP(M15&amp;"-"&amp;N15,Data!$DA$4:$DN$9999,5,FALSE),VLOOKUP(M15&amp;"-"&amp;N15,Data!$EA$4:$EN$9999,5,FALSE))</f>
        <v>14.4</v>
      </c>
      <c r="R15" s="3">
        <f>IF(D15="1 Dầm (ELV/ELK)",VLOOKUP(M15&amp;"-"&amp;N15,Data!$DA$4:$DN$9999,6,FALSE),VLOOKUP(M15&amp;"-"&amp;N15,Data!$EA$4:$EN$9999,6,FALSE))</f>
        <v>119</v>
      </c>
      <c r="S15" s="3">
        <f>IF(D15="1 Dầm (ELV/ELK)",VLOOKUP(M15&amp;"-"&amp;N15,Data!$DA$4:$DN$9999,7,FALSE),VLOOKUP(M15&amp;"-"&amp;N15,Data!$EA$4:$EN$9999,7,FALSE))</f>
        <v>23.7</v>
      </c>
      <c r="T15" s="141">
        <v>85.4</v>
      </c>
      <c r="U15" s="47" t="s">
        <v>144</v>
      </c>
    </row>
    <row r="16" spans="1:21" ht="15" customHeight="1">
      <c r="A16" s="7" t="str">
        <f>"- Bước cột:"</f>
        <v>- Bước cột:</v>
      </c>
      <c r="B16" s="79"/>
      <c r="C16" s="77" t="s">
        <v>149</v>
      </c>
      <c r="D16" s="82">
        <v>6</v>
      </c>
      <c r="E16" s="79" t="s">
        <v>126</v>
      </c>
      <c r="F16" s="75"/>
      <c r="G16" s="75"/>
      <c r="H16" s="75"/>
      <c r="I16" s="75"/>
      <c r="J16" s="75"/>
      <c r="K16" s="8"/>
      <c r="M16" s="4">
        <v>250</v>
      </c>
      <c r="N16" s="4">
        <v>12</v>
      </c>
      <c r="O16" s="4">
        <v>2920</v>
      </c>
      <c r="P16" s="4">
        <v>2440</v>
      </c>
      <c r="Q16" s="4">
        <v>10.5</v>
      </c>
      <c r="R16" s="4">
        <v>68.22</v>
      </c>
      <c r="S16" s="4">
        <v>64.73</v>
      </c>
      <c r="T16" s="4">
        <v>80</v>
      </c>
      <c r="U16" s="70" t="s">
        <v>145</v>
      </c>
    </row>
    <row r="17" spans="1:12">
      <c r="A17" s="7" t="str">
        <f>"- Nhịp cầu trục:"</f>
        <v>- Nhịp cầu trục:</v>
      </c>
      <c r="B17" s="79"/>
      <c r="C17" s="77" t="s">
        <v>150</v>
      </c>
      <c r="D17" s="14">
        <f>IF($O$12=$U$15,$N$15,$N$16)</f>
        <v>16</v>
      </c>
      <c r="E17" s="79" t="s">
        <v>126</v>
      </c>
      <c r="F17" s="75"/>
      <c r="G17" s="75"/>
      <c r="H17" s="75"/>
      <c r="I17" s="75"/>
      <c r="J17" s="75"/>
      <c r="K17" s="8"/>
    </row>
    <row r="18" spans="1:12">
      <c r="A18" s="7" t="str">
        <f>"- Sức nâng cầu trục:"</f>
        <v>- Sức nâng cầu trục:</v>
      </c>
      <c r="B18" s="79"/>
      <c r="C18" s="77" t="s">
        <v>151</v>
      </c>
      <c r="D18" s="14">
        <f>IF($O$12=$U$15,$M$15,$M$16)</f>
        <v>200</v>
      </c>
      <c r="E18" s="79" t="s">
        <v>124</v>
      </c>
      <c r="F18" s="75"/>
      <c r="G18" s="75"/>
      <c r="H18" s="75"/>
      <c r="I18" s="75"/>
      <c r="J18" s="75"/>
      <c r="K18" s="8"/>
    </row>
    <row r="19" spans="1:12" ht="15" customHeight="1">
      <c r="A19" s="7" t="str">
        <f>"- Số cầu trục hoạt động đồng thời ở 1 đường cầu trục:"</f>
        <v>- Số cầu trục hoạt động đồng thời ở 1 đường cầu trục:</v>
      </c>
      <c r="B19" s="79"/>
      <c r="C19" s="79"/>
      <c r="D19" s="77"/>
      <c r="E19" s="161"/>
      <c r="F19" s="79"/>
      <c r="G19" s="75"/>
      <c r="H19" s="75"/>
      <c r="I19" s="75"/>
      <c r="J19" s="162">
        <v>2</v>
      </c>
      <c r="K19" s="8"/>
    </row>
    <row r="20" spans="1:12">
      <c r="A20" s="7" t="str">
        <f>"- Chế độ làm việc của cầu trục:"</f>
        <v>- Chế độ làm việc của cầu trục:</v>
      </c>
      <c r="B20" s="79"/>
      <c r="C20" s="79"/>
      <c r="D20" s="77"/>
      <c r="E20" s="83"/>
      <c r="F20" s="79"/>
      <c r="G20" s="75"/>
      <c r="H20" s="75"/>
      <c r="I20" s="75"/>
      <c r="J20" s="162" t="s">
        <v>153</v>
      </c>
      <c r="K20" s="8"/>
    </row>
    <row r="21" spans="1:12" ht="15" customHeight="1">
      <c r="A21" s="7" t="str">
        <f>"- Hệ số xét đến sự làm việc đồng thời của các cầu trục:"</f>
        <v>- Hệ số xét đến sự làm việc đồng thời của các cầu trục:</v>
      </c>
      <c r="B21" s="79"/>
      <c r="C21" s="79"/>
      <c r="D21" s="77"/>
      <c r="E21" s="83"/>
      <c r="F21" s="79"/>
      <c r="G21" s="75"/>
      <c r="H21" s="75"/>
      <c r="I21" s="163" t="s">
        <v>335</v>
      </c>
      <c r="J21" s="84">
        <v>0.95</v>
      </c>
      <c r="K21" s="8"/>
    </row>
    <row r="22" spans="1:12" ht="15" customHeight="1">
      <c r="A22" s="7" t="str">
        <f>"- Hệ số động lực:"</f>
        <v>- Hệ số động lực:</v>
      </c>
      <c r="B22" s="79"/>
      <c r="C22" s="79"/>
      <c r="D22" s="77"/>
      <c r="E22" s="83"/>
      <c r="F22" s="79"/>
      <c r="G22" s="75"/>
      <c r="H22" s="75"/>
      <c r="I22" s="163" t="s">
        <v>336</v>
      </c>
      <c r="J22" s="164">
        <v>1.2</v>
      </c>
      <c r="K22" s="8"/>
    </row>
    <row r="23" spans="1:12" ht="15" customHeight="1">
      <c r="A23" s="7" t="str">
        <f>"- Khoảng cách 2 bánh xe cầu trục:"</f>
        <v>- Khoảng cách 2 bánh xe cầu trục:</v>
      </c>
      <c r="B23" s="79"/>
      <c r="C23" s="79"/>
      <c r="D23" s="77"/>
      <c r="E23" s="83"/>
      <c r="F23" s="79"/>
      <c r="G23" s="75"/>
      <c r="H23" s="75"/>
      <c r="I23" s="76" t="s">
        <v>154</v>
      </c>
      <c r="J23" s="15">
        <f>IF($O$12=$U$15,$P$15,$P$16)</f>
        <v>2900</v>
      </c>
      <c r="K23" s="8" t="s">
        <v>1</v>
      </c>
    </row>
    <row r="24" spans="1:12">
      <c r="A24" s="9"/>
      <c r="B24" s="75"/>
      <c r="C24" s="75"/>
      <c r="D24" s="75"/>
      <c r="E24" s="77"/>
      <c r="F24" s="75"/>
      <c r="G24" s="75"/>
      <c r="H24" s="75"/>
      <c r="I24" s="76" t="s">
        <v>155</v>
      </c>
      <c r="J24" s="15">
        <f>IF($O$12=$U$15,$O$15,$O$16)</f>
        <v>3900</v>
      </c>
      <c r="K24" s="8" t="s">
        <v>1</v>
      </c>
    </row>
    <row r="25" spans="1:12" ht="15">
      <c r="A25" s="7" t="str">
        <f>"- Áp lực bánh xe:"</f>
        <v>- Áp lực bánh xe:</v>
      </c>
      <c r="B25" s="75"/>
      <c r="C25" s="75"/>
      <c r="D25" s="75"/>
      <c r="E25" s="77"/>
      <c r="F25" s="75"/>
      <c r="G25" s="75"/>
      <c r="H25" s="75"/>
      <c r="I25" s="76" t="s">
        <v>156</v>
      </c>
      <c r="J25" s="15">
        <f>IF($O$12=$U$15,$R$15,$R$16)</f>
        <v>119</v>
      </c>
      <c r="K25" s="8" t="s">
        <v>124</v>
      </c>
    </row>
    <row r="26" spans="1:12" ht="15">
      <c r="A26" s="9"/>
      <c r="B26" s="75"/>
      <c r="C26" s="75"/>
      <c r="D26" s="75"/>
      <c r="E26" s="77"/>
      <c r="F26" s="75"/>
      <c r="G26" s="75"/>
      <c r="H26" s="75"/>
      <c r="I26" s="76" t="s">
        <v>157</v>
      </c>
      <c r="J26" s="15">
        <f>IF($O$12=$U$15,$S$15,$S$16)</f>
        <v>23.7</v>
      </c>
      <c r="K26" s="8" t="s">
        <v>124</v>
      </c>
    </row>
    <row r="27" spans="1:12" ht="15.6">
      <c r="A27" s="7" t="str">
        <f>"- Trọng lượng cầu trục:"</f>
        <v>- Trọng lượng cầu trục:</v>
      </c>
      <c r="B27" s="75"/>
      <c r="C27" s="75"/>
      <c r="D27" s="75"/>
      <c r="E27" s="77"/>
      <c r="F27" s="75"/>
      <c r="G27" s="75"/>
      <c r="H27" s="75"/>
      <c r="I27" s="163" t="s">
        <v>337</v>
      </c>
      <c r="J27" s="15">
        <f>IF($O$12=$U$15,$T$15,$T$16)</f>
        <v>85.4</v>
      </c>
      <c r="K27" s="8" t="s">
        <v>124</v>
      </c>
    </row>
    <row r="28" spans="1:12" ht="15">
      <c r="A28" s="7" t="str">
        <f>"- Trọng lượng xe con:"</f>
        <v>- Trọng lượng xe con:</v>
      </c>
      <c r="B28" s="75"/>
      <c r="C28" s="75"/>
      <c r="D28" s="75"/>
      <c r="E28" s="77"/>
      <c r="F28" s="75"/>
      <c r="G28" s="75"/>
      <c r="H28" s="75"/>
      <c r="I28" s="76" t="s">
        <v>158</v>
      </c>
      <c r="J28" s="15">
        <f>IF($O$12=$U$15,$Q$15,$Q$16)</f>
        <v>14.4</v>
      </c>
      <c r="K28" s="8" t="s">
        <v>124</v>
      </c>
    </row>
    <row r="29" spans="1:12">
      <c r="A29" s="200" t="s">
        <v>21</v>
      </c>
      <c r="B29" s="201"/>
      <c r="C29" s="201"/>
      <c r="D29" s="75"/>
      <c r="E29" s="75"/>
      <c r="F29" s="75"/>
      <c r="G29" s="75"/>
      <c r="H29" s="75"/>
      <c r="I29" s="75"/>
      <c r="J29" s="75"/>
      <c r="K29" s="8"/>
    </row>
    <row r="30" spans="1:12">
      <c r="A30" s="6" t="s">
        <v>339</v>
      </c>
      <c r="B30" s="75"/>
      <c r="C30" s="75"/>
      <c r="D30" s="75"/>
      <c r="E30" s="75"/>
      <c r="F30" s="75"/>
      <c r="G30" s="75"/>
      <c r="H30" s="75"/>
      <c r="I30" s="75"/>
      <c r="J30" s="75"/>
      <c r="K30" s="8"/>
    </row>
    <row r="31" spans="1:12" ht="15">
      <c r="A31" s="189" t="str">
        <f>"- Tung độ các đường ảnh hưởng tại các vị trí bánh xe:"</f>
        <v>- Tung độ các đường ảnh hưởng tại các vị trí bánh xe:</v>
      </c>
      <c r="B31" s="190"/>
      <c r="C31" s="190"/>
      <c r="D31" s="75"/>
      <c r="E31" s="75"/>
      <c r="F31" s="75"/>
      <c r="G31" s="75"/>
      <c r="H31" s="75"/>
      <c r="I31" s="77" t="s">
        <v>161</v>
      </c>
      <c r="J31" s="165" cm="1">
        <f t="array" ref="J31">_xll.DCE_Crane_Tungdo($D$16,$J$23, $J$24, $J$19, "BDTT", "y1")</f>
        <v>1</v>
      </c>
      <c r="K31" s="8"/>
      <c r="L31" s="156"/>
    </row>
    <row r="32" spans="1:12" ht="15">
      <c r="A32" s="189"/>
      <c r="B32" s="190"/>
      <c r="C32" s="190"/>
      <c r="D32" s="75"/>
      <c r="E32" s="75"/>
      <c r="F32" s="75"/>
      <c r="G32" s="75"/>
      <c r="H32" s="75"/>
      <c r="I32" s="77" t="s">
        <v>162</v>
      </c>
      <c r="J32" s="165" cm="1">
        <f t="array" ref="J32">_xll.DCE_Crane_Tungdo($D$16,$J$23, $J$24, $J$19, "BDTT", "y2")</f>
        <v>0.51666666666666672</v>
      </c>
      <c r="K32" s="8"/>
      <c r="L32" s="156"/>
    </row>
    <row r="33" spans="1:12" ht="15">
      <c r="A33" s="9"/>
      <c r="B33" s="75"/>
      <c r="C33" s="75"/>
      <c r="D33" s="75"/>
      <c r="E33" s="75"/>
      <c r="F33" s="75"/>
      <c r="G33" s="75"/>
      <c r="H33" s="75"/>
      <c r="I33" s="77" t="s">
        <v>163</v>
      </c>
      <c r="J33" s="165" cm="1">
        <f t="array" ref="J33">_xll.DCE_Crane_Tungdo($D$16,$J$23, $J$24, $J$19, "BDTT", "y3")</f>
        <v>0.83333333333333337</v>
      </c>
      <c r="K33" s="8"/>
      <c r="L33" s="156"/>
    </row>
    <row r="34" spans="1:12" ht="15">
      <c r="A34" s="9"/>
      <c r="B34" s="75"/>
      <c r="C34" s="75"/>
      <c r="D34" s="75"/>
      <c r="E34" s="75"/>
      <c r="F34" s="75"/>
      <c r="G34" s="75"/>
      <c r="H34" s="75"/>
      <c r="I34" s="77" t="s">
        <v>164</v>
      </c>
      <c r="J34" s="165" cm="1">
        <f t="array" ref="J34">_xll.DCE_Crane_Tungdo($D$16,$J$23, $J$24, $J$19, "BDTT", "y4")</f>
        <v>0.35000000000000003</v>
      </c>
      <c r="K34" s="8"/>
      <c r="L34" s="156"/>
    </row>
    <row r="35" spans="1:12">
      <c r="A35" s="9"/>
      <c r="B35" s="75"/>
      <c r="C35" s="75"/>
      <c r="D35" s="75"/>
      <c r="E35" s="75"/>
      <c r="F35" s="75"/>
      <c r="G35" s="75"/>
      <c r="H35" s="75"/>
      <c r="I35" s="75"/>
      <c r="J35" s="75"/>
      <c r="K35" s="8"/>
    </row>
    <row r="36" spans="1:12">
      <c r="A36" s="6" t="s">
        <v>340</v>
      </c>
      <c r="B36" s="75"/>
      <c r="C36" s="75"/>
      <c r="D36" s="75"/>
      <c r="E36" s="75"/>
      <c r="F36" s="75"/>
      <c r="G36" s="75"/>
      <c r="H36" s="75"/>
      <c r="I36" s="75"/>
      <c r="J36" s="75"/>
      <c r="K36" s="8"/>
    </row>
    <row r="37" spans="1:12">
      <c r="A37" s="142" t="s">
        <v>341</v>
      </c>
      <c r="B37" s="75"/>
      <c r="C37" s="75"/>
      <c r="D37" s="75"/>
      <c r="E37" s="75"/>
      <c r="F37" s="75"/>
      <c r="G37" s="75"/>
      <c r="H37" s="75"/>
      <c r="I37" s="75"/>
      <c r="J37" s="75"/>
      <c r="K37" s="8"/>
    </row>
    <row r="38" spans="1:12">
      <c r="A38" s="144" t="s">
        <v>344</v>
      </c>
      <c r="B38" s="75"/>
      <c r="C38" s="75"/>
      <c r="D38" s="75"/>
      <c r="E38" s="75"/>
      <c r="F38" s="75"/>
      <c r="G38" s="75"/>
      <c r="H38" s="75"/>
      <c r="I38" s="75"/>
      <c r="J38" s="75"/>
      <c r="K38" s="8"/>
    </row>
    <row r="39" spans="1:12" ht="15.6">
      <c r="A39" s="9"/>
      <c r="B39" s="75"/>
      <c r="C39" s="75"/>
      <c r="D39" s="75"/>
      <c r="E39" s="75"/>
      <c r="F39" s="75"/>
      <c r="G39" s="75"/>
      <c r="H39" s="157"/>
      <c r="I39" s="158" t="s">
        <v>342</v>
      </c>
      <c r="J39" s="159">
        <f>J21*J25*SUM(J31:J34)</f>
        <v>305.23500000000001</v>
      </c>
      <c r="K39" s="143" t="s">
        <v>124</v>
      </c>
    </row>
    <row r="40" spans="1:12" ht="15.6">
      <c r="A40" s="9"/>
      <c r="B40" s="75"/>
      <c r="C40" s="75"/>
      <c r="D40" s="75"/>
      <c r="E40" s="75"/>
      <c r="F40" s="75"/>
      <c r="G40" s="75"/>
      <c r="H40" s="157"/>
      <c r="I40" s="158" t="s">
        <v>343</v>
      </c>
      <c r="J40" s="159">
        <f>J21*J26*SUM(J31:J34)</f>
        <v>60.790499999999994</v>
      </c>
      <c r="K40" s="143" t="s">
        <v>124</v>
      </c>
    </row>
    <row r="41" spans="1:12">
      <c r="A41" s="144" t="s">
        <v>347</v>
      </c>
      <c r="B41" s="75"/>
      <c r="C41" s="75"/>
      <c r="D41" s="75"/>
      <c r="E41" s="75"/>
      <c r="F41" s="75"/>
      <c r="G41" s="75"/>
      <c r="H41" s="157"/>
      <c r="I41" s="158"/>
      <c r="J41" s="159"/>
      <c r="K41" s="143"/>
    </row>
    <row r="42" spans="1:12" ht="15.6">
      <c r="A42" s="7"/>
      <c r="B42" s="75"/>
      <c r="C42" s="75"/>
      <c r="D42" s="75"/>
      <c r="E42" s="75"/>
      <c r="F42" s="75"/>
      <c r="G42" s="75"/>
      <c r="H42" s="75"/>
      <c r="I42" s="158" t="s">
        <v>345</v>
      </c>
      <c r="J42" s="159">
        <f>J39*J22</f>
        <v>366.28199999999998</v>
      </c>
      <c r="K42" s="143" t="s">
        <v>124</v>
      </c>
    </row>
    <row r="43" spans="1:12" ht="15.6">
      <c r="A43" s="7"/>
      <c r="B43" s="75"/>
      <c r="C43" s="75"/>
      <c r="D43" s="75"/>
      <c r="E43" s="75"/>
      <c r="F43" s="75"/>
      <c r="G43" s="75"/>
      <c r="H43" s="75"/>
      <c r="I43" s="158" t="s">
        <v>346</v>
      </c>
      <c r="J43" s="159">
        <f>J40*J22</f>
        <v>72.948599999999985</v>
      </c>
      <c r="K43" s="143" t="s">
        <v>124</v>
      </c>
    </row>
    <row r="44" spans="1:12">
      <c r="A44" s="142" t="s">
        <v>348</v>
      </c>
      <c r="B44" s="75"/>
      <c r="C44" s="75"/>
      <c r="D44" s="75"/>
      <c r="E44" s="75"/>
      <c r="F44" s="75"/>
      <c r="G44" s="75"/>
      <c r="H44" s="75"/>
      <c r="I44" s="77"/>
      <c r="J44" s="78"/>
      <c r="K44" s="5"/>
    </row>
    <row r="45" spans="1:12">
      <c r="A45" s="144" t="s">
        <v>344</v>
      </c>
      <c r="B45" s="75"/>
      <c r="C45" s="75"/>
      <c r="D45" s="75"/>
      <c r="E45" s="75"/>
      <c r="F45" s="75"/>
      <c r="G45" s="75"/>
      <c r="H45" s="157"/>
      <c r="I45" s="158"/>
      <c r="J45" s="159"/>
      <c r="K45" s="143"/>
    </row>
    <row r="46" spans="1:12" ht="15" customHeight="1">
      <c r="A46" s="7"/>
      <c r="B46" s="166" t="str">
        <f>"- Hệ số móc treo:"</f>
        <v>- Hệ số móc treo:</v>
      </c>
      <c r="C46" s="75"/>
      <c r="D46" s="75"/>
      <c r="E46" s="75"/>
      <c r="F46" s="75"/>
      <c r="G46" s="75"/>
      <c r="H46" s="157"/>
      <c r="I46" s="187" t="s">
        <v>334</v>
      </c>
      <c r="J46" s="187"/>
      <c r="K46" s="188"/>
    </row>
    <row r="47" spans="1:12" ht="15.6">
      <c r="A47" s="7"/>
      <c r="B47" s="166"/>
      <c r="C47" s="75"/>
      <c r="D47" s="75"/>
      <c r="E47" s="75"/>
      <c r="F47" s="75"/>
      <c r="G47" s="75"/>
      <c r="H47" s="157"/>
      <c r="I47" s="168" t="s">
        <v>349</v>
      </c>
      <c r="J47" s="169">
        <f>IF(I46="Móc treo mềm",0.05,0.1)</f>
        <v>0.1</v>
      </c>
      <c r="K47" s="145"/>
    </row>
    <row r="48" spans="1:12" ht="15.6">
      <c r="A48" s="7"/>
      <c r="B48" s="166" t="str">
        <f>"- Lực hãm ngang tiêu chuẩn của một bánh xe cầu trục:"</f>
        <v>- Lực hãm ngang tiêu chuẩn của một bánh xe cầu trục:</v>
      </c>
      <c r="C48" s="75"/>
      <c r="D48" s="75"/>
      <c r="E48" s="75"/>
      <c r="F48" s="75"/>
      <c r="G48" s="75"/>
      <c r="H48" s="157"/>
      <c r="I48" s="158" t="s">
        <v>350</v>
      </c>
      <c r="J48" s="159">
        <f>J47*(D18+J28)/2</f>
        <v>10.72</v>
      </c>
      <c r="K48" s="143" t="s">
        <v>124</v>
      </c>
    </row>
    <row r="49" spans="1:11" ht="15.6">
      <c r="A49" s="7"/>
      <c r="B49" s="166" t="str">
        <f>"- Lực hãm ngang tiêu chuẩn của toàn bộ cầu trục:"</f>
        <v>- Lực hãm ngang tiêu chuẩn của toàn bộ cầu trục:</v>
      </c>
      <c r="C49" s="75"/>
      <c r="D49" s="75"/>
      <c r="E49" s="75"/>
      <c r="F49" s="75"/>
      <c r="G49" s="75"/>
      <c r="H49" s="157"/>
      <c r="I49" s="158" t="s">
        <v>351</v>
      </c>
      <c r="J49" s="159">
        <f>J21*J48*SUM(J31:J34)</f>
        <v>27.4968</v>
      </c>
      <c r="K49" s="143" t="s">
        <v>124</v>
      </c>
    </row>
    <row r="50" spans="1:11">
      <c r="A50" s="144" t="s">
        <v>352</v>
      </c>
      <c r="B50" s="75"/>
      <c r="C50" s="75"/>
      <c r="D50" s="75"/>
      <c r="E50" s="75"/>
      <c r="F50" s="75"/>
      <c r="G50" s="75"/>
      <c r="H50" s="157"/>
      <c r="I50" s="158"/>
      <c r="J50" s="159"/>
      <c r="K50" s="143"/>
    </row>
    <row r="51" spans="1:11" ht="15.6">
      <c r="A51" s="7"/>
      <c r="B51" s="75"/>
      <c r="C51" s="75"/>
      <c r="D51" s="75"/>
      <c r="E51" s="75"/>
      <c r="F51" s="75"/>
      <c r="G51" s="75"/>
      <c r="H51" s="157"/>
      <c r="I51" s="158" t="s">
        <v>353</v>
      </c>
      <c r="J51" s="159">
        <f>J49*J22</f>
        <v>32.996159999999996</v>
      </c>
      <c r="K51" s="143" t="s">
        <v>124</v>
      </c>
    </row>
    <row r="52" spans="1:11">
      <c r="A52" s="142" t="s">
        <v>354</v>
      </c>
      <c r="B52" s="75"/>
      <c r="C52" s="75"/>
      <c r="D52" s="75"/>
      <c r="E52" s="75"/>
      <c r="F52" s="75"/>
      <c r="G52" s="75"/>
      <c r="H52" s="157"/>
      <c r="I52" s="158"/>
      <c r="J52" s="159"/>
      <c r="K52" s="143"/>
    </row>
    <row r="53" spans="1:11">
      <c r="A53" s="144" t="s">
        <v>344</v>
      </c>
      <c r="B53" s="75"/>
      <c r="C53" s="75"/>
      <c r="D53" s="75"/>
      <c r="E53" s="75"/>
      <c r="F53" s="75"/>
      <c r="G53" s="157"/>
      <c r="H53" s="157"/>
      <c r="I53" s="158"/>
      <c r="J53" s="159"/>
      <c r="K53" s="143"/>
    </row>
    <row r="54" spans="1:11" ht="15.6">
      <c r="A54" s="7"/>
      <c r="B54" s="75"/>
      <c r="C54" s="75"/>
      <c r="D54" s="75"/>
      <c r="E54" s="75"/>
      <c r="F54" s="75"/>
      <c r="G54" s="157"/>
      <c r="H54" s="157"/>
      <c r="I54" s="158" t="s">
        <v>355</v>
      </c>
      <c r="J54" s="159">
        <f>0.1*J21*(J27+D18)*J19/2</f>
        <v>27.113</v>
      </c>
      <c r="K54" s="143" t="s">
        <v>124</v>
      </c>
    </row>
    <row r="55" spans="1:11">
      <c r="A55" s="144" t="s">
        <v>352</v>
      </c>
      <c r="B55" s="75"/>
      <c r="C55" s="75"/>
      <c r="D55" s="75"/>
      <c r="E55" s="75"/>
      <c r="F55" s="75"/>
      <c r="G55" s="75"/>
      <c r="H55" s="157"/>
      <c r="I55" s="158"/>
      <c r="J55" s="159"/>
      <c r="K55" s="143"/>
    </row>
    <row r="56" spans="1:11" ht="15.6">
      <c r="A56" s="7"/>
      <c r="B56" s="75"/>
      <c r="C56" s="75"/>
      <c r="D56" s="75"/>
      <c r="E56" s="75"/>
      <c r="F56" s="75"/>
      <c r="G56" s="157"/>
      <c r="H56" s="157"/>
      <c r="I56" s="158" t="s">
        <v>356</v>
      </c>
      <c r="J56" s="159">
        <f>J54*J22</f>
        <v>32.535599999999995</v>
      </c>
      <c r="K56" s="143" t="s">
        <v>124</v>
      </c>
    </row>
    <row r="57" spans="1:11">
      <c r="A57" s="142" t="s">
        <v>357</v>
      </c>
      <c r="B57" s="75"/>
      <c r="C57" s="75"/>
      <c r="D57" s="75"/>
      <c r="E57" s="75"/>
      <c r="F57" s="75"/>
      <c r="G57" s="157"/>
      <c r="H57" s="157"/>
      <c r="I57" s="158"/>
      <c r="J57" s="159"/>
      <c r="K57" s="143"/>
    </row>
    <row r="58" spans="1:11">
      <c r="A58" s="142" t="s">
        <v>358</v>
      </c>
      <c r="B58" s="75"/>
      <c r="C58" s="75"/>
      <c r="D58" s="75"/>
      <c r="E58" s="75"/>
      <c r="F58" s="75"/>
      <c r="G58" s="157"/>
      <c r="H58" s="157"/>
      <c r="I58" s="158"/>
      <c r="J58" s="159"/>
      <c r="K58" s="143"/>
    </row>
    <row r="59" spans="1:11">
      <c r="A59" s="144" t="s">
        <v>344</v>
      </c>
      <c r="B59" s="75"/>
      <c r="C59" s="75"/>
      <c r="D59" s="75"/>
      <c r="E59" s="75"/>
      <c r="F59" s="75"/>
      <c r="G59" s="157"/>
      <c r="H59" s="157"/>
      <c r="I59" s="158"/>
      <c r="J59" s="159"/>
      <c r="K59" s="143"/>
    </row>
    <row r="60" spans="1:11" ht="15.6">
      <c r="A60" s="7"/>
      <c r="B60" s="75"/>
      <c r="C60" s="75"/>
      <c r="D60" s="75"/>
      <c r="E60" s="75"/>
      <c r="F60" s="75"/>
      <c r="G60" s="157"/>
      <c r="H60" s="157"/>
      <c r="I60" s="158" t="s">
        <v>359</v>
      </c>
      <c r="J60" s="159">
        <f>J21*0.2*(J25*SUM(J31:J34))</f>
        <v>61.047000000000004</v>
      </c>
      <c r="K60" s="143" t="s">
        <v>124</v>
      </c>
    </row>
    <row r="61" spans="1:11">
      <c r="A61" s="144" t="s">
        <v>352</v>
      </c>
      <c r="B61" s="75"/>
      <c r="C61" s="75"/>
      <c r="D61" s="75"/>
      <c r="E61" s="75"/>
      <c r="F61" s="75"/>
      <c r="G61" s="157"/>
      <c r="H61" s="157"/>
      <c r="I61" s="158"/>
      <c r="J61" s="159"/>
      <c r="K61" s="143"/>
    </row>
    <row r="62" spans="1:11" ht="15.6">
      <c r="A62" s="144"/>
      <c r="B62" s="75"/>
      <c r="C62" s="75"/>
      <c r="D62" s="75"/>
      <c r="E62" s="75"/>
      <c r="F62" s="75"/>
      <c r="G62" s="157"/>
      <c r="H62" s="157"/>
      <c r="I62" s="158" t="s">
        <v>360</v>
      </c>
      <c r="J62" s="159">
        <f>J22*J60</f>
        <v>73.256399999999999</v>
      </c>
      <c r="K62" s="143" t="s">
        <v>124</v>
      </c>
    </row>
    <row r="63" spans="1:11">
      <c r="A63" s="149"/>
      <c r="B63" s="10"/>
      <c r="C63" s="10"/>
      <c r="D63" s="10"/>
      <c r="E63" s="10"/>
      <c r="F63" s="10"/>
      <c r="G63" s="150"/>
      <c r="H63" s="150"/>
      <c r="I63" s="151"/>
      <c r="J63" s="152"/>
      <c r="K63" s="153"/>
    </row>
    <row r="64" spans="1:11">
      <c r="A64" s="154" t="s">
        <v>361</v>
      </c>
      <c r="B64" s="155"/>
      <c r="C64" s="155"/>
      <c r="D64" s="155"/>
      <c r="E64" s="155"/>
      <c r="F64" s="155"/>
      <c r="G64" s="155"/>
      <c r="H64" s="155"/>
      <c r="I64" s="155"/>
      <c r="J64" s="155"/>
      <c r="K64" s="170"/>
    </row>
    <row r="65" spans="1:11" ht="15.6">
      <c r="A65" s="147" t="str">
        <f>"- Hệ số độ tin cậy về tải trọng:"</f>
        <v>- Hệ số độ tin cậy về tải trọng:</v>
      </c>
      <c r="B65" s="75"/>
      <c r="C65" s="75"/>
      <c r="D65" s="75"/>
      <c r="E65" s="75"/>
      <c r="F65" s="75"/>
      <c r="G65" s="77"/>
      <c r="H65" s="171"/>
      <c r="I65" s="158" t="s">
        <v>362</v>
      </c>
      <c r="J65" s="164">
        <v>1.2</v>
      </c>
      <c r="K65" s="145"/>
    </row>
    <row r="66" spans="1:11">
      <c r="A66" s="147" t="s">
        <v>363</v>
      </c>
      <c r="B66" s="75"/>
      <c r="C66" s="75"/>
      <c r="D66" s="75"/>
      <c r="E66" s="75"/>
      <c r="F66" s="75"/>
      <c r="G66" s="75"/>
      <c r="H66" s="157"/>
      <c r="I66" s="157"/>
      <c r="J66" s="167" t="s">
        <v>364</v>
      </c>
      <c r="K66" s="145"/>
    </row>
    <row r="67" spans="1:11" ht="15.6">
      <c r="A67" s="146"/>
      <c r="B67" s="75"/>
      <c r="C67" s="75"/>
      <c r="D67" s="75"/>
      <c r="E67" s="75"/>
      <c r="F67" s="75"/>
      <c r="G67" s="75"/>
      <c r="H67" s="157"/>
      <c r="I67" s="158" t="s">
        <v>365</v>
      </c>
      <c r="J67" s="172">
        <v>1.7</v>
      </c>
      <c r="K67" s="145"/>
    </row>
    <row r="68" spans="1:11">
      <c r="A68" s="6" t="s">
        <v>366</v>
      </c>
      <c r="B68" s="6"/>
      <c r="C68" s="6"/>
      <c r="D68" s="6"/>
      <c r="E68" s="6"/>
      <c r="F68" s="6"/>
      <c r="G68" s="6"/>
      <c r="H68" s="6"/>
      <c r="I68" s="6"/>
      <c r="J68" s="173"/>
      <c r="K68" s="148"/>
    </row>
    <row r="69" spans="1:11" ht="15.6">
      <c r="A69" s="147" t="s">
        <v>367</v>
      </c>
      <c r="B69" s="75"/>
      <c r="C69" s="75"/>
      <c r="D69" s="75"/>
      <c r="E69" s="75"/>
      <c r="F69" s="75"/>
      <c r="G69" s="75"/>
      <c r="H69" s="157"/>
      <c r="I69" s="158" t="s">
        <v>368</v>
      </c>
      <c r="J69" s="172">
        <v>1.2</v>
      </c>
      <c r="K69" s="145" t="s">
        <v>126</v>
      </c>
    </row>
    <row r="70" spans="1:11">
      <c r="A70" s="147" t="s">
        <v>369</v>
      </c>
      <c r="B70" s="75"/>
      <c r="C70" s="75"/>
      <c r="D70" s="75"/>
      <c r="E70" s="75"/>
      <c r="F70" s="75"/>
      <c r="G70" s="75"/>
      <c r="H70" s="157"/>
      <c r="I70" s="158" t="s">
        <v>370</v>
      </c>
      <c r="J70" s="164">
        <v>0.33</v>
      </c>
      <c r="K70" s="145" t="s">
        <v>371</v>
      </c>
    </row>
    <row r="71" spans="1:11">
      <c r="A71" s="147" t="s">
        <v>372</v>
      </c>
      <c r="B71" s="75"/>
      <c r="C71" s="75"/>
      <c r="D71" s="75"/>
      <c r="E71" s="75"/>
      <c r="F71" s="75"/>
      <c r="G71" s="75"/>
      <c r="H71" s="157"/>
      <c r="I71" s="158" t="s">
        <v>373</v>
      </c>
      <c r="J71" s="172">
        <v>0.1</v>
      </c>
      <c r="K71" s="145" t="s">
        <v>126</v>
      </c>
    </row>
    <row r="72" spans="1:11">
      <c r="A72" s="147" t="s">
        <v>374</v>
      </c>
      <c r="B72" s="75"/>
      <c r="C72" s="75"/>
      <c r="D72" s="75"/>
      <c r="E72" s="75"/>
      <c r="F72" s="75"/>
      <c r="G72" s="75"/>
      <c r="H72" s="75"/>
      <c r="I72" s="158" t="s">
        <v>274</v>
      </c>
      <c r="J72" s="174">
        <f>IF(I46="Móc treo cứng",1,0)</f>
        <v>1</v>
      </c>
      <c r="K72" s="8"/>
    </row>
    <row r="73" spans="1:11" ht="15.6">
      <c r="A73" s="147" t="s">
        <v>375</v>
      </c>
      <c r="B73" s="75"/>
      <c r="C73" s="75"/>
      <c r="D73" s="75"/>
      <c r="E73" s="75"/>
      <c r="F73" s="75"/>
      <c r="G73" s="75"/>
      <c r="H73" s="75"/>
      <c r="I73" s="158" t="s">
        <v>376</v>
      </c>
      <c r="J73" s="174">
        <f>J27/2+(J28+J72*D18)*(D17-J69)/D17</f>
        <v>241.02000000000004</v>
      </c>
      <c r="K73" s="8" t="s">
        <v>124</v>
      </c>
    </row>
    <row r="74" spans="1:11" ht="15.6">
      <c r="A74" s="147" t="s">
        <v>377</v>
      </c>
      <c r="B74" s="75"/>
      <c r="C74" s="75"/>
      <c r="D74" s="75"/>
      <c r="E74" s="75"/>
      <c r="F74" s="75"/>
      <c r="G74" s="75"/>
      <c r="H74" s="75"/>
      <c r="I74" s="158" t="s">
        <v>378</v>
      </c>
      <c r="J74" s="174">
        <f>J73*J70^2/J71/10</f>
        <v>26.247078000000005</v>
      </c>
      <c r="K74" s="8" t="s">
        <v>124</v>
      </c>
    </row>
    <row r="75" spans="1:11" ht="15.6">
      <c r="A75" s="147" t="s">
        <v>379</v>
      </c>
      <c r="B75" s="75"/>
      <c r="C75" s="75"/>
      <c r="D75" s="75"/>
      <c r="E75" s="75"/>
      <c r="F75" s="75"/>
      <c r="G75" s="75"/>
      <c r="H75" s="75"/>
      <c r="I75" s="158" t="s">
        <v>380</v>
      </c>
      <c r="J75" s="174">
        <f>J74*J65</f>
        <v>31.496493600000004</v>
      </c>
      <c r="K75" s="8" t="s">
        <v>124</v>
      </c>
    </row>
    <row r="76" spans="1:11">
      <c r="A76" s="147"/>
      <c r="B76" s="75"/>
      <c r="C76" s="75"/>
      <c r="D76" s="75"/>
      <c r="E76" s="75"/>
      <c r="F76" s="75"/>
      <c r="G76" s="75"/>
      <c r="H76" s="75"/>
      <c r="I76" s="158"/>
      <c r="J76" s="174"/>
      <c r="K76" s="8"/>
    </row>
    <row r="77" spans="1:11">
      <c r="A77" s="6" t="s">
        <v>381</v>
      </c>
      <c r="B77" s="75"/>
      <c r="C77" s="75"/>
      <c r="D77" s="75"/>
      <c r="E77" s="75"/>
      <c r="F77" s="75"/>
      <c r="G77" s="75"/>
      <c r="H77" s="75"/>
      <c r="I77" s="75"/>
      <c r="J77" s="75"/>
      <c r="K77" s="8"/>
    </row>
    <row r="78" spans="1:11">
      <c r="A78" s="7" t="str">
        <f>"- Tung độ các đường ảnh hưởng tại các vị trí bánh xe:"</f>
        <v>- Tung độ các đường ảnh hưởng tại các vị trí bánh xe:</v>
      </c>
      <c r="B78" s="75"/>
      <c r="C78" s="75"/>
      <c r="D78" s="75"/>
      <c r="E78" s="75"/>
      <c r="F78" s="75"/>
      <c r="G78" s="75"/>
      <c r="H78" s="75"/>
      <c r="I78" s="75"/>
      <c r="J78" s="75"/>
      <c r="K78" s="8"/>
    </row>
    <row r="79" spans="1:11" ht="15">
      <c r="A79" s="9"/>
      <c r="B79" s="75"/>
      <c r="C79" s="75"/>
      <c r="D79" s="75"/>
      <c r="E79" s="75"/>
      <c r="F79" s="113"/>
      <c r="G79" s="77" t="s">
        <v>161</v>
      </c>
      <c r="H79" s="80" cm="1">
        <f t="array" ref="H79">_xll.DCE_Crane_Tungdo($D$16,$J$23, $J$24, $J$19, "M", "y1")</f>
        <v>1.5</v>
      </c>
      <c r="I79" s="77" t="s">
        <v>161</v>
      </c>
      <c r="J79" s="80" cm="1">
        <f t="array" ref="J79">_xll.DCE_Crane_Tungdo($D$16,$J$23, $J$24, $J$19, "V", "y1")</f>
        <v>0.98333333333333339</v>
      </c>
      <c r="K79" s="8"/>
    </row>
    <row r="80" spans="1:11" ht="15">
      <c r="A80" s="9"/>
      <c r="B80" s="75"/>
      <c r="C80" s="75"/>
      <c r="D80" s="75"/>
      <c r="E80" s="75"/>
      <c r="F80" s="113"/>
      <c r="G80" s="77" t="s">
        <v>162</v>
      </c>
      <c r="H80" s="80" cm="1">
        <f t="array" ref="H80">_xll.DCE_Crane_Tungdo($D$16,$J$23, $J$24, $J$19, "M", "y2")</f>
        <v>5.0000000000000044E-2</v>
      </c>
      <c r="I80" s="77" t="s">
        <v>162</v>
      </c>
      <c r="J80" s="80" cm="1">
        <f t="array" ref="J80">_xll.DCE_Crane_Tungdo($D$16,$J$23, $J$24, $J$19, "V", "y2")</f>
        <v>0.5</v>
      </c>
      <c r="K80" s="8"/>
    </row>
    <row r="81" spans="1:11" ht="15">
      <c r="A81" s="9"/>
      <c r="B81" s="75"/>
      <c r="C81" s="75"/>
      <c r="D81" s="75"/>
      <c r="E81" s="75"/>
      <c r="F81" s="113"/>
      <c r="G81" s="77" t="s">
        <v>163</v>
      </c>
      <c r="H81" s="80" cm="1">
        <f t="array" ref="H81">_xll.DCE_Crane_Tungdo($D$16,$J$23, $J$24, $J$19, "M", "y3")</f>
        <v>5.0000000000000044E-2</v>
      </c>
      <c r="I81" s="77" t="s">
        <v>163</v>
      </c>
      <c r="J81" s="80" cm="1">
        <f t="array" ref="J81">_xll.DCE_Crane_Tungdo($D$16,$J$23, $J$24, $J$19, "V", "y3")</f>
        <v>1.666666666666668E-2</v>
      </c>
      <c r="K81" s="8"/>
    </row>
    <row r="82" spans="1:11" ht="15">
      <c r="A82" s="7" t="str">
        <f>"- Moment trong mặt phẳng bụng dầm:"</f>
        <v>- Moment trong mặt phẳng bụng dầm:</v>
      </c>
      <c r="B82" s="75"/>
      <c r="C82" s="75"/>
      <c r="D82" s="75"/>
      <c r="E82" s="75"/>
      <c r="F82" s="75"/>
      <c r="G82" s="75"/>
      <c r="H82" s="75"/>
      <c r="I82" s="76" t="s">
        <v>389</v>
      </c>
      <c r="J82" s="159">
        <f>J21*IF(J19=1,J25*(H79+H80+H81),2*J25*H79+J25*H80+J25*H81)*J65*J22</f>
        <v>504.65519999999998</v>
      </c>
      <c r="K82" s="8" t="s">
        <v>168</v>
      </c>
    </row>
    <row r="83" spans="1:11" ht="15">
      <c r="A83" s="7" t="str">
        <f>"- Lực cắt:"</f>
        <v>- Lực cắt:</v>
      </c>
      <c r="B83" s="75"/>
      <c r="C83" s="75"/>
      <c r="D83" s="75"/>
      <c r="E83" s="75"/>
      <c r="F83" s="75"/>
      <c r="G83" s="75"/>
      <c r="H83" s="75"/>
      <c r="I83" s="76" t="s">
        <v>390</v>
      </c>
      <c r="J83" s="159">
        <f>J21*IF(J19=1,J25*(J79+J80+J81),J25*J79+2*J25*J80+J25*J81)*J65*J22</f>
        <v>325.584</v>
      </c>
      <c r="K83" s="8" t="s">
        <v>124</v>
      </c>
    </row>
    <row r="84" spans="1:11" ht="15">
      <c r="A84" s="7" t="str">
        <f>"- Moment ngoài mặt phẳng bụng dầm:"</f>
        <v>- Moment ngoài mặt phẳng bụng dầm:</v>
      </c>
      <c r="B84" s="75"/>
      <c r="C84" s="75"/>
      <c r="D84" s="75"/>
      <c r="E84" s="75"/>
      <c r="F84" s="75"/>
      <c r="G84" s="75"/>
      <c r="H84" s="75"/>
      <c r="I84" s="76" t="s">
        <v>319</v>
      </c>
      <c r="J84" s="159">
        <f>J21*IF(J19=1,J48*(H79+H80+H81),2*J48*H79+J48*H80+J48*H81)*J65</f>
        <v>37.884480000000003</v>
      </c>
      <c r="K84" s="8" t="s">
        <v>168</v>
      </c>
    </row>
    <row r="85" spans="1:11">
      <c r="A85" s="9"/>
      <c r="B85" s="75"/>
      <c r="C85" s="75"/>
      <c r="D85" s="75"/>
      <c r="E85" s="75"/>
      <c r="F85" s="75"/>
      <c r="G85" s="75"/>
      <c r="H85" s="75"/>
      <c r="I85" s="75"/>
      <c r="J85" s="75"/>
      <c r="K85" s="8"/>
    </row>
    <row r="86" spans="1:11">
      <c r="A86" s="9"/>
      <c r="B86" s="75"/>
      <c r="C86" s="75"/>
      <c r="D86" s="75"/>
      <c r="E86" s="75"/>
      <c r="F86" s="75"/>
      <c r="G86" s="75"/>
      <c r="H86" s="75"/>
      <c r="I86" s="75"/>
      <c r="J86" s="75"/>
      <c r="K86" s="8"/>
    </row>
    <row r="87" spans="1:11">
      <c r="A87" s="9"/>
      <c r="B87" s="75"/>
      <c r="C87" s="75"/>
      <c r="D87" s="75"/>
      <c r="E87" s="75"/>
      <c r="F87" s="75"/>
      <c r="G87" s="75"/>
      <c r="H87" s="75"/>
      <c r="I87" s="75"/>
      <c r="J87" s="75"/>
      <c r="K87" s="8"/>
    </row>
    <row r="88" spans="1:11">
      <c r="A88" s="9"/>
      <c r="B88" s="75"/>
      <c r="C88" s="75"/>
      <c r="D88" s="75"/>
      <c r="E88" s="75"/>
      <c r="F88" s="75"/>
      <c r="G88" s="75"/>
      <c r="H88" s="75"/>
      <c r="I88" s="75"/>
      <c r="J88" s="75"/>
      <c r="K88" s="8"/>
    </row>
    <row r="89" spans="1:11">
      <c r="A89" s="9"/>
      <c r="B89" s="75"/>
      <c r="C89" s="75"/>
      <c r="D89" s="75"/>
      <c r="E89" s="75"/>
      <c r="F89" s="75"/>
      <c r="G89" s="75"/>
      <c r="H89" s="75"/>
      <c r="I89" s="75"/>
      <c r="J89" s="75"/>
      <c r="K89" s="8"/>
    </row>
    <row r="90" spans="1:11">
      <c r="A90" s="9"/>
      <c r="B90" s="75"/>
      <c r="C90" s="75"/>
      <c r="D90" s="75"/>
      <c r="E90" s="75"/>
      <c r="F90" s="75"/>
      <c r="G90" s="75"/>
      <c r="H90" s="75"/>
      <c r="I90" s="75"/>
      <c r="J90" s="75"/>
      <c r="K90" s="8"/>
    </row>
    <row r="91" spans="1:11">
      <c r="A91" s="9"/>
      <c r="B91" s="75"/>
      <c r="C91" s="75"/>
      <c r="D91" s="75"/>
      <c r="E91" s="75"/>
      <c r="F91" s="75"/>
      <c r="G91" s="75"/>
      <c r="H91" s="75"/>
      <c r="I91" s="75"/>
      <c r="J91" s="75"/>
      <c r="K91" s="8"/>
    </row>
    <row r="92" spans="1:11">
      <c r="A92" s="9"/>
      <c r="B92" s="75"/>
      <c r="C92" s="75"/>
      <c r="D92" s="75"/>
      <c r="E92" s="75"/>
      <c r="F92" s="75"/>
      <c r="G92" s="75"/>
      <c r="H92" s="75"/>
      <c r="I92" s="75"/>
      <c r="J92" s="75"/>
      <c r="K92" s="8"/>
    </row>
    <row r="93" spans="1:11">
      <c r="A93" s="9"/>
      <c r="B93" s="75"/>
      <c r="C93" s="75"/>
      <c r="D93" s="75"/>
      <c r="E93" s="75"/>
      <c r="F93" s="75"/>
      <c r="G93" s="75"/>
      <c r="H93" s="75"/>
      <c r="I93" s="75"/>
      <c r="J93" s="75"/>
      <c r="K93" s="8"/>
    </row>
    <row r="94" spans="1:11">
      <c r="A94" s="9"/>
      <c r="B94" s="75"/>
      <c r="C94" s="75"/>
      <c r="D94" s="75"/>
      <c r="E94" s="75"/>
      <c r="F94" s="75"/>
      <c r="G94" s="75"/>
      <c r="H94" s="75"/>
      <c r="I94" s="75"/>
      <c r="J94" s="75"/>
      <c r="K94" s="8"/>
    </row>
    <row r="95" spans="1:11">
      <c r="A95" s="9"/>
      <c r="B95" s="75"/>
      <c r="C95" s="75"/>
      <c r="D95" s="75"/>
      <c r="E95" s="75"/>
      <c r="F95" s="75"/>
      <c r="G95" s="75"/>
      <c r="H95" s="75"/>
      <c r="I95" s="75"/>
      <c r="J95" s="75"/>
      <c r="K95" s="8"/>
    </row>
    <row r="96" spans="1:11">
      <c r="A96" s="9"/>
      <c r="B96" s="75"/>
      <c r="C96" s="75"/>
      <c r="D96" s="75"/>
      <c r="E96" s="75"/>
      <c r="F96" s="75"/>
      <c r="G96" s="75"/>
      <c r="H96" s="75"/>
      <c r="I96" s="75"/>
      <c r="J96" s="75"/>
      <c r="K96" s="8"/>
    </row>
    <row r="97" spans="1:11">
      <c r="A97" s="9"/>
      <c r="B97" s="75"/>
      <c r="C97" s="75"/>
      <c r="D97" s="75"/>
      <c r="E97" s="75"/>
      <c r="F97" s="75"/>
      <c r="G97" s="75"/>
      <c r="H97" s="75"/>
      <c r="I97" s="75"/>
      <c r="J97" s="75"/>
      <c r="K97" s="8"/>
    </row>
    <row r="98" spans="1:11">
      <c r="A98" s="9"/>
      <c r="B98" s="75"/>
      <c r="C98" s="75"/>
      <c r="D98" s="75"/>
      <c r="E98" s="75"/>
      <c r="F98" s="75"/>
      <c r="G98" s="75"/>
      <c r="H98" s="75"/>
      <c r="I98" s="75"/>
      <c r="J98" s="75"/>
      <c r="K98" s="8"/>
    </row>
    <row r="99" spans="1:11">
      <c r="A99" s="74"/>
      <c r="B99" s="10"/>
      <c r="C99" s="10"/>
      <c r="D99" s="10"/>
      <c r="E99" s="10"/>
      <c r="F99" s="10"/>
      <c r="G99" s="10"/>
      <c r="H99" s="10"/>
      <c r="I99" s="10"/>
      <c r="J99" s="10"/>
      <c r="K99" s="16"/>
    </row>
    <row r="100" spans="1:11">
      <c r="C100" s="1" t="s">
        <v>152</v>
      </c>
    </row>
    <row r="101" spans="1:11">
      <c r="C101" s="1" t="s">
        <v>153</v>
      </c>
    </row>
  </sheetData>
  <mergeCells count="7">
    <mergeCell ref="I46:K46"/>
    <mergeCell ref="A31:C32"/>
    <mergeCell ref="O12:P12"/>
    <mergeCell ref="J11:K12"/>
    <mergeCell ref="A11:I12"/>
    <mergeCell ref="A29:C29"/>
    <mergeCell ref="A13:C13"/>
  </mergeCells>
  <dataValidations count="6">
    <dataValidation type="list" allowBlank="1" showInputMessage="1" showErrorMessage="1" sqref="J19" xr:uid="{00000000-0002-0000-0100-000000000000}">
      <formula1>"1,2"</formula1>
    </dataValidation>
    <dataValidation type="list" allowBlank="1" showInputMessage="1" showErrorMessage="1" sqref="J20" xr:uid="{00000000-0002-0000-0100-000001000000}">
      <formula1>$C$100:$C$101</formula1>
    </dataValidation>
    <dataValidation type="list" allowBlank="1" showInputMessage="1" showErrorMessage="1" sqref="J21" xr:uid="{00000000-0002-0000-0100-000002000000}">
      <formula1>"1,0.85,0.95"</formula1>
    </dataValidation>
    <dataValidation type="list" allowBlank="1" showInputMessage="1" showErrorMessage="1" sqref="D15" xr:uid="{00000000-0002-0000-0100-000004000000}">
      <formula1>"1 Dầm (ELV/ELK),2 Dầm (ZLK)"</formula1>
    </dataValidation>
    <dataValidation type="list" allowBlank="1" showInputMessage="1" showErrorMessage="1" sqref="I46" xr:uid="{A6C5A03C-DC0E-487F-AE0C-9F9792232B0D}">
      <formula1>"Móc treo mềm,Móc treo cứng"</formula1>
    </dataValidation>
    <dataValidation type="list" allowBlank="1" showInputMessage="1" showErrorMessage="1" sqref="O12:P12" xr:uid="{00000000-0002-0000-0100-000003000000}">
      <formula1>$U$15:$U$16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5000000}">
          <x14:formula1>
            <xm:f>Data!$FE$4:$FE$15</xm:f>
          </x14:formula1>
          <xm:sqref>M15</xm:sqref>
        </x14:dataValidation>
        <x14:dataValidation type="list" allowBlank="1" showInputMessage="1" showErrorMessage="1" xr:uid="{00000000-0002-0000-0100-000006000000}">
          <x14:formula1>
            <xm:f>Data!$FF$4:$FF$15</xm:f>
          </x14:formula1>
          <xm:sqref>N15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6666"/>
  </sheetPr>
  <dimension ref="A1:R102"/>
  <sheetViews>
    <sheetView showGridLines="0" tabSelected="1" topLeftCell="A11" zoomScale="145" zoomScaleNormal="145" zoomScaleSheetLayoutView="100" workbookViewId="0">
      <selection activeCell="D27" sqref="D27"/>
    </sheetView>
  </sheetViews>
  <sheetFormatPr defaultColWidth="7.33203125" defaultRowHeight="13.8"/>
  <cols>
    <col min="1" max="1" width="11.6640625" style="1" bestFit="1" customWidth="1"/>
    <col min="2" max="12" width="7.6640625" style="1" customWidth="1"/>
    <col min="13" max="13" width="8.44140625" style="1" bestFit="1" customWidth="1"/>
    <col min="14" max="16384" width="7.33203125" style="1"/>
  </cols>
  <sheetData>
    <row r="1" spans="1:16" hidden="1"/>
    <row r="2" spans="1:16" hidden="1"/>
    <row r="3" spans="1:16" hidden="1"/>
    <row r="4" spans="1:16" hidden="1"/>
    <row r="5" spans="1:16" hidden="1"/>
    <row r="6" spans="1:16" hidden="1"/>
    <row r="7" spans="1:16" hidden="1"/>
    <row r="8" spans="1:16" hidden="1"/>
    <row r="9" spans="1:16" hidden="1"/>
    <row r="10" spans="1:16" hidden="1"/>
    <row r="11" spans="1:16" ht="20.25" customHeight="1">
      <c r="A11" s="196" t="s">
        <v>169</v>
      </c>
      <c r="B11" s="197"/>
      <c r="C11" s="197"/>
      <c r="D11" s="197"/>
      <c r="E11" s="197"/>
      <c r="F11" s="197"/>
      <c r="G11" s="197"/>
      <c r="H11" s="197"/>
      <c r="I11" s="197"/>
      <c r="J11" s="192" t="str">
        <f>VLOOKUP(M11,$N$11:$P$12,2,FALSE)</f>
        <v>500x200x6x10</v>
      </c>
      <c r="K11" s="192"/>
      <c r="L11" s="193"/>
      <c r="M11" s="225" t="s">
        <v>387</v>
      </c>
      <c r="N11" s="1" t="s">
        <v>387</v>
      </c>
      <c r="O11" s="224" t="str" cm="1">
        <f t="array" ref="O11">_xll.Dce_Name_SectI(E15, E15, E17, E16, E18, "x", "-", "H Tổng")</f>
        <v>500x200x6x10</v>
      </c>
      <c r="P11" s="224"/>
    </row>
    <row r="12" spans="1:16" ht="12.75" customHeight="1">
      <c r="A12" s="198"/>
      <c r="B12" s="199"/>
      <c r="C12" s="199"/>
      <c r="D12" s="199"/>
      <c r="E12" s="199"/>
      <c r="F12" s="199"/>
      <c r="G12" s="199"/>
      <c r="H12" s="199"/>
      <c r="I12" s="199"/>
      <c r="J12" s="194"/>
      <c r="K12" s="194"/>
      <c r="L12" s="195"/>
      <c r="M12" s="225"/>
      <c r="N12" s="1" t="s">
        <v>388</v>
      </c>
      <c r="O12" s="224" t="str" cm="1">
        <f t="array" ref="O12">_xll.Dce_Name_SectI(E15, E15, E17, E16, E18, "x", "-", "H Bụng")</f>
        <v>480x6+200x10</v>
      </c>
      <c r="P12" s="224"/>
    </row>
    <row r="13" spans="1:16" ht="15" customHeight="1">
      <c r="A13" s="200" t="s">
        <v>0</v>
      </c>
      <c r="B13" s="201"/>
      <c r="C13" s="201"/>
      <c r="D13" s="79"/>
      <c r="E13" s="79"/>
      <c r="F13" s="79"/>
      <c r="G13" s="79"/>
      <c r="H13" s="79"/>
      <c r="I13" s="79"/>
      <c r="J13" s="79"/>
      <c r="K13" s="79"/>
      <c r="L13" s="5"/>
    </row>
    <row r="14" spans="1:16">
      <c r="A14" s="6" t="s">
        <v>170</v>
      </c>
      <c r="B14" s="79"/>
      <c r="C14" s="79"/>
      <c r="D14" s="79"/>
      <c r="E14" s="79"/>
      <c r="F14" s="79"/>
      <c r="G14" s="77"/>
      <c r="H14" s="81"/>
      <c r="I14" s="79"/>
      <c r="J14" s="75"/>
      <c r="K14" s="75"/>
      <c r="L14" s="8"/>
    </row>
    <row r="15" spans="1:16" ht="15" customHeight="1">
      <c r="A15" s="7" t="s">
        <v>171</v>
      </c>
      <c r="B15" s="79"/>
      <c r="C15" s="79"/>
      <c r="D15" s="77" t="s">
        <v>172</v>
      </c>
      <c r="E15" s="83">
        <v>500</v>
      </c>
      <c r="F15" s="79" t="s">
        <v>1</v>
      </c>
      <c r="G15" s="75"/>
      <c r="H15" s="75"/>
      <c r="I15" s="75"/>
      <c r="J15" s="75"/>
      <c r="K15" s="75"/>
      <c r="L15" s="8"/>
    </row>
    <row r="16" spans="1:16" ht="15">
      <c r="A16" s="7" t="s">
        <v>173</v>
      </c>
      <c r="B16" s="79"/>
      <c r="C16" s="79"/>
      <c r="D16" s="77" t="s">
        <v>174</v>
      </c>
      <c r="E16" s="83">
        <v>6</v>
      </c>
      <c r="F16" s="79" t="s">
        <v>1</v>
      </c>
      <c r="G16" s="75"/>
      <c r="H16" s="75"/>
      <c r="I16" s="75"/>
      <c r="J16" s="75"/>
      <c r="K16" s="75"/>
      <c r="L16" s="8"/>
    </row>
    <row r="17" spans="1:18" ht="15">
      <c r="A17" s="7" t="s">
        <v>175</v>
      </c>
      <c r="B17" s="79"/>
      <c r="C17" s="79"/>
      <c r="D17" s="77" t="s">
        <v>176</v>
      </c>
      <c r="E17" s="83">
        <v>200</v>
      </c>
      <c r="F17" s="79" t="s">
        <v>1</v>
      </c>
      <c r="G17" s="75"/>
      <c r="H17" s="75"/>
      <c r="I17" s="75"/>
      <c r="J17" s="75"/>
      <c r="K17" s="75"/>
      <c r="L17" s="8"/>
    </row>
    <row r="18" spans="1:18" ht="15" customHeight="1">
      <c r="A18" s="7" t="s">
        <v>177</v>
      </c>
      <c r="B18" s="79"/>
      <c r="C18" s="79"/>
      <c r="D18" s="77" t="s">
        <v>178</v>
      </c>
      <c r="E18" s="83">
        <v>10</v>
      </c>
      <c r="F18" s="79" t="s">
        <v>1</v>
      </c>
      <c r="G18" s="75"/>
      <c r="H18" s="75"/>
      <c r="I18" s="75"/>
      <c r="J18" s="75"/>
      <c r="K18" s="75"/>
      <c r="L18" s="8"/>
    </row>
    <row r="19" spans="1:18" ht="15">
      <c r="A19" s="7" t="s">
        <v>179</v>
      </c>
      <c r="B19" s="79"/>
      <c r="C19" s="79"/>
      <c r="D19" s="77" t="s">
        <v>180</v>
      </c>
      <c r="E19" s="83">
        <v>200</v>
      </c>
      <c r="F19" s="79" t="s">
        <v>1</v>
      </c>
      <c r="G19" s="75"/>
      <c r="H19" s="75"/>
      <c r="I19" s="75"/>
      <c r="J19" s="75"/>
      <c r="K19" s="75"/>
      <c r="L19" s="8"/>
    </row>
    <row r="20" spans="1:18" ht="15" customHeight="1">
      <c r="A20" s="7" t="s">
        <v>181</v>
      </c>
      <c r="B20" s="79"/>
      <c r="C20" s="79"/>
      <c r="D20" s="77" t="s">
        <v>182</v>
      </c>
      <c r="E20" s="83">
        <v>10</v>
      </c>
      <c r="F20" s="79" t="s">
        <v>1</v>
      </c>
      <c r="G20" s="75"/>
      <c r="H20" s="75"/>
      <c r="I20" s="75"/>
      <c r="J20" s="79"/>
      <c r="K20" s="79"/>
      <c r="L20" s="5"/>
    </row>
    <row r="21" spans="1:18">
      <c r="A21" s="7" t="s">
        <v>320</v>
      </c>
      <c r="B21" s="79"/>
      <c r="C21" s="79"/>
      <c r="D21" s="77" t="s">
        <v>321</v>
      </c>
      <c r="E21" s="129">
        <f>Force!D16*1000</f>
        <v>6000</v>
      </c>
      <c r="F21" s="79" t="s">
        <v>1</v>
      </c>
      <c r="G21" s="75"/>
      <c r="H21" s="75"/>
      <c r="I21" s="75"/>
      <c r="J21" s="79"/>
      <c r="K21" s="79"/>
      <c r="L21" s="5"/>
    </row>
    <row r="22" spans="1:18" ht="15">
      <c r="A22" s="7" t="s">
        <v>183</v>
      </c>
      <c r="B22" s="79"/>
      <c r="C22" s="79"/>
      <c r="D22" s="77" t="s">
        <v>184</v>
      </c>
      <c r="E22" s="83">
        <v>6000</v>
      </c>
      <c r="F22" s="79" t="s">
        <v>1</v>
      </c>
      <c r="G22" s="75"/>
      <c r="H22" s="75"/>
      <c r="I22" s="75"/>
      <c r="J22" s="79"/>
      <c r="K22" s="79"/>
      <c r="L22" s="5"/>
    </row>
    <row r="23" spans="1:18">
      <c r="A23" s="6" t="s">
        <v>185</v>
      </c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5"/>
    </row>
    <row r="24" spans="1:18" ht="15" customHeight="1">
      <c r="A24" s="3" t="s">
        <v>186</v>
      </c>
      <c r="B24" s="226" t="s">
        <v>394</v>
      </c>
      <c r="C24" s="226"/>
      <c r="D24" s="227" t="s">
        <v>187</v>
      </c>
      <c r="E24" s="227"/>
      <c r="F24" s="228" t="s">
        <v>188</v>
      </c>
      <c r="G24" s="228"/>
      <c r="H24" s="228"/>
      <c r="I24" s="228"/>
      <c r="J24" s="228"/>
      <c r="K24" s="228"/>
      <c r="L24" s="228"/>
    </row>
    <row r="25" spans="1:18" ht="15">
      <c r="A25" s="3" t="s">
        <v>18</v>
      </c>
      <c r="B25" s="3" t="s">
        <v>189</v>
      </c>
      <c r="C25" s="3" t="s">
        <v>190</v>
      </c>
      <c r="D25" s="230" t="s">
        <v>191</v>
      </c>
      <c r="E25" s="230" t="s">
        <v>192</v>
      </c>
      <c r="F25" s="3" t="s">
        <v>20</v>
      </c>
      <c r="G25" s="3" t="s">
        <v>193</v>
      </c>
      <c r="H25" s="3" t="s">
        <v>194</v>
      </c>
      <c r="I25" s="3" t="s">
        <v>195</v>
      </c>
      <c r="J25" s="3" t="s">
        <v>196</v>
      </c>
      <c r="K25" s="3" t="s">
        <v>197</v>
      </c>
      <c r="L25" s="3" t="s">
        <v>198</v>
      </c>
    </row>
    <row r="26" spans="1:18" ht="15">
      <c r="A26" s="3" t="s">
        <v>22</v>
      </c>
      <c r="B26" s="3" t="s">
        <v>22</v>
      </c>
      <c r="C26" s="3" t="s">
        <v>22</v>
      </c>
      <c r="D26" s="228"/>
      <c r="E26" s="228"/>
      <c r="F26" s="85" t="s">
        <v>199</v>
      </c>
      <c r="G26" s="86" t="s">
        <v>200</v>
      </c>
      <c r="H26" s="86" t="s">
        <v>200</v>
      </c>
      <c r="I26" s="86" t="s">
        <v>201</v>
      </c>
      <c r="J26" s="86" t="s">
        <v>201</v>
      </c>
      <c r="K26" s="86" t="s">
        <v>200</v>
      </c>
      <c r="L26" s="86" t="s">
        <v>201</v>
      </c>
    </row>
    <row r="27" spans="1:18">
      <c r="A27" s="3">
        <f>VLOOKUP(B24,Data!$A$3:$D$99,2,FALSE)</f>
        <v>206000</v>
      </c>
      <c r="B27" s="3">
        <f>VLOOKUP(B24,Data!$A$3:$D$99,3,FALSE)</f>
        <v>240</v>
      </c>
      <c r="C27" s="11">
        <f>B27/D27</f>
        <v>228.57142857142856</v>
      </c>
      <c r="D27" s="19">
        <f>VLOOKUP(B24,Data!$A$3:$E$99,5,FALSE)</f>
        <v>1.05</v>
      </c>
      <c r="E27" s="4">
        <v>1</v>
      </c>
      <c r="F27" s="87" cm="1">
        <f t="array" ref="F27">_xll.DCEPropSectI(E15, E16, E17, E18, E19, E20, "A")/100</f>
        <v>68.8</v>
      </c>
      <c r="G27" s="88">
        <f>_xll.DCEPropSectI(E15, E16, E17, E18, E19, E20, "Ix")/10000</f>
        <v>29539.599999999999</v>
      </c>
      <c r="H27" s="88">
        <f>_xll.DCEPropSectI(E15, E16, E17, E18, E19, E20, "Iy")/10000</f>
        <v>1334.1973333333333</v>
      </c>
      <c r="I27" s="88">
        <f>_xll.DCEPropSectI(E15, E16, E17, E18, E19, E20, "WxT")/1000</f>
        <v>1181.5840000000001</v>
      </c>
      <c r="J27" s="88">
        <f>_xll.DCEPropSectI(E15, E16, E17, E18, E19, E20, "WxB")/1000</f>
        <v>1181.5840000000001</v>
      </c>
      <c r="K27" s="89">
        <f>_xll.DCEPropSectI(E15, E16, E17, E18, E19, E20, "It")/10000</f>
        <v>21.658239999999999</v>
      </c>
      <c r="L27" s="90">
        <f>_xll.DCEPropSectI(E15, E16, E17, E18, E19, E20, "SxT")/1000</f>
        <v>662.8</v>
      </c>
    </row>
    <row r="28" spans="1:18">
      <c r="A28" s="6" t="s">
        <v>202</v>
      </c>
      <c r="B28" s="231"/>
      <c r="C28" s="231"/>
      <c r="D28" s="75"/>
      <c r="E28" s="75"/>
      <c r="F28" s="75"/>
      <c r="G28" s="75"/>
      <c r="H28" s="91"/>
      <c r="I28" s="75"/>
      <c r="J28" s="75"/>
      <c r="K28" s="75"/>
      <c r="L28" s="8"/>
    </row>
    <row r="29" spans="1:18" ht="15">
      <c r="A29" s="7" t="s">
        <v>323</v>
      </c>
      <c r="B29" s="25"/>
      <c r="C29" s="25"/>
      <c r="D29" s="106" t="s">
        <v>333</v>
      </c>
      <c r="E29" s="177">
        <v>1.05</v>
      </c>
      <c r="F29" s="76" t="s">
        <v>324</v>
      </c>
      <c r="G29" s="125">
        <f>78.5*(F27/10000)*(E21/1000)/2*E29</f>
        <v>1.701252</v>
      </c>
      <c r="H29" s="100" t="s">
        <v>124</v>
      </c>
      <c r="I29" s="76" t="s">
        <v>322</v>
      </c>
      <c r="J29" s="124">
        <f>78.5*(F27/10000)*(E21/1000)^2/8*E29</f>
        <v>2.5518779999999999</v>
      </c>
      <c r="K29" s="100" t="s">
        <v>168</v>
      </c>
      <c r="L29" s="8"/>
    </row>
    <row r="30" spans="1:18" ht="15">
      <c r="A30" s="7" t="s">
        <v>310</v>
      </c>
      <c r="B30" s="25"/>
      <c r="C30" s="25"/>
      <c r="D30" s="75"/>
      <c r="E30" s="75"/>
      <c r="F30" s="75"/>
      <c r="G30" s="75"/>
      <c r="H30" s="91"/>
      <c r="I30" s="76" t="s">
        <v>382</v>
      </c>
      <c r="J30" s="124">
        <f>Force!J82+J29</f>
        <v>507.20707799999997</v>
      </c>
      <c r="K30" s="100" t="s">
        <v>168</v>
      </c>
      <c r="L30" s="8"/>
    </row>
    <row r="31" spans="1:18" ht="15">
      <c r="A31" s="7" t="s">
        <v>311</v>
      </c>
      <c r="B31" s="25"/>
      <c r="C31" s="25"/>
      <c r="D31" s="75"/>
      <c r="E31" s="75"/>
      <c r="F31" s="75"/>
      <c r="G31" s="75"/>
      <c r="H31" s="91"/>
      <c r="I31" s="76" t="s">
        <v>314</v>
      </c>
      <c r="J31" s="124">
        <f>IF(R31="Y",Force!J84,0)</f>
        <v>37.884480000000003</v>
      </c>
      <c r="K31" s="100" t="s">
        <v>168</v>
      </c>
      <c r="L31" s="8"/>
      <c r="M31" s="223" t="s">
        <v>385</v>
      </c>
      <c r="N31" s="223"/>
      <c r="O31" s="223"/>
      <c r="P31" s="223"/>
      <c r="Q31" s="223"/>
      <c r="R31" s="176" t="s">
        <v>386</v>
      </c>
    </row>
    <row r="32" spans="1:18">
      <c r="A32" s="7" t="s">
        <v>312</v>
      </c>
      <c r="B32" s="25"/>
      <c r="C32" s="25"/>
      <c r="D32" s="75"/>
      <c r="E32" s="75"/>
      <c r="F32" s="75"/>
      <c r="G32" s="75"/>
      <c r="H32" s="91"/>
      <c r="I32" s="76" t="s">
        <v>316</v>
      </c>
      <c r="J32" s="124">
        <f>Force!J83+G29</f>
        <v>327.28525200000001</v>
      </c>
      <c r="K32" s="100" t="s">
        <v>124</v>
      </c>
      <c r="L32" s="8"/>
    </row>
    <row r="33" spans="1:14">
      <c r="A33" s="7" t="s">
        <v>225</v>
      </c>
      <c r="B33" s="25"/>
      <c r="C33" s="25"/>
      <c r="D33" s="75"/>
      <c r="E33" s="75"/>
      <c r="F33" s="75"/>
      <c r="G33" s="75"/>
      <c r="H33" s="91"/>
      <c r="I33" s="76" t="s">
        <v>315</v>
      </c>
      <c r="J33" s="124">
        <f>Force!J25*Force!J65</f>
        <v>142.79999999999998</v>
      </c>
      <c r="K33" s="100" t="s">
        <v>124</v>
      </c>
      <c r="L33" s="8"/>
    </row>
    <row r="34" spans="1:14">
      <c r="A34" s="9"/>
      <c r="B34" s="75"/>
      <c r="C34" s="75"/>
      <c r="D34" s="75"/>
      <c r="E34" s="77"/>
      <c r="F34" s="75"/>
      <c r="G34" s="75"/>
      <c r="H34" s="75"/>
      <c r="I34" s="75"/>
      <c r="J34" s="75"/>
      <c r="K34" s="75"/>
      <c r="L34" s="8"/>
    </row>
    <row r="35" spans="1:14">
      <c r="A35" s="200" t="s">
        <v>21</v>
      </c>
      <c r="B35" s="201"/>
      <c r="C35" s="201"/>
      <c r="D35" s="75"/>
      <c r="E35" s="75"/>
      <c r="F35" s="75"/>
      <c r="G35" s="75"/>
      <c r="H35" s="75"/>
      <c r="I35" s="75"/>
      <c r="J35" s="75"/>
      <c r="K35" s="75"/>
      <c r="L35" s="5"/>
    </row>
    <row r="36" spans="1:14">
      <c r="A36" s="92" t="s">
        <v>204</v>
      </c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8"/>
    </row>
    <row r="37" spans="1:14" ht="15" customHeight="1">
      <c r="A37" s="6" t="s">
        <v>205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8"/>
      <c r="M37" s="222" t="s">
        <v>383</v>
      </c>
      <c r="N37" s="222" t="s">
        <v>384</v>
      </c>
    </row>
    <row r="38" spans="1:14" ht="15">
      <c r="A38" s="7" t="s">
        <v>206</v>
      </c>
      <c r="B38" s="75"/>
      <c r="C38" s="75"/>
      <c r="D38" s="75"/>
      <c r="E38" s="75"/>
      <c r="F38" s="75"/>
      <c r="G38" s="75"/>
      <c r="H38" s="75"/>
      <c r="I38" s="77" t="s">
        <v>207</v>
      </c>
      <c r="J38" s="93">
        <f>C27*E27</f>
        <v>228.57142857142856</v>
      </c>
      <c r="K38" s="79" t="s">
        <v>22</v>
      </c>
      <c r="L38" s="5"/>
      <c r="M38" s="222"/>
      <c r="N38" s="222"/>
    </row>
    <row r="39" spans="1:14" ht="15">
      <c r="A39" s="7" t="s">
        <v>208</v>
      </c>
      <c r="B39" s="75"/>
      <c r="C39" s="75"/>
      <c r="D39" s="75"/>
      <c r="E39" s="75"/>
      <c r="F39" s="75"/>
      <c r="G39" s="75"/>
      <c r="H39" s="75"/>
      <c r="I39" s="94" t="s">
        <v>209</v>
      </c>
      <c r="J39" s="95">
        <f>((J30/I27*1000)+(J31/((E18*E17^2/6)/1000)*1000))/J38</f>
        <v>4.3641827224691605</v>
      </c>
      <c r="K39" s="96" t="s">
        <v>210</v>
      </c>
      <c r="L39" s="97" t="str">
        <f>IF(J39&lt;=1,"OK","Check")</f>
        <v>Check</v>
      </c>
      <c r="M39" s="175">
        <f>(J30/I27*1000)/J38</f>
        <v>1.87801372246916</v>
      </c>
      <c r="N39" s="175">
        <f>(J31/((E18*E17^2/6)/1000)*1000)/J38</f>
        <v>2.4861690000000003</v>
      </c>
    </row>
    <row r="40" spans="1:14" ht="15">
      <c r="A40" s="7" t="s">
        <v>211</v>
      </c>
      <c r="B40" s="75"/>
      <c r="C40" s="75"/>
      <c r="D40" s="75"/>
      <c r="E40" s="75"/>
      <c r="F40" s="75"/>
      <c r="G40" s="75"/>
      <c r="H40" s="75"/>
      <c r="I40" s="94" t="s">
        <v>212</v>
      </c>
      <c r="J40" s="95">
        <f>(J30/J27*1000)/J38</f>
        <v>1.87801372246916</v>
      </c>
      <c r="K40" s="96" t="s">
        <v>210</v>
      </c>
      <c r="L40" s="97" t="str">
        <f>IF(J40&lt;=1,"OK","Check")</f>
        <v>Check</v>
      </c>
    </row>
    <row r="41" spans="1:14">
      <c r="A41" s="6" t="s">
        <v>213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8"/>
    </row>
    <row r="42" spans="1:14" ht="15">
      <c r="A42" s="7" t="s">
        <v>214</v>
      </c>
      <c r="B42" s="79"/>
      <c r="C42" s="79"/>
      <c r="D42" s="79"/>
      <c r="E42" s="79"/>
      <c r="F42" s="79"/>
      <c r="G42" s="79"/>
      <c r="H42" s="79"/>
      <c r="I42" s="77" t="s">
        <v>215</v>
      </c>
      <c r="J42" s="93">
        <f>0.58*C27*E27</f>
        <v>132.57142857142856</v>
      </c>
      <c r="K42" s="79" t="s">
        <v>22</v>
      </c>
      <c r="L42" s="5"/>
    </row>
    <row r="43" spans="1:14" ht="15">
      <c r="A43" s="7" t="s">
        <v>216</v>
      </c>
      <c r="B43" s="75"/>
      <c r="C43" s="75"/>
      <c r="D43" s="75"/>
      <c r="E43" s="75"/>
      <c r="F43" s="75"/>
      <c r="G43" s="75"/>
      <c r="H43" s="75"/>
      <c r="I43" s="94" t="s">
        <v>317</v>
      </c>
      <c r="J43" s="95">
        <f>((J32*100*L27)/(G27*E16))/J42</f>
        <v>0.92321560931240887</v>
      </c>
      <c r="K43" s="96" t="s">
        <v>210</v>
      </c>
      <c r="L43" s="97" t="str">
        <f>IF(J43&lt;=1,"OK","Check")</f>
        <v>OK</v>
      </c>
    </row>
    <row r="44" spans="1:14">
      <c r="A44" s="6" t="s">
        <v>217</v>
      </c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8"/>
    </row>
    <row r="45" spans="1:14" ht="12.75" customHeight="1">
      <c r="A45" s="7" t="s">
        <v>218</v>
      </c>
      <c r="B45" s="75"/>
      <c r="C45" s="75"/>
      <c r="D45" s="75"/>
      <c r="E45" s="75"/>
      <c r="F45" s="75"/>
      <c r="G45" s="75"/>
      <c r="H45" s="75"/>
      <c r="I45" s="98" t="s">
        <v>219</v>
      </c>
      <c r="J45" s="99">
        <f>J39*J38</f>
        <v>997.52747942152234</v>
      </c>
      <c r="K45" s="100" t="s">
        <v>22</v>
      </c>
      <c r="L45" s="97"/>
    </row>
    <row r="46" spans="1:14" ht="12.75" customHeight="1">
      <c r="A46" s="7" t="s">
        <v>220</v>
      </c>
      <c r="B46" s="75"/>
      <c r="C46" s="75"/>
      <c r="D46" s="75"/>
      <c r="E46" s="75"/>
      <c r="F46" s="75"/>
      <c r="G46" s="75"/>
      <c r="H46" s="75"/>
      <c r="I46" s="98" t="s">
        <v>221</v>
      </c>
      <c r="J46" s="99">
        <f>J43*J42</f>
        <v>122.39201220598791</v>
      </c>
      <c r="K46" s="100" t="s">
        <v>22</v>
      </c>
      <c r="L46" s="97"/>
    </row>
    <row r="47" spans="1:14" ht="12.75" customHeight="1">
      <c r="A47" s="7" t="s">
        <v>222</v>
      </c>
      <c r="B47" s="75"/>
      <c r="C47" s="75"/>
      <c r="D47" s="75"/>
      <c r="E47" s="75"/>
      <c r="F47" s="75"/>
      <c r="G47" s="75"/>
      <c r="H47" s="75"/>
      <c r="I47" s="98" t="s">
        <v>223</v>
      </c>
      <c r="J47" s="95">
        <f>0.87/J38*SQRT(J45^2+3*J46^2)</f>
        <v>3.8816295119719988</v>
      </c>
      <c r="K47" s="96" t="s">
        <v>210</v>
      </c>
      <c r="L47" s="97" t="str">
        <f>IF(J47&lt;=1,"OK","Check")</f>
        <v>Check</v>
      </c>
    </row>
    <row r="48" spans="1:14">
      <c r="A48" s="6" t="s">
        <v>224</v>
      </c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8"/>
    </row>
    <row r="49" spans="1:17" ht="12.75" customHeight="1">
      <c r="A49" s="7" t="s">
        <v>225</v>
      </c>
      <c r="B49" s="75"/>
      <c r="C49" s="75"/>
      <c r="D49" s="75"/>
      <c r="E49" s="75"/>
      <c r="F49" s="75"/>
      <c r="G49" s="75"/>
      <c r="H49" s="75"/>
      <c r="I49" s="76" t="s">
        <v>226</v>
      </c>
      <c r="J49" s="124">
        <f>J33</f>
        <v>142.79999999999998</v>
      </c>
      <c r="K49" s="100" t="s">
        <v>124</v>
      </c>
      <c r="L49" s="97"/>
    </row>
    <row r="50" spans="1:17" ht="12.75" customHeight="1">
      <c r="A50" s="7" t="s">
        <v>227</v>
      </c>
      <c r="B50" s="75"/>
      <c r="C50" s="75"/>
      <c r="D50" s="75"/>
      <c r="E50" s="98" t="s">
        <v>228</v>
      </c>
      <c r="F50" s="101">
        <v>3.25</v>
      </c>
      <c r="G50" s="75"/>
      <c r="H50" s="75"/>
      <c r="I50" s="98" t="s">
        <v>229</v>
      </c>
      <c r="J50" s="99">
        <f>F50*(D59*10000/E16)^(1/3)</f>
        <v>336.61685481166785</v>
      </c>
      <c r="K50" s="100" t="s">
        <v>1</v>
      </c>
      <c r="L50" s="97"/>
    </row>
    <row r="51" spans="1:17" ht="12.75" customHeight="1">
      <c r="A51" s="7" t="s">
        <v>230</v>
      </c>
      <c r="B51" s="75"/>
      <c r="C51" s="75"/>
      <c r="D51" s="75"/>
      <c r="E51" s="75"/>
      <c r="F51" s="75"/>
      <c r="G51" s="75"/>
      <c r="H51" s="75"/>
      <c r="I51" s="98" t="s">
        <v>231</v>
      </c>
      <c r="J51" s="102">
        <f>J49*1000/(J50*E16)</f>
        <v>70.703530318812298</v>
      </c>
      <c r="K51" s="100" t="s">
        <v>22</v>
      </c>
      <c r="L51" s="97"/>
    </row>
    <row r="52" spans="1:17" ht="12.75" customHeight="1">
      <c r="A52" s="7" t="s">
        <v>222</v>
      </c>
      <c r="B52" s="75"/>
      <c r="C52" s="75"/>
      <c r="D52" s="75"/>
      <c r="E52" s="75"/>
      <c r="F52" s="75"/>
      <c r="G52" s="75"/>
      <c r="H52" s="75"/>
      <c r="I52" s="98" t="s">
        <v>232</v>
      </c>
      <c r="J52" s="95">
        <f>J51/J38</f>
        <v>0.30932794514480383</v>
      </c>
      <c r="K52" s="96" t="s">
        <v>210</v>
      </c>
      <c r="L52" s="97" t="str">
        <f>IF(J52&lt;=1,"OK","Check")</f>
        <v>OK</v>
      </c>
    </row>
    <row r="53" spans="1:17">
      <c r="A53" s="92" t="s">
        <v>233</v>
      </c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8"/>
    </row>
    <row r="54" spans="1:17">
      <c r="A54" s="6" t="s">
        <v>234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8"/>
    </row>
    <row r="55" spans="1:17" ht="14.4">
      <c r="A55" s="7" t="s">
        <v>235</v>
      </c>
      <c r="B55" s="75"/>
      <c r="C55" s="75"/>
      <c r="D55" s="75"/>
      <c r="E55" s="75"/>
      <c r="F55" s="75"/>
      <c r="G55" s="75"/>
      <c r="H55" s="75"/>
      <c r="I55" s="75"/>
      <c r="J55" s="75"/>
      <c r="K55" s="103" t="str">
        <f>"Tiết diện có "&amp;M55 &amp; " trục đối xứng"</f>
        <v>Tiết diện có 2 trục đối xứng</v>
      </c>
      <c r="L55" s="8"/>
      <c r="M55" s="104">
        <f>IF(AND(E17=E19,E18,E20),2,1)</f>
        <v>2</v>
      </c>
    </row>
    <row r="56" spans="1:17" ht="15">
      <c r="A56" s="7" t="s">
        <v>236</v>
      </c>
      <c r="B56" s="75"/>
      <c r="C56" s="75"/>
      <c r="D56" s="75"/>
      <c r="E56" s="76"/>
      <c r="F56" s="105"/>
      <c r="G56" s="75"/>
      <c r="H56" s="75"/>
      <c r="I56" s="106" t="s">
        <v>237</v>
      </c>
      <c r="J56" s="105">
        <f>IF(M55=1,J71,J76)</f>
        <v>0.65869332669970437</v>
      </c>
      <c r="K56" s="75"/>
      <c r="L56" s="8"/>
    </row>
    <row r="57" spans="1:17" ht="15">
      <c r="A57" s="7" t="s">
        <v>238</v>
      </c>
      <c r="B57" s="75"/>
      <c r="C57" s="75"/>
      <c r="D57" s="75"/>
      <c r="E57" s="75"/>
      <c r="F57" s="75"/>
      <c r="G57" s="75"/>
      <c r="H57" s="75"/>
      <c r="I57" s="94" t="s">
        <v>239</v>
      </c>
      <c r="J57" s="95">
        <f>((J30/(J56*I27)*1000)+(J31/((E18*E17^2/6)/1000)*1000))/J38</f>
        <v>5.3372890073616945</v>
      </c>
      <c r="K57" s="96" t="s">
        <v>210</v>
      </c>
      <c r="L57" s="97" t="str">
        <f>IF(J57&lt;=1,"OK","Check")</f>
        <v>Check</v>
      </c>
      <c r="N57" s="1" t="s">
        <v>240</v>
      </c>
    </row>
    <row r="58" spans="1:17">
      <c r="A58" s="107" t="s">
        <v>241</v>
      </c>
      <c r="B58" s="75"/>
      <c r="C58" s="75"/>
      <c r="D58" s="75"/>
      <c r="E58" s="75"/>
      <c r="F58" s="75"/>
      <c r="G58" s="75"/>
      <c r="H58" s="75"/>
      <c r="I58" s="75"/>
      <c r="J58" s="75"/>
      <c r="K58" s="103"/>
      <c r="L58" s="8"/>
    </row>
    <row r="59" spans="1:17" ht="15">
      <c r="A59" s="108" t="s">
        <v>242</v>
      </c>
      <c r="B59" s="80" cm="1">
        <f t="array" ref="B59">_xll.DCEPropSectI(E15, E16, E17, E18, E19, E20, "n")</f>
        <v>0.5</v>
      </c>
      <c r="C59" s="76" t="s">
        <v>243</v>
      </c>
      <c r="D59" s="99">
        <f>(E18*E17^3/12)/10000</f>
        <v>666.66666666666674</v>
      </c>
      <c r="E59" s="75" t="s">
        <v>200</v>
      </c>
      <c r="F59" s="76" t="s">
        <v>244</v>
      </c>
      <c r="G59" s="99">
        <f>(E20*E19^3/12)/10000</f>
        <v>666.66666666666674</v>
      </c>
      <c r="H59" s="75" t="s">
        <v>200</v>
      </c>
      <c r="I59" s="76" t="s">
        <v>245</v>
      </c>
      <c r="J59" s="25">
        <f>E15-E18/2-E20/2</f>
        <v>490</v>
      </c>
      <c r="K59" s="75" t="s">
        <v>1</v>
      </c>
      <c r="L59" s="8"/>
    </row>
    <row r="60" spans="1:17">
      <c r="A60" s="109" t="s">
        <v>246</v>
      </c>
      <c r="B60" s="75"/>
      <c r="C60" s="75"/>
      <c r="D60" s="75"/>
      <c r="E60" s="75"/>
      <c r="F60" s="75"/>
      <c r="G60" s="75"/>
      <c r="H60" s="75"/>
      <c r="I60" s="106" t="s">
        <v>247</v>
      </c>
      <c r="J60" s="105" t="str">
        <f>IF(M55=2,"-",(2*B59-1)*(0.47-0.035*(E17/J59)*(1+E17/J59-0.072*(E17/J59)^2)))</f>
        <v>-</v>
      </c>
      <c r="K60" s="75" t="s">
        <v>1</v>
      </c>
      <c r="L60" s="8"/>
    </row>
    <row r="61" spans="1:17">
      <c r="A61" s="109" t="s">
        <v>248</v>
      </c>
      <c r="B61" s="75"/>
      <c r="C61" s="75"/>
      <c r="D61" s="75"/>
      <c r="E61" s="75"/>
      <c r="F61" s="75"/>
      <c r="G61" s="75"/>
      <c r="H61" s="75"/>
      <c r="I61" s="106" t="s">
        <v>249</v>
      </c>
      <c r="J61" s="105" t="str">
        <f>IF(M55=2,"-",B59+0.734*J60)</f>
        <v>-</v>
      </c>
      <c r="K61" s="75"/>
      <c r="L61" s="8"/>
    </row>
    <row r="62" spans="1:17">
      <c r="A62" s="109" t="s">
        <v>250</v>
      </c>
      <c r="B62" s="75"/>
      <c r="C62" s="75"/>
      <c r="D62" s="75"/>
      <c r="E62" s="75" t="s">
        <v>251</v>
      </c>
      <c r="F62" s="75"/>
      <c r="G62" s="75"/>
      <c r="H62" s="75"/>
      <c r="I62" s="76" t="s">
        <v>252</v>
      </c>
      <c r="J62" s="105" t="str">
        <f>IF(M55=2,"-",J61-1)</f>
        <v>-</v>
      </c>
      <c r="K62" s="75"/>
      <c r="L62" s="8"/>
      <c r="Q62" s="1" t="s">
        <v>203</v>
      </c>
    </row>
    <row r="63" spans="1:17">
      <c r="A63" s="178" t="s">
        <v>253</v>
      </c>
      <c r="B63" s="10"/>
      <c r="C63" s="10"/>
      <c r="D63" s="10"/>
      <c r="E63" s="10"/>
      <c r="F63" s="10"/>
      <c r="G63" s="10"/>
      <c r="H63" s="10"/>
      <c r="I63" s="179" t="s">
        <v>254</v>
      </c>
      <c r="J63" s="180" t="str">
        <f>IF(M55=2,"-",(1-B59)*(9.87*B59+0.385*K27/G59*(E22/J59)^2))</f>
        <v>-</v>
      </c>
      <c r="K63" s="10"/>
      <c r="L63" s="16"/>
      <c r="N63" s="1" t="s">
        <v>255</v>
      </c>
    </row>
    <row r="64" spans="1:17">
      <c r="A64" s="181" t="s">
        <v>256</v>
      </c>
      <c r="B64" s="155"/>
      <c r="C64" s="155"/>
      <c r="D64" s="155"/>
      <c r="E64" s="182" t="s">
        <v>257</v>
      </c>
      <c r="F64" s="183" t="str">
        <f>IF(M55=2,"-",0.33*J63)</f>
        <v>-</v>
      </c>
      <c r="G64" s="155"/>
      <c r="H64" s="155"/>
      <c r="I64" s="182" t="s">
        <v>258</v>
      </c>
      <c r="J64" s="183" t="str">
        <f>IF(M55=2,"-",3.265)</f>
        <v>-</v>
      </c>
      <c r="K64" s="155"/>
      <c r="L64" s="170"/>
    </row>
    <row r="65" spans="1:12" ht="15">
      <c r="A65" s="109" t="s">
        <v>259</v>
      </c>
      <c r="B65" s="75"/>
      <c r="C65" s="75"/>
      <c r="D65" s="75"/>
      <c r="E65" s="76"/>
      <c r="F65" s="105"/>
      <c r="G65" s="75"/>
      <c r="H65" s="75"/>
      <c r="I65" s="106" t="s">
        <v>260</v>
      </c>
      <c r="J65" s="105" t="str">
        <f>IF(M55=2,"-",(J62+(J62^2+F64)^0.5)*J64)</f>
        <v>-</v>
      </c>
      <c r="K65" s="75"/>
      <c r="L65" s="8"/>
    </row>
    <row r="66" spans="1:12">
      <c r="A66" s="109" t="s">
        <v>261</v>
      </c>
      <c r="B66" s="75"/>
      <c r="C66" s="75"/>
      <c r="D66" s="75"/>
      <c r="E66" s="75"/>
      <c r="F66" s="75"/>
      <c r="G66" s="75"/>
      <c r="H66" s="75"/>
      <c r="I66" s="76" t="s">
        <v>262</v>
      </c>
      <c r="J66" s="99" t="str" cm="1">
        <f t="array" ref="J66">IF(M55=2,"-",_xll.DCEPropSectI(E15, E16, E17, E18, E19, E20, "yBot"))</f>
        <v>-</v>
      </c>
      <c r="K66" s="75" t="s">
        <v>1</v>
      </c>
      <c r="L66" s="8"/>
    </row>
    <row r="67" spans="1:12" ht="15">
      <c r="A67" s="109" t="s">
        <v>263</v>
      </c>
      <c r="B67" s="75"/>
      <c r="C67" s="75"/>
      <c r="D67" s="75"/>
      <c r="E67" s="75"/>
      <c r="F67" s="75"/>
      <c r="G67" s="75"/>
      <c r="H67" s="75"/>
      <c r="I67" s="76" t="s">
        <v>264</v>
      </c>
      <c r="J67" s="99" t="str">
        <f>IF(M55=2,"-",J66-E20/2)</f>
        <v>-</v>
      </c>
      <c r="K67" s="75" t="s">
        <v>1</v>
      </c>
      <c r="L67" s="8"/>
    </row>
    <row r="68" spans="1:12" ht="15">
      <c r="A68" s="109" t="s">
        <v>265</v>
      </c>
      <c r="B68" s="75"/>
      <c r="C68" s="75"/>
      <c r="D68" s="75"/>
      <c r="E68" s="75"/>
      <c r="F68" s="75"/>
      <c r="G68" s="75"/>
      <c r="H68" s="75"/>
      <c r="I68" s="76" t="s">
        <v>266</v>
      </c>
      <c r="J68" s="99" t="str">
        <f>IF(M55=2,"-",E15-J66-E18/2)</f>
        <v>-</v>
      </c>
      <c r="K68" s="75" t="s">
        <v>1</v>
      </c>
      <c r="L68" s="8"/>
    </row>
    <row r="69" spans="1:12" ht="15">
      <c r="A69" s="109" t="s">
        <v>267</v>
      </c>
      <c r="B69" s="75"/>
      <c r="C69" s="75"/>
      <c r="D69" s="75"/>
      <c r="E69" s="76"/>
      <c r="F69" s="105"/>
      <c r="G69" s="75"/>
      <c r="H69" s="75"/>
      <c r="I69" s="106" t="s">
        <v>268</v>
      </c>
      <c r="J69" s="105" t="str">
        <f>IF(M55=2,"-",J65*(H27/G27)*(2*J59*J68/E22^2)*(A27/C27))</f>
        <v>-</v>
      </c>
      <c r="K69" s="75"/>
      <c r="L69" s="8"/>
    </row>
    <row r="70" spans="1:12" ht="15">
      <c r="A70" s="109" t="s">
        <v>269</v>
      </c>
      <c r="B70" s="75"/>
      <c r="C70" s="75"/>
      <c r="D70" s="75"/>
      <c r="E70" s="76"/>
      <c r="F70" s="105"/>
      <c r="G70" s="75"/>
      <c r="H70" s="75"/>
      <c r="I70" s="106" t="s">
        <v>270</v>
      </c>
      <c r="J70" s="105" t="str">
        <f>IF(M55=2,"-",J65*(H27/G27)*(2*J59*J67/E22^2)*(A27/C27))</f>
        <v>-</v>
      </c>
      <c r="K70" s="75"/>
      <c r="L70" s="8"/>
    </row>
    <row r="71" spans="1:12">
      <c r="A71" s="109" t="s">
        <v>271</v>
      </c>
      <c r="B71" s="75"/>
      <c r="C71" s="75"/>
      <c r="D71" s="75"/>
      <c r="E71" s="76"/>
      <c r="F71" s="105"/>
      <c r="G71" s="75"/>
      <c r="H71" s="75"/>
      <c r="I71" s="106" t="s">
        <v>272</v>
      </c>
      <c r="J71" s="105" t="str">
        <f>IF(M55=2,"-",MIN(IF(J70&lt;=0.85,J69,J69*(0.21+0.68*(B59/J69+(1-B59)/J70))),1))</f>
        <v>-</v>
      </c>
      <c r="K71" s="75"/>
      <c r="L71" s="8"/>
    </row>
    <row r="72" spans="1:12">
      <c r="A72" s="107" t="s">
        <v>273</v>
      </c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8"/>
    </row>
    <row r="73" spans="1:12" ht="15">
      <c r="A73" s="108" t="s">
        <v>274</v>
      </c>
      <c r="B73" s="80">
        <f>IF(M55=1,"-",4)</f>
        <v>4</v>
      </c>
      <c r="C73" s="76" t="s">
        <v>275</v>
      </c>
      <c r="D73" s="99">
        <f>IF(M55=1,"-",E15)</f>
        <v>500</v>
      </c>
      <c r="E73" s="106" t="s">
        <v>276</v>
      </c>
      <c r="F73" s="110">
        <f>IF(M55=1,"-",B73*((E22*E18)/(D73*E17))^2*(1+(0.5*D73*E16^3)/(E17*E18^3)))</f>
        <v>1.8288</v>
      </c>
      <c r="G73" s="76" t="s">
        <v>277</v>
      </c>
      <c r="H73" s="100">
        <f>IF(M55=1,"-",1.37)</f>
        <v>1.37</v>
      </c>
      <c r="I73" s="76" t="s">
        <v>278</v>
      </c>
      <c r="J73" s="15">
        <f>IF(M55=1,"-",0.55)</f>
        <v>0.55000000000000004</v>
      </c>
      <c r="K73" s="75"/>
      <c r="L73" s="8"/>
    </row>
    <row r="74" spans="1:12">
      <c r="A74" s="109" t="s">
        <v>279</v>
      </c>
      <c r="B74" s="75"/>
      <c r="C74" s="75"/>
      <c r="D74" s="75"/>
      <c r="E74" s="76"/>
      <c r="F74" s="105"/>
      <c r="G74" s="75"/>
      <c r="H74" s="75"/>
      <c r="I74" s="106" t="s">
        <v>280</v>
      </c>
      <c r="J74" s="111">
        <f>IF(M55=1,"-",H73*(SQRT(0.95*F73+6.09*J73^2+5.78)-2.47*J73))</f>
        <v>2.3301561209527764</v>
      </c>
      <c r="K74" s="75"/>
      <c r="L74" s="8"/>
    </row>
    <row r="75" spans="1:12" ht="15">
      <c r="A75" s="109" t="s">
        <v>281</v>
      </c>
      <c r="B75" s="75"/>
      <c r="C75" s="75"/>
      <c r="D75" s="75"/>
      <c r="E75" s="76"/>
      <c r="F75" s="105"/>
      <c r="G75" s="75"/>
      <c r="H75" s="75"/>
      <c r="I75" s="106" t="s">
        <v>268</v>
      </c>
      <c r="J75" s="105">
        <f>IF(M55=1,"-",J74*(H27/G27)*(E15/E22)^2*(A27/C27))</f>
        <v>0.65869332669970437</v>
      </c>
      <c r="K75" s="75"/>
      <c r="L75" s="8"/>
    </row>
    <row r="76" spans="1:12" ht="15">
      <c r="A76" s="109" t="s">
        <v>282</v>
      </c>
      <c r="B76" s="75"/>
      <c r="C76" s="75"/>
      <c r="D76" s="75"/>
      <c r="E76" s="76"/>
      <c r="F76" s="105"/>
      <c r="G76" s="75"/>
      <c r="H76" s="75"/>
      <c r="I76" s="106" t="s">
        <v>237</v>
      </c>
      <c r="J76" s="105">
        <f>IF(M55=1,"-",IF(J75&lt;=0.85,J75,MIN(0.68+0.21*J75,1)))</f>
        <v>0.65869332669970437</v>
      </c>
      <c r="K76" s="75"/>
      <c r="L76" s="8"/>
    </row>
    <row r="77" spans="1:12">
      <c r="A77" s="109"/>
      <c r="B77" s="75"/>
      <c r="C77" s="75"/>
      <c r="D77" s="75"/>
      <c r="E77" s="76"/>
      <c r="F77" s="105"/>
      <c r="G77" s="75"/>
      <c r="H77" s="75"/>
      <c r="I77" s="106"/>
      <c r="J77" s="105"/>
      <c r="K77" s="75"/>
      <c r="L77" s="8"/>
    </row>
    <row r="78" spans="1:12">
      <c r="A78" s="6" t="s">
        <v>283</v>
      </c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8"/>
    </row>
    <row r="79" spans="1:12">
      <c r="A79" s="112" t="s">
        <v>284</v>
      </c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8"/>
    </row>
    <row r="80" spans="1:12" ht="15">
      <c r="A80" s="7" t="s">
        <v>285</v>
      </c>
      <c r="B80" s="75"/>
      <c r="C80" s="75"/>
      <c r="D80" s="75"/>
      <c r="E80" s="75"/>
      <c r="F80" s="75"/>
      <c r="G80" s="75"/>
      <c r="H80" s="75"/>
      <c r="I80" s="106" t="s">
        <v>286</v>
      </c>
      <c r="J80" s="113">
        <f>(E17-E16)/(2*E18)</f>
        <v>9.6999999999999993</v>
      </c>
      <c r="K80" s="100"/>
      <c r="L80" s="5"/>
    </row>
    <row r="81" spans="1:12" ht="15">
      <c r="A81" s="7" t="s">
        <v>287</v>
      </c>
      <c r="B81" s="75"/>
      <c r="C81" s="75"/>
      <c r="D81" s="75"/>
      <c r="E81" s="75"/>
      <c r="F81" s="75"/>
      <c r="G81" s="75"/>
      <c r="H81" s="75"/>
      <c r="I81" s="106" t="s">
        <v>288</v>
      </c>
      <c r="J81" s="113">
        <f>0.5*(A27/C27)^0.5</f>
        <v>15.010413052278077</v>
      </c>
      <c r="K81" s="100"/>
      <c r="L81" s="5"/>
    </row>
    <row r="82" spans="1:12" ht="15">
      <c r="A82" s="7" t="s">
        <v>222</v>
      </c>
      <c r="B82" s="75"/>
      <c r="C82" s="75"/>
      <c r="D82" s="75"/>
      <c r="E82" s="75"/>
      <c r="F82" s="75"/>
      <c r="G82" s="75"/>
      <c r="H82" s="75"/>
      <c r="I82" s="106" t="s">
        <v>289</v>
      </c>
      <c r="J82" s="95">
        <f>J80/J81</f>
        <v>0.64621805983732505</v>
      </c>
      <c r="K82" s="96" t="s">
        <v>210</v>
      </c>
      <c r="L82" s="97" t="str">
        <f>IF(J82&lt;=1,"OK","Check")</f>
        <v>OK</v>
      </c>
    </row>
    <row r="83" spans="1:12">
      <c r="A83" s="112" t="s">
        <v>290</v>
      </c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8"/>
    </row>
    <row r="84" spans="1:12" ht="15">
      <c r="A84" s="7" t="s">
        <v>291</v>
      </c>
      <c r="B84" s="75"/>
      <c r="C84" s="75"/>
      <c r="D84" s="75"/>
      <c r="E84" s="75"/>
      <c r="F84" s="75"/>
      <c r="G84" s="75"/>
      <c r="H84" s="75"/>
      <c r="I84" s="106" t="s">
        <v>292</v>
      </c>
      <c r="J84" s="113">
        <f>(E15-E18-E20)/E16*SQRT(C27/A27)</f>
        <v>2.6648167415972175</v>
      </c>
      <c r="K84" s="100"/>
      <c r="L84" s="5"/>
    </row>
    <row r="85" spans="1:12" ht="15">
      <c r="A85" s="114" t="str">
        <f>"- Sườn tăng cứng ngang (Mục 8.5.9)"</f>
        <v>- Sườn tăng cứng ngang (Mục 8.5.9)</v>
      </c>
      <c r="B85" s="75"/>
      <c r="C85" s="115"/>
      <c r="D85" s="115"/>
      <c r="E85" s="75"/>
      <c r="F85" s="75"/>
      <c r="G85" s="229" t="s">
        <v>293</v>
      </c>
      <c r="H85" s="229"/>
      <c r="I85" s="106" t="s">
        <v>294</v>
      </c>
      <c r="J85" s="116">
        <f>IF(G85="Tải trọng tĩnh",3.2,2.2)</f>
        <v>2.2000000000000002</v>
      </c>
      <c r="K85" s="96"/>
      <c r="L85" s="5"/>
    </row>
    <row r="86" spans="1:12" ht="15">
      <c r="A86" s="117" t="s">
        <v>295</v>
      </c>
      <c r="B86" s="75"/>
      <c r="C86" s="75"/>
      <c r="D86" s="106" t="s">
        <v>296</v>
      </c>
      <c r="E86" s="15" t="str">
        <f>IF(J84&lt;J85,"&lt;","&gt;")</f>
        <v>&gt;</v>
      </c>
      <c r="F86" s="118" t="s">
        <v>297</v>
      </c>
      <c r="G86" s="100" t="str">
        <f>IF(K84&gt;K85,"Dầm phải được tăng cường bằng các sườn cứng ngang theo 8.5.9","Không gia cường")</f>
        <v>Không gia cường</v>
      </c>
      <c r="H86" s="15"/>
      <c r="I86" s="106"/>
      <c r="J86" s="75"/>
      <c r="K86" s="75"/>
      <c r="L86" s="5"/>
    </row>
    <row r="87" spans="1:12">
      <c r="A87" s="109" t="s">
        <v>298</v>
      </c>
      <c r="B87" s="75"/>
      <c r="C87" s="75"/>
      <c r="D87" s="106"/>
      <c r="E87" s="15"/>
      <c r="F87" s="118"/>
      <c r="G87" s="100"/>
      <c r="H87" s="15"/>
      <c r="I87" s="106"/>
      <c r="J87" s="75"/>
      <c r="K87" s="75"/>
      <c r="L87" s="5"/>
    </row>
    <row r="88" spans="1:12" ht="15">
      <c r="A88" s="119" t="str">
        <f>"+ Bề rộng sườn tối thiểu:"</f>
        <v>+ Bề rộng sườn tối thiểu:</v>
      </c>
      <c r="B88" s="75"/>
      <c r="C88" s="75"/>
      <c r="D88" s="106"/>
      <c r="E88" s="15"/>
      <c r="F88" s="118"/>
      <c r="G88" s="100"/>
      <c r="H88" s="15"/>
      <c r="I88" s="106" t="s">
        <v>299</v>
      </c>
      <c r="J88" s="78">
        <f>ROUND((E15-E18-E20)/30+25,0)</f>
        <v>41</v>
      </c>
      <c r="K88" s="75" t="s">
        <v>1</v>
      </c>
      <c r="L88" s="5"/>
    </row>
    <row r="89" spans="1:12" ht="15">
      <c r="A89" s="119" t="str">
        <f>"+ Chiều dày sườn tối thiểu:"</f>
        <v>+ Chiều dày sườn tối thiểu:</v>
      </c>
      <c r="B89" s="75"/>
      <c r="C89" s="75"/>
      <c r="D89" s="106"/>
      <c r="E89" s="15"/>
      <c r="F89" s="118"/>
      <c r="G89" s="100"/>
      <c r="H89" s="15"/>
      <c r="I89" s="106" t="s">
        <v>300</v>
      </c>
      <c r="J89" s="78">
        <f>ROUND(2*J88*SQRT(C27/A27),0)</f>
        <v>3</v>
      </c>
      <c r="K89" s="75" t="s">
        <v>1</v>
      </c>
      <c r="L89" s="5"/>
    </row>
    <row r="90" spans="1:12" ht="15">
      <c r="A90" s="119" t="str">
        <f>"+ Khoảng cách sườn lớn nhất:"</f>
        <v>+ Khoảng cách sườn lớn nhất:</v>
      </c>
      <c r="B90" s="75"/>
      <c r="C90" s="75"/>
      <c r="D90" s="106"/>
      <c r="E90" s="15"/>
      <c r="F90" s="118"/>
      <c r="G90" s="100"/>
      <c r="H90" s="15"/>
      <c r="I90" s="106" t="s">
        <v>301</v>
      </c>
      <c r="J90" s="15">
        <f>ROUND(2.5*(E15-E18-E20),0)</f>
        <v>1200</v>
      </c>
      <c r="K90" s="75" t="s">
        <v>1</v>
      </c>
      <c r="L90" s="5"/>
    </row>
    <row r="91" spans="1:12" ht="15">
      <c r="A91" s="114" t="str">
        <f>"- Sườn tăng cứng dọc"</f>
        <v>- Sườn tăng cứng dọc</v>
      </c>
      <c r="B91" s="75"/>
      <c r="C91" s="115"/>
      <c r="D91" s="115"/>
      <c r="E91" s="75"/>
      <c r="F91" s="75"/>
      <c r="G91" s="75"/>
      <c r="H91" s="120"/>
      <c r="I91" s="116" t="s">
        <v>302</v>
      </c>
      <c r="J91" s="184">
        <f>5.5*SQRT(C27/(J39*J38))</f>
        <v>2.6327597312088677</v>
      </c>
      <c r="K91" s="75"/>
      <c r="L91" s="5"/>
    </row>
    <row r="92" spans="1:12" ht="15">
      <c r="A92" s="117" t="s">
        <v>295</v>
      </c>
      <c r="B92" s="75"/>
      <c r="C92" s="75"/>
      <c r="D92" s="106" t="s">
        <v>296</v>
      </c>
      <c r="E92" s="15" t="str">
        <f>IF(J84&lt;J91,"&lt;","&gt;")</f>
        <v>&gt;</v>
      </c>
      <c r="F92" s="118" t="s">
        <v>297</v>
      </c>
      <c r="G92" s="100" t="str">
        <f>IF(J84&gt;J91,"Dầm phải được tăng cường bằng các sườn cứng dọc","Không gia cường")</f>
        <v>Dầm phải được tăng cường bằng các sườn cứng dọc</v>
      </c>
      <c r="H92" s="75"/>
      <c r="I92" s="75"/>
      <c r="J92" s="75"/>
      <c r="K92" s="76"/>
      <c r="L92" s="5"/>
    </row>
    <row r="93" spans="1:12">
      <c r="A93" s="92" t="s">
        <v>303</v>
      </c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8"/>
    </row>
    <row r="94" spans="1:12">
      <c r="A94" s="7" t="s">
        <v>304</v>
      </c>
      <c r="B94" s="75"/>
      <c r="C94" s="75"/>
      <c r="D94" s="75"/>
      <c r="E94" s="75"/>
      <c r="F94" s="75"/>
      <c r="G94" s="75"/>
      <c r="H94" s="75"/>
      <c r="I94" s="106" t="s">
        <v>305</v>
      </c>
      <c r="J94" s="125">
        <f>IF(Force!J19=1,(Force!J25*1000)*0.5*(Force!D16*1000-Force!J23)*(3*(Force!D16*1000)^2-4*(0.5*(Force!D16*1000-Force!J23))^2)/(24*Cal!A27*Cal!G27*10000),(Force!J25*1000)*0.5*(Force!D16*1000-Force!J23)*(3*(Force!D16*1000)^2-4*(0.5*(Force!D16*1000-Force!J23))^2)/(24*Cal!A27*Cal!G27*10000)+((2*Force!D16*1000)*(Force!D16*1000)^3)/(48*Cal!A27*Cal!G27*10000))</f>
        <v>13.313839987206467</v>
      </c>
      <c r="K94" s="75" t="s">
        <v>1</v>
      </c>
      <c r="L94" s="5"/>
    </row>
    <row r="95" spans="1:12">
      <c r="A95" s="7" t="s">
        <v>306</v>
      </c>
      <c r="B95" s="75"/>
      <c r="C95" s="75"/>
      <c r="D95" s="75"/>
      <c r="E95" s="75"/>
      <c r="F95" s="75"/>
      <c r="G95" s="75"/>
      <c r="H95" s="75"/>
      <c r="I95" s="106" t="s">
        <v>307</v>
      </c>
      <c r="J95" s="80">
        <f>E21/400</f>
        <v>15</v>
      </c>
      <c r="K95" s="75" t="s">
        <v>1</v>
      </c>
      <c r="L95" s="5"/>
    </row>
    <row r="96" spans="1:12" ht="14.4">
      <c r="A96" s="7" t="s">
        <v>222</v>
      </c>
      <c r="B96" s="75"/>
      <c r="C96" s="75"/>
      <c r="D96" s="75"/>
      <c r="E96" s="75"/>
      <c r="F96" s="75"/>
      <c r="G96" s="75"/>
      <c r="H96" s="75"/>
      <c r="I96" s="106" t="s">
        <v>308</v>
      </c>
      <c r="J96" s="95">
        <f>J94/J95</f>
        <v>0.88758933248043115</v>
      </c>
      <c r="K96" s="96" t="s">
        <v>210</v>
      </c>
      <c r="L96" s="97" t="str">
        <f>IF(J96&lt;=1,"OK","Check")</f>
        <v>OK</v>
      </c>
    </row>
    <row r="97" spans="1:12">
      <c r="A97" s="121" t="s">
        <v>309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22"/>
    </row>
    <row r="102" spans="1:12">
      <c r="G102" s="1" t="s">
        <v>203</v>
      </c>
    </row>
  </sheetData>
  <mergeCells count="17">
    <mergeCell ref="A35:C35"/>
    <mergeCell ref="G85:H85"/>
    <mergeCell ref="D25:D26"/>
    <mergeCell ref="E25:E26"/>
    <mergeCell ref="B28:C28"/>
    <mergeCell ref="A11:I12"/>
    <mergeCell ref="J11:L12"/>
    <mergeCell ref="A13:C13"/>
    <mergeCell ref="B24:C24"/>
    <mergeCell ref="D24:E24"/>
    <mergeCell ref="F24:L24"/>
    <mergeCell ref="M37:M38"/>
    <mergeCell ref="N37:N38"/>
    <mergeCell ref="M31:Q31"/>
    <mergeCell ref="O12:P12"/>
    <mergeCell ref="O11:P11"/>
    <mergeCell ref="M11:M12"/>
  </mergeCells>
  <conditionalFormatting sqref="L39:L40 L43 L45:L47 L49:L52">
    <cfRule type="containsText" dxfId="13" priority="7" operator="containsText" text="Check">
      <formula>NOT(ISERROR(SEARCH("Check",L39)))</formula>
    </cfRule>
    <cfRule type="containsText" dxfId="12" priority="8" operator="containsText" text="OK">
      <formula>NOT(ISERROR(SEARCH("OK",L39)))</formula>
    </cfRule>
  </conditionalFormatting>
  <conditionalFormatting sqref="L82">
    <cfRule type="containsText" dxfId="11" priority="5" operator="containsText" text="Check">
      <formula>NOT(ISERROR(SEARCH("Check",L82)))</formula>
    </cfRule>
    <cfRule type="containsText" dxfId="10" priority="6" operator="containsText" text="OK">
      <formula>NOT(ISERROR(SEARCH("OK",L82)))</formula>
    </cfRule>
  </conditionalFormatting>
  <conditionalFormatting sqref="L57">
    <cfRule type="containsText" dxfId="9" priority="3" operator="containsText" text="Check">
      <formula>NOT(ISERROR(SEARCH("Check",L57)))</formula>
    </cfRule>
    <cfRule type="containsText" dxfId="8" priority="4" operator="containsText" text="OK">
      <formula>NOT(ISERROR(SEARCH("OK",L57)))</formula>
    </cfRule>
  </conditionalFormatting>
  <conditionalFormatting sqref="L96">
    <cfRule type="containsText" dxfId="7" priority="1" operator="containsText" text="Check">
      <formula>NOT(ISERROR(SEARCH("Check",L96)))</formula>
    </cfRule>
    <cfRule type="containsText" dxfId="6" priority="2" operator="containsText" text="OK">
      <formula>NOT(ISERROR(SEARCH("OK",L96)))</formula>
    </cfRule>
  </conditionalFormatting>
  <dataValidations count="3">
    <dataValidation type="list" allowBlank="1" showInputMessage="1" showErrorMessage="1" sqref="G85 L91" xr:uid="{00000000-0002-0000-0200-000000000000}">
      <formula1>"Tải trọng tĩnh,Tải trọng di dộng"</formula1>
    </dataValidation>
    <dataValidation type="list" allowBlank="1" showInputMessage="1" showErrorMessage="1" sqref="R31" xr:uid="{D07A8A7A-6734-475A-987A-D7FAAA3A3274}">
      <formula1>"Y,N"</formula1>
    </dataValidation>
    <dataValidation type="list" allowBlank="1" showInputMessage="1" showErrorMessage="1" sqref="M11:M12" xr:uid="{99B8BB63-EFD6-43ED-B932-DA4949B9BC56}">
      <formula1>$N$11:$N$12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Data!$A$3:$A$99</xm:f>
          </x14:formula1>
          <xm:sqref>B24:C24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F3254-39A7-4A71-9193-F9208D0F243D}">
  <sheetPr codeName="Sheet5">
    <tabColor rgb="FF006666"/>
  </sheetPr>
  <dimension ref="A1:Q99"/>
  <sheetViews>
    <sheetView showGridLines="0" topLeftCell="A11" zoomScale="145" zoomScaleNormal="145" zoomScaleSheetLayoutView="100" workbookViewId="0">
      <selection activeCell="D27" sqref="D27"/>
    </sheetView>
  </sheetViews>
  <sheetFormatPr defaultColWidth="7.33203125" defaultRowHeight="13.8"/>
  <cols>
    <col min="1" max="1" width="11.6640625" style="1" bestFit="1" customWidth="1"/>
    <col min="2" max="9" width="7.6640625" style="1" customWidth="1"/>
    <col min="10" max="10" width="12.44140625" style="1" bestFit="1" customWidth="1"/>
    <col min="11" max="12" width="7.6640625" style="1" customWidth="1"/>
    <col min="13" max="13" width="8.44140625" style="1" bestFit="1" customWidth="1"/>
    <col min="14" max="16384" width="7.33203125" style="1"/>
  </cols>
  <sheetData>
    <row r="1" spans="1:16" hidden="1"/>
    <row r="2" spans="1:16" hidden="1"/>
    <row r="3" spans="1:16" hidden="1"/>
    <row r="4" spans="1:16" hidden="1"/>
    <row r="5" spans="1:16" hidden="1"/>
    <row r="6" spans="1:16" hidden="1"/>
    <row r="7" spans="1:16" hidden="1"/>
    <row r="8" spans="1:16" hidden="1"/>
    <row r="9" spans="1:16" hidden="1"/>
    <row r="10" spans="1:16" hidden="1"/>
    <row r="11" spans="1:16" ht="20.25" customHeight="1">
      <c r="A11" s="196" t="s">
        <v>327</v>
      </c>
      <c r="B11" s="197"/>
      <c r="C11" s="197"/>
      <c r="D11" s="197"/>
      <c r="E11" s="197"/>
      <c r="F11" s="197"/>
      <c r="G11" s="197"/>
      <c r="H11" s="197"/>
      <c r="I11" s="197"/>
      <c r="J11" s="192" t="str">
        <f>VLOOKUP(M11,$N$11:$P$12,2,FALSE)</f>
        <v>400x200x8x10</v>
      </c>
      <c r="K11" s="192"/>
      <c r="L11" s="193"/>
      <c r="M11" s="225" t="s">
        <v>387</v>
      </c>
      <c r="N11" s="1" t="s">
        <v>387</v>
      </c>
      <c r="O11" s="224" t="str" cm="1">
        <f t="array" ref="O11">_xll.Dce_Name_SectI(E15, E15, E17, E16, E18, "x", "-", "H Tổng")</f>
        <v>400x200x8x10</v>
      </c>
      <c r="P11" s="224"/>
    </row>
    <row r="12" spans="1:16" ht="12.75" customHeight="1">
      <c r="A12" s="198"/>
      <c r="B12" s="199"/>
      <c r="C12" s="199"/>
      <c r="D12" s="199"/>
      <c r="E12" s="199"/>
      <c r="F12" s="199"/>
      <c r="G12" s="199"/>
      <c r="H12" s="199"/>
      <c r="I12" s="199"/>
      <c r="J12" s="194"/>
      <c r="K12" s="194"/>
      <c r="L12" s="195"/>
      <c r="M12" s="225"/>
      <c r="N12" s="1" t="s">
        <v>388</v>
      </c>
      <c r="O12" s="224" t="str" cm="1">
        <f t="array" ref="O12">_xll.Dce_Name_SectI(E15, E15, E17, E16, E18, "x", "-", "H Bụng")</f>
        <v>380x8+200x10</v>
      </c>
      <c r="P12" s="224"/>
    </row>
    <row r="13" spans="1:16" ht="15" customHeight="1">
      <c r="A13" s="200" t="s">
        <v>0</v>
      </c>
      <c r="B13" s="201"/>
      <c r="C13" s="201"/>
      <c r="D13" s="79"/>
      <c r="E13" s="79"/>
      <c r="F13" s="79"/>
      <c r="G13" s="79"/>
      <c r="H13" s="79"/>
      <c r="I13" s="79"/>
      <c r="J13" s="79"/>
      <c r="K13" s="79"/>
      <c r="L13" s="5"/>
    </row>
    <row r="14" spans="1:16">
      <c r="A14" s="6" t="s">
        <v>170</v>
      </c>
      <c r="B14" s="79"/>
      <c r="C14" s="79"/>
      <c r="D14" s="79"/>
      <c r="E14" s="79"/>
      <c r="F14" s="79"/>
      <c r="G14" s="77"/>
      <c r="H14" s="81"/>
      <c r="I14" s="79"/>
      <c r="J14" s="75"/>
      <c r="K14" s="75"/>
      <c r="L14" s="8"/>
    </row>
    <row r="15" spans="1:16" ht="15" customHeight="1">
      <c r="A15" s="7" t="str">
        <f>"- Chiều cao tổng tiết diện:"</f>
        <v>- Chiều cao tổng tiết diện:</v>
      </c>
      <c r="B15" s="79"/>
      <c r="C15" s="79"/>
      <c r="D15" s="77" t="s">
        <v>172</v>
      </c>
      <c r="E15" s="83">
        <v>400</v>
      </c>
      <c r="F15" s="79" t="s">
        <v>1</v>
      </c>
      <c r="G15" s="75"/>
      <c r="H15" s="75"/>
      <c r="I15" s="75"/>
      <c r="J15" s="75"/>
      <c r="K15" s="75"/>
      <c r="L15" s="8"/>
    </row>
    <row r="16" spans="1:16" ht="15">
      <c r="A16" s="7" t="str">
        <f>"- Chiều dày bản bụng:"</f>
        <v>- Chiều dày bản bụng:</v>
      </c>
      <c r="B16" s="79"/>
      <c r="C16" s="79"/>
      <c r="D16" s="77" t="s">
        <v>174</v>
      </c>
      <c r="E16" s="83">
        <v>8</v>
      </c>
      <c r="F16" s="79" t="s">
        <v>1</v>
      </c>
      <c r="G16" s="75"/>
      <c r="H16" s="75"/>
      <c r="I16" s="75"/>
      <c r="J16" s="75"/>
      <c r="K16" s="75"/>
      <c r="L16" s="8"/>
    </row>
    <row r="17" spans="1:12" ht="15">
      <c r="A17" s="7" t="str">
        <f>"- Bề rộng bản cánh trên:"</f>
        <v>- Bề rộng bản cánh trên:</v>
      </c>
      <c r="B17" s="79"/>
      <c r="C17" s="79"/>
      <c r="D17" s="77" t="s">
        <v>176</v>
      </c>
      <c r="E17" s="83">
        <v>200</v>
      </c>
      <c r="F17" s="79" t="s">
        <v>1</v>
      </c>
      <c r="G17" s="75"/>
      <c r="H17" s="75"/>
      <c r="I17" s="75"/>
      <c r="J17" s="75"/>
      <c r="K17" s="75"/>
      <c r="L17" s="8"/>
    </row>
    <row r="18" spans="1:12" ht="15" customHeight="1">
      <c r="A18" s="7" t="str">
        <f>"- Chiều dày bản cánh trên:"</f>
        <v>- Chiều dày bản cánh trên:</v>
      </c>
      <c r="B18" s="79"/>
      <c r="C18" s="79"/>
      <c r="D18" s="77" t="s">
        <v>178</v>
      </c>
      <c r="E18" s="83">
        <v>10</v>
      </c>
      <c r="F18" s="79" t="s">
        <v>1</v>
      </c>
      <c r="G18" s="75"/>
      <c r="H18" s="75"/>
      <c r="I18" s="75"/>
      <c r="J18" s="75"/>
      <c r="K18" s="75"/>
      <c r="L18" s="8"/>
    </row>
    <row r="19" spans="1:12" ht="15">
      <c r="A19" s="7" t="str">
        <f>"- Bề rộng bản cánh dưới:"</f>
        <v>- Bề rộng bản cánh dưới:</v>
      </c>
      <c r="B19" s="79"/>
      <c r="C19" s="79"/>
      <c r="D19" s="77" t="s">
        <v>180</v>
      </c>
      <c r="E19" s="129">
        <f>E17</f>
        <v>200</v>
      </c>
      <c r="F19" s="79" t="s">
        <v>1</v>
      </c>
      <c r="G19" s="75"/>
      <c r="H19" s="75"/>
      <c r="I19" s="75"/>
      <c r="J19" s="75"/>
      <c r="K19" s="75"/>
      <c r="L19" s="8"/>
    </row>
    <row r="20" spans="1:12" ht="15" customHeight="1">
      <c r="A20" s="7" t="str">
        <f>"- Chiều dày bản cánh dưới:"</f>
        <v>- Chiều dày bản cánh dưới:</v>
      </c>
      <c r="B20" s="79"/>
      <c r="C20" s="79"/>
      <c r="D20" s="77" t="s">
        <v>182</v>
      </c>
      <c r="E20" s="129">
        <f>E18</f>
        <v>10</v>
      </c>
      <c r="F20" s="79" t="s">
        <v>1</v>
      </c>
      <c r="G20" s="75"/>
      <c r="H20" s="75"/>
      <c r="I20" s="75"/>
      <c r="J20" s="79"/>
      <c r="K20" s="79"/>
      <c r="L20" s="5"/>
    </row>
    <row r="21" spans="1:12">
      <c r="A21" s="7" t="str">
        <f>"- Chiều dài vai cột:"</f>
        <v>- Chiều dài vai cột:</v>
      </c>
      <c r="B21" s="79"/>
      <c r="C21" s="79"/>
      <c r="D21" s="77" t="s">
        <v>321</v>
      </c>
      <c r="E21" s="83">
        <v>500</v>
      </c>
      <c r="F21" s="79" t="s">
        <v>1</v>
      </c>
      <c r="G21" s="75"/>
      <c r="H21" s="75"/>
      <c r="I21" s="75"/>
      <c r="J21" s="79"/>
      <c r="K21" s="79"/>
      <c r="L21" s="5"/>
    </row>
    <row r="22" spans="1:12">
      <c r="A22" s="7"/>
      <c r="B22" s="79"/>
      <c r="C22" s="79"/>
      <c r="D22" s="77"/>
      <c r="E22" s="83"/>
      <c r="F22" s="79"/>
      <c r="G22" s="75"/>
      <c r="H22" s="75"/>
      <c r="I22" s="75"/>
      <c r="J22" s="79"/>
      <c r="K22" s="79"/>
      <c r="L22" s="5"/>
    </row>
    <row r="23" spans="1:12">
      <c r="A23" s="6" t="s">
        <v>185</v>
      </c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5"/>
    </row>
    <row r="24" spans="1:12" ht="15" customHeight="1">
      <c r="A24" s="3" t="s">
        <v>186</v>
      </c>
      <c r="B24" s="226" t="s">
        <v>394</v>
      </c>
      <c r="C24" s="226"/>
      <c r="D24" s="227" t="s">
        <v>187</v>
      </c>
      <c r="E24" s="227"/>
      <c r="F24" s="228" t="s">
        <v>188</v>
      </c>
      <c r="G24" s="228"/>
      <c r="H24" s="228"/>
      <c r="I24" s="228"/>
      <c r="J24" s="228"/>
      <c r="K24" s="228"/>
      <c r="L24" s="228"/>
    </row>
    <row r="25" spans="1:12" ht="15">
      <c r="A25" s="3" t="s">
        <v>18</v>
      </c>
      <c r="B25" s="3" t="s">
        <v>189</v>
      </c>
      <c r="C25" s="3" t="s">
        <v>190</v>
      </c>
      <c r="D25" s="230" t="s">
        <v>191</v>
      </c>
      <c r="E25" s="230" t="s">
        <v>192</v>
      </c>
      <c r="F25" s="3" t="s">
        <v>20</v>
      </c>
      <c r="G25" s="3" t="s">
        <v>193</v>
      </c>
      <c r="H25" s="3" t="s">
        <v>194</v>
      </c>
      <c r="I25" s="3" t="s">
        <v>195</v>
      </c>
      <c r="J25" s="3" t="s">
        <v>196</v>
      </c>
      <c r="K25" s="3" t="s">
        <v>197</v>
      </c>
      <c r="L25" s="3" t="s">
        <v>198</v>
      </c>
    </row>
    <row r="26" spans="1:12" ht="15">
      <c r="A26" s="3" t="s">
        <v>22</v>
      </c>
      <c r="B26" s="3" t="s">
        <v>22</v>
      </c>
      <c r="C26" s="3" t="s">
        <v>22</v>
      </c>
      <c r="D26" s="228"/>
      <c r="E26" s="228"/>
      <c r="F26" s="85" t="s">
        <v>199</v>
      </c>
      <c r="G26" s="86" t="s">
        <v>200</v>
      </c>
      <c r="H26" s="86" t="s">
        <v>200</v>
      </c>
      <c r="I26" s="86" t="s">
        <v>201</v>
      </c>
      <c r="J26" s="86" t="s">
        <v>201</v>
      </c>
      <c r="K26" s="86" t="s">
        <v>200</v>
      </c>
      <c r="L26" s="86" t="s">
        <v>201</v>
      </c>
    </row>
    <row r="27" spans="1:12">
      <c r="A27" s="3">
        <f>VLOOKUP(B24,Data!$A$3:$D$99,2,FALSE)</f>
        <v>206000</v>
      </c>
      <c r="B27" s="3">
        <f>VLOOKUP(B24,Data!$A$3:$D$99,3,FALSE)</f>
        <v>240</v>
      </c>
      <c r="C27" s="11">
        <f>B27/D27</f>
        <v>228.57142857142856</v>
      </c>
      <c r="D27" s="19">
        <f>VLOOKUP(B24,Data!$A$3:$E$99,5,FALSE)</f>
        <v>1.05</v>
      </c>
      <c r="E27" s="4">
        <v>1</v>
      </c>
      <c r="F27" s="87" cm="1">
        <f t="array" ref="F27">_xll.DCEPropSectI(E15, E16, E17, E18, E19, E20, "A")/100</f>
        <v>70.400000000000006</v>
      </c>
      <c r="G27" s="88">
        <f>_xll.DCEPropSectI(E15, E16, E17, E18, E19, E20, "Ix")/10000</f>
        <v>18868.133333333335</v>
      </c>
      <c r="H27" s="88">
        <f>_xll.DCEPropSectI(E15, E16, E17, E18, E19, E20, "Iy")/10000</f>
        <v>1334.9546666666668</v>
      </c>
      <c r="I27" s="88">
        <f>_xll.DCEPropSectI(E15, E16, E17, E18, E19, E20, "WxT")/1000</f>
        <v>943.40666666666675</v>
      </c>
      <c r="J27" s="88">
        <f>_xll.DCEPropSectI(E15, E16, E17, E18, E19, E20, "WxB")/1000</f>
        <v>943.40666666666675</v>
      </c>
      <c r="K27" s="89">
        <f>_xll.DCEPropSectI(E15, E16, E17, E18, E19, E20, "It")/10000</f>
        <v>25.566079999999999</v>
      </c>
      <c r="L27" s="90">
        <f>_xll.DCEPropSectI(E15, E16, E17, E18, E19, E20, "SxT")/1000</f>
        <v>534.4</v>
      </c>
    </row>
    <row r="28" spans="1:12">
      <c r="A28" s="6" t="s">
        <v>202</v>
      </c>
      <c r="B28" s="231"/>
      <c r="C28" s="231"/>
      <c r="D28" s="75"/>
      <c r="E28" s="75"/>
      <c r="F28" s="75"/>
      <c r="G28" s="75"/>
      <c r="H28" s="91"/>
      <c r="I28" s="75"/>
      <c r="J28" s="75"/>
      <c r="K28" s="75"/>
      <c r="L28" s="8"/>
    </row>
    <row r="29" spans="1:12" ht="15">
      <c r="A29" s="7" t="str">
        <f>"- Áp lực bánh xe lên vai cột:"</f>
        <v>- Áp lực bánh xe lên vai cột:</v>
      </c>
      <c r="B29" s="25"/>
      <c r="C29" s="25"/>
      <c r="D29" s="75"/>
      <c r="E29" s="76"/>
      <c r="F29" s="125"/>
      <c r="G29" s="126" t="s">
        <v>318</v>
      </c>
      <c r="H29" s="125">
        <v>1.2</v>
      </c>
      <c r="I29" s="76" t="s">
        <v>328</v>
      </c>
      <c r="J29" s="82">
        <f>Force!J39*H29</f>
        <v>366.28199999999998</v>
      </c>
      <c r="K29" s="100" t="s">
        <v>124</v>
      </c>
      <c r="L29" s="8"/>
    </row>
    <row r="30" spans="1:12" ht="15">
      <c r="A30" s="7" t="str">
        <f>"- Trọng lượng dầm cầu trục:"</f>
        <v>- Trọng lượng dầm cầu trục:</v>
      </c>
      <c r="B30" s="25"/>
      <c r="C30" s="25"/>
      <c r="D30" s="75"/>
      <c r="E30" s="76"/>
      <c r="F30" s="125"/>
      <c r="G30" s="126" t="s">
        <v>318</v>
      </c>
      <c r="H30" s="125">
        <v>1.05</v>
      </c>
      <c r="I30" s="76" t="s">
        <v>329</v>
      </c>
      <c r="J30" s="84">
        <f>Cal!G29*H30</f>
        <v>1.7863146000000001</v>
      </c>
      <c r="K30" s="100" t="s">
        <v>124</v>
      </c>
      <c r="L30" s="8"/>
    </row>
    <row r="31" spans="1:12" ht="15">
      <c r="A31" s="7" t="str">
        <f>"- Trọng lượng vai cột:"</f>
        <v>- Trọng lượng vai cột:</v>
      </c>
      <c r="B31" s="25"/>
      <c r="C31" s="25"/>
      <c r="D31" s="75"/>
      <c r="E31" s="76"/>
      <c r="F31" s="125"/>
      <c r="G31" s="126" t="s">
        <v>318</v>
      </c>
      <c r="H31" s="125">
        <v>1.05</v>
      </c>
      <c r="I31" s="76" t="s">
        <v>330</v>
      </c>
      <c r="J31" s="125">
        <f>78.5*(F27/10000)*H31</f>
        <v>0.58027200000000001</v>
      </c>
      <c r="K31" s="100" t="s">
        <v>331</v>
      </c>
      <c r="L31" s="8"/>
    </row>
    <row r="32" spans="1:12" ht="15">
      <c r="A32" s="7" t="str">
        <f>"- Lực tập trung truyền vào dầm chính:"</f>
        <v>- Lực tập trung truyền vào dầm chính:</v>
      </c>
      <c r="B32" s="25"/>
      <c r="C32" s="25"/>
      <c r="D32" s="75"/>
      <c r="E32" s="75"/>
      <c r="F32" s="75"/>
      <c r="G32" s="75"/>
      <c r="H32" s="91"/>
      <c r="I32" s="76" t="s">
        <v>332</v>
      </c>
      <c r="J32" s="125">
        <f>J29+J30</f>
        <v>368.06831460000001</v>
      </c>
      <c r="K32" s="100" t="s">
        <v>124</v>
      </c>
      <c r="L32" s="8"/>
    </row>
    <row r="33" spans="1:12" ht="15">
      <c r="A33" s="7" t="str">
        <f>"- Moment trong mặt phẳng:"</f>
        <v>- Moment trong mặt phẳng:</v>
      </c>
      <c r="B33" s="25"/>
      <c r="C33" s="25"/>
      <c r="D33" s="75"/>
      <c r="E33" s="75"/>
      <c r="F33" s="75"/>
      <c r="G33" s="75"/>
      <c r="H33" s="91"/>
      <c r="I33" s="76" t="s">
        <v>313</v>
      </c>
      <c r="J33" s="125">
        <f>J32*(E21/1000)+J31*(E21/1000)^2/2</f>
        <v>184.10669129999999</v>
      </c>
      <c r="K33" s="100" t="s">
        <v>168</v>
      </c>
      <c r="L33" s="8"/>
    </row>
    <row r="34" spans="1:12" ht="15">
      <c r="A34" s="7" t="str">
        <f>"- Moment ngoài mặt phẳng:"</f>
        <v>- Moment ngoài mặt phẳng:</v>
      </c>
      <c r="B34" s="25"/>
      <c r="C34" s="25"/>
      <c r="D34" s="75"/>
      <c r="E34" s="75"/>
      <c r="F34" s="75"/>
      <c r="G34" s="75"/>
      <c r="H34" s="91"/>
      <c r="I34" s="76" t="s">
        <v>314</v>
      </c>
      <c r="J34" s="125">
        <v>0</v>
      </c>
      <c r="K34" s="100" t="s">
        <v>168</v>
      </c>
      <c r="L34" s="8"/>
    </row>
    <row r="35" spans="1:12">
      <c r="A35" s="7" t="str">
        <f>"- Lực cắt:"</f>
        <v>- Lực cắt:</v>
      </c>
      <c r="B35" s="25"/>
      <c r="C35" s="25"/>
      <c r="D35" s="75"/>
      <c r="E35" s="75"/>
      <c r="F35" s="75"/>
      <c r="G35" s="75"/>
      <c r="H35" s="91"/>
      <c r="I35" s="76" t="s">
        <v>316</v>
      </c>
      <c r="J35" s="125">
        <f>J32+J31*(E21/1000)</f>
        <v>368.35845060000003</v>
      </c>
      <c r="K35" s="100" t="s">
        <v>124</v>
      </c>
      <c r="L35" s="8"/>
    </row>
    <row r="36" spans="1:12">
      <c r="A36" s="9"/>
      <c r="B36" s="75"/>
      <c r="C36" s="75"/>
      <c r="D36" s="75"/>
      <c r="E36" s="77"/>
      <c r="F36" s="75"/>
      <c r="G36" s="75"/>
      <c r="H36" s="75"/>
      <c r="I36" s="75"/>
      <c r="J36" s="75"/>
      <c r="K36" s="75"/>
      <c r="L36" s="8"/>
    </row>
    <row r="37" spans="1:12">
      <c r="A37" s="200" t="s">
        <v>21</v>
      </c>
      <c r="B37" s="201"/>
      <c r="C37" s="201"/>
      <c r="D37" s="75"/>
      <c r="E37" s="75"/>
      <c r="F37" s="75"/>
      <c r="G37" s="75"/>
      <c r="H37" s="75"/>
      <c r="I37" s="75"/>
      <c r="J37" s="75"/>
      <c r="K37" s="75"/>
      <c r="L37" s="5"/>
    </row>
    <row r="38" spans="1:12">
      <c r="A38" s="92" t="s">
        <v>204</v>
      </c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8"/>
    </row>
    <row r="39" spans="1:12">
      <c r="A39" s="6" t="s">
        <v>205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8"/>
    </row>
    <row r="40" spans="1:12" ht="15">
      <c r="A40" s="7" t="s">
        <v>206</v>
      </c>
      <c r="B40" s="75"/>
      <c r="C40" s="75"/>
      <c r="D40" s="75"/>
      <c r="E40" s="75"/>
      <c r="F40" s="75"/>
      <c r="G40" s="75"/>
      <c r="H40" s="75"/>
      <c r="I40" s="77" t="s">
        <v>207</v>
      </c>
      <c r="J40" s="93">
        <f>C27*E27</f>
        <v>228.57142857142856</v>
      </c>
      <c r="K40" s="79" t="s">
        <v>22</v>
      </c>
      <c r="L40" s="5"/>
    </row>
    <row r="41" spans="1:12" ht="15">
      <c r="A41" s="7" t="s">
        <v>208</v>
      </c>
      <c r="B41" s="75"/>
      <c r="C41" s="75"/>
      <c r="D41" s="75"/>
      <c r="E41" s="75"/>
      <c r="F41" s="75"/>
      <c r="G41" s="75"/>
      <c r="H41" s="75"/>
      <c r="I41" s="94" t="s">
        <v>209</v>
      </c>
      <c r="J41" s="95">
        <f>((J33/I27*1000)+(J34/((E18*E17^2/6)/1000)*1000))/J40</f>
        <v>0.85378533234607201</v>
      </c>
      <c r="K41" s="96" t="s">
        <v>210</v>
      </c>
      <c r="L41" s="97" t="str">
        <f>IF(J41&lt;=1,"OK","Check")</f>
        <v>OK</v>
      </c>
    </row>
    <row r="42" spans="1:12" ht="15">
      <c r="A42" s="7" t="s">
        <v>211</v>
      </c>
      <c r="B42" s="75"/>
      <c r="C42" s="75"/>
      <c r="D42" s="75"/>
      <c r="E42" s="75"/>
      <c r="F42" s="75"/>
      <c r="G42" s="75"/>
      <c r="H42" s="75"/>
      <c r="I42" s="94" t="s">
        <v>212</v>
      </c>
      <c r="J42" s="95">
        <f>(J33/J27*1000)/J40</f>
        <v>0.85378533234607201</v>
      </c>
      <c r="K42" s="96" t="s">
        <v>210</v>
      </c>
      <c r="L42" s="97" t="str">
        <f>IF(J42&lt;=1,"OK","Check")</f>
        <v>OK</v>
      </c>
    </row>
    <row r="43" spans="1:12">
      <c r="A43" s="6" t="s">
        <v>213</v>
      </c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8"/>
    </row>
    <row r="44" spans="1:12" ht="15">
      <c r="A44" s="7" t="s">
        <v>214</v>
      </c>
      <c r="B44" s="79"/>
      <c r="C44" s="79"/>
      <c r="D44" s="79"/>
      <c r="E44" s="79"/>
      <c r="F44" s="79"/>
      <c r="G44" s="79"/>
      <c r="H44" s="79"/>
      <c r="I44" s="77" t="s">
        <v>215</v>
      </c>
      <c r="J44" s="93">
        <f>0.58*C27*E27</f>
        <v>132.57142857142856</v>
      </c>
      <c r="K44" s="79" t="s">
        <v>22</v>
      </c>
      <c r="L44" s="5"/>
    </row>
    <row r="45" spans="1:12" ht="15">
      <c r="A45" s="7" t="s">
        <v>216</v>
      </c>
      <c r="B45" s="75"/>
      <c r="C45" s="75"/>
      <c r="D45" s="75"/>
      <c r="E45" s="75"/>
      <c r="F45" s="75"/>
      <c r="G45" s="75"/>
      <c r="H45" s="75"/>
      <c r="I45" s="94" t="s">
        <v>317</v>
      </c>
      <c r="J45" s="95">
        <f>((J35*100*L27)/(G27*E16))/J44</f>
        <v>0.98371258443522358</v>
      </c>
      <c r="K45" s="96" t="s">
        <v>210</v>
      </c>
      <c r="L45" s="97" t="str">
        <f>IF(J45&lt;=1,"OK","Check")</f>
        <v>OK</v>
      </c>
    </row>
    <row r="46" spans="1:12">
      <c r="A46" s="6" t="s">
        <v>217</v>
      </c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8"/>
    </row>
    <row r="47" spans="1:12" ht="12.75" customHeight="1">
      <c r="A47" s="7" t="s">
        <v>218</v>
      </c>
      <c r="B47" s="75"/>
      <c r="C47" s="75"/>
      <c r="D47" s="75"/>
      <c r="E47" s="75"/>
      <c r="F47" s="75"/>
      <c r="G47" s="75"/>
      <c r="H47" s="75"/>
      <c r="I47" s="98" t="s">
        <v>219</v>
      </c>
      <c r="J47" s="99">
        <f>J41*J40</f>
        <v>195.15093310767358</v>
      </c>
      <c r="K47" s="100" t="s">
        <v>22</v>
      </c>
      <c r="L47" s="97"/>
    </row>
    <row r="48" spans="1:12" ht="12.75" customHeight="1">
      <c r="A48" s="7" t="s">
        <v>220</v>
      </c>
      <c r="B48" s="75"/>
      <c r="C48" s="75"/>
      <c r="D48" s="75"/>
      <c r="E48" s="75"/>
      <c r="F48" s="75"/>
      <c r="G48" s="75"/>
      <c r="H48" s="75"/>
      <c r="I48" s="98" t="s">
        <v>221</v>
      </c>
      <c r="J48" s="99">
        <f>J45*J44</f>
        <v>130.41218262226963</v>
      </c>
      <c r="K48" s="100" t="s">
        <v>22</v>
      </c>
      <c r="L48" s="97"/>
    </row>
    <row r="49" spans="1:17" ht="12.75" customHeight="1">
      <c r="A49" s="7" t="s">
        <v>222</v>
      </c>
      <c r="B49" s="75"/>
      <c r="C49" s="75"/>
      <c r="D49" s="75"/>
      <c r="E49" s="75"/>
      <c r="F49" s="75"/>
      <c r="G49" s="75"/>
      <c r="H49" s="75"/>
      <c r="I49" s="98" t="s">
        <v>223</v>
      </c>
      <c r="J49" s="95">
        <f>0.87/J40*SQRT(J47^2+3*J48^2)</f>
        <v>1.1361888882922029</v>
      </c>
      <c r="K49" s="96" t="s">
        <v>210</v>
      </c>
      <c r="L49" s="97" t="str">
        <f>IF(J49&lt;=1,"OK","Check")</f>
        <v>Check</v>
      </c>
    </row>
    <row r="50" spans="1:17">
      <c r="A50" s="6" t="s">
        <v>224</v>
      </c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8"/>
    </row>
    <row r="51" spans="1:17" ht="12.75" customHeight="1">
      <c r="A51" s="7" t="s">
        <v>225</v>
      </c>
      <c r="B51" s="75"/>
      <c r="C51" s="75"/>
      <c r="D51" s="75"/>
      <c r="E51" s="75"/>
      <c r="F51" s="75"/>
      <c r="G51" s="75"/>
      <c r="H51" s="75"/>
      <c r="I51" s="76" t="s">
        <v>226</v>
      </c>
      <c r="J51" s="124">
        <f>J32</f>
        <v>368.06831460000001</v>
      </c>
      <c r="K51" s="100" t="s">
        <v>124</v>
      </c>
      <c r="L51" s="97"/>
    </row>
    <row r="52" spans="1:17" ht="12.75" customHeight="1">
      <c r="A52" s="7" t="s">
        <v>227</v>
      </c>
      <c r="B52" s="75"/>
      <c r="C52" s="75"/>
      <c r="D52" s="75"/>
      <c r="E52" s="98" t="s">
        <v>228</v>
      </c>
      <c r="F52" s="101">
        <v>3.25</v>
      </c>
      <c r="G52" s="75"/>
      <c r="H52" s="75"/>
      <c r="I52" s="98" t="s">
        <v>229</v>
      </c>
      <c r="J52" s="99">
        <f>F52*(D61*10000/E16)^(1/3)</f>
        <v>305.83670938633401</v>
      </c>
      <c r="K52" s="100" t="s">
        <v>1</v>
      </c>
      <c r="L52" s="97"/>
    </row>
    <row r="53" spans="1:17" ht="12.75" customHeight="1">
      <c r="A53" s="7" t="s">
        <v>230</v>
      </c>
      <c r="B53" s="75"/>
      <c r="C53" s="75"/>
      <c r="D53" s="75"/>
      <c r="E53" s="75"/>
      <c r="F53" s="75"/>
      <c r="G53" s="75"/>
      <c r="H53" s="75"/>
      <c r="I53" s="98" t="s">
        <v>231</v>
      </c>
      <c r="J53" s="102">
        <f>J51*1000/(J52*E16)</f>
        <v>150.43498021318902</v>
      </c>
      <c r="K53" s="100" t="s">
        <v>22</v>
      </c>
      <c r="L53" s="97"/>
    </row>
    <row r="54" spans="1:17" ht="12.75" customHeight="1">
      <c r="A54" s="7" t="s">
        <v>222</v>
      </c>
      <c r="B54" s="75"/>
      <c r="C54" s="75"/>
      <c r="D54" s="75"/>
      <c r="E54" s="75"/>
      <c r="F54" s="75"/>
      <c r="G54" s="75"/>
      <c r="H54" s="75"/>
      <c r="I54" s="98" t="s">
        <v>232</v>
      </c>
      <c r="J54" s="95">
        <f>J53/J40</f>
        <v>0.65815303843270201</v>
      </c>
      <c r="K54" s="96" t="s">
        <v>210</v>
      </c>
      <c r="L54" s="97" t="str">
        <f>IF(J54&lt;=1,"OK","Check")</f>
        <v>OK</v>
      </c>
    </row>
    <row r="55" spans="1:17">
      <c r="A55" s="92" t="s">
        <v>233</v>
      </c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8"/>
    </row>
    <row r="56" spans="1:17">
      <c r="A56" s="6" t="s">
        <v>234</v>
      </c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8"/>
    </row>
    <row r="57" spans="1:17" ht="14.4">
      <c r="A57" s="7" t="s">
        <v>235</v>
      </c>
      <c r="B57" s="75"/>
      <c r="C57" s="75"/>
      <c r="D57" s="75"/>
      <c r="E57" s="75"/>
      <c r="F57" s="75"/>
      <c r="G57" s="75"/>
      <c r="H57" s="75"/>
      <c r="I57" s="75"/>
      <c r="J57" s="75"/>
      <c r="K57" s="103" t="str">
        <f>"Tiết diện có "&amp;M57 &amp; " trục đối xứng"</f>
        <v>Tiết diện có 2 trục đối xứng</v>
      </c>
      <c r="L57" s="8"/>
      <c r="M57" s="104">
        <f>IF(AND(E17=E19,E18,E20),2,1)</f>
        <v>2</v>
      </c>
    </row>
    <row r="58" spans="1:17" ht="15">
      <c r="A58" s="7" t="s">
        <v>236</v>
      </c>
      <c r="B58" s="75"/>
      <c r="C58" s="75"/>
      <c r="D58" s="75"/>
      <c r="E58" s="76"/>
      <c r="F58" s="105"/>
      <c r="G58" s="75"/>
      <c r="H58" s="75"/>
      <c r="I58" s="106" t="s">
        <v>237</v>
      </c>
      <c r="J58" s="105">
        <f>IF(M57=1,J73,J78)</f>
        <v>1</v>
      </c>
      <c r="K58" s="75"/>
      <c r="L58" s="8"/>
    </row>
    <row r="59" spans="1:17" ht="15">
      <c r="A59" s="7" t="s">
        <v>238</v>
      </c>
      <c r="B59" s="75"/>
      <c r="C59" s="75"/>
      <c r="D59" s="75"/>
      <c r="E59" s="75"/>
      <c r="F59" s="75"/>
      <c r="G59" s="75"/>
      <c r="H59" s="75"/>
      <c r="I59" s="94" t="s">
        <v>239</v>
      </c>
      <c r="J59" s="95">
        <f>((J33/(J58*I27)*1000)+(J34/((E18*E17^2/6)/1000)*1000))/J40</f>
        <v>0.85378533234607201</v>
      </c>
      <c r="K59" s="96" t="s">
        <v>210</v>
      </c>
      <c r="L59" s="97" t="str">
        <f>IF(J59&lt;=1,"OK","Check")</f>
        <v>OK</v>
      </c>
      <c r="N59" s="1" t="s">
        <v>240</v>
      </c>
    </row>
    <row r="60" spans="1:17">
      <c r="A60" s="107" t="s">
        <v>241</v>
      </c>
      <c r="B60" s="75"/>
      <c r="C60" s="75"/>
      <c r="D60" s="75"/>
      <c r="E60" s="75"/>
      <c r="F60" s="75"/>
      <c r="G60" s="75"/>
      <c r="H60" s="75"/>
      <c r="I60" s="75"/>
      <c r="J60" s="75"/>
      <c r="K60" s="103"/>
      <c r="L60" s="8"/>
    </row>
    <row r="61" spans="1:17" ht="15">
      <c r="A61" s="108" t="s">
        <v>242</v>
      </c>
      <c r="B61" s="80" cm="1">
        <f t="array" ref="B61">_xll.DCEPropSectI(E15, E16, E17, E18, E19, E20, "n")</f>
        <v>0.5</v>
      </c>
      <c r="C61" s="76" t="s">
        <v>243</v>
      </c>
      <c r="D61" s="99">
        <f>(E18*E17^3/12)/10000</f>
        <v>666.66666666666674</v>
      </c>
      <c r="E61" s="75" t="s">
        <v>200</v>
      </c>
      <c r="F61" s="76" t="s">
        <v>244</v>
      </c>
      <c r="G61" s="99">
        <f>(E20*E19^3/12)/10000</f>
        <v>666.66666666666674</v>
      </c>
      <c r="H61" s="75" t="s">
        <v>200</v>
      </c>
      <c r="I61" s="76" t="s">
        <v>245</v>
      </c>
      <c r="J61" s="25">
        <f>E15-E18/2-E20/2</f>
        <v>390</v>
      </c>
      <c r="K61" s="75" t="s">
        <v>1</v>
      </c>
      <c r="L61" s="8"/>
    </row>
    <row r="62" spans="1:17">
      <c r="A62" s="109" t="s">
        <v>246</v>
      </c>
      <c r="B62" s="75"/>
      <c r="C62" s="75"/>
      <c r="D62" s="75"/>
      <c r="E62" s="75"/>
      <c r="F62" s="75"/>
      <c r="G62" s="75"/>
      <c r="H62" s="75"/>
      <c r="I62" s="106" t="s">
        <v>247</v>
      </c>
      <c r="J62" s="105" t="str">
        <f>IF(M57=2,"-",(2*B61-1)*(0.47-0.035*(E17/J61)*(1+E17/J61-0.072*(E17/J61)^2)))</f>
        <v>-</v>
      </c>
      <c r="K62" s="75" t="s">
        <v>1</v>
      </c>
      <c r="L62" s="8"/>
    </row>
    <row r="63" spans="1:17">
      <c r="A63" s="109" t="s">
        <v>248</v>
      </c>
      <c r="B63" s="75"/>
      <c r="C63" s="75"/>
      <c r="D63" s="75"/>
      <c r="E63" s="75"/>
      <c r="F63" s="75"/>
      <c r="G63" s="75"/>
      <c r="H63" s="75"/>
      <c r="I63" s="106" t="s">
        <v>249</v>
      </c>
      <c r="J63" s="105" t="str">
        <f>IF(M57=2,"-",B61+0.734*J62)</f>
        <v>-</v>
      </c>
      <c r="K63" s="75"/>
      <c r="L63" s="8"/>
    </row>
    <row r="64" spans="1:17">
      <c r="A64" s="109" t="s">
        <v>250</v>
      </c>
      <c r="B64" s="75"/>
      <c r="C64" s="75"/>
      <c r="D64" s="75"/>
      <c r="E64" s="75" t="s">
        <v>251</v>
      </c>
      <c r="F64" s="75"/>
      <c r="G64" s="75"/>
      <c r="H64" s="75"/>
      <c r="I64" s="76" t="s">
        <v>252</v>
      </c>
      <c r="J64" s="105" t="str">
        <f>IF(M57=2,"-",J63-1)</f>
        <v>-</v>
      </c>
      <c r="K64" s="75"/>
      <c r="L64" s="8"/>
      <c r="Q64" s="1" t="s">
        <v>203</v>
      </c>
    </row>
    <row r="65" spans="1:14">
      <c r="A65" s="109" t="s">
        <v>253</v>
      </c>
      <c r="B65" s="75"/>
      <c r="C65" s="75"/>
      <c r="D65" s="75"/>
      <c r="E65" s="75"/>
      <c r="F65" s="75"/>
      <c r="G65" s="75"/>
      <c r="H65" s="75"/>
      <c r="I65" s="106" t="s">
        <v>254</v>
      </c>
      <c r="J65" s="105" t="str">
        <f>IF(M57=2,"-",(1-B61)*(9.87*B61+0.385*K27/G61*(E22/J61)^2))</f>
        <v>-</v>
      </c>
      <c r="K65" s="75"/>
      <c r="L65" s="8"/>
      <c r="N65" s="1" t="s">
        <v>255</v>
      </c>
    </row>
    <row r="66" spans="1:14">
      <c r="A66" s="109" t="s">
        <v>256</v>
      </c>
      <c r="B66" s="75"/>
      <c r="C66" s="75"/>
      <c r="D66" s="75"/>
      <c r="E66" s="76" t="s">
        <v>257</v>
      </c>
      <c r="F66" s="105" t="str">
        <f>IF(M57=2,"-",0.33*J65)</f>
        <v>-</v>
      </c>
      <c r="G66" s="75"/>
      <c r="H66" s="75"/>
      <c r="I66" s="76" t="s">
        <v>258</v>
      </c>
      <c r="J66" s="105" t="str">
        <f>IF(M57=2,"-",3.265)</f>
        <v>-</v>
      </c>
      <c r="K66" s="75"/>
      <c r="L66" s="8"/>
    </row>
    <row r="67" spans="1:14" ht="15">
      <c r="A67" s="109" t="s">
        <v>259</v>
      </c>
      <c r="B67" s="75"/>
      <c r="C67" s="75"/>
      <c r="D67" s="75"/>
      <c r="E67" s="76"/>
      <c r="F67" s="105"/>
      <c r="G67" s="75"/>
      <c r="H67" s="75"/>
      <c r="I67" s="106" t="s">
        <v>260</v>
      </c>
      <c r="J67" s="105" t="str">
        <f>IF(M57=2,"-",(J64+(J64^2+F66)^0.5)*J66)</f>
        <v>-</v>
      </c>
      <c r="K67" s="75"/>
      <c r="L67" s="8"/>
    </row>
    <row r="68" spans="1:14">
      <c r="A68" s="109" t="s">
        <v>261</v>
      </c>
      <c r="B68" s="75"/>
      <c r="C68" s="75"/>
      <c r="D68" s="75"/>
      <c r="E68" s="75"/>
      <c r="F68" s="75"/>
      <c r="G68" s="75"/>
      <c r="H68" s="75"/>
      <c r="I68" s="76" t="s">
        <v>262</v>
      </c>
      <c r="J68" s="99" t="str" cm="1">
        <f t="array" ref="J68">IF(M57=2,"-",_xll.DCEPropSectI(E15, E16, E17, E18, E19, E20, "yBot"))</f>
        <v>-</v>
      </c>
      <c r="K68" s="75" t="s">
        <v>1</v>
      </c>
      <c r="L68" s="8"/>
    </row>
    <row r="69" spans="1:14" ht="15">
      <c r="A69" s="109" t="s">
        <v>263</v>
      </c>
      <c r="B69" s="75"/>
      <c r="C69" s="75"/>
      <c r="D69" s="75"/>
      <c r="E69" s="75"/>
      <c r="F69" s="75"/>
      <c r="G69" s="75"/>
      <c r="H69" s="75"/>
      <c r="I69" s="76" t="s">
        <v>264</v>
      </c>
      <c r="J69" s="99" t="str">
        <f>IF(M57=2,"-",J68-E20/2)</f>
        <v>-</v>
      </c>
      <c r="K69" s="75" t="s">
        <v>1</v>
      </c>
      <c r="L69" s="8"/>
    </row>
    <row r="70" spans="1:14" ht="15">
      <c r="A70" s="109" t="s">
        <v>265</v>
      </c>
      <c r="B70" s="75"/>
      <c r="C70" s="75"/>
      <c r="D70" s="75"/>
      <c r="E70" s="75"/>
      <c r="F70" s="75"/>
      <c r="G70" s="75"/>
      <c r="H70" s="75"/>
      <c r="I70" s="76" t="s">
        <v>266</v>
      </c>
      <c r="J70" s="99" t="str">
        <f>IF(M57=2,"-",E15-J68-E18/2)</f>
        <v>-</v>
      </c>
      <c r="K70" s="75" t="s">
        <v>1</v>
      </c>
      <c r="L70" s="8"/>
    </row>
    <row r="71" spans="1:14" ht="15">
      <c r="A71" s="109" t="s">
        <v>267</v>
      </c>
      <c r="B71" s="75"/>
      <c r="C71" s="75"/>
      <c r="D71" s="75"/>
      <c r="E71" s="76"/>
      <c r="F71" s="105"/>
      <c r="G71" s="75"/>
      <c r="H71" s="75"/>
      <c r="I71" s="106" t="s">
        <v>268</v>
      </c>
      <c r="J71" s="105" t="str">
        <f>IF(M57=2,"-",J67*(H27/G27)*(2*J61*J70/E22^2)*(A27/C27))</f>
        <v>-</v>
      </c>
      <c r="K71" s="75"/>
      <c r="L71" s="8"/>
    </row>
    <row r="72" spans="1:14" ht="15">
      <c r="A72" s="109" t="s">
        <v>269</v>
      </c>
      <c r="B72" s="75"/>
      <c r="C72" s="75"/>
      <c r="D72" s="75"/>
      <c r="E72" s="76"/>
      <c r="F72" s="105"/>
      <c r="G72" s="75"/>
      <c r="H72" s="75"/>
      <c r="I72" s="106" t="s">
        <v>270</v>
      </c>
      <c r="J72" s="105" t="str">
        <f>IF(M57=2,"-",J67*(H27/G27)*(2*J61*J69/E22^2)*(A27/C27))</f>
        <v>-</v>
      </c>
      <c r="K72" s="75"/>
      <c r="L72" s="8"/>
    </row>
    <row r="73" spans="1:14">
      <c r="A73" s="109" t="s">
        <v>271</v>
      </c>
      <c r="B73" s="75"/>
      <c r="C73" s="75"/>
      <c r="D73" s="75"/>
      <c r="E73" s="76"/>
      <c r="F73" s="105"/>
      <c r="G73" s="75"/>
      <c r="H73" s="75"/>
      <c r="I73" s="106" t="s">
        <v>272</v>
      </c>
      <c r="J73" s="105" t="str">
        <f>IF(M57=2,"-",MIN(IF(J72&lt;=0.85,J71,J71*(0.21+0.68*(B61/J71+(1-B61)/J72))),1))</f>
        <v>-</v>
      </c>
      <c r="K73" s="75"/>
      <c r="L73" s="8"/>
    </row>
    <row r="74" spans="1:14">
      <c r="A74" s="107" t="s">
        <v>273</v>
      </c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8"/>
    </row>
    <row r="75" spans="1:14" ht="15">
      <c r="A75" s="108" t="s">
        <v>274</v>
      </c>
      <c r="B75" s="80">
        <f>IF(M57=1,"-",4)</f>
        <v>4</v>
      </c>
      <c r="C75" s="76" t="s">
        <v>275</v>
      </c>
      <c r="D75" s="99">
        <f>IF(M57=1,"-",E15)</f>
        <v>400</v>
      </c>
      <c r="E75" s="106" t="s">
        <v>276</v>
      </c>
      <c r="F75" s="110">
        <f>IF(M57=1,"-",B75*((E22*E18)/(D75*E17))^2*(1+(0.5*D75*E16^3)/(E17*E18^3)))</f>
        <v>0</v>
      </c>
      <c r="G75" s="76" t="s">
        <v>277</v>
      </c>
      <c r="H75" s="100">
        <f>IF(M57=1,"-",1.37)</f>
        <v>1.37</v>
      </c>
      <c r="I75" s="76" t="s">
        <v>278</v>
      </c>
      <c r="J75" s="15">
        <f>IF(M57=1,"-",0.55)</f>
        <v>0.55000000000000004</v>
      </c>
      <c r="K75" s="75"/>
      <c r="L75" s="8"/>
    </row>
    <row r="76" spans="1:14">
      <c r="A76" s="109" t="s">
        <v>279</v>
      </c>
      <c r="B76" s="75"/>
      <c r="C76" s="75"/>
      <c r="D76" s="75"/>
      <c r="E76" s="76"/>
      <c r="F76" s="105"/>
      <c r="G76" s="75"/>
      <c r="H76" s="75"/>
      <c r="I76" s="106" t="s">
        <v>280</v>
      </c>
      <c r="J76" s="111">
        <f>IF(M57=1,"-",H75*(SQRT(0.95*F75+6.09*J75^2+5.78)-2.47*J75))</f>
        <v>1.9212026971981304</v>
      </c>
      <c r="K76" s="75"/>
      <c r="L76" s="8"/>
    </row>
    <row r="77" spans="1:14" ht="15">
      <c r="A77" s="109" t="s">
        <v>281</v>
      </c>
      <c r="B77" s="75"/>
      <c r="C77" s="75"/>
      <c r="D77" s="75"/>
      <c r="E77" s="76"/>
      <c r="F77" s="105"/>
      <c r="G77" s="75"/>
      <c r="H77" s="75"/>
      <c r="I77" s="106" t="s">
        <v>268</v>
      </c>
      <c r="J77" s="105">
        <f>IF(M57=1,"-",J76*(H27/G27)*(E15/E21)^2*(A27/C27))</f>
        <v>78.403602956535295</v>
      </c>
      <c r="K77" s="75"/>
      <c r="L77" s="8"/>
    </row>
    <row r="78" spans="1:14" ht="15">
      <c r="A78" s="109" t="s">
        <v>282</v>
      </c>
      <c r="B78" s="75"/>
      <c r="C78" s="75"/>
      <c r="D78" s="75"/>
      <c r="E78" s="76"/>
      <c r="F78" s="105"/>
      <c r="G78" s="75"/>
      <c r="H78" s="75"/>
      <c r="I78" s="106" t="s">
        <v>237</v>
      </c>
      <c r="J78" s="105">
        <f>IF(M57=1,"-",IF(J77&lt;=0.85,J77,MIN(0.68+0.21*J77,1)))</f>
        <v>1</v>
      </c>
      <c r="K78" s="75"/>
      <c r="L78" s="8"/>
    </row>
    <row r="79" spans="1:14">
      <c r="A79" s="109"/>
      <c r="B79" s="75"/>
      <c r="C79" s="75"/>
      <c r="D79" s="75"/>
      <c r="E79" s="76"/>
      <c r="F79" s="105"/>
      <c r="G79" s="75"/>
      <c r="H79" s="75"/>
      <c r="I79" s="106"/>
      <c r="J79" s="105"/>
      <c r="K79" s="75"/>
      <c r="L79" s="8"/>
    </row>
    <row r="80" spans="1:14">
      <c r="A80" s="6" t="s">
        <v>283</v>
      </c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8"/>
    </row>
    <row r="81" spans="1:12">
      <c r="A81" s="112" t="s">
        <v>284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8"/>
    </row>
    <row r="82" spans="1:12" ht="15">
      <c r="A82" s="7" t="s">
        <v>285</v>
      </c>
      <c r="B82" s="75"/>
      <c r="C82" s="75"/>
      <c r="D82" s="75"/>
      <c r="E82" s="75"/>
      <c r="F82" s="75"/>
      <c r="G82" s="75"/>
      <c r="H82" s="75"/>
      <c r="I82" s="106" t="s">
        <v>286</v>
      </c>
      <c r="J82" s="113">
        <f>(E17-E16)/(2*E18)</f>
        <v>9.6</v>
      </c>
      <c r="K82" s="100"/>
      <c r="L82" s="5"/>
    </row>
    <row r="83" spans="1:12" ht="15">
      <c r="A83" s="7" t="s">
        <v>287</v>
      </c>
      <c r="B83" s="75"/>
      <c r="C83" s="75"/>
      <c r="D83" s="75"/>
      <c r="E83" s="75"/>
      <c r="F83" s="75"/>
      <c r="G83" s="75"/>
      <c r="H83" s="75"/>
      <c r="I83" s="106" t="s">
        <v>288</v>
      </c>
      <c r="J83" s="113">
        <f>0.5*(A27/C27)^0.5</f>
        <v>15.010413052278077</v>
      </c>
      <c r="K83" s="100"/>
      <c r="L83" s="5"/>
    </row>
    <row r="84" spans="1:12" ht="15">
      <c r="A84" s="7" t="s">
        <v>222</v>
      </c>
      <c r="B84" s="75"/>
      <c r="C84" s="75"/>
      <c r="D84" s="75"/>
      <c r="E84" s="75"/>
      <c r="F84" s="75"/>
      <c r="G84" s="75"/>
      <c r="H84" s="75"/>
      <c r="I84" s="106" t="s">
        <v>289</v>
      </c>
      <c r="J84" s="95">
        <f>J82/J83</f>
        <v>0.63955601798333206</v>
      </c>
      <c r="K84" s="96" t="s">
        <v>210</v>
      </c>
      <c r="L84" s="97" t="str">
        <f>IF(J84&lt;=1,"OK","Check")</f>
        <v>OK</v>
      </c>
    </row>
    <row r="85" spans="1:12">
      <c r="A85" s="112" t="s">
        <v>290</v>
      </c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8"/>
    </row>
    <row r="86" spans="1:12" ht="15">
      <c r="A86" s="7" t="s">
        <v>291</v>
      </c>
      <c r="B86" s="75"/>
      <c r="C86" s="75"/>
      <c r="D86" s="75"/>
      <c r="E86" s="75"/>
      <c r="F86" s="75"/>
      <c r="G86" s="75"/>
      <c r="H86" s="75"/>
      <c r="I86" s="106" t="s">
        <v>292</v>
      </c>
      <c r="J86" s="113">
        <f>(E15-E18-E20)/E16*SQRT(C27/A27)</f>
        <v>1.5822349403233478</v>
      </c>
      <c r="K86" s="100"/>
      <c r="L86" s="5"/>
    </row>
    <row r="87" spans="1:12" ht="15">
      <c r="A87" s="114" t="str">
        <f>"- Sườn tăng cứng ngang (Mục 8.5.9)"</f>
        <v>- Sườn tăng cứng ngang (Mục 8.5.9)</v>
      </c>
      <c r="B87" s="75"/>
      <c r="C87" s="115"/>
      <c r="D87" s="115"/>
      <c r="E87" s="75"/>
      <c r="F87" s="75"/>
      <c r="G87" s="229" t="s">
        <v>293</v>
      </c>
      <c r="H87" s="229"/>
      <c r="I87" s="106" t="s">
        <v>294</v>
      </c>
      <c r="J87" s="116">
        <f>IF(G87="Tải trọng tĩnh",3.2,2.2)</f>
        <v>2.2000000000000002</v>
      </c>
      <c r="K87" s="96"/>
      <c r="L87" s="5"/>
    </row>
    <row r="88" spans="1:12" ht="15">
      <c r="A88" s="117" t="s">
        <v>295</v>
      </c>
      <c r="B88" s="75"/>
      <c r="C88" s="75"/>
      <c r="D88" s="106" t="s">
        <v>296</v>
      </c>
      <c r="E88" s="15" t="str">
        <f>IF(J86&lt;J87,"&lt;","&gt;")</f>
        <v>&lt;</v>
      </c>
      <c r="F88" s="118" t="s">
        <v>297</v>
      </c>
      <c r="G88" s="100" t="str">
        <f>IF(K86&gt;K87,"Dầm phải được tăng cường bằng các sườn cứng ngang theo 8.5.9","Không gia cường")</f>
        <v>Không gia cường</v>
      </c>
      <c r="H88" s="15"/>
      <c r="I88" s="106"/>
      <c r="J88" s="75"/>
      <c r="K88" s="75"/>
      <c r="L88" s="5"/>
    </row>
    <row r="89" spans="1:12">
      <c r="A89" s="109" t="s">
        <v>298</v>
      </c>
      <c r="B89" s="75"/>
      <c r="C89" s="75"/>
      <c r="D89" s="106"/>
      <c r="E89" s="15"/>
      <c r="F89" s="118"/>
      <c r="G89" s="100"/>
      <c r="H89" s="15"/>
      <c r="I89" s="106"/>
      <c r="J89" s="75"/>
      <c r="K89" s="75"/>
      <c r="L89" s="5"/>
    </row>
    <row r="90" spans="1:12" ht="15">
      <c r="A90" s="119" t="str">
        <f>"+ Bề rộng sườn tối thiểu:"</f>
        <v>+ Bề rộng sườn tối thiểu:</v>
      </c>
      <c r="B90" s="75"/>
      <c r="C90" s="75"/>
      <c r="D90" s="106"/>
      <c r="E90" s="15"/>
      <c r="F90" s="118"/>
      <c r="G90" s="100"/>
      <c r="H90" s="15"/>
      <c r="I90" s="106" t="s">
        <v>299</v>
      </c>
      <c r="J90" s="99">
        <f>(E15-E18-E20)/30+25</f>
        <v>37.666666666666664</v>
      </c>
      <c r="K90" s="75" t="s">
        <v>1</v>
      </c>
      <c r="L90" s="5"/>
    </row>
    <row r="91" spans="1:12" ht="15">
      <c r="A91" s="119" t="str">
        <f>"+ Chiều dày sườn tối thiểu:"</f>
        <v>+ Chiều dày sườn tối thiểu:</v>
      </c>
      <c r="B91" s="75"/>
      <c r="C91" s="75"/>
      <c r="D91" s="106"/>
      <c r="E91" s="15"/>
      <c r="F91" s="118"/>
      <c r="G91" s="100"/>
      <c r="H91" s="15"/>
      <c r="I91" s="106" t="s">
        <v>300</v>
      </c>
      <c r="J91" s="99">
        <f>2*J90*SQRT(C27/A27)</f>
        <v>2.5093690983373795</v>
      </c>
      <c r="K91" s="75" t="s">
        <v>1</v>
      </c>
      <c r="L91" s="5"/>
    </row>
    <row r="92" spans="1:12" ht="15">
      <c r="A92" s="114" t="str">
        <f>"- Sườn tăng cứng dọc"</f>
        <v>- Sườn tăng cứng dọc</v>
      </c>
      <c r="B92" s="75"/>
      <c r="C92" s="115"/>
      <c r="D92" s="115"/>
      <c r="E92" s="75"/>
      <c r="F92" s="75"/>
      <c r="G92" s="75"/>
      <c r="H92" s="120"/>
      <c r="I92" s="116" t="s">
        <v>302</v>
      </c>
      <c r="J92" s="125">
        <f>5.5*SQRT(C27/(J41*J40))</f>
        <v>5.9523484208834594</v>
      </c>
      <c r="K92" s="75"/>
      <c r="L92" s="5"/>
    </row>
    <row r="93" spans="1:12" ht="15">
      <c r="A93" s="117" t="s">
        <v>295</v>
      </c>
      <c r="B93" s="75"/>
      <c r="C93" s="75"/>
      <c r="D93" s="106" t="s">
        <v>296</v>
      </c>
      <c r="E93" s="15" t="str">
        <f>IF(J86&lt;J92,"&lt;","&gt;")</f>
        <v>&lt;</v>
      </c>
      <c r="F93" s="118" t="s">
        <v>297</v>
      </c>
      <c r="G93" s="100" t="str">
        <f>IF(J86&gt;J92,"Dầm phải được tăng cường bằng các sườn cứng dọc","Không gia cường")</f>
        <v>Không gia cường</v>
      </c>
      <c r="H93" s="75"/>
      <c r="I93" s="75"/>
      <c r="J93" s="75"/>
      <c r="K93" s="76"/>
      <c r="L93" s="5"/>
    </row>
    <row r="94" spans="1:12">
      <c r="A94" s="121" t="s">
        <v>309</v>
      </c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22"/>
    </row>
    <row r="99" spans="7:7">
      <c r="G99" s="1" t="s">
        <v>203</v>
      </c>
    </row>
  </sheetData>
  <mergeCells count="14">
    <mergeCell ref="B28:C28"/>
    <mergeCell ref="A37:C37"/>
    <mergeCell ref="G87:H87"/>
    <mergeCell ref="A13:C13"/>
    <mergeCell ref="B24:C24"/>
    <mergeCell ref="D24:E24"/>
    <mergeCell ref="F24:L24"/>
    <mergeCell ref="D25:D26"/>
    <mergeCell ref="E25:E26"/>
    <mergeCell ref="M11:M12"/>
    <mergeCell ref="O11:P11"/>
    <mergeCell ref="O12:P12"/>
    <mergeCell ref="A11:I12"/>
    <mergeCell ref="J11:L12"/>
  </mergeCells>
  <conditionalFormatting sqref="L41:L42 L45 L47:L49 L51:L54">
    <cfRule type="containsText" dxfId="5" priority="7" operator="containsText" text="Check">
      <formula>NOT(ISERROR(SEARCH("Check",L41)))</formula>
    </cfRule>
    <cfRule type="containsText" dxfId="4" priority="8" operator="containsText" text="OK">
      <formula>NOT(ISERROR(SEARCH("OK",L41)))</formula>
    </cfRule>
  </conditionalFormatting>
  <conditionalFormatting sqref="L84">
    <cfRule type="containsText" dxfId="3" priority="5" operator="containsText" text="Check">
      <formula>NOT(ISERROR(SEARCH("Check",L84)))</formula>
    </cfRule>
    <cfRule type="containsText" dxfId="2" priority="6" operator="containsText" text="OK">
      <formula>NOT(ISERROR(SEARCH("OK",L84)))</formula>
    </cfRule>
  </conditionalFormatting>
  <conditionalFormatting sqref="L59">
    <cfRule type="containsText" dxfId="1" priority="3" operator="containsText" text="Check">
      <formula>NOT(ISERROR(SEARCH("Check",L59)))</formula>
    </cfRule>
    <cfRule type="containsText" dxfId="0" priority="4" operator="containsText" text="OK">
      <formula>NOT(ISERROR(SEARCH("OK",L59)))</formula>
    </cfRule>
  </conditionalFormatting>
  <dataValidations count="2">
    <dataValidation type="list" allowBlank="1" showInputMessage="1" showErrorMessage="1" sqref="G87 L92" xr:uid="{FB4ABBCC-6B17-41F1-9DEE-58F7CD1F6540}">
      <formula1>"Tải trọng tĩnh,Tải trọng di dộng"</formula1>
    </dataValidation>
    <dataValidation type="list" allowBlank="1" showInputMessage="1" showErrorMessage="1" sqref="M11:M12" xr:uid="{E6932CD0-2F3A-494C-BCAA-805231B5EAAF}">
      <formula1>$N$11:$N$12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A31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99BC18-E90A-4DC6-9603-E9D1085069C1}">
          <x14:formula1>
            <xm:f>Data!$A$3:$A$99</xm:f>
          </x14:formula1>
          <xm:sqref>B24:C24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1"/>
  <sheetViews>
    <sheetView topLeftCell="A9" workbookViewId="0">
      <selection activeCell="D14" sqref="D14"/>
    </sheetView>
  </sheetViews>
  <sheetFormatPr defaultRowHeight="14.4"/>
  <cols>
    <col min="1" max="1" width="15.44140625" bestFit="1" customWidth="1"/>
    <col min="2" max="2" width="55" customWidth="1"/>
  </cols>
  <sheetData>
    <row r="1" spans="1:5">
      <c r="A1" s="71" t="s">
        <v>165</v>
      </c>
      <c r="B1" s="71" t="s">
        <v>166</v>
      </c>
    </row>
    <row r="2" spans="1:5" ht="155.25" customHeight="1">
      <c r="A2" s="71" t="s">
        <v>159</v>
      </c>
      <c r="B2" s="71"/>
    </row>
    <row r="3" spans="1:5" ht="155.25" customHeight="1">
      <c r="A3" s="71" t="s">
        <v>160</v>
      </c>
      <c r="B3" s="71"/>
    </row>
    <row r="4" spans="1:5">
      <c r="B4" t="str">
        <f>Force!$D$15</f>
        <v>2 Dầm (ZLK)</v>
      </c>
    </row>
    <row r="5" spans="1:5">
      <c r="E5">
        <f>INDEX(Pic!$A$2:$B$3,MATCH($B$4,Pic!$A$2:$A$3,0),2)</f>
        <v>0</v>
      </c>
    </row>
    <row r="6" spans="1:5" ht="141.75" customHeight="1">
      <c r="A6" s="72">
        <v>1</v>
      </c>
      <c r="B6" s="71"/>
    </row>
    <row r="7" spans="1:5" ht="141.75" customHeight="1">
      <c r="A7" s="71">
        <v>2</v>
      </c>
      <c r="B7" s="71"/>
    </row>
    <row r="8" spans="1:5">
      <c r="B8" s="73">
        <f>Force!J19</f>
        <v>2</v>
      </c>
      <c r="E8">
        <f>INDEX(Pic!$A$6:$B$7,MATCH($B$8,Pic!$A$6:$A$7,0),2)</f>
        <v>0</v>
      </c>
    </row>
    <row r="9" spans="1:5" ht="249.9" customHeight="1">
      <c r="A9" s="72">
        <v>1</v>
      </c>
    </row>
    <row r="10" spans="1:5" ht="249.9" customHeight="1">
      <c r="A10" s="71">
        <v>2</v>
      </c>
    </row>
    <row r="11" spans="1:5">
      <c r="B11" s="123">
        <f>B8</f>
        <v>2</v>
      </c>
      <c r="E11">
        <f>INDEX(Pic!$A$9:$B$10,MATCH($B$11,Pic!$A$9:$A$10,0),2)</f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Data</vt:lpstr>
      <vt:lpstr>Force</vt:lpstr>
      <vt:lpstr>Cal</vt:lpstr>
      <vt:lpstr>Corbel</vt:lpstr>
      <vt:lpstr>Cal!Print_Area</vt:lpstr>
      <vt:lpstr>Corbel!Print_Area</vt:lpstr>
      <vt:lpstr>Force!Print_Area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2025-10-01T14:43:47Z</cp:lastPrinted>
  <dcterms:created xsi:type="dcterms:W3CDTF">2023-12-24T09:13:35Z</dcterms:created>
  <dcterms:modified xsi:type="dcterms:W3CDTF">2026-05-04T03:42:59Z</dcterms:modified>
</cp:coreProperties>
</file>