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897e0139b14c7e2/03 Spreadsheet/01 CALCULATION REPORT/00 UPDATED SEND DUY/"/>
    </mc:Choice>
  </mc:AlternateContent>
  <xr:revisionPtr revIDLastSave="7482" documentId="13_ncr:1_{3BDC792E-52A2-4141-89EC-289E3F9392A4}" xr6:coauthVersionLast="47" xr6:coauthVersionMax="47" xr10:uidLastSave="{49BF7B34-0964-4E7D-BE90-82BA960BE9C3}"/>
  <bookViews>
    <workbookView xWindow="-120" yWindow="-120" windowWidth="29040" windowHeight="15720" tabRatio="808" activeTab="1" xr2:uid="{5EFD5A8A-D9C0-475C-897C-38F83BDF0EC7}"/>
  </bookViews>
  <sheets>
    <sheet name="Data" sheetId="2" r:id="rId1"/>
    <sheet name="VK5a" sheetId="15" r:id="rId2"/>
  </sheets>
  <functionGroups builtInGroupCount="19"/>
  <definedNames>
    <definedName name="_xleta.COT" hidden="1" xlm="1">#NAME?</definedName>
    <definedName name="_xleta.OR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5" l="1"/>
  <c r="G17" i="15"/>
  <c r="G18" i="15"/>
  <c r="F17" i="15"/>
  <c r="B9" i="15"/>
  <c r="B8" i="15"/>
  <c r="E31" i="15"/>
  <c r="E32" i="15"/>
  <c r="E30" i="15"/>
  <c r="L15" i="15"/>
  <c r="K14" i="15"/>
  <c r="L14" i="15" s="1"/>
  <c r="K13" i="15"/>
  <c r="L13" i="15" s="1"/>
  <c r="B10" i="15"/>
  <c r="B7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M4" authorId="0" shapeId="0" xr:uid="{B029886D-86FB-40F1-AAB1-B6F814F4D668}">
      <text>
        <r>
          <rPr>
            <sz val="9"/>
            <color indexed="81"/>
            <rFont val="Tahoma"/>
            <charset val="1"/>
          </rPr>
          <t xml:space="preserve">Khoảng cách từ đỉnh mái biên đến xà gồ đầu tiên
</t>
        </r>
      </text>
    </comment>
    <comment ref="O5" authorId="0" shapeId="0" xr:uid="{9B2FC2B5-D9A4-407C-8767-58D607BCB643}">
      <text>
        <r>
          <rPr>
            <b/>
            <sz val="9"/>
            <color indexed="81"/>
            <rFont val="Tahoma"/>
            <family val="2"/>
          </rPr>
          <t>Hiện tại mới update K ngang</t>
        </r>
      </text>
    </comment>
    <comment ref="P5" authorId="0" shapeId="0" xr:uid="{B46371E5-5187-4006-A133-7DD4A29551ED}">
      <text>
        <r>
          <rPr>
            <sz val="9"/>
            <color indexed="81"/>
            <rFont val="Tahoma"/>
            <family val="2"/>
          </rPr>
          <t xml:space="preserve">K-a-b-c
a: Số bu lông nằm về phía P1
b: Số bu lông nằm giữa
b: Số bu lông nằm về phía P2
</t>
        </r>
      </text>
    </comment>
    <comment ref="F6" authorId="0" shapeId="0" xr:uid="{1B2AE9A4-75E1-419B-8650-201E01EBD1F9}">
      <text>
        <r>
          <rPr>
            <sz val="9"/>
            <color indexed="81"/>
            <rFont val="Tahoma"/>
            <family val="2"/>
          </rPr>
          <t xml:space="preserve">[TOAN]
Lớp bao che bao gồm
+ Mái tole
+ Xà gồ
+ Khoang hở xà gồ &amp; kèo
</t>
        </r>
      </text>
    </comment>
    <comment ref="K6" authorId="0" shapeId="0" xr:uid="{D66B1134-1D07-4696-88ED-BA0288826151}">
      <text>
        <r>
          <rPr>
            <sz val="9"/>
            <color indexed="81"/>
            <rFont val="Tahoma"/>
            <family val="2"/>
          </rPr>
          <t xml:space="preserve">- 2 bên giống nhau: Điền 1 số. Ví dụ 250
- 2 bên khác nhau: Bên trái/Bên phải. Ví dụ 250/0
</t>
        </r>
      </text>
    </comment>
    <comment ref="P6" authorId="0" shapeId="0" xr:uid="{8AC3D5BD-5632-4BAC-94AC-9643A58B0E89}">
      <text>
        <r>
          <rPr>
            <b/>
            <sz val="9"/>
            <color indexed="81"/>
            <rFont val="Tahoma"/>
            <family val="2"/>
          </rPr>
          <t>[HVMT]
Số lượng bu lông bên trong (không tính 4 bu lông bên ngoài)</t>
        </r>
      </text>
    </comment>
    <comment ref="F7" authorId="0" shapeId="0" xr:uid="{F6DEBB44-BD1F-4553-B2AA-D2BF343E0B19}">
      <text>
        <r>
          <rPr>
            <sz val="9"/>
            <color indexed="81"/>
            <rFont val="Tahoma"/>
            <family val="2"/>
          </rPr>
          <t xml:space="preserve">[Toan]
Chiều cao đỉnh mái và trục mép trái
</t>
        </r>
      </text>
    </comment>
    <comment ref="K7" authorId="0" shapeId="0" xr:uid="{7C2CC372-2577-48A1-9006-FA2AF0A75AA7}">
      <text>
        <r>
          <rPr>
            <sz val="9"/>
            <color indexed="81"/>
            <rFont val="Tahoma"/>
            <family val="2"/>
          </rPr>
          <t xml:space="preserve">- Điền 0 mặc định không vẽ
- Hai bên giống nhau điền 1 số. Ví dụ 200
- Hai bên khác nhau. Bên trái/Bên phải. Ví dụ 0/200
</t>
        </r>
      </text>
    </comment>
    <comment ref="P7" authorId="0" shapeId="0" xr:uid="{AAC2028C-926B-454C-808D-E39685526A63}">
      <text>
        <r>
          <rPr>
            <b/>
            <sz val="9"/>
            <color indexed="81"/>
            <rFont val="Tahoma"/>
            <family val="2"/>
          </rPr>
          <t>[HVMT]
Số lượng bu lông bên trong (không tính 4 bu lông bên ngoài)</t>
        </r>
      </text>
    </comment>
    <comment ref="F8" authorId="0" shapeId="0" xr:uid="{C91EE3CD-77BF-4FCA-94FC-1FDDBD61CCDA}">
      <text>
        <r>
          <rPr>
            <sz val="9"/>
            <color indexed="81"/>
            <rFont val="Tahoma"/>
            <family val="2"/>
          </rPr>
          <t xml:space="preserve">[Toan]
Lưu ý: Chiều cao tại đỉnh mái ở giữa nhà, không phải đỉnh mái ở mép biên nhà
</t>
        </r>
      </text>
    </comment>
    <comment ref="P8" authorId="0" shapeId="0" xr:uid="{CD178CC5-CEBD-4F9A-8161-8CED4EDDA5EE}">
      <text>
        <r>
          <rPr>
            <b/>
            <sz val="9"/>
            <color indexed="81"/>
            <rFont val="Tahoma"/>
            <family val="2"/>
          </rPr>
          <t>[HVMT]
Số lượng bu lông bên trong (không tính 4 bu lông bên ngoài)</t>
        </r>
      </text>
    </comment>
    <comment ref="F9" authorId="0" shapeId="0" xr:uid="{69C47D74-FDD5-4300-8144-C3CADDAE6760}">
      <text>
        <r>
          <rPr>
            <sz val="9"/>
            <color indexed="81"/>
            <rFont val="Tahoma"/>
            <family val="2"/>
          </rPr>
          <t xml:space="preserve">[Toan]
Lưu ý: Chiều cao tại đỉnh mái ở giữa nhà, không phải đỉnh mái ở mép biên nhà
</t>
        </r>
      </text>
    </comment>
    <comment ref="K9" authorId="0" shapeId="0" xr:uid="{D626ACFF-7000-4CCF-A6B0-1FE7822BCE85}">
      <text>
        <r>
          <rPr>
            <sz val="9"/>
            <color indexed="81"/>
            <rFont val="Tahoma"/>
            <family val="2"/>
          </rPr>
          <t>- 2 bên giống nhau: Điền 1 số. Ví dụ 250
- 2 bên khác nhau: Bên trái/Bên phải. Ví dụ 250/0
- Điền số 0: Mép cột trùng mép tường</t>
        </r>
      </text>
    </comment>
    <comment ref="F10" authorId="0" shapeId="0" xr:uid="{D5BC4800-2364-4C97-81D4-2CBFA9747A65}">
      <text>
        <r>
          <rPr>
            <sz val="9"/>
            <color indexed="81"/>
            <rFont val="Tahoma"/>
            <family val="2"/>
          </rPr>
          <t xml:space="preserve">[Toan]
Lưu ý: Chiều cao tại đỉnh mái ở giữa nhà, không phải đỉnh mái ở mép biên nhà
</t>
        </r>
      </text>
    </comment>
    <comment ref="K10" authorId="0" shapeId="0" xr:uid="{3B7DB796-7966-4BBD-ACBC-9C11B71821D7}">
      <text>
        <r>
          <rPr>
            <sz val="9"/>
            <color indexed="81"/>
            <rFont val="Tahoma"/>
            <charset val="1"/>
          </rPr>
          <t xml:space="preserve">Phần đuôi kèo đỡ xà gồ mái liên kết với ống xối.
- Nghiêng: Kèo nghiêng theo hướng của mái
- Ngang: Kèo nằm ngang, xà gồ bắt kẹp hông vô ống xối
</t>
        </r>
      </text>
    </comment>
    <comment ref="F11" authorId="0" shapeId="0" xr:uid="{C2F3FE99-EA89-4BB3-ACC6-B2CF8566102D}">
      <text>
        <r>
          <rPr>
            <sz val="9"/>
            <color indexed="81"/>
            <rFont val="Tahoma"/>
            <family val="2"/>
          </rPr>
          <t xml:space="preserve">[Toan]
Lưu ý: Chiều cao tại đỉnh mái ở giữa nhà, không phải đỉnh mái ở mép biên nhà
</t>
        </r>
      </text>
    </comment>
    <comment ref="F12" authorId="0" shapeId="0" xr:uid="{F73F2DFA-EB76-4D8A-9F4D-473F0F4AB7D6}">
      <text>
        <r>
          <rPr>
            <sz val="9"/>
            <color indexed="81"/>
            <rFont val="Tahoma"/>
            <family val="2"/>
          </rPr>
          <t xml:space="preserve">[Toan]
Lưu ý: Chiều cao tại đỉnh mái ở giữa nhà, không phải đỉnh mái ở mép biên nhà
</t>
        </r>
      </text>
    </comment>
    <comment ref="F13" authorId="0" shapeId="0" xr:uid="{2B3E7ECE-5D4B-41EB-A847-B60CB8995E45}">
      <text>
        <r>
          <rPr>
            <sz val="9"/>
            <color indexed="81"/>
            <rFont val="Tahoma"/>
            <family val="2"/>
          </rPr>
          <t xml:space="preserve">[Toan]
Chiều cao đỉnh mái và trục mép trái
</t>
        </r>
      </text>
    </comment>
    <comment ref="Q13" authorId="0" shapeId="0" xr:uid="{92DBFD1E-EA7E-4997-AF27-01FDCD621C50}">
      <text>
        <r>
          <rPr>
            <sz val="9"/>
            <color indexed="81"/>
            <rFont val="Tahoma"/>
            <family val="2"/>
          </rPr>
          <t>[Toan]
Nhập = 0 thì không vẽ</t>
        </r>
      </text>
    </comment>
    <comment ref="Q15" authorId="0" shapeId="0" xr:uid="{3FA7E8FA-061B-4690-9122-928D17DBAA90}">
      <text>
        <r>
          <rPr>
            <sz val="9"/>
            <color indexed="81"/>
            <rFont val="Tahoma"/>
            <family val="2"/>
          </rPr>
          <t>[Toan]
Nhập = 0 thì không vẽ</t>
        </r>
      </text>
    </comment>
    <comment ref="C30" authorId="0" shapeId="0" xr:uid="{1FF6A3B3-77D1-49FE-A5A2-106100C57E74}">
      <text>
        <r>
          <rPr>
            <b/>
            <sz val="9"/>
            <color indexed="81"/>
            <rFont val="Tahoma"/>
            <family val="2"/>
          </rPr>
          <t>K/c từ trục biên đến trục thứ 2</t>
        </r>
      </text>
    </comment>
    <comment ref="C31" authorId="0" shapeId="0" xr:uid="{AAFB7D75-B6D9-4DA3-A284-AD5A242124B0}">
      <text>
        <r>
          <rPr>
            <sz val="9"/>
            <color indexed="81"/>
            <rFont val="Tahoma"/>
            <family val="2"/>
          </rPr>
          <t xml:space="preserve">K/c từ trục thứ 2 đến giữa nhà
</t>
        </r>
      </text>
    </comment>
    <comment ref="C32" authorId="0" shapeId="0" xr:uid="{A43B2735-0092-4931-A182-C6F601171118}">
      <text>
        <r>
          <rPr>
            <sz val="9"/>
            <color indexed="81"/>
            <rFont val="Tahoma"/>
            <family val="2"/>
          </rPr>
          <t xml:space="preserve">K/c từ trục thứ 2 đến giữa nhà
</t>
        </r>
      </text>
    </comment>
    <comment ref="L32" authorId="0" shapeId="0" xr:uid="{EC0DB076-6EA1-48AF-88D8-D987E43766F2}">
      <text>
        <r>
          <rPr>
            <sz val="9"/>
            <color indexed="81"/>
            <rFont val="Tahoma"/>
            <family val="2"/>
          </rPr>
          <t>Toàn
- Số thứ 1: Bên trái cột
- Số thứ 2: Bên phải cột</t>
        </r>
      </text>
    </comment>
    <comment ref="M32" authorId="0" shapeId="0" xr:uid="{57690FCB-8E2C-4D29-BD41-E8C506BCCB3E}">
      <text>
        <r>
          <rPr>
            <b/>
            <sz val="9"/>
            <color indexed="81"/>
            <rFont val="Tahoma"/>
            <charset val="1"/>
          </rPr>
          <t>- Số thứ 1: Bên mép trái
- Số thứ 2: ở giữa, bên trái cột
- Số thứ 3: Bên mép phải</t>
        </r>
      </text>
    </comment>
    <comment ref="C33" authorId="0" shapeId="0" xr:uid="{E0083E56-3E2B-4DEE-BC43-7E503850E9BA}">
      <text>
        <r>
          <rPr>
            <b/>
            <sz val="9"/>
            <color indexed="81"/>
            <rFont val="Tahoma"/>
            <family val="2"/>
          </rPr>
          <t>K/c từ giữa nhà đến trục thứ 4</t>
        </r>
      </text>
    </comment>
    <comment ref="C34" authorId="0" shapeId="0" xr:uid="{93FEFE75-9315-458A-9192-4A5B1E29CC8E}">
      <text>
        <r>
          <rPr>
            <sz val="9"/>
            <color indexed="81"/>
            <rFont val="Tahoma"/>
            <family val="2"/>
          </rPr>
          <t xml:space="preserve">K/c từ trục thứ 4 đến trục biên phải
</t>
        </r>
      </text>
    </comment>
    <comment ref="C35" authorId="0" shapeId="0" xr:uid="{2B701357-F904-4F7B-8828-96277CB8543B}">
      <text>
        <r>
          <rPr>
            <sz val="9"/>
            <color indexed="81"/>
            <rFont val="Tahoma"/>
            <family val="2"/>
          </rPr>
          <t xml:space="preserve">K/c từ trục thứ 4 đến trục biên phải
</t>
        </r>
      </text>
    </comment>
  </commentList>
</comments>
</file>

<file path=xl/sharedStrings.xml><?xml version="1.0" encoding="utf-8"?>
<sst xmlns="http://schemas.openxmlformats.org/spreadsheetml/2006/main" count="305" uniqueCount="281">
  <si>
    <t>Cao độ chân cột</t>
  </si>
  <si>
    <t>mm</t>
  </si>
  <si>
    <t>Xà gồ mái</t>
  </si>
  <si>
    <t>Z200</t>
  </si>
  <si>
    <t>Xà gồ tường</t>
  </si>
  <si>
    <t>C200</t>
  </si>
  <si>
    <t>Z150</t>
  </si>
  <si>
    <t>Z250</t>
  </si>
  <si>
    <t>Z300</t>
  </si>
  <si>
    <t>C100</t>
  </si>
  <si>
    <t>C150</t>
  </si>
  <si>
    <t>C180</t>
  </si>
  <si>
    <t>C250</t>
  </si>
  <si>
    <t>C300</t>
  </si>
  <si>
    <t>Xà gồ</t>
  </si>
  <si>
    <t>Tiết diện thép</t>
  </si>
  <si>
    <t>Tên cột</t>
  </si>
  <si>
    <t>Chiều dày bụng</t>
  </si>
  <si>
    <t>tw</t>
  </si>
  <si>
    <t>Bảng thông số cột</t>
  </si>
  <si>
    <t>Bu lông</t>
  </si>
  <si>
    <t>Tỉ lệ bản vẽ</t>
  </si>
  <si>
    <t>Tên lưới</t>
  </si>
  <si>
    <t>Bề dày bản mã liên kết (mm)</t>
  </si>
  <si>
    <t>Thông số liên kết</t>
  </si>
  <si>
    <t>Bảng thông số kèo</t>
  </si>
  <si>
    <t>Bolt</t>
  </si>
  <si>
    <t>Cách thể hiện tên cột</t>
  </si>
  <si>
    <t>Cách thể hiện tên kèo</t>
  </si>
  <si>
    <t>Total</t>
  </si>
  <si>
    <t>Chiều cao</t>
  </si>
  <si>
    <t>Bề rộng cánh</t>
  </si>
  <si>
    <t>Chiều dày cánh</t>
  </si>
  <si>
    <t>Chiều dài kèo</t>
  </si>
  <si>
    <t>H</t>
  </si>
  <si>
    <t>Bf</t>
  </si>
  <si>
    <t>Tf</t>
  </si>
  <si>
    <t>Thông số H cột (5)&amp;(13)</t>
  </si>
  <si>
    <t>Loại liên kết</t>
  </si>
  <si>
    <t>KHUNG K2</t>
  </si>
  <si>
    <t>Ngàm</t>
  </si>
  <si>
    <t>Khớp</t>
  </si>
  <si>
    <t>Z180</t>
  </si>
  <si>
    <t>Loại liên kết k</t>
  </si>
  <si>
    <t>Nách</t>
  </si>
  <si>
    <t>Liên kết</t>
  </si>
  <si>
    <t>Vị trí</t>
  </si>
  <si>
    <t>Bản mã</t>
  </si>
  <si>
    <t>Bên trái</t>
  </si>
  <si>
    <t>Khoảng cách</t>
  </si>
  <si>
    <t>Chiều cao bệ bê tông</t>
  </si>
  <si>
    <t>Chiều dày bản đế</t>
  </si>
  <si>
    <t>Khung đầu hồi</t>
  </si>
  <si>
    <t>Red</t>
  </si>
  <si>
    <t>Color</t>
  </si>
  <si>
    <t>Yellow</t>
  </si>
  <si>
    <t>Green</t>
  </si>
  <si>
    <t>Cyan</t>
  </si>
  <si>
    <t>Blue</t>
  </si>
  <si>
    <t>Magenta</t>
  </si>
  <si>
    <t>White</t>
  </si>
  <si>
    <t>Sliver</t>
  </si>
  <si>
    <t>Gray</t>
  </si>
  <si>
    <t>Hệ lưới</t>
  </si>
  <si>
    <t>Chiều dày lớp vữa</t>
  </si>
  <si>
    <t>Số bu lông bên trong kèo</t>
  </si>
  <si>
    <t>Z150x50x56x20x1.5</t>
  </si>
  <si>
    <t>Z150x50x56x20x1.8</t>
  </si>
  <si>
    <t>Z150x50x56x20x2.0</t>
  </si>
  <si>
    <t>Z150x50x56x20x2.3</t>
  </si>
  <si>
    <t>Z150x50x56x20x2.5</t>
  </si>
  <si>
    <t>Z150x62x68x20x1.5</t>
  </si>
  <si>
    <t>Z150x62x68x20x1.8</t>
  </si>
  <si>
    <t>Z150x62x68x20x2.0</t>
  </si>
  <si>
    <t>Z150x62x68x20x2.3</t>
  </si>
  <si>
    <t>Z150x62x68x20x2.5</t>
  </si>
  <si>
    <t>Z175x50x56x20x1.5</t>
  </si>
  <si>
    <t>Z175x50x56x20x1.8</t>
  </si>
  <si>
    <t>Z175x50x56x20x2.0</t>
  </si>
  <si>
    <t>Z175x50x56x20x2.3</t>
  </si>
  <si>
    <t>Z175x50x56x20x2.5</t>
  </si>
  <si>
    <t>Z175x62x68x20x1.5</t>
  </si>
  <si>
    <t>Z175x62x68x20x1.8</t>
  </si>
  <si>
    <t>Z175x62x68x20x2.0</t>
  </si>
  <si>
    <t>Z175x62x68x20x2.5</t>
  </si>
  <si>
    <t>Z200x50x56x20x1.5</t>
  </si>
  <si>
    <t>Z200x50x56x20x1.8</t>
  </si>
  <si>
    <t>Z200x50x56x20x2.0</t>
  </si>
  <si>
    <t>Z200x50x56x20x2.3</t>
  </si>
  <si>
    <t>Z200x50x56x20x2.5</t>
  </si>
  <si>
    <t>Z200x50x56x20x2.8</t>
  </si>
  <si>
    <t>Z200x50x56x20x3.0</t>
  </si>
  <si>
    <t>Z200x62x68x20x1.5</t>
  </si>
  <si>
    <t>Z200x62x68x20x1.8</t>
  </si>
  <si>
    <t>Z200x62x68x20x2.0</t>
  </si>
  <si>
    <t>Z200x62x68x20x2.3</t>
  </si>
  <si>
    <t>Z200x62x68x20x2.5</t>
  </si>
  <si>
    <t>Z200x62x68x20x2.8</t>
  </si>
  <si>
    <t>Z200x62x68x20x3.0</t>
  </si>
  <si>
    <t>Z200x72x78x20x1.5</t>
  </si>
  <si>
    <t>Z200x72x78x20x1.8</t>
  </si>
  <si>
    <t>Z200x72x78x20x2.0</t>
  </si>
  <si>
    <t>Z200x72x78x20x2.3</t>
  </si>
  <si>
    <t>Z200x72x78x20x2.5</t>
  </si>
  <si>
    <t>Z200x72x78x20x2.8</t>
  </si>
  <si>
    <t>Z200x72x78x20x3.0</t>
  </si>
  <si>
    <t>Z250x62x68x20x1.5</t>
  </si>
  <si>
    <t>Z250x62x68x20x1.8</t>
  </si>
  <si>
    <t>Z250x62x68x20x2.0</t>
  </si>
  <si>
    <t>Z250x62x68x20x2.3</t>
  </si>
  <si>
    <t>Z250x62x68x20x2.5</t>
  </si>
  <si>
    <t>Z250x62x68x20x2.8</t>
  </si>
  <si>
    <t>Z250x62x68x20x3.0</t>
  </si>
  <si>
    <t>Z250x72x78x20x1.5</t>
  </si>
  <si>
    <t>Z250x72x78x20x1.8</t>
  </si>
  <si>
    <t>Z250x72x78x20x2.0</t>
  </si>
  <si>
    <t>Z250x72x78x20x2.3</t>
  </si>
  <si>
    <t>Z250x72x78x20x2.5</t>
  </si>
  <si>
    <t>Z250x72x78x20x2.8</t>
  </si>
  <si>
    <t>Z250x72x78x20x3.0</t>
  </si>
  <si>
    <t>Z300x72x78x20x1.8</t>
  </si>
  <si>
    <t>Z300x72x78x20x2.0</t>
  </si>
  <si>
    <t>Z300x72x78x20x2.3</t>
  </si>
  <si>
    <t>Z300x72x78x20x2.5</t>
  </si>
  <si>
    <t>Z300x72x78x20x2.8</t>
  </si>
  <si>
    <t>Z300x72x78x20x3.0</t>
  </si>
  <si>
    <t>C100x50x20x1.5</t>
  </si>
  <si>
    <t>C100x50x20x1.8</t>
  </si>
  <si>
    <t>C100x50x20x2.0</t>
  </si>
  <si>
    <t>C100x50x20x2.3</t>
  </si>
  <si>
    <t>C100x50x20x2.5</t>
  </si>
  <si>
    <t>C120x50x20x1.5</t>
  </si>
  <si>
    <t>C120x50x20x1.8</t>
  </si>
  <si>
    <t>C120x50x20x2.0</t>
  </si>
  <si>
    <t>C120x50x20x2.3</t>
  </si>
  <si>
    <t>C120x50x20x2.5</t>
  </si>
  <si>
    <t>C150x50x20x1.5</t>
  </si>
  <si>
    <t>C150x50x20x1.8</t>
  </si>
  <si>
    <t>C150x50x20x2.0</t>
  </si>
  <si>
    <t>C150x50x20x2.3</t>
  </si>
  <si>
    <t>C150x50x20x2.5</t>
  </si>
  <si>
    <t>C150x65x20x1.5</t>
  </si>
  <si>
    <t>C150x65x20x1.8</t>
  </si>
  <si>
    <t>C150x65x20x2.0</t>
  </si>
  <si>
    <t>C150x65x20x2.3</t>
  </si>
  <si>
    <t>C150x65x20x2.5</t>
  </si>
  <si>
    <t>C150x75x20x1.5</t>
  </si>
  <si>
    <t>C150x75x20x1.8</t>
  </si>
  <si>
    <t>C150x75x20x2.0</t>
  </si>
  <si>
    <t>C150x75x20x2.3</t>
  </si>
  <si>
    <t>C150x75x20x2.5</t>
  </si>
  <si>
    <t>C180x50x20x1.5</t>
  </si>
  <si>
    <t>C180x50x20x1.8</t>
  </si>
  <si>
    <t>C180x50x20x2.0</t>
  </si>
  <si>
    <t>C180x50x20x2.3</t>
  </si>
  <si>
    <t>C180x50x20x2.5</t>
  </si>
  <si>
    <t>C180x65x20x1.5</t>
  </si>
  <si>
    <t>C180x65x20x1.8</t>
  </si>
  <si>
    <t>C180x65x20x2.0</t>
  </si>
  <si>
    <t>C180x65x20x2.3</t>
  </si>
  <si>
    <t>C180x65x20x2.5</t>
  </si>
  <si>
    <t>C200x50x20x1.5</t>
  </si>
  <si>
    <t>C200x50x20x1.8</t>
  </si>
  <si>
    <t>C200x50x20x2.0</t>
  </si>
  <si>
    <t>C200x50x20x2.3</t>
  </si>
  <si>
    <t>C200x50x20x2.5</t>
  </si>
  <si>
    <t>C200x50x20x2.8</t>
  </si>
  <si>
    <t>C200x50x20x3.0</t>
  </si>
  <si>
    <t>C200x65x20x1.5</t>
  </si>
  <si>
    <t>C200x65x20x1.8</t>
  </si>
  <si>
    <t>C200x65x20x2.0</t>
  </si>
  <si>
    <t>C200x65x20x2.3</t>
  </si>
  <si>
    <t>C200x65x20x2.5</t>
  </si>
  <si>
    <t>C200x65x20x2.8</t>
  </si>
  <si>
    <t>C200x65x20x3.0</t>
  </si>
  <si>
    <t>C200x70x20x1.5</t>
  </si>
  <si>
    <t>C200x70x20x1.8</t>
  </si>
  <si>
    <t>C200x70x20x2.0</t>
  </si>
  <si>
    <t>C200x70x20x2.3</t>
  </si>
  <si>
    <t>C200x70x20x2.5</t>
  </si>
  <si>
    <t>C200x70x20x2.8</t>
  </si>
  <si>
    <t>C200x70x20x3.0</t>
  </si>
  <si>
    <t>C200x100x20x1.5</t>
  </si>
  <si>
    <t>C200x100x20x1.8</t>
  </si>
  <si>
    <t>C200x100x20x2.0</t>
  </si>
  <si>
    <t>C200x100x20x2.3</t>
  </si>
  <si>
    <t>C200x100x20x2.5</t>
  </si>
  <si>
    <t>C200x100x20x2.8</t>
  </si>
  <si>
    <t>C200x100x20x3.0</t>
  </si>
  <si>
    <t>C250x65x20x1.5</t>
  </si>
  <si>
    <t>C250x65x20x1.8</t>
  </si>
  <si>
    <t>C250x65x20x2.0</t>
  </si>
  <si>
    <t>C250x65x20x2.3</t>
  </si>
  <si>
    <t>C250x65x20x2.5</t>
  </si>
  <si>
    <t>C250x65x20x2.8</t>
  </si>
  <si>
    <t>C250x65x20x3.0</t>
  </si>
  <si>
    <t>C300x65x20x1.8</t>
  </si>
  <si>
    <t>C300x65x20x2.0</t>
  </si>
  <si>
    <t>C300x65x20x2.3</t>
  </si>
  <si>
    <t>C300x65x20x2.5</t>
  </si>
  <si>
    <t>C300x65x20x2.8</t>
  </si>
  <si>
    <t>C300x65x20x3.0</t>
  </si>
  <si>
    <t>Khung thứ 1 &amp; 2</t>
  </si>
  <si>
    <t>Top / Bot</t>
  </si>
  <si>
    <t>Đoạn 1</t>
  </si>
  <si>
    <t>Phân đoạn kèo</t>
  </si>
  <si>
    <t>Đoạn 2</t>
  </si>
  <si>
    <t>Đoạn 7</t>
  </si>
  <si>
    <t>Đỉnh mái</t>
  </si>
  <si>
    <t>Chiều dài</t>
  </si>
  <si>
    <t>Chiều dày</t>
  </si>
  <si>
    <t>Đoạn 4</t>
  </si>
  <si>
    <t>Bên phải</t>
  </si>
  <si>
    <t>S-2-4</t>
  </si>
  <si>
    <t>S-4-4</t>
  </si>
  <si>
    <t>V-2-4</t>
  </si>
  <si>
    <t>V-4-4</t>
  </si>
  <si>
    <t>Loại</t>
  </si>
  <si>
    <t>Ngang</t>
  </si>
  <si>
    <t>Chiều dày tường biên bao che</t>
  </si>
  <si>
    <t>Vị trí cột</t>
  </si>
  <si>
    <t>Biên trái</t>
  </si>
  <si>
    <t>Biên phải</t>
  </si>
  <si>
    <t>Thông số về chiều cao mái</t>
  </si>
  <si>
    <t>Chưa tính lớp bao che</t>
  </si>
  <si>
    <t>K/c trục và mép cột</t>
  </si>
  <si>
    <t>Tên lệnh Autocad</t>
  </si>
  <si>
    <t>Đỉnh mái (k cột giữa)</t>
  </si>
  <si>
    <t>Đỉnh mái (cột giữa)</t>
  </si>
  <si>
    <t>Chiều cao tường biên bao che</t>
  </si>
  <si>
    <t>Max bolt</t>
  </si>
  <si>
    <t>Bước sườn</t>
  </si>
  <si>
    <r>
      <t xml:space="preserve">Gia cường sườn tăng cứng bản bụng tại </t>
    </r>
    <r>
      <rPr>
        <b/>
        <u/>
        <sz val="11"/>
        <color theme="1"/>
        <rFont val="Aptos Narrow"/>
        <family val="2"/>
        <scheme val="minor"/>
      </rPr>
      <t>kèo thép</t>
    </r>
  </si>
  <si>
    <r>
      <t xml:space="preserve">Gia cường </t>
    </r>
    <r>
      <rPr>
        <b/>
        <u/>
        <sz val="11"/>
        <color theme="1"/>
        <rFont val="Aptos Narrow"/>
        <family val="2"/>
        <scheme val="minor"/>
      </rPr>
      <t>bản bích</t>
    </r>
    <r>
      <rPr>
        <sz val="11"/>
        <color theme="1"/>
        <rFont val="Aptos Narrow"/>
        <family val="2"/>
        <scheme val="minor"/>
      </rPr>
      <t xml:space="preserve"> liên kết bu lông</t>
    </r>
  </si>
  <si>
    <t>K/c mép tường và mép cột</t>
  </si>
  <si>
    <r>
      <t xml:space="preserve">Gia cường sườn tăng cứng bản bụng tại </t>
    </r>
    <r>
      <rPr>
        <b/>
        <u/>
        <sz val="11"/>
        <color theme="1"/>
        <rFont val="Aptos Narrow"/>
        <family val="2"/>
        <scheme val="minor"/>
      </rPr>
      <t>cột</t>
    </r>
  </si>
  <si>
    <t>Đỉnh cột giữa</t>
  </si>
  <si>
    <t>K-4-2-2</t>
  </si>
  <si>
    <t>K-6-2-2</t>
  </si>
  <si>
    <t>K-4-2-4</t>
  </si>
  <si>
    <t>K-8-2-2</t>
  </si>
  <si>
    <t>K-6-2-4</t>
  </si>
  <si>
    <t>K-8-2-4</t>
  </si>
  <si>
    <t>K-4-0-2</t>
  </si>
  <si>
    <t>K-4-0-4</t>
  </si>
  <si>
    <t>K-6-0-2</t>
  </si>
  <si>
    <t>K-6-0-4</t>
  </si>
  <si>
    <t>K-6-2-6</t>
  </si>
  <si>
    <t>K-6-0-6</t>
  </si>
  <si>
    <t>K-8-0-2</t>
  </si>
  <si>
    <t>K-8-0-4</t>
  </si>
  <si>
    <t>K-10-0-2</t>
  </si>
  <si>
    <t>K-10-0-4</t>
  </si>
  <si>
    <t>K-12-0-2</t>
  </si>
  <si>
    <t>Hình dạng vai đỡ máng xối</t>
  </si>
  <si>
    <t>K/c mép</t>
  </si>
  <si>
    <t>Phân đoạn</t>
  </si>
  <si>
    <t>K1</t>
  </si>
  <si>
    <t>K2</t>
  </si>
  <si>
    <t>K3</t>
  </si>
  <si>
    <t>K4</t>
  </si>
  <si>
    <t>K6</t>
  </si>
  <si>
    <t>K5</t>
  </si>
  <si>
    <t>Giữa trái 1</t>
  </si>
  <si>
    <t>Giữa trái 2</t>
  </si>
  <si>
    <t>Giữa phải 2</t>
  </si>
  <si>
    <t>Giữa phải 1</t>
  </si>
  <si>
    <t xml:space="preserve">Đỉnh cột 1 </t>
  </si>
  <si>
    <t>400/800</t>
  </si>
  <si>
    <t>6000;6000</t>
  </si>
  <si>
    <t>K7</t>
  </si>
  <si>
    <t>Đoạn 5</t>
  </si>
  <si>
    <t>400/950</t>
  </si>
  <si>
    <t>Bề rộng mái trái thấp</t>
  </si>
  <si>
    <t>Bề rộng mái trái cao</t>
  </si>
  <si>
    <t>800/400</t>
  </si>
  <si>
    <t>400;950;400</t>
  </si>
  <si>
    <t>Kết thúc thông tin mái thấp</t>
  </si>
  <si>
    <t>VK5a</t>
  </si>
  <si>
    <t>Đoạn 6</t>
  </si>
  <si>
    <t>Kết thúc thông tin mái 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</si>
</sst>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(&quot;0&quot;)&quot;"/>
    <numFmt numFmtId="165" formatCode="&quot;M&quot;0"/>
    <numFmt numFmtId="166" formatCode="0.0%"/>
  </numFmts>
  <fonts count="3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CC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Times New Roman"/>
      <family val="1"/>
    </font>
    <font>
      <b/>
      <sz val="11"/>
      <color rgb="FFFF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color rgb="FFFF00FF"/>
      <name val="Aptos Narrow"/>
      <family val="2"/>
      <scheme val="minor"/>
    </font>
    <font>
      <sz val="20"/>
      <color rgb="FFFF00FF"/>
      <name val="Times New Roman"/>
      <family val="1"/>
    </font>
    <font>
      <sz val="20"/>
      <color rgb="FF0000CC"/>
      <name val="Times New Roman"/>
      <family val="1"/>
    </font>
    <font>
      <sz val="11"/>
      <color rgb="FF00B050"/>
      <name val="Aptos Narrow"/>
      <family val="2"/>
      <scheme val="minor"/>
    </font>
    <font>
      <sz val="11"/>
      <color rgb="FFD5D000"/>
      <name val="Aptos Narrow"/>
      <family val="2"/>
      <scheme val="minor"/>
    </font>
    <font>
      <sz val="11"/>
      <color rgb="FF00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name val="Times New Roman"/>
      <family val="1"/>
    </font>
    <font>
      <sz val="13"/>
      <name val="Times New Roman"/>
      <family val="1"/>
    </font>
    <font>
      <i/>
      <sz val="11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00CC"/>
      <name val="Aptos Narrow"/>
      <family val="2"/>
      <scheme val="minor"/>
    </font>
    <font>
      <sz val="20"/>
      <color rgb="FF006100"/>
      <name val="Aptos Narrow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4">
    <xf numFmtId="0" fontId="0" fillId="0" borderId="0"/>
    <xf numFmtId="0" fontId="19" fillId="5" borderId="0" applyNumberFormat="0" applyBorder="0" applyAlignment="0" applyProtection="0"/>
    <xf numFmtId="0" fontId="20" fillId="6" borderId="0" applyNumberFormat="0" applyBorder="0" applyAlignment="0" applyProtection="0"/>
    <xf numFmtId="9" fontId="28" fillId="0" borderId="0" applyFont="0" applyFill="0" applyBorder="0" applyAlignment="0" applyProtection="0"/>
  </cellStyleXfs>
  <cellXfs count="149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9" xfId="0" applyFont="1" applyBorder="1" applyAlignment="1">
      <alignment horizontal="center" vertical="center"/>
    </xf>
    <xf numFmtId="0" fontId="0" fillId="0" borderId="10" xfId="0" applyBorder="1"/>
    <xf numFmtId="0" fontId="3" fillId="0" borderId="9" xfId="0" applyFont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" fillId="0" borderId="6" xfId="0" applyFont="1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left" indent="1"/>
    </xf>
    <xf numFmtId="0" fontId="0" fillId="0" borderId="8" xfId="0" applyBorder="1" applyAlignment="1">
      <alignment horizontal="left" indent="1"/>
    </xf>
    <xf numFmtId="0" fontId="0" fillId="0" borderId="8" xfId="0" applyBorder="1" applyAlignment="1">
      <alignment horizontal="left" vertical="center" indent="1"/>
    </xf>
    <xf numFmtId="0" fontId="6" fillId="0" borderId="9" xfId="0" applyFont="1" applyBorder="1"/>
    <xf numFmtId="0" fontId="6" fillId="0" borderId="8" xfId="0" applyFont="1" applyBorder="1" applyAlignment="1">
      <alignment horizontal="left" vertical="center" indent="1"/>
    </xf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0" borderId="34" xfId="0" applyBorder="1"/>
    <xf numFmtId="0" fontId="0" fillId="0" borderId="35" xfId="0" applyBorder="1"/>
    <xf numFmtId="0" fontId="13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6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2" fillId="0" borderId="0" xfId="0" applyFont="1"/>
    <xf numFmtId="0" fontId="18" fillId="0" borderId="1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21" fillId="0" borderId="8" xfId="0" applyFont="1" applyBorder="1" applyAlignment="1">
      <alignment horizontal="left" indent="3"/>
    </xf>
    <xf numFmtId="0" fontId="24" fillId="8" borderId="0" xfId="0" applyFont="1" applyFill="1"/>
    <xf numFmtId="0" fontId="0" fillId="0" borderId="22" xfId="0" applyBorder="1"/>
    <xf numFmtId="0" fontId="18" fillId="0" borderId="26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0" fillId="8" borderId="0" xfId="0" applyFill="1"/>
    <xf numFmtId="0" fontId="25" fillId="8" borderId="8" xfId="0" applyFont="1" applyFill="1" applyBorder="1" applyAlignment="1">
      <alignment horizontal="left" indent="1"/>
    </xf>
    <xf numFmtId="0" fontId="3" fillId="8" borderId="9" xfId="0" applyFont="1" applyFill="1" applyBorder="1"/>
    <xf numFmtId="0" fontId="25" fillId="8" borderId="10" xfId="0" applyFont="1" applyFill="1" applyBorder="1"/>
    <xf numFmtId="0" fontId="0" fillId="0" borderId="20" xfId="0" applyBorder="1"/>
    <xf numFmtId="0" fontId="2" fillId="0" borderId="41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6" fontId="0" fillId="0" borderId="10" xfId="3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left" indent="1"/>
    </xf>
    <xf numFmtId="0" fontId="21" fillId="0" borderId="9" xfId="0" applyFont="1" applyBorder="1" applyAlignment="1">
      <alignment horizontal="left" indent="3"/>
    </xf>
    <xf numFmtId="0" fontId="26" fillId="0" borderId="14" xfId="0" applyFont="1" applyBorder="1" applyAlignment="1">
      <alignment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2" fillId="4" borderId="19" xfId="0" applyFont="1" applyFill="1" applyBorder="1" applyAlignment="1">
      <alignment horizontal="center" vertical="center"/>
    </xf>
    <xf numFmtId="0" fontId="22" fillId="4" borderId="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0" fillId="0" borderId="30" xfId="0" applyBorder="1"/>
    <xf numFmtId="0" fontId="2" fillId="0" borderId="40" xfId="0" applyFont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165" fontId="2" fillId="8" borderId="40" xfId="0" applyNumberFormat="1" applyFont="1" applyFill="1" applyBorder="1" applyAlignment="1">
      <alignment horizontal="center" vertical="center"/>
    </xf>
    <xf numFmtId="0" fontId="2" fillId="8" borderId="43" xfId="0" applyFont="1" applyFill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2" fillId="8" borderId="44" xfId="0" applyFont="1" applyFill="1" applyBorder="1" applyAlignment="1">
      <alignment horizontal="center" vertical="center"/>
    </xf>
    <xf numFmtId="165" fontId="2" fillId="8" borderId="41" xfId="0" applyNumberFormat="1" applyFont="1" applyFill="1" applyBorder="1" applyAlignment="1">
      <alignment horizontal="center" vertical="center"/>
    </xf>
    <xf numFmtId="0" fontId="2" fillId="8" borderId="45" xfId="0" applyFont="1" applyFill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left" indent="1"/>
    </xf>
    <xf numFmtId="0" fontId="2" fillId="0" borderId="7" xfId="0" applyFont="1" applyBorder="1" applyAlignment="1">
      <alignment horizontal="center" vertical="center"/>
    </xf>
    <xf numFmtId="0" fontId="19" fillId="5" borderId="1" xfId="1" applyBorder="1" applyAlignment="1">
      <alignment vertical="center"/>
    </xf>
    <xf numFmtId="0" fontId="20" fillId="6" borderId="1" xfId="2" applyBorder="1" applyAlignment="1">
      <alignment horizontal="left" vertical="center"/>
    </xf>
    <xf numFmtId="0" fontId="20" fillId="6" borderId="42" xfId="2" applyBorder="1" applyAlignment="1">
      <alignment horizontal="center" vertical="center"/>
    </xf>
    <xf numFmtId="0" fontId="20" fillId="6" borderId="44" xfId="2" applyBorder="1" applyAlignment="1">
      <alignment horizontal="center" vertical="center"/>
    </xf>
    <xf numFmtId="0" fontId="18" fillId="0" borderId="40" xfId="0" applyFont="1" applyBorder="1" applyAlignment="1">
      <alignment horizontal="center" vertical="center" wrapText="1"/>
    </xf>
    <xf numFmtId="0" fontId="18" fillId="0" borderId="41" xfId="0" applyFont="1" applyBorder="1" applyAlignment="1">
      <alignment horizontal="center" vertical="center" wrapText="1"/>
    </xf>
    <xf numFmtId="0" fontId="18" fillId="0" borderId="41" xfId="0" applyFont="1" applyBorder="1" applyAlignment="1">
      <alignment horizontal="center" vertical="center"/>
    </xf>
    <xf numFmtId="0" fontId="6" fillId="8" borderId="44" xfId="0" applyFont="1" applyFill="1" applyBorder="1" applyAlignment="1">
      <alignment horizontal="center" vertical="center"/>
    </xf>
    <xf numFmtId="165" fontId="6" fillId="8" borderId="41" xfId="0" applyNumberFormat="1" applyFont="1" applyFill="1" applyBorder="1" applyAlignment="1">
      <alignment horizontal="center" vertical="center"/>
    </xf>
    <xf numFmtId="0" fontId="6" fillId="8" borderId="45" xfId="0" applyFont="1" applyFill="1" applyBorder="1" applyAlignment="1">
      <alignment horizontal="center" vertical="center"/>
    </xf>
    <xf numFmtId="0" fontId="3" fillId="0" borderId="31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32" xfId="0" applyFont="1" applyBorder="1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0" fontId="30" fillId="5" borderId="0" xfId="1" applyFont="1" applyBorder="1" applyAlignment="1">
      <alignment horizontal="center" vertical="center"/>
    </xf>
    <xf numFmtId="0" fontId="22" fillId="4" borderId="36" xfId="0" applyFont="1" applyFill="1" applyBorder="1" applyAlignment="1">
      <alignment horizontal="center" vertical="center" wrapText="1"/>
    </xf>
    <xf numFmtId="0" fontId="22" fillId="4" borderId="38" xfId="0" applyFont="1" applyFill="1" applyBorder="1" applyAlignment="1">
      <alignment horizontal="center" vertical="center" wrapText="1"/>
    </xf>
    <xf numFmtId="0" fontId="22" fillId="4" borderId="19" xfId="0" applyFont="1" applyFill="1" applyBorder="1" applyAlignment="1">
      <alignment horizontal="center" vertical="center" wrapText="1"/>
    </xf>
    <xf numFmtId="0" fontId="22" fillId="4" borderId="21" xfId="0" applyFont="1" applyFill="1" applyBorder="1" applyAlignment="1">
      <alignment horizontal="center" vertical="center" wrapText="1"/>
    </xf>
    <xf numFmtId="0" fontId="22" fillId="4" borderId="23" xfId="0" applyFont="1" applyFill="1" applyBorder="1" applyAlignment="1">
      <alignment horizontal="center" vertical="center" wrapText="1"/>
    </xf>
    <xf numFmtId="0" fontId="22" fillId="4" borderId="39" xfId="0" applyFont="1" applyFill="1" applyBorder="1" applyAlignment="1">
      <alignment horizontal="center" vertical="center" wrapText="1"/>
    </xf>
    <xf numFmtId="0" fontId="22" fillId="4" borderId="26" xfId="0" applyFont="1" applyFill="1" applyBorder="1" applyAlignment="1">
      <alignment horizontal="center" vertical="center" wrapText="1"/>
    </xf>
    <xf numFmtId="0" fontId="22" fillId="4" borderId="4" xfId="0" applyFont="1" applyFill="1" applyBorder="1" applyAlignment="1">
      <alignment horizontal="center" vertical="center" wrapText="1"/>
    </xf>
    <xf numFmtId="0" fontId="22" fillId="4" borderId="24" xfId="0" applyFont="1" applyFill="1" applyBorder="1" applyAlignment="1">
      <alignment horizontal="center"/>
    </xf>
    <xf numFmtId="0" fontId="22" fillId="4" borderId="25" xfId="0" applyFont="1" applyFill="1" applyBorder="1" applyAlignment="1">
      <alignment horizontal="center"/>
    </xf>
    <xf numFmtId="0" fontId="22" fillId="4" borderId="23" xfId="0" applyFont="1" applyFill="1" applyBorder="1" applyAlignment="1">
      <alignment horizontal="center"/>
    </xf>
    <xf numFmtId="0" fontId="22" fillId="4" borderId="39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 vertical="center" wrapText="1"/>
    </xf>
    <xf numFmtId="0" fontId="22" fillId="4" borderId="37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22" fillId="4" borderId="2" xfId="0" applyFont="1" applyFill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22" fillId="4" borderId="1" xfId="0" applyFont="1" applyFill="1" applyBorder="1" applyAlignment="1">
      <alignment horizontal="center"/>
    </xf>
    <xf numFmtId="0" fontId="22" fillId="4" borderId="4" xfId="0" applyFont="1" applyFill="1" applyBorder="1" applyAlignment="1">
      <alignment horizontal="center"/>
    </xf>
    <xf numFmtId="0" fontId="23" fillId="4" borderId="26" xfId="0" quotePrefix="1" applyFont="1" applyFill="1" applyBorder="1" applyAlignment="1">
      <alignment horizontal="center" vertical="center" wrapText="1"/>
    </xf>
    <xf numFmtId="0" fontId="23" fillId="4" borderId="36" xfId="0" quotePrefix="1" applyFont="1" applyFill="1" applyBorder="1" applyAlignment="1">
      <alignment horizontal="center" vertical="center" wrapText="1"/>
    </xf>
    <xf numFmtId="0" fontId="23" fillId="4" borderId="1" xfId="0" quotePrefix="1" applyFont="1" applyFill="1" applyBorder="1" applyAlignment="1">
      <alignment horizontal="center" vertical="center" wrapText="1"/>
    </xf>
    <xf numFmtId="0" fontId="23" fillId="4" borderId="2" xfId="0" quotePrefix="1" applyFont="1" applyFill="1" applyBorder="1" applyAlignment="1">
      <alignment horizontal="center" vertical="center" wrapText="1"/>
    </xf>
    <xf numFmtId="0" fontId="23" fillId="4" borderId="27" xfId="0" quotePrefix="1" applyFont="1" applyFill="1" applyBorder="1" applyAlignment="1">
      <alignment horizontal="center" vertical="center" wrapText="1"/>
    </xf>
    <xf numFmtId="0" fontId="23" fillId="4" borderId="33" xfId="0" quotePrefix="1" applyFont="1" applyFill="1" applyBorder="1" applyAlignment="1">
      <alignment horizontal="center" vertical="center" wrapText="1"/>
    </xf>
    <xf numFmtId="0" fontId="0" fillId="0" borderId="19" xfId="0" applyBorder="1" applyAlignment="1">
      <alignment horizontal="left" wrapText="1" indent="1"/>
    </xf>
    <xf numFmtId="0" fontId="0" fillId="0" borderId="20" xfId="0" applyBorder="1" applyAlignment="1">
      <alignment horizontal="left" wrapText="1" indent="1"/>
    </xf>
    <xf numFmtId="0" fontId="0" fillId="0" borderId="18" xfId="0" applyBorder="1" applyAlignment="1">
      <alignment horizontal="left" wrapText="1" indent="1"/>
    </xf>
    <xf numFmtId="0" fontId="0" fillId="0" borderId="14" xfId="0" applyBorder="1" applyAlignment="1">
      <alignment horizontal="left" wrapText="1" indent="1"/>
    </xf>
    <xf numFmtId="0" fontId="0" fillId="0" borderId="19" xfId="0" applyBorder="1" applyAlignment="1">
      <alignment horizontal="left" vertical="center" wrapText="1" indent="1"/>
    </xf>
    <xf numFmtId="0" fontId="0" fillId="0" borderId="20" xfId="0" applyBorder="1" applyAlignment="1">
      <alignment horizontal="left" vertical="center" wrapText="1" indent="1"/>
    </xf>
    <xf numFmtId="0" fontId="0" fillId="0" borderId="18" xfId="0" applyBorder="1" applyAlignment="1">
      <alignment horizontal="left" vertical="center" wrapText="1" indent="1"/>
    </xf>
    <xf numFmtId="0" fontId="0" fillId="0" borderId="14" xfId="0" applyBorder="1" applyAlignment="1">
      <alignment horizontal="left" vertical="center" wrapText="1" indent="1"/>
    </xf>
    <xf numFmtId="0" fontId="22" fillId="4" borderId="27" xfId="0" applyFont="1" applyFill="1" applyBorder="1" applyAlignment="1">
      <alignment horizontal="center" vertical="center" wrapText="1"/>
    </xf>
    <xf numFmtId="0" fontId="22" fillId="4" borderId="27" xfId="0" applyFont="1" applyFill="1" applyBorder="1" applyAlignment="1">
      <alignment horizontal="center"/>
    </xf>
    <xf numFmtId="0" fontId="22" fillId="4" borderId="3" xfId="0" applyFont="1" applyFill="1" applyBorder="1" applyAlignment="1">
      <alignment horizontal="center" vertical="center" wrapText="1"/>
    </xf>
    <xf numFmtId="0" fontId="22" fillId="4" borderId="1" xfId="0" applyFont="1" applyFill="1" applyBorder="1" applyAlignment="1">
      <alignment horizontal="center" vertical="center"/>
    </xf>
    <xf numFmtId="0" fontId="22" fillId="4" borderId="2" xfId="0" applyFont="1" applyFill="1" applyBorder="1" applyAlignment="1">
      <alignment horizontal="center" vertical="center"/>
    </xf>
    <xf numFmtId="0" fontId="1" fillId="9" borderId="4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9" borderId="49" xfId="0" applyFont="1" applyFill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2" fillId="0" borderId="46" xfId="0" applyFont="1" applyBorder="1" applyAlignment="1">
      <alignment vertical="center"/>
    </xf>
    <xf numFmtId="0" fontId="2" fillId="0" borderId="47" xfId="0" applyFont="1" applyBorder="1" applyAlignment="1">
      <alignment vertical="center"/>
    </xf>
    <xf numFmtId="0" fontId="0" fillId="10" borderId="0" xfId="0" applyFill="1"/>
  </cellXfs>
  <cellStyles count="4">
    <cellStyle name="Good" xfId="1" builtinId="26"/>
    <cellStyle name="Neutral" xfId="2" builtinId="28"/>
    <cellStyle name="Normal" xfId="0" builtinId="0"/>
    <cellStyle name="Percent" xfId="3" builtinId="5"/>
  </cellStyles>
  <dxfs count="2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FF"/>
      <color rgb="FF0000CC"/>
      <color rgb="FFFF00FF"/>
      <color rgb="FFCC00CC"/>
      <color rgb="FF00FFFF"/>
      <color rgb="FFD5D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2C3D5-9914-48F2-9DB7-B1DCDDBAA579}">
  <sheetPr codeName="Sheet1"/>
  <dimension ref="A1:Y136"/>
  <sheetViews>
    <sheetView showGridLines="0" zoomScale="175" zoomScaleNormal="175" workbookViewId="0">
      <selection activeCell="I14" sqref="I14"/>
    </sheetView>
  </sheetViews>
  <sheetFormatPr defaultRowHeight="15" x14ac:dyDescent="0.25"/>
  <cols>
    <col min="24" max="24" width="22.42578125" bestFit="1" customWidth="1"/>
  </cols>
  <sheetData>
    <row r="1" spans="1:25" ht="15" customHeight="1" x14ac:dyDescent="0.25">
      <c r="A1" s="2" t="s">
        <v>14</v>
      </c>
      <c r="B1" s="2" t="s">
        <v>20</v>
      </c>
      <c r="E1" s="96" t="s">
        <v>38</v>
      </c>
      <c r="G1" s="96" t="s">
        <v>43</v>
      </c>
      <c r="K1" s="96" t="s">
        <v>54</v>
      </c>
      <c r="X1" s="38" t="s">
        <v>66</v>
      </c>
      <c r="Y1" t="s">
        <v>52</v>
      </c>
    </row>
    <row r="2" spans="1:25" ht="15" customHeight="1" x14ac:dyDescent="0.25">
      <c r="A2" s="1" t="s">
        <v>6</v>
      </c>
      <c r="B2" s="1">
        <v>12</v>
      </c>
      <c r="E2" s="97"/>
      <c r="G2" s="97"/>
      <c r="K2" s="97"/>
      <c r="X2" s="38" t="s">
        <v>67</v>
      </c>
      <c r="Y2" t="s">
        <v>202</v>
      </c>
    </row>
    <row r="3" spans="1:25" ht="15" customHeight="1" x14ac:dyDescent="0.25">
      <c r="A3" s="1" t="s">
        <v>42</v>
      </c>
      <c r="B3" s="1">
        <v>16</v>
      </c>
      <c r="E3" s="1" t="s">
        <v>213</v>
      </c>
      <c r="G3" s="80" t="s">
        <v>243</v>
      </c>
      <c r="I3" s="1" t="s">
        <v>40</v>
      </c>
      <c r="K3" s="29" t="s">
        <v>53</v>
      </c>
      <c r="X3" s="38" t="s">
        <v>68</v>
      </c>
    </row>
    <row r="4" spans="1:25" ht="15" customHeight="1" x14ac:dyDescent="0.25">
      <c r="A4" s="1" t="s">
        <v>3</v>
      </c>
      <c r="B4" s="1">
        <v>20</v>
      </c>
      <c r="E4" s="1" t="s">
        <v>214</v>
      </c>
      <c r="G4" s="80" t="s">
        <v>244</v>
      </c>
      <c r="I4" s="1" t="s">
        <v>41</v>
      </c>
      <c r="K4" s="31" t="s">
        <v>55</v>
      </c>
      <c r="X4" s="38" t="s">
        <v>69</v>
      </c>
    </row>
    <row r="5" spans="1:25" ht="15" customHeight="1" x14ac:dyDescent="0.25">
      <c r="A5" s="1" t="s">
        <v>7</v>
      </c>
      <c r="B5" s="1">
        <v>24</v>
      </c>
      <c r="E5" s="1" t="s">
        <v>215</v>
      </c>
      <c r="G5" s="80" t="s">
        <v>237</v>
      </c>
      <c r="K5" s="30" t="s">
        <v>56</v>
      </c>
      <c r="X5" s="38" t="s">
        <v>70</v>
      </c>
    </row>
    <row r="6" spans="1:25" ht="15" customHeight="1" x14ac:dyDescent="0.25">
      <c r="A6" s="1" t="s">
        <v>8</v>
      </c>
      <c r="B6" s="1">
        <v>27</v>
      </c>
      <c r="E6" s="1" t="s">
        <v>216</v>
      </c>
      <c r="G6" s="80" t="s">
        <v>239</v>
      </c>
      <c r="K6" s="32" t="s">
        <v>57</v>
      </c>
      <c r="X6" s="38" t="s">
        <v>71</v>
      </c>
    </row>
    <row r="7" spans="1:25" ht="15" customHeight="1" x14ac:dyDescent="0.25">
      <c r="A7" s="1" t="s">
        <v>9</v>
      </c>
      <c r="B7" s="1">
        <v>30</v>
      </c>
      <c r="G7" s="80" t="s">
        <v>245</v>
      </c>
      <c r="K7" s="33" t="s">
        <v>58</v>
      </c>
      <c r="X7" s="38" t="s">
        <v>72</v>
      </c>
    </row>
    <row r="8" spans="1:25" ht="15" customHeight="1" x14ac:dyDescent="0.25">
      <c r="A8" s="1" t="s">
        <v>10</v>
      </c>
      <c r="B8" s="1">
        <v>36</v>
      </c>
      <c r="G8" s="80" t="s">
        <v>246</v>
      </c>
      <c r="K8" s="34" t="s">
        <v>59</v>
      </c>
      <c r="X8" s="38" t="s">
        <v>73</v>
      </c>
    </row>
    <row r="9" spans="1:25" ht="15" customHeight="1" x14ac:dyDescent="0.25">
      <c r="A9" s="1" t="s">
        <v>11</v>
      </c>
      <c r="B9" s="1">
        <v>42</v>
      </c>
      <c r="G9" s="80" t="s">
        <v>248</v>
      </c>
      <c r="K9" t="s">
        <v>60</v>
      </c>
      <c r="X9" s="38" t="s">
        <v>74</v>
      </c>
    </row>
    <row r="10" spans="1:25" ht="15" customHeight="1" x14ac:dyDescent="0.25">
      <c r="A10" s="1" t="s">
        <v>5</v>
      </c>
      <c r="G10" s="80" t="s">
        <v>238</v>
      </c>
      <c r="K10" t="s">
        <v>61</v>
      </c>
      <c r="X10" s="38" t="s">
        <v>75</v>
      </c>
    </row>
    <row r="11" spans="1:25" ht="15" customHeight="1" x14ac:dyDescent="0.25">
      <c r="A11" s="1" t="s">
        <v>12</v>
      </c>
      <c r="G11" s="80" t="s">
        <v>241</v>
      </c>
      <c r="K11" t="s">
        <v>62</v>
      </c>
      <c r="X11" s="38" t="s">
        <v>76</v>
      </c>
    </row>
    <row r="12" spans="1:25" ht="15" customHeight="1" x14ac:dyDescent="0.25">
      <c r="A12" s="1" t="s">
        <v>13</v>
      </c>
      <c r="G12" s="80" t="s">
        <v>247</v>
      </c>
      <c r="X12" s="38" t="s">
        <v>77</v>
      </c>
    </row>
    <row r="13" spans="1:25" ht="15" customHeight="1" x14ac:dyDescent="0.25">
      <c r="G13" s="80" t="s">
        <v>249</v>
      </c>
      <c r="X13" s="38" t="s">
        <v>78</v>
      </c>
    </row>
    <row r="14" spans="1:25" ht="15" customHeight="1" x14ac:dyDescent="0.25">
      <c r="G14" s="80" t="s">
        <v>250</v>
      </c>
      <c r="X14" s="38" t="s">
        <v>79</v>
      </c>
    </row>
    <row r="15" spans="1:25" ht="15" customHeight="1" x14ac:dyDescent="0.25">
      <c r="A15" s="28"/>
      <c r="G15" s="80" t="s">
        <v>240</v>
      </c>
      <c r="X15" s="38" t="s">
        <v>80</v>
      </c>
    </row>
    <row r="16" spans="1:25" ht="15" customHeight="1" x14ac:dyDescent="0.25">
      <c r="A16" s="27"/>
      <c r="G16" s="80" t="s">
        <v>242</v>
      </c>
      <c r="X16" s="38" t="s">
        <v>81</v>
      </c>
    </row>
    <row r="17" spans="7:24" ht="15" customHeight="1" x14ac:dyDescent="0.25">
      <c r="G17" s="1" t="s">
        <v>251</v>
      </c>
      <c r="X17" s="38" t="s">
        <v>82</v>
      </c>
    </row>
    <row r="18" spans="7:24" ht="15" customHeight="1" x14ac:dyDescent="0.25">
      <c r="G18" s="1" t="s">
        <v>252</v>
      </c>
      <c r="X18" s="38" t="s">
        <v>83</v>
      </c>
    </row>
    <row r="19" spans="7:24" ht="15" customHeight="1" x14ac:dyDescent="0.25">
      <c r="G19" s="1" t="s">
        <v>253</v>
      </c>
      <c r="X19" s="38" t="s">
        <v>84</v>
      </c>
    </row>
    <row r="20" spans="7:24" ht="15" customHeight="1" x14ac:dyDescent="0.25">
      <c r="X20" s="38" t="s">
        <v>85</v>
      </c>
    </row>
    <row r="21" spans="7:24" ht="15" customHeight="1" x14ac:dyDescent="0.25">
      <c r="X21" s="38" t="s">
        <v>86</v>
      </c>
    </row>
    <row r="22" spans="7:24" ht="15" customHeight="1" x14ac:dyDescent="0.25">
      <c r="X22" s="38" t="s">
        <v>87</v>
      </c>
    </row>
    <row r="23" spans="7:24" ht="15" customHeight="1" x14ac:dyDescent="0.25">
      <c r="X23" s="38" t="s">
        <v>88</v>
      </c>
    </row>
    <row r="24" spans="7:24" ht="15" customHeight="1" x14ac:dyDescent="0.25">
      <c r="X24" s="38" t="s">
        <v>89</v>
      </c>
    </row>
    <row r="25" spans="7:24" ht="15" customHeight="1" x14ac:dyDescent="0.25">
      <c r="X25" s="38" t="s">
        <v>90</v>
      </c>
    </row>
    <row r="26" spans="7:24" ht="15" customHeight="1" x14ac:dyDescent="0.25">
      <c r="X26" s="38" t="s">
        <v>91</v>
      </c>
    </row>
    <row r="27" spans="7:24" ht="15" customHeight="1" x14ac:dyDescent="0.25">
      <c r="X27" s="38" t="s">
        <v>92</v>
      </c>
    </row>
    <row r="28" spans="7:24" ht="15" customHeight="1" x14ac:dyDescent="0.25">
      <c r="X28" s="38" t="s">
        <v>93</v>
      </c>
    </row>
    <row r="29" spans="7:24" ht="16.5" x14ac:dyDescent="0.25">
      <c r="X29" s="38" t="s">
        <v>94</v>
      </c>
    </row>
    <row r="30" spans="7:24" ht="16.5" x14ac:dyDescent="0.25">
      <c r="X30" s="38" t="s">
        <v>95</v>
      </c>
    </row>
    <row r="31" spans="7:24" ht="16.5" x14ac:dyDescent="0.25">
      <c r="X31" s="38" t="s">
        <v>96</v>
      </c>
    </row>
    <row r="32" spans="7:24" ht="16.5" x14ac:dyDescent="0.25">
      <c r="X32" s="38" t="s">
        <v>97</v>
      </c>
    </row>
    <row r="33" spans="24:24" ht="16.5" x14ac:dyDescent="0.25">
      <c r="X33" s="38" t="s">
        <v>98</v>
      </c>
    </row>
    <row r="34" spans="24:24" ht="16.5" x14ac:dyDescent="0.25">
      <c r="X34" s="38" t="s">
        <v>99</v>
      </c>
    </row>
    <row r="35" spans="24:24" ht="16.5" x14ac:dyDescent="0.25">
      <c r="X35" s="38" t="s">
        <v>100</v>
      </c>
    </row>
    <row r="36" spans="24:24" ht="16.5" x14ac:dyDescent="0.25">
      <c r="X36" s="38" t="s">
        <v>101</v>
      </c>
    </row>
    <row r="37" spans="24:24" ht="16.5" x14ac:dyDescent="0.25">
      <c r="X37" s="38" t="s">
        <v>102</v>
      </c>
    </row>
    <row r="38" spans="24:24" ht="16.5" x14ac:dyDescent="0.25">
      <c r="X38" s="38" t="s">
        <v>103</v>
      </c>
    </row>
    <row r="39" spans="24:24" ht="16.5" x14ac:dyDescent="0.25">
      <c r="X39" s="38" t="s">
        <v>104</v>
      </c>
    </row>
    <row r="40" spans="24:24" ht="16.5" x14ac:dyDescent="0.25">
      <c r="X40" s="38" t="s">
        <v>105</v>
      </c>
    </row>
    <row r="41" spans="24:24" ht="16.5" x14ac:dyDescent="0.25">
      <c r="X41" s="38" t="s">
        <v>106</v>
      </c>
    </row>
    <row r="42" spans="24:24" ht="16.5" x14ac:dyDescent="0.25">
      <c r="X42" s="38" t="s">
        <v>107</v>
      </c>
    </row>
    <row r="43" spans="24:24" ht="16.5" x14ac:dyDescent="0.25">
      <c r="X43" s="38" t="s">
        <v>108</v>
      </c>
    </row>
    <row r="44" spans="24:24" ht="16.5" x14ac:dyDescent="0.25">
      <c r="X44" s="38" t="s">
        <v>109</v>
      </c>
    </row>
    <row r="45" spans="24:24" ht="16.5" x14ac:dyDescent="0.25">
      <c r="X45" s="38" t="s">
        <v>110</v>
      </c>
    </row>
    <row r="46" spans="24:24" ht="16.5" x14ac:dyDescent="0.25">
      <c r="X46" s="38" t="s">
        <v>111</v>
      </c>
    </row>
    <row r="47" spans="24:24" ht="16.5" x14ac:dyDescent="0.25">
      <c r="X47" s="38" t="s">
        <v>112</v>
      </c>
    </row>
    <row r="48" spans="24:24" ht="16.5" x14ac:dyDescent="0.25">
      <c r="X48" s="38" t="s">
        <v>113</v>
      </c>
    </row>
    <row r="49" spans="24:24" ht="16.5" x14ac:dyDescent="0.25">
      <c r="X49" s="38" t="s">
        <v>114</v>
      </c>
    </row>
    <row r="50" spans="24:24" ht="16.5" x14ac:dyDescent="0.25">
      <c r="X50" s="38" t="s">
        <v>115</v>
      </c>
    </row>
    <row r="51" spans="24:24" ht="16.5" x14ac:dyDescent="0.25">
      <c r="X51" s="38" t="s">
        <v>116</v>
      </c>
    </row>
    <row r="52" spans="24:24" ht="16.5" x14ac:dyDescent="0.25">
      <c r="X52" s="38" t="s">
        <v>117</v>
      </c>
    </row>
    <row r="53" spans="24:24" ht="16.5" x14ac:dyDescent="0.25">
      <c r="X53" s="38" t="s">
        <v>118</v>
      </c>
    </row>
    <row r="54" spans="24:24" ht="16.5" x14ac:dyDescent="0.25">
      <c r="X54" s="38" t="s">
        <v>119</v>
      </c>
    </row>
    <row r="55" spans="24:24" ht="16.5" x14ac:dyDescent="0.25">
      <c r="X55" s="38" t="s">
        <v>120</v>
      </c>
    </row>
    <row r="56" spans="24:24" ht="16.5" x14ac:dyDescent="0.25">
      <c r="X56" s="38" t="s">
        <v>121</v>
      </c>
    </row>
    <row r="57" spans="24:24" ht="16.5" x14ac:dyDescent="0.25">
      <c r="X57" s="38" t="s">
        <v>122</v>
      </c>
    </row>
    <row r="58" spans="24:24" ht="16.5" x14ac:dyDescent="0.25">
      <c r="X58" s="38" t="s">
        <v>123</v>
      </c>
    </row>
    <row r="59" spans="24:24" ht="16.5" x14ac:dyDescent="0.25">
      <c r="X59" s="38" t="s">
        <v>124</v>
      </c>
    </row>
    <row r="60" spans="24:24" ht="16.5" x14ac:dyDescent="0.25">
      <c r="X60" s="38" t="s">
        <v>125</v>
      </c>
    </row>
    <row r="61" spans="24:24" ht="16.5" x14ac:dyDescent="0.25">
      <c r="X61" s="38" t="s">
        <v>126</v>
      </c>
    </row>
    <row r="62" spans="24:24" ht="16.5" x14ac:dyDescent="0.25">
      <c r="X62" s="38" t="s">
        <v>127</v>
      </c>
    </row>
    <row r="63" spans="24:24" ht="16.5" x14ac:dyDescent="0.25">
      <c r="X63" s="38" t="s">
        <v>128</v>
      </c>
    </row>
    <row r="64" spans="24:24" ht="16.5" x14ac:dyDescent="0.25">
      <c r="X64" s="38" t="s">
        <v>129</v>
      </c>
    </row>
    <row r="65" spans="24:24" ht="16.5" x14ac:dyDescent="0.25">
      <c r="X65" s="38" t="s">
        <v>130</v>
      </c>
    </row>
    <row r="66" spans="24:24" ht="16.5" x14ac:dyDescent="0.25">
      <c r="X66" s="38" t="s">
        <v>131</v>
      </c>
    </row>
    <row r="67" spans="24:24" ht="16.5" x14ac:dyDescent="0.25">
      <c r="X67" s="38" t="s">
        <v>132</v>
      </c>
    </row>
    <row r="68" spans="24:24" ht="16.5" x14ac:dyDescent="0.25">
      <c r="X68" s="38" t="s">
        <v>133</v>
      </c>
    </row>
    <row r="69" spans="24:24" ht="16.5" x14ac:dyDescent="0.25">
      <c r="X69" s="38" t="s">
        <v>134</v>
      </c>
    </row>
    <row r="70" spans="24:24" ht="16.5" x14ac:dyDescent="0.25">
      <c r="X70" s="38" t="s">
        <v>135</v>
      </c>
    </row>
    <row r="71" spans="24:24" ht="16.5" x14ac:dyDescent="0.25">
      <c r="X71" s="38" t="s">
        <v>136</v>
      </c>
    </row>
    <row r="72" spans="24:24" ht="16.5" x14ac:dyDescent="0.25">
      <c r="X72" s="38" t="s">
        <v>137</v>
      </c>
    </row>
    <row r="73" spans="24:24" ht="16.5" x14ac:dyDescent="0.25">
      <c r="X73" s="38" t="s">
        <v>138</v>
      </c>
    </row>
    <row r="74" spans="24:24" ht="16.5" x14ac:dyDescent="0.25">
      <c r="X74" s="38" t="s">
        <v>139</v>
      </c>
    </row>
    <row r="75" spans="24:24" ht="16.5" x14ac:dyDescent="0.25">
      <c r="X75" s="38" t="s">
        <v>140</v>
      </c>
    </row>
    <row r="76" spans="24:24" ht="16.5" x14ac:dyDescent="0.25">
      <c r="X76" s="38" t="s">
        <v>141</v>
      </c>
    </row>
    <row r="77" spans="24:24" ht="16.5" x14ac:dyDescent="0.25">
      <c r="X77" s="38" t="s">
        <v>142</v>
      </c>
    </row>
    <row r="78" spans="24:24" ht="16.5" x14ac:dyDescent="0.25">
      <c r="X78" s="38" t="s">
        <v>143</v>
      </c>
    </row>
    <row r="79" spans="24:24" ht="16.5" x14ac:dyDescent="0.25">
      <c r="X79" s="38" t="s">
        <v>144</v>
      </c>
    </row>
    <row r="80" spans="24:24" ht="16.5" x14ac:dyDescent="0.25">
      <c r="X80" s="38" t="s">
        <v>145</v>
      </c>
    </row>
    <row r="81" spans="24:24" ht="16.5" x14ac:dyDescent="0.25">
      <c r="X81" s="38" t="s">
        <v>146</v>
      </c>
    </row>
    <row r="82" spans="24:24" ht="16.5" x14ac:dyDescent="0.25">
      <c r="X82" s="38" t="s">
        <v>147</v>
      </c>
    </row>
    <row r="83" spans="24:24" ht="16.5" x14ac:dyDescent="0.25">
      <c r="X83" s="38" t="s">
        <v>148</v>
      </c>
    </row>
    <row r="84" spans="24:24" ht="16.5" x14ac:dyDescent="0.25">
      <c r="X84" s="38" t="s">
        <v>149</v>
      </c>
    </row>
    <row r="85" spans="24:24" ht="16.5" x14ac:dyDescent="0.25">
      <c r="X85" s="38" t="s">
        <v>150</v>
      </c>
    </row>
    <row r="86" spans="24:24" ht="16.5" x14ac:dyDescent="0.25">
      <c r="X86" s="38" t="s">
        <v>151</v>
      </c>
    </row>
    <row r="87" spans="24:24" ht="16.5" x14ac:dyDescent="0.25">
      <c r="X87" s="38" t="s">
        <v>152</v>
      </c>
    </row>
    <row r="88" spans="24:24" ht="16.5" x14ac:dyDescent="0.25">
      <c r="X88" s="38" t="s">
        <v>153</v>
      </c>
    </row>
    <row r="89" spans="24:24" ht="16.5" x14ac:dyDescent="0.25">
      <c r="X89" s="38" t="s">
        <v>154</v>
      </c>
    </row>
    <row r="90" spans="24:24" ht="16.5" x14ac:dyDescent="0.25">
      <c r="X90" s="38" t="s">
        <v>155</v>
      </c>
    </row>
    <row r="91" spans="24:24" ht="16.5" x14ac:dyDescent="0.25">
      <c r="X91" s="38" t="s">
        <v>156</v>
      </c>
    </row>
    <row r="92" spans="24:24" ht="16.5" x14ac:dyDescent="0.25">
      <c r="X92" s="38" t="s">
        <v>157</v>
      </c>
    </row>
    <row r="93" spans="24:24" ht="16.5" x14ac:dyDescent="0.25">
      <c r="X93" s="38" t="s">
        <v>158</v>
      </c>
    </row>
    <row r="94" spans="24:24" ht="16.5" x14ac:dyDescent="0.25">
      <c r="X94" s="38" t="s">
        <v>159</v>
      </c>
    </row>
    <row r="95" spans="24:24" ht="16.5" x14ac:dyDescent="0.25">
      <c r="X95" s="38" t="s">
        <v>160</v>
      </c>
    </row>
    <row r="96" spans="24:24" ht="16.5" x14ac:dyDescent="0.25">
      <c r="X96" s="38" t="s">
        <v>161</v>
      </c>
    </row>
    <row r="97" spans="24:24" ht="16.5" x14ac:dyDescent="0.25">
      <c r="X97" s="38" t="s">
        <v>162</v>
      </c>
    </row>
    <row r="98" spans="24:24" ht="16.5" x14ac:dyDescent="0.25">
      <c r="X98" s="38" t="s">
        <v>163</v>
      </c>
    </row>
    <row r="99" spans="24:24" ht="16.5" x14ac:dyDescent="0.25">
      <c r="X99" s="38" t="s">
        <v>164</v>
      </c>
    </row>
    <row r="100" spans="24:24" ht="16.5" x14ac:dyDescent="0.25">
      <c r="X100" s="38" t="s">
        <v>165</v>
      </c>
    </row>
    <row r="101" spans="24:24" ht="16.5" x14ac:dyDescent="0.25">
      <c r="X101" s="38" t="s">
        <v>166</v>
      </c>
    </row>
    <row r="102" spans="24:24" ht="16.5" x14ac:dyDescent="0.25">
      <c r="X102" s="38" t="s">
        <v>167</v>
      </c>
    </row>
    <row r="103" spans="24:24" ht="16.5" x14ac:dyDescent="0.25">
      <c r="X103" s="38" t="s">
        <v>168</v>
      </c>
    </row>
    <row r="104" spans="24:24" ht="16.5" x14ac:dyDescent="0.25">
      <c r="X104" s="38" t="s">
        <v>169</v>
      </c>
    </row>
    <row r="105" spans="24:24" ht="16.5" x14ac:dyDescent="0.25">
      <c r="X105" s="38" t="s">
        <v>170</v>
      </c>
    </row>
    <row r="106" spans="24:24" ht="16.5" x14ac:dyDescent="0.25">
      <c r="X106" s="38" t="s">
        <v>171</v>
      </c>
    </row>
    <row r="107" spans="24:24" ht="16.5" x14ac:dyDescent="0.25">
      <c r="X107" s="38" t="s">
        <v>172</v>
      </c>
    </row>
    <row r="108" spans="24:24" ht="16.5" x14ac:dyDescent="0.25">
      <c r="X108" s="38" t="s">
        <v>173</v>
      </c>
    </row>
    <row r="109" spans="24:24" ht="16.5" x14ac:dyDescent="0.25">
      <c r="X109" s="38" t="s">
        <v>174</v>
      </c>
    </row>
    <row r="110" spans="24:24" ht="16.5" x14ac:dyDescent="0.25">
      <c r="X110" s="38" t="s">
        <v>175</v>
      </c>
    </row>
    <row r="111" spans="24:24" ht="16.5" x14ac:dyDescent="0.25">
      <c r="X111" s="38" t="s">
        <v>176</v>
      </c>
    </row>
    <row r="112" spans="24:24" ht="16.5" x14ac:dyDescent="0.25">
      <c r="X112" s="38" t="s">
        <v>177</v>
      </c>
    </row>
    <row r="113" spans="24:24" ht="16.5" x14ac:dyDescent="0.25">
      <c r="X113" s="38" t="s">
        <v>178</v>
      </c>
    </row>
    <row r="114" spans="24:24" ht="16.5" x14ac:dyDescent="0.25">
      <c r="X114" s="38" t="s">
        <v>179</v>
      </c>
    </row>
    <row r="115" spans="24:24" ht="16.5" x14ac:dyDescent="0.25">
      <c r="X115" s="38" t="s">
        <v>180</v>
      </c>
    </row>
    <row r="116" spans="24:24" ht="16.5" x14ac:dyDescent="0.25">
      <c r="X116" s="38" t="s">
        <v>181</v>
      </c>
    </row>
    <row r="117" spans="24:24" ht="16.5" x14ac:dyDescent="0.25">
      <c r="X117" s="38" t="s">
        <v>182</v>
      </c>
    </row>
    <row r="118" spans="24:24" ht="16.5" x14ac:dyDescent="0.25">
      <c r="X118" s="38" t="s">
        <v>183</v>
      </c>
    </row>
    <row r="119" spans="24:24" ht="16.5" x14ac:dyDescent="0.25">
      <c r="X119" s="38" t="s">
        <v>184</v>
      </c>
    </row>
    <row r="120" spans="24:24" ht="16.5" x14ac:dyDescent="0.25">
      <c r="X120" s="38" t="s">
        <v>185</v>
      </c>
    </row>
    <row r="121" spans="24:24" ht="16.5" x14ac:dyDescent="0.25">
      <c r="X121" s="38" t="s">
        <v>186</v>
      </c>
    </row>
    <row r="122" spans="24:24" ht="16.5" x14ac:dyDescent="0.25">
      <c r="X122" s="38" t="s">
        <v>187</v>
      </c>
    </row>
    <row r="123" spans="24:24" ht="16.5" x14ac:dyDescent="0.25">
      <c r="X123" s="38" t="s">
        <v>188</v>
      </c>
    </row>
    <row r="124" spans="24:24" ht="16.5" x14ac:dyDescent="0.25">
      <c r="X124" s="38" t="s">
        <v>189</v>
      </c>
    </row>
    <row r="125" spans="24:24" ht="16.5" x14ac:dyDescent="0.25">
      <c r="X125" s="38" t="s">
        <v>190</v>
      </c>
    </row>
    <row r="126" spans="24:24" ht="16.5" x14ac:dyDescent="0.25">
      <c r="X126" s="38" t="s">
        <v>191</v>
      </c>
    </row>
    <row r="127" spans="24:24" ht="16.5" x14ac:dyDescent="0.25">
      <c r="X127" s="38" t="s">
        <v>192</v>
      </c>
    </row>
    <row r="128" spans="24:24" ht="16.5" x14ac:dyDescent="0.25">
      <c r="X128" s="38" t="s">
        <v>193</v>
      </c>
    </row>
    <row r="129" spans="24:24" ht="16.5" x14ac:dyDescent="0.25">
      <c r="X129" s="38" t="s">
        <v>194</v>
      </c>
    </row>
    <row r="130" spans="24:24" ht="16.5" x14ac:dyDescent="0.25">
      <c r="X130" s="38" t="s">
        <v>195</v>
      </c>
    </row>
    <row r="131" spans="24:24" ht="16.5" x14ac:dyDescent="0.25">
      <c r="X131" s="38" t="s">
        <v>196</v>
      </c>
    </row>
    <row r="132" spans="24:24" ht="16.5" x14ac:dyDescent="0.25">
      <c r="X132" s="38" t="s">
        <v>197</v>
      </c>
    </row>
    <row r="133" spans="24:24" ht="16.5" x14ac:dyDescent="0.25">
      <c r="X133" s="38" t="s">
        <v>198</v>
      </c>
    </row>
    <row r="134" spans="24:24" ht="16.5" x14ac:dyDescent="0.25">
      <c r="X134" s="38" t="s">
        <v>199</v>
      </c>
    </row>
    <row r="135" spans="24:24" ht="16.5" x14ac:dyDescent="0.25">
      <c r="X135" s="38" t="s">
        <v>200</v>
      </c>
    </row>
    <row r="136" spans="24:24" ht="16.5" x14ac:dyDescent="0.25">
      <c r="X136" s="38" t="s">
        <v>201</v>
      </c>
    </row>
  </sheetData>
  <mergeCells count="3">
    <mergeCell ref="E1:E2"/>
    <mergeCell ref="G1:G2"/>
    <mergeCell ref="K1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1891B-FC43-47D5-A1A4-055993E02D67}">
  <sheetPr codeName="Sheet10">
    <tabColor rgb="FFFFC000"/>
  </sheetPr>
  <dimension ref="B1:T38"/>
  <sheetViews>
    <sheetView showGridLines="0" tabSelected="1" topLeftCell="A10" zoomScale="145" zoomScaleNormal="145" workbookViewId="0">
      <selection activeCell="G33" sqref="G33"/>
    </sheetView>
  </sheetViews>
  <sheetFormatPr defaultRowHeight="15" x14ac:dyDescent="0.25"/>
  <cols>
    <col min="1" max="1" width="3.140625" customWidth="1"/>
    <col min="2" max="3" width="9.140625" customWidth="1"/>
    <col min="4" max="4" width="10.5703125" customWidth="1"/>
    <col min="5" max="11" width="9.140625" customWidth="1"/>
    <col min="12" max="12" width="11.7109375" customWidth="1"/>
    <col min="13" max="13" width="13.28515625" bestFit="1" customWidth="1"/>
    <col min="14" max="17" width="9.140625" customWidth="1"/>
    <col min="18" max="20" width="9.7109375" customWidth="1"/>
    <col min="21" max="28" width="7.7109375" customWidth="1"/>
  </cols>
  <sheetData>
    <row r="1" spans="2:19" ht="15" customHeight="1" x14ac:dyDescent="0.25">
      <c r="B1" s="99" t="s">
        <v>39</v>
      </c>
      <c r="C1" s="99"/>
      <c r="D1" s="99"/>
      <c r="E1" s="99"/>
      <c r="F1" s="99"/>
      <c r="G1" s="99"/>
      <c r="H1" s="100" t="s">
        <v>226</v>
      </c>
      <c r="I1" s="100"/>
      <c r="J1" s="100"/>
      <c r="K1" s="100"/>
      <c r="L1" s="101" t="s">
        <v>278</v>
      </c>
      <c r="M1" s="101"/>
      <c r="R1" s="28"/>
    </row>
    <row r="2" spans="2:19" ht="15" customHeight="1" x14ac:dyDescent="0.25">
      <c r="B2" s="99"/>
      <c r="C2" s="99"/>
      <c r="D2" s="99"/>
      <c r="E2" s="99"/>
      <c r="F2" s="99"/>
      <c r="G2" s="99"/>
      <c r="H2" s="100"/>
      <c r="I2" s="100"/>
      <c r="J2" s="100"/>
      <c r="K2" s="100"/>
      <c r="L2" s="101"/>
      <c r="M2" s="101"/>
      <c r="R2" s="27"/>
    </row>
    <row r="3" spans="2:19" ht="15" customHeight="1" x14ac:dyDescent="0.25">
      <c r="B3" s="17"/>
      <c r="C3" s="4"/>
      <c r="D3" s="4"/>
      <c r="E3" s="4"/>
      <c r="F3" s="14"/>
      <c r="G3" s="5"/>
      <c r="H3" s="58"/>
      <c r="I3" s="58"/>
      <c r="J3" s="58"/>
      <c r="K3" s="58"/>
      <c r="L3" s="58"/>
      <c r="M3" s="58"/>
      <c r="N3" s="98"/>
      <c r="O3" s="98"/>
    </row>
    <row r="4" spans="2:19" ht="15" customHeight="1" x14ac:dyDescent="0.25">
      <c r="B4" s="17" t="s">
        <v>21</v>
      </c>
      <c r="C4" s="4"/>
      <c r="D4" s="4"/>
      <c r="E4" s="4"/>
      <c r="F4" s="14">
        <v>350</v>
      </c>
      <c r="G4" s="5"/>
      <c r="H4" s="17" t="s">
        <v>2</v>
      </c>
      <c r="I4" s="4"/>
      <c r="J4" s="14" t="s">
        <v>5</v>
      </c>
      <c r="K4" s="14">
        <v>1200</v>
      </c>
      <c r="L4" s="81" t="s">
        <v>255</v>
      </c>
      <c r="M4" s="82">
        <v>50</v>
      </c>
      <c r="N4" s="56" t="s">
        <v>45</v>
      </c>
      <c r="O4" s="54" t="s">
        <v>46</v>
      </c>
      <c r="P4" s="54" t="s">
        <v>217</v>
      </c>
      <c r="Q4" s="54" t="s">
        <v>26</v>
      </c>
      <c r="R4" s="55" t="s">
        <v>47</v>
      </c>
      <c r="S4" s="68"/>
    </row>
    <row r="5" spans="2:19" ht="15" customHeight="1" x14ac:dyDescent="0.25">
      <c r="B5" s="18" t="s">
        <v>0</v>
      </c>
      <c r="C5" s="7"/>
      <c r="D5" s="7"/>
      <c r="E5" s="7"/>
      <c r="F5" s="8">
        <v>0</v>
      </c>
      <c r="G5" s="9" t="s">
        <v>1</v>
      </c>
      <c r="H5" s="18" t="s">
        <v>4</v>
      </c>
      <c r="I5" s="7"/>
      <c r="J5" s="8" t="s">
        <v>5</v>
      </c>
      <c r="K5" s="8">
        <v>1200</v>
      </c>
      <c r="L5" s="8"/>
      <c r="M5" s="9"/>
      <c r="N5" s="18" t="s">
        <v>44</v>
      </c>
      <c r="O5" s="10" t="s">
        <v>218</v>
      </c>
      <c r="P5" s="44" t="s">
        <v>237</v>
      </c>
      <c r="Q5" s="53">
        <v>20</v>
      </c>
      <c r="R5" s="51">
        <v>20</v>
      </c>
    </row>
    <row r="6" spans="2:19" ht="15" customHeight="1" x14ac:dyDescent="0.25">
      <c r="B6" s="18" t="s">
        <v>223</v>
      </c>
      <c r="C6" s="47"/>
      <c r="D6" s="47"/>
      <c r="E6" s="47"/>
      <c r="F6" s="119" t="s">
        <v>224</v>
      </c>
      <c r="G6" s="120"/>
      <c r="H6" s="18" t="s">
        <v>225</v>
      </c>
      <c r="I6" s="7"/>
      <c r="J6" s="7"/>
      <c r="K6" s="8">
        <v>250</v>
      </c>
      <c r="L6" s="8"/>
      <c r="M6" s="9"/>
      <c r="N6" s="116" t="s">
        <v>227</v>
      </c>
      <c r="O6" s="117"/>
      <c r="P6" s="8">
        <v>4</v>
      </c>
      <c r="Q6" s="53">
        <v>20</v>
      </c>
      <c r="R6" s="51">
        <v>20</v>
      </c>
    </row>
    <row r="7" spans="2:19" ht="15" customHeight="1" x14ac:dyDescent="0.25">
      <c r="B7" s="46" t="str">
        <f>"+ Chiều cao đỉnh mái biên trái"</f>
        <v>+ Chiều cao đỉnh mái biên trái</v>
      </c>
      <c r="C7" s="47"/>
      <c r="D7" s="47"/>
      <c r="E7" s="47"/>
      <c r="F7" s="36">
        <v>11600</v>
      </c>
      <c r="G7" s="48" t="s">
        <v>1</v>
      </c>
      <c r="H7" s="19" t="s">
        <v>219</v>
      </c>
      <c r="I7" s="15"/>
      <c r="J7" s="15"/>
      <c r="K7" s="8">
        <v>200</v>
      </c>
      <c r="L7" s="7" t="s">
        <v>1</v>
      </c>
      <c r="M7" s="9"/>
      <c r="N7" s="116" t="s">
        <v>228</v>
      </c>
      <c r="O7" s="117"/>
      <c r="P7" s="8">
        <v>4</v>
      </c>
      <c r="Q7" s="53">
        <v>20</v>
      </c>
      <c r="R7" s="51">
        <v>20</v>
      </c>
    </row>
    <row r="8" spans="2:19" ht="15" customHeight="1" x14ac:dyDescent="0.25">
      <c r="B8" s="46" t="str">
        <f>"+ Chiều cao đỉnh mái trái 1"</f>
        <v>+ Chiều cao đỉnh mái trái 1</v>
      </c>
      <c r="C8" s="47"/>
      <c r="D8" s="47"/>
      <c r="E8" s="47"/>
      <c r="F8" s="36">
        <v>19136</v>
      </c>
      <c r="G8" s="48" t="s">
        <v>1</v>
      </c>
      <c r="H8" s="18" t="s">
        <v>229</v>
      </c>
      <c r="I8" s="7"/>
      <c r="J8" s="7"/>
      <c r="K8" s="8">
        <v>2500</v>
      </c>
      <c r="L8" s="7" t="s">
        <v>1</v>
      </c>
      <c r="M8" s="9"/>
      <c r="N8" s="116" t="s">
        <v>236</v>
      </c>
      <c r="O8" s="117"/>
      <c r="P8" s="8">
        <v>4</v>
      </c>
      <c r="Q8" s="53">
        <v>20</v>
      </c>
      <c r="R8" s="51">
        <v>20</v>
      </c>
      <c r="S8" s="45"/>
    </row>
    <row r="9" spans="2:19" ht="15" customHeight="1" x14ac:dyDescent="0.25">
      <c r="B9" s="46" t="str">
        <f>"+ Chiều cao chân mái trái 2"</f>
        <v>+ Chiều cao chân mái trái 2</v>
      </c>
      <c r="C9" s="47"/>
      <c r="D9" s="47"/>
      <c r="E9" s="47"/>
      <c r="F9" s="36">
        <v>21031</v>
      </c>
      <c r="G9" s="48" t="s">
        <v>1</v>
      </c>
      <c r="H9" s="18" t="s">
        <v>234</v>
      </c>
      <c r="I9" s="7"/>
      <c r="J9" s="7"/>
      <c r="K9" s="8">
        <v>250</v>
      </c>
      <c r="L9" s="7" t="s">
        <v>1</v>
      </c>
      <c r="M9" s="9"/>
      <c r="N9" s="6"/>
      <c r="O9" s="7"/>
      <c r="P9" s="7"/>
      <c r="Q9" s="7"/>
      <c r="R9" s="9"/>
      <c r="S9" s="45"/>
    </row>
    <row r="10" spans="2:19" ht="15" customHeight="1" x14ac:dyDescent="0.25">
      <c r="B10" s="46" t="str">
        <f>"+ Chiều cao đỉnh mái ở giữa"</f>
        <v>+ Chiều cao đỉnh mái ở giữa</v>
      </c>
      <c r="C10" s="47"/>
      <c r="D10" s="47"/>
      <c r="E10" s="47"/>
      <c r="F10" s="36">
        <v>23025</v>
      </c>
      <c r="G10" s="48" t="s">
        <v>1</v>
      </c>
      <c r="H10" s="18" t="s">
        <v>254</v>
      </c>
      <c r="I10" s="7"/>
      <c r="J10" s="7"/>
      <c r="K10" s="8" t="s">
        <v>218</v>
      </c>
      <c r="L10" s="7"/>
      <c r="M10" s="9"/>
      <c r="N10" s="129" t="s">
        <v>233</v>
      </c>
      <c r="O10" s="130"/>
      <c r="P10" s="4" t="s">
        <v>230</v>
      </c>
      <c r="Q10" s="4" t="s">
        <v>210</v>
      </c>
      <c r="R10" s="5" t="s">
        <v>209</v>
      </c>
      <c r="S10" s="45"/>
    </row>
    <row r="11" spans="2:19" ht="15" customHeight="1" x14ac:dyDescent="0.25">
      <c r="B11" s="46"/>
      <c r="C11" s="47"/>
      <c r="D11" s="47"/>
      <c r="E11" s="47"/>
      <c r="F11" s="36"/>
      <c r="G11" s="48"/>
      <c r="H11" s="18"/>
      <c r="I11" s="7"/>
      <c r="J11" s="7"/>
      <c r="K11" s="10"/>
      <c r="L11" s="7"/>
      <c r="M11" s="9"/>
      <c r="N11" s="131"/>
      <c r="O11" s="132"/>
      <c r="P11" s="59">
        <v>300</v>
      </c>
      <c r="Q11" s="59">
        <v>6</v>
      </c>
      <c r="R11" s="60">
        <v>180</v>
      </c>
      <c r="S11" s="45"/>
    </row>
    <row r="12" spans="2:19" ht="15" customHeight="1" x14ac:dyDescent="0.25">
      <c r="B12" s="46"/>
      <c r="C12" s="47"/>
      <c r="D12" s="47"/>
      <c r="E12" s="47"/>
      <c r="F12" s="36"/>
      <c r="G12" s="48"/>
      <c r="H12" s="18"/>
      <c r="I12" s="7"/>
      <c r="J12" s="7"/>
      <c r="K12" s="10"/>
      <c r="L12" s="7"/>
      <c r="M12" s="9"/>
      <c r="N12" s="133" t="s">
        <v>235</v>
      </c>
      <c r="O12" s="134"/>
      <c r="P12" s="134"/>
      <c r="Q12" s="49" t="s">
        <v>210</v>
      </c>
      <c r="R12" s="5" t="s">
        <v>231</v>
      </c>
      <c r="S12" s="45"/>
    </row>
    <row r="13" spans="2:19" x14ac:dyDescent="0.25">
      <c r="B13" s="46"/>
      <c r="C13" s="47"/>
      <c r="D13" s="47"/>
      <c r="E13" s="47"/>
      <c r="F13" s="36"/>
      <c r="G13" s="48"/>
      <c r="H13" s="18" t="s">
        <v>28</v>
      </c>
      <c r="I13" s="7"/>
      <c r="J13" s="7"/>
      <c r="K13" s="10" t="str">
        <f>K15</f>
        <v>Total</v>
      </c>
      <c r="L13" s="7" t="str">
        <f>IF(K13="Name", "Theo cột (3)",IF(K13="Total", "Chiều cao tổng","Chiều cao bụng"))</f>
        <v>Chiều cao tổng</v>
      </c>
      <c r="M13" s="9"/>
      <c r="N13" s="135"/>
      <c r="O13" s="136"/>
      <c r="P13" s="136"/>
      <c r="Q13" s="59">
        <v>8</v>
      </c>
      <c r="R13" s="60">
        <v>2000</v>
      </c>
      <c r="S13" s="45"/>
    </row>
    <row r="14" spans="2:19" x14ac:dyDescent="0.25">
      <c r="B14" s="37" t="s">
        <v>51</v>
      </c>
      <c r="C14" s="57"/>
      <c r="D14" s="7"/>
      <c r="E14" s="7"/>
      <c r="F14" s="36">
        <v>20</v>
      </c>
      <c r="G14" s="9"/>
      <c r="H14" s="18" t="s">
        <v>27</v>
      </c>
      <c r="I14" s="7"/>
      <c r="J14" s="7"/>
      <c r="K14" s="10" t="str">
        <f>K15</f>
        <v>Total</v>
      </c>
      <c r="L14" s="7" t="str">
        <f>IF(K14="Name", "Theo cột (3)",IF(K14="Total", "Chiều cao tổng","Chiều cao bụng"))</f>
        <v>Chiều cao tổng</v>
      </c>
      <c r="M14" s="9"/>
      <c r="N14" s="133" t="s">
        <v>232</v>
      </c>
      <c r="O14" s="134"/>
      <c r="P14" s="134"/>
      <c r="Q14" s="49" t="s">
        <v>210</v>
      </c>
      <c r="R14" s="5" t="s">
        <v>231</v>
      </c>
      <c r="S14" s="45"/>
    </row>
    <row r="15" spans="2:19" x14ac:dyDescent="0.25">
      <c r="B15" s="37" t="s">
        <v>64</v>
      </c>
      <c r="C15" s="57"/>
      <c r="D15" s="7"/>
      <c r="E15" s="7"/>
      <c r="F15" s="36">
        <v>50</v>
      </c>
      <c r="G15" s="9"/>
      <c r="H15" s="21" t="s">
        <v>37</v>
      </c>
      <c r="I15" s="7"/>
      <c r="J15" s="7"/>
      <c r="K15" s="8" t="s">
        <v>29</v>
      </c>
      <c r="L15" s="20" t="str">
        <f>IF(K15="Total","Chiều cao tổng","Chiều cao bụng")</f>
        <v>Chiều cao tổng</v>
      </c>
      <c r="M15" s="9"/>
      <c r="N15" s="135"/>
      <c r="O15" s="136"/>
      <c r="P15" s="136"/>
      <c r="Q15" s="59">
        <v>8</v>
      </c>
      <c r="R15" s="60">
        <v>2000</v>
      </c>
      <c r="S15" s="45"/>
    </row>
    <row r="16" spans="2:19" ht="15" customHeight="1" x14ac:dyDescent="0.25">
      <c r="B16" s="37" t="s">
        <v>50</v>
      </c>
      <c r="C16" s="57"/>
      <c r="D16" s="7"/>
      <c r="E16" s="7"/>
      <c r="F16" s="36">
        <v>300</v>
      </c>
      <c r="G16" s="9"/>
      <c r="H16" s="6"/>
      <c r="I16" s="7"/>
      <c r="J16" s="7"/>
      <c r="K16" s="7"/>
      <c r="L16" s="7"/>
      <c r="M16" s="9"/>
      <c r="N16" s="6"/>
      <c r="O16" s="7"/>
      <c r="P16" s="7"/>
      <c r="Q16" s="7"/>
      <c r="R16" s="7"/>
      <c r="S16" s="45"/>
    </row>
    <row r="17" spans="2:20" ht="15" customHeight="1" x14ac:dyDescent="0.25">
      <c r="B17" s="18" t="s">
        <v>273</v>
      </c>
      <c r="C17" s="7"/>
      <c r="D17" s="7"/>
      <c r="E17" s="7"/>
      <c r="F17" s="10">
        <f>C30+C31</f>
        <v>48000</v>
      </c>
      <c r="G17" s="52">
        <f>(F8-F7-F32/2)/(F17-K6)</f>
        <v>0.15258638743455497</v>
      </c>
      <c r="H17" s="6"/>
      <c r="I17" s="7"/>
      <c r="J17" s="7"/>
      <c r="K17" s="7"/>
      <c r="L17" s="7"/>
      <c r="M17" s="9"/>
      <c r="N17" s="6"/>
      <c r="O17" s="7"/>
      <c r="P17" s="7"/>
      <c r="Q17" s="7"/>
      <c r="R17" s="7"/>
      <c r="S17" s="45"/>
    </row>
    <row r="18" spans="2:20" x14ac:dyDescent="0.25">
      <c r="B18" s="18" t="s">
        <v>274</v>
      </c>
      <c r="C18" s="7"/>
      <c r="D18" s="7"/>
      <c r="E18" s="7"/>
      <c r="F18" s="10">
        <f>C32+F32/2</f>
        <v>12250</v>
      </c>
      <c r="G18" s="52">
        <f>(F10-F9)/F18</f>
        <v>0.16277551020408162</v>
      </c>
      <c r="H18" s="11"/>
      <c r="I18" s="12"/>
      <c r="J18" s="12"/>
      <c r="K18" s="12"/>
      <c r="L18" s="12"/>
      <c r="M18" s="13"/>
      <c r="N18" s="6"/>
      <c r="O18" s="7"/>
      <c r="P18" s="7"/>
      <c r="Q18" s="7"/>
      <c r="R18" s="7"/>
      <c r="S18" s="45"/>
    </row>
    <row r="19" spans="2:20" ht="15" customHeight="1" thickBot="1" x14ac:dyDescent="0.3">
      <c r="B19" s="18"/>
      <c r="C19" s="7"/>
      <c r="D19" s="7"/>
      <c r="E19" s="7"/>
      <c r="F19" s="16"/>
      <c r="G19" s="9"/>
      <c r="H19" s="25"/>
      <c r="I19" s="26"/>
      <c r="J19" s="26"/>
      <c r="K19" s="26"/>
      <c r="L19" s="26"/>
      <c r="M19" s="26"/>
      <c r="N19" s="6"/>
      <c r="O19" s="7"/>
      <c r="P19" s="7"/>
      <c r="Q19" s="7"/>
      <c r="R19" s="9"/>
    </row>
    <row r="20" spans="2:20" ht="15" hidden="1" customHeight="1" x14ac:dyDescent="0.25">
      <c r="B20" s="6"/>
      <c r="C20" s="7"/>
      <c r="D20" s="7"/>
      <c r="E20" s="7"/>
      <c r="F20" s="7"/>
      <c r="G20" s="9"/>
      <c r="H20" s="6"/>
      <c r="I20" s="7"/>
      <c r="J20" s="7"/>
      <c r="K20" s="7"/>
      <c r="L20" s="7"/>
      <c r="M20" s="7"/>
      <c r="N20" s="6"/>
      <c r="O20" s="7"/>
      <c r="P20" s="7"/>
      <c r="Q20" s="7"/>
      <c r="R20" s="9"/>
    </row>
    <row r="21" spans="2:20" ht="15" hidden="1" customHeight="1" x14ac:dyDescent="0.25">
      <c r="B21" s="6"/>
      <c r="C21" s="7"/>
      <c r="D21" s="7"/>
      <c r="E21" s="7"/>
      <c r="F21" s="7"/>
      <c r="G21" s="9"/>
      <c r="H21" s="6"/>
      <c r="I21" s="7"/>
      <c r="J21" s="7"/>
      <c r="K21" s="7"/>
      <c r="L21" s="7"/>
      <c r="M21" s="7"/>
      <c r="N21" s="6"/>
      <c r="O21" s="7"/>
      <c r="P21" s="7"/>
      <c r="Q21" s="7"/>
      <c r="R21" s="9"/>
    </row>
    <row r="22" spans="2:20" ht="15" hidden="1" customHeight="1" x14ac:dyDescent="0.25">
      <c r="B22" s="6"/>
      <c r="C22" s="7"/>
      <c r="D22" s="7"/>
      <c r="E22" s="7"/>
      <c r="F22" s="7"/>
      <c r="G22" s="9"/>
      <c r="H22" s="6"/>
      <c r="I22" s="7"/>
      <c r="J22" s="7"/>
      <c r="K22" s="7"/>
      <c r="L22" s="7"/>
      <c r="M22" s="7"/>
      <c r="N22" s="6"/>
      <c r="O22" s="7"/>
      <c r="P22" s="7"/>
      <c r="Q22" s="7"/>
      <c r="R22" s="9"/>
    </row>
    <row r="23" spans="2:20" ht="15" hidden="1" customHeight="1" thickBot="1" x14ac:dyDescent="0.3">
      <c r="B23" s="24"/>
      <c r="C23" s="22"/>
      <c r="D23" s="22"/>
      <c r="E23" s="22"/>
      <c r="F23" s="22"/>
      <c r="G23" s="23"/>
      <c r="H23" s="11"/>
      <c r="I23" s="12"/>
      <c r="J23" s="12"/>
      <c r="K23" s="12"/>
      <c r="L23" s="12"/>
      <c r="M23" s="12"/>
      <c r="N23" s="6"/>
      <c r="O23" s="7"/>
      <c r="P23" s="7"/>
      <c r="Q23" s="7"/>
      <c r="R23" s="9"/>
    </row>
    <row r="24" spans="2:20" ht="15" customHeight="1" x14ac:dyDescent="0.25">
      <c r="B24" s="106" t="s">
        <v>22</v>
      </c>
      <c r="C24" s="107"/>
      <c r="D24" s="115" t="s">
        <v>220</v>
      </c>
      <c r="E24" s="110" t="s">
        <v>19</v>
      </c>
      <c r="F24" s="110"/>
      <c r="G24" s="110"/>
      <c r="H24" s="110"/>
      <c r="I24" s="111"/>
      <c r="J24" s="112" t="s">
        <v>25</v>
      </c>
      <c r="K24" s="110"/>
      <c r="L24" s="110"/>
      <c r="M24" s="110"/>
      <c r="N24" s="110"/>
      <c r="O24" s="110"/>
      <c r="P24" s="113"/>
      <c r="Q24" s="112" t="s">
        <v>24</v>
      </c>
      <c r="R24" s="110"/>
      <c r="S24" s="111"/>
    </row>
    <row r="25" spans="2:20" ht="15" customHeight="1" x14ac:dyDescent="0.25">
      <c r="B25" s="108"/>
      <c r="C25" s="109"/>
      <c r="D25" s="103"/>
      <c r="E25" s="114" t="s">
        <v>16</v>
      </c>
      <c r="F25" s="121" t="s">
        <v>15</v>
      </c>
      <c r="G25" s="121"/>
      <c r="H25" s="121"/>
      <c r="I25" s="138"/>
      <c r="J25" s="118" t="s">
        <v>256</v>
      </c>
      <c r="K25" s="114" t="s">
        <v>205</v>
      </c>
      <c r="L25" s="114" t="s">
        <v>33</v>
      </c>
      <c r="M25" s="121" t="s">
        <v>15</v>
      </c>
      <c r="N25" s="121"/>
      <c r="O25" s="121"/>
      <c r="P25" s="122"/>
      <c r="Q25" s="123" t="s">
        <v>65</v>
      </c>
      <c r="R25" s="125" t="s">
        <v>26</v>
      </c>
      <c r="S25" s="127" t="s">
        <v>23</v>
      </c>
    </row>
    <row r="26" spans="2:20" ht="15" customHeight="1" x14ac:dyDescent="0.25">
      <c r="B26" s="108"/>
      <c r="C26" s="109"/>
      <c r="D26" s="103"/>
      <c r="E26" s="114"/>
      <c r="F26" s="114" t="s">
        <v>30</v>
      </c>
      <c r="G26" s="114" t="s">
        <v>17</v>
      </c>
      <c r="H26" s="114" t="s">
        <v>31</v>
      </c>
      <c r="I26" s="137" t="s">
        <v>32</v>
      </c>
      <c r="J26" s="139"/>
      <c r="K26" s="114"/>
      <c r="L26" s="140"/>
      <c r="M26" s="114" t="s">
        <v>30</v>
      </c>
      <c r="N26" s="114" t="s">
        <v>17</v>
      </c>
      <c r="O26" s="114" t="s">
        <v>31</v>
      </c>
      <c r="P26" s="109" t="s">
        <v>32</v>
      </c>
      <c r="Q26" s="123"/>
      <c r="R26" s="125"/>
      <c r="S26" s="127"/>
    </row>
    <row r="27" spans="2:20" x14ac:dyDescent="0.25">
      <c r="B27" s="102" t="s">
        <v>63</v>
      </c>
      <c r="C27" s="104" t="s">
        <v>49</v>
      </c>
      <c r="D27" s="103"/>
      <c r="E27" s="114"/>
      <c r="F27" s="114"/>
      <c r="G27" s="114"/>
      <c r="H27" s="114"/>
      <c r="I27" s="137"/>
      <c r="J27" s="84" t="s">
        <v>48</v>
      </c>
      <c r="K27" s="114"/>
      <c r="L27" s="140"/>
      <c r="M27" s="114"/>
      <c r="N27" s="114"/>
      <c r="O27" s="114"/>
      <c r="P27" s="109"/>
      <c r="Q27" s="123"/>
      <c r="R27" s="125"/>
      <c r="S27" s="127"/>
    </row>
    <row r="28" spans="2:20" ht="15.75" thickBot="1" x14ac:dyDescent="0.3">
      <c r="B28" s="103"/>
      <c r="C28" s="105"/>
      <c r="D28" s="103"/>
      <c r="E28" s="118"/>
      <c r="F28" s="62" t="s">
        <v>34</v>
      </c>
      <c r="G28" s="62" t="s">
        <v>18</v>
      </c>
      <c r="H28" s="62" t="s">
        <v>35</v>
      </c>
      <c r="I28" s="63" t="s">
        <v>36</v>
      </c>
      <c r="J28" s="83" t="s">
        <v>212</v>
      </c>
      <c r="K28" s="118"/>
      <c r="L28" s="141"/>
      <c r="M28" s="62" t="s">
        <v>34</v>
      </c>
      <c r="N28" s="62" t="s">
        <v>18</v>
      </c>
      <c r="O28" s="62" t="s">
        <v>203</v>
      </c>
      <c r="P28" s="61" t="s">
        <v>203</v>
      </c>
      <c r="Q28" s="124"/>
      <c r="R28" s="126"/>
      <c r="S28" s="128"/>
    </row>
    <row r="29" spans="2:20" x14ac:dyDescent="0.25">
      <c r="B29" s="66">
        <v>1</v>
      </c>
      <c r="C29" s="65">
        <v>2</v>
      </c>
      <c r="D29" s="66">
        <v>3</v>
      </c>
      <c r="E29" s="64">
        <v>4</v>
      </c>
      <c r="F29" s="64">
        <v>5</v>
      </c>
      <c r="G29" s="64">
        <v>6</v>
      </c>
      <c r="H29" s="64">
        <v>7</v>
      </c>
      <c r="I29" s="65">
        <v>8</v>
      </c>
      <c r="J29" s="66">
        <v>9</v>
      </c>
      <c r="K29" s="64">
        <v>10</v>
      </c>
      <c r="L29" s="64">
        <v>11</v>
      </c>
      <c r="M29" s="64">
        <v>12</v>
      </c>
      <c r="N29" s="64">
        <v>13</v>
      </c>
      <c r="O29" s="64">
        <v>14</v>
      </c>
      <c r="P29" s="64">
        <v>15</v>
      </c>
      <c r="Q29" s="64">
        <v>16</v>
      </c>
      <c r="R29" s="64">
        <v>17</v>
      </c>
      <c r="S29" s="65">
        <v>18</v>
      </c>
    </row>
    <row r="30" spans="2:20" ht="15" customHeight="1" x14ac:dyDescent="0.25">
      <c r="B30" s="40">
        <v>1</v>
      </c>
      <c r="C30" s="35">
        <v>24000</v>
      </c>
      <c r="D30" s="39" t="s">
        <v>221</v>
      </c>
      <c r="E30" s="3" t="str">
        <f>"C"&amp;B30</f>
        <v>C1</v>
      </c>
      <c r="F30" s="35" t="s">
        <v>272</v>
      </c>
      <c r="G30" s="35">
        <v>8</v>
      </c>
      <c r="H30" s="35">
        <v>250</v>
      </c>
      <c r="I30" s="41">
        <v>10</v>
      </c>
      <c r="J30" s="85" t="s">
        <v>204</v>
      </c>
      <c r="K30" s="87" t="s">
        <v>257</v>
      </c>
      <c r="L30" s="70"/>
      <c r="M30" s="70" t="s">
        <v>275</v>
      </c>
      <c r="N30" s="70">
        <v>6</v>
      </c>
      <c r="O30" s="70">
        <v>250</v>
      </c>
      <c r="P30" s="67">
        <v>10</v>
      </c>
      <c r="Q30" s="71">
        <v>4</v>
      </c>
      <c r="R30" s="72">
        <v>20</v>
      </c>
      <c r="S30" s="73">
        <v>16</v>
      </c>
      <c r="T30">
        <v>0</v>
      </c>
    </row>
    <row r="31" spans="2:20" x14ac:dyDescent="0.25">
      <c r="B31" s="40">
        <v>2</v>
      </c>
      <c r="C31" s="35">
        <v>24000</v>
      </c>
      <c r="D31" s="39" t="s">
        <v>263</v>
      </c>
      <c r="E31" s="3" t="str">
        <f t="shared" ref="E31:E32" si="0">"C"&amp;B31</f>
        <v>C2</v>
      </c>
      <c r="F31" s="35">
        <v>500</v>
      </c>
      <c r="G31" s="35">
        <v>8</v>
      </c>
      <c r="H31" s="35">
        <v>300</v>
      </c>
      <c r="I31" s="41">
        <v>10</v>
      </c>
      <c r="J31" s="86" t="s">
        <v>206</v>
      </c>
      <c r="K31" s="88" t="s">
        <v>258</v>
      </c>
      <c r="L31" s="50">
        <v>12000</v>
      </c>
      <c r="M31" s="50">
        <v>400</v>
      </c>
      <c r="N31" s="50">
        <v>6</v>
      </c>
      <c r="O31" s="50">
        <v>250</v>
      </c>
      <c r="P31" s="67">
        <v>10</v>
      </c>
      <c r="Q31" s="75">
        <v>4</v>
      </c>
      <c r="R31" s="76">
        <v>20</v>
      </c>
      <c r="S31" s="77">
        <v>16</v>
      </c>
      <c r="T31">
        <v>1</v>
      </c>
    </row>
    <row r="32" spans="2:20" x14ac:dyDescent="0.25">
      <c r="B32" s="40">
        <v>3</v>
      </c>
      <c r="C32" s="35">
        <v>12000</v>
      </c>
      <c r="D32" s="39" t="s">
        <v>264</v>
      </c>
      <c r="E32" s="3" t="str">
        <f t="shared" si="0"/>
        <v>C3</v>
      </c>
      <c r="F32" s="35">
        <v>500</v>
      </c>
      <c r="G32" s="35">
        <v>8</v>
      </c>
      <c r="H32" s="35">
        <v>300</v>
      </c>
      <c r="I32" s="41">
        <v>10</v>
      </c>
      <c r="J32" s="74" t="s">
        <v>267</v>
      </c>
      <c r="K32" s="89" t="s">
        <v>259</v>
      </c>
      <c r="L32" s="78" t="s">
        <v>269</v>
      </c>
      <c r="M32" s="78" t="s">
        <v>276</v>
      </c>
      <c r="N32" s="78">
        <v>6</v>
      </c>
      <c r="O32" s="78">
        <v>250</v>
      </c>
      <c r="P32" s="79">
        <v>10</v>
      </c>
      <c r="Q32" s="90">
        <v>4</v>
      </c>
      <c r="R32" s="91">
        <v>20</v>
      </c>
      <c r="S32" s="92">
        <v>16</v>
      </c>
      <c r="T32" s="148">
        <v>2</v>
      </c>
    </row>
    <row r="33" spans="2:20" x14ac:dyDescent="0.25">
      <c r="B33" s="40">
        <v>4</v>
      </c>
      <c r="C33" s="35"/>
      <c r="D33" s="39" t="s">
        <v>208</v>
      </c>
      <c r="E33" s="145"/>
      <c r="F33" s="146"/>
      <c r="G33" s="146"/>
      <c r="H33" s="146"/>
      <c r="I33" s="147"/>
      <c r="J33" s="86" t="s">
        <v>211</v>
      </c>
      <c r="K33" s="89" t="s">
        <v>260</v>
      </c>
      <c r="L33" s="50">
        <v>12000</v>
      </c>
      <c r="M33" s="50">
        <v>400</v>
      </c>
      <c r="N33" s="50">
        <v>6</v>
      </c>
      <c r="O33" s="50">
        <v>250</v>
      </c>
      <c r="P33" s="67">
        <v>10</v>
      </c>
      <c r="Q33" s="75">
        <v>4</v>
      </c>
      <c r="R33" s="76">
        <v>20</v>
      </c>
      <c r="S33" s="77">
        <v>16</v>
      </c>
      <c r="T33">
        <v>3</v>
      </c>
    </row>
    <row r="34" spans="2:20" x14ac:dyDescent="0.25">
      <c r="B34" s="40"/>
      <c r="C34" s="35"/>
      <c r="D34" s="39" t="s">
        <v>265</v>
      </c>
      <c r="E34" s="3"/>
      <c r="F34" s="35"/>
      <c r="G34" s="35"/>
      <c r="H34" s="35"/>
      <c r="I34" s="41"/>
      <c r="J34" s="86" t="s">
        <v>271</v>
      </c>
      <c r="K34" s="89" t="s">
        <v>262</v>
      </c>
      <c r="L34" s="50"/>
      <c r="M34" s="50" t="s">
        <v>268</v>
      </c>
      <c r="N34" s="50">
        <v>6</v>
      </c>
      <c r="O34" s="50">
        <v>250</v>
      </c>
      <c r="P34" s="67">
        <v>10</v>
      </c>
      <c r="Q34" s="75"/>
      <c r="R34" s="76"/>
      <c r="S34" s="77"/>
      <c r="T34">
        <v>4</v>
      </c>
    </row>
    <row r="35" spans="2:20" x14ac:dyDescent="0.25">
      <c r="B35" s="40"/>
      <c r="C35" s="35"/>
      <c r="D35" s="39" t="s">
        <v>266</v>
      </c>
      <c r="E35" s="3"/>
      <c r="F35" s="35"/>
      <c r="G35" s="35"/>
      <c r="H35" s="35"/>
      <c r="I35" s="41"/>
      <c r="J35" s="142" t="s">
        <v>277</v>
      </c>
      <c r="K35" s="143"/>
      <c r="L35" s="143"/>
      <c r="M35" s="143"/>
      <c r="N35" s="143"/>
      <c r="O35" s="143"/>
      <c r="P35" s="143"/>
      <c r="Q35" s="143"/>
      <c r="R35" s="143"/>
      <c r="S35" s="144"/>
      <c r="T35" s="148">
        <v>5</v>
      </c>
    </row>
    <row r="36" spans="2:20" ht="15.75" thickBot="1" x14ac:dyDescent="0.3">
      <c r="B36" s="40"/>
      <c r="C36" s="35"/>
      <c r="D36" s="69" t="s">
        <v>222</v>
      </c>
      <c r="E36" s="3"/>
      <c r="F36" s="42"/>
      <c r="G36" s="42"/>
      <c r="H36" s="42"/>
      <c r="I36" s="43"/>
      <c r="J36" s="85" t="s">
        <v>279</v>
      </c>
      <c r="K36" s="87" t="s">
        <v>261</v>
      </c>
      <c r="L36" s="70"/>
      <c r="M36" s="70" t="s">
        <v>275</v>
      </c>
      <c r="N36" s="70">
        <v>6</v>
      </c>
      <c r="O36" s="70">
        <v>250</v>
      </c>
      <c r="P36" s="67">
        <v>10</v>
      </c>
      <c r="Q36" s="71">
        <v>4</v>
      </c>
      <c r="R36" s="72">
        <v>20</v>
      </c>
      <c r="S36" s="73">
        <v>16</v>
      </c>
      <c r="T36">
        <v>6</v>
      </c>
    </row>
    <row r="37" spans="2:20" x14ac:dyDescent="0.25">
      <c r="B37" s="93"/>
      <c r="C37" s="94"/>
      <c r="D37" s="94"/>
      <c r="E37" s="94"/>
      <c r="F37" s="94"/>
      <c r="G37" s="94"/>
      <c r="H37" s="94"/>
      <c r="I37" s="95"/>
      <c r="J37" s="86" t="s">
        <v>207</v>
      </c>
      <c r="K37" s="88" t="s">
        <v>270</v>
      </c>
      <c r="L37" s="50">
        <v>6000</v>
      </c>
      <c r="M37" s="50">
        <v>400</v>
      </c>
      <c r="N37" s="50">
        <v>6</v>
      </c>
      <c r="O37" s="50">
        <v>250</v>
      </c>
      <c r="P37" s="67">
        <v>10</v>
      </c>
      <c r="Q37" s="75">
        <v>4</v>
      </c>
      <c r="R37" s="76">
        <v>20</v>
      </c>
      <c r="S37" s="77">
        <v>16</v>
      </c>
      <c r="T37">
        <v>7</v>
      </c>
    </row>
    <row r="38" spans="2:20" x14ac:dyDescent="0.25">
      <c r="J38" s="142" t="s">
        <v>280</v>
      </c>
      <c r="K38" s="143"/>
      <c r="L38" s="143"/>
      <c r="M38" s="143"/>
      <c r="N38" s="143"/>
      <c r="O38" s="143"/>
      <c r="P38" s="143"/>
      <c r="Q38" s="143"/>
      <c r="R38" s="143"/>
      <c r="S38" s="144"/>
    </row>
  </sheetData>
  <mergeCells count="37">
    <mergeCell ref="I26:I27"/>
    <mergeCell ref="F25:I25"/>
    <mergeCell ref="J25:J26"/>
    <mergeCell ref="K25:K28"/>
    <mergeCell ref="L25:L28"/>
    <mergeCell ref="F26:F27"/>
    <mergeCell ref="G26:G27"/>
    <mergeCell ref="H26:H27"/>
    <mergeCell ref="J35:S35"/>
    <mergeCell ref="J38:S38"/>
    <mergeCell ref="N6:O6"/>
    <mergeCell ref="N7:O7"/>
    <mergeCell ref="Q24:S24"/>
    <mergeCell ref="M25:P25"/>
    <mergeCell ref="Q25:Q28"/>
    <mergeCell ref="R25:R28"/>
    <mergeCell ref="S25:S28"/>
    <mergeCell ref="O26:O27"/>
    <mergeCell ref="N10:O11"/>
    <mergeCell ref="N12:P13"/>
    <mergeCell ref="N14:P15"/>
    <mergeCell ref="N3:O3"/>
    <mergeCell ref="B1:G2"/>
    <mergeCell ref="H1:K2"/>
    <mergeCell ref="L1:M2"/>
    <mergeCell ref="B27:B28"/>
    <mergeCell ref="C27:C28"/>
    <mergeCell ref="B24:C26"/>
    <mergeCell ref="E24:I24"/>
    <mergeCell ref="J24:P24"/>
    <mergeCell ref="M26:M27"/>
    <mergeCell ref="N26:N27"/>
    <mergeCell ref="D24:D28"/>
    <mergeCell ref="P26:P27"/>
    <mergeCell ref="N8:O8"/>
    <mergeCell ref="E25:E28"/>
    <mergeCell ref="F6:G6"/>
  </mergeCells>
  <conditionalFormatting sqref="J30:J31 J33:J34 J36:J37">
    <cfRule type="containsText" dxfId="1" priority="7" operator="containsText" text="P">
      <formula>NOT(ISERROR(SEARCH("P",J30)))</formula>
    </cfRule>
    <cfRule type="containsText" dxfId="0" priority="8" operator="containsText" text="T">
      <formula>NOT(ISERROR(SEARCH("T",J30)))</formula>
    </cfRule>
  </conditionalFormatting>
  <dataValidations count="7">
    <dataValidation type="list" allowBlank="1" showInputMessage="1" showErrorMessage="1" sqref="O5" xr:uid="{4BF3D311-7DEF-417D-AE64-54E27E656543}">
      <formula1>"Ngang"</formula1>
    </dataValidation>
    <dataValidation type="list" allowBlank="1" showInputMessage="1" showErrorMessage="1" sqref="K11:K14" xr:uid="{525166E4-8F07-40B1-A4D8-CB6DDC8DAABD}">
      <formula1>"Name,Total,Web"</formula1>
    </dataValidation>
    <dataValidation type="list" allowBlank="1" showInputMessage="1" showErrorMessage="1" sqref="P7:P8" xr:uid="{342336A3-739C-4E6A-904C-BA9C5EC44230}">
      <formula1>"4"</formula1>
    </dataValidation>
    <dataValidation type="list" allowBlank="1" showInputMessage="1" showErrorMessage="1" sqref="K15" xr:uid="{DD35DFBD-8C79-4D20-8B91-2F2749BE3692}">
      <formula1>"Total,Web"</formula1>
    </dataValidation>
    <dataValidation type="list" allowBlank="1" showInputMessage="1" showErrorMessage="1" sqref="F6:G6" xr:uid="{DC55D581-2FC0-4C8D-A018-679B55E6C385}">
      <formula1>"Chưa tính lớp bao che,Đã tính lớp bao che"</formula1>
    </dataValidation>
    <dataValidation type="list" allowBlank="1" showInputMessage="1" showErrorMessage="1" sqref="P6" xr:uid="{29845BF7-6FBF-4AD6-9E83-9C11ED621FA9}">
      <formula1>"4,8"</formula1>
    </dataValidation>
    <dataValidation type="list" allowBlank="1" showInputMessage="1" showErrorMessage="1" sqref="K10" xr:uid="{7B36DA76-9C95-476B-B14F-FB0906FC909C}">
      <formula1>"Nghiêng,Ngang"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460CC9A-EA82-48BF-9155-EBFC67FE4862}">
          <x14:formula1>
            <xm:f>Data!$B$2:$B$9</xm:f>
          </x14:formula1>
          <xm:sqref>Q5:Q8 R30:R34 R36:R37</xm:sqref>
        </x14:dataValidation>
        <x14:dataValidation type="list" allowBlank="1" showInputMessage="1" showErrorMessage="1" xr:uid="{75EB0BD1-411E-4E4B-B2DA-A1AB214E6B17}">
          <x14:formula1>
            <xm:f>Data!$A$2:$A$12</xm:f>
          </x14:formula1>
          <xm:sqref>J4:J5</xm:sqref>
        </x14:dataValidation>
        <x14:dataValidation type="list" allowBlank="1" showInputMessage="1" showErrorMessage="1" xr:uid="{5EE956CB-EDF8-4176-B52E-E917E26670BA}">
          <x14:formula1>
            <xm:f>Data!$G$3:$G$19</xm:f>
          </x14:formula1>
          <xm:sqref>P5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VK5a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2024-08-13T00:30:03Z</dcterms:created>
  <dcterms:modified xsi:type="dcterms:W3CDTF">2025-01-16T17:22:55Z</dcterms:modified>
</cp:coreProperties>
</file>