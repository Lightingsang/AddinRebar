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FEC5E743-8525-4673-90AA-BEFB0CFAB43E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GustFactor" sheetId="5" r:id="rId1"/>
    <sheet name="TCVN" sheetId="4" r:id="rId2"/>
  </sheets>
  <functionGroups builtInGroupCount="19"/>
  <definedNames>
    <definedName name="_Fill" hidden="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_xleta.MODE" hidden="1" xlm="1">#NAME?</definedName>
    <definedName name="b">#REF!</definedName>
    <definedName name="Bang8_10">GustFactor!$B$52:$L$54</definedName>
    <definedName name="d">#REF!</definedName>
    <definedName name="h" hidden="1">{"'Sheet1'!$L$16"}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hidden="1">{"'Sheet1'!$L$16"}</definedName>
    <definedName name="ModeGon">OFFSET(#REF!,0,0,COUNTA(#REF!)-1,1)</definedName>
    <definedName name="Period">OFFSET(#REF!,0,0,COUNTA(#REF!)-1,1)</definedName>
    <definedName name="_xlnm.Print_Area" localSheetId="0">GustFactor!$B$1:$N$47</definedName>
    <definedName name="_xlnm.Print_Area" localSheetId="1">TCVN!$A$6:$AA$93</definedName>
    <definedName name="_xlnm.Print_Titles" localSheetId="0">GustFactor!#REF!</definedName>
    <definedName name="Stype">#REF!</definedName>
    <definedName name="UX.PhanTramKhoiLuong">OFFSET(#REF!,0,0,COUNTA(#REF!)-1,1)</definedName>
    <definedName name="UY.PhanTramKhoiLuong">OFFSET(#REF!,0,0,COUNTA(#REF!)-1,1)</definedName>
    <definedName name="wrn.chi._.tiÆt." hidden="1">{#N/A,#N/A,FALSE,"Chi tiÆt"}</definedName>
    <definedName name="Wzon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71" i="4" l="1"/>
  <c r="AB49" i="4"/>
  <c r="AM60" i="4" s="1"/>
  <c r="AB82" i="4"/>
  <c r="AM82" i="4" s="1"/>
  <c r="AM71" i="4"/>
  <c r="U88" i="4"/>
  <c r="S88" i="4"/>
  <c r="Q88" i="4"/>
  <c r="O88" i="4"/>
  <c r="M88" i="4"/>
  <c r="K88" i="4"/>
  <c r="I88" i="4"/>
  <c r="G88" i="4"/>
  <c r="E88" i="4"/>
  <c r="U87" i="4"/>
  <c r="S87" i="4"/>
  <c r="Q87" i="4"/>
  <c r="O87" i="4"/>
  <c r="M87" i="4"/>
  <c r="K87" i="4"/>
  <c r="I87" i="4"/>
  <c r="G87" i="4"/>
  <c r="E87" i="4"/>
  <c r="C82" i="4"/>
  <c r="U75" i="4"/>
  <c r="S75" i="4"/>
  <c r="Q75" i="4"/>
  <c r="O75" i="4"/>
  <c r="M75" i="4"/>
  <c r="K75" i="4"/>
  <c r="I75" i="4"/>
  <c r="G75" i="4"/>
  <c r="E75" i="4"/>
  <c r="U74" i="4"/>
  <c r="S74" i="4"/>
  <c r="Q74" i="4"/>
  <c r="O74" i="4"/>
  <c r="M74" i="4"/>
  <c r="K74" i="4"/>
  <c r="I74" i="4"/>
  <c r="G74" i="4"/>
  <c r="E74" i="4"/>
  <c r="C69" i="4"/>
  <c r="U61" i="4"/>
  <c r="S61" i="4"/>
  <c r="Q61" i="4"/>
  <c r="O61" i="4"/>
  <c r="M61" i="4"/>
  <c r="K61" i="4"/>
  <c r="I61" i="4"/>
  <c r="G61" i="4"/>
  <c r="E61" i="4"/>
  <c r="U60" i="4"/>
  <c r="S60" i="4"/>
  <c r="Q60" i="4"/>
  <c r="O60" i="4"/>
  <c r="M60" i="4"/>
  <c r="K60" i="4"/>
  <c r="I60" i="4"/>
  <c r="G60" i="4"/>
  <c r="E60" i="4"/>
  <c r="C55" i="4"/>
  <c r="O48" i="4"/>
  <c r="Q48" i="4"/>
  <c r="S48" i="4"/>
  <c r="U48" i="4"/>
  <c r="I47" i="4"/>
  <c r="K47" i="4"/>
  <c r="M47" i="4"/>
  <c r="O47" i="4"/>
  <c r="Q47" i="4"/>
  <c r="S47" i="4"/>
  <c r="U47" i="4"/>
  <c r="G47" i="4"/>
  <c r="M48" i="4"/>
  <c r="K48" i="4"/>
  <c r="I48" i="4"/>
  <c r="G48" i="4"/>
  <c r="E48" i="4"/>
  <c r="E47" i="4"/>
  <c r="C42" i="4"/>
  <c r="AD39" i="4"/>
  <c r="AD36" i="4"/>
  <c r="AD38" i="4"/>
  <c r="G39" i="4" s="1"/>
  <c r="G36" i="4"/>
  <c r="AD35" i="4"/>
  <c r="AE39" i="4"/>
  <c r="AE38" i="4"/>
  <c r="AG82" i="4" a="1"/>
  <c r="AK71" i="4" a="1"/>
  <c r="AH82" i="4" a="1"/>
  <c r="AD71" i="4" a="1"/>
  <c r="AT71" i="4" a="1"/>
  <c r="AQ71" i="4" a="1"/>
  <c r="AN82" i="4" a="1"/>
  <c r="AI82" i="4" a="1"/>
  <c r="AE71" i="4" a="1"/>
  <c r="AS71" i="4" a="1"/>
  <c r="AT82" i="4" a="1"/>
  <c r="AV82" i="4" a="1"/>
  <c r="AR82" i="4" a="1"/>
  <c r="AI71" i="4" a="1"/>
  <c r="AK82" i="4" a="1"/>
  <c r="AH71" i="4" a="1"/>
  <c r="AP71" i="4" a="1"/>
  <c r="AS82" i="4" a="1"/>
  <c r="AF71" i="4" a="1"/>
  <c r="AJ71" i="4" a="1"/>
  <c r="AJ82" i="4" a="1"/>
  <c r="AC71" i="4" a="1"/>
  <c r="AU71" i="4" a="1"/>
  <c r="AR71" i="4" a="1"/>
  <c r="AV71" i="4" a="1"/>
  <c r="AN71" i="4" a="1"/>
  <c r="AG71" i="4" a="1"/>
  <c r="AE82" i="4" a="1"/>
  <c r="AF82" i="4" a="1"/>
  <c r="AO82" i="4" a="1"/>
  <c r="AP82" i="4" a="1"/>
  <c r="AU82" i="4" a="1"/>
  <c r="AD82" i="4" a="1"/>
  <c r="AC82" i="4" a="1"/>
  <c r="AO71" i="4" a="1"/>
  <c r="AQ82" i="4" a="1"/>
  <c r="AK49" i="4" a="1"/>
  <c r="AS60" i="4" a="1"/>
  <c r="AD49" i="4" a="1"/>
  <c r="AE49" i="4" a="1"/>
  <c r="AF49" i="4" a="1"/>
  <c r="AC49" i="4" a="1"/>
  <c r="AQ60" i="4" a="1"/>
  <c r="AV60" i="4" a="1"/>
  <c r="AN60" i="4" a="1"/>
  <c r="AH49" i="4" a="1"/>
  <c r="AO60" i="4" a="1"/>
  <c r="AR60" i="4" a="1"/>
  <c r="AP60" i="4" a="1"/>
  <c r="AI49" i="4" a="1"/>
  <c r="AT60" i="4" a="1"/>
  <c r="AJ49" i="4" a="1"/>
  <c r="AU60" i="4" a="1"/>
  <c r="AG49" i="4" a="1"/>
  <c r="AB60" i="4" l="1"/>
  <c r="AM49" i="4"/>
  <c r="AU82" i="4"/>
  <c r="AR82" i="4"/>
  <c r="AP82" i="4"/>
  <c r="AV82" i="4"/>
  <c r="AT82" i="4"/>
  <c r="AS82" i="4"/>
  <c r="AQ82" i="4"/>
  <c r="K84" i="4" s="1"/>
  <c r="AO82" i="4"/>
  <c r="G84" i="4" s="1"/>
  <c r="AN82" i="4"/>
  <c r="E84" i="4" s="1"/>
  <c r="AF82" i="4"/>
  <c r="K83" i="4" s="1"/>
  <c r="AJ82" i="4"/>
  <c r="S83" i="4" s="1"/>
  <c r="AK82" i="4"/>
  <c r="U83" i="4" s="1"/>
  <c r="AI82" i="4"/>
  <c r="AH82" i="4"/>
  <c r="AG82" i="4"/>
  <c r="AE82" i="4"/>
  <c r="I83" i="4" s="1"/>
  <c r="AD82" i="4"/>
  <c r="G83" i="4" s="1"/>
  <c r="AC82" i="4"/>
  <c r="E83" i="4" s="1"/>
  <c r="AQ71" i="4"/>
  <c r="AV71" i="4"/>
  <c r="AT71" i="4"/>
  <c r="AR71" i="4"/>
  <c r="M71" i="4" s="1"/>
  <c r="AP71" i="4"/>
  <c r="AU71" i="4"/>
  <c r="AS71" i="4"/>
  <c r="O71" i="4" s="1"/>
  <c r="AO71" i="4"/>
  <c r="G71" i="4" s="1"/>
  <c r="AN71" i="4"/>
  <c r="E71" i="4" s="1"/>
  <c r="AH71" i="4"/>
  <c r="O70" i="4" s="1"/>
  <c r="AE71" i="4"/>
  <c r="I70" i="4" s="1"/>
  <c r="AD71" i="4"/>
  <c r="G70" i="4" s="1"/>
  <c r="AK71" i="4"/>
  <c r="AJ71" i="4"/>
  <c r="AI71" i="4"/>
  <c r="Q70" i="4" s="1"/>
  <c r="AG71" i="4"/>
  <c r="M70" i="4" s="1"/>
  <c r="AF71" i="4"/>
  <c r="K70" i="4" s="1"/>
  <c r="AC71" i="4"/>
  <c r="E70" i="4" s="1"/>
  <c r="AV60" i="4"/>
  <c r="U57" i="4" s="1"/>
  <c r="AQ60" i="4"/>
  <c r="K57" i="4" s="1"/>
  <c r="AT60" i="4"/>
  <c r="Q57" i="4" s="1"/>
  <c r="AU60" i="4"/>
  <c r="AS60" i="4"/>
  <c r="O57" i="4" s="1"/>
  <c r="AP60" i="4"/>
  <c r="I57" i="4" s="1"/>
  <c r="AR60" i="4"/>
  <c r="AO60" i="4"/>
  <c r="AN60" i="4"/>
  <c r="E57" i="4" s="1"/>
  <c r="I84" i="4"/>
  <c r="M84" i="4"/>
  <c r="O84" i="4"/>
  <c r="Q84" i="4"/>
  <c r="S84" i="4"/>
  <c r="U84" i="4"/>
  <c r="M83" i="4"/>
  <c r="O83" i="4"/>
  <c r="Q83" i="4"/>
  <c r="K71" i="4"/>
  <c r="U71" i="4"/>
  <c r="I71" i="4"/>
  <c r="Q71" i="4"/>
  <c r="S71" i="4"/>
  <c r="S70" i="4"/>
  <c r="U70" i="4"/>
  <c r="G57" i="4"/>
  <c r="M57" i="4"/>
  <c r="S57" i="4"/>
  <c r="AK49" i="4"/>
  <c r="U43" i="4" s="1"/>
  <c r="AJ49" i="4"/>
  <c r="S43" i="4" s="1"/>
  <c r="AI49" i="4"/>
  <c r="Q43" i="4" s="1"/>
  <c r="AH49" i="4"/>
  <c r="O43" i="4" s="1"/>
  <c r="AG49" i="4"/>
  <c r="M43" i="4" s="1"/>
  <c r="AF49" i="4"/>
  <c r="K43" i="4" s="1"/>
  <c r="AE49" i="4"/>
  <c r="I43" i="4" s="1"/>
  <c r="AD49" i="4"/>
  <c r="G43" i="4" s="1"/>
  <c r="AC49" i="4"/>
  <c r="E43" i="4" s="1"/>
  <c r="L54" i="5"/>
  <c r="J54" i="5"/>
  <c r="L53" i="5"/>
  <c r="J53" i="5"/>
  <c r="L52" i="5"/>
  <c r="J52" i="5"/>
  <c r="K36" i="5"/>
  <c r="E36" i="5"/>
  <c r="K30" i="5"/>
  <c r="K29" i="5"/>
  <c r="B28" i="5"/>
  <c r="H24" i="5"/>
  <c r="H21" i="5"/>
  <c r="H20" i="5"/>
  <c r="H19" i="5"/>
  <c r="H18" i="5"/>
  <c r="H23" i="5" s="1"/>
  <c r="H17" i="5"/>
  <c r="H22" i="5" s="1"/>
  <c r="H16" i="5"/>
  <c r="H15" i="5"/>
  <c r="H14" i="5"/>
  <c r="H13" i="5"/>
  <c r="H12" i="5"/>
  <c r="H25" i="5" s="1"/>
  <c r="H11" i="5"/>
  <c r="H10" i="5"/>
  <c r="E7" i="5"/>
  <c r="O39" i="4"/>
  <c r="M39" i="4"/>
  <c r="O36" i="4"/>
  <c r="M36" i="4"/>
  <c r="M31" i="4"/>
  <c r="I39" i="4"/>
  <c r="I36" i="4"/>
  <c r="S32" i="4"/>
  <c r="Q32" i="4"/>
  <c r="O32" i="4"/>
  <c r="M32" i="4"/>
  <c r="C32" i="4"/>
  <c r="S31" i="4"/>
  <c r="Q31" i="4"/>
  <c r="O31" i="4"/>
  <c r="C30" i="4"/>
  <c r="N27" i="4"/>
  <c r="J27" i="4"/>
  <c r="N26" i="4"/>
  <c r="J26" i="4"/>
  <c r="E26" i="4"/>
  <c r="E27" i="4" s="1"/>
  <c r="J16" i="4"/>
  <c r="J15" i="4"/>
  <c r="J14" i="4"/>
  <c r="G14" i="4"/>
  <c r="J12" i="4"/>
  <c r="I12" i="4"/>
  <c r="BD9" i="4"/>
  <c r="BD10" i="4" s="1"/>
  <c r="BD11" i="4" s="1"/>
  <c r="BD12" i="4" s="1"/>
  <c r="BD13" i="4" s="1"/>
  <c r="BD14" i="4" s="1"/>
  <c r="BD15" i="4" s="1"/>
  <c r="BD16" i="4" s="1"/>
  <c r="BD17" i="4" s="1"/>
  <c r="BD18" i="4" s="1"/>
  <c r="BD19" i="4" s="1"/>
  <c r="BD20" i="4" s="1"/>
  <c r="BD21" i="4" s="1"/>
  <c r="BD22" i="4" s="1"/>
  <c r="BD23" i="4" s="1"/>
  <c r="BD24" i="4" s="1"/>
  <c r="BD25" i="4" s="1"/>
  <c r="BD26" i="4" s="1"/>
  <c r="BD27" i="4" s="1"/>
  <c r="BD28" i="4" s="1"/>
  <c r="BD29" i="4" s="1"/>
  <c r="BD30" i="4" s="1"/>
  <c r="BD31" i="4" s="1"/>
  <c r="BD32" i="4" s="1"/>
  <c r="K39" i="4" a="1"/>
  <c r="K36" i="4" a="1"/>
  <c r="AQ49" i="4" a="1"/>
  <c r="AU49" i="4" a="1"/>
  <c r="AT49" i="4" a="1"/>
  <c r="AS49" i="4" a="1"/>
  <c r="AP49" i="4" a="1"/>
  <c r="AV49" i="4" a="1"/>
  <c r="AO49" i="4" a="1"/>
  <c r="AR49" i="4" a="1"/>
  <c r="AN49" i="4" a="1"/>
  <c r="AI60" i="4" a="1"/>
  <c r="AE60" i="4" a="1"/>
  <c r="AF60" i="4" a="1"/>
  <c r="AJ60" i="4" a="1"/>
  <c r="AD60" i="4" a="1"/>
  <c r="AG60" i="4" a="1"/>
  <c r="AH60" i="4" a="1"/>
  <c r="AC60" i="4" a="1"/>
  <c r="AK60" i="4" a="1"/>
  <c r="AK60" i="4" l="1"/>
  <c r="U56" i="4" s="1"/>
  <c r="AC60" i="4"/>
  <c r="E56" i="4" s="1"/>
  <c r="AH60" i="4"/>
  <c r="O56" i="4" s="1"/>
  <c r="AG60" i="4"/>
  <c r="M56" i="4" s="1"/>
  <c r="AD60" i="4"/>
  <c r="G56" i="4" s="1"/>
  <c r="AJ60" i="4"/>
  <c r="S56" i="4" s="1"/>
  <c r="AF60" i="4"/>
  <c r="K56" i="4" s="1"/>
  <c r="AE60" i="4"/>
  <c r="I56" i="4" s="1"/>
  <c r="AI60" i="4"/>
  <c r="Q56" i="4" s="1"/>
  <c r="AN49" i="4"/>
  <c r="E44" i="4" s="1"/>
  <c r="AR49" i="4"/>
  <c r="M44" i="4" s="1"/>
  <c r="AO49" i="4"/>
  <c r="G44" i="4" s="1"/>
  <c r="AV49" i="4"/>
  <c r="U44" i="4" s="1"/>
  <c r="AP49" i="4"/>
  <c r="I44" i="4" s="1"/>
  <c r="AS49" i="4"/>
  <c r="O44" i="4" s="1"/>
  <c r="AT49" i="4"/>
  <c r="Q44" i="4" s="1"/>
  <c r="AU49" i="4"/>
  <c r="S44" i="4" s="1"/>
  <c r="AQ49" i="4"/>
  <c r="K44" i="4" s="1"/>
  <c r="BD33" i="4"/>
  <c r="BD34" i="4" s="1"/>
  <c r="BD35" i="4" s="1"/>
  <c r="BD36" i="4" s="1"/>
  <c r="BD37" i="4" s="1"/>
  <c r="BD38" i="4" s="1"/>
  <c r="BD39" i="4" s="1"/>
  <c r="K42" i="5"/>
  <c r="K45" i="5" s="1"/>
  <c r="K40" i="5"/>
  <c r="K39" i="5" s="1"/>
  <c r="E40" i="5"/>
  <c r="E39" i="5" s="1"/>
  <c r="E37" i="5"/>
  <c r="K43" i="5"/>
  <c r="K46" i="5" s="1"/>
  <c r="K41" i="5"/>
  <c r="K44" i="5" s="1"/>
  <c r="E41" i="5"/>
  <c r="E44" i="5" s="1"/>
  <c r="E43" i="5"/>
  <c r="E46" i="5" s="1"/>
  <c r="E42" i="5"/>
  <c r="E45" i="5" s="1"/>
  <c r="K37" i="5"/>
  <c r="K36" i="4"/>
  <c r="Q36" i="4" s="1"/>
  <c r="K39" i="4"/>
  <c r="Q39" i="4" s="1"/>
  <c r="I90" i="4" l="1"/>
  <c r="E85" i="4"/>
  <c r="E76" i="4"/>
  <c r="S73" i="4"/>
  <c r="G63" i="4"/>
  <c r="I59" i="4"/>
  <c r="S50" i="4"/>
  <c r="M49" i="4"/>
  <c r="U86" i="4"/>
  <c r="U49" i="4"/>
  <c r="O59" i="4"/>
  <c r="O86" i="4"/>
  <c r="O92" i="4" s="1"/>
  <c r="O45" i="4"/>
  <c r="S58" i="4"/>
  <c r="S45" i="4"/>
  <c r="S51" i="4" s="1"/>
  <c r="U76" i="4"/>
  <c r="U45" i="4"/>
  <c r="U51" i="4" s="1"/>
  <c r="U85" i="4"/>
  <c r="I50" i="4"/>
  <c r="K58" i="4"/>
  <c r="K64" i="4" s="1"/>
  <c r="S90" i="4"/>
  <c r="G58" i="4"/>
  <c r="I85" i="4"/>
  <c r="Q50" i="4"/>
  <c r="G90" i="4"/>
  <c r="I86" i="4"/>
  <c r="M73" i="4"/>
  <c r="E63" i="4"/>
  <c r="G59" i="4"/>
  <c r="G65" i="4" s="1"/>
  <c r="U50" i="4"/>
  <c r="I46" i="4"/>
  <c r="G50" i="4"/>
  <c r="M90" i="4"/>
  <c r="U73" i="4"/>
  <c r="E90" i="4"/>
  <c r="M85" i="4"/>
  <c r="M91" i="4" s="1"/>
  <c r="K73" i="4"/>
  <c r="K79" i="4" s="1"/>
  <c r="U62" i="4"/>
  <c r="E59" i="4"/>
  <c r="E65" i="4" s="1"/>
  <c r="I49" i="4"/>
  <c r="K46" i="4"/>
  <c r="G49" i="4"/>
  <c r="G73" i="4"/>
  <c r="Q62" i="4"/>
  <c r="G46" i="4"/>
  <c r="S49" i="4"/>
  <c r="G89" i="4"/>
  <c r="G62" i="4"/>
  <c r="I45" i="4"/>
  <c r="E89" i="4"/>
  <c r="O72" i="4"/>
  <c r="O78" i="4" s="1"/>
  <c r="K45" i="4"/>
  <c r="K51" i="4" s="1"/>
  <c r="E72" i="4"/>
  <c r="G77" i="4"/>
  <c r="Q45" i="4"/>
  <c r="E77" i="4"/>
  <c r="O58" i="4"/>
  <c r="S76" i="4"/>
  <c r="M58" i="4"/>
  <c r="S85" i="4"/>
  <c r="K50" i="4"/>
  <c r="Q85" i="4"/>
  <c r="Q89" i="4"/>
  <c r="K85" i="4"/>
  <c r="I73" i="4"/>
  <c r="S62" i="4"/>
  <c r="K49" i="4"/>
  <c r="M46" i="4"/>
  <c r="O46" i="4"/>
  <c r="I62" i="4"/>
  <c r="S59" i="4"/>
  <c r="S86" i="4"/>
  <c r="E62" i="4"/>
  <c r="K86" i="4"/>
  <c r="Q58" i="4"/>
  <c r="Q64" i="4" s="1"/>
  <c r="I72" i="4"/>
  <c r="E45" i="4"/>
  <c r="E51" i="4" s="1"/>
  <c r="M50" i="4"/>
  <c r="O85" i="4"/>
  <c r="O91" i="4" s="1"/>
  <c r="O50" i="4"/>
  <c r="O89" i="4"/>
  <c r="U63" i="4"/>
  <c r="K90" i="4"/>
  <c r="M89" i="4"/>
  <c r="U77" i="4"/>
  <c r="E73" i="4"/>
  <c r="M62" i="4"/>
  <c r="O49" i="4"/>
  <c r="Q46" i="4"/>
  <c r="E46" i="4"/>
  <c r="I89" i="4"/>
  <c r="Q77" i="4"/>
  <c r="U46" i="4"/>
  <c r="U52" i="4" s="1"/>
  <c r="M45" i="4"/>
  <c r="I63" i="4"/>
  <c r="K89" i="4"/>
  <c r="S77" i="4"/>
  <c r="U72" i="4"/>
  <c r="K62" i="4"/>
  <c r="Q49" i="4"/>
  <c r="S46" i="4"/>
  <c r="G45" i="4"/>
  <c r="S72" i="4"/>
  <c r="O77" i="4"/>
  <c r="Q72" i="4"/>
  <c r="M77" i="4"/>
  <c r="M59" i="4"/>
  <c r="I77" i="4"/>
  <c r="K59" i="4"/>
  <c r="M86" i="4"/>
  <c r="O73" i="4"/>
  <c r="O79" i="4" s="1"/>
  <c r="G72" i="4"/>
  <c r="E50" i="4"/>
  <c r="M76" i="4"/>
  <c r="K76" i="4"/>
  <c r="I58" i="4"/>
  <c r="I64" i="4" s="1"/>
  <c r="I76" i="4"/>
  <c r="S63" i="4"/>
  <c r="G76" i="4"/>
  <c r="E58" i="4"/>
  <c r="Q86" i="4"/>
  <c r="K77" i="4"/>
  <c r="M72" i="4"/>
  <c r="Q73" i="4"/>
  <c r="E86" i="4"/>
  <c r="U90" i="4"/>
  <c r="O76" i="4"/>
  <c r="G86" i="4"/>
  <c r="G92" i="4" s="1"/>
  <c r="Q76" i="4"/>
  <c r="U59" i="4"/>
  <c r="Q90" i="4"/>
  <c r="U58" i="4"/>
  <c r="U89" i="4"/>
  <c r="Q63" i="4"/>
  <c r="Q59" i="4"/>
  <c r="Q65" i="4" s="1"/>
  <c r="G85" i="4"/>
  <c r="G91" i="4" s="1"/>
  <c r="K63" i="4"/>
  <c r="O62" i="4"/>
  <c r="M63" i="4"/>
  <c r="S89" i="4"/>
  <c r="K72" i="4"/>
  <c r="E49" i="4"/>
  <c r="O63" i="4"/>
  <c r="O90" i="4"/>
  <c r="E38" i="5"/>
  <c r="E33" i="5" s="1"/>
  <c r="K38" i="5"/>
  <c r="K33" i="5" s="1"/>
  <c r="BD40" i="4"/>
  <c r="C16" i="4"/>
  <c r="E52" i="4" l="1"/>
  <c r="U78" i="4"/>
  <c r="M51" i="4"/>
  <c r="E64" i="4"/>
  <c r="I65" i="4"/>
  <c r="I52" i="4"/>
  <c r="K65" i="4"/>
  <c r="O52" i="4"/>
  <c r="I79" i="4"/>
  <c r="G52" i="4"/>
  <c r="O51" i="4"/>
  <c r="S92" i="4"/>
  <c r="S65" i="4"/>
  <c r="O65" i="4"/>
  <c r="U92" i="4"/>
  <c r="M79" i="4"/>
  <c r="E79" i="4"/>
  <c r="Q78" i="4"/>
  <c r="Q79" i="4"/>
  <c r="K91" i="4"/>
  <c r="S79" i="4"/>
  <c r="M64" i="4"/>
  <c r="O64" i="4"/>
  <c r="U79" i="4"/>
  <c r="U64" i="4"/>
  <c r="I92" i="4"/>
  <c r="M78" i="4"/>
  <c r="S78" i="4"/>
  <c r="G79" i="4"/>
  <c r="I91" i="4"/>
  <c r="E78" i="4"/>
  <c r="S91" i="4"/>
  <c r="I78" i="4"/>
  <c r="Q51" i="4"/>
  <c r="K92" i="4"/>
  <c r="U91" i="4"/>
  <c r="G78" i="4"/>
  <c r="U65" i="4"/>
  <c r="Q52" i="4"/>
  <c r="M52" i="4"/>
  <c r="Q91" i="4"/>
  <c r="G64" i="4"/>
  <c r="E91" i="4"/>
  <c r="M92" i="4"/>
  <c r="I51" i="4"/>
  <c r="M65" i="4"/>
  <c r="S64" i="4"/>
  <c r="E92" i="4"/>
  <c r="G51" i="4"/>
  <c r="K78" i="4"/>
  <c r="Q92" i="4"/>
  <c r="S52" i="4"/>
  <c r="K52" i="4"/>
  <c r="BD41" i="4"/>
  <c r="BD42" i="4" s="1"/>
  <c r="J11" i="4"/>
  <c r="J17" i="4"/>
  <c r="C35" i="4"/>
  <c r="C29" i="4"/>
  <c r="L29" i="4"/>
  <c r="C13" i="4"/>
  <c r="C38" i="4"/>
  <c r="C25" i="4"/>
  <c r="J18" i="4"/>
  <c r="I11" i="4"/>
  <c r="C15" i="4"/>
  <c r="C24" i="4"/>
  <c r="J19" i="4"/>
  <c r="C14" i="4"/>
  <c r="C34" i="4"/>
  <c r="BD43" i="4" l="1"/>
  <c r="BD44" i="4" s="1"/>
  <c r="K32" i="4" l="1"/>
  <c r="K31" i="4"/>
  <c r="BD45" i="4"/>
  <c r="L25" i="4"/>
  <c r="C31" i="4"/>
  <c r="BD46" i="4" l="1"/>
  <c r="P2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<sst xmlns="http://schemas.openxmlformats.org/spreadsheetml/2006/main" count="564" uniqueCount="302">
  <si>
    <t>VN</t>
  </si>
  <si>
    <t>RC building</t>
  </si>
  <si>
    <t>/ Nhà BTCT</t>
  </si>
  <si>
    <t>Sharp eaves</t>
  </si>
  <si>
    <t>/ Có cạnh sắc</t>
  </si>
  <si>
    <t>EN</t>
  </si>
  <si>
    <t>ENVN</t>
  </si>
  <si>
    <t>Steel building</t>
  </si>
  <si>
    <t>/ Nhà thép</t>
  </si>
  <si>
    <t>With parapets</t>
  </si>
  <si>
    <t>/ Có tường chắn mái</t>
  </si>
  <si>
    <t>Project's code:</t>
  </si>
  <si>
    <t>Mã dự án</t>
  </si>
  <si>
    <t>Project:</t>
  </si>
  <si>
    <t>Dự án</t>
  </si>
  <si>
    <t>The owner:</t>
  </si>
  <si>
    <t>Chủ đầu tư</t>
  </si>
  <si>
    <t>Item</t>
  </si>
  <si>
    <t>Hạng mục</t>
  </si>
  <si>
    <t>I</t>
  </si>
  <si>
    <t>II</t>
  </si>
  <si>
    <t>III</t>
  </si>
  <si>
    <t>IV</t>
  </si>
  <si>
    <t>V</t>
  </si>
  <si>
    <t>Rev. No.</t>
  </si>
  <si>
    <t>Hiệu chỉnh</t>
  </si>
  <si>
    <t>Zone</t>
  </si>
  <si>
    <t>W3s,20</t>
  </si>
  <si>
    <t>Date:</t>
  </si>
  <si>
    <t>Ngày</t>
  </si>
  <si>
    <t>Design</t>
  </si>
  <si>
    <t>Thiết kế</t>
  </si>
  <si>
    <t>Wind X</t>
  </si>
  <si>
    <t xml:space="preserve">Terrain </t>
  </si>
  <si>
    <t>zg</t>
  </si>
  <si>
    <t>zmin</t>
  </si>
  <si>
    <t>a</t>
  </si>
  <si>
    <t>k(ze)max</t>
  </si>
  <si>
    <t>Check</t>
  </si>
  <si>
    <t>Kiểm tra</t>
  </si>
  <si>
    <t>A</t>
  </si>
  <si>
    <t>Design code:</t>
  </si>
  <si>
    <t>Tiêu chuẩn thiết kế:</t>
  </si>
  <si>
    <t>B [m] =</t>
  </si>
  <si>
    <t>B</t>
  </si>
  <si>
    <t>TCVN 2737:2023 Loads and Action - Design standard</t>
  </si>
  <si>
    <t>TCVN 2737:2023 Tải trọng và tác động - Tiêu chuẩn thiết kế</t>
  </si>
  <si>
    <t>L [m] =</t>
  </si>
  <si>
    <t>C</t>
  </si>
  <si>
    <t>Section F.2.1 Flat roofs are defined as having a angle</t>
  </si>
  <si>
    <t>Mục F.2.1 Mái bằng khi có góc dốc</t>
  </si>
  <si>
    <t>h [m] =</t>
  </si>
  <si>
    <t>BUILDING (STRUCTURE) DATA</t>
  </si>
  <si>
    <t>DỮ LIỆU CÔNG TRÌNH</t>
  </si>
  <si>
    <t>BUILDING (STRUCTURE) DATA / DỮ LIỆU CÔNG TRÌNH</t>
  </si>
  <si>
    <t>Structure:</t>
  </si>
  <si>
    <t>Kết cấu:</t>
  </si>
  <si>
    <t>Structure / Kết cấu:</t>
  </si>
  <si>
    <t>Wind Y</t>
  </si>
  <si>
    <t>F</t>
  </si>
  <si>
    <t>G</t>
  </si>
  <si>
    <t>H</t>
  </si>
  <si>
    <t>Flat roof</t>
  </si>
  <si>
    <t>Mái bằng</t>
  </si>
  <si>
    <t>Structural type:</t>
  </si>
  <si>
    <t>Loại kết cấu:</t>
  </si>
  <si>
    <t>Structural type / Loại:</t>
  </si>
  <si>
    <t>Type of roof:</t>
  </si>
  <si>
    <t>Loại mái:</t>
  </si>
  <si>
    <t>Roof type / Loại mái:</t>
  </si>
  <si>
    <t>Roof / building width</t>
  </si>
  <si>
    <t>Chiều rộng nhà / mái</t>
  </si>
  <si>
    <t>Roof width / Chiều rộng mái</t>
  </si>
  <si>
    <t>Roof / building length</t>
  </si>
  <si>
    <t>Chiều dài nhà / mái</t>
  </si>
  <si>
    <t>Roof length / Chiều dài mái</t>
  </si>
  <si>
    <t>Building height</t>
  </si>
  <si>
    <t>Chiều cao nhà</t>
  </si>
  <si>
    <t>Building height / Chiều cao nhà</t>
  </si>
  <si>
    <r>
      <t>W</t>
    </r>
    <r>
      <rPr>
        <vertAlign val="subscript"/>
        <sz val="11"/>
        <rFont val="Calibri"/>
        <family val="2"/>
        <scheme val="minor"/>
      </rPr>
      <t>3s,20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</si>
  <si>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g</t>
    </r>
    <r>
      <rPr>
        <sz val="11"/>
        <rFont val="Calibri"/>
        <family val="2"/>
        <scheme val="minor"/>
      </rPr>
      <t xml:space="preserve"> =</t>
    </r>
  </si>
  <si>
    <r>
      <rPr>
        <sz val="11"/>
        <rFont val="Symbol"/>
        <family val="1"/>
        <charset val="2"/>
      </rPr>
      <t>a</t>
    </r>
    <r>
      <rPr>
        <sz val="11"/>
        <rFont val="Calibri"/>
        <family val="2"/>
        <scheme val="minor"/>
      </rPr>
      <t xml:space="preserve"> =</t>
    </r>
  </si>
  <si>
    <t>J</t>
  </si>
  <si>
    <t>Parapet height</t>
  </si>
  <si>
    <t>Chiều cao tường chắn</t>
  </si>
  <si>
    <t>Parapet height / Chiều cao tường chắn</t>
  </si>
  <si>
    <r>
      <t>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</si>
  <si>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min</t>
    </r>
    <r>
      <rPr>
        <sz val="11"/>
        <rFont val="Calibri"/>
        <family val="2"/>
        <scheme val="minor"/>
      </rPr>
      <t xml:space="preserve"> =</t>
    </r>
  </si>
  <si>
    <r>
      <t>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),max =</t>
    </r>
  </si>
  <si>
    <t>Radius of curved eaves</t>
  </si>
  <si>
    <t>Bán kính cong của mái</t>
  </si>
  <si>
    <t>Angle of mansard eaves</t>
  </si>
  <si>
    <t>Góc của cạnh vát góc</t>
  </si>
  <si>
    <t>Gust Effect factor</t>
  </si>
  <si>
    <t>Hệ số hiệu ứng giật</t>
  </si>
  <si>
    <t>Gust Effect factor / Hệ số hiệu ứng giật</t>
  </si>
  <si>
    <t>SITE DATA</t>
  </si>
  <si>
    <t>DỮ LIỆU ĐỊA ĐIỂM</t>
  </si>
  <si>
    <t>SITE DATA / DỮ LIỆU ĐỊA ĐIỂM</t>
  </si>
  <si>
    <t>Vùng</t>
  </si>
  <si>
    <t>Zone / Vùng</t>
  </si>
  <si>
    <t>Site terrain type:</t>
  </si>
  <si>
    <t>Dạng địa hình</t>
  </si>
  <si>
    <t>Site terrain type / Dạng địa hình:</t>
  </si>
  <si>
    <t>COEFFICIENTS AND FACTORS</t>
  </si>
  <si>
    <t>HỆ SỐ</t>
  </si>
  <si>
    <t>FACTORS / HỆ SỐ</t>
  </si>
  <si>
    <t>Internal pressure coefficient</t>
  </si>
  <si>
    <t>Hệ số khí động áp lực bên trong</t>
  </si>
  <si>
    <t>Case 1</t>
  </si>
  <si>
    <t>Trường hợp 1</t>
  </si>
  <si>
    <t>Case 1 / TH1</t>
  </si>
  <si>
    <t>Case 2</t>
  </si>
  <si>
    <t>Trường hợp 2</t>
  </si>
  <si>
    <t>Case 2 / TH2</t>
  </si>
  <si>
    <t>CALCULATIONS: WIND PRESSURES FOR ROOF</t>
  </si>
  <si>
    <t>TÍNH TOÁN ÁP LỰC GIÓ</t>
  </si>
  <si>
    <t>Reference height</t>
  </si>
  <si>
    <t>Chiều cao tham chiếu</t>
  </si>
  <si>
    <t>Reference height / Chiều cao tham chiếu</t>
  </si>
  <si>
    <t xml:space="preserve">Terrain factor </t>
  </si>
  <si>
    <t>Hệ số thay đổi theo độ cao và địa hình</t>
  </si>
  <si>
    <t>Terrain factor  / Hệ số địa hình</t>
  </si>
  <si>
    <t>(Section 10.2.2)</t>
  </si>
  <si>
    <t>(Mục 10.2.2)</t>
  </si>
  <si>
    <t>TH1</t>
  </si>
  <si>
    <t>TH2</t>
  </si>
  <si>
    <t>Roof pitch angle</t>
  </si>
  <si>
    <t>Góc nghiêng mái</t>
  </si>
  <si>
    <t>Roof pitch angle / Góc nghiêng mái</t>
  </si>
  <si>
    <t>Roof slope</t>
  </si>
  <si>
    <t>Độ dốc mái</t>
  </si>
  <si>
    <t>Roof slope / Độ dốc mái</t>
  </si>
  <si>
    <t>CALCULATIONS: WIND PRESSURES FOR ROOF (WIND X)</t>
  </si>
  <si>
    <t>TÍNH TOÁN ÁP LỰC GIÓ LÊN MÁI (PHƯƠNG X)</t>
  </si>
  <si>
    <t>CALCULATIONS: WIND PRESSURES FOR ROOF (WIND X)
TÍNH TOÁN ÁP LỰC GIÓ LÊN MÁI (PHƯƠNG X)</t>
  </si>
  <si>
    <t>CALCULATIONS: WIND PRESSURES FOR ROOF (WIND Y)</t>
  </si>
  <si>
    <t>TÍNH TOÁN ÁP LỰC GIÓ LÊN MÁI (PHƯƠNG Y)</t>
  </si>
  <si>
    <t>CALCULATIONS: WIND PRESSURES FOR ROOF (WIND Y)
TÍNH TOÁN ÁP LỰC GIÓ LÊN MÁI (PHƯƠNG Y)</t>
  </si>
  <si>
    <t>Ridge or trough</t>
  </si>
  <si>
    <t>Đường nóc</t>
  </si>
  <si>
    <t>Ridge or trough / Đường nóc</t>
  </si>
  <si>
    <t>Zone F</t>
  </si>
  <si>
    <t>Zone H</t>
  </si>
  <si>
    <t>Zone I</t>
  </si>
  <si>
    <t>Zone G</t>
  </si>
  <si>
    <t>Zone J</t>
  </si>
  <si>
    <t>HẠNG MỤC</t>
  </si>
  <si>
    <t>NHÀ XƯỞNG</t>
  </si>
  <si>
    <t>DIAGRAM: ZONES OF DUOPITCH ROOF / SƠ ĐỒ PHÂN CHIA VÙNG ÁP LỰC GIÓ</t>
  </si>
  <si>
    <t>DIAGRAM: ZONES OF DUOPITCH ROOF</t>
  </si>
  <si>
    <t>SƠ ĐỒ PHÂN CHIA VÙNG ÁP LỰC GIÓ</t>
  </si>
  <si>
    <t>Gió X</t>
  </si>
  <si>
    <t>Wind/Gió X</t>
  </si>
  <si>
    <t>Gió Y</t>
  </si>
  <si>
    <t>Wind/Gió Y</t>
  </si>
  <si>
    <t>Vùng F</t>
  </si>
  <si>
    <t>Zone / Vùng F</t>
  </si>
  <si>
    <t>Vùng G</t>
  </si>
  <si>
    <t>Zone / Vùng G</t>
  </si>
  <si>
    <t>Vùng H</t>
  </si>
  <si>
    <t>Zone / Vùng H</t>
  </si>
  <si>
    <t>Vùng I</t>
  </si>
  <si>
    <t>Zone / Vùng I</t>
  </si>
  <si>
    <t>Vùng J</t>
  </si>
  <si>
    <t>Zone / Vùng J</t>
  </si>
  <si>
    <r>
      <t>kN/m</t>
    </r>
    <r>
      <rPr>
        <vertAlign val="superscript"/>
        <sz val="11"/>
        <rFont val="Calibri"/>
        <family val="2"/>
        <scheme val="minor"/>
      </rPr>
      <t>2</t>
    </r>
  </si>
  <si>
    <t>Hệ số áp lực trong (phụ lục F12)</t>
  </si>
  <si>
    <t>Độ hở của tường chắn</t>
  </si>
  <si>
    <t>Open ratio for each wind direction</t>
  </si>
  <si>
    <r>
      <t>w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</si>
  <si>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</si>
  <si>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 =</t>
    </r>
  </si>
  <si>
    <r>
      <t>G</t>
    </r>
    <r>
      <rPr>
        <vertAlign val="subscript"/>
        <sz val="11"/>
        <rFont val="Calibri"/>
        <family val="2"/>
        <scheme val="minor"/>
      </rPr>
      <t>f</t>
    </r>
  </si>
  <si>
    <t>z (m)</t>
  </si>
  <si>
    <r>
      <t>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(m)</t>
    </r>
  </si>
  <si>
    <r>
      <t>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 (m)</t>
    </r>
  </si>
  <si>
    <t>b (m)</t>
  </si>
  <si>
    <t>d (m)</t>
  </si>
  <si>
    <t>CALCULATION WIND PRESSURES / TÍNH TOÁN ÁP LỰC GIÓ</t>
  </si>
  <si>
    <t>CALCULATION WIND PRESSURES</t>
  </si>
  <si>
    <t>DIRECTION X</t>
  </si>
  <si>
    <t>DIRECTION Y</t>
  </si>
  <si>
    <t>PHƯƠNG X</t>
  </si>
  <si>
    <t>PHƯƠNG Y</t>
  </si>
  <si>
    <t>DIRECTION X / PHƯƠNG X</t>
  </si>
  <si>
    <t>DIRECTION Y / PHƯƠNG Y</t>
  </si>
  <si>
    <t>Load</t>
  </si>
  <si>
    <t>Wx+</t>
  </si>
  <si>
    <t>Wx-</t>
  </si>
  <si>
    <t>Wy+</t>
  </si>
  <si>
    <t>Wy-</t>
  </si>
  <si>
    <t>m</t>
  </si>
  <si>
    <r>
      <t>W</t>
    </r>
    <r>
      <rPr>
        <vertAlign val="subscript"/>
        <sz val="11"/>
        <rFont val="Calibri"/>
        <family val="2"/>
        <scheme val="minor"/>
      </rPr>
      <t>k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- W</t>
    </r>
    <r>
      <rPr>
        <vertAlign val="subscript"/>
        <sz val="11"/>
        <rFont val="Calibri"/>
        <family val="2"/>
        <scheme val="minor"/>
      </rPr>
      <t>i</t>
    </r>
  </si>
  <si>
    <r>
      <t>W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. 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).c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.G</t>
    </r>
    <r>
      <rPr>
        <vertAlign val="subscript"/>
        <sz val="11"/>
        <rFont val="Calibri"/>
        <family val="2"/>
        <scheme val="minor"/>
      </rPr>
      <t>f</t>
    </r>
  </si>
  <si>
    <r>
      <t>W</t>
    </r>
    <r>
      <rPr>
        <vertAlign val="subscript"/>
        <sz val="1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. 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).c</t>
    </r>
    <r>
      <rPr>
        <vertAlign val="subscript"/>
        <sz val="1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>.G</t>
    </r>
    <r>
      <rPr>
        <vertAlign val="subscript"/>
        <sz val="11"/>
        <rFont val="Calibri"/>
        <family val="2"/>
        <scheme val="minor"/>
      </rPr>
      <t>f</t>
    </r>
  </si>
  <si>
    <t>WIND PRESSURE ACTING ON THE SURFACES:</t>
  </si>
  <si>
    <t>ÁP LỰC GIÓ TÁC DỤNG LÊN BỀ MẶT:</t>
  </si>
  <si>
    <t>WIND PRESSURE ACTING ON THE SURFACES / ÁP LỰC GIÓ TÁC DỤNG LÊN BỀ MẶT:</t>
  </si>
  <si>
    <t>Tải trọng</t>
  </si>
  <si>
    <t>Load / Tải trọng</t>
  </si>
  <si>
    <r>
      <t>c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=</t>
    </r>
  </si>
  <si>
    <r>
      <t>c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=</t>
    </r>
  </si>
  <si>
    <r>
      <t>c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-</t>
    </r>
  </si>
  <si>
    <t>TÍNH TOÁN HỆ SỐ HIỆU ỨNG GIẬT Gf</t>
  </si>
  <si>
    <t>1. Dữ liệu tính toán</t>
  </si>
  <si>
    <t>Chiều cao nhà từ mặt đất (m)</t>
  </si>
  <si>
    <t>Chiều cao lan can tầng mái:</t>
  </si>
  <si>
    <t>Vùng áp lực gió:</t>
  </si>
  <si>
    <t>Dạng địa hình:</t>
  </si>
  <si>
    <t>Kết cấu thép</t>
  </si>
  <si>
    <t>Hệ số độ tin cậy:</t>
  </si>
  <si>
    <t>TCVN 2737-2023 - 10.1.6</t>
  </si>
  <si>
    <r>
      <t>Áp lực gió trung bình W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</si>
  <si>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QCVN 02</t>
  </si>
  <si>
    <r>
      <t>Áp lực gió 3s, chu kỳ lặp 10 năm W</t>
    </r>
    <r>
      <rPr>
        <vertAlign val="subscript"/>
        <sz val="10"/>
        <rFont val="Arial"/>
        <family val="2"/>
      </rPr>
      <t>3s,10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</si>
  <si>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TCVN 2737-2023 - 10.2.2</t>
  </si>
  <si>
    <t>Vận tốc gió 3s, CKL 50 năm V3s,50 (m/s)</t>
  </si>
  <si>
    <r>
      <t>Giá trị z</t>
    </r>
    <r>
      <rPr>
        <vertAlign val="subscript"/>
        <sz val="10"/>
        <rFont val="Arial"/>
        <family val="2"/>
      </rPr>
      <t xml:space="preserve">min </t>
    </r>
    <r>
      <rPr>
        <sz val="10"/>
        <rFont val="Arial"/>
        <family val="2"/>
      </rPr>
      <t>(m)</t>
    </r>
  </si>
  <si>
    <t>TCVN 2737-2023 - 10.2.5 - Bảng 8</t>
  </si>
  <si>
    <r>
      <t>Giá trị z</t>
    </r>
    <r>
      <rPr>
        <vertAlign val="subscript"/>
        <sz val="10"/>
        <rFont val="Arial"/>
        <family val="2"/>
      </rPr>
      <t xml:space="preserve">g </t>
    </r>
    <r>
      <rPr>
        <sz val="10"/>
        <rFont val="Arial"/>
        <family val="2"/>
      </rPr>
      <t>(m)</t>
    </r>
  </si>
  <si>
    <t>Giá trị α</t>
  </si>
  <si>
    <r>
      <t>Giá trị max k(z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)</t>
    </r>
  </si>
  <si>
    <r>
      <t>Hệ số phụ thuộc vào các dạng địa hình khác nhau C</t>
    </r>
    <r>
      <rPr>
        <vertAlign val="subscript"/>
        <sz val="10"/>
        <rFont val="Arial"/>
        <family val="2"/>
      </rPr>
      <t>r</t>
    </r>
  </si>
  <si>
    <t>TCVN 2737-2023 - 10.2.7.3 - Bảng 10</t>
  </si>
  <si>
    <t>Hệ số phụ thuộc vào các dạng địa hình khác nhau  ℓ</t>
  </si>
  <si>
    <t>Hệ số phụ thuộc vào các dạng địa hình khác nhau  ꑾ</t>
  </si>
  <si>
    <t>Hệ số phụ thuộc vào các dạng địa hình khác nhau   b͆</t>
  </si>
  <si>
    <t>Hệ số phụ thuộc vào các dạng địa hình khác nhau  ᾱ</t>
  </si>
  <si>
    <r>
      <t>Độ rối I(z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</si>
  <si>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(14)</t>
  </si>
  <si>
    <r>
      <t>Thang nguyên kích thước xoáy L(z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</si>
  <si>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(17)</t>
  </si>
  <si>
    <t>Độ cản β =</t>
  </si>
  <si>
    <t>TCVN 2737-2023 - 10.2.7.3 - (18)</t>
  </si>
  <si>
    <r>
      <t>Vận tốc gió TB 1h, CKL 50 năm V(Zs)</t>
    </r>
    <r>
      <rPr>
        <vertAlign val="subscript"/>
        <sz val="10"/>
        <rFont val="Arial"/>
        <family val="2"/>
      </rPr>
      <t>3600s,50</t>
    </r>
    <r>
      <rPr>
        <sz val="10"/>
        <rFont val="Arial"/>
        <family val="2"/>
      </rPr>
      <t xml:space="preserve"> (m/s)</t>
    </r>
  </si>
  <si>
    <t>TCVN 2737-2023 - 10.2.7.3 - (21)</t>
  </si>
  <si>
    <t>Gió phương X</t>
  </si>
  <si>
    <t>Gió phương Y</t>
  </si>
  <si>
    <t>Diễn giải</t>
  </si>
  <si>
    <t>Chu kỳ dao động (s)</t>
  </si>
  <si>
    <t>Bề rộng mặt đón gió TB (B)</t>
  </si>
  <si>
    <t>Chiều dài công trình (D)</t>
  </si>
  <si>
    <t>2. Kết quả</t>
  </si>
  <si>
    <r>
      <t>Hệ số hiệu ứng giật G</t>
    </r>
    <r>
      <rPr>
        <vertAlign val="subscript"/>
        <sz val="10"/>
        <rFont val="Arial"/>
        <family val="2"/>
      </rPr>
      <t xml:space="preserve">f </t>
    </r>
    <r>
      <rPr>
        <sz val="10"/>
        <rFont val="Arial"/>
        <family val="2"/>
      </rPr>
      <t>:</t>
    </r>
  </si>
  <si>
    <t>10.2.7.3 - (13)</t>
  </si>
  <si>
    <t>3. Phụ lục tính toán</t>
  </si>
  <si>
    <t>Hệ số đỉnh gR</t>
  </si>
  <si>
    <t>10.2.7.3 - (15)</t>
  </si>
  <si>
    <t>hệ số phản ứng nền kết cấu Q:</t>
  </si>
  <si>
    <t>hệ số phản ứng nền của kết cấu Q:</t>
  </si>
  <si>
    <t>10.2.7.3 - (16)</t>
  </si>
  <si>
    <t>Hệ số phản ứng cộng hưởng R</t>
  </si>
  <si>
    <t>10.2.7.3 - (18)</t>
  </si>
  <si>
    <t>Rn =</t>
  </si>
  <si>
    <t>10.2.7.3 - (19)</t>
  </si>
  <si>
    <t>N1 =</t>
  </si>
  <si>
    <t>10.2.7.3 - (20)</t>
  </si>
  <si>
    <r>
      <t>HS hàm dẫn suất khí động ƞ</t>
    </r>
    <r>
      <rPr>
        <vertAlign val="subscript"/>
        <sz val="10"/>
        <rFont val="Arial"/>
        <family val="2"/>
      </rPr>
      <t>h</t>
    </r>
    <r>
      <rPr>
        <sz val="10"/>
        <rFont val="Arial"/>
        <family val="2"/>
      </rPr>
      <t xml:space="preserve"> =</t>
    </r>
  </si>
  <si>
    <t>10.2.7.3 - (24)</t>
  </si>
  <si>
    <r>
      <t>HS hàm dẫn suất khí động ƞ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=</t>
    </r>
  </si>
  <si>
    <r>
      <t>HS hàm dẫn suất khí động ƞ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</si>
  <si>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Hàm số dẫn suất khí động Rh =</t>
  </si>
  <si>
    <t>Hàm số dẫn suất khí động Rb =</t>
  </si>
  <si>
    <t>Hàm số dẫn suất khí động Rd =</t>
  </si>
  <si>
    <t>BẢNG 8</t>
  </si>
  <si>
    <t>BẢNG 10</t>
  </si>
  <si>
    <t xml:space="preserve">Dạng
địa hình </t>
  </si>
  <si>
    <t xml:space="preserve">Mô tả dạng địa hình </t>
  </si>
  <si>
    <r>
      <t xml:space="preserve">Giá trị </t>
    </r>
    <r>
      <rPr>
        <i/>
        <sz val="11"/>
        <color rgb="FF000000"/>
        <rFont val="Arial-BoldItalicMT"/>
      </rPr>
      <t>z</t>
    </r>
    <r>
      <rPr>
        <i/>
        <vertAlign val="subscript"/>
        <sz val="11"/>
        <color rgb="FF000000"/>
        <rFont val="Arial-BoldItalicMT"/>
      </rPr>
      <t>g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</si>
  <si>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rPr>
        <sz val="11"/>
        <color rgb="FF000000"/>
        <rFont val="Arial-BoldMT"/>
      </rPr>
      <t>Giá trị Z</t>
    </r>
    <r>
      <rPr>
        <sz val="7"/>
        <color rgb="FF000000"/>
        <rFont val="Arial-BoldMT"/>
      </rPr>
      <t>min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</si>
  <si>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t xml:space="preserve">Giá trị </t>
    </r>
    <r>
      <rPr>
        <sz val="11"/>
        <color rgb="FF000000"/>
        <rFont val="Symbol"/>
        <family val="1"/>
        <charset val="2"/>
      </rPr>
      <t>a</t>
    </r>
  </si>
  <si>
    <t>Max k(ze)</t>
  </si>
  <si>
    <t>cr</t>
  </si>
  <si>
    <t>l,m</t>
  </si>
  <si>
    <t>Trống trải, không có hoặc có rất ít vật cản cao không quá 1,5 m (bờ biển thoáng, mặt sông, hồ lớn, đồng muối, cánh đồng không có cây cao...), xem Hình D.1, Phụ lục D.</t>
  </si>
  <si>
    <t>Tương đối trống trải, có một số vật cản thưa thớt cao không quá 10 m (vùng ngoại ô ít nhà, thị trấn, làng mạc, rừng thưa hoặc rừng non, vùng trồng cây thưa…), xem Hình D.2, Phụ lục D.</t>
  </si>
  <si>
    <t>Bị che chắn mạnh, có nhiều vật cản sát nhau cao từ 10 m trở lên (trong thành phố, vùng rừng rậm...), xem Hình D.3, Phụ lục D.</t>
  </si>
  <si>
    <t>Mục other trong tool để format màu sắc in ấn</t>
  </si>
  <si>
    <t>Lựa chọn giá trị phương thức</t>
  </si>
  <si>
    <t>Công thức tính toán sơ bộ theo phụ lục</t>
  </si>
  <si>
    <t>Phương
X</t>
  </si>
  <si>
    <t>Đơn giản</t>
  </si>
  <si>
    <t>Tính toán</t>
  </si>
  <si>
    <t>Công thức tính toán theo sheet bên cạnh</t>
  </si>
  <si>
    <t>Phương
Y</t>
  </si>
  <si>
    <t>K</t>
  </si>
  <si>
    <t>L</t>
  </si>
  <si>
    <t>M</t>
  </si>
  <si>
    <t>N</t>
  </si>
  <si>
    <t>TRƯỜNG HỢP GIÓ X+</t>
  </si>
  <si>
    <t>TRƯỜNG HỢP GIÓ X-</t>
  </si>
  <si>
    <t>TRƯỜNG HỢP GIÓ Y+</t>
  </si>
  <si>
    <t>TRƯỜNG HỢP GIÓ Y-</t>
  </si>
  <si>
    <t>TÍNH TOÁN ÁP LỰC GIÓ LÊN MÁI, GIÓ X+</t>
  </si>
  <si>
    <t>TÍNH TOÁN ÁP LỰC GIÓ LÊN MÁI, GIÓ X-</t>
  </si>
  <si>
    <t>TÍNH TOÁN TẢI TRỌNG GIÓ TÁC DỤNG LÊN NHÀ MÁI DỐC BỐN PHÍA</t>
  </si>
  <si>
    <t>LƯU Ý: SHEET NÀY TÍNH TOÁN CHO KÈO // OY</t>
  </si>
  <si>
    <r>
      <t xml:space="preserve">Góc nghiêng mái ứng với gió </t>
    </r>
    <r>
      <rPr>
        <sz val="11"/>
        <color theme="1"/>
        <rFont val="Symbol"/>
        <family val="1"/>
        <charset val="2"/>
      </rPr>
      <t xml:space="preserve"> q</t>
    </r>
    <r>
      <rPr>
        <sz val="12.65"/>
        <color theme="1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=0</t>
    </r>
    <r>
      <rPr>
        <vertAlign val="superscript"/>
        <sz val="11"/>
        <color theme="1"/>
        <rFont val="Calibri"/>
        <family val="2"/>
        <scheme val="minor"/>
      </rPr>
      <t>o</t>
    </r>
  </si>
  <si>
    <r>
      <t xml:space="preserve">Góc nghiêng mái ứng với gió </t>
    </r>
    <r>
      <rPr>
        <sz val="11"/>
        <color theme="1"/>
        <rFont val="Symbol"/>
        <family val="1"/>
        <charset val="2"/>
      </rPr>
      <t xml:space="preserve"> q</t>
    </r>
    <r>
      <rPr>
        <sz val="12.65"/>
        <color theme="1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=90</t>
    </r>
    <r>
      <rPr>
        <vertAlign val="superscript"/>
        <sz val="11"/>
        <color theme="1"/>
        <rFont val="Calibri"/>
        <family val="2"/>
        <scheme val="minor"/>
      </rPr>
      <t>o</t>
    </r>
  </si>
  <si>
    <t>TÍNH TOÁN ÁP LỰC GIÓ LÊN MÁI, GIÓ Y+</t>
  </si>
  <si>
    <t>TÍNH TOÁN ÁP LỰC GIÓ LÊN MÁI, GIÓ Y-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</si>
</sst>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%"/>
  </numFmts>
  <fonts count="6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 CE"/>
      <charset val="238"/>
    </font>
    <font>
      <sz val="10"/>
      <name val="Arial"/>
      <family val="2"/>
    </font>
    <font>
      <b/>
      <i/>
      <sz val="11"/>
      <color indexed="8"/>
      <name val="Arial"/>
      <family val="2"/>
    </font>
    <font>
      <sz val="16"/>
      <color rgb="FFFF0000"/>
      <name val="Arial"/>
      <family val="2"/>
    </font>
    <font>
      <b/>
      <sz val="11"/>
      <name val="Arial"/>
      <family val="2"/>
    </font>
    <font>
      <sz val="11"/>
      <name val="Calibri"/>
      <family val="2"/>
      <scheme val="minor"/>
    </font>
    <font>
      <i/>
      <u/>
      <sz val="11"/>
      <name val="Calibri"/>
      <family val="2"/>
      <scheme val="minor"/>
    </font>
    <font>
      <sz val="10"/>
      <color rgb="FFFF0000"/>
      <name val="Arial"/>
      <family val="2"/>
    </font>
    <font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CC"/>
      <name val="Calibri"/>
      <family val="2"/>
      <scheme val="minor"/>
    </font>
    <font>
      <sz val="10"/>
      <name val="Symbol"/>
      <family val="1"/>
      <charset val="2"/>
    </font>
    <font>
      <b/>
      <sz val="10"/>
      <color rgb="FFC00000"/>
      <name val="Arial"/>
      <family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1"/>
      <charset val="2"/>
      <scheme val="minor"/>
    </font>
    <font>
      <sz val="11"/>
      <color theme="1"/>
      <name val="Symbol"/>
      <family val="1"/>
      <charset val="2"/>
    </font>
    <font>
      <vertAlign val="subscript"/>
      <sz val="11"/>
      <name val="Calibri"/>
      <family val="2"/>
      <scheme val="minor"/>
    </font>
    <font>
      <sz val="11"/>
      <name val="Calibri"/>
      <family val="1"/>
      <charset val="2"/>
      <scheme val="minor"/>
    </font>
    <font>
      <sz val="11"/>
      <name val="Symbol"/>
      <family val="1"/>
      <charset val="2"/>
    </font>
    <font>
      <sz val="10"/>
      <color indexed="12"/>
      <name val="Arial"/>
      <family val="2"/>
    </font>
    <font>
      <sz val="11"/>
      <color rgb="FF0070C0"/>
      <name val="Calibri"/>
      <family val="2"/>
      <scheme val="minor"/>
    </font>
    <font>
      <sz val="11"/>
      <color rgb="FF0000CC"/>
      <name val="Calibri"/>
      <family val="2"/>
      <scheme val="minor"/>
    </font>
    <font>
      <b/>
      <sz val="12"/>
      <color theme="0"/>
      <name val="Arial"/>
      <family val="2"/>
    </font>
    <font>
      <b/>
      <sz val="10"/>
      <color rgb="FF0070C0"/>
      <name val="Arial"/>
      <family val="2"/>
    </font>
    <font>
      <sz val="11"/>
      <color rgb="FFFF00FF"/>
      <name val="Calibri"/>
      <family val="2"/>
      <scheme val="minor"/>
    </font>
    <font>
      <b/>
      <sz val="10"/>
      <name val="Arial"/>
      <family val="2"/>
    </font>
    <font>
      <vertAlign val="superscript"/>
      <sz val="11"/>
      <name val="Calibri"/>
      <family val="2"/>
      <scheme val="minor"/>
    </font>
    <font>
      <vertAlign val="subscript"/>
      <sz val="10"/>
      <name val="Arial"/>
      <family val="2"/>
    </font>
    <font>
      <sz val="16"/>
      <color rgb="FFC00000"/>
      <name val="Arial"/>
      <family val="2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</font>
    <font>
      <sz val="10"/>
      <name val="Arial"/>
      <family val="2"/>
    </font>
    <font>
      <i/>
      <sz val="12"/>
      <name val="Arial"/>
      <family val="2"/>
    </font>
    <font>
      <b/>
      <sz val="14"/>
      <color theme="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b/>
      <sz val="10"/>
      <color indexed="12"/>
      <name val="Arial"/>
      <family val="2"/>
    </font>
    <font>
      <b/>
      <sz val="10"/>
      <color rgb="FF0000FF"/>
      <name val="Arial"/>
      <family val="2"/>
    </font>
    <font>
      <b/>
      <sz val="12"/>
      <color rgb="FF0000FF"/>
      <name val="Arial"/>
      <family val="2"/>
    </font>
    <font>
      <vertAlign val="superscript"/>
      <sz val="10"/>
      <name val="Arial"/>
      <family val="2"/>
    </font>
    <font>
      <b/>
      <sz val="10"/>
      <color rgb="FF0000CC"/>
      <name val="Arial"/>
      <family val="2"/>
    </font>
    <font>
      <sz val="13"/>
      <color theme="1"/>
      <name val="Arial"/>
      <family val="2"/>
    </font>
    <font>
      <sz val="11"/>
      <color rgb="FF000000"/>
      <name val="Arial-BoldMT"/>
    </font>
    <font>
      <i/>
      <sz val="11"/>
      <color rgb="FF000000"/>
      <name val="Arial-BoldItalicMT"/>
    </font>
    <font>
      <i/>
      <vertAlign val="subscript"/>
      <sz val="11"/>
      <color rgb="FF000000"/>
      <name val="Arial-BoldItalicMT"/>
    </font>
    <font>
      <sz val="11"/>
      <color rgb="FF000000"/>
      <name val="ArialMT"/>
    </font>
    <font>
      <sz val="11"/>
      <color rgb="FF000000"/>
      <name val="Arial-BoldItalicMT"/>
    </font>
    <font>
      <sz val="7"/>
      <color rgb="FF000000"/>
      <name val="Arial-BoldMT"/>
    </font>
    <font>
      <sz val="11"/>
      <color rgb="FF000000"/>
      <name val="Symbol"/>
      <family val="1"/>
      <charset val="2"/>
    </font>
    <font>
      <i/>
      <sz val="11"/>
      <color rgb="FF000000"/>
      <name val="Arial-ItalicMT"/>
    </font>
    <font>
      <sz val="20"/>
      <color rgb="FFC00000"/>
      <name val="Arial"/>
      <family val="2"/>
    </font>
    <font>
      <b/>
      <sz val="12"/>
      <color rgb="FFFFFFFF"/>
      <name val="Arial"/>
      <family val="2"/>
    </font>
    <font>
      <b/>
      <sz val="12"/>
      <color rgb="FF0070C0"/>
      <name val="Arial"/>
      <family val="2"/>
    </font>
    <font>
      <sz val="10"/>
      <color rgb="FF0000FF"/>
      <name val="Arial"/>
      <family val="2"/>
    </font>
    <font>
      <sz val="11"/>
      <color rgb="FF3F3F76"/>
      <name val="Calibri"/>
      <family val="2"/>
      <scheme val="minor"/>
    </font>
    <font>
      <sz val="10"/>
      <color rgb="FF0000CC"/>
      <name val="Arial"/>
      <family val="2"/>
    </font>
    <font>
      <sz val="11"/>
      <color rgb="FFC00000"/>
      <name val="Calibri"/>
      <family val="2"/>
      <scheme val="minor"/>
    </font>
    <font>
      <sz val="14"/>
      <color rgb="FFC00000"/>
      <name val="Arial"/>
      <family val="2"/>
    </font>
    <font>
      <sz val="12.65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99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2" fillId="0" borderId="0"/>
    <xf numFmtId="49" fontId="5" fillId="0" borderId="0">
      <alignment horizontal="left" vertical="center"/>
    </xf>
    <xf numFmtId="9" fontId="4" fillId="0" borderId="0" applyFont="0" applyFill="0" applyBorder="0" applyAlignment="0" applyProtection="0"/>
    <xf numFmtId="0" fontId="4" fillId="0" borderId="0"/>
    <xf numFmtId="0" fontId="33" fillId="9" borderId="0" applyNumberFormat="0" applyBorder="0" applyAlignment="0" applyProtection="0"/>
    <xf numFmtId="0" fontId="35" fillId="0" borderId="0"/>
    <xf numFmtId="0" fontId="2" fillId="0" borderId="0"/>
    <xf numFmtId="0" fontId="34" fillId="0" borderId="0"/>
    <xf numFmtId="0" fontId="58" fillId="14" borderId="25" applyNumberFormat="0" applyAlignment="0" applyProtection="0"/>
  </cellStyleXfs>
  <cellXfs count="299">
    <xf numFmtId="0" fontId="0" fillId="0" borderId="0" xfId="0"/>
    <xf numFmtId="0" fontId="3" fillId="0" borderId="0" xfId="1" applyFont="1" applyProtection="1">
      <protection hidden="1"/>
    </xf>
    <xf numFmtId="0" fontId="2" fillId="0" borderId="0" xfId="1" applyProtection="1">
      <protection hidden="1"/>
    </xf>
    <xf numFmtId="0" fontId="2" fillId="0" borderId="0" xfId="1"/>
    <xf numFmtId="0" fontId="4" fillId="4" borderId="0" xfId="1" applyFont="1" applyFill="1"/>
    <xf numFmtId="0" fontId="2" fillId="4" borderId="0" xfId="1" applyFill="1"/>
    <xf numFmtId="0" fontId="2" fillId="5" borderId="1" xfId="1" applyFill="1" applyBorder="1" applyAlignment="1">
      <alignment horizontal="center" vertical="center"/>
    </xf>
    <xf numFmtId="0" fontId="4" fillId="5" borderId="1" xfId="1" applyFont="1" applyFill="1" applyBorder="1"/>
    <xf numFmtId="0" fontId="2" fillId="2" borderId="0" xfId="1" applyFill="1"/>
    <xf numFmtId="0" fontId="9" fillId="2" borderId="6" xfId="1" applyFont="1" applyFill="1" applyBorder="1" applyAlignment="1" applyProtection="1">
      <alignment horizontal="right" vertical="center"/>
      <protection hidden="1"/>
    </xf>
    <xf numFmtId="0" fontId="2" fillId="0" borderId="1" xfId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15" fillId="2" borderId="1" xfId="1" applyFont="1" applyFill="1" applyBorder="1" applyAlignment="1">
      <alignment horizontal="center" vertical="center"/>
    </xf>
    <xf numFmtId="0" fontId="4" fillId="0" borderId="0" xfId="1" applyFont="1"/>
    <xf numFmtId="0" fontId="4" fillId="5" borderId="0" xfId="1" applyFont="1" applyFill="1"/>
    <xf numFmtId="2" fontId="16" fillId="0" borderId="0" xfId="1" applyNumberFormat="1" applyFont="1" applyAlignment="1">
      <alignment horizontal="center" vertical="center"/>
    </xf>
    <xf numFmtId="0" fontId="2" fillId="5" borderId="1" xfId="1" applyFill="1" applyBorder="1"/>
    <xf numFmtId="0" fontId="8" fillId="0" borderId="8" xfId="1" applyFont="1" applyBorder="1" applyAlignment="1" applyProtection="1">
      <alignment vertical="center"/>
      <protection hidden="1"/>
    </xf>
    <xf numFmtId="0" fontId="2" fillId="0" borderId="8" xfId="1" applyBorder="1" applyProtection="1">
      <protection hidden="1"/>
    </xf>
    <xf numFmtId="0" fontId="2" fillId="0" borderId="9" xfId="1" applyBorder="1" applyProtection="1">
      <protection hidden="1"/>
    </xf>
    <xf numFmtId="0" fontId="8" fillId="0" borderId="8" xfId="0" applyFont="1" applyBorder="1" applyProtection="1">
      <protection hidden="1"/>
    </xf>
    <xf numFmtId="0" fontId="2" fillId="7" borderId="1" xfId="0" applyFont="1" applyFill="1" applyBorder="1"/>
    <xf numFmtId="0" fontId="2" fillId="0" borderId="1" xfId="0" applyFont="1" applyBorder="1"/>
    <xf numFmtId="0" fontId="6" fillId="0" borderId="0" xfId="1" applyFont="1" applyAlignment="1">
      <alignment vertical="center"/>
    </xf>
    <xf numFmtId="0" fontId="8" fillId="2" borderId="5" xfId="1" applyFont="1" applyFill="1" applyBorder="1" applyAlignment="1" applyProtection="1">
      <alignment vertical="center"/>
      <protection hidden="1"/>
    </xf>
    <xf numFmtId="9" fontId="2" fillId="0" borderId="4" xfId="1" applyNumberFormat="1" applyBorder="1" applyAlignment="1">
      <alignment horizontal="center" vertical="center"/>
    </xf>
    <xf numFmtId="0" fontId="26" fillId="0" borderId="0" xfId="2" applyNumberFormat="1" applyFont="1" applyAlignment="1">
      <alignment vertical="center"/>
    </xf>
    <xf numFmtId="0" fontId="8" fillId="0" borderId="0" xfId="1" applyFont="1" applyProtection="1">
      <protection hidden="1"/>
    </xf>
    <xf numFmtId="0" fontId="2" fillId="2" borderId="0" xfId="6" applyFont="1" applyFill="1" applyAlignment="1">
      <alignment vertical="center"/>
    </xf>
    <xf numFmtId="0" fontId="2" fillId="10" borderId="0" xfId="6" applyFont="1" applyFill="1" applyAlignment="1">
      <alignment vertical="center"/>
    </xf>
    <xf numFmtId="0" fontId="36" fillId="10" borderId="0" xfId="6" applyFont="1" applyFill="1" applyAlignment="1">
      <alignment vertical="center" wrapText="1"/>
    </xf>
    <xf numFmtId="0" fontId="38" fillId="10" borderId="0" xfId="6" applyFont="1" applyFill="1" applyAlignment="1">
      <alignment horizontal="center" vertical="center"/>
    </xf>
    <xf numFmtId="0" fontId="38" fillId="2" borderId="0" xfId="6" applyFont="1" applyFill="1" applyAlignment="1">
      <alignment horizontal="center" vertical="center"/>
    </xf>
    <xf numFmtId="0" fontId="7" fillId="2" borderId="0" xfId="6" applyFont="1" applyFill="1" applyAlignment="1">
      <alignment horizontal="center" vertical="center"/>
    </xf>
    <xf numFmtId="0" fontId="2" fillId="2" borderId="0" xfId="6" applyFont="1" applyFill="1" applyAlignment="1">
      <alignment horizontal="left" vertical="center" indent="1"/>
    </xf>
    <xf numFmtId="2" fontId="40" fillId="2" borderId="0" xfId="6" applyNumberFormat="1" applyFont="1" applyFill="1" applyAlignment="1">
      <alignment horizontal="left" vertical="center"/>
    </xf>
    <xf numFmtId="0" fontId="2" fillId="2" borderId="0" xfId="6" applyFont="1" applyFill="1" applyAlignment="1">
      <alignment horizontal="left" vertical="center"/>
    </xf>
    <xf numFmtId="0" fontId="35" fillId="0" borderId="0" xfId="6" applyAlignment="1">
      <alignment horizontal="left" vertical="center"/>
    </xf>
    <xf numFmtId="2" fontId="40" fillId="2" borderId="0" xfId="6" applyNumberFormat="1" applyFont="1" applyFill="1" applyAlignment="1" applyProtection="1">
      <alignment horizontal="left" vertical="center"/>
      <protection locked="0"/>
    </xf>
    <xf numFmtId="2" fontId="2" fillId="2" borderId="0" xfId="6" applyNumberFormat="1" applyFont="1" applyFill="1" applyAlignment="1" applyProtection="1">
      <alignment horizontal="left" vertical="center"/>
      <protection locked="0"/>
    </xf>
    <xf numFmtId="0" fontId="23" fillId="2" borderId="0" xfId="6" applyFont="1" applyFill="1" applyAlignment="1">
      <alignment horizontal="left" vertical="center"/>
    </xf>
    <xf numFmtId="0" fontId="41" fillId="2" borderId="0" xfId="6" applyFont="1" applyFill="1" applyAlignment="1">
      <alignment horizontal="left" vertical="center"/>
    </xf>
    <xf numFmtId="2" fontId="23" fillId="2" borderId="0" xfId="6" applyNumberFormat="1" applyFont="1" applyFill="1" applyAlignment="1" applyProtection="1">
      <alignment horizontal="left" vertical="center"/>
      <protection locked="0"/>
    </xf>
    <xf numFmtId="0" fontId="35" fillId="0" borderId="0" xfId="6" applyAlignment="1">
      <alignment horizontal="left" vertical="center" indent="1"/>
    </xf>
    <xf numFmtId="0" fontId="41" fillId="2" borderId="0" xfId="6" applyFont="1" applyFill="1" applyAlignment="1" applyProtection="1">
      <alignment horizontal="left" vertical="center"/>
      <protection locked="0"/>
    </xf>
    <xf numFmtId="0" fontId="35" fillId="10" borderId="0" xfId="6" applyFill="1" applyAlignment="1">
      <alignment horizontal="left" vertical="center"/>
    </xf>
    <xf numFmtId="165" fontId="2" fillId="2" borderId="0" xfId="6" applyNumberFormat="1" applyFont="1" applyFill="1" applyAlignment="1" applyProtection="1">
      <alignment horizontal="right" vertical="center"/>
      <protection locked="0"/>
    </xf>
    <xf numFmtId="165" fontId="2" fillId="2" borderId="0" xfId="6" applyNumberFormat="1" applyFont="1" applyFill="1" applyAlignment="1" applyProtection="1">
      <alignment horizontal="right" vertical="center"/>
      <protection hidden="1"/>
    </xf>
    <xf numFmtId="2" fontId="2" fillId="2" borderId="0" xfId="6" applyNumberFormat="1" applyFont="1" applyFill="1" applyAlignment="1" applyProtection="1">
      <alignment horizontal="right" vertical="center"/>
      <protection hidden="1"/>
    </xf>
    <xf numFmtId="0" fontId="2" fillId="2" borderId="0" xfId="6" applyFont="1" applyFill="1" applyAlignment="1">
      <alignment horizontal="right" vertical="center"/>
    </xf>
    <xf numFmtId="0" fontId="2" fillId="10" borderId="0" xfId="6" applyFont="1" applyFill="1" applyAlignment="1">
      <alignment horizontal="right" vertical="center"/>
    </xf>
    <xf numFmtId="0" fontId="2" fillId="2" borderId="0" xfId="6" applyFont="1" applyFill="1" applyAlignment="1">
      <alignment horizontal="center" vertical="center"/>
    </xf>
    <xf numFmtId="165" fontId="44" fillId="2" borderId="0" xfId="6" applyNumberFormat="1" applyFont="1" applyFill="1" applyAlignment="1">
      <alignment horizontal="right" vertical="center"/>
    </xf>
    <xf numFmtId="164" fontId="40" fillId="2" borderId="0" xfId="6" applyNumberFormat="1" applyFont="1" applyFill="1" applyAlignment="1">
      <alignment horizontal="right" vertical="center"/>
    </xf>
    <xf numFmtId="165" fontId="2" fillId="2" borderId="0" xfId="6" applyNumberFormat="1" applyFont="1" applyFill="1" applyAlignment="1">
      <alignment horizontal="right" vertical="center"/>
    </xf>
    <xf numFmtId="165" fontId="33" fillId="9" borderId="0" xfId="5" applyNumberFormat="1" applyBorder="1" applyAlignment="1" applyProtection="1">
      <alignment horizontal="right" vertical="center"/>
      <protection hidden="1"/>
    </xf>
    <xf numFmtId="0" fontId="2" fillId="10" borderId="0" xfId="6" applyFont="1" applyFill="1" applyAlignment="1">
      <alignment horizontal="left" vertical="center"/>
    </xf>
    <xf numFmtId="0" fontId="45" fillId="10" borderId="0" xfId="6" applyFont="1" applyFill="1" applyAlignment="1">
      <alignment vertical="center"/>
    </xf>
    <xf numFmtId="164" fontId="2" fillId="2" borderId="0" xfId="6" applyNumberFormat="1" applyFont="1" applyFill="1" applyAlignment="1">
      <alignment vertical="center"/>
    </xf>
    <xf numFmtId="0" fontId="46" fillId="0" borderId="1" xfId="7" applyFont="1" applyBorder="1" applyAlignment="1">
      <alignment horizontal="center" vertical="center"/>
    </xf>
    <xf numFmtId="0" fontId="50" fillId="0" borderId="1" xfId="7" applyFont="1" applyBorder="1" applyAlignment="1">
      <alignment horizontal="center" vertical="center"/>
    </xf>
    <xf numFmtId="0" fontId="53" fillId="0" borderId="1" xfId="7" applyFont="1" applyBorder="1" applyAlignment="1">
      <alignment horizontal="center" vertical="center"/>
    </xf>
    <xf numFmtId="0" fontId="2" fillId="0" borderId="1" xfId="7" applyBorder="1" applyAlignment="1">
      <alignment horizontal="center" vertical="center"/>
    </xf>
    <xf numFmtId="0" fontId="49" fillId="0" borderId="1" xfId="7" applyFont="1" applyBorder="1" applyAlignment="1">
      <alignment horizontal="center" vertical="center"/>
    </xf>
    <xf numFmtId="0" fontId="49" fillId="0" borderId="1" xfId="7" applyFont="1" applyBorder="1" applyAlignment="1">
      <alignment horizontal="left" vertical="center"/>
    </xf>
    <xf numFmtId="2" fontId="49" fillId="0" borderId="1" xfId="7" applyNumberFormat="1" applyFont="1" applyBorder="1" applyAlignment="1">
      <alignment horizontal="center" vertical="center"/>
    </xf>
    <xf numFmtId="0" fontId="35" fillId="0" borderId="0" xfId="6" applyAlignment="1">
      <alignment horizontal="center" vertical="center"/>
    </xf>
    <xf numFmtId="0" fontId="34" fillId="0" borderId="0" xfId="8"/>
    <xf numFmtId="0" fontId="2" fillId="2" borderId="8" xfId="1" applyFill="1" applyBorder="1" applyProtection="1">
      <protection hidden="1"/>
    </xf>
    <xf numFmtId="0" fontId="2" fillId="0" borderId="11" xfId="1" applyBorder="1" applyProtection="1">
      <protection hidden="1"/>
    </xf>
    <xf numFmtId="0" fontId="2" fillId="0" borderId="12" xfId="1" applyBorder="1" applyProtection="1">
      <protection hidden="1"/>
    </xf>
    <xf numFmtId="0" fontId="8" fillId="0" borderId="9" xfId="1" applyFont="1" applyBorder="1" applyAlignment="1" applyProtection="1">
      <alignment vertical="center"/>
      <protection hidden="1"/>
    </xf>
    <xf numFmtId="0" fontId="8" fillId="2" borderId="9" xfId="0" applyFont="1" applyFill="1" applyBorder="1" applyProtection="1">
      <protection hidden="1"/>
    </xf>
    <xf numFmtId="0" fontId="8" fillId="0" borderId="9" xfId="0" applyFont="1" applyBorder="1" applyAlignment="1">
      <alignment horizontal="center" vertical="center"/>
    </xf>
    <xf numFmtId="0" fontId="8" fillId="13" borderId="6" xfId="1" applyFont="1" applyFill="1" applyBorder="1" applyAlignment="1" applyProtection="1">
      <alignment vertical="center"/>
      <protection locked="0"/>
    </xf>
    <xf numFmtId="0" fontId="14" fillId="13" borderId="6" xfId="1" applyFont="1" applyFill="1" applyBorder="1" applyAlignment="1" applyProtection="1">
      <alignment vertical="center"/>
      <protection locked="0"/>
    </xf>
    <xf numFmtId="0" fontId="1" fillId="13" borderId="8" xfId="1" applyFont="1" applyFill="1" applyBorder="1" applyAlignment="1">
      <alignment vertical="center"/>
    </xf>
    <xf numFmtId="0" fontId="1" fillId="13" borderId="10" xfId="1" applyFont="1" applyFill="1" applyBorder="1" applyAlignment="1">
      <alignment vertical="center"/>
    </xf>
    <xf numFmtId="0" fontId="1" fillId="13" borderId="11" xfId="1" applyFont="1" applyFill="1" applyBorder="1" applyAlignment="1">
      <alignment vertical="center"/>
    </xf>
    <xf numFmtId="0" fontId="1" fillId="13" borderId="11" xfId="1" applyFont="1" applyFill="1" applyBorder="1" applyAlignment="1">
      <alignment horizontal="right" vertical="center"/>
    </xf>
    <xf numFmtId="0" fontId="8" fillId="13" borderId="6" xfId="1" applyFont="1" applyFill="1" applyBorder="1" applyAlignment="1">
      <alignment horizontal="right" vertical="center"/>
    </xf>
    <xf numFmtId="0" fontId="8" fillId="13" borderId="6" xfId="1" applyFont="1" applyFill="1" applyBorder="1" applyAlignment="1">
      <alignment vertical="center"/>
    </xf>
    <xf numFmtId="0" fontId="8" fillId="13" borderId="8" xfId="1" applyFont="1" applyFill="1" applyBorder="1" applyAlignment="1">
      <alignment vertical="center" shrinkToFit="1"/>
    </xf>
    <xf numFmtId="2" fontId="8" fillId="13" borderId="9" xfId="1" applyNumberFormat="1" applyFont="1" applyFill="1" applyBorder="1" applyAlignment="1" applyProtection="1">
      <alignment vertical="center"/>
      <protection hidden="1"/>
    </xf>
    <xf numFmtId="0" fontId="8" fillId="13" borderId="10" xfId="1" applyFont="1" applyFill="1" applyBorder="1" applyAlignment="1">
      <alignment vertical="center" shrinkToFit="1"/>
    </xf>
    <xf numFmtId="0" fontId="8" fillId="13" borderId="10" xfId="1" applyFont="1" applyFill="1" applyBorder="1" applyAlignment="1">
      <alignment horizontal="right" vertical="center"/>
    </xf>
    <xf numFmtId="0" fontId="8" fillId="13" borderId="11" xfId="1" applyFont="1" applyFill="1" applyBorder="1" applyAlignment="1">
      <alignment vertical="center" shrinkToFit="1"/>
    </xf>
    <xf numFmtId="2" fontId="8" fillId="13" borderId="12" xfId="1" applyNumberFormat="1" applyFont="1" applyFill="1" applyBorder="1" applyAlignment="1" applyProtection="1">
      <alignment vertical="center"/>
      <protection hidden="1"/>
    </xf>
    <xf numFmtId="0" fontId="8" fillId="13" borderId="5" xfId="0" applyFont="1" applyFill="1" applyBorder="1" applyAlignment="1">
      <alignment horizontal="left" vertical="center"/>
    </xf>
    <xf numFmtId="0" fontId="8" fillId="13" borderId="6" xfId="0" applyFont="1" applyFill="1" applyBorder="1" applyAlignment="1">
      <alignment wrapText="1"/>
    </xf>
    <xf numFmtId="0" fontId="8" fillId="13" borderId="22" xfId="0" applyFont="1" applyFill="1" applyBorder="1" applyAlignment="1">
      <alignment horizontal="right" vertical="center"/>
    </xf>
    <xf numFmtId="0" fontId="8" fillId="13" borderId="8" xfId="0" applyFont="1" applyFill="1" applyBorder="1"/>
    <xf numFmtId="0" fontId="1" fillId="13" borderId="14" xfId="0" applyFont="1" applyFill="1" applyBorder="1" applyAlignment="1">
      <alignment vertical="center"/>
    </xf>
    <xf numFmtId="0" fontId="1" fillId="13" borderId="15" xfId="0" applyFont="1" applyFill="1" applyBorder="1" applyAlignment="1">
      <alignment vertical="center"/>
    </xf>
    <xf numFmtId="2" fontId="8" fillId="13" borderId="1" xfId="0" applyNumberFormat="1" applyFont="1" applyFill="1" applyBorder="1" applyAlignment="1" applyProtection="1">
      <alignment horizontal="center" vertical="center"/>
      <protection hidden="1"/>
    </xf>
    <xf numFmtId="0" fontId="0" fillId="13" borderId="13" xfId="1" applyFont="1" applyFill="1" applyBorder="1" applyAlignment="1">
      <alignment horizontal="right" vertical="center"/>
    </xf>
    <xf numFmtId="0" fontId="1" fillId="13" borderId="15" xfId="1" applyFont="1" applyFill="1" applyBorder="1" applyAlignment="1">
      <alignment horizontal="right" vertical="center"/>
    </xf>
    <xf numFmtId="0" fontId="1" fillId="13" borderId="13" xfId="1" applyFont="1" applyFill="1" applyBorder="1" applyAlignment="1">
      <alignment horizontal="right" vertical="center"/>
    </xf>
    <xf numFmtId="0" fontId="0" fillId="13" borderId="15" xfId="1" applyFont="1" applyFill="1" applyBorder="1" applyAlignment="1">
      <alignment horizontal="right" vertical="center"/>
    </xf>
    <xf numFmtId="0" fontId="0" fillId="0" borderId="1" xfId="0" applyBorder="1"/>
    <xf numFmtId="0" fontId="8" fillId="0" borderId="0" xfId="1" applyFont="1" applyAlignment="1" applyProtection="1">
      <alignment vertical="center"/>
      <protection hidden="1"/>
    </xf>
    <xf numFmtId="0" fontId="8" fillId="0" borderId="0" xfId="1" applyFont="1" applyAlignment="1" applyProtection="1">
      <alignment vertical="center" textRotation="90"/>
      <protection hidden="1"/>
    </xf>
    <xf numFmtId="2" fontId="60" fillId="14" borderId="1" xfId="9" applyNumberFormat="1" applyFont="1" applyBorder="1" applyAlignment="1">
      <alignment horizontal="center" vertical="center"/>
    </xf>
    <xf numFmtId="0" fontId="0" fillId="0" borderId="26" xfId="0" applyBorder="1"/>
    <xf numFmtId="2" fontId="8" fillId="13" borderId="26" xfId="0" applyNumberFormat="1" applyFont="1" applyFill="1" applyBorder="1" applyAlignment="1" applyProtection="1">
      <alignment horizontal="center" vertical="center"/>
      <protection hidden="1"/>
    </xf>
    <xf numFmtId="0" fontId="0" fillId="13" borderId="0" xfId="1" applyFont="1" applyFill="1" applyAlignment="1">
      <alignment horizontal="right" vertical="center"/>
    </xf>
    <xf numFmtId="0" fontId="0" fillId="13" borderId="8" xfId="1" applyFont="1" applyFill="1" applyBorder="1" applyAlignment="1">
      <alignment vertical="center"/>
    </xf>
    <xf numFmtId="0" fontId="0" fillId="13" borderId="17" xfId="1" applyFont="1" applyFill="1" applyBorder="1" applyAlignment="1">
      <alignment vertical="center"/>
    </xf>
    <xf numFmtId="0" fontId="0" fillId="13" borderId="10" xfId="1" applyFont="1" applyFill="1" applyBorder="1" applyAlignment="1">
      <alignment vertical="center"/>
    </xf>
    <xf numFmtId="0" fontId="2" fillId="2" borderId="0" xfId="1" applyFill="1" applyProtection="1">
      <protection hidden="1"/>
    </xf>
    <xf numFmtId="2" fontId="59" fillId="0" borderId="1" xfId="1" applyNumberFormat="1" applyFont="1" applyBorder="1" applyAlignment="1">
      <alignment horizontal="center" vertical="center"/>
    </xf>
    <xf numFmtId="2" fontId="2" fillId="0" borderId="1" xfId="1" applyNumberFormat="1" applyBorder="1" applyAlignment="1">
      <alignment horizontal="center" vertical="center"/>
    </xf>
    <xf numFmtId="0" fontId="8" fillId="2" borderId="0" xfId="1" applyFont="1" applyFill="1" applyAlignment="1" applyProtection="1">
      <alignment vertical="center"/>
      <protection hidden="1"/>
    </xf>
    <xf numFmtId="0" fontId="11" fillId="0" borderId="0" xfId="1" applyFont="1" applyAlignment="1" applyProtection="1">
      <alignment horizontal="right" vertical="center"/>
      <protection hidden="1"/>
    </xf>
    <xf numFmtId="0" fontId="1" fillId="13" borderId="0" xfId="1" applyFont="1" applyFill="1" applyAlignment="1">
      <alignment vertical="center"/>
    </xf>
    <xf numFmtId="0" fontId="1" fillId="13" borderId="0" xfId="1" applyFont="1" applyFill="1" applyAlignment="1">
      <alignment horizontal="right" vertical="center"/>
    </xf>
    <xf numFmtId="0" fontId="8" fillId="0" borderId="0" xfId="1" applyFont="1" applyAlignment="1" applyProtection="1">
      <alignment horizontal="left" vertical="center" indent="1"/>
      <protection hidden="1"/>
    </xf>
    <xf numFmtId="0" fontId="8" fillId="13" borderId="0" xfId="1" applyFont="1" applyFill="1" applyAlignment="1">
      <alignment horizontal="right" vertical="center"/>
    </xf>
    <xf numFmtId="0" fontId="8" fillId="13" borderId="0" xfId="1" applyFont="1" applyFill="1" applyAlignment="1">
      <alignment horizontal="right" vertical="center" shrinkToFit="1"/>
    </xf>
    <xf numFmtId="0" fontId="8" fillId="2" borderId="0" xfId="1" applyFont="1" applyFill="1" applyAlignment="1" applyProtection="1">
      <alignment horizontal="right" vertical="center"/>
      <protection hidden="1"/>
    </xf>
    <xf numFmtId="0" fontId="8" fillId="13" borderId="0" xfId="0" applyFont="1" applyFill="1" applyAlignment="1">
      <alignment wrapText="1"/>
    </xf>
    <xf numFmtId="0" fontId="8" fillId="2" borderId="0" xfId="0" applyFont="1" applyFill="1" applyProtection="1">
      <protection hidden="1"/>
    </xf>
    <xf numFmtId="0" fontId="8" fillId="0" borderId="0" xfId="0" applyFont="1" applyProtection="1"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right" vertical="center"/>
      <protection hidden="1"/>
    </xf>
    <xf numFmtId="2" fontId="8" fillId="0" borderId="0" xfId="0" applyNumberFormat="1" applyFont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/>
      <protection hidden="1"/>
    </xf>
    <xf numFmtId="2" fontId="8" fillId="0" borderId="0" xfId="0" applyNumberFormat="1" applyFont="1" applyAlignment="1" applyProtection="1">
      <alignment horizontal="center"/>
      <protection hidden="1"/>
    </xf>
    <xf numFmtId="0" fontId="8" fillId="0" borderId="0" xfId="0" applyFont="1" applyAlignment="1" applyProtection="1">
      <alignment horizontal="right"/>
      <protection hidden="1"/>
    </xf>
    <xf numFmtId="0" fontId="8" fillId="0" borderId="0" xfId="0" applyFont="1" applyAlignment="1">
      <alignment horizontal="center" vertical="center"/>
    </xf>
    <xf numFmtId="0" fontId="8" fillId="0" borderId="0" xfId="1" applyFont="1" applyAlignment="1" applyProtection="1">
      <alignment horizontal="right" vertical="center"/>
      <protection hidden="1"/>
    </xf>
    <xf numFmtId="0" fontId="2" fillId="2" borderId="0" xfId="6" applyFont="1" applyFill="1" applyAlignment="1">
      <alignment horizontal="left" vertical="center"/>
    </xf>
    <xf numFmtId="0" fontId="35" fillId="0" borderId="0" xfId="6" applyAlignment="1">
      <alignment horizontal="left" vertical="center"/>
    </xf>
    <xf numFmtId="0" fontId="2" fillId="0" borderId="11" xfId="6" applyFont="1" applyBorder="1" applyAlignment="1">
      <alignment horizontal="center" vertical="center"/>
    </xf>
    <xf numFmtId="0" fontId="35" fillId="0" borderId="11" xfId="6" applyBorder="1" applyAlignment="1">
      <alignment horizontal="center" vertical="center"/>
    </xf>
    <xf numFmtId="0" fontId="2" fillId="2" borderId="0" xfId="6" applyFont="1" applyFill="1" applyAlignment="1">
      <alignment horizontal="left" vertical="center" indent="1"/>
    </xf>
    <xf numFmtId="0" fontId="39" fillId="2" borderId="0" xfId="6" applyFont="1" applyFill="1" applyAlignment="1">
      <alignment horizontal="left" vertical="center" indent="1"/>
    </xf>
    <xf numFmtId="0" fontId="35" fillId="0" borderId="0" xfId="6" applyAlignment="1">
      <alignment horizontal="left" vertical="center" indent="1"/>
    </xf>
    <xf numFmtId="0" fontId="2" fillId="2" borderId="0" xfId="6" applyFont="1" applyFill="1" applyAlignment="1">
      <alignment horizontal="center" vertical="center"/>
    </xf>
    <xf numFmtId="0" fontId="40" fillId="2" borderId="0" xfId="6" applyFont="1" applyFill="1" applyAlignment="1" applyProtection="1">
      <alignment horizontal="left" vertical="center"/>
      <protection locked="0"/>
    </xf>
    <xf numFmtId="0" fontId="29" fillId="0" borderId="0" xfId="6" applyFont="1" applyAlignment="1">
      <alignment horizontal="left" vertical="center"/>
    </xf>
    <xf numFmtId="0" fontId="42" fillId="10" borderId="0" xfId="6" applyFont="1" applyFill="1" applyAlignment="1">
      <alignment horizontal="center" vertical="center"/>
    </xf>
    <xf numFmtId="0" fontId="37" fillId="6" borderId="0" xfId="6" applyFont="1" applyFill="1" applyAlignment="1">
      <alignment horizontal="center" vertical="center"/>
    </xf>
    <xf numFmtId="0" fontId="13" fillId="13" borderId="0" xfId="1" applyFont="1" applyFill="1" applyAlignment="1" applyProtection="1">
      <alignment horizontal="left" vertical="center"/>
      <protection locked="0"/>
    </xf>
    <xf numFmtId="0" fontId="25" fillId="13" borderId="0" xfId="1" applyFont="1" applyFill="1" applyAlignment="1" applyProtection="1">
      <alignment horizontal="left" vertical="center"/>
      <protection locked="0"/>
    </xf>
    <xf numFmtId="0" fontId="8" fillId="13" borderId="0" xfId="1" applyFont="1" applyFill="1" applyAlignment="1" applyProtection="1">
      <alignment horizontal="left" vertical="center"/>
      <protection locked="0"/>
    </xf>
    <xf numFmtId="0" fontId="8" fillId="13" borderId="9" xfId="1" applyFont="1" applyFill="1" applyBorder="1" applyAlignment="1" applyProtection="1">
      <alignment horizontal="left" vertical="center"/>
      <protection locked="0"/>
    </xf>
    <xf numFmtId="0" fontId="8" fillId="13" borderId="8" xfId="1" applyFont="1" applyFill="1" applyBorder="1" applyAlignment="1">
      <alignment horizontal="right" vertical="center" indent="1"/>
    </xf>
    <xf numFmtId="0" fontId="8" fillId="13" borderId="0" xfId="1" applyFont="1" applyFill="1" applyAlignment="1">
      <alignment horizontal="right" vertical="center" indent="1"/>
    </xf>
    <xf numFmtId="0" fontId="1" fillId="0" borderId="0" xfId="1" applyFont="1" applyAlignment="1">
      <alignment horizontal="left"/>
    </xf>
    <xf numFmtId="0" fontId="1" fillId="0" borderId="0" xfId="1" applyFont="1" applyAlignment="1">
      <alignment horizontal="right"/>
    </xf>
    <xf numFmtId="0" fontId="32" fillId="3" borderId="0" xfId="1" applyFont="1" applyFill="1" applyAlignment="1">
      <alignment horizontal="center" vertical="center"/>
    </xf>
    <xf numFmtId="0" fontId="55" fillId="11" borderId="5" xfId="2" applyNumberFormat="1" applyFont="1" applyFill="1" applyBorder="1" applyAlignment="1">
      <alignment horizontal="center" vertical="center" wrapText="1"/>
    </xf>
    <xf numFmtId="0" fontId="55" fillId="11" borderId="6" xfId="2" applyNumberFormat="1" applyFont="1" applyFill="1" applyBorder="1" applyAlignment="1">
      <alignment horizontal="center" vertical="center" wrapText="1"/>
    </xf>
    <xf numFmtId="0" fontId="55" fillId="11" borderId="8" xfId="2" applyNumberFormat="1" applyFont="1" applyFill="1" applyBorder="1" applyAlignment="1">
      <alignment horizontal="center" vertical="center" wrapText="1"/>
    </xf>
    <xf numFmtId="0" fontId="55" fillId="11" borderId="0" xfId="2" applyNumberFormat="1" applyFont="1" applyFill="1" applyAlignment="1">
      <alignment horizontal="center" vertical="center" wrapText="1"/>
    </xf>
    <xf numFmtId="0" fontId="55" fillId="11" borderId="10" xfId="2" applyNumberFormat="1" applyFont="1" applyFill="1" applyBorder="1" applyAlignment="1">
      <alignment horizontal="center" vertical="center" wrapText="1"/>
    </xf>
    <xf numFmtId="0" fontId="55" fillId="11" borderId="11" xfId="2" applyNumberFormat="1" applyFont="1" applyFill="1" applyBorder="1" applyAlignment="1">
      <alignment horizontal="center" vertical="center" wrapText="1"/>
    </xf>
    <xf numFmtId="0" fontId="56" fillId="12" borderId="6" xfId="2" applyNumberFormat="1" applyFont="1" applyFill="1" applyBorder="1" applyAlignment="1">
      <alignment horizontal="center" vertical="center" wrapText="1"/>
    </xf>
    <xf numFmtId="0" fontId="56" fillId="12" borderId="0" xfId="2" applyNumberFormat="1" applyFont="1" applyFill="1" applyAlignment="1">
      <alignment horizontal="center" vertical="center" wrapText="1"/>
    </xf>
    <xf numFmtId="0" fontId="56" fillId="12" borderId="11" xfId="2" applyNumberFormat="1" applyFont="1" applyFill="1" applyBorder="1" applyAlignment="1">
      <alignment horizontal="center" vertical="center" wrapText="1"/>
    </xf>
    <xf numFmtId="0" fontId="56" fillId="12" borderId="7" xfId="2" applyNumberFormat="1" applyFont="1" applyFill="1" applyBorder="1" applyAlignment="1">
      <alignment horizontal="center" vertical="center" wrapText="1"/>
    </xf>
    <xf numFmtId="0" fontId="56" fillId="12" borderId="9" xfId="2" applyNumberFormat="1" applyFont="1" applyFill="1" applyBorder="1" applyAlignment="1">
      <alignment horizontal="center" vertical="center" wrapText="1"/>
    </xf>
    <xf numFmtId="0" fontId="56" fillId="12" borderId="12" xfId="2" applyNumberFormat="1" applyFont="1" applyFill="1" applyBorder="1" applyAlignment="1">
      <alignment horizontal="center" vertical="center" wrapText="1"/>
    </xf>
    <xf numFmtId="0" fontId="32" fillId="0" borderId="0" xfId="1" applyFont="1" applyAlignment="1">
      <alignment horizontal="center" vertical="center" wrapText="1"/>
    </xf>
    <xf numFmtId="0" fontId="18" fillId="13" borderId="11" xfId="1" applyFont="1" applyFill="1" applyBorder="1" applyAlignment="1">
      <alignment horizontal="right" vertical="center"/>
    </xf>
    <xf numFmtId="0" fontId="1" fillId="13" borderId="11" xfId="1" applyFont="1" applyFill="1" applyBorder="1" applyAlignment="1">
      <alignment horizontal="right" vertical="center"/>
    </xf>
    <xf numFmtId="2" fontId="8" fillId="13" borderId="11" xfId="1" applyNumberFormat="1" applyFont="1" applyFill="1" applyBorder="1" applyAlignment="1" applyProtection="1">
      <alignment horizontal="center" vertical="center"/>
      <protection locked="0"/>
    </xf>
    <xf numFmtId="2" fontId="8" fillId="13" borderId="12" xfId="1" applyNumberFormat="1" applyFont="1" applyFill="1" applyBorder="1" applyAlignment="1" applyProtection="1">
      <alignment horizontal="center" vertical="center"/>
      <protection locked="0"/>
    </xf>
    <xf numFmtId="0" fontId="12" fillId="13" borderId="2" xfId="1" applyFont="1" applyFill="1" applyBorder="1" applyAlignment="1">
      <alignment horizontal="center" vertical="center"/>
    </xf>
    <xf numFmtId="0" fontId="12" fillId="13" borderId="3" xfId="1" applyFont="1" applyFill="1" applyBorder="1" applyAlignment="1">
      <alignment horizontal="center" vertical="center"/>
    </xf>
    <xf numFmtId="0" fontId="12" fillId="13" borderId="4" xfId="1" applyFont="1" applyFill="1" applyBorder="1" applyAlignment="1">
      <alignment horizontal="center" vertical="center"/>
    </xf>
    <xf numFmtId="0" fontId="12" fillId="13" borderId="2" xfId="1" applyFont="1" applyFill="1" applyBorder="1" applyAlignment="1" applyProtection="1">
      <alignment horizontal="center" vertical="center" wrapText="1"/>
      <protection hidden="1"/>
    </xf>
    <xf numFmtId="0" fontId="12" fillId="13" borderId="3" xfId="1" applyFont="1" applyFill="1" applyBorder="1" applyAlignment="1" applyProtection="1">
      <alignment horizontal="center" vertical="center" wrapText="1"/>
      <protection hidden="1"/>
    </xf>
    <xf numFmtId="0" fontId="12" fillId="13" borderId="4" xfId="1" applyFont="1" applyFill="1" applyBorder="1" applyAlignment="1" applyProtection="1">
      <alignment horizontal="center" vertical="center" wrapText="1"/>
      <protection hidden="1"/>
    </xf>
    <xf numFmtId="0" fontId="8" fillId="13" borderId="5" xfId="1" applyFont="1" applyFill="1" applyBorder="1" applyAlignment="1">
      <alignment horizontal="right" vertical="center"/>
    </xf>
    <xf numFmtId="0" fontId="8" fillId="13" borderId="6" xfId="1" applyFont="1" applyFill="1" applyBorder="1" applyAlignment="1">
      <alignment horizontal="right" vertical="center"/>
    </xf>
    <xf numFmtId="2" fontId="13" fillId="13" borderId="6" xfId="1" applyNumberFormat="1" applyFont="1" applyFill="1" applyBorder="1" applyAlignment="1">
      <alignment horizontal="center" vertical="center"/>
    </xf>
    <xf numFmtId="2" fontId="25" fillId="13" borderId="6" xfId="1" applyNumberFormat="1" applyFont="1" applyFill="1" applyBorder="1" applyAlignment="1">
      <alignment horizontal="center" vertical="center"/>
    </xf>
    <xf numFmtId="0" fontId="13" fillId="13" borderId="6" xfId="1" applyFont="1" applyFill="1" applyBorder="1" applyAlignment="1">
      <alignment horizontal="center" vertical="center"/>
    </xf>
    <xf numFmtId="0" fontId="25" fillId="13" borderId="7" xfId="1" applyFont="1" applyFill="1" applyBorder="1" applyAlignment="1">
      <alignment horizontal="center" vertical="center"/>
    </xf>
    <xf numFmtId="0" fontId="8" fillId="13" borderId="8" xfId="1" applyFont="1" applyFill="1" applyBorder="1" applyAlignment="1" applyProtection="1">
      <alignment horizontal="center"/>
      <protection hidden="1"/>
    </xf>
    <xf numFmtId="0" fontId="8" fillId="13" borderId="0" xfId="1" applyFont="1" applyFill="1" applyAlignment="1" applyProtection="1">
      <alignment horizontal="center"/>
      <protection hidden="1"/>
    </xf>
    <xf numFmtId="0" fontId="8" fillId="13" borderId="9" xfId="1" applyFont="1" applyFill="1" applyBorder="1" applyAlignment="1" applyProtection="1">
      <alignment horizontal="center"/>
      <protection hidden="1"/>
    </xf>
    <xf numFmtId="0" fontId="1" fillId="13" borderId="0" xfId="1" applyFont="1" applyFill="1" applyAlignment="1">
      <alignment horizontal="right" vertical="center"/>
    </xf>
    <xf numFmtId="2" fontId="13" fillId="13" borderId="0" xfId="1" applyNumberFormat="1" applyFont="1" applyFill="1" applyAlignment="1">
      <alignment horizontal="center" vertical="center"/>
    </xf>
    <xf numFmtId="2" fontId="25" fillId="13" borderId="9" xfId="1" applyNumberFormat="1" applyFont="1" applyFill="1" applyBorder="1" applyAlignment="1">
      <alignment horizontal="center" vertical="center"/>
    </xf>
    <xf numFmtId="9" fontId="13" fillId="13" borderId="0" xfId="3" applyFont="1" applyFill="1" applyBorder="1" applyAlignment="1" applyProtection="1">
      <alignment horizontal="center" vertical="center"/>
      <protection locked="0"/>
    </xf>
    <xf numFmtId="9" fontId="25" fillId="13" borderId="9" xfId="3" applyFont="1" applyFill="1" applyBorder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center" vertical="center"/>
      <protection hidden="1"/>
    </xf>
    <xf numFmtId="2" fontId="13" fillId="13" borderId="0" xfId="1" applyNumberFormat="1" applyFont="1" applyFill="1" applyAlignment="1" applyProtection="1">
      <alignment horizontal="center" vertical="center"/>
      <protection locked="0"/>
    </xf>
    <xf numFmtId="2" fontId="25" fillId="13" borderId="9" xfId="1" applyNumberFormat="1" applyFont="1" applyFill="1" applyBorder="1" applyAlignment="1" applyProtection="1">
      <alignment horizontal="center" vertical="center"/>
      <protection locked="0"/>
    </xf>
    <xf numFmtId="0" fontId="10" fillId="0" borderId="0" xfId="1" applyFont="1" applyAlignment="1">
      <alignment horizontal="center"/>
    </xf>
    <xf numFmtId="0" fontId="8" fillId="13" borderId="5" xfId="1" applyFont="1" applyFill="1" applyBorder="1" applyAlignment="1">
      <alignment horizontal="right" vertical="center" indent="1"/>
    </xf>
    <xf numFmtId="0" fontId="8" fillId="13" borderId="6" xfId="1" applyFont="1" applyFill="1" applyBorder="1" applyAlignment="1">
      <alignment horizontal="right" vertical="center" indent="1"/>
    </xf>
    <xf numFmtId="0" fontId="8" fillId="13" borderId="6" xfId="1" applyFont="1" applyFill="1" applyBorder="1" applyAlignment="1" applyProtection="1">
      <alignment horizontal="left" vertical="center"/>
      <protection locked="0"/>
    </xf>
    <xf numFmtId="0" fontId="8" fillId="13" borderId="7" xfId="1" applyFont="1" applyFill="1" applyBorder="1" applyAlignment="1" applyProtection="1">
      <alignment horizontal="left" vertical="center"/>
      <protection locked="0"/>
    </xf>
    <xf numFmtId="2" fontId="8" fillId="2" borderId="0" xfId="1" applyNumberFormat="1" applyFont="1" applyFill="1" applyAlignment="1" applyProtection="1">
      <alignment horizontal="center"/>
      <protection hidden="1"/>
    </xf>
    <xf numFmtId="0" fontId="8" fillId="2" borderId="0" xfId="1" applyFont="1" applyFill="1" applyAlignment="1" applyProtection="1">
      <alignment horizontal="center"/>
      <protection hidden="1"/>
    </xf>
    <xf numFmtId="0" fontId="8" fillId="13" borderId="19" xfId="0" applyFont="1" applyFill="1" applyBorder="1" applyAlignment="1">
      <alignment horizontal="center" vertical="center"/>
    </xf>
    <xf numFmtId="0" fontId="8" fillId="13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29" fillId="0" borderId="4" xfId="1" applyFont="1" applyBorder="1" applyAlignment="1">
      <alignment horizontal="center" vertical="center"/>
    </xf>
    <xf numFmtId="0" fontId="29" fillId="0" borderId="1" xfId="1" applyFont="1" applyBorder="1" applyAlignment="1">
      <alignment horizontal="center" vertical="center"/>
    </xf>
    <xf numFmtId="0" fontId="8" fillId="13" borderId="0" xfId="1" applyFont="1" applyFill="1" applyAlignment="1">
      <alignment horizontal="center" vertical="center" shrinkToFit="1"/>
    </xf>
    <xf numFmtId="0" fontId="8" fillId="13" borderId="0" xfId="1" applyFont="1" applyFill="1" applyAlignment="1">
      <alignment horizontal="left" vertical="center" shrinkToFit="1"/>
    </xf>
    <xf numFmtId="0" fontId="21" fillId="13" borderId="0" xfId="1" applyFont="1" applyFill="1" applyAlignment="1">
      <alignment horizontal="right" vertical="center" shrinkToFit="1"/>
    </xf>
    <xf numFmtId="0" fontId="8" fillId="13" borderId="0" xfId="1" applyFont="1" applyFill="1" applyAlignment="1">
      <alignment horizontal="right" vertical="center" shrinkToFit="1"/>
    </xf>
    <xf numFmtId="2" fontId="8" fillId="13" borderId="11" xfId="1" applyNumberFormat="1" applyFont="1" applyFill="1" applyBorder="1" applyAlignment="1">
      <alignment horizontal="center" vertical="center" shrinkToFit="1"/>
    </xf>
    <xf numFmtId="0" fontId="8" fillId="13" borderId="11" xfId="1" applyFont="1" applyFill="1" applyBorder="1" applyAlignment="1">
      <alignment horizontal="left" vertical="center" shrinkToFit="1"/>
    </xf>
    <xf numFmtId="0" fontId="8" fillId="13" borderId="11" xfId="1" applyFont="1" applyFill="1" applyBorder="1" applyAlignment="1">
      <alignment horizontal="center" vertical="center" shrinkToFit="1"/>
    </xf>
    <xf numFmtId="0" fontId="8" fillId="13" borderId="10" xfId="1" applyFont="1" applyFill="1" applyBorder="1" applyAlignment="1" applyProtection="1">
      <alignment horizontal="center"/>
      <protection hidden="1"/>
    </xf>
    <xf numFmtId="0" fontId="8" fillId="13" borderId="11" xfId="1" applyFont="1" applyFill="1" applyBorder="1" applyAlignment="1" applyProtection="1">
      <alignment horizontal="center"/>
      <protection hidden="1"/>
    </xf>
    <xf numFmtId="0" fontId="8" fillId="13" borderId="12" xfId="1" applyFont="1" applyFill="1" applyBorder="1" applyAlignment="1" applyProtection="1">
      <alignment horizontal="center"/>
      <protection hidden="1"/>
    </xf>
    <xf numFmtId="0" fontId="2" fillId="0" borderId="0" xfId="1" applyAlignment="1" applyProtection="1">
      <alignment horizontal="center"/>
      <protection hidden="1"/>
    </xf>
    <xf numFmtId="0" fontId="2" fillId="0" borderId="9" xfId="1" applyBorder="1" applyAlignment="1" applyProtection="1">
      <alignment horizontal="center"/>
      <protection hidden="1"/>
    </xf>
    <xf numFmtId="2" fontId="8" fillId="13" borderId="15" xfId="0" applyNumberFormat="1" applyFont="1" applyFill="1" applyBorder="1" applyAlignment="1" applyProtection="1">
      <alignment horizontal="center" vertical="center"/>
      <protection locked="0"/>
    </xf>
    <xf numFmtId="2" fontId="8" fillId="2" borderId="16" xfId="0" applyNumberFormat="1" applyFont="1" applyFill="1" applyBorder="1" applyAlignment="1" applyProtection="1">
      <alignment horizontal="center" vertical="center"/>
      <protection locked="0"/>
    </xf>
    <xf numFmtId="0" fontId="1" fillId="13" borderId="10" xfId="0" applyFont="1" applyFill="1" applyBorder="1" applyAlignment="1">
      <alignment horizontal="left" vertical="center"/>
    </xf>
    <xf numFmtId="0" fontId="1" fillId="13" borderId="11" xfId="0" applyFont="1" applyFill="1" applyBorder="1" applyAlignment="1">
      <alignment horizontal="left" vertical="center"/>
    </xf>
    <xf numFmtId="0" fontId="0" fillId="13" borderId="11" xfId="0" applyFill="1" applyBorder="1" applyAlignment="1">
      <alignment horizontal="right" vertical="center"/>
    </xf>
    <xf numFmtId="0" fontId="1" fillId="13" borderId="11" xfId="0" applyFont="1" applyFill="1" applyBorder="1" applyAlignment="1">
      <alignment horizontal="right" vertical="center"/>
    </xf>
    <xf numFmtId="0" fontId="1" fillId="13" borderId="11" xfId="0" applyFont="1" applyFill="1" applyBorder="1" applyAlignment="1">
      <alignment horizontal="center" vertical="center"/>
    </xf>
    <xf numFmtId="2" fontId="8" fillId="13" borderId="21" xfId="0" applyNumberFormat="1" applyFont="1" applyFill="1" applyBorder="1" applyAlignment="1" applyProtection="1">
      <alignment horizontal="center" vertical="center"/>
      <protection locked="0"/>
    </xf>
    <xf numFmtId="2" fontId="8" fillId="13" borderId="11" xfId="0" applyNumberFormat="1" applyFont="1" applyFill="1" applyBorder="1" applyAlignment="1" applyProtection="1">
      <alignment horizontal="center" vertical="center"/>
      <protection locked="0"/>
    </xf>
    <xf numFmtId="2" fontId="8" fillId="2" borderId="12" xfId="0" applyNumberFormat="1" applyFont="1" applyFill="1" applyBorder="1" applyAlignment="1" applyProtection="1">
      <alignment horizontal="center" vertical="center"/>
      <protection locked="0"/>
    </xf>
    <xf numFmtId="0" fontId="22" fillId="13" borderId="0" xfId="0" applyFont="1" applyFill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166" fontId="13" fillId="13" borderId="20" xfId="1" applyNumberFormat="1" applyFont="1" applyFill="1" applyBorder="1" applyAlignment="1">
      <alignment horizontal="center" vertical="center"/>
    </xf>
    <xf numFmtId="166" fontId="25" fillId="13" borderId="0" xfId="1" applyNumberFormat="1" applyFont="1" applyFill="1" applyAlignment="1">
      <alignment horizontal="center" vertical="center"/>
    </xf>
    <xf numFmtId="166" fontId="13" fillId="13" borderId="0" xfId="1" applyNumberFormat="1" applyFont="1" applyFill="1" applyAlignment="1">
      <alignment horizontal="center" vertical="center"/>
    </xf>
    <xf numFmtId="166" fontId="25" fillId="2" borderId="9" xfId="1" applyNumberFormat="1" applyFont="1" applyFill="1" applyBorder="1" applyAlignment="1">
      <alignment horizontal="center" vertical="center"/>
    </xf>
    <xf numFmtId="0" fontId="0" fillId="13" borderId="15" xfId="0" applyFill="1" applyBorder="1" applyAlignment="1">
      <alignment horizontal="right" vertical="center"/>
    </xf>
    <xf numFmtId="0" fontId="1" fillId="13" borderId="15" xfId="0" applyFont="1" applyFill="1" applyBorder="1" applyAlignment="1">
      <alignment horizontal="right" vertical="center"/>
    </xf>
    <xf numFmtId="0" fontId="1" fillId="13" borderId="15" xfId="0" applyFont="1" applyFill="1" applyBorder="1" applyAlignment="1">
      <alignment horizontal="center" vertical="center"/>
    </xf>
    <xf numFmtId="2" fontId="8" fillId="13" borderId="24" xfId="0" applyNumberFormat="1" applyFont="1" applyFill="1" applyBorder="1" applyAlignment="1" applyProtection="1">
      <alignment horizontal="center" vertical="center"/>
      <protection locked="0"/>
    </xf>
    <xf numFmtId="0" fontId="27" fillId="12" borderId="2" xfId="0" applyFont="1" applyFill="1" applyBorder="1" applyAlignment="1" applyProtection="1">
      <alignment horizontal="center"/>
      <protection hidden="1"/>
    </xf>
    <xf numFmtId="0" fontId="27" fillId="12" borderId="3" xfId="0" applyFont="1" applyFill="1" applyBorder="1" applyAlignment="1" applyProtection="1">
      <alignment horizontal="center"/>
      <protection hidden="1"/>
    </xf>
    <xf numFmtId="0" fontId="27" fillId="12" borderId="4" xfId="0" applyFont="1" applyFill="1" applyBorder="1" applyAlignment="1" applyProtection="1">
      <alignment horizontal="center"/>
      <protection hidden="1"/>
    </xf>
    <xf numFmtId="0" fontId="12" fillId="13" borderId="8" xfId="0" applyFont="1" applyFill="1" applyBorder="1" applyAlignment="1" applyProtection="1">
      <alignment horizontal="center" vertical="center" wrapText="1"/>
      <protection hidden="1"/>
    </xf>
    <xf numFmtId="0" fontId="12" fillId="13" borderId="0" xfId="0" applyFont="1" applyFill="1" applyAlignment="1" applyProtection="1">
      <alignment horizontal="center" vertical="center" wrapText="1"/>
      <protection hidden="1"/>
    </xf>
    <xf numFmtId="0" fontId="12" fillId="13" borderId="9" xfId="0" applyFont="1" applyFill="1" applyBorder="1" applyAlignment="1" applyProtection="1">
      <alignment horizontal="center" vertical="center" wrapText="1"/>
      <protection hidden="1"/>
    </xf>
    <xf numFmtId="0" fontId="12" fillId="13" borderId="10" xfId="0" applyFont="1" applyFill="1" applyBorder="1" applyAlignment="1" applyProtection="1">
      <alignment horizontal="center" vertical="center" wrapText="1"/>
      <protection hidden="1"/>
    </xf>
    <xf numFmtId="0" fontId="12" fillId="13" borderId="11" xfId="0" applyFont="1" applyFill="1" applyBorder="1" applyAlignment="1" applyProtection="1">
      <alignment horizontal="center" vertical="center" wrapText="1"/>
      <protection hidden="1"/>
    </xf>
    <xf numFmtId="0" fontId="12" fillId="13" borderId="12" xfId="0" applyFont="1" applyFill="1" applyBorder="1" applyAlignment="1" applyProtection="1">
      <alignment horizontal="center" vertical="center" wrapText="1"/>
      <protection hidden="1"/>
    </xf>
    <xf numFmtId="0" fontId="8" fillId="13" borderId="23" xfId="0" applyFont="1" applyFill="1" applyBorder="1" applyAlignment="1" applyProtection="1">
      <alignment horizontal="center" vertical="center"/>
      <protection hidden="1"/>
    </xf>
    <xf numFmtId="0" fontId="8" fillId="13" borderId="10" xfId="0" applyFont="1" applyFill="1" applyBorder="1" applyAlignment="1" applyProtection="1">
      <alignment horizontal="center" vertical="center"/>
      <protection hidden="1"/>
    </xf>
    <xf numFmtId="0" fontId="8" fillId="13" borderId="12" xfId="0" applyFont="1" applyFill="1" applyBorder="1" applyAlignment="1" applyProtection="1">
      <alignment horizontal="center" vertical="center"/>
      <protection hidden="1"/>
    </xf>
    <xf numFmtId="0" fontId="8" fillId="2" borderId="12" xfId="0" applyFont="1" applyFill="1" applyBorder="1" applyAlignment="1" applyProtection="1">
      <alignment horizontal="center" vertical="center"/>
      <protection hidden="1"/>
    </xf>
    <xf numFmtId="2" fontId="13" fillId="13" borderId="1" xfId="0" applyNumberFormat="1" applyFont="1" applyFill="1" applyBorder="1" applyAlignment="1" applyProtection="1">
      <alignment horizontal="center" vertical="center"/>
      <protection hidden="1"/>
    </xf>
    <xf numFmtId="0" fontId="13" fillId="13" borderId="1" xfId="0" applyFont="1" applyFill="1" applyBorder="1" applyAlignment="1" applyProtection="1">
      <alignment horizontal="center" vertical="center"/>
      <protection hidden="1"/>
    </xf>
    <xf numFmtId="2" fontId="8" fillId="13" borderId="2" xfId="0" applyNumberFormat="1" applyFont="1" applyFill="1" applyBorder="1" applyAlignment="1" applyProtection="1">
      <alignment horizontal="center" vertical="center"/>
      <protection hidden="1"/>
    </xf>
    <xf numFmtId="2" fontId="8" fillId="13" borderId="4" xfId="0" applyNumberFormat="1" applyFont="1" applyFill="1" applyBorder="1" applyAlignment="1" applyProtection="1">
      <alignment horizontal="center" vertical="center"/>
      <protection hidden="1"/>
    </xf>
    <xf numFmtId="2" fontId="8" fillId="13" borderId="13" xfId="1" applyNumberFormat="1" applyFont="1" applyFill="1" applyBorder="1" applyAlignment="1">
      <alignment horizontal="center" vertical="center" shrinkToFit="1"/>
    </xf>
    <xf numFmtId="2" fontId="8" fillId="13" borderId="5" xfId="1" applyNumberFormat="1" applyFont="1" applyFill="1" applyBorder="1" applyAlignment="1">
      <alignment horizontal="center" vertical="center" shrinkToFit="1"/>
    </xf>
    <xf numFmtId="2" fontId="8" fillId="13" borderId="6" xfId="1" applyNumberFormat="1" applyFont="1" applyFill="1" applyBorder="1" applyAlignment="1">
      <alignment horizontal="center" vertical="center" shrinkToFit="1"/>
    </xf>
    <xf numFmtId="0" fontId="12" fillId="13" borderId="1" xfId="0" applyFont="1" applyFill="1" applyBorder="1" applyAlignment="1" applyProtection="1">
      <alignment horizontal="center" vertical="center" wrapText="1"/>
      <protection hidden="1"/>
    </xf>
    <xf numFmtId="0" fontId="8" fillId="13" borderId="1" xfId="0" applyFont="1" applyFill="1" applyBorder="1" applyAlignment="1" applyProtection="1">
      <alignment horizontal="center" vertical="center"/>
      <protection hidden="1"/>
    </xf>
    <xf numFmtId="0" fontId="8" fillId="2" borderId="1" xfId="0" applyFont="1" applyFill="1" applyBorder="1" applyAlignment="1" applyProtection="1">
      <alignment horizontal="center" vertical="center"/>
      <protection hidden="1"/>
    </xf>
    <xf numFmtId="2" fontId="8" fillId="13" borderId="1" xfId="0" applyNumberFormat="1" applyFont="1" applyFill="1" applyBorder="1" applyAlignment="1" applyProtection="1">
      <alignment horizontal="center" vertical="center"/>
      <protection hidden="1"/>
    </xf>
    <xf numFmtId="2" fontId="8" fillId="2" borderId="4" xfId="0" applyNumberFormat="1" applyFont="1" applyFill="1" applyBorder="1" applyAlignment="1" applyProtection="1">
      <alignment horizontal="center" vertical="center"/>
      <protection hidden="1"/>
    </xf>
    <xf numFmtId="2" fontId="8" fillId="13" borderId="17" xfId="1" applyNumberFormat="1" applyFont="1" applyFill="1" applyBorder="1" applyAlignment="1">
      <alignment horizontal="center" vertical="center" shrinkToFit="1"/>
    </xf>
    <xf numFmtId="2" fontId="8" fillId="13" borderId="14" xfId="1" applyNumberFormat="1" applyFont="1" applyFill="1" applyBorder="1" applyAlignment="1">
      <alignment horizontal="center" vertical="center" shrinkToFit="1"/>
    </xf>
    <xf numFmtId="2" fontId="8" fillId="13" borderId="15" xfId="1" applyNumberFormat="1" applyFont="1" applyFill="1" applyBorder="1" applyAlignment="1">
      <alignment horizontal="center" vertical="center" shrinkToFit="1"/>
    </xf>
    <xf numFmtId="2" fontId="13" fillId="13" borderId="10" xfId="1" applyNumberFormat="1" applyFont="1" applyFill="1" applyBorder="1" applyAlignment="1">
      <alignment horizontal="center" vertical="center" shrinkToFit="1"/>
    </xf>
    <xf numFmtId="2" fontId="24" fillId="13" borderId="11" xfId="1" applyNumberFormat="1" applyFont="1" applyFill="1" applyBorder="1" applyAlignment="1">
      <alignment horizontal="center" vertical="center" shrinkToFit="1"/>
    </xf>
    <xf numFmtId="2" fontId="13" fillId="13" borderId="11" xfId="1" applyNumberFormat="1" applyFont="1" applyFill="1" applyBorder="1" applyAlignment="1">
      <alignment horizontal="center" vertical="center" shrinkToFit="1"/>
    </xf>
    <xf numFmtId="2" fontId="28" fillId="13" borderId="14" xfId="1" applyNumberFormat="1" applyFont="1" applyFill="1" applyBorder="1" applyAlignment="1">
      <alignment horizontal="center" vertical="center" shrinkToFit="1"/>
    </xf>
    <xf numFmtId="2" fontId="28" fillId="13" borderId="15" xfId="1" applyNumberFormat="1" applyFont="1" applyFill="1" applyBorder="1" applyAlignment="1">
      <alignment horizontal="center" vertical="center" shrinkToFit="1"/>
    </xf>
    <xf numFmtId="2" fontId="8" fillId="13" borderId="7" xfId="1" applyNumberFormat="1" applyFont="1" applyFill="1" applyBorder="1" applyAlignment="1">
      <alignment horizontal="center" vertical="center" shrinkToFit="1"/>
    </xf>
    <xf numFmtId="2" fontId="8" fillId="13" borderId="18" xfId="1" applyNumberFormat="1" applyFont="1" applyFill="1" applyBorder="1" applyAlignment="1">
      <alignment horizontal="center" vertical="center" shrinkToFit="1"/>
    </xf>
    <xf numFmtId="2" fontId="8" fillId="13" borderId="16" xfId="1" applyNumberFormat="1" applyFont="1" applyFill="1" applyBorder="1" applyAlignment="1">
      <alignment horizontal="center" vertical="center" shrinkToFit="1"/>
    </xf>
    <xf numFmtId="2" fontId="28" fillId="13" borderId="16" xfId="1" applyNumberFormat="1" applyFont="1" applyFill="1" applyBorder="1" applyAlignment="1">
      <alignment horizontal="center" vertical="center" shrinkToFit="1"/>
    </xf>
    <xf numFmtId="0" fontId="1" fillId="13" borderId="5" xfId="1" applyFont="1" applyFill="1" applyBorder="1" applyAlignment="1">
      <alignment horizontal="center" vertical="center" wrapText="1"/>
    </xf>
    <xf numFmtId="0" fontId="1" fillId="13" borderId="7" xfId="1" applyFont="1" applyFill="1" applyBorder="1" applyAlignment="1">
      <alignment horizontal="center" vertical="center" wrapText="1"/>
    </xf>
    <xf numFmtId="0" fontId="1" fillId="13" borderId="2" xfId="1" applyFont="1" applyFill="1" applyBorder="1" applyAlignment="1">
      <alignment horizontal="center" vertical="center"/>
    </xf>
    <xf numFmtId="0" fontId="1" fillId="13" borderId="29" xfId="1" applyFont="1" applyFill="1" applyBorder="1" applyAlignment="1">
      <alignment horizontal="center" vertical="center"/>
    </xf>
    <xf numFmtId="0" fontId="1" fillId="13" borderId="28" xfId="1" applyFont="1" applyFill="1" applyBorder="1" applyAlignment="1">
      <alignment horizontal="center" vertical="center"/>
    </xf>
    <xf numFmtId="0" fontId="1" fillId="13" borderId="4" xfId="1" applyFont="1" applyFill="1" applyBorder="1" applyAlignment="1">
      <alignment horizontal="center" vertical="center"/>
    </xf>
    <xf numFmtId="0" fontId="0" fillId="13" borderId="2" xfId="1" applyFont="1" applyFill="1" applyBorder="1" applyAlignment="1">
      <alignment horizontal="center" vertical="center"/>
    </xf>
    <xf numFmtId="0" fontId="0" fillId="13" borderId="28" xfId="1" applyFont="1" applyFill="1" applyBorder="1" applyAlignment="1">
      <alignment horizontal="center" vertical="center"/>
    </xf>
    <xf numFmtId="0" fontId="54" fillId="8" borderId="0" xfId="1" applyFont="1" applyFill="1" applyAlignment="1" applyProtection="1">
      <alignment horizontal="left" vertical="center"/>
      <protection hidden="1"/>
    </xf>
    <xf numFmtId="2" fontId="24" fillId="13" borderId="12" xfId="1" applyNumberFormat="1" applyFont="1" applyFill="1" applyBorder="1" applyAlignment="1">
      <alignment horizontal="center" vertical="center" shrinkToFit="1"/>
    </xf>
    <xf numFmtId="0" fontId="12" fillId="13" borderId="2" xfId="0" applyFont="1" applyFill="1" applyBorder="1" applyAlignment="1">
      <alignment horizontal="center" vertical="center" wrapText="1"/>
    </xf>
    <xf numFmtId="0" fontId="12" fillId="13" borderId="3" xfId="0" applyFont="1" applyFill="1" applyBorder="1" applyAlignment="1">
      <alignment horizontal="center" vertical="center" wrapText="1"/>
    </xf>
    <xf numFmtId="0" fontId="12" fillId="13" borderId="4" xfId="0" applyFont="1" applyFill="1" applyBorder="1" applyAlignment="1">
      <alignment horizontal="center" vertical="center" wrapText="1"/>
    </xf>
    <xf numFmtId="0" fontId="61" fillId="2" borderId="1" xfId="1" applyFont="1" applyFill="1" applyBorder="1" applyAlignment="1">
      <alignment horizontal="center" vertical="center"/>
    </xf>
    <xf numFmtId="0" fontId="2" fillId="0" borderId="26" xfId="1" applyBorder="1" applyAlignment="1">
      <alignment horizontal="center"/>
    </xf>
    <xf numFmtId="0" fontId="2" fillId="0" borderId="27" xfId="1" applyBorder="1" applyAlignment="1">
      <alignment horizontal="center"/>
    </xf>
    <xf numFmtId="0" fontId="2" fillId="0" borderId="23" xfId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57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2" fillId="0" borderId="26" xfId="0" applyFont="1" applyBorder="1" applyAlignment="1">
      <alignment horizontal="left"/>
    </xf>
    <xf numFmtId="0" fontId="0" fillId="0" borderId="26" xfId="0" applyBorder="1" applyAlignment="1">
      <alignment horizontal="left"/>
    </xf>
  </cellXfs>
  <cellStyles count="10">
    <cellStyle name="Good" xfId="5" builtinId="26"/>
    <cellStyle name="Input" xfId="9" builtinId="20"/>
    <cellStyle name="Normal" xfId="0" builtinId="0"/>
    <cellStyle name="Normal 2" xfId="1" xr:uid="{00000000-0005-0000-0000-000002000000}"/>
    <cellStyle name="Normal 2 2" xfId="4" xr:uid="{00000000-0005-0000-0000-000003000000}"/>
    <cellStyle name="Normal 3" xfId="6" xr:uid="{E573777B-FAE0-4244-BCEE-85E952C41991}"/>
    <cellStyle name="Normal 7" xfId="7" xr:uid="{7A973067-BD82-4422-98FC-E0D244857C04}"/>
    <cellStyle name="Normal 8" xfId="8" xr:uid="{2F2D8259-F99E-4CAF-A1FA-0510D675164C}"/>
    <cellStyle name="Percent 2" xfId="3" xr:uid="{00000000-0005-0000-0000-000004000000}"/>
    <cellStyle name="Tieu de phu" xfId="2" xr:uid="{00000000-0005-0000-0000-000005000000}"/>
  </cellStyles>
  <dxfs count="0"/>
  <tableStyles count="0" defaultTableStyle="TableStyleMedium2" defaultPivotStyle="PivotStyleLight16"/>
  <colors>
    <mruColors>
      <color rgb="FF0000CC"/>
      <color rgb="FFFF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44870</xdr:colOff>
      <xdr:row>50</xdr:row>
      <xdr:rowOff>19050</xdr:rowOff>
    </xdr:from>
    <xdr:ext cx="202819" cy="209550"/>
    <xdr:pic>
      <xdr:nvPicPr>
        <xdr:cNvPr id="2" name="Picture 1">
          <a:extLst>
            <a:ext uri="{FF2B5EF4-FFF2-40B4-BE49-F238E27FC236}">
              <a16:creationId xmlns:a16="http://schemas.microsoft.com/office/drawing/2014/main" id="{2D12160A-F74F-4AAB-B9FD-F56686D7C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21620" y="8886825"/>
          <a:ext cx="202819" cy="20955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50</xdr:row>
      <xdr:rowOff>16357</xdr:rowOff>
    </xdr:from>
    <xdr:ext cx="171450" cy="193193"/>
    <xdr:pic>
      <xdr:nvPicPr>
        <xdr:cNvPr id="3" name="Picture 2">
          <a:extLst>
            <a:ext uri="{FF2B5EF4-FFF2-40B4-BE49-F238E27FC236}">
              <a16:creationId xmlns:a16="http://schemas.microsoft.com/office/drawing/2014/main" id="{591144E9-658F-4344-84EB-CCABC971B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10150" y="8884132"/>
          <a:ext cx="171450" cy="193193"/>
        </a:xfrm>
        <a:prstGeom prst="rect">
          <a:avLst/>
        </a:prstGeom>
      </xdr:spPr>
    </xdr:pic>
    <xdr:clientData/>
  </xdr:oneCellAnchor>
  <xdr:oneCellAnchor>
    <xdr:from>
      <xdr:col>11</xdr:col>
      <xdr:colOff>57150</xdr:colOff>
      <xdr:row>50</xdr:row>
      <xdr:rowOff>41098</xdr:rowOff>
    </xdr:from>
    <xdr:ext cx="219075" cy="158927"/>
    <xdr:pic>
      <xdr:nvPicPr>
        <xdr:cNvPr id="4" name="Picture 3">
          <a:extLst>
            <a:ext uri="{FF2B5EF4-FFF2-40B4-BE49-F238E27FC236}">
              <a16:creationId xmlns:a16="http://schemas.microsoft.com/office/drawing/2014/main" id="{B03A71D8-C504-4D05-8F8A-2405E76C9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76875" y="8908873"/>
          <a:ext cx="219075" cy="15892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33</xdr:col>
      <xdr:colOff>534120</xdr:colOff>
      <xdr:row>65</xdr:row>
      <xdr:rowOff>0</xdr:rowOff>
    </xdr:from>
    <xdr:ext cx="248851" cy="220317"/>
    <xdr:sp macro="" textlink="#REF!">
      <xdr:nvSpPr>
        <xdr:cNvPr id="3" name="TextBox 2">
          <a:extLst>
            <a:ext uri="{FF2B5EF4-FFF2-40B4-BE49-F238E27FC236}">
              <a16:creationId xmlns:a16="http://schemas.microsoft.com/office/drawing/2014/main" id="{99AF70AE-E2F0-441E-8CBE-CFF579E580E8}"/>
            </a:ext>
          </a:extLst>
        </xdr:cNvPr>
        <xdr:cNvSpPr txBox="1"/>
      </xdr:nvSpPr>
      <xdr:spPr>
        <a:xfrm rot="16200000">
          <a:off x="12064112" y="19886538"/>
          <a:ext cx="22031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8B0D507-6974-4405-8D3B-276B7A493149}" type="TxLink">
            <a:rPr lang="en-US" sz="1000" b="0" i="0" u="none" strike="noStrike">
              <a:solidFill>
                <a:srgbClr val="C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oneCellAnchor>
  <xdr:oneCellAnchor>
    <xdr:from>
      <xdr:col>33</xdr:col>
      <xdr:colOff>505242</xdr:colOff>
      <xdr:row>65</xdr:row>
      <xdr:rowOff>0</xdr:rowOff>
    </xdr:from>
    <xdr:ext cx="248851" cy="220317"/>
    <xdr:sp macro="" textlink="#REF!">
      <xdr:nvSpPr>
        <xdr:cNvPr id="4" name="TextBox 3">
          <a:extLst>
            <a:ext uri="{FF2B5EF4-FFF2-40B4-BE49-F238E27FC236}">
              <a16:creationId xmlns:a16="http://schemas.microsoft.com/office/drawing/2014/main" id="{2FDFCEC9-85EC-4B35-B66D-066B3201062F}"/>
            </a:ext>
          </a:extLst>
        </xdr:cNvPr>
        <xdr:cNvSpPr txBox="1"/>
      </xdr:nvSpPr>
      <xdr:spPr>
        <a:xfrm rot="16200000">
          <a:off x="12035234" y="16261551"/>
          <a:ext cx="22031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8B0D507-6974-4405-8D3B-276B7A493149}" type="TxLink">
            <a:rPr lang="en-US" sz="1000" b="0" i="0" u="none" strike="noStrike">
              <a:solidFill>
                <a:srgbClr val="C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oneCellAnchor>
  <xdr:oneCellAnchor>
    <xdr:from>
      <xdr:col>48</xdr:col>
      <xdr:colOff>534120</xdr:colOff>
      <xdr:row>65</xdr:row>
      <xdr:rowOff>0</xdr:rowOff>
    </xdr:from>
    <xdr:ext cx="248851" cy="220317"/>
    <xdr:sp macro="" textlink="#REF!">
      <xdr:nvSpPr>
        <xdr:cNvPr id="5" name="TextBox 4">
          <a:extLst>
            <a:ext uri="{FF2B5EF4-FFF2-40B4-BE49-F238E27FC236}">
              <a16:creationId xmlns:a16="http://schemas.microsoft.com/office/drawing/2014/main" id="{23279416-1E91-4356-B846-462BDA91D861}"/>
            </a:ext>
          </a:extLst>
        </xdr:cNvPr>
        <xdr:cNvSpPr txBox="1"/>
      </xdr:nvSpPr>
      <xdr:spPr>
        <a:xfrm rot="16200000">
          <a:off x="20474687" y="19886538"/>
          <a:ext cx="22031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8B0D507-6974-4405-8D3B-276B7A493149}" type="TxLink">
            <a:rPr lang="en-US" sz="1000" b="0" i="0" u="none" strike="noStrike">
              <a:solidFill>
                <a:srgbClr val="C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oneCellAnchor>
  <xdr:oneCellAnchor>
    <xdr:from>
      <xdr:col>48</xdr:col>
      <xdr:colOff>505242</xdr:colOff>
      <xdr:row>65</xdr:row>
      <xdr:rowOff>0</xdr:rowOff>
    </xdr:from>
    <xdr:ext cx="248851" cy="220317"/>
    <xdr:sp macro="" textlink="#REF!">
      <xdr:nvSpPr>
        <xdr:cNvPr id="6" name="TextBox 5">
          <a:extLst>
            <a:ext uri="{FF2B5EF4-FFF2-40B4-BE49-F238E27FC236}">
              <a16:creationId xmlns:a16="http://schemas.microsoft.com/office/drawing/2014/main" id="{6B25C6CE-92B4-44EA-8BF5-1152C24BFBA9}"/>
            </a:ext>
          </a:extLst>
        </xdr:cNvPr>
        <xdr:cNvSpPr txBox="1"/>
      </xdr:nvSpPr>
      <xdr:spPr>
        <a:xfrm rot="16200000">
          <a:off x="20445809" y="16261551"/>
          <a:ext cx="22031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8B0D507-6974-4405-8D3B-276B7A493149}" type="TxLink">
            <a:rPr lang="en-US" sz="1000" b="0" i="0" u="none" strike="noStrike">
              <a:solidFill>
                <a:srgbClr val="C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oneCellAnchor>
  <xdr:twoCellAnchor editAs="oneCell">
    <xdr:from>
      <xdr:col>14</xdr:col>
      <xdr:colOff>288234</xdr:colOff>
      <xdr:row>20</xdr:row>
      <xdr:rowOff>28989</xdr:rowOff>
    </xdr:from>
    <xdr:to>
      <xdr:col>16</xdr:col>
      <xdr:colOff>173106</xdr:colOff>
      <xdr:row>22</xdr:row>
      <xdr:rowOff>152761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AE8F29F-6DE2-41BD-B4AB-E68FAC280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55409" y="3057939"/>
          <a:ext cx="513522" cy="526307"/>
        </a:xfrm>
        <a:prstGeom prst="rect">
          <a:avLst/>
        </a:prstGeom>
      </xdr:spPr>
    </xdr:pic>
    <xdr:clientData/>
  </xdr:twoCellAnchor>
  <xdr:twoCellAnchor>
    <xdr:from>
      <xdr:col>28</xdr:col>
      <xdr:colOff>8282</xdr:colOff>
      <xdr:row>18</xdr:row>
      <xdr:rowOff>124239</xdr:rowOff>
    </xdr:from>
    <xdr:to>
      <xdr:col>30</xdr:col>
      <xdr:colOff>91108</xdr:colOff>
      <xdr:row>20</xdr:row>
      <xdr:rowOff>99391</xdr:rowOff>
    </xdr:to>
    <xdr:sp macro="[0]!InTMRaPDF" textlink="">
      <xdr:nvSpPr>
        <xdr:cNvPr id="10" name="Rectangle 9">
          <a:extLst>
            <a:ext uri="{FF2B5EF4-FFF2-40B4-BE49-F238E27FC236}">
              <a16:creationId xmlns:a16="http://schemas.microsoft.com/office/drawing/2014/main" id="{DECC8C9D-A699-CD13-2CA6-BB4398F835FC}"/>
            </a:ext>
          </a:extLst>
        </xdr:cNvPr>
        <xdr:cNvSpPr/>
      </xdr:nvSpPr>
      <xdr:spPr>
        <a:xfrm>
          <a:off x="8605630" y="2791239"/>
          <a:ext cx="1143000" cy="40584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rgbClr val="C00000"/>
              </a:solidFill>
            </a:rPr>
            <a:t>IN PDF</a:t>
          </a:r>
        </a:p>
      </xdr:txBody>
    </xdr:sp>
    <xdr:clientData/>
  </xdr:twoCellAnchor>
  <xdr:oneCellAnchor>
    <xdr:from>
      <xdr:col>33</xdr:col>
      <xdr:colOff>534120</xdr:colOff>
      <xdr:row>76</xdr:row>
      <xdr:rowOff>0</xdr:rowOff>
    </xdr:from>
    <xdr:ext cx="248851" cy="220317"/>
    <xdr:sp macro="" textlink="#REF!">
      <xdr:nvSpPr>
        <xdr:cNvPr id="13" name="TextBox 12">
          <a:extLst>
            <a:ext uri="{FF2B5EF4-FFF2-40B4-BE49-F238E27FC236}">
              <a16:creationId xmlns:a16="http://schemas.microsoft.com/office/drawing/2014/main" id="{DC948908-3A94-42E4-9098-DA4A63FBD936}"/>
            </a:ext>
          </a:extLst>
        </xdr:cNvPr>
        <xdr:cNvSpPr txBox="1"/>
      </xdr:nvSpPr>
      <xdr:spPr>
        <a:xfrm rot="16200000">
          <a:off x="11796170" y="12633276"/>
          <a:ext cx="22031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8B0D507-6974-4405-8D3B-276B7A493149}" type="TxLink">
            <a:rPr lang="en-US" sz="1000" b="0" i="0" u="none" strike="noStrike">
              <a:solidFill>
                <a:srgbClr val="C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oneCellAnchor>
  <xdr:oneCellAnchor>
    <xdr:from>
      <xdr:col>33</xdr:col>
      <xdr:colOff>505242</xdr:colOff>
      <xdr:row>76</xdr:row>
      <xdr:rowOff>0</xdr:rowOff>
    </xdr:from>
    <xdr:ext cx="248851" cy="220317"/>
    <xdr:sp macro="" textlink="#REF!">
      <xdr:nvSpPr>
        <xdr:cNvPr id="14" name="TextBox 13">
          <a:extLst>
            <a:ext uri="{FF2B5EF4-FFF2-40B4-BE49-F238E27FC236}">
              <a16:creationId xmlns:a16="http://schemas.microsoft.com/office/drawing/2014/main" id="{74409D6D-14D9-48E5-90B7-4A69BB09B7E0}"/>
            </a:ext>
          </a:extLst>
        </xdr:cNvPr>
        <xdr:cNvSpPr txBox="1"/>
      </xdr:nvSpPr>
      <xdr:spPr>
        <a:xfrm rot="16200000">
          <a:off x="11767292" y="12633276"/>
          <a:ext cx="22031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8B0D507-6974-4405-8D3B-276B7A493149}" type="TxLink">
            <a:rPr lang="en-US" sz="1000" b="0" i="0" u="none" strike="noStrike">
              <a:solidFill>
                <a:srgbClr val="C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oneCellAnchor>
  <xdr:twoCellAnchor editAs="oneCell">
    <xdr:from>
      <xdr:col>27</xdr:col>
      <xdr:colOff>405847</xdr:colOff>
      <xdr:row>10</xdr:row>
      <xdr:rowOff>180555</xdr:rowOff>
    </xdr:from>
    <xdr:to>
      <xdr:col>39</xdr:col>
      <xdr:colOff>84632</xdr:colOff>
      <xdr:row>17</xdr:row>
      <xdr:rowOff>179624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FDFF3183-B65A-D907-550A-5649A6D7D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73108" y="1315272"/>
          <a:ext cx="6039828" cy="1332569"/>
        </a:xfrm>
        <a:prstGeom prst="rect">
          <a:avLst/>
        </a:prstGeom>
      </xdr:spPr>
    </xdr:pic>
    <xdr:clientData/>
  </xdr:twoCellAnchor>
  <xdr:twoCellAnchor editAs="oneCell">
    <xdr:from>
      <xdr:col>15</xdr:col>
      <xdr:colOff>314738</xdr:colOff>
      <xdr:row>11</xdr:row>
      <xdr:rowOff>157371</xdr:rowOff>
    </xdr:from>
    <xdr:to>
      <xdr:col>24</xdr:col>
      <xdr:colOff>306379</xdr:colOff>
      <xdr:row>19</xdr:row>
      <xdr:rowOff>160285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D424EC5-D820-4D3F-A34D-4CCDB82D7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04521" y="1482588"/>
          <a:ext cx="2824293" cy="1526914"/>
        </a:xfrm>
        <a:prstGeom prst="rect">
          <a:avLst/>
        </a:prstGeom>
      </xdr:spPr>
    </xdr:pic>
    <xdr:clientData/>
  </xdr:twoCellAnchor>
  <xdr:twoCellAnchor editAs="oneCell">
    <xdr:from>
      <xdr:col>30</xdr:col>
      <xdr:colOff>505239</xdr:colOff>
      <xdr:row>18</xdr:row>
      <xdr:rowOff>165653</xdr:rowOff>
    </xdr:from>
    <xdr:to>
      <xdr:col>39</xdr:col>
      <xdr:colOff>316678</xdr:colOff>
      <xdr:row>29</xdr:row>
      <xdr:rowOff>169351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967F196-1CEB-468C-ABFC-A79DA6435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162761" y="2824370"/>
          <a:ext cx="4582221" cy="22731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DF0CC-71DB-46D6-B6C3-250D4EA2DF86}">
  <sheetPr codeName="Sheet1">
    <tabColor rgb="FFFF0000"/>
  </sheetPr>
  <dimension ref="A1:AA61"/>
  <sheetViews>
    <sheetView showGridLines="0" view="pageBreakPreview" topLeftCell="A9" zoomScaleNormal="100" zoomScaleSheetLayoutView="100" workbookViewId="0">
      <selection activeCell="S11" sqref="S11"/>
    </sheetView>
  </sheetViews>
  <sheetFormatPr defaultRowHeight="12.75"/>
  <cols>
    <col min="1" max="1" width="3" style="29" customWidth="1"/>
    <col min="2" max="2" width="11.85546875" style="28" customWidth="1"/>
    <col min="3" max="3" width="7.5703125" style="28" customWidth="1"/>
    <col min="4" max="4" width="7.7109375" style="28" customWidth="1"/>
    <col min="5" max="5" width="7.5703125" style="28" bestFit="1" customWidth="1"/>
    <col min="6" max="6" width="5.28515625" style="28" customWidth="1"/>
    <col min="7" max="7" width="7.28515625" style="28" bestFit="1" customWidth="1"/>
    <col min="8" max="8" width="8.5703125" style="28" bestFit="1" customWidth="1"/>
    <col min="9" max="9" width="8.28515625" style="28" customWidth="1"/>
    <col min="10" max="10" width="6.5703125" style="28" bestFit="1" customWidth="1"/>
    <col min="11" max="11" width="7.5703125" style="28" bestFit="1" customWidth="1"/>
    <col min="12" max="12" width="7.28515625" style="28" bestFit="1" customWidth="1"/>
    <col min="13" max="13" width="6.85546875" style="28" customWidth="1"/>
    <col min="14" max="14" width="8.85546875" style="28" customWidth="1"/>
    <col min="15" max="15" width="8.85546875" style="29" customWidth="1"/>
    <col min="16" max="16" width="12.85546875" style="29" bestFit="1" customWidth="1"/>
    <col min="17" max="16384" width="9.140625" style="29"/>
  </cols>
  <sheetData>
    <row r="1" spans="1:27" ht="14.25" customHeight="1">
      <c r="A1" s="28"/>
      <c r="P1" s="30"/>
      <c r="Q1" s="30"/>
      <c r="R1" s="30"/>
    </row>
    <row r="2" spans="1:27" ht="24" customHeight="1">
      <c r="A2" s="28"/>
      <c r="B2" s="142" t="s">
        <v>204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31"/>
      <c r="P2" s="30"/>
      <c r="Q2" s="30"/>
      <c r="R2" s="30"/>
    </row>
    <row r="3" spans="1:27" ht="12.75" customHeight="1">
      <c r="A3" s="28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1"/>
      <c r="P3" s="30"/>
      <c r="Q3" s="30"/>
      <c r="R3" s="30"/>
    </row>
    <row r="4" spans="1:27" ht="12.75" customHeight="1">
      <c r="A4" s="28"/>
      <c r="B4" s="136" t="s">
        <v>205</v>
      </c>
      <c r="C4" s="136"/>
      <c r="D4" s="33"/>
      <c r="E4" s="32"/>
      <c r="F4" s="32"/>
      <c r="G4" s="32"/>
      <c r="H4" s="32"/>
      <c r="I4" s="32"/>
      <c r="J4" s="32"/>
      <c r="K4" s="32"/>
      <c r="L4" s="32"/>
      <c r="M4" s="32"/>
      <c r="N4" s="32"/>
      <c r="O4" s="31"/>
      <c r="P4" s="30"/>
      <c r="Q4" s="30"/>
      <c r="R4" s="30"/>
    </row>
    <row r="5" spans="1:27">
      <c r="A5" s="28"/>
      <c r="B5" s="135" t="s">
        <v>206</v>
      </c>
      <c r="C5" s="135"/>
      <c r="D5" s="135"/>
      <c r="E5" s="35">
        <v>13.5</v>
      </c>
      <c r="F5" s="131" t="s">
        <v>207</v>
      </c>
      <c r="G5" s="132"/>
      <c r="H5" s="132"/>
      <c r="I5" s="132"/>
      <c r="J5" s="38">
        <v>0</v>
      </c>
      <c r="K5" s="39" t="s">
        <v>192</v>
      </c>
      <c r="M5" s="40"/>
    </row>
    <row r="6" spans="1:27">
      <c r="A6" s="28"/>
      <c r="B6" s="135" t="s">
        <v>208</v>
      </c>
      <c r="C6" s="135"/>
      <c r="D6" s="41" t="s">
        <v>20</v>
      </c>
      <c r="H6" s="36"/>
      <c r="I6" s="40"/>
      <c r="J6" s="40"/>
      <c r="K6" s="42"/>
      <c r="L6" s="36"/>
      <c r="M6" s="40"/>
    </row>
    <row r="7" spans="1:27">
      <c r="A7" s="28"/>
      <c r="B7" s="135" t="s">
        <v>209</v>
      </c>
      <c r="C7" s="137"/>
      <c r="D7" s="44" t="s">
        <v>44</v>
      </c>
      <c r="E7" s="131" t="str">
        <f>IF($D$7="A","Trống trải, không có hoặc có rất ít vật cản cao không quá 1,5 m",IF($D$7="B","Tương đối trống trải, có một số vật cản thưa thớt cao không quá 10 m ","Bị che chắn mạnh, có nhiều vật cản sát nhau cao từ 10 m trở lên"))</f>
        <v xml:space="preserve">Tương đối trống trải, có một số vật cản thưa thớt cao không quá 10 m </v>
      </c>
      <c r="F7" s="132"/>
      <c r="G7" s="132"/>
      <c r="H7" s="132"/>
      <c r="I7" s="132"/>
      <c r="J7" s="132"/>
      <c r="K7" s="132"/>
      <c r="L7" s="132"/>
      <c r="M7" s="132"/>
      <c r="N7" s="132"/>
      <c r="O7" s="45"/>
    </row>
    <row r="8" spans="1:27">
      <c r="A8" s="28"/>
      <c r="B8" s="135" t="s">
        <v>65</v>
      </c>
      <c r="C8" s="135"/>
      <c r="D8" s="135"/>
      <c r="E8" s="137"/>
      <c r="F8" s="137"/>
      <c r="G8" s="137"/>
      <c r="H8" s="139" t="s">
        <v>210</v>
      </c>
      <c r="I8" s="140"/>
      <c r="J8" s="140"/>
    </row>
    <row r="9" spans="1:27">
      <c r="A9" s="28"/>
      <c r="B9" s="135" t="s">
        <v>211</v>
      </c>
      <c r="C9" s="137"/>
      <c r="D9" s="137"/>
      <c r="E9" s="137"/>
      <c r="F9" s="137"/>
      <c r="G9" s="137"/>
      <c r="H9" s="46">
        <v>1</v>
      </c>
      <c r="J9" s="131" t="s">
        <v>212</v>
      </c>
      <c r="K9" s="132"/>
      <c r="L9" s="132"/>
      <c r="M9" s="132"/>
      <c r="N9" s="132"/>
      <c r="O9" s="45"/>
      <c r="R9" s="141"/>
      <c r="S9" s="141"/>
      <c r="T9" s="141"/>
      <c r="U9" s="141"/>
      <c r="V9" s="141"/>
      <c r="W9" s="141"/>
      <c r="X9" s="141"/>
      <c r="Y9" s="141"/>
      <c r="Z9" s="141"/>
      <c r="AA9" s="141"/>
    </row>
    <row r="10" spans="1:27" ht="15.75">
      <c r="A10" s="28"/>
      <c r="B10" s="135" t="s">
        <v>213</v>
      </c>
      <c r="C10" s="137"/>
      <c r="D10" s="137"/>
      <c r="E10" s="137"/>
      <c r="F10" s="137"/>
      <c r="G10" s="137"/>
      <c r="H10" s="47">
        <f>VLOOKUP(D6,GustFactor!$F$57:$H$61,2,FALSE)</f>
        <v>0.95</v>
      </c>
      <c r="J10" s="131" t="s">
        <v>214</v>
      </c>
      <c r="K10" s="132"/>
      <c r="L10" s="132"/>
      <c r="M10" s="132"/>
      <c r="N10" s="132"/>
      <c r="O10" s="45"/>
      <c r="R10" s="141"/>
      <c r="S10" s="141"/>
      <c r="T10" s="141"/>
      <c r="U10" s="141"/>
      <c r="V10" s="141"/>
      <c r="W10" s="141"/>
      <c r="X10" s="141"/>
      <c r="Y10" s="141"/>
      <c r="Z10" s="141"/>
      <c r="AA10" s="141"/>
    </row>
    <row r="11" spans="1:27" ht="15.75">
      <c r="A11" s="28"/>
      <c r="B11" s="135" t="s">
        <v>215</v>
      </c>
      <c r="C11" s="137"/>
      <c r="D11" s="137"/>
      <c r="E11" s="137"/>
      <c r="F11" s="137"/>
      <c r="G11" s="137"/>
      <c r="H11" s="47">
        <f>H10*0.852</f>
        <v>0.8093999999999999</v>
      </c>
      <c r="J11" s="131" t="s">
        <v>216</v>
      </c>
      <c r="K11" s="132"/>
      <c r="L11" s="132"/>
      <c r="M11" s="132"/>
      <c r="N11" s="132"/>
      <c r="O11" s="45"/>
    </row>
    <row r="12" spans="1:27">
      <c r="A12" s="28"/>
      <c r="B12" s="135" t="s">
        <v>217</v>
      </c>
      <c r="C12" s="137"/>
      <c r="D12" s="137"/>
      <c r="E12" s="137"/>
      <c r="F12" s="137"/>
      <c r="G12" s="137"/>
      <c r="H12" s="48">
        <f>VLOOKUP(D6,GustFactor!$F$57:$H$61,3,FALSE)</f>
        <v>44</v>
      </c>
      <c r="J12" s="131" t="s">
        <v>214</v>
      </c>
      <c r="K12" s="132"/>
      <c r="L12" s="132"/>
      <c r="M12" s="132"/>
      <c r="N12" s="132"/>
      <c r="O12" s="45"/>
    </row>
    <row r="13" spans="1:27" ht="15.75">
      <c r="A13" s="28"/>
      <c r="B13" s="135" t="s">
        <v>218</v>
      </c>
      <c r="C13" s="137"/>
      <c r="D13" s="137"/>
      <c r="E13" s="137"/>
      <c r="F13" s="137"/>
      <c r="G13" s="137"/>
      <c r="H13" s="47">
        <f>VLOOKUP($D$7,Bang8_10,4)</f>
        <v>4.57</v>
      </c>
      <c r="J13" s="131" t="s">
        <v>219</v>
      </c>
      <c r="K13" s="132"/>
      <c r="L13" s="132"/>
      <c r="M13" s="132"/>
      <c r="N13" s="132"/>
      <c r="O13" s="45"/>
    </row>
    <row r="14" spans="1:27" ht="15.75">
      <c r="A14" s="28"/>
      <c r="B14" s="135" t="s">
        <v>220</v>
      </c>
      <c r="C14" s="137"/>
      <c r="D14" s="137"/>
      <c r="E14" s="137"/>
      <c r="F14" s="137"/>
      <c r="G14" s="137"/>
      <c r="H14" s="47">
        <f>VLOOKUP($D$7,Bang8_10,3)</f>
        <v>274.32</v>
      </c>
      <c r="J14" s="131" t="s">
        <v>219</v>
      </c>
      <c r="K14" s="132"/>
      <c r="L14" s="132"/>
      <c r="M14" s="132"/>
      <c r="N14" s="132"/>
      <c r="O14" s="45"/>
    </row>
    <row r="15" spans="1:27">
      <c r="A15" s="28"/>
      <c r="B15" s="135" t="s">
        <v>221</v>
      </c>
      <c r="C15" s="137"/>
      <c r="D15" s="137"/>
      <c r="E15" s="137"/>
      <c r="F15" s="137"/>
      <c r="G15" s="137"/>
      <c r="H15" s="47">
        <f>VLOOKUP($D$7,Bang8_10,5)</f>
        <v>9.5</v>
      </c>
      <c r="J15" s="131" t="s">
        <v>219</v>
      </c>
      <c r="K15" s="132"/>
      <c r="L15" s="132"/>
      <c r="M15" s="132"/>
      <c r="N15" s="132"/>
      <c r="O15" s="45"/>
    </row>
    <row r="16" spans="1:27" ht="15.75">
      <c r="A16" s="28"/>
      <c r="B16" s="135" t="s">
        <v>222</v>
      </c>
      <c r="C16" s="137"/>
      <c r="D16" s="137"/>
      <c r="E16" s="137"/>
      <c r="F16" s="137"/>
      <c r="G16" s="137"/>
      <c r="H16" s="47">
        <f>VLOOKUP(D7,Bang8_10,6)</f>
        <v>1.97</v>
      </c>
      <c r="J16" s="131" t="s">
        <v>219</v>
      </c>
      <c r="K16" s="132"/>
      <c r="L16" s="132"/>
      <c r="M16" s="132"/>
      <c r="N16" s="132"/>
      <c r="O16" s="45"/>
    </row>
    <row r="17" spans="1:15" ht="15.75">
      <c r="A17" s="28"/>
      <c r="B17" s="135" t="s">
        <v>223</v>
      </c>
      <c r="C17" s="137"/>
      <c r="D17" s="137"/>
      <c r="E17" s="137"/>
      <c r="F17" s="137"/>
      <c r="G17" s="137"/>
      <c r="H17" s="47">
        <f>VLOOKUP(D7,Bang8_10,7)</f>
        <v>0.2</v>
      </c>
      <c r="J17" s="131" t="s">
        <v>224</v>
      </c>
      <c r="K17" s="132"/>
      <c r="L17" s="132"/>
      <c r="M17" s="132"/>
      <c r="N17" s="132"/>
      <c r="O17" s="45"/>
    </row>
    <row r="18" spans="1:15">
      <c r="A18" s="28"/>
      <c r="B18" s="135" t="s">
        <v>225</v>
      </c>
      <c r="C18" s="137"/>
      <c r="D18" s="137"/>
      <c r="E18" s="137"/>
      <c r="F18" s="137"/>
      <c r="G18" s="137"/>
      <c r="H18" s="47">
        <f>VLOOKUP(D7,Bang8_10,8)</f>
        <v>152.4</v>
      </c>
      <c r="J18" s="131" t="s">
        <v>224</v>
      </c>
      <c r="K18" s="132"/>
      <c r="L18" s="132"/>
      <c r="M18" s="132"/>
      <c r="N18" s="132"/>
      <c r="O18" s="45"/>
    </row>
    <row r="19" spans="1:15">
      <c r="A19" s="28"/>
      <c r="B19" s="135" t="s">
        <v>226</v>
      </c>
      <c r="C19" s="137"/>
      <c r="D19" s="137"/>
      <c r="E19" s="137"/>
      <c r="F19" s="137"/>
      <c r="G19" s="137"/>
      <c r="H19" s="47">
        <f>VLOOKUP(D7,Bang8_10,9)</f>
        <v>0.2</v>
      </c>
      <c r="J19" s="131" t="s">
        <v>224</v>
      </c>
      <c r="K19" s="132"/>
      <c r="L19" s="132"/>
      <c r="M19" s="132"/>
      <c r="N19" s="132"/>
      <c r="O19" s="45"/>
    </row>
    <row r="20" spans="1:15">
      <c r="A20" s="28"/>
      <c r="B20" s="135" t="s">
        <v>227</v>
      </c>
      <c r="C20" s="137"/>
      <c r="D20" s="137"/>
      <c r="E20" s="137"/>
      <c r="F20" s="137"/>
      <c r="G20" s="137"/>
      <c r="H20" s="47">
        <f>VLOOKUP(D7,Bang8_10,10)</f>
        <v>0.65</v>
      </c>
      <c r="J20" s="131" t="s">
        <v>224</v>
      </c>
      <c r="K20" s="132"/>
      <c r="L20" s="132"/>
      <c r="M20" s="132"/>
      <c r="N20" s="132"/>
      <c r="O20" s="45"/>
    </row>
    <row r="21" spans="1:15">
      <c r="A21" s="28"/>
      <c r="B21" s="135" t="s">
        <v>228</v>
      </c>
      <c r="C21" s="137"/>
      <c r="D21" s="137"/>
      <c r="E21" s="137"/>
      <c r="F21" s="137"/>
      <c r="G21" s="137"/>
      <c r="H21" s="47">
        <f>VLOOKUP(D7,Bang8_10,11)</f>
        <v>0.15384615384615385</v>
      </c>
      <c r="J21" s="131" t="s">
        <v>224</v>
      </c>
      <c r="K21" s="132"/>
      <c r="L21" s="132"/>
      <c r="M21" s="132"/>
      <c r="N21" s="132"/>
      <c r="O21" s="45"/>
    </row>
    <row r="22" spans="1:15" ht="15.75">
      <c r="A22" s="28"/>
      <c r="B22" s="135" t="s">
        <v>229</v>
      </c>
      <c r="C22" s="137"/>
      <c r="D22" s="137"/>
      <c r="E22" s="137"/>
      <c r="F22" s="137"/>
      <c r="G22" s="137"/>
      <c r="H22" s="47">
        <f>$H$17*(10/(0.6*$E$5))^(1/6)</f>
        <v>0.20714883373025728</v>
      </c>
      <c r="J22" s="131" t="s">
        <v>230</v>
      </c>
      <c r="K22" s="132"/>
      <c r="L22" s="132"/>
      <c r="M22" s="132"/>
      <c r="N22" s="132"/>
      <c r="O22" s="45"/>
    </row>
    <row r="23" spans="1:15" ht="15.75">
      <c r="A23" s="28"/>
      <c r="B23" s="135" t="s">
        <v>231</v>
      </c>
      <c r="C23" s="137"/>
      <c r="D23" s="137"/>
      <c r="E23" s="137"/>
      <c r="F23" s="137"/>
      <c r="G23" s="137"/>
      <c r="H23" s="47">
        <f>H18*(0.6*E5/10)^H19</f>
        <v>146.11068296436144</v>
      </c>
      <c r="J23" s="131" t="s">
        <v>232</v>
      </c>
      <c r="K23" s="132"/>
      <c r="L23" s="132"/>
      <c r="M23" s="132"/>
      <c r="N23" s="132"/>
      <c r="O23" s="45"/>
    </row>
    <row r="24" spans="1:15">
      <c r="A24" s="28"/>
      <c r="B24" s="135" t="s">
        <v>233</v>
      </c>
      <c r="C24" s="137"/>
      <c r="D24" s="137"/>
      <c r="E24" s="137"/>
      <c r="F24" s="137"/>
      <c r="G24" s="137"/>
      <c r="H24" s="47">
        <f>IF(H8="Kết cấu BT và BTCT",0.02,IF(H8="Kết cấu thép",0.01,0.015))</f>
        <v>0.01</v>
      </c>
      <c r="J24" s="131" t="s">
        <v>234</v>
      </c>
      <c r="K24" s="132"/>
      <c r="L24" s="132"/>
      <c r="M24" s="132"/>
      <c r="N24" s="132"/>
      <c r="O24" s="45"/>
    </row>
    <row r="25" spans="1:15" ht="15.75">
      <c r="A25" s="28"/>
      <c r="B25" s="135" t="s">
        <v>235</v>
      </c>
      <c r="C25" s="137"/>
      <c r="D25" s="137"/>
      <c r="E25" s="137"/>
      <c r="F25" s="137"/>
      <c r="G25" s="137"/>
      <c r="H25" s="47">
        <f>H12*H20*(0.6*E5/10)^H21</f>
        <v>27.68769519252514</v>
      </c>
      <c r="J25" s="131" t="s">
        <v>236</v>
      </c>
      <c r="K25" s="132"/>
      <c r="L25" s="132"/>
      <c r="M25" s="132"/>
      <c r="N25" s="132"/>
      <c r="O25" s="45"/>
    </row>
    <row r="26" spans="1:15">
      <c r="A26" s="28"/>
      <c r="M26" s="36"/>
      <c r="N26" s="49"/>
      <c r="O26" s="50"/>
    </row>
    <row r="27" spans="1:15">
      <c r="A27" s="28"/>
      <c r="B27" s="138" t="s">
        <v>237</v>
      </c>
      <c r="C27" s="138"/>
      <c r="D27" s="138"/>
      <c r="E27" s="138"/>
      <c r="F27" s="138"/>
      <c r="G27" s="138" t="s">
        <v>238</v>
      </c>
      <c r="H27" s="138"/>
      <c r="I27" s="138"/>
      <c r="J27" s="138"/>
      <c r="K27" s="138"/>
      <c r="L27" s="138"/>
      <c r="M27" s="131" t="s">
        <v>239</v>
      </c>
      <c r="N27" s="132"/>
      <c r="O27" s="45"/>
    </row>
    <row r="28" spans="1:15">
      <c r="A28" s="28"/>
      <c r="B28" s="135" t="str">
        <f>"Chu kỳ dao động (s)"</f>
        <v>Chu kỳ dao động (s)</v>
      </c>
      <c r="C28" s="135"/>
      <c r="D28" s="135"/>
      <c r="E28" s="52">
        <v>1.45</v>
      </c>
      <c r="F28" s="51"/>
      <c r="G28" s="131" t="s">
        <v>240</v>
      </c>
      <c r="H28" s="131"/>
      <c r="I28" s="131"/>
      <c r="J28" s="131"/>
      <c r="K28" s="52">
        <v>1.5</v>
      </c>
      <c r="L28" s="51"/>
      <c r="M28" s="36"/>
      <c r="N28" s="37"/>
      <c r="O28" s="45"/>
    </row>
    <row r="29" spans="1:15">
      <c r="A29" s="28"/>
      <c r="B29" s="135" t="s">
        <v>241</v>
      </c>
      <c r="C29" s="135"/>
      <c r="D29" s="135"/>
      <c r="E29" s="53">
        <v>50</v>
      </c>
      <c r="F29" s="51"/>
      <c r="G29" s="131" t="s">
        <v>241</v>
      </c>
      <c r="H29" s="131"/>
      <c r="I29" s="131"/>
      <c r="J29" s="131"/>
      <c r="K29" s="54">
        <f>E30</f>
        <v>100</v>
      </c>
      <c r="L29" s="51"/>
      <c r="M29" s="36"/>
      <c r="N29" s="37"/>
      <c r="O29" s="45"/>
    </row>
    <row r="30" spans="1:15">
      <c r="A30" s="28"/>
      <c r="B30" s="135" t="s">
        <v>242</v>
      </c>
      <c r="C30" s="137"/>
      <c r="D30" s="137"/>
      <c r="E30" s="53">
        <v>100</v>
      </c>
      <c r="F30" s="51"/>
      <c r="G30" s="131" t="s">
        <v>242</v>
      </c>
      <c r="H30" s="132"/>
      <c r="I30" s="132"/>
      <c r="J30" s="132"/>
      <c r="K30" s="54">
        <f>E29</f>
        <v>50</v>
      </c>
      <c r="L30" s="51"/>
      <c r="M30" s="36"/>
      <c r="N30" s="37"/>
      <c r="O30" s="45"/>
    </row>
    <row r="31" spans="1:15">
      <c r="A31" s="28"/>
      <c r="B31" s="34"/>
      <c r="C31" s="43"/>
      <c r="D31" s="43"/>
      <c r="E31" s="53"/>
      <c r="F31" s="51"/>
      <c r="G31" s="36"/>
      <c r="H31" s="37"/>
      <c r="I31" s="37"/>
      <c r="J31" s="37"/>
      <c r="K31" s="54"/>
      <c r="L31" s="51"/>
      <c r="M31" s="36"/>
      <c r="N31" s="37"/>
      <c r="O31" s="45"/>
    </row>
    <row r="32" spans="1:15">
      <c r="A32" s="28"/>
      <c r="B32" s="136" t="s">
        <v>243</v>
      </c>
      <c r="C32" s="136"/>
      <c r="D32" s="37"/>
      <c r="E32" s="53"/>
      <c r="F32" s="51"/>
      <c r="G32" s="36"/>
      <c r="H32" s="37"/>
      <c r="I32" s="37"/>
      <c r="J32" s="37"/>
      <c r="K32" s="54"/>
      <c r="L32" s="51"/>
      <c r="M32" s="36"/>
      <c r="N32" s="37"/>
      <c r="O32" s="45"/>
    </row>
    <row r="33" spans="1:22" ht="15.75">
      <c r="A33" s="51"/>
      <c r="B33" s="135" t="s">
        <v>244</v>
      </c>
      <c r="C33" s="137"/>
      <c r="D33" s="137"/>
      <c r="E33" s="55">
        <f>IF($E$28&lt;=1,0.85,0.925*((1+1.7*H22*SQRT(3.4^2*E37^2+E36^2*E38^2))/(1+1.7*H22*3.4)))</f>
        <v>0.9438934308721264</v>
      </c>
      <c r="G33" s="131" t="s">
        <v>244</v>
      </c>
      <c r="H33" s="132"/>
      <c r="I33" s="132"/>
      <c r="J33" s="132"/>
      <c r="K33" s="55">
        <f>IF($K$28&lt;=1,0.85,0.925*((1+1.7*H22*SQRT(3.4^2*K37^2+K36^2*K38^2))/(1+1.7*H22*3.4)))</f>
        <v>0.88580526599160792</v>
      </c>
      <c r="M33" s="131" t="s">
        <v>245</v>
      </c>
      <c r="N33" s="132"/>
      <c r="O33" s="45"/>
    </row>
    <row r="34" spans="1:22">
      <c r="A34" s="51"/>
      <c r="B34" s="34"/>
      <c r="C34" s="43"/>
      <c r="D34" s="43"/>
      <c r="E34" s="43"/>
      <c r="G34" s="36"/>
      <c r="H34" s="37"/>
      <c r="I34" s="37"/>
      <c r="J34" s="37"/>
      <c r="K34" s="43"/>
      <c r="M34" s="36"/>
      <c r="N34" s="37"/>
      <c r="O34" s="45"/>
    </row>
    <row r="35" spans="1:22">
      <c r="A35" s="51"/>
      <c r="B35" s="136" t="s">
        <v>246</v>
      </c>
      <c r="C35" s="136"/>
      <c r="D35" s="37"/>
      <c r="E35" s="36"/>
      <c r="G35" s="36"/>
      <c r="H35" s="37"/>
      <c r="I35" s="37"/>
      <c r="J35" s="37"/>
      <c r="K35" s="36"/>
      <c r="M35" s="36"/>
      <c r="N35" s="37"/>
      <c r="O35" s="45"/>
    </row>
    <row r="36" spans="1:22">
      <c r="A36" s="51"/>
      <c r="B36" s="135" t="s">
        <v>247</v>
      </c>
      <c r="C36" s="135"/>
      <c r="D36" s="135"/>
      <c r="E36" s="47">
        <f>SQRT(2*LN(3600/$E$28))+0.577/SQRT(2*LN(3600/$E$28))</f>
        <v>4.0999446318121446</v>
      </c>
      <c r="F36" s="51"/>
      <c r="G36" s="131" t="s">
        <v>247</v>
      </c>
      <c r="H36" s="131"/>
      <c r="I36" s="131"/>
      <c r="J36" s="131"/>
      <c r="K36" s="54">
        <f>SQRT(2*LN(3600/$K$28))+0.577/SQRT(2*LN(3600/$K$28))</f>
        <v>4.0916788284258532</v>
      </c>
      <c r="L36" s="51"/>
      <c r="M36" s="131" t="s">
        <v>248</v>
      </c>
      <c r="N36" s="131"/>
      <c r="O36" s="56"/>
    </row>
    <row r="37" spans="1:22">
      <c r="A37" s="51"/>
      <c r="B37" s="135" t="s">
        <v>249</v>
      </c>
      <c r="C37" s="137"/>
      <c r="D37" s="137"/>
      <c r="E37" s="47">
        <f>SQRT(1/(1+0.63*((E5+E29)/H23)^0.63))</f>
        <v>0.85352262757816644</v>
      </c>
      <c r="G37" s="131" t="s">
        <v>250</v>
      </c>
      <c r="H37" s="132"/>
      <c r="I37" s="132"/>
      <c r="J37" s="132"/>
      <c r="K37" s="47">
        <f>SQRT(1/(1+0.63*((E5+K29)/H23)^0.63))</f>
        <v>0.8065233328361785</v>
      </c>
      <c r="M37" s="131" t="s">
        <v>251</v>
      </c>
      <c r="N37" s="132"/>
      <c r="O37" s="45"/>
    </row>
    <row r="38" spans="1:22">
      <c r="A38" s="51"/>
      <c r="B38" s="135" t="s">
        <v>252</v>
      </c>
      <c r="C38" s="135"/>
      <c r="D38" s="135"/>
      <c r="E38" s="47">
        <f>SQRT(E39*E44*E45*(0.53+0.47*E46)/H24)</f>
        <v>0.48911554289282133</v>
      </c>
      <c r="F38" s="51"/>
      <c r="G38" s="131" t="s">
        <v>252</v>
      </c>
      <c r="H38" s="131"/>
      <c r="I38" s="131"/>
      <c r="J38" s="132"/>
      <c r="K38" s="54">
        <f>SQRT(K39*K44*K45*(0.53+0.47*K46)/H24)</f>
        <v>0.37165376209058926</v>
      </c>
      <c r="L38" s="51"/>
      <c r="M38" s="131" t="s">
        <v>253</v>
      </c>
      <c r="N38" s="131"/>
      <c r="O38" s="56"/>
    </row>
    <row r="39" spans="1:22" ht="16.5">
      <c r="A39" s="51"/>
      <c r="B39" s="135" t="s">
        <v>254</v>
      </c>
      <c r="C39" s="135"/>
      <c r="D39" s="135"/>
      <c r="E39" s="47">
        <f>7.47*E40/(1+10.3*E40)^(5/3)</f>
        <v>6.1970374863139013E-2</v>
      </c>
      <c r="F39" s="51"/>
      <c r="G39" s="131" t="s">
        <v>254</v>
      </c>
      <c r="H39" s="131"/>
      <c r="I39" s="131"/>
      <c r="J39" s="132"/>
      <c r="K39" s="54">
        <f>7.47*K40/(1+10.3*K40)^(5/3)</f>
        <v>6.3292372875814254E-2</v>
      </c>
      <c r="L39" s="51"/>
      <c r="M39" s="131" t="s">
        <v>255</v>
      </c>
      <c r="N39" s="131"/>
      <c r="O39" s="56"/>
      <c r="T39" s="57"/>
      <c r="U39" s="57"/>
      <c r="V39" s="57"/>
    </row>
    <row r="40" spans="1:22" ht="16.5">
      <c r="A40" s="51"/>
      <c r="B40" s="34" t="s">
        <v>256</v>
      </c>
      <c r="C40" s="36"/>
      <c r="D40" s="36"/>
      <c r="E40" s="47">
        <f>H23/E28/H25</f>
        <v>3.6393779818295457</v>
      </c>
      <c r="F40" s="51"/>
      <c r="G40" s="131" t="s">
        <v>256</v>
      </c>
      <c r="H40" s="132"/>
      <c r="I40" s="132"/>
      <c r="J40" s="132"/>
      <c r="K40" s="54">
        <f>H23/K28/H25</f>
        <v>3.518065382435227</v>
      </c>
      <c r="L40" s="51"/>
      <c r="M40" s="131" t="s">
        <v>257</v>
      </c>
      <c r="N40" s="131"/>
      <c r="O40" s="56"/>
      <c r="T40" s="57"/>
      <c r="U40" s="57"/>
      <c r="V40" s="57"/>
    </row>
    <row r="41" spans="1:22" ht="16.5">
      <c r="A41" s="51"/>
      <c r="B41" s="34" t="s">
        <v>258</v>
      </c>
      <c r="C41" s="36"/>
      <c r="D41" s="36"/>
      <c r="E41" s="47">
        <f>4.6*E5/E28/H25</f>
        <v>1.5468093645605696</v>
      </c>
      <c r="F41" s="51"/>
      <c r="G41" s="131" t="s">
        <v>258</v>
      </c>
      <c r="H41" s="132"/>
      <c r="I41" s="132"/>
      <c r="J41" s="132"/>
      <c r="K41" s="54">
        <f>4.6*E5/K28/H25</f>
        <v>1.4952490524085507</v>
      </c>
      <c r="L41" s="51"/>
      <c r="M41" s="131" t="s">
        <v>259</v>
      </c>
      <c r="N41" s="131"/>
      <c r="O41" s="56"/>
      <c r="T41" s="57"/>
      <c r="U41" s="57"/>
      <c r="V41" s="57"/>
    </row>
    <row r="42" spans="1:22" ht="16.5">
      <c r="A42" s="51"/>
      <c r="B42" s="34" t="s">
        <v>260</v>
      </c>
      <c r="C42" s="36"/>
      <c r="D42" s="36"/>
      <c r="E42" s="47">
        <f>4.6*E29/E28/H25</f>
        <v>5.7289235724465541</v>
      </c>
      <c r="F42" s="51"/>
      <c r="G42" s="131" t="s">
        <v>260</v>
      </c>
      <c r="H42" s="132"/>
      <c r="I42" s="132"/>
      <c r="J42" s="132"/>
      <c r="K42" s="54">
        <f>4.6*K29/K28/H25</f>
        <v>11.075918906730003</v>
      </c>
      <c r="L42" s="51"/>
      <c r="M42" s="131" t="s">
        <v>259</v>
      </c>
      <c r="N42" s="131"/>
      <c r="O42" s="56"/>
      <c r="T42" s="57"/>
      <c r="U42" s="57"/>
      <c r="V42" s="57"/>
    </row>
    <row r="43" spans="1:22" ht="15.75">
      <c r="A43" s="51"/>
      <c r="B43" s="34" t="s">
        <v>261</v>
      </c>
      <c r="C43" s="36"/>
      <c r="D43" s="36"/>
      <c r="E43" s="47">
        <f>15.4*E30/E28/H25</f>
        <v>38.358879572033452</v>
      </c>
      <c r="F43" s="51"/>
      <c r="G43" s="131" t="s">
        <v>261</v>
      </c>
      <c r="H43" s="132"/>
      <c r="I43" s="132"/>
      <c r="J43" s="132"/>
      <c r="K43" s="54">
        <f>15.4*K30/K28/H25</f>
        <v>18.540125126482835</v>
      </c>
      <c r="L43" s="51"/>
      <c r="M43" s="131" t="s">
        <v>259</v>
      </c>
      <c r="N43" s="131"/>
      <c r="O43" s="56"/>
    </row>
    <row r="44" spans="1:22">
      <c r="A44" s="51"/>
      <c r="B44" s="34" t="s">
        <v>262</v>
      </c>
      <c r="C44" s="36"/>
      <c r="D44" s="36"/>
      <c r="E44" s="47">
        <f>IF(E41=0,1,(1/E41-(1-EXP(-2*E41))/(2*E41^2)))</f>
        <v>0.44699054338583177</v>
      </c>
      <c r="F44" s="51"/>
      <c r="G44" s="131" t="s">
        <v>262</v>
      </c>
      <c r="H44" s="132"/>
      <c r="I44" s="132"/>
      <c r="J44" s="132"/>
      <c r="K44" s="54">
        <f>IF(K41=0,1,(1/K41-(1-EXP(-2*K41))/(2*K41^2)))</f>
        <v>0.45638879378781028</v>
      </c>
      <c r="L44" s="51"/>
      <c r="M44" s="131" t="s">
        <v>259</v>
      </c>
      <c r="N44" s="131"/>
      <c r="O44" s="56"/>
    </row>
    <row r="45" spans="1:22">
      <c r="A45" s="51"/>
      <c r="B45" s="34" t="s">
        <v>263</v>
      </c>
      <c r="C45" s="36"/>
      <c r="D45" s="36"/>
      <c r="E45" s="47">
        <f>IF(E42=0,1,(1/E42-(1-EXP(-2*E42))/(2*E42^2)))</f>
        <v>0.15931867132505645</v>
      </c>
      <c r="F45" s="51"/>
      <c r="G45" s="131" t="s">
        <v>263</v>
      </c>
      <c r="H45" s="132"/>
      <c r="I45" s="132"/>
      <c r="J45" s="132"/>
      <c r="K45" s="54">
        <f>IF(K42=0,1,(1/K42-(1-EXP(-2*K42))/(2*K42^2)))</f>
        <v>8.6210185065409173E-2</v>
      </c>
      <c r="L45" s="51"/>
      <c r="M45" s="131" t="s">
        <v>259</v>
      </c>
      <c r="N45" s="131"/>
      <c r="O45" s="56"/>
    </row>
    <row r="46" spans="1:22">
      <c r="A46" s="51"/>
      <c r="B46" s="34" t="s">
        <v>264</v>
      </c>
      <c r="C46" s="36"/>
      <c r="D46" s="36"/>
      <c r="E46" s="47">
        <f>IF(E43=0,1,(1/E43-(1-EXP(-2*E43))/(2*E43^2)))</f>
        <v>2.5729771553381429E-2</v>
      </c>
      <c r="F46" s="51"/>
      <c r="G46" s="131" t="s">
        <v>264</v>
      </c>
      <c r="H46" s="132"/>
      <c r="I46" s="132"/>
      <c r="J46" s="132"/>
      <c r="K46" s="54">
        <f>IF(K43=0,1,(1/K43-(1-EXP(-2*K43))/(2*K43^2)))</f>
        <v>5.2482464874613062E-2</v>
      </c>
      <c r="L46" s="51"/>
      <c r="M46" s="131" t="s">
        <v>259</v>
      </c>
      <c r="N46" s="131"/>
      <c r="O46" s="56"/>
    </row>
    <row r="47" spans="1:22">
      <c r="A47" s="28"/>
      <c r="M47" s="58"/>
    </row>
    <row r="48" spans="1:22">
      <c r="M48" s="58"/>
    </row>
    <row r="49" spans="2:13">
      <c r="M49" s="58"/>
    </row>
    <row r="50" spans="2:13">
      <c r="B50" s="133" t="s">
        <v>265</v>
      </c>
      <c r="C50" s="133"/>
      <c r="D50" s="133"/>
      <c r="E50" s="133"/>
      <c r="F50" s="133"/>
      <c r="G50" s="133"/>
      <c r="H50" s="133" t="s">
        <v>266</v>
      </c>
      <c r="I50" s="134"/>
      <c r="J50" s="134"/>
      <c r="K50" s="134"/>
      <c r="L50" s="134"/>
      <c r="M50" s="58"/>
    </row>
    <row r="51" spans="2:13" ht="18.75">
      <c r="B51" s="59" t="s">
        <v>267</v>
      </c>
      <c r="C51" s="59" t="s">
        <v>268</v>
      </c>
      <c r="D51" s="59" t="s">
        <v>269</v>
      </c>
      <c r="E51" s="60" t="s">
        <v>270</v>
      </c>
      <c r="F51" s="59" t="s">
        <v>271</v>
      </c>
      <c r="G51" s="59" t="s">
        <v>272</v>
      </c>
      <c r="H51" s="61" t="s">
        <v>273</v>
      </c>
      <c r="I51" s="59" t="s">
        <v>274</v>
      </c>
      <c r="J51" s="62"/>
      <c r="K51" s="62"/>
      <c r="L51" s="62"/>
      <c r="M51" s="58"/>
    </row>
    <row r="52" spans="2:13" ht="14.25">
      <c r="B52" s="63" t="s">
        <v>40</v>
      </c>
      <c r="C52" s="64" t="s">
        <v>275</v>
      </c>
      <c r="D52" s="63">
        <v>213.36</v>
      </c>
      <c r="E52" s="63">
        <v>2.13</v>
      </c>
      <c r="F52" s="63">
        <v>11.5</v>
      </c>
      <c r="G52" s="63">
        <v>1.99</v>
      </c>
      <c r="H52" s="63">
        <v>0.15</v>
      </c>
      <c r="I52" s="63">
        <v>198.12</v>
      </c>
      <c r="J52" s="65">
        <f>1/8</f>
        <v>0.125</v>
      </c>
      <c r="K52" s="63">
        <v>0.8</v>
      </c>
      <c r="L52" s="65">
        <f>1/9</f>
        <v>0.1111111111111111</v>
      </c>
      <c r="M52" s="58"/>
    </row>
    <row r="53" spans="2:13" ht="14.25">
      <c r="B53" s="63" t="s">
        <v>44</v>
      </c>
      <c r="C53" s="64" t="s">
        <v>276</v>
      </c>
      <c r="D53" s="63">
        <v>274.32</v>
      </c>
      <c r="E53" s="63">
        <v>4.57</v>
      </c>
      <c r="F53" s="63">
        <v>9.5</v>
      </c>
      <c r="G53" s="63">
        <v>1.97</v>
      </c>
      <c r="H53" s="63">
        <v>0.2</v>
      </c>
      <c r="I53" s="63">
        <v>152.4</v>
      </c>
      <c r="J53" s="65">
        <f>1/5</f>
        <v>0.2</v>
      </c>
      <c r="K53" s="63">
        <v>0.65</v>
      </c>
      <c r="L53" s="65">
        <f>1/6.5</f>
        <v>0.15384615384615385</v>
      </c>
    </row>
    <row r="54" spans="2:13" ht="14.25">
      <c r="B54" s="63" t="s">
        <v>48</v>
      </c>
      <c r="C54" s="64" t="s">
        <v>277</v>
      </c>
      <c r="D54" s="63">
        <v>365.76</v>
      </c>
      <c r="E54" s="63">
        <v>9.14</v>
      </c>
      <c r="F54" s="63">
        <v>7</v>
      </c>
      <c r="G54" s="63">
        <v>1.98</v>
      </c>
      <c r="H54" s="63">
        <v>0.3</v>
      </c>
      <c r="I54" s="63">
        <v>97.54</v>
      </c>
      <c r="J54" s="65">
        <f>1/3</f>
        <v>0.33333333333333331</v>
      </c>
      <c r="K54" s="63">
        <v>0.45</v>
      </c>
      <c r="L54" s="65">
        <f>1/4</f>
        <v>0.25</v>
      </c>
    </row>
    <row r="55" spans="2:13">
      <c r="B55" s="66"/>
      <c r="C55" s="66"/>
      <c r="D55" s="66"/>
      <c r="E55" s="66"/>
      <c r="F55" s="66"/>
      <c r="G55" s="66"/>
      <c r="H55" s="66"/>
      <c r="I55" s="66"/>
      <c r="J55" s="66"/>
      <c r="K55" s="66"/>
      <c r="L55" s="66"/>
    </row>
    <row r="56" spans="2:13">
      <c r="B56" s="66"/>
      <c r="C56" s="66"/>
      <c r="D56" s="66"/>
      <c r="E56" s="66"/>
      <c r="F56" s="66"/>
      <c r="G56" s="66"/>
      <c r="H56" s="66"/>
      <c r="I56" s="66"/>
      <c r="J56" s="66"/>
      <c r="K56" s="66"/>
      <c r="L56" s="66"/>
    </row>
    <row r="57" spans="2:13" ht="15">
      <c r="B57" s="66"/>
      <c r="C57" s="66"/>
      <c r="D57" s="66"/>
      <c r="E57" s="66"/>
      <c r="F57" s="67" t="s">
        <v>19</v>
      </c>
      <c r="G57" s="67">
        <v>0.65</v>
      </c>
      <c r="H57" s="67">
        <v>36</v>
      </c>
      <c r="I57" s="66"/>
      <c r="J57" s="66"/>
      <c r="K57" s="66"/>
      <c r="L57" s="66"/>
    </row>
    <row r="58" spans="2:13" ht="15">
      <c r="B58" s="66"/>
      <c r="C58" s="66"/>
      <c r="D58" s="66"/>
      <c r="E58" s="66"/>
      <c r="F58" s="67" t="s">
        <v>20</v>
      </c>
      <c r="G58" s="67">
        <v>0.95</v>
      </c>
      <c r="H58" s="67">
        <v>44</v>
      </c>
      <c r="I58" s="66"/>
      <c r="J58" s="66"/>
      <c r="K58" s="66"/>
      <c r="L58" s="66"/>
    </row>
    <row r="59" spans="2:13" ht="15">
      <c r="B59" s="66"/>
      <c r="C59" s="66"/>
      <c r="D59" s="66"/>
      <c r="E59" s="66"/>
      <c r="F59" s="67" t="s">
        <v>21</v>
      </c>
      <c r="G59" s="67">
        <v>1.25</v>
      </c>
      <c r="H59" s="67">
        <v>50</v>
      </c>
      <c r="I59" s="66"/>
      <c r="J59" s="66"/>
      <c r="K59" s="66"/>
      <c r="L59" s="66"/>
    </row>
    <row r="60" spans="2:13" ht="15">
      <c r="B60" s="66"/>
      <c r="C60" s="66"/>
      <c r="D60" s="66"/>
      <c r="E60" s="66"/>
      <c r="F60" s="67" t="s">
        <v>22</v>
      </c>
      <c r="G60" s="67">
        <v>1.55</v>
      </c>
      <c r="H60" s="67">
        <v>56</v>
      </c>
      <c r="I60" s="66"/>
      <c r="J60" s="66"/>
      <c r="K60" s="66"/>
      <c r="L60" s="66"/>
    </row>
    <row r="61" spans="2:13" ht="15">
      <c r="B61" s="66"/>
      <c r="C61" s="66"/>
      <c r="D61" s="66"/>
      <c r="E61" s="66"/>
      <c r="F61" s="67" t="s">
        <v>23</v>
      </c>
      <c r="G61" s="67">
        <v>1.85</v>
      </c>
      <c r="H61" s="67">
        <v>61</v>
      </c>
      <c r="I61" s="66"/>
      <c r="J61" s="66"/>
      <c r="K61" s="66"/>
      <c r="L61" s="66"/>
    </row>
  </sheetData>
  <dataConsolidate/>
  <mergeCells count="86">
    <mergeCell ref="B7:C7"/>
    <mergeCell ref="E7:N7"/>
    <mergeCell ref="B2:N2"/>
    <mergeCell ref="B4:C4"/>
    <mergeCell ref="B5:D5"/>
    <mergeCell ref="F5:I5"/>
    <mergeCell ref="B6:C6"/>
    <mergeCell ref="B8:G8"/>
    <mergeCell ref="H8:J8"/>
    <mergeCell ref="B9:G9"/>
    <mergeCell ref="J9:N9"/>
    <mergeCell ref="R9:AA10"/>
    <mergeCell ref="B10:G10"/>
    <mergeCell ref="J10:N10"/>
    <mergeCell ref="B11:G11"/>
    <mergeCell ref="J11:N11"/>
    <mergeCell ref="B12:G12"/>
    <mergeCell ref="J12:N12"/>
    <mergeCell ref="B13:G13"/>
    <mergeCell ref="J13:N13"/>
    <mergeCell ref="B14:G14"/>
    <mergeCell ref="J14:N14"/>
    <mergeCell ref="B15:G15"/>
    <mergeCell ref="J15:N15"/>
    <mergeCell ref="B16:G16"/>
    <mergeCell ref="J16:N16"/>
    <mergeCell ref="B17:G17"/>
    <mergeCell ref="J17:N17"/>
    <mergeCell ref="B18:G18"/>
    <mergeCell ref="J18:N18"/>
    <mergeCell ref="B19:G19"/>
    <mergeCell ref="J19:N19"/>
    <mergeCell ref="B20:G20"/>
    <mergeCell ref="J20:N20"/>
    <mergeCell ref="B21:G21"/>
    <mergeCell ref="J21:N21"/>
    <mergeCell ref="B22:G22"/>
    <mergeCell ref="J22:N22"/>
    <mergeCell ref="B23:G23"/>
    <mergeCell ref="J23:N23"/>
    <mergeCell ref="B24:G24"/>
    <mergeCell ref="J24:N24"/>
    <mergeCell ref="B25:G25"/>
    <mergeCell ref="J25:N25"/>
    <mergeCell ref="M33:N33"/>
    <mergeCell ref="B27:F27"/>
    <mergeCell ref="G27:L27"/>
    <mergeCell ref="M27:N27"/>
    <mergeCell ref="B28:D28"/>
    <mergeCell ref="G28:J28"/>
    <mergeCell ref="B29:D29"/>
    <mergeCell ref="G29:J29"/>
    <mergeCell ref="B30:D30"/>
    <mergeCell ref="G30:J30"/>
    <mergeCell ref="B32:C32"/>
    <mergeCell ref="B33:D33"/>
    <mergeCell ref="G33:J33"/>
    <mergeCell ref="B35:C35"/>
    <mergeCell ref="B36:D36"/>
    <mergeCell ref="G36:J36"/>
    <mergeCell ref="M36:N36"/>
    <mergeCell ref="B37:D37"/>
    <mergeCell ref="G37:J37"/>
    <mergeCell ref="M37:N37"/>
    <mergeCell ref="B38:D38"/>
    <mergeCell ref="G38:J38"/>
    <mergeCell ref="M38:N38"/>
    <mergeCell ref="B39:D39"/>
    <mergeCell ref="G39:J39"/>
    <mergeCell ref="M39:N39"/>
    <mergeCell ref="G40:J40"/>
    <mergeCell ref="M40:N40"/>
    <mergeCell ref="G41:J41"/>
    <mergeCell ref="M41:N41"/>
    <mergeCell ref="G42:J42"/>
    <mergeCell ref="M42:N42"/>
    <mergeCell ref="G46:J46"/>
    <mergeCell ref="M46:N46"/>
    <mergeCell ref="B50:G50"/>
    <mergeCell ref="H50:L50"/>
    <mergeCell ref="G43:J43"/>
    <mergeCell ref="M43:N43"/>
    <mergeCell ref="G44:J44"/>
    <mergeCell ref="M44:N44"/>
    <mergeCell ref="G45:J45"/>
    <mergeCell ref="M45:N45"/>
  </mergeCells>
  <dataValidations count="3">
    <dataValidation type="list" allowBlank="1" showInputMessage="1" showErrorMessage="1" sqref="D6" xr:uid="{01EA9EE0-3306-4B13-AE65-7ACB4478791A}">
      <formula1>"I,II,III,IV,V"</formula1>
    </dataValidation>
    <dataValidation type="list" allowBlank="1" showInputMessage="1" showErrorMessage="1" sqref="D7" xr:uid="{1DFF0945-E667-4399-8488-A17AB3C3F41E}">
      <formula1>"A,B,C"</formula1>
    </dataValidation>
    <dataValidation type="list" allowBlank="1" showInputMessage="1" showErrorMessage="1" sqref="H8" xr:uid="{FD58E4DE-C9D1-4B2E-861E-64B3F83E7414}">
      <formula1>"Kết cấu thép,KC liên hợp thép-BT,Kết cấu BT và BTCT"</formula1>
    </dataValidation>
  </dataValidations>
  <pageMargins left="0.7" right="0.7" top="0.75" bottom="0.75" header="0.3" footer="0.3"/>
  <pageSetup scale="8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181C8-9073-4CEE-A170-59C84E055767}">
  <sheetPr codeName="Sheet3">
    <tabColor rgb="FF0070C0"/>
    <pageSetUpPr fitToPage="1"/>
  </sheetPr>
  <dimension ref="A1:BG92"/>
  <sheetViews>
    <sheetView showGridLines="0" tabSelected="1" view="pageBreakPreview" topLeftCell="A5" zoomScale="115" zoomScaleNormal="130" zoomScaleSheetLayoutView="115" workbookViewId="0">
      <selection activeCell="Y22" sqref="Y22"/>
    </sheetView>
  </sheetViews>
  <sheetFormatPr defaultRowHeight="12.75"/>
  <cols>
    <col min="1" max="1" width="2.5703125" style="2" customWidth="1"/>
    <col min="2" max="2" width="2" style="2" hidden="1" customWidth="1"/>
    <col min="3" max="3" width="6.5703125" style="2" customWidth="1"/>
    <col min="4" max="25" width="4.7109375" style="2" customWidth="1"/>
    <col min="26" max="26" width="5.28515625" style="2" customWidth="1"/>
    <col min="27" max="27" width="2.5703125" style="2" customWidth="1"/>
    <col min="28" max="40" width="8" style="3" customWidth="1"/>
    <col min="41" max="41" width="6.140625" style="3" customWidth="1"/>
    <col min="42" max="52" width="9.140625" style="3" customWidth="1"/>
    <col min="53" max="54" width="9.140625" style="3"/>
    <col min="55" max="56" width="9.140625" style="3" customWidth="1"/>
    <col min="57" max="59" width="32" style="3" customWidth="1"/>
    <col min="60" max="65" width="9.140625" style="3" customWidth="1"/>
    <col min="66" max="16384" width="9.140625" style="3"/>
  </cols>
  <sheetData>
    <row r="1" spans="1:59" hidden="1"/>
    <row r="2" spans="1:59" hidden="1"/>
    <row r="3" spans="1:59" hidden="1"/>
    <row r="4" spans="1:59" hidden="1"/>
    <row r="5" spans="1:59" ht="25.5">
      <c r="B5" s="281" t="s">
        <v>297</v>
      </c>
      <c r="C5" s="281"/>
      <c r="D5" s="281"/>
      <c r="E5" s="281"/>
      <c r="F5" s="281"/>
      <c r="G5" s="281"/>
      <c r="H5" s="281"/>
      <c r="I5" s="281"/>
      <c r="J5" s="281"/>
      <c r="K5" s="281"/>
      <c r="L5" s="281"/>
      <c r="M5" s="281"/>
      <c r="N5" s="281"/>
      <c r="O5" s="281"/>
      <c r="P5" s="281"/>
      <c r="Q5" s="281"/>
      <c r="R5" s="281"/>
      <c r="S5" s="281"/>
      <c r="T5" s="281"/>
      <c r="U5" s="281"/>
      <c r="V5" s="281"/>
      <c r="W5" s="281"/>
      <c r="X5" s="281"/>
      <c r="Y5" s="281"/>
      <c r="Z5" s="281"/>
      <c r="AA5" s="281"/>
      <c r="AI5" s="164" t="s">
        <v>278</v>
      </c>
      <c r="AJ5" s="164"/>
      <c r="AK5" s="164"/>
      <c r="AL5" s="164"/>
      <c r="AM5" s="164"/>
      <c r="AN5" s="164"/>
    </row>
    <row r="6" spans="1:59" ht="12" customHeight="1">
      <c r="A6" s="1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50"/>
      <c r="T6" s="150"/>
      <c r="U6" s="150"/>
      <c r="V6" s="150"/>
      <c r="W6" s="150"/>
      <c r="X6" s="150"/>
      <c r="Y6" s="150"/>
      <c r="Z6" s="150"/>
      <c r="AI6" s="164"/>
      <c r="AJ6" s="164"/>
      <c r="AK6" s="164"/>
      <c r="AL6" s="164"/>
      <c r="AM6" s="164"/>
      <c r="AN6" s="164"/>
    </row>
    <row r="7" spans="1:59" ht="12.75" customHeight="1">
      <c r="A7" s="1"/>
      <c r="C7" s="152" t="s">
        <v>296</v>
      </c>
      <c r="D7" s="153"/>
      <c r="E7" s="153"/>
      <c r="F7" s="153"/>
      <c r="G7" s="153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8" t="s">
        <v>147</v>
      </c>
      <c r="V7" s="158"/>
      <c r="W7" s="158"/>
      <c r="X7" s="158" t="s">
        <v>148</v>
      </c>
      <c r="Y7" s="158"/>
      <c r="Z7" s="161"/>
      <c r="AB7" s="151" t="s">
        <v>0</v>
      </c>
      <c r="AC7" s="4" t="s">
        <v>1</v>
      </c>
      <c r="AD7" s="4" t="s">
        <v>2</v>
      </c>
      <c r="AE7" s="5" t="s">
        <v>3</v>
      </c>
      <c r="AF7" s="4" t="s">
        <v>4</v>
      </c>
      <c r="AI7" s="164"/>
      <c r="AJ7" s="164"/>
      <c r="AK7" s="164"/>
      <c r="AL7" s="164"/>
      <c r="AM7" s="164"/>
      <c r="AN7" s="164"/>
      <c r="BD7" s="6"/>
      <c r="BE7" s="6" t="s">
        <v>5</v>
      </c>
      <c r="BF7" s="6" t="s">
        <v>0</v>
      </c>
      <c r="BG7" s="6" t="s">
        <v>6</v>
      </c>
    </row>
    <row r="8" spans="1:59" ht="12.75" customHeight="1">
      <c r="A8" s="1"/>
      <c r="B8" s="26"/>
      <c r="C8" s="154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155"/>
      <c r="R8" s="155"/>
      <c r="S8" s="155"/>
      <c r="T8" s="155"/>
      <c r="U8" s="159"/>
      <c r="V8" s="159"/>
      <c r="W8" s="159"/>
      <c r="X8" s="159"/>
      <c r="Y8" s="159"/>
      <c r="Z8" s="162"/>
      <c r="AA8" s="23"/>
      <c r="AB8" s="151"/>
      <c r="AC8" s="4" t="s">
        <v>7</v>
      </c>
      <c r="AD8" s="4" t="s">
        <v>8</v>
      </c>
      <c r="AE8" s="4" t="s">
        <v>9</v>
      </c>
      <c r="AF8" s="4" t="s">
        <v>10</v>
      </c>
      <c r="AI8" s="164"/>
      <c r="AJ8" s="164"/>
      <c r="AK8" s="164"/>
      <c r="AL8" s="164"/>
      <c r="AM8" s="164"/>
      <c r="AN8" s="164"/>
      <c r="BD8" s="6">
        <v>1</v>
      </c>
      <c r="BE8" s="7" t="s">
        <v>11</v>
      </c>
      <c r="BF8" s="7" t="s">
        <v>12</v>
      </c>
      <c r="BG8" s="7" t="s">
        <v>11</v>
      </c>
    </row>
    <row r="9" spans="1:59" ht="12.75" customHeight="1">
      <c r="A9" s="1"/>
      <c r="B9" s="26"/>
      <c r="C9" s="154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155"/>
      <c r="R9" s="155"/>
      <c r="S9" s="155"/>
      <c r="T9" s="155"/>
      <c r="U9" s="159"/>
      <c r="V9" s="159"/>
      <c r="W9" s="159"/>
      <c r="X9" s="159"/>
      <c r="Y9" s="159"/>
      <c r="Z9" s="162"/>
      <c r="AA9" s="23"/>
      <c r="AB9" s="151"/>
      <c r="AC9" s="8"/>
      <c r="AD9" s="8"/>
      <c r="AE9" s="13"/>
      <c r="AF9" s="13"/>
      <c r="AI9" s="164"/>
      <c r="AJ9" s="164"/>
      <c r="AK9" s="164"/>
      <c r="AL9" s="164"/>
      <c r="AM9" s="164"/>
      <c r="AN9" s="164"/>
      <c r="BD9" s="6">
        <f>BD8+1</f>
        <v>2</v>
      </c>
      <c r="BE9" s="7" t="s">
        <v>13</v>
      </c>
      <c r="BF9" s="7" t="s">
        <v>14</v>
      </c>
      <c r="BG9" s="7" t="s">
        <v>13</v>
      </c>
    </row>
    <row r="10" spans="1:59" ht="12.75" customHeight="1">
      <c r="A10" s="1"/>
      <c r="B10" s="26"/>
      <c r="C10" s="156"/>
      <c r="D10" s="157"/>
      <c r="E10" s="157"/>
      <c r="F10" s="157"/>
      <c r="G10" s="157"/>
      <c r="H10" s="157"/>
      <c r="I10" s="157"/>
      <c r="J10" s="157"/>
      <c r="K10" s="157"/>
      <c r="L10" s="157"/>
      <c r="M10" s="157"/>
      <c r="N10" s="157"/>
      <c r="O10" s="157"/>
      <c r="P10" s="157"/>
      <c r="Q10" s="157"/>
      <c r="R10" s="157"/>
      <c r="S10" s="157"/>
      <c r="T10" s="157"/>
      <c r="U10" s="160"/>
      <c r="V10" s="160"/>
      <c r="W10" s="160"/>
      <c r="X10" s="160"/>
      <c r="Y10" s="160"/>
      <c r="Z10" s="163"/>
      <c r="AA10" s="23"/>
      <c r="AB10" s="151"/>
      <c r="AC10" s="8"/>
      <c r="AD10" s="8"/>
      <c r="AE10" s="13"/>
      <c r="AF10" s="13"/>
      <c r="BD10" s="6">
        <f t="shared" ref="BD10:BD46" si="0">BD9+1</f>
        <v>3</v>
      </c>
      <c r="BE10" s="7" t="s">
        <v>15</v>
      </c>
      <c r="BF10" s="7" t="s">
        <v>16</v>
      </c>
      <c r="BG10" s="7" t="s">
        <v>15</v>
      </c>
    </row>
    <row r="11" spans="1:59" ht="15">
      <c r="A11" s="1"/>
      <c r="B11" s="27"/>
      <c r="C11" s="17"/>
      <c r="D11" s="100"/>
      <c r="E11" s="100"/>
      <c r="F11" s="100"/>
      <c r="G11" s="100"/>
      <c r="H11" s="100"/>
      <c r="I11" s="9" t="str">
        <f>VLOOKUP(9,$BD$8:$BG$65,1+MATCH($AB$7,$BE$7:$BG$7,0))</f>
        <v>Tiêu chuẩn thiết kế:</v>
      </c>
      <c r="J11" s="112" t="str">
        <f>VLOOKUP(10,$BD$8:$BG$65,1+MATCH($AB$7,$BE$7:$BG$7,0))</f>
        <v>TCVN 2737:2023 Tải trọng và tác động - Tiêu chuẩn thiết kế</v>
      </c>
      <c r="K11" s="100"/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71"/>
      <c r="AB11" s="8"/>
      <c r="AC11" s="192"/>
      <c r="AD11" s="192"/>
      <c r="AE11" s="192"/>
      <c r="AF11" s="192"/>
      <c r="AG11" s="192"/>
      <c r="BD11" s="6">
        <f t="shared" si="0"/>
        <v>4</v>
      </c>
      <c r="BE11" s="7" t="s">
        <v>17</v>
      </c>
      <c r="BF11" s="7" t="s">
        <v>18</v>
      </c>
      <c r="BG11" s="7" t="s">
        <v>17</v>
      </c>
    </row>
    <row r="12" spans="1:59" ht="15">
      <c r="B12" s="27"/>
      <c r="C12" s="17"/>
      <c r="D12" s="100"/>
      <c r="E12" s="100"/>
      <c r="F12" s="100"/>
      <c r="G12" s="100"/>
      <c r="H12" s="100"/>
      <c r="I12" s="113" t="str">
        <f>IF(AB7=BG7,BF16,"")</f>
        <v/>
      </c>
      <c r="J12" s="100" t="str">
        <f>IF(AB7=BG7,BF17,"")</f>
        <v/>
      </c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71"/>
      <c r="AB12" s="8"/>
      <c r="AC12" s="11" t="s">
        <v>26</v>
      </c>
      <c r="AD12" s="11" t="s">
        <v>19</v>
      </c>
      <c r="AE12" s="11" t="s">
        <v>20</v>
      </c>
      <c r="AF12" s="11" t="s">
        <v>21</v>
      </c>
      <c r="AG12" s="11" t="s">
        <v>22</v>
      </c>
      <c r="AH12" s="11" t="s">
        <v>23</v>
      </c>
      <c r="BD12" s="6">
        <f t="shared" si="0"/>
        <v>5</v>
      </c>
      <c r="BE12" s="7" t="s">
        <v>24</v>
      </c>
      <c r="BF12" s="7" t="s">
        <v>25</v>
      </c>
      <c r="BG12" s="7" t="s">
        <v>24</v>
      </c>
    </row>
    <row r="13" spans="1:59" ht="15" customHeight="1">
      <c r="B13" s="27"/>
      <c r="C13" s="169" t="str">
        <f>VLOOKUP(12,$BD$8:$BG$65,1+MATCH($AB$7,$BE$7:$BG$7,0))</f>
        <v>DỮ LIỆU CÔNG TRÌNH</v>
      </c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1"/>
      <c r="O13" s="100"/>
      <c r="P13" s="100"/>
      <c r="Q13" s="100"/>
      <c r="R13" s="100"/>
      <c r="S13" s="101"/>
      <c r="T13" s="100"/>
      <c r="U13" s="100"/>
      <c r="V13" s="100"/>
      <c r="W13" s="100"/>
      <c r="X13" s="100"/>
      <c r="Y13" s="100"/>
      <c r="Z13" s="71"/>
      <c r="AC13" s="11" t="s">
        <v>27</v>
      </c>
      <c r="AD13" s="11">
        <v>0.65</v>
      </c>
      <c r="AE13" s="11">
        <v>0.95</v>
      </c>
      <c r="AF13" s="11">
        <v>1.25</v>
      </c>
      <c r="AG13" s="11">
        <v>1.55</v>
      </c>
      <c r="AH13" s="11">
        <v>1.85</v>
      </c>
      <c r="BD13" s="6">
        <f t="shared" si="0"/>
        <v>6</v>
      </c>
      <c r="BE13" s="7" t="s">
        <v>28</v>
      </c>
      <c r="BF13" s="7" t="s">
        <v>29</v>
      </c>
      <c r="BG13" s="7" t="s">
        <v>28</v>
      </c>
    </row>
    <row r="14" spans="1:59" ht="15">
      <c r="B14" s="27"/>
      <c r="C14" s="193" t="str">
        <f>VLOOKUP(13,$BD$8:$BG$65,1+MATCH($AB$7,$BE$7:$BG$7,0))</f>
        <v>Kết cấu:</v>
      </c>
      <c r="D14" s="194"/>
      <c r="E14" s="194"/>
      <c r="F14" s="194"/>
      <c r="G14" s="74" t="str">
        <f>IF(AB7="VN","Mái dốc 2 phía","Duopitch roofs")</f>
        <v>Mái dốc 2 phía</v>
      </c>
      <c r="H14" s="75"/>
      <c r="I14" s="75"/>
      <c r="J14" s="195" t="str">
        <f>IF(AB7="ENVN"," / Mái dốc 2 phía","")</f>
        <v/>
      </c>
      <c r="K14" s="195"/>
      <c r="L14" s="195"/>
      <c r="M14" s="195"/>
      <c r="N14" s="196"/>
      <c r="O14" s="100"/>
      <c r="P14" s="100"/>
      <c r="Q14" s="100"/>
      <c r="R14" s="100"/>
      <c r="S14" s="101"/>
      <c r="T14" s="100"/>
      <c r="U14" s="100"/>
      <c r="V14" s="100"/>
      <c r="W14" s="100"/>
      <c r="X14" s="100"/>
      <c r="Y14" s="100"/>
      <c r="Z14" s="71"/>
      <c r="BD14" s="6">
        <f t="shared" si="0"/>
        <v>7</v>
      </c>
      <c r="BE14" s="7" t="s">
        <v>30</v>
      </c>
      <c r="BF14" s="7" t="s">
        <v>31</v>
      </c>
      <c r="BG14" s="7" t="s">
        <v>30</v>
      </c>
    </row>
    <row r="15" spans="1:59" ht="15">
      <c r="B15" s="27"/>
      <c r="C15" s="147" t="str">
        <f>VLOOKUP(15,$BD$8:$BG$65,1+MATCH($AB$7,$BE$7:$BG$7,0))</f>
        <v>Loại kết cấu:</v>
      </c>
      <c r="D15" s="148"/>
      <c r="E15" s="148"/>
      <c r="F15" s="148"/>
      <c r="G15" s="143" t="s">
        <v>7</v>
      </c>
      <c r="H15" s="144"/>
      <c r="I15" s="144"/>
      <c r="J15" s="145" t="str">
        <f>IF(AB7&lt;&gt;"EN",VLOOKUP(G15,$AC$7:$AD$8,2,FALSE),"")</f>
        <v>/ Nhà thép</v>
      </c>
      <c r="K15" s="145"/>
      <c r="L15" s="145"/>
      <c r="M15" s="145"/>
      <c r="N15" s="146"/>
      <c r="O15" s="100"/>
      <c r="P15" s="100"/>
      <c r="Q15" s="100"/>
      <c r="R15" s="100"/>
      <c r="S15" s="101"/>
      <c r="T15" s="100"/>
      <c r="U15" s="100"/>
      <c r="V15" s="100"/>
      <c r="W15" s="100"/>
      <c r="X15" s="100"/>
      <c r="Y15" s="100"/>
      <c r="Z15" s="71"/>
      <c r="AC15" s="11" t="s">
        <v>33</v>
      </c>
      <c r="AD15" s="11" t="s">
        <v>34</v>
      </c>
      <c r="AE15" s="11" t="s">
        <v>35</v>
      </c>
      <c r="AF15" s="12" t="s">
        <v>36</v>
      </c>
      <c r="AG15" s="11" t="s">
        <v>37</v>
      </c>
      <c r="BD15" s="6">
        <f t="shared" si="0"/>
        <v>8</v>
      </c>
      <c r="BE15" s="7" t="s">
        <v>38</v>
      </c>
      <c r="BF15" s="7" t="s">
        <v>39</v>
      </c>
      <c r="BG15" s="7" t="s">
        <v>38</v>
      </c>
    </row>
    <row r="16" spans="1:59" ht="15">
      <c r="B16" s="27"/>
      <c r="C16" s="147" t="str">
        <f>VLOOKUP(16,$BD$8:$BG$65,1+MATCH($AB$7,$BE$7:$BG$7,0))</f>
        <v>Loại mái:</v>
      </c>
      <c r="D16" s="148"/>
      <c r="E16" s="148"/>
      <c r="F16" s="148"/>
      <c r="G16" s="143" t="s">
        <v>3</v>
      </c>
      <c r="H16" s="144"/>
      <c r="I16" s="144"/>
      <c r="J16" s="145" t="str">
        <f>IF(AB7&lt;&gt;"EN",VLOOKUP(G16,$AE$7:$AF$10,2,FALSE),"")</f>
        <v>/ Có cạnh sắc</v>
      </c>
      <c r="K16" s="145"/>
      <c r="L16" s="145"/>
      <c r="M16" s="145"/>
      <c r="N16" s="146"/>
      <c r="O16" s="100"/>
      <c r="P16" s="100"/>
      <c r="Q16" s="100"/>
      <c r="R16" s="130"/>
      <c r="S16" s="101"/>
      <c r="T16" s="100"/>
      <c r="U16" s="100"/>
      <c r="V16" s="100"/>
      <c r="W16" s="100"/>
      <c r="X16" s="100"/>
      <c r="Y16" s="100"/>
      <c r="Z16" s="71"/>
      <c r="AC16" s="11" t="s">
        <v>40</v>
      </c>
      <c r="AD16" s="11">
        <v>213.36</v>
      </c>
      <c r="AE16" s="11">
        <v>2.13</v>
      </c>
      <c r="AF16" s="11">
        <v>11.5</v>
      </c>
      <c r="AG16" s="11">
        <v>1.99</v>
      </c>
      <c r="BD16" s="6">
        <f t="shared" si="0"/>
        <v>9</v>
      </c>
      <c r="BE16" s="7" t="s">
        <v>41</v>
      </c>
      <c r="BF16" s="7" t="s">
        <v>42</v>
      </c>
      <c r="BG16" s="7" t="s">
        <v>41</v>
      </c>
    </row>
    <row r="17" spans="2:59" ht="15">
      <c r="B17" s="27"/>
      <c r="C17" s="76"/>
      <c r="D17" s="114"/>
      <c r="E17" s="114"/>
      <c r="F17" s="114"/>
      <c r="G17" s="114"/>
      <c r="H17" s="114"/>
      <c r="I17" s="114"/>
      <c r="J17" s="115" t="str">
        <f>VLOOKUP(18,$BD$8:$BG$65,1+MATCH($AB$7,$BE$7:$BG$7,0))</f>
        <v>Chiều dài nhà / mái</v>
      </c>
      <c r="K17" s="184" t="s">
        <v>47</v>
      </c>
      <c r="L17" s="184"/>
      <c r="M17" s="190">
        <v>200</v>
      </c>
      <c r="N17" s="191"/>
      <c r="O17" s="100"/>
      <c r="P17" s="100"/>
      <c r="Q17" s="100"/>
      <c r="R17" s="100"/>
      <c r="S17" s="101"/>
      <c r="T17" s="100"/>
      <c r="U17" s="100"/>
      <c r="V17" s="100"/>
      <c r="W17" s="100"/>
      <c r="X17" s="100"/>
      <c r="Y17" s="100"/>
      <c r="Z17" s="71"/>
      <c r="AC17" s="11" t="s">
        <v>44</v>
      </c>
      <c r="AD17" s="11">
        <v>274.32</v>
      </c>
      <c r="AE17" s="11">
        <v>4.57</v>
      </c>
      <c r="AF17" s="11">
        <v>9.5</v>
      </c>
      <c r="AG17" s="11">
        <v>1.97</v>
      </c>
      <c r="BD17" s="6">
        <f t="shared" si="0"/>
        <v>10</v>
      </c>
      <c r="BE17" s="7" t="s">
        <v>45</v>
      </c>
      <c r="BF17" s="7" t="s">
        <v>46</v>
      </c>
      <c r="BG17" s="7" t="s">
        <v>45</v>
      </c>
    </row>
    <row r="18" spans="2:59" ht="15">
      <c r="B18" s="27"/>
      <c r="C18" s="76"/>
      <c r="D18" s="114"/>
      <c r="E18" s="114"/>
      <c r="F18" s="114"/>
      <c r="G18" s="114"/>
      <c r="H18" s="114"/>
      <c r="I18" s="114"/>
      <c r="J18" s="115" t="str">
        <f>VLOOKUP(17,$BD$8:$BG$65,1+MATCH($AB$7,$BE$7:$BG$7,0))</f>
        <v>Chiều rộng nhà / mái</v>
      </c>
      <c r="K18" s="184" t="s">
        <v>43</v>
      </c>
      <c r="L18" s="184"/>
      <c r="M18" s="190">
        <v>20</v>
      </c>
      <c r="N18" s="191"/>
      <c r="O18" s="100"/>
      <c r="P18" s="100"/>
      <c r="Q18" s="100"/>
      <c r="R18" s="100"/>
      <c r="S18" s="101"/>
      <c r="T18" s="100"/>
      <c r="U18" s="100"/>
      <c r="V18" s="100"/>
      <c r="W18" s="100"/>
      <c r="X18" s="100"/>
      <c r="Y18" s="100"/>
      <c r="Z18" s="71"/>
      <c r="AC18" s="11" t="s">
        <v>48</v>
      </c>
      <c r="AD18" s="11">
        <v>365.76</v>
      </c>
      <c r="AE18" s="11">
        <v>9.14</v>
      </c>
      <c r="AF18" s="11">
        <v>7</v>
      </c>
      <c r="AG18" s="11">
        <v>1.98</v>
      </c>
      <c r="BD18" s="6">
        <f t="shared" si="0"/>
        <v>11</v>
      </c>
      <c r="BE18" s="7" t="s">
        <v>49</v>
      </c>
      <c r="BF18" s="7" t="s">
        <v>50</v>
      </c>
      <c r="BG18" s="7" t="s">
        <v>49</v>
      </c>
    </row>
    <row r="19" spans="2:59" ht="15">
      <c r="B19" s="27"/>
      <c r="C19" s="76"/>
      <c r="D19" s="114"/>
      <c r="E19" s="114"/>
      <c r="F19" s="114"/>
      <c r="G19" s="114"/>
      <c r="H19" s="114"/>
      <c r="I19" s="114"/>
      <c r="J19" s="115" t="str">
        <f>VLOOKUP(19,$BD$8:$BG$65,1+MATCH($AB$7,$BE$7:$BG$7,0))</f>
        <v>Chiều cao nhà</v>
      </c>
      <c r="K19" s="184" t="s">
        <v>51</v>
      </c>
      <c r="L19" s="184"/>
      <c r="M19" s="185">
        <v>10</v>
      </c>
      <c r="N19" s="186"/>
      <c r="O19" s="100"/>
      <c r="P19" s="100"/>
      <c r="Q19" s="100"/>
      <c r="R19" s="100"/>
      <c r="S19" s="101"/>
      <c r="T19" s="100"/>
      <c r="U19" s="100"/>
      <c r="V19" s="100"/>
      <c r="W19" s="100"/>
      <c r="X19" s="100"/>
      <c r="Y19" s="100"/>
      <c r="Z19" s="71"/>
      <c r="AB19" s="13"/>
      <c r="AC19" s="13"/>
      <c r="AD19" s="13"/>
      <c r="AE19" s="13"/>
      <c r="AF19" s="13"/>
      <c r="AG19" s="13"/>
      <c r="BD19" s="6">
        <f t="shared" si="0"/>
        <v>12</v>
      </c>
      <c r="BE19" s="7" t="s">
        <v>52</v>
      </c>
      <c r="BF19" s="7" t="s">
        <v>53</v>
      </c>
      <c r="BG19" s="7" t="s">
        <v>54</v>
      </c>
    </row>
    <row r="20" spans="2:59" ht="17.25">
      <c r="B20" s="27"/>
      <c r="C20" s="76"/>
      <c r="D20" s="114"/>
      <c r="E20" s="114"/>
      <c r="F20" s="114"/>
      <c r="G20" s="114"/>
      <c r="H20" s="114"/>
      <c r="I20" s="114"/>
      <c r="K20" s="114"/>
      <c r="L20" s="105" t="s">
        <v>298</v>
      </c>
      <c r="M20" s="185">
        <v>20</v>
      </c>
      <c r="N20" s="186"/>
      <c r="O20" s="100"/>
      <c r="P20" s="100"/>
      <c r="Q20" s="100"/>
      <c r="R20" s="100"/>
      <c r="S20" s="101"/>
      <c r="T20" s="100"/>
      <c r="U20" s="100"/>
      <c r="V20" s="100"/>
      <c r="W20" s="100"/>
      <c r="X20" s="100"/>
      <c r="Y20" s="100"/>
      <c r="Z20" s="71"/>
      <c r="AB20" s="13"/>
      <c r="AH20" s="8"/>
      <c r="BD20" s="6">
        <f t="shared" si="0"/>
        <v>13</v>
      </c>
      <c r="BE20" s="7" t="s">
        <v>55</v>
      </c>
      <c r="BF20" s="7" t="s">
        <v>56</v>
      </c>
      <c r="BG20" s="7" t="s">
        <v>57</v>
      </c>
    </row>
    <row r="21" spans="2:59" ht="17.25">
      <c r="B21" s="27"/>
      <c r="C21" s="76"/>
      <c r="D21" s="114"/>
      <c r="E21" s="114"/>
      <c r="F21" s="114"/>
      <c r="G21" s="114"/>
      <c r="H21" s="114"/>
      <c r="I21" s="114"/>
      <c r="J21" s="115"/>
      <c r="K21" s="114"/>
      <c r="L21" s="105" t="s">
        <v>299</v>
      </c>
      <c r="M21" s="185">
        <v>30</v>
      </c>
      <c r="N21" s="186"/>
      <c r="O21" s="100"/>
      <c r="P21" s="100"/>
      <c r="Q21" s="100"/>
      <c r="R21" s="100"/>
      <c r="S21" s="100"/>
      <c r="T21" s="189"/>
      <c r="U21" s="189"/>
      <c r="V21" s="189"/>
      <c r="W21" s="189"/>
      <c r="X21" s="100"/>
      <c r="Y21" s="100"/>
      <c r="Z21" s="71"/>
      <c r="BD21" s="6">
        <f t="shared" si="0"/>
        <v>14</v>
      </c>
      <c r="BE21" s="7" t="s">
        <v>62</v>
      </c>
      <c r="BF21" s="7" t="s">
        <v>63</v>
      </c>
      <c r="BG21" s="7" t="s">
        <v>62</v>
      </c>
    </row>
    <row r="22" spans="2:59" ht="15">
      <c r="B22" s="27"/>
      <c r="C22" s="76"/>
      <c r="D22" s="114"/>
      <c r="E22" s="114"/>
      <c r="F22" s="114"/>
      <c r="G22" s="114"/>
      <c r="H22" s="114"/>
      <c r="I22" s="114"/>
      <c r="J22" s="115"/>
      <c r="K22" s="184"/>
      <c r="L22" s="184"/>
      <c r="M22" s="187"/>
      <c r="N22" s="188"/>
      <c r="O22" s="100"/>
      <c r="P22" s="100"/>
      <c r="Q22" s="100"/>
      <c r="R22" s="100"/>
      <c r="S22" s="100"/>
      <c r="T22" s="100"/>
      <c r="U22" s="100"/>
      <c r="W22" s="100"/>
      <c r="X22" s="100"/>
      <c r="Y22" s="100"/>
      <c r="Z22" s="71"/>
      <c r="BD22" s="6">
        <f t="shared" si="0"/>
        <v>15</v>
      </c>
      <c r="BE22" s="7" t="s">
        <v>64</v>
      </c>
      <c r="BF22" s="7" t="s">
        <v>65</v>
      </c>
      <c r="BG22" s="7" t="s">
        <v>66</v>
      </c>
    </row>
    <row r="23" spans="2:59" ht="15">
      <c r="B23" s="27"/>
      <c r="C23" s="77"/>
      <c r="D23" s="78"/>
      <c r="E23" s="78"/>
      <c r="F23" s="78"/>
      <c r="G23" s="78"/>
      <c r="H23" s="78"/>
      <c r="I23" s="78"/>
      <c r="J23" s="79"/>
      <c r="K23" s="165"/>
      <c r="L23" s="166"/>
      <c r="M23" s="167"/>
      <c r="N23" s="168"/>
      <c r="O23" s="100"/>
      <c r="P23" s="100"/>
      <c r="Q23" s="100"/>
      <c r="R23" s="100"/>
      <c r="S23" s="100"/>
      <c r="T23" s="100"/>
      <c r="U23" s="100"/>
      <c r="V23" s="116"/>
      <c r="W23" s="100"/>
      <c r="X23" s="100"/>
      <c r="Y23" s="100"/>
      <c r="Z23" s="71"/>
      <c r="BD23" s="6">
        <f t="shared" si="0"/>
        <v>16</v>
      </c>
      <c r="BE23" s="14" t="s">
        <v>67</v>
      </c>
      <c r="BF23" s="14" t="s">
        <v>68</v>
      </c>
      <c r="BG23" s="14" t="s">
        <v>69</v>
      </c>
    </row>
    <row r="24" spans="2:59" ht="15">
      <c r="B24" s="27"/>
      <c r="C24" s="169" t="str">
        <f>VLOOKUP(24,$BD$8:$BG$65,1+MATCH($AB$7,$BE$7:$BG$7,0))</f>
        <v>DỮ LIỆU ĐỊA ĐIỂM</v>
      </c>
      <c r="D24" s="170"/>
      <c r="E24" s="170"/>
      <c r="F24" s="170"/>
      <c r="G24" s="170"/>
      <c r="H24" s="170"/>
      <c r="I24" s="170"/>
      <c r="J24" s="170"/>
      <c r="K24" s="170"/>
      <c r="L24" s="170"/>
      <c r="M24" s="170"/>
      <c r="N24" s="171"/>
      <c r="O24" s="100"/>
      <c r="P24" s="172" t="str">
        <f>VLOOKUP(37,$BD$8:$BG$65,1+MATCH($AB$7,$BE$7:$BG$7,0))</f>
        <v>ÁP LỰC GIÓ TÁC DỤNG LÊN BỀ MẶT:</v>
      </c>
      <c r="Q24" s="173"/>
      <c r="R24" s="173"/>
      <c r="S24" s="173"/>
      <c r="T24" s="173"/>
      <c r="U24" s="173"/>
      <c r="V24" s="173"/>
      <c r="W24" s="173"/>
      <c r="X24" s="173"/>
      <c r="Y24" s="173"/>
      <c r="Z24" s="174"/>
      <c r="BD24" s="6">
        <f t="shared" si="0"/>
        <v>17</v>
      </c>
      <c r="BE24" s="7" t="s">
        <v>70</v>
      </c>
      <c r="BF24" s="7" t="s">
        <v>71</v>
      </c>
      <c r="BG24" s="7" t="s">
        <v>72</v>
      </c>
    </row>
    <row r="25" spans="2:59" ht="18">
      <c r="B25" s="27"/>
      <c r="C25" s="175" t="str">
        <f>VLOOKUP(25,$BD$8:$BG$65,1+MATCH($AB$7,$BE$7:$BG$7,0))</f>
        <v>Vùng</v>
      </c>
      <c r="D25" s="176"/>
      <c r="E25" s="177" t="s">
        <v>20</v>
      </c>
      <c r="F25" s="178"/>
      <c r="G25" s="81"/>
      <c r="H25" s="81"/>
      <c r="I25" s="81"/>
      <c r="J25" s="81"/>
      <c r="K25" s="81"/>
      <c r="L25" s="80" t="str">
        <f>VLOOKUP(26,$BD$8:$BG$65,1+MATCH($AB$7,$BE$7:$BG$7,0))</f>
        <v>Dạng địa hình</v>
      </c>
      <c r="M25" s="179" t="s">
        <v>44</v>
      </c>
      <c r="N25" s="180"/>
      <c r="O25" s="100"/>
      <c r="P25" s="181" t="s">
        <v>193</v>
      </c>
      <c r="Q25" s="182"/>
      <c r="R25" s="182"/>
      <c r="S25" s="182"/>
      <c r="T25" s="182"/>
      <c r="U25" s="182"/>
      <c r="V25" s="182"/>
      <c r="W25" s="182"/>
      <c r="X25" s="182"/>
      <c r="Y25" s="182"/>
      <c r="Z25" s="183"/>
      <c r="BD25" s="6">
        <f t="shared" si="0"/>
        <v>18</v>
      </c>
      <c r="BE25" s="7" t="s">
        <v>73</v>
      </c>
      <c r="BF25" s="7" t="s">
        <v>74</v>
      </c>
      <c r="BG25" s="7" t="s">
        <v>75</v>
      </c>
    </row>
    <row r="26" spans="2:59" ht="18">
      <c r="B26" s="27"/>
      <c r="C26" s="82"/>
      <c r="D26" s="117" t="s">
        <v>79</v>
      </c>
      <c r="E26" s="204">
        <f>HLOOKUP(E25,$AD$12:$AH$13,2,FALSE)</f>
        <v>0.95</v>
      </c>
      <c r="F26" s="204"/>
      <c r="G26" s="205" t="s">
        <v>166</v>
      </c>
      <c r="H26" s="205"/>
      <c r="I26" s="118" t="s">
        <v>80</v>
      </c>
      <c r="J26" s="204">
        <f>VLOOKUP(M25,$AC$16:$AG$18,2,FALSE)</f>
        <v>274.32</v>
      </c>
      <c r="K26" s="204"/>
      <c r="L26" s="206" t="s">
        <v>81</v>
      </c>
      <c r="M26" s="207"/>
      <c r="N26" s="83">
        <f>VLOOKUP(M25,$AC$16:$AG$18,4,FALSE)</f>
        <v>9.5</v>
      </c>
      <c r="O26" s="100"/>
      <c r="P26" s="181" t="s">
        <v>194</v>
      </c>
      <c r="Q26" s="182"/>
      <c r="R26" s="182"/>
      <c r="S26" s="182"/>
      <c r="T26" s="182"/>
      <c r="U26" s="182"/>
      <c r="V26" s="182"/>
      <c r="W26" s="182"/>
      <c r="X26" s="182"/>
      <c r="Y26" s="182"/>
      <c r="Z26" s="183"/>
      <c r="BD26" s="6">
        <f t="shared" si="0"/>
        <v>19</v>
      </c>
      <c r="BE26" s="7" t="s">
        <v>76</v>
      </c>
      <c r="BF26" s="7" t="s">
        <v>77</v>
      </c>
      <c r="BG26" s="7" t="s">
        <v>78</v>
      </c>
    </row>
    <row r="27" spans="2:59" ht="18">
      <c r="B27" s="27"/>
      <c r="C27" s="84"/>
      <c r="D27" s="85" t="s">
        <v>86</v>
      </c>
      <c r="E27" s="208">
        <f>0.852*E26</f>
        <v>0.8093999999999999</v>
      </c>
      <c r="F27" s="208"/>
      <c r="G27" s="209" t="s">
        <v>166</v>
      </c>
      <c r="H27" s="209"/>
      <c r="I27" s="86" t="s">
        <v>87</v>
      </c>
      <c r="J27" s="210">
        <f>VLOOKUP(M25,$AC$16:$AG$18,3,FALSE)</f>
        <v>4.57</v>
      </c>
      <c r="K27" s="210"/>
      <c r="L27" s="210" t="s">
        <v>88</v>
      </c>
      <c r="M27" s="210"/>
      <c r="N27" s="87">
        <f>VLOOKUP(M25,$AC$16:$AG$18,5,FALSE)</f>
        <v>1.97</v>
      </c>
      <c r="O27" s="100"/>
      <c r="P27" s="211" t="s">
        <v>195</v>
      </c>
      <c r="Q27" s="212"/>
      <c r="R27" s="212"/>
      <c r="S27" s="212"/>
      <c r="T27" s="212"/>
      <c r="U27" s="212"/>
      <c r="V27" s="212"/>
      <c r="W27" s="212"/>
      <c r="X27" s="212"/>
      <c r="Y27" s="212"/>
      <c r="Z27" s="213"/>
      <c r="BD27" s="6">
        <f t="shared" si="0"/>
        <v>20</v>
      </c>
      <c r="BE27" s="7" t="s">
        <v>83</v>
      </c>
      <c r="BF27" s="14" t="s">
        <v>84</v>
      </c>
      <c r="BG27" s="7" t="s">
        <v>85</v>
      </c>
    </row>
    <row r="28" spans="2:59" ht="15">
      <c r="B28" s="27"/>
      <c r="C28" s="24"/>
      <c r="D28" s="112"/>
      <c r="E28" s="112"/>
      <c r="F28" s="112"/>
      <c r="G28" s="112"/>
      <c r="H28" s="112"/>
      <c r="I28" s="112"/>
      <c r="J28" s="119"/>
      <c r="K28" s="112"/>
      <c r="L28" s="119"/>
      <c r="M28" s="197"/>
      <c r="N28" s="198"/>
      <c r="O28" s="100"/>
      <c r="Z28" s="19"/>
      <c r="BD28" s="6">
        <f t="shared" si="0"/>
        <v>21</v>
      </c>
      <c r="BE28" s="14" t="s">
        <v>89</v>
      </c>
      <c r="BF28" s="7" t="s">
        <v>90</v>
      </c>
      <c r="BG28" s="14" t="s">
        <v>89</v>
      </c>
    </row>
    <row r="29" spans="2:59" ht="15" customHeight="1">
      <c r="B29" s="27"/>
      <c r="C29" s="88" t="str">
        <f>VLOOKUP(54,$BD$8:$BG$65,1+MATCH($AB$7,$BE$7:$BG$7,0))</f>
        <v>Độ hở của tường chắn</v>
      </c>
      <c r="D29" s="89"/>
      <c r="E29" s="89"/>
      <c r="F29" s="89"/>
      <c r="G29" s="89"/>
      <c r="H29" s="89"/>
      <c r="I29" s="89"/>
      <c r="J29" s="89"/>
      <c r="K29" s="89"/>
      <c r="L29" s="90" t="str">
        <f>VLOOKUP(58,$BD$8:$BG$65,1+MATCH($AB$7,$BE$7:$BG$7,0))</f>
        <v>Tải trọng</v>
      </c>
      <c r="M29" s="199" t="s">
        <v>188</v>
      </c>
      <c r="N29" s="200"/>
      <c r="O29" s="200" t="s">
        <v>189</v>
      </c>
      <c r="P29" s="200"/>
      <c r="Q29" s="200" t="s">
        <v>190</v>
      </c>
      <c r="R29" s="200"/>
      <c r="S29" s="200" t="s">
        <v>191</v>
      </c>
      <c r="T29" s="201"/>
      <c r="V29" s="214"/>
      <c r="W29" s="214"/>
      <c r="X29" s="214"/>
      <c r="Y29" s="214"/>
      <c r="Z29" s="215"/>
      <c r="AB29" s="202" t="s">
        <v>167</v>
      </c>
      <c r="AC29" s="203"/>
      <c r="AD29" s="203"/>
      <c r="BD29" s="6">
        <f t="shared" si="0"/>
        <v>22</v>
      </c>
      <c r="BE29" s="7" t="s">
        <v>91</v>
      </c>
      <c r="BF29" s="7" t="s">
        <v>92</v>
      </c>
      <c r="BG29" s="7" t="s">
        <v>91</v>
      </c>
    </row>
    <row r="30" spans="2:59" ht="15">
      <c r="B30" s="27"/>
      <c r="C30" s="91" t="str">
        <f>IF(AB7=BG7,BF61,"")</f>
        <v/>
      </c>
      <c r="D30" s="120"/>
      <c r="E30" s="120"/>
      <c r="F30" s="120"/>
      <c r="G30" s="120"/>
      <c r="H30" s="120"/>
      <c r="I30" s="120"/>
      <c r="J30" s="120"/>
      <c r="K30" s="226" t="s">
        <v>192</v>
      </c>
      <c r="L30" s="227"/>
      <c r="M30" s="228">
        <v>0.05</v>
      </c>
      <c r="N30" s="229"/>
      <c r="O30" s="230">
        <v>0.05</v>
      </c>
      <c r="P30" s="229"/>
      <c r="Q30" s="230">
        <v>0.05</v>
      </c>
      <c r="R30" s="229"/>
      <c r="S30" s="230">
        <v>0.05</v>
      </c>
      <c r="T30" s="231"/>
      <c r="Z30" s="19"/>
      <c r="AB30" s="25">
        <v>0.05</v>
      </c>
      <c r="AC30" s="10">
        <v>0.2</v>
      </c>
      <c r="AD30" s="10">
        <v>-0.2</v>
      </c>
      <c r="AX30" s="15"/>
      <c r="AY30" s="15"/>
      <c r="AZ30" s="15"/>
      <c r="BA30" s="15"/>
      <c r="BB30" s="15"/>
      <c r="BD30" s="6">
        <f t="shared" si="0"/>
        <v>23</v>
      </c>
      <c r="BE30" s="7" t="s">
        <v>93</v>
      </c>
      <c r="BF30" s="7" t="s">
        <v>94</v>
      </c>
      <c r="BG30" s="7" t="s">
        <v>95</v>
      </c>
    </row>
    <row r="31" spans="2:59" ht="18">
      <c r="B31" s="27"/>
      <c r="C31" s="92" t="str">
        <f>VLOOKUP(28,$BD$8:$BG$65,1+MATCH($AB$7,$BE$7:$BG$7,0))</f>
        <v>Hệ số khí động áp lực bên trong</v>
      </c>
      <c r="D31" s="93"/>
      <c r="E31" s="93"/>
      <c r="F31" s="93"/>
      <c r="G31" s="93"/>
      <c r="H31" s="93"/>
      <c r="I31" s="232" t="s">
        <v>203</v>
      </c>
      <c r="J31" s="233"/>
      <c r="K31" s="234" t="str">
        <f>C60</f>
        <v>TH1</v>
      </c>
      <c r="L31" s="234"/>
      <c r="M31" s="235">
        <f>MIN(MAX(2.4*M30+0.08,$AC$30),$AC$31)</f>
        <v>0.2</v>
      </c>
      <c r="N31" s="216"/>
      <c r="O31" s="216">
        <f>MIN(MAX(2.4*O30+0.08,$AC$30),$AC$31)</f>
        <v>0.2</v>
      </c>
      <c r="P31" s="216"/>
      <c r="Q31" s="216">
        <f>MIN(MAX(2.4*Q30+0.08,$AC$30),$AC$31)</f>
        <v>0.2</v>
      </c>
      <c r="R31" s="216"/>
      <c r="S31" s="216">
        <f>MIN(MAX(2.4*S30+0.08,$AC$30),$AC$31)</f>
        <v>0.2</v>
      </c>
      <c r="T31" s="217"/>
      <c r="Z31" s="19"/>
      <c r="AB31" s="25">
        <v>0.3</v>
      </c>
      <c r="AC31" s="10">
        <v>0.8</v>
      </c>
      <c r="AD31" s="10">
        <v>-0.5</v>
      </c>
      <c r="AX31" s="15"/>
      <c r="AY31" s="15"/>
      <c r="AZ31" s="15"/>
      <c r="BA31" s="15"/>
      <c r="BB31" s="15"/>
      <c r="BD31" s="6">
        <f t="shared" si="0"/>
        <v>24</v>
      </c>
      <c r="BE31" s="7" t="s">
        <v>96</v>
      </c>
      <c r="BF31" s="7" t="s">
        <v>97</v>
      </c>
      <c r="BG31" s="7" t="s">
        <v>98</v>
      </c>
    </row>
    <row r="32" spans="2:59" ht="18">
      <c r="B32" s="27"/>
      <c r="C32" s="218" t="str">
        <f>IF(AB7=BG7,BF35,"")</f>
        <v/>
      </c>
      <c r="D32" s="219"/>
      <c r="E32" s="219"/>
      <c r="F32" s="219"/>
      <c r="G32" s="219"/>
      <c r="H32" s="219"/>
      <c r="I32" s="220" t="s">
        <v>203</v>
      </c>
      <c r="J32" s="221"/>
      <c r="K32" s="222" t="str">
        <f>C61</f>
        <v>TH2</v>
      </c>
      <c r="L32" s="222"/>
      <c r="M32" s="223">
        <f>MIN(MAX(-1.2*M30-0.14,$AD$31),$AD$30)</f>
        <v>-0.2</v>
      </c>
      <c r="N32" s="224"/>
      <c r="O32" s="224">
        <f>MIN(MAX(-1.2*O30-0.14,$AD$31),$AD$30)</f>
        <v>-0.2</v>
      </c>
      <c r="P32" s="224"/>
      <c r="Q32" s="224">
        <f>MIN(MAX(-1.2*Q30-0.14,$AD$31),$AD$30)</f>
        <v>-0.2</v>
      </c>
      <c r="R32" s="224"/>
      <c r="S32" s="224">
        <f>MIN(MAX(-1.2*S30-0.14,$AD$31),$AD$30)</f>
        <v>-0.2</v>
      </c>
      <c r="T32" s="225"/>
      <c r="Z32" s="19"/>
      <c r="AX32" s="15"/>
      <c r="AY32" s="15"/>
      <c r="AZ32" s="15"/>
      <c r="BA32" s="15"/>
      <c r="BB32" s="15"/>
      <c r="BD32" s="6">
        <f t="shared" si="0"/>
        <v>25</v>
      </c>
      <c r="BE32" s="7" t="s">
        <v>26</v>
      </c>
      <c r="BF32" s="7" t="s">
        <v>99</v>
      </c>
      <c r="BG32" s="7" t="s">
        <v>100</v>
      </c>
    </row>
    <row r="33" spans="2:59" ht="15">
      <c r="B33" s="27"/>
      <c r="C33" s="17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71"/>
      <c r="BD33" s="6">
        <f t="shared" si="0"/>
        <v>26</v>
      </c>
      <c r="BE33" s="7" t="s">
        <v>101</v>
      </c>
      <c r="BF33" s="7" t="s">
        <v>102</v>
      </c>
      <c r="BG33" s="7" t="s">
        <v>103</v>
      </c>
    </row>
    <row r="34" spans="2:59" ht="15">
      <c r="B34" s="27"/>
      <c r="C34" s="236" t="str">
        <f>VLOOKUP(55,$BD$8:$BG$65,1+MATCH($AB$7,$BE$7:$BG$7,0))</f>
        <v>TÍNH TOÁN ÁP LỰC GIÓ</v>
      </c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/>
      <c r="Z34" s="238"/>
      <c r="AB34" s="290" t="s">
        <v>279</v>
      </c>
      <c r="AC34" s="290"/>
      <c r="AD34" s="290"/>
      <c r="AE34" s="291" t="s">
        <v>280</v>
      </c>
      <c r="AF34" s="291"/>
      <c r="AG34" s="291"/>
      <c r="AH34" s="291"/>
      <c r="BD34" s="6">
        <f t="shared" si="0"/>
        <v>27</v>
      </c>
      <c r="BE34" s="7" t="s">
        <v>104</v>
      </c>
      <c r="BF34" s="7" t="s">
        <v>105</v>
      </c>
      <c r="BG34" s="7" t="s">
        <v>106</v>
      </c>
    </row>
    <row r="35" spans="2:59" ht="18">
      <c r="B35" s="27"/>
      <c r="C35" s="239" t="str">
        <f>VLOOKUP(56,$BD$8:$BG$65,1+MATCH($AB$7,$BE$7:$BG$7,0))</f>
        <v>PHƯƠNG X</v>
      </c>
      <c r="D35" s="240"/>
      <c r="E35" s="240"/>
      <c r="F35" s="241"/>
      <c r="G35" s="245" t="s">
        <v>173</v>
      </c>
      <c r="H35" s="245"/>
      <c r="I35" s="245" t="s">
        <v>174</v>
      </c>
      <c r="J35" s="245"/>
      <c r="K35" s="246" t="s">
        <v>175</v>
      </c>
      <c r="L35" s="247"/>
      <c r="M35" s="246" t="s">
        <v>177</v>
      </c>
      <c r="N35" s="247"/>
      <c r="O35" s="246" t="s">
        <v>178</v>
      </c>
      <c r="P35" s="247"/>
      <c r="Q35" s="246" t="s">
        <v>176</v>
      </c>
      <c r="R35" s="248"/>
      <c r="U35" s="121"/>
      <c r="V35" s="121"/>
      <c r="W35" s="121"/>
      <c r="X35" s="121"/>
      <c r="Y35" s="121"/>
      <c r="Z35" s="72"/>
      <c r="AB35" s="292" t="s">
        <v>281</v>
      </c>
      <c r="AC35" s="99" t="s">
        <v>282</v>
      </c>
      <c r="AD35" s="94">
        <f>IF(G15="RC building",0.85+M19/2840,0.85+M19/1010)</f>
        <v>0.85990099009900989</v>
      </c>
      <c r="AE35" s="22" t="s">
        <v>280</v>
      </c>
      <c r="AF35" s="99"/>
      <c r="AG35" s="99"/>
      <c r="AH35" s="99"/>
      <c r="BD35" s="6">
        <f t="shared" si="0"/>
        <v>28</v>
      </c>
      <c r="BE35" s="16" t="s">
        <v>107</v>
      </c>
      <c r="BF35" s="7" t="s">
        <v>108</v>
      </c>
      <c r="BG35" s="16" t="s">
        <v>107</v>
      </c>
    </row>
    <row r="36" spans="2:59" ht="15">
      <c r="B36" s="27"/>
      <c r="C36" s="242"/>
      <c r="D36" s="243"/>
      <c r="E36" s="243"/>
      <c r="F36" s="244"/>
      <c r="G36" s="249">
        <f>IF(AE34=AE35,AD35,AD36)</f>
        <v>0.85990099009900989</v>
      </c>
      <c r="H36" s="250"/>
      <c r="I36" s="249">
        <f>M19+IF(G16="With parapets",M21,0)</f>
        <v>10</v>
      </c>
      <c r="J36" s="250"/>
      <c r="K36" s="251" cm="1">
        <f t="array" ref="K36">ze(I36, M36, M19, M25)</f>
        <v>10</v>
      </c>
      <c r="L36" s="252"/>
      <c r="M36" s="251">
        <f>M17</f>
        <v>200</v>
      </c>
      <c r="N36" s="252"/>
      <c r="O36" s="251">
        <f>M18</f>
        <v>20</v>
      </c>
      <c r="P36" s="252"/>
      <c r="Q36" s="251">
        <f>MIN(2.01*(K36/J26)^(2/N26),N27)</f>
        <v>1.0009330064908715</v>
      </c>
      <c r="R36" s="260"/>
      <c r="U36" s="121"/>
      <c r="V36" s="121"/>
      <c r="W36" s="121"/>
      <c r="X36" s="121"/>
      <c r="Y36" s="121"/>
      <c r="Z36" s="72"/>
      <c r="AB36" s="293"/>
      <c r="AC36" s="99" t="s">
        <v>283</v>
      </c>
      <c r="AD36" s="94">
        <f>GustFactor!E33</f>
        <v>0.9438934308721264</v>
      </c>
      <c r="AE36" s="22" t="s">
        <v>284</v>
      </c>
      <c r="AF36" s="99"/>
      <c r="AG36" s="99"/>
      <c r="AH36" s="99"/>
      <c r="BD36" s="6">
        <f t="shared" si="0"/>
        <v>29</v>
      </c>
      <c r="BE36" s="7" t="s">
        <v>109</v>
      </c>
      <c r="BF36" s="7" t="s">
        <v>110</v>
      </c>
      <c r="BG36" s="7" t="s">
        <v>111</v>
      </c>
    </row>
    <row r="37" spans="2:59" ht="15">
      <c r="B37" s="27"/>
      <c r="C37" s="20"/>
      <c r="D37" s="122"/>
      <c r="E37" s="123"/>
      <c r="F37" s="124"/>
      <c r="G37" s="125"/>
      <c r="H37" s="123"/>
      <c r="I37" s="126"/>
      <c r="J37" s="127"/>
      <c r="K37" s="126"/>
      <c r="L37" s="128"/>
      <c r="M37" s="122"/>
      <c r="N37" s="122"/>
      <c r="O37" s="122"/>
      <c r="P37" s="122"/>
      <c r="Q37" s="122"/>
      <c r="R37" s="122"/>
      <c r="U37" s="122"/>
      <c r="V37" s="129"/>
      <c r="W37" s="129"/>
      <c r="X37" s="129"/>
      <c r="Y37" s="129"/>
      <c r="Z37" s="73"/>
      <c r="AB37"/>
      <c r="AC37"/>
      <c r="AD37"/>
      <c r="AE37"/>
      <c r="AF37"/>
      <c r="AG37"/>
      <c r="AH37"/>
      <c r="BD37" s="6">
        <f t="shared" si="0"/>
        <v>30</v>
      </c>
      <c r="BE37" s="7" t="s">
        <v>112</v>
      </c>
      <c r="BF37" s="7" t="s">
        <v>113</v>
      </c>
      <c r="BG37" s="7" t="s">
        <v>114</v>
      </c>
    </row>
    <row r="38" spans="2:59" ht="18">
      <c r="B38" s="27"/>
      <c r="C38" s="256" t="str">
        <f>VLOOKUP(57,$BD$8:$BG$65,1+MATCH($AB$7,$BE$7:$BG$7,0))</f>
        <v>PHƯƠNG Y</v>
      </c>
      <c r="D38" s="256"/>
      <c r="E38" s="256"/>
      <c r="F38" s="256"/>
      <c r="G38" s="257" t="s">
        <v>173</v>
      </c>
      <c r="H38" s="257"/>
      <c r="I38" s="257" t="s">
        <v>174</v>
      </c>
      <c r="J38" s="257"/>
      <c r="K38" s="257" t="s">
        <v>175</v>
      </c>
      <c r="L38" s="257"/>
      <c r="M38" s="257" t="s">
        <v>177</v>
      </c>
      <c r="N38" s="257"/>
      <c r="O38" s="257" t="s">
        <v>178</v>
      </c>
      <c r="P38" s="257"/>
      <c r="Q38" s="257" t="s">
        <v>176</v>
      </c>
      <c r="R38" s="258"/>
      <c r="U38" s="121"/>
      <c r="V38" s="121"/>
      <c r="W38" s="121"/>
      <c r="X38" s="121"/>
      <c r="Y38" s="121"/>
      <c r="Z38" s="72"/>
      <c r="AB38" s="292" t="s">
        <v>285</v>
      </c>
      <c r="AC38" s="99" t="s">
        <v>282</v>
      </c>
      <c r="AD38" s="94">
        <f>IF(G15="RC building",0.85+M19/2840,0.85+M19/1010)</f>
        <v>0.85990099009900989</v>
      </c>
      <c r="AE38" s="295" t="str">
        <f>AE35</f>
        <v>Công thức tính toán sơ bộ theo phụ lục</v>
      </c>
      <c r="AF38" s="296"/>
      <c r="AG38" s="296"/>
      <c r="AH38" s="296"/>
      <c r="BD38" s="6">
        <f t="shared" si="0"/>
        <v>31</v>
      </c>
      <c r="BE38" s="7" t="s">
        <v>115</v>
      </c>
      <c r="BF38" s="7" t="s">
        <v>116</v>
      </c>
      <c r="BG38" s="7" t="s">
        <v>115</v>
      </c>
    </row>
    <row r="39" spans="2:59" ht="15">
      <c r="B39" s="27"/>
      <c r="C39" s="256"/>
      <c r="D39" s="256"/>
      <c r="E39" s="256"/>
      <c r="F39" s="256"/>
      <c r="G39" s="249">
        <f>IF(AE34=AE35,AD38,AD39)</f>
        <v>0.85990099009900989</v>
      </c>
      <c r="H39" s="250"/>
      <c r="I39" s="249">
        <f>M19+IF(G16="With parapets",M21,0)</f>
        <v>10</v>
      </c>
      <c r="J39" s="250"/>
      <c r="K39" s="251" cm="1">
        <f t="array" ref="K39">ze(I39, M39, M19, M25)</f>
        <v>10</v>
      </c>
      <c r="L39" s="252"/>
      <c r="M39" s="259">
        <f>M18</f>
        <v>20</v>
      </c>
      <c r="N39" s="257"/>
      <c r="O39" s="259">
        <f>M17</f>
        <v>200</v>
      </c>
      <c r="P39" s="257"/>
      <c r="Q39" s="251">
        <f>MIN(2.01*(K39/J26)^(2/N26),N27)</f>
        <v>1.0009330064908715</v>
      </c>
      <c r="R39" s="260"/>
      <c r="U39" s="121"/>
      <c r="V39" s="121"/>
      <c r="W39" s="121"/>
      <c r="X39" s="121"/>
      <c r="Y39" s="121"/>
      <c r="Z39" s="72"/>
      <c r="AB39" s="294"/>
      <c r="AC39" s="103" t="s">
        <v>283</v>
      </c>
      <c r="AD39" s="104">
        <f>GustFactor!K33</f>
        <v>0.88580526599160792</v>
      </c>
      <c r="AE39" s="297" t="str">
        <f>AE36</f>
        <v>Công thức tính toán theo sheet bên cạnh</v>
      </c>
      <c r="AF39" s="298"/>
      <c r="AG39" s="298"/>
      <c r="AH39" s="298"/>
      <c r="BD39" s="6">
        <f t="shared" si="0"/>
        <v>32</v>
      </c>
      <c r="BE39" s="7" t="s">
        <v>117</v>
      </c>
      <c r="BF39" s="7" t="s">
        <v>118</v>
      </c>
      <c r="BG39" s="7" t="s">
        <v>119</v>
      </c>
    </row>
    <row r="40" spans="2:59" ht="15">
      <c r="B40" s="27"/>
      <c r="C40" s="17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71"/>
      <c r="AB40" s="286" t="s">
        <v>290</v>
      </c>
      <c r="AC40" s="286"/>
      <c r="AD40" s="286"/>
      <c r="AE40" s="286"/>
      <c r="AF40" s="286"/>
      <c r="AG40" s="286"/>
      <c r="AH40" s="286"/>
      <c r="AI40" s="286"/>
      <c r="AJ40" s="286"/>
      <c r="AK40" s="286"/>
      <c r="AL40" s="286"/>
      <c r="AM40" s="286"/>
      <c r="AN40" s="286"/>
      <c r="AO40" s="286"/>
      <c r="AP40" s="286"/>
      <c r="AQ40" s="286"/>
      <c r="AR40" s="286"/>
      <c r="AS40" s="286"/>
      <c r="AT40" s="286"/>
      <c r="AU40" s="286"/>
      <c r="AV40" s="286"/>
      <c r="BD40" s="6">
        <f t="shared" si="0"/>
        <v>33</v>
      </c>
      <c r="BE40" s="7" t="s">
        <v>120</v>
      </c>
      <c r="BF40" s="7" t="s">
        <v>121</v>
      </c>
      <c r="BG40" s="7" t="s">
        <v>122</v>
      </c>
    </row>
    <row r="41" spans="2:59" ht="15" customHeight="1">
      <c r="B41" s="27"/>
      <c r="C41" s="283" t="s">
        <v>294</v>
      </c>
      <c r="D41" s="284"/>
      <c r="E41" s="284"/>
      <c r="F41" s="284"/>
      <c r="G41" s="284"/>
      <c r="H41" s="284"/>
      <c r="I41" s="284"/>
      <c r="J41" s="284"/>
      <c r="K41" s="284"/>
      <c r="L41" s="284"/>
      <c r="M41" s="284"/>
      <c r="N41" s="284"/>
      <c r="O41" s="284"/>
      <c r="P41" s="284"/>
      <c r="Q41" s="284"/>
      <c r="R41" s="284"/>
      <c r="S41" s="284"/>
      <c r="T41" s="284"/>
      <c r="U41" s="284"/>
      <c r="V41" s="285"/>
      <c r="W41" s="121"/>
      <c r="X41" s="121"/>
      <c r="Y41" s="100"/>
      <c r="Z41" s="71"/>
      <c r="AB41" s="286"/>
      <c r="AC41" s="286"/>
      <c r="AD41" s="286"/>
      <c r="AE41" s="286"/>
      <c r="AF41" s="286"/>
      <c r="AG41" s="286"/>
      <c r="AH41" s="286"/>
      <c r="AI41" s="286"/>
      <c r="AJ41" s="286"/>
      <c r="AK41" s="286"/>
      <c r="AL41" s="286"/>
      <c r="AM41" s="286"/>
      <c r="AN41" s="286"/>
      <c r="AO41" s="286"/>
      <c r="AP41" s="286"/>
      <c r="AQ41" s="286"/>
      <c r="AR41" s="286"/>
      <c r="AS41" s="286"/>
      <c r="AT41" s="286"/>
      <c r="AU41" s="286"/>
      <c r="AV41" s="286"/>
      <c r="BD41" s="6">
        <f t="shared" si="0"/>
        <v>34</v>
      </c>
      <c r="BE41" s="7" t="s">
        <v>123</v>
      </c>
      <c r="BF41" s="7" t="s">
        <v>124</v>
      </c>
      <c r="BG41" s="7" t="s">
        <v>123</v>
      </c>
    </row>
    <row r="42" spans="2:59" ht="15" customHeight="1">
      <c r="B42" s="27"/>
      <c r="C42" s="273" t="str">
        <f>VLOOKUP(25,$BD$8:$BG$65,1+MATCH($AB$7,$BE$7:$BG$7,0))</f>
        <v>Vùng</v>
      </c>
      <c r="D42" s="274"/>
      <c r="E42" s="275" t="s">
        <v>59</v>
      </c>
      <c r="F42" s="276"/>
      <c r="G42" s="277" t="s">
        <v>60</v>
      </c>
      <c r="H42" s="276"/>
      <c r="I42" s="277" t="s">
        <v>61</v>
      </c>
      <c r="J42" s="276"/>
      <c r="K42" s="277" t="s">
        <v>19</v>
      </c>
      <c r="L42" s="276"/>
      <c r="M42" s="277" t="s">
        <v>82</v>
      </c>
      <c r="N42" s="278"/>
      <c r="O42" s="279" t="s">
        <v>286</v>
      </c>
      <c r="P42" s="276"/>
      <c r="Q42" s="280" t="s">
        <v>287</v>
      </c>
      <c r="R42" s="276"/>
      <c r="S42" s="280" t="s">
        <v>288</v>
      </c>
      <c r="T42" s="276"/>
      <c r="U42" s="280" t="s">
        <v>289</v>
      </c>
      <c r="V42" s="278"/>
      <c r="W42" s="121"/>
      <c r="X42" s="121"/>
      <c r="Y42" s="100"/>
      <c r="Z42" s="71"/>
      <c r="AB42" s="10"/>
      <c r="AC42" s="10" t="s">
        <v>59</v>
      </c>
      <c r="AD42" s="10" t="s">
        <v>60</v>
      </c>
      <c r="AE42" s="10" t="s">
        <v>61</v>
      </c>
      <c r="AF42" s="10" t="s">
        <v>19</v>
      </c>
      <c r="AG42" s="10" t="s">
        <v>82</v>
      </c>
      <c r="AH42" s="10" t="s">
        <v>286</v>
      </c>
      <c r="AI42" s="10" t="s">
        <v>287</v>
      </c>
      <c r="AJ42" s="10" t="s">
        <v>288</v>
      </c>
      <c r="AK42" s="10" t="s">
        <v>289</v>
      </c>
      <c r="AL42" s="287"/>
      <c r="AM42" s="10"/>
      <c r="AN42" s="10" t="s">
        <v>59</v>
      </c>
      <c r="AO42" s="10" t="s">
        <v>60</v>
      </c>
      <c r="AP42" s="10" t="s">
        <v>61</v>
      </c>
      <c r="AQ42" s="10" t="s">
        <v>19</v>
      </c>
      <c r="AR42" s="10" t="s">
        <v>82</v>
      </c>
      <c r="AS42" s="10" t="s">
        <v>286</v>
      </c>
      <c r="AT42" s="10" t="s">
        <v>287</v>
      </c>
      <c r="AU42" s="10" t="s">
        <v>288</v>
      </c>
      <c r="AV42" s="10" t="s">
        <v>289</v>
      </c>
      <c r="BD42" s="6">
        <f t="shared" si="0"/>
        <v>35</v>
      </c>
      <c r="BE42" s="7" t="s">
        <v>109</v>
      </c>
      <c r="BF42" s="7" t="s">
        <v>125</v>
      </c>
      <c r="BG42" s="7" t="s">
        <v>109</v>
      </c>
    </row>
    <row r="43" spans="2:59" ht="18">
      <c r="B43" s="27"/>
      <c r="C43" s="106" t="s">
        <v>125</v>
      </c>
      <c r="D43" s="105" t="s">
        <v>201</v>
      </c>
      <c r="E43" s="254">
        <f>AC49</f>
        <v>-0.5</v>
      </c>
      <c r="F43" s="255"/>
      <c r="G43" s="255">
        <f>AD49</f>
        <v>-0.5</v>
      </c>
      <c r="H43" s="255"/>
      <c r="I43" s="255">
        <f>AE49</f>
        <v>-0.20000000298023224</v>
      </c>
      <c r="J43" s="255"/>
      <c r="K43" s="255">
        <f>AF49</f>
        <v>-0.40000000596046448</v>
      </c>
      <c r="L43" s="255"/>
      <c r="M43" s="255">
        <f>AG49</f>
        <v>-0.69999998807907104</v>
      </c>
      <c r="N43" s="255"/>
      <c r="O43" s="255">
        <f>AH49</f>
        <v>-0.5</v>
      </c>
      <c r="P43" s="255"/>
      <c r="Q43" s="255">
        <f>AI49</f>
        <v>-1.3999999761581421</v>
      </c>
      <c r="R43" s="255"/>
      <c r="S43" s="255">
        <f>AJ49</f>
        <v>-0.80000001192092896</v>
      </c>
      <c r="T43" s="255"/>
      <c r="U43" s="255">
        <f>AK49</f>
        <v>-0.20000000298023224</v>
      </c>
      <c r="V43" s="269"/>
      <c r="W43" s="121"/>
      <c r="X43" s="121"/>
      <c r="Y43" s="100"/>
      <c r="Z43" s="71"/>
      <c r="AB43" s="10">
        <v>5</v>
      </c>
      <c r="AC43" s="10">
        <v>-1.7</v>
      </c>
      <c r="AD43" s="10">
        <v>-1.2</v>
      </c>
      <c r="AE43" s="10">
        <v>-0.6</v>
      </c>
      <c r="AF43" s="10">
        <v>-0.3</v>
      </c>
      <c r="AG43" s="10">
        <v>-0.6</v>
      </c>
      <c r="AH43" s="10">
        <v>-0.6</v>
      </c>
      <c r="AI43" s="10">
        <v>-1.2</v>
      </c>
      <c r="AJ43" s="10">
        <v>-0.6</v>
      </c>
      <c r="AK43" s="10">
        <v>-0.4</v>
      </c>
      <c r="AL43" s="288"/>
      <c r="AM43" s="10">
        <v>5</v>
      </c>
      <c r="AN43" s="10">
        <v>0</v>
      </c>
      <c r="AO43" s="10">
        <v>0</v>
      </c>
      <c r="AP43" s="10">
        <v>0</v>
      </c>
      <c r="AQ43" s="10">
        <v>-0.3</v>
      </c>
      <c r="AR43" s="10">
        <v>-0.6</v>
      </c>
      <c r="AS43" s="10">
        <v>-0.6</v>
      </c>
      <c r="AT43" s="10">
        <v>-1.2</v>
      </c>
      <c r="AU43" s="10">
        <v>-0.6</v>
      </c>
      <c r="AV43" s="10">
        <v>-0.4</v>
      </c>
      <c r="BD43" s="6">
        <f t="shared" si="0"/>
        <v>36</v>
      </c>
      <c r="BE43" s="7" t="s">
        <v>112</v>
      </c>
      <c r="BF43" s="7" t="s">
        <v>126</v>
      </c>
      <c r="BG43" s="7" t="s">
        <v>112</v>
      </c>
    </row>
    <row r="44" spans="2:59" ht="18">
      <c r="B44" s="27"/>
      <c r="C44" s="107" t="s">
        <v>126</v>
      </c>
      <c r="D44" s="95" t="s">
        <v>201</v>
      </c>
      <c r="E44" s="261">
        <f>AN49</f>
        <v>0.5</v>
      </c>
      <c r="F44" s="253"/>
      <c r="G44" s="253">
        <f>AO49</f>
        <v>0.69999998807907104</v>
      </c>
      <c r="H44" s="253"/>
      <c r="I44" s="253">
        <f>AP49</f>
        <v>0.40000000596046448</v>
      </c>
      <c r="J44" s="253"/>
      <c r="K44" s="253">
        <f>AQ49</f>
        <v>-0.40000000596046448</v>
      </c>
      <c r="L44" s="253"/>
      <c r="M44" s="253">
        <f>AR49</f>
        <v>-0.69999998807907104</v>
      </c>
      <c r="N44" s="253"/>
      <c r="O44" s="253">
        <f>AS49</f>
        <v>-0.5</v>
      </c>
      <c r="P44" s="253"/>
      <c r="Q44" s="253">
        <f>AT49</f>
        <v>-1.3999999761581421</v>
      </c>
      <c r="R44" s="253"/>
      <c r="S44" s="253">
        <f>AU49</f>
        <v>-0.80000001192092896</v>
      </c>
      <c r="T44" s="253"/>
      <c r="U44" s="253">
        <f>AV49</f>
        <v>-0.20000000298023224</v>
      </c>
      <c r="V44" s="270"/>
      <c r="W44" s="121"/>
      <c r="X44" s="121"/>
      <c r="Y44" s="100"/>
      <c r="Z44" s="71"/>
      <c r="AB44" s="10">
        <v>15</v>
      </c>
      <c r="AC44" s="10">
        <v>-0.9</v>
      </c>
      <c r="AD44" s="10">
        <v>-0.8</v>
      </c>
      <c r="AE44" s="10">
        <v>-0.3</v>
      </c>
      <c r="AF44" s="10">
        <v>-0.5</v>
      </c>
      <c r="AG44" s="10">
        <v>-1</v>
      </c>
      <c r="AH44" s="10">
        <v>-1.2</v>
      </c>
      <c r="AI44" s="10">
        <v>-1.4</v>
      </c>
      <c r="AJ44" s="10">
        <v>-0.6</v>
      </c>
      <c r="AK44" s="10">
        <v>-0.3</v>
      </c>
      <c r="AL44" s="288"/>
      <c r="AM44" s="10">
        <v>15</v>
      </c>
      <c r="AN44" s="10">
        <v>0.2</v>
      </c>
      <c r="AO44" s="10">
        <v>0.2</v>
      </c>
      <c r="AP44" s="10">
        <v>0.2</v>
      </c>
      <c r="AQ44" s="10">
        <v>-0.5</v>
      </c>
      <c r="AR44" s="10">
        <v>-1</v>
      </c>
      <c r="AS44" s="10">
        <v>-1.2</v>
      </c>
      <c r="AT44" s="10">
        <v>-1.4</v>
      </c>
      <c r="AU44" s="10">
        <v>-0.6</v>
      </c>
      <c r="AV44" s="10">
        <v>-0.3</v>
      </c>
      <c r="BD44" s="6">
        <f t="shared" si="0"/>
        <v>37</v>
      </c>
      <c r="BE44" s="14" t="s">
        <v>196</v>
      </c>
      <c r="BF44" s="14" t="s">
        <v>197</v>
      </c>
      <c r="BG44" s="14" t="s">
        <v>198</v>
      </c>
    </row>
    <row r="45" spans="2:59" ht="18">
      <c r="B45" s="27"/>
      <c r="C45" s="106" t="s">
        <v>125</v>
      </c>
      <c r="D45" s="96" t="s">
        <v>170</v>
      </c>
      <c r="E45" s="262">
        <f>$E$27*$Q$36*E43*$G$36</f>
        <v>-0.34832661875324172</v>
      </c>
      <c r="F45" s="263"/>
      <c r="G45" s="263">
        <f t="shared" ref="G45:U45" si="1">$E$27*$Q$36*G43*$G$36</f>
        <v>-0.34832661875324172</v>
      </c>
      <c r="H45" s="263"/>
      <c r="I45" s="263">
        <f t="shared" si="1"/>
        <v>-0.13933064957748512</v>
      </c>
      <c r="J45" s="263"/>
      <c r="K45" s="263">
        <f t="shared" si="1"/>
        <v>-0.27866129915497023</v>
      </c>
      <c r="L45" s="263"/>
      <c r="M45" s="263">
        <f t="shared" si="1"/>
        <v>-0.48765725794978465</v>
      </c>
      <c r="N45" s="263"/>
      <c r="O45" s="263">
        <f t="shared" si="1"/>
        <v>-0.34832661875324172</v>
      </c>
      <c r="P45" s="263"/>
      <c r="Q45" s="263">
        <f t="shared" si="1"/>
        <v>-0.9753145158995693</v>
      </c>
      <c r="R45" s="263"/>
      <c r="S45" s="263">
        <f t="shared" si="1"/>
        <v>-0.55732259830994046</v>
      </c>
      <c r="T45" s="263"/>
      <c r="U45" s="263">
        <f t="shared" si="1"/>
        <v>-0.13933064957748512</v>
      </c>
      <c r="V45" s="271"/>
      <c r="W45" s="121"/>
      <c r="X45" s="121"/>
      <c r="Y45" s="100"/>
      <c r="Z45" s="71"/>
      <c r="AB45" s="10">
        <v>30</v>
      </c>
      <c r="AC45" s="10">
        <v>-0.5</v>
      </c>
      <c r="AD45" s="10">
        <v>-0.5</v>
      </c>
      <c r="AE45" s="10">
        <v>-0.2</v>
      </c>
      <c r="AF45" s="10">
        <v>-0.4</v>
      </c>
      <c r="AG45" s="10">
        <v>-0.7</v>
      </c>
      <c r="AH45" s="10">
        <v>-0.5</v>
      </c>
      <c r="AI45" s="10">
        <v>-1.4</v>
      </c>
      <c r="AJ45" s="10">
        <v>-0.8</v>
      </c>
      <c r="AK45" s="10">
        <v>-0.2</v>
      </c>
      <c r="AL45" s="288"/>
      <c r="AM45" s="10">
        <v>30</v>
      </c>
      <c r="AN45" s="10">
        <v>0.5</v>
      </c>
      <c r="AO45" s="10">
        <v>0.7</v>
      </c>
      <c r="AP45" s="10">
        <v>0.4</v>
      </c>
      <c r="AQ45" s="10">
        <v>-0.4</v>
      </c>
      <c r="AR45" s="10">
        <v>-0.7</v>
      </c>
      <c r="AS45" s="10">
        <v>-0.5</v>
      </c>
      <c r="AT45" s="10">
        <v>-1.4</v>
      </c>
      <c r="AU45" s="10">
        <v>-0.8</v>
      </c>
      <c r="AV45" s="10">
        <v>-0.2</v>
      </c>
      <c r="BD45" s="6">
        <f t="shared" si="0"/>
        <v>38</v>
      </c>
      <c r="BE45" s="7" t="s">
        <v>127</v>
      </c>
      <c r="BF45" s="7" t="s">
        <v>128</v>
      </c>
      <c r="BG45" s="7" t="s">
        <v>129</v>
      </c>
    </row>
    <row r="46" spans="2:59" ht="18">
      <c r="B46" s="27"/>
      <c r="C46" s="107" t="s">
        <v>126</v>
      </c>
      <c r="D46" s="97" t="s">
        <v>170</v>
      </c>
      <c r="E46" s="261">
        <f>$E$27*$Q$36*E44*$G$36</f>
        <v>0.34832661875324172</v>
      </c>
      <c r="F46" s="253"/>
      <c r="G46" s="253">
        <f t="shared" ref="G46:U46" si="2">$E$27*$Q$36*G44*$G$36</f>
        <v>0.48765725794978465</v>
      </c>
      <c r="H46" s="253"/>
      <c r="I46" s="253">
        <f t="shared" si="2"/>
        <v>0.27866129915497023</v>
      </c>
      <c r="J46" s="253"/>
      <c r="K46" s="253">
        <f t="shared" si="2"/>
        <v>-0.27866129915497023</v>
      </c>
      <c r="L46" s="253"/>
      <c r="M46" s="253">
        <f t="shared" si="2"/>
        <v>-0.48765725794978465</v>
      </c>
      <c r="N46" s="253"/>
      <c r="O46" s="253">
        <f t="shared" si="2"/>
        <v>-0.34832661875324172</v>
      </c>
      <c r="P46" s="253"/>
      <c r="Q46" s="253">
        <f t="shared" si="2"/>
        <v>-0.9753145158995693</v>
      </c>
      <c r="R46" s="253"/>
      <c r="S46" s="253">
        <f t="shared" si="2"/>
        <v>-0.55732259830994046</v>
      </c>
      <c r="T46" s="253"/>
      <c r="U46" s="253">
        <f t="shared" si="2"/>
        <v>-0.13933064957748512</v>
      </c>
      <c r="V46" s="270"/>
      <c r="W46" s="121"/>
      <c r="X46" s="121"/>
      <c r="Y46" s="100"/>
      <c r="Z46" s="71"/>
      <c r="AB46" s="10">
        <v>45</v>
      </c>
      <c r="AC46" s="10">
        <v>0</v>
      </c>
      <c r="AD46" s="10">
        <v>0</v>
      </c>
      <c r="AE46" s="10">
        <v>0</v>
      </c>
      <c r="AF46" s="10">
        <v>-0.3</v>
      </c>
      <c r="AG46" s="10">
        <v>-0.6</v>
      </c>
      <c r="AH46" s="10">
        <v>-0.3</v>
      </c>
      <c r="AI46" s="10">
        <v>-1.3</v>
      </c>
      <c r="AJ46" s="10">
        <v>-0.8</v>
      </c>
      <c r="AK46" s="10">
        <v>-0.2</v>
      </c>
      <c r="AL46" s="288"/>
      <c r="AM46" s="10">
        <v>45</v>
      </c>
      <c r="AN46" s="10">
        <v>0.7</v>
      </c>
      <c r="AO46" s="10">
        <v>0.7</v>
      </c>
      <c r="AP46" s="10">
        <v>0.6</v>
      </c>
      <c r="AQ46" s="10">
        <v>-0.3</v>
      </c>
      <c r="AR46" s="10">
        <v>-0.6</v>
      </c>
      <c r="AS46" s="10">
        <v>-0.3</v>
      </c>
      <c r="AT46" s="10">
        <v>-1.3</v>
      </c>
      <c r="AU46" s="10">
        <v>-0.8</v>
      </c>
      <c r="AV46" s="10">
        <v>-0.2</v>
      </c>
      <c r="BD46" s="6">
        <f t="shared" si="0"/>
        <v>39</v>
      </c>
      <c r="BE46" s="7" t="s">
        <v>130</v>
      </c>
      <c r="BF46" s="7" t="s">
        <v>131</v>
      </c>
      <c r="BG46" s="7" t="s">
        <v>132</v>
      </c>
    </row>
    <row r="47" spans="2:59" ht="18">
      <c r="B47" s="27"/>
      <c r="C47" s="106" t="s">
        <v>125</v>
      </c>
      <c r="D47" s="98" t="s">
        <v>202</v>
      </c>
      <c r="E47" s="262">
        <f>$M$31</f>
        <v>0.2</v>
      </c>
      <c r="F47" s="263"/>
      <c r="G47" s="263">
        <f t="shared" ref="G47:U47" si="3">$M$31</f>
        <v>0.2</v>
      </c>
      <c r="H47" s="263"/>
      <c r="I47" s="263">
        <f t="shared" si="3"/>
        <v>0.2</v>
      </c>
      <c r="J47" s="263"/>
      <c r="K47" s="263">
        <f t="shared" si="3"/>
        <v>0.2</v>
      </c>
      <c r="L47" s="263"/>
      <c r="M47" s="263">
        <f t="shared" si="3"/>
        <v>0.2</v>
      </c>
      <c r="N47" s="263"/>
      <c r="O47" s="263">
        <f t="shared" si="3"/>
        <v>0.2</v>
      </c>
      <c r="P47" s="263"/>
      <c r="Q47" s="263">
        <f t="shared" si="3"/>
        <v>0.2</v>
      </c>
      <c r="R47" s="263"/>
      <c r="S47" s="263">
        <f t="shared" si="3"/>
        <v>0.2</v>
      </c>
      <c r="T47" s="263"/>
      <c r="U47" s="263">
        <f t="shared" si="3"/>
        <v>0.2</v>
      </c>
      <c r="V47" s="271"/>
      <c r="W47" s="121"/>
      <c r="X47" s="121"/>
      <c r="Y47" s="100"/>
      <c r="Z47" s="71"/>
      <c r="AB47" s="10">
        <v>60</v>
      </c>
      <c r="AC47" s="10">
        <v>0.7</v>
      </c>
      <c r="AD47" s="10">
        <v>0.7</v>
      </c>
      <c r="AE47" s="10">
        <v>0.7</v>
      </c>
      <c r="AF47" s="10">
        <v>-0.3</v>
      </c>
      <c r="AG47" s="10">
        <v>-0.6</v>
      </c>
      <c r="AH47" s="10">
        <v>-0.3</v>
      </c>
      <c r="AI47" s="10">
        <v>-1.2</v>
      </c>
      <c r="AJ47" s="10">
        <v>-0.4</v>
      </c>
      <c r="AK47" s="10">
        <v>-0.2</v>
      </c>
      <c r="AL47" s="288"/>
      <c r="AM47" s="10">
        <v>60</v>
      </c>
      <c r="AN47" s="10">
        <v>0.7</v>
      </c>
      <c r="AO47" s="10">
        <v>0.7</v>
      </c>
      <c r="AP47" s="10">
        <v>0.7</v>
      </c>
      <c r="AQ47" s="10">
        <v>-0.3</v>
      </c>
      <c r="AR47" s="10">
        <v>-0.6</v>
      </c>
      <c r="AS47" s="10">
        <v>-0.3</v>
      </c>
      <c r="AT47" s="10">
        <v>-1.2</v>
      </c>
      <c r="AU47" s="10">
        <v>-0.4</v>
      </c>
      <c r="AV47" s="10">
        <v>-0.2</v>
      </c>
      <c r="BD47" s="6">
        <v>40</v>
      </c>
      <c r="BE47" s="7" t="s">
        <v>133</v>
      </c>
      <c r="BF47" s="7" t="s">
        <v>134</v>
      </c>
      <c r="BG47" s="7" t="s">
        <v>135</v>
      </c>
    </row>
    <row r="48" spans="2:59" ht="18">
      <c r="B48" s="27"/>
      <c r="C48" s="107" t="s">
        <v>126</v>
      </c>
      <c r="D48" s="95" t="s">
        <v>202</v>
      </c>
      <c r="E48" s="261">
        <f>$M$32</f>
        <v>-0.2</v>
      </c>
      <c r="F48" s="253"/>
      <c r="G48" s="253">
        <f t="shared" ref="G48" si="4">$M$32</f>
        <v>-0.2</v>
      </c>
      <c r="H48" s="253"/>
      <c r="I48" s="253">
        <f t="shared" ref="I48" si="5">$M$32</f>
        <v>-0.2</v>
      </c>
      <c r="J48" s="253"/>
      <c r="K48" s="253">
        <f t="shared" ref="K48" si="6">$M$32</f>
        <v>-0.2</v>
      </c>
      <c r="L48" s="253"/>
      <c r="M48" s="253">
        <f t="shared" ref="M48:U48" si="7">$M$32</f>
        <v>-0.2</v>
      </c>
      <c r="N48" s="253"/>
      <c r="O48" s="253">
        <f t="shared" si="7"/>
        <v>-0.2</v>
      </c>
      <c r="P48" s="253"/>
      <c r="Q48" s="253">
        <f t="shared" si="7"/>
        <v>-0.2</v>
      </c>
      <c r="R48" s="253"/>
      <c r="S48" s="253">
        <f t="shared" si="7"/>
        <v>-0.2</v>
      </c>
      <c r="T48" s="253"/>
      <c r="U48" s="253">
        <f t="shared" si="7"/>
        <v>-0.2</v>
      </c>
      <c r="V48" s="270"/>
      <c r="W48" s="121"/>
      <c r="X48" s="121"/>
      <c r="Y48" s="100"/>
      <c r="Z48" s="71"/>
      <c r="AB48" s="10">
        <v>75</v>
      </c>
      <c r="AC48" s="10">
        <v>0.8</v>
      </c>
      <c r="AD48" s="10">
        <v>0.8</v>
      </c>
      <c r="AE48" s="10">
        <v>0.8</v>
      </c>
      <c r="AF48" s="10">
        <v>-0.3</v>
      </c>
      <c r="AG48" s="10">
        <v>-0.6</v>
      </c>
      <c r="AH48" s="10">
        <v>-0.3</v>
      </c>
      <c r="AI48" s="10">
        <v>-1.2</v>
      </c>
      <c r="AJ48" s="10">
        <v>-0.4</v>
      </c>
      <c r="AK48" s="10">
        <v>-0.2</v>
      </c>
      <c r="AL48" s="288"/>
      <c r="AM48" s="10">
        <v>75</v>
      </c>
      <c r="AN48" s="10">
        <v>0.8</v>
      </c>
      <c r="AO48" s="10">
        <v>0.8</v>
      </c>
      <c r="AP48" s="10">
        <v>0.8</v>
      </c>
      <c r="AQ48" s="10">
        <v>-0.3</v>
      </c>
      <c r="AR48" s="10">
        <v>-0.6</v>
      </c>
      <c r="AS48" s="10">
        <v>-0.3</v>
      </c>
      <c r="AT48" s="10">
        <v>-1.2</v>
      </c>
      <c r="AU48" s="10">
        <v>-0.4</v>
      </c>
      <c r="AV48" s="10">
        <v>-0.2</v>
      </c>
      <c r="BD48" s="6">
        <v>41</v>
      </c>
      <c r="BE48" s="7" t="s">
        <v>136</v>
      </c>
      <c r="BF48" s="7" t="s">
        <v>137</v>
      </c>
      <c r="BG48" s="7" t="s">
        <v>138</v>
      </c>
    </row>
    <row r="49" spans="2:59" ht="18">
      <c r="B49" s="27"/>
      <c r="C49" s="106" t="s">
        <v>125</v>
      </c>
      <c r="D49" s="96" t="s">
        <v>171</v>
      </c>
      <c r="E49" s="262">
        <f>$E$27*$Q$36*E47*$G$36</f>
        <v>0.1393306475012967</v>
      </c>
      <c r="F49" s="263"/>
      <c r="G49" s="263">
        <f t="shared" ref="G49:U49" si="8">$E$27*$Q$36*G47*$G$36</f>
        <v>0.1393306475012967</v>
      </c>
      <c r="H49" s="263"/>
      <c r="I49" s="263">
        <f t="shared" si="8"/>
        <v>0.1393306475012967</v>
      </c>
      <c r="J49" s="263"/>
      <c r="K49" s="263">
        <f t="shared" si="8"/>
        <v>0.1393306475012967</v>
      </c>
      <c r="L49" s="263"/>
      <c r="M49" s="263">
        <f t="shared" si="8"/>
        <v>0.1393306475012967</v>
      </c>
      <c r="N49" s="263"/>
      <c r="O49" s="263">
        <f t="shared" si="8"/>
        <v>0.1393306475012967</v>
      </c>
      <c r="P49" s="263"/>
      <c r="Q49" s="263">
        <f t="shared" si="8"/>
        <v>0.1393306475012967</v>
      </c>
      <c r="R49" s="263"/>
      <c r="S49" s="263">
        <f t="shared" si="8"/>
        <v>0.1393306475012967</v>
      </c>
      <c r="T49" s="263"/>
      <c r="U49" s="263">
        <f t="shared" si="8"/>
        <v>0.1393306475012967</v>
      </c>
      <c r="V49" s="271"/>
      <c r="W49" s="121"/>
      <c r="X49" s="121"/>
      <c r="Y49" s="100"/>
      <c r="Z49" s="71"/>
      <c r="AB49" s="110">
        <f>M21</f>
        <v>30</v>
      </c>
      <c r="AC49" s="102" cm="1">
        <f t="array" ref="AC49">noisuy1chieu($AB$49,$AB$43:$AB$48,AC43:AC48)</f>
        <v>-0.5</v>
      </c>
      <c r="AD49" s="102" cm="1">
        <f t="array" ref="AD49">noisuy1chieu($AB$49,$AB$43:$AB$48,AD43:AD48)</f>
        <v>-0.5</v>
      </c>
      <c r="AE49" s="102" cm="1">
        <f t="array" ref="AE49">noisuy1chieu($AB$49,$AB$43:$AB$48,AE43:AE48)</f>
        <v>-0.20000000298023224</v>
      </c>
      <c r="AF49" s="102" cm="1">
        <f t="array" ref="AF49">noisuy1chieu($AB$49,$AB$43:$AB$48,AF43:AF48)</f>
        <v>-0.40000000596046448</v>
      </c>
      <c r="AG49" s="102" cm="1">
        <f t="array" ref="AG49">noisuy1chieu($AB$49,$AB$43:$AB$48,AG43:AG48)</f>
        <v>-0.69999998807907104</v>
      </c>
      <c r="AH49" s="102" cm="1">
        <f t="array" ref="AH49">noisuy1chieu($AB$49,$AB$43:$AB$48,AH43:AH48)</f>
        <v>-0.5</v>
      </c>
      <c r="AI49" s="102" cm="1">
        <f t="array" ref="AI49">noisuy1chieu($AB$49,$AB$43:$AB$48,AI43:AI48)</f>
        <v>-1.3999999761581421</v>
      </c>
      <c r="AJ49" s="102" cm="1">
        <f t="array" ref="AJ49">noisuy1chieu($AB$49,$AB$43:$AB$48,AJ43:AJ48)</f>
        <v>-0.80000001192092896</v>
      </c>
      <c r="AK49" s="102" cm="1">
        <f t="array" ref="AK49">noisuy1chieu($AB$49,$AB$43:$AB$48,AK43:AK48)</f>
        <v>-0.20000000298023224</v>
      </c>
      <c r="AL49" s="289"/>
      <c r="AM49" s="10">
        <f>AB49</f>
        <v>30</v>
      </c>
      <c r="AN49" s="102" cm="1">
        <f t="array" ref="AN49">noisuy1chieu($AM$49,$AM$43:$AM$48,AN43:AN48)</f>
        <v>0.5</v>
      </c>
      <c r="AO49" s="102" cm="1">
        <f t="array" ref="AO49">noisuy1chieu($AM$49,$AM$43:$AM$48,AO43:AO48)</f>
        <v>0.69999998807907104</v>
      </c>
      <c r="AP49" s="102" cm="1">
        <f t="array" ref="AP49">noisuy1chieu($AM$49,$AM$43:$AM$48,AP43:AP48)</f>
        <v>0.40000000596046448</v>
      </c>
      <c r="AQ49" s="102" cm="1">
        <f t="array" ref="AQ49">noisuy1chieu($AM$49,$AM$43:$AM$48,AQ43:AQ48)</f>
        <v>-0.40000000596046448</v>
      </c>
      <c r="AR49" s="102" cm="1">
        <f t="array" ref="AR49">noisuy1chieu($AM$49,$AM$43:$AM$48,AR43:AR48)</f>
        <v>-0.69999998807907104</v>
      </c>
      <c r="AS49" s="102" cm="1">
        <f t="array" ref="AS49">noisuy1chieu($AM$49,$AM$43:$AM$48,AS43:AS48)</f>
        <v>-0.5</v>
      </c>
      <c r="AT49" s="102" cm="1">
        <f t="array" ref="AT49">noisuy1chieu($AM$49,$AM$43:$AM$48,AT43:AT48)</f>
        <v>-1.3999999761581421</v>
      </c>
      <c r="AU49" s="102" cm="1">
        <f t="array" ref="AU49">noisuy1chieu($AM$49,$AM$43:$AM$48,AU43:AU48)</f>
        <v>-0.80000001192092896</v>
      </c>
      <c r="AV49" s="102" cm="1">
        <f t="array" ref="AV49">noisuy1chieu($AM$49,$AM$43:$AM$48,AV43:AV48)</f>
        <v>-0.20000000298023224</v>
      </c>
      <c r="BD49" s="6">
        <v>42</v>
      </c>
      <c r="BE49" s="7" t="s">
        <v>139</v>
      </c>
      <c r="BF49" s="7" t="s">
        <v>140</v>
      </c>
      <c r="BG49" s="7" t="s">
        <v>141</v>
      </c>
    </row>
    <row r="50" spans="2:59" ht="18">
      <c r="B50" s="27"/>
      <c r="C50" s="107" t="s">
        <v>126</v>
      </c>
      <c r="D50" s="97" t="s">
        <v>171</v>
      </c>
      <c r="E50" s="261">
        <f t="shared" ref="E50" si="9">$E$27*$Q$36*E48*$G$36</f>
        <v>-0.1393306475012967</v>
      </c>
      <c r="F50" s="253"/>
      <c r="G50" s="253">
        <f t="shared" ref="G50:U50" si="10">$E$27*$Q$36*G48*$G$36</f>
        <v>-0.1393306475012967</v>
      </c>
      <c r="H50" s="253"/>
      <c r="I50" s="253">
        <f t="shared" si="10"/>
        <v>-0.1393306475012967</v>
      </c>
      <c r="J50" s="253"/>
      <c r="K50" s="253">
        <f t="shared" si="10"/>
        <v>-0.1393306475012967</v>
      </c>
      <c r="L50" s="253"/>
      <c r="M50" s="253">
        <f t="shared" si="10"/>
        <v>-0.1393306475012967</v>
      </c>
      <c r="N50" s="253"/>
      <c r="O50" s="253">
        <f t="shared" si="10"/>
        <v>-0.1393306475012967</v>
      </c>
      <c r="P50" s="253"/>
      <c r="Q50" s="253">
        <f t="shared" si="10"/>
        <v>-0.1393306475012967</v>
      </c>
      <c r="R50" s="253"/>
      <c r="S50" s="253">
        <f t="shared" si="10"/>
        <v>-0.1393306475012967</v>
      </c>
      <c r="T50" s="253"/>
      <c r="U50" s="253">
        <f t="shared" si="10"/>
        <v>-0.1393306475012967</v>
      </c>
      <c r="V50" s="270"/>
      <c r="W50" s="121"/>
      <c r="X50" s="121"/>
      <c r="Y50" s="100"/>
      <c r="Z50" s="71"/>
      <c r="BD50" s="6">
        <v>43</v>
      </c>
      <c r="BE50" s="7" t="s">
        <v>109</v>
      </c>
      <c r="BF50" s="7" t="s">
        <v>125</v>
      </c>
      <c r="BG50" s="7" t="s">
        <v>109</v>
      </c>
    </row>
    <row r="51" spans="2:59" ht="18">
      <c r="B51" s="27"/>
      <c r="C51" s="106" t="s">
        <v>125</v>
      </c>
      <c r="D51" s="96" t="s">
        <v>172</v>
      </c>
      <c r="E51" s="267">
        <f>MIN(E45-E49,E45-E50)</f>
        <v>-0.48765726625453842</v>
      </c>
      <c r="F51" s="268"/>
      <c r="G51" s="268">
        <f t="shared" ref="G51" si="11">MIN(G45-G49,G45-G50)</f>
        <v>-0.48765726625453842</v>
      </c>
      <c r="H51" s="268"/>
      <c r="I51" s="268">
        <f t="shared" ref="I51" si="12">MIN(I45-I49,I45-I50)</f>
        <v>-0.27866129707878184</v>
      </c>
      <c r="J51" s="268"/>
      <c r="K51" s="268">
        <f t="shared" ref="K51" si="13">MIN(K45-K49,K45-K50)</f>
        <v>-0.41799194665626693</v>
      </c>
      <c r="L51" s="268"/>
      <c r="M51" s="268">
        <f t="shared" ref="M51:U51" si="14">MIN(M45-M49,M45-M50)</f>
        <v>-0.62698790545108141</v>
      </c>
      <c r="N51" s="268"/>
      <c r="O51" s="268">
        <f t="shared" si="14"/>
        <v>-0.48765726625453842</v>
      </c>
      <c r="P51" s="268"/>
      <c r="Q51" s="268">
        <f t="shared" si="14"/>
        <v>-1.1146451634008661</v>
      </c>
      <c r="R51" s="268"/>
      <c r="S51" s="268">
        <f t="shared" si="14"/>
        <v>-0.69665324581123711</v>
      </c>
      <c r="T51" s="268"/>
      <c r="U51" s="268">
        <f t="shared" si="14"/>
        <v>-0.27866129707878184</v>
      </c>
      <c r="V51" s="272"/>
      <c r="W51" s="121"/>
      <c r="X51" s="121"/>
      <c r="Y51" s="100"/>
      <c r="Z51" s="71"/>
      <c r="AB51" s="286" t="s">
        <v>291</v>
      </c>
      <c r="AC51" s="286"/>
      <c r="AD51" s="286"/>
      <c r="AE51" s="286"/>
      <c r="AF51" s="286"/>
      <c r="AG51" s="286"/>
      <c r="AH51" s="286"/>
      <c r="AI51" s="286"/>
      <c r="AJ51" s="286"/>
      <c r="AK51" s="286"/>
      <c r="AL51" s="286"/>
      <c r="AM51" s="286"/>
      <c r="AN51" s="286"/>
      <c r="AO51" s="286"/>
      <c r="AP51" s="286"/>
      <c r="AQ51" s="286"/>
      <c r="AR51" s="286"/>
      <c r="AS51" s="286"/>
      <c r="AT51" s="286"/>
      <c r="AU51" s="286"/>
      <c r="AV51" s="286"/>
      <c r="BD51" s="6">
        <v>44</v>
      </c>
      <c r="BE51" s="7" t="s">
        <v>112</v>
      </c>
      <c r="BF51" s="7" t="s">
        <v>126</v>
      </c>
      <c r="BG51" s="7" t="s">
        <v>112</v>
      </c>
    </row>
    <row r="52" spans="2:59" ht="18">
      <c r="B52" s="27"/>
      <c r="C52" s="108" t="s">
        <v>126</v>
      </c>
      <c r="D52" s="79" t="s">
        <v>172</v>
      </c>
      <c r="E52" s="264">
        <f>MAX(E46-E49,E46-E50)</f>
        <v>0.48765726625453842</v>
      </c>
      <c r="F52" s="265"/>
      <c r="G52" s="266">
        <f t="shared" ref="G52" si="15">MAX(G46-G49,G46-G50)</f>
        <v>0.62698790545108141</v>
      </c>
      <c r="H52" s="265"/>
      <c r="I52" s="266">
        <f t="shared" ref="I52:U52" si="16">MAX(I46-I49,I46-I50)</f>
        <v>0.41799194665626693</v>
      </c>
      <c r="J52" s="265"/>
      <c r="K52" s="266">
        <f t="shared" si="16"/>
        <v>-0.13933065165367353</v>
      </c>
      <c r="L52" s="265"/>
      <c r="M52" s="266">
        <f t="shared" si="16"/>
        <v>-0.34832661044848795</v>
      </c>
      <c r="N52" s="265"/>
      <c r="O52" s="266">
        <f t="shared" si="16"/>
        <v>-0.20899597125194502</v>
      </c>
      <c r="P52" s="265"/>
      <c r="Q52" s="266">
        <f t="shared" si="16"/>
        <v>-0.83598386839827254</v>
      </c>
      <c r="R52" s="265"/>
      <c r="S52" s="266">
        <f t="shared" si="16"/>
        <v>-0.41799195080864376</v>
      </c>
      <c r="T52" s="265"/>
      <c r="U52" s="266">
        <f t="shared" si="16"/>
        <v>-2.0761884156339505E-9</v>
      </c>
      <c r="V52" s="282"/>
      <c r="W52" s="121"/>
      <c r="X52" s="121"/>
      <c r="Y52" s="100"/>
      <c r="Z52" s="71"/>
      <c r="AB52" s="286"/>
      <c r="AC52" s="286"/>
      <c r="AD52" s="286"/>
      <c r="AE52" s="286"/>
      <c r="AF52" s="286"/>
      <c r="AG52" s="286"/>
      <c r="AH52" s="286"/>
      <c r="AI52" s="286"/>
      <c r="AJ52" s="286"/>
      <c r="AK52" s="286"/>
      <c r="AL52" s="286"/>
      <c r="AM52" s="286"/>
      <c r="AN52" s="286"/>
      <c r="AO52" s="286"/>
      <c r="AP52" s="286"/>
      <c r="AQ52" s="286"/>
      <c r="AR52" s="286"/>
      <c r="AS52" s="286"/>
      <c r="AT52" s="286"/>
      <c r="AU52" s="286"/>
      <c r="AV52" s="286"/>
      <c r="BD52" s="6">
        <v>45</v>
      </c>
      <c r="BE52" s="16" t="s">
        <v>150</v>
      </c>
      <c r="BF52" s="16" t="s">
        <v>151</v>
      </c>
      <c r="BG52" s="16" t="s">
        <v>149</v>
      </c>
    </row>
    <row r="53" spans="2:59" ht="15" customHeight="1">
      <c r="B53" s="27"/>
      <c r="C53" s="18"/>
      <c r="Y53" s="100"/>
      <c r="Z53" s="71"/>
      <c r="AB53" s="10"/>
      <c r="AC53" s="10" t="s">
        <v>59</v>
      </c>
      <c r="AD53" s="10" t="s">
        <v>60</v>
      </c>
      <c r="AE53" s="10" t="s">
        <v>61</v>
      </c>
      <c r="AF53" s="10" t="s">
        <v>19</v>
      </c>
      <c r="AG53" s="10" t="s">
        <v>82</v>
      </c>
      <c r="AH53" s="10" t="s">
        <v>286</v>
      </c>
      <c r="AI53" s="10" t="s">
        <v>287</v>
      </c>
      <c r="AJ53" s="10" t="s">
        <v>288</v>
      </c>
      <c r="AK53" s="10" t="s">
        <v>289</v>
      </c>
      <c r="AL53" s="287"/>
      <c r="AM53" s="10"/>
      <c r="AN53" s="10" t="s">
        <v>59</v>
      </c>
      <c r="AO53" s="10" t="s">
        <v>60</v>
      </c>
      <c r="AP53" s="10" t="s">
        <v>61</v>
      </c>
      <c r="AQ53" s="10" t="s">
        <v>19</v>
      </c>
      <c r="AR53" s="10" t="s">
        <v>82</v>
      </c>
      <c r="AS53" s="10" t="s">
        <v>286</v>
      </c>
      <c r="AT53" s="10" t="s">
        <v>287</v>
      </c>
      <c r="AU53" s="10" t="s">
        <v>288</v>
      </c>
      <c r="AV53" s="10" t="s">
        <v>289</v>
      </c>
      <c r="BD53" s="6">
        <v>46</v>
      </c>
      <c r="BE53" s="16" t="s">
        <v>32</v>
      </c>
      <c r="BF53" s="16" t="s">
        <v>152</v>
      </c>
      <c r="BG53" s="16" t="s">
        <v>153</v>
      </c>
    </row>
    <row r="54" spans="2:59" ht="15">
      <c r="B54" s="27"/>
      <c r="C54" s="283" t="s">
        <v>295</v>
      </c>
      <c r="D54" s="284"/>
      <c r="E54" s="284"/>
      <c r="F54" s="284"/>
      <c r="G54" s="284"/>
      <c r="H54" s="284"/>
      <c r="I54" s="284"/>
      <c r="J54" s="284"/>
      <c r="K54" s="284"/>
      <c r="L54" s="284"/>
      <c r="M54" s="284"/>
      <c r="N54" s="284"/>
      <c r="O54" s="284"/>
      <c r="P54" s="284"/>
      <c r="Q54" s="284"/>
      <c r="R54" s="284"/>
      <c r="S54" s="284"/>
      <c r="T54" s="284"/>
      <c r="U54" s="284"/>
      <c r="V54" s="285"/>
      <c r="Y54" s="100"/>
      <c r="Z54" s="71"/>
      <c r="AB54" s="10">
        <v>5</v>
      </c>
      <c r="AC54" s="10">
        <v>-1.7</v>
      </c>
      <c r="AD54" s="10">
        <v>-1.2</v>
      </c>
      <c r="AE54" s="10">
        <v>-0.6</v>
      </c>
      <c r="AF54" s="10">
        <v>-0.3</v>
      </c>
      <c r="AG54" s="10">
        <v>-0.6</v>
      </c>
      <c r="AH54" s="10">
        <v>-0.6</v>
      </c>
      <c r="AI54" s="10">
        <v>-1.2</v>
      </c>
      <c r="AJ54" s="10">
        <v>-0.6</v>
      </c>
      <c r="AK54" s="10">
        <v>-0.4</v>
      </c>
      <c r="AL54" s="288"/>
      <c r="AM54" s="10">
        <v>5</v>
      </c>
      <c r="AN54" s="10">
        <v>0</v>
      </c>
      <c r="AO54" s="10">
        <v>0</v>
      </c>
      <c r="AP54" s="10">
        <v>0</v>
      </c>
      <c r="AQ54" s="10">
        <v>-0.3</v>
      </c>
      <c r="AR54" s="10">
        <v>-0.6</v>
      </c>
      <c r="AS54" s="10">
        <v>-0.6</v>
      </c>
      <c r="AT54" s="10">
        <v>-1.2</v>
      </c>
      <c r="AU54" s="10">
        <v>-0.6</v>
      </c>
      <c r="AV54" s="10">
        <v>-0.4</v>
      </c>
      <c r="BD54" s="6">
        <v>47</v>
      </c>
      <c r="BE54" s="16" t="s">
        <v>58</v>
      </c>
      <c r="BF54" s="16" t="s">
        <v>154</v>
      </c>
      <c r="BG54" s="16" t="s">
        <v>155</v>
      </c>
    </row>
    <row r="55" spans="2:59" ht="15" customHeight="1">
      <c r="B55" s="27"/>
      <c r="C55" s="273" t="str">
        <f>VLOOKUP(25,$BD$8:$BG$65,1+MATCH($AB$7,$BE$7:$BG$7,0))</f>
        <v>Vùng</v>
      </c>
      <c r="D55" s="274"/>
      <c r="E55" s="275" t="s">
        <v>59</v>
      </c>
      <c r="F55" s="276"/>
      <c r="G55" s="277" t="s">
        <v>60</v>
      </c>
      <c r="H55" s="276"/>
      <c r="I55" s="277" t="s">
        <v>61</v>
      </c>
      <c r="J55" s="276"/>
      <c r="K55" s="277" t="s">
        <v>19</v>
      </c>
      <c r="L55" s="276"/>
      <c r="M55" s="277" t="s">
        <v>82</v>
      </c>
      <c r="N55" s="278"/>
      <c r="O55" s="279" t="s">
        <v>286</v>
      </c>
      <c r="P55" s="276"/>
      <c r="Q55" s="280" t="s">
        <v>287</v>
      </c>
      <c r="R55" s="276"/>
      <c r="S55" s="280" t="s">
        <v>288</v>
      </c>
      <c r="T55" s="276"/>
      <c r="U55" s="280" t="s">
        <v>289</v>
      </c>
      <c r="V55" s="278"/>
      <c r="Y55" s="100"/>
      <c r="Z55" s="71"/>
      <c r="AB55" s="10">
        <v>15</v>
      </c>
      <c r="AC55" s="10">
        <v>-0.9</v>
      </c>
      <c r="AD55" s="10">
        <v>-0.8</v>
      </c>
      <c r="AE55" s="10">
        <v>-0.3</v>
      </c>
      <c r="AF55" s="10">
        <v>-0.5</v>
      </c>
      <c r="AG55" s="10">
        <v>-1</v>
      </c>
      <c r="AH55" s="10">
        <v>-1.2</v>
      </c>
      <c r="AI55" s="10">
        <v>-1.4</v>
      </c>
      <c r="AJ55" s="10">
        <v>-0.6</v>
      </c>
      <c r="AK55" s="10">
        <v>-0.3</v>
      </c>
      <c r="AL55" s="288"/>
      <c r="AM55" s="10">
        <v>15</v>
      </c>
      <c r="AN55" s="10">
        <v>0.2</v>
      </c>
      <c r="AO55" s="10">
        <v>0.2</v>
      </c>
      <c r="AP55" s="10">
        <v>0.2</v>
      </c>
      <c r="AQ55" s="10">
        <v>-0.5</v>
      </c>
      <c r="AR55" s="10">
        <v>-1</v>
      </c>
      <c r="AS55" s="10">
        <v>-1.2</v>
      </c>
      <c r="AT55" s="10">
        <v>-1.4</v>
      </c>
      <c r="AU55" s="10">
        <v>-0.6</v>
      </c>
      <c r="AV55" s="10">
        <v>-0.3</v>
      </c>
      <c r="BD55" s="6">
        <v>48</v>
      </c>
      <c r="BE55" s="7" t="s">
        <v>142</v>
      </c>
      <c r="BF55" s="7" t="s">
        <v>156</v>
      </c>
      <c r="BG55" s="7" t="s">
        <v>157</v>
      </c>
    </row>
    <row r="56" spans="2:59" ht="15" customHeight="1">
      <c r="B56" s="27"/>
      <c r="C56" s="106" t="s">
        <v>125</v>
      </c>
      <c r="D56" s="105" t="s">
        <v>201</v>
      </c>
      <c r="E56" s="254">
        <f>AC60</f>
        <v>-0.5</v>
      </c>
      <c r="F56" s="255"/>
      <c r="G56" s="255">
        <f>AD60</f>
        <v>-0.5</v>
      </c>
      <c r="H56" s="255"/>
      <c r="I56" s="255">
        <f>AE60</f>
        <v>-0.20000000298023224</v>
      </c>
      <c r="J56" s="255"/>
      <c r="K56" s="255">
        <f>AF60</f>
        <v>-0.40000000596046448</v>
      </c>
      <c r="L56" s="255"/>
      <c r="M56" s="255">
        <f>AG60</f>
        <v>-0.69999998807907104</v>
      </c>
      <c r="N56" s="255"/>
      <c r="O56" s="255">
        <f>AH60</f>
        <v>-0.5</v>
      </c>
      <c r="P56" s="255"/>
      <c r="Q56" s="255">
        <f>AI60</f>
        <v>-1.3999999761581421</v>
      </c>
      <c r="R56" s="255"/>
      <c r="S56" s="255">
        <f>AJ60</f>
        <v>-0.80000001192092896</v>
      </c>
      <c r="T56" s="255"/>
      <c r="U56" s="255">
        <f>AK60</f>
        <v>-0.20000000298023224</v>
      </c>
      <c r="V56" s="269"/>
      <c r="Y56" s="100"/>
      <c r="Z56" s="71"/>
      <c r="AB56" s="10">
        <v>30</v>
      </c>
      <c r="AC56" s="10">
        <v>-0.5</v>
      </c>
      <c r="AD56" s="10">
        <v>-0.5</v>
      </c>
      <c r="AE56" s="10">
        <v>-0.2</v>
      </c>
      <c r="AF56" s="10">
        <v>-0.4</v>
      </c>
      <c r="AG56" s="10">
        <v>-0.7</v>
      </c>
      <c r="AH56" s="10">
        <v>-0.5</v>
      </c>
      <c r="AI56" s="10">
        <v>-1.4</v>
      </c>
      <c r="AJ56" s="10">
        <v>-0.8</v>
      </c>
      <c r="AK56" s="10">
        <v>-0.2</v>
      </c>
      <c r="AL56" s="288"/>
      <c r="AM56" s="10">
        <v>30</v>
      </c>
      <c r="AN56" s="10">
        <v>0.5</v>
      </c>
      <c r="AO56" s="10">
        <v>0.7</v>
      </c>
      <c r="AP56" s="10">
        <v>0.4</v>
      </c>
      <c r="AQ56" s="10">
        <v>-0.4</v>
      </c>
      <c r="AR56" s="10">
        <v>-0.7</v>
      </c>
      <c r="AS56" s="10">
        <v>-0.5</v>
      </c>
      <c r="AT56" s="10">
        <v>-1.4</v>
      </c>
      <c r="AU56" s="10">
        <v>-0.8</v>
      </c>
      <c r="AV56" s="10">
        <v>-0.2</v>
      </c>
      <c r="BD56" s="6">
        <v>49</v>
      </c>
      <c r="BE56" s="7" t="s">
        <v>145</v>
      </c>
      <c r="BF56" s="7" t="s">
        <v>158</v>
      </c>
      <c r="BG56" s="7" t="s">
        <v>159</v>
      </c>
    </row>
    <row r="57" spans="2:59" ht="15" customHeight="1">
      <c r="B57" s="27"/>
      <c r="C57" s="107" t="s">
        <v>126</v>
      </c>
      <c r="D57" s="95" t="s">
        <v>201</v>
      </c>
      <c r="E57" s="261">
        <f>AN60</f>
        <v>0.5</v>
      </c>
      <c r="F57" s="253"/>
      <c r="G57" s="253">
        <f>AO60</f>
        <v>0.69999998807907104</v>
      </c>
      <c r="H57" s="253"/>
      <c r="I57" s="253">
        <f>AP60</f>
        <v>0.40000000596046448</v>
      </c>
      <c r="J57" s="253"/>
      <c r="K57" s="253">
        <f>AQ60</f>
        <v>-0.40000000596046448</v>
      </c>
      <c r="L57" s="253"/>
      <c r="M57" s="253">
        <f>AR60</f>
        <v>-0.69999998807907104</v>
      </c>
      <c r="N57" s="253"/>
      <c r="O57" s="253">
        <f>AS60</f>
        <v>-0.5</v>
      </c>
      <c r="P57" s="253"/>
      <c r="Q57" s="253">
        <f>AT60</f>
        <v>-1.3999999761581421</v>
      </c>
      <c r="R57" s="253"/>
      <c r="S57" s="253">
        <f>AU60</f>
        <v>-0.80000001192092896</v>
      </c>
      <c r="T57" s="253"/>
      <c r="U57" s="253">
        <f>AV60</f>
        <v>-0.20000000298023224</v>
      </c>
      <c r="V57" s="270"/>
      <c r="Z57" s="19"/>
      <c r="AB57" s="10">
        <v>45</v>
      </c>
      <c r="AC57" s="10">
        <v>0</v>
      </c>
      <c r="AD57" s="10">
        <v>0</v>
      </c>
      <c r="AE57" s="10">
        <v>0</v>
      </c>
      <c r="AF57" s="10">
        <v>-0.3</v>
      </c>
      <c r="AG57" s="10">
        <v>-0.6</v>
      </c>
      <c r="AH57" s="10">
        <v>-0.3</v>
      </c>
      <c r="AI57" s="10">
        <v>-1.3</v>
      </c>
      <c r="AJ57" s="10">
        <v>-0.8</v>
      </c>
      <c r="AK57" s="10">
        <v>-0.2</v>
      </c>
      <c r="AL57" s="288"/>
      <c r="AM57" s="10">
        <v>45</v>
      </c>
      <c r="AN57" s="10">
        <v>0.7</v>
      </c>
      <c r="AO57" s="10">
        <v>0.7</v>
      </c>
      <c r="AP57" s="10">
        <v>0.6</v>
      </c>
      <c r="AQ57" s="10">
        <v>-0.3</v>
      </c>
      <c r="AR57" s="10">
        <v>-0.6</v>
      </c>
      <c r="AS57" s="10">
        <v>-0.3</v>
      </c>
      <c r="AT57" s="10">
        <v>-1.3</v>
      </c>
      <c r="AU57" s="10">
        <v>-0.8</v>
      </c>
      <c r="AV57" s="10">
        <v>-0.2</v>
      </c>
      <c r="BD57" s="6">
        <v>50</v>
      </c>
      <c r="BE57" s="7" t="s">
        <v>143</v>
      </c>
      <c r="BF57" s="7" t="s">
        <v>160</v>
      </c>
      <c r="BG57" s="7" t="s">
        <v>161</v>
      </c>
    </row>
    <row r="58" spans="2:59" ht="18">
      <c r="B58" s="27"/>
      <c r="C58" s="106" t="s">
        <v>125</v>
      </c>
      <c r="D58" s="96" t="s">
        <v>170</v>
      </c>
      <c r="E58" s="262">
        <f>$E$27*$Q$36*E56*$G$36</f>
        <v>-0.34832661875324172</v>
      </c>
      <c r="F58" s="263"/>
      <c r="G58" s="263">
        <f t="shared" ref="G58" si="17">$E$27*$Q$36*G56*$G$36</f>
        <v>-0.34832661875324172</v>
      </c>
      <c r="H58" s="263"/>
      <c r="I58" s="263">
        <f t="shared" ref="I58" si="18">$E$27*$Q$36*I56*$G$36</f>
        <v>-0.13933064957748512</v>
      </c>
      <c r="J58" s="263"/>
      <c r="K58" s="263">
        <f t="shared" ref="K58" si="19">$E$27*$Q$36*K56*$G$36</f>
        <v>-0.27866129915497023</v>
      </c>
      <c r="L58" s="263"/>
      <c r="M58" s="263">
        <f t="shared" ref="M58" si="20">$E$27*$Q$36*M56*$G$36</f>
        <v>-0.48765725794978465</v>
      </c>
      <c r="N58" s="263"/>
      <c r="O58" s="263">
        <f t="shared" ref="O58" si="21">$E$27*$Q$36*O56*$G$36</f>
        <v>-0.34832661875324172</v>
      </c>
      <c r="P58" s="263"/>
      <c r="Q58" s="263">
        <f t="shared" ref="Q58" si="22">$E$27*$Q$36*Q56*$G$36</f>
        <v>-0.9753145158995693</v>
      </c>
      <c r="R58" s="263"/>
      <c r="S58" s="263">
        <f t="shared" ref="S58" si="23">$E$27*$Q$36*S56*$G$36</f>
        <v>-0.55732259830994046</v>
      </c>
      <c r="T58" s="263"/>
      <c r="U58" s="263">
        <f t="shared" ref="U58" si="24">$E$27*$Q$36*U56*$G$36</f>
        <v>-0.13933064957748512</v>
      </c>
      <c r="V58" s="271"/>
      <c r="Z58" s="19"/>
      <c r="AB58" s="10">
        <v>60</v>
      </c>
      <c r="AC58" s="10">
        <v>0.7</v>
      </c>
      <c r="AD58" s="10">
        <v>0.7</v>
      </c>
      <c r="AE58" s="10">
        <v>0.7</v>
      </c>
      <c r="AF58" s="10">
        <v>-0.3</v>
      </c>
      <c r="AG58" s="10">
        <v>-0.6</v>
      </c>
      <c r="AH58" s="10">
        <v>-0.3</v>
      </c>
      <c r="AI58" s="10">
        <v>-1.2</v>
      </c>
      <c r="AJ58" s="10">
        <v>-0.4</v>
      </c>
      <c r="AK58" s="10">
        <v>-0.2</v>
      </c>
      <c r="AL58" s="288"/>
      <c r="AM58" s="10">
        <v>60</v>
      </c>
      <c r="AN58" s="10">
        <v>0.7</v>
      </c>
      <c r="AO58" s="10">
        <v>0.7</v>
      </c>
      <c r="AP58" s="10">
        <v>0.7</v>
      </c>
      <c r="AQ58" s="10">
        <v>-0.3</v>
      </c>
      <c r="AR58" s="10">
        <v>-0.6</v>
      </c>
      <c r="AS58" s="10">
        <v>-0.3</v>
      </c>
      <c r="AT58" s="10">
        <v>-1.2</v>
      </c>
      <c r="AU58" s="10">
        <v>-0.4</v>
      </c>
      <c r="AV58" s="10">
        <v>-0.2</v>
      </c>
      <c r="BD58" s="6">
        <v>51</v>
      </c>
      <c r="BE58" s="7" t="s">
        <v>144</v>
      </c>
      <c r="BF58" s="7" t="s">
        <v>162</v>
      </c>
      <c r="BG58" s="7" t="s">
        <v>163</v>
      </c>
    </row>
    <row r="59" spans="2:59" ht="18">
      <c r="B59" s="27"/>
      <c r="C59" s="107" t="s">
        <v>126</v>
      </c>
      <c r="D59" s="97" t="s">
        <v>170</v>
      </c>
      <c r="E59" s="261">
        <f>$E$27*$Q$36*E57*$G$36</f>
        <v>0.34832661875324172</v>
      </c>
      <c r="F59" s="253"/>
      <c r="G59" s="253">
        <f t="shared" ref="G59" si="25">$E$27*$Q$36*G57*$G$36</f>
        <v>0.48765725794978465</v>
      </c>
      <c r="H59" s="253"/>
      <c r="I59" s="253">
        <f t="shared" ref="I59" si="26">$E$27*$Q$36*I57*$G$36</f>
        <v>0.27866129915497023</v>
      </c>
      <c r="J59" s="253"/>
      <c r="K59" s="253">
        <f t="shared" ref="K59" si="27">$E$27*$Q$36*K57*$G$36</f>
        <v>-0.27866129915497023</v>
      </c>
      <c r="L59" s="253"/>
      <c r="M59" s="253">
        <f t="shared" ref="M59" si="28">$E$27*$Q$36*M57*$G$36</f>
        <v>-0.48765725794978465</v>
      </c>
      <c r="N59" s="253"/>
      <c r="O59" s="253">
        <f t="shared" ref="O59" si="29">$E$27*$Q$36*O57*$G$36</f>
        <v>-0.34832661875324172</v>
      </c>
      <c r="P59" s="253"/>
      <c r="Q59" s="253">
        <f t="shared" ref="Q59" si="30">$E$27*$Q$36*Q57*$G$36</f>
        <v>-0.9753145158995693</v>
      </c>
      <c r="R59" s="253"/>
      <c r="S59" s="253">
        <f t="shared" ref="S59" si="31">$E$27*$Q$36*S57*$G$36</f>
        <v>-0.55732259830994046</v>
      </c>
      <c r="T59" s="253"/>
      <c r="U59" s="253">
        <f t="shared" ref="U59" si="32">$E$27*$Q$36*U57*$G$36</f>
        <v>-0.13933064957748512</v>
      </c>
      <c r="V59" s="270"/>
      <c r="Z59" s="19"/>
      <c r="AB59" s="10">
        <v>75</v>
      </c>
      <c r="AC59" s="10">
        <v>0.8</v>
      </c>
      <c r="AD59" s="10">
        <v>0.8</v>
      </c>
      <c r="AE59" s="10">
        <v>0.8</v>
      </c>
      <c r="AF59" s="10">
        <v>-0.3</v>
      </c>
      <c r="AG59" s="10">
        <v>-0.6</v>
      </c>
      <c r="AH59" s="10">
        <v>-0.3</v>
      </c>
      <c r="AI59" s="10">
        <v>-1.2</v>
      </c>
      <c r="AJ59" s="10">
        <v>-0.4</v>
      </c>
      <c r="AK59" s="10">
        <v>-0.2</v>
      </c>
      <c r="AL59" s="288"/>
      <c r="AM59" s="10">
        <v>75</v>
      </c>
      <c r="AN59" s="10">
        <v>0.8</v>
      </c>
      <c r="AO59" s="10">
        <v>0.8</v>
      </c>
      <c r="AP59" s="10">
        <v>0.8</v>
      </c>
      <c r="AQ59" s="10">
        <v>-0.3</v>
      </c>
      <c r="AR59" s="10">
        <v>-0.6</v>
      </c>
      <c r="AS59" s="10">
        <v>-0.3</v>
      </c>
      <c r="AT59" s="10">
        <v>-1.2</v>
      </c>
      <c r="AU59" s="10">
        <v>-0.4</v>
      </c>
      <c r="AV59" s="10">
        <v>-0.2</v>
      </c>
      <c r="BD59" s="6">
        <v>52</v>
      </c>
      <c r="BE59" s="7" t="s">
        <v>146</v>
      </c>
      <c r="BF59" s="7" t="s">
        <v>164</v>
      </c>
      <c r="BG59" s="7" t="s">
        <v>165</v>
      </c>
    </row>
    <row r="60" spans="2:59" ht="18">
      <c r="B60" s="27"/>
      <c r="C60" s="106" t="s">
        <v>125</v>
      </c>
      <c r="D60" s="98" t="s">
        <v>202</v>
      </c>
      <c r="E60" s="262">
        <f>$M$31</f>
        <v>0.2</v>
      </c>
      <c r="F60" s="263"/>
      <c r="G60" s="263">
        <f t="shared" ref="G60:U60" si="33">$M$31</f>
        <v>0.2</v>
      </c>
      <c r="H60" s="263"/>
      <c r="I60" s="263">
        <f t="shared" si="33"/>
        <v>0.2</v>
      </c>
      <c r="J60" s="263"/>
      <c r="K60" s="263">
        <f t="shared" si="33"/>
        <v>0.2</v>
      </c>
      <c r="L60" s="263"/>
      <c r="M60" s="263">
        <f t="shared" si="33"/>
        <v>0.2</v>
      </c>
      <c r="N60" s="263"/>
      <c r="O60" s="263">
        <f t="shared" si="33"/>
        <v>0.2</v>
      </c>
      <c r="P60" s="263"/>
      <c r="Q60" s="263">
        <f t="shared" si="33"/>
        <v>0.2</v>
      </c>
      <c r="R60" s="263"/>
      <c r="S60" s="263">
        <f t="shared" si="33"/>
        <v>0.2</v>
      </c>
      <c r="T60" s="263"/>
      <c r="U60" s="263">
        <f t="shared" si="33"/>
        <v>0.2</v>
      </c>
      <c r="V60" s="271"/>
      <c r="Z60" s="19"/>
      <c r="AB60" s="10">
        <f>AB49</f>
        <v>30</v>
      </c>
      <c r="AC60" s="102" cm="1">
        <f t="array" ref="AC60">noisuy1chieu($AB$60,$AB$54:$AB$59,AC54:AC59)</f>
        <v>-0.5</v>
      </c>
      <c r="AD60" s="102" cm="1">
        <f t="array" ref="AD60">noisuy1chieu($AB$60,$AB$54:$AB$59,AD54:AD59)</f>
        <v>-0.5</v>
      </c>
      <c r="AE60" s="102" cm="1">
        <f t="array" ref="AE60">noisuy1chieu($AB$60,$AB$54:$AB$59,AE54:AE59)</f>
        <v>-0.20000000298023224</v>
      </c>
      <c r="AF60" s="102" cm="1">
        <f t="array" ref="AF60">noisuy1chieu($AB$60,$AB$54:$AB$59,AF54:AF59)</f>
        <v>-0.40000000596046448</v>
      </c>
      <c r="AG60" s="102" cm="1">
        <f t="array" ref="AG60">noisuy1chieu($AB$60,$AB$54:$AB$59,AG54:AG59)</f>
        <v>-0.69999998807907104</v>
      </c>
      <c r="AH60" s="102" cm="1">
        <f t="array" ref="AH60">noisuy1chieu($AB$60,$AB$54:$AB$59,AH54:AH59)</f>
        <v>-0.5</v>
      </c>
      <c r="AI60" s="102" cm="1">
        <f t="array" ref="AI60">noisuy1chieu($AB$60,$AB$54:$AB$59,AI54:AI59)</f>
        <v>-1.3999999761581421</v>
      </c>
      <c r="AJ60" s="102" cm="1">
        <f t="array" ref="AJ60">noisuy1chieu($AB$60,$AB$54:$AB$59,AJ54:AJ59)</f>
        <v>-0.80000001192092896</v>
      </c>
      <c r="AK60" s="102" cm="1">
        <f t="array" ref="AK60">noisuy1chieu($AB$60,$AB$54:$AB$59,AK54:AK59)</f>
        <v>-0.20000000298023224</v>
      </c>
      <c r="AL60" s="289"/>
      <c r="AM60" s="10">
        <f>AB49</f>
        <v>30</v>
      </c>
      <c r="AN60" s="102" cm="1">
        <f t="array" ref="AN60">noisuy1chieu($AM$60,$AM$54:$AM$59,AN54:AN59)</f>
        <v>0.5</v>
      </c>
      <c r="AO60" s="102" cm="1">
        <f t="array" ref="AO60">noisuy1chieu($AM$60,$AM$54:$AM$59,AO54:AO59)</f>
        <v>0.69999998807907104</v>
      </c>
      <c r="AP60" s="102" cm="1">
        <f t="array" ref="AP60">noisuy1chieu($AM$60,$AM$54:$AM$59,AP54:AP59)</f>
        <v>0.40000000596046448</v>
      </c>
      <c r="AQ60" s="102" cm="1">
        <f t="array" ref="AQ60">noisuy1chieu($AM$60,$AM$54:$AM$59,AQ54:AQ59)</f>
        <v>-0.40000000596046448</v>
      </c>
      <c r="AR60" s="102" cm="1">
        <f t="array" ref="AR60">noisuy1chieu($AM$60,$AM$54:$AM$59,AR54:AR59)</f>
        <v>-0.69999998807907104</v>
      </c>
      <c r="AS60" s="102" cm="1">
        <f t="array" ref="AS60">noisuy1chieu($AM$60,$AM$54:$AM$59,AS54:AS59)</f>
        <v>-0.5</v>
      </c>
      <c r="AT60" s="102" cm="1">
        <f t="array" ref="AT60">noisuy1chieu($AM$60,$AM$54:$AM$59,AT54:AT59)</f>
        <v>-1.3999999761581421</v>
      </c>
      <c r="AU60" s="102" cm="1">
        <f t="array" ref="AU60">noisuy1chieu($AM$60,$AM$54:$AM$59,AU54:AU59)</f>
        <v>-0.80000001192092896</v>
      </c>
      <c r="AV60" s="102" cm="1">
        <f t="array" ref="AV60">noisuy1chieu($AM$60,$AM$54:$AM$59,AV54:AV59)</f>
        <v>-0.20000000298023224</v>
      </c>
      <c r="BD60" s="6">
        <v>53</v>
      </c>
      <c r="BE60" s="7" t="s">
        <v>139</v>
      </c>
      <c r="BF60" s="7" t="s">
        <v>140</v>
      </c>
      <c r="BG60" s="7" t="s">
        <v>141</v>
      </c>
    </row>
    <row r="61" spans="2:59" ht="18">
      <c r="B61" s="27"/>
      <c r="C61" s="107" t="s">
        <v>126</v>
      </c>
      <c r="D61" s="95" t="s">
        <v>202</v>
      </c>
      <c r="E61" s="261">
        <f>$M$32</f>
        <v>-0.2</v>
      </c>
      <c r="F61" s="253"/>
      <c r="G61" s="253">
        <f t="shared" ref="G61" si="34">$M$32</f>
        <v>-0.2</v>
      </c>
      <c r="H61" s="253"/>
      <c r="I61" s="253">
        <f t="shared" ref="I61" si="35">$M$32</f>
        <v>-0.2</v>
      </c>
      <c r="J61" s="253"/>
      <c r="K61" s="253">
        <f t="shared" ref="K61" si="36">$M$32</f>
        <v>-0.2</v>
      </c>
      <c r="L61" s="253"/>
      <c r="M61" s="253">
        <f t="shared" ref="M61:U61" si="37">$M$32</f>
        <v>-0.2</v>
      </c>
      <c r="N61" s="253"/>
      <c r="O61" s="253">
        <f t="shared" si="37"/>
        <v>-0.2</v>
      </c>
      <c r="P61" s="253"/>
      <c r="Q61" s="253">
        <f t="shared" si="37"/>
        <v>-0.2</v>
      </c>
      <c r="R61" s="253"/>
      <c r="S61" s="253">
        <f t="shared" si="37"/>
        <v>-0.2</v>
      </c>
      <c r="T61" s="253"/>
      <c r="U61" s="253">
        <f t="shared" si="37"/>
        <v>-0.2</v>
      </c>
      <c r="V61" s="270"/>
      <c r="Z61" s="19"/>
      <c r="BD61" s="6">
        <v>54</v>
      </c>
      <c r="BE61" s="16" t="s">
        <v>169</v>
      </c>
      <c r="BF61" s="16" t="s">
        <v>168</v>
      </c>
      <c r="BG61" s="16" t="s">
        <v>169</v>
      </c>
    </row>
    <row r="62" spans="2:59" ht="18">
      <c r="B62" s="27"/>
      <c r="C62" s="106" t="s">
        <v>125</v>
      </c>
      <c r="D62" s="96" t="s">
        <v>171</v>
      </c>
      <c r="E62" s="262">
        <f>$E$27*$Q$36*E60*$G$36</f>
        <v>0.1393306475012967</v>
      </c>
      <c r="F62" s="263"/>
      <c r="G62" s="263">
        <f t="shared" ref="G62" si="38">$E$27*$Q$36*G60*$G$36</f>
        <v>0.1393306475012967</v>
      </c>
      <c r="H62" s="263"/>
      <c r="I62" s="263">
        <f t="shared" ref="I62" si="39">$E$27*$Q$36*I60*$G$36</f>
        <v>0.1393306475012967</v>
      </c>
      <c r="J62" s="263"/>
      <c r="K62" s="263">
        <f t="shared" ref="K62" si="40">$E$27*$Q$36*K60*$G$36</f>
        <v>0.1393306475012967</v>
      </c>
      <c r="L62" s="263"/>
      <c r="M62" s="263">
        <f t="shared" ref="M62" si="41">$E$27*$Q$36*M60*$G$36</f>
        <v>0.1393306475012967</v>
      </c>
      <c r="N62" s="263"/>
      <c r="O62" s="263">
        <f t="shared" ref="O62" si="42">$E$27*$Q$36*O60*$G$36</f>
        <v>0.1393306475012967</v>
      </c>
      <c r="P62" s="263"/>
      <c r="Q62" s="263">
        <f t="shared" ref="Q62" si="43">$E$27*$Q$36*Q60*$G$36</f>
        <v>0.1393306475012967</v>
      </c>
      <c r="R62" s="263"/>
      <c r="S62" s="263">
        <f t="shared" ref="S62" si="44">$E$27*$Q$36*S60*$G$36</f>
        <v>0.1393306475012967</v>
      </c>
      <c r="T62" s="263"/>
      <c r="U62" s="263">
        <f t="shared" ref="U62" si="45">$E$27*$Q$36*U60*$G$36</f>
        <v>0.1393306475012967</v>
      </c>
      <c r="V62" s="271"/>
      <c r="Z62" s="19"/>
      <c r="AB62" s="286" t="s">
        <v>292</v>
      </c>
      <c r="AC62" s="286"/>
      <c r="AD62" s="286"/>
      <c r="AE62" s="286"/>
      <c r="AF62" s="286"/>
      <c r="AG62" s="286"/>
      <c r="AH62" s="286"/>
      <c r="AI62" s="286"/>
      <c r="AJ62" s="286"/>
      <c r="AK62" s="286"/>
      <c r="AL62" s="286"/>
      <c r="AM62" s="286"/>
      <c r="AN62" s="286"/>
      <c r="AO62" s="286"/>
      <c r="AP62" s="286"/>
      <c r="AQ62" s="286"/>
      <c r="AR62" s="286"/>
      <c r="AS62" s="286"/>
      <c r="AT62" s="286"/>
      <c r="AU62" s="286"/>
      <c r="AV62" s="286"/>
      <c r="BD62" s="6">
        <v>55</v>
      </c>
      <c r="BE62" s="21" t="s">
        <v>180</v>
      </c>
      <c r="BF62" s="21" t="s">
        <v>116</v>
      </c>
      <c r="BG62" s="21" t="s">
        <v>179</v>
      </c>
    </row>
    <row r="63" spans="2:59" ht="18">
      <c r="B63" s="27"/>
      <c r="C63" s="107" t="s">
        <v>126</v>
      </c>
      <c r="D63" s="97" t="s">
        <v>171</v>
      </c>
      <c r="E63" s="261">
        <f t="shared" ref="E63" si="46">$E$27*$Q$36*E61*$G$36</f>
        <v>-0.1393306475012967</v>
      </c>
      <c r="F63" s="253"/>
      <c r="G63" s="253">
        <f t="shared" ref="G63" si="47">$E$27*$Q$36*G61*$G$36</f>
        <v>-0.1393306475012967</v>
      </c>
      <c r="H63" s="253"/>
      <c r="I63" s="253">
        <f t="shared" ref="I63" si="48">$E$27*$Q$36*I61*$G$36</f>
        <v>-0.1393306475012967</v>
      </c>
      <c r="J63" s="253"/>
      <c r="K63" s="253">
        <f t="shared" ref="K63" si="49">$E$27*$Q$36*K61*$G$36</f>
        <v>-0.1393306475012967</v>
      </c>
      <c r="L63" s="253"/>
      <c r="M63" s="253">
        <f t="shared" ref="M63" si="50">$E$27*$Q$36*M61*$G$36</f>
        <v>-0.1393306475012967</v>
      </c>
      <c r="N63" s="253"/>
      <c r="O63" s="253">
        <f t="shared" ref="O63" si="51">$E$27*$Q$36*O61*$G$36</f>
        <v>-0.1393306475012967</v>
      </c>
      <c r="P63" s="253"/>
      <c r="Q63" s="253">
        <f t="shared" ref="Q63" si="52">$E$27*$Q$36*Q61*$G$36</f>
        <v>-0.1393306475012967</v>
      </c>
      <c r="R63" s="253"/>
      <c r="S63" s="253">
        <f t="shared" ref="S63" si="53">$E$27*$Q$36*S61*$G$36</f>
        <v>-0.1393306475012967</v>
      </c>
      <c r="T63" s="253"/>
      <c r="U63" s="253">
        <f t="shared" ref="U63" si="54">$E$27*$Q$36*U61*$G$36</f>
        <v>-0.1393306475012967</v>
      </c>
      <c r="V63" s="270"/>
      <c r="Z63" s="19"/>
      <c r="AB63" s="286"/>
      <c r="AC63" s="286"/>
      <c r="AD63" s="286"/>
      <c r="AE63" s="286"/>
      <c r="AF63" s="286"/>
      <c r="AG63" s="286"/>
      <c r="AH63" s="286"/>
      <c r="AI63" s="286"/>
      <c r="AJ63" s="286"/>
      <c r="AK63" s="286"/>
      <c r="AL63" s="286"/>
      <c r="AM63" s="286"/>
      <c r="AN63" s="286"/>
      <c r="AO63" s="286"/>
      <c r="AP63" s="286"/>
      <c r="AQ63" s="286"/>
      <c r="AR63" s="286"/>
      <c r="AS63" s="286"/>
      <c r="AT63" s="286"/>
      <c r="AU63" s="286"/>
      <c r="AV63" s="286"/>
      <c r="BD63" s="6">
        <v>56</v>
      </c>
      <c r="BE63" s="21" t="s">
        <v>181</v>
      </c>
      <c r="BF63" s="21" t="s">
        <v>183</v>
      </c>
      <c r="BG63" s="21" t="s">
        <v>185</v>
      </c>
    </row>
    <row r="64" spans="2:59" ht="18">
      <c r="B64" s="27"/>
      <c r="C64" s="106" t="s">
        <v>125</v>
      </c>
      <c r="D64" s="96" t="s">
        <v>172</v>
      </c>
      <c r="E64" s="267">
        <f>MIN(E58-E62,E58-E63)</f>
        <v>-0.48765726625453842</v>
      </c>
      <c r="F64" s="268"/>
      <c r="G64" s="268">
        <f t="shared" ref="G64" si="55">MIN(G58-G62,G58-G63)</f>
        <v>-0.48765726625453842</v>
      </c>
      <c r="H64" s="268"/>
      <c r="I64" s="268">
        <f t="shared" ref="I64" si="56">MIN(I58-I62,I58-I63)</f>
        <v>-0.27866129707878184</v>
      </c>
      <c r="J64" s="268"/>
      <c r="K64" s="268">
        <f t="shared" ref="K64" si="57">MIN(K58-K62,K58-K63)</f>
        <v>-0.41799194665626693</v>
      </c>
      <c r="L64" s="268"/>
      <c r="M64" s="268">
        <f t="shared" ref="M64" si="58">MIN(M58-M62,M58-M63)</f>
        <v>-0.62698790545108141</v>
      </c>
      <c r="N64" s="268"/>
      <c r="O64" s="268">
        <f t="shared" ref="O64" si="59">MIN(O58-O62,O58-O63)</f>
        <v>-0.48765726625453842</v>
      </c>
      <c r="P64" s="268"/>
      <c r="Q64" s="268">
        <f t="shared" ref="Q64" si="60">MIN(Q58-Q62,Q58-Q63)</f>
        <v>-1.1146451634008661</v>
      </c>
      <c r="R64" s="268"/>
      <c r="S64" s="268">
        <f t="shared" ref="S64" si="61">MIN(S58-S62,S58-S63)</f>
        <v>-0.69665324581123711</v>
      </c>
      <c r="T64" s="268"/>
      <c r="U64" s="268">
        <f t="shared" ref="U64" si="62">MIN(U58-U62,U58-U63)</f>
        <v>-0.27866129707878184</v>
      </c>
      <c r="V64" s="272"/>
      <c r="Z64" s="19"/>
      <c r="AB64" s="10"/>
      <c r="AC64" s="10" t="s">
        <v>59</v>
      </c>
      <c r="AD64" s="10" t="s">
        <v>60</v>
      </c>
      <c r="AE64" s="10" t="s">
        <v>61</v>
      </c>
      <c r="AF64" s="10" t="s">
        <v>19</v>
      </c>
      <c r="AG64" s="10" t="s">
        <v>82</v>
      </c>
      <c r="AH64" s="10" t="s">
        <v>286</v>
      </c>
      <c r="AI64" s="10" t="s">
        <v>287</v>
      </c>
      <c r="AJ64" s="10" t="s">
        <v>288</v>
      </c>
      <c r="AK64" s="10" t="s">
        <v>289</v>
      </c>
      <c r="AL64" s="287"/>
      <c r="AM64" s="10"/>
      <c r="AN64" s="10" t="s">
        <v>59</v>
      </c>
      <c r="AO64" s="10" t="s">
        <v>60</v>
      </c>
      <c r="AP64" s="10" t="s">
        <v>61</v>
      </c>
      <c r="AQ64" s="10" t="s">
        <v>19</v>
      </c>
      <c r="AR64" s="10" t="s">
        <v>82</v>
      </c>
      <c r="AS64" s="10" t="s">
        <v>286</v>
      </c>
      <c r="AT64" s="10" t="s">
        <v>287</v>
      </c>
      <c r="AU64" s="10" t="s">
        <v>288</v>
      </c>
      <c r="AV64" s="10" t="s">
        <v>289</v>
      </c>
      <c r="BD64" s="6">
        <v>57</v>
      </c>
      <c r="BE64" s="21" t="s">
        <v>182</v>
      </c>
      <c r="BF64" s="21" t="s">
        <v>184</v>
      </c>
      <c r="BG64" s="21" t="s">
        <v>186</v>
      </c>
    </row>
    <row r="65" spans="2:59" ht="18">
      <c r="B65" s="27"/>
      <c r="C65" s="108" t="s">
        <v>126</v>
      </c>
      <c r="D65" s="79" t="s">
        <v>172</v>
      </c>
      <c r="E65" s="264">
        <f>MAX(E59-E62,E59-E63)</f>
        <v>0.48765726625453842</v>
      </c>
      <c r="F65" s="265"/>
      <c r="G65" s="266">
        <f t="shared" ref="G65" si="63">MAX(G59-G62,G59-G63)</f>
        <v>0.62698790545108141</v>
      </c>
      <c r="H65" s="265"/>
      <c r="I65" s="266">
        <f t="shared" ref="I65" si="64">MAX(I59-I62,I59-I63)</f>
        <v>0.41799194665626693</v>
      </c>
      <c r="J65" s="265"/>
      <c r="K65" s="266">
        <f t="shared" ref="K65" si="65">MAX(K59-K62,K59-K63)</f>
        <v>-0.13933065165367353</v>
      </c>
      <c r="L65" s="265"/>
      <c r="M65" s="266">
        <f t="shared" ref="M65" si="66">MAX(M59-M62,M59-M63)</f>
        <v>-0.34832661044848795</v>
      </c>
      <c r="N65" s="265"/>
      <c r="O65" s="266">
        <f t="shared" ref="O65" si="67">MAX(O59-O62,O59-O63)</f>
        <v>-0.20899597125194502</v>
      </c>
      <c r="P65" s="265"/>
      <c r="Q65" s="266">
        <f t="shared" ref="Q65" si="68">MAX(Q59-Q62,Q59-Q63)</f>
        <v>-0.83598386839827254</v>
      </c>
      <c r="R65" s="265"/>
      <c r="S65" s="266">
        <f t="shared" ref="S65" si="69">MAX(S59-S62,S59-S63)</f>
        <v>-0.41799195080864376</v>
      </c>
      <c r="T65" s="265"/>
      <c r="U65" s="266">
        <f t="shared" ref="U65" si="70">MAX(U59-U62,U59-U63)</f>
        <v>-2.0761884156339505E-9</v>
      </c>
      <c r="V65" s="282"/>
      <c r="Z65" s="19"/>
      <c r="AB65" s="10">
        <v>5</v>
      </c>
      <c r="AC65" s="10">
        <v>-1.7</v>
      </c>
      <c r="AD65" s="10">
        <v>-1.2</v>
      </c>
      <c r="AE65" s="10">
        <v>-0.6</v>
      </c>
      <c r="AF65" s="10">
        <v>-0.3</v>
      </c>
      <c r="AG65" s="10">
        <v>-0.6</v>
      </c>
      <c r="AH65" s="10">
        <v>-0.6</v>
      </c>
      <c r="AI65" s="10">
        <v>-1.2</v>
      </c>
      <c r="AJ65" s="10">
        <v>-0.6</v>
      </c>
      <c r="AK65" s="10">
        <v>-0.4</v>
      </c>
      <c r="AL65" s="288"/>
      <c r="AM65" s="10">
        <v>5</v>
      </c>
      <c r="AN65" s="10">
        <v>0</v>
      </c>
      <c r="AO65" s="10">
        <v>0</v>
      </c>
      <c r="AP65" s="10">
        <v>0</v>
      </c>
      <c r="AQ65" s="10">
        <v>-0.3</v>
      </c>
      <c r="AR65" s="10">
        <v>-0.6</v>
      </c>
      <c r="AS65" s="10">
        <v>-0.6</v>
      </c>
      <c r="AT65" s="10">
        <v>-1.2</v>
      </c>
      <c r="AU65" s="10">
        <v>-0.6</v>
      </c>
      <c r="AV65" s="10">
        <v>-0.4</v>
      </c>
      <c r="BD65" s="6">
        <v>58</v>
      </c>
      <c r="BE65" s="21" t="s">
        <v>187</v>
      </c>
      <c r="BF65" s="21" t="s">
        <v>199</v>
      </c>
      <c r="BG65" s="21" t="s">
        <v>200</v>
      </c>
    </row>
    <row r="66" spans="2:59">
      <c r="C66" s="18"/>
      <c r="Z66" s="19"/>
      <c r="AB66" s="10">
        <v>15</v>
      </c>
      <c r="AC66" s="10">
        <v>-0.9</v>
      </c>
      <c r="AD66" s="10">
        <v>-0.8</v>
      </c>
      <c r="AE66" s="10">
        <v>-0.3</v>
      </c>
      <c r="AF66" s="10">
        <v>-0.5</v>
      </c>
      <c r="AG66" s="10">
        <v>-1</v>
      </c>
      <c r="AH66" s="10">
        <v>-1.2</v>
      </c>
      <c r="AI66" s="10">
        <v>-1.4</v>
      </c>
      <c r="AJ66" s="10">
        <v>-0.6</v>
      </c>
      <c r="AK66" s="10">
        <v>-0.3</v>
      </c>
      <c r="AL66" s="288"/>
      <c r="AM66" s="10">
        <v>15</v>
      </c>
      <c r="AN66" s="10">
        <v>0.2</v>
      </c>
      <c r="AO66" s="10">
        <v>0.2</v>
      </c>
      <c r="AP66" s="10">
        <v>0.2</v>
      </c>
      <c r="AQ66" s="10">
        <v>-0.5</v>
      </c>
      <c r="AR66" s="10">
        <v>-1</v>
      </c>
      <c r="AS66" s="10">
        <v>-1.2</v>
      </c>
      <c r="AT66" s="10">
        <v>-1.4</v>
      </c>
      <c r="AU66" s="10">
        <v>-0.6</v>
      </c>
      <c r="AV66" s="10">
        <v>-0.3</v>
      </c>
    </row>
    <row r="67" spans="2:59">
      <c r="C67" s="18"/>
      <c r="Z67" s="19"/>
      <c r="AB67" s="10">
        <v>30</v>
      </c>
      <c r="AC67" s="10">
        <v>-0.5</v>
      </c>
      <c r="AD67" s="10">
        <v>-0.5</v>
      </c>
      <c r="AE67" s="10">
        <v>-0.2</v>
      </c>
      <c r="AF67" s="10">
        <v>-0.4</v>
      </c>
      <c r="AG67" s="10">
        <v>-0.7</v>
      </c>
      <c r="AH67" s="10">
        <v>-0.5</v>
      </c>
      <c r="AI67" s="10">
        <v>-1.4</v>
      </c>
      <c r="AJ67" s="10">
        <v>-0.8</v>
      </c>
      <c r="AK67" s="10">
        <v>-0.2</v>
      </c>
      <c r="AL67" s="288"/>
      <c r="AM67" s="10">
        <v>30</v>
      </c>
      <c r="AN67" s="10">
        <v>0.5</v>
      </c>
      <c r="AO67" s="10">
        <v>0.7</v>
      </c>
      <c r="AP67" s="10">
        <v>0.4</v>
      </c>
      <c r="AQ67" s="10">
        <v>-0.4</v>
      </c>
      <c r="AR67" s="10">
        <v>-0.7</v>
      </c>
      <c r="AS67" s="10">
        <v>-0.5</v>
      </c>
      <c r="AT67" s="10">
        <v>-1.4</v>
      </c>
      <c r="AU67" s="10">
        <v>-0.8</v>
      </c>
      <c r="AV67" s="10">
        <v>-0.2</v>
      </c>
    </row>
    <row r="68" spans="2:59" ht="15">
      <c r="C68" s="283" t="s">
        <v>300</v>
      </c>
      <c r="D68" s="284"/>
      <c r="E68" s="284"/>
      <c r="F68" s="284"/>
      <c r="G68" s="284"/>
      <c r="H68" s="284"/>
      <c r="I68" s="284"/>
      <c r="J68" s="284"/>
      <c r="K68" s="284"/>
      <c r="L68" s="284"/>
      <c r="M68" s="284"/>
      <c r="N68" s="284"/>
      <c r="O68" s="284"/>
      <c r="P68" s="284"/>
      <c r="Q68" s="284"/>
      <c r="R68" s="284"/>
      <c r="S68" s="284"/>
      <c r="T68" s="284"/>
      <c r="U68" s="284"/>
      <c r="V68" s="285"/>
      <c r="Z68" s="19"/>
      <c r="AB68" s="10">
        <v>45</v>
      </c>
      <c r="AC68" s="10">
        <v>0</v>
      </c>
      <c r="AD68" s="10">
        <v>0</v>
      </c>
      <c r="AE68" s="10">
        <v>0</v>
      </c>
      <c r="AF68" s="10">
        <v>-0.3</v>
      </c>
      <c r="AG68" s="10">
        <v>-0.6</v>
      </c>
      <c r="AH68" s="10">
        <v>-0.3</v>
      </c>
      <c r="AI68" s="10">
        <v>-1.3</v>
      </c>
      <c r="AJ68" s="10">
        <v>-0.8</v>
      </c>
      <c r="AK68" s="10">
        <v>-0.2</v>
      </c>
      <c r="AL68" s="288"/>
      <c r="AM68" s="10">
        <v>45</v>
      </c>
      <c r="AN68" s="10">
        <v>0.7</v>
      </c>
      <c r="AO68" s="10">
        <v>0.7</v>
      </c>
      <c r="AP68" s="10">
        <v>0.6</v>
      </c>
      <c r="AQ68" s="10">
        <v>-0.3</v>
      </c>
      <c r="AR68" s="10">
        <v>-0.6</v>
      </c>
      <c r="AS68" s="10">
        <v>-0.3</v>
      </c>
      <c r="AT68" s="10">
        <v>-1.3</v>
      </c>
      <c r="AU68" s="10">
        <v>-0.8</v>
      </c>
      <c r="AV68" s="10">
        <v>-0.2</v>
      </c>
    </row>
    <row r="69" spans="2:59" ht="15" customHeight="1">
      <c r="C69" s="273" t="str">
        <f>VLOOKUP(25,$BD$8:$BG$65,1+MATCH($AB$7,$BE$7:$BG$7,0))</f>
        <v>Vùng</v>
      </c>
      <c r="D69" s="274"/>
      <c r="E69" s="275" t="s">
        <v>59</v>
      </c>
      <c r="F69" s="276"/>
      <c r="G69" s="277" t="s">
        <v>60</v>
      </c>
      <c r="H69" s="276"/>
      <c r="I69" s="277" t="s">
        <v>61</v>
      </c>
      <c r="J69" s="276"/>
      <c r="K69" s="277" t="s">
        <v>19</v>
      </c>
      <c r="L69" s="276"/>
      <c r="M69" s="277" t="s">
        <v>82</v>
      </c>
      <c r="N69" s="278"/>
      <c r="O69" s="279" t="s">
        <v>286</v>
      </c>
      <c r="P69" s="276"/>
      <c r="Q69" s="280" t="s">
        <v>287</v>
      </c>
      <c r="R69" s="276"/>
      <c r="S69" s="280" t="s">
        <v>288</v>
      </c>
      <c r="T69" s="276"/>
      <c r="U69" s="280" t="s">
        <v>289</v>
      </c>
      <c r="V69" s="278"/>
      <c r="Z69" s="19"/>
      <c r="AB69" s="10">
        <v>60</v>
      </c>
      <c r="AC69" s="10">
        <v>0.7</v>
      </c>
      <c r="AD69" s="10">
        <v>0.7</v>
      </c>
      <c r="AE69" s="10">
        <v>0.7</v>
      </c>
      <c r="AF69" s="10">
        <v>-0.3</v>
      </c>
      <c r="AG69" s="10">
        <v>-0.6</v>
      </c>
      <c r="AH69" s="10">
        <v>-0.3</v>
      </c>
      <c r="AI69" s="10">
        <v>-1.2</v>
      </c>
      <c r="AJ69" s="10">
        <v>-0.4</v>
      </c>
      <c r="AK69" s="10">
        <v>-0.2</v>
      </c>
      <c r="AL69" s="288"/>
      <c r="AM69" s="10">
        <v>60</v>
      </c>
      <c r="AN69" s="10">
        <v>0.7</v>
      </c>
      <c r="AO69" s="10">
        <v>0.7</v>
      </c>
      <c r="AP69" s="10">
        <v>0.7</v>
      </c>
      <c r="AQ69" s="10">
        <v>-0.3</v>
      </c>
      <c r="AR69" s="10">
        <v>-0.6</v>
      </c>
      <c r="AS69" s="10">
        <v>-0.3</v>
      </c>
      <c r="AT69" s="10">
        <v>-1.2</v>
      </c>
      <c r="AU69" s="10">
        <v>-0.4</v>
      </c>
      <c r="AV69" s="10">
        <v>-0.2</v>
      </c>
    </row>
    <row r="70" spans="2:59" ht="15" customHeight="1">
      <c r="C70" s="106" t="s">
        <v>125</v>
      </c>
      <c r="D70" s="105" t="s">
        <v>201</v>
      </c>
      <c r="E70" s="254">
        <f>AC71</f>
        <v>-0.76666665077209473</v>
      </c>
      <c r="F70" s="255"/>
      <c r="G70" s="255">
        <f>AD71</f>
        <v>-0.69999998807907104</v>
      </c>
      <c r="H70" s="255"/>
      <c r="I70" s="255">
        <f>AE71</f>
        <v>-0.26666668057441711</v>
      </c>
      <c r="J70" s="255"/>
      <c r="K70" s="255">
        <f>AF71</f>
        <v>-0.46666666865348816</v>
      </c>
      <c r="L70" s="255"/>
      <c r="M70" s="255">
        <f>AG71</f>
        <v>-0.89999997615814209</v>
      </c>
      <c r="N70" s="255"/>
      <c r="O70" s="255">
        <f>AH71</f>
        <v>-0.96666669845581055</v>
      </c>
      <c r="P70" s="255"/>
      <c r="Q70" s="255">
        <f>AI71</f>
        <v>-1.3999999761581421</v>
      </c>
      <c r="R70" s="255"/>
      <c r="S70" s="255">
        <f>AJ71</f>
        <v>-0.66666668653488159</v>
      </c>
      <c r="T70" s="255"/>
      <c r="U70" s="255">
        <f>AK71</f>
        <v>-0.26666668057441711</v>
      </c>
      <c r="V70" s="269"/>
      <c r="Z70" s="19"/>
      <c r="AB70" s="10">
        <v>75</v>
      </c>
      <c r="AC70" s="10">
        <v>0.8</v>
      </c>
      <c r="AD70" s="10">
        <v>0.8</v>
      </c>
      <c r="AE70" s="10">
        <v>0.8</v>
      </c>
      <c r="AF70" s="10">
        <v>-0.3</v>
      </c>
      <c r="AG70" s="10">
        <v>-0.6</v>
      </c>
      <c r="AH70" s="10">
        <v>-0.3</v>
      </c>
      <c r="AI70" s="10">
        <v>-1.2</v>
      </c>
      <c r="AJ70" s="10">
        <v>-0.4</v>
      </c>
      <c r="AK70" s="10">
        <v>-0.2</v>
      </c>
      <c r="AL70" s="288"/>
      <c r="AM70" s="10">
        <v>75</v>
      </c>
      <c r="AN70" s="10">
        <v>0.8</v>
      </c>
      <c r="AO70" s="10">
        <v>0.8</v>
      </c>
      <c r="AP70" s="10">
        <v>0.8</v>
      </c>
      <c r="AQ70" s="10">
        <v>-0.3</v>
      </c>
      <c r="AR70" s="10">
        <v>-0.6</v>
      </c>
      <c r="AS70" s="10">
        <v>-0.3</v>
      </c>
      <c r="AT70" s="10">
        <v>-1.2</v>
      </c>
      <c r="AU70" s="10">
        <v>-0.4</v>
      </c>
      <c r="AV70" s="10">
        <v>-0.2</v>
      </c>
    </row>
    <row r="71" spans="2:59" ht="18">
      <c r="C71" s="107" t="s">
        <v>126</v>
      </c>
      <c r="D71" s="95" t="s">
        <v>201</v>
      </c>
      <c r="E71" s="261">
        <f>AN71</f>
        <v>0.30000001192092896</v>
      </c>
      <c r="F71" s="253"/>
      <c r="G71" s="253">
        <f>AO71</f>
        <v>0.36666667461395264</v>
      </c>
      <c r="H71" s="253"/>
      <c r="I71" s="253">
        <f>AP71</f>
        <v>0.26666668057441711</v>
      </c>
      <c r="J71" s="253"/>
      <c r="K71" s="253">
        <f>AQ71</f>
        <v>-0.46666666865348816</v>
      </c>
      <c r="L71" s="253"/>
      <c r="M71" s="253">
        <f>AR71</f>
        <v>-0.89999997615814209</v>
      </c>
      <c r="N71" s="253"/>
      <c r="O71" s="253">
        <f>AS71</f>
        <v>-0.96666669845581055</v>
      </c>
      <c r="P71" s="253"/>
      <c r="Q71" s="253">
        <f>AT71</f>
        <v>-1.3999999761581421</v>
      </c>
      <c r="R71" s="253"/>
      <c r="S71" s="253">
        <f>AU71</f>
        <v>-0.66666668653488159</v>
      </c>
      <c r="T71" s="253"/>
      <c r="U71" s="253">
        <f>AV71</f>
        <v>-0.26666668057441711</v>
      </c>
      <c r="V71" s="270"/>
      <c r="Z71" s="19"/>
      <c r="AB71" s="110">
        <f>M20</f>
        <v>20</v>
      </c>
      <c r="AC71" s="102" cm="1">
        <f t="array" ref="AC71">noisuy1chieu($AB$71,$AB$65:$AB$70,AC65:AC70)</f>
        <v>-0.76666665077209473</v>
      </c>
      <c r="AD71" s="102" cm="1">
        <f t="array" ref="AD71">noisuy1chieu($AB$71,$AB$65:$AB$70,AD65:AD70)</f>
        <v>-0.69999998807907104</v>
      </c>
      <c r="AE71" s="102" cm="1">
        <f t="array" ref="AE71">noisuy1chieu($AB$71,$AB$65:$AB$70,AE65:AE70)</f>
        <v>-0.26666668057441711</v>
      </c>
      <c r="AF71" s="102" cm="1">
        <f t="array" ref="AF71">noisuy1chieu($AB$71,$AB$65:$AB$70,AF65:AF70)</f>
        <v>-0.46666666865348816</v>
      </c>
      <c r="AG71" s="102" cm="1">
        <f t="array" ref="AG71">noisuy1chieu($AB$71,$AB$65:$AB$70,AG65:AG70)</f>
        <v>-0.89999997615814209</v>
      </c>
      <c r="AH71" s="102" cm="1">
        <f t="array" ref="AH71">noisuy1chieu($AB$71,$AB$65:$AB$70,AH65:AH70)</f>
        <v>-0.96666669845581055</v>
      </c>
      <c r="AI71" s="102" cm="1">
        <f t="array" ref="AI71">noisuy1chieu($AB$71,$AB$65:$AB$70,AI65:AI70)</f>
        <v>-1.3999999761581421</v>
      </c>
      <c r="AJ71" s="102" cm="1">
        <f t="array" ref="AJ71">noisuy1chieu($AB$71,$AB$65:$AB$70,AJ65:AJ70)</f>
        <v>-0.66666668653488159</v>
      </c>
      <c r="AK71" s="102" cm="1">
        <f t="array" ref="AK71">noisuy1chieu($AB$71,$AB$65:$AB$70,AK65:AK70)</f>
        <v>-0.26666668057441711</v>
      </c>
      <c r="AL71" s="289"/>
      <c r="AM71" s="10">
        <f>AB71</f>
        <v>20</v>
      </c>
      <c r="AN71" s="102" cm="1">
        <f t="array" ref="AN71">noisuy1chieu($AM$71,$AM$65:$AM$70,AN65:AN70)</f>
        <v>0.30000001192092896</v>
      </c>
      <c r="AO71" s="102" cm="1">
        <f t="array" ref="AO71">noisuy1chieu($AM$71,$AM$65:$AM$70,AO65:AO70)</f>
        <v>0.36666667461395264</v>
      </c>
      <c r="AP71" s="102" cm="1">
        <f t="array" ref="AP71">noisuy1chieu($AM$71,$AM$65:$AM$70,AP65:AP70)</f>
        <v>0.26666668057441711</v>
      </c>
      <c r="AQ71" s="102" cm="1">
        <f t="array" ref="AQ71">noisuy1chieu($AM$71,$AM$65:$AM$70,AQ65:AQ70)</f>
        <v>-0.46666666865348816</v>
      </c>
      <c r="AR71" s="102" cm="1">
        <f t="array" ref="AR71">noisuy1chieu($AM$71,$AM$65:$AM$70,AR65:AR70)</f>
        <v>-0.89999997615814209</v>
      </c>
      <c r="AS71" s="102" cm="1">
        <f t="array" ref="AS71">noisuy1chieu($AM$71,$AM$65:$AM$70,AS65:AS70)</f>
        <v>-0.96666669845581055</v>
      </c>
      <c r="AT71" s="102" cm="1">
        <f t="array" ref="AT71">noisuy1chieu($AM$71,$AM$65:$AM$70,AT65:AT70)</f>
        <v>-1.3999999761581421</v>
      </c>
      <c r="AU71" s="102" cm="1">
        <f t="array" ref="AU71">noisuy1chieu($AM$71,$AM$65:$AM$70,AU65:AU70)</f>
        <v>-0.66666668653488159</v>
      </c>
      <c r="AV71" s="102" cm="1">
        <f t="array" ref="AV71">noisuy1chieu($AM$71,$AM$65:$AM$70,AV65:AV70)</f>
        <v>-0.26666668057441711</v>
      </c>
    </row>
    <row r="72" spans="2:59" ht="18">
      <c r="C72" s="106" t="s">
        <v>125</v>
      </c>
      <c r="D72" s="96" t="s">
        <v>170</v>
      </c>
      <c r="E72" s="262">
        <f>$E$27*$Q$36*E70*$G$36</f>
        <v>-0.53410080434863227</v>
      </c>
      <c r="F72" s="263"/>
      <c r="G72" s="263">
        <f t="shared" ref="G72" si="71">$E$27*$Q$36*G70*$G$36</f>
        <v>-0.48765725794978465</v>
      </c>
      <c r="H72" s="263"/>
      <c r="I72" s="263">
        <f t="shared" ref="I72" si="72">$E$27*$Q$36*I70*$G$36</f>
        <v>-0.18577420635727496</v>
      </c>
      <c r="J72" s="263"/>
      <c r="K72" s="263">
        <f t="shared" ref="K72" si="73">$E$27*$Q$36*K70*$G$36</f>
        <v>-0.32510484555381791</v>
      </c>
      <c r="L72" s="263"/>
      <c r="M72" s="263">
        <f t="shared" ref="M72" si="74">$E$27*$Q$36*M70*$G$36</f>
        <v>-0.62698789714632752</v>
      </c>
      <c r="N72" s="263"/>
      <c r="O72" s="263">
        <f t="shared" ref="O72" si="75">$E$27*$Q$36*O70*$G$36</f>
        <v>-0.6734314850689439</v>
      </c>
      <c r="P72" s="263"/>
      <c r="Q72" s="263">
        <f t="shared" ref="Q72" si="76">$E$27*$Q$36*Q70*$G$36</f>
        <v>-0.9753145158995693</v>
      </c>
      <c r="R72" s="263"/>
      <c r="S72" s="263">
        <f t="shared" ref="S72" si="77">$E$27*$Q$36*S70*$G$36</f>
        <v>-0.46443550551224522</v>
      </c>
      <c r="T72" s="263"/>
      <c r="U72" s="263">
        <f t="shared" ref="U72" si="78">$E$27*$Q$36*U70*$G$36</f>
        <v>-0.18577420635727496</v>
      </c>
      <c r="V72" s="271"/>
      <c r="Z72" s="19"/>
    </row>
    <row r="73" spans="2:59" ht="18">
      <c r="C73" s="107" t="s">
        <v>126</v>
      </c>
      <c r="D73" s="97" t="s">
        <v>170</v>
      </c>
      <c r="E73" s="261">
        <f>$E$27*$Q$36*E71*$G$36</f>
        <v>0.2089959795566988</v>
      </c>
      <c r="F73" s="253"/>
      <c r="G73" s="253">
        <f t="shared" ref="G73" si="79">$E$27*$Q$36*G71*$G$36</f>
        <v>0.25543952595554642</v>
      </c>
      <c r="H73" s="253"/>
      <c r="I73" s="253">
        <f t="shared" ref="I73" si="80">$E$27*$Q$36*I71*$G$36</f>
        <v>0.18577420635727496</v>
      </c>
      <c r="J73" s="253"/>
      <c r="K73" s="253">
        <f t="shared" ref="K73" si="81">$E$27*$Q$36*K71*$G$36</f>
        <v>-0.32510484555381791</v>
      </c>
      <c r="L73" s="253"/>
      <c r="M73" s="253">
        <f t="shared" ref="M73" si="82">$E$27*$Q$36*M71*$G$36</f>
        <v>-0.62698789714632752</v>
      </c>
      <c r="N73" s="253"/>
      <c r="O73" s="253">
        <f t="shared" ref="O73" si="83">$E$27*$Q$36*O71*$G$36</f>
        <v>-0.6734314850689439</v>
      </c>
      <c r="P73" s="253"/>
      <c r="Q73" s="253">
        <f t="shared" ref="Q73" si="84">$E$27*$Q$36*Q71*$G$36</f>
        <v>-0.9753145158995693</v>
      </c>
      <c r="R73" s="253"/>
      <c r="S73" s="253">
        <f t="shared" ref="S73" si="85">$E$27*$Q$36*S71*$G$36</f>
        <v>-0.46443550551224522</v>
      </c>
      <c r="T73" s="253"/>
      <c r="U73" s="253">
        <f t="shared" ref="U73" si="86">$E$27*$Q$36*U71*$G$36</f>
        <v>-0.18577420635727496</v>
      </c>
      <c r="V73" s="270"/>
      <c r="Z73" s="19"/>
      <c r="AB73" s="286" t="s">
        <v>293</v>
      </c>
      <c r="AC73" s="286"/>
      <c r="AD73" s="286"/>
      <c r="AE73" s="286"/>
      <c r="AF73" s="286"/>
      <c r="AG73" s="286"/>
      <c r="AH73" s="286"/>
      <c r="AI73" s="286"/>
      <c r="AJ73" s="286"/>
      <c r="AK73" s="286"/>
      <c r="AL73" s="286"/>
      <c r="AM73" s="286"/>
      <c r="AN73" s="286"/>
      <c r="AO73" s="286"/>
      <c r="AP73" s="286"/>
      <c r="AQ73" s="286"/>
      <c r="AR73" s="286"/>
      <c r="AS73" s="286"/>
      <c r="AT73" s="286"/>
      <c r="AU73" s="286"/>
      <c r="AV73" s="286"/>
    </row>
    <row r="74" spans="2:59" ht="18">
      <c r="C74" s="106" t="s">
        <v>125</v>
      </c>
      <c r="D74" s="98" t="s">
        <v>202</v>
      </c>
      <c r="E74" s="262">
        <f>$M$31</f>
        <v>0.2</v>
      </c>
      <c r="F74" s="263"/>
      <c r="G74" s="263">
        <f t="shared" ref="G74:U74" si="87">$M$31</f>
        <v>0.2</v>
      </c>
      <c r="H74" s="263"/>
      <c r="I74" s="263">
        <f t="shared" si="87"/>
        <v>0.2</v>
      </c>
      <c r="J74" s="263"/>
      <c r="K74" s="263">
        <f t="shared" si="87"/>
        <v>0.2</v>
      </c>
      <c r="L74" s="263"/>
      <c r="M74" s="263">
        <f t="shared" si="87"/>
        <v>0.2</v>
      </c>
      <c r="N74" s="263"/>
      <c r="O74" s="263">
        <f t="shared" si="87"/>
        <v>0.2</v>
      </c>
      <c r="P74" s="263"/>
      <c r="Q74" s="263">
        <f t="shared" si="87"/>
        <v>0.2</v>
      </c>
      <c r="R74" s="263"/>
      <c r="S74" s="263">
        <f t="shared" si="87"/>
        <v>0.2</v>
      </c>
      <c r="T74" s="263"/>
      <c r="U74" s="263">
        <f t="shared" si="87"/>
        <v>0.2</v>
      </c>
      <c r="V74" s="271"/>
      <c r="W74" s="109"/>
      <c r="X74" s="109"/>
      <c r="Z74" s="19"/>
      <c r="AB74" s="286"/>
      <c r="AC74" s="286"/>
      <c r="AD74" s="286"/>
      <c r="AE74" s="286"/>
      <c r="AF74" s="286"/>
      <c r="AG74" s="286"/>
      <c r="AH74" s="286"/>
      <c r="AI74" s="286"/>
      <c r="AJ74" s="286"/>
      <c r="AK74" s="286"/>
      <c r="AL74" s="286"/>
      <c r="AM74" s="286"/>
      <c r="AN74" s="286"/>
      <c r="AO74" s="286"/>
      <c r="AP74" s="286"/>
      <c r="AQ74" s="286"/>
      <c r="AR74" s="286"/>
      <c r="AS74" s="286"/>
      <c r="AT74" s="286"/>
      <c r="AU74" s="286"/>
      <c r="AV74" s="286"/>
    </row>
    <row r="75" spans="2:59" ht="15" customHeight="1">
      <c r="C75" s="107" t="s">
        <v>126</v>
      </c>
      <c r="D75" s="95" t="s">
        <v>202</v>
      </c>
      <c r="E75" s="261">
        <f>$M$32</f>
        <v>-0.2</v>
      </c>
      <c r="F75" s="253"/>
      <c r="G75" s="253">
        <f t="shared" ref="G75" si="88">$M$32</f>
        <v>-0.2</v>
      </c>
      <c r="H75" s="253"/>
      <c r="I75" s="253">
        <f t="shared" ref="I75" si="89">$M$32</f>
        <v>-0.2</v>
      </c>
      <c r="J75" s="253"/>
      <c r="K75" s="253">
        <f t="shared" ref="K75" si="90">$M$32</f>
        <v>-0.2</v>
      </c>
      <c r="L75" s="253"/>
      <c r="M75" s="253">
        <f t="shared" ref="M75:U75" si="91">$M$32</f>
        <v>-0.2</v>
      </c>
      <c r="N75" s="253"/>
      <c r="O75" s="253">
        <f t="shared" si="91"/>
        <v>-0.2</v>
      </c>
      <c r="P75" s="253"/>
      <c r="Q75" s="253">
        <f t="shared" si="91"/>
        <v>-0.2</v>
      </c>
      <c r="R75" s="253"/>
      <c r="S75" s="253">
        <f t="shared" si="91"/>
        <v>-0.2</v>
      </c>
      <c r="T75" s="253"/>
      <c r="U75" s="253">
        <f t="shared" si="91"/>
        <v>-0.2</v>
      </c>
      <c r="V75" s="270"/>
      <c r="W75" s="109"/>
      <c r="X75" s="109"/>
      <c r="Z75" s="19"/>
      <c r="AB75" s="10"/>
      <c r="AC75" s="10" t="s">
        <v>59</v>
      </c>
      <c r="AD75" s="10" t="s">
        <v>60</v>
      </c>
      <c r="AE75" s="10" t="s">
        <v>61</v>
      </c>
      <c r="AF75" s="10" t="s">
        <v>19</v>
      </c>
      <c r="AG75" s="10" t="s">
        <v>82</v>
      </c>
      <c r="AH75" s="10" t="s">
        <v>286</v>
      </c>
      <c r="AI75" s="10" t="s">
        <v>287</v>
      </c>
      <c r="AJ75" s="10" t="s">
        <v>288</v>
      </c>
      <c r="AK75" s="10" t="s">
        <v>289</v>
      </c>
      <c r="AL75" s="287"/>
      <c r="AM75" s="10"/>
      <c r="AN75" s="10" t="s">
        <v>59</v>
      </c>
      <c r="AO75" s="10" t="s">
        <v>60</v>
      </c>
      <c r="AP75" s="10" t="s">
        <v>61</v>
      </c>
      <c r="AQ75" s="10" t="s">
        <v>19</v>
      </c>
      <c r="AR75" s="10" t="s">
        <v>82</v>
      </c>
      <c r="AS75" s="10" t="s">
        <v>286</v>
      </c>
      <c r="AT75" s="10" t="s">
        <v>287</v>
      </c>
      <c r="AU75" s="10" t="s">
        <v>288</v>
      </c>
      <c r="AV75" s="10" t="s">
        <v>289</v>
      </c>
    </row>
    <row r="76" spans="2:59" ht="15" customHeight="1">
      <c r="C76" s="106" t="s">
        <v>125</v>
      </c>
      <c r="D76" s="96" t="s">
        <v>171</v>
      </c>
      <c r="E76" s="262">
        <f>$E$27*$Q$36*E74*$G$36</f>
        <v>0.1393306475012967</v>
      </c>
      <c r="F76" s="263"/>
      <c r="G76" s="263">
        <f t="shared" ref="G76" si="92">$E$27*$Q$36*G74*$G$36</f>
        <v>0.1393306475012967</v>
      </c>
      <c r="H76" s="263"/>
      <c r="I76" s="263">
        <f t="shared" ref="I76" si="93">$E$27*$Q$36*I74*$G$36</f>
        <v>0.1393306475012967</v>
      </c>
      <c r="J76" s="263"/>
      <c r="K76" s="263">
        <f t="shared" ref="K76" si="94">$E$27*$Q$36*K74*$G$36</f>
        <v>0.1393306475012967</v>
      </c>
      <c r="L76" s="263"/>
      <c r="M76" s="263">
        <f t="shared" ref="M76" si="95">$E$27*$Q$36*M74*$G$36</f>
        <v>0.1393306475012967</v>
      </c>
      <c r="N76" s="263"/>
      <c r="O76" s="263">
        <f t="shared" ref="O76" si="96">$E$27*$Q$36*O74*$G$36</f>
        <v>0.1393306475012967</v>
      </c>
      <c r="P76" s="263"/>
      <c r="Q76" s="263">
        <f t="shared" ref="Q76" si="97">$E$27*$Q$36*Q74*$G$36</f>
        <v>0.1393306475012967</v>
      </c>
      <c r="R76" s="263"/>
      <c r="S76" s="263">
        <f t="shared" ref="S76" si="98">$E$27*$Q$36*S74*$G$36</f>
        <v>0.1393306475012967</v>
      </c>
      <c r="T76" s="263"/>
      <c r="U76" s="263">
        <f t="shared" ref="U76" si="99">$E$27*$Q$36*U74*$G$36</f>
        <v>0.1393306475012967</v>
      </c>
      <c r="V76" s="271"/>
      <c r="W76" s="109"/>
      <c r="X76" s="109"/>
      <c r="Z76" s="19"/>
      <c r="AB76" s="10">
        <v>5</v>
      </c>
      <c r="AC76" s="10">
        <v>-1.7</v>
      </c>
      <c r="AD76" s="10">
        <v>-1.2</v>
      </c>
      <c r="AE76" s="10">
        <v>-0.6</v>
      </c>
      <c r="AF76" s="10">
        <v>-0.3</v>
      </c>
      <c r="AG76" s="10">
        <v>-0.6</v>
      </c>
      <c r="AH76" s="10">
        <v>-0.6</v>
      </c>
      <c r="AI76" s="10">
        <v>-1.2</v>
      </c>
      <c r="AJ76" s="10">
        <v>-0.6</v>
      </c>
      <c r="AK76" s="10">
        <v>-0.4</v>
      </c>
      <c r="AL76" s="288"/>
      <c r="AM76" s="10">
        <v>5</v>
      </c>
      <c r="AN76" s="10">
        <v>0</v>
      </c>
      <c r="AO76" s="10">
        <v>0</v>
      </c>
      <c r="AP76" s="10">
        <v>0</v>
      </c>
      <c r="AQ76" s="10">
        <v>-0.3</v>
      </c>
      <c r="AR76" s="10">
        <v>-0.6</v>
      </c>
      <c r="AS76" s="10">
        <v>-0.6</v>
      </c>
      <c r="AT76" s="10">
        <v>-1.2</v>
      </c>
      <c r="AU76" s="10">
        <v>-0.6</v>
      </c>
      <c r="AV76" s="10">
        <v>-0.4</v>
      </c>
    </row>
    <row r="77" spans="2:59" ht="18">
      <c r="C77" s="107" t="s">
        <v>126</v>
      </c>
      <c r="D77" s="97" t="s">
        <v>171</v>
      </c>
      <c r="E77" s="261">
        <f t="shared" ref="E77" si="100">$E$27*$Q$36*E75*$G$36</f>
        <v>-0.1393306475012967</v>
      </c>
      <c r="F77" s="253"/>
      <c r="G77" s="253">
        <f t="shared" ref="G77" si="101">$E$27*$Q$36*G75*$G$36</f>
        <v>-0.1393306475012967</v>
      </c>
      <c r="H77" s="253"/>
      <c r="I77" s="253">
        <f t="shared" ref="I77" si="102">$E$27*$Q$36*I75*$G$36</f>
        <v>-0.1393306475012967</v>
      </c>
      <c r="J77" s="253"/>
      <c r="K77" s="253">
        <f t="shared" ref="K77" si="103">$E$27*$Q$36*K75*$G$36</f>
        <v>-0.1393306475012967</v>
      </c>
      <c r="L77" s="253"/>
      <c r="M77" s="253">
        <f t="shared" ref="M77" si="104">$E$27*$Q$36*M75*$G$36</f>
        <v>-0.1393306475012967</v>
      </c>
      <c r="N77" s="253"/>
      <c r="O77" s="253">
        <f t="shared" ref="O77" si="105">$E$27*$Q$36*O75*$G$36</f>
        <v>-0.1393306475012967</v>
      </c>
      <c r="P77" s="253"/>
      <c r="Q77" s="253">
        <f t="shared" ref="Q77" si="106">$E$27*$Q$36*Q75*$G$36</f>
        <v>-0.1393306475012967</v>
      </c>
      <c r="R77" s="253"/>
      <c r="S77" s="253">
        <f t="shared" ref="S77" si="107">$E$27*$Q$36*S75*$G$36</f>
        <v>-0.1393306475012967</v>
      </c>
      <c r="T77" s="253"/>
      <c r="U77" s="253">
        <f t="shared" ref="U77" si="108">$E$27*$Q$36*U75*$G$36</f>
        <v>-0.1393306475012967</v>
      </c>
      <c r="V77" s="270"/>
      <c r="W77" s="109"/>
      <c r="X77" s="109"/>
      <c r="Z77" s="19"/>
      <c r="AB77" s="10">
        <v>15</v>
      </c>
      <c r="AC77" s="10">
        <v>-0.9</v>
      </c>
      <c r="AD77" s="10">
        <v>-0.8</v>
      </c>
      <c r="AE77" s="10">
        <v>-0.3</v>
      </c>
      <c r="AF77" s="10">
        <v>-0.5</v>
      </c>
      <c r="AG77" s="10">
        <v>-1</v>
      </c>
      <c r="AH77" s="10">
        <v>-1.2</v>
      </c>
      <c r="AI77" s="10">
        <v>-1.4</v>
      </c>
      <c r="AJ77" s="10">
        <v>-0.6</v>
      </c>
      <c r="AK77" s="10">
        <v>-0.3</v>
      </c>
      <c r="AL77" s="288"/>
      <c r="AM77" s="10">
        <v>15</v>
      </c>
      <c r="AN77" s="10">
        <v>0.2</v>
      </c>
      <c r="AO77" s="10">
        <v>0.2</v>
      </c>
      <c r="AP77" s="10">
        <v>0.2</v>
      </c>
      <c r="AQ77" s="10">
        <v>-0.5</v>
      </c>
      <c r="AR77" s="10">
        <v>-1</v>
      </c>
      <c r="AS77" s="10">
        <v>-1.2</v>
      </c>
      <c r="AT77" s="10">
        <v>-1.4</v>
      </c>
      <c r="AU77" s="10">
        <v>-0.6</v>
      </c>
      <c r="AV77" s="10">
        <v>-0.3</v>
      </c>
    </row>
    <row r="78" spans="2:59" ht="18">
      <c r="C78" s="106" t="s">
        <v>125</v>
      </c>
      <c r="D78" s="96" t="s">
        <v>172</v>
      </c>
      <c r="E78" s="267">
        <f>MIN(E72-E76,E72-E77)</f>
        <v>-0.67343145184992892</v>
      </c>
      <c r="F78" s="268"/>
      <c r="G78" s="268">
        <f t="shared" ref="G78" si="109">MIN(G72-G76,G72-G77)</f>
        <v>-0.62698790545108141</v>
      </c>
      <c r="H78" s="268"/>
      <c r="I78" s="268">
        <f t="shared" ref="I78" si="110">MIN(I72-I76,I72-I77)</f>
        <v>-0.32510485385857169</v>
      </c>
      <c r="J78" s="268"/>
      <c r="K78" s="268">
        <f t="shared" ref="K78" si="111">MIN(K72-K76,K72-K77)</f>
        <v>-0.46443549305511461</v>
      </c>
      <c r="L78" s="268"/>
      <c r="M78" s="268">
        <f t="shared" ref="M78" si="112">MIN(M72-M76,M72-M77)</f>
        <v>-0.76631854464762417</v>
      </c>
      <c r="N78" s="268"/>
      <c r="O78" s="268">
        <f t="shared" ref="O78" si="113">MIN(O72-O76,O72-O77)</f>
        <v>-0.81276213257024055</v>
      </c>
      <c r="P78" s="268"/>
      <c r="Q78" s="268">
        <f t="shared" ref="Q78" si="114">MIN(Q72-Q76,Q72-Q77)</f>
        <v>-1.1146451634008661</v>
      </c>
      <c r="R78" s="268"/>
      <c r="S78" s="268">
        <f t="shared" ref="S78" si="115">MIN(S72-S76,S72-S77)</f>
        <v>-0.60376615301354186</v>
      </c>
      <c r="T78" s="268"/>
      <c r="U78" s="268">
        <f t="shared" ref="U78" si="116">MIN(U72-U76,U72-U77)</f>
        <v>-0.32510485385857169</v>
      </c>
      <c r="V78" s="272"/>
      <c r="W78" s="109"/>
      <c r="X78" s="109"/>
      <c r="Z78" s="19"/>
      <c r="AB78" s="10">
        <v>30</v>
      </c>
      <c r="AC78" s="10">
        <v>-0.5</v>
      </c>
      <c r="AD78" s="10">
        <v>-0.5</v>
      </c>
      <c r="AE78" s="10">
        <v>-0.2</v>
      </c>
      <c r="AF78" s="10">
        <v>-0.4</v>
      </c>
      <c r="AG78" s="10">
        <v>-0.7</v>
      </c>
      <c r="AH78" s="10">
        <v>-0.5</v>
      </c>
      <c r="AI78" s="10">
        <v>-1.4</v>
      </c>
      <c r="AJ78" s="10">
        <v>-0.8</v>
      </c>
      <c r="AK78" s="10">
        <v>-0.2</v>
      </c>
      <c r="AL78" s="288"/>
      <c r="AM78" s="10">
        <v>30</v>
      </c>
      <c r="AN78" s="10">
        <v>0.5</v>
      </c>
      <c r="AO78" s="10">
        <v>0.7</v>
      </c>
      <c r="AP78" s="10">
        <v>0.4</v>
      </c>
      <c r="AQ78" s="10">
        <v>-0.4</v>
      </c>
      <c r="AR78" s="10">
        <v>-0.7</v>
      </c>
      <c r="AS78" s="10">
        <v>-0.5</v>
      </c>
      <c r="AT78" s="10">
        <v>-1.4</v>
      </c>
      <c r="AU78" s="10">
        <v>-0.8</v>
      </c>
      <c r="AV78" s="10">
        <v>-0.2</v>
      </c>
    </row>
    <row r="79" spans="2:59" ht="18">
      <c r="C79" s="108" t="s">
        <v>126</v>
      </c>
      <c r="D79" s="79" t="s">
        <v>172</v>
      </c>
      <c r="E79" s="264">
        <f>MAX(E73-E76,E73-E77)</f>
        <v>0.3483266270579955</v>
      </c>
      <c r="F79" s="265"/>
      <c r="G79" s="266">
        <f t="shared" ref="G79" si="117">MAX(G73-G76,G73-G77)</f>
        <v>0.39477017345684312</v>
      </c>
      <c r="H79" s="265"/>
      <c r="I79" s="266">
        <f t="shared" ref="I79" si="118">MAX(I73-I76,I73-I77)</f>
        <v>0.32510485385857169</v>
      </c>
      <c r="J79" s="265"/>
      <c r="K79" s="266">
        <f t="shared" ref="K79" si="119">MAX(K73-K76,K73-K77)</f>
        <v>-0.18577419805252121</v>
      </c>
      <c r="L79" s="265"/>
      <c r="M79" s="266">
        <f t="shared" ref="M79" si="120">MAX(M73-M76,M73-M77)</f>
        <v>-0.48765724964503082</v>
      </c>
      <c r="N79" s="265"/>
      <c r="O79" s="266">
        <f t="shared" ref="O79" si="121">MAX(O73-O76,O73-O77)</f>
        <v>-0.53410083756764726</v>
      </c>
      <c r="P79" s="265"/>
      <c r="Q79" s="266">
        <f t="shared" ref="Q79" si="122">MAX(Q73-Q76,Q73-Q77)</f>
        <v>-0.83598386839827254</v>
      </c>
      <c r="R79" s="265"/>
      <c r="S79" s="266">
        <f t="shared" ref="S79" si="123">MAX(S73-S76,S73-S77)</f>
        <v>-0.32510485801094852</v>
      </c>
      <c r="T79" s="265"/>
      <c r="U79" s="266">
        <f t="shared" ref="U79" si="124">MAX(U73-U76,U73-U77)</f>
        <v>-4.6443558855978256E-2</v>
      </c>
      <c r="V79" s="282"/>
      <c r="W79" s="68"/>
      <c r="X79" s="109"/>
      <c r="Z79" s="19"/>
      <c r="AB79" s="10">
        <v>45</v>
      </c>
      <c r="AC79" s="10">
        <v>0</v>
      </c>
      <c r="AD79" s="10">
        <v>0</v>
      </c>
      <c r="AE79" s="10">
        <v>0</v>
      </c>
      <c r="AF79" s="10">
        <v>-0.3</v>
      </c>
      <c r="AG79" s="10">
        <v>-0.6</v>
      </c>
      <c r="AH79" s="10">
        <v>-0.3</v>
      </c>
      <c r="AI79" s="10">
        <v>-1.3</v>
      </c>
      <c r="AJ79" s="10">
        <v>-0.8</v>
      </c>
      <c r="AK79" s="10">
        <v>-0.2</v>
      </c>
      <c r="AL79" s="288"/>
      <c r="AM79" s="10">
        <v>45</v>
      </c>
      <c r="AN79" s="10">
        <v>0.7</v>
      </c>
      <c r="AO79" s="10">
        <v>0.7</v>
      </c>
      <c r="AP79" s="10">
        <v>0.6</v>
      </c>
      <c r="AQ79" s="10">
        <v>-0.3</v>
      </c>
      <c r="AR79" s="10">
        <v>-0.6</v>
      </c>
      <c r="AS79" s="10">
        <v>-0.3</v>
      </c>
      <c r="AT79" s="10">
        <v>-1.3</v>
      </c>
      <c r="AU79" s="10">
        <v>-0.8</v>
      </c>
      <c r="AV79" s="10">
        <v>-0.2</v>
      </c>
    </row>
    <row r="80" spans="2:59">
      <c r="C80" s="18"/>
      <c r="Z80" s="19"/>
      <c r="AB80" s="10">
        <v>60</v>
      </c>
      <c r="AC80" s="10">
        <v>0.7</v>
      </c>
      <c r="AD80" s="10">
        <v>0.7</v>
      </c>
      <c r="AE80" s="10">
        <v>0.7</v>
      </c>
      <c r="AF80" s="10">
        <v>-0.3</v>
      </c>
      <c r="AG80" s="10">
        <v>-0.6</v>
      </c>
      <c r="AH80" s="10">
        <v>-0.3</v>
      </c>
      <c r="AI80" s="10">
        <v>-1.2</v>
      </c>
      <c r="AJ80" s="10">
        <v>-0.4</v>
      </c>
      <c r="AK80" s="10">
        <v>-0.2</v>
      </c>
      <c r="AL80" s="288"/>
      <c r="AM80" s="10">
        <v>60</v>
      </c>
      <c r="AN80" s="10">
        <v>0.7</v>
      </c>
      <c r="AO80" s="10">
        <v>0.7</v>
      </c>
      <c r="AP80" s="10">
        <v>0.7</v>
      </c>
      <c r="AQ80" s="10">
        <v>-0.3</v>
      </c>
      <c r="AR80" s="10">
        <v>-0.6</v>
      </c>
      <c r="AS80" s="10">
        <v>-0.3</v>
      </c>
      <c r="AT80" s="10">
        <v>-1.2</v>
      </c>
      <c r="AU80" s="10">
        <v>-0.4</v>
      </c>
      <c r="AV80" s="10">
        <v>-0.2</v>
      </c>
    </row>
    <row r="81" spans="3:48" ht="15">
      <c r="C81" s="283" t="s">
        <v>301</v>
      </c>
      <c r="D81" s="284"/>
      <c r="E81" s="284"/>
      <c r="F81" s="284"/>
      <c r="G81" s="284"/>
      <c r="H81" s="284"/>
      <c r="I81" s="284"/>
      <c r="J81" s="284"/>
      <c r="K81" s="284"/>
      <c r="L81" s="284"/>
      <c r="M81" s="284"/>
      <c r="N81" s="284"/>
      <c r="O81" s="284"/>
      <c r="P81" s="284"/>
      <c r="Q81" s="284"/>
      <c r="R81" s="284"/>
      <c r="S81" s="284"/>
      <c r="T81" s="284"/>
      <c r="U81" s="284"/>
      <c r="V81" s="285"/>
      <c r="Z81" s="19"/>
      <c r="AB81" s="10">
        <v>75</v>
      </c>
      <c r="AC81" s="10">
        <v>0.8</v>
      </c>
      <c r="AD81" s="10">
        <v>0.8</v>
      </c>
      <c r="AE81" s="10">
        <v>0.8</v>
      </c>
      <c r="AF81" s="10">
        <v>-0.3</v>
      </c>
      <c r="AG81" s="10">
        <v>-0.6</v>
      </c>
      <c r="AH81" s="10">
        <v>-0.3</v>
      </c>
      <c r="AI81" s="10">
        <v>-1.2</v>
      </c>
      <c r="AJ81" s="10">
        <v>-0.4</v>
      </c>
      <c r="AK81" s="10">
        <v>-0.2</v>
      </c>
      <c r="AL81" s="288"/>
      <c r="AM81" s="10">
        <v>75</v>
      </c>
      <c r="AN81" s="10">
        <v>0.8</v>
      </c>
      <c r="AO81" s="10">
        <v>0.8</v>
      </c>
      <c r="AP81" s="10">
        <v>0.8</v>
      </c>
      <c r="AQ81" s="10">
        <v>-0.3</v>
      </c>
      <c r="AR81" s="10">
        <v>-0.6</v>
      </c>
      <c r="AS81" s="10">
        <v>-0.3</v>
      </c>
      <c r="AT81" s="10">
        <v>-1.2</v>
      </c>
      <c r="AU81" s="10">
        <v>-0.4</v>
      </c>
      <c r="AV81" s="10">
        <v>-0.2</v>
      </c>
    </row>
    <row r="82" spans="3:48" ht="15">
      <c r="C82" s="273" t="str">
        <f>VLOOKUP(25,$BD$8:$BG$65,1+MATCH($AB$7,$BE$7:$BG$7,0))</f>
        <v>Vùng</v>
      </c>
      <c r="D82" s="274"/>
      <c r="E82" s="275" t="s">
        <v>59</v>
      </c>
      <c r="F82" s="276"/>
      <c r="G82" s="277" t="s">
        <v>60</v>
      </c>
      <c r="H82" s="276"/>
      <c r="I82" s="277" t="s">
        <v>61</v>
      </c>
      <c r="J82" s="276"/>
      <c r="K82" s="277" t="s">
        <v>19</v>
      </c>
      <c r="L82" s="276"/>
      <c r="M82" s="277" t="s">
        <v>82</v>
      </c>
      <c r="N82" s="278"/>
      <c r="O82" s="279" t="s">
        <v>286</v>
      </c>
      <c r="P82" s="276"/>
      <c r="Q82" s="280" t="s">
        <v>287</v>
      </c>
      <c r="R82" s="276"/>
      <c r="S82" s="280" t="s">
        <v>288</v>
      </c>
      <c r="T82" s="276"/>
      <c r="U82" s="280" t="s">
        <v>289</v>
      </c>
      <c r="V82" s="278"/>
      <c r="Z82" s="19"/>
      <c r="AB82" s="111">
        <f>AB71</f>
        <v>20</v>
      </c>
      <c r="AC82" s="102" cm="1">
        <f t="array" ref="AC82">noisuy1chieu($AB$82,$AB$76:$AB$81,AC76:AC81)</f>
        <v>-0.76666665077209473</v>
      </c>
      <c r="AD82" s="102" cm="1">
        <f t="array" ref="AD82">noisuy1chieu($AB$82,$AB$76:$AB$81,AD76:AD81)</f>
        <v>-0.69999998807907104</v>
      </c>
      <c r="AE82" s="102" cm="1">
        <f t="array" ref="AE82">noisuy1chieu($AB$82,$AB$76:$AB$81,AE76:AE81)</f>
        <v>-0.26666668057441711</v>
      </c>
      <c r="AF82" s="102" cm="1">
        <f t="array" ref="AF82">noisuy1chieu($AB$82,$AB$76:$AB$81,AF76:AF81)</f>
        <v>-0.46666666865348816</v>
      </c>
      <c r="AG82" s="102" cm="1">
        <f t="array" ref="AG82">noisuy1chieu($AB$82,$AB$76:$AB$81,AG76:AG81)</f>
        <v>-0.89999997615814209</v>
      </c>
      <c r="AH82" s="102" cm="1">
        <f t="array" ref="AH82">noisuy1chieu($AB$82,$AB$76:$AB$81,AH76:AH81)</f>
        <v>-0.96666669845581055</v>
      </c>
      <c r="AI82" s="102" cm="1">
        <f t="array" ref="AI82">noisuy1chieu($AB$82,$AB$76:$AB$81,AI76:AI81)</f>
        <v>-1.3999999761581421</v>
      </c>
      <c r="AJ82" s="102" cm="1">
        <f t="array" ref="AJ82">noisuy1chieu($AB$82,$AB$76:$AB$81,AJ76:AJ81)</f>
        <v>-0.66666668653488159</v>
      </c>
      <c r="AK82" s="102" cm="1">
        <f t="array" ref="AK82">noisuy1chieu($AB$82,$AB$76:$AB$81,AK76:AK81)</f>
        <v>-0.26666668057441711</v>
      </c>
      <c r="AL82" s="289"/>
      <c r="AM82" s="10">
        <f>AB82</f>
        <v>20</v>
      </c>
      <c r="AN82" s="102" cm="1">
        <f t="array" ref="AN82">noisuy1chieu($AM$82,$AM$76:$AM$81,AN76:AN81)</f>
        <v>0.30000001192092896</v>
      </c>
      <c r="AO82" s="102" cm="1">
        <f t="array" ref="AO82">noisuy1chieu($AM$82,$AM$76:$AM$81,AO76:AO81)</f>
        <v>0.36666667461395264</v>
      </c>
      <c r="AP82" s="102" cm="1">
        <f t="array" ref="AP82">noisuy1chieu($AM$82,$AM$76:$AM$81,AP76:AP81)</f>
        <v>0.26666668057441711</v>
      </c>
      <c r="AQ82" s="102" cm="1">
        <f t="array" ref="AQ82">noisuy1chieu($AM$82,$AM$76:$AM$81,AQ76:AQ81)</f>
        <v>-0.46666666865348816</v>
      </c>
      <c r="AR82" s="102" cm="1">
        <f t="array" ref="AR82">noisuy1chieu($AM$82,$AM$76:$AM$81,AR76:AR81)</f>
        <v>-0.89999997615814209</v>
      </c>
      <c r="AS82" s="102" cm="1">
        <f t="array" ref="AS82">noisuy1chieu($AM$82,$AM$76:$AM$81,AS76:AS81)</f>
        <v>-0.96666669845581055</v>
      </c>
      <c r="AT82" s="102" cm="1">
        <f t="array" ref="AT82">noisuy1chieu($AM$82,$AM$76:$AM$81,AT76:AT81)</f>
        <v>-1.3999999761581421</v>
      </c>
      <c r="AU82" s="102" cm="1">
        <f t="array" ref="AU82">noisuy1chieu($AM$82,$AM$76:$AM$81,AU76:AU81)</f>
        <v>-0.66666668653488159</v>
      </c>
      <c r="AV82" s="102" cm="1">
        <f t="array" ref="AV82">noisuy1chieu($AM$82,$AM$76:$AM$81,AV76:AV81)</f>
        <v>-0.26666668057441711</v>
      </c>
    </row>
    <row r="83" spans="3:48" ht="18">
      <c r="C83" s="106" t="s">
        <v>125</v>
      </c>
      <c r="D83" s="105" t="s">
        <v>201</v>
      </c>
      <c r="E83" s="254">
        <f>AC82</f>
        <v>-0.76666665077209473</v>
      </c>
      <c r="F83" s="255"/>
      <c r="G83" s="255">
        <f>AD82</f>
        <v>-0.69999998807907104</v>
      </c>
      <c r="H83" s="255"/>
      <c r="I83" s="255">
        <f>AE82</f>
        <v>-0.26666668057441711</v>
      </c>
      <c r="J83" s="255"/>
      <c r="K83" s="255">
        <f>AF82</f>
        <v>-0.46666666865348816</v>
      </c>
      <c r="L83" s="255"/>
      <c r="M83" s="255">
        <f>AG82</f>
        <v>-0.89999997615814209</v>
      </c>
      <c r="N83" s="255"/>
      <c r="O83" s="255">
        <f>AH82</f>
        <v>-0.96666669845581055</v>
      </c>
      <c r="P83" s="255"/>
      <c r="Q83" s="255">
        <f>AI82</f>
        <v>-1.3999999761581421</v>
      </c>
      <c r="R83" s="255"/>
      <c r="S83" s="255">
        <f>AJ82</f>
        <v>-0.66666668653488159</v>
      </c>
      <c r="T83" s="255"/>
      <c r="U83" s="255">
        <f>AK82</f>
        <v>-0.26666668057441711</v>
      </c>
      <c r="V83" s="269"/>
      <c r="Z83" s="19"/>
    </row>
    <row r="84" spans="3:48" ht="18">
      <c r="C84" s="107" t="s">
        <v>126</v>
      </c>
      <c r="D84" s="95" t="s">
        <v>201</v>
      </c>
      <c r="E84" s="261">
        <f>AN82</f>
        <v>0.30000001192092896</v>
      </c>
      <c r="F84" s="253"/>
      <c r="G84" s="253">
        <f>AO82</f>
        <v>0.36666667461395264</v>
      </c>
      <c r="H84" s="253"/>
      <c r="I84" s="253">
        <f>AP82</f>
        <v>0.26666668057441711</v>
      </c>
      <c r="J84" s="253"/>
      <c r="K84" s="253">
        <f>AQ82</f>
        <v>-0.46666666865348816</v>
      </c>
      <c r="L84" s="253"/>
      <c r="M84" s="253">
        <f>AR82</f>
        <v>-0.89999997615814209</v>
      </c>
      <c r="N84" s="253"/>
      <c r="O84" s="253">
        <f>AS82</f>
        <v>-0.96666669845581055</v>
      </c>
      <c r="P84" s="253"/>
      <c r="Q84" s="253">
        <f>AT82</f>
        <v>-1.3999999761581421</v>
      </c>
      <c r="R84" s="253"/>
      <c r="S84" s="253">
        <f>AU82</f>
        <v>-0.66666668653488159</v>
      </c>
      <c r="T84" s="253"/>
      <c r="U84" s="253">
        <f>AV82</f>
        <v>-0.26666668057441711</v>
      </c>
      <c r="V84" s="270"/>
      <c r="Z84" s="19"/>
    </row>
    <row r="85" spans="3:48" ht="18">
      <c r="C85" s="106" t="s">
        <v>125</v>
      </c>
      <c r="D85" s="96" t="s">
        <v>170</v>
      </c>
      <c r="E85" s="262">
        <f>$E$27*$Q$36*E83*$G$36</f>
        <v>-0.53410080434863227</v>
      </c>
      <c r="F85" s="263"/>
      <c r="G85" s="263">
        <f t="shared" ref="G85" si="125">$E$27*$Q$36*G83*$G$36</f>
        <v>-0.48765725794978465</v>
      </c>
      <c r="H85" s="263"/>
      <c r="I85" s="263">
        <f t="shared" ref="I85" si="126">$E$27*$Q$36*I83*$G$36</f>
        <v>-0.18577420635727496</v>
      </c>
      <c r="J85" s="263"/>
      <c r="K85" s="263">
        <f t="shared" ref="K85" si="127">$E$27*$Q$36*K83*$G$36</f>
        <v>-0.32510484555381791</v>
      </c>
      <c r="L85" s="263"/>
      <c r="M85" s="263">
        <f t="shared" ref="M85" si="128">$E$27*$Q$36*M83*$G$36</f>
        <v>-0.62698789714632752</v>
      </c>
      <c r="N85" s="263"/>
      <c r="O85" s="263">
        <f t="shared" ref="O85" si="129">$E$27*$Q$36*O83*$G$36</f>
        <v>-0.6734314850689439</v>
      </c>
      <c r="P85" s="263"/>
      <c r="Q85" s="263">
        <f t="shared" ref="Q85" si="130">$E$27*$Q$36*Q83*$G$36</f>
        <v>-0.9753145158995693</v>
      </c>
      <c r="R85" s="263"/>
      <c r="S85" s="263">
        <f t="shared" ref="S85" si="131">$E$27*$Q$36*S83*$G$36</f>
        <v>-0.46443550551224522</v>
      </c>
      <c r="T85" s="263"/>
      <c r="U85" s="263">
        <f t="shared" ref="U85" si="132">$E$27*$Q$36*U83*$G$36</f>
        <v>-0.18577420635727496</v>
      </c>
      <c r="V85" s="271"/>
      <c r="Z85" s="19"/>
    </row>
    <row r="86" spans="3:48" ht="18">
      <c r="C86" s="107" t="s">
        <v>126</v>
      </c>
      <c r="D86" s="97" t="s">
        <v>170</v>
      </c>
      <c r="E86" s="261">
        <f>$E$27*$Q$36*E84*$G$36</f>
        <v>0.2089959795566988</v>
      </c>
      <c r="F86" s="253"/>
      <c r="G86" s="253">
        <f t="shared" ref="G86" si="133">$E$27*$Q$36*G84*$G$36</f>
        <v>0.25543952595554642</v>
      </c>
      <c r="H86" s="253"/>
      <c r="I86" s="253">
        <f t="shared" ref="I86" si="134">$E$27*$Q$36*I84*$G$36</f>
        <v>0.18577420635727496</v>
      </c>
      <c r="J86" s="253"/>
      <c r="K86" s="253">
        <f t="shared" ref="K86" si="135">$E$27*$Q$36*K84*$G$36</f>
        <v>-0.32510484555381791</v>
      </c>
      <c r="L86" s="253"/>
      <c r="M86" s="253">
        <f t="shared" ref="M86" si="136">$E$27*$Q$36*M84*$G$36</f>
        <v>-0.62698789714632752</v>
      </c>
      <c r="N86" s="253"/>
      <c r="O86" s="253">
        <f t="shared" ref="O86" si="137">$E$27*$Q$36*O84*$G$36</f>
        <v>-0.6734314850689439</v>
      </c>
      <c r="P86" s="253"/>
      <c r="Q86" s="253">
        <f t="shared" ref="Q86" si="138">$E$27*$Q$36*Q84*$G$36</f>
        <v>-0.9753145158995693</v>
      </c>
      <c r="R86" s="253"/>
      <c r="S86" s="253">
        <f t="shared" ref="S86" si="139">$E$27*$Q$36*S84*$G$36</f>
        <v>-0.46443550551224522</v>
      </c>
      <c r="T86" s="253"/>
      <c r="U86" s="253">
        <f t="shared" ref="U86" si="140">$E$27*$Q$36*U84*$G$36</f>
        <v>-0.18577420635727496</v>
      </c>
      <c r="V86" s="270"/>
      <c r="Z86" s="19"/>
    </row>
    <row r="87" spans="3:48" ht="18">
      <c r="C87" s="106" t="s">
        <v>125</v>
      </c>
      <c r="D87" s="98" t="s">
        <v>202</v>
      </c>
      <c r="E87" s="262">
        <f>$M$31</f>
        <v>0.2</v>
      </c>
      <c r="F87" s="263"/>
      <c r="G87" s="263">
        <f t="shared" ref="G87:U87" si="141">$M$31</f>
        <v>0.2</v>
      </c>
      <c r="H87" s="263"/>
      <c r="I87" s="263">
        <f t="shared" si="141"/>
        <v>0.2</v>
      </c>
      <c r="J87" s="263"/>
      <c r="K87" s="263">
        <f t="shared" si="141"/>
        <v>0.2</v>
      </c>
      <c r="L87" s="263"/>
      <c r="M87" s="263">
        <f t="shared" si="141"/>
        <v>0.2</v>
      </c>
      <c r="N87" s="263"/>
      <c r="O87" s="263">
        <f t="shared" si="141"/>
        <v>0.2</v>
      </c>
      <c r="P87" s="263"/>
      <c r="Q87" s="263">
        <f t="shared" si="141"/>
        <v>0.2</v>
      </c>
      <c r="R87" s="263"/>
      <c r="S87" s="263">
        <f t="shared" si="141"/>
        <v>0.2</v>
      </c>
      <c r="T87" s="263"/>
      <c r="U87" s="263">
        <f t="shared" si="141"/>
        <v>0.2</v>
      </c>
      <c r="V87" s="271"/>
      <c r="Z87" s="19"/>
    </row>
    <row r="88" spans="3:48" ht="18">
      <c r="C88" s="107" t="s">
        <v>126</v>
      </c>
      <c r="D88" s="95" t="s">
        <v>202</v>
      </c>
      <c r="E88" s="261">
        <f>$M$32</f>
        <v>-0.2</v>
      </c>
      <c r="F88" s="253"/>
      <c r="G88" s="253">
        <f t="shared" ref="G88" si="142">$M$32</f>
        <v>-0.2</v>
      </c>
      <c r="H88" s="253"/>
      <c r="I88" s="253">
        <f t="shared" ref="I88" si="143">$M$32</f>
        <v>-0.2</v>
      </c>
      <c r="J88" s="253"/>
      <c r="K88" s="253">
        <f t="shared" ref="K88" si="144">$M$32</f>
        <v>-0.2</v>
      </c>
      <c r="L88" s="253"/>
      <c r="M88" s="253">
        <f t="shared" ref="M88:U88" si="145">$M$32</f>
        <v>-0.2</v>
      </c>
      <c r="N88" s="253"/>
      <c r="O88" s="253">
        <f t="shared" si="145"/>
        <v>-0.2</v>
      </c>
      <c r="P88" s="253"/>
      <c r="Q88" s="253">
        <f t="shared" si="145"/>
        <v>-0.2</v>
      </c>
      <c r="R88" s="253"/>
      <c r="S88" s="253">
        <f t="shared" si="145"/>
        <v>-0.2</v>
      </c>
      <c r="T88" s="253"/>
      <c r="U88" s="253">
        <f t="shared" si="145"/>
        <v>-0.2</v>
      </c>
      <c r="V88" s="270"/>
      <c r="Z88" s="19"/>
    </row>
    <row r="89" spans="3:48" ht="18">
      <c r="C89" s="106" t="s">
        <v>125</v>
      </c>
      <c r="D89" s="96" t="s">
        <v>171</v>
      </c>
      <c r="E89" s="262">
        <f>$E$27*$Q$36*E87*$G$36</f>
        <v>0.1393306475012967</v>
      </c>
      <c r="F89" s="263"/>
      <c r="G89" s="263">
        <f t="shared" ref="G89" si="146">$E$27*$Q$36*G87*$G$36</f>
        <v>0.1393306475012967</v>
      </c>
      <c r="H89" s="263"/>
      <c r="I89" s="263">
        <f t="shared" ref="I89" si="147">$E$27*$Q$36*I87*$G$36</f>
        <v>0.1393306475012967</v>
      </c>
      <c r="J89" s="263"/>
      <c r="K89" s="263">
        <f t="shared" ref="K89" si="148">$E$27*$Q$36*K87*$G$36</f>
        <v>0.1393306475012967</v>
      </c>
      <c r="L89" s="263"/>
      <c r="M89" s="263">
        <f t="shared" ref="M89" si="149">$E$27*$Q$36*M87*$G$36</f>
        <v>0.1393306475012967</v>
      </c>
      <c r="N89" s="263"/>
      <c r="O89" s="263">
        <f t="shared" ref="O89" si="150">$E$27*$Q$36*O87*$G$36</f>
        <v>0.1393306475012967</v>
      </c>
      <c r="P89" s="263"/>
      <c r="Q89" s="263">
        <f t="shared" ref="Q89" si="151">$E$27*$Q$36*Q87*$G$36</f>
        <v>0.1393306475012967</v>
      </c>
      <c r="R89" s="263"/>
      <c r="S89" s="263">
        <f t="shared" ref="S89" si="152">$E$27*$Q$36*S87*$G$36</f>
        <v>0.1393306475012967</v>
      </c>
      <c r="T89" s="263"/>
      <c r="U89" s="263">
        <f t="shared" ref="U89" si="153">$E$27*$Q$36*U87*$G$36</f>
        <v>0.1393306475012967</v>
      </c>
      <c r="V89" s="271"/>
      <c r="Z89" s="19"/>
    </row>
    <row r="90" spans="3:48" ht="18">
      <c r="C90" s="107" t="s">
        <v>126</v>
      </c>
      <c r="D90" s="97" t="s">
        <v>171</v>
      </c>
      <c r="E90" s="261">
        <f t="shared" ref="E90" si="154">$E$27*$Q$36*E88*$G$36</f>
        <v>-0.1393306475012967</v>
      </c>
      <c r="F90" s="253"/>
      <c r="G90" s="253">
        <f t="shared" ref="G90" si="155">$E$27*$Q$36*G88*$G$36</f>
        <v>-0.1393306475012967</v>
      </c>
      <c r="H90" s="253"/>
      <c r="I90" s="253">
        <f t="shared" ref="I90" si="156">$E$27*$Q$36*I88*$G$36</f>
        <v>-0.1393306475012967</v>
      </c>
      <c r="J90" s="253"/>
      <c r="K90" s="253">
        <f t="shared" ref="K90" si="157">$E$27*$Q$36*K88*$G$36</f>
        <v>-0.1393306475012967</v>
      </c>
      <c r="L90" s="253"/>
      <c r="M90" s="253">
        <f t="shared" ref="M90" si="158">$E$27*$Q$36*M88*$G$36</f>
        <v>-0.1393306475012967</v>
      </c>
      <c r="N90" s="253"/>
      <c r="O90" s="253">
        <f t="shared" ref="O90" si="159">$E$27*$Q$36*O88*$G$36</f>
        <v>-0.1393306475012967</v>
      </c>
      <c r="P90" s="253"/>
      <c r="Q90" s="253">
        <f t="shared" ref="Q90" si="160">$E$27*$Q$36*Q88*$G$36</f>
        <v>-0.1393306475012967</v>
      </c>
      <c r="R90" s="253"/>
      <c r="S90" s="253">
        <f t="shared" ref="S90" si="161">$E$27*$Q$36*S88*$G$36</f>
        <v>-0.1393306475012967</v>
      </c>
      <c r="T90" s="253"/>
      <c r="U90" s="253">
        <f t="shared" ref="U90" si="162">$E$27*$Q$36*U88*$G$36</f>
        <v>-0.1393306475012967</v>
      </c>
      <c r="V90" s="270"/>
      <c r="Z90" s="19"/>
    </row>
    <row r="91" spans="3:48" ht="18">
      <c r="C91" s="106" t="s">
        <v>125</v>
      </c>
      <c r="D91" s="96" t="s">
        <v>172</v>
      </c>
      <c r="E91" s="267">
        <f>MIN(E85-E89,E85-E90)</f>
        <v>-0.67343145184992892</v>
      </c>
      <c r="F91" s="268"/>
      <c r="G91" s="268">
        <f t="shared" ref="G91" si="163">MIN(G85-G89,G85-G90)</f>
        <v>-0.62698790545108141</v>
      </c>
      <c r="H91" s="268"/>
      <c r="I91" s="268">
        <f t="shared" ref="I91" si="164">MIN(I85-I89,I85-I90)</f>
        <v>-0.32510485385857169</v>
      </c>
      <c r="J91" s="268"/>
      <c r="K91" s="268">
        <f t="shared" ref="K91" si="165">MIN(K85-K89,K85-K90)</f>
        <v>-0.46443549305511461</v>
      </c>
      <c r="L91" s="268"/>
      <c r="M91" s="268">
        <f t="shared" ref="M91" si="166">MIN(M85-M89,M85-M90)</f>
        <v>-0.76631854464762417</v>
      </c>
      <c r="N91" s="268"/>
      <c r="O91" s="268">
        <f t="shared" ref="O91" si="167">MIN(O85-O89,O85-O90)</f>
        <v>-0.81276213257024055</v>
      </c>
      <c r="P91" s="268"/>
      <c r="Q91" s="268">
        <f t="shared" ref="Q91" si="168">MIN(Q85-Q89,Q85-Q90)</f>
        <v>-1.1146451634008661</v>
      </c>
      <c r="R91" s="268"/>
      <c r="S91" s="268">
        <f t="shared" ref="S91" si="169">MIN(S85-S89,S85-S90)</f>
        <v>-0.60376615301354186</v>
      </c>
      <c r="T91" s="268"/>
      <c r="U91" s="268">
        <f t="shared" ref="U91" si="170">MIN(U85-U89,U85-U90)</f>
        <v>-0.32510485385857169</v>
      </c>
      <c r="V91" s="272"/>
      <c r="Z91" s="19"/>
    </row>
    <row r="92" spans="3:48" ht="18">
      <c r="C92" s="108" t="s">
        <v>126</v>
      </c>
      <c r="D92" s="79" t="s">
        <v>172</v>
      </c>
      <c r="E92" s="264">
        <f>MAX(E86-E89,E86-E90)</f>
        <v>0.3483266270579955</v>
      </c>
      <c r="F92" s="265"/>
      <c r="G92" s="266">
        <f t="shared" ref="G92" si="171">MAX(G86-G89,G86-G90)</f>
        <v>0.39477017345684312</v>
      </c>
      <c r="H92" s="265"/>
      <c r="I92" s="266">
        <f t="shared" ref="I92" si="172">MAX(I86-I89,I86-I90)</f>
        <v>0.32510485385857169</v>
      </c>
      <c r="J92" s="265"/>
      <c r="K92" s="266">
        <f t="shared" ref="K92" si="173">MAX(K86-K89,K86-K90)</f>
        <v>-0.18577419805252121</v>
      </c>
      <c r="L92" s="265"/>
      <c r="M92" s="266">
        <f t="shared" ref="M92" si="174">MAX(M86-M89,M86-M90)</f>
        <v>-0.48765724964503082</v>
      </c>
      <c r="N92" s="265"/>
      <c r="O92" s="266">
        <f t="shared" ref="O92" si="175">MAX(O86-O89,O86-O90)</f>
        <v>-0.53410083756764726</v>
      </c>
      <c r="P92" s="265"/>
      <c r="Q92" s="266">
        <f t="shared" ref="Q92" si="176">MAX(Q86-Q89,Q86-Q90)</f>
        <v>-0.83598386839827254</v>
      </c>
      <c r="R92" s="265"/>
      <c r="S92" s="266">
        <f t="shared" ref="S92" si="177">MAX(S86-S89,S86-S90)</f>
        <v>-0.32510485801094852</v>
      </c>
      <c r="T92" s="265"/>
      <c r="U92" s="266">
        <f t="shared" ref="U92" si="178">MAX(U86-U89,U86-U90)</f>
        <v>-4.6443558855978256E-2</v>
      </c>
      <c r="V92" s="282"/>
      <c r="W92" s="69"/>
      <c r="X92" s="69"/>
      <c r="Y92" s="69"/>
      <c r="Z92" s="70"/>
    </row>
  </sheetData>
  <mergeCells count="517">
    <mergeCell ref="E92:F92"/>
    <mergeCell ref="G92:H92"/>
    <mergeCell ref="K92:L92"/>
    <mergeCell ref="M92:N92"/>
    <mergeCell ref="O92:P92"/>
    <mergeCell ref="Q92:R92"/>
    <mergeCell ref="U92:V92"/>
    <mergeCell ref="M20:N20"/>
    <mergeCell ref="E90:F90"/>
    <mergeCell ref="G90:H90"/>
    <mergeCell ref="K90:L90"/>
    <mergeCell ref="M90:N90"/>
    <mergeCell ref="O90:P90"/>
    <mergeCell ref="Q90:R90"/>
    <mergeCell ref="U90:V90"/>
    <mergeCell ref="E91:F91"/>
    <mergeCell ref="G91:H91"/>
    <mergeCell ref="K91:L91"/>
    <mergeCell ref="M91:N91"/>
    <mergeCell ref="O91:P91"/>
    <mergeCell ref="Q91:R91"/>
    <mergeCell ref="U91:V91"/>
    <mergeCell ref="E89:F89"/>
    <mergeCell ref="G89:H89"/>
    <mergeCell ref="I89:J89"/>
    <mergeCell ref="K89:L89"/>
    <mergeCell ref="M89:N89"/>
    <mergeCell ref="O89:P89"/>
    <mergeCell ref="Q89:R89"/>
    <mergeCell ref="S89:T89"/>
    <mergeCell ref="U89:V89"/>
    <mergeCell ref="E88:F88"/>
    <mergeCell ref="G88:H88"/>
    <mergeCell ref="I88:J88"/>
    <mergeCell ref="K88:L88"/>
    <mergeCell ref="M88:N88"/>
    <mergeCell ref="O88:P88"/>
    <mergeCell ref="Q88:R88"/>
    <mergeCell ref="S88:T88"/>
    <mergeCell ref="U88:V88"/>
    <mergeCell ref="G86:H86"/>
    <mergeCell ref="I86:J86"/>
    <mergeCell ref="K86:L86"/>
    <mergeCell ref="M86:N86"/>
    <mergeCell ref="O86:P86"/>
    <mergeCell ref="Q86:R86"/>
    <mergeCell ref="S86:T86"/>
    <mergeCell ref="U86:V86"/>
    <mergeCell ref="E87:F87"/>
    <mergeCell ref="G87:H87"/>
    <mergeCell ref="I87:J87"/>
    <mergeCell ref="K87:L87"/>
    <mergeCell ref="M87:N87"/>
    <mergeCell ref="O87:P87"/>
    <mergeCell ref="Q87:R87"/>
    <mergeCell ref="S87:T87"/>
    <mergeCell ref="U87:V87"/>
    <mergeCell ref="U84:V84"/>
    <mergeCell ref="E85:F85"/>
    <mergeCell ref="G85:H85"/>
    <mergeCell ref="I85:J85"/>
    <mergeCell ref="K85:L85"/>
    <mergeCell ref="M85:N85"/>
    <mergeCell ref="O85:P85"/>
    <mergeCell ref="Q85:R85"/>
    <mergeCell ref="S85:T85"/>
    <mergeCell ref="U85:V85"/>
    <mergeCell ref="U82:V82"/>
    <mergeCell ref="E83:F83"/>
    <mergeCell ref="G83:H83"/>
    <mergeCell ref="I83:J83"/>
    <mergeCell ref="K83:L83"/>
    <mergeCell ref="M83:N83"/>
    <mergeCell ref="O83:P83"/>
    <mergeCell ref="Q83:R83"/>
    <mergeCell ref="S83:T83"/>
    <mergeCell ref="U83:V83"/>
    <mergeCell ref="E76:F76"/>
    <mergeCell ref="G76:H76"/>
    <mergeCell ref="S76:T76"/>
    <mergeCell ref="U76:V76"/>
    <mergeCell ref="U77:V77"/>
    <mergeCell ref="U78:V78"/>
    <mergeCell ref="U79:V79"/>
    <mergeCell ref="C81:V81"/>
    <mergeCell ref="E78:F78"/>
    <mergeCell ref="G78:H78"/>
    <mergeCell ref="I78:J78"/>
    <mergeCell ref="K78:L78"/>
    <mergeCell ref="M78:N78"/>
    <mergeCell ref="O78:P78"/>
    <mergeCell ref="Q78:R78"/>
    <mergeCell ref="S78:T78"/>
    <mergeCell ref="E79:F79"/>
    <mergeCell ref="G79:H79"/>
    <mergeCell ref="I79:J79"/>
    <mergeCell ref="K79:L79"/>
    <mergeCell ref="M79:N79"/>
    <mergeCell ref="O79:P79"/>
    <mergeCell ref="Q79:R79"/>
    <mergeCell ref="Q69:R69"/>
    <mergeCell ref="S69:T69"/>
    <mergeCell ref="U69:V69"/>
    <mergeCell ref="E70:F70"/>
    <mergeCell ref="G70:H70"/>
    <mergeCell ref="I70:J70"/>
    <mergeCell ref="K70:L70"/>
    <mergeCell ref="E74:F74"/>
    <mergeCell ref="G74:H74"/>
    <mergeCell ref="I74:J74"/>
    <mergeCell ref="K74:L74"/>
    <mergeCell ref="M74:N74"/>
    <mergeCell ref="O74:P74"/>
    <mergeCell ref="Q74:R74"/>
    <mergeCell ref="S74:T74"/>
    <mergeCell ref="U74:V74"/>
    <mergeCell ref="E73:F73"/>
    <mergeCell ref="G73:H73"/>
    <mergeCell ref="I73:J73"/>
    <mergeCell ref="K73:L73"/>
    <mergeCell ref="M73:N73"/>
    <mergeCell ref="O73:P73"/>
    <mergeCell ref="Q73:R73"/>
    <mergeCell ref="S73:T73"/>
    <mergeCell ref="U57:V57"/>
    <mergeCell ref="U58:V58"/>
    <mergeCell ref="U59:V59"/>
    <mergeCell ref="U60:V60"/>
    <mergeCell ref="U61:V61"/>
    <mergeCell ref="U62:V62"/>
    <mergeCell ref="U63:V63"/>
    <mergeCell ref="U64:V64"/>
    <mergeCell ref="U65:V65"/>
    <mergeCell ref="E56:F56"/>
    <mergeCell ref="G56:H56"/>
    <mergeCell ref="I56:J56"/>
    <mergeCell ref="K56:L56"/>
    <mergeCell ref="M56:N56"/>
    <mergeCell ref="O56:P56"/>
    <mergeCell ref="Q56:R56"/>
    <mergeCell ref="S56:T56"/>
    <mergeCell ref="U56:V56"/>
    <mergeCell ref="C41:V41"/>
    <mergeCell ref="C42:D42"/>
    <mergeCell ref="C54:V54"/>
    <mergeCell ref="C55:D55"/>
    <mergeCell ref="E55:F55"/>
    <mergeCell ref="G55:H55"/>
    <mergeCell ref="I55:J55"/>
    <mergeCell ref="K55:L55"/>
    <mergeCell ref="M55:N55"/>
    <mergeCell ref="O55:P55"/>
    <mergeCell ref="Q55:R55"/>
    <mergeCell ref="S55:T55"/>
    <mergeCell ref="U55:V55"/>
    <mergeCell ref="M42:N42"/>
    <mergeCell ref="K42:L42"/>
    <mergeCell ref="I42:J42"/>
    <mergeCell ref="G42:H42"/>
    <mergeCell ref="E42:F42"/>
    <mergeCell ref="U42:V42"/>
    <mergeCell ref="S42:T42"/>
    <mergeCell ref="Q42:R42"/>
    <mergeCell ref="O42:P42"/>
    <mergeCell ref="Q52:R52"/>
    <mergeCell ref="S52:T52"/>
    <mergeCell ref="AB40:AV41"/>
    <mergeCell ref="AL42:AL49"/>
    <mergeCell ref="AB51:AV52"/>
    <mergeCell ref="AL53:AL60"/>
    <mergeCell ref="AB62:AV63"/>
    <mergeCell ref="AL64:AL71"/>
    <mergeCell ref="AB73:AV74"/>
    <mergeCell ref="AL75:AL82"/>
    <mergeCell ref="AB34:AD34"/>
    <mergeCell ref="AE34:AH34"/>
    <mergeCell ref="AB35:AB36"/>
    <mergeCell ref="AB38:AB39"/>
    <mergeCell ref="AE38:AH38"/>
    <mergeCell ref="AE39:AH39"/>
    <mergeCell ref="S79:T79"/>
    <mergeCell ref="E77:F77"/>
    <mergeCell ref="G77:H77"/>
    <mergeCell ref="I77:J77"/>
    <mergeCell ref="K77:L77"/>
    <mergeCell ref="M77:N77"/>
    <mergeCell ref="O77:P77"/>
    <mergeCell ref="Q77:R77"/>
    <mergeCell ref="S77:T77"/>
    <mergeCell ref="Q71:R71"/>
    <mergeCell ref="S71:T71"/>
    <mergeCell ref="U71:V71"/>
    <mergeCell ref="E75:F75"/>
    <mergeCell ref="G75:H75"/>
    <mergeCell ref="I75:J75"/>
    <mergeCell ref="S75:T75"/>
    <mergeCell ref="U73:V73"/>
    <mergeCell ref="E72:F72"/>
    <mergeCell ref="G72:H72"/>
    <mergeCell ref="I72:J72"/>
    <mergeCell ref="K72:L72"/>
    <mergeCell ref="M72:N72"/>
    <mergeCell ref="O72:P72"/>
    <mergeCell ref="Q72:R72"/>
    <mergeCell ref="S72:T72"/>
    <mergeCell ref="U72:V72"/>
    <mergeCell ref="U75:V75"/>
    <mergeCell ref="C68:V68"/>
    <mergeCell ref="C69:D69"/>
    <mergeCell ref="E69:F69"/>
    <mergeCell ref="G69:H69"/>
    <mergeCell ref="I69:J69"/>
    <mergeCell ref="K69:L69"/>
    <mergeCell ref="M69:N69"/>
    <mergeCell ref="O76:P76"/>
    <mergeCell ref="Q76:R76"/>
    <mergeCell ref="M70:N70"/>
    <mergeCell ref="O70:P70"/>
    <mergeCell ref="Q70:R70"/>
    <mergeCell ref="S70:T70"/>
    <mergeCell ref="U70:V70"/>
    <mergeCell ref="O69:P69"/>
    <mergeCell ref="I76:J76"/>
    <mergeCell ref="K76:L76"/>
    <mergeCell ref="M76:N76"/>
    <mergeCell ref="E71:F71"/>
    <mergeCell ref="G71:H71"/>
    <mergeCell ref="I71:J71"/>
    <mergeCell ref="K71:L71"/>
    <mergeCell ref="M71:N71"/>
    <mergeCell ref="O71:P71"/>
    <mergeCell ref="B5:AA5"/>
    <mergeCell ref="E63:F63"/>
    <mergeCell ref="G63:H63"/>
    <mergeCell ref="I63:J63"/>
    <mergeCell ref="K63:L63"/>
    <mergeCell ref="Q65:R65"/>
    <mergeCell ref="S65:T65"/>
    <mergeCell ref="K75:L75"/>
    <mergeCell ref="M75:N75"/>
    <mergeCell ref="O75:P75"/>
    <mergeCell ref="Q75:R75"/>
    <mergeCell ref="U52:V52"/>
    <mergeCell ref="M63:N63"/>
    <mergeCell ref="O63:P63"/>
    <mergeCell ref="Q61:R61"/>
    <mergeCell ref="S61:T61"/>
    <mergeCell ref="E62:F62"/>
    <mergeCell ref="G62:H62"/>
    <mergeCell ref="E52:F52"/>
    <mergeCell ref="G52:H52"/>
    <mergeCell ref="I52:J52"/>
    <mergeCell ref="K52:L52"/>
    <mergeCell ref="M52:N52"/>
    <mergeCell ref="O52:P52"/>
    <mergeCell ref="S90:T90"/>
    <mergeCell ref="I90:J90"/>
    <mergeCell ref="I91:J91"/>
    <mergeCell ref="I92:J92"/>
    <mergeCell ref="S91:T91"/>
    <mergeCell ref="S92:T92"/>
    <mergeCell ref="C82:D82"/>
    <mergeCell ref="E82:F82"/>
    <mergeCell ref="G82:H82"/>
    <mergeCell ref="I82:J82"/>
    <mergeCell ref="K82:L82"/>
    <mergeCell ref="M82:N82"/>
    <mergeCell ref="O82:P82"/>
    <mergeCell ref="Q82:R82"/>
    <mergeCell ref="S82:T82"/>
    <mergeCell ref="E84:F84"/>
    <mergeCell ref="G84:H84"/>
    <mergeCell ref="I84:J84"/>
    <mergeCell ref="K84:L84"/>
    <mergeCell ref="M84:N84"/>
    <mergeCell ref="O84:P84"/>
    <mergeCell ref="Q84:R84"/>
    <mergeCell ref="S84:T84"/>
    <mergeCell ref="E86:F86"/>
    <mergeCell ref="E51:F51"/>
    <mergeCell ref="G51:H51"/>
    <mergeCell ref="I51:J51"/>
    <mergeCell ref="K51:L51"/>
    <mergeCell ref="M51:N51"/>
    <mergeCell ref="O51:P51"/>
    <mergeCell ref="Q51:R51"/>
    <mergeCell ref="S51:T51"/>
    <mergeCell ref="U51:V51"/>
    <mergeCell ref="E50:F50"/>
    <mergeCell ref="G50:H50"/>
    <mergeCell ref="I50:J50"/>
    <mergeCell ref="K50:L50"/>
    <mergeCell ref="M50:N50"/>
    <mergeCell ref="O50:P50"/>
    <mergeCell ref="Q50:R50"/>
    <mergeCell ref="S50:T50"/>
    <mergeCell ref="U50:V50"/>
    <mergeCell ref="E49:F49"/>
    <mergeCell ref="G49:H49"/>
    <mergeCell ref="I49:J49"/>
    <mergeCell ref="K49:L49"/>
    <mergeCell ref="M49:N49"/>
    <mergeCell ref="O49:P49"/>
    <mergeCell ref="Q49:R49"/>
    <mergeCell ref="S49:T49"/>
    <mergeCell ref="U49:V49"/>
    <mergeCell ref="E48:F48"/>
    <mergeCell ref="G48:H48"/>
    <mergeCell ref="I48:J48"/>
    <mergeCell ref="K48:L48"/>
    <mergeCell ref="M48:N48"/>
    <mergeCell ref="O48:P48"/>
    <mergeCell ref="Q48:R48"/>
    <mergeCell ref="S48:T48"/>
    <mergeCell ref="U48:V48"/>
    <mergeCell ref="E47:F47"/>
    <mergeCell ref="G47:H47"/>
    <mergeCell ref="I47:J47"/>
    <mergeCell ref="K47:L47"/>
    <mergeCell ref="M47:N47"/>
    <mergeCell ref="O47:P47"/>
    <mergeCell ref="Q47:R47"/>
    <mergeCell ref="S47:T47"/>
    <mergeCell ref="U47:V47"/>
    <mergeCell ref="U45:V45"/>
    <mergeCell ref="E46:F46"/>
    <mergeCell ref="G46:H46"/>
    <mergeCell ref="I46:J46"/>
    <mergeCell ref="K46:L46"/>
    <mergeCell ref="M46:N46"/>
    <mergeCell ref="O46:P46"/>
    <mergeCell ref="Q46:R46"/>
    <mergeCell ref="S46:T46"/>
    <mergeCell ref="U46:V46"/>
    <mergeCell ref="E45:F45"/>
    <mergeCell ref="G45:H45"/>
    <mergeCell ref="I45:J45"/>
    <mergeCell ref="K45:L45"/>
    <mergeCell ref="M45:N45"/>
    <mergeCell ref="O45:P45"/>
    <mergeCell ref="Q45:R45"/>
    <mergeCell ref="S45:T45"/>
    <mergeCell ref="O43:P43"/>
    <mergeCell ref="Q43:R43"/>
    <mergeCell ref="S43:T43"/>
    <mergeCell ref="U43:V43"/>
    <mergeCell ref="E44:F44"/>
    <mergeCell ref="G44:H44"/>
    <mergeCell ref="I44:J44"/>
    <mergeCell ref="K44:L44"/>
    <mergeCell ref="M44:N44"/>
    <mergeCell ref="O44:P44"/>
    <mergeCell ref="Q44:R44"/>
    <mergeCell ref="S44:T44"/>
    <mergeCell ref="U44:V44"/>
    <mergeCell ref="E65:F65"/>
    <mergeCell ref="G65:H65"/>
    <mergeCell ref="I65:J65"/>
    <mergeCell ref="K65:L65"/>
    <mergeCell ref="M65:N65"/>
    <mergeCell ref="O65:P65"/>
    <mergeCell ref="Q63:R63"/>
    <mergeCell ref="S63:T63"/>
    <mergeCell ref="E64:F64"/>
    <mergeCell ref="G64:H64"/>
    <mergeCell ref="I64:J64"/>
    <mergeCell ref="K64:L64"/>
    <mergeCell ref="M64:N64"/>
    <mergeCell ref="O64:P64"/>
    <mergeCell ref="Q64:R64"/>
    <mergeCell ref="S64:T64"/>
    <mergeCell ref="E60:F60"/>
    <mergeCell ref="G60:H60"/>
    <mergeCell ref="I60:J60"/>
    <mergeCell ref="K60:L60"/>
    <mergeCell ref="M60:N60"/>
    <mergeCell ref="O60:P60"/>
    <mergeCell ref="Q60:R60"/>
    <mergeCell ref="S60:T60"/>
    <mergeCell ref="I62:J62"/>
    <mergeCell ref="K62:L62"/>
    <mergeCell ref="M62:N62"/>
    <mergeCell ref="O62:P62"/>
    <mergeCell ref="Q62:R62"/>
    <mergeCell ref="S62:T62"/>
    <mergeCell ref="E61:F61"/>
    <mergeCell ref="G61:H61"/>
    <mergeCell ref="I61:J61"/>
    <mergeCell ref="K61:L61"/>
    <mergeCell ref="M61:N61"/>
    <mergeCell ref="O61:P61"/>
    <mergeCell ref="S58:T58"/>
    <mergeCell ref="E59:F59"/>
    <mergeCell ref="G59:H59"/>
    <mergeCell ref="I59:J59"/>
    <mergeCell ref="K59:L59"/>
    <mergeCell ref="M59:N59"/>
    <mergeCell ref="O59:P59"/>
    <mergeCell ref="Q59:R59"/>
    <mergeCell ref="S59:T59"/>
    <mergeCell ref="O57:P57"/>
    <mergeCell ref="Q57:R57"/>
    <mergeCell ref="E58:F58"/>
    <mergeCell ref="G58:H58"/>
    <mergeCell ref="I58:J58"/>
    <mergeCell ref="K58:L58"/>
    <mergeCell ref="M58:N58"/>
    <mergeCell ref="O58:P58"/>
    <mergeCell ref="Q58:R58"/>
    <mergeCell ref="S57:T57"/>
    <mergeCell ref="E43:F43"/>
    <mergeCell ref="G43:H43"/>
    <mergeCell ref="I43:J43"/>
    <mergeCell ref="K43:L43"/>
    <mergeCell ref="M43:N43"/>
    <mergeCell ref="C38:F39"/>
    <mergeCell ref="G38:H38"/>
    <mergeCell ref="I38:J38"/>
    <mergeCell ref="K38:L38"/>
    <mergeCell ref="M38:N38"/>
    <mergeCell ref="O38:P38"/>
    <mergeCell ref="Q38:R38"/>
    <mergeCell ref="G39:H39"/>
    <mergeCell ref="I39:J39"/>
    <mergeCell ref="K39:L39"/>
    <mergeCell ref="M39:N39"/>
    <mergeCell ref="O39:P39"/>
    <mergeCell ref="Q39:R39"/>
    <mergeCell ref="E57:F57"/>
    <mergeCell ref="G57:H57"/>
    <mergeCell ref="I57:J57"/>
    <mergeCell ref="K57:L57"/>
    <mergeCell ref="M57:N57"/>
    <mergeCell ref="C34:Z34"/>
    <mergeCell ref="C35:F36"/>
    <mergeCell ref="G35:H35"/>
    <mergeCell ref="I35:J35"/>
    <mergeCell ref="K35:L35"/>
    <mergeCell ref="M35:N35"/>
    <mergeCell ref="O35:P35"/>
    <mergeCell ref="Q35:R35"/>
    <mergeCell ref="G36:H36"/>
    <mergeCell ref="I36:J36"/>
    <mergeCell ref="K36:L36"/>
    <mergeCell ref="M36:N36"/>
    <mergeCell ref="O36:P36"/>
    <mergeCell ref="Q36:R36"/>
    <mergeCell ref="S31:T31"/>
    <mergeCell ref="C32:H32"/>
    <mergeCell ref="I32:J32"/>
    <mergeCell ref="K32:L32"/>
    <mergeCell ref="M32:N32"/>
    <mergeCell ref="O32:P32"/>
    <mergeCell ref="Q32:R32"/>
    <mergeCell ref="S32:T32"/>
    <mergeCell ref="K30:L30"/>
    <mergeCell ref="M30:N30"/>
    <mergeCell ref="O30:P30"/>
    <mergeCell ref="Q30:R30"/>
    <mergeCell ref="S30:T30"/>
    <mergeCell ref="I31:J31"/>
    <mergeCell ref="K31:L31"/>
    <mergeCell ref="M31:N31"/>
    <mergeCell ref="O31:P31"/>
    <mergeCell ref="Q31:R31"/>
    <mergeCell ref="M28:N28"/>
    <mergeCell ref="M29:N29"/>
    <mergeCell ref="O29:P29"/>
    <mergeCell ref="Q29:R29"/>
    <mergeCell ref="S29:T29"/>
    <mergeCell ref="AB29:AD29"/>
    <mergeCell ref="E26:F26"/>
    <mergeCell ref="G26:H26"/>
    <mergeCell ref="J26:K26"/>
    <mergeCell ref="L26:M26"/>
    <mergeCell ref="P26:Z26"/>
    <mergeCell ref="E27:F27"/>
    <mergeCell ref="G27:H27"/>
    <mergeCell ref="J27:K27"/>
    <mergeCell ref="L27:M27"/>
    <mergeCell ref="P27:Z27"/>
    <mergeCell ref="V29:Z29"/>
    <mergeCell ref="AI5:AN9"/>
    <mergeCell ref="K23:L23"/>
    <mergeCell ref="M23:N23"/>
    <mergeCell ref="C24:N24"/>
    <mergeCell ref="P24:Z24"/>
    <mergeCell ref="C25:D25"/>
    <mergeCell ref="E25:F25"/>
    <mergeCell ref="M25:N25"/>
    <mergeCell ref="P25:Z25"/>
    <mergeCell ref="K19:L19"/>
    <mergeCell ref="M19:N19"/>
    <mergeCell ref="M21:N21"/>
    <mergeCell ref="K22:L22"/>
    <mergeCell ref="M22:N22"/>
    <mergeCell ref="T21:W21"/>
    <mergeCell ref="K18:L18"/>
    <mergeCell ref="M18:N18"/>
    <mergeCell ref="K17:L17"/>
    <mergeCell ref="M17:N17"/>
    <mergeCell ref="AC11:AG11"/>
    <mergeCell ref="C13:N13"/>
    <mergeCell ref="C14:F14"/>
    <mergeCell ref="J14:N14"/>
    <mergeCell ref="C15:F15"/>
    <mergeCell ref="G15:I15"/>
    <mergeCell ref="J15:N15"/>
    <mergeCell ref="C16:F16"/>
    <mergeCell ref="B6:R6"/>
    <mergeCell ref="S6:Z6"/>
    <mergeCell ref="AB7:AB10"/>
    <mergeCell ref="G16:I16"/>
    <mergeCell ref="J16:N16"/>
    <mergeCell ref="C7:T10"/>
    <mergeCell ref="U7:W10"/>
    <mergeCell ref="X7:Z10"/>
  </mergeCells>
  <dataValidations disablePrompts="1" count="6">
    <dataValidation type="list" allowBlank="1" showInputMessage="1" showErrorMessage="1" sqref="AB7 AA8:AA10" xr:uid="{2F541D0C-F0B2-427F-81DF-F50D5F5CF536}">
      <formula1>$BE$7:$BG$7</formula1>
    </dataValidation>
    <dataValidation type="list" allowBlank="1" showInputMessage="1" showErrorMessage="1" sqref="M25:N25" xr:uid="{67BF9DC7-2E51-4D95-8378-2DE2D613C1E7}">
      <formula1>"A,B,C"</formula1>
    </dataValidation>
    <dataValidation type="list" allowBlank="1" showInputMessage="1" showErrorMessage="1" sqref="E25:F25" xr:uid="{5776C1DA-D8A4-4C30-9390-89A492A8BF30}">
      <formula1>"I,II,III,IV,V"</formula1>
    </dataValidation>
    <dataValidation type="list" allowBlank="1" showInputMessage="1" showErrorMessage="1" sqref="G15:I15" xr:uid="{0DA0C4DA-5EB1-41E1-96FA-F26FFABE189A}">
      <formula1>$AC$7:$AC$8</formula1>
    </dataValidation>
    <dataValidation type="list" allowBlank="1" showInputMessage="1" showErrorMessage="1" sqref="G16:I16" xr:uid="{2E294C97-0EC5-49A0-86B4-3AAB98B43656}">
      <formula1>$AE$7:$AE$8</formula1>
    </dataValidation>
    <dataValidation type="list" allowBlank="1" showInputMessage="1" showErrorMessage="1" sqref="AE34:AH34" xr:uid="{2381F6AB-1339-43B3-AA42-B83CDA22F739}">
      <formula1>$AG$38:$AG$39</formula1>
    </dataValidation>
  </dataValidations>
  <pageMargins left="0.7" right="0.7" top="0.75" bottom="0.75" header="0.3" footer="0.3"/>
  <pageSetup paperSize="194" scale="72" fitToHeight="0" orientation="portrait" r:id="rId1"/>
  <rowBreaks count="1" manualBreakCount="1">
    <brk id="66" max="26" man="1"/>
  </rowBreaks>
  <ignoredErrors>
    <ignoredError sqref="M31 O31:T31 M32:T32 G14 J14:J16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GustFactor</vt:lpstr>
      <vt:lpstr>TCVN</vt:lpstr>
      <vt:lpstr>Bang8_10</vt:lpstr>
      <vt:lpstr>GustFactor!Print_Area</vt:lpstr>
      <vt:lpstr>TCVN!Print_Area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Huynh Vu Minh Toan</dc:creator>
  <cp:lastModifiedBy>toan huynh vu minh</cp:lastModifiedBy>
  <cp:lastPrinted>2025-08-23T04:41:58Z</cp:lastPrinted>
  <dcterms:created xsi:type="dcterms:W3CDTF">2015-06-05T18:17:20Z</dcterms:created>
  <dcterms:modified xsi:type="dcterms:W3CDTF">2025-09-21T10:08:31Z</dcterms:modified>
</cp:coreProperties>
</file>