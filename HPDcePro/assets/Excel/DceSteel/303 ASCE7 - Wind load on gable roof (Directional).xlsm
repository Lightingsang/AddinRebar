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Dce Pro\Excel\DceSteel\"/>
    </mc:Choice>
  </mc:AlternateContent>
  <xr:revisionPtr revIDLastSave="0" documentId="13_ncr:1_{4F4957C5-BFE0-4569-A188-EC1253BB3C28}" xr6:coauthVersionLast="47" xr6:coauthVersionMax="47" xr10:uidLastSave="{00000000-0000-0000-0000-000000000000}"/>
  <bookViews>
    <workbookView xWindow="-120" yWindow="-120" windowWidth="29040" windowHeight="15720" tabRatio="750" firstSheet="1" activeTab="2" xr2:uid="{7959608B-6B38-4134-AE23-F09A8FEF2A19}"/>
  </bookViews>
  <sheets>
    <sheet name="foxz" sheetId="166" state="veryHidden" r:id=""/>
    <sheet name="Input" sheetId="157" r:id="rId1"/>
    <sheet name="Building - Ngang" sheetId="154" r:id="rId2"/>
    <sheet name="Bulding - Doc" sheetId="169" r:id="rId3"/>
    <sheet name="Nhập vào sap2000-nhà cao" sheetId="162" r:id="rId4"/>
    <sheet name="Simplified" sheetId="156" state="hidden" r:id="rId5"/>
  </sheets>
  <definedNames>
    <definedName name="_xlnm.Print_Area" localSheetId="2">'Building - Ngang'!$A$1:$H$205</definedName>
    <definedName name="_xlnm.Print_Area" localSheetId="3">'Bulding - Doc'!$A$1:$G$205</definedName>
    <definedName name="_xlnm.Print_Area" localSheetId="1">Input!$A$1:$H$24</definedName>
    <definedName name="_xlnm.Print_Area" localSheetId="5">Simplified!$A$1:$J$174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91" i="169" l="1"/>
  <c r="I89" i="169"/>
  <c r="I87" i="169"/>
  <c r="I85" i="169"/>
  <c r="I91" i="154"/>
  <c r="I89" i="154"/>
  <c r="I87" i="154"/>
  <c r="I95" i="154"/>
  <c r="I85" i="154"/>
  <c r="L23" i="154"/>
  <c r="E85" i="154" s="1"/>
  <c r="B16" i="157"/>
  <c r="AB70" i="169"/>
  <c r="I19" i="154"/>
  <c r="I19" i="169" s="1"/>
  <c r="B11" i="169"/>
  <c r="B11" i="154"/>
  <c r="B21" i="154"/>
  <c r="B20" i="154"/>
  <c r="B20" i="169" s="1"/>
  <c r="B19" i="154"/>
  <c r="B19" i="169" s="1"/>
  <c r="B18" i="154"/>
  <c r="B18" i="169" s="1"/>
  <c r="B16" i="154"/>
  <c r="I18" i="154" s="1"/>
  <c r="I18" i="169" s="1"/>
  <c r="B15" i="154"/>
  <c r="B15" i="169" s="1"/>
  <c r="B14" i="154"/>
  <c r="B14" i="169" s="1"/>
  <c r="B13" i="154"/>
  <c r="B13" i="169" s="1"/>
  <c r="B12" i="154"/>
  <c r="B12" i="169" s="1"/>
  <c r="H32" i="157"/>
  <c r="F32" i="157" s="1"/>
  <c r="H31" i="157"/>
  <c r="F31" i="157" s="1"/>
  <c r="H30" i="157"/>
  <c r="F30" i="157" s="1"/>
  <c r="B22" i="169"/>
  <c r="B23" i="169"/>
  <c r="B30" i="154"/>
  <c r="I20" i="154" l="1"/>
  <c r="I20" i="169" s="1"/>
  <c r="I17" i="154"/>
  <c r="I17" i="169" s="1"/>
  <c r="B16" i="169"/>
  <c r="L5" i="169" s="1"/>
  <c r="C31" i="157"/>
  <c r="B9" i="157" s="1"/>
  <c r="B10" i="157" s="1"/>
  <c r="B10" i="154" s="1"/>
  <c r="B10" i="169" s="1"/>
  <c r="B30" i="157"/>
  <c r="B31" i="157"/>
  <c r="D31" i="157"/>
  <c r="B32" i="157"/>
  <c r="C30" i="157"/>
  <c r="C32" i="157"/>
  <c r="D30" i="157"/>
  <c r="D32" i="157"/>
  <c r="E30" i="157"/>
  <c r="E32" i="157"/>
  <c r="E31" i="157"/>
  <c r="E13" i="157"/>
  <c r="B134" i="169"/>
  <c r="B133" i="169"/>
  <c r="AB80" i="169"/>
  <c r="B80" i="169" s="1"/>
  <c r="F80" i="169" s="1"/>
  <c r="AB79" i="169"/>
  <c r="AB78" i="169"/>
  <c r="B78" i="169" s="1"/>
  <c r="F78" i="169" s="1"/>
  <c r="AB77" i="169"/>
  <c r="AB76" i="169"/>
  <c r="AB75" i="169"/>
  <c r="B75" i="169" s="1"/>
  <c r="F75" i="169" s="1"/>
  <c r="AB74" i="169"/>
  <c r="B74" i="169" s="1"/>
  <c r="E74" i="169" s="1"/>
  <c r="AB73" i="169"/>
  <c r="B73" i="169" s="1"/>
  <c r="E73" i="169" s="1"/>
  <c r="AB72" i="169"/>
  <c r="B72" i="169" s="1"/>
  <c r="F72" i="169" s="1"/>
  <c r="AB71" i="169"/>
  <c r="B32" i="169"/>
  <c r="E84" i="169" s="1"/>
  <c r="B30" i="169"/>
  <c r="L6" i="169"/>
  <c r="AB56" i="169"/>
  <c r="A86" i="169"/>
  <c r="B86" i="169"/>
  <c r="A36" i="169"/>
  <c r="C86" i="169"/>
  <c r="A33" i="169"/>
  <c r="E34" i="169"/>
  <c r="A52" i="169"/>
  <c r="A85" i="169"/>
  <c r="D86" i="169"/>
  <c r="A97" i="169"/>
  <c r="E36" i="169"/>
  <c r="A35" i="169"/>
  <c r="E33" i="169"/>
  <c r="A34" i="169"/>
  <c r="E35" i="169"/>
  <c r="M23" i="169"/>
  <c r="M26" i="169"/>
  <c r="L24" i="169"/>
  <c r="L23" i="169"/>
  <c r="M25" i="169"/>
  <c r="L25" i="169"/>
  <c r="M24" i="169"/>
  <c r="L26" i="169"/>
  <c r="A45" i="154"/>
  <c r="B17" i="154"/>
  <c r="B17" i="169" s="1"/>
  <c r="P3" i="169" s="1"/>
  <c r="B28" i="169" s="1"/>
  <c r="M17" i="169" s="1"/>
  <c r="B21" i="169"/>
  <c r="B9" i="154"/>
  <c r="A52" i="154" s="1"/>
  <c r="E131" i="162"/>
  <c r="E121" i="162"/>
  <c r="B32" i="154"/>
  <c r="AB70" i="154"/>
  <c r="AB71" i="154"/>
  <c r="AB72" i="154"/>
  <c r="AB73" i="154"/>
  <c r="AB74" i="154"/>
  <c r="B74" i="154"/>
  <c r="AB75" i="154"/>
  <c r="AB76" i="154"/>
  <c r="AB77" i="154"/>
  <c r="AB78" i="154"/>
  <c r="AB79" i="154"/>
  <c r="AB80" i="154"/>
  <c r="B133" i="154"/>
  <c r="B134" i="154"/>
  <c r="B4" i="156"/>
  <c r="G4" i="156"/>
  <c r="B5" i="156"/>
  <c r="G5" i="156"/>
  <c r="I5" i="156"/>
  <c r="C12" i="156"/>
  <c r="AD149" i="156" s="1"/>
  <c r="C18" i="156"/>
  <c r="C20" i="156"/>
  <c r="C22" i="156"/>
  <c r="B72" i="156"/>
  <c r="B75" i="156"/>
  <c r="H77" i="156"/>
  <c r="H78" i="156"/>
  <c r="A93" i="156"/>
  <c r="A101" i="156"/>
  <c r="A102" i="156"/>
  <c r="A103" i="156"/>
  <c r="A104" i="156"/>
  <c r="A105" i="156"/>
  <c r="A106" i="156"/>
  <c r="A107" i="156"/>
  <c r="A109" i="156"/>
  <c r="A111" i="156"/>
  <c r="AD148" i="156"/>
  <c r="C8" i="156"/>
  <c r="AM181" i="156" s="1"/>
  <c r="C13" i="156"/>
  <c r="C16" i="156"/>
  <c r="C14" i="156"/>
  <c r="E132" i="162"/>
  <c r="E122" i="162"/>
  <c r="E84" i="154"/>
  <c r="C15" i="156"/>
  <c r="E63" i="156" s="1"/>
  <c r="C11" i="156"/>
  <c r="C9" i="156"/>
  <c r="AD264" i="156"/>
  <c r="C10" i="156"/>
  <c r="O305" i="156" s="1"/>
  <c r="D46" i="156" s="1"/>
  <c r="AL46" i="156"/>
  <c r="AI274" i="156"/>
  <c r="AF230" i="156"/>
  <c r="AM264" i="156"/>
  <c r="P25" i="154"/>
  <c r="Q25" i="154"/>
  <c r="AF286" i="156"/>
  <c r="AM286" i="156"/>
  <c r="L29" i="169"/>
  <c r="B37" i="169" s="1"/>
  <c r="L30" i="169"/>
  <c r="B38" i="169" s="1"/>
  <c r="B81" i="154"/>
  <c r="E81" i="154" s="1"/>
  <c r="AI82" i="156"/>
  <c r="AJ89" i="156"/>
  <c r="AM208" i="156"/>
  <c r="AF278" i="156"/>
  <c r="AC232" i="156"/>
  <c r="AG88" i="156"/>
  <c r="BF25" i="156"/>
  <c r="AR62" i="156" s="1"/>
  <c r="AG280" i="156"/>
  <c r="AE168" i="156"/>
  <c r="AH275" i="156"/>
  <c r="AD242" i="156"/>
  <c r="AE225" i="156"/>
  <c r="AI247" i="156"/>
  <c r="AM28" i="156"/>
  <c r="AF213" i="156"/>
  <c r="AC45" i="156"/>
  <c r="AC70" i="156"/>
  <c r="AD168" i="156"/>
  <c r="AC66" i="156"/>
  <c r="AG253" i="156"/>
  <c r="AG263" i="156"/>
  <c r="AJ192" i="156"/>
  <c r="AD137" i="156"/>
  <c r="AC221" i="156"/>
  <c r="AH44" i="156"/>
  <c r="AL190" i="156"/>
  <c r="AL37" i="156"/>
  <c r="AJ212" i="156"/>
  <c r="AG99" i="156"/>
  <c r="AH137" i="156"/>
  <c r="AD103" i="156"/>
  <c r="AK199" i="156"/>
  <c r="AD23" i="156"/>
  <c r="AE22" i="156"/>
  <c r="AD59" i="156"/>
  <c r="AC263" i="156"/>
  <c r="AG181" i="156"/>
  <c r="AL214" i="156"/>
  <c r="AG83" i="156"/>
  <c r="AJ210" i="156"/>
  <c r="AE236" i="156"/>
  <c r="AL35" i="156"/>
  <c r="AF188" i="156"/>
  <c r="AE110" i="156"/>
  <c r="BX46" i="156"/>
  <c r="AD256" i="156"/>
  <c r="AF114" i="156"/>
  <c r="AI201" i="156"/>
  <c r="AB199" i="156"/>
  <c r="AH192" i="156"/>
  <c r="AI122" i="156"/>
  <c r="AH220" i="156"/>
  <c r="AD224" i="156"/>
  <c r="AB90" i="156"/>
  <c r="AL67" i="156"/>
  <c r="AG114" i="156"/>
  <c r="AH210" i="156"/>
  <c r="AC56" i="156"/>
  <c r="AK191" i="156"/>
  <c r="AC241" i="156"/>
  <c r="AD70" i="156"/>
  <c r="AI15" i="156"/>
  <c r="AM153" i="156"/>
  <c r="AM276" i="156"/>
  <c r="AC34" i="156"/>
  <c r="AF241" i="156"/>
  <c r="AF11" i="156"/>
  <c r="BX35" i="156"/>
  <c r="AC203" i="156"/>
  <c r="AD225" i="156"/>
  <c r="AM187" i="156"/>
  <c r="AJ202" i="156"/>
  <c r="AE198" i="156"/>
  <c r="AE153" i="156"/>
  <c r="CP32" i="156"/>
  <c r="AH105" i="156"/>
  <c r="AJ105" i="156"/>
  <c r="BX30" i="156"/>
  <c r="AD254" i="156"/>
  <c r="AE276" i="156"/>
  <c r="AG264" i="156"/>
  <c r="AH121" i="156"/>
  <c r="AC214" i="156"/>
  <c r="AG164" i="156"/>
  <c r="AK99" i="156"/>
  <c r="CP9" i="156"/>
  <c r="AD89" i="156"/>
  <c r="AM112" i="156"/>
  <c r="AI198" i="156"/>
  <c r="AL192" i="156"/>
  <c r="AK115" i="156"/>
  <c r="AH15" i="156"/>
  <c r="AM169" i="156"/>
  <c r="AF103" i="156"/>
  <c r="AC111" i="156"/>
  <c r="AI187" i="156"/>
  <c r="BF17" i="156"/>
  <c r="AR60" i="156"/>
  <c r="AM170" i="156"/>
  <c r="AG188" i="156"/>
  <c r="AI235" i="156"/>
  <c r="AE70" i="156"/>
  <c r="AG192" i="156"/>
  <c r="AF202" i="156"/>
  <c r="AE94" i="156"/>
  <c r="AM232" i="156"/>
  <c r="AC279" i="156"/>
  <c r="AF225" i="156"/>
  <c r="AL134" i="156"/>
  <c r="AJ45" i="156"/>
  <c r="AM72" i="156"/>
  <c r="AL213" i="156"/>
  <c r="CP14" i="156"/>
  <c r="CB39" i="156" s="1"/>
  <c r="AK159" i="156"/>
  <c r="AJ93" i="156"/>
  <c r="AC153" i="156"/>
  <c r="AJ112" i="156"/>
  <c r="AG153" i="156"/>
  <c r="AG122" i="156"/>
  <c r="AF132" i="156"/>
  <c r="AL186" i="156"/>
  <c r="AE11" i="156"/>
  <c r="AE49" i="156"/>
  <c r="AC168" i="156"/>
  <c r="AL48" i="156"/>
  <c r="AC49" i="156"/>
  <c r="AE121" i="156"/>
  <c r="AK212" i="156"/>
  <c r="AD101" i="156"/>
  <c r="AJ280" i="156"/>
  <c r="AH72" i="156"/>
  <c r="AC35" i="156"/>
  <c r="AC269" i="156"/>
  <c r="AJ191" i="156"/>
  <c r="AH168" i="156"/>
  <c r="AH187" i="156"/>
  <c r="AC209" i="156"/>
  <c r="AD201" i="156"/>
  <c r="AE180" i="156"/>
  <c r="AF92" i="156"/>
  <c r="AF235" i="156"/>
  <c r="AE208" i="156"/>
  <c r="AI269" i="156"/>
  <c r="AE212" i="156"/>
  <c r="AE275" i="156"/>
  <c r="AC33" i="156"/>
  <c r="BF14" i="156"/>
  <c r="AK26" i="156"/>
  <c r="AF253" i="156"/>
  <c r="AC247" i="156"/>
  <c r="CP17" i="156"/>
  <c r="AE59" i="156"/>
  <c r="AD210" i="156"/>
  <c r="AM268" i="156"/>
  <c r="AC16" i="156"/>
  <c r="AE34" i="156"/>
  <c r="AH71" i="156"/>
  <c r="AI81" i="156"/>
  <c r="AC104" i="156"/>
  <c r="AJ59" i="156"/>
  <c r="AH78" i="156"/>
  <c r="AJ252" i="156"/>
  <c r="AI159" i="156"/>
  <c r="AC264" i="156"/>
  <c r="AG26" i="156"/>
  <c r="AL154" i="156"/>
  <c r="AH115" i="156"/>
  <c r="AC39" i="156"/>
  <c r="AL88" i="156"/>
  <c r="AL111" i="156"/>
  <c r="AH49" i="156"/>
  <c r="AK210" i="156"/>
  <c r="AC267" i="156"/>
  <c r="AF265" i="156"/>
  <c r="AI59" i="156"/>
  <c r="BF50" i="156"/>
  <c r="AH153" i="156"/>
  <c r="AE179" i="156"/>
  <c r="AF212" i="156"/>
  <c r="AH254" i="156"/>
  <c r="AC181" i="156"/>
  <c r="AF101" i="156"/>
  <c r="AE16" i="156"/>
  <c r="AD220" i="156"/>
  <c r="AH94" i="156"/>
  <c r="AJ122" i="156"/>
  <c r="AG232" i="156"/>
  <c r="AL71" i="156"/>
  <c r="AF254" i="156"/>
  <c r="CP13" i="156"/>
  <c r="AI46" i="156"/>
  <c r="AD78" i="156"/>
  <c r="AC169" i="156"/>
  <c r="AF257" i="156"/>
  <c r="AG78" i="156"/>
  <c r="AE158" i="156"/>
  <c r="AF71" i="156"/>
  <c r="AM15" i="156"/>
  <c r="AF38" i="156"/>
  <c r="BF11" i="156"/>
  <c r="AG72" i="156"/>
  <c r="AK104" i="156"/>
  <c r="AJ245" i="156"/>
  <c r="AM46" i="156"/>
  <c r="AD188" i="156"/>
  <c r="AG13" i="156"/>
  <c r="AE137" i="156"/>
  <c r="AD247" i="156"/>
  <c r="AJ99" i="156"/>
  <c r="AG125" i="156"/>
  <c r="AH83" i="156"/>
  <c r="AF49" i="156"/>
  <c r="AE23" i="156"/>
  <c r="AC246" i="156"/>
  <c r="AL94" i="156"/>
  <c r="AK243" i="156"/>
  <c r="BX29" i="156"/>
  <c r="BJ63" i="156" s="1"/>
  <c r="AK133" i="156"/>
  <c r="BX27" i="156"/>
  <c r="AI202" i="156"/>
  <c r="AK100" i="156"/>
  <c r="AM199" i="156"/>
  <c r="AG39" i="156"/>
  <c r="AG175" i="156"/>
  <c r="AC114" i="156"/>
  <c r="AM280" i="156"/>
  <c r="AK245" i="156"/>
  <c r="AC26" i="156"/>
  <c r="AL137" i="156"/>
  <c r="AH191" i="156"/>
  <c r="AJ13" i="156"/>
  <c r="AG219" i="156"/>
  <c r="AK88" i="156"/>
  <c r="AF61" i="156"/>
  <c r="AL100" i="156"/>
  <c r="AL276" i="156"/>
  <c r="AC71" i="156"/>
  <c r="AE26" i="156"/>
  <c r="AG199" i="156"/>
  <c r="AK82" i="156"/>
  <c r="BX23" i="156"/>
  <c r="AG247" i="156"/>
  <c r="AF60" i="156"/>
  <c r="AM157" i="156"/>
  <c r="AD181" i="156"/>
  <c r="AD223" i="156"/>
  <c r="AG256" i="156"/>
  <c r="AD116" i="156"/>
  <c r="AI155" i="156"/>
  <c r="AK264" i="156"/>
  <c r="AH39" i="156"/>
  <c r="AL125" i="156"/>
  <c r="AD245" i="156"/>
  <c r="AM154" i="156"/>
  <c r="AG169" i="156"/>
  <c r="AC252" i="156"/>
  <c r="AG166" i="156"/>
  <c r="AE245" i="156"/>
  <c r="AC116" i="156"/>
  <c r="AL138" i="156"/>
  <c r="AL22" i="156"/>
  <c r="AG201" i="156"/>
  <c r="AM176" i="156"/>
  <c r="AL72" i="156"/>
  <c r="AJ165" i="156"/>
  <c r="AF12" i="156"/>
  <c r="AI110" i="156"/>
  <c r="AH90" i="156"/>
  <c r="AH221" i="156"/>
  <c r="AI210" i="156"/>
  <c r="AH16" i="156"/>
  <c r="AI93" i="156"/>
  <c r="AG134" i="156"/>
  <c r="AE89" i="156"/>
  <c r="AI245" i="156"/>
  <c r="AC197" i="156"/>
  <c r="AD179" i="156"/>
  <c r="AG22" i="156"/>
  <c r="AI208" i="156"/>
  <c r="AG177" i="156"/>
  <c r="AH114" i="156"/>
  <c r="AM155" i="156"/>
  <c r="AL28" i="156"/>
  <c r="AF224" i="156"/>
  <c r="AI37" i="156"/>
  <c r="AK92" i="156"/>
  <c r="AL83" i="156"/>
  <c r="AK181" i="156"/>
  <c r="AM186" i="156"/>
  <c r="AF55" i="156"/>
  <c r="BX53" i="156"/>
  <c r="AH23" i="156"/>
  <c r="AM82" i="156"/>
  <c r="AD157" i="156"/>
  <c r="AH22" i="156"/>
  <c r="AM94" i="156"/>
  <c r="AI115" i="156"/>
  <c r="AK13" i="156"/>
  <c r="AF125" i="156"/>
  <c r="AJ157" i="156"/>
  <c r="AL101" i="156"/>
  <c r="AL50" i="156"/>
  <c r="AE265" i="156"/>
  <c r="AK221" i="156"/>
  <c r="AD15" i="156"/>
  <c r="AG203" i="156"/>
  <c r="AG158" i="156"/>
  <c r="AM192" i="156"/>
  <c r="AK214" i="156"/>
  <c r="AH12" i="156"/>
  <c r="AH265" i="156"/>
  <c r="AH100" i="156"/>
  <c r="AE241" i="156"/>
  <c r="AL209" i="156"/>
  <c r="AM93" i="156"/>
  <c r="AB79" i="156"/>
  <c r="AJ263" i="156"/>
  <c r="AC78" i="156"/>
  <c r="CP10" i="156"/>
  <c r="CB38" i="156" s="1"/>
  <c r="AK17" i="156"/>
  <c r="AC37" i="156"/>
  <c r="AJ114" i="156"/>
  <c r="AC82" i="156"/>
  <c r="AB166" i="156"/>
  <c r="BF41" i="156"/>
  <c r="AR66" i="156" s="1"/>
  <c r="AE138" i="156"/>
  <c r="AG220" i="156"/>
  <c r="AK71" i="156"/>
  <c r="AH246" i="156"/>
  <c r="AC105" i="156"/>
  <c r="AH269" i="156"/>
  <c r="AD37" i="156"/>
  <c r="AI209" i="156"/>
  <c r="AH11" i="156"/>
  <c r="AG121" i="156"/>
  <c r="AM39" i="156"/>
  <c r="AI66" i="156"/>
  <c r="AH157" i="156"/>
  <c r="AJ101" i="156"/>
  <c r="AI165" i="156"/>
  <c r="AI103" i="156"/>
  <c r="AJ201" i="156"/>
  <c r="AK190" i="156"/>
  <c r="AJ90" i="156"/>
  <c r="AK103" i="156"/>
  <c r="AD123" i="156"/>
  <c r="AI61" i="156"/>
  <c r="AI268" i="156"/>
  <c r="BF12" i="156"/>
  <c r="AM219" i="156"/>
  <c r="AD246" i="156"/>
  <c r="AJ208" i="156"/>
  <c r="AK78" i="156"/>
  <c r="BX16" i="156"/>
  <c r="AJ153" i="156"/>
  <c r="AL115" i="156"/>
  <c r="AF155" i="156"/>
  <c r="AG176" i="156"/>
  <c r="AH223" i="156"/>
  <c r="AM252" i="156"/>
  <c r="AK177" i="156"/>
  <c r="BX17" i="156"/>
  <c r="BJ60" i="156" s="1"/>
  <c r="AH278" i="156"/>
  <c r="AJ70" i="156"/>
  <c r="AG278" i="156"/>
  <c r="AJ265" i="156"/>
  <c r="AM242" i="156"/>
  <c r="AG61" i="156"/>
  <c r="AH243" i="156"/>
  <c r="AI126" i="156"/>
  <c r="AD122" i="156"/>
  <c r="BF52" i="156"/>
  <c r="AF15" i="156"/>
  <c r="BF40" i="156"/>
  <c r="AG105" i="156"/>
  <c r="AG136" i="156"/>
  <c r="AD236" i="156"/>
  <c r="AC67" i="156"/>
  <c r="AK93" i="156"/>
  <c r="AL254" i="156"/>
  <c r="AD81" i="156"/>
  <c r="AG77" i="156"/>
  <c r="BF13" i="156"/>
  <c r="AR59" i="156" s="1"/>
  <c r="AI27" i="156"/>
  <c r="AH165" i="156"/>
  <c r="AF177" i="156"/>
  <c r="AK45" i="156"/>
  <c r="AE99" i="156"/>
  <c r="AH159" i="156"/>
  <c r="AH37" i="156"/>
  <c r="AL253" i="156"/>
  <c r="AD132" i="156"/>
  <c r="AI57" i="156"/>
  <c r="AK179" i="156"/>
  <c r="AF247" i="156"/>
  <c r="AH176" i="156"/>
  <c r="AD71" i="156"/>
  <c r="AG159" i="156"/>
  <c r="AC92" i="156"/>
  <c r="AJ68" i="156"/>
  <c r="AH61" i="156"/>
  <c r="AL235" i="156"/>
  <c r="AK247" i="156"/>
  <c r="AJ48" i="156"/>
  <c r="AI275" i="156"/>
  <c r="AG245" i="156"/>
  <c r="AH48" i="156"/>
  <c r="AL246" i="156"/>
  <c r="BF18" i="156"/>
  <c r="AG48" i="156"/>
  <c r="AG57" i="156"/>
  <c r="AM212" i="156"/>
  <c r="AI177" i="156"/>
  <c r="AF112" i="156"/>
  <c r="AJ57" i="156"/>
  <c r="AE114" i="156"/>
  <c r="AJ28" i="156"/>
  <c r="AM105" i="156"/>
  <c r="AI26" i="156"/>
  <c r="BF51" i="156"/>
  <c r="CP28" i="156"/>
  <c r="AD276" i="156"/>
  <c r="AD134" i="156"/>
  <c r="AM203" i="156"/>
  <c r="AE39" i="156"/>
  <c r="AE280" i="156"/>
  <c r="AH241" i="156"/>
  <c r="AI134" i="156"/>
  <c r="AE57" i="156"/>
  <c r="AK61" i="156"/>
  <c r="AF116" i="156"/>
  <c r="BF34" i="156"/>
  <c r="AJ100" i="156"/>
  <c r="AG179" i="156"/>
  <c r="AK256" i="156"/>
  <c r="AL280" i="156"/>
  <c r="AG56" i="156"/>
  <c r="AF179" i="156"/>
  <c r="AE269" i="156"/>
  <c r="AH154" i="156"/>
  <c r="AC192" i="156"/>
  <c r="AE45" i="156"/>
  <c r="AM114" i="156"/>
  <c r="CP12" i="156"/>
  <c r="AL263" i="156"/>
  <c r="AD127" i="156"/>
  <c r="AI225" i="156"/>
  <c r="AH276" i="156"/>
  <c r="AJ11" i="156"/>
  <c r="BX32" i="156"/>
  <c r="AL236" i="156"/>
  <c r="AD44" i="156"/>
  <c r="AC176" i="156"/>
  <c r="AI104" i="156"/>
  <c r="AK22" i="156"/>
  <c r="BF48" i="156"/>
  <c r="AK258" i="156"/>
  <c r="AC166" i="156"/>
  <c r="AL11" i="156"/>
  <c r="AC44" i="156"/>
  <c r="AL45" i="156"/>
  <c r="AJ12" i="156"/>
  <c r="AM179" i="156"/>
  <c r="AD169" i="156"/>
  <c r="AM103" i="156"/>
  <c r="AE112" i="156"/>
  <c r="AL153" i="156"/>
  <c r="AJ83" i="156"/>
  <c r="AF44" i="156"/>
  <c r="AM37" i="156"/>
  <c r="BF49" i="156"/>
  <c r="AD209" i="156"/>
  <c r="AE232" i="156"/>
  <c r="AL159" i="156"/>
  <c r="AI78" i="156"/>
  <c r="AG46" i="156"/>
  <c r="AH199" i="156"/>
  <c r="AJ175" i="156"/>
  <c r="AE56" i="156"/>
  <c r="AC112" i="156"/>
  <c r="AD164" i="156"/>
  <c r="AM35" i="156"/>
  <c r="AK231" i="156"/>
  <c r="AM17" i="156"/>
  <c r="AJ232" i="156"/>
  <c r="AH268" i="156"/>
  <c r="AK253" i="156"/>
  <c r="AI23" i="156"/>
  <c r="AF267" i="156"/>
  <c r="AF34" i="156"/>
  <c r="AC231" i="156"/>
  <c r="AL132" i="156"/>
  <c r="AM265" i="156"/>
  <c r="AE202" i="156"/>
  <c r="AJ22" i="156"/>
  <c r="AF245" i="156"/>
  <c r="AK125" i="156"/>
  <c r="CP26" i="156"/>
  <c r="CB44" i="156" s="1"/>
  <c r="AI214" i="156"/>
  <c r="AC77" i="156"/>
  <c r="AM45" i="156"/>
  <c r="AI169" i="156"/>
  <c r="AD258" i="156"/>
  <c r="AC201" i="156"/>
  <c r="AM38" i="156"/>
  <c r="AG208" i="156"/>
  <c r="AL57" i="156"/>
  <c r="AJ35" i="156"/>
  <c r="AE67" i="156"/>
  <c r="AJ15" i="156"/>
  <c r="AE37" i="156"/>
  <c r="AF279" i="156"/>
  <c r="AL105" i="156"/>
  <c r="AI111" i="156"/>
  <c r="AF199" i="156"/>
  <c r="AB24" i="156"/>
  <c r="AD115" i="156"/>
  <c r="AI127" i="156"/>
  <c r="AI121" i="156"/>
  <c r="AC68" i="156"/>
  <c r="CP33" i="156"/>
  <c r="AI246" i="156"/>
  <c r="AL269" i="156"/>
  <c r="AF82" i="156"/>
  <c r="AI38" i="156"/>
  <c r="AG104" i="156"/>
  <c r="AE223" i="156"/>
  <c r="AH264" i="156"/>
  <c r="AM225" i="156"/>
  <c r="AG210" i="156"/>
  <c r="AI79" i="156"/>
  <c r="AE90" i="156"/>
  <c r="AK219" i="156"/>
  <c r="AL202" i="156"/>
  <c r="AF77" i="156"/>
  <c r="AD24" i="156"/>
  <c r="AJ242" i="156"/>
  <c r="AM220" i="156"/>
  <c r="AH175" i="156"/>
  <c r="AD34" i="156"/>
  <c r="AJ81" i="156"/>
  <c r="AJ198" i="156"/>
  <c r="AI180" i="156"/>
  <c r="AJ241" i="156"/>
  <c r="AG15" i="156"/>
  <c r="BX22" i="156"/>
  <c r="AI232" i="156"/>
  <c r="AD187" i="156"/>
  <c r="BF36" i="156"/>
  <c r="AK187" i="156"/>
  <c r="AI230" i="156"/>
  <c r="AB188" i="156"/>
  <c r="AL27" i="156"/>
  <c r="AM134" i="156"/>
  <c r="AL168" i="156"/>
  <c r="AM11" i="156"/>
  <c r="AI50" i="156"/>
  <c r="AE188" i="156"/>
  <c r="AL49" i="156"/>
  <c r="AL133" i="156"/>
  <c r="BX9" i="156"/>
  <c r="AI133" i="156"/>
  <c r="AF197" i="156"/>
  <c r="AB123" i="156"/>
  <c r="AK220" i="156"/>
  <c r="AD274" i="156"/>
  <c r="AG12" i="156"/>
  <c r="AF191" i="156"/>
  <c r="AM165" i="156"/>
  <c r="AJ159" i="156"/>
  <c r="AJ225" i="156"/>
  <c r="AH202" i="156"/>
  <c r="AM230" i="156"/>
  <c r="AJ164" i="156"/>
  <c r="AK232" i="156"/>
  <c r="AL81" i="156"/>
  <c r="AH79" i="156"/>
  <c r="AD17" i="156"/>
  <c r="CP21" i="156"/>
  <c r="AK123" i="156"/>
  <c r="AH110" i="156"/>
  <c r="AI70" i="156"/>
  <c r="AL24" i="156"/>
  <c r="AE209" i="156"/>
  <c r="AI67" i="156"/>
  <c r="AK121" i="156"/>
  <c r="AE252" i="156"/>
  <c r="AF276" i="156"/>
  <c r="BX31" i="156"/>
  <c r="BX51" i="156"/>
  <c r="AB134" i="156"/>
  <c r="AC88" i="156"/>
  <c r="AJ180" i="156"/>
  <c r="AI48" i="156"/>
  <c r="AK33" i="156"/>
  <c r="AG214" i="156"/>
  <c r="AK257" i="156"/>
  <c r="AM246" i="156"/>
  <c r="B63" i="169"/>
  <c r="D63" i="169" s="1"/>
  <c r="B67" i="169"/>
  <c r="G67" i="169" s="1"/>
  <c r="G30" i="169"/>
  <c r="B56" i="154"/>
  <c r="E56" i="154" s="1"/>
  <c r="B58" i="154"/>
  <c r="A58" i="154" s="1"/>
  <c r="AB56" i="154"/>
  <c r="B118" i="169"/>
  <c r="AJ188" i="156"/>
  <c r="AM223" i="156"/>
  <c r="AG23" i="156"/>
  <c r="AH257" i="156"/>
  <c r="AH59" i="156"/>
  <c r="AM136" i="156"/>
  <c r="BF38" i="156"/>
  <c r="AM234" i="156"/>
  <c r="AD83" i="156"/>
  <c r="AE28" i="156"/>
  <c r="AE68" i="156"/>
  <c r="AM158" i="156"/>
  <c r="AE83" i="156"/>
  <c r="AD176" i="156"/>
  <c r="AM111" i="156"/>
  <c r="BF10" i="156"/>
  <c r="AF198" i="156"/>
  <c r="AE78" i="156"/>
  <c r="AF28" i="156"/>
  <c r="AG165" i="156"/>
  <c r="AI112" i="156"/>
  <c r="AG154" i="156"/>
  <c r="AG212" i="156"/>
  <c r="AG276" i="156"/>
  <c r="AD110" i="156"/>
  <c r="AH56" i="156"/>
  <c r="AD235" i="156"/>
  <c r="AH111" i="156"/>
  <c r="AK11" i="156"/>
  <c r="AJ187" i="156"/>
  <c r="CP29" i="156"/>
  <c r="AL155" i="156"/>
  <c r="AF187" i="156"/>
  <c r="AE88" i="156"/>
  <c r="AJ46" i="156"/>
  <c r="BF29" i="156"/>
  <c r="AR63" i="156" s="1"/>
  <c r="AD33" i="156"/>
  <c r="AK110" i="156"/>
  <c r="AJ267" i="156"/>
  <c r="AI44" i="156"/>
  <c r="AF168" i="156"/>
  <c r="CP18" i="156"/>
  <c r="CB41" i="156" s="1"/>
  <c r="AF72" i="156"/>
  <c r="AJ234" i="156"/>
  <c r="AH103" i="156"/>
  <c r="AC157" i="156"/>
  <c r="AK35" i="156"/>
  <c r="AF221" i="156"/>
  <c r="AE170" i="156"/>
  <c r="AG60" i="156"/>
  <c r="AJ88" i="156"/>
  <c r="AC236" i="156"/>
  <c r="AK57" i="156"/>
  <c r="AJ123" i="156"/>
  <c r="AD268" i="156"/>
  <c r="AI192" i="156"/>
  <c r="AG170" i="156"/>
  <c r="AL157" i="156"/>
  <c r="AL17" i="156"/>
  <c r="AC159" i="156"/>
  <c r="AK94" i="156"/>
  <c r="AC234" i="156"/>
  <c r="AH77" i="156"/>
  <c r="AL59" i="156"/>
  <c r="AM133" i="156"/>
  <c r="AH101" i="156"/>
  <c r="AL208" i="156"/>
  <c r="BF43" i="156"/>
  <c r="AE81" i="156"/>
  <c r="AJ38" i="156"/>
  <c r="AK28" i="156"/>
  <c r="AH55" i="156"/>
  <c r="BX42" i="156"/>
  <c r="AG223" i="156"/>
  <c r="AG265" i="156"/>
  <c r="BX11" i="156"/>
  <c r="AI45" i="156"/>
  <c r="AH82" i="156"/>
  <c r="AC50" i="156"/>
  <c r="AJ55" i="156"/>
  <c r="BF15" i="156"/>
  <c r="AL188" i="156"/>
  <c r="AL220" i="156"/>
  <c r="AJ154" i="156"/>
  <c r="AJ16" i="156"/>
  <c r="AD232" i="156"/>
  <c r="AF123" i="156"/>
  <c r="AJ121" i="156"/>
  <c r="AC133" i="156"/>
  <c r="AG45" i="156"/>
  <c r="AM241" i="156"/>
  <c r="AJ268" i="156"/>
  <c r="AF94" i="156"/>
  <c r="AM125" i="156"/>
  <c r="BX48" i="156"/>
  <c r="AM126" i="156"/>
  <c r="AL169" i="156"/>
  <c r="AJ203" i="156"/>
  <c r="AK23" i="156"/>
  <c r="AH170" i="156"/>
  <c r="AI276" i="156"/>
  <c r="AG112" i="156"/>
  <c r="AH232" i="156"/>
  <c r="AE243" i="156"/>
  <c r="AI39" i="156"/>
  <c r="AL26" i="156"/>
  <c r="AJ176" i="156"/>
  <c r="BX21" i="156"/>
  <c r="BJ61" i="156" s="1"/>
  <c r="AM235" i="156"/>
  <c r="AL56" i="156"/>
  <c r="AD99" i="156"/>
  <c r="AL170" i="156"/>
  <c r="AL103" i="156"/>
  <c r="AG254" i="156"/>
  <c r="AD234" i="156"/>
  <c r="AC245" i="156"/>
  <c r="AE221" i="156"/>
  <c r="AF22" i="156"/>
  <c r="AD177" i="156"/>
  <c r="AJ110" i="156"/>
  <c r="AC22" i="156"/>
  <c r="AC46" i="156"/>
  <c r="BF33" i="156"/>
  <c r="AR64" i="156"/>
  <c r="AD56" i="156"/>
  <c r="AK112" i="156"/>
  <c r="AD16" i="156"/>
  <c r="AF134" i="156"/>
  <c r="AL225" i="156"/>
  <c r="AC268" i="156"/>
  <c r="AJ79" i="156"/>
  <c r="AB13" i="156"/>
  <c r="AA143" i="156" s="1"/>
  <c r="BF16" i="156"/>
  <c r="AJ223" i="156"/>
  <c r="AC210" i="156"/>
  <c r="AJ155" i="156"/>
  <c r="AE176" i="156"/>
  <c r="AL79" i="156"/>
  <c r="AM213" i="156"/>
  <c r="AH267" i="156"/>
  <c r="BF55" i="156"/>
  <c r="AI264" i="156"/>
  <c r="AD198" i="156"/>
  <c r="AH203" i="156"/>
  <c r="AK165" i="156"/>
  <c r="AK157" i="156"/>
  <c r="AJ279" i="156"/>
  <c r="AG11" i="156"/>
  <c r="BF24" i="156"/>
  <c r="AM198" i="156"/>
  <c r="AK34" i="156"/>
  <c r="AM57" i="156"/>
  <c r="AI257" i="156"/>
  <c r="AI88" i="156"/>
  <c r="AG187" i="156"/>
  <c r="AK12" i="156"/>
  <c r="AF27" i="156"/>
  <c r="AI158" i="156"/>
  <c r="AF81" i="156"/>
  <c r="AC220" i="156"/>
  <c r="AD50" i="156"/>
  <c r="AM243" i="156"/>
  <c r="AM33" i="156"/>
  <c r="AI241" i="156"/>
  <c r="AM258" i="156"/>
  <c r="AD213" i="156"/>
  <c r="AE199" i="156"/>
  <c r="AL121" i="156"/>
  <c r="AE133" i="156"/>
  <c r="AK276" i="156"/>
  <c r="AD279" i="156"/>
  <c r="AH123" i="156"/>
  <c r="AJ134" i="156"/>
  <c r="AK60" i="156"/>
  <c r="AK241" i="156"/>
  <c r="AL256" i="156"/>
  <c r="AK164" i="156"/>
  <c r="AC137" i="156"/>
  <c r="AL66" i="156"/>
  <c r="AH60" i="156"/>
  <c r="AF220" i="156"/>
  <c r="AG81" i="156"/>
  <c r="AI33" i="156"/>
  <c r="AC13" i="156"/>
  <c r="AM104" i="156"/>
  <c r="AG90" i="156"/>
  <c r="AI136" i="156"/>
  <c r="AM123" i="156"/>
  <c r="AK137" i="156"/>
  <c r="AM90" i="156"/>
  <c r="AE35" i="156"/>
  <c r="AM68" i="156"/>
  <c r="AC103" i="156"/>
  <c r="AG202" i="156"/>
  <c r="AD199" i="156"/>
  <c r="AD105" i="156"/>
  <c r="AL70" i="156"/>
  <c r="AJ127" i="156"/>
  <c r="BX15" i="156"/>
  <c r="AE93" i="156"/>
  <c r="AL16" i="156"/>
  <c r="AD158" i="156"/>
  <c r="AG275" i="156"/>
  <c r="AK263" i="156"/>
  <c r="AD11" i="156"/>
  <c r="AB35" i="156"/>
  <c r="AC38" i="156"/>
  <c r="AC23" i="156"/>
  <c r="AM56" i="156"/>
  <c r="AH34" i="156"/>
  <c r="AF175" i="156"/>
  <c r="AI212" i="156"/>
  <c r="AD153" i="156"/>
  <c r="AH177" i="156"/>
  <c r="AL34" i="156"/>
  <c r="AF169" i="156"/>
  <c r="AK15" i="156"/>
  <c r="AC180" i="156"/>
  <c r="AH158" i="156"/>
  <c r="AE267" i="156"/>
  <c r="AD241" i="156"/>
  <c r="AF263" i="156"/>
  <c r="AI105" i="156"/>
  <c r="AL231" i="156"/>
  <c r="AI157" i="156"/>
  <c r="AF231" i="156"/>
  <c r="AB254" i="156"/>
  <c r="AE246" i="156"/>
  <c r="AM224" i="156"/>
  <c r="AF115" i="156"/>
  <c r="BF44" i="156"/>
  <c r="AL223" i="156"/>
  <c r="AI176" i="156"/>
  <c r="AL44" i="156"/>
  <c r="AL77" i="156"/>
  <c r="AK168" i="156"/>
  <c r="AD265" i="156"/>
  <c r="AF201" i="156"/>
  <c r="AI138" i="156"/>
  <c r="AH197" i="156"/>
  <c r="AH245" i="156"/>
  <c r="AE247" i="156"/>
  <c r="AJ190" i="156"/>
  <c r="AD214" i="156"/>
  <c r="AD186" i="156"/>
  <c r="AD275" i="156"/>
  <c r="AI22" i="156"/>
  <c r="AI197" i="156"/>
  <c r="AC177" i="156"/>
  <c r="BF46" i="156"/>
  <c r="AG198" i="156"/>
  <c r="AM48" i="156"/>
  <c r="AE154" i="156"/>
  <c r="AH138" i="156"/>
  <c r="AI203" i="156"/>
  <c r="AH88" i="156"/>
  <c r="BX28" i="156"/>
  <c r="AH67" i="156"/>
  <c r="AG157" i="156"/>
  <c r="AK111" i="156"/>
  <c r="AJ181" i="156"/>
  <c r="AM81" i="156"/>
  <c r="AK170" i="156"/>
  <c r="AM132" i="156"/>
  <c r="AM60" i="156"/>
  <c r="BX40" i="156"/>
  <c r="AI60" i="156"/>
  <c r="AG100" i="156"/>
  <c r="AF159" i="156"/>
  <c r="AD155" i="156"/>
  <c r="AI16" i="156"/>
  <c r="AH45" i="156"/>
  <c r="AI92" i="156"/>
  <c r="AF274" i="156"/>
  <c r="AI101" i="156"/>
  <c r="AE127" i="156"/>
  <c r="AG89" i="156"/>
  <c r="AJ269" i="156"/>
  <c r="AM275" i="156"/>
  <c r="AL245" i="156"/>
  <c r="AL265" i="156"/>
  <c r="AG231" i="156"/>
  <c r="AF104" i="156"/>
  <c r="AL180" i="156"/>
  <c r="AC242" i="156"/>
  <c r="AK66" i="156"/>
  <c r="AF242" i="156"/>
  <c r="AJ44" i="156"/>
  <c r="AM110" i="156"/>
  <c r="AM78" i="156"/>
  <c r="CP16" i="156"/>
  <c r="AD280" i="156"/>
  <c r="AI164" i="156"/>
  <c r="AE169" i="156"/>
  <c r="AM92" i="156"/>
  <c r="AF111" i="156"/>
  <c r="AE13" i="156"/>
  <c r="AM49" i="156"/>
  <c r="AD104" i="156"/>
  <c r="AH38" i="156"/>
  <c r="AL191" i="156"/>
  <c r="AF164" i="156"/>
  <c r="AJ231" i="156"/>
  <c r="AF57" i="156"/>
  <c r="AJ275" i="156"/>
  <c r="AF275" i="156"/>
  <c r="AF246" i="156"/>
  <c r="AJ126" i="156"/>
  <c r="AL126" i="156"/>
  <c r="AC235" i="156"/>
  <c r="AC225" i="156"/>
  <c r="AE126" i="156"/>
  <c r="BX18" i="156"/>
  <c r="AI68" i="156"/>
  <c r="AJ60" i="156"/>
  <c r="AJ170" i="156"/>
  <c r="AI190" i="156"/>
  <c r="AF258" i="156"/>
  <c r="AI231" i="156"/>
  <c r="BX55" i="156"/>
  <c r="AI256" i="156"/>
  <c r="AL92" i="156"/>
  <c r="AE253" i="156"/>
  <c r="AK208" i="156"/>
  <c r="AM278" i="156"/>
  <c r="AD61" i="156"/>
  <c r="BX20" i="156"/>
  <c r="AM166" i="156"/>
  <c r="AD202" i="156"/>
  <c r="AJ94" i="156"/>
  <c r="BX34" i="156"/>
  <c r="AM188" i="156"/>
  <c r="BF19" i="156"/>
  <c r="AL247" i="156"/>
  <c r="AD230" i="156"/>
  <c r="AG50" i="156"/>
  <c r="AG16" i="156"/>
  <c r="AE136" i="156"/>
  <c r="AL242" i="156"/>
  <c r="AM83" i="156"/>
  <c r="AF153" i="156"/>
  <c r="AI17" i="156"/>
  <c r="AC158" i="156"/>
  <c r="AE122" i="156"/>
  <c r="AB112" i="156"/>
  <c r="AM70" i="156"/>
  <c r="AK186" i="156"/>
  <c r="AK269" i="156"/>
  <c r="AK223" i="156"/>
  <c r="AJ133" i="156"/>
  <c r="AE164" i="156"/>
  <c r="AH33" i="156"/>
  <c r="AH155" i="156"/>
  <c r="AL39" i="156"/>
  <c r="AM209" i="156"/>
  <c r="AC55" i="156"/>
  <c r="AC89" i="156"/>
  <c r="BF21" i="156"/>
  <c r="AR61" i="156" s="1"/>
  <c r="AE104" i="156"/>
  <c r="AJ92" i="156"/>
  <c r="AK49" i="156"/>
  <c r="AE263" i="156"/>
  <c r="AM66" i="156"/>
  <c r="AF79" i="156"/>
  <c r="BX12" i="156"/>
  <c r="AD166" i="156"/>
  <c r="AJ179" i="156"/>
  <c r="AF158" i="156"/>
  <c r="AG243" i="156"/>
  <c r="AC224" i="156"/>
  <c r="AE38" i="156"/>
  <c r="AE61" i="156"/>
  <c r="AJ214" i="156"/>
  <c r="AL278" i="156"/>
  <c r="AI166" i="156"/>
  <c r="AF280" i="156"/>
  <c r="AL166" i="156"/>
  <c r="AJ199" i="156"/>
  <c r="AC127" i="156"/>
  <c r="AF45" i="156"/>
  <c r="AC94" i="156"/>
  <c r="AG49" i="156"/>
  <c r="AG34" i="156"/>
  <c r="AD203" i="156"/>
  <c r="AD57" i="156"/>
  <c r="AK235" i="156"/>
  <c r="AE115" i="156"/>
  <c r="AH212" i="156"/>
  <c r="AF137" i="156"/>
  <c r="AJ132" i="156"/>
  <c r="AG274" i="156"/>
  <c r="AF181" i="156"/>
  <c r="AK224" i="156"/>
  <c r="BF45" i="156"/>
  <c r="AR67" i="156" s="1"/>
  <c r="AJ138" i="156"/>
  <c r="AL123" i="156"/>
  <c r="AF23" i="156"/>
  <c r="AF16" i="156"/>
  <c r="AM101" i="156"/>
  <c r="AD48" i="156"/>
  <c r="AM253" i="156"/>
  <c r="AH132" i="156"/>
  <c r="AM197" i="156"/>
  <c r="AE101" i="156"/>
  <c r="AD252" i="156"/>
  <c r="AD126" i="156"/>
  <c r="AK158" i="156"/>
  <c r="AD136" i="156"/>
  <c r="AC110" i="156"/>
  <c r="AC256" i="156"/>
  <c r="AK234" i="156"/>
  <c r="AD197" i="156"/>
  <c r="BF22" i="156"/>
  <c r="AG116" i="156"/>
  <c r="AM231" i="156"/>
  <c r="AL201" i="156"/>
  <c r="AK275" i="156"/>
  <c r="AK126" i="156"/>
  <c r="AK132" i="156"/>
  <c r="BF32" i="156"/>
  <c r="BX49" i="156"/>
  <c r="AM159" i="156"/>
  <c r="AJ26" i="156"/>
  <c r="BX52" i="156"/>
  <c r="AC27" i="156"/>
  <c r="AJ61" i="156"/>
  <c r="CP24" i="156"/>
  <c r="AG197" i="156"/>
  <c r="CP23" i="156"/>
  <c r="AI168" i="156"/>
  <c r="AK278" i="156"/>
  <c r="AI267" i="156"/>
  <c r="AC11" i="156"/>
  <c r="AL110" i="156"/>
  <c r="BX10" i="156"/>
  <c r="AC136" i="156"/>
  <c r="AJ27" i="156"/>
  <c r="AG257" i="156"/>
  <c r="AD111" i="156"/>
  <c r="AF136" i="156"/>
  <c r="AM12" i="156"/>
  <c r="AB101" i="156"/>
  <c r="AK77" i="156"/>
  <c r="AM254" i="156"/>
  <c r="AM202" i="156"/>
  <c r="AK274" i="156"/>
  <c r="AF89" i="156"/>
  <c r="AD180" i="156"/>
  <c r="AF48" i="156"/>
  <c r="AF122" i="156"/>
  <c r="BF53" i="156"/>
  <c r="AM61" i="156"/>
  <c r="AM263" i="156"/>
  <c r="AE213" i="156"/>
  <c r="AJ230" i="156"/>
  <c r="AG132" i="156"/>
  <c r="AF78" i="156"/>
  <c r="AH28" i="156"/>
  <c r="AM122" i="156"/>
  <c r="AL60" i="156"/>
  <c r="AD94" i="156"/>
  <c r="AF209" i="156"/>
  <c r="AF126" i="156"/>
  <c r="BX14" i="156"/>
  <c r="AK201" i="156"/>
  <c r="AC253" i="156"/>
  <c r="AD208" i="156"/>
  <c r="AM27" i="156"/>
  <c r="BF42" i="156"/>
  <c r="AK213" i="156"/>
  <c r="AC265" i="156"/>
  <c r="AE175" i="156"/>
  <c r="AE111" i="156"/>
  <c r="AH231" i="156"/>
  <c r="AE17" i="156"/>
  <c r="AI278" i="156"/>
  <c r="AF223" i="156"/>
  <c r="AM67" i="156"/>
  <c r="AD27" i="156"/>
  <c r="AG37" i="156"/>
  <c r="AH214" i="156"/>
  <c r="AI219" i="156"/>
  <c r="AG241" i="156"/>
  <c r="AF70" i="156"/>
  <c r="AJ209" i="156"/>
  <c r="AM137" i="156"/>
  <c r="CP15" i="156"/>
  <c r="AK242" i="156"/>
  <c r="AM24" i="156"/>
  <c r="AK180" i="156"/>
  <c r="AF234" i="156"/>
  <c r="AE177" i="156"/>
  <c r="AJ258" i="156"/>
  <c r="AI123" i="156"/>
  <c r="AH180" i="156"/>
  <c r="AI55" i="156"/>
  <c r="AL99" i="156"/>
  <c r="AI12" i="156"/>
  <c r="AH209" i="156"/>
  <c r="AE60" i="156"/>
  <c r="AG103" i="156"/>
  <c r="AE201" i="156"/>
  <c r="AJ219" i="156"/>
  <c r="AG209" i="156"/>
  <c r="AJ246" i="156"/>
  <c r="AH35" i="156"/>
  <c r="AL257" i="156"/>
  <c r="AF232" i="156"/>
  <c r="AC122" i="156"/>
  <c r="AC48" i="156"/>
  <c r="AF100" i="156"/>
  <c r="AH198" i="156"/>
  <c r="AC187" i="156"/>
  <c r="BX25" i="156"/>
  <c r="BJ62" i="156" s="1"/>
  <c r="AF210" i="156"/>
  <c r="AM34" i="156"/>
  <c r="AH112" i="156"/>
  <c r="AD191" i="156"/>
  <c r="AE92" i="156"/>
  <c r="AG38" i="156"/>
  <c r="AF170" i="156"/>
  <c r="AF50" i="156"/>
  <c r="AJ104" i="156"/>
  <c r="AH242" i="156"/>
  <c r="AC15" i="156"/>
  <c r="AL252" i="156"/>
  <c r="AK114" i="156"/>
  <c r="AM190" i="156"/>
  <c r="AF190" i="156"/>
  <c r="AL198" i="156"/>
  <c r="AJ82" i="156"/>
  <c r="AF157" i="156"/>
  <c r="AJ247" i="156"/>
  <c r="AE258" i="156"/>
  <c r="AD46" i="156"/>
  <c r="AG225" i="156"/>
  <c r="AE181" i="156"/>
  <c r="AL258" i="156"/>
  <c r="AE203" i="156"/>
  <c r="AC101" i="156"/>
  <c r="AM116" i="156"/>
  <c r="AL179" i="156"/>
  <c r="BF26" i="156"/>
  <c r="AD68" i="156"/>
  <c r="AH24" i="156"/>
  <c r="AK267" i="156"/>
  <c r="AL89" i="156"/>
  <c r="AI254" i="156"/>
  <c r="AH27" i="156"/>
  <c r="AJ257" i="156"/>
  <c r="AG246" i="156"/>
  <c r="AK101" i="156"/>
  <c r="AH164" i="156"/>
  <c r="AG235" i="156"/>
  <c r="CP22" i="156"/>
  <c r="CB42" i="156" s="1"/>
  <c r="AJ17" i="156"/>
  <c r="AH133" i="156"/>
  <c r="AG94" i="156"/>
  <c r="AK90" i="156"/>
  <c r="AF24" i="156"/>
  <c r="AL221" i="156"/>
  <c r="AH122" i="156"/>
  <c r="AL187" i="156"/>
  <c r="AC93" i="156"/>
  <c r="AI253" i="156"/>
  <c r="AC274" i="156"/>
  <c r="AM99" i="156"/>
  <c r="AF176" i="156"/>
  <c r="AC243" i="156"/>
  <c r="AL38" i="156"/>
  <c r="AI224" i="156"/>
  <c r="AL164" i="156"/>
  <c r="AI28" i="156"/>
  <c r="AD82" i="156"/>
  <c r="AE242" i="156"/>
  <c r="AF203" i="156"/>
  <c r="AC212" i="156"/>
  <c r="AG82" i="156"/>
  <c r="AF154" i="156"/>
  <c r="AE278" i="156"/>
  <c r="AD12" i="156"/>
  <c r="AB210" i="156"/>
  <c r="AI56" i="156"/>
  <c r="AM245" i="156"/>
  <c r="AG267" i="156"/>
  <c r="AE190" i="156"/>
  <c r="AJ33" i="156"/>
  <c r="AH190" i="156"/>
  <c r="AM164" i="156"/>
  <c r="AE71" i="156"/>
  <c r="AF268" i="156"/>
  <c r="AH280" i="156"/>
  <c r="BF31" i="156"/>
  <c r="AK225" i="156"/>
  <c r="AJ125" i="156"/>
  <c r="AC126" i="156"/>
  <c r="AE55" i="156"/>
  <c r="AF180" i="156"/>
  <c r="AE254" i="156"/>
  <c r="AM138" i="156"/>
  <c r="AC275" i="156"/>
  <c r="AD26" i="156"/>
  <c r="AL175" i="156"/>
  <c r="AE210" i="156"/>
  <c r="AJ243" i="156"/>
  <c r="AK279" i="156"/>
  <c r="AF33" i="156"/>
  <c r="AM121" i="156"/>
  <c r="BF23" i="156"/>
  <c r="AG224" i="156"/>
  <c r="AF99" i="156"/>
  <c r="AC170" i="156"/>
  <c r="AM55" i="156"/>
  <c r="AC278" i="156"/>
  <c r="AM210" i="156"/>
  <c r="AD13" i="156"/>
  <c r="AD93" i="156"/>
  <c r="AM22" i="156"/>
  <c r="AE159" i="156"/>
  <c r="AD35" i="156"/>
  <c r="AI188" i="156"/>
  <c r="AK83" i="156"/>
  <c r="AC125" i="156"/>
  <c r="AG137" i="156"/>
  <c r="AF59" i="156"/>
  <c r="AK50" i="156"/>
  <c r="AH46" i="156"/>
  <c r="AK166" i="156"/>
  <c r="AK38" i="156"/>
  <c r="AG55" i="156"/>
  <c r="AK56" i="156"/>
  <c r="AG111" i="156"/>
  <c r="AI191" i="156"/>
  <c r="AM191" i="156"/>
  <c r="AI132" i="156"/>
  <c r="AE231" i="156"/>
  <c r="BX50" i="156"/>
  <c r="AC121" i="156"/>
  <c r="AI179" i="156"/>
  <c r="AE256" i="156"/>
  <c r="AH116" i="156"/>
  <c r="AE155" i="156"/>
  <c r="AM26" i="156"/>
  <c r="AH256" i="156"/>
  <c r="AB265" i="156"/>
  <c r="AJ274" i="156"/>
  <c r="AD28" i="156"/>
  <c r="AK134" i="156"/>
  <c r="AK16" i="156"/>
  <c r="BX24" i="156"/>
  <c r="AJ220" i="156"/>
  <c r="AM13" i="156"/>
  <c r="AM201" i="156"/>
  <c r="AG230" i="156"/>
  <c r="AE24" i="156"/>
  <c r="AJ253" i="156"/>
  <c r="AI234" i="156"/>
  <c r="AE257" i="156"/>
  <c r="AI116" i="156"/>
  <c r="AE100" i="156"/>
  <c r="AK122" i="156"/>
  <c r="AJ78" i="156"/>
  <c r="AL212" i="156"/>
  <c r="AL210" i="156"/>
  <c r="BF27" i="156"/>
  <c r="BF54" i="156"/>
  <c r="AL230" i="156"/>
  <c r="AI221" i="156"/>
  <c r="AC12" i="156"/>
  <c r="AM89" i="156"/>
  <c r="AE186" i="156"/>
  <c r="AD253" i="156"/>
  <c r="AK116" i="156"/>
  <c r="AE264" i="156"/>
  <c r="AM221" i="156"/>
  <c r="AE197" i="156"/>
  <c r="BF28" i="156"/>
  <c r="AI77" i="156"/>
  <c r="AD100" i="156"/>
  <c r="AM257" i="156"/>
  <c r="AJ236" i="156"/>
  <c r="AL13" i="156"/>
  <c r="AF166" i="156"/>
  <c r="AD278" i="156"/>
  <c r="AE50" i="156"/>
  <c r="AJ50" i="156"/>
  <c r="AG234" i="156"/>
  <c r="D63" i="156"/>
  <c r="AI286" i="156"/>
  <c r="AD286" i="156"/>
  <c r="AL143" i="156"/>
  <c r="L33" i="154"/>
  <c r="B41" i="154" s="1"/>
  <c r="B112" i="154"/>
  <c r="L34" i="154"/>
  <c r="C56" i="154" s="1"/>
  <c r="B115" i="154"/>
  <c r="B111" i="154"/>
  <c r="B114" i="154"/>
  <c r="B118" i="154"/>
  <c r="B113" i="154"/>
  <c r="B116" i="154"/>
  <c r="B117" i="154"/>
  <c r="B115" i="169"/>
  <c r="B66" i="154"/>
  <c r="E66" i="154" s="1"/>
  <c r="B68" i="154"/>
  <c r="C68" i="154" s="1"/>
  <c r="B63" i="154"/>
  <c r="F63" i="154" s="1"/>
  <c r="AB55" i="154"/>
  <c r="B55" i="154" s="1"/>
  <c r="E55" i="154" s="1"/>
  <c r="B69" i="154"/>
  <c r="F69" i="154" s="1"/>
  <c r="B70" i="154"/>
  <c r="E70" i="154" s="1"/>
  <c r="B75" i="154"/>
  <c r="B72" i="154"/>
  <c r="G72" i="154" s="1"/>
  <c r="B78" i="154"/>
  <c r="G78" i="154" s="1"/>
  <c r="B70" i="169"/>
  <c r="F70" i="169" s="1"/>
  <c r="B73" i="154"/>
  <c r="C73" i="154" s="1"/>
  <c r="B60" i="154"/>
  <c r="E60" i="154" s="1"/>
  <c r="B65" i="154"/>
  <c r="E65" i="154" s="1"/>
  <c r="D14" i="154"/>
  <c r="B76" i="154"/>
  <c r="E76" i="154" s="1"/>
  <c r="B71" i="154"/>
  <c r="E71" i="154" s="1"/>
  <c r="B62" i="154"/>
  <c r="F62" i="154" s="1"/>
  <c r="B80" i="154"/>
  <c r="E80" i="154" s="1"/>
  <c r="B61" i="154"/>
  <c r="E61" i="154" s="1"/>
  <c r="B77" i="154"/>
  <c r="B64" i="154"/>
  <c r="G64" i="154" s="1"/>
  <c r="B76" i="169"/>
  <c r="G76" i="169" s="1"/>
  <c r="B79" i="154"/>
  <c r="F79" i="154" s="1"/>
  <c r="B59" i="154"/>
  <c r="G59" i="154" s="1"/>
  <c r="B81" i="169"/>
  <c r="E81" i="169" s="1"/>
  <c r="B56" i="169"/>
  <c r="B58" i="169" s="1"/>
  <c r="A58" i="169" s="1"/>
  <c r="B64" i="169"/>
  <c r="D64" i="169" s="1"/>
  <c r="B66" i="169"/>
  <c r="D66" i="169" s="1"/>
  <c r="AB55" i="169"/>
  <c r="B55" i="169" s="1"/>
  <c r="E55" i="169" s="1"/>
  <c r="B69" i="169"/>
  <c r="A69" i="169" s="1"/>
  <c r="B71" i="169"/>
  <c r="G71" i="169" s="1"/>
  <c r="B59" i="169"/>
  <c r="F59" i="169" s="1"/>
  <c r="B65" i="169"/>
  <c r="A65" i="169" s="1"/>
  <c r="B68" i="169"/>
  <c r="D68" i="169" s="1"/>
  <c r="D14" i="169"/>
  <c r="B61" i="169"/>
  <c r="E61" i="169" s="1"/>
  <c r="B62" i="169"/>
  <c r="D62" i="169" s="1"/>
  <c r="B60" i="169"/>
  <c r="F60" i="169" s="1"/>
  <c r="B77" i="169"/>
  <c r="D77" i="169" s="1"/>
  <c r="B79" i="169"/>
  <c r="F79" i="169" s="1"/>
  <c r="B57" i="154"/>
  <c r="A56" i="154"/>
  <c r="B67" i="154"/>
  <c r="A67" i="154" s="1"/>
  <c r="F67" i="169" l="1"/>
  <c r="A45" i="169"/>
  <c r="G29" i="169"/>
  <c r="G69" i="169"/>
  <c r="A56" i="169"/>
  <c r="C60" i="169"/>
  <c r="C61" i="169"/>
  <c r="E70" i="169"/>
  <c r="F62" i="169"/>
  <c r="P303" i="156"/>
  <c r="O302" i="156"/>
  <c r="O304" i="156"/>
  <c r="AJ71" i="156"/>
  <c r="AL224" i="156"/>
  <c r="C62" i="169"/>
  <c r="A67" i="169"/>
  <c r="AL279" i="156"/>
  <c r="AJ278" i="156"/>
  <c r="AC115" i="156"/>
  <c r="AI94" i="156"/>
  <c r="AC17" i="156"/>
  <c r="AL104" i="156"/>
  <c r="AL23" i="156"/>
  <c r="D67" i="169"/>
  <c r="AK197" i="156"/>
  <c r="AL232" i="156"/>
  <c r="AG27" i="156"/>
  <c r="AL90" i="156"/>
  <c r="AF192" i="156"/>
  <c r="AJ34" i="156"/>
  <c r="AD55" i="156"/>
  <c r="AD190" i="156"/>
  <c r="BX39" i="156"/>
  <c r="AD257" i="156"/>
  <c r="AF252" i="156"/>
  <c r="B67" i="156"/>
  <c r="U288" i="156"/>
  <c r="U289" i="156" s="1"/>
  <c r="AJ111" i="156"/>
  <c r="AG101" i="156"/>
  <c r="AG236" i="156"/>
  <c r="AL243" i="156"/>
  <c r="AK254" i="156"/>
  <c r="AD79" i="156"/>
  <c r="AK203" i="156"/>
  <c r="AD72" i="156"/>
  <c r="AG17" i="156"/>
  <c r="AG258" i="156"/>
  <c r="AH92" i="156"/>
  <c r="C67" i="169"/>
  <c r="AE132" i="156"/>
  <c r="AH234" i="156"/>
  <c r="AE214" i="156"/>
  <c r="CP31" i="156"/>
  <c r="AC24" i="156"/>
  <c r="AE165" i="156"/>
  <c r="AM16" i="156"/>
  <c r="AB276" i="156"/>
  <c r="AL274" i="156"/>
  <c r="AH68" i="156"/>
  <c r="AI263" i="156"/>
  <c r="AD133" i="156"/>
  <c r="AG92" i="156"/>
  <c r="AI181" i="156"/>
  <c r="AD77" i="156"/>
  <c r="AH224" i="156"/>
  <c r="AG190" i="156"/>
  <c r="AL219" i="156"/>
  <c r="AI258" i="156"/>
  <c r="AK265" i="156"/>
  <c r="AH57" i="156"/>
  <c r="AC90" i="156"/>
  <c r="AJ103" i="156"/>
  <c r="AF127" i="156"/>
  <c r="AH70" i="156"/>
  <c r="AL267" i="156"/>
  <c r="AH181" i="156"/>
  <c r="AD125" i="156"/>
  <c r="BX36" i="156"/>
  <c r="AE230" i="156"/>
  <c r="AJ235" i="156"/>
  <c r="AK55" i="156"/>
  <c r="AI223" i="156"/>
  <c r="AH50" i="156"/>
  <c r="AE46" i="156"/>
  <c r="F10" i="156"/>
  <c r="E67" i="169"/>
  <c r="P3" i="154"/>
  <c r="B28" i="154" s="1"/>
  <c r="J23" i="154" s="1"/>
  <c r="E71" i="169"/>
  <c r="E58" i="154"/>
  <c r="D61" i="169"/>
  <c r="A61" i="169"/>
  <c r="G63" i="169"/>
  <c r="A74" i="169"/>
  <c r="E63" i="154"/>
  <c r="F66" i="169"/>
  <c r="G60" i="169"/>
  <c r="G74" i="169"/>
  <c r="C66" i="169"/>
  <c r="E66" i="169"/>
  <c r="G80" i="169"/>
  <c r="A66" i="169"/>
  <c r="D75" i="169"/>
  <c r="A80" i="169"/>
  <c r="G66" i="169"/>
  <c r="A60" i="169"/>
  <c r="C63" i="154"/>
  <c r="N303" i="156"/>
  <c r="O303" i="156"/>
  <c r="AJ137" i="156"/>
  <c r="AC202" i="156"/>
  <c r="AK48" i="156"/>
  <c r="AM180" i="156"/>
  <c r="AE48" i="156"/>
  <c r="AK230" i="156"/>
  <c r="AG155" i="156"/>
  <c r="AE15" i="156"/>
  <c r="CP20" i="156"/>
  <c r="AD212" i="156"/>
  <c r="AC219" i="156"/>
  <c r="Q302" i="156"/>
  <c r="Q303" i="156"/>
  <c r="AB155" i="156"/>
  <c r="AA285" i="156" s="1"/>
  <c r="AD175" i="156"/>
  <c r="AE219" i="156"/>
  <c r="AH13" i="156"/>
  <c r="AI154" i="156"/>
  <c r="AD49" i="156"/>
  <c r="AG115" i="156"/>
  <c r="AC132" i="156"/>
  <c r="AL177" i="156"/>
  <c r="AG269" i="156"/>
  <c r="AF186" i="156"/>
  <c r="AF208" i="156"/>
  <c r="BX44" i="156"/>
  <c r="AF110" i="156"/>
  <c r="AH93" i="156"/>
  <c r="AF236" i="156"/>
  <c r="AM115" i="156"/>
  <c r="AC155" i="156"/>
  <c r="AD112" i="156"/>
  <c r="N304" i="156"/>
  <c r="P304" i="156"/>
  <c r="G63" i="156"/>
  <c r="AK67" i="156"/>
  <c r="AK44" i="156"/>
  <c r="AE27" i="156"/>
  <c r="AI280" i="156"/>
  <c r="AJ186" i="156"/>
  <c r="AE12" i="156"/>
  <c r="AC191" i="156"/>
  <c r="AD6" i="156"/>
  <c r="AM144" i="156" s="1"/>
  <c r="AH236" i="156"/>
  <c r="BX47" i="156"/>
  <c r="Q304" i="156"/>
  <c r="AE33" i="156"/>
  <c r="AC28" i="156"/>
  <c r="AF88" i="156"/>
  <c r="AJ37" i="156"/>
  <c r="AM175" i="156"/>
  <c r="AD38" i="156"/>
  <c r="BF35" i="156"/>
  <c r="AC100" i="156"/>
  <c r="AF243" i="156"/>
  <c r="P302" i="156"/>
  <c r="AC208" i="156"/>
  <c r="AL33" i="156"/>
  <c r="AK27" i="156"/>
  <c r="AK192" i="156"/>
  <c r="AJ115" i="156"/>
  <c r="AG59" i="156"/>
  <c r="AM256" i="156"/>
  <c r="AJ67" i="156"/>
  <c r="AF26" i="156"/>
  <c r="AM168" i="156"/>
  <c r="AK236" i="156"/>
  <c r="AI71" i="156"/>
  <c r="AI83" i="156"/>
  <c r="AH89" i="156"/>
  <c r="AM247" i="156"/>
  <c r="AG279" i="156"/>
  <c r="AH263" i="156"/>
  <c r="AJ77" i="156"/>
  <c r="AH127" i="156"/>
  <c r="AL234" i="156"/>
  <c r="AM267" i="156"/>
  <c r="AB243" i="156"/>
  <c r="AE157" i="156"/>
  <c r="AJ177" i="156"/>
  <c r="AE105" i="156"/>
  <c r="AF138" i="156"/>
  <c r="AC276" i="156"/>
  <c r="AD66" i="156"/>
  <c r="AK89" i="156"/>
  <c r="AC72" i="156"/>
  <c r="AL127" i="156"/>
  <c r="AH252" i="156"/>
  <c r="AJ116" i="156"/>
  <c r="AI99" i="156"/>
  <c r="AC134" i="156"/>
  <c r="AH208" i="156"/>
  <c r="BX45" i="156"/>
  <c r="BJ67" i="156" s="1"/>
  <c r="AE66" i="156"/>
  <c r="AH247" i="156"/>
  <c r="AH230" i="156"/>
  <c r="AD67" i="156"/>
  <c r="AF219" i="156"/>
  <c r="AD92" i="156"/>
  <c r="BF39" i="156"/>
  <c r="AM214" i="156"/>
  <c r="AF46" i="156"/>
  <c r="AH188" i="156"/>
  <c r="AI220" i="156"/>
  <c r="AD263" i="156"/>
  <c r="AH17" i="156"/>
  <c r="AL181" i="156"/>
  <c r="AF35" i="156"/>
  <c r="AK138" i="156"/>
  <c r="AG33" i="156"/>
  <c r="AC175" i="156"/>
  <c r="AL158" i="156"/>
  <c r="AH253" i="156"/>
  <c r="AC213" i="156"/>
  <c r="AJ72" i="156"/>
  <c r="AF264" i="156"/>
  <c r="BX54" i="156"/>
  <c r="BJ69" i="156" s="1"/>
  <c r="AG66" i="156"/>
  <c r="AE116" i="156"/>
  <c r="AI11" i="156"/>
  <c r="AC59" i="156"/>
  <c r="AH274" i="156"/>
  <c r="AG24" i="156"/>
  <c r="AG138" i="156"/>
  <c r="AK154" i="156"/>
  <c r="AJ23" i="156"/>
  <c r="AF90" i="156"/>
  <c r="AK68" i="156"/>
  <c r="AJ224" i="156"/>
  <c r="AI236" i="156"/>
  <c r="AD90" i="156"/>
  <c r="AM59" i="156"/>
  <c r="AG67" i="156"/>
  <c r="BF37" i="156"/>
  <c r="AR65" i="156" s="1"/>
  <c r="BF20" i="156"/>
  <c r="AL275" i="156"/>
  <c r="AC223" i="156"/>
  <c r="AJ49" i="156"/>
  <c r="AJ213" i="156"/>
  <c r="AK209" i="156"/>
  <c r="AM269" i="156"/>
  <c r="AK105" i="156"/>
  <c r="AH179" i="156"/>
  <c r="AH126" i="156"/>
  <c r="BX38" i="156"/>
  <c r="AE235" i="156"/>
  <c r="AC60" i="156"/>
  <c r="AJ66" i="156"/>
  <c r="AH169" i="156"/>
  <c r="AL136" i="156"/>
  <c r="H35" i="156"/>
  <c r="AJ221" i="156"/>
  <c r="AM50" i="156"/>
  <c r="AG28" i="156"/>
  <c r="AL68" i="156"/>
  <c r="AF83" i="156"/>
  <c r="AG268" i="156"/>
  <c r="AD114" i="156"/>
  <c r="AM88" i="156"/>
  <c r="AD138" i="156"/>
  <c r="AD170" i="156"/>
  <c r="AH166" i="156"/>
  <c r="AD267" i="156"/>
  <c r="AF39" i="156"/>
  <c r="CP11" i="156"/>
  <c r="AI13" i="156"/>
  <c r="AD165" i="156"/>
  <c r="AL268" i="156"/>
  <c r="AE274" i="156"/>
  <c r="AD243" i="156"/>
  <c r="AH225" i="156"/>
  <c r="AC230" i="156"/>
  <c r="AG221" i="156"/>
  <c r="AE224" i="156"/>
  <c r="AH258" i="156"/>
  <c r="AC81" i="156"/>
  <c r="AL199" i="156"/>
  <c r="AJ166" i="156"/>
  <c r="AK268" i="156"/>
  <c r="AF13" i="156"/>
  <c r="AG168" i="156"/>
  <c r="AC83" i="156"/>
  <c r="AH81" i="156"/>
  <c r="AC165" i="156"/>
  <c r="AD88" i="156"/>
  <c r="AF165" i="156"/>
  <c r="AM100" i="156"/>
  <c r="AL122" i="156"/>
  <c r="BX26" i="156"/>
  <c r="AJ197" i="156"/>
  <c r="AG110" i="156"/>
  <c r="AM279" i="156"/>
  <c r="AC254" i="156"/>
  <c r="AF68" i="156"/>
  <c r="AH125" i="156"/>
  <c r="AB57" i="156"/>
  <c r="AF67" i="156"/>
  <c r="AC154" i="156"/>
  <c r="AI170" i="156"/>
  <c r="AC61" i="156"/>
  <c r="AK280" i="156"/>
  <c r="AI153" i="156"/>
  <c r="AC280" i="156"/>
  <c r="AF66" i="156"/>
  <c r="AM71" i="156"/>
  <c r="AI89" i="156"/>
  <c r="CP30" i="156"/>
  <c r="CB45" i="156" s="1"/>
  <c r="AK81" i="156"/>
  <c r="AF133" i="156"/>
  <c r="BF47" i="156"/>
  <c r="AC79" i="156"/>
  <c r="AK127" i="156"/>
  <c r="AI213" i="156"/>
  <c r="AB68" i="156"/>
  <c r="AE125" i="156"/>
  <c r="AJ256" i="156"/>
  <c r="AI90" i="156"/>
  <c r="AC186" i="156"/>
  <c r="AG242" i="156"/>
  <c r="AC190" i="156"/>
  <c r="AH201" i="156"/>
  <c r="AJ158" i="156"/>
  <c r="AM23" i="156"/>
  <c r="AE134" i="156"/>
  <c r="AH134" i="156"/>
  <c r="AF56" i="156"/>
  <c r="AF285" i="156"/>
  <c r="AG285" i="156"/>
  <c r="AM285" i="156"/>
  <c r="AL285" i="156"/>
  <c r="AK285" i="156"/>
  <c r="AE285" i="156"/>
  <c r="AD285" i="156"/>
  <c r="AH285" i="156"/>
  <c r="AI100" i="156"/>
  <c r="AL203" i="156"/>
  <c r="AD154" i="156"/>
  <c r="AK198" i="156"/>
  <c r="AK72" i="156"/>
  <c r="CP25" i="156"/>
  <c r="AC138" i="156"/>
  <c r="AF121" i="156"/>
  <c r="J26" i="169"/>
  <c r="P18" i="169"/>
  <c r="AB46" i="156"/>
  <c r="AK155" i="156"/>
  <c r="AF269" i="156"/>
  <c r="AE268" i="156"/>
  <c r="AH279" i="156"/>
  <c r="AD269" i="156"/>
  <c r="AC123" i="156"/>
  <c r="AM274" i="156"/>
  <c r="AE191" i="156"/>
  <c r="AD219" i="156"/>
  <c r="AF37" i="156"/>
  <c r="AG79" i="156"/>
  <c r="AE220" i="156"/>
  <c r="AJ168" i="156"/>
  <c r="AH26" i="156"/>
  <c r="AK46" i="156"/>
  <c r="AD22" i="156"/>
  <c r="BF9" i="156"/>
  <c r="AI175" i="156"/>
  <c r="AI243" i="156"/>
  <c r="AL55" i="156"/>
  <c r="AH136" i="156"/>
  <c r="AI265" i="156"/>
  <c r="AI137" i="156"/>
  <c r="AG126" i="156"/>
  <c r="AE123" i="156"/>
  <c r="AI186" i="156"/>
  <c r="AG35" i="156"/>
  <c r="CP19" i="156"/>
  <c r="AG123" i="156"/>
  <c r="AI49" i="156"/>
  <c r="AB177" i="156"/>
  <c r="AG213" i="156"/>
  <c r="AL241" i="156"/>
  <c r="BX43" i="156"/>
  <c r="AK59" i="156"/>
  <c r="AK202" i="156"/>
  <c r="AG186" i="156"/>
  <c r="AC164" i="156"/>
  <c r="AH99" i="156"/>
  <c r="AM236" i="156"/>
  <c r="BX33" i="156"/>
  <c r="BJ64" i="156" s="1"/>
  <c r="AL264" i="156"/>
  <c r="AL15" i="156"/>
  <c r="AD192" i="156"/>
  <c r="AK153" i="156"/>
  <c r="AH186" i="156"/>
  <c r="AL116" i="156"/>
  <c r="AJ254" i="156"/>
  <c r="AM44" i="156"/>
  <c r="AJ39" i="156"/>
  <c r="AE82" i="156"/>
  <c r="D29" i="156"/>
  <c r="G39" i="156" s="1"/>
  <c r="AE234" i="156"/>
  <c r="AD221" i="156"/>
  <c r="AI34" i="156"/>
  <c r="AG44" i="156"/>
  <c r="AH66" i="156"/>
  <c r="AB232" i="156"/>
  <c r="AD159" i="156"/>
  <c r="AL176" i="156"/>
  <c r="AG68" i="156"/>
  <c r="AG191" i="156"/>
  <c r="AK169" i="156"/>
  <c r="AK188" i="156"/>
  <c r="AK246" i="156"/>
  <c r="BX19" i="156"/>
  <c r="AH219" i="156"/>
  <c r="AI24" i="156"/>
  <c r="AE166" i="156"/>
  <c r="AC198" i="156"/>
  <c r="AK136" i="156"/>
  <c r="AC257" i="156"/>
  <c r="AG133" i="156"/>
  <c r="BF30" i="156"/>
  <c r="AE187" i="156"/>
  <c r="AH213" i="156"/>
  <c r="AE192" i="156"/>
  <c r="AL12" i="156"/>
  <c r="AE72" i="156"/>
  <c r="AC188" i="156"/>
  <c r="AD231" i="156"/>
  <c r="AF214" i="156"/>
  <c r="AF256" i="156"/>
  <c r="AF105" i="156"/>
  <c r="AH235" i="156"/>
  <c r="AL114" i="156"/>
  <c r="AK176" i="156"/>
  <c r="AI72" i="156"/>
  <c r="AC57" i="156"/>
  <c r="AI125" i="156"/>
  <c r="AL61" i="156"/>
  <c r="AJ24" i="156"/>
  <c r="AE103" i="156"/>
  <c r="AG180" i="156"/>
  <c r="AL82" i="156"/>
  <c r="AB221" i="156"/>
  <c r="CS23" i="156"/>
  <c r="D28" i="156" s="1"/>
  <c r="AD121" i="156"/>
  <c r="AK79" i="156"/>
  <c r="AJ276" i="156"/>
  <c r="AL112" i="156"/>
  <c r="AK175" i="156"/>
  <c r="CP27" i="156"/>
  <c r="AC179" i="156"/>
  <c r="AC99" i="156"/>
  <c r="BX13" i="156"/>
  <c r="BJ59" i="156" s="1"/>
  <c r="AE79" i="156"/>
  <c r="AJ136" i="156"/>
  <c r="AG127" i="156"/>
  <c r="AC258" i="156"/>
  <c r="AE279" i="156"/>
  <c r="AD60" i="156"/>
  <c r="AJ169" i="156"/>
  <c r="AI252" i="156"/>
  <c r="AL165" i="156"/>
  <c r="AI35" i="156"/>
  <c r="AE44" i="156"/>
  <c r="AD45" i="156"/>
  <c r="AG93" i="156"/>
  <c r="BX37" i="156"/>
  <c r="BJ65" i="156" s="1"/>
  <c r="AI114" i="156"/>
  <c r="AC199" i="156"/>
  <c r="AF93" i="156"/>
  <c r="AK70" i="156"/>
  <c r="AL93" i="156"/>
  <c r="F69" i="169"/>
  <c r="E60" i="169"/>
  <c r="C80" i="169"/>
  <c r="E69" i="169"/>
  <c r="F77" i="169"/>
  <c r="C70" i="169"/>
  <c r="D80" i="169"/>
  <c r="G64" i="169"/>
  <c r="G77" i="169"/>
  <c r="E77" i="169"/>
  <c r="E80" i="169"/>
  <c r="D60" i="169"/>
  <c r="G61" i="169"/>
  <c r="A68" i="169"/>
  <c r="C77" i="169"/>
  <c r="D45" i="156"/>
  <c r="N302" i="156"/>
  <c r="AL197" i="156"/>
  <c r="G68" i="169"/>
  <c r="AR69" i="156"/>
  <c r="C68" i="169"/>
  <c r="B57" i="169"/>
  <c r="A57" i="169" s="1"/>
  <c r="F65" i="169"/>
  <c r="F68" i="169"/>
  <c r="AK252" i="156"/>
  <c r="AK24" i="156"/>
  <c r="AD39" i="156"/>
  <c r="E56" i="169"/>
  <c r="AM77" i="156"/>
  <c r="AG252" i="156"/>
  <c r="AM127" i="156"/>
  <c r="AM79" i="156"/>
  <c r="AI279" i="156"/>
  <c r="AG71" i="156"/>
  <c r="AG70" i="156"/>
  <c r="AK39" i="156"/>
  <c r="AJ56" i="156"/>
  <c r="BX41" i="156"/>
  <c r="BJ66" i="156" s="1"/>
  <c r="AI242" i="156"/>
  <c r="AI199" i="156"/>
  <c r="G79" i="169"/>
  <c r="E79" i="169"/>
  <c r="D65" i="169"/>
  <c r="C69" i="169"/>
  <c r="E75" i="169"/>
  <c r="D69" i="169"/>
  <c r="G62" i="169"/>
  <c r="F76" i="169"/>
  <c r="E62" i="169"/>
  <c r="A76" i="169"/>
  <c r="BJ68" i="156"/>
  <c r="AH104" i="156"/>
  <c r="AE77" i="156"/>
  <c r="AM177" i="156"/>
  <c r="AL78" i="156"/>
  <c r="AJ264" i="156"/>
  <c r="AK37" i="156"/>
  <c r="AF17" i="156"/>
  <c r="L16" i="169"/>
  <c r="F71" i="169"/>
  <c r="A79" i="169"/>
  <c r="E59" i="169"/>
  <c r="F63" i="169"/>
  <c r="A63" i="169"/>
  <c r="L17" i="169"/>
  <c r="C79" i="169"/>
  <c r="E65" i="169"/>
  <c r="E68" i="169"/>
  <c r="A71" i="169"/>
  <c r="D74" i="169"/>
  <c r="E72" i="169"/>
  <c r="D76" i="169"/>
  <c r="P17" i="169"/>
  <c r="E63" i="169"/>
  <c r="C29" i="169"/>
  <c r="C74" i="169"/>
  <c r="C63" i="169"/>
  <c r="P4" i="169"/>
  <c r="F74" i="169"/>
  <c r="D71" i="169"/>
  <c r="J24" i="169"/>
  <c r="P16" i="169"/>
  <c r="D59" i="169"/>
  <c r="G75" i="169"/>
  <c r="G70" i="169"/>
  <c r="M18" i="169"/>
  <c r="C59" i="169"/>
  <c r="J23" i="169"/>
  <c r="J25" i="169"/>
  <c r="C76" i="169"/>
  <c r="A62" i="169"/>
  <c r="A77" i="169"/>
  <c r="A59" i="169"/>
  <c r="A70" i="169"/>
  <c r="C75" i="169"/>
  <c r="C71" i="169"/>
  <c r="G59" i="169"/>
  <c r="M16" i="169"/>
  <c r="D79" i="169"/>
  <c r="A75" i="169"/>
  <c r="E76" i="169"/>
  <c r="A69" i="154"/>
  <c r="C79" i="154"/>
  <c r="F76" i="154"/>
  <c r="G76" i="154"/>
  <c r="D63" i="154"/>
  <c r="G69" i="154"/>
  <c r="C60" i="154"/>
  <c r="A72" i="154"/>
  <c r="A79" i="154"/>
  <c r="G79" i="154"/>
  <c r="D79" i="154"/>
  <c r="C76" i="154"/>
  <c r="C66" i="154"/>
  <c r="G66" i="154"/>
  <c r="E79" i="154"/>
  <c r="A66" i="154"/>
  <c r="D66" i="154"/>
  <c r="D62" i="154"/>
  <c r="F66" i="154"/>
  <c r="E62" i="154"/>
  <c r="C80" i="154"/>
  <c r="D76" i="154"/>
  <c r="E78" i="154"/>
  <c r="F73" i="154"/>
  <c r="D80" i="154"/>
  <c r="A76" i="154"/>
  <c r="E69" i="154"/>
  <c r="D61" i="154"/>
  <c r="D69" i="154"/>
  <c r="C69" i="154"/>
  <c r="A78" i="154"/>
  <c r="C78" i="154"/>
  <c r="L16" i="154"/>
  <c r="D71" i="154"/>
  <c r="F78" i="154"/>
  <c r="D78" i="154"/>
  <c r="A70" i="154"/>
  <c r="C71" i="154"/>
  <c r="G60" i="154"/>
  <c r="A64" i="154"/>
  <c r="F61" i="154"/>
  <c r="A71" i="154"/>
  <c r="C61" i="154"/>
  <c r="C72" i="154"/>
  <c r="D72" i="154"/>
  <c r="F71" i="154"/>
  <c r="E72" i="154"/>
  <c r="F72" i="154"/>
  <c r="G70" i="154"/>
  <c r="L17" i="154"/>
  <c r="F60" i="154"/>
  <c r="A63" i="154"/>
  <c r="E73" i="154"/>
  <c r="C67" i="154"/>
  <c r="A80" i="154"/>
  <c r="A61" i="154"/>
  <c r="G73" i="154"/>
  <c r="F64" i="154"/>
  <c r="A60" i="154"/>
  <c r="F70" i="154"/>
  <c r="G80" i="154"/>
  <c r="G63" i="154"/>
  <c r="M17" i="154"/>
  <c r="M16" i="154"/>
  <c r="E64" i="154"/>
  <c r="D60" i="154"/>
  <c r="A33" i="154"/>
  <c r="C70" i="154"/>
  <c r="E36" i="154"/>
  <c r="D67" i="154"/>
  <c r="D64" i="154"/>
  <c r="C29" i="154"/>
  <c r="M18" i="154"/>
  <c r="E35" i="154"/>
  <c r="C64" i="154"/>
  <c r="D70" i="154"/>
  <c r="A85" i="154"/>
  <c r="F67" i="154"/>
  <c r="G61" i="154"/>
  <c r="D73" i="154"/>
  <c r="B112" i="169"/>
  <c r="L33" i="169"/>
  <c r="B41" i="169" s="1"/>
  <c r="B114" i="169"/>
  <c r="B113" i="169"/>
  <c r="B116" i="169"/>
  <c r="B117" i="169"/>
  <c r="L34" i="169"/>
  <c r="B111" i="169"/>
  <c r="C81" i="154"/>
  <c r="C58" i="154"/>
  <c r="D41" i="154"/>
  <c r="C57" i="154"/>
  <c r="C55" i="154"/>
  <c r="G65" i="169"/>
  <c r="C65" i="169"/>
  <c r="G68" i="154"/>
  <c r="E68" i="154"/>
  <c r="D68" i="154"/>
  <c r="A68" i="154"/>
  <c r="F68" i="154"/>
  <c r="E75" i="154"/>
  <c r="C75" i="154"/>
  <c r="G75" i="154"/>
  <c r="A75" i="154"/>
  <c r="D75" i="154"/>
  <c r="AR68" i="156"/>
  <c r="E58" i="169"/>
  <c r="F75" i="154"/>
  <c r="G65" i="154"/>
  <c r="D65" i="154"/>
  <c r="A65" i="154"/>
  <c r="C65" i="154"/>
  <c r="L29" i="154"/>
  <c r="B37" i="154" s="1"/>
  <c r="L30" i="154"/>
  <c r="B38" i="154" s="1"/>
  <c r="G72" i="169"/>
  <c r="A72" i="169"/>
  <c r="C72" i="169"/>
  <c r="D72" i="169"/>
  <c r="A73" i="169"/>
  <c r="F73" i="169"/>
  <c r="D73" i="169"/>
  <c r="C73" i="169"/>
  <c r="G73" i="169"/>
  <c r="L10" i="169"/>
  <c r="B31" i="169" s="1"/>
  <c r="E83" i="169" s="1"/>
  <c r="P5" i="169"/>
  <c r="G77" i="154"/>
  <c r="C77" i="154"/>
  <c r="A77" i="154"/>
  <c r="E77" i="154"/>
  <c r="D77" i="154"/>
  <c r="F77" i="154"/>
  <c r="AM143" i="156"/>
  <c r="AI143" i="156"/>
  <c r="AK143" i="156"/>
  <c r="AE143" i="156"/>
  <c r="AJ143" i="156"/>
  <c r="AD143" i="156"/>
  <c r="AF143" i="156"/>
  <c r="AC143" i="156"/>
  <c r="AG143" i="156"/>
  <c r="AH143" i="156"/>
  <c r="A57" i="154"/>
  <c r="E57" i="154"/>
  <c r="C59" i="154"/>
  <c r="E59" i="154"/>
  <c r="F59" i="154"/>
  <c r="D59" i="154"/>
  <c r="A59" i="154"/>
  <c r="P26" i="154"/>
  <c r="Q23" i="154"/>
  <c r="Q24" i="154"/>
  <c r="G29" i="154"/>
  <c r="P24" i="154"/>
  <c r="L5" i="154"/>
  <c r="P23" i="154"/>
  <c r="G30" i="154"/>
  <c r="E33" i="154"/>
  <c r="A35" i="154"/>
  <c r="E34" i="154"/>
  <c r="L6" i="154"/>
  <c r="C86" i="154"/>
  <c r="B86" i="154"/>
  <c r="A97" i="154"/>
  <c r="Q26" i="154"/>
  <c r="D86" i="154"/>
  <c r="A36" i="154"/>
  <c r="C78" i="169"/>
  <c r="E78" i="169"/>
  <c r="D78" i="169"/>
  <c r="G78" i="169"/>
  <c r="A78" i="169"/>
  <c r="D74" i="154"/>
  <c r="C74" i="154"/>
  <c r="G74" i="154"/>
  <c r="A74" i="154"/>
  <c r="E74" i="154"/>
  <c r="F74" i="154"/>
  <c r="F65" i="154"/>
  <c r="E64" i="169"/>
  <c r="F64" i="169"/>
  <c r="C64" i="169"/>
  <c r="A64" i="169"/>
  <c r="H57" i="156"/>
  <c r="H54" i="156"/>
  <c r="AL286" i="156"/>
  <c r="H56" i="156"/>
  <c r="AG286" i="156"/>
  <c r="H55" i="156"/>
  <c r="H51" i="156"/>
  <c r="H53" i="156"/>
  <c r="AH286" i="156"/>
  <c r="AE286" i="156"/>
  <c r="F63" i="156"/>
  <c r="H52" i="156"/>
  <c r="D44" i="156"/>
  <c r="H50" i="156"/>
  <c r="AC286" i="156"/>
  <c r="AK286" i="156"/>
  <c r="AJ286" i="156"/>
  <c r="AA286" i="156"/>
  <c r="G67" i="154"/>
  <c r="F61" i="169"/>
  <c r="D70" i="169"/>
  <c r="G71" i="154"/>
  <c r="AC285" i="156"/>
  <c r="AJ285" i="156"/>
  <c r="E67" i="154"/>
  <c r="P18" i="154"/>
  <c r="A62" i="154"/>
  <c r="G62" i="154"/>
  <c r="A73" i="154"/>
  <c r="C62" i="154"/>
  <c r="F80" i="154"/>
  <c r="AI285" i="156"/>
  <c r="G36" i="156" l="1"/>
  <c r="G52" i="156"/>
  <c r="G56" i="156"/>
  <c r="G40" i="156"/>
  <c r="G54" i="156"/>
  <c r="H72" i="156"/>
  <c r="A34" i="154"/>
  <c r="J24" i="154"/>
  <c r="P17" i="154"/>
  <c r="A86" i="154"/>
  <c r="P16" i="154"/>
  <c r="P4" i="154"/>
  <c r="B29" i="154" s="1"/>
  <c r="G41" i="156"/>
  <c r="G34" i="156"/>
  <c r="G37" i="156"/>
  <c r="G51" i="156"/>
  <c r="E57" i="169"/>
  <c r="G53" i="156"/>
  <c r="G35" i="156"/>
  <c r="D26" i="156"/>
  <c r="H34" i="156"/>
  <c r="AC144" i="156"/>
  <c r="AJ144" i="156"/>
  <c r="AD144" i="156"/>
  <c r="AK144" i="156"/>
  <c r="H38" i="156"/>
  <c r="G76" i="156"/>
  <c r="AE144" i="156"/>
  <c r="AA144" i="156"/>
  <c r="AD7" i="156"/>
  <c r="H36" i="156"/>
  <c r="C63" i="156"/>
  <c r="H41" i="156"/>
  <c r="AF144" i="156"/>
  <c r="C31" i="156"/>
  <c r="H75" i="156"/>
  <c r="H39" i="156"/>
  <c r="H37" i="156"/>
  <c r="AH144" i="156"/>
  <c r="H74" i="156"/>
  <c r="AL144" i="156"/>
  <c r="H40" i="156"/>
  <c r="G74" i="156"/>
  <c r="AG144" i="156"/>
  <c r="AI144" i="156"/>
  <c r="G57" i="156"/>
  <c r="H76" i="156"/>
  <c r="G55" i="156"/>
  <c r="G72" i="156"/>
  <c r="G50" i="156"/>
  <c r="G38" i="156"/>
  <c r="G73" i="156"/>
  <c r="G75" i="156"/>
  <c r="H73" i="156"/>
  <c r="C57" i="169"/>
  <c r="L35" i="169"/>
  <c r="B42" i="169" s="1"/>
  <c r="L35" i="154"/>
  <c r="B42" i="154" s="1"/>
  <c r="B29" i="169"/>
  <c r="P6" i="169"/>
  <c r="B45" i="169" s="1"/>
  <c r="D41" i="169"/>
  <c r="C55" i="169"/>
  <c r="C58" i="169"/>
  <c r="C56" i="169"/>
  <c r="C81" i="169"/>
  <c r="L10" i="154"/>
  <c r="B31" i="154" s="1"/>
  <c r="E83" i="154" s="1"/>
  <c r="P5" i="154"/>
  <c r="P6" i="154" l="1"/>
  <c r="B45" i="154" s="1"/>
  <c r="A88" i="154"/>
  <c r="M20" i="154"/>
  <c r="L19" i="154"/>
  <c r="M19" i="154"/>
  <c r="P20" i="154"/>
  <c r="P19" i="154"/>
  <c r="P19" i="169"/>
  <c r="L19" i="169"/>
  <c r="P20" i="169"/>
  <c r="M20" i="169"/>
  <c r="L20" i="169"/>
  <c r="M19" i="169"/>
  <c r="CT20" i="156"/>
  <c r="CR21" i="156"/>
  <c r="CS20" i="156"/>
  <c r="F29" i="156"/>
  <c r="CT21" i="156"/>
  <c r="CU21" i="156"/>
  <c r="D27" i="156"/>
  <c r="CS22" i="156"/>
  <c r="CR20" i="156"/>
  <c r="CR22" i="156"/>
  <c r="U290" i="156"/>
  <c r="U291" i="156" s="1"/>
  <c r="U292" i="156" s="1"/>
  <c r="U293" i="156" s="1"/>
  <c r="D30" i="156" s="1"/>
  <c r="B63" i="156" s="1"/>
  <c r="CT22" i="156"/>
  <c r="CS21" i="156"/>
  <c r="C23" i="156"/>
  <c r="CU20" i="156"/>
  <c r="CU22" i="156"/>
  <c r="A89" i="169"/>
  <c r="A88" i="169"/>
  <c r="B82" i="169"/>
  <c r="C88" i="169"/>
  <c r="C87" i="169"/>
  <c r="P25" i="169"/>
  <c r="B35" i="169" s="1"/>
  <c r="E89" i="169" s="1"/>
  <c r="Q23" i="169"/>
  <c r="B135" i="169"/>
  <c r="B136" i="169" s="1"/>
  <c r="A90" i="169"/>
  <c r="Q25" i="169"/>
  <c r="P26" i="169"/>
  <c r="B36" i="169" s="1"/>
  <c r="B88" i="169"/>
  <c r="A99" i="169"/>
  <c r="Q26" i="169"/>
  <c r="C36" i="169" s="1"/>
  <c r="B89" i="169"/>
  <c r="P24" i="169"/>
  <c r="B34" i="169" s="1"/>
  <c r="Q24" i="169"/>
  <c r="C34" i="169" s="1"/>
  <c r="B87" i="169"/>
  <c r="A100" i="169"/>
  <c r="C89" i="169"/>
  <c r="B90" i="169"/>
  <c r="P23" i="169"/>
  <c r="D87" i="169"/>
  <c r="A87" i="169"/>
  <c r="A92" i="169"/>
  <c r="D89" i="169"/>
  <c r="B121" i="169"/>
  <c r="D90" i="169"/>
  <c r="D88" i="169"/>
  <c r="A91" i="169"/>
  <c r="C90" i="169"/>
  <c r="A98" i="169"/>
  <c r="O9" i="169"/>
  <c r="O10" i="169" s="1"/>
  <c r="L18" i="169" s="1"/>
  <c r="C87" i="154"/>
  <c r="M24" i="154"/>
  <c r="C34" i="154" s="1"/>
  <c r="A98" i="154"/>
  <c r="A89" i="154"/>
  <c r="D87" i="154"/>
  <c r="A90" i="154"/>
  <c r="B90" i="154"/>
  <c r="A99" i="154"/>
  <c r="M26" i="154"/>
  <c r="C36" i="154" s="1"/>
  <c r="M23" i="154"/>
  <c r="E86" i="154" s="1"/>
  <c r="B87" i="154"/>
  <c r="C88" i="154"/>
  <c r="B121" i="154"/>
  <c r="B123" i="154" s="1"/>
  <c r="B127" i="154" s="1"/>
  <c r="D90" i="154"/>
  <c r="A100" i="154"/>
  <c r="O9" i="154"/>
  <c r="O10" i="154" s="1"/>
  <c r="L18" i="154" s="1"/>
  <c r="L20" i="154" s="1"/>
  <c r="A91" i="154"/>
  <c r="D91" i="154" s="1"/>
  <c r="D89" i="154"/>
  <c r="B88" i="154"/>
  <c r="L26" i="154"/>
  <c r="B36" i="154" s="1"/>
  <c r="L24" i="154"/>
  <c r="D88" i="154"/>
  <c r="B89" i="154"/>
  <c r="B82" i="154"/>
  <c r="E82" i="154" s="1"/>
  <c r="A92" i="154"/>
  <c r="B92" i="154" s="1"/>
  <c r="A87" i="154"/>
  <c r="L25" i="154"/>
  <c r="B35" i="154" s="1"/>
  <c r="C90" i="154"/>
  <c r="C89" i="154"/>
  <c r="B135" i="154"/>
  <c r="B136" i="154" s="1"/>
  <c r="D45" i="154" s="1"/>
  <c r="M25" i="154"/>
  <c r="C35" i="154" s="1"/>
  <c r="B34" i="154" l="1"/>
  <c r="E87" i="154" s="1"/>
  <c r="B33" i="154"/>
  <c r="E89" i="154"/>
  <c r="D45" i="169"/>
  <c r="C105" i="169"/>
  <c r="B126" i="169"/>
  <c r="B105" i="169"/>
  <c r="E91" i="169"/>
  <c r="E92" i="169"/>
  <c r="E86" i="169"/>
  <c r="C33" i="169"/>
  <c r="B33" i="169"/>
  <c r="E85" i="169"/>
  <c r="C91" i="169"/>
  <c r="B91" i="169"/>
  <c r="D91" i="169"/>
  <c r="B122" i="169"/>
  <c r="B123" i="169"/>
  <c r="B127" i="169" s="1"/>
  <c r="E82" i="169"/>
  <c r="C82" i="169"/>
  <c r="E87" i="169"/>
  <c r="E88" i="169"/>
  <c r="E90" i="169"/>
  <c r="C35" i="169"/>
  <c r="D92" i="169"/>
  <c r="B92" i="169"/>
  <c r="C92" i="169"/>
  <c r="C105" i="154"/>
  <c r="E92" i="154"/>
  <c r="E90" i="154"/>
  <c r="B105" i="154"/>
  <c r="B147" i="154" s="1"/>
  <c r="B126" i="154"/>
  <c r="E91" i="154"/>
  <c r="C91" i="154"/>
  <c r="D92" i="154"/>
  <c r="C33" i="154"/>
  <c r="C82" i="154"/>
  <c r="C92" i="154"/>
  <c r="B91" i="154"/>
  <c r="B122" i="154"/>
  <c r="L36" i="169"/>
  <c r="L37" i="169"/>
  <c r="L36" i="154"/>
  <c r="L37" i="154"/>
  <c r="E88" i="154" l="1"/>
  <c r="B146" i="154"/>
  <c r="B139" i="154"/>
  <c r="B108" i="154"/>
  <c r="B140" i="154"/>
  <c r="B141" i="154"/>
  <c r="B145" i="154"/>
  <c r="B142" i="154"/>
  <c r="B137" i="154"/>
  <c r="B108" i="169"/>
  <c r="B137" i="169"/>
  <c r="F45" i="169"/>
  <c r="B146" i="169"/>
  <c r="B141" i="169"/>
  <c r="B147" i="169"/>
  <c r="B145" i="169"/>
  <c r="B148" i="169"/>
  <c r="B143" i="169"/>
  <c r="B140" i="169"/>
  <c r="B138" i="169"/>
  <c r="B139" i="169"/>
  <c r="B144" i="169"/>
  <c r="B142" i="169"/>
  <c r="B130" i="169"/>
  <c r="B148" i="154"/>
  <c r="F45" i="154"/>
  <c r="B138" i="154"/>
  <c r="B130" i="154"/>
  <c r="B149" i="154" s="1"/>
  <c r="B46" i="154" s="1"/>
  <c r="B143" i="154"/>
  <c r="B144" i="154"/>
  <c r="B44" i="169"/>
  <c r="D57" i="169"/>
  <c r="D56" i="169"/>
  <c r="D81" i="169"/>
  <c r="D82" i="169"/>
  <c r="D55" i="169"/>
  <c r="D58" i="169"/>
  <c r="B44" i="154"/>
  <c r="D57" i="154"/>
  <c r="D58" i="154"/>
  <c r="D55" i="154"/>
  <c r="D56" i="154"/>
  <c r="D81" i="154"/>
  <c r="D82" i="154"/>
  <c r="G89" i="154" l="1"/>
  <c r="E140" i="162" s="1"/>
  <c r="F88" i="154"/>
  <c r="B149" i="169"/>
  <c r="G83" i="169" s="1"/>
  <c r="G91" i="154"/>
  <c r="G90" i="154"/>
  <c r="F89" i="154"/>
  <c r="E125" i="162" s="1"/>
  <c r="G88" i="154"/>
  <c r="G85" i="154"/>
  <c r="E130" i="162" s="1"/>
  <c r="G87" i="154"/>
  <c r="G83" i="154"/>
  <c r="E56" i="162" s="1"/>
  <c r="F92" i="154"/>
  <c r="G92" i="154"/>
  <c r="F83" i="154"/>
  <c r="E100" i="162" s="1"/>
  <c r="F85" i="154"/>
  <c r="E135" i="162" s="1"/>
  <c r="F91" i="154"/>
  <c r="G84" i="154"/>
  <c r="E72" i="162" s="1"/>
  <c r="G86" i="154"/>
  <c r="F84" i="154"/>
  <c r="E19" i="162" s="1"/>
  <c r="F87" i="154"/>
  <c r="F90" i="154"/>
  <c r="F86" i="154"/>
  <c r="F58" i="154"/>
  <c r="G58" i="154"/>
  <c r="G57" i="154"/>
  <c r="F57" i="154"/>
  <c r="F81" i="154"/>
  <c r="G81" i="154"/>
  <c r="F56" i="154"/>
  <c r="G56" i="154"/>
  <c r="F82" i="154"/>
  <c r="G82" i="154"/>
  <c r="F55" i="154"/>
  <c r="G55" i="154"/>
  <c r="G57" i="169" l="1"/>
  <c r="E21" i="162" s="1"/>
  <c r="G87" i="169"/>
  <c r="G56" i="169"/>
  <c r="G86" i="169"/>
  <c r="G81" i="169"/>
  <c r="G55" i="169"/>
  <c r="E94" i="162" s="1"/>
  <c r="G82" i="169"/>
  <c r="F86" i="169"/>
  <c r="G85" i="169"/>
  <c r="E137" i="162" s="1"/>
  <c r="E138" i="162" s="1"/>
  <c r="F81" i="169"/>
  <c r="F84" i="169"/>
  <c r="E97" i="162" s="1"/>
  <c r="E98" i="162" s="1"/>
  <c r="F55" i="169"/>
  <c r="E90" i="162" s="1"/>
  <c r="F82" i="169"/>
  <c r="G84" i="169"/>
  <c r="E45" i="162" s="1"/>
  <c r="E46" i="162" s="1"/>
  <c r="F57" i="169"/>
  <c r="E17" i="162" s="1"/>
  <c r="G88" i="169"/>
  <c r="E129" i="162"/>
  <c r="F56" i="169"/>
  <c r="E82" i="162" s="1"/>
  <c r="F87" i="169"/>
  <c r="F91" i="169"/>
  <c r="E112" i="162"/>
  <c r="E120" i="162"/>
  <c r="F88" i="169"/>
  <c r="H87" i="154"/>
  <c r="G89" i="169"/>
  <c r="B46" i="169"/>
  <c r="F90" i="169"/>
  <c r="F58" i="169"/>
  <c r="E9" i="162" s="1"/>
  <c r="G92" i="169"/>
  <c r="G58" i="169"/>
  <c r="E70" i="162" s="1"/>
  <c r="F85" i="169"/>
  <c r="E123" i="162" s="1"/>
  <c r="E133" i="162" s="1"/>
  <c r="E134" i="162" s="1"/>
  <c r="E83" i="162"/>
  <c r="E114" i="162"/>
  <c r="E105" i="162"/>
  <c r="E12" i="162"/>
  <c r="H85" i="154"/>
  <c r="E84" i="162"/>
  <c r="E136" i="162"/>
  <c r="E11" i="162"/>
  <c r="G90" i="169"/>
  <c r="E36" i="162"/>
  <c r="E75" i="162"/>
  <c r="E28" i="162"/>
  <c r="H89" i="154"/>
  <c r="E76" i="162"/>
  <c r="E126" i="162"/>
  <c r="E27" i="162"/>
  <c r="G91" i="169"/>
  <c r="E113" i="162"/>
  <c r="E91" i="162"/>
  <c r="E68" i="162"/>
  <c r="E49" i="162"/>
  <c r="E57" i="162"/>
  <c r="E58" i="162"/>
  <c r="E20" i="162"/>
  <c r="E106" i="162"/>
  <c r="E85" i="162"/>
  <c r="E30" i="162"/>
  <c r="E77" i="162"/>
  <c r="H83" i="154"/>
  <c r="E67" i="162"/>
  <c r="E50" i="162"/>
  <c r="E108" i="162"/>
  <c r="F83" i="169"/>
  <c r="E81" i="162" s="1"/>
  <c r="F89" i="169"/>
  <c r="E60" i="162"/>
  <c r="E139" i="162"/>
  <c r="E35" i="162"/>
  <c r="E92" i="162"/>
  <c r="E44" i="162"/>
  <c r="F92" i="169"/>
  <c r="E69" i="162"/>
  <c r="E38" i="162"/>
  <c r="E93" i="162"/>
  <c r="E53" i="162"/>
  <c r="E116" i="162"/>
  <c r="E14" i="162"/>
  <c r="E64" i="162"/>
  <c r="E48" i="162"/>
  <c r="E22" i="162"/>
  <c r="E96" i="162"/>
  <c r="E39" i="162"/>
  <c r="E79" i="162"/>
  <c r="E118" i="162"/>
  <c r="E32" i="162"/>
  <c r="E52" i="162"/>
  <c r="E31" i="162"/>
  <c r="E109" i="162"/>
  <c r="H84" i="154"/>
  <c r="E87" i="162"/>
  <c r="E16" i="162"/>
  <c r="E54" i="162"/>
  <c r="E40" i="162"/>
  <c r="E23" i="162"/>
  <c r="E71" i="162"/>
  <c r="E62" i="162"/>
  <c r="E61" i="162"/>
  <c r="E110" i="162"/>
  <c r="E88" i="162"/>
  <c r="E24" i="162"/>
  <c r="E95" i="162"/>
  <c r="E80" i="162"/>
  <c r="E104" i="162"/>
  <c r="E102" i="162"/>
  <c r="E117" i="162"/>
  <c r="E15" i="162"/>
  <c r="E101" i="162"/>
  <c r="H82" i="154"/>
  <c r="E99" i="162"/>
  <c r="E43" i="162"/>
  <c r="E86" i="162"/>
  <c r="E29" i="162"/>
  <c r="E119" i="162"/>
  <c r="E63" i="162"/>
  <c r="E115" i="162"/>
  <c r="E59" i="162"/>
  <c r="E107" i="162"/>
  <c r="E51" i="162"/>
  <c r="E55" i="162"/>
  <c r="E111" i="162"/>
  <c r="E103" i="162"/>
  <c r="E47" i="162"/>
  <c r="E78" i="162" l="1"/>
  <c r="E41" i="162"/>
  <c r="H87" i="169"/>
  <c r="E74" i="162"/>
  <c r="H82" i="169"/>
  <c r="E37" i="162"/>
  <c r="E127" i="162"/>
  <c r="E128" i="162" s="1"/>
  <c r="E42" i="162"/>
  <c r="H84" i="169"/>
  <c r="E33" i="162"/>
  <c r="E25" i="162"/>
  <c r="H89" i="169"/>
  <c r="E13" i="162"/>
  <c r="E66" i="162"/>
  <c r="E124" i="162"/>
  <c r="H85" i="169"/>
  <c r="E73" i="162"/>
  <c r="E26" i="162"/>
  <c r="E18" i="162"/>
  <c r="E65" i="162"/>
  <c r="E34" i="162"/>
  <c r="E89" i="162"/>
  <c r="E10" i="162"/>
  <c r="H83" i="16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 Tomanovich</author>
  </authors>
  <commentList>
    <comment ref="B8" authorId="0" shapeId="0" xr:uid="{D569CBC8-F26C-4CE5-934C-72B32EA29A67}">
      <text>
        <r>
          <rPr>
            <b/>
            <sz val="8"/>
            <color indexed="81"/>
            <rFont val="Tahoma"/>
            <family val="2"/>
          </rPr>
          <t xml:space="preserve">                                                                          TABLE 1-1</t>
        </r>
        <r>
          <rPr>
            <b/>
            <u/>
            <sz val="8"/>
            <color indexed="81"/>
            <rFont val="Tahoma"/>
            <family val="2"/>
          </rPr>
          <t xml:space="preserve">
Occupancy Category of Buildings and Other Structures for Flood, Wind, Snow, Earthquake, and Ice Loads</t>
        </r>
        <r>
          <rPr>
            <sz val="8"/>
            <color indexed="81"/>
            <rFont val="Tahoma"/>
            <family val="2"/>
          </rPr>
          <t xml:space="preserve">                                                                                                      
</t>
        </r>
        <r>
          <rPr>
            <b/>
            <u/>
            <sz val="8"/>
            <color indexed="81"/>
            <rFont val="Tahoma"/>
            <family val="2"/>
          </rPr>
          <t xml:space="preserve">Nature of Occupancy                                                                                                                    Occupancy Category </t>
        </r>
        <r>
          <rPr>
            <sz val="8"/>
            <color indexed="81"/>
            <rFont val="Tahoma"/>
            <family val="2"/>
          </rPr>
          <t xml:space="preserve">
Buildings and structures that represent a low hazard to human life in the event of failure including,                  I
  but not limited to:
     - Agriculture facilities                                                                                                             
     - Certain temporary facilities
</t>
        </r>
        <r>
          <rPr>
            <u/>
            <sz val="8"/>
            <color indexed="81"/>
            <rFont val="Tahoma"/>
            <family val="2"/>
          </rPr>
          <t xml:space="preserve">     - Minor storage facilities                                                                                                                                              </t>
        </r>
        <r>
          <rPr>
            <sz val="8"/>
            <color indexed="81"/>
            <rFont val="Tahoma"/>
            <family val="2"/>
          </rPr>
          <t xml:space="preserve">       
</t>
        </r>
        <r>
          <rPr>
            <u/>
            <sz val="8"/>
            <color indexed="81"/>
            <rFont val="Tahoma"/>
            <family val="2"/>
          </rPr>
          <t xml:space="preserve">Buildings and other structures except those listed in Categories I, III and IV                                                      II        </t>
        </r>
        <r>
          <rPr>
            <sz val="8"/>
            <color indexed="81"/>
            <rFont val="Tahoma"/>
            <family val="2"/>
          </rPr>
          <t xml:space="preserve">
Buildings and other structures that represent a substantial hazard to human life in the event of                       III      
  failure including, but not limited to:
     - Buildings and other structures where more than 300 people congregate in one area
     - Buildings and other structures with day-care facilities with capacity greater than 150
     - Elementary or secondary school facilities with capacity greater than 250
     - Colleges &amp; adult education facilities with a capacity greater than 500
     - Health care facilities with a capacity greater than 50 resident patients but not having surgery
         or emergency treatment facilities
     - Jails and detention facilities
Buildings and other structures, not includes in Occupancy Category IV, with potential to cause 
  substantial economic impact and/or mass disruption of day-to-day civilian life in event of failure, 
  including, but not limited to:
     - Power generating stations, water treatment facilities, sewage treatment facilities, and
         telecommunication centers
     - Buildings and structures not included in Category IV containing sufficient quantities of toxic,
</t>
        </r>
        <r>
          <rPr>
            <u/>
            <sz val="8"/>
            <color indexed="81"/>
            <rFont val="Tahoma"/>
            <family val="2"/>
          </rPr>
          <t xml:space="preserve">         explosive, or other hazardous materials dangerous to the public if released                                                        </t>
        </r>
        <r>
          <rPr>
            <sz val="8"/>
            <color indexed="81"/>
            <rFont val="Tahoma"/>
            <family val="2"/>
          </rPr>
          <t xml:space="preserve">
Buildings and other structures designated as essential facilities including, but not limited to:                              IV
     - Hospitals and health care facilities having surgery or emergency treatment facilities
     - Fire, rescue and police stations and emergency vehicle garages
     - Designated earthquake, hurricane or other emergency shelters
     - Designated emergency preparedness, communication, and operation centers and other
         facilities required for emergency response 
     - Power-generating stations and other public utility facilities required in an emergency
     - Ancillary structures required foroperation of Category IV structures during an emergency
     - Aviation control towers, air traffic control centers and emergency aircraft hangars
     - Water storage facilities and pump structures required to maintain water pressure for fire suppression
     - Buildings and other structures having critical national defense functions
     - Buildings and structures containing extremelyhazardous materials where quantity of material 
         exceeds a threshhold quantity established by authority having jurisdiction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 </author>
    <author>4892</author>
    <author>Bob Dalpiaz</author>
    <author>ATOMANOV</author>
  </authors>
  <commentList>
    <comment ref="AA1" authorId="0" shapeId="0" xr:uid="{8F90493E-2D07-4C87-8610-1BC1A2A8621C}">
      <text>
        <r>
          <rPr>
            <sz val="8"/>
            <color indexed="81"/>
            <rFont val="Tahoma"/>
            <family val="2"/>
          </rPr>
          <t xml:space="preserve">            "</t>
        </r>
        <r>
          <rPr>
            <b/>
            <sz val="8"/>
            <color indexed="81"/>
            <rFont val="Tahoma"/>
            <family val="2"/>
          </rPr>
          <t>ASCE705W.xls</t>
        </r>
        <r>
          <rPr>
            <sz val="8"/>
            <color indexed="81"/>
            <rFont val="Tahoma"/>
            <family val="2"/>
          </rPr>
          <t>"
written by: Alex Tomanovich, P.E.</t>
        </r>
      </text>
    </comment>
    <comment ref="B9" authorId="1" shapeId="0" xr:uid="{1AD441BD-C3D0-490C-8F9B-9CB144688569}">
      <text>
        <r>
          <rPr>
            <sz val="8"/>
            <color indexed="81"/>
            <rFont val="Tahoma"/>
            <family val="2"/>
          </rPr>
          <t xml:space="preserve">Actual values of </t>
        </r>
        <r>
          <rPr>
            <b/>
            <sz val="8"/>
            <color indexed="81"/>
            <rFont val="Tahoma"/>
            <family val="2"/>
          </rPr>
          <t>B</t>
        </r>
        <r>
          <rPr>
            <sz val="8"/>
            <color indexed="81"/>
            <rFont val="Tahoma"/>
            <family val="2"/>
          </rPr>
          <t xml:space="preserve"> and </t>
        </r>
        <r>
          <rPr>
            <b/>
            <sz val="8"/>
            <color indexed="81"/>
            <rFont val="Tahoma"/>
            <family val="2"/>
          </rPr>
          <t>L</t>
        </r>
        <r>
          <rPr>
            <sz val="8"/>
            <color indexed="81"/>
            <rFont val="Tahoma"/>
            <family val="2"/>
          </rPr>
          <t xml:space="preserve"> depend on the </t>
        </r>
        <r>
          <rPr>
            <b/>
            <sz val="8"/>
            <color indexed="81"/>
            <rFont val="Tahoma"/>
            <family val="2"/>
          </rPr>
          <t>Wind</t>
        </r>
        <r>
          <rPr>
            <sz val="8"/>
            <color indexed="81"/>
            <rFont val="Tahoma"/>
            <family val="2"/>
          </rPr>
          <t xml:space="preserve"> </t>
        </r>
        <r>
          <rPr>
            <b/>
            <sz val="8"/>
            <color indexed="81"/>
            <rFont val="Tahoma"/>
            <family val="2"/>
          </rPr>
          <t>Direction</t>
        </r>
        <r>
          <rPr>
            <sz val="8"/>
            <color indexed="81"/>
            <rFont val="Tahoma"/>
            <family val="2"/>
          </rPr>
          <t xml:space="preserve">, and are defined as follows:
</t>
        </r>
        <r>
          <rPr>
            <b/>
            <sz val="8"/>
            <color indexed="81"/>
            <rFont val="Tahoma"/>
            <family val="2"/>
          </rPr>
          <t>B</t>
        </r>
        <r>
          <rPr>
            <sz val="8"/>
            <color indexed="81"/>
            <rFont val="Tahoma"/>
            <family val="2"/>
          </rPr>
          <t xml:space="preserve"> = horizontal dimension of building measured
       normal to wind direction.
</t>
        </r>
        <r>
          <rPr>
            <b/>
            <sz val="8"/>
            <color indexed="81"/>
            <rFont val="Tahoma"/>
            <family val="2"/>
          </rPr>
          <t>L</t>
        </r>
        <r>
          <rPr>
            <sz val="8"/>
            <color indexed="81"/>
            <rFont val="Tahoma"/>
            <family val="2"/>
          </rPr>
          <t xml:space="preserve"> = horizontal dimension of building measured
       parallel to wind direction.
Note: Plan view at right depicts case where Wind
          Direction is Normal to building ridge.</t>
        </r>
      </text>
    </comment>
    <comment ref="B29" authorId="2" shapeId="0" xr:uid="{35860B92-7FB3-4C6D-A05E-F8E2074A6759}">
      <text>
        <r>
          <rPr>
            <sz val="8"/>
            <color indexed="81"/>
            <rFont val="Tahoma"/>
            <family val="2"/>
          </rPr>
          <t xml:space="preserve">The building </t>
        </r>
        <r>
          <rPr>
            <b/>
            <sz val="8"/>
            <color indexed="81"/>
            <rFont val="Tahoma"/>
            <family val="2"/>
          </rPr>
          <t>Mean Roof Height, h</t>
        </r>
        <r>
          <rPr>
            <sz val="8"/>
            <color indexed="81"/>
            <rFont val="Tahoma"/>
            <family val="2"/>
          </rPr>
          <t>, is determined as follows:
  For buildings with roof angle &gt; 10 degrees:  h = (hr+he)/2
  For buildings with roof angle &lt;= 10 degrees:  h = he</t>
        </r>
      </text>
    </comment>
    <comment ref="G29" authorId="3" shapeId="0" xr:uid="{9C21D811-47EE-48E4-9025-6C938C383685}">
      <text>
        <r>
          <rPr>
            <sz val="8"/>
            <color indexed="81"/>
            <rFont val="Tahoma"/>
            <family val="2"/>
          </rPr>
          <t>Note: 'L' is the horizontal dimension of the building measured parallel to the wind direction.</t>
        </r>
      </text>
    </comment>
    <comment ref="G30" authorId="3" shapeId="0" xr:uid="{6F1A94DB-9145-493E-AAE1-2E9E433DF5CF}">
      <text>
        <r>
          <rPr>
            <sz val="8"/>
            <color indexed="81"/>
            <rFont val="Tahoma"/>
            <family val="2"/>
          </rPr>
          <t>Note: 'B' is the horizontal dimension of the building measured normal to the wind direction.</t>
        </r>
      </text>
    </comment>
    <comment ref="B46" authorId="0" shapeId="0" xr:uid="{59383337-CC66-4E3D-83D5-64E006862B16}">
      <text>
        <r>
          <rPr>
            <b/>
            <sz val="8"/>
            <color indexed="81"/>
            <rFont val="Tahoma"/>
            <family val="2"/>
          </rPr>
          <t xml:space="preserve"> </t>
        </r>
        <r>
          <rPr>
            <sz val="8"/>
            <color indexed="81"/>
            <rFont val="Tahoma"/>
            <family val="2"/>
          </rPr>
          <t>If the structure is "rigid", then the minimum of either the calculated value of 'G' for "rigid" structures or 0.85 is used.  If the structure is "flexible" then the calculated value of 'G' is used.
(See calculations on page 3.)</t>
        </r>
      </text>
    </comment>
    <comment ref="D47" authorId="3" shapeId="0" xr:uid="{BA30596F-0938-4D17-88B7-7951B08BC969}">
      <text>
        <r>
          <rPr>
            <sz val="8"/>
            <color indexed="81"/>
            <rFont val="Tahoma"/>
            <family val="2"/>
          </rPr>
          <t xml:space="preserve">Per Code </t>
        </r>
        <r>
          <rPr>
            <b/>
            <sz val="8"/>
            <color indexed="81"/>
            <rFont val="Tahoma"/>
            <family val="2"/>
          </rPr>
          <t>Section 6.1.4.1</t>
        </r>
        <r>
          <rPr>
            <sz val="8"/>
            <color indexed="81"/>
            <rFont val="Tahoma"/>
            <family val="2"/>
          </rPr>
          <t xml:space="preserve">, the minimum wind load to be used in the design of the Main Wind-Force Resisting System shall not be less than </t>
        </r>
        <r>
          <rPr>
            <b/>
            <sz val="8"/>
            <color indexed="81"/>
            <rFont val="Tahoma"/>
            <family val="2"/>
          </rPr>
          <t>10 psf</t>
        </r>
        <r>
          <rPr>
            <sz val="8"/>
            <color indexed="81"/>
            <rFont val="Tahoma"/>
            <family val="2"/>
          </rPr>
          <t>.</t>
        </r>
      </text>
    </comment>
    <comment ref="G53" authorId="3" shapeId="0" xr:uid="{DBA67F35-3407-4959-B9CF-C11080199715}">
      <text>
        <r>
          <rPr>
            <sz val="8"/>
            <color indexed="81"/>
            <rFont val="Tahoma"/>
            <family val="2"/>
          </rPr>
          <t xml:space="preserve">Per Code </t>
        </r>
        <r>
          <rPr>
            <b/>
            <sz val="8"/>
            <color indexed="81"/>
            <rFont val="Tahoma"/>
            <family val="2"/>
          </rPr>
          <t>Section 6.1.4.1</t>
        </r>
        <r>
          <rPr>
            <sz val="8"/>
            <color indexed="81"/>
            <rFont val="Tahoma"/>
            <family val="2"/>
          </rPr>
          <t xml:space="preserve">, the minimum wind load to be used in the design of the MWFRS shall not be less than </t>
        </r>
        <r>
          <rPr>
            <b/>
            <sz val="8"/>
            <color indexed="81"/>
            <rFont val="Tahoma"/>
            <family val="2"/>
          </rPr>
          <t>10 psf</t>
        </r>
        <r>
          <rPr>
            <sz val="8"/>
            <color indexed="81"/>
            <rFont val="Tahoma"/>
            <family val="2"/>
          </rPr>
          <t xml:space="preserve"> multiplied by the area of the building or structure projected onto a vertical plane normal to the assumed wind direction.</t>
        </r>
      </text>
    </comment>
    <comment ref="B105" authorId="2" shapeId="0" xr:uid="{70786F3B-8268-44D0-BFE3-DD88CC3BA38E}">
      <text>
        <r>
          <rPr>
            <sz val="8"/>
            <color indexed="81"/>
            <rFont val="Tahoma"/>
            <family val="2"/>
          </rPr>
          <t>Buildings which have a natural frequency, f &gt;= 1 Hz are considered "rigid".
Buildings which have a natural frequency, f &lt; 1 Hz are considered "flexible".</t>
        </r>
      </text>
    </comment>
    <comment ref="C107" authorId="2" shapeId="0" xr:uid="{7FA13DBC-2A95-413F-8617-381365E41DBD}">
      <text>
        <r>
          <rPr>
            <sz val="8"/>
            <color indexed="81"/>
            <rFont val="Tahoma"/>
            <family val="2"/>
          </rPr>
          <t xml:space="preserve">The </t>
        </r>
        <r>
          <rPr>
            <b/>
            <sz val="8"/>
            <color indexed="81"/>
            <rFont val="Tahoma"/>
            <family val="2"/>
          </rPr>
          <t>Gust Effect Factor, G</t>
        </r>
        <r>
          <rPr>
            <sz val="8"/>
            <color indexed="81"/>
            <rFont val="Tahoma"/>
            <family val="2"/>
          </rPr>
          <t xml:space="preserve">, for rigid buildings may be simply taken as </t>
        </r>
        <r>
          <rPr>
            <b/>
            <sz val="8"/>
            <color indexed="81"/>
            <rFont val="Tahoma"/>
            <family val="2"/>
          </rPr>
          <t>0.85</t>
        </r>
        <r>
          <rPr>
            <sz val="8"/>
            <color indexed="81"/>
            <rFont val="Tahoma"/>
            <family val="2"/>
          </rPr>
          <t xml:space="preserve"> for all building exposure conditions.
</t>
        </r>
        <r>
          <rPr>
            <u/>
            <sz val="8"/>
            <color indexed="81"/>
            <rFont val="Tahoma"/>
            <family val="2"/>
          </rPr>
          <t xml:space="preserve">
</t>
        </r>
        <r>
          <rPr>
            <sz val="8"/>
            <color indexed="81"/>
            <rFont val="Tahoma"/>
            <family val="2"/>
          </rPr>
          <t xml:space="preserve">
</t>
        </r>
      </text>
    </comment>
    <comment ref="B121" authorId="2" shapeId="0" xr:uid="{C80DA906-38ED-4A19-B499-3C7665BD1E11}">
      <text>
        <r>
          <rPr>
            <sz val="8"/>
            <color indexed="81"/>
            <rFont val="Tahoma"/>
            <family val="2"/>
          </rPr>
          <t xml:space="preserve">The </t>
        </r>
        <r>
          <rPr>
            <b/>
            <sz val="8"/>
            <color indexed="81"/>
            <rFont val="Tahoma"/>
            <family val="2"/>
          </rPr>
          <t>Equivalent Height of the Building, z(bar)</t>
        </r>
        <r>
          <rPr>
            <sz val="8"/>
            <color indexed="81"/>
            <rFont val="Tahoma"/>
            <family val="2"/>
          </rPr>
          <t xml:space="preserve">.
z(bar) = 0.6*h  but not less than z(min) from Table 6-2.
  where: h = building mean roof height </t>
        </r>
      </text>
    </comment>
    <comment ref="B122" authorId="2" shapeId="0" xr:uid="{4C9387BE-8BD3-4FD2-9875-F763D0BD1F08}">
      <text>
        <r>
          <rPr>
            <sz val="8"/>
            <color indexed="81"/>
            <rFont val="Tahoma"/>
            <family val="2"/>
          </rPr>
          <t xml:space="preserve">The </t>
        </r>
        <r>
          <rPr>
            <b/>
            <sz val="8"/>
            <color indexed="81"/>
            <rFont val="Tahoma"/>
            <family val="2"/>
          </rPr>
          <t>Intensity of Turbulence</t>
        </r>
        <r>
          <rPr>
            <sz val="8"/>
            <color indexed="81"/>
            <rFont val="Tahoma"/>
            <family val="2"/>
          </rPr>
          <t xml:space="preserve"> at height = z(bar).
Iz(bar) = c*(33/z(bar))^(1/6)</t>
        </r>
      </text>
    </comment>
    <comment ref="B123" authorId="2" shapeId="0" xr:uid="{EF726C42-9899-4ABE-A23C-A29A607184CA}">
      <text>
        <r>
          <rPr>
            <sz val="8"/>
            <color indexed="81"/>
            <rFont val="Tahoma"/>
            <family val="2"/>
          </rPr>
          <t xml:space="preserve">The </t>
        </r>
        <r>
          <rPr>
            <b/>
            <sz val="8"/>
            <color indexed="81"/>
            <rFont val="Tahoma"/>
            <family val="2"/>
          </rPr>
          <t>Integral Length Scale of Turbulence</t>
        </r>
        <r>
          <rPr>
            <sz val="8"/>
            <color indexed="81"/>
            <rFont val="Tahoma"/>
            <family val="2"/>
          </rPr>
          <t xml:space="preserve"> at the equivalent height.  
Lz(bar) = </t>
        </r>
        <r>
          <rPr>
            <sz val="8"/>
            <color indexed="81"/>
            <rFont val="Italic"/>
          </rPr>
          <t>l</t>
        </r>
        <r>
          <rPr>
            <sz val="8"/>
            <color indexed="81"/>
            <rFont val="Tahoma"/>
            <family val="2"/>
          </rPr>
          <t>*(z(bar)/33)^(</t>
        </r>
        <r>
          <rPr>
            <sz val="8"/>
            <color indexed="81"/>
            <rFont val="Symbol"/>
            <family val="1"/>
            <charset val="2"/>
          </rPr>
          <t xml:space="preserve">e </t>
        </r>
        <r>
          <rPr>
            <sz val="8"/>
            <color indexed="81"/>
            <rFont val="Tahoma"/>
            <family val="2"/>
          </rPr>
          <t>(bar))</t>
        </r>
      </text>
    </comment>
    <comment ref="B124" authorId="3" shapeId="0" xr:uid="{EF0BEF6D-9BB4-4B7E-B217-4E5431F854F9}">
      <text>
        <r>
          <rPr>
            <sz val="8"/>
            <color indexed="81"/>
            <rFont val="Tahoma"/>
            <family val="2"/>
          </rPr>
          <t>Peak Factor for backround response:
gq = 3.4  (per Sect. 6.5.8.1)</t>
        </r>
      </text>
    </comment>
    <comment ref="B125" authorId="3" shapeId="0" xr:uid="{62A54BED-AEEB-44D3-B5FB-FF25F0B19765}">
      <text>
        <r>
          <rPr>
            <sz val="8"/>
            <color indexed="81"/>
            <rFont val="Tahoma"/>
            <family val="2"/>
          </rPr>
          <t>Peak Factor for wind response:
gv = 3.4  (per Sect. 6.5.8.1)</t>
        </r>
      </text>
    </comment>
    <comment ref="B126" authorId="3" shapeId="0" xr:uid="{B84005A3-DC3B-48B7-A5B0-B9F541F4B4D8}">
      <text>
        <r>
          <rPr>
            <sz val="8"/>
            <color indexed="81"/>
            <rFont val="Tahoma"/>
            <family val="2"/>
          </rPr>
          <t>Peak Factor for resonant response:
gr = (2*(LN(3600*f)))^(1/2)+0.577/(2*LN(3600*f))^(1/2)
Note: the symbol, f, was subsituted for the original symbol,
          n1, in the equation above.</t>
        </r>
      </text>
    </comment>
    <comment ref="B127" authorId="2" shapeId="0" xr:uid="{C28585B0-252A-4688-BA6E-4FEE4C8AC8E2}">
      <text>
        <r>
          <rPr>
            <sz val="8"/>
            <color indexed="81"/>
            <rFont val="Tahoma"/>
            <family val="2"/>
          </rPr>
          <t xml:space="preserve">The </t>
        </r>
        <r>
          <rPr>
            <b/>
            <sz val="8"/>
            <color indexed="81"/>
            <rFont val="Tahoma"/>
            <family val="2"/>
          </rPr>
          <t>Backround Response Factor, Q</t>
        </r>
        <r>
          <rPr>
            <sz val="8"/>
            <color indexed="81"/>
            <rFont val="Tahoma"/>
            <family val="2"/>
          </rPr>
          <t>.
Q = (1/(1+0.63*((B+h)/Lz(bar))^0.63))^(1/2)
   where: B = building width normal to wind
               h = building mean roof height</t>
        </r>
      </text>
    </comment>
    <comment ref="B130" authorId="2" shapeId="0" xr:uid="{9B6795D8-59C6-4B52-B1A5-CB2DA9024F29}">
      <text>
        <r>
          <rPr>
            <sz val="8"/>
            <color indexed="81"/>
            <rFont val="Tahoma"/>
            <family val="2"/>
          </rPr>
          <t xml:space="preserve">The </t>
        </r>
        <r>
          <rPr>
            <b/>
            <sz val="8"/>
            <color indexed="81"/>
            <rFont val="Tahoma"/>
            <family val="2"/>
          </rPr>
          <t>Gust Effect Factor, G</t>
        </r>
        <r>
          <rPr>
            <sz val="8"/>
            <color indexed="81"/>
            <rFont val="Tahoma"/>
            <family val="2"/>
          </rPr>
          <t>, for a "rigid" structure.
G = 0.925*((1+1.7*gq*Iz(bar)*Q)/(1+1.7*gv*Iz(bar)))
       where: gq = 3.4  and gv = 3.4</t>
        </r>
      </text>
    </comment>
    <comment ref="C132" authorId="2" shapeId="0" xr:uid="{D2EC3CAE-D6DA-40A4-8F5F-6FC57C09A604}">
      <text>
        <r>
          <rPr>
            <sz val="8"/>
            <color indexed="81"/>
            <rFont val="Tahoma"/>
            <family val="2"/>
          </rPr>
          <t xml:space="preserve">The </t>
        </r>
        <r>
          <rPr>
            <b/>
            <sz val="8"/>
            <color indexed="81"/>
            <rFont val="Tahoma"/>
            <family val="2"/>
          </rPr>
          <t>Gust Effect Factor, Gf</t>
        </r>
        <r>
          <rPr>
            <sz val="8"/>
            <color indexed="81"/>
            <rFont val="Tahoma"/>
            <family val="2"/>
          </rPr>
          <t>, for a  flexible building as calculated from Eqn 6-8.  Note:  calculations below are applicable only for "flexible" buildings which have a natural frequency, f &lt; 1 hz.</t>
        </r>
      </text>
    </comment>
    <comment ref="B137" authorId="2" shapeId="0" xr:uid="{FC43742B-7100-4482-ADA4-40275B7BCCAB}">
      <text>
        <r>
          <rPr>
            <sz val="8"/>
            <color indexed="81"/>
            <rFont val="Tahoma"/>
            <family val="2"/>
          </rPr>
          <t xml:space="preserve">The </t>
        </r>
        <r>
          <rPr>
            <b/>
            <sz val="8"/>
            <color indexed="81"/>
            <rFont val="Tahoma"/>
            <family val="2"/>
          </rPr>
          <t>Basic Wind Speed, V</t>
        </r>
        <r>
          <rPr>
            <sz val="8"/>
            <color indexed="81"/>
            <rFont val="Tahoma"/>
            <family val="2"/>
          </rPr>
          <t>, converted from units of mph to ft/sec.
V(fps) = V(mph)*(88/60)</t>
        </r>
      </text>
    </comment>
    <comment ref="B138" authorId="2" shapeId="0" xr:uid="{FF35F7C6-0CCD-4BF7-9F83-F0EC1201992A}">
      <text>
        <r>
          <rPr>
            <sz val="8"/>
            <color indexed="81"/>
            <rFont val="Tahoma"/>
            <family val="2"/>
          </rPr>
          <t>The</t>
        </r>
        <r>
          <rPr>
            <b/>
            <sz val="8"/>
            <color indexed="81"/>
            <rFont val="Tahoma"/>
            <family val="2"/>
          </rPr>
          <t xml:space="preserve"> Mean Hourly Wind Speed, V(bar,zbar)</t>
        </r>
        <r>
          <rPr>
            <sz val="8"/>
            <color indexed="81"/>
            <rFont val="Tahoma"/>
            <family val="2"/>
          </rPr>
          <t>.
V(bar,zbar) = b(bar)*(z(bar)/33)^(</t>
        </r>
        <r>
          <rPr>
            <sz val="8"/>
            <color indexed="81"/>
            <rFont val="Symbol"/>
            <family val="1"/>
            <charset val="2"/>
          </rPr>
          <t>a</t>
        </r>
        <r>
          <rPr>
            <sz val="8"/>
            <color indexed="81"/>
            <rFont val="Tahoma"/>
            <family val="2"/>
          </rPr>
          <t>(bar))*V*(88/60)</t>
        </r>
      </text>
    </comment>
    <comment ref="B139" authorId="2" shapeId="0" xr:uid="{956C5C8B-4069-49FB-AF06-1674FF0D4686}">
      <text>
        <r>
          <rPr>
            <sz val="8"/>
            <color indexed="81"/>
            <rFont val="Tahoma"/>
            <family val="2"/>
          </rPr>
          <t>N1 = f*Lz(bar)/(V(bar,zbar))
Note: the symbol, f, was subsituted for
          the original symbol, n1, in the 
          equation above.</t>
        </r>
      </text>
    </comment>
    <comment ref="B140" authorId="2" shapeId="0" xr:uid="{744A81B5-AD5F-493E-B322-CB28FC20BB69}">
      <text>
        <r>
          <rPr>
            <sz val="8"/>
            <color indexed="81"/>
            <rFont val="Tahoma"/>
            <family val="2"/>
          </rPr>
          <t>Rn = 7.47*N1/(1+10.3*N1)^(5/3)</t>
        </r>
      </text>
    </comment>
    <comment ref="B141" authorId="2" shapeId="0" xr:uid="{2D07DF27-337C-401F-A584-D12237939454}">
      <text>
        <r>
          <rPr>
            <sz val="8"/>
            <color indexed="81"/>
            <rFont val="Symbol"/>
            <family val="1"/>
            <charset val="2"/>
          </rPr>
          <t>h</t>
        </r>
        <r>
          <rPr>
            <sz val="8"/>
            <color indexed="81"/>
            <rFont val="Tahoma"/>
            <family val="2"/>
          </rPr>
          <t>h = 4.6*f*h/(V(bar,zbar))
Note: the symbol, f, was subsituted
          for the original symbol, n1, in
          the equation above.</t>
        </r>
      </text>
    </comment>
    <comment ref="B142" authorId="2" shapeId="0" xr:uid="{505FC228-997D-40CB-ACDB-63119F187ED2}">
      <text>
        <r>
          <rPr>
            <sz val="8"/>
            <color indexed="81"/>
            <rFont val="Tahoma"/>
            <family val="2"/>
          </rPr>
          <t>Rh = (1/</t>
        </r>
        <r>
          <rPr>
            <sz val="8"/>
            <color indexed="81"/>
            <rFont val="Symbol"/>
            <family val="1"/>
            <charset val="2"/>
          </rPr>
          <t>h</t>
        </r>
        <r>
          <rPr>
            <sz val="8"/>
            <color indexed="81"/>
            <rFont val="Tahoma"/>
            <family val="2"/>
          </rPr>
          <t>h)-1/(2*</t>
        </r>
        <r>
          <rPr>
            <sz val="8"/>
            <color indexed="81"/>
            <rFont val="Symbol"/>
            <family val="1"/>
            <charset val="2"/>
          </rPr>
          <t>h</t>
        </r>
        <r>
          <rPr>
            <sz val="8"/>
            <color indexed="81"/>
            <rFont val="Tahoma"/>
            <family val="2"/>
          </rPr>
          <t>h^2)*(1-e^(-2*</t>
        </r>
        <r>
          <rPr>
            <sz val="8"/>
            <color indexed="81"/>
            <rFont val="Symbol"/>
            <family val="1"/>
            <charset val="2"/>
          </rPr>
          <t>h</t>
        </r>
        <r>
          <rPr>
            <sz val="8"/>
            <color indexed="81"/>
            <rFont val="Tahoma"/>
            <family val="2"/>
          </rPr>
          <t xml:space="preserve">h))    for </t>
        </r>
        <r>
          <rPr>
            <sz val="8"/>
            <color indexed="81"/>
            <rFont val="Symbol"/>
            <family val="1"/>
            <charset val="2"/>
          </rPr>
          <t>h</t>
        </r>
        <r>
          <rPr>
            <sz val="8"/>
            <color indexed="81"/>
            <rFont val="Tahoma"/>
            <family val="2"/>
          </rPr>
          <t xml:space="preserve">h &gt; 0
or: Rh = 1    for </t>
        </r>
        <r>
          <rPr>
            <sz val="8"/>
            <color indexed="81"/>
            <rFont val="Symbol"/>
            <family val="1"/>
            <charset val="2"/>
          </rPr>
          <t>h</t>
        </r>
        <r>
          <rPr>
            <sz val="8"/>
            <color indexed="81"/>
            <rFont val="Tahoma"/>
            <family val="2"/>
          </rPr>
          <t>h = 0</t>
        </r>
      </text>
    </comment>
    <comment ref="B143" authorId="2" shapeId="0" xr:uid="{C063BBE5-9571-4B83-8D28-922385FE91B2}">
      <text>
        <r>
          <rPr>
            <sz val="8"/>
            <color indexed="81"/>
            <rFont val="Symbol"/>
            <family val="1"/>
            <charset val="2"/>
          </rPr>
          <t>h</t>
        </r>
        <r>
          <rPr>
            <sz val="8"/>
            <color indexed="81"/>
            <rFont val="Tahoma"/>
            <family val="2"/>
          </rPr>
          <t>B =4.6*f*B/(V(bar,zbar))
  where: B = building width normal to wind
Note: the symbol, f, was subsituted
          for the original symbol, n1, in
          the equation above.</t>
        </r>
      </text>
    </comment>
    <comment ref="B144" authorId="2" shapeId="0" xr:uid="{5199D715-38A9-44CB-9CF4-AA34AB7DE406}">
      <text>
        <r>
          <rPr>
            <sz val="8"/>
            <color indexed="81"/>
            <rFont val="Tahoma"/>
            <family val="2"/>
          </rPr>
          <t>RB = (1/</t>
        </r>
        <r>
          <rPr>
            <sz val="8"/>
            <color indexed="81"/>
            <rFont val="Symbol"/>
            <family val="1"/>
            <charset val="2"/>
          </rPr>
          <t>h</t>
        </r>
        <r>
          <rPr>
            <sz val="8"/>
            <color indexed="81"/>
            <rFont val="Tahoma"/>
            <family val="2"/>
          </rPr>
          <t>B)-1/(2*</t>
        </r>
        <r>
          <rPr>
            <sz val="8"/>
            <color indexed="81"/>
            <rFont val="Symbol"/>
            <family val="1"/>
            <charset val="2"/>
          </rPr>
          <t>h</t>
        </r>
        <r>
          <rPr>
            <sz val="8"/>
            <color indexed="81"/>
            <rFont val="Tahoma"/>
            <family val="2"/>
          </rPr>
          <t>B^2)*(1-e^(-2*</t>
        </r>
        <r>
          <rPr>
            <sz val="8"/>
            <color indexed="81"/>
            <rFont val="Symbol"/>
            <family val="1"/>
            <charset val="2"/>
          </rPr>
          <t>h</t>
        </r>
        <r>
          <rPr>
            <sz val="8"/>
            <color indexed="81"/>
            <rFont val="Tahoma"/>
            <family val="2"/>
          </rPr>
          <t xml:space="preserve">B))    for </t>
        </r>
        <r>
          <rPr>
            <sz val="8"/>
            <color indexed="81"/>
            <rFont val="Symbol"/>
            <family val="1"/>
            <charset val="2"/>
          </rPr>
          <t>h</t>
        </r>
        <r>
          <rPr>
            <sz val="8"/>
            <color indexed="81"/>
            <rFont val="Tahoma"/>
            <family val="2"/>
          </rPr>
          <t>B &gt; 0
or: RB = 1    for</t>
        </r>
        <r>
          <rPr>
            <sz val="8"/>
            <color indexed="81"/>
            <rFont val="GreekS"/>
          </rPr>
          <t xml:space="preserve"> </t>
        </r>
        <r>
          <rPr>
            <sz val="8"/>
            <color indexed="81"/>
            <rFont val="Symbol"/>
            <family val="1"/>
            <charset val="2"/>
          </rPr>
          <t>h</t>
        </r>
        <r>
          <rPr>
            <sz val="8"/>
            <color indexed="81"/>
            <rFont val="Tahoma"/>
            <family val="2"/>
          </rPr>
          <t>B = 0</t>
        </r>
      </text>
    </comment>
    <comment ref="B145" authorId="2" shapeId="0" xr:uid="{A6AA6411-7E2B-4902-B1F4-3626F165FAB8}">
      <text>
        <r>
          <rPr>
            <sz val="8"/>
            <color indexed="81"/>
            <rFont val="Symbol"/>
            <family val="1"/>
            <charset val="2"/>
          </rPr>
          <t>h</t>
        </r>
        <r>
          <rPr>
            <sz val="8"/>
            <color indexed="81"/>
            <rFont val="Tahoma"/>
            <family val="2"/>
          </rPr>
          <t>L = 15.4*f*L/(V(bar,zbar))
  where: L = depth of building parallel to wind
Note: the symbol, f, was subsituted
          for the original symbol, n1, in
          the equation above.</t>
        </r>
      </text>
    </comment>
    <comment ref="B146" authorId="2" shapeId="0" xr:uid="{A60260C8-25DC-4E12-890B-9BC0AE019118}">
      <text>
        <r>
          <rPr>
            <sz val="8"/>
            <color indexed="81"/>
            <rFont val="Tahoma"/>
            <family val="2"/>
          </rPr>
          <t>RL = (1/</t>
        </r>
        <r>
          <rPr>
            <sz val="8"/>
            <color indexed="81"/>
            <rFont val="Symbol"/>
            <family val="1"/>
            <charset val="2"/>
          </rPr>
          <t>h</t>
        </r>
        <r>
          <rPr>
            <sz val="8"/>
            <color indexed="81"/>
            <rFont val="Tahoma"/>
            <family val="2"/>
          </rPr>
          <t>L)-1/(2*</t>
        </r>
        <r>
          <rPr>
            <sz val="8"/>
            <color indexed="81"/>
            <rFont val="Symbol"/>
            <family val="1"/>
            <charset val="2"/>
          </rPr>
          <t>h</t>
        </r>
        <r>
          <rPr>
            <sz val="8"/>
            <color indexed="81"/>
            <rFont val="Tahoma"/>
            <family val="2"/>
          </rPr>
          <t>L^2)*(1-e^(-2*</t>
        </r>
        <r>
          <rPr>
            <sz val="8"/>
            <color indexed="81"/>
            <rFont val="Symbol"/>
            <family val="1"/>
            <charset val="2"/>
          </rPr>
          <t>h</t>
        </r>
        <r>
          <rPr>
            <sz val="8"/>
            <color indexed="81"/>
            <rFont val="Tahoma"/>
            <family val="2"/>
          </rPr>
          <t>L))    for</t>
        </r>
        <r>
          <rPr>
            <sz val="8"/>
            <color indexed="81"/>
            <rFont val="GreekS"/>
          </rPr>
          <t xml:space="preserve"> </t>
        </r>
        <r>
          <rPr>
            <sz val="8"/>
            <color indexed="81"/>
            <rFont val="Symbol"/>
            <family val="1"/>
            <charset val="2"/>
          </rPr>
          <t>h</t>
        </r>
        <r>
          <rPr>
            <sz val="8"/>
            <color indexed="81"/>
            <rFont val="Tahoma"/>
            <family val="2"/>
          </rPr>
          <t xml:space="preserve">L &gt; 0
or: RL = 1    for </t>
        </r>
        <r>
          <rPr>
            <sz val="8"/>
            <color indexed="81"/>
            <rFont val="Symbol"/>
            <family val="1"/>
            <charset val="2"/>
          </rPr>
          <t>h</t>
        </r>
        <r>
          <rPr>
            <sz val="8"/>
            <color indexed="81"/>
            <rFont val="Tahoma"/>
            <family val="2"/>
          </rPr>
          <t>L = 0</t>
        </r>
      </text>
    </comment>
    <comment ref="B147" authorId="2" shapeId="0" xr:uid="{8CBA5761-9AF5-4074-AE4A-3A070F6C3F42}">
      <text>
        <r>
          <rPr>
            <sz val="8"/>
            <color indexed="81"/>
            <rFont val="Tahoma"/>
            <family val="2"/>
          </rPr>
          <t xml:space="preserve">The </t>
        </r>
        <r>
          <rPr>
            <b/>
            <sz val="8"/>
            <color indexed="81"/>
            <rFont val="Tahoma"/>
            <family val="2"/>
          </rPr>
          <t>Resonant Response Factor, R</t>
        </r>
        <r>
          <rPr>
            <sz val="8"/>
            <color indexed="81"/>
            <rFont val="Tahoma"/>
            <family val="2"/>
          </rPr>
          <t>.
R = ((1/</t>
        </r>
        <r>
          <rPr>
            <sz val="8"/>
            <color indexed="81"/>
            <rFont val="Symbol"/>
            <family val="1"/>
            <charset val="2"/>
          </rPr>
          <t>b</t>
        </r>
        <r>
          <rPr>
            <sz val="8"/>
            <color indexed="81"/>
            <rFont val="Tahoma"/>
            <family val="2"/>
          </rPr>
          <t>)*Rn*Rh*Rb*(0.53+0.47*Rd))^1/2</t>
        </r>
      </text>
    </comment>
    <comment ref="B148" authorId="2" shapeId="0" xr:uid="{450C0058-7F19-425E-A38C-77B40EA1CDE1}">
      <text>
        <r>
          <rPr>
            <sz val="8"/>
            <color indexed="81"/>
            <rFont val="Tahoma"/>
            <family val="2"/>
          </rPr>
          <t xml:space="preserve">The </t>
        </r>
        <r>
          <rPr>
            <b/>
            <sz val="8"/>
            <color indexed="81"/>
            <rFont val="Tahoma"/>
            <family val="2"/>
          </rPr>
          <t>Gust Effect Factor, Gf</t>
        </r>
        <r>
          <rPr>
            <sz val="8"/>
            <color indexed="81"/>
            <rFont val="Tahoma"/>
            <family val="2"/>
          </rPr>
          <t>, for a "flexible" building.
Gf = 0.925*(1+1.7*Iz(bar)*(gq^2*Q^2+gr^2*R^2)^(1/2))/(1+1.7*gv*Iz(bar))</t>
        </r>
      </text>
    </comment>
    <comment ref="B149" authorId="3" shapeId="0" xr:uid="{D4BD7841-99EB-4C35-921D-EB0B93C4BE99}">
      <text>
        <r>
          <rPr>
            <sz val="8"/>
            <color indexed="81"/>
            <rFont val="Tahoma"/>
            <family val="2"/>
          </rPr>
          <t>For a rigid building, the smaller of the value of either 0.85 or the value as calculated in item #2 is used for the gust effect factor, 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 </author>
    <author>4892</author>
    <author>Bob Dalpiaz</author>
    <author>ATOMANOV</author>
  </authors>
  <commentList>
    <comment ref="AA1" authorId="0" shapeId="0" xr:uid="{CB1944E9-A31D-42BE-B29F-FFC5125D8305}">
      <text>
        <r>
          <rPr>
            <sz val="8"/>
            <color indexed="81"/>
            <rFont val="Tahoma"/>
            <family val="2"/>
          </rPr>
          <t xml:space="preserve">            "</t>
        </r>
        <r>
          <rPr>
            <b/>
            <sz val="8"/>
            <color indexed="81"/>
            <rFont val="Tahoma"/>
            <family val="2"/>
          </rPr>
          <t>ASCE705W.xls</t>
        </r>
        <r>
          <rPr>
            <sz val="8"/>
            <color indexed="81"/>
            <rFont val="Tahoma"/>
            <family val="2"/>
          </rPr>
          <t>"
written by: Alex Tomanovich, P.E.</t>
        </r>
      </text>
    </comment>
    <comment ref="B9" authorId="1" shapeId="0" xr:uid="{9ACF89C4-828F-4419-87C2-716868D5B2BF}">
      <text>
        <r>
          <rPr>
            <sz val="8"/>
            <color indexed="81"/>
            <rFont val="Tahoma"/>
            <family val="2"/>
          </rPr>
          <t xml:space="preserve">Actual values of </t>
        </r>
        <r>
          <rPr>
            <b/>
            <sz val="8"/>
            <color indexed="81"/>
            <rFont val="Tahoma"/>
            <family val="2"/>
          </rPr>
          <t>B</t>
        </r>
        <r>
          <rPr>
            <sz val="8"/>
            <color indexed="81"/>
            <rFont val="Tahoma"/>
            <family val="2"/>
          </rPr>
          <t xml:space="preserve"> and </t>
        </r>
        <r>
          <rPr>
            <b/>
            <sz val="8"/>
            <color indexed="81"/>
            <rFont val="Tahoma"/>
            <family val="2"/>
          </rPr>
          <t>L</t>
        </r>
        <r>
          <rPr>
            <sz val="8"/>
            <color indexed="81"/>
            <rFont val="Tahoma"/>
            <family val="2"/>
          </rPr>
          <t xml:space="preserve"> depend on the </t>
        </r>
        <r>
          <rPr>
            <b/>
            <sz val="8"/>
            <color indexed="81"/>
            <rFont val="Tahoma"/>
            <family val="2"/>
          </rPr>
          <t>Wind</t>
        </r>
        <r>
          <rPr>
            <sz val="8"/>
            <color indexed="81"/>
            <rFont val="Tahoma"/>
            <family val="2"/>
          </rPr>
          <t xml:space="preserve"> </t>
        </r>
        <r>
          <rPr>
            <b/>
            <sz val="8"/>
            <color indexed="81"/>
            <rFont val="Tahoma"/>
            <family val="2"/>
          </rPr>
          <t>Direction</t>
        </r>
        <r>
          <rPr>
            <sz val="8"/>
            <color indexed="81"/>
            <rFont val="Tahoma"/>
            <family val="2"/>
          </rPr>
          <t xml:space="preserve">, and are defined as follows:
</t>
        </r>
        <r>
          <rPr>
            <b/>
            <sz val="8"/>
            <color indexed="81"/>
            <rFont val="Tahoma"/>
            <family val="2"/>
          </rPr>
          <t>B</t>
        </r>
        <r>
          <rPr>
            <sz val="8"/>
            <color indexed="81"/>
            <rFont val="Tahoma"/>
            <family val="2"/>
          </rPr>
          <t xml:space="preserve"> = horizontal dimension of building measured
       normal to wind direction.
</t>
        </r>
        <r>
          <rPr>
            <b/>
            <sz val="8"/>
            <color indexed="81"/>
            <rFont val="Tahoma"/>
            <family val="2"/>
          </rPr>
          <t>L</t>
        </r>
        <r>
          <rPr>
            <sz val="8"/>
            <color indexed="81"/>
            <rFont val="Tahoma"/>
            <family val="2"/>
          </rPr>
          <t xml:space="preserve"> = horizontal dimension of building measured
       parallel to wind direction.
Note: Plan view at right depicts case where Wind
          Direction is Normal to building ridge.</t>
        </r>
      </text>
    </comment>
    <comment ref="B29" authorId="2" shapeId="0" xr:uid="{84CFC643-97DB-4F72-90F9-29D1392BA3F2}">
      <text>
        <r>
          <rPr>
            <sz val="8"/>
            <color indexed="81"/>
            <rFont val="Tahoma"/>
            <family val="2"/>
          </rPr>
          <t xml:space="preserve">The building </t>
        </r>
        <r>
          <rPr>
            <b/>
            <sz val="8"/>
            <color indexed="81"/>
            <rFont val="Tahoma"/>
            <family val="2"/>
          </rPr>
          <t>Mean Roof Height, h</t>
        </r>
        <r>
          <rPr>
            <sz val="8"/>
            <color indexed="81"/>
            <rFont val="Tahoma"/>
            <family val="2"/>
          </rPr>
          <t>, is determined as follows:
  For buildings with roof angle &gt; 10 degrees:  h = (hr+he)/2
  For buildings with roof angle &lt;= 10 degrees:  h = he</t>
        </r>
      </text>
    </comment>
    <comment ref="G29" authorId="3" shapeId="0" xr:uid="{FDD486FE-4A6A-4609-BD95-C650D6D0C599}">
      <text>
        <r>
          <rPr>
            <sz val="8"/>
            <color indexed="81"/>
            <rFont val="Tahoma"/>
            <family val="2"/>
          </rPr>
          <t>Note: 'L' is the horizontal dimension of the building measured parallel to the wind direction.</t>
        </r>
      </text>
    </comment>
    <comment ref="G30" authorId="3" shapeId="0" xr:uid="{877353D7-3891-42D5-9F96-BFB65243AD3A}">
      <text>
        <r>
          <rPr>
            <sz val="8"/>
            <color indexed="81"/>
            <rFont val="Tahoma"/>
            <family val="2"/>
          </rPr>
          <t>Note: 'B' is the horizontal dimension of the building measured normal to the wind direction.</t>
        </r>
      </text>
    </comment>
    <comment ref="B46" authorId="0" shapeId="0" xr:uid="{6BC464FD-B377-4211-BA09-6239150DA750}">
      <text>
        <r>
          <rPr>
            <b/>
            <sz val="8"/>
            <color indexed="81"/>
            <rFont val="Tahoma"/>
            <family val="2"/>
          </rPr>
          <t xml:space="preserve"> </t>
        </r>
        <r>
          <rPr>
            <sz val="8"/>
            <color indexed="81"/>
            <rFont val="Tahoma"/>
            <family val="2"/>
          </rPr>
          <t>If the structure is "rigid", then the minimum of either the calculated value of 'G' for "rigid" structures or 0.85 is used.  If the structure is "flexible" then the calculated value of 'G' is used.
(See calculations on page 3.)</t>
        </r>
      </text>
    </comment>
    <comment ref="D47" authorId="3" shapeId="0" xr:uid="{033600BE-8767-421C-95CC-089B1BE0BCDB}">
      <text>
        <r>
          <rPr>
            <sz val="8"/>
            <color indexed="81"/>
            <rFont val="Tahoma"/>
            <family val="2"/>
          </rPr>
          <t xml:space="preserve">Per Code </t>
        </r>
        <r>
          <rPr>
            <b/>
            <sz val="8"/>
            <color indexed="81"/>
            <rFont val="Tahoma"/>
            <family val="2"/>
          </rPr>
          <t>Section 6.1.4.1</t>
        </r>
        <r>
          <rPr>
            <sz val="8"/>
            <color indexed="81"/>
            <rFont val="Tahoma"/>
            <family val="2"/>
          </rPr>
          <t xml:space="preserve">, the minimum wind load to be used in the design of the Main Wind-Force Resisting System shall not be less than </t>
        </r>
        <r>
          <rPr>
            <b/>
            <sz val="8"/>
            <color indexed="81"/>
            <rFont val="Tahoma"/>
            <family val="2"/>
          </rPr>
          <t>10 psf</t>
        </r>
        <r>
          <rPr>
            <sz val="8"/>
            <color indexed="81"/>
            <rFont val="Tahoma"/>
            <family val="2"/>
          </rPr>
          <t>.</t>
        </r>
      </text>
    </comment>
    <comment ref="G53" authorId="3" shapeId="0" xr:uid="{6AFB32ED-ED54-493C-BAC2-D3B4E0F1FD5D}">
      <text>
        <r>
          <rPr>
            <sz val="8"/>
            <color indexed="81"/>
            <rFont val="Tahoma"/>
            <family val="2"/>
          </rPr>
          <t xml:space="preserve">Per Code </t>
        </r>
        <r>
          <rPr>
            <b/>
            <sz val="8"/>
            <color indexed="81"/>
            <rFont val="Tahoma"/>
            <family val="2"/>
          </rPr>
          <t>Section 6.1.4.1</t>
        </r>
        <r>
          <rPr>
            <sz val="8"/>
            <color indexed="81"/>
            <rFont val="Tahoma"/>
            <family val="2"/>
          </rPr>
          <t xml:space="preserve">, the minimum wind load to be used in the design of the MWFRS shall not be less than </t>
        </r>
        <r>
          <rPr>
            <b/>
            <sz val="8"/>
            <color indexed="81"/>
            <rFont val="Tahoma"/>
            <family val="2"/>
          </rPr>
          <t>10 psf</t>
        </r>
        <r>
          <rPr>
            <sz val="8"/>
            <color indexed="81"/>
            <rFont val="Tahoma"/>
            <family val="2"/>
          </rPr>
          <t xml:space="preserve"> multiplied by the area of the building or structure projected onto a vertical plane normal to the assumed wind direction.</t>
        </r>
      </text>
    </comment>
    <comment ref="B105" authorId="2" shapeId="0" xr:uid="{48FDD489-3250-4C59-B807-6EFB0E46FAA8}">
      <text>
        <r>
          <rPr>
            <sz val="8"/>
            <color indexed="81"/>
            <rFont val="Tahoma"/>
            <family val="2"/>
          </rPr>
          <t>Buildings which have a natural frequency, f &gt;= 1 Hz are considered "rigid".
Buildings which have a natural frequency, f &lt; 1 Hz are considered "flexible".</t>
        </r>
      </text>
    </comment>
    <comment ref="C107" authorId="2" shapeId="0" xr:uid="{2DC89017-765F-429A-AF08-4AD6DF71A01B}">
      <text>
        <r>
          <rPr>
            <sz val="8"/>
            <color indexed="81"/>
            <rFont val="Tahoma"/>
            <family val="2"/>
          </rPr>
          <t xml:space="preserve">The </t>
        </r>
        <r>
          <rPr>
            <b/>
            <sz val="8"/>
            <color indexed="81"/>
            <rFont val="Tahoma"/>
            <family val="2"/>
          </rPr>
          <t>Gust Effect Factor, G</t>
        </r>
        <r>
          <rPr>
            <sz val="8"/>
            <color indexed="81"/>
            <rFont val="Tahoma"/>
            <family val="2"/>
          </rPr>
          <t xml:space="preserve">, for rigid buildings may be simply taken as </t>
        </r>
        <r>
          <rPr>
            <b/>
            <sz val="8"/>
            <color indexed="81"/>
            <rFont val="Tahoma"/>
            <family val="2"/>
          </rPr>
          <t>0.85</t>
        </r>
        <r>
          <rPr>
            <sz val="8"/>
            <color indexed="81"/>
            <rFont val="Tahoma"/>
            <family val="2"/>
          </rPr>
          <t xml:space="preserve"> for all building exposure conditions.
</t>
        </r>
        <r>
          <rPr>
            <u/>
            <sz val="8"/>
            <color indexed="81"/>
            <rFont val="Tahoma"/>
            <family val="2"/>
          </rPr>
          <t xml:space="preserve">
</t>
        </r>
        <r>
          <rPr>
            <sz val="8"/>
            <color indexed="81"/>
            <rFont val="Tahoma"/>
            <family val="2"/>
          </rPr>
          <t xml:space="preserve">
</t>
        </r>
      </text>
    </comment>
    <comment ref="B121" authorId="2" shapeId="0" xr:uid="{59DDE522-8B9E-40B0-AC29-286EA7256F7D}">
      <text>
        <r>
          <rPr>
            <sz val="8"/>
            <color indexed="81"/>
            <rFont val="Tahoma"/>
            <family val="2"/>
          </rPr>
          <t xml:space="preserve">The </t>
        </r>
        <r>
          <rPr>
            <b/>
            <sz val="8"/>
            <color indexed="81"/>
            <rFont val="Tahoma"/>
            <family val="2"/>
          </rPr>
          <t>Equivalent Height of the Building, z(bar)</t>
        </r>
        <r>
          <rPr>
            <sz val="8"/>
            <color indexed="81"/>
            <rFont val="Tahoma"/>
            <family val="2"/>
          </rPr>
          <t xml:space="preserve">.
z(bar) = 0.6*h  but not less than z(min) from Table 6-2.
  where: h = building mean roof height </t>
        </r>
      </text>
    </comment>
    <comment ref="B122" authorId="2" shapeId="0" xr:uid="{BF576F43-EF03-403E-B76C-7C880B02E44B}">
      <text>
        <r>
          <rPr>
            <sz val="8"/>
            <color indexed="81"/>
            <rFont val="Tahoma"/>
            <family val="2"/>
          </rPr>
          <t xml:space="preserve">The </t>
        </r>
        <r>
          <rPr>
            <b/>
            <sz val="8"/>
            <color indexed="81"/>
            <rFont val="Tahoma"/>
            <family val="2"/>
          </rPr>
          <t>Intensity of Turbulence</t>
        </r>
        <r>
          <rPr>
            <sz val="8"/>
            <color indexed="81"/>
            <rFont val="Tahoma"/>
            <family val="2"/>
          </rPr>
          <t xml:space="preserve"> at height = z(bar).
Iz(bar) = c*(33/z(bar))^(1/6)</t>
        </r>
      </text>
    </comment>
    <comment ref="B123" authorId="2" shapeId="0" xr:uid="{AEA999BF-86EE-4DA6-AA4E-789B448C63F2}">
      <text>
        <r>
          <rPr>
            <sz val="8"/>
            <color indexed="81"/>
            <rFont val="Tahoma"/>
            <family val="2"/>
          </rPr>
          <t xml:space="preserve">The </t>
        </r>
        <r>
          <rPr>
            <b/>
            <sz val="8"/>
            <color indexed="81"/>
            <rFont val="Tahoma"/>
            <family val="2"/>
          </rPr>
          <t>Integral Length Scale of Turbulence</t>
        </r>
        <r>
          <rPr>
            <sz val="8"/>
            <color indexed="81"/>
            <rFont val="Tahoma"/>
            <family val="2"/>
          </rPr>
          <t xml:space="preserve"> at the equivalent height.  
Lz(bar) = </t>
        </r>
        <r>
          <rPr>
            <sz val="8"/>
            <color indexed="81"/>
            <rFont val="Italic"/>
          </rPr>
          <t>l</t>
        </r>
        <r>
          <rPr>
            <sz val="8"/>
            <color indexed="81"/>
            <rFont val="Tahoma"/>
            <family val="2"/>
          </rPr>
          <t>*(z(bar)/33)^(</t>
        </r>
        <r>
          <rPr>
            <sz val="8"/>
            <color indexed="81"/>
            <rFont val="Symbol"/>
            <family val="1"/>
            <charset val="2"/>
          </rPr>
          <t xml:space="preserve">e </t>
        </r>
        <r>
          <rPr>
            <sz val="8"/>
            <color indexed="81"/>
            <rFont val="Tahoma"/>
            <family val="2"/>
          </rPr>
          <t>(bar))</t>
        </r>
      </text>
    </comment>
    <comment ref="B124" authorId="3" shapeId="0" xr:uid="{9E1AF92A-5F8D-4EC1-9EE7-935371CA2496}">
      <text>
        <r>
          <rPr>
            <sz val="8"/>
            <color indexed="81"/>
            <rFont val="Tahoma"/>
            <family val="2"/>
          </rPr>
          <t>Peak Factor for backround response:
gq = 3.4  (per Sect. 6.5.8.1)</t>
        </r>
      </text>
    </comment>
    <comment ref="B125" authorId="3" shapeId="0" xr:uid="{7976A5B3-AE46-47DD-9BF4-D9334B544989}">
      <text>
        <r>
          <rPr>
            <sz val="8"/>
            <color indexed="81"/>
            <rFont val="Tahoma"/>
            <family val="2"/>
          </rPr>
          <t>Peak Factor for wind response:
gv = 3.4  (per Sect. 6.5.8.1)</t>
        </r>
      </text>
    </comment>
    <comment ref="B126" authorId="3" shapeId="0" xr:uid="{2EB0AD10-5CE7-4847-8C66-AFAE656F9F40}">
      <text>
        <r>
          <rPr>
            <sz val="8"/>
            <color indexed="81"/>
            <rFont val="Tahoma"/>
            <family val="2"/>
          </rPr>
          <t>Peak Factor for resonant response:
gr = (2*(LN(3600*f)))^(1/2)+0.577/(2*LN(3600*f))^(1/2)
Note: the symbol, f, was subsituted for the original symbol,
          n1, in the equation above.</t>
        </r>
      </text>
    </comment>
    <comment ref="B127" authorId="2" shapeId="0" xr:uid="{B26E66D8-68E1-41F2-9FA4-BC4271475F95}">
      <text>
        <r>
          <rPr>
            <sz val="8"/>
            <color indexed="81"/>
            <rFont val="Tahoma"/>
            <family val="2"/>
          </rPr>
          <t xml:space="preserve">The </t>
        </r>
        <r>
          <rPr>
            <b/>
            <sz val="8"/>
            <color indexed="81"/>
            <rFont val="Tahoma"/>
            <family val="2"/>
          </rPr>
          <t>Backround Response Factor, Q</t>
        </r>
        <r>
          <rPr>
            <sz val="8"/>
            <color indexed="81"/>
            <rFont val="Tahoma"/>
            <family val="2"/>
          </rPr>
          <t>.
Q = (1/(1+0.63*((B+h)/Lz(bar))^0.63))^(1/2)
   where: B = building width normal to wind
               h = building mean roof height</t>
        </r>
      </text>
    </comment>
    <comment ref="B130" authorId="2" shapeId="0" xr:uid="{886C45F5-AE71-4144-97FD-88FA6DA061C2}">
      <text>
        <r>
          <rPr>
            <sz val="8"/>
            <color indexed="81"/>
            <rFont val="Tahoma"/>
            <family val="2"/>
          </rPr>
          <t xml:space="preserve">The </t>
        </r>
        <r>
          <rPr>
            <b/>
            <sz val="8"/>
            <color indexed="81"/>
            <rFont val="Tahoma"/>
            <family val="2"/>
          </rPr>
          <t>Gust Effect Factor, G</t>
        </r>
        <r>
          <rPr>
            <sz val="8"/>
            <color indexed="81"/>
            <rFont val="Tahoma"/>
            <family val="2"/>
          </rPr>
          <t>, for a "rigid" structure.
G = 0.925*((1+1.7*gq*Iz(bar)*Q)/(1+1.7*gv*Iz(bar)))
       where: gq = 3.4  and gv = 3.4</t>
        </r>
      </text>
    </comment>
    <comment ref="C132" authorId="2" shapeId="0" xr:uid="{9C44C2DF-160C-402B-B91B-F1C7EBE2CEDB}">
      <text>
        <r>
          <rPr>
            <sz val="8"/>
            <color indexed="81"/>
            <rFont val="Tahoma"/>
            <family val="2"/>
          </rPr>
          <t xml:space="preserve">The </t>
        </r>
        <r>
          <rPr>
            <b/>
            <sz val="8"/>
            <color indexed="81"/>
            <rFont val="Tahoma"/>
            <family val="2"/>
          </rPr>
          <t>Gust Effect Factor, Gf</t>
        </r>
        <r>
          <rPr>
            <sz val="8"/>
            <color indexed="81"/>
            <rFont val="Tahoma"/>
            <family val="2"/>
          </rPr>
          <t>, for a  flexible building as calculated from Eqn 6-8.  Note:  calculations below are applicable only for "flexible" buildings which have a natural frequency, f &lt; 1 hz.</t>
        </r>
      </text>
    </comment>
    <comment ref="B137" authorId="2" shapeId="0" xr:uid="{580C03EB-A35D-4E10-911A-0F47FA64A27A}">
      <text>
        <r>
          <rPr>
            <sz val="8"/>
            <color indexed="81"/>
            <rFont val="Tahoma"/>
            <family val="2"/>
          </rPr>
          <t xml:space="preserve">The </t>
        </r>
        <r>
          <rPr>
            <b/>
            <sz val="8"/>
            <color indexed="81"/>
            <rFont val="Tahoma"/>
            <family val="2"/>
          </rPr>
          <t>Basic Wind Speed, V</t>
        </r>
        <r>
          <rPr>
            <sz val="8"/>
            <color indexed="81"/>
            <rFont val="Tahoma"/>
            <family val="2"/>
          </rPr>
          <t>, converted from units of mph to ft/sec.
V(fps) = V(mph)*(88/60)</t>
        </r>
      </text>
    </comment>
    <comment ref="B138" authorId="2" shapeId="0" xr:uid="{F863987D-3029-49BB-AD04-7BBBB1705856}">
      <text>
        <r>
          <rPr>
            <sz val="8"/>
            <color indexed="81"/>
            <rFont val="Tahoma"/>
            <family val="2"/>
          </rPr>
          <t>The</t>
        </r>
        <r>
          <rPr>
            <b/>
            <sz val="8"/>
            <color indexed="81"/>
            <rFont val="Tahoma"/>
            <family val="2"/>
          </rPr>
          <t xml:space="preserve"> Mean Hourly Wind Speed, V(bar,zbar)</t>
        </r>
        <r>
          <rPr>
            <sz val="8"/>
            <color indexed="81"/>
            <rFont val="Tahoma"/>
            <family val="2"/>
          </rPr>
          <t>.
V(bar,zbar) = b(bar)*(z(bar)/33)^(</t>
        </r>
        <r>
          <rPr>
            <sz val="8"/>
            <color indexed="81"/>
            <rFont val="Symbol"/>
            <family val="1"/>
            <charset val="2"/>
          </rPr>
          <t>a</t>
        </r>
        <r>
          <rPr>
            <sz val="8"/>
            <color indexed="81"/>
            <rFont val="Tahoma"/>
            <family val="2"/>
          </rPr>
          <t>(bar))*V*(88/60)</t>
        </r>
      </text>
    </comment>
    <comment ref="B139" authorId="2" shapeId="0" xr:uid="{D240C961-2BA0-49D6-BC90-8031CAAA223C}">
      <text>
        <r>
          <rPr>
            <sz val="8"/>
            <color indexed="81"/>
            <rFont val="Tahoma"/>
            <family val="2"/>
          </rPr>
          <t>N1 = f*Lz(bar)/(V(bar,zbar))
Note: the symbol, f, was subsituted for
          the original symbol, n1, in the 
          equation above.</t>
        </r>
      </text>
    </comment>
    <comment ref="B140" authorId="2" shapeId="0" xr:uid="{6E2C5675-4EAD-499E-B843-92076035873F}">
      <text>
        <r>
          <rPr>
            <sz val="8"/>
            <color indexed="81"/>
            <rFont val="Tahoma"/>
            <family val="2"/>
          </rPr>
          <t>Rn = 7.47*N1/(1+10.3*N1)^(5/3)</t>
        </r>
      </text>
    </comment>
    <comment ref="B141" authorId="2" shapeId="0" xr:uid="{57A4D7C2-FB4B-4DF5-8639-EC6DED40E50A}">
      <text>
        <r>
          <rPr>
            <sz val="8"/>
            <color indexed="81"/>
            <rFont val="Symbol"/>
            <family val="1"/>
            <charset val="2"/>
          </rPr>
          <t>h</t>
        </r>
        <r>
          <rPr>
            <sz val="8"/>
            <color indexed="81"/>
            <rFont val="Tahoma"/>
            <family val="2"/>
          </rPr>
          <t>h = 4.6*f*h/(V(bar,zbar))
Note: the symbol, f, was subsituted
          for the original symbol, n1, in
          the equation above.</t>
        </r>
      </text>
    </comment>
    <comment ref="B142" authorId="2" shapeId="0" xr:uid="{542048CA-36D5-413A-9B4C-7D8AF32E2D79}">
      <text>
        <r>
          <rPr>
            <sz val="8"/>
            <color indexed="81"/>
            <rFont val="Tahoma"/>
            <family val="2"/>
          </rPr>
          <t>Rh = (1/</t>
        </r>
        <r>
          <rPr>
            <sz val="8"/>
            <color indexed="81"/>
            <rFont val="Symbol"/>
            <family val="1"/>
            <charset val="2"/>
          </rPr>
          <t>h</t>
        </r>
        <r>
          <rPr>
            <sz val="8"/>
            <color indexed="81"/>
            <rFont val="Tahoma"/>
            <family val="2"/>
          </rPr>
          <t>h)-1/(2*</t>
        </r>
        <r>
          <rPr>
            <sz val="8"/>
            <color indexed="81"/>
            <rFont val="Symbol"/>
            <family val="1"/>
            <charset val="2"/>
          </rPr>
          <t>h</t>
        </r>
        <r>
          <rPr>
            <sz val="8"/>
            <color indexed="81"/>
            <rFont val="Tahoma"/>
            <family val="2"/>
          </rPr>
          <t>h^2)*(1-e^(-2*</t>
        </r>
        <r>
          <rPr>
            <sz val="8"/>
            <color indexed="81"/>
            <rFont val="Symbol"/>
            <family val="1"/>
            <charset val="2"/>
          </rPr>
          <t>h</t>
        </r>
        <r>
          <rPr>
            <sz val="8"/>
            <color indexed="81"/>
            <rFont val="Tahoma"/>
            <family val="2"/>
          </rPr>
          <t xml:space="preserve">h))    for </t>
        </r>
        <r>
          <rPr>
            <sz val="8"/>
            <color indexed="81"/>
            <rFont val="Symbol"/>
            <family val="1"/>
            <charset val="2"/>
          </rPr>
          <t>h</t>
        </r>
        <r>
          <rPr>
            <sz val="8"/>
            <color indexed="81"/>
            <rFont val="Tahoma"/>
            <family val="2"/>
          </rPr>
          <t xml:space="preserve">h &gt; 0
or: Rh = 1    for </t>
        </r>
        <r>
          <rPr>
            <sz val="8"/>
            <color indexed="81"/>
            <rFont val="Symbol"/>
            <family val="1"/>
            <charset val="2"/>
          </rPr>
          <t>h</t>
        </r>
        <r>
          <rPr>
            <sz val="8"/>
            <color indexed="81"/>
            <rFont val="Tahoma"/>
            <family val="2"/>
          </rPr>
          <t>h = 0</t>
        </r>
      </text>
    </comment>
    <comment ref="B143" authorId="2" shapeId="0" xr:uid="{36065D06-C3E0-4FF5-AEA1-D4CC31C9ADCA}">
      <text>
        <r>
          <rPr>
            <sz val="8"/>
            <color indexed="81"/>
            <rFont val="Symbol"/>
            <family val="1"/>
            <charset val="2"/>
          </rPr>
          <t>h</t>
        </r>
        <r>
          <rPr>
            <sz val="8"/>
            <color indexed="81"/>
            <rFont val="Tahoma"/>
            <family val="2"/>
          </rPr>
          <t>B =4.6*f*B/(V(bar,zbar))
  where: B = building width normal to wind
Note: the symbol, f, was subsituted
          for the original symbol, n1, in
          the equation above.</t>
        </r>
      </text>
    </comment>
    <comment ref="B144" authorId="2" shapeId="0" xr:uid="{EC22B6CD-E697-4AFE-8415-9EC816C7E944}">
      <text>
        <r>
          <rPr>
            <sz val="8"/>
            <color indexed="81"/>
            <rFont val="Tahoma"/>
            <family val="2"/>
          </rPr>
          <t>RB = (1/</t>
        </r>
        <r>
          <rPr>
            <sz val="8"/>
            <color indexed="81"/>
            <rFont val="Symbol"/>
            <family val="1"/>
            <charset val="2"/>
          </rPr>
          <t>h</t>
        </r>
        <r>
          <rPr>
            <sz val="8"/>
            <color indexed="81"/>
            <rFont val="Tahoma"/>
            <family val="2"/>
          </rPr>
          <t>B)-1/(2*</t>
        </r>
        <r>
          <rPr>
            <sz val="8"/>
            <color indexed="81"/>
            <rFont val="Symbol"/>
            <family val="1"/>
            <charset val="2"/>
          </rPr>
          <t>h</t>
        </r>
        <r>
          <rPr>
            <sz val="8"/>
            <color indexed="81"/>
            <rFont val="Tahoma"/>
            <family val="2"/>
          </rPr>
          <t>B^2)*(1-e^(-2*</t>
        </r>
        <r>
          <rPr>
            <sz val="8"/>
            <color indexed="81"/>
            <rFont val="Symbol"/>
            <family val="1"/>
            <charset val="2"/>
          </rPr>
          <t>h</t>
        </r>
        <r>
          <rPr>
            <sz val="8"/>
            <color indexed="81"/>
            <rFont val="Tahoma"/>
            <family val="2"/>
          </rPr>
          <t xml:space="preserve">B))    for </t>
        </r>
        <r>
          <rPr>
            <sz val="8"/>
            <color indexed="81"/>
            <rFont val="Symbol"/>
            <family val="1"/>
            <charset val="2"/>
          </rPr>
          <t>h</t>
        </r>
        <r>
          <rPr>
            <sz val="8"/>
            <color indexed="81"/>
            <rFont val="Tahoma"/>
            <family val="2"/>
          </rPr>
          <t>B &gt; 0
or: RB = 1    for</t>
        </r>
        <r>
          <rPr>
            <sz val="8"/>
            <color indexed="81"/>
            <rFont val="GreekS"/>
          </rPr>
          <t xml:space="preserve"> </t>
        </r>
        <r>
          <rPr>
            <sz val="8"/>
            <color indexed="81"/>
            <rFont val="Symbol"/>
            <family val="1"/>
            <charset val="2"/>
          </rPr>
          <t>h</t>
        </r>
        <r>
          <rPr>
            <sz val="8"/>
            <color indexed="81"/>
            <rFont val="Tahoma"/>
            <family val="2"/>
          </rPr>
          <t>B = 0</t>
        </r>
      </text>
    </comment>
    <comment ref="B145" authorId="2" shapeId="0" xr:uid="{B7FD960C-8675-4C7B-88AE-23EAD662E865}">
      <text>
        <r>
          <rPr>
            <sz val="8"/>
            <color indexed="81"/>
            <rFont val="Symbol"/>
            <family val="1"/>
            <charset val="2"/>
          </rPr>
          <t>h</t>
        </r>
        <r>
          <rPr>
            <sz val="8"/>
            <color indexed="81"/>
            <rFont val="Tahoma"/>
            <family val="2"/>
          </rPr>
          <t>L = 15.4*f*L/(V(bar,zbar))
  where: L = depth of building parallel to wind
Note: the symbol, f, was subsituted
          for the original symbol, n1, in
          the equation above.</t>
        </r>
      </text>
    </comment>
    <comment ref="B146" authorId="2" shapeId="0" xr:uid="{2C80B561-1564-4CDD-B305-543309D3A4C4}">
      <text>
        <r>
          <rPr>
            <sz val="8"/>
            <color indexed="81"/>
            <rFont val="Tahoma"/>
            <family val="2"/>
          </rPr>
          <t>RL = (1/</t>
        </r>
        <r>
          <rPr>
            <sz val="8"/>
            <color indexed="81"/>
            <rFont val="Symbol"/>
            <family val="1"/>
            <charset val="2"/>
          </rPr>
          <t>h</t>
        </r>
        <r>
          <rPr>
            <sz val="8"/>
            <color indexed="81"/>
            <rFont val="Tahoma"/>
            <family val="2"/>
          </rPr>
          <t>L)-1/(2*</t>
        </r>
        <r>
          <rPr>
            <sz val="8"/>
            <color indexed="81"/>
            <rFont val="Symbol"/>
            <family val="1"/>
            <charset val="2"/>
          </rPr>
          <t>h</t>
        </r>
        <r>
          <rPr>
            <sz val="8"/>
            <color indexed="81"/>
            <rFont val="Tahoma"/>
            <family val="2"/>
          </rPr>
          <t>L^2)*(1-e^(-2*</t>
        </r>
        <r>
          <rPr>
            <sz val="8"/>
            <color indexed="81"/>
            <rFont val="Symbol"/>
            <family val="1"/>
            <charset val="2"/>
          </rPr>
          <t>h</t>
        </r>
        <r>
          <rPr>
            <sz val="8"/>
            <color indexed="81"/>
            <rFont val="Tahoma"/>
            <family val="2"/>
          </rPr>
          <t>L))    for</t>
        </r>
        <r>
          <rPr>
            <sz val="8"/>
            <color indexed="81"/>
            <rFont val="GreekS"/>
          </rPr>
          <t xml:space="preserve"> </t>
        </r>
        <r>
          <rPr>
            <sz val="8"/>
            <color indexed="81"/>
            <rFont val="Symbol"/>
            <family val="1"/>
            <charset val="2"/>
          </rPr>
          <t>h</t>
        </r>
        <r>
          <rPr>
            <sz val="8"/>
            <color indexed="81"/>
            <rFont val="Tahoma"/>
            <family val="2"/>
          </rPr>
          <t xml:space="preserve">L &gt; 0
or: RL = 1    for </t>
        </r>
        <r>
          <rPr>
            <sz val="8"/>
            <color indexed="81"/>
            <rFont val="Symbol"/>
            <family val="1"/>
            <charset val="2"/>
          </rPr>
          <t>h</t>
        </r>
        <r>
          <rPr>
            <sz val="8"/>
            <color indexed="81"/>
            <rFont val="Tahoma"/>
            <family val="2"/>
          </rPr>
          <t>L = 0</t>
        </r>
      </text>
    </comment>
    <comment ref="B147" authorId="2" shapeId="0" xr:uid="{41219FB5-FEC6-4210-8729-A509F391F56B}">
      <text>
        <r>
          <rPr>
            <sz val="8"/>
            <color indexed="81"/>
            <rFont val="Tahoma"/>
            <family val="2"/>
          </rPr>
          <t xml:space="preserve">The </t>
        </r>
        <r>
          <rPr>
            <b/>
            <sz val="8"/>
            <color indexed="81"/>
            <rFont val="Tahoma"/>
            <family val="2"/>
          </rPr>
          <t>Resonant Response Factor, R</t>
        </r>
        <r>
          <rPr>
            <sz val="8"/>
            <color indexed="81"/>
            <rFont val="Tahoma"/>
            <family val="2"/>
          </rPr>
          <t>.
R = ((1/</t>
        </r>
        <r>
          <rPr>
            <sz val="8"/>
            <color indexed="81"/>
            <rFont val="Symbol"/>
            <family val="1"/>
            <charset val="2"/>
          </rPr>
          <t>b</t>
        </r>
        <r>
          <rPr>
            <sz val="8"/>
            <color indexed="81"/>
            <rFont val="Tahoma"/>
            <family val="2"/>
          </rPr>
          <t>)*Rn*Rh*Rb*(0.53+0.47*Rd))^1/2</t>
        </r>
      </text>
    </comment>
    <comment ref="B148" authorId="2" shapeId="0" xr:uid="{A4E44DB3-684C-4D91-8743-02036DB78BC7}">
      <text>
        <r>
          <rPr>
            <sz val="8"/>
            <color indexed="81"/>
            <rFont val="Tahoma"/>
            <family val="2"/>
          </rPr>
          <t xml:space="preserve">The </t>
        </r>
        <r>
          <rPr>
            <b/>
            <sz val="8"/>
            <color indexed="81"/>
            <rFont val="Tahoma"/>
            <family val="2"/>
          </rPr>
          <t>Gust Effect Factor, Gf</t>
        </r>
        <r>
          <rPr>
            <sz val="8"/>
            <color indexed="81"/>
            <rFont val="Tahoma"/>
            <family val="2"/>
          </rPr>
          <t>, for a "flexible" building.
Gf = 0.925*(1+1.7*Iz(bar)*(gq^2*Q^2+gr^2*R^2)^(1/2))/(1+1.7*gv*Iz(bar))</t>
        </r>
      </text>
    </comment>
    <comment ref="B149" authorId="3" shapeId="0" xr:uid="{225B4326-F95D-48BF-9FEB-5BDABA2A5157}">
      <text>
        <r>
          <rPr>
            <sz val="8"/>
            <color indexed="81"/>
            <rFont val="Tahoma"/>
            <family val="2"/>
          </rPr>
          <t>For a rigid building, the smaller of the value of either 0.85 or the value as calculated in item #2 is used for the gust effect factor, 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O'Neal, Inc.</author>
    <author>Bob Dalpiaz</author>
    <author>Alex Tomanovich</author>
    <author>ATOMANOV</author>
  </authors>
  <commentList>
    <comment ref="CW1" authorId="0" shapeId="0" xr:uid="{CD8D5127-92B3-4808-BAFF-54CF2984EEF3}">
      <text>
        <r>
          <rPr>
            <sz val="8"/>
            <color indexed="81"/>
            <rFont val="Tahoma"/>
            <family val="2"/>
          </rPr>
          <t xml:space="preserve">            "</t>
        </r>
        <r>
          <rPr>
            <b/>
            <sz val="8"/>
            <color indexed="81"/>
            <rFont val="Tahoma"/>
            <family val="2"/>
          </rPr>
          <t>ASCE705W.xls</t>
        </r>
        <r>
          <rPr>
            <sz val="8"/>
            <color indexed="81"/>
            <rFont val="Tahoma"/>
            <family val="2"/>
          </rPr>
          <t>"
written by: Alex Tomanovich, P.E.</t>
        </r>
      </text>
    </comment>
    <comment ref="J3" authorId="1" shapeId="0" xr:uid="{7BA7EF3B-C4E1-4894-A814-AE2CFDE2A91B}">
      <text>
        <r>
          <rPr>
            <sz val="8"/>
            <color indexed="81"/>
            <rFont val="Tahoma"/>
            <family val="2"/>
          </rPr>
          <t xml:space="preserve">For </t>
        </r>
        <r>
          <rPr>
            <b/>
            <sz val="8"/>
            <color indexed="81"/>
            <rFont val="Tahoma"/>
            <family val="2"/>
          </rPr>
          <t>Method 1: Simplified Procedure</t>
        </r>
        <r>
          <rPr>
            <sz val="8"/>
            <color indexed="81"/>
            <rFont val="Tahoma"/>
            <family val="2"/>
          </rPr>
          <t xml:space="preserve"> (Sect. 6.4) to be used for an enclosed low-rise building to determine the design wind loads, all of the following nine conditions must be met:
1.  The building is a simple diaphragm building, in which wind loads
      are transmitted through floor and roof diaphragms to the
      vertical Main Wind-Force Resisting System (MWFRS).
2.  The building is a low-rise building where mean roof height, 
      h &lt;= 60 ft., and h &lt;= least horizontal dimension, L or B.
3.  The building is enclosed and conforms to wind-borne debris
      provisions.
4.  The building is a regular shaped building, having no unusual
      geometrical irregularity in spatial form.
5.  The building is not classified as a flexible building so it is 
      considered "rigid".
6.  The building does not have response characteristics making it
      subject to across-wind loading, vortex shedding, etc.
7.  The building has an approximately symmetrical cross section in
      each direction with either a flat roof, or gable roof with 
      </t>
        </r>
        <r>
          <rPr>
            <sz val="8"/>
            <color indexed="81"/>
            <rFont val="Symbol"/>
            <family val="1"/>
            <charset val="2"/>
          </rPr>
          <t>q</t>
        </r>
        <r>
          <rPr>
            <sz val="8"/>
            <color indexed="81"/>
            <rFont val="Tahoma"/>
            <family val="2"/>
          </rPr>
          <t xml:space="preserve"> &lt;= 45 degrees.
8.  The building is exempted from torsional load cases or torsional 
      load cases do not control any of the MWFRSs of the building.</t>
        </r>
      </text>
    </comment>
    <comment ref="C8" authorId="2" shapeId="0" xr:uid="{11C4B7E6-A40B-41E7-AA6E-2657ED634F3C}">
      <text>
        <r>
          <rPr>
            <sz val="8"/>
            <color indexed="81"/>
            <rFont val="Tahoma"/>
            <family val="2"/>
          </rPr>
          <t xml:space="preserve">The </t>
        </r>
        <r>
          <rPr>
            <b/>
            <sz val="8"/>
            <color indexed="81"/>
            <rFont val="Tahoma"/>
            <family val="2"/>
          </rPr>
          <t>Basic Design Wind Speed, V (mph)</t>
        </r>
        <r>
          <rPr>
            <sz val="8"/>
            <color indexed="81"/>
            <rFont val="Tahoma"/>
            <family val="2"/>
          </rPr>
          <t>, corresponds to a 3-second gust speed at 33' above ground in Exposure Category "C" and is associated with an annual probability of 0.02 of being equalled or exceeded (50-year mean recurrence interval).</t>
        </r>
        <r>
          <rPr>
            <sz val="8"/>
            <color indexed="81"/>
            <rFont val="Tahoma"/>
            <family val="2"/>
          </rPr>
          <t xml:space="preserve">
</t>
        </r>
        <r>
          <rPr>
            <b/>
            <sz val="8"/>
            <color indexed="81"/>
            <rFont val="Tahoma"/>
            <family val="2"/>
          </rPr>
          <t>For Basic Wind Speed Map (Fig. 6-1) see 'Wind Map' worksheet of this workbook.</t>
        </r>
        <r>
          <rPr>
            <sz val="8"/>
            <color indexed="81"/>
            <rFont val="Tahoma"/>
            <family val="2"/>
          </rPr>
          <t xml:space="preserve">
</t>
        </r>
      </text>
    </comment>
    <comment ref="C9" authorId="3" shapeId="0" xr:uid="{FEFAED8A-0119-4036-BA16-760B70BBF97F}">
      <text>
        <r>
          <rPr>
            <b/>
            <sz val="8"/>
            <color indexed="81"/>
            <rFont val="Tahoma"/>
            <family val="2"/>
          </rPr>
          <t xml:space="preserve">                                                                          TABLE 1-1</t>
        </r>
        <r>
          <rPr>
            <b/>
            <u/>
            <sz val="8"/>
            <color indexed="81"/>
            <rFont val="Tahoma"/>
            <family val="2"/>
          </rPr>
          <t xml:space="preserve">
Occupancy Category of Buildings and Other Structures for Flood, Wind, Snow, Earthquake, and Ice Loads</t>
        </r>
        <r>
          <rPr>
            <sz val="8"/>
            <color indexed="81"/>
            <rFont val="Tahoma"/>
            <family val="2"/>
          </rPr>
          <t xml:space="preserve">                                                                                                      
</t>
        </r>
        <r>
          <rPr>
            <b/>
            <u/>
            <sz val="8"/>
            <color indexed="81"/>
            <rFont val="Tahoma"/>
            <family val="2"/>
          </rPr>
          <t xml:space="preserve">Nature of Occupancy                                                                                                                    Occupancy Category </t>
        </r>
        <r>
          <rPr>
            <sz val="8"/>
            <color indexed="81"/>
            <rFont val="Tahoma"/>
            <family val="2"/>
          </rPr>
          <t xml:space="preserve">
Buildings and structures that represent a low hazard to human life in the event of failure including,                  I
  but not limited to:
     - Agriculture facilities                                                                                                             
     - Certain temporary facilities
</t>
        </r>
        <r>
          <rPr>
            <u/>
            <sz val="8"/>
            <color indexed="81"/>
            <rFont val="Tahoma"/>
            <family val="2"/>
          </rPr>
          <t xml:space="preserve">     - Minor storage facilities                                                                                                                                              </t>
        </r>
        <r>
          <rPr>
            <sz val="8"/>
            <color indexed="81"/>
            <rFont val="Tahoma"/>
            <family val="2"/>
          </rPr>
          <t xml:space="preserve">       
</t>
        </r>
        <r>
          <rPr>
            <u/>
            <sz val="8"/>
            <color indexed="81"/>
            <rFont val="Tahoma"/>
            <family val="2"/>
          </rPr>
          <t xml:space="preserve">Buildings and other structures except those listed in Categories I, III and IV                                                      II        </t>
        </r>
        <r>
          <rPr>
            <sz val="8"/>
            <color indexed="81"/>
            <rFont val="Tahoma"/>
            <family val="2"/>
          </rPr>
          <t xml:space="preserve">
Buildings and other structures that represent a substantial hazard to human life in the event of                       III      
  failure including, but not limited to:
     - Buildings and other structures where more than 300 people congregate in one area
     - Buildings and other structures with day-care facilities with capacity greater than 150
     - Elementary or secondary school facilities with capacity greater than 250
     - Colleges &amp; adult education facilities with a capacity greater than 500
     - Health care facilities with a capacity greater than 50 resident patients but not having surgery
         or emergency treatment facilities
     - Jails and detention facilities
Buildings and other structures, not includes in Occupancy Category IV, with potential to cause 
  substantial economic impact and/or mass disruption of day-to-day civilian life in event of failure, 
  including, but not limited to:
     - Power generating stations, water treatment facilities, sewage treatment facilities, and
         telecommunication centers
     - Buildings and structures not included in Category IV containing sufficient quantities of toxic,
</t>
        </r>
        <r>
          <rPr>
            <u/>
            <sz val="8"/>
            <color indexed="81"/>
            <rFont val="Tahoma"/>
            <family val="2"/>
          </rPr>
          <t xml:space="preserve">         explosive, or other hazardous materials dangerous to the public if released                                                        </t>
        </r>
        <r>
          <rPr>
            <sz val="8"/>
            <color indexed="81"/>
            <rFont val="Tahoma"/>
            <family val="2"/>
          </rPr>
          <t xml:space="preserve">
Buildings and other structures designated as essential facilities including, but not limited to:                              IV
     - Hospitals and health care facilities having surgery or emergency treatment facilities
     - Fire, rescue and police stations and emergency vehicle garages
     - Designated earthquake, hurricane or other emergency shelters
     - Designated emergency preparedness, communication, and operation centers and other
         facilities required for emergency response 
     - Power-generating stations and other public utility facilities required in an emergency
     - Ancillary structures required foroperation of Category IV structures during an emergency
     - Aviation control towers, air traffic control centers and emergency aircraft hangars
     - Water storage facilities and pump structures required to maintain water pressure for fire suppression
     - Buildings and other structures having critical national defense functions
     - Buildings and structures containing extremelyhazardous materials where quantity of material 
         exceeds a threshhold quantity established by authority having jurisdiction </t>
        </r>
      </text>
    </comment>
    <comment ref="C10" authorId="2" shapeId="0" xr:uid="{F3A49F46-F4F6-4967-BAEF-A0B62AC08C68}">
      <text>
        <r>
          <rPr>
            <b/>
            <sz val="8"/>
            <color indexed="81"/>
            <rFont val="Tahoma"/>
            <family val="2"/>
          </rPr>
          <t>Surface Roughness Categories</t>
        </r>
        <r>
          <rPr>
            <sz val="8"/>
            <color indexed="81"/>
            <rFont val="Tahoma"/>
            <family val="2"/>
          </rPr>
          <t xml:space="preserve"> for the purpose of assigning </t>
        </r>
        <r>
          <rPr>
            <b/>
            <sz val="8"/>
            <color indexed="81"/>
            <rFont val="Tahoma"/>
            <family val="2"/>
          </rPr>
          <t>Exposure</t>
        </r>
        <r>
          <rPr>
            <sz val="8"/>
            <color indexed="81"/>
            <rFont val="Tahoma"/>
            <family val="2"/>
          </rPr>
          <t xml:space="preserve"> </t>
        </r>
        <r>
          <rPr>
            <b/>
            <sz val="8"/>
            <color indexed="81"/>
            <rFont val="Tahoma"/>
            <family val="2"/>
          </rPr>
          <t>Category</t>
        </r>
        <r>
          <rPr>
            <sz val="8"/>
            <color indexed="81"/>
            <rFont val="Tahoma"/>
            <family val="2"/>
          </rPr>
          <t xml:space="preserve"> are defined as follows:
</t>
        </r>
        <r>
          <rPr>
            <b/>
            <sz val="8"/>
            <color indexed="81"/>
            <rFont val="Tahoma"/>
            <family val="2"/>
          </rPr>
          <t xml:space="preserve">Surface Roughness "B":
</t>
        </r>
        <r>
          <rPr>
            <sz val="8"/>
            <color indexed="81"/>
            <rFont val="Tahoma"/>
            <family val="2"/>
          </rPr>
          <t xml:space="preserve">Urban and suburban areas, wooded areas or other terrain with numerous closely spaced obstructions having the size of single family dwellings or larger.
</t>
        </r>
        <r>
          <rPr>
            <b/>
            <sz val="8"/>
            <color indexed="81"/>
            <rFont val="Tahoma"/>
            <family val="2"/>
          </rPr>
          <t xml:space="preserve">Surface Roughness "C":
</t>
        </r>
        <r>
          <rPr>
            <sz val="8"/>
            <color indexed="81"/>
            <rFont val="Tahoma"/>
            <family val="2"/>
          </rPr>
          <t>Open terrain with scattered obstructions having heights generally &lt; 30 ft.  This category includes flat open country, grass lands, and all water surfaces in hurricane prone regions.</t>
        </r>
        <r>
          <rPr>
            <sz val="8"/>
            <color indexed="81"/>
            <rFont val="Tahoma"/>
            <family val="2"/>
          </rPr>
          <t xml:space="preserve">
</t>
        </r>
        <r>
          <rPr>
            <b/>
            <sz val="8"/>
            <color indexed="81"/>
            <rFont val="Tahoma"/>
            <family val="2"/>
          </rPr>
          <t>Surface Roughness "D":</t>
        </r>
        <r>
          <rPr>
            <sz val="8"/>
            <color indexed="81"/>
            <rFont val="Tahoma"/>
            <family val="2"/>
          </rPr>
          <t xml:space="preserve">
Flat, unobstructed areas and water surfaces outside hurricane prone regions.  This category includes smooth mud flats, salt flats, and unbroken ice.
</t>
        </r>
        <r>
          <rPr>
            <b/>
            <sz val="8"/>
            <color indexed="81"/>
            <rFont val="Tahoma"/>
            <family val="2"/>
          </rPr>
          <t>Exposure Categories</t>
        </r>
        <r>
          <rPr>
            <sz val="8"/>
            <color indexed="81"/>
            <rFont val="Tahoma"/>
            <family val="2"/>
          </rPr>
          <t xml:space="preserve"> are defined as follows:
</t>
        </r>
        <r>
          <rPr>
            <b/>
            <sz val="8"/>
            <color indexed="81"/>
            <rFont val="Tahoma"/>
            <family val="2"/>
          </rPr>
          <t xml:space="preserve">Exposure "B":
</t>
        </r>
        <r>
          <rPr>
            <sz val="8"/>
            <color indexed="81"/>
            <rFont val="Tahoma"/>
            <family val="2"/>
          </rPr>
          <t xml:space="preserve">Exposure B shall apply where the ground surface roughness condition, as defined by Surface Roughness B, prevails in the upwind direction for a distance of at least 2600 ft. or 20 times the building height, whichever is greater.
   Exception: For buildings whose mean roof height &lt;= 30 ft., the upwind 
   distance may be reduced to 1500 ft.
</t>
        </r>
        <r>
          <rPr>
            <b/>
            <sz val="8"/>
            <color indexed="81"/>
            <rFont val="Tahoma"/>
            <family val="2"/>
          </rPr>
          <t xml:space="preserve">Exposure "C":
</t>
        </r>
        <r>
          <rPr>
            <sz val="8"/>
            <color indexed="81"/>
            <rFont val="Tahoma"/>
            <family val="2"/>
          </rPr>
          <t xml:space="preserve">Exposure C shall apply for all cases where exposures B and D do not apply.
</t>
        </r>
        <r>
          <rPr>
            <b/>
            <sz val="8"/>
            <color indexed="81"/>
            <rFont val="Tahoma"/>
            <family val="2"/>
          </rPr>
          <t>Exposure "D":</t>
        </r>
        <r>
          <rPr>
            <sz val="8"/>
            <color indexed="81"/>
            <rFont val="Tahoma"/>
            <family val="2"/>
          </rPr>
          <t xml:space="preserve">
Exposure D shall apply where the ground surface roughness, as defined by Surface Roughness D, prevails in the upwind diection for a distance &gt;= 5,000 ft. or 20 times the building height, whichever is greater.  Exposure D shall extend into downwind areas of Surface Roughness B or C for a distance of 600 ft. or 20 times the height of the building, whichever is greater.</t>
        </r>
      </text>
    </comment>
    <comment ref="C12" authorId="0" shapeId="0" xr:uid="{96489277-CA7E-490F-8D06-8F87269BFB3E}">
      <text>
        <r>
          <rPr>
            <sz val="8"/>
            <color indexed="81"/>
            <rFont val="Tahoma"/>
            <family val="2"/>
          </rPr>
          <t>The eave height, 'he', is the distance from the ground surface adjacent to the building to the roof eave line at a particular wall.  
If the height of the eave varies along the wall, the average height shall be used.</t>
        </r>
      </text>
    </comment>
    <comment ref="C15" authorId="2" shapeId="0" xr:uid="{5AF6BD2F-1DFB-42CE-92B3-C6BAF7FF5C07}">
      <text>
        <r>
          <rPr>
            <sz val="8"/>
            <color indexed="81"/>
            <rFont val="Tahoma"/>
            <family val="2"/>
          </rPr>
          <t>This program assumes that a Gable roof is symmetrical, as the ridge line is assumed in the center of the building width.
For flat roofs (roof angle = 0 degrees), either Gable or Monoslope may be used.</t>
        </r>
      </text>
    </comment>
    <comment ref="C16" authorId="2" shapeId="0" xr:uid="{445A2F1B-AA43-485F-A7F0-6F727E72C4E4}">
      <text>
        <r>
          <rPr>
            <sz val="8"/>
            <color indexed="81"/>
            <rFont val="Tahoma"/>
            <family val="2"/>
          </rPr>
          <t>The</t>
        </r>
        <r>
          <rPr>
            <b/>
            <sz val="8"/>
            <color indexed="81"/>
            <rFont val="Tahoma"/>
            <family val="2"/>
          </rPr>
          <t xml:space="preserve"> Topographic Factor, Kzt</t>
        </r>
        <r>
          <rPr>
            <sz val="8"/>
            <color indexed="81"/>
            <rFont val="Tahoma"/>
            <family val="2"/>
          </rPr>
          <t>, accounts for effect of wind speed-up over isolated hills and escarpments (</t>
        </r>
        <r>
          <rPr>
            <b/>
            <sz val="8"/>
            <color indexed="81"/>
            <rFont val="Tahoma"/>
            <family val="2"/>
          </rPr>
          <t>Sect. 6.5.7</t>
        </r>
        <r>
          <rPr>
            <sz val="8"/>
            <color indexed="81"/>
            <rFont val="Tahoma"/>
            <family val="2"/>
          </rPr>
          <t xml:space="preserve"> and </t>
        </r>
        <r>
          <rPr>
            <b/>
            <sz val="8"/>
            <color indexed="81"/>
            <rFont val="Tahoma"/>
            <family val="2"/>
          </rPr>
          <t>Fig. 6-4</t>
        </r>
        <r>
          <rPr>
            <sz val="8"/>
            <color indexed="81"/>
            <rFont val="Tahoma"/>
            <family val="2"/>
          </rPr>
          <t xml:space="preserve">).
</t>
        </r>
        <r>
          <rPr>
            <b/>
            <sz val="8"/>
            <color indexed="81"/>
            <rFont val="Tahoma"/>
            <family val="2"/>
          </rPr>
          <t>Kzt = (1+K1*K2*K3)^2</t>
        </r>
        <r>
          <rPr>
            <sz val="8"/>
            <color indexed="81"/>
            <rFont val="Tahoma"/>
            <family val="2"/>
          </rPr>
          <t xml:space="preserve">   (Eq. 6-3), where:
H   = height of hill or escarpment relative to the upwind terrain, in feet.
Lh  = Distance upwind of crest to where the difference in ground elevation is    
         half the height of hill or escarpment, in feet.
K1 = factor to account for shape of topographic feature and maximum   
        speed-up effect.
K2 = factor to account for reduction in speed-up with distance upwind or     
        downwind of crest.
K3 = factor to account for reduction in speed-up with height above local terrain.
x = distance (upwind or downwind) from the crest to the building site, in feet.
z = height above local ground level, in feet.
</t>
        </r>
        <r>
          <rPr>
            <b/>
            <sz val="8"/>
            <color indexed="81"/>
            <rFont val="Tahoma"/>
            <family val="2"/>
          </rPr>
          <t>The effect of wind speed-up shall not be required to be considered (Kzt = 1.0) when H/Lh &lt; 0.2, or H &lt; 15' for Exposures 'C' and 'D', or H &lt; 60' for Exposure 'B'.</t>
        </r>
      </text>
    </comment>
    <comment ref="C18" authorId="2" shapeId="0" xr:uid="{9920BAF7-DDC1-4994-BEFD-A5521924E568}">
      <text>
        <r>
          <rPr>
            <sz val="8"/>
            <color indexed="81"/>
            <rFont val="Tahoma"/>
            <family val="2"/>
          </rPr>
          <t xml:space="preserve">The </t>
        </r>
        <r>
          <rPr>
            <b/>
            <sz val="8"/>
            <color indexed="81"/>
            <rFont val="Tahoma"/>
            <family val="2"/>
          </rPr>
          <t>Effective Area</t>
        </r>
        <r>
          <rPr>
            <sz val="8"/>
            <color indexed="81"/>
            <rFont val="Tahoma"/>
            <family val="2"/>
          </rPr>
          <t>, for a component or cladding panel equals the span length times the effective width that need not be less than 1/3 of the span length; however, for a fastener it is the area tributary to an individual fastener.
  Note:  Major structural components supporting tributary areas &gt; 700
             sq ft shall be permitted to be designed using the provisions for
             main wind-force resisting systems (MWFRS).</t>
        </r>
      </text>
    </comment>
    <comment ref="C20" authorId="2" shapeId="0" xr:uid="{31D78193-9BCA-4DC7-8695-6E30D515BFBB}">
      <text>
        <r>
          <rPr>
            <sz val="8"/>
            <color indexed="81"/>
            <rFont val="Tahoma"/>
            <family val="2"/>
          </rPr>
          <t xml:space="preserve">The </t>
        </r>
        <r>
          <rPr>
            <b/>
            <sz val="8"/>
            <color indexed="81"/>
            <rFont val="Tahoma"/>
            <family val="2"/>
          </rPr>
          <t>Effective Area</t>
        </r>
        <r>
          <rPr>
            <sz val="8"/>
            <color indexed="81"/>
            <rFont val="Tahoma"/>
            <family val="2"/>
          </rPr>
          <t>, for a component or cladding panel equals the span length times the effective width that need not be less than 1/3 of the span length; however, for a fastener it is the area tributary to an individual fastener.
  Note:  Major structural components supporting tributary areas &gt; 700
             sq ft shall be permitted to be designed using the provisions for
             main wind-force resisting systems (MWFRS).</t>
        </r>
      </text>
    </comment>
    <comment ref="C21" authorId="2" shapeId="0" xr:uid="{DE680A39-BDE4-4D96-9908-50540B5E96A4}">
      <text>
        <r>
          <rPr>
            <sz val="8"/>
            <color indexed="81"/>
            <rFont val="Tahoma"/>
            <family val="2"/>
          </rPr>
          <t xml:space="preserve">The </t>
        </r>
        <r>
          <rPr>
            <b/>
            <sz val="8"/>
            <color indexed="81"/>
            <rFont val="Tahoma"/>
            <family val="2"/>
          </rPr>
          <t>Effective Area</t>
        </r>
        <r>
          <rPr>
            <sz val="8"/>
            <color indexed="81"/>
            <rFont val="Tahoma"/>
            <family val="2"/>
          </rPr>
          <t>, for a component or cladding panel equals the span length times the effective width that need not be less than 1/3 of the span length; however, for a fastener it is the area tributary to an individual fastener.
  Note:  Major structural components supporting tributary areas &gt; 700
             sq ft shall be permitted to be designed using the provisions for
             main wind-force resisting systems (MWFRS).</t>
        </r>
      </text>
    </comment>
    <comment ref="D27" authorId="2" shapeId="0" xr:uid="{254977A3-F17A-419C-BB1D-C757BF355D6B}">
      <text>
        <r>
          <rPr>
            <sz val="8"/>
            <color indexed="81"/>
            <rFont val="Tahoma"/>
            <family val="2"/>
          </rPr>
          <t>For buildings with roof angle &lt;= 10 degrees:
   h = he (per Sect. 6-3).</t>
        </r>
      </text>
    </comment>
    <comment ref="D28" authorId="4" shapeId="0" xr:uid="{B13F0D54-A059-4D03-9978-467A918823A5}">
      <text>
        <r>
          <rPr>
            <b/>
            <u/>
            <sz val="8"/>
            <color indexed="81"/>
            <rFont val="Tahoma"/>
            <family val="2"/>
          </rPr>
          <t xml:space="preserve">                  Adustment Factor                 
  for Building Height and Exposure, </t>
        </r>
        <r>
          <rPr>
            <b/>
            <u/>
            <sz val="8"/>
            <color indexed="81"/>
            <rFont val="Symbol"/>
            <family val="1"/>
            <charset val="2"/>
          </rPr>
          <t>l</t>
        </r>
        <r>
          <rPr>
            <b/>
            <u/>
            <sz val="8"/>
            <color indexed="81"/>
            <rFont val="Tahoma"/>
            <family val="2"/>
          </rPr>
          <t xml:space="preserve">  </t>
        </r>
        <r>
          <rPr>
            <b/>
            <u/>
            <sz val="8"/>
            <color indexed="81"/>
            <rFont val="Symbol"/>
            <family val="1"/>
            <charset val="2"/>
          </rPr>
          <t xml:space="preserve">
</t>
        </r>
        <r>
          <rPr>
            <sz val="8"/>
            <color indexed="81"/>
            <rFont val="Tahoma"/>
            <family val="2"/>
          </rPr>
          <t xml:space="preserve">Mean Roof                       Exposure
</t>
        </r>
        <r>
          <rPr>
            <u/>
            <sz val="8"/>
            <color indexed="81"/>
            <rFont val="Tahoma"/>
            <family val="2"/>
          </rPr>
          <t xml:space="preserve">Height (ft.)            B               C               D  </t>
        </r>
        <r>
          <rPr>
            <sz val="8"/>
            <color indexed="81"/>
            <rFont val="Tahoma"/>
            <family val="2"/>
          </rPr>
          <t xml:space="preserve">
     15                  1.00          1.21         1.47
     20                  1.00          1.29         1.55
     25                  1.00          1.35         1.61
     30                  1.00          1.40         1.66
     35                  1.05          1.45         1.70
     40                  1.09          1.49         1.74
     45                  1.12          1.53         1.78
     50                  1.16          1.56         1.81
     55                  1.19          1.59         1.84
     60                  1.22          1.62         1.87</t>
        </r>
      </text>
    </comment>
    <comment ref="D29" authorId="2" shapeId="0" xr:uid="{077C6B2C-B716-4B27-B0C0-999AC9DAF33C}">
      <text>
        <r>
          <rPr>
            <b/>
            <sz val="8"/>
            <color indexed="81"/>
            <rFont val="Tahoma"/>
            <family val="2"/>
          </rPr>
          <t xml:space="preserve">                             </t>
        </r>
        <r>
          <rPr>
            <b/>
            <u/>
            <sz val="8"/>
            <color indexed="81"/>
            <rFont val="Tahoma"/>
            <family val="2"/>
          </rPr>
          <t>Importance Factor, I (Table 6-1):</t>
        </r>
        <r>
          <rPr>
            <b/>
            <sz val="8"/>
            <color indexed="81"/>
            <rFont val="Tahoma"/>
            <family val="2"/>
          </rPr>
          <t xml:space="preserve">
</t>
        </r>
        <r>
          <rPr>
            <sz val="8"/>
            <color indexed="81"/>
            <rFont val="Tahoma"/>
            <family val="2"/>
          </rPr>
          <t xml:space="preserve">
                       Non-Hurricane Prone Regions           Hurricane Prone Regions
Category        and Hurricane Prone Regions                 with V &gt; 100 mph
</t>
        </r>
        <r>
          <rPr>
            <u/>
            <sz val="8"/>
            <color indexed="81"/>
            <rFont val="Tahoma"/>
            <family val="2"/>
          </rPr>
          <t xml:space="preserve">                     with V = 85-100 mph and Alaska                                                </t>
        </r>
        <r>
          <rPr>
            <sz val="8"/>
            <color indexed="81"/>
            <rFont val="Tahoma"/>
            <family val="2"/>
          </rPr>
          <t xml:space="preserve">    </t>
        </r>
        <r>
          <rPr>
            <sz val="8"/>
            <color indexed="81"/>
            <rFont val="Tahoma"/>
            <family val="2"/>
          </rPr>
          <t xml:space="preserve">
      I                                    0.87                                               0.77
     II                                   1.00                                               1.00
     III                                  1.15                                               1.15
     IV                                  1.15                                                1.15
Note: in the U.S. and its territories hurricane prone regions are defined as:
  1. U.S. Atlantic Ocean and Gulf of Mexico coasts where the basic wind 
      speed is &gt; 90 mph.
  2. Hawaii, Puerto Rico, Guam, Virgin Islands, and American Samoa.</t>
        </r>
      </text>
    </comment>
    <comment ref="D30" authorId="4" shapeId="0" xr:uid="{F24C0ADC-8DA8-4652-B5C4-C33778F89B6F}">
      <text>
        <r>
          <rPr>
            <sz val="8"/>
            <color indexed="81"/>
            <rFont val="Tahoma"/>
            <family val="2"/>
          </rPr>
          <t xml:space="preserve">Width </t>
        </r>
        <r>
          <rPr>
            <b/>
            <sz val="8"/>
            <color indexed="81"/>
            <rFont val="Tahoma"/>
            <family val="2"/>
          </rPr>
          <t>'a'</t>
        </r>
        <r>
          <rPr>
            <sz val="8"/>
            <color indexed="81"/>
            <rFont val="Tahoma"/>
            <family val="2"/>
          </rPr>
          <t xml:space="preserve"> is equal to 10% of least horizontal dimension or 0.4*h, whichever is smaller, but not less than either 4% of least horizontal dimension or 3'.</t>
        </r>
      </text>
    </comment>
    <comment ref="H32" authorId="0" shapeId="0" xr:uid="{1D038546-BD78-4B0A-85C8-00732367F2A9}">
      <text>
        <r>
          <rPr>
            <b/>
            <sz val="8"/>
            <color indexed="81"/>
            <rFont val="Tahoma"/>
            <family val="2"/>
          </rPr>
          <t xml:space="preserve"> </t>
        </r>
        <r>
          <rPr>
            <sz val="8"/>
            <color indexed="81"/>
            <rFont val="Tahoma"/>
            <family val="2"/>
          </rPr>
          <t>ps =</t>
        </r>
        <r>
          <rPr>
            <sz val="8"/>
            <color indexed="81"/>
            <rFont val="Symbol"/>
            <family val="1"/>
            <charset val="2"/>
          </rPr>
          <t xml:space="preserve"> l</t>
        </r>
        <r>
          <rPr>
            <sz val="8"/>
            <color indexed="81"/>
            <rFont val="Tahoma"/>
            <family val="2"/>
          </rPr>
          <t>*Kzt*I*ps30
  where: ps30 is taken from Figure 6-2</t>
        </r>
      </text>
    </comment>
    <comment ref="H33" authorId="2" shapeId="0" xr:uid="{062FECE9-70E2-4729-B5C3-F4BC02D0E16C}">
      <text>
        <r>
          <rPr>
            <sz val="8"/>
            <color indexed="81"/>
            <rFont val="Tahoma"/>
            <family val="2"/>
          </rPr>
          <t xml:space="preserve">Both load cases 1 and 2 are to be checked for roof angle, 25 degrees &lt; </t>
        </r>
        <r>
          <rPr>
            <sz val="8"/>
            <color indexed="81"/>
            <rFont val="Symbol"/>
            <family val="1"/>
            <charset val="2"/>
          </rPr>
          <t>q</t>
        </r>
        <r>
          <rPr>
            <sz val="8"/>
            <color indexed="81"/>
            <rFont val="Tahoma"/>
            <family val="2"/>
          </rPr>
          <t xml:space="preserve"> &lt;= 45 degrees.</t>
        </r>
      </text>
    </comment>
    <comment ref="D44" authorId="2" shapeId="0" xr:uid="{B2B90E1C-75C7-4B06-B5CB-BDAD91F682AA}">
      <text>
        <r>
          <rPr>
            <sz val="8"/>
            <color indexed="81"/>
            <rFont val="Tahoma"/>
            <family val="2"/>
          </rPr>
          <t xml:space="preserve">For wind in longitudinal direction,
use </t>
        </r>
        <r>
          <rPr>
            <sz val="8"/>
            <color indexed="81"/>
            <rFont val="Symbol"/>
            <family val="1"/>
            <charset val="2"/>
          </rPr>
          <t>q</t>
        </r>
        <r>
          <rPr>
            <sz val="8"/>
            <color indexed="81"/>
            <rFont val="Tahoma"/>
            <family val="2"/>
          </rPr>
          <t xml:space="preserve"> = 0 degrees (assumed).</t>
        </r>
      </text>
    </comment>
    <comment ref="D45" authorId="2" shapeId="0" xr:uid="{A472861B-8C9F-47CA-BBC7-E0B6B612F729}">
      <text>
        <r>
          <rPr>
            <sz val="8"/>
            <color indexed="81"/>
            <rFont val="Tahoma"/>
            <family val="2"/>
          </rPr>
          <t>For wind in longitudinal direction,
   h = he+(hr-he)/2</t>
        </r>
      </text>
    </comment>
    <comment ref="D46" authorId="4" shapeId="0" xr:uid="{B4D2A5A4-541E-44C3-911D-1993FB6DDC66}">
      <text>
        <r>
          <rPr>
            <b/>
            <u/>
            <sz val="8"/>
            <color indexed="81"/>
            <rFont val="Tahoma"/>
            <family val="2"/>
          </rPr>
          <t xml:space="preserve">                  Adustment Factor                 
  for Building Height and Exposure, </t>
        </r>
        <r>
          <rPr>
            <b/>
            <u/>
            <sz val="8"/>
            <color indexed="81"/>
            <rFont val="Symbol"/>
            <family val="1"/>
            <charset val="2"/>
          </rPr>
          <t>l</t>
        </r>
        <r>
          <rPr>
            <b/>
            <u/>
            <sz val="8"/>
            <color indexed="81"/>
            <rFont val="Tahoma"/>
            <family val="2"/>
          </rPr>
          <t xml:space="preserve">  </t>
        </r>
        <r>
          <rPr>
            <b/>
            <u/>
            <sz val="8"/>
            <color indexed="81"/>
            <rFont val="Symbol"/>
            <family val="1"/>
            <charset val="2"/>
          </rPr>
          <t xml:space="preserve">
</t>
        </r>
        <r>
          <rPr>
            <sz val="8"/>
            <color indexed="81"/>
            <rFont val="Tahoma"/>
            <family val="2"/>
          </rPr>
          <t xml:space="preserve">Mean Roof                       Exposure
</t>
        </r>
        <r>
          <rPr>
            <u/>
            <sz val="8"/>
            <color indexed="81"/>
            <rFont val="Tahoma"/>
            <family val="2"/>
          </rPr>
          <t xml:space="preserve">Height (ft.)            B               C               D  </t>
        </r>
        <r>
          <rPr>
            <sz val="8"/>
            <color indexed="81"/>
            <rFont val="Tahoma"/>
            <family val="2"/>
          </rPr>
          <t xml:space="preserve">
     15                  1.00          1.21         1.47
     20                  1.00          1.29         1.55
     25                  1.00          1.35         1.61
     30                  1.00          1.40         1.66
     35                  1.05          1.45         1.70
     40                  1.09          1.49         1.74
     45                  1.12          1.53         1.78
     50                  1.16          1.56         1.81
     55                  1.19          1.59         1.84
     60                  1.22          1.62         1.87</t>
        </r>
      </text>
    </comment>
    <comment ref="H48" authorId="0" shapeId="0" xr:uid="{2BFC65A2-80BD-41E2-939A-2C0B0B9D6B6C}">
      <text>
        <r>
          <rPr>
            <b/>
            <sz val="8"/>
            <color indexed="81"/>
            <rFont val="Tahoma"/>
            <family val="2"/>
          </rPr>
          <t xml:space="preserve"> </t>
        </r>
        <r>
          <rPr>
            <sz val="8"/>
            <color indexed="81"/>
            <rFont val="Tahoma"/>
            <family val="2"/>
          </rPr>
          <t>ps =</t>
        </r>
        <r>
          <rPr>
            <sz val="8"/>
            <color indexed="81"/>
            <rFont val="Symbol"/>
            <family val="1"/>
            <charset val="2"/>
          </rPr>
          <t xml:space="preserve"> l</t>
        </r>
        <r>
          <rPr>
            <sz val="8"/>
            <color indexed="81"/>
            <rFont val="Tahoma"/>
            <family val="2"/>
          </rPr>
          <t>*Kzt*I*ps30
  where: ps30 is taken from Figure 6-2</t>
        </r>
      </text>
    </comment>
    <comment ref="H49" authorId="2" shapeId="0" xr:uid="{4177947F-F4E9-4389-8452-C8051B202476}">
      <text>
        <r>
          <rPr>
            <sz val="8"/>
            <color indexed="81"/>
            <rFont val="Tahoma"/>
            <family val="2"/>
          </rPr>
          <t xml:space="preserve">Both load cases 1 and 2 are to be checked for roof angle, 25 degrees &lt; </t>
        </r>
        <r>
          <rPr>
            <sz val="8"/>
            <color indexed="81"/>
            <rFont val="Symbol"/>
            <family val="1"/>
            <charset val="2"/>
          </rPr>
          <t>q</t>
        </r>
        <r>
          <rPr>
            <sz val="8"/>
            <color indexed="81"/>
            <rFont val="Tahoma"/>
            <family val="2"/>
          </rPr>
          <t xml:space="preserve"> &lt;= 45 degrees.</t>
        </r>
      </text>
    </comment>
    <comment ref="G60" authorId="4" shapeId="0" xr:uid="{D98E7711-1FB7-4158-90FA-00BB55942E68}">
      <text>
        <r>
          <rPr>
            <sz val="8"/>
            <color indexed="81"/>
            <rFont val="Tahoma"/>
            <family val="2"/>
          </rPr>
          <t>The total design MWFRS load is assumed to be the total wind load on either the "Width" (W) or the "Length" (L) of the building respectively.  A typical assumption might be that 1/2 of the total load goes to the roof while the other 1/2 goes to the base.
Note: this design load represents the sum of both the windward and leeward walls.</t>
        </r>
      </text>
    </comment>
    <comment ref="H70" authorId="0" shapeId="0" xr:uid="{FA555731-DB63-49EA-BC3F-20141A34F89F}">
      <text>
        <r>
          <rPr>
            <b/>
            <sz val="8"/>
            <color indexed="81"/>
            <rFont val="Tahoma"/>
            <family val="2"/>
          </rPr>
          <t xml:space="preserve"> </t>
        </r>
        <r>
          <rPr>
            <sz val="8"/>
            <color indexed="81"/>
            <rFont val="Tahoma"/>
            <family val="2"/>
          </rPr>
          <t>ps =</t>
        </r>
        <r>
          <rPr>
            <sz val="8"/>
            <color indexed="81"/>
            <rFont val="Symbol"/>
            <family val="1"/>
            <charset val="2"/>
          </rPr>
          <t xml:space="preserve"> l</t>
        </r>
        <r>
          <rPr>
            <sz val="8"/>
            <color indexed="81"/>
            <rFont val="Tahoma"/>
            <family val="2"/>
          </rPr>
          <t>*Kzt*I*pnet30
  where: pnet30 is taken from Figure 6-3</t>
        </r>
      </text>
    </comment>
  </commentList>
</comments>
</file>

<file path=xl/sharedStrings.xml><?xml version="1.0" encoding="utf-8"?>
<sst xmlns="http://schemas.openxmlformats.org/spreadsheetml/2006/main" count="2100" uniqueCount="491">
  <si>
    <r>
      <t>1:</t>
    </r>
    <r>
      <rPr>
        <sz val="10"/>
        <rFont val="Arial"/>
        <family val="2"/>
      </rPr>
      <t xml:space="preserve">  Simplified Method for Rigid Building</t>
    </r>
  </si>
  <si>
    <r>
      <t xml:space="preserve">3: </t>
    </r>
    <r>
      <rPr>
        <sz val="10"/>
        <rFont val="Arial"/>
      </rPr>
      <t xml:space="preserve"> Calculation of Gf for Flexible Building</t>
    </r>
  </si>
  <si>
    <t>gq =</t>
  </si>
  <si>
    <t>gv =</t>
  </si>
  <si>
    <t>gr =</t>
  </si>
  <si>
    <t>RL =</t>
  </si>
  <si>
    <t>RB =</t>
  </si>
  <si>
    <r>
      <t>e</t>
    </r>
    <r>
      <rPr>
        <sz val="10"/>
        <rFont val="Arial"/>
        <family val="2"/>
      </rPr>
      <t>(bar)</t>
    </r>
    <r>
      <rPr>
        <sz val="10"/>
        <rFont val="Arial"/>
      </rPr>
      <t xml:space="preserve"> =</t>
    </r>
  </si>
  <si>
    <t>= V(mph)*(88/60) ,  ft./sec.</t>
  </si>
  <si>
    <t>V(fps) =</t>
  </si>
  <si>
    <t>Girt</t>
  </si>
  <si>
    <t>Building Width =</t>
  </si>
  <si>
    <t>Building Length =</t>
  </si>
  <si>
    <t>B</t>
  </si>
  <si>
    <t>L =</t>
  </si>
  <si>
    <t>B =</t>
  </si>
  <si>
    <t>For Normal/Parallel to Ridge Wind Direction:</t>
  </si>
  <si>
    <t>Y</t>
  </si>
  <si>
    <t>= 4.6*f*B/(V(bar,zbar))</t>
  </si>
  <si>
    <t>Location</t>
  </si>
  <si>
    <t>Roof</t>
  </si>
  <si>
    <t>Walls</t>
  </si>
  <si>
    <t>Select:</t>
  </si>
  <si>
    <t>Zone</t>
  </si>
  <si>
    <t>Basic Wind Speed, V (mph)</t>
  </si>
  <si>
    <t>Eff. Wind</t>
  </si>
  <si>
    <t>Area (ft.^2)</t>
  </si>
  <si>
    <t>For V =</t>
  </si>
  <si>
    <t>Walls:</t>
  </si>
  <si>
    <t>1(+) =</t>
  </si>
  <si>
    <t>2(+) =</t>
  </si>
  <si>
    <t>3(+) =</t>
  </si>
  <si>
    <t>4(+) =</t>
  </si>
  <si>
    <t>5(+) =</t>
  </si>
  <si>
    <t>1(-) =</t>
  </si>
  <si>
    <t>2(-) =</t>
  </si>
  <si>
    <t>3(-) =</t>
  </si>
  <si>
    <t>4(-) =</t>
  </si>
  <si>
    <t>5(-) =</t>
  </si>
  <si>
    <t>Wall</t>
  </si>
  <si>
    <t>Roof C&amp;C Name =</t>
  </si>
  <si>
    <t>Wall C&amp;C Name =</t>
  </si>
  <si>
    <t>deg.</t>
  </si>
  <si>
    <t>Resulting Parameters and Net Design Pressures:</t>
  </si>
  <si>
    <t>Hurricane Region?</t>
  </si>
  <si>
    <r>
      <t xml:space="preserve">2: </t>
    </r>
    <r>
      <rPr>
        <sz val="10"/>
        <rFont val="Arial"/>
      </rPr>
      <t xml:space="preserve"> Calculation of G for Rigid Building</t>
    </r>
  </si>
  <si>
    <t>A</t>
  </si>
  <si>
    <t>II</t>
  </si>
  <si>
    <t>III</t>
  </si>
  <si>
    <t>IV</t>
  </si>
  <si>
    <t>D</t>
  </si>
  <si>
    <t>(Purlin, Joist, Decking, or Fastener)</t>
  </si>
  <si>
    <t>Joist</t>
  </si>
  <si>
    <t>Decking</t>
  </si>
  <si>
    <t>Fastener</t>
  </si>
  <si>
    <t>Siding</t>
  </si>
  <si>
    <t>I</t>
  </si>
  <si>
    <t>Normal</t>
  </si>
  <si>
    <t>Parallel</t>
  </si>
  <si>
    <t>psf</t>
  </si>
  <si>
    <t>Is Building Flexible?</t>
  </si>
  <si>
    <t>WIND LOADING ANALYSIS - Main Wind-Force Resisting System</t>
  </si>
  <si>
    <t>m (hr &gt;= he)</t>
  </si>
  <si>
    <t>m (Normal to Building Ridge)</t>
  </si>
  <si>
    <t>m (Parallel to Building Ridge)</t>
  </si>
  <si>
    <t>m (he &lt;= hr)</t>
  </si>
  <si>
    <t xml:space="preserve">    Calculated Parameters Used in Both Rigid and/or Flexible Building Calculations:</t>
  </si>
  <si>
    <t>Checker:</t>
  </si>
  <si>
    <t>Originator:</t>
  </si>
  <si>
    <t>Subject:</t>
  </si>
  <si>
    <t>(Girt, Siding, Wall, or Fastener)</t>
  </si>
  <si>
    <t>= 15.4*f*L/(V(bar,zbar))</t>
  </si>
  <si>
    <t>(kN/m2)</t>
  </si>
  <si>
    <t>Ridge Height</t>
  </si>
  <si>
    <t>Eave Height</t>
  </si>
  <si>
    <t>(m)</t>
  </si>
  <si>
    <t>= 1/T ,  Hz. (Natural Frequency)</t>
  </si>
  <si>
    <t>Using Method 1: Simplified Procedure (Section 6.4)</t>
  </si>
  <si>
    <t>Main Wind Force Resisting System - Method 1</t>
  </si>
  <si>
    <t>for h &lt;= 60 ft.</t>
  </si>
  <si>
    <t>Components and Cladding - Method 1</t>
  </si>
  <si>
    <t>Figure 6-2</t>
  </si>
  <si>
    <t>Design Wind Pressures</t>
  </si>
  <si>
    <t xml:space="preserve"> </t>
  </si>
  <si>
    <t>Figure 6-3</t>
  </si>
  <si>
    <t>Enclosed Buildings</t>
  </si>
  <si>
    <t>WALLS and ROOFS</t>
  </si>
  <si>
    <t>Simplified Design Wind Pressure, ps30 (psf)  (Exposure B at h = 30 ft. with Iw = 1.0)</t>
  </si>
  <si>
    <t>Basic Wind</t>
  </si>
  <si>
    <t>Load</t>
  </si>
  <si>
    <t>Zones</t>
  </si>
  <si>
    <t>Select values from Figure 6-2 based on wind speed and roof angle:</t>
  </si>
  <si>
    <t>Roof and</t>
  </si>
  <si>
    <t>Speed, V</t>
  </si>
  <si>
    <t>Angle</t>
  </si>
  <si>
    <t>Case</t>
  </si>
  <si>
    <t>Horizontal Pressures</t>
  </si>
  <si>
    <t>Vertical Pressures</t>
  </si>
  <si>
    <t>Overhangs</t>
  </si>
  <si>
    <t>Index</t>
  </si>
  <si>
    <t>(mph)</t>
  </si>
  <si>
    <t>(deg.)</t>
  </si>
  <si>
    <t>E</t>
  </si>
  <si>
    <t>F</t>
  </si>
  <si>
    <t>H</t>
  </si>
  <si>
    <t>Eoh</t>
  </si>
  <si>
    <t>Goh</t>
  </si>
  <si>
    <t>q</t>
  </si>
  <si>
    <t>Bldg. Classification =</t>
  </si>
  <si>
    <t>Exposure Category =</t>
  </si>
  <si>
    <t>0 to 7</t>
  </si>
  <si>
    <t>degrees</t>
  </si>
  <si>
    <t>Roof Type =</t>
  </si>
  <si>
    <t>Monoslope</t>
  </si>
  <si>
    <t>Plan</t>
  </si>
  <si>
    <t>Wall C&amp;C Eff. Area =</t>
  </si>
  <si>
    <t>Gable</t>
  </si>
  <si>
    <t>Roof C&amp;C Eff. Area =</t>
  </si>
  <si>
    <t>7 to 27</t>
  </si>
  <si>
    <t>Overhang Eff. Area =</t>
  </si>
  <si>
    <t>Elevation</t>
  </si>
  <si>
    <t>(adjusts for height and exposure)</t>
  </si>
  <si>
    <t>27 to 45</t>
  </si>
  <si>
    <t>Wall &amp; Roof End Zone Width, a =</t>
  </si>
  <si>
    <t>A = end zone of wall</t>
  </si>
  <si>
    <t>B = end zone of roof</t>
  </si>
  <si>
    <t>Load Case 1</t>
  </si>
  <si>
    <t>C = interior zone of wall</t>
  </si>
  <si>
    <t>Load Case 2</t>
  </si>
  <si>
    <t>D = interior zone of roof</t>
  </si>
  <si>
    <t>Components &amp; Cladding -  Overhang Pressures:</t>
  </si>
  <si>
    <t>Roof (0 - 7 deg.):</t>
  </si>
  <si>
    <t>E = end zone of windward roof</t>
  </si>
  <si>
    <t>F = end zone of leeward roof</t>
  </si>
  <si>
    <t>G = interior zone of windward roof</t>
  </si>
  <si>
    <t>Roof (7 - 27 deg.):</t>
  </si>
  <si>
    <t>H = interior zone of leeward roof</t>
  </si>
  <si>
    <t>Roof (20 - 45 deg.):</t>
  </si>
  <si>
    <t>Pos. (+)</t>
  </si>
  <si>
    <t>Neg. (-)</t>
  </si>
  <si>
    <t>4 = interior zone of wall</t>
  </si>
  <si>
    <t>5 = end zone of wall</t>
  </si>
  <si>
    <t>1 = interior zone of roof</t>
  </si>
  <si>
    <t>2 = end zone of roof</t>
  </si>
  <si>
    <t>3 = corner zone of roof</t>
  </si>
  <si>
    <t>---</t>
  </si>
  <si>
    <t>Components &amp; Cladding -  Positive Pressures:</t>
  </si>
  <si>
    <t>Components &amp; Cladding -  Negative Pressures:</t>
  </si>
  <si>
    <t>Adjustment Factor</t>
  </si>
  <si>
    <t>Mean Roof</t>
  </si>
  <si>
    <t>Exposure</t>
  </si>
  <si>
    <t>Height, h (ft.)</t>
  </si>
  <si>
    <t>h</t>
  </si>
  <si>
    <t>Determine End Zone Width 'a' (Figures 6-2 and 6-3):</t>
  </si>
  <si>
    <r>
      <t xml:space="preserve">Adjustment Factor, </t>
    </r>
    <r>
      <rPr>
        <sz val="10"/>
        <rFont val="Symbol"/>
        <family val="1"/>
        <charset val="2"/>
      </rPr>
      <t>l</t>
    </r>
    <r>
      <rPr>
        <sz val="10"/>
        <rFont val="Arial"/>
      </rPr>
      <t xml:space="preserve"> =</t>
    </r>
  </si>
  <si>
    <r>
      <t xml:space="preserve">Importance Factor, </t>
    </r>
    <r>
      <rPr>
        <sz val="10"/>
        <rFont val="Tahoma"/>
        <family val="2"/>
      </rPr>
      <t>I</t>
    </r>
    <r>
      <rPr>
        <sz val="10"/>
        <rFont val="Arial"/>
      </rPr>
      <t xml:space="preserve"> =</t>
    </r>
  </si>
  <si>
    <r>
      <t xml:space="preserve">for Building Height and Exposure, </t>
    </r>
    <r>
      <rPr>
        <sz val="10"/>
        <color indexed="12"/>
        <rFont val="Symbol"/>
        <family val="1"/>
        <charset val="2"/>
      </rPr>
      <t>l</t>
    </r>
  </si>
  <si>
    <r>
      <t xml:space="preserve">Use: </t>
    </r>
    <r>
      <rPr>
        <sz val="10"/>
        <color indexed="12"/>
        <rFont val="Symbol"/>
        <family val="1"/>
        <charset val="2"/>
      </rPr>
      <t>l</t>
    </r>
    <r>
      <rPr>
        <sz val="10"/>
        <color indexed="12"/>
        <rFont val="Arial"/>
        <family val="2"/>
      </rPr>
      <t xml:space="preserve"> =</t>
    </r>
  </si>
  <si>
    <t>Components and Cladding - Wind Zones</t>
  </si>
  <si>
    <t>MWFRS - Wind Zones</t>
  </si>
  <si>
    <t>WIND LOADING ANALYSIS - MWFRS and Components/Cladding</t>
  </si>
  <si>
    <t>Rize in</t>
  </si>
  <si>
    <t>12"</t>
  </si>
  <si>
    <t>0 to 5</t>
  </si>
  <si>
    <t>30 to 45</t>
  </si>
  <si>
    <t>Flat</t>
  </si>
  <si>
    <t>7 to 12</t>
  </si>
  <si>
    <r>
      <t xml:space="preserve">for Building Height and Exposure, </t>
    </r>
    <r>
      <rPr>
        <sz val="10"/>
        <color indexed="8"/>
        <rFont val="Symbol"/>
        <family val="1"/>
        <charset val="2"/>
      </rPr>
      <t>l</t>
    </r>
  </si>
  <si>
    <t>kN/m2</t>
  </si>
  <si>
    <t>Wind Direction =</t>
  </si>
  <si>
    <t>For Transverse Direction:</t>
  </si>
  <si>
    <t>For Longitudinal Direction:</t>
  </si>
  <si>
    <r>
      <t xml:space="preserve">Use Roof Angle, </t>
    </r>
    <r>
      <rPr>
        <sz val="10"/>
        <color indexed="12"/>
        <rFont val="Symbol"/>
        <family val="1"/>
        <charset val="2"/>
      </rPr>
      <t>q</t>
    </r>
    <r>
      <rPr>
        <sz val="10"/>
        <color indexed="12"/>
        <rFont val="Arial"/>
        <family val="2"/>
      </rPr>
      <t xml:space="preserve"> =</t>
    </r>
  </si>
  <si>
    <t>(continued)</t>
  </si>
  <si>
    <t>Item</t>
  </si>
  <si>
    <t>2 = end zone of o.h.</t>
  </si>
  <si>
    <t>3 = corner zone of o.h.</t>
  </si>
  <si>
    <t>Direction</t>
  </si>
  <si>
    <t>Horizontal</t>
  </si>
  <si>
    <t>Vertical</t>
  </si>
  <si>
    <t>Transverse</t>
  </si>
  <si>
    <t>Longitudinal</t>
  </si>
  <si>
    <t>Roof Overhang</t>
  </si>
  <si>
    <t>Min. Load</t>
  </si>
  <si>
    <t>(wind perpendicular to ridge)</t>
  </si>
  <si>
    <t>(wind parallel to ridge)</t>
  </si>
  <si>
    <t>Formulas:</t>
  </si>
  <si>
    <r>
      <t xml:space="preserve">Roof Angle, </t>
    </r>
    <r>
      <rPr>
        <sz val="10"/>
        <color indexed="12"/>
        <rFont val="Symbol"/>
        <family val="1"/>
        <charset val="2"/>
      </rPr>
      <t>q</t>
    </r>
    <r>
      <rPr>
        <sz val="10"/>
        <color indexed="12"/>
        <rFont val="Arial"/>
        <family val="2"/>
      </rPr>
      <t xml:space="preserve"> =</t>
    </r>
  </si>
  <si>
    <r>
      <t xml:space="preserve">h </t>
    </r>
    <r>
      <rPr>
        <sz val="10"/>
        <color indexed="12"/>
        <rFont val="Arial"/>
        <family val="2"/>
      </rPr>
      <t xml:space="preserve">= he for </t>
    </r>
    <r>
      <rPr>
        <sz val="10"/>
        <color indexed="12"/>
        <rFont val="Symbol"/>
        <family val="1"/>
        <charset val="2"/>
      </rPr>
      <t>q</t>
    </r>
    <r>
      <rPr>
        <sz val="10"/>
        <color indexed="12"/>
        <rFont val="Arial"/>
        <family val="2"/>
      </rPr>
      <t xml:space="preserve"> &lt; 10 deg.  ,  h = (hr+he)/2 for </t>
    </r>
    <r>
      <rPr>
        <sz val="10"/>
        <color indexed="12"/>
        <rFont val="Symbol"/>
        <family val="1"/>
        <charset val="2"/>
      </rPr>
      <t>q</t>
    </r>
    <r>
      <rPr>
        <sz val="10"/>
        <color indexed="12"/>
        <rFont val="Arial"/>
        <family val="2"/>
      </rPr>
      <t xml:space="preserve"> &gt;= 10 deg.</t>
    </r>
  </si>
  <si>
    <t>(assumed for longitudinal direction)</t>
  </si>
  <si>
    <t>h = (hr+he)/2  (assumed for longitudinal direction)</t>
  </si>
  <si>
    <t>Enclosed? (Y/N)</t>
  </si>
  <si>
    <t>Wall Pressure Coefficients, Cp (Fig. 6-6):</t>
  </si>
  <si>
    <r>
      <t>= ((1/</t>
    </r>
    <r>
      <rPr>
        <sz val="10"/>
        <color indexed="8"/>
        <rFont val="Symbol"/>
        <family val="1"/>
        <charset val="2"/>
      </rPr>
      <t>b</t>
    </r>
    <r>
      <rPr>
        <sz val="10"/>
        <color indexed="8"/>
        <rFont val="Arial"/>
        <family val="2"/>
      </rPr>
      <t>)*Rn*Rh*RB*(0.53+0.47*RL))^(1/2) , Eq. 6-10</t>
    </r>
  </si>
  <si>
    <r>
      <t>h</t>
    </r>
    <r>
      <rPr>
        <sz val="10"/>
        <rFont val="Arial"/>
        <family val="2"/>
      </rPr>
      <t>b =</t>
    </r>
  </si>
  <si>
    <r>
      <t>= (1/</t>
    </r>
    <r>
      <rPr>
        <sz val="10"/>
        <color indexed="8"/>
        <rFont val="Symbol"/>
        <family val="1"/>
        <charset val="2"/>
      </rPr>
      <t>h</t>
    </r>
    <r>
      <rPr>
        <sz val="10"/>
        <color indexed="8"/>
        <rFont val="Arial"/>
        <family val="2"/>
      </rPr>
      <t>b</t>
    </r>
    <r>
      <rPr>
        <sz val="10"/>
        <color indexed="8"/>
        <rFont val="Arial"/>
        <family val="2"/>
      </rPr>
      <t>)-1/(2*</t>
    </r>
    <r>
      <rPr>
        <sz val="10"/>
        <color indexed="8"/>
        <rFont val="Symbol"/>
        <family val="1"/>
        <charset val="2"/>
      </rPr>
      <t>h</t>
    </r>
    <r>
      <rPr>
        <sz val="10"/>
        <color indexed="8"/>
        <rFont val="Arial"/>
        <family val="2"/>
      </rPr>
      <t>b</t>
    </r>
    <r>
      <rPr>
        <sz val="10"/>
        <color indexed="8"/>
        <rFont val="Arial"/>
        <family val="2"/>
      </rPr>
      <t>^2)*(1-e^(-2*</t>
    </r>
    <r>
      <rPr>
        <sz val="10"/>
        <color indexed="8"/>
        <rFont val="Symbol"/>
        <family val="1"/>
        <charset val="2"/>
      </rPr>
      <t>h</t>
    </r>
    <r>
      <rPr>
        <sz val="10"/>
        <color indexed="8"/>
        <rFont val="Arial"/>
        <family val="2"/>
      </rPr>
      <t>b</t>
    </r>
    <r>
      <rPr>
        <sz val="10"/>
        <color indexed="8"/>
        <rFont val="Arial"/>
        <family val="2"/>
      </rPr>
      <t xml:space="preserve">))  for </t>
    </r>
    <r>
      <rPr>
        <sz val="10"/>
        <color indexed="8"/>
        <rFont val="Symbol"/>
        <family val="1"/>
        <charset val="2"/>
      </rPr>
      <t>h</t>
    </r>
    <r>
      <rPr>
        <sz val="10"/>
        <color indexed="8"/>
        <rFont val="Arial"/>
        <family val="2"/>
      </rPr>
      <t>b</t>
    </r>
    <r>
      <rPr>
        <sz val="10"/>
        <color indexed="8"/>
        <rFont val="Arial"/>
        <family val="2"/>
      </rPr>
      <t xml:space="preserve">&gt;0,  or  = 1 for </t>
    </r>
    <r>
      <rPr>
        <sz val="10"/>
        <color indexed="8"/>
        <rFont val="Symbol"/>
        <family val="1"/>
        <charset val="2"/>
      </rPr>
      <t>h</t>
    </r>
    <r>
      <rPr>
        <sz val="10"/>
        <color indexed="8"/>
        <rFont val="Arial"/>
        <family val="2"/>
      </rPr>
      <t>b</t>
    </r>
    <r>
      <rPr>
        <sz val="10"/>
        <color indexed="8"/>
        <rFont val="Arial"/>
        <family val="2"/>
      </rPr>
      <t xml:space="preserve">=0,Eq. 6-13a,b </t>
    </r>
  </si>
  <si>
    <t>(Sect. 6.5.7 &amp; Figure 6-4)</t>
  </si>
  <si>
    <t>(Sect. 6.5.6)</t>
  </si>
  <si>
    <t>User Input for Height, z (ft.):</t>
  </si>
  <si>
    <t>mph  (Wind Map, Figure 6-1)</t>
  </si>
  <si>
    <t>ft. (hr &gt;= he)</t>
  </si>
  <si>
    <t>ft. (he &lt;= hr)</t>
  </si>
  <si>
    <t>ft. (Normal to Building Ridge)</t>
  </si>
  <si>
    <t>ft. (Parallel to Building Ridge)</t>
  </si>
  <si>
    <t>ft.^2 (for Component/Cladding)</t>
  </si>
  <si>
    <r>
      <t>ft.  (</t>
    </r>
    <r>
      <rPr>
        <sz val="10"/>
        <rFont val="Arial"/>
        <family val="2"/>
      </rPr>
      <t xml:space="preserve">h = he for </t>
    </r>
    <r>
      <rPr>
        <sz val="10"/>
        <rFont val="Symbol"/>
        <family val="1"/>
        <charset val="2"/>
      </rPr>
      <t>q</t>
    </r>
    <r>
      <rPr>
        <sz val="10"/>
        <rFont val="Arial"/>
        <family val="2"/>
      </rPr>
      <t xml:space="preserve"> &lt; 10 deg.)</t>
    </r>
  </si>
  <si>
    <r>
      <t>ft.</t>
    </r>
    <r>
      <rPr>
        <sz val="10"/>
        <rFont val="Arial"/>
        <family val="2"/>
      </rPr>
      <t xml:space="preserve">  (use: "2*a"  for MWFRS,  "a"  for C&amp;C)</t>
    </r>
  </si>
  <si>
    <t>deg.  (assumed)</t>
  </si>
  <si>
    <t>ft.  (h = (hr+he)/2)</t>
  </si>
  <si>
    <t>Ph(Long)(min) = P(min)*W*(hr+he)/2/1000  ,  where: P(min) = 10.0 psf on full area</t>
  </si>
  <si>
    <t>Ph(Trans) = ((Pc*(L-4*a)+Pa*4*a)*he+(Pd*(L-4*a)+Pb*4*a)*(hr-he))/1000</t>
  </si>
  <si>
    <t>Ph(Trans)(min) = P(min)*L*hr/1000  ,  where: P(min) = 10.0 psf on projected area</t>
  </si>
  <si>
    <t xml:space="preserve">For Method 1: Simplified Procedure of Section 6.4 to be used for an enclosed low-rise building </t>
  </si>
  <si>
    <r>
      <t>Notes:</t>
    </r>
    <r>
      <rPr>
        <sz val="10"/>
        <rFont val="Arial"/>
        <family val="2"/>
      </rPr>
      <t xml:space="preserve">   1.</t>
    </r>
  </si>
  <si>
    <t xml:space="preserve">   a. Building is a simple diaphragm building, in which wind loads are transmitted through floor </t>
  </si>
  <si>
    <t xml:space="preserve">       and roof diaphragms to the vertical Main Wind-Force Resisting System (MWFRS).</t>
  </si>
  <si>
    <t xml:space="preserve">   b. Building is a low-rise building where mean roof height, h &lt;= 60 ft., and h &lt;= min. of L or W.</t>
  </si>
  <si>
    <t>= 0.925*(1+1.7*Iz(bar)*(gq^2*Q^2+gr^2*R^2)^(1/2))/(1+1.7*gv*Iz(bar)) ,</t>
  </si>
  <si>
    <r>
      <t xml:space="preserve">Per ASCE 7-05 Code for Low-Rise, Enclosed Buildings with h &lt;= 60' and Roof </t>
    </r>
    <r>
      <rPr>
        <b/>
        <sz val="10"/>
        <color indexed="10"/>
        <rFont val="Symbol"/>
        <family val="1"/>
        <charset val="2"/>
      </rPr>
      <t>q</t>
    </r>
    <r>
      <rPr>
        <b/>
        <sz val="10"/>
        <color indexed="10"/>
        <rFont val="Arial"/>
        <family val="2"/>
      </rPr>
      <t xml:space="preserve"> &lt;= 45</t>
    </r>
    <r>
      <rPr>
        <b/>
        <vertAlign val="superscript"/>
        <sz val="10"/>
        <color indexed="10"/>
        <rFont val="Arial"/>
        <family val="2"/>
      </rPr>
      <t>o</t>
    </r>
  </si>
  <si>
    <t>= Ct*h^(3/4) ,  sec. (Approximate fundamental period)</t>
  </si>
  <si>
    <t>Minimum wind load for MWFRS design shall be 10 psf applied to area on projected vertical plane.</t>
  </si>
  <si>
    <t>ASCE 7-05 Figure 6-2 (pages 38-39):</t>
  </si>
  <si>
    <t>ASCE 7-05 Figure 6-3 (page 44):</t>
  </si>
  <si>
    <t>ASCE 7-05 Figure 6-3 (pages 42 to 43):</t>
  </si>
  <si>
    <t>ASCE 7-05 Figures 6-2 and 6-3 (pages 40 and 44):</t>
  </si>
  <si>
    <t>to determine the design wind loads, all of the following eight conditions of 6.4.1.1 must be met:</t>
  </si>
  <si>
    <t>p = Net Design Press. (kN/m2)</t>
  </si>
  <si>
    <t xml:space="preserve">   a. ASCE 7-05 Standard, "Minimum Design Loads for Buildings and Other Structures".</t>
  </si>
  <si>
    <t xml:space="preserve">       of the MWFRSs of the building.</t>
  </si>
  <si>
    <r>
      <t xml:space="preserve">    f. MWFRS design wind pressure, P</t>
    </r>
    <r>
      <rPr>
        <sz val="8"/>
        <rFont val="Arial"/>
        <family val="2"/>
      </rPr>
      <t>s</t>
    </r>
    <r>
      <rPr>
        <sz val="10"/>
        <rFont val="Arial"/>
      </rPr>
      <t xml:space="preserve"> = </t>
    </r>
    <r>
      <rPr>
        <sz val="10"/>
        <rFont val="Symbol"/>
        <family val="1"/>
        <charset val="2"/>
      </rPr>
      <t>l</t>
    </r>
    <r>
      <rPr>
        <sz val="10"/>
        <rFont val="Arial"/>
      </rPr>
      <t>*Kzt*</t>
    </r>
    <r>
      <rPr>
        <sz val="10"/>
        <rFont val="Tahoma"/>
        <family val="2"/>
      </rPr>
      <t>I</t>
    </r>
    <r>
      <rPr>
        <sz val="10"/>
        <rFont val="Arial"/>
      </rPr>
      <t>*</t>
    </r>
    <r>
      <rPr>
        <sz val="10"/>
        <rFont val="Arial"/>
        <family val="2"/>
      </rPr>
      <t>p</t>
    </r>
    <r>
      <rPr>
        <sz val="8"/>
        <rFont val="Arial"/>
        <family val="2"/>
      </rPr>
      <t>s30</t>
    </r>
    <r>
      <rPr>
        <sz val="10"/>
        <rFont val="Arial"/>
        <family val="2"/>
      </rPr>
      <t>, in psf.</t>
    </r>
  </si>
  <si>
    <r>
      <t xml:space="preserve">Wind pressures </t>
    </r>
    <r>
      <rPr>
        <sz val="8"/>
        <rFont val="Arial"/>
        <family val="2"/>
      </rPr>
      <t>(</t>
    </r>
    <r>
      <rPr>
        <sz val="10"/>
        <rFont val="Arial"/>
        <family val="2"/>
      </rPr>
      <t>p</t>
    </r>
    <r>
      <rPr>
        <sz val="8"/>
        <rFont val="Arial"/>
        <family val="2"/>
      </rPr>
      <t>s30)</t>
    </r>
    <r>
      <rPr>
        <sz val="10"/>
        <rFont val="Arial"/>
      </rPr>
      <t xml:space="preserve"> in Figure 6-2 and (p</t>
    </r>
    <r>
      <rPr>
        <sz val="8"/>
        <rFont val="Arial"/>
        <family val="2"/>
      </rPr>
      <t>net30</t>
    </r>
    <r>
      <rPr>
        <sz val="10"/>
        <rFont val="Arial"/>
      </rPr>
      <t>) in Figure 6-3 were prepared based on following:</t>
    </r>
  </si>
  <si>
    <r>
      <t>Net Design Positive (+) Wind Pressure, pnet</t>
    </r>
    <r>
      <rPr>
        <sz val="8"/>
        <color indexed="8"/>
        <rFont val="Arial"/>
        <family val="2"/>
      </rPr>
      <t>30</t>
    </r>
    <r>
      <rPr>
        <sz val="8"/>
        <color indexed="8"/>
        <rFont val="Arial"/>
        <family val="2"/>
      </rPr>
      <t xml:space="preserve"> (psf)  (Exposure B at h = 30 ft. with </t>
    </r>
    <r>
      <rPr>
        <sz val="8"/>
        <color indexed="8"/>
        <rFont val="Tahoma"/>
        <family val="2"/>
      </rPr>
      <t>I</t>
    </r>
    <r>
      <rPr>
        <sz val="8"/>
        <color indexed="8"/>
        <rFont val="Arial"/>
        <family val="2"/>
      </rPr>
      <t xml:space="preserve"> = 1.0)</t>
    </r>
  </si>
  <si>
    <r>
      <t>Roof Overhang Net Design Wind Pressure, pnet</t>
    </r>
    <r>
      <rPr>
        <sz val="8"/>
        <color indexed="8"/>
        <rFont val="Arial"/>
        <family val="2"/>
      </rPr>
      <t>30</t>
    </r>
    <r>
      <rPr>
        <sz val="8"/>
        <color indexed="8"/>
        <rFont val="Arial"/>
        <family val="2"/>
      </rPr>
      <t xml:space="preserve"> (psf)  (Exposure B at h = 30 ft. with </t>
    </r>
    <r>
      <rPr>
        <sz val="8"/>
        <color indexed="8"/>
        <rFont val="Tahoma"/>
        <family val="2"/>
      </rPr>
      <t>I</t>
    </r>
    <r>
      <rPr>
        <sz val="8"/>
        <color indexed="8"/>
        <rFont val="Arial"/>
        <family val="2"/>
      </rPr>
      <t xml:space="preserve"> = 1.0)</t>
    </r>
  </si>
  <si>
    <r>
      <t>Net Design Positive (+) Wind Pressure, pnet</t>
    </r>
    <r>
      <rPr>
        <sz val="8"/>
        <color indexed="12"/>
        <rFont val="Arial"/>
        <family val="2"/>
      </rPr>
      <t>30</t>
    </r>
    <r>
      <rPr>
        <sz val="10"/>
        <color indexed="12"/>
        <rFont val="Arial"/>
        <family val="2"/>
      </rPr>
      <t xml:space="preserve"> (psf)  (Exposure B at h = 30 ft. with </t>
    </r>
    <r>
      <rPr>
        <sz val="10"/>
        <color indexed="12"/>
        <rFont val="Tahoma"/>
        <family val="2"/>
      </rPr>
      <t>I</t>
    </r>
    <r>
      <rPr>
        <sz val="10"/>
        <color indexed="12"/>
        <rFont val="Arial"/>
        <family val="2"/>
      </rPr>
      <t xml:space="preserve"> = 1.0)</t>
    </r>
  </si>
  <si>
    <r>
      <t>Net Design Negative (-) Wind Pressure, pnet</t>
    </r>
    <r>
      <rPr>
        <sz val="8"/>
        <color indexed="12"/>
        <rFont val="Arial"/>
        <family val="2"/>
      </rPr>
      <t>30</t>
    </r>
    <r>
      <rPr>
        <sz val="10"/>
        <color indexed="12"/>
        <rFont val="Arial"/>
        <family val="2"/>
      </rPr>
      <t xml:space="preserve"> (psf)  (Exposure B at h = 30 ft. with </t>
    </r>
    <r>
      <rPr>
        <sz val="10"/>
        <color indexed="12"/>
        <rFont val="Tahoma"/>
        <family val="2"/>
      </rPr>
      <t>I</t>
    </r>
    <r>
      <rPr>
        <sz val="10"/>
        <color indexed="12"/>
        <rFont val="Arial"/>
        <family val="2"/>
      </rPr>
      <t xml:space="preserve"> = 1.0)</t>
    </r>
  </si>
  <si>
    <r>
      <t>Roof Overhang Net Design Wind Pressure, pnet</t>
    </r>
    <r>
      <rPr>
        <sz val="8"/>
        <color indexed="12"/>
        <rFont val="Arial"/>
        <family val="2"/>
      </rPr>
      <t>30</t>
    </r>
    <r>
      <rPr>
        <sz val="10"/>
        <color indexed="12"/>
        <rFont val="Arial"/>
        <family val="2"/>
      </rPr>
      <t xml:space="preserve"> (psf)  (Exposure B at h = 30 ft. with </t>
    </r>
    <r>
      <rPr>
        <sz val="10"/>
        <color indexed="12"/>
        <rFont val="Tahoma"/>
        <family val="2"/>
      </rPr>
      <t>I</t>
    </r>
    <r>
      <rPr>
        <sz val="10"/>
        <color indexed="12"/>
        <rFont val="Arial"/>
        <family val="2"/>
      </rPr>
      <t xml:space="preserve"> = 1.0)</t>
    </r>
  </si>
  <si>
    <t xml:space="preserve">   c. Building is enclosed and conforms to wind-borne debris provisions of Section 6.5.9.3.</t>
  </si>
  <si>
    <t xml:space="preserve">   d. Building is a regular shaped building, having no unusual geometrical irregularity.</t>
  </si>
  <si>
    <r>
      <t xml:space="preserve">       flat roof, or gable roof with </t>
    </r>
    <r>
      <rPr>
        <sz val="10"/>
        <rFont val="Symbol"/>
        <family val="1"/>
        <charset val="2"/>
      </rPr>
      <t>q</t>
    </r>
    <r>
      <rPr>
        <sz val="10"/>
        <rFont val="Arial"/>
      </rPr>
      <t xml:space="preserve"> &lt;= 45 degrees.</t>
    </r>
  </si>
  <si>
    <t xml:space="preserve">   a. Mean roof height, h = 30 ft.  ,  Exposure category = B  ,  Importance factor, I =1.0</t>
  </si>
  <si>
    <t xml:space="preserve">   b. Velocity pressure exposure coefficient, Kz = 0.70</t>
  </si>
  <si>
    <t xml:space="preserve">   c. Directionality factor, Kd = 0.85  ,  Topographic factor, Kzt = 1.0</t>
  </si>
  <si>
    <t xml:space="preserve">   d. Internal pressure coefficients, GCpi = +0.18, -0.18 (enclosed building)</t>
  </si>
  <si>
    <t xml:space="preserve">   e. MWFRS pressure coeff's. from Figure 6-10, and C&amp;C pressure coeff's. from Figure 6-11.</t>
  </si>
  <si>
    <t>Design wind pressures are net pressures (sum of external and internal pressures).</t>
  </si>
  <si>
    <t>(Table 1-1 Occupancy Category)</t>
  </si>
  <si>
    <t>(Table 1-1 Occupancy Cat.)</t>
  </si>
  <si>
    <t>Wall net pressure for MWFRS is total for both windward and leeward walls.</t>
  </si>
  <si>
    <t>(+) and (-) signs signify wind pressures acting toward &amp; away from respective surfaces.</t>
  </si>
  <si>
    <t>If pressures for Zones "B" and "D" &lt; 0, assume = 0.</t>
  </si>
  <si>
    <r>
      <t xml:space="preserve">For the design of the longitudinal MWFRS use roof angle, </t>
    </r>
    <r>
      <rPr>
        <sz val="10"/>
        <rFont val="Symbol"/>
        <family val="1"/>
        <charset val="2"/>
      </rPr>
      <t>q</t>
    </r>
    <r>
      <rPr>
        <sz val="10"/>
        <rFont val="Arial"/>
      </rPr>
      <t xml:space="preserve"> = 0 degrees.</t>
    </r>
  </si>
  <si>
    <r>
      <t xml:space="preserve">Both load cases 1 and 2 are be checked for roof angle, 25 degrees &lt; </t>
    </r>
    <r>
      <rPr>
        <sz val="10"/>
        <rFont val="Symbol"/>
        <family val="1"/>
        <charset val="2"/>
      </rPr>
      <t>q</t>
    </r>
    <r>
      <rPr>
        <sz val="10"/>
        <rFont val="Arial"/>
      </rPr>
      <t xml:space="preserve"> &lt;= 45 degrees.</t>
    </r>
  </si>
  <si>
    <t xml:space="preserve">The total design MWFRS horizontal load is the total horizontal wind load on either the length (L) </t>
  </si>
  <si>
    <t>or the width (W) of the building respectively assuming one end zone of a width = 2*a.</t>
  </si>
  <si>
    <t>Minimum wind load for C&amp;C shall be 10 psf acting in either direction normal to surface.</t>
  </si>
  <si>
    <t xml:space="preserve">References: </t>
  </si>
  <si>
    <t xml:space="preserve">   b. "Guide to the Use of the Wind Load Provisions of ASCE 7-02"</t>
  </si>
  <si>
    <t>Use Input Values?</t>
  </si>
  <si>
    <t>Building Width, W =</t>
  </si>
  <si>
    <r>
      <t xml:space="preserve">for Gable: </t>
    </r>
    <r>
      <rPr>
        <sz val="10"/>
        <color indexed="12"/>
        <rFont val="Symbol"/>
        <family val="1"/>
        <charset val="2"/>
      </rPr>
      <t>q</t>
    </r>
    <r>
      <rPr>
        <sz val="10"/>
        <color indexed="12"/>
        <rFont val="Arial"/>
        <family val="2"/>
      </rPr>
      <t xml:space="preserve"> = ATAN((hr-he)/(W/2))  ,  for Monoslope: </t>
    </r>
    <r>
      <rPr>
        <sz val="10"/>
        <color indexed="12"/>
        <rFont val="Symbol"/>
        <family val="1"/>
        <charset val="2"/>
      </rPr>
      <t>q</t>
    </r>
    <r>
      <rPr>
        <sz val="10"/>
        <color indexed="12"/>
        <rFont val="Arial"/>
        <family val="2"/>
      </rPr>
      <t xml:space="preserve"> = ATAN((hr-he)/W)</t>
    </r>
  </si>
  <si>
    <t>Lesser of L or W:</t>
  </si>
  <si>
    <t>0.1*(L or W):</t>
  </si>
  <si>
    <t>Compare to .04*(L,W):</t>
  </si>
  <si>
    <t xml:space="preserve">       by: Kishor C. Mehta and James M. Delahay (2004).</t>
  </si>
  <si>
    <t xml:space="preserve">            3. References</t>
  </si>
  <si>
    <r>
      <t xml:space="preserve">Total Design MWFRS Horizontal Load </t>
    </r>
    <r>
      <rPr>
        <b/>
        <sz val="8"/>
        <rFont val="Arial"/>
        <family val="2"/>
      </rPr>
      <t>(kips)</t>
    </r>
  </si>
  <si>
    <t>Building Length, L =</t>
  </si>
  <si>
    <t>Job Name:</t>
  </si>
  <si>
    <t>Job Number:</t>
  </si>
  <si>
    <t>Kz</t>
  </si>
  <si>
    <t>qz</t>
  </si>
  <si>
    <t>Surface</t>
  </si>
  <si>
    <t>z</t>
  </si>
  <si>
    <t>Cp</t>
  </si>
  <si>
    <t>Side Walls</t>
  </si>
  <si>
    <t>All</t>
  </si>
  <si>
    <t>Windward Wall Cp =</t>
  </si>
  <si>
    <t>Leeward Wall Cp =</t>
  </si>
  <si>
    <t>Side Walls Cp =</t>
  </si>
  <si>
    <t>Windward Wall</t>
  </si>
  <si>
    <t>Leeward Wall</t>
  </si>
  <si>
    <t>-</t>
  </si>
  <si>
    <t>zg =</t>
  </si>
  <si>
    <t>Kh =</t>
  </si>
  <si>
    <t>N</t>
  </si>
  <si>
    <t>For h/L&lt;=0.25:</t>
  </si>
  <si>
    <t>For h/L=0.5:</t>
  </si>
  <si>
    <t>For h/L&gt;=1.0:</t>
  </si>
  <si>
    <t>Use Roof Cp =</t>
  </si>
  <si>
    <t>actual h/L =</t>
  </si>
  <si>
    <t>Zone #1 Roof Cp =</t>
  </si>
  <si>
    <t>Zone #2 Roof Cp =</t>
  </si>
  <si>
    <t>Zone #3 Roof Cp =</t>
  </si>
  <si>
    <t>Zone #4 Roof Cp =</t>
  </si>
  <si>
    <t xml:space="preserve">   e. Building is not classified as a flexible building so it is considered "rigid".</t>
  </si>
  <si>
    <t xml:space="preserve">    f. Building is not subject to across-wind loading, vortex shedding, etc.</t>
  </si>
  <si>
    <t xml:space="preserve">   g. Building has an approximately symmetrical cross section in each direction with either a </t>
  </si>
  <si>
    <t xml:space="preserve">   h. Building is exempted from torsional load cases or torsional load cases do not control any </t>
  </si>
  <si>
    <r>
      <t xml:space="preserve">   g. Components &amp; cladding design wind pressure, P</t>
    </r>
    <r>
      <rPr>
        <sz val="8"/>
        <rFont val="Arial"/>
        <family val="2"/>
      </rPr>
      <t>net</t>
    </r>
    <r>
      <rPr>
        <sz val="10"/>
        <rFont val="Arial"/>
      </rPr>
      <t xml:space="preserve"> = </t>
    </r>
    <r>
      <rPr>
        <sz val="10"/>
        <rFont val="Symbol"/>
        <family val="1"/>
        <charset val="2"/>
      </rPr>
      <t>l</t>
    </r>
    <r>
      <rPr>
        <sz val="10"/>
        <rFont val="Arial"/>
      </rPr>
      <t>*Kzt*</t>
    </r>
    <r>
      <rPr>
        <sz val="10"/>
        <rFont val="Tahoma"/>
        <family val="2"/>
      </rPr>
      <t>I</t>
    </r>
    <r>
      <rPr>
        <sz val="10"/>
        <rFont val="Arial"/>
      </rPr>
      <t>*</t>
    </r>
    <r>
      <rPr>
        <sz val="10"/>
        <rFont val="Arial"/>
        <family val="2"/>
      </rPr>
      <t>p</t>
    </r>
    <r>
      <rPr>
        <sz val="8"/>
        <rFont val="Arial"/>
        <family val="2"/>
      </rPr>
      <t>net30</t>
    </r>
    <r>
      <rPr>
        <sz val="10"/>
        <rFont val="Arial"/>
        <family val="2"/>
      </rPr>
      <t>, in psf.</t>
    </r>
  </si>
  <si>
    <r>
      <t xml:space="preserve"> p</t>
    </r>
    <r>
      <rPr>
        <sz val="8"/>
        <rFont val="Arial"/>
        <family val="2"/>
      </rPr>
      <t>net</t>
    </r>
    <r>
      <rPr>
        <sz val="8"/>
        <rFont val="Arial"/>
        <family val="2"/>
      </rPr>
      <t xml:space="preserve"> = </t>
    </r>
    <r>
      <rPr>
        <sz val="8"/>
        <rFont val="Symbol"/>
        <family val="1"/>
        <charset val="2"/>
      </rPr>
      <t>l</t>
    </r>
    <r>
      <rPr>
        <sz val="8"/>
        <rFont val="Arial"/>
        <family val="2"/>
      </rPr>
      <t>*Kzt*</t>
    </r>
    <r>
      <rPr>
        <sz val="8"/>
        <rFont val="Tahoma"/>
        <family val="2"/>
      </rPr>
      <t>I</t>
    </r>
    <r>
      <rPr>
        <sz val="8"/>
        <rFont val="Arial"/>
        <family val="2"/>
      </rPr>
      <t>*p</t>
    </r>
    <r>
      <rPr>
        <sz val="8"/>
        <rFont val="Arial"/>
        <family val="2"/>
      </rPr>
      <t>net30</t>
    </r>
  </si>
  <si>
    <r>
      <t>(p</t>
    </r>
    <r>
      <rPr>
        <sz val="8"/>
        <rFont val="Arial"/>
        <family val="2"/>
      </rPr>
      <t>net30 from Fig. 6-3</t>
    </r>
    <r>
      <rPr>
        <sz val="8"/>
        <rFont val="Arial"/>
        <family val="2"/>
      </rPr>
      <t>)</t>
    </r>
  </si>
  <si>
    <r>
      <t xml:space="preserve"> ps = </t>
    </r>
    <r>
      <rPr>
        <sz val="8"/>
        <rFont val="Symbol"/>
        <family val="1"/>
        <charset val="2"/>
      </rPr>
      <t>l</t>
    </r>
    <r>
      <rPr>
        <sz val="8"/>
        <rFont val="Arial"/>
        <family val="2"/>
      </rPr>
      <t>*Kzt*</t>
    </r>
    <r>
      <rPr>
        <sz val="8"/>
        <rFont val="Tahoma"/>
        <family val="2"/>
      </rPr>
      <t>I</t>
    </r>
    <r>
      <rPr>
        <sz val="8"/>
        <rFont val="Arial"/>
        <family val="2"/>
      </rPr>
      <t>*p</t>
    </r>
    <r>
      <rPr>
        <sz val="8"/>
        <rFont val="Arial"/>
        <family val="2"/>
      </rPr>
      <t>s30</t>
    </r>
  </si>
  <si>
    <r>
      <t>(p</t>
    </r>
    <r>
      <rPr>
        <sz val="8"/>
        <rFont val="Arial"/>
        <family val="2"/>
      </rPr>
      <t>s30 from Fig. 6-2</t>
    </r>
    <r>
      <rPr>
        <sz val="8"/>
        <rFont val="Arial"/>
        <family val="2"/>
      </rPr>
      <t>)</t>
    </r>
  </si>
  <si>
    <r>
      <t>Longitudinal MWFRS Net Pressures, p</t>
    </r>
    <r>
      <rPr>
        <b/>
        <sz val="8"/>
        <rFont val="Arial"/>
        <family val="2"/>
      </rPr>
      <t>s</t>
    </r>
    <r>
      <rPr>
        <b/>
        <sz val="10"/>
        <rFont val="Arial"/>
        <family val="2"/>
      </rPr>
      <t xml:space="preserve"> </t>
    </r>
    <r>
      <rPr>
        <b/>
        <sz val="8"/>
        <rFont val="Arial"/>
        <family val="2"/>
      </rPr>
      <t>(psf)</t>
    </r>
  </si>
  <si>
    <r>
      <t>Transverse MWFRS Net Pressures, p</t>
    </r>
    <r>
      <rPr>
        <b/>
        <sz val="8"/>
        <rFont val="Arial"/>
        <family val="2"/>
      </rPr>
      <t>s</t>
    </r>
    <r>
      <rPr>
        <b/>
        <sz val="10"/>
        <rFont val="Arial"/>
        <family val="2"/>
      </rPr>
      <t xml:space="preserve"> </t>
    </r>
    <r>
      <rPr>
        <b/>
        <sz val="8"/>
        <rFont val="Arial"/>
        <family val="2"/>
      </rPr>
      <t>(psf)</t>
    </r>
  </si>
  <si>
    <r>
      <t>Components &amp; Cladding Net Pressures, p</t>
    </r>
    <r>
      <rPr>
        <b/>
        <sz val="8"/>
        <rFont val="Arial"/>
        <family val="2"/>
      </rPr>
      <t>s</t>
    </r>
    <r>
      <rPr>
        <b/>
        <sz val="10"/>
        <rFont val="Arial"/>
        <family val="2"/>
      </rPr>
      <t xml:space="preserve"> </t>
    </r>
    <r>
      <rPr>
        <b/>
        <sz val="8"/>
        <rFont val="Arial"/>
        <family val="2"/>
      </rPr>
      <t>(psf)</t>
    </r>
  </si>
  <si>
    <t>Reduction Factor =</t>
  </si>
  <si>
    <t>Applicable Area  =</t>
  </si>
  <si>
    <t>L &amp; B or B &amp; L:</t>
  </si>
  <si>
    <t>Use 'a' =</t>
  </si>
  <si>
    <t>Compare to 0.4*h:</t>
  </si>
  <si>
    <t>ft.</t>
  </si>
  <si>
    <t>Compare to 3':</t>
  </si>
  <si>
    <t>Input Data:</t>
  </si>
  <si>
    <t>Wind Speed, V =</t>
  </si>
  <si>
    <t>Ridge Height, hr =</t>
  </si>
  <si>
    <t>Eave Height, he =</t>
  </si>
  <si>
    <t>Topo. Factor, Kzt =</t>
  </si>
  <si>
    <t>Mean Roof  Ht., h =</t>
  </si>
  <si>
    <t>C</t>
  </si>
  <si>
    <t>Gust Factor, G =</t>
  </si>
  <si>
    <t>I =</t>
  </si>
  <si>
    <t>b(bar) =</t>
  </si>
  <si>
    <t>V(bar,zbar) =</t>
  </si>
  <si>
    <t>c =</t>
  </si>
  <si>
    <t>N1 =</t>
  </si>
  <si>
    <t>Rn =</t>
  </si>
  <si>
    <t>z(min) =</t>
  </si>
  <si>
    <t>Rh =</t>
  </si>
  <si>
    <t>z(bar) =</t>
  </si>
  <si>
    <t>Iz(bar) =</t>
  </si>
  <si>
    <t>Lz(bar) =</t>
  </si>
  <si>
    <t>Q =</t>
  </si>
  <si>
    <t>R =</t>
  </si>
  <si>
    <t>Resulting Parameters and Coefficients:</t>
  </si>
  <si>
    <t>CALCULATIONS:</t>
  </si>
  <si>
    <t>Windward Roof Cp Values</t>
  </si>
  <si>
    <t>Leeward Roof Cp Values</t>
  </si>
  <si>
    <t>Ct =</t>
  </si>
  <si>
    <r>
      <t>a</t>
    </r>
    <r>
      <rPr>
        <sz val="10"/>
        <rFont val="Arial"/>
      </rPr>
      <t>(bar) =</t>
    </r>
  </si>
  <si>
    <r>
      <t>a</t>
    </r>
    <r>
      <rPr>
        <sz val="10"/>
        <rFont val="Arial"/>
      </rPr>
      <t>^ =</t>
    </r>
  </si>
  <si>
    <t>b^ =</t>
  </si>
  <si>
    <r>
      <t>h</t>
    </r>
    <r>
      <rPr>
        <sz val="10"/>
        <rFont val="Arial"/>
        <family val="2"/>
      </rPr>
      <t>h =</t>
    </r>
  </si>
  <si>
    <r>
      <t>b</t>
    </r>
    <r>
      <rPr>
        <sz val="10"/>
        <color indexed="8"/>
        <rFont val="Arial"/>
        <family val="2"/>
      </rPr>
      <t xml:space="preserve"> =</t>
    </r>
  </si>
  <si>
    <t>G =</t>
  </si>
  <si>
    <r>
      <t>l</t>
    </r>
    <r>
      <rPr>
        <sz val="10"/>
        <rFont val="Arial"/>
      </rPr>
      <t xml:space="preserve"> =</t>
    </r>
  </si>
  <si>
    <t>+GCpi Coef. (PIP) =</t>
  </si>
  <si>
    <t>-GCpi Coef. (NIP) =</t>
  </si>
  <si>
    <t>(for Roof Cp = -1.3)</t>
  </si>
  <si>
    <t>(Kh = Kz evaluated at z = h)</t>
  </si>
  <si>
    <t>Applicable L/B ratio =</t>
  </si>
  <si>
    <t>Applicable h/L ratio =</t>
  </si>
  <si>
    <t>+GCpi Coef. =</t>
  </si>
  <si>
    <t>-GCpi Coef. =</t>
  </si>
  <si>
    <t>freq., f =</t>
  </si>
  <si>
    <t>hz.</t>
  </si>
  <si>
    <t>qh =</t>
  </si>
  <si>
    <t>m</t>
  </si>
  <si>
    <t>(w/ +GCpi)</t>
  </si>
  <si>
    <t>(w/ -GCpi)</t>
  </si>
  <si>
    <t>Notes:  1. (+) and (-) signs signify wind pressures acting toward &amp; away from respective surfaces.</t>
  </si>
  <si>
    <t>G</t>
  </si>
  <si>
    <t>Period Coef., Ct =</t>
  </si>
  <si>
    <t>(Gable or Monoslope)</t>
  </si>
  <si>
    <t>Purlin</t>
  </si>
  <si>
    <r>
      <t>h</t>
    </r>
    <r>
      <rPr>
        <sz val="10"/>
        <rFont val="Arial"/>
        <family val="2"/>
      </rPr>
      <t>d =</t>
    </r>
  </si>
  <si>
    <t>Determination of Gust Effect Factor, G:</t>
  </si>
  <si>
    <t>Period Coefficient</t>
  </si>
  <si>
    <t>f =</t>
  </si>
  <si>
    <t>Damping Ratio</t>
  </si>
  <si>
    <t>Use: G =</t>
  </si>
  <si>
    <t>Gf =</t>
  </si>
  <si>
    <t>T =</t>
  </si>
  <si>
    <t>(Assume: T = Ct*h^(3/4) , and f = 1/T)</t>
  </si>
  <si>
    <r>
      <t>a</t>
    </r>
    <r>
      <rPr>
        <sz val="10"/>
        <rFont val="Arial"/>
        <family val="2"/>
      </rPr>
      <t xml:space="preserve"> </t>
    </r>
    <r>
      <rPr>
        <sz val="10"/>
        <rFont val="Arial"/>
      </rPr>
      <t>=</t>
    </r>
  </si>
  <si>
    <r>
      <t xml:space="preserve">Damping Ratio, </t>
    </r>
    <r>
      <rPr>
        <sz val="10"/>
        <color indexed="8"/>
        <rFont val="Symbol"/>
        <family val="1"/>
        <charset val="2"/>
      </rPr>
      <t>b</t>
    </r>
    <r>
      <rPr>
        <sz val="10"/>
        <color indexed="8"/>
        <rFont val="Arial"/>
        <family val="2"/>
      </rPr>
      <t xml:space="preserve"> =</t>
    </r>
  </si>
  <si>
    <r>
      <t xml:space="preserve">Roof Angle, </t>
    </r>
    <r>
      <rPr>
        <sz val="10"/>
        <rFont val="Symbol"/>
        <family val="1"/>
        <charset val="2"/>
      </rPr>
      <t>q</t>
    </r>
    <r>
      <rPr>
        <sz val="10"/>
        <rFont val="Arial"/>
      </rPr>
      <t xml:space="preserve"> =</t>
    </r>
  </si>
  <si>
    <r>
      <t xml:space="preserve">Roof Angle, </t>
    </r>
    <r>
      <rPr>
        <sz val="10"/>
        <color indexed="12"/>
        <rFont val="Symbol"/>
        <family val="1"/>
        <charset val="2"/>
      </rPr>
      <t>q</t>
    </r>
    <r>
      <rPr>
        <sz val="10"/>
        <color indexed="12"/>
        <rFont val="Arial"/>
        <family val="2"/>
      </rPr>
      <t xml:space="preserve"> =</t>
    </r>
  </si>
  <si>
    <r>
      <t xml:space="preserve">Determine </t>
    </r>
    <r>
      <rPr>
        <sz val="10"/>
        <color indexed="12"/>
        <rFont val="Symbol"/>
        <family val="1"/>
        <charset val="2"/>
      </rPr>
      <t>a</t>
    </r>
    <r>
      <rPr>
        <sz val="10"/>
        <color indexed="12"/>
        <rFont val="Arial"/>
        <family val="2"/>
      </rPr>
      <t>, zg, Kh, I, and qh:</t>
    </r>
  </si>
  <si>
    <r>
      <t>a</t>
    </r>
    <r>
      <rPr>
        <sz val="10"/>
        <color indexed="12"/>
        <rFont val="Arial"/>
        <family val="2"/>
      </rPr>
      <t xml:space="preserve"> =</t>
    </r>
  </si>
  <si>
    <r>
      <t xml:space="preserve">For 10 &lt;= </t>
    </r>
    <r>
      <rPr>
        <sz val="10"/>
        <color indexed="12"/>
        <rFont val="Symbol"/>
        <family val="1"/>
        <charset val="2"/>
      </rPr>
      <t>q</t>
    </r>
    <r>
      <rPr>
        <sz val="10"/>
        <color indexed="12"/>
        <rFont val="Arial"/>
        <family val="2"/>
      </rPr>
      <t xml:space="preserve"> &lt;= 45:</t>
    </r>
  </si>
  <si>
    <r>
      <t xml:space="preserve">For </t>
    </r>
    <r>
      <rPr>
        <sz val="10"/>
        <color indexed="12"/>
        <rFont val="Symbol"/>
        <family val="1"/>
        <charset val="2"/>
      </rPr>
      <t>q</t>
    </r>
    <r>
      <rPr>
        <sz val="10"/>
        <color indexed="12"/>
        <rFont val="Arial"/>
        <family val="2"/>
      </rPr>
      <t xml:space="preserve"> &lt; 10 for Wind Normal to Ridge:</t>
    </r>
  </si>
  <si>
    <r>
      <t xml:space="preserve">For All </t>
    </r>
    <r>
      <rPr>
        <sz val="10"/>
        <color indexed="12"/>
        <rFont val="Symbol"/>
        <family val="1"/>
        <charset val="2"/>
      </rPr>
      <t>q</t>
    </r>
    <r>
      <rPr>
        <sz val="10"/>
        <color indexed="12"/>
        <rFont val="Arial"/>
        <family val="2"/>
      </rPr>
      <t xml:space="preserve"> for Wind Parallel to Ridge:</t>
    </r>
  </si>
  <si>
    <t>For z = he:</t>
  </si>
  <si>
    <t>For z = h:</t>
  </si>
  <si>
    <t>(Normal or Parallel to building ridge)</t>
  </si>
  <si>
    <t>= 0.6*h ,  but not &lt; z(min) ,  ft.</t>
  </si>
  <si>
    <t>= 4.6*f*h/(V(bar,zbar))</t>
  </si>
  <si>
    <t>Version 1.1</t>
  </si>
  <si>
    <t>WIND LOADING ANALYSIS - Roof Components and Cladding</t>
  </si>
  <si>
    <t>Direct. Factor, Kd =</t>
  </si>
  <si>
    <t>(Table 6-1)</t>
  </si>
  <si>
    <t xml:space="preserve">TABLE:  </t>
  </si>
  <si>
    <t>Area</t>
  </si>
  <si>
    <t>LoadPat</t>
  </si>
  <si>
    <t>CoordSys</t>
  </si>
  <si>
    <t>Dir</t>
  </si>
  <si>
    <t>UnifLoad</t>
  </si>
  <si>
    <t>DistType</t>
  </si>
  <si>
    <t/>
  </si>
  <si>
    <t>KN/m2</t>
  </si>
  <si>
    <t>WX1+</t>
  </si>
  <si>
    <t>Local</t>
  </si>
  <si>
    <t>3</t>
  </si>
  <si>
    <t>One way</t>
  </si>
  <si>
    <t>WX1-</t>
  </si>
  <si>
    <t>WY1+</t>
  </si>
  <si>
    <t>WY1-</t>
  </si>
  <si>
    <t>WX2+</t>
  </si>
  <si>
    <t>WX2-</t>
  </si>
  <si>
    <t>WY2+</t>
  </si>
  <si>
    <t>WY2-</t>
  </si>
  <si>
    <t>GLOBAL</t>
  </si>
  <si>
    <t>Gravity</t>
  </si>
  <si>
    <t>Lr</t>
  </si>
  <si>
    <t>M1</t>
  </si>
  <si>
    <t>M2</t>
  </si>
  <si>
    <t>- Hoạt tải mái</t>
  </si>
  <si>
    <t>- Tĩnh tải mái</t>
  </si>
  <si>
    <t>SƠ ĐỒ PHẦN TỬ TẤM</t>
  </si>
  <si>
    <t>A1</t>
  </si>
  <si>
    <t>B1</t>
  </si>
  <si>
    <t>C1</t>
  </si>
  <si>
    <t>D1</t>
  </si>
  <si>
    <t>A3</t>
  </si>
  <si>
    <t>A2</t>
  </si>
  <si>
    <t>C2</t>
  </si>
  <si>
    <t>C3</t>
  </si>
  <si>
    <t>B2</t>
  </si>
  <si>
    <t>B3</t>
  </si>
  <si>
    <t>D2</t>
  </si>
  <si>
    <t>D3</t>
  </si>
  <si>
    <t>A4</t>
  </si>
  <si>
    <t>C4</t>
  </si>
  <si>
    <t>Using Method 2: Envelope Procedure (Chapter 2.8) for Low-Rise Buildings</t>
  </si>
  <si>
    <r>
      <t xml:space="preserve">Per ASCE 7-10 Code for Bldgs. of Any Height with Gable Roof </t>
    </r>
    <r>
      <rPr>
        <b/>
        <sz val="10"/>
        <color indexed="10"/>
        <rFont val="Symbol"/>
        <family val="1"/>
        <charset val="2"/>
      </rPr>
      <t>q</t>
    </r>
    <r>
      <rPr>
        <b/>
        <sz val="10"/>
        <color indexed="10"/>
        <rFont val="Arial"/>
        <family val="2"/>
      </rPr>
      <t xml:space="preserve"> &lt;= 45</t>
    </r>
    <r>
      <rPr>
        <b/>
        <vertAlign val="superscript"/>
        <sz val="10"/>
        <color indexed="10"/>
        <rFont val="Arial"/>
        <family val="2"/>
      </rPr>
      <t>o</t>
    </r>
    <r>
      <rPr>
        <b/>
        <sz val="10"/>
        <color indexed="10"/>
        <rFont val="Arial"/>
        <family val="2"/>
      </rPr>
      <t xml:space="preserve"> or Monoslope Roof </t>
    </r>
    <r>
      <rPr>
        <b/>
        <sz val="10"/>
        <color indexed="10"/>
        <rFont val="Symbol"/>
        <family val="1"/>
        <charset val="2"/>
      </rPr>
      <t>q</t>
    </r>
    <r>
      <rPr>
        <b/>
        <sz val="10"/>
        <color indexed="10"/>
        <rFont val="Arial"/>
        <family val="2"/>
      </rPr>
      <t xml:space="preserve"> &lt;= 3</t>
    </r>
    <r>
      <rPr>
        <b/>
        <vertAlign val="superscript"/>
        <sz val="10"/>
        <color indexed="10"/>
        <rFont val="Arial"/>
        <family val="2"/>
      </rPr>
      <t>o</t>
    </r>
  </si>
  <si>
    <t>(Sect. 26.8.2 &amp; Figure 26.8-1)</t>
  </si>
  <si>
    <t>(Table 26.6-1)</t>
  </si>
  <si>
    <t>(Sect. 26.2)</t>
  </si>
  <si>
    <t>(Table 26.9-1)</t>
  </si>
  <si>
    <t>qh = 0.00256*Kh*Kzt*Kd*V^2  (qz evaluated at z = h)</t>
  </si>
  <si>
    <t xml:space="preserve">kmh  </t>
  </si>
  <si>
    <t>(section 26.9.5)</t>
  </si>
  <si>
    <t>(Table 12.8-2)</t>
  </si>
  <si>
    <t>= 0.925*((1+1.7*gq*Iz(bar)*Q)/(1+1.7*gv*Iz(bar))) ,  Eq. 26.9-6</t>
  </si>
  <si>
    <t>= c*(33/z(bar))^(1/6) ,  Eq. 26.9-7</t>
  </si>
  <si>
    <r>
      <t xml:space="preserve">= </t>
    </r>
    <r>
      <rPr>
        <sz val="10"/>
        <color indexed="8"/>
        <rFont val="Italic"/>
      </rPr>
      <t>l</t>
    </r>
    <r>
      <rPr>
        <sz val="10"/>
        <color indexed="8"/>
        <rFont val="Arial"/>
        <family val="2"/>
      </rPr>
      <t>*(z(bar)/33)^(</t>
    </r>
    <r>
      <rPr>
        <sz val="10"/>
        <color indexed="8"/>
        <rFont val="Symbol"/>
        <family val="1"/>
        <charset val="2"/>
      </rPr>
      <t>e</t>
    </r>
    <r>
      <rPr>
        <sz val="10"/>
        <color indexed="8"/>
        <rFont val="Arial"/>
        <family val="2"/>
      </rPr>
      <t>(bar))</t>
    </r>
    <r>
      <rPr>
        <sz val="10"/>
        <color indexed="8"/>
        <rFont val="Symbol"/>
        <family val="1"/>
        <charset val="2"/>
      </rPr>
      <t xml:space="preserve"> ,  </t>
    </r>
    <r>
      <rPr>
        <sz val="10"/>
        <color indexed="8"/>
        <rFont val="Arial"/>
        <family val="2"/>
      </rPr>
      <t>Eq. 26.9-9</t>
    </r>
  </si>
  <si>
    <t>= (2*(LN(3600*f)))^(1/2)+0.577/(2*LN(3600*f))^(1/2) , Eq. 26.9-11</t>
  </si>
  <si>
    <t>= (1/(1+0.63*((B+h)/Lz(bar))^0.63))^(1/2) ,  Eq. 26.9-8</t>
  </si>
  <si>
    <t>(3.4, per Sect. 26.9.4)</t>
  </si>
  <si>
    <r>
      <t>= b(bar)*(z(bar)/33)^(</t>
    </r>
    <r>
      <rPr>
        <sz val="10"/>
        <color indexed="8"/>
        <rFont val="Symbol"/>
        <family val="1"/>
        <charset val="2"/>
      </rPr>
      <t>a</t>
    </r>
    <r>
      <rPr>
        <sz val="10"/>
        <color indexed="8"/>
        <rFont val="Arial"/>
        <family val="2"/>
      </rPr>
      <t>(bar))*V*(88/60) ,  ft./sec. , Eq. 26.9-16</t>
    </r>
  </si>
  <si>
    <t>= f*Lz(bar)/(V(bar,zbar)) , Eq. 26.9-14</t>
  </si>
  <si>
    <t>= 7.47*N1/(1+10.3*N1)^(5/3) , Eq. 26.9-13</t>
  </si>
  <si>
    <r>
      <t>= (1/</t>
    </r>
    <r>
      <rPr>
        <sz val="10"/>
        <color indexed="8"/>
        <rFont val="Symbol"/>
        <family val="1"/>
        <charset val="2"/>
      </rPr>
      <t>h</t>
    </r>
    <r>
      <rPr>
        <sz val="10"/>
        <color indexed="8"/>
        <rFont val="Arial"/>
        <family val="2"/>
      </rPr>
      <t>h</t>
    </r>
    <r>
      <rPr>
        <sz val="10"/>
        <color indexed="8"/>
        <rFont val="Arial"/>
        <family val="2"/>
      </rPr>
      <t>)-1/(2*</t>
    </r>
    <r>
      <rPr>
        <sz val="10"/>
        <color indexed="8"/>
        <rFont val="Symbol"/>
        <family val="1"/>
        <charset val="2"/>
      </rPr>
      <t>h</t>
    </r>
    <r>
      <rPr>
        <sz val="10"/>
        <color indexed="8"/>
        <rFont val="Arial"/>
        <family val="2"/>
      </rPr>
      <t>h</t>
    </r>
    <r>
      <rPr>
        <sz val="10"/>
        <color indexed="8"/>
        <rFont val="Arial"/>
        <family val="2"/>
      </rPr>
      <t>^2)*(1-e^(-2*</t>
    </r>
    <r>
      <rPr>
        <sz val="10"/>
        <color indexed="8"/>
        <rFont val="Symbol"/>
        <family val="1"/>
        <charset val="2"/>
      </rPr>
      <t>h</t>
    </r>
    <r>
      <rPr>
        <sz val="10"/>
        <color indexed="8"/>
        <rFont val="Arial"/>
        <family val="2"/>
      </rPr>
      <t>h</t>
    </r>
    <r>
      <rPr>
        <sz val="10"/>
        <color indexed="8"/>
        <rFont val="Arial"/>
        <family val="2"/>
      </rPr>
      <t xml:space="preserve">))  for </t>
    </r>
    <r>
      <rPr>
        <sz val="10"/>
        <color indexed="8"/>
        <rFont val="Symbol"/>
        <family val="1"/>
        <charset val="2"/>
      </rPr>
      <t>h</t>
    </r>
    <r>
      <rPr>
        <sz val="10"/>
        <color indexed="8"/>
        <rFont val="Arial"/>
        <family val="2"/>
      </rPr>
      <t>h</t>
    </r>
    <r>
      <rPr>
        <sz val="10"/>
        <color indexed="8"/>
        <rFont val="Arial"/>
        <family val="2"/>
      </rPr>
      <t xml:space="preserve">&gt;0,  or  = 1  for </t>
    </r>
    <r>
      <rPr>
        <sz val="10"/>
        <color indexed="8"/>
        <rFont val="Symbol"/>
        <family val="1"/>
        <charset val="2"/>
      </rPr>
      <t>h</t>
    </r>
    <r>
      <rPr>
        <sz val="10"/>
        <color indexed="8"/>
        <rFont val="Arial"/>
        <family val="2"/>
      </rPr>
      <t>h</t>
    </r>
    <r>
      <rPr>
        <sz val="10"/>
        <color indexed="8"/>
        <rFont val="Arial"/>
        <family val="2"/>
      </rPr>
      <t xml:space="preserve">=0 ,Eq. 26.9-15a,b </t>
    </r>
  </si>
  <si>
    <r>
      <t>= (1/</t>
    </r>
    <r>
      <rPr>
        <sz val="10"/>
        <color indexed="8"/>
        <rFont val="Symbol"/>
        <family val="1"/>
        <charset val="2"/>
      </rPr>
      <t>h</t>
    </r>
    <r>
      <rPr>
        <sz val="10"/>
        <color indexed="8"/>
        <rFont val="Arial"/>
        <family val="2"/>
      </rPr>
      <t>d</t>
    </r>
    <r>
      <rPr>
        <sz val="10"/>
        <color indexed="8"/>
        <rFont val="Arial"/>
        <family val="2"/>
      </rPr>
      <t>)-1/(2*</t>
    </r>
    <r>
      <rPr>
        <sz val="10"/>
        <color indexed="8"/>
        <rFont val="Symbol"/>
        <family val="1"/>
        <charset val="2"/>
      </rPr>
      <t>h</t>
    </r>
    <r>
      <rPr>
        <sz val="10"/>
        <color indexed="8"/>
        <rFont val="Arial"/>
        <family val="2"/>
      </rPr>
      <t>d</t>
    </r>
    <r>
      <rPr>
        <sz val="10"/>
        <color indexed="8"/>
        <rFont val="Arial"/>
        <family val="2"/>
      </rPr>
      <t>^2)*(1-e^(-2*</t>
    </r>
    <r>
      <rPr>
        <sz val="10"/>
        <color indexed="8"/>
        <rFont val="Symbol"/>
        <family val="1"/>
        <charset val="2"/>
      </rPr>
      <t>h</t>
    </r>
    <r>
      <rPr>
        <sz val="10"/>
        <color indexed="8"/>
        <rFont val="Arial"/>
        <family val="2"/>
      </rPr>
      <t>d</t>
    </r>
    <r>
      <rPr>
        <sz val="10"/>
        <color indexed="8"/>
        <rFont val="Arial"/>
        <family val="2"/>
      </rPr>
      <t xml:space="preserve">))  for </t>
    </r>
    <r>
      <rPr>
        <sz val="10"/>
        <color indexed="8"/>
        <rFont val="Symbol"/>
        <family val="1"/>
        <charset val="2"/>
      </rPr>
      <t>h</t>
    </r>
    <r>
      <rPr>
        <sz val="10"/>
        <color indexed="8"/>
        <rFont val="Arial"/>
        <family val="2"/>
      </rPr>
      <t>d</t>
    </r>
    <r>
      <rPr>
        <sz val="10"/>
        <color indexed="8"/>
        <rFont val="Arial"/>
        <family val="2"/>
      </rPr>
      <t xml:space="preserve">&gt;0,  or  = 1  for </t>
    </r>
    <r>
      <rPr>
        <sz val="10"/>
        <color indexed="8"/>
        <rFont val="Symbol"/>
        <family val="1"/>
        <charset val="2"/>
      </rPr>
      <t>h</t>
    </r>
    <r>
      <rPr>
        <sz val="10"/>
        <color indexed="8"/>
        <rFont val="Arial"/>
        <family val="2"/>
      </rPr>
      <t>d</t>
    </r>
    <r>
      <rPr>
        <sz val="10"/>
        <color indexed="8"/>
        <rFont val="Arial"/>
        <family val="2"/>
      </rPr>
      <t xml:space="preserve">=0 ,Eq. 26.9-15a,b </t>
    </r>
  </si>
  <si>
    <t xml:space="preserve">Eq. 26.9-10  </t>
  </si>
  <si>
    <t>Using Directional Procedure (Chapter 2.7) for all height Buildings</t>
  </si>
  <si>
    <t xml:space="preserve"> Figure 27.4-8 - Design Wind Load Cases of MWFRS for Buildings of All Heights</t>
  </si>
  <si>
    <t xml:space="preserve">            2. Per Code Section 27.4.7, the minimum wind load for MWFRS shall not be less than 0,77 kN/m2.</t>
  </si>
  <si>
    <t>: a. ASCE 7-10, "Minimum Design Loads for Buildings and Other Structures".</t>
  </si>
  <si>
    <t>Design Net External Wind Pressures (Sect. 27.4.2):</t>
  </si>
  <si>
    <t>p = qz*G*Cp - qi*(+/-GCpi)  for windward wall  (psf),  where: qi =qh (Eq. 27.4-1)</t>
  </si>
  <si>
    <t>p = qh*G*Cp - qi*(+/-GCpi)  for leeward wall, sidewalls, and roof  (psf),  where: qi = qh (Sect. 27.4.1)</t>
  </si>
  <si>
    <t>(Sect. 26.9)</t>
  </si>
  <si>
    <t xml:space="preserve">    Parameters Used in Both Item #2 and Item #3 Calculations (from Table 26.9-1):</t>
  </si>
  <si>
    <r>
      <t>If  z &lt;= 15  then:  Kz = 2.01*(15/zg)^(2/</t>
    </r>
    <r>
      <rPr>
        <sz val="10"/>
        <rFont val="Symbol"/>
        <family val="1"/>
        <charset val="2"/>
      </rPr>
      <t>a</t>
    </r>
    <r>
      <rPr>
        <sz val="10"/>
        <rFont val="Arial"/>
      </rPr>
      <t>) ,  If  z &gt; 15 then:  Kz = 2.01*(z/zg)^(2/</t>
    </r>
    <r>
      <rPr>
        <sz val="10"/>
        <rFont val="Symbol"/>
        <family val="1"/>
        <charset val="2"/>
      </rPr>
      <t>a</t>
    </r>
    <r>
      <rPr>
        <sz val="10"/>
        <rFont val="Arial"/>
      </rPr>
      <t>)  (Table 27.3-1)</t>
    </r>
  </si>
  <si>
    <t>Velocity Pressure: qz = 0.00256*Kz*Kzt*Kd*V^2 (Sect. 6.5.10, Eq. 6-15)</t>
  </si>
  <si>
    <t>Positive &amp; Negative Internal Pressure Coefficients, GCpi :</t>
  </si>
  <si>
    <t>Roof Pressure Coefficients, Cp:</t>
  </si>
  <si>
    <t>(Fig. 27.4-1)</t>
  </si>
  <si>
    <t>(table 26.11-1)   (positive internal pressure)</t>
  </si>
  <si>
    <t>Per ASCE 7 Code for Enclosed or Partially Enclosed Buildings</t>
  </si>
  <si>
    <t>Địa hình</t>
  </si>
  <si>
    <t>a</t>
  </si>
  <si>
    <r>
      <t>z</t>
    </r>
    <r>
      <rPr>
        <vertAlign val="subscript"/>
        <sz val="11"/>
        <color theme="1"/>
        <rFont val="Calibri"/>
        <family val="2"/>
        <scheme val="minor"/>
      </rPr>
      <t>g</t>
    </r>
    <r>
      <rPr>
        <sz val="10"/>
        <rFont val="Arial"/>
      </rPr>
      <t xml:space="preserve"> (m)</t>
    </r>
  </si>
  <si>
    <r>
      <t>z</t>
    </r>
    <r>
      <rPr>
        <vertAlign val="subscript"/>
        <sz val="11"/>
        <color theme="1"/>
        <rFont val="Calibri"/>
        <family val="2"/>
        <scheme val="minor"/>
      </rPr>
      <t>min</t>
    </r>
    <r>
      <rPr>
        <sz val="10"/>
        <rFont val="Arial"/>
      </rPr>
      <t xml:space="preserve"> (m)</t>
    </r>
  </si>
  <si>
    <t>Vận tốc gió 3s (m/s)</t>
  </si>
  <si>
    <t>Vùng</t>
  </si>
  <si>
    <t>V</t>
  </si>
  <si>
    <t>Chu kỳ lặp</t>
  </si>
  <si>
    <t>Hệ số</t>
  </si>
  <si>
    <r>
      <t>V</t>
    </r>
    <r>
      <rPr>
        <b/>
        <vertAlign val="subscript"/>
        <sz val="11"/>
        <color theme="1"/>
        <rFont val="Calibri"/>
        <family val="2"/>
        <scheme val="minor"/>
      </rPr>
      <t>3s,50</t>
    </r>
  </si>
  <si>
    <r>
      <t>V</t>
    </r>
    <r>
      <rPr>
        <b/>
        <vertAlign val="subscript"/>
        <sz val="11"/>
        <color theme="1"/>
        <rFont val="Calibri"/>
        <family val="2"/>
        <scheme val="minor"/>
      </rPr>
      <t>3s,300</t>
    </r>
  </si>
  <si>
    <r>
      <t>V</t>
    </r>
    <r>
      <rPr>
        <b/>
        <vertAlign val="subscript"/>
        <sz val="11"/>
        <color theme="1"/>
        <rFont val="Calibri"/>
        <family val="2"/>
        <scheme val="minor"/>
      </rPr>
      <t>3s,700</t>
    </r>
  </si>
  <si>
    <r>
      <t>V</t>
    </r>
    <r>
      <rPr>
        <b/>
        <vertAlign val="subscript"/>
        <sz val="11"/>
        <color theme="1"/>
        <rFont val="Calibri"/>
        <family val="2"/>
        <scheme val="minor"/>
      </rPr>
      <t>3s,1700</t>
    </r>
  </si>
  <si>
    <t>Item
Hạng mục</t>
  </si>
  <si>
    <t>Factory
Nhà xưởng</t>
  </si>
  <si>
    <t>Return period wind speed</t>
  </si>
  <si>
    <t>km/h</t>
  </si>
  <si>
    <t>m/s</t>
  </si>
  <si>
    <t>Roof angle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</si>
</sst>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0.0000"/>
    <numFmt numFmtId="165" formatCode="0.000"/>
    <numFmt numFmtId="166" formatCode="0.0"/>
    <numFmt numFmtId="167" formatCode="m/d/yy\ h:mm\ AM/PM"/>
    <numFmt numFmtId="168" formatCode="&quot;$&quot;#,##0\ ;\(&quot;$&quot;#,##0\)"/>
    <numFmt numFmtId="169" formatCode="_(* #,##0_);_(* \(#,##0\);_(* &quot;-&quot;??_);_(@_)"/>
  </numFmts>
  <fonts count="77" x14ac:knownFonts="1">
    <font>
      <sz val="10"/>
      <name val="Arial"/>
    </font>
    <font>
      <b/>
      <sz val="10"/>
      <name val="Arial"/>
    </font>
    <font>
      <sz val="10"/>
      <name val="Arial"/>
      <family val="2"/>
    </font>
    <font>
      <b/>
      <u/>
      <sz val="10"/>
      <name val="Arial"/>
      <family val="2"/>
    </font>
    <font>
      <sz val="10"/>
      <color indexed="12"/>
      <name val="Arial"/>
      <family val="2"/>
    </font>
    <font>
      <sz val="10"/>
      <name val="Arial"/>
      <family val="2"/>
    </font>
    <font>
      <sz val="10"/>
      <color indexed="8"/>
      <name val="Arial"/>
      <family val="2"/>
    </font>
    <font>
      <b/>
      <sz val="10"/>
      <color indexed="10"/>
      <name val="Arial"/>
      <family val="2"/>
    </font>
    <font>
      <sz val="10"/>
      <color indexed="10"/>
      <name val="Arial"/>
      <family val="2"/>
    </font>
    <font>
      <sz val="10"/>
      <name val="GreekC"/>
    </font>
    <font>
      <sz val="10"/>
      <color indexed="8"/>
      <name val="GreekC"/>
    </font>
    <font>
      <sz val="10"/>
      <name val="Italic"/>
    </font>
    <font>
      <sz val="10"/>
      <name val="GreekS"/>
    </font>
    <font>
      <b/>
      <sz val="12"/>
      <name val="Arial"/>
      <family val="2"/>
    </font>
    <font>
      <b/>
      <sz val="10"/>
      <color indexed="8"/>
      <name val="Arial"/>
      <family val="2"/>
    </font>
    <font>
      <b/>
      <vertAlign val="superscript"/>
      <sz val="10"/>
      <color indexed="10"/>
      <name val="Arial"/>
      <family val="2"/>
    </font>
    <font>
      <sz val="8"/>
      <color indexed="81"/>
      <name val="Tahoma"/>
      <family val="2"/>
    </font>
    <font>
      <u/>
      <sz val="8"/>
      <color indexed="81"/>
      <name val="Tahoma"/>
      <family val="2"/>
    </font>
    <font>
      <b/>
      <u/>
      <sz val="8"/>
      <color indexed="81"/>
      <name val="Tahoma"/>
      <family val="2"/>
    </font>
    <font>
      <b/>
      <sz val="8"/>
      <color indexed="81"/>
      <name val="Tahoma"/>
      <family val="2"/>
    </font>
    <font>
      <u/>
      <sz val="10"/>
      <name val="Arial"/>
      <family val="2"/>
    </font>
    <font>
      <b/>
      <sz val="10"/>
      <name val="Arial"/>
      <family val="2"/>
    </font>
    <font>
      <sz val="8"/>
      <color indexed="81"/>
      <name val="Italic"/>
    </font>
    <font>
      <sz val="8"/>
      <color indexed="81"/>
      <name val="GreekS"/>
    </font>
    <font>
      <sz val="10"/>
      <name val="Symbol"/>
      <family val="1"/>
      <charset val="2"/>
    </font>
    <font>
      <sz val="10"/>
      <color indexed="8"/>
      <name val="Symbol"/>
      <family val="1"/>
      <charset val="2"/>
    </font>
    <font>
      <b/>
      <sz val="10"/>
      <color indexed="10"/>
      <name val="Symbol"/>
      <family val="1"/>
      <charset val="2"/>
    </font>
    <font>
      <sz val="10"/>
      <color indexed="12"/>
      <name val="Symbol"/>
      <family val="1"/>
      <charset val="2"/>
    </font>
    <font>
      <b/>
      <sz val="10"/>
      <color indexed="12"/>
      <name val="Arial"/>
      <family val="2"/>
    </font>
    <font>
      <sz val="10"/>
      <color indexed="12"/>
      <name val="Arial"/>
      <family val="2"/>
    </font>
    <font>
      <u/>
      <sz val="10"/>
      <color indexed="12"/>
      <name val="Arial"/>
      <family val="2"/>
    </font>
    <font>
      <sz val="8"/>
      <color indexed="81"/>
      <name val="Symbol"/>
      <family val="1"/>
      <charset val="2"/>
    </font>
    <font>
      <sz val="9"/>
      <name val="Arial"/>
      <family val="2"/>
    </font>
    <font>
      <sz val="8"/>
      <color indexed="12"/>
      <name val="Arial"/>
      <family val="2"/>
    </font>
    <font>
      <sz val="10"/>
      <color indexed="8"/>
      <name val="Arial"/>
      <family val="2"/>
    </font>
    <font>
      <b/>
      <u/>
      <sz val="8"/>
      <color indexed="81"/>
      <name val="Symbol"/>
      <family val="1"/>
      <charset val="2"/>
    </font>
    <font>
      <sz val="8"/>
      <name val="Arial"/>
      <family val="2"/>
    </font>
    <font>
      <sz val="10"/>
      <color indexed="12"/>
      <name val="Tahoma"/>
      <family val="2"/>
    </font>
    <font>
      <sz val="8"/>
      <name val="Arial"/>
      <family val="2"/>
    </font>
    <font>
      <sz val="8"/>
      <color indexed="12"/>
      <name val="Arial"/>
      <family val="2"/>
    </font>
    <font>
      <sz val="9"/>
      <color indexed="12"/>
      <name val="Arial"/>
      <family val="2"/>
    </font>
    <font>
      <sz val="9"/>
      <color indexed="12"/>
      <name val="Arial"/>
      <family val="2"/>
    </font>
    <font>
      <sz val="10"/>
      <name val="Tahoma"/>
      <family val="2"/>
    </font>
    <font>
      <b/>
      <u/>
      <sz val="10"/>
      <color indexed="12"/>
      <name val="Arial"/>
      <family val="2"/>
    </font>
    <font>
      <b/>
      <u/>
      <sz val="10"/>
      <color indexed="8"/>
      <name val="Arial"/>
      <family val="2"/>
    </font>
    <font>
      <sz val="8"/>
      <color indexed="8"/>
      <name val="Arial"/>
      <family val="2"/>
    </font>
    <font>
      <sz val="8"/>
      <color indexed="8"/>
      <name val="Arial"/>
      <family val="2"/>
    </font>
    <font>
      <sz val="8"/>
      <color indexed="8"/>
      <name val="Tahoma"/>
      <family val="2"/>
    </font>
    <font>
      <sz val="9"/>
      <color indexed="8"/>
      <name val="Arial"/>
      <family val="2"/>
    </font>
    <font>
      <b/>
      <sz val="8"/>
      <name val="Arial"/>
      <family val="2"/>
    </font>
    <font>
      <sz val="9"/>
      <name val="Arial"/>
      <family val="2"/>
    </font>
    <font>
      <sz val="10"/>
      <color indexed="54"/>
      <name val="Arial"/>
      <family val="2"/>
    </font>
    <font>
      <sz val="10"/>
      <color indexed="8"/>
      <name val="Italic"/>
    </font>
    <font>
      <sz val="10"/>
      <color indexed="24"/>
      <name val="Arial"/>
      <family val="2"/>
    </font>
    <font>
      <b/>
      <sz val="18"/>
      <color indexed="24"/>
      <name val="Arial"/>
      <family val="2"/>
    </font>
    <font>
      <b/>
      <sz val="12"/>
      <color indexed="24"/>
      <name val="Arial"/>
      <family val="2"/>
    </font>
    <font>
      <sz val="8"/>
      <name val="Tahoma"/>
      <family val="2"/>
    </font>
    <font>
      <sz val="8"/>
      <name val="Symbol"/>
      <family val="1"/>
      <charset val="2"/>
    </font>
    <font>
      <b/>
      <sz val="10"/>
      <name val="Arial"/>
      <family val="2"/>
      <charset val="163"/>
    </font>
    <font>
      <sz val="11"/>
      <color theme="1"/>
      <name val="Calibri"/>
      <family val="2"/>
      <scheme val="minor"/>
    </font>
    <font>
      <i/>
      <sz val="10"/>
      <color rgb="FF0070C0"/>
      <name val="Arial"/>
      <family val="2"/>
    </font>
    <font>
      <b/>
      <sz val="10"/>
      <color rgb="FF0000FF"/>
      <name val="Arial"/>
      <family val="2"/>
    </font>
    <font>
      <b/>
      <u/>
      <sz val="14"/>
      <color rgb="FF0000FF"/>
      <name val="Arial"/>
      <family val="2"/>
    </font>
    <font>
      <b/>
      <sz val="11"/>
      <color theme="1"/>
      <name val="Calibri"/>
      <family val="2"/>
      <scheme val="minor"/>
    </font>
    <font>
      <sz val="11"/>
      <color rgb="FF0000FF"/>
      <name val="Calibri"/>
      <family val="2"/>
      <scheme val="minor"/>
    </font>
    <font>
      <sz val="10"/>
      <color theme="1"/>
      <name val="Arial"/>
      <family val="2"/>
    </font>
    <font>
      <sz val="11"/>
      <color theme="1"/>
      <name val="Symbol"/>
      <family val="1"/>
      <charset val="2"/>
    </font>
    <font>
      <vertAlign val="subscript"/>
      <sz val="11"/>
      <color theme="1"/>
      <name val="Calibri"/>
      <family val="2"/>
      <scheme val="minor"/>
    </font>
    <font>
      <sz val="11"/>
      <color rgb="FF0000CC"/>
      <name val="Calibri"/>
      <family val="2"/>
      <scheme val="minor"/>
    </font>
    <font>
      <b/>
      <vertAlign val="subscript"/>
      <sz val="11"/>
      <color theme="1"/>
      <name val="Calibri"/>
      <family val="2"/>
      <scheme val="minor"/>
    </font>
    <font>
      <b/>
      <sz val="11"/>
      <color theme="0"/>
      <name val="Arial"/>
      <family val="2"/>
    </font>
    <font>
      <b/>
      <sz val="10"/>
      <color theme="0"/>
      <name val="Arial"/>
      <family val="2"/>
    </font>
    <font>
      <b/>
      <sz val="10"/>
      <color rgb="FF0000CC"/>
      <name val="Arial"/>
      <family val="2"/>
    </font>
    <font>
      <sz val="10"/>
      <color rgb="FF0000CC"/>
      <name val="Arial"/>
      <family val="2"/>
    </font>
    <font>
      <sz val="9"/>
      <color rgb="FF0000CC"/>
      <name val="Arial"/>
      <family val="2"/>
    </font>
    <font>
      <sz val="10"/>
      <name val="Arial"/>
    </font>
    <font>
      <sz val="10"/>
      <color rgb="FFC00000"/>
      <name val="Arial"/>
      <family val="2"/>
    </font>
  </fonts>
  <fills count="23">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theme="0"/>
        <bgColor indexed="64"/>
      </patternFill>
    </fill>
    <fill>
      <patternFill patternType="solid">
        <fgColor rgb="FFFFFF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rgb="FF0070C0"/>
        <bgColor indexed="64"/>
      </patternFill>
    </fill>
  </fills>
  <borders count="64">
    <border>
      <left/>
      <right/>
      <top/>
      <bottom/>
      <diagonal/>
    </border>
    <border>
      <left style="thin">
        <color indexed="22"/>
      </left>
      <right style="thin">
        <color indexed="22"/>
      </right>
      <top style="thin">
        <color indexed="22"/>
      </top>
      <bottom style="thin">
        <color indexed="22"/>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diagonal/>
    </border>
    <border>
      <left style="thin">
        <color indexed="64"/>
      </left>
      <right style="thin">
        <color indexed="64"/>
      </right>
      <top style="thin">
        <color indexed="22"/>
      </top>
      <bottom style="thin">
        <color indexed="22"/>
      </bottom>
      <diagonal/>
    </border>
    <border>
      <left style="thin">
        <color indexed="64"/>
      </left>
      <right style="thin">
        <color indexed="64"/>
      </right>
      <top style="thin">
        <color indexed="22"/>
      </top>
      <bottom style="thin">
        <color indexed="64"/>
      </bottom>
      <diagonal/>
    </border>
    <border>
      <left style="thin">
        <color indexed="64"/>
      </left>
      <right style="thin">
        <color indexed="64"/>
      </right>
      <top style="thin">
        <color indexed="64"/>
      </top>
      <bottom style="thin">
        <color indexed="22"/>
      </bottom>
      <diagonal/>
    </border>
    <border>
      <left/>
      <right/>
      <top style="thin">
        <color indexed="64"/>
      </top>
      <bottom style="thin">
        <color indexed="22"/>
      </bottom>
      <diagonal/>
    </border>
    <border>
      <left/>
      <right/>
      <top style="thin">
        <color indexed="22"/>
      </top>
      <bottom style="thin">
        <color indexed="22"/>
      </bottom>
      <diagonal/>
    </border>
    <border>
      <left/>
      <right/>
      <top style="thin">
        <color indexed="22"/>
      </top>
      <bottom style="thin">
        <color indexed="64"/>
      </bottom>
      <diagonal/>
    </border>
    <border>
      <left/>
      <right style="thin">
        <color indexed="64"/>
      </right>
      <top style="thin">
        <color indexed="64"/>
      </top>
      <bottom style="thin">
        <color indexed="22"/>
      </bottom>
      <diagonal/>
    </border>
    <border>
      <left style="thin">
        <color indexed="64"/>
      </left>
      <right style="thin">
        <color indexed="22"/>
      </right>
      <top style="thin">
        <color indexed="64"/>
      </top>
      <bottom style="thin">
        <color indexed="22"/>
      </bottom>
      <diagonal/>
    </border>
    <border>
      <left/>
      <right style="thin">
        <color indexed="64"/>
      </right>
      <top/>
      <bottom style="thin">
        <color indexed="22"/>
      </bottom>
      <diagonal/>
    </border>
    <border>
      <left style="thin">
        <color indexed="64"/>
      </left>
      <right style="thin">
        <color indexed="64"/>
      </right>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style="thin">
        <color indexed="64"/>
      </right>
      <top style="thin">
        <color indexed="64"/>
      </top>
      <bottom style="thin">
        <color indexed="22"/>
      </bottom>
      <diagonal/>
    </border>
    <border>
      <left style="thin">
        <color indexed="22"/>
      </left>
      <right/>
      <top style="thin">
        <color indexed="64"/>
      </top>
      <bottom style="thin">
        <color indexed="22"/>
      </bottom>
      <diagonal/>
    </border>
    <border>
      <left/>
      <right style="thin">
        <color indexed="64"/>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22"/>
      </left>
      <right/>
      <top style="thin">
        <color indexed="22"/>
      </top>
      <bottom style="thin">
        <color indexed="22"/>
      </bottom>
      <diagonal/>
    </border>
    <border>
      <left style="thin">
        <color indexed="64"/>
      </left>
      <right style="thin">
        <color indexed="64"/>
      </right>
      <top style="thin">
        <color indexed="22"/>
      </top>
      <bottom/>
      <diagonal/>
    </border>
    <border>
      <left style="thin">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64"/>
      </right>
      <top style="thin">
        <color indexed="22"/>
      </top>
      <bottom/>
      <diagonal/>
    </border>
    <border>
      <left style="thin">
        <color indexed="22"/>
      </left>
      <right/>
      <top style="thin">
        <color indexed="22"/>
      </top>
      <bottom/>
      <diagonal/>
    </border>
    <border>
      <left style="thin">
        <color indexed="64"/>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2"/>
      </left>
      <right style="thin">
        <color indexed="64"/>
      </right>
      <top/>
      <bottom style="thin">
        <color indexed="22"/>
      </bottom>
      <diagonal/>
    </border>
    <border>
      <left style="thin">
        <color indexed="22"/>
      </left>
      <right/>
      <top/>
      <bottom style="thin">
        <color indexed="22"/>
      </bottom>
      <diagonal/>
    </border>
    <border>
      <left/>
      <right style="thin">
        <color indexed="64"/>
      </right>
      <top style="thin">
        <color indexed="22"/>
      </top>
      <bottom style="thin">
        <color indexed="64"/>
      </bottom>
      <diagonal/>
    </border>
    <border>
      <left style="thin">
        <color indexed="64"/>
      </left>
      <right style="thin">
        <color indexed="22"/>
      </right>
      <top style="thin">
        <color indexed="22"/>
      </top>
      <bottom style="thin">
        <color indexed="64"/>
      </bottom>
      <diagonal/>
    </border>
    <border>
      <left style="thin">
        <color indexed="64"/>
      </left>
      <right style="thin">
        <color indexed="22"/>
      </right>
      <top/>
      <bottom style="thin">
        <color indexed="64"/>
      </bottom>
      <diagonal/>
    </border>
    <border>
      <left style="thin">
        <color indexed="22"/>
      </left>
      <right style="thin">
        <color indexed="22"/>
      </right>
      <top/>
      <bottom style="thin">
        <color indexed="64"/>
      </bottom>
      <diagonal/>
    </border>
    <border>
      <left style="thin">
        <color indexed="22"/>
      </left>
      <right style="thin">
        <color indexed="64"/>
      </right>
      <top/>
      <bottom style="thin">
        <color indexed="64"/>
      </bottom>
      <diagonal/>
    </border>
    <border>
      <left style="thin">
        <color indexed="22"/>
      </left>
      <right/>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style="thin">
        <color indexed="64"/>
      </left>
      <right/>
      <top style="thin">
        <color indexed="64"/>
      </top>
      <bottom style="thin">
        <color indexed="22"/>
      </bottom>
      <diagonal/>
    </border>
    <border>
      <left style="thin">
        <color indexed="64"/>
      </left>
      <right/>
      <top style="thin">
        <color indexed="22"/>
      </top>
      <bottom style="thin">
        <color indexed="22"/>
      </bottom>
      <diagonal/>
    </border>
    <border>
      <left style="thin">
        <color indexed="64"/>
      </left>
      <right/>
      <top style="thin">
        <color indexed="22"/>
      </top>
      <bottom style="thin">
        <color indexed="64"/>
      </bottom>
      <diagonal/>
    </border>
    <border>
      <left style="thin">
        <color indexed="64"/>
      </left>
      <right/>
      <top/>
      <bottom style="thin">
        <color indexed="22"/>
      </bottom>
      <diagonal/>
    </border>
    <border>
      <left/>
      <right/>
      <top/>
      <bottom style="thin">
        <color indexed="22"/>
      </bottom>
      <diagonal/>
    </border>
    <border>
      <left/>
      <right style="thin">
        <color indexed="22"/>
      </right>
      <top style="thin">
        <color indexed="22"/>
      </top>
      <bottom style="thin">
        <color indexed="22"/>
      </bottom>
      <diagonal/>
    </border>
    <border>
      <left/>
      <right style="thin">
        <color indexed="22"/>
      </right>
      <top style="thin">
        <color indexed="64"/>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style="thin">
        <color indexed="22"/>
      </right>
      <top/>
      <bottom style="thin">
        <color indexed="64"/>
      </bottom>
      <diagonal/>
    </border>
    <border>
      <left/>
      <right style="thin">
        <color indexed="64"/>
      </right>
      <top style="thin">
        <color indexed="22"/>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10">
    <xf numFmtId="0" fontId="0" fillId="0" borderId="0"/>
    <xf numFmtId="3" fontId="53" fillId="0" borderId="0" applyFont="0" applyFill="0" applyBorder="0" applyAlignment="0" applyProtection="0"/>
    <xf numFmtId="168" fontId="53" fillId="0" borderId="0" applyFont="0" applyFill="0" applyBorder="0" applyAlignment="0" applyProtection="0"/>
    <xf numFmtId="0" fontId="53" fillId="0" borderId="0" applyFont="0" applyFill="0" applyBorder="0" applyAlignment="0" applyProtection="0"/>
    <xf numFmtId="2" fontId="53" fillId="0" borderId="0" applyFont="0" applyFill="0" applyBorder="0" applyAlignment="0" applyProtection="0"/>
    <xf numFmtId="0" fontId="54" fillId="0" borderId="0" applyNumberFormat="0" applyFill="0" applyBorder="0" applyAlignment="0" applyProtection="0"/>
    <xf numFmtId="0" fontId="55" fillId="0" borderId="0" applyNumberFormat="0" applyFill="0" applyBorder="0" applyAlignment="0" applyProtection="0"/>
    <xf numFmtId="0" fontId="59" fillId="0" borderId="0"/>
    <xf numFmtId="0" fontId="53" fillId="0" borderId="2" applyNumberFormat="0" applyFont="0" applyFill="0" applyAlignment="0" applyProtection="0"/>
    <xf numFmtId="43" fontId="75" fillId="0" borderId="0" applyFont="0" applyFill="0" applyBorder="0" applyAlignment="0" applyProtection="0"/>
  </cellStyleXfs>
  <cellXfs count="713">
    <xf numFmtId="0" fontId="0" fillId="0" borderId="0" xfId="0"/>
    <xf numFmtId="0" fontId="4" fillId="2" borderId="0" xfId="0" applyFont="1" applyFill="1" applyAlignment="1">
      <alignment horizontal="center"/>
    </xf>
    <xf numFmtId="2" fontId="4" fillId="2" borderId="0" xfId="0" applyNumberFormat="1" applyFont="1" applyFill="1" applyAlignment="1">
      <alignment horizontal="center"/>
    </xf>
    <xf numFmtId="0" fontId="4" fillId="0" borderId="0" xfId="0" applyFont="1"/>
    <xf numFmtId="2" fontId="4" fillId="0" borderId="0" xfId="0" applyNumberFormat="1" applyFont="1" applyAlignment="1">
      <alignment horizontal="center"/>
    </xf>
    <xf numFmtId="0" fontId="4" fillId="0" borderId="3" xfId="0" applyFont="1" applyBorder="1" applyAlignment="1">
      <alignment horizontal="center"/>
    </xf>
    <xf numFmtId="0" fontId="4" fillId="0" borderId="0" xfId="0" applyFont="1" applyAlignment="1">
      <alignment horizontal="center"/>
    </xf>
    <xf numFmtId="0" fontId="4" fillId="0" borderId="0" xfId="0" applyFont="1" applyAlignment="1">
      <alignment horizontal="right"/>
    </xf>
    <xf numFmtId="0" fontId="4" fillId="0" borderId="0" xfId="0" applyFont="1" applyAlignment="1">
      <alignment horizontal="left"/>
    </xf>
    <xf numFmtId="0" fontId="4" fillId="0" borderId="0" xfId="0" quotePrefix="1" applyFont="1" applyAlignment="1">
      <alignment horizontal="right"/>
    </xf>
    <xf numFmtId="2" fontId="4" fillId="0" borderId="0" xfId="0" applyNumberFormat="1" applyFont="1" applyAlignment="1">
      <alignment horizontal="left"/>
    </xf>
    <xf numFmtId="165" fontId="4" fillId="0" borderId="0" xfId="0" applyNumberFormat="1" applyFont="1" applyAlignment="1">
      <alignment horizontal="center"/>
    </xf>
    <xf numFmtId="0" fontId="27" fillId="0" borderId="0" xfId="0" applyFont="1" applyAlignment="1">
      <alignment horizontal="right"/>
    </xf>
    <xf numFmtId="0" fontId="29" fillId="0" borderId="0" xfId="0" applyFont="1"/>
    <xf numFmtId="1" fontId="4" fillId="2" borderId="0" xfId="0" applyNumberFormat="1" applyFont="1" applyFill="1" applyAlignment="1">
      <alignment horizontal="center"/>
    </xf>
    <xf numFmtId="0" fontId="29" fillId="0" borderId="0" xfId="0" applyFont="1" applyAlignment="1">
      <alignment horizontal="center"/>
    </xf>
    <xf numFmtId="167" fontId="29" fillId="0" borderId="0" xfId="0" applyNumberFormat="1" applyFont="1" applyAlignment="1">
      <alignment horizontal="center"/>
    </xf>
    <xf numFmtId="0" fontId="30" fillId="0" borderId="0" xfId="0" applyFont="1"/>
    <xf numFmtId="0" fontId="29" fillId="0" borderId="0" xfId="0" applyFont="1" applyAlignment="1">
      <alignment horizontal="right"/>
    </xf>
    <xf numFmtId="2" fontId="29" fillId="0" borderId="0" xfId="0" applyNumberFormat="1" applyFont="1" applyAlignment="1">
      <alignment horizontal="center"/>
    </xf>
    <xf numFmtId="0" fontId="29" fillId="0" borderId="0" xfId="0" applyFont="1" applyAlignment="1">
      <alignment horizontal="left"/>
    </xf>
    <xf numFmtId="0" fontId="29" fillId="0" borderId="4" xfId="0" applyFont="1" applyBorder="1" applyAlignment="1">
      <alignment horizontal="center"/>
    </xf>
    <xf numFmtId="0" fontId="29" fillId="0" borderId="5" xfId="0" applyFont="1" applyBorder="1" applyAlignment="1">
      <alignment horizontal="center"/>
    </xf>
    <xf numFmtId="0" fontId="4" fillId="0" borderId="6" xfId="0" applyFont="1" applyBorder="1" applyAlignment="1">
      <alignment horizontal="centerContinuous"/>
    </xf>
    <xf numFmtId="0" fontId="4" fillId="0" borderId="7" xfId="0" applyFont="1" applyBorder="1" applyAlignment="1">
      <alignment horizontal="centerContinuous"/>
    </xf>
    <xf numFmtId="0" fontId="4" fillId="0" borderId="8" xfId="0" applyFont="1" applyBorder="1" applyAlignment="1">
      <alignment horizontal="centerContinuous"/>
    </xf>
    <xf numFmtId="0" fontId="4" fillId="0" borderId="9" xfId="0" applyFont="1" applyBorder="1" applyAlignment="1">
      <alignment horizontal="center"/>
    </xf>
    <xf numFmtId="0" fontId="4" fillId="0" borderId="5" xfId="0" applyFont="1" applyBorder="1" applyAlignment="1">
      <alignment horizontal="center"/>
    </xf>
    <xf numFmtId="0" fontId="4" fillId="0" borderId="4" xfId="0" applyFont="1" applyBorder="1" applyAlignment="1">
      <alignment horizontal="center"/>
    </xf>
    <xf numFmtId="0" fontId="4" fillId="0" borderId="10" xfId="0" applyFont="1" applyBorder="1" applyAlignment="1">
      <alignment horizontal="centerContinuous"/>
    </xf>
    <xf numFmtId="0" fontId="29" fillId="0" borderId="11" xfId="0" applyFont="1" applyBorder="1" applyAlignment="1">
      <alignment horizontal="centerContinuous"/>
    </xf>
    <xf numFmtId="0" fontId="4" fillId="0" borderId="12" xfId="0" applyFont="1" applyBorder="1" applyAlignment="1">
      <alignment horizontal="centerContinuous"/>
    </xf>
    <xf numFmtId="0" fontId="4" fillId="0" borderId="13" xfId="0" applyFont="1" applyBorder="1" applyAlignment="1">
      <alignment horizontal="centerContinuous"/>
    </xf>
    <xf numFmtId="0" fontId="13" fillId="3" borderId="10" xfId="0" applyFont="1" applyFill="1" applyBorder="1" applyAlignment="1" applyProtection="1">
      <alignment horizontal="centerContinuous"/>
      <protection hidden="1"/>
    </xf>
    <xf numFmtId="0" fontId="0" fillId="3" borderId="14" xfId="0" applyFill="1" applyBorder="1" applyAlignment="1" applyProtection="1">
      <alignment horizontal="centerContinuous"/>
      <protection hidden="1"/>
    </xf>
    <xf numFmtId="0" fontId="7" fillId="3" borderId="15" xfId="0" applyFont="1" applyFill="1" applyBorder="1" applyAlignment="1" applyProtection="1">
      <alignment horizontal="centerContinuous"/>
      <protection hidden="1"/>
    </xf>
    <xf numFmtId="0" fontId="0" fillId="3" borderId="0" xfId="0" applyFill="1" applyAlignment="1" applyProtection="1">
      <alignment horizontal="centerContinuous"/>
      <protection hidden="1"/>
    </xf>
    <xf numFmtId="0" fontId="0" fillId="3" borderId="16" xfId="0" applyFill="1" applyBorder="1" applyAlignment="1" applyProtection="1">
      <alignment horizontal="centerContinuous"/>
      <protection hidden="1"/>
    </xf>
    <xf numFmtId="0" fontId="0" fillId="2" borderId="0" xfId="0" applyFill="1" applyProtection="1">
      <protection hidden="1"/>
    </xf>
    <xf numFmtId="0" fontId="4" fillId="2" borderId="0" xfId="0" applyFont="1" applyFill="1" applyAlignment="1" applyProtection="1">
      <alignment horizontal="center"/>
      <protection hidden="1"/>
    </xf>
    <xf numFmtId="2" fontId="4" fillId="2" borderId="0" xfId="0" applyNumberFormat="1" applyFont="1" applyFill="1" applyAlignment="1" applyProtection="1">
      <alignment horizontal="center"/>
      <protection hidden="1"/>
    </xf>
    <xf numFmtId="2" fontId="6" fillId="2" borderId="0" xfId="0" applyNumberFormat="1" applyFont="1" applyFill="1" applyAlignment="1" applyProtection="1">
      <alignment horizontal="left"/>
      <protection hidden="1"/>
    </xf>
    <xf numFmtId="0" fontId="5" fillId="2" borderId="0" xfId="0" applyFont="1" applyFill="1" applyProtection="1">
      <protection hidden="1"/>
    </xf>
    <xf numFmtId="165" fontId="4" fillId="2" borderId="0" xfId="0" applyNumberFormat="1" applyFont="1" applyFill="1" applyAlignment="1" applyProtection="1">
      <alignment horizontal="center"/>
      <protection hidden="1"/>
    </xf>
    <xf numFmtId="0" fontId="0" fillId="2" borderId="0" xfId="0" applyFill="1" applyAlignment="1" applyProtection="1">
      <alignment horizontal="center"/>
      <protection hidden="1"/>
    </xf>
    <xf numFmtId="0" fontId="0" fillId="3" borderId="11" xfId="0" applyFill="1" applyBorder="1" applyAlignment="1" applyProtection="1">
      <alignment horizontal="centerContinuous"/>
      <protection hidden="1"/>
    </xf>
    <xf numFmtId="0" fontId="7" fillId="3" borderId="0" xfId="0" quotePrefix="1" applyFont="1" applyFill="1" applyAlignment="1" applyProtection="1">
      <alignment horizontal="centerContinuous"/>
      <protection hidden="1"/>
    </xf>
    <xf numFmtId="0" fontId="0" fillId="3" borderId="17" xfId="0" applyFill="1" applyBorder="1" applyAlignment="1" applyProtection="1">
      <alignment horizontal="centerContinuous"/>
      <protection hidden="1"/>
    </xf>
    <xf numFmtId="0" fontId="7" fillId="3" borderId="12" xfId="0" applyFont="1" applyFill="1" applyBorder="1" applyAlignment="1" applyProtection="1">
      <alignment horizontal="centerContinuous"/>
      <protection hidden="1"/>
    </xf>
    <xf numFmtId="0" fontId="7" fillId="3" borderId="16" xfId="0" quotePrefix="1" applyFont="1" applyFill="1" applyBorder="1" applyAlignment="1" applyProtection="1">
      <alignment horizontal="centerContinuous"/>
      <protection hidden="1"/>
    </xf>
    <xf numFmtId="0" fontId="0" fillId="3" borderId="13" xfId="0" applyFill="1" applyBorder="1" applyAlignment="1" applyProtection="1">
      <alignment horizontal="centerContinuous"/>
      <protection hidden="1"/>
    </xf>
    <xf numFmtId="0" fontId="0" fillId="0" borderId="3" xfId="0" applyBorder="1" applyProtection="1">
      <protection hidden="1"/>
    </xf>
    <xf numFmtId="0" fontId="0" fillId="0" borderId="15" xfId="0" applyBorder="1" applyProtection="1">
      <protection hidden="1"/>
    </xf>
    <xf numFmtId="0" fontId="0" fillId="0" borderId="0" xfId="0" applyProtection="1">
      <protection hidden="1"/>
    </xf>
    <xf numFmtId="0" fontId="3" fillId="0" borderId="15" xfId="0" applyFont="1" applyBorder="1" applyProtection="1">
      <protection hidden="1"/>
    </xf>
    <xf numFmtId="0" fontId="4" fillId="0" borderId="3" xfId="0" applyFont="1" applyBorder="1" applyAlignment="1" applyProtection="1">
      <alignment horizontal="center"/>
      <protection hidden="1"/>
    </xf>
    <xf numFmtId="0" fontId="0" fillId="0" borderId="15" xfId="0" applyBorder="1" applyAlignment="1" applyProtection="1">
      <alignment horizontal="right"/>
      <protection hidden="1"/>
    </xf>
    <xf numFmtId="0" fontId="0" fillId="0" borderId="17" xfId="0" applyBorder="1" applyProtection="1">
      <protection hidden="1"/>
    </xf>
    <xf numFmtId="0" fontId="7" fillId="0" borderId="0" xfId="0" applyFont="1" applyAlignment="1" applyProtection="1">
      <alignment horizontal="left"/>
      <protection hidden="1"/>
    </xf>
    <xf numFmtId="0" fontId="0" fillId="0" borderId="0" xfId="0" applyAlignment="1" applyProtection="1">
      <alignment horizontal="left"/>
      <protection hidden="1"/>
    </xf>
    <xf numFmtId="0" fontId="7" fillId="0" borderId="0" xfId="0" applyFont="1" applyProtection="1">
      <protection hidden="1"/>
    </xf>
    <xf numFmtId="0" fontId="0" fillId="0" borderId="16" xfId="0" applyBorder="1" applyProtection="1">
      <protection hidden="1"/>
    </xf>
    <xf numFmtId="0" fontId="0" fillId="3" borderId="7" xfId="0" applyFill="1" applyBorder="1" applyAlignment="1" applyProtection="1">
      <alignment horizontal="centerContinuous"/>
      <protection hidden="1"/>
    </xf>
    <xf numFmtId="0" fontId="0" fillId="3" borderId="8" xfId="0" applyFill="1" applyBorder="1" applyAlignment="1" applyProtection="1">
      <alignment horizontal="centerContinuous"/>
      <protection hidden="1"/>
    </xf>
    <xf numFmtId="2" fontId="4" fillId="0" borderId="3" xfId="0" applyNumberFormat="1" applyFont="1" applyBorder="1" applyAlignment="1" applyProtection="1">
      <alignment horizontal="center"/>
      <protection hidden="1"/>
    </xf>
    <xf numFmtId="0" fontId="21" fillId="3" borderId="6" xfId="0" applyFont="1" applyFill="1" applyBorder="1" applyAlignment="1" applyProtection="1">
      <alignment horizontal="centerContinuous"/>
      <protection hidden="1"/>
    </xf>
    <xf numFmtId="0" fontId="0" fillId="0" borderId="0" xfId="0" applyAlignment="1" applyProtection="1">
      <alignment horizontal="center"/>
      <protection hidden="1"/>
    </xf>
    <xf numFmtId="0" fontId="0" fillId="3" borderId="10" xfId="0" applyFill="1" applyBorder="1" applyAlignment="1" applyProtection="1">
      <alignment horizontal="center"/>
      <protection hidden="1"/>
    </xf>
    <xf numFmtId="0" fontId="0" fillId="3" borderId="12" xfId="0" applyFill="1" applyBorder="1" applyProtection="1">
      <protection hidden="1"/>
    </xf>
    <xf numFmtId="0" fontId="0" fillId="0" borderId="0" xfId="0" applyAlignment="1" applyProtection="1">
      <alignment horizontal="right"/>
      <protection hidden="1"/>
    </xf>
    <xf numFmtId="2" fontId="4" fillId="0" borderId="9" xfId="0" applyNumberFormat="1" applyFont="1" applyBorder="1" applyAlignment="1" applyProtection="1">
      <alignment horizontal="center"/>
      <protection hidden="1"/>
    </xf>
    <xf numFmtId="2" fontId="4" fillId="0" borderId="5" xfId="0" applyNumberFormat="1" applyFont="1" applyBorder="1" applyAlignment="1" applyProtection="1">
      <alignment horizontal="center"/>
      <protection hidden="1"/>
    </xf>
    <xf numFmtId="0" fontId="4" fillId="0" borderId="0" xfId="0" applyFont="1" applyProtection="1">
      <protection hidden="1"/>
    </xf>
    <xf numFmtId="0" fontId="0" fillId="0" borderId="12" xfId="0" applyBorder="1" applyProtection="1">
      <protection hidden="1"/>
    </xf>
    <xf numFmtId="0" fontId="0" fillId="0" borderId="13" xfId="0" applyBorder="1" applyProtection="1">
      <protection hidden="1"/>
    </xf>
    <xf numFmtId="2" fontId="0" fillId="2" borderId="0" xfId="0" applyNumberFormat="1" applyFill="1" applyAlignment="1" applyProtection="1">
      <alignment horizontal="center"/>
      <protection hidden="1"/>
    </xf>
    <xf numFmtId="0" fontId="1" fillId="2" borderId="0" xfId="0" applyFont="1" applyFill="1" applyAlignment="1" applyProtection="1">
      <alignment horizontal="centerContinuous"/>
      <protection hidden="1"/>
    </xf>
    <xf numFmtId="2" fontId="0" fillId="0" borderId="0" xfId="0" applyNumberFormat="1" applyAlignment="1" applyProtection="1">
      <alignment horizontal="center"/>
      <protection hidden="1"/>
    </xf>
    <xf numFmtId="14" fontId="0" fillId="0" borderId="0" xfId="0" applyNumberFormat="1" applyAlignment="1" applyProtection="1">
      <alignment horizontal="center"/>
      <protection hidden="1"/>
    </xf>
    <xf numFmtId="18" fontId="0" fillId="0" borderId="0" xfId="0" applyNumberFormat="1" applyAlignment="1" applyProtection="1">
      <alignment horizontal="center"/>
      <protection hidden="1"/>
    </xf>
    <xf numFmtId="0" fontId="21" fillId="0" borderId="0" xfId="0" applyFont="1" applyProtection="1">
      <protection hidden="1"/>
    </xf>
    <xf numFmtId="0" fontId="3"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4" fillId="0" borderId="0" xfId="0" applyFont="1" applyProtection="1">
      <protection locked="0"/>
    </xf>
    <xf numFmtId="0" fontId="0" fillId="0" borderId="17" xfId="0" applyBorder="1" applyAlignment="1" applyProtection="1">
      <alignment horizontal="center"/>
      <protection hidden="1"/>
    </xf>
    <xf numFmtId="0" fontId="0" fillId="0" borderId="15" xfId="0" quotePrefix="1" applyBorder="1" applyAlignment="1" applyProtection="1">
      <alignment horizontal="right"/>
      <protection hidden="1"/>
    </xf>
    <xf numFmtId="0" fontId="0" fillId="0" borderId="15" xfId="0" quotePrefix="1" applyBorder="1" applyProtection="1">
      <protection hidden="1"/>
    </xf>
    <xf numFmtId="0" fontId="24" fillId="0" borderId="15" xfId="0" applyFont="1" applyBorder="1" applyAlignment="1" applyProtection="1">
      <alignment horizontal="right"/>
      <protection hidden="1"/>
    </xf>
    <xf numFmtId="2" fontId="0" fillId="0" borderId="0" xfId="0" applyNumberFormat="1" applyAlignment="1" applyProtection="1">
      <alignment horizontal="right"/>
      <protection hidden="1"/>
    </xf>
    <xf numFmtId="2" fontId="0" fillId="0" borderId="0" xfId="0" applyNumberFormat="1" applyAlignment="1" applyProtection="1">
      <alignment horizontal="left"/>
      <protection hidden="1"/>
    </xf>
    <xf numFmtId="2" fontId="0" fillId="2" borderId="0" xfId="0" applyNumberFormat="1" applyFill="1" applyAlignment="1" applyProtection="1">
      <alignment horizontal="left"/>
      <protection hidden="1"/>
    </xf>
    <xf numFmtId="165" fontId="8" fillId="0" borderId="0" xfId="0" applyNumberFormat="1" applyFont="1" applyAlignment="1" applyProtection="1">
      <alignment horizontal="left"/>
      <protection hidden="1"/>
    </xf>
    <xf numFmtId="0" fontId="0" fillId="0" borderId="15" xfId="0" applyBorder="1" applyAlignment="1" applyProtection="1">
      <alignment horizontal="left"/>
      <protection hidden="1"/>
    </xf>
    <xf numFmtId="0" fontId="1" fillId="3" borderId="7" xfId="0" applyFont="1" applyFill="1" applyBorder="1" applyAlignment="1" applyProtection="1">
      <alignment horizontal="centerContinuous"/>
      <protection hidden="1"/>
    </xf>
    <xf numFmtId="0" fontId="0" fillId="3" borderId="9" xfId="0" applyFill="1" applyBorder="1" applyAlignment="1" applyProtection="1">
      <alignment horizontal="center"/>
      <protection hidden="1"/>
    </xf>
    <xf numFmtId="2" fontId="4" fillId="0" borderId="12" xfId="0" applyNumberFormat="1" applyFont="1" applyBorder="1" applyAlignment="1" applyProtection="1">
      <alignment horizontal="center"/>
      <protection hidden="1"/>
    </xf>
    <xf numFmtId="0" fontId="5" fillId="2" borderId="15" xfId="0" applyFont="1" applyFill="1" applyBorder="1" applyProtection="1">
      <protection hidden="1"/>
    </xf>
    <xf numFmtId="0" fontId="0" fillId="0" borderId="10" xfId="0" applyBorder="1" applyProtection="1">
      <protection hidden="1"/>
    </xf>
    <xf numFmtId="0" fontId="0" fillId="0" borderId="14" xfId="0" applyBorder="1" applyProtection="1">
      <protection hidden="1"/>
    </xf>
    <xf numFmtId="0" fontId="21" fillId="0" borderId="15" xfId="0" applyFont="1" applyBorder="1" applyProtection="1">
      <protection hidden="1"/>
    </xf>
    <xf numFmtId="2" fontId="6" fillId="0" borderId="15" xfId="0" applyNumberFormat="1" applyFont="1" applyBorder="1" applyAlignment="1" applyProtection="1">
      <alignment horizontal="right"/>
      <protection hidden="1"/>
    </xf>
    <xf numFmtId="0" fontId="6" fillId="0" borderId="0" xfId="0" applyFont="1" applyAlignment="1" applyProtection="1">
      <alignment horizontal="left"/>
      <protection hidden="1"/>
    </xf>
    <xf numFmtId="0" fontId="6" fillId="0" borderId="15" xfId="0" applyFont="1" applyBorder="1" applyAlignment="1" applyProtection="1">
      <alignment horizontal="right"/>
      <protection hidden="1"/>
    </xf>
    <xf numFmtId="0" fontId="6" fillId="0" borderId="0" xfId="0" applyFont="1" applyProtection="1">
      <protection hidden="1"/>
    </xf>
    <xf numFmtId="2" fontId="10" fillId="0" borderId="0" xfId="0" applyNumberFormat="1" applyFont="1" applyAlignment="1" applyProtection="1">
      <alignment horizontal="right"/>
      <protection hidden="1"/>
    </xf>
    <xf numFmtId="0" fontId="6" fillId="0" borderId="0" xfId="0" applyFont="1" applyAlignment="1" applyProtection="1">
      <alignment horizontal="right"/>
      <protection hidden="1"/>
    </xf>
    <xf numFmtId="0" fontId="6" fillId="0" borderId="17" xfId="0" applyFont="1" applyBorder="1" applyProtection="1">
      <protection hidden="1"/>
    </xf>
    <xf numFmtId="2" fontId="0" fillId="2" borderId="17" xfId="0" applyNumberFormat="1" applyFill="1" applyBorder="1" applyAlignment="1" applyProtection="1">
      <alignment horizontal="center"/>
      <protection hidden="1"/>
    </xf>
    <xf numFmtId="165" fontId="0" fillId="0" borderId="15" xfId="0" applyNumberFormat="1" applyBorder="1" applyAlignment="1" applyProtection="1">
      <alignment horizontal="right"/>
      <protection hidden="1"/>
    </xf>
    <xf numFmtId="165" fontId="4" fillId="0" borderId="3" xfId="0" applyNumberFormat="1" applyFont="1" applyBorder="1" applyAlignment="1" applyProtection="1">
      <alignment horizontal="center"/>
      <protection hidden="1"/>
    </xf>
    <xf numFmtId="2" fontId="0" fillId="3" borderId="7" xfId="0" applyNumberFormat="1" applyFill="1" applyBorder="1" applyAlignment="1" applyProtection="1">
      <alignment horizontal="centerContinuous"/>
      <protection hidden="1"/>
    </xf>
    <xf numFmtId="2" fontId="0" fillId="3" borderId="8" xfId="0" applyNumberFormat="1" applyFill="1" applyBorder="1" applyAlignment="1" applyProtection="1">
      <alignment horizontal="centerContinuous"/>
      <protection hidden="1"/>
    </xf>
    <xf numFmtId="0" fontId="0" fillId="3" borderId="15" xfId="0" applyFill="1" applyBorder="1" applyAlignment="1" applyProtection="1">
      <alignment horizontal="center"/>
      <protection hidden="1"/>
    </xf>
    <xf numFmtId="0" fontId="0" fillId="3" borderId="4" xfId="0" applyFill="1" applyBorder="1" applyAlignment="1" applyProtection="1">
      <alignment horizontal="center"/>
      <protection hidden="1"/>
    </xf>
    <xf numFmtId="0" fontId="8" fillId="3" borderId="15" xfId="0" applyFont="1" applyFill="1" applyBorder="1" applyAlignment="1" applyProtection="1">
      <alignment horizontal="right"/>
      <protection hidden="1"/>
    </xf>
    <xf numFmtId="0" fontId="0" fillId="3" borderId="6" xfId="0" applyFill="1" applyBorder="1" applyAlignment="1" applyProtection="1">
      <alignment horizontal="center"/>
      <protection hidden="1"/>
    </xf>
    <xf numFmtId="2" fontId="4" fillId="0" borderId="12" xfId="0" quotePrefix="1" applyNumberFormat="1" applyFont="1" applyBorder="1" applyAlignment="1" applyProtection="1">
      <alignment horizontal="center"/>
      <protection hidden="1"/>
    </xf>
    <xf numFmtId="2" fontId="4" fillId="0" borderId="5" xfId="0" quotePrefix="1" applyNumberFormat="1" applyFont="1" applyBorder="1" applyAlignment="1" applyProtection="1">
      <alignment horizontal="center"/>
      <protection hidden="1"/>
    </xf>
    <xf numFmtId="165" fontId="6" fillId="0" borderId="0" xfId="0" applyNumberFormat="1" applyFont="1" applyAlignment="1" applyProtection="1">
      <alignment horizontal="center"/>
      <protection hidden="1"/>
    </xf>
    <xf numFmtId="2" fontId="4" fillId="0" borderId="0" xfId="0" applyNumberFormat="1" applyFont="1" applyAlignment="1" applyProtection="1">
      <alignment horizontal="center"/>
      <protection hidden="1"/>
    </xf>
    <xf numFmtId="165" fontId="21" fillId="0" borderId="15" xfId="0" applyNumberFormat="1" applyFont="1" applyBorder="1" applyAlignment="1" applyProtection="1">
      <alignment horizontal="left"/>
      <protection hidden="1"/>
    </xf>
    <xf numFmtId="2" fontId="24" fillId="0" borderId="15" xfId="0" applyNumberFormat="1" applyFont="1" applyBorder="1" applyAlignment="1" applyProtection="1">
      <alignment horizontal="right"/>
      <protection hidden="1"/>
    </xf>
    <xf numFmtId="0" fontId="0" fillId="0" borderId="17" xfId="0" applyBorder="1" applyAlignment="1" applyProtection="1">
      <alignment horizontal="right"/>
      <protection hidden="1"/>
    </xf>
    <xf numFmtId="2" fontId="0" fillId="0" borderId="15" xfId="0" applyNumberFormat="1" applyBorder="1" applyAlignment="1" applyProtection="1">
      <alignment horizontal="right"/>
      <protection hidden="1"/>
    </xf>
    <xf numFmtId="0" fontId="11" fillId="0" borderId="15" xfId="0" applyFont="1" applyBorder="1" applyAlignment="1" applyProtection="1">
      <alignment horizontal="right"/>
      <protection hidden="1"/>
    </xf>
    <xf numFmtId="0" fontId="11" fillId="0" borderId="0" xfId="0" applyFont="1" applyAlignment="1" applyProtection="1">
      <alignment horizontal="right"/>
      <protection hidden="1"/>
    </xf>
    <xf numFmtId="1" fontId="0" fillId="0" borderId="0" xfId="0" applyNumberFormat="1" applyAlignment="1" applyProtection="1">
      <alignment horizontal="center"/>
      <protection hidden="1"/>
    </xf>
    <xf numFmtId="0" fontId="9" fillId="0" borderId="0" xfId="0" applyFont="1" applyAlignment="1" applyProtection="1">
      <alignment horizontal="right"/>
      <protection hidden="1"/>
    </xf>
    <xf numFmtId="164" fontId="0" fillId="0" borderId="0" xfId="0" applyNumberFormat="1" applyAlignment="1" applyProtection="1">
      <alignment horizontal="center"/>
      <protection hidden="1"/>
    </xf>
    <xf numFmtId="0" fontId="0" fillId="0" borderId="0" xfId="0" quotePrefix="1" applyAlignment="1" applyProtection="1">
      <alignment horizontal="left"/>
      <protection hidden="1"/>
    </xf>
    <xf numFmtId="165" fontId="6" fillId="2" borderId="0" xfId="0" applyNumberFormat="1" applyFont="1" applyFill="1" applyAlignment="1" applyProtection="1">
      <alignment horizontal="center"/>
      <protection hidden="1"/>
    </xf>
    <xf numFmtId="2" fontId="25" fillId="0" borderId="15" xfId="0" applyNumberFormat="1" applyFont="1" applyBorder="1" applyAlignment="1" applyProtection="1">
      <alignment horizontal="right"/>
      <protection hidden="1"/>
    </xf>
    <xf numFmtId="0" fontId="12" fillId="0" borderId="0" xfId="0" applyFont="1" applyAlignment="1" applyProtection="1">
      <alignment horizontal="right"/>
      <protection hidden="1"/>
    </xf>
    <xf numFmtId="165" fontId="0" fillId="0" borderId="0" xfId="0" quotePrefix="1" applyNumberFormat="1" applyAlignment="1" applyProtection="1">
      <alignment horizontal="left"/>
      <protection hidden="1"/>
    </xf>
    <xf numFmtId="0" fontId="0" fillId="0" borderId="4" xfId="0" applyBorder="1" applyAlignment="1" applyProtection="1">
      <alignment horizontal="right"/>
      <protection hidden="1"/>
    </xf>
    <xf numFmtId="0" fontId="21" fillId="0" borderId="17" xfId="0" applyFont="1" applyBorder="1" applyProtection="1">
      <protection hidden="1"/>
    </xf>
    <xf numFmtId="0" fontId="0" fillId="2" borderId="15" xfId="0" applyFill="1" applyBorder="1" applyAlignment="1" applyProtection="1">
      <alignment horizontal="center"/>
      <protection hidden="1"/>
    </xf>
    <xf numFmtId="165" fontId="4" fillId="0" borderId="0" xfId="0" applyNumberFormat="1" applyFont="1" applyProtection="1">
      <protection hidden="1"/>
    </xf>
    <xf numFmtId="2" fontId="4" fillId="0" borderId="0" xfId="0" applyNumberFormat="1" applyFont="1" applyProtection="1">
      <protection hidden="1"/>
    </xf>
    <xf numFmtId="2" fontId="4" fillId="0" borderId="10" xfId="0" applyNumberFormat="1" applyFont="1" applyBorder="1" applyAlignment="1" applyProtection="1">
      <alignment horizontal="center"/>
      <protection hidden="1"/>
    </xf>
    <xf numFmtId="0" fontId="0" fillId="3" borderId="15" xfId="0" applyFill="1" applyBorder="1" applyProtection="1">
      <protection hidden="1"/>
    </xf>
    <xf numFmtId="0" fontId="4" fillId="0" borderId="12" xfId="0" quotePrefix="1" applyFont="1" applyBorder="1" applyAlignment="1" applyProtection="1">
      <alignment horizontal="center"/>
      <protection hidden="1"/>
    </xf>
    <xf numFmtId="0" fontId="4" fillId="0" borderId="10" xfId="0" quotePrefix="1" applyFont="1" applyBorder="1" applyAlignment="1" applyProtection="1">
      <alignment horizontal="centerContinuous"/>
      <protection hidden="1"/>
    </xf>
    <xf numFmtId="2" fontId="4" fillId="0" borderId="9" xfId="0" quotePrefix="1" applyNumberFormat="1" applyFont="1" applyBorder="1" applyAlignment="1" applyProtection="1">
      <alignment horizontal="center"/>
      <protection hidden="1"/>
    </xf>
    <xf numFmtId="2" fontId="4" fillId="0" borderId="10" xfId="0" quotePrefix="1" applyNumberFormat="1" applyFont="1" applyBorder="1" applyAlignment="1" applyProtection="1">
      <alignment horizontal="center"/>
      <protection hidden="1"/>
    </xf>
    <xf numFmtId="0" fontId="0" fillId="0" borderId="5" xfId="0" applyBorder="1" applyAlignment="1" applyProtection="1">
      <alignment horizontal="right"/>
      <protection hidden="1"/>
    </xf>
    <xf numFmtId="0" fontId="4" fillId="2" borderId="8" xfId="0" applyFont="1" applyFill="1" applyBorder="1" applyAlignment="1" applyProtection="1">
      <alignment horizontal="center"/>
      <protection locked="0"/>
    </xf>
    <xf numFmtId="0" fontId="6" fillId="0" borderId="5" xfId="0" applyFont="1" applyBorder="1" applyAlignment="1" applyProtection="1">
      <alignment horizontal="center"/>
      <protection hidden="1"/>
    </xf>
    <xf numFmtId="49" fontId="4" fillId="0" borderId="7" xfId="0" applyNumberFormat="1" applyFont="1" applyBorder="1" applyProtection="1">
      <protection locked="0"/>
    </xf>
    <xf numFmtId="49" fontId="5" fillId="0" borderId="7" xfId="0" applyNumberFormat="1" applyFont="1" applyBorder="1" applyProtection="1">
      <protection locked="0"/>
    </xf>
    <xf numFmtId="49" fontId="0" fillId="0" borderId="7" xfId="0" applyNumberFormat="1" applyBorder="1" applyProtection="1">
      <protection locked="0"/>
    </xf>
    <xf numFmtId="49" fontId="4" fillId="0" borderId="8" xfId="0" applyNumberFormat="1" applyFont="1" applyBorder="1" applyProtection="1">
      <protection locked="0"/>
    </xf>
    <xf numFmtId="0" fontId="6" fillId="0" borderId="3" xfId="0" applyFont="1" applyBorder="1" applyAlignment="1" applyProtection="1">
      <alignment horizontal="center"/>
      <protection hidden="1"/>
    </xf>
    <xf numFmtId="49" fontId="4" fillId="2" borderId="8" xfId="0" applyNumberFormat="1" applyFont="1" applyFill="1" applyBorder="1" applyAlignment="1" applyProtection="1">
      <alignment horizontal="center"/>
      <protection locked="0"/>
    </xf>
    <xf numFmtId="0" fontId="5" fillId="0" borderId="3" xfId="0" applyFont="1" applyBorder="1" applyAlignment="1" applyProtection="1">
      <alignment horizontal="center"/>
      <protection hidden="1"/>
    </xf>
    <xf numFmtId="0" fontId="28" fillId="0" borderId="0" xfId="0" applyFont="1" applyAlignment="1" applyProtection="1">
      <alignment horizontal="left"/>
      <protection locked="0"/>
    </xf>
    <xf numFmtId="0" fontId="4" fillId="4" borderId="18" xfId="0" applyFont="1" applyFill="1" applyBorder="1" applyAlignment="1" applyProtection="1">
      <alignment horizontal="center"/>
      <protection locked="0"/>
    </xf>
    <xf numFmtId="2" fontId="4" fillId="4" borderId="18" xfId="0" applyNumberFormat="1" applyFont="1" applyFill="1" applyBorder="1" applyAlignment="1" applyProtection="1">
      <alignment horizontal="center"/>
      <protection locked="0"/>
    </xf>
    <xf numFmtId="2" fontId="4" fillId="2" borderId="20" xfId="0" applyNumberFormat="1" applyFont="1" applyFill="1" applyBorder="1" applyAlignment="1" applyProtection="1">
      <alignment horizontal="center"/>
      <protection hidden="1"/>
    </xf>
    <xf numFmtId="2" fontId="4" fillId="0" borderId="20" xfId="0" applyNumberFormat="1" applyFont="1" applyBorder="1" applyAlignment="1" applyProtection="1">
      <alignment horizontal="center"/>
      <protection hidden="1"/>
    </xf>
    <xf numFmtId="2" fontId="4" fillId="0" borderId="18" xfId="0" applyNumberFormat="1" applyFont="1" applyBorder="1" applyAlignment="1" applyProtection="1">
      <alignment horizontal="center"/>
      <protection hidden="1"/>
    </xf>
    <xf numFmtId="2" fontId="4" fillId="0" borderId="19" xfId="0" applyNumberFormat="1" applyFont="1" applyBorder="1" applyAlignment="1" applyProtection="1">
      <alignment horizontal="center"/>
      <protection hidden="1"/>
    </xf>
    <xf numFmtId="2" fontId="4" fillId="2" borderId="18" xfId="0" applyNumberFormat="1" applyFont="1" applyFill="1" applyBorder="1" applyAlignment="1" applyProtection="1">
      <alignment horizontal="center"/>
      <protection hidden="1"/>
    </xf>
    <xf numFmtId="0" fontId="4" fillId="4" borderId="19" xfId="0" applyFont="1" applyFill="1" applyBorder="1" applyAlignment="1" applyProtection="1">
      <alignment horizontal="center"/>
      <protection locked="0"/>
    </xf>
    <xf numFmtId="1" fontId="4" fillId="0" borderId="18" xfId="0" applyNumberFormat="1" applyFont="1" applyBorder="1" applyAlignment="1" applyProtection="1">
      <alignment horizontal="center"/>
      <protection hidden="1"/>
    </xf>
    <xf numFmtId="2" fontId="4" fillId="0" borderId="21" xfId="0" applyNumberFormat="1" applyFont="1" applyBorder="1" applyAlignment="1" applyProtection="1">
      <alignment horizontal="center"/>
      <protection hidden="1"/>
    </xf>
    <xf numFmtId="2" fontId="4" fillId="0" borderId="22" xfId="0" applyNumberFormat="1" applyFont="1" applyBorder="1" applyAlignment="1" applyProtection="1">
      <alignment horizontal="center"/>
      <protection hidden="1"/>
    </xf>
    <xf numFmtId="2" fontId="4" fillId="0" borderId="23" xfId="0" applyNumberFormat="1" applyFont="1" applyBorder="1" applyAlignment="1" applyProtection="1">
      <alignment horizontal="center"/>
      <protection hidden="1"/>
    </xf>
    <xf numFmtId="165" fontId="4" fillId="0" borderId="18" xfId="0" applyNumberFormat="1" applyFont="1" applyBorder="1" applyAlignment="1" applyProtection="1">
      <alignment horizontal="center"/>
      <protection hidden="1"/>
    </xf>
    <xf numFmtId="165" fontId="4" fillId="0" borderId="19" xfId="0" applyNumberFormat="1" applyFont="1" applyBorder="1" applyAlignment="1" applyProtection="1">
      <alignment horizontal="center"/>
      <protection hidden="1"/>
    </xf>
    <xf numFmtId="2" fontId="4" fillId="0" borderId="20" xfId="0" quotePrefix="1" applyNumberFormat="1" applyFont="1" applyBorder="1" applyAlignment="1" applyProtection="1">
      <alignment horizontal="center"/>
      <protection hidden="1"/>
    </xf>
    <xf numFmtId="0" fontId="4" fillId="0" borderId="18" xfId="0" applyFont="1" applyBorder="1" applyAlignment="1" applyProtection="1">
      <alignment horizontal="center"/>
      <protection hidden="1"/>
    </xf>
    <xf numFmtId="0" fontId="4" fillId="0" borderId="19" xfId="0" applyFont="1" applyBorder="1" applyAlignment="1" applyProtection="1">
      <alignment horizontal="center"/>
      <protection hidden="1"/>
    </xf>
    <xf numFmtId="165" fontId="4" fillId="0" borderId="20" xfId="0" applyNumberFormat="1" applyFont="1" applyBorder="1" applyAlignment="1" applyProtection="1">
      <alignment horizontal="center"/>
      <protection hidden="1"/>
    </xf>
    <xf numFmtId="1" fontId="4" fillId="0" borderId="19" xfId="0" applyNumberFormat="1" applyFont="1" applyBorder="1" applyAlignment="1" applyProtection="1">
      <alignment horizontal="center"/>
      <protection hidden="1"/>
    </xf>
    <xf numFmtId="165" fontId="4" fillId="0" borderId="18" xfId="0" quotePrefix="1" applyNumberFormat="1" applyFont="1" applyBorder="1" applyAlignment="1" applyProtection="1">
      <alignment horizontal="center"/>
      <protection hidden="1"/>
    </xf>
    <xf numFmtId="165" fontId="4" fillId="2" borderId="20" xfId="0" applyNumberFormat="1" applyFont="1" applyFill="1" applyBorder="1" applyAlignment="1" applyProtection="1">
      <alignment horizontal="center"/>
      <protection hidden="1"/>
    </xf>
    <xf numFmtId="165" fontId="4" fillId="2" borderId="18" xfId="0" applyNumberFormat="1" applyFont="1" applyFill="1" applyBorder="1" applyAlignment="1" applyProtection="1">
      <alignment horizontal="center"/>
      <protection hidden="1"/>
    </xf>
    <xf numFmtId="0" fontId="33" fillId="0" borderId="5" xfId="0" applyFont="1" applyBorder="1" applyAlignment="1" applyProtection="1">
      <alignment horizontal="center"/>
      <protection hidden="1"/>
    </xf>
    <xf numFmtId="0" fontId="33" fillId="2" borderId="0" xfId="0" applyFont="1" applyFill="1" applyAlignment="1" applyProtection="1">
      <alignment horizontal="center"/>
      <protection hidden="1"/>
    </xf>
    <xf numFmtId="14" fontId="0" fillId="2" borderId="11" xfId="0" applyNumberFormat="1" applyFill="1" applyBorder="1" applyAlignment="1" applyProtection="1">
      <alignment horizontal="center"/>
      <protection hidden="1"/>
    </xf>
    <xf numFmtId="18" fontId="0" fillId="2" borderId="17" xfId="0" applyNumberFormat="1" applyFill="1" applyBorder="1" applyAlignment="1" applyProtection="1">
      <alignment horizontal="center"/>
      <protection hidden="1"/>
    </xf>
    <xf numFmtId="0" fontId="0" fillId="2" borderId="14" xfId="0" applyFill="1" applyBorder="1" applyAlignment="1" applyProtection="1">
      <alignment horizontal="center"/>
      <protection hidden="1"/>
    </xf>
    <xf numFmtId="0" fontId="4" fillId="2" borderId="17" xfId="0" applyFont="1" applyFill="1" applyBorder="1" applyAlignment="1" applyProtection="1">
      <alignment horizontal="center"/>
      <protection hidden="1"/>
    </xf>
    <xf numFmtId="0" fontId="34" fillId="3" borderId="9" xfId="0" applyFont="1" applyFill="1" applyBorder="1" applyAlignment="1" applyProtection="1">
      <alignment horizontal="center"/>
      <protection hidden="1"/>
    </xf>
    <xf numFmtId="2" fontId="29" fillId="4" borderId="18" xfId="0" applyNumberFormat="1" applyFont="1" applyFill="1" applyBorder="1" applyAlignment="1" applyProtection="1">
      <alignment horizontal="center"/>
      <protection locked="0"/>
    </xf>
    <xf numFmtId="0" fontId="29" fillId="0" borderId="8" xfId="0" applyFont="1" applyBorder="1" applyAlignment="1">
      <alignment horizontal="centerContinuous"/>
    </xf>
    <xf numFmtId="0" fontId="29" fillId="0" borderId="6" xfId="0" applyFont="1" applyBorder="1" applyAlignment="1">
      <alignment horizontal="centerContinuous"/>
    </xf>
    <xf numFmtId="0" fontId="29" fillId="0" borderId="7" xfId="0" applyFont="1" applyBorder="1" applyAlignment="1">
      <alignment horizontal="centerContinuous"/>
    </xf>
    <xf numFmtId="0" fontId="4" fillId="0" borderId="14" xfId="0" applyFont="1" applyBorder="1" applyAlignment="1">
      <alignment horizontal="centerContinuous"/>
    </xf>
    <xf numFmtId="0" fontId="4" fillId="0" borderId="11" xfId="0" applyFont="1" applyBorder="1" applyAlignment="1">
      <alignment horizontal="centerContinuous"/>
    </xf>
    <xf numFmtId="0" fontId="29" fillId="0" borderId="12" xfId="0" applyFont="1" applyBorder="1" applyAlignment="1">
      <alignment horizontal="centerContinuous"/>
    </xf>
    <xf numFmtId="0" fontId="29" fillId="0" borderId="13" xfId="0" applyFont="1" applyBorder="1" applyAlignment="1">
      <alignment horizontal="centerContinuous"/>
    </xf>
    <xf numFmtId="0" fontId="29" fillId="0" borderId="16" xfId="0" applyFont="1" applyBorder="1" applyAlignment="1">
      <alignment horizontal="centerContinuous"/>
    </xf>
    <xf numFmtId="0" fontId="29" fillId="0" borderId="14" xfId="0" applyFont="1" applyBorder="1"/>
    <xf numFmtId="0" fontId="29" fillId="0" borderId="11" xfId="0" applyFont="1" applyBorder="1"/>
    <xf numFmtId="0" fontId="4" fillId="0" borderId="16" xfId="0" applyFont="1" applyBorder="1" applyAlignment="1">
      <alignment horizontal="centerContinuous"/>
    </xf>
    <xf numFmtId="0" fontId="29" fillId="0" borderId="9" xfId="0" applyFont="1" applyBorder="1" applyAlignment="1">
      <alignment horizontal="center"/>
    </xf>
    <xf numFmtId="0" fontId="29" fillId="0" borderId="3" xfId="0" applyFont="1" applyBorder="1" applyAlignment="1">
      <alignment horizontal="center"/>
    </xf>
    <xf numFmtId="0" fontId="29" fillId="0" borderId="11" xfId="0" applyFont="1" applyBorder="1" applyAlignment="1">
      <alignment horizontal="center"/>
    </xf>
    <xf numFmtId="0" fontId="33" fillId="0" borderId="0" xfId="0" applyFont="1" applyAlignment="1">
      <alignment horizontal="right"/>
    </xf>
    <xf numFmtId="0" fontId="33" fillId="0" borderId="0" xfId="0" applyFont="1" applyAlignment="1">
      <alignment horizontal="left"/>
    </xf>
    <xf numFmtId="0" fontId="29" fillId="0" borderId="3" xfId="0" applyFont="1" applyBorder="1"/>
    <xf numFmtId="0" fontId="27" fillId="0" borderId="3" xfId="0" applyFont="1" applyBorder="1" applyAlignment="1">
      <alignment horizontal="center"/>
    </xf>
    <xf numFmtId="0" fontId="39" fillId="0" borderId="24" xfId="0" applyFont="1" applyBorder="1" applyAlignment="1">
      <alignment horizontal="center"/>
    </xf>
    <xf numFmtId="0" fontId="39" fillId="0" borderId="20" xfId="0" applyFont="1" applyBorder="1" applyAlignment="1">
      <alignment horizontal="center"/>
    </xf>
    <xf numFmtId="166" fontId="39" fillId="0" borderId="25" xfId="0" applyNumberFormat="1" applyFont="1" applyBorder="1" applyAlignment="1">
      <alignment horizontal="center"/>
    </xf>
    <xf numFmtId="166" fontId="39" fillId="0" borderId="20" xfId="0" applyNumberFormat="1" applyFont="1" applyBorder="1" applyAlignment="1">
      <alignment horizontal="center"/>
    </xf>
    <xf numFmtId="166" fontId="39" fillId="0" borderId="24" xfId="0" applyNumberFormat="1" applyFont="1" applyBorder="1" applyAlignment="1">
      <alignment horizontal="center"/>
    </xf>
    <xf numFmtId="0" fontId="39" fillId="0" borderId="26" xfId="0" applyFont="1" applyBorder="1" applyAlignment="1">
      <alignment horizontal="center"/>
    </xf>
    <xf numFmtId="0" fontId="39" fillId="0" borderId="27" xfId="0" applyFont="1" applyBorder="1" applyAlignment="1">
      <alignment horizontal="center"/>
    </xf>
    <xf numFmtId="166" fontId="39" fillId="0" borderId="28" xfId="0" applyNumberFormat="1" applyFont="1" applyBorder="1" applyAlignment="1">
      <alignment horizontal="center"/>
    </xf>
    <xf numFmtId="166" fontId="39" fillId="0" borderId="18" xfId="0" applyNumberFormat="1" applyFont="1" applyBorder="1" applyAlignment="1">
      <alignment horizontal="center"/>
    </xf>
    <xf numFmtId="166" fontId="39" fillId="0" borderId="26" xfId="0" applyNumberFormat="1" applyFont="1" applyBorder="1" applyAlignment="1">
      <alignment horizontal="center"/>
    </xf>
    <xf numFmtId="0" fontId="40" fillId="0" borderId="17" xfId="0" applyFont="1" applyBorder="1" applyProtection="1">
      <protection hidden="1"/>
    </xf>
    <xf numFmtId="166" fontId="39" fillId="0" borderId="29" xfId="0" applyNumberFormat="1" applyFont="1" applyBorder="1" applyAlignment="1">
      <alignment horizontal="center"/>
    </xf>
    <xf numFmtId="166" fontId="39" fillId="0" borderId="30" xfId="0" applyNumberFormat="1" applyFont="1" applyBorder="1" applyAlignment="1">
      <alignment horizontal="center"/>
    </xf>
    <xf numFmtId="166" fontId="39" fillId="0" borderId="31" xfId="0" applyNumberFormat="1" applyFont="1" applyBorder="1" applyAlignment="1">
      <alignment horizontal="center"/>
    </xf>
    <xf numFmtId="0" fontId="39" fillId="0" borderId="0" xfId="0" applyFont="1" applyAlignment="1">
      <alignment horizontal="left"/>
    </xf>
    <xf numFmtId="0" fontId="29" fillId="0" borderId="25" xfId="0" applyFont="1" applyBorder="1"/>
    <xf numFmtId="2" fontId="29" fillId="0" borderId="29" xfId="0" applyNumberFormat="1" applyFont="1" applyBorder="1" applyAlignment="1">
      <alignment horizontal="center"/>
    </xf>
    <xf numFmtId="2" fontId="29" fillId="0" borderId="30" xfId="0" applyNumberFormat="1" applyFont="1" applyBorder="1" applyAlignment="1">
      <alignment horizontal="center"/>
    </xf>
    <xf numFmtId="0" fontId="39" fillId="0" borderId="32" xfId="0" applyFont="1" applyBorder="1" applyAlignment="1">
      <alignment horizontal="center"/>
    </xf>
    <xf numFmtId="0" fontId="39" fillId="0" borderId="18" xfId="0" applyFont="1" applyBorder="1" applyAlignment="1">
      <alignment horizontal="center"/>
    </xf>
    <xf numFmtId="166" fontId="39" fillId="0" borderId="32" xfId="0" applyNumberFormat="1" applyFont="1" applyBorder="1" applyAlignment="1">
      <alignment horizontal="center"/>
    </xf>
    <xf numFmtId="2" fontId="40" fillId="0" borderId="17" xfId="0" applyNumberFormat="1" applyFont="1" applyBorder="1" applyAlignment="1" applyProtection="1">
      <alignment horizontal="left"/>
      <protection hidden="1"/>
    </xf>
    <xf numFmtId="166" fontId="39" fillId="0" borderId="1" xfId="0" applyNumberFormat="1" applyFont="1" applyBorder="1" applyAlignment="1">
      <alignment horizontal="center"/>
    </xf>
    <xf numFmtId="166" fontId="39" fillId="0" borderId="33" xfId="0" applyNumberFormat="1" applyFont="1" applyBorder="1" applyAlignment="1">
      <alignment horizontal="center"/>
    </xf>
    <xf numFmtId="166" fontId="39" fillId="0" borderId="34" xfId="0" applyNumberFormat="1" applyFont="1" applyBorder="1" applyAlignment="1">
      <alignment horizontal="center"/>
    </xf>
    <xf numFmtId="0" fontId="29" fillId="0" borderId="28" xfId="0" applyFont="1" applyBorder="1" applyAlignment="1">
      <alignment horizontal="center"/>
    </xf>
    <xf numFmtId="2" fontId="29" fillId="0" borderId="1" xfId="0" applyNumberFormat="1" applyFont="1" applyBorder="1" applyAlignment="1">
      <alignment horizontal="center"/>
    </xf>
    <xf numFmtId="2" fontId="29" fillId="0" borderId="33" xfId="0" applyNumberFormat="1" applyFont="1" applyBorder="1" applyAlignment="1">
      <alignment horizontal="center"/>
    </xf>
    <xf numFmtId="0" fontId="37" fillId="0" borderId="0" xfId="0" applyFont="1" applyAlignment="1">
      <alignment horizontal="center"/>
    </xf>
    <xf numFmtId="2" fontId="0" fillId="0" borderId="0" xfId="0" applyNumberFormat="1"/>
    <xf numFmtId="0" fontId="40" fillId="0" borderId="0" xfId="0" applyFont="1" applyProtection="1">
      <protection hidden="1"/>
    </xf>
    <xf numFmtId="0" fontId="39" fillId="0" borderId="35" xfId="0" applyFont="1" applyBorder="1" applyAlignment="1">
      <alignment horizontal="center"/>
    </xf>
    <xf numFmtId="166" fontId="39" fillId="0" borderId="36" xfId="0" applyNumberFormat="1" applyFont="1" applyBorder="1" applyAlignment="1">
      <alignment horizontal="center"/>
    </xf>
    <xf numFmtId="166" fontId="39" fillId="0" borderId="37" xfId="0" applyNumberFormat="1" applyFont="1" applyBorder="1" applyAlignment="1">
      <alignment horizontal="center"/>
    </xf>
    <xf numFmtId="166" fontId="39" fillId="0" borderId="38" xfId="0" applyNumberFormat="1" applyFont="1" applyBorder="1" applyAlignment="1">
      <alignment horizontal="center"/>
    </xf>
    <xf numFmtId="166" fontId="39" fillId="0" borderId="39" xfId="0" applyNumberFormat="1" applyFont="1" applyBorder="1" applyAlignment="1">
      <alignment horizontal="center"/>
    </xf>
    <xf numFmtId="166" fontId="39" fillId="0" borderId="40" xfId="0" applyNumberFormat="1" applyFont="1" applyBorder="1" applyAlignment="1">
      <alignment horizontal="center"/>
    </xf>
    <xf numFmtId="166" fontId="39" fillId="0" borderId="41" xfId="0" applyNumberFormat="1" applyFont="1" applyBorder="1" applyAlignment="1">
      <alignment horizontal="center"/>
    </xf>
    <xf numFmtId="166" fontId="39" fillId="0" borderId="42" xfId="0" applyNumberFormat="1" applyFont="1" applyBorder="1" applyAlignment="1">
      <alignment horizontal="center"/>
    </xf>
    <xf numFmtId="166" fontId="39" fillId="0" borderId="43" xfId="0" applyNumberFormat="1" applyFont="1" applyBorder="1" applyAlignment="1">
      <alignment horizontal="center"/>
    </xf>
    <xf numFmtId="0" fontId="39" fillId="0" borderId="44" xfId="0" applyFont="1" applyBorder="1" applyAlignment="1">
      <alignment horizontal="center"/>
    </xf>
    <xf numFmtId="0" fontId="39" fillId="0" borderId="19" xfId="0" applyFont="1" applyBorder="1" applyAlignment="1">
      <alignment horizontal="center"/>
    </xf>
    <xf numFmtId="166" fontId="39" fillId="0" borderId="45" xfId="0" applyNumberFormat="1" applyFont="1" applyBorder="1" applyAlignment="1">
      <alignment horizontal="center"/>
    </xf>
    <xf numFmtId="166" fontId="39" fillId="0" borderId="19" xfId="0" applyNumberFormat="1" applyFont="1" applyBorder="1" applyAlignment="1">
      <alignment horizontal="center"/>
    </xf>
    <xf numFmtId="166" fontId="39" fillId="0" borderId="44" xfId="0" applyNumberFormat="1" applyFont="1" applyBorder="1" applyAlignment="1">
      <alignment horizontal="center"/>
    </xf>
    <xf numFmtId="0" fontId="29" fillId="0" borderId="4" xfId="0" applyFont="1" applyBorder="1"/>
    <xf numFmtId="0" fontId="39" fillId="0" borderId="5" xfId="0" applyFont="1" applyBorder="1" applyAlignment="1">
      <alignment horizontal="center"/>
    </xf>
    <xf numFmtId="166" fontId="39" fillId="0" borderId="46" xfId="0" applyNumberFormat="1" applyFont="1" applyBorder="1" applyAlignment="1">
      <alignment horizontal="center"/>
    </xf>
    <xf numFmtId="166" fontId="39" fillId="0" borderId="47" xfId="0" applyNumberFormat="1" applyFont="1" applyBorder="1" applyAlignment="1">
      <alignment horizontal="center"/>
    </xf>
    <xf numFmtId="166" fontId="39" fillId="0" borderId="48" xfId="0" applyNumberFormat="1" applyFont="1" applyBorder="1" applyAlignment="1">
      <alignment horizontal="center"/>
    </xf>
    <xf numFmtId="166" fontId="39" fillId="0" borderId="49" xfId="0" applyNumberFormat="1" applyFont="1" applyBorder="1" applyAlignment="1">
      <alignment horizontal="center"/>
    </xf>
    <xf numFmtId="0" fontId="29" fillId="0" borderId="45" xfId="0" applyFont="1" applyBorder="1" applyAlignment="1">
      <alignment horizontal="center"/>
    </xf>
    <xf numFmtId="0" fontId="8" fillId="0" borderId="0" xfId="0" applyFont="1" applyProtection="1">
      <protection hidden="1"/>
    </xf>
    <xf numFmtId="0" fontId="21" fillId="3" borderId="7" xfId="0" applyFont="1" applyFill="1" applyBorder="1" applyAlignment="1" applyProtection="1">
      <alignment horizontal="centerContinuous"/>
      <protection hidden="1"/>
    </xf>
    <xf numFmtId="0" fontId="36" fillId="0" borderId="0" xfId="0" applyFont="1" applyProtection="1">
      <protection hidden="1"/>
    </xf>
    <xf numFmtId="0" fontId="5" fillId="3" borderId="6" xfId="0" applyFont="1" applyFill="1" applyBorder="1" applyAlignment="1" applyProtection="1">
      <alignment horizontal="centerContinuous"/>
      <protection hidden="1"/>
    </xf>
    <xf numFmtId="0" fontId="5" fillId="3" borderId="3" xfId="0" applyFont="1" applyFill="1" applyBorder="1" applyAlignment="1" applyProtection="1">
      <alignment horizontal="center"/>
      <protection hidden="1"/>
    </xf>
    <xf numFmtId="0" fontId="29" fillId="2" borderId="0" xfId="0" applyFont="1" applyFill="1" applyAlignment="1">
      <alignment horizontal="center"/>
    </xf>
    <xf numFmtId="0" fontId="39" fillId="2" borderId="0" xfId="0" applyFont="1" applyFill="1" applyAlignment="1">
      <alignment horizontal="center"/>
    </xf>
    <xf numFmtId="166" fontId="39" fillId="2" borderId="0" xfId="0" applyNumberFormat="1" applyFont="1" applyFill="1" applyAlignment="1">
      <alignment horizontal="center"/>
    </xf>
    <xf numFmtId="0" fontId="5" fillId="3" borderId="7" xfId="0" applyFont="1" applyFill="1" applyBorder="1" applyAlignment="1" applyProtection="1">
      <alignment horizontal="centerContinuous"/>
      <protection hidden="1"/>
    </xf>
    <xf numFmtId="0" fontId="0" fillId="3" borderId="8" xfId="0" applyFill="1" applyBorder="1" applyAlignment="1" applyProtection="1">
      <alignment horizontal="center"/>
      <protection hidden="1"/>
    </xf>
    <xf numFmtId="0" fontId="0" fillId="3" borderId="3" xfId="0" applyFill="1" applyBorder="1" applyAlignment="1" applyProtection="1">
      <alignment horizontal="center"/>
      <protection hidden="1"/>
    </xf>
    <xf numFmtId="1" fontId="6" fillId="3" borderId="24" xfId="0" applyNumberFormat="1" applyFont="1" applyFill="1" applyBorder="1" applyAlignment="1" applyProtection="1">
      <alignment horizontal="center"/>
      <protection hidden="1"/>
    </xf>
    <xf numFmtId="1" fontId="6" fillId="3" borderId="44" xfId="0" applyNumberFormat="1" applyFont="1" applyFill="1" applyBorder="1" applyAlignment="1" applyProtection="1">
      <alignment horizontal="center"/>
      <protection hidden="1"/>
    </xf>
    <xf numFmtId="1" fontId="6" fillId="3" borderId="32" xfId="0" applyNumberFormat="1" applyFont="1" applyFill="1" applyBorder="1" applyAlignment="1" applyProtection="1">
      <alignment horizontal="center"/>
      <protection hidden="1"/>
    </xf>
    <xf numFmtId="0" fontId="29" fillId="0" borderId="28" xfId="0" applyFont="1" applyBorder="1"/>
    <xf numFmtId="0" fontId="29" fillId="0" borderId="45" xfId="0" applyFont="1" applyBorder="1"/>
    <xf numFmtId="2" fontId="8" fillId="2" borderId="0" xfId="0" applyNumberFormat="1" applyFont="1" applyFill="1" applyAlignment="1">
      <alignment horizontal="center"/>
    </xf>
    <xf numFmtId="0" fontId="6" fillId="2" borderId="0" xfId="0" applyFont="1" applyFill="1" applyProtection="1">
      <protection hidden="1"/>
    </xf>
    <xf numFmtId="0" fontId="6" fillId="2" borderId="0" xfId="0" quotePrefix="1" applyFont="1" applyFill="1" applyProtection="1">
      <protection hidden="1"/>
    </xf>
    <xf numFmtId="2" fontId="33" fillId="0" borderId="0" xfId="0" applyNumberFormat="1" applyFont="1" applyAlignment="1">
      <alignment horizontal="center"/>
    </xf>
    <xf numFmtId="0" fontId="29" fillId="0" borderId="10" xfId="0" applyFont="1" applyBorder="1" applyAlignment="1">
      <alignment horizontal="centerContinuous"/>
    </xf>
    <xf numFmtId="0" fontId="29" fillId="0" borderId="14" xfId="0" applyFont="1" applyBorder="1" applyAlignment="1">
      <alignment horizontal="centerContinuous"/>
    </xf>
    <xf numFmtId="0" fontId="39" fillId="0" borderId="0" xfId="0" applyFont="1" applyAlignment="1">
      <alignment horizontal="right"/>
    </xf>
    <xf numFmtId="2" fontId="39" fillId="0" borderId="25" xfId="0" applyNumberFormat="1" applyFont="1" applyBorder="1" applyAlignment="1">
      <alignment horizontal="center"/>
    </xf>
    <xf numFmtId="2" fontId="39" fillId="0" borderId="29" xfId="0" applyNumberFormat="1" applyFont="1" applyBorder="1" applyAlignment="1">
      <alignment horizontal="center"/>
    </xf>
    <xf numFmtId="2" fontId="39" fillId="0" borderId="30" xfId="0" applyNumberFormat="1" applyFont="1" applyBorder="1" applyAlignment="1">
      <alignment horizontal="center"/>
    </xf>
    <xf numFmtId="2" fontId="39" fillId="0" borderId="28" xfId="0" applyNumberFormat="1" applyFont="1" applyBorder="1" applyAlignment="1">
      <alignment horizontal="center"/>
    </xf>
    <xf numFmtId="2" fontId="39" fillId="0" borderId="1" xfId="0" applyNumberFormat="1" applyFont="1" applyBorder="1" applyAlignment="1">
      <alignment horizontal="center"/>
    </xf>
    <xf numFmtId="2" fontId="39" fillId="0" borderId="33" xfId="0" applyNumberFormat="1" applyFont="1" applyBorder="1" applyAlignment="1">
      <alignment horizontal="center"/>
    </xf>
    <xf numFmtId="2" fontId="39" fillId="0" borderId="45" xfId="0" applyNumberFormat="1" applyFont="1" applyBorder="1" applyAlignment="1">
      <alignment horizontal="center"/>
    </xf>
    <xf numFmtId="2" fontId="39" fillId="0" borderId="50" xfId="0" applyNumberFormat="1" applyFont="1" applyBorder="1" applyAlignment="1">
      <alignment horizontal="center"/>
    </xf>
    <xf numFmtId="2" fontId="39" fillId="0" borderId="51" xfId="0" applyNumberFormat="1" applyFont="1" applyBorder="1" applyAlignment="1">
      <alignment horizontal="center"/>
    </xf>
    <xf numFmtId="0" fontId="0" fillId="0" borderId="11" xfId="0" applyBorder="1" applyProtection="1">
      <protection hidden="1"/>
    </xf>
    <xf numFmtId="0" fontId="6" fillId="2" borderId="15" xfId="0" applyFont="1" applyFill="1" applyBorder="1" applyProtection="1">
      <protection hidden="1"/>
    </xf>
    <xf numFmtId="0" fontId="0" fillId="2" borderId="15" xfId="0" applyFill="1" applyBorder="1" applyProtection="1">
      <protection hidden="1"/>
    </xf>
    <xf numFmtId="22" fontId="0" fillId="0" borderId="15" xfId="0" applyNumberFormat="1" applyBorder="1" applyAlignment="1" applyProtection="1">
      <alignment horizontal="center"/>
      <protection hidden="1"/>
    </xf>
    <xf numFmtId="0" fontId="3" fillId="2" borderId="0" xfId="0" applyFont="1" applyFill="1" applyAlignment="1" applyProtection="1">
      <alignment horizontal="centerContinuous"/>
      <protection hidden="1"/>
    </xf>
    <xf numFmtId="2" fontId="43" fillId="2" borderId="0" xfId="0" applyNumberFormat="1" applyFont="1" applyFill="1" applyAlignment="1" applyProtection="1">
      <alignment horizontal="centerContinuous"/>
      <protection hidden="1"/>
    </xf>
    <xf numFmtId="0" fontId="43" fillId="0" borderId="0" xfId="0" applyFont="1" applyAlignment="1" applyProtection="1">
      <alignment horizontal="centerContinuous"/>
      <protection hidden="1"/>
    </xf>
    <xf numFmtId="14" fontId="0" fillId="2" borderId="17" xfId="0" applyNumberFormat="1" applyFill="1" applyBorder="1" applyAlignment="1" applyProtection="1">
      <alignment horizontal="center"/>
      <protection hidden="1"/>
    </xf>
    <xf numFmtId="0" fontId="0" fillId="2" borderId="16" xfId="0" applyFill="1" applyBorder="1" applyAlignment="1" applyProtection="1">
      <alignment horizontal="center"/>
      <protection hidden="1"/>
    </xf>
    <xf numFmtId="0" fontId="45" fillId="3" borderId="6" xfId="0" applyFont="1" applyFill="1" applyBorder="1" applyAlignment="1" applyProtection="1">
      <alignment horizontal="centerContinuous"/>
      <protection hidden="1"/>
    </xf>
    <xf numFmtId="0" fontId="45" fillId="3" borderId="7" xfId="0" applyFont="1" applyFill="1" applyBorder="1" applyAlignment="1" applyProtection="1">
      <alignment horizontal="centerContinuous"/>
      <protection hidden="1"/>
    </xf>
    <xf numFmtId="0" fontId="6" fillId="3" borderId="8" xfId="0" applyFont="1" applyFill="1" applyBorder="1" applyAlignment="1" applyProtection="1">
      <alignment horizontal="centerContinuous"/>
      <protection hidden="1"/>
    </xf>
    <xf numFmtId="0" fontId="46" fillId="3" borderId="8" xfId="0" applyFont="1" applyFill="1" applyBorder="1" applyAlignment="1" applyProtection="1">
      <alignment horizontal="centerContinuous"/>
      <protection hidden="1"/>
    </xf>
    <xf numFmtId="0" fontId="46" fillId="3" borderId="6" xfId="0" applyFont="1" applyFill="1" applyBorder="1" applyAlignment="1" applyProtection="1">
      <alignment horizontal="centerContinuous"/>
      <protection hidden="1"/>
    </xf>
    <xf numFmtId="0" fontId="46" fillId="3" borderId="7" xfId="0" applyFont="1" applyFill="1" applyBorder="1" applyAlignment="1" applyProtection="1">
      <alignment horizontal="centerContinuous"/>
      <protection hidden="1"/>
    </xf>
    <xf numFmtId="0" fontId="34" fillId="3" borderId="7" xfId="0" applyFont="1" applyFill="1" applyBorder="1" applyAlignment="1" applyProtection="1">
      <alignment horizontal="centerContinuous"/>
      <protection hidden="1"/>
    </xf>
    <xf numFmtId="0" fontId="34" fillId="3" borderId="8" xfId="0" applyFont="1" applyFill="1" applyBorder="1" applyAlignment="1" applyProtection="1">
      <alignment horizontal="centerContinuous"/>
      <protection hidden="1"/>
    </xf>
    <xf numFmtId="0" fontId="34" fillId="3" borderId="10" xfId="0" applyFont="1" applyFill="1" applyBorder="1" applyAlignment="1" applyProtection="1">
      <alignment horizontal="centerContinuous"/>
      <protection hidden="1"/>
    </xf>
    <xf numFmtId="0" fontId="34" fillId="3" borderId="14" xfId="0" applyFont="1" applyFill="1" applyBorder="1" applyAlignment="1" applyProtection="1">
      <alignment horizontal="centerContinuous"/>
      <protection hidden="1"/>
    </xf>
    <xf numFmtId="0" fontId="34" fillId="3" borderId="11" xfId="0" applyFont="1" applyFill="1" applyBorder="1" applyAlignment="1" applyProtection="1">
      <alignment horizontal="centerContinuous"/>
      <protection hidden="1"/>
    </xf>
    <xf numFmtId="0" fontId="45" fillId="3" borderId="8" xfId="0" applyFont="1" applyFill="1" applyBorder="1" applyAlignment="1" applyProtection="1">
      <alignment horizontal="centerContinuous"/>
      <protection hidden="1"/>
    </xf>
    <xf numFmtId="0" fontId="45" fillId="3" borderId="10" xfId="0" applyFont="1" applyFill="1" applyBorder="1" applyAlignment="1" applyProtection="1">
      <alignment horizontal="centerContinuous" vertical="center"/>
      <protection hidden="1"/>
    </xf>
    <xf numFmtId="0" fontId="45" fillId="3" borderId="14" xfId="0" applyFont="1" applyFill="1" applyBorder="1" applyAlignment="1" applyProtection="1">
      <alignment horizontal="centerContinuous" vertical="center"/>
      <protection hidden="1"/>
    </xf>
    <xf numFmtId="0" fontId="6" fillId="3" borderId="11" xfId="0" applyFont="1" applyFill="1" applyBorder="1" applyAlignment="1" applyProtection="1">
      <alignment horizontal="centerContinuous" vertical="center"/>
      <protection hidden="1"/>
    </xf>
    <xf numFmtId="0" fontId="46" fillId="3" borderId="12" xfId="0" applyFont="1" applyFill="1" applyBorder="1" applyAlignment="1" applyProtection="1">
      <alignment horizontal="centerContinuous"/>
      <protection hidden="1"/>
    </xf>
    <xf numFmtId="0" fontId="46" fillId="3" borderId="13" xfId="0" applyFont="1" applyFill="1" applyBorder="1" applyAlignment="1" applyProtection="1">
      <alignment horizontal="centerContinuous"/>
      <protection hidden="1"/>
    </xf>
    <xf numFmtId="0" fontId="46" fillId="3" borderId="16" xfId="0" applyFont="1" applyFill="1" applyBorder="1" applyAlignment="1" applyProtection="1">
      <alignment horizontal="centerContinuous"/>
      <protection hidden="1"/>
    </xf>
    <xf numFmtId="0" fontId="46" fillId="3" borderId="10" xfId="0" applyFont="1" applyFill="1" applyBorder="1" applyProtection="1">
      <protection hidden="1"/>
    </xf>
    <xf numFmtId="0" fontId="46" fillId="3" borderId="14" xfId="0" applyFont="1" applyFill="1" applyBorder="1" applyProtection="1">
      <protection hidden="1"/>
    </xf>
    <xf numFmtId="0" fontId="34" fillId="3" borderId="14" xfId="0" applyFont="1" applyFill="1" applyBorder="1" applyProtection="1">
      <protection hidden="1"/>
    </xf>
    <xf numFmtId="0" fontId="34" fillId="3" borderId="11" xfId="0" applyFont="1" applyFill="1" applyBorder="1" applyProtection="1">
      <protection hidden="1"/>
    </xf>
    <xf numFmtId="0" fontId="46" fillId="3" borderId="11" xfId="0" applyFont="1" applyFill="1" applyBorder="1" applyProtection="1">
      <protection hidden="1"/>
    </xf>
    <xf numFmtId="0" fontId="34" fillId="3" borderId="12" xfId="0" applyFont="1" applyFill="1" applyBorder="1" applyAlignment="1" applyProtection="1">
      <alignment horizontal="centerContinuous"/>
      <protection hidden="1"/>
    </xf>
    <xf numFmtId="0" fontId="34" fillId="3" borderId="16" xfId="0" applyFont="1" applyFill="1" applyBorder="1" applyAlignment="1" applyProtection="1">
      <alignment horizontal="centerContinuous"/>
      <protection hidden="1"/>
    </xf>
    <xf numFmtId="0" fontId="34" fillId="3" borderId="13" xfId="0" applyFont="1" applyFill="1" applyBorder="1" applyAlignment="1" applyProtection="1">
      <alignment horizontal="centerContinuous"/>
      <protection hidden="1"/>
    </xf>
    <xf numFmtId="0" fontId="45" fillId="3" borderId="12" xfId="0" applyFont="1" applyFill="1" applyBorder="1" applyAlignment="1" applyProtection="1">
      <alignment horizontal="centerContinuous" vertical="center"/>
      <protection hidden="1"/>
    </xf>
    <xf numFmtId="0" fontId="45" fillId="3" borderId="16" xfId="0" applyFont="1" applyFill="1" applyBorder="1" applyAlignment="1" applyProtection="1">
      <alignment horizontal="centerContinuous" vertical="center"/>
      <protection hidden="1"/>
    </xf>
    <xf numFmtId="0" fontId="6" fillId="3" borderId="13" xfId="0" applyFont="1" applyFill="1" applyBorder="1" applyAlignment="1" applyProtection="1">
      <alignment horizontal="centerContinuous" vertical="center"/>
      <protection hidden="1"/>
    </xf>
    <xf numFmtId="0" fontId="46" fillId="3" borderId="0" xfId="0" applyFont="1" applyFill="1" applyAlignment="1" applyProtection="1">
      <alignment horizontal="centerContinuous"/>
      <protection hidden="1"/>
    </xf>
    <xf numFmtId="0" fontId="34" fillId="3" borderId="6" xfId="0" applyFont="1" applyFill="1" applyBorder="1" applyAlignment="1" applyProtection="1">
      <alignment horizontal="centerContinuous"/>
      <protection hidden="1"/>
    </xf>
    <xf numFmtId="0" fontId="34" fillId="3" borderId="5" xfId="0" applyFont="1" applyFill="1" applyBorder="1" applyAlignment="1" applyProtection="1">
      <alignment horizontal="center"/>
      <protection hidden="1"/>
    </xf>
    <xf numFmtId="0" fontId="34" fillId="3" borderId="3" xfId="0" applyFont="1" applyFill="1" applyBorder="1" applyAlignment="1" applyProtection="1">
      <alignment horizontal="center"/>
      <protection hidden="1"/>
    </xf>
    <xf numFmtId="0" fontId="45" fillId="3" borderId="4" xfId="0" applyFont="1" applyFill="1" applyBorder="1" applyAlignment="1" applyProtection="1">
      <alignment horizontal="center"/>
      <protection hidden="1"/>
    </xf>
    <xf numFmtId="0" fontId="45" fillId="3" borderId="12" xfId="0" applyFont="1" applyFill="1" applyBorder="1" applyAlignment="1" applyProtection="1">
      <alignment horizontal="centerContinuous"/>
      <protection hidden="1"/>
    </xf>
    <xf numFmtId="0" fontId="45" fillId="3" borderId="16" xfId="0" applyFont="1" applyFill="1" applyBorder="1" applyAlignment="1" applyProtection="1">
      <alignment horizontal="centerContinuous"/>
      <protection hidden="1"/>
    </xf>
    <xf numFmtId="0" fontId="45" fillId="3" borderId="13" xfId="0" applyFont="1" applyFill="1" applyBorder="1" applyAlignment="1" applyProtection="1">
      <alignment horizontal="centerContinuous"/>
      <protection hidden="1"/>
    </xf>
    <xf numFmtId="0" fontId="46" fillId="3" borderId="4" xfId="0" applyFont="1" applyFill="1" applyBorder="1" applyAlignment="1" applyProtection="1">
      <alignment horizontal="center"/>
      <protection hidden="1"/>
    </xf>
    <xf numFmtId="0" fontId="46" fillId="3" borderId="9" xfId="0" applyFont="1" applyFill="1" applyBorder="1" applyAlignment="1" applyProtection="1">
      <alignment horizontal="center"/>
      <protection hidden="1"/>
    </xf>
    <xf numFmtId="0" fontId="46" fillId="3" borderId="20" xfId="0" applyFont="1" applyFill="1" applyBorder="1" applyAlignment="1" applyProtection="1">
      <alignment horizontal="center"/>
      <protection hidden="1"/>
    </xf>
    <xf numFmtId="2" fontId="39" fillId="0" borderId="25" xfId="0" applyNumberFormat="1" applyFont="1" applyBorder="1" applyAlignment="1" applyProtection="1">
      <alignment horizontal="center"/>
      <protection hidden="1"/>
    </xf>
    <xf numFmtId="2" fontId="39" fillId="0" borderId="29" xfId="0" applyNumberFormat="1" applyFont="1" applyBorder="1" applyAlignment="1" applyProtection="1">
      <alignment horizontal="center"/>
      <protection hidden="1"/>
    </xf>
    <xf numFmtId="2" fontId="39" fillId="0" borderId="30" xfId="0" applyNumberFormat="1" applyFont="1" applyBorder="1" applyAlignment="1" applyProtection="1">
      <alignment horizontal="center"/>
      <protection hidden="1"/>
    </xf>
    <xf numFmtId="0" fontId="46" fillId="3" borderId="15" xfId="0" applyFont="1" applyFill="1" applyBorder="1" applyAlignment="1" applyProtection="1">
      <alignment horizontal="center"/>
      <protection hidden="1"/>
    </xf>
    <xf numFmtId="0" fontId="46" fillId="3" borderId="5" xfId="0" applyFont="1" applyFill="1" applyBorder="1" applyAlignment="1" applyProtection="1">
      <alignment horizontal="center"/>
      <protection hidden="1"/>
    </xf>
    <xf numFmtId="0" fontId="46" fillId="3" borderId="3" xfId="0" applyFont="1" applyFill="1" applyBorder="1" applyAlignment="1" applyProtection="1">
      <alignment horizontal="center"/>
      <protection hidden="1"/>
    </xf>
    <xf numFmtId="0" fontId="46" fillId="3" borderId="18" xfId="0" applyFont="1" applyFill="1" applyBorder="1" applyAlignment="1" applyProtection="1">
      <alignment horizontal="center"/>
      <protection hidden="1"/>
    </xf>
    <xf numFmtId="2" fontId="39" fillId="0" borderId="28" xfId="0" applyNumberFormat="1" applyFont="1" applyBorder="1" applyAlignment="1" applyProtection="1">
      <alignment horizontal="center"/>
      <protection hidden="1"/>
    </xf>
    <xf numFmtId="2" fontId="39" fillId="0" borderId="1" xfId="0" applyNumberFormat="1" applyFont="1" applyBorder="1" applyAlignment="1" applyProtection="1">
      <alignment horizontal="center"/>
      <protection hidden="1"/>
    </xf>
    <xf numFmtId="2" fontId="39" fillId="0" borderId="33" xfId="0" applyNumberFormat="1" applyFont="1" applyBorder="1" applyAlignment="1" applyProtection="1">
      <alignment horizontal="center"/>
      <protection hidden="1"/>
    </xf>
    <xf numFmtId="0" fontId="45" fillId="3" borderId="5" xfId="0" applyFont="1" applyFill="1" applyBorder="1" applyAlignment="1" applyProtection="1">
      <alignment horizontal="center"/>
      <protection hidden="1"/>
    </xf>
    <xf numFmtId="0" fontId="45" fillId="3" borderId="3" xfId="0" applyFont="1" applyFill="1" applyBorder="1" applyAlignment="1" applyProtection="1">
      <alignment horizontal="center"/>
      <protection hidden="1"/>
    </xf>
    <xf numFmtId="0" fontId="39" fillId="0" borderId="24" xfId="0" applyFont="1" applyBorder="1" applyAlignment="1" applyProtection="1">
      <alignment horizontal="center"/>
      <protection hidden="1"/>
    </xf>
    <xf numFmtId="0" fontId="39" fillId="0" borderId="20" xfId="0" applyFont="1" applyBorder="1" applyAlignment="1" applyProtection="1">
      <alignment horizontal="center"/>
      <protection hidden="1"/>
    </xf>
    <xf numFmtId="166" fontId="39" fillId="0" borderId="25" xfId="0" applyNumberFormat="1" applyFont="1" applyBorder="1" applyAlignment="1" applyProtection="1">
      <alignment horizontal="center"/>
      <protection hidden="1"/>
    </xf>
    <xf numFmtId="166" fontId="39" fillId="0" borderId="30" xfId="0" applyNumberFormat="1" applyFont="1" applyBorder="1" applyAlignment="1" applyProtection="1">
      <alignment horizontal="center"/>
      <protection hidden="1"/>
    </xf>
    <xf numFmtId="0" fontId="39" fillId="0" borderId="26" xfId="0" applyFont="1" applyBorder="1" applyAlignment="1" applyProtection="1">
      <alignment horizontal="center"/>
      <protection hidden="1"/>
    </xf>
    <xf numFmtId="0" fontId="39" fillId="0" borderId="27" xfId="0" applyFont="1" applyBorder="1" applyAlignment="1" applyProtection="1">
      <alignment horizontal="center"/>
      <protection hidden="1"/>
    </xf>
    <xf numFmtId="166" fontId="39" fillId="0" borderId="28" xfId="0" applyNumberFormat="1" applyFont="1" applyBorder="1" applyAlignment="1" applyProtection="1">
      <alignment horizontal="center"/>
      <protection hidden="1"/>
    </xf>
    <xf numFmtId="166" fontId="39" fillId="0" borderId="18" xfId="0" applyNumberFormat="1" applyFont="1" applyBorder="1" applyAlignment="1" applyProtection="1">
      <alignment horizontal="center"/>
      <protection hidden="1"/>
    </xf>
    <xf numFmtId="166" fontId="39" fillId="0" borderId="26" xfId="0" applyNumberFormat="1" applyFont="1" applyBorder="1" applyAlignment="1" applyProtection="1">
      <alignment horizontal="center"/>
      <protection hidden="1"/>
    </xf>
    <xf numFmtId="0" fontId="33" fillId="0" borderId="18" xfId="0" applyFont="1" applyBorder="1" applyAlignment="1" applyProtection="1">
      <alignment horizontal="center"/>
      <protection hidden="1"/>
    </xf>
    <xf numFmtId="166" fontId="33" fillId="0" borderId="28" xfId="0" applyNumberFormat="1" applyFont="1" applyBorder="1" applyAlignment="1" applyProtection="1">
      <alignment horizontal="center"/>
      <protection hidden="1"/>
    </xf>
    <xf numFmtId="166" fontId="33" fillId="0" borderId="1" xfId="0" applyNumberFormat="1" applyFont="1" applyBorder="1" applyAlignment="1" applyProtection="1">
      <alignment horizontal="center"/>
      <protection hidden="1"/>
    </xf>
    <xf numFmtId="166" fontId="33" fillId="0" borderId="33" xfId="0" applyNumberFormat="1" applyFont="1" applyBorder="1" applyAlignment="1" applyProtection="1">
      <alignment horizontal="center"/>
      <protection hidden="1"/>
    </xf>
    <xf numFmtId="166" fontId="33" fillId="0" borderId="34" xfId="0" applyNumberFormat="1" applyFont="1" applyBorder="1" applyAlignment="1" applyProtection="1">
      <alignment horizontal="center"/>
      <protection hidden="1"/>
    </xf>
    <xf numFmtId="0" fontId="39" fillId="0" borderId="32" xfId="0" applyFont="1" applyBorder="1" applyAlignment="1" applyProtection="1">
      <alignment horizontal="center"/>
      <protection hidden="1"/>
    </xf>
    <xf numFmtId="0" fontId="39" fillId="0" borderId="18" xfId="0" applyFont="1" applyBorder="1" applyAlignment="1" applyProtection="1">
      <alignment horizontal="center"/>
      <protection hidden="1"/>
    </xf>
    <xf numFmtId="166" fontId="39" fillId="0" borderId="33" xfId="0" applyNumberFormat="1" applyFont="1" applyBorder="1" applyAlignment="1" applyProtection="1">
      <alignment horizontal="center"/>
      <protection hidden="1"/>
    </xf>
    <xf numFmtId="166" fontId="39" fillId="0" borderId="32" xfId="0" applyNumberFormat="1" applyFont="1" applyBorder="1" applyAlignment="1" applyProtection="1">
      <alignment horizontal="center"/>
      <protection hidden="1"/>
    </xf>
    <xf numFmtId="0" fontId="33" fillId="0" borderId="35" xfId="0" applyFont="1" applyBorder="1" applyAlignment="1" applyProtection="1">
      <alignment horizontal="center"/>
      <protection hidden="1"/>
    </xf>
    <xf numFmtId="166" fontId="33" fillId="0" borderId="36" xfId="0" applyNumberFormat="1" applyFont="1" applyBorder="1" applyAlignment="1" applyProtection="1">
      <alignment horizontal="center"/>
      <protection hidden="1"/>
    </xf>
    <xf numFmtId="166" fontId="33" fillId="0" borderId="37" xfId="0" applyNumberFormat="1" applyFont="1" applyBorder="1" applyAlignment="1" applyProtection="1">
      <alignment horizontal="center"/>
      <protection hidden="1"/>
    </xf>
    <xf numFmtId="166" fontId="33" fillId="0" borderId="38" xfId="0" applyNumberFormat="1" applyFont="1" applyBorder="1" applyAlignment="1" applyProtection="1">
      <alignment horizontal="center"/>
      <protection hidden="1"/>
    </xf>
    <xf numFmtId="166" fontId="33" fillId="0" borderId="39" xfId="0" applyNumberFormat="1" applyFont="1" applyBorder="1" applyAlignment="1" applyProtection="1">
      <alignment horizontal="center"/>
      <protection hidden="1"/>
    </xf>
    <xf numFmtId="0" fontId="33" fillId="0" borderId="27" xfId="0" applyFont="1" applyBorder="1" applyAlignment="1" applyProtection="1">
      <alignment horizontal="center"/>
      <protection hidden="1"/>
    </xf>
    <xf numFmtId="166" fontId="33" fillId="0" borderId="40" xfId="0" quotePrefix="1" applyNumberFormat="1" applyFont="1" applyBorder="1" applyAlignment="1" applyProtection="1">
      <alignment horizontal="center"/>
      <protection hidden="1"/>
    </xf>
    <xf numFmtId="166" fontId="33" fillId="0" borderId="41" xfId="0" quotePrefix="1" applyNumberFormat="1" applyFont="1" applyBorder="1" applyAlignment="1" applyProtection="1">
      <alignment horizontal="center"/>
      <protection hidden="1"/>
    </xf>
    <xf numFmtId="166" fontId="33" fillId="0" borderId="42" xfId="0" quotePrefix="1" applyNumberFormat="1" applyFont="1" applyBorder="1" applyAlignment="1" applyProtection="1">
      <alignment horizontal="center"/>
      <protection hidden="1"/>
    </xf>
    <xf numFmtId="166" fontId="33" fillId="0" borderId="40" xfId="0" applyNumberFormat="1" applyFont="1" applyBorder="1" applyAlignment="1" applyProtection="1">
      <alignment horizontal="center"/>
      <protection hidden="1"/>
    </xf>
    <xf numFmtId="166" fontId="33" fillId="0" borderId="41" xfId="0" applyNumberFormat="1" applyFont="1" applyBorder="1" applyAlignment="1" applyProtection="1">
      <alignment horizontal="center"/>
      <protection hidden="1"/>
    </xf>
    <xf numFmtId="166" fontId="33" fillId="0" borderId="43" xfId="0" applyNumberFormat="1" applyFont="1" applyBorder="1" applyAlignment="1" applyProtection="1">
      <alignment horizontal="center"/>
      <protection hidden="1"/>
    </xf>
    <xf numFmtId="0" fontId="39" fillId="0" borderId="44" xfId="0" applyFont="1" applyBorder="1" applyAlignment="1" applyProtection="1">
      <alignment horizontal="center"/>
      <protection hidden="1"/>
    </xf>
    <xf numFmtId="0" fontId="39" fillId="0" borderId="19" xfId="0" applyFont="1" applyBorder="1" applyAlignment="1" applyProtection="1">
      <alignment horizontal="center"/>
      <protection hidden="1"/>
    </xf>
    <xf numFmtId="166" fontId="39" fillId="0" borderId="45" xfId="0" applyNumberFormat="1" applyFont="1" applyBorder="1" applyAlignment="1" applyProtection="1">
      <alignment horizontal="center"/>
      <protection hidden="1"/>
    </xf>
    <xf numFmtId="166" fontId="39" fillId="0" borderId="19" xfId="0" applyNumberFormat="1" applyFont="1" applyBorder="1" applyAlignment="1" applyProtection="1">
      <alignment horizontal="center"/>
      <protection hidden="1"/>
    </xf>
    <xf numFmtId="166" fontId="39" fillId="0" borderId="44" xfId="0" applyNumberFormat="1" applyFont="1" applyBorder="1" applyAlignment="1" applyProtection="1">
      <alignment horizontal="center"/>
      <protection hidden="1"/>
    </xf>
    <xf numFmtId="0" fontId="46" fillId="3" borderId="19" xfId="0" applyFont="1" applyFill="1" applyBorder="1" applyAlignment="1" applyProtection="1">
      <alignment horizontal="center"/>
      <protection hidden="1"/>
    </xf>
    <xf numFmtId="2" fontId="39" fillId="0" borderId="45" xfId="0" applyNumberFormat="1" applyFont="1" applyBorder="1" applyAlignment="1" applyProtection="1">
      <alignment horizontal="center"/>
      <protection hidden="1"/>
    </xf>
    <xf numFmtId="2" fontId="39" fillId="0" borderId="50" xfId="0" applyNumberFormat="1" applyFont="1" applyBorder="1" applyAlignment="1" applyProtection="1">
      <alignment horizontal="center"/>
      <protection hidden="1"/>
    </xf>
    <xf numFmtId="2" fontId="39" fillId="0" borderId="51" xfId="0" applyNumberFormat="1" applyFont="1" applyBorder="1" applyAlignment="1" applyProtection="1">
      <alignment horizontal="center"/>
      <protection hidden="1"/>
    </xf>
    <xf numFmtId="166" fontId="33" fillId="0" borderId="46" xfId="0" applyNumberFormat="1" applyFont="1" applyBorder="1" applyAlignment="1" applyProtection="1">
      <alignment horizontal="center"/>
      <protection hidden="1"/>
    </xf>
    <xf numFmtId="166" fontId="33" fillId="0" borderId="47" xfId="0" applyNumberFormat="1" applyFont="1" applyBorder="1" applyAlignment="1" applyProtection="1">
      <alignment horizontal="center"/>
      <protection hidden="1"/>
    </xf>
    <xf numFmtId="166" fontId="33" fillId="0" borderId="48" xfId="0" applyNumberFormat="1" applyFont="1" applyBorder="1" applyAlignment="1" applyProtection="1">
      <alignment horizontal="center"/>
      <protection hidden="1"/>
    </xf>
    <xf numFmtId="166" fontId="33" fillId="0" borderId="49" xfId="0" applyNumberFormat="1" applyFont="1" applyBorder="1" applyAlignment="1" applyProtection="1">
      <alignment horizontal="center"/>
      <protection hidden="1"/>
    </xf>
    <xf numFmtId="166" fontId="39" fillId="0" borderId="51" xfId="0" applyNumberFormat="1" applyFont="1" applyBorder="1" applyAlignment="1" applyProtection="1">
      <alignment horizontal="center"/>
      <protection hidden="1"/>
    </xf>
    <xf numFmtId="166" fontId="39" fillId="0" borderId="20" xfId="0" applyNumberFormat="1" applyFont="1" applyBorder="1" applyAlignment="1" applyProtection="1">
      <alignment horizontal="center"/>
      <protection hidden="1"/>
    </xf>
    <xf numFmtId="166" fontId="39" fillId="0" borderId="24" xfId="0" applyNumberFormat="1" applyFont="1" applyBorder="1" applyAlignment="1" applyProtection="1">
      <alignment horizontal="center"/>
      <protection hidden="1"/>
    </xf>
    <xf numFmtId="0" fontId="45" fillId="3" borderId="9" xfId="0" applyFont="1" applyFill="1" applyBorder="1" applyAlignment="1" applyProtection="1">
      <alignment horizontal="center"/>
      <protection hidden="1"/>
    </xf>
    <xf numFmtId="0" fontId="33" fillId="0" borderId="20" xfId="0" applyFont="1" applyBorder="1" applyAlignment="1" applyProtection="1">
      <alignment horizontal="center"/>
      <protection hidden="1"/>
    </xf>
    <xf numFmtId="166" fontId="33" fillId="0" borderId="25" xfId="0" applyNumberFormat="1" applyFont="1" applyBorder="1" applyAlignment="1" applyProtection="1">
      <alignment horizontal="center"/>
      <protection hidden="1"/>
    </xf>
    <xf numFmtId="166" fontId="33" fillId="0" borderId="29" xfId="0" applyNumberFormat="1" applyFont="1" applyBorder="1" applyAlignment="1" applyProtection="1">
      <alignment horizontal="center"/>
      <protection hidden="1"/>
    </xf>
    <xf numFmtId="166" fontId="33" fillId="0" borderId="30" xfId="0" applyNumberFormat="1" applyFont="1" applyBorder="1" applyAlignment="1" applyProtection="1">
      <alignment horizontal="center"/>
      <protection hidden="1"/>
    </xf>
    <xf numFmtId="166" fontId="33" fillId="0" borderId="31" xfId="0" applyNumberFormat="1" applyFont="1" applyBorder="1" applyAlignment="1" applyProtection="1">
      <alignment horizontal="center"/>
      <protection hidden="1"/>
    </xf>
    <xf numFmtId="0" fontId="20" fillId="0" borderId="15" xfId="0" applyFont="1" applyBorder="1" applyProtection="1">
      <protection hidden="1"/>
    </xf>
    <xf numFmtId="0" fontId="34" fillId="0" borderId="0" xfId="0" applyFont="1" applyProtection="1">
      <protection hidden="1"/>
    </xf>
    <xf numFmtId="2" fontId="29" fillId="0" borderId="18" xfId="0" applyNumberFormat="1" applyFont="1" applyBorder="1" applyAlignment="1" applyProtection="1">
      <alignment horizontal="center"/>
      <protection hidden="1"/>
    </xf>
    <xf numFmtId="2" fontId="29" fillId="0" borderId="19" xfId="0" applyNumberFormat="1" applyFont="1" applyBorder="1" applyAlignment="1" applyProtection="1">
      <alignment horizontal="center"/>
      <protection hidden="1"/>
    </xf>
    <xf numFmtId="2" fontId="29" fillId="0" borderId="20" xfId="0" applyNumberFormat="1" applyFont="1" applyBorder="1" applyAlignment="1" applyProtection="1">
      <alignment horizontal="center"/>
      <protection hidden="1"/>
    </xf>
    <xf numFmtId="2" fontId="4" fillId="0" borderId="19" xfId="0" quotePrefix="1" applyNumberFormat="1" applyFont="1" applyBorder="1" applyAlignment="1" applyProtection="1">
      <alignment horizontal="center"/>
      <protection hidden="1"/>
    </xf>
    <xf numFmtId="165" fontId="29" fillId="0" borderId="0" xfId="0" applyNumberFormat="1" applyFont="1" applyAlignment="1">
      <alignment horizontal="center"/>
    </xf>
    <xf numFmtId="0" fontId="29" fillId="0" borderId="15" xfId="0" applyFont="1" applyBorder="1" applyAlignment="1" applyProtection="1">
      <alignment horizontal="right"/>
      <protection hidden="1"/>
    </xf>
    <xf numFmtId="0" fontId="38" fillId="0" borderId="13" xfId="0" applyFont="1" applyBorder="1" applyAlignment="1" applyProtection="1">
      <alignment horizontal="right"/>
      <protection hidden="1"/>
    </xf>
    <xf numFmtId="0" fontId="38" fillId="3" borderId="3" xfId="0" applyFont="1" applyFill="1" applyBorder="1" applyAlignment="1" applyProtection="1">
      <alignment horizontal="center"/>
      <protection hidden="1"/>
    </xf>
    <xf numFmtId="0" fontId="5" fillId="3" borderId="20" xfId="0" applyFont="1" applyFill="1" applyBorder="1" applyAlignment="1" applyProtection="1">
      <alignment horizontal="center"/>
      <protection hidden="1"/>
    </xf>
    <xf numFmtId="0" fontId="5" fillId="3" borderId="18" xfId="0" applyFont="1" applyFill="1" applyBorder="1" applyAlignment="1" applyProtection="1">
      <alignment horizontal="center"/>
      <protection hidden="1"/>
    </xf>
    <xf numFmtId="0" fontId="6" fillId="3" borderId="18" xfId="0" applyFont="1" applyFill="1" applyBorder="1" applyAlignment="1" applyProtection="1">
      <alignment horizontal="center"/>
      <protection hidden="1"/>
    </xf>
    <xf numFmtId="0" fontId="6" fillId="3" borderId="19" xfId="0" applyFont="1" applyFill="1" applyBorder="1" applyAlignment="1" applyProtection="1">
      <alignment horizontal="center"/>
      <protection hidden="1"/>
    </xf>
    <xf numFmtId="0" fontId="38" fillId="3" borderId="20" xfId="0" applyFont="1" applyFill="1" applyBorder="1" applyAlignment="1" applyProtection="1">
      <alignment horizontal="center"/>
      <protection hidden="1"/>
    </xf>
    <xf numFmtId="0" fontId="5" fillId="0" borderId="0" xfId="0" applyFont="1" applyProtection="1">
      <protection hidden="1"/>
    </xf>
    <xf numFmtId="0" fontId="5" fillId="0" borderId="17" xfId="0" applyFont="1" applyBorder="1" applyProtection="1">
      <protection hidden="1"/>
    </xf>
    <xf numFmtId="0" fontId="0" fillId="3" borderId="24" xfId="0" applyFill="1" applyBorder="1" applyAlignment="1" applyProtection="1">
      <alignment horizontal="center"/>
      <protection hidden="1"/>
    </xf>
    <xf numFmtId="0" fontId="0" fillId="3" borderId="44" xfId="0" applyFill="1" applyBorder="1" applyAlignment="1" applyProtection="1">
      <alignment horizontal="center"/>
      <protection hidden="1"/>
    </xf>
    <xf numFmtId="0" fontId="36" fillId="3" borderId="8" xfId="0" applyFont="1" applyFill="1" applyBorder="1" applyAlignment="1" applyProtection="1">
      <alignment horizontal="centerContinuous"/>
      <protection hidden="1"/>
    </xf>
    <xf numFmtId="0" fontId="6" fillId="3" borderId="27" xfId="0" applyFont="1" applyFill="1" applyBorder="1" applyAlignment="1" applyProtection="1">
      <alignment horizontal="center"/>
      <protection hidden="1"/>
    </xf>
    <xf numFmtId="2" fontId="29" fillId="0" borderId="27" xfId="0" applyNumberFormat="1" applyFont="1" applyBorder="1" applyAlignment="1" applyProtection="1">
      <alignment horizontal="center"/>
      <protection hidden="1"/>
    </xf>
    <xf numFmtId="0" fontId="5" fillId="3" borderId="19" xfId="0" applyFont="1" applyFill="1" applyBorder="1" applyAlignment="1" applyProtection="1">
      <alignment horizontal="center"/>
      <protection hidden="1"/>
    </xf>
    <xf numFmtId="0" fontId="50" fillId="3" borderId="20" xfId="0" applyFont="1" applyFill="1" applyBorder="1" applyAlignment="1" applyProtection="1">
      <alignment horizontal="center"/>
      <protection hidden="1"/>
    </xf>
    <xf numFmtId="0" fontId="50" fillId="3" borderId="18" xfId="0" applyFont="1" applyFill="1" applyBorder="1" applyAlignment="1" applyProtection="1">
      <alignment horizontal="center"/>
      <protection hidden="1"/>
    </xf>
    <xf numFmtId="0" fontId="50" fillId="3" borderId="19" xfId="0" applyFont="1" applyFill="1" applyBorder="1" applyAlignment="1" applyProtection="1">
      <alignment horizontal="center"/>
      <protection hidden="1"/>
    </xf>
    <xf numFmtId="0" fontId="50" fillId="3" borderId="27" xfId="0" applyFont="1" applyFill="1" applyBorder="1" applyAlignment="1" applyProtection="1">
      <alignment horizontal="center"/>
      <protection hidden="1"/>
    </xf>
    <xf numFmtId="0" fontId="50" fillId="3" borderId="12" xfId="0" applyFont="1" applyFill="1" applyBorder="1" applyProtection="1">
      <protection hidden="1"/>
    </xf>
    <xf numFmtId="0" fontId="50" fillId="3" borderId="16" xfId="0" applyFont="1" applyFill="1" applyBorder="1" applyProtection="1">
      <protection hidden="1"/>
    </xf>
    <xf numFmtId="0" fontId="48" fillId="3" borderId="52" xfId="0" applyFont="1" applyFill="1" applyBorder="1" applyAlignment="1" applyProtection="1">
      <alignment horizontal="centerContinuous"/>
      <protection hidden="1"/>
    </xf>
    <xf numFmtId="0" fontId="5" fillId="3" borderId="21" xfId="0" applyFont="1" applyFill="1" applyBorder="1" applyAlignment="1" applyProtection="1">
      <alignment horizontal="centerContinuous"/>
      <protection hidden="1"/>
    </xf>
    <xf numFmtId="0" fontId="0" fillId="3" borderId="24" xfId="0" applyFill="1" applyBorder="1" applyAlignment="1" applyProtection="1">
      <alignment horizontal="centerContinuous"/>
      <protection hidden="1"/>
    </xf>
    <xf numFmtId="0" fontId="48" fillId="3" borderId="53" xfId="0" applyFont="1" applyFill="1" applyBorder="1" applyAlignment="1" applyProtection="1">
      <alignment horizontal="centerContinuous"/>
      <protection hidden="1"/>
    </xf>
    <xf numFmtId="0" fontId="5" fillId="3" borderId="22" xfId="0" applyFont="1" applyFill="1" applyBorder="1" applyAlignment="1" applyProtection="1">
      <alignment horizontal="centerContinuous"/>
      <protection hidden="1"/>
    </xf>
    <xf numFmtId="0" fontId="0" fillId="3" borderId="32" xfId="0" applyFill="1" applyBorder="1" applyAlignment="1" applyProtection="1">
      <alignment horizontal="centerContinuous"/>
      <protection hidden="1"/>
    </xf>
    <xf numFmtId="0" fontId="0" fillId="3" borderId="22" xfId="0" applyFill="1" applyBorder="1" applyAlignment="1" applyProtection="1">
      <alignment horizontal="centerContinuous"/>
      <protection hidden="1"/>
    </xf>
    <xf numFmtId="0" fontId="48" fillId="3" borderId="54" xfId="0" applyFont="1" applyFill="1" applyBorder="1" applyAlignment="1" applyProtection="1">
      <alignment horizontal="centerContinuous"/>
      <protection hidden="1"/>
    </xf>
    <xf numFmtId="0" fontId="0" fillId="3" borderId="23" xfId="0" applyFill="1" applyBorder="1" applyAlignment="1" applyProtection="1">
      <alignment horizontal="centerContinuous"/>
      <protection hidden="1"/>
    </xf>
    <xf numFmtId="0" fontId="0" fillId="3" borderId="44" xfId="0" applyFill="1" applyBorder="1" applyAlignment="1" applyProtection="1">
      <alignment horizontal="centerContinuous"/>
      <protection hidden="1"/>
    </xf>
    <xf numFmtId="0" fontId="48" fillId="3" borderId="55" xfId="0" applyFont="1" applyFill="1" applyBorder="1" applyAlignment="1" applyProtection="1">
      <alignment horizontal="centerContinuous"/>
      <protection hidden="1"/>
    </xf>
    <xf numFmtId="0" fontId="21" fillId="3" borderId="56" xfId="0" applyFont="1" applyFill="1" applyBorder="1" applyAlignment="1" applyProtection="1">
      <alignment horizontal="centerContinuous"/>
      <protection hidden="1"/>
    </xf>
    <xf numFmtId="0" fontId="0" fillId="3" borderId="26" xfId="0" applyFill="1" applyBorder="1" applyAlignment="1" applyProtection="1">
      <alignment horizontal="centerContinuous"/>
      <protection hidden="1"/>
    </xf>
    <xf numFmtId="0" fontId="5" fillId="3" borderId="23" xfId="0" applyFont="1" applyFill="1" applyBorder="1" applyAlignment="1" applyProtection="1">
      <alignment horizontal="centerContinuous"/>
      <protection hidden="1"/>
    </xf>
    <xf numFmtId="0" fontId="50" fillId="3" borderId="52" xfId="0" applyFont="1" applyFill="1" applyBorder="1" applyAlignment="1" applyProtection="1">
      <alignment horizontal="centerContinuous"/>
      <protection hidden="1"/>
    </xf>
    <xf numFmtId="0" fontId="50" fillId="3" borderId="24" xfId="0" applyFont="1" applyFill="1" applyBorder="1" applyAlignment="1" applyProtection="1">
      <alignment horizontal="centerContinuous"/>
      <protection hidden="1"/>
    </xf>
    <xf numFmtId="0" fontId="50" fillId="3" borderId="54" xfId="0" applyFont="1" applyFill="1" applyBorder="1" applyAlignment="1" applyProtection="1">
      <alignment horizontal="centerContinuous"/>
      <protection hidden="1"/>
    </xf>
    <xf numFmtId="0" fontId="50" fillId="3" borderId="44" xfId="0" applyFont="1" applyFill="1" applyBorder="1" applyAlignment="1" applyProtection="1">
      <alignment horizontal="centerContinuous"/>
      <protection hidden="1"/>
    </xf>
    <xf numFmtId="0" fontId="50" fillId="3" borderId="53" xfId="0" applyFont="1" applyFill="1" applyBorder="1" applyAlignment="1" applyProtection="1">
      <alignment horizontal="centerContinuous"/>
      <protection hidden="1"/>
    </xf>
    <xf numFmtId="0" fontId="50" fillId="3" borderId="32" xfId="0" applyFont="1" applyFill="1" applyBorder="1" applyAlignment="1" applyProtection="1">
      <alignment horizontal="centerContinuous"/>
      <protection hidden="1"/>
    </xf>
    <xf numFmtId="0" fontId="50" fillId="3" borderId="10" xfId="0" applyFont="1" applyFill="1" applyBorder="1" applyAlignment="1" applyProtection="1">
      <alignment horizontal="centerContinuous"/>
      <protection hidden="1"/>
    </xf>
    <xf numFmtId="0" fontId="40" fillId="3" borderId="14" xfId="0" applyFont="1" applyFill="1" applyBorder="1" applyAlignment="1" applyProtection="1">
      <alignment horizontal="centerContinuous"/>
      <protection hidden="1"/>
    </xf>
    <xf numFmtId="0" fontId="50" fillId="3" borderId="14" xfId="0" applyFont="1" applyFill="1" applyBorder="1" applyAlignment="1" applyProtection="1">
      <alignment horizontal="centerContinuous"/>
      <protection hidden="1"/>
    </xf>
    <xf numFmtId="0" fontId="50" fillId="3" borderId="15" xfId="0" applyFont="1" applyFill="1" applyBorder="1" applyAlignment="1" applyProtection="1">
      <alignment horizontal="centerContinuous"/>
      <protection hidden="1"/>
    </xf>
    <xf numFmtId="0" fontId="40" fillId="3" borderId="0" xfId="0" applyFont="1" applyFill="1" applyAlignment="1" applyProtection="1">
      <alignment horizontal="centerContinuous"/>
      <protection hidden="1"/>
    </xf>
    <xf numFmtId="0" fontId="50" fillId="3" borderId="12" xfId="0" applyFont="1" applyFill="1" applyBorder="1" applyAlignment="1" applyProtection="1">
      <alignment horizontal="centerContinuous"/>
      <protection hidden="1"/>
    </xf>
    <xf numFmtId="0" fontId="50" fillId="3" borderId="16" xfId="0" applyFont="1" applyFill="1" applyBorder="1" applyAlignment="1" applyProtection="1">
      <alignment horizontal="centerContinuous"/>
      <protection hidden="1"/>
    </xf>
    <xf numFmtId="0" fontId="2" fillId="0" borderId="15" xfId="0" applyFont="1" applyBorder="1" applyProtection="1">
      <protection hidden="1"/>
    </xf>
    <xf numFmtId="0" fontId="2" fillId="0" borderId="0" xfId="0" applyFont="1" applyProtection="1">
      <protection hidden="1"/>
    </xf>
    <xf numFmtId="0" fontId="34" fillId="0" borderId="0" xfId="0" applyFont="1" applyAlignment="1" applyProtection="1">
      <alignment horizontal="center"/>
      <protection hidden="1"/>
    </xf>
    <xf numFmtId="2" fontId="34" fillId="0" borderId="0" xfId="0" applyNumberFormat="1" applyFont="1" applyAlignment="1" applyProtection="1">
      <alignment horizontal="center"/>
      <protection hidden="1"/>
    </xf>
    <xf numFmtId="0" fontId="2" fillId="0" borderId="17" xfId="0" applyFont="1" applyBorder="1" applyProtection="1">
      <protection hidden="1"/>
    </xf>
    <xf numFmtId="0" fontId="29" fillId="0" borderId="0" xfId="0" applyFont="1" applyProtection="1">
      <protection locked="0"/>
    </xf>
    <xf numFmtId="0" fontId="39" fillId="2" borderId="0" xfId="0" applyFont="1" applyFill="1" applyAlignment="1" applyProtection="1">
      <alignment horizontal="center"/>
      <protection locked="0"/>
    </xf>
    <xf numFmtId="0" fontId="29" fillId="2" borderId="0" xfId="0" applyFont="1" applyFill="1" applyAlignment="1" applyProtection="1">
      <alignment horizontal="center"/>
      <protection locked="0"/>
    </xf>
    <xf numFmtId="14" fontId="29" fillId="2" borderId="11" xfId="0" applyNumberFormat="1" applyFont="1" applyFill="1" applyBorder="1" applyAlignment="1" applyProtection="1">
      <alignment horizontal="center"/>
      <protection locked="0"/>
    </xf>
    <xf numFmtId="0" fontId="49" fillId="0" borderId="0" xfId="0" applyFont="1" applyProtection="1">
      <protection hidden="1"/>
    </xf>
    <xf numFmtId="0" fontId="45" fillId="3" borderId="17" xfId="0" applyFont="1" applyFill="1" applyBorder="1" applyAlignment="1" applyProtection="1">
      <alignment horizontal="center"/>
      <protection hidden="1"/>
    </xf>
    <xf numFmtId="0" fontId="45" fillId="3" borderId="13" xfId="0" applyFont="1" applyFill="1" applyBorder="1" applyAlignment="1" applyProtection="1">
      <alignment horizontal="center"/>
      <protection hidden="1"/>
    </xf>
    <xf numFmtId="0" fontId="45" fillId="3" borderId="11" xfId="0" applyFont="1" applyFill="1" applyBorder="1" applyAlignment="1" applyProtection="1">
      <alignment horizontal="center"/>
      <protection hidden="1"/>
    </xf>
    <xf numFmtId="0" fontId="0" fillId="0" borderId="14" xfId="0" applyBorder="1"/>
    <xf numFmtId="0" fontId="30" fillId="0" borderId="14" xfId="0" applyFont="1" applyBorder="1"/>
    <xf numFmtId="0" fontId="29" fillId="0" borderId="14" xfId="0" applyFont="1" applyBorder="1" applyAlignment="1">
      <alignment horizontal="left"/>
    </xf>
    <xf numFmtId="0" fontId="33" fillId="0" borderId="3" xfId="0" applyFont="1" applyBorder="1" applyAlignment="1" applyProtection="1">
      <alignment horizontal="center"/>
      <protection hidden="1"/>
    </xf>
    <xf numFmtId="0" fontId="29" fillId="0" borderId="0" xfId="0" applyFont="1" applyAlignment="1">
      <alignment horizontal="centerContinuous"/>
    </xf>
    <xf numFmtId="166" fontId="33" fillId="0" borderId="0" xfId="0" applyNumberFormat="1" applyFont="1" applyAlignment="1">
      <alignment horizontal="left"/>
    </xf>
    <xf numFmtId="2" fontId="29" fillId="0" borderId="15" xfId="0" applyNumberFormat="1" applyFont="1" applyBorder="1" applyAlignment="1" applyProtection="1">
      <alignment horizontal="center"/>
      <protection hidden="1"/>
    </xf>
    <xf numFmtId="2" fontId="39" fillId="0" borderId="0" xfId="0" applyNumberFormat="1" applyFont="1" applyAlignment="1">
      <alignment horizontal="center"/>
    </xf>
    <xf numFmtId="0" fontId="39" fillId="0" borderId="0" xfId="0" applyFont="1"/>
    <xf numFmtId="166" fontId="39" fillId="0" borderId="57" xfId="0" applyNumberFormat="1" applyFont="1" applyBorder="1" applyAlignment="1">
      <alignment horizontal="center"/>
    </xf>
    <xf numFmtId="166" fontId="39" fillId="0" borderId="58" xfId="0" applyNumberFormat="1" applyFont="1" applyBorder="1" applyAlignment="1">
      <alignment horizontal="center"/>
    </xf>
    <xf numFmtId="166" fontId="39" fillId="0" borderId="59" xfId="0" applyNumberFormat="1" applyFont="1" applyBorder="1" applyAlignment="1">
      <alignment horizontal="center"/>
    </xf>
    <xf numFmtId="166" fontId="39" fillId="0" borderId="60" xfId="0" applyNumberFormat="1" applyFont="1" applyBorder="1" applyAlignment="1">
      <alignment horizontal="center"/>
    </xf>
    <xf numFmtId="166" fontId="39" fillId="0" borderId="61" xfId="0" applyNumberFormat="1" applyFont="1" applyBorder="1" applyAlignment="1">
      <alignment horizontal="center"/>
    </xf>
    <xf numFmtId="0" fontId="39" fillId="0" borderId="62" xfId="0" applyFont="1" applyBorder="1" applyAlignment="1">
      <alignment horizontal="center"/>
    </xf>
    <xf numFmtId="0" fontId="39" fillId="0" borderId="13" xfId="0" applyFont="1" applyBorder="1" applyAlignment="1">
      <alignment horizontal="center"/>
    </xf>
    <xf numFmtId="0" fontId="4" fillId="0" borderId="0" xfId="0" applyFont="1" applyAlignment="1" applyProtection="1">
      <alignment horizontal="left"/>
      <protection hidden="1"/>
    </xf>
    <xf numFmtId="2" fontId="29" fillId="0" borderId="5" xfId="0" applyNumberFormat="1" applyFont="1" applyBorder="1" applyAlignment="1" applyProtection="1">
      <alignment horizontal="center"/>
      <protection hidden="1"/>
    </xf>
    <xf numFmtId="0" fontId="2" fillId="0" borderId="0" xfId="0" applyFont="1" applyAlignment="1" applyProtection="1">
      <alignment horizontal="left"/>
      <protection hidden="1"/>
    </xf>
    <xf numFmtId="0" fontId="34" fillId="0" borderId="15" xfId="0" applyFont="1" applyBorder="1" applyAlignment="1" applyProtection="1">
      <alignment horizontal="right"/>
      <protection hidden="1"/>
    </xf>
    <xf numFmtId="2" fontId="51" fillId="0" borderId="0" xfId="0" applyNumberFormat="1" applyFont="1" applyAlignment="1">
      <alignment horizontal="center"/>
    </xf>
    <xf numFmtId="18" fontId="0" fillId="2" borderId="11" xfId="0" applyNumberFormat="1" applyFill="1" applyBorder="1" applyAlignment="1" applyProtection="1">
      <alignment horizontal="center"/>
      <protection hidden="1"/>
    </xf>
    <xf numFmtId="14" fontId="0" fillId="2" borderId="13" xfId="0" applyNumberFormat="1" applyFill="1" applyBorder="1" applyAlignment="1" applyProtection="1">
      <alignment horizontal="center"/>
      <protection hidden="1"/>
    </xf>
    <xf numFmtId="0" fontId="48" fillId="3" borderId="20" xfId="0" applyFont="1" applyFill="1" applyBorder="1" applyAlignment="1" applyProtection="1">
      <alignment horizontal="center"/>
      <protection hidden="1"/>
    </xf>
    <xf numFmtId="0" fontId="48" fillId="3" borderId="18" xfId="0" applyFont="1" applyFill="1" applyBorder="1" applyAlignment="1" applyProtection="1">
      <alignment horizontal="center"/>
      <protection hidden="1"/>
    </xf>
    <xf numFmtId="0" fontId="48" fillId="3" borderId="19" xfId="0" applyFont="1" applyFill="1" applyBorder="1" applyAlignment="1" applyProtection="1">
      <alignment horizontal="center"/>
      <protection hidden="1"/>
    </xf>
    <xf numFmtId="0" fontId="34" fillId="0" borderId="0" xfId="0" quotePrefix="1" applyFont="1" applyAlignment="1" applyProtection="1">
      <alignment horizontal="left"/>
      <protection hidden="1"/>
    </xf>
    <xf numFmtId="0" fontId="29" fillId="0" borderId="17" xfId="0" applyFont="1" applyBorder="1" applyProtection="1">
      <protection hidden="1"/>
    </xf>
    <xf numFmtId="0" fontId="4" fillId="2" borderId="0" xfId="0" applyFont="1" applyFill="1" applyProtection="1">
      <protection hidden="1"/>
    </xf>
    <xf numFmtId="0" fontId="29" fillId="0" borderId="0" xfId="0" applyFont="1" applyProtection="1">
      <protection hidden="1"/>
    </xf>
    <xf numFmtId="0" fontId="3" fillId="0" borderId="0" xfId="0" applyFont="1" applyProtection="1">
      <protection hidden="1"/>
    </xf>
    <xf numFmtId="0" fontId="3" fillId="0" borderId="0" xfId="0" applyFont="1" applyAlignment="1" applyProtection="1">
      <alignment horizontal="left"/>
      <protection hidden="1"/>
    </xf>
    <xf numFmtId="0" fontId="50" fillId="0" borderId="0" xfId="0" applyFont="1" applyProtection="1">
      <protection hidden="1"/>
    </xf>
    <xf numFmtId="0" fontId="21" fillId="0" borderId="0" xfId="0" applyFont="1"/>
    <xf numFmtId="0" fontId="29" fillId="4" borderId="20" xfId="0" applyFont="1" applyFill="1" applyBorder="1" applyAlignment="1" applyProtection="1">
      <alignment horizontal="center"/>
      <protection locked="0"/>
    </xf>
    <xf numFmtId="2" fontId="29" fillId="4" borderId="19" xfId="0" applyNumberFormat="1" applyFont="1" applyFill="1" applyBorder="1" applyAlignment="1" applyProtection="1">
      <alignment horizontal="center"/>
      <protection locked="0"/>
    </xf>
    <xf numFmtId="0" fontId="0" fillId="0" borderId="0" xfId="0" applyAlignment="1">
      <alignment horizontal="left"/>
    </xf>
    <xf numFmtId="0" fontId="32" fillId="0" borderId="0" xfId="0" applyFont="1" applyProtection="1">
      <protection hidden="1"/>
    </xf>
    <xf numFmtId="0" fontId="5" fillId="0" borderId="0" xfId="0" applyFont="1" applyAlignment="1" applyProtection="1">
      <alignment horizontal="left"/>
      <protection hidden="1"/>
    </xf>
    <xf numFmtId="2" fontId="2" fillId="0" borderId="0" xfId="0" applyNumberFormat="1" applyFont="1" applyAlignment="1" applyProtection="1">
      <alignment horizontal="center"/>
      <protection hidden="1"/>
    </xf>
    <xf numFmtId="0" fontId="3" fillId="0" borderId="15" xfId="0" applyFont="1" applyBorder="1" applyAlignment="1" applyProtection="1">
      <alignment horizontal="right"/>
      <protection hidden="1"/>
    </xf>
    <xf numFmtId="166" fontId="39" fillId="0" borderId="53" xfId="0" applyNumberFormat="1" applyFont="1" applyBorder="1" applyAlignment="1" applyProtection="1">
      <alignment horizontal="center"/>
      <protection hidden="1"/>
    </xf>
    <xf numFmtId="166" fontId="39" fillId="0" borderId="54" xfId="0" applyNumberFormat="1" applyFont="1" applyBorder="1" applyAlignment="1" applyProtection="1">
      <alignment horizontal="center"/>
      <protection hidden="1"/>
    </xf>
    <xf numFmtId="166" fontId="39" fillId="0" borderId="52" xfId="0" applyNumberFormat="1" applyFont="1" applyBorder="1" applyAlignment="1" applyProtection="1">
      <alignment horizontal="center"/>
      <protection hidden="1"/>
    </xf>
    <xf numFmtId="0" fontId="33" fillId="0" borderId="20" xfId="0" applyFont="1" applyBorder="1" applyAlignment="1">
      <alignment horizontal="center"/>
    </xf>
    <xf numFmtId="166" fontId="33" fillId="0" borderId="25" xfId="0" applyNumberFormat="1" applyFont="1" applyBorder="1" applyAlignment="1">
      <alignment horizontal="center"/>
    </xf>
    <xf numFmtId="166" fontId="33" fillId="0" borderId="29" xfId="0" applyNumberFormat="1" applyFont="1" applyBorder="1" applyAlignment="1">
      <alignment horizontal="center"/>
    </xf>
    <xf numFmtId="166" fontId="33" fillId="0" borderId="30" xfId="0" applyNumberFormat="1" applyFont="1" applyBorder="1" applyAlignment="1">
      <alignment horizontal="center"/>
    </xf>
    <xf numFmtId="166" fontId="33" fillId="0" borderId="31" xfId="0" applyNumberFormat="1" applyFont="1" applyBorder="1" applyAlignment="1">
      <alignment horizontal="center"/>
    </xf>
    <xf numFmtId="0" fontId="4" fillId="0" borderId="25" xfId="0" applyFont="1" applyBorder="1"/>
    <xf numFmtId="2" fontId="4" fillId="0" borderId="29" xfId="0" applyNumberFormat="1" applyFont="1" applyBorder="1" applyAlignment="1">
      <alignment horizontal="center"/>
    </xf>
    <xf numFmtId="2" fontId="4" fillId="0" borderId="30" xfId="0" applyNumberFormat="1" applyFont="1" applyBorder="1" applyAlignment="1">
      <alignment horizontal="center"/>
    </xf>
    <xf numFmtId="0" fontId="33" fillId="0" borderId="18" xfId="0" applyFont="1" applyBorder="1" applyAlignment="1">
      <alignment horizontal="center"/>
    </xf>
    <xf numFmtId="166" fontId="33" fillId="0" borderId="28" xfId="0" applyNumberFormat="1" applyFont="1" applyBorder="1" applyAlignment="1">
      <alignment horizontal="center"/>
    </xf>
    <xf numFmtId="166" fontId="33" fillId="0" borderId="1" xfId="0" applyNumberFormat="1" applyFont="1" applyBorder="1" applyAlignment="1">
      <alignment horizontal="center"/>
    </xf>
    <xf numFmtId="166" fontId="33" fillId="0" borderId="33" xfId="0" applyNumberFormat="1" applyFont="1" applyBorder="1" applyAlignment="1">
      <alignment horizontal="center"/>
    </xf>
    <xf numFmtId="166" fontId="33" fillId="0" borderId="34" xfId="0" applyNumberFormat="1" applyFont="1" applyBorder="1" applyAlignment="1">
      <alignment horizontal="center"/>
    </xf>
    <xf numFmtId="0" fontId="4" fillId="0" borderId="28" xfId="0" applyFont="1" applyBorder="1" applyAlignment="1">
      <alignment horizontal="center"/>
    </xf>
    <xf numFmtId="2" fontId="4" fillId="0" borderId="1" xfId="0" applyNumberFormat="1" applyFont="1" applyBorder="1" applyAlignment="1">
      <alignment horizontal="center"/>
    </xf>
    <xf numFmtId="2" fontId="4" fillId="0" borderId="33" xfId="0" applyNumberFormat="1" applyFont="1" applyBorder="1" applyAlignment="1">
      <alignment horizontal="center"/>
    </xf>
    <xf numFmtId="2" fontId="4" fillId="0" borderId="1" xfId="0" applyNumberFormat="1" applyFont="1" applyBorder="1"/>
    <xf numFmtId="2" fontId="4" fillId="0" borderId="33" xfId="0" applyNumberFormat="1" applyFont="1" applyBorder="1"/>
    <xf numFmtId="0" fontId="33" fillId="0" borderId="35" xfId="0" applyFont="1" applyBorder="1" applyAlignment="1">
      <alignment horizontal="center"/>
    </xf>
    <xf numFmtId="166" fontId="33" fillId="0" borderId="36" xfId="0" applyNumberFormat="1" applyFont="1" applyBorder="1" applyAlignment="1">
      <alignment horizontal="center"/>
    </xf>
    <xf numFmtId="166" fontId="33" fillId="0" borderId="37" xfId="0" applyNumberFormat="1" applyFont="1" applyBorder="1" applyAlignment="1">
      <alignment horizontal="center"/>
    </xf>
    <xf numFmtId="166" fontId="33" fillId="0" borderId="38" xfId="0" applyNumberFormat="1" applyFont="1" applyBorder="1" applyAlignment="1">
      <alignment horizontal="center"/>
    </xf>
    <xf numFmtId="166" fontId="33" fillId="0" borderId="39" xfId="0" applyNumberFormat="1" applyFont="1" applyBorder="1" applyAlignment="1">
      <alignment horizontal="center"/>
    </xf>
    <xf numFmtId="0" fontId="33" fillId="0" borderId="27" xfId="0" applyFont="1" applyBorder="1" applyAlignment="1">
      <alignment horizontal="center"/>
    </xf>
    <xf numFmtId="166" fontId="33" fillId="0" borderId="40" xfId="0" applyNumberFormat="1" applyFont="1" applyBorder="1" applyAlignment="1">
      <alignment horizontal="center"/>
    </xf>
    <xf numFmtId="166" fontId="33" fillId="0" borderId="41" xfId="0" applyNumberFormat="1" applyFont="1" applyBorder="1" applyAlignment="1">
      <alignment horizontal="center"/>
    </xf>
    <xf numFmtId="166" fontId="33" fillId="0" borderId="42" xfId="0" applyNumberFormat="1" applyFont="1" applyBorder="1" applyAlignment="1">
      <alignment horizontal="center"/>
    </xf>
    <xf numFmtId="166" fontId="33" fillId="0" borderId="43" xfId="0" applyNumberFormat="1" applyFont="1" applyBorder="1" applyAlignment="1">
      <alignment horizontal="center"/>
    </xf>
    <xf numFmtId="0" fontId="4" fillId="0" borderId="28" xfId="0" applyFont="1" applyBorder="1"/>
    <xf numFmtId="0" fontId="4" fillId="0" borderId="4" xfId="0" applyFont="1" applyBorder="1"/>
    <xf numFmtId="0" fontId="33" fillId="0" borderId="5" xfId="0" applyFont="1" applyBorder="1" applyAlignment="1">
      <alignment horizontal="center"/>
    </xf>
    <xf numFmtId="166" fontId="33" fillId="0" borderId="46" xfId="0" applyNumberFormat="1" applyFont="1" applyBorder="1" applyAlignment="1">
      <alignment horizontal="center"/>
    </xf>
    <xf numFmtId="166" fontId="33" fillId="0" borderId="47" xfId="0" applyNumberFormat="1" applyFont="1" applyBorder="1" applyAlignment="1">
      <alignment horizontal="center"/>
    </xf>
    <xf numFmtId="166" fontId="33" fillId="0" borderId="48" xfId="0" applyNumberFormat="1" applyFont="1" applyBorder="1" applyAlignment="1">
      <alignment horizontal="center"/>
    </xf>
    <xf numFmtId="166" fontId="33" fillId="0" borderId="49" xfId="0" applyNumberFormat="1" applyFont="1" applyBorder="1" applyAlignment="1">
      <alignment horizontal="center"/>
    </xf>
    <xf numFmtId="0" fontId="4" fillId="0" borderId="45" xfId="0" applyFont="1" applyBorder="1"/>
    <xf numFmtId="2" fontId="4" fillId="0" borderId="50" xfId="0" applyNumberFormat="1" applyFont="1" applyBorder="1"/>
    <xf numFmtId="2" fontId="4" fillId="0" borderId="51" xfId="0" applyNumberFormat="1" applyFont="1" applyBorder="1"/>
    <xf numFmtId="2" fontId="29" fillId="0" borderId="1" xfId="0" applyNumberFormat="1" applyFont="1" applyBorder="1"/>
    <xf numFmtId="2" fontId="29" fillId="0" borderId="33" xfId="0" applyNumberFormat="1" applyFont="1" applyBorder="1"/>
    <xf numFmtId="2" fontId="29" fillId="0" borderId="50" xfId="0" applyNumberFormat="1" applyFont="1" applyBorder="1" applyAlignment="1">
      <alignment horizontal="center"/>
    </xf>
    <xf numFmtId="2" fontId="29" fillId="0" borderId="50" xfId="0" applyNumberFormat="1" applyFont="1" applyBorder="1"/>
    <xf numFmtId="2" fontId="29" fillId="0" borderId="51" xfId="0" applyNumberFormat="1" applyFont="1" applyBorder="1"/>
    <xf numFmtId="0" fontId="33" fillId="0" borderId="24" xfId="0" applyFont="1" applyBorder="1" applyAlignment="1">
      <alignment horizontal="center"/>
    </xf>
    <xf numFmtId="166" fontId="33" fillId="0" borderId="58" xfId="0" applyNumberFormat="1" applyFont="1" applyBorder="1" applyAlignment="1">
      <alignment horizontal="center"/>
    </xf>
    <xf numFmtId="0" fontId="33" fillId="0" borderId="32" xfId="0" applyFont="1" applyBorder="1" applyAlignment="1">
      <alignment horizontal="center"/>
    </xf>
    <xf numFmtId="166" fontId="33" fillId="0" borderId="57" xfId="0" applyNumberFormat="1" applyFont="1" applyBorder="1" applyAlignment="1">
      <alignment horizontal="center"/>
    </xf>
    <xf numFmtId="0" fontId="33" fillId="0" borderId="62" xfId="0" applyFont="1" applyBorder="1" applyAlignment="1">
      <alignment horizontal="center"/>
    </xf>
    <xf numFmtId="166" fontId="33" fillId="0" borderId="59" xfId="0" applyNumberFormat="1" applyFont="1" applyBorder="1" applyAlignment="1">
      <alignment horizontal="center"/>
    </xf>
    <xf numFmtId="0" fontId="33" fillId="0" borderId="26" xfId="0" applyFont="1" applyBorder="1" applyAlignment="1">
      <alignment horizontal="center"/>
    </xf>
    <xf numFmtId="166" fontId="33" fillId="0" borderId="60" xfId="0" applyNumberFormat="1" applyFont="1" applyBorder="1" applyAlignment="1">
      <alignment horizontal="center"/>
    </xf>
    <xf numFmtId="0" fontId="33" fillId="0" borderId="13" xfId="0" applyFont="1" applyBorder="1" applyAlignment="1">
      <alignment horizontal="center"/>
    </xf>
    <xf numFmtId="166" fontId="33" fillId="0" borderId="61" xfId="0" applyNumberFormat="1" applyFont="1" applyBorder="1" applyAlignment="1">
      <alignment horizontal="center"/>
    </xf>
    <xf numFmtId="0" fontId="4" fillId="0" borderId="45" xfId="0" applyFont="1" applyBorder="1" applyAlignment="1">
      <alignment horizontal="center"/>
    </xf>
    <xf numFmtId="2" fontId="4" fillId="0" borderId="50" xfId="0" applyNumberFormat="1" applyFont="1" applyBorder="1" applyAlignment="1">
      <alignment horizontal="center"/>
    </xf>
    <xf numFmtId="166" fontId="39" fillId="0" borderId="52" xfId="0" applyNumberFormat="1" applyFont="1" applyBorder="1" applyAlignment="1">
      <alignment horizontal="center"/>
    </xf>
    <xf numFmtId="166" fontId="39" fillId="0" borderId="53" xfId="0" applyNumberFormat="1" applyFont="1" applyBorder="1" applyAlignment="1">
      <alignment horizontal="center"/>
    </xf>
    <xf numFmtId="166" fontId="39" fillId="0" borderId="54" xfId="0" applyNumberFormat="1" applyFont="1" applyBorder="1" applyAlignment="1">
      <alignment horizontal="center"/>
    </xf>
    <xf numFmtId="0" fontId="29" fillId="2" borderId="0" xfId="0" applyFont="1" applyFill="1"/>
    <xf numFmtId="0" fontId="6" fillId="2" borderId="0" xfId="0" applyFont="1" applyFill="1" applyAlignment="1" applyProtection="1">
      <alignment horizontal="center"/>
      <protection hidden="1"/>
    </xf>
    <xf numFmtId="0" fontId="6" fillId="2" borderId="17" xfId="0" applyFont="1" applyFill="1" applyBorder="1" applyAlignment="1" applyProtection="1">
      <alignment horizontal="center"/>
      <protection hidden="1"/>
    </xf>
    <xf numFmtId="0" fontId="14" fillId="0" borderId="0" xfId="0" applyFont="1" applyProtection="1">
      <protection hidden="1"/>
    </xf>
    <xf numFmtId="0" fontId="44" fillId="0" borderId="15" xfId="0" applyFont="1" applyBorder="1" applyProtection="1">
      <protection hidden="1"/>
    </xf>
    <xf numFmtId="0" fontId="5" fillId="0" borderId="0" xfId="0" quotePrefix="1" applyFont="1" applyAlignment="1" applyProtection="1">
      <alignment horizontal="left"/>
      <protection hidden="1"/>
    </xf>
    <xf numFmtId="2" fontId="29" fillId="5" borderId="18" xfId="0" applyNumberFormat="1" applyFont="1" applyFill="1" applyBorder="1" applyAlignment="1" applyProtection="1">
      <alignment horizontal="center"/>
      <protection locked="0"/>
    </xf>
    <xf numFmtId="49" fontId="4" fillId="0" borderId="6" xfId="0" quotePrefix="1" applyNumberFormat="1" applyFont="1" applyBorder="1" applyAlignment="1" applyProtection="1">
      <alignment horizontal="left"/>
      <protection locked="0"/>
    </xf>
    <xf numFmtId="49" fontId="4" fillId="0" borderId="7" xfId="0" applyNumberFormat="1" applyFont="1" applyBorder="1" applyAlignment="1" applyProtection="1">
      <alignment horizontal="center"/>
      <protection locked="0"/>
    </xf>
    <xf numFmtId="0" fontId="4" fillId="0" borderId="3" xfId="0" applyFont="1" applyBorder="1" applyAlignment="1" applyProtection="1">
      <alignment horizontal="center"/>
      <protection locked="0"/>
    </xf>
    <xf numFmtId="0" fontId="4" fillId="0" borderId="6" xfId="0" applyFont="1" applyBorder="1" applyAlignment="1" applyProtection="1">
      <alignment horizontal="center"/>
      <protection locked="0"/>
    </xf>
    <xf numFmtId="2" fontId="29" fillId="5" borderId="19" xfId="0" applyNumberFormat="1" applyFont="1" applyFill="1" applyBorder="1" applyAlignment="1" applyProtection="1">
      <alignment horizontal="center"/>
      <protection locked="0"/>
    </xf>
    <xf numFmtId="0" fontId="0" fillId="0" borderId="0" xfId="0" applyAlignment="1">
      <alignment horizontal="center"/>
    </xf>
    <xf numFmtId="0" fontId="5" fillId="0" borderId="0" xfId="0" quotePrefix="1" applyFont="1" applyAlignment="1" applyProtection="1">
      <alignment horizontal="center"/>
      <protection hidden="1"/>
    </xf>
    <xf numFmtId="2" fontId="29" fillId="5" borderId="20" xfId="0" applyNumberFormat="1" applyFont="1" applyFill="1" applyBorder="1" applyAlignment="1" applyProtection="1">
      <alignment horizontal="center"/>
      <protection hidden="1"/>
    </xf>
    <xf numFmtId="2" fontId="29" fillId="5" borderId="18" xfId="0" applyNumberFormat="1" applyFont="1" applyFill="1" applyBorder="1" applyAlignment="1" applyProtection="1">
      <alignment horizontal="center"/>
      <protection hidden="1"/>
    </xf>
    <xf numFmtId="0" fontId="4" fillId="5" borderId="20" xfId="0" applyFont="1" applyFill="1" applyBorder="1" applyAlignment="1" applyProtection="1">
      <alignment horizontal="center"/>
      <protection hidden="1"/>
    </xf>
    <xf numFmtId="0" fontId="37" fillId="5" borderId="18" xfId="0" applyFont="1" applyFill="1" applyBorder="1" applyAlignment="1" applyProtection="1">
      <alignment horizontal="center"/>
      <protection hidden="1"/>
    </xf>
    <xf numFmtId="0" fontId="4" fillId="5" borderId="18" xfId="0" applyFont="1" applyFill="1" applyBorder="1" applyAlignment="1" applyProtection="1">
      <alignment horizontal="center"/>
      <protection hidden="1"/>
    </xf>
    <xf numFmtId="2" fontId="4" fillId="5" borderId="18" xfId="0" applyNumberFormat="1" applyFont="1" applyFill="1" applyBorder="1" applyAlignment="1" applyProtection="1">
      <alignment horizontal="center"/>
      <protection hidden="1"/>
    </xf>
    <xf numFmtId="0" fontId="41" fillId="5" borderId="18" xfId="0" applyFont="1" applyFill="1" applyBorder="1" applyAlignment="1" applyProtection="1">
      <alignment horizontal="center"/>
      <protection hidden="1"/>
    </xf>
    <xf numFmtId="2" fontId="4" fillId="0" borderId="22" xfId="0" applyNumberFormat="1" applyFont="1" applyBorder="1" applyAlignment="1" applyProtection="1">
      <alignment horizontal="left"/>
      <protection hidden="1"/>
    </xf>
    <xf numFmtId="2" fontId="4" fillId="0" borderId="53" xfId="0" applyNumberFormat="1" applyFont="1" applyBorder="1" applyAlignment="1" applyProtection="1">
      <alignment horizontal="center"/>
      <protection hidden="1"/>
    </xf>
    <xf numFmtId="0" fontId="4" fillId="0" borderId="20" xfId="0" applyFont="1" applyBorder="1" applyAlignment="1" applyProtection="1">
      <alignment horizontal="center"/>
      <protection hidden="1"/>
    </xf>
    <xf numFmtId="165" fontId="4" fillId="0" borderId="17" xfId="0" applyNumberFormat="1" applyFont="1" applyBorder="1" applyAlignment="1" applyProtection="1">
      <alignment horizontal="right"/>
      <protection hidden="1"/>
    </xf>
    <xf numFmtId="2" fontId="4" fillId="0" borderId="17" xfId="0" applyNumberFormat="1" applyFont="1" applyBorder="1" applyAlignment="1" applyProtection="1">
      <alignment horizontal="right"/>
      <protection hidden="1"/>
    </xf>
    <xf numFmtId="0" fontId="50" fillId="3" borderId="6" xfId="0" applyFont="1" applyFill="1" applyBorder="1" applyAlignment="1" applyProtection="1">
      <alignment horizontal="centerContinuous"/>
      <protection hidden="1"/>
    </xf>
    <xf numFmtId="0" fontId="60" fillId="0" borderId="0" xfId="0" applyFont="1" applyAlignment="1" applyProtection="1">
      <alignment horizontal="center"/>
      <protection hidden="1"/>
    </xf>
    <xf numFmtId="165" fontId="58" fillId="0" borderId="0" xfId="0" applyNumberFormat="1" applyFont="1"/>
    <xf numFmtId="0" fontId="21" fillId="6" borderId="0" xfId="0" quotePrefix="1" applyFont="1" applyFill="1"/>
    <xf numFmtId="0" fontId="0" fillId="6" borderId="0" xfId="0" applyFill="1"/>
    <xf numFmtId="0" fontId="62" fillId="6" borderId="0" xfId="0" applyFont="1" applyFill="1"/>
    <xf numFmtId="0" fontId="62" fillId="6" borderId="0" xfId="0" applyFont="1" applyFill="1" applyAlignment="1">
      <alignment horizontal="center"/>
    </xf>
    <xf numFmtId="0" fontId="59" fillId="6" borderId="0" xfId="7" applyFill="1" applyAlignment="1">
      <alignment horizontal="center"/>
    </xf>
    <xf numFmtId="49" fontId="63" fillId="8" borderId="63" xfId="7" applyNumberFormat="1" applyFont="1" applyFill="1" applyBorder="1"/>
    <xf numFmtId="49" fontId="59" fillId="8" borderId="63" xfId="7" applyNumberFormat="1" applyFill="1" applyBorder="1"/>
    <xf numFmtId="0" fontId="59" fillId="8" borderId="63" xfId="7" applyFill="1" applyBorder="1"/>
    <xf numFmtId="49" fontId="63" fillId="7" borderId="63" xfId="7" applyNumberFormat="1" applyFont="1" applyFill="1" applyBorder="1" applyAlignment="1">
      <alignment horizontal="center"/>
    </xf>
    <xf numFmtId="0" fontId="63" fillId="7" borderId="63" xfId="7" applyFont="1" applyFill="1" applyBorder="1" applyAlignment="1">
      <alignment horizontal="center"/>
    </xf>
    <xf numFmtId="49" fontId="59" fillId="7" borderId="63" xfId="7" applyNumberFormat="1" applyFill="1" applyBorder="1" applyAlignment="1">
      <alignment horizontal="center"/>
    </xf>
    <xf numFmtId="0" fontId="59" fillId="7" borderId="63" xfId="7" applyFill="1" applyBorder="1" applyAlignment="1">
      <alignment horizontal="center"/>
    </xf>
    <xf numFmtId="49" fontId="59" fillId="10" borderId="0" xfId="7" applyNumberFormat="1" applyFill="1"/>
    <xf numFmtId="2" fontId="64" fillId="10" borderId="0" xfId="7" applyNumberFormat="1" applyFont="1" applyFill="1"/>
    <xf numFmtId="49" fontId="59" fillId="11" borderId="0" xfId="7" applyNumberFormat="1" applyFill="1"/>
    <xf numFmtId="2" fontId="64" fillId="11" borderId="0" xfId="7" applyNumberFormat="1" applyFont="1" applyFill="1"/>
    <xf numFmtId="49" fontId="59" fillId="12" borderId="0" xfId="7" applyNumberFormat="1" applyFill="1"/>
    <xf numFmtId="2" fontId="64" fillId="12" borderId="0" xfId="7" applyNumberFormat="1" applyFont="1" applyFill="1"/>
    <xf numFmtId="49" fontId="59" fillId="13" borderId="0" xfId="7" applyNumberFormat="1" applyFill="1"/>
    <xf numFmtId="2" fontId="64" fillId="13" borderId="0" xfId="7" applyNumberFormat="1" applyFont="1" applyFill="1"/>
    <xf numFmtId="49" fontId="59" fillId="14" borderId="0" xfId="7" applyNumberFormat="1" applyFill="1"/>
    <xf numFmtId="2" fontId="64" fillId="14" borderId="0" xfId="7" applyNumberFormat="1" applyFont="1" applyFill="1"/>
    <xf numFmtId="49" fontId="59" fillId="15" borderId="0" xfId="7" applyNumberFormat="1" applyFill="1"/>
    <xf numFmtId="2" fontId="64" fillId="15" borderId="0" xfId="7" applyNumberFormat="1" applyFont="1" applyFill="1"/>
    <xf numFmtId="0" fontId="6" fillId="0" borderId="0" xfId="0" quotePrefix="1" applyFont="1" applyAlignment="1" applyProtection="1">
      <alignment horizontal="left"/>
      <protection hidden="1"/>
    </xf>
    <xf numFmtId="0" fontId="6" fillId="0" borderId="0" xfId="0" quotePrefix="1" applyFont="1" applyProtection="1">
      <protection hidden="1"/>
    </xf>
    <xf numFmtId="0" fontId="6" fillId="0" borderId="17" xfId="0" applyFont="1" applyBorder="1" applyAlignment="1" applyProtection="1">
      <alignment horizontal="right"/>
      <protection hidden="1"/>
    </xf>
    <xf numFmtId="0" fontId="8" fillId="0" borderId="15" xfId="0" applyFont="1" applyBorder="1" applyProtection="1">
      <protection hidden="1"/>
    </xf>
    <xf numFmtId="0" fontId="21" fillId="6" borderId="3" xfId="0" quotePrefix="1" applyFont="1" applyFill="1" applyBorder="1"/>
    <xf numFmtId="0" fontId="59" fillId="6" borderId="3" xfId="7" applyFill="1" applyBorder="1" applyAlignment="1">
      <alignment horizontal="center"/>
    </xf>
    <xf numFmtId="0" fontId="0" fillId="6" borderId="6" xfId="0" applyFill="1" applyBorder="1"/>
    <xf numFmtId="0" fontId="0" fillId="6" borderId="7" xfId="0" applyFill="1" applyBorder="1"/>
    <xf numFmtId="0" fontId="0" fillId="6" borderId="8" xfId="0" applyFill="1" applyBorder="1"/>
    <xf numFmtId="49" fontId="59" fillId="16" borderId="0" xfId="7" applyNumberFormat="1" applyFill="1"/>
    <xf numFmtId="2" fontId="64" fillId="16" borderId="0" xfId="7" applyNumberFormat="1" applyFont="1" applyFill="1"/>
    <xf numFmtId="49" fontId="59" fillId="17" borderId="0" xfId="7" applyNumberFormat="1" applyFill="1"/>
    <xf numFmtId="2" fontId="64" fillId="17" borderId="0" xfId="7" applyNumberFormat="1" applyFont="1" applyFill="1"/>
    <xf numFmtId="49" fontId="59" fillId="18" borderId="0" xfId="7" applyNumberFormat="1" applyFill="1"/>
    <xf numFmtId="2" fontId="64" fillId="18" borderId="0" xfId="7" applyNumberFormat="1" applyFont="1" applyFill="1"/>
    <xf numFmtId="49" fontId="59" fillId="19" borderId="0" xfId="7" applyNumberFormat="1" applyFill="1"/>
    <xf numFmtId="2" fontId="64" fillId="19" borderId="0" xfId="7" applyNumberFormat="1" applyFont="1" applyFill="1"/>
    <xf numFmtId="49" fontId="59" fillId="9" borderId="0" xfId="7" applyNumberFormat="1" applyFill="1"/>
    <xf numFmtId="49" fontId="59" fillId="20" borderId="0" xfId="7" applyNumberFormat="1" applyFill="1"/>
    <xf numFmtId="0" fontId="61" fillId="7" borderId="3" xfId="0" applyFont="1" applyFill="1" applyBorder="1"/>
    <xf numFmtId="0" fontId="63" fillId="0" borderId="3" xfId="0" applyFont="1" applyBorder="1" applyAlignment="1">
      <alignment horizontal="center" vertical="center"/>
    </xf>
    <xf numFmtId="0" fontId="66" fillId="0" borderId="3" xfId="0" applyFont="1" applyBorder="1" applyAlignment="1">
      <alignment horizontal="center" vertical="center"/>
    </xf>
    <xf numFmtId="0" fontId="0" fillId="0" borderId="3" xfId="0" applyBorder="1" applyAlignment="1">
      <alignment horizontal="center" vertical="center"/>
    </xf>
    <xf numFmtId="0" fontId="63" fillId="0" borderId="3" xfId="0" applyFont="1" applyBorder="1" applyAlignment="1">
      <alignment horizontal="center" vertical="center" wrapText="1"/>
    </xf>
    <xf numFmtId="2" fontId="0" fillId="0" borderId="3" xfId="0" applyNumberFormat="1" applyBorder="1" applyAlignment="1">
      <alignment horizontal="center" vertical="center"/>
    </xf>
    <xf numFmtId="0" fontId="63" fillId="0" borderId="3" xfId="0" applyFont="1" applyBorder="1" applyAlignment="1">
      <alignment horizontal="center"/>
    </xf>
    <xf numFmtId="2" fontId="63" fillId="0" borderId="3" xfId="0" applyNumberFormat="1" applyFont="1" applyBorder="1" applyAlignment="1">
      <alignment horizontal="center" vertical="center"/>
    </xf>
    <xf numFmtId="49" fontId="4" fillId="0" borderId="0" xfId="0" quotePrefix="1" applyNumberFormat="1" applyFont="1" applyAlignment="1" applyProtection="1">
      <alignment horizontal="left"/>
      <protection locked="0"/>
    </xf>
    <xf numFmtId="49" fontId="4" fillId="2" borderId="0" xfId="0" applyNumberFormat="1" applyFont="1" applyFill="1" applyProtection="1">
      <protection locked="0"/>
    </xf>
    <xf numFmtId="49" fontId="4" fillId="2" borderId="0" xfId="0" applyNumberFormat="1" applyFont="1" applyFill="1" applyAlignment="1" applyProtection="1">
      <alignment horizontal="left"/>
      <protection locked="0"/>
    </xf>
    <xf numFmtId="49" fontId="0" fillId="0" borderId="0" xfId="0" applyNumberFormat="1" applyProtection="1">
      <protection locked="0"/>
    </xf>
    <xf numFmtId="0" fontId="5" fillId="2" borderId="0" xfId="0" applyFont="1" applyFill="1" applyAlignment="1" applyProtection="1">
      <alignment horizontal="center"/>
      <protection hidden="1"/>
    </xf>
    <xf numFmtId="0" fontId="4" fillId="0" borderId="0" xfId="0" applyFont="1" applyAlignment="1" applyProtection="1">
      <alignment horizontal="center"/>
      <protection locked="0"/>
    </xf>
    <xf numFmtId="0" fontId="4" fillId="2" borderId="0" xfId="0" applyFont="1" applyFill="1" applyAlignment="1" applyProtection="1">
      <alignment horizontal="center"/>
      <protection locked="0"/>
    </xf>
    <xf numFmtId="1" fontId="65" fillId="6" borderId="0" xfId="0" applyNumberFormat="1" applyFont="1" applyFill="1" applyAlignment="1" applyProtection="1">
      <alignment horizontal="center"/>
      <protection hidden="1"/>
    </xf>
    <xf numFmtId="2" fontId="2" fillId="2" borderId="20" xfId="0" applyNumberFormat="1" applyFont="1" applyFill="1" applyBorder="1" applyAlignment="1" applyProtection="1">
      <alignment horizontal="center"/>
      <protection hidden="1"/>
    </xf>
    <xf numFmtId="2" fontId="2" fillId="2" borderId="18" xfId="0" applyNumberFormat="1" applyFont="1" applyFill="1" applyBorder="1" applyAlignment="1" applyProtection="1">
      <alignment horizontal="center"/>
      <protection hidden="1"/>
    </xf>
    <xf numFmtId="2" fontId="2" fillId="0" borderId="20" xfId="0" applyNumberFormat="1" applyFont="1" applyBorder="1" applyAlignment="1" applyProtection="1">
      <alignment horizontal="center"/>
      <protection hidden="1"/>
    </xf>
    <xf numFmtId="2" fontId="2" fillId="2" borderId="19" xfId="0" applyNumberFormat="1" applyFont="1" applyFill="1" applyBorder="1" applyAlignment="1" applyProtection="1">
      <alignment horizontal="center"/>
      <protection hidden="1"/>
    </xf>
    <xf numFmtId="2" fontId="2" fillId="0" borderId="18" xfId="0" applyNumberFormat="1" applyFont="1" applyBorder="1" applyAlignment="1" applyProtection="1">
      <alignment horizontal="center"/>
      <protection hidden="1"/>
    </xf>
    <xf numFmtId="2" fontId="2" fillId="0" borderId="19" xfId="0" applyNumberFormat="1" applyFont="1" applyBorder="1" applyAlignment="1" applyProtection="1">
      <alignment horizontal="center"/>
      <protection hidden="1"/>
    </xf>
    <xf numFmtId="1" fontId="2" fillId="0" borderId="3" xfId="0" applyNumberFormat="1" applyFont="1" applyBorder="1" applyAlignment="1" applyProtection="1">
      <alignment horizontal="center"/>
      <protection hidden="1"/>
    </xf>
    <xf numFmtId="165" fontId="2" fillId="0" borderId="20" xfId="0" applyNumberFormat="1" applyFont="1" applyBorder="1" applyAlignment="1" applyProtection="1">
      <alignment horizontal="center"/>
      <protection hidden="1"/>
    </xf>
    <xf numFmtId="165" fontId="2" fillId="0" borderId="18" xfId="0" applyNumberFormat="1" applyFont="1" applyBorder="1" applyAlignment="1" applyProtection="1">
      <alignment horizontal="center"/>
      <protection hidden="1"/>
    </xf>
    <xf numFmtId="165" fontId="2" fillId="0" borderId="3" xfId="0" applyNumberFormat="1" applyFont="1" applyBorder="1" applyAlignment="1" applyProtection="1">
      <alignment horizontal="center"/>
      <protection hidden="1"/>
    </xf>
    <xf numFmtId="0" fontId="2" fillId="0" borderId="0" xfId="0" applyFont="1"/>
    <xf numFmtId="1" fontId="4" fillId="0" borderId="0" xfId="0" applyNumberFormat="1" applyFont="1" applyAlignment="1" applyProtection="1">
      <alignment horizontal="center" vertical="center"/>
      <protection locked="0"/>
    </xf>
    <xf numFmtId="166" fontId="4" fillId="0" borderId="0" xfId="0" applyNumberFormat="1" applyFont="1" applyAlignment="1" applyProtection="1">
      <alignment horizontal="center" vertical="center"/>
      <protection locked="0"/>
    </xf>
    <xf numFmtId="2" fontId="4" fillId="0" borderId="0" xfId="0" applyNumberFormat="1" applyFont="1" applyAlignment="1" applyProtection="1">
      <alignment horizontal="center" vertical="center"/>
      <protection locked="0"/>
    </xf>
    <xf numFmtId="164" fontId="4" fillId="0" borderId="0" xfId="0" applyNumberFormat="1" applyFont="1" applyAlignment="1" applyProtection="1">
      <alignment horizontal="center" vertical="center"/>
      <protection locked="0"/>
    </xf>
    <xf numFmtId="0" fontId="2" fillId="0" borderId="15" xfId="0" applyFont="1" applyBorder="1" applyAlignment="1" applyProtection="1">
      <alignment horizontal="right"/>
      <protection hidden="1"/>
    </xf>
    <xf numFmtId="2" fontId="73" fillId="6" borderId="3" xfId="0" applyNumberFormat="1" applyFont="1" applyFill="1" applyBorder="1" applyAlignment="1" applyProtection="1">
      <alignment horizontal="center"/>
      <protection locked="0"/>
    </xf>
    <xf numFmtId="0" fontId="74" fillId="6" borderId="3" xfId="0" applyFont="1" applyFill="1" applyBorder="1" applyAlignment="1" applyProtection="1">
      <alignment horizontal="center"/>
      <protection locked="0"/>
    </xf>
    <xf numFmtId="0" fontId="73" fillId="6" borderId="3" xfId="0" applyFont="1" applyFill="1" applyBorder="1" applyAlignment="1" applyProtection="1">
      <alignment horizontal="center"/>
      <protection locked="0"/>
    </xf>
    <xf numFmtId="0" fontId="2" fillId="0" borderId="0" xfId="0" applyFont="1" applyAlignment="1" applyProtection="1">
      <alignment horizontal="right"/>
      <protection hidden="1"/>
    </xf>
    <xf numFmtId="0" fontId="73" fillId="0" borderId="3" xfId="0" applyFont="1" applyBorder="1" applyAlignment="1" applyProtection="1">
      <alignment horizontal="center" vertical="center"/>
      <protection locked="0"/>
    </xf>
    <xf numFmtId="166" fontId="2" fillId="0" borderId="3" xfId="0" applyNumberFormat="1" applyFont="1" applyBorder="1" applyAlignment="1" applyProtection="1">
      <alignment horizontal="center" vertical="center"/>
      <protection hidden="1"/>
    </xf>
    <xf numFmtId="166" fontId="2" fillId="0" borderId="3" xfId="0" applyNumberFormat="1" applyFont="1" applyBorder="1" applyAlignment="1" applyProtection="1">
      <alignment horizontal="center"/>
      <protection hidden="1"/>
    </xf>
    <xf numFmtId="2" fontId="64" fillId="9" borderId="0" xfId="7" applyNumberFormat="1" applyFont="1" applyFill="1"/>
    <xf numFmtId="2" fontId="64" fillId="20" borderId="0" xfId="7" applyNumberFormat="1" applyFont="1" applyFill="1"/>
    <xf numFmtId="169" fontId="0" fillId="6" borderId="0" xfId="9" applyNumberFormat="1" applyFont="1" applyFill="1"/>
    <xf numFmtId="0" fontId="68" fillId="21" borderId="3" xfId="0" applyFont="1" applyFill="1" applyBorder="1" applyAlignment="1">
      <alignment horizontal="center"/>
    </xf>
    <xf numFmtId="0" fontId="70" fillId="22" borderId="10" xfId="0" applyFont="1" applyFill="1" applyBorder="1" applyAlignment="1" applyProtection="1">
      <alignment horizontal="center"/>
      <protection hidden="1"/>
    </xf>
    <xf numFmtId="0" fontId="70" fillId="22" borderId="14" xfId="0" applyFont="1" applyFill="1" applyBorder="1" applyAlignment="1" applyProtection="1">
      <alignment horizontal="center"/>
      <protection hidden="1"/>
    </xf>
    <xf numFmtId="0" fontId="71" fillId="22" borderId="15" xfId="0" applyFont="1" applyFill="1" applyBorder="1" applyAlignment="1" applyProtection="1">
      <alignment horizontal="center"/>
      <protection hidden="1"/>
    </xf>
    <xf numFmtId="0" fontId="71" fillId="22" borderId="0" xfId="0" applyFont="1" applyFill="1" applyAlignment="1" applyProtection="1">
      <alignment horizontal="center"/>
      <protection hidden="1"/>
    </xf>
    <xf numFmtId="0" fontId="72" fillId="3" borderId="14" xfId="0" applyFont="1" applyFill="1" applyBorder="1" applyAlignment="1" applyProtection="1">
      <alignment horizontal="center" vertical="center" wrapText="1"/>
      <protection hidden="1"/>
    </xf>
    <xf numFmtId="0" fontId="72" fillId="3" borderId="0" xfId="0" applyFont="1" applyFill="1" applyAlignment="1" applyProtection="1">
      <alignment horizontal="center" vertical="center"/>
      <protection hidden="1"/>
    </xf>
    <xf numFmtId="0" fontId="72" fillId="3" borderId="16" xfId="0" applyFont="1" applyFill="1" applyBorder="1" applyAlignment="1" applyProtection="1">
      <alignment horizontal="center" vertical="center"/>
      <protection hidden="1"/>
    </xf>
    <xf numFmtId="0" fontId="72" fillId="3" borderId="11" xfId="0" applyFont="1" applyFill="1" applyBorder="1" applyAlignment="1" applyProtection="1">
      <alignment horizontal="center" vertical="center" wrapText="1"/>
      <protection hidden="1"/>
    </xf>
    <xf numFmtId="0" fontId="72" fillId="3" borderId="17" xfId="0" applyFont="1" applyFill="1" applyBorder="1" applyAlignment="1" applyProtection="1">
      <alignment horizontal="center" vertical="center"/>
      <protection hidden="1"/>
    </xf>
    <xf numFmtId="0" fontId="72" fillId="3" borderId="13" xfId="0" applyFont="1" applyFill="1" applyBorder="1" applyAlignment="1" applyProtection="1">
      <alignment horizontal="center" vertical="center"/>
      <protection hidden="1"/>
    </xf>
    <xf numFmtId="0" fontId="71" fillId="22" borderId="12" xfId="0" applyFont="1" applyFill="1" applyBorder="1" applyAlignment="1" applyProtection="1">
      <alignment horizontal="center"/>
      <protection hidden="1"/>
    </xf>
    <xf numFmtId="0" fontId="71" fillId="22" borderId="16" xfId="0" applyFont="1" applyFill="1" applyBorder="1" applyAlignment="1" applyProtection="1">
      <alignment horizontal="center"/>
      <protection hidden="1"/>
    </xf>
    <xf numFmtId="0" fontId="21" fillId="6" borderId="6" xfId="0" quotePrefix="1" applyFont="1" applyFill="1" applyBorder="1" applyAlignment="1">
      <alignment horizontal="left"/>
    </xf>
    <xf numFmtId="0" fontId="21" fillId="6" borderId="7" xfId="0" quotePrefix="1" applyFont="1" applyFill="1" applyBorder="1" applyAlignment="1">
      <alignment horizontal="left"/>
    </xf>
    <xf numFmtId="0" fontId="21" fillId="6" borderId="8" xfId="0" quotePrefix="1" applyFont="1" applyFill="1" applyBorder="1" applyAlignment="1">
      <alignment horizontal="left"/>
    </xf>
    <xf numFmtId="0" fontId="62" fillId="6" borderId="0" xfId="0" applyFont="1" applyFill="1" applyAlignment="1">
      <alignment horizontal="center"/>
    </xf>
    <xf numFmtId="1" fontId="65" fillId="6" borderId="3" xfId="0" applyNumberFormat="1" applyFont="1" applyFill="1" applyBorder="1" applyAlignment="1" applyProtection="1">
      <alignment horizontal="center"/>
      <protection hidden="1"/>
    </xf>
    <xf numFmtId="1" fontId="73" fillId="6" borderId="3" xfId="0" applyNumberFormat="1" applyFont="1" applyFill="1" applyBorder="1" applyAlignment="1" applyProtection="1">
      <alignment horizontal="center"/>
      <protection hidden="1"/>
    </xf>
    <xf numFmtId="2" fontId="73" fillId="6" borderId="3" xfId="0" applyNumberFormat="1" applyFont="1" applyFill="1" applyBorder="1" applyAlignment="1" applyProtection="1">
      <alignment horizontal="center"/>
      <protection hidden="1"/>
    </xf>
    <xf numFmtId="166" fontId="73" fillId="6" borderId="3" xfId="0" applyNumberFormat="1" applyFont="1" applyFill="1" applyBorder="1" applyAlignment="1" applyProtection="1">
      <alignment horizontal="center"/>
      <protection hidden="1"/>
    </xf>
    <xf numFmtId="165" fontId="73" fillId="6" borderId="3" xfId="0" applyNumberFormat="1" applyFont="1" applyFill="1" applyBorder="1" applyAlignment="1" applyProtection="1">
      <alignment horizontal="center"/>
      <protection hidden="1"/>
    </xf>
    <xf numFmtId="164" fontId="73" fillId="6" borderId="3" xfId="0" applyNumberFormat="1" applyFont="1" applyFill="1" applyBorder="1" applyAlignment="1" applyProtection="1">
      <alignment horizontal="center"/>
      <protection hidden="1"/>
    </xf>
    <xf numFmtId="2" fontId="2" fillId="6" borderId="3" xfId="0" applyNumberFormat="1" applyFont="1" applyFill="1" applyBorder="1" applyAlignment="1" applyProtection="1">
      <alignment horizontal="center"/>
      <protection locked="0"/>
    </xf>
    <xf numFmtId="0" fontId="76" fillId="0" borderId="0" xfId="0" applyFont="1"/>
    <xf numFmtId="2" fontId="4" fillId="0" borderId="20" xfId="0" applyNumberFormat="1" applyFont="1" applyFill="1" applyBorder="1" applyAlignment="1" applyProtection="1">
      <alignment horizontal="center"/>
      <protection hidden="1"/>
    </xf>
    <xf numFmtId="2" fontId="4" fillId="0" borderId="18" xfId="0" applyNumberFormat="1" applyFont="1" applyFill="1" applyBorder="1" applyAlignment="1" applyProtection="1">
      <alignment horizontal="center"/>
      <protection hidden="1"/>
    </xf>
  </cellXfs>
  <cellStyles count="10">
    <cellStyle name="Comma" xfId="9" builtinId="3"/>
    <cellStyle name="Comma0" xfId="1" xr:uid="{15142EE0-8296-40CA-AEF6-B97897BD3BE8}"/>
    <cellStyle name="Currency0" xfId="2" xr:uid="{16EC0DD1-8B78-4285-86B7-EEDBC9AB124A}"/>
    <cellStyle name="Date" xfId="3" xr:uid="{DD238FAF-1E89-4D3C-A10D-7D875D5B51B1}"/>
    <cellStyle name="Fixed" xfId="4" xr:uid="{0EF1A8D1-FF1B-46D5-8A89-EF7ED785F9ED}"/>
    <cellStyle name="Heading 1" xfId="5" builtinId="16" customBuiltin="1"/>
    <cellStyle name="Heading 2" xfId="6" builtinId="17" customBuiltin="1"/>
    <cellStyle name="Normal" xfId="0" builtinId="0"/>
    <cellStyle name="Normal 2" xfId="7" xr:uid="{5BB7464B-0772-491D-B07B-2BDF6E98DE0C}"/>
    <cellStyle name="Total" xfId="8" builtinId="25" customBuiltin="1"/>
  </cellStyles>
  <dxfs count="4">
    <dxf>
      <font>
        <b/>
        <i/>
        <strike val="0"/>
        <condense val="0"/>
        <extend val="0"/>
        <color indexed="10"/>
      </font>
    </dxf>
    <dxf>
      <font>
        <b/>
        <i/>
        <strike val="0"/>
        <condense val="0"/>
        <extend val="0"/>
        <color indexed="10"/>
      </font>
    </dxf>
    <dxf>
      <font>
        <b/>
        <i/>
        <strike val="0"/>
        <condense val="0"/>
        <extend val="0"/>
        <color indexed="10"/>
      </font>
    </dxf>
    <dxf>
      <font>
        <b/>
        <i/>
        <strike val="0"/>
        <condense val="0"/>
        <extend val="0"/>
        <color indexed="10"/>
      </font>
    </dxf>
  </dxfs>
  <tableStyles count="0" defaultTableStyle="TableStyleMedium9" defaultPivotStyle="PivotStyleLight16"/>
  <colors>
    <mruColors>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0.emf"/></Relationships>
</file>

<file path=xl/drawings/_rels/drawing5.x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6</xdr:col>
      <xdr:colOff>436245</xdr:colOff>
      <xdr:row>5</xdr:row>
      <xdr:rowOff>0</xdr:rowOff>
    </xdr:from>
    <xdr:to>
      <xdr:col>6</xdr:col>
      <xdr:colOff>660328</xdr:colOff>
      <xdr:row>5</xdr:row>
      <xdr:rowOff>0</xdr:rowOff>
    </xdr:to>
    <xdr:sp macro="" textlink="">
      <xdr:nvSpPr>
        <xdr:cNvPr id="218162" name="Text Box 50">
          <a:extLst>
            <a:ext uri="{FF2B5EF4-FFF2-40B4-BE49-F238E27FC236}">
              <a16:creationId xmlns:a16="http://schemas.microsoft.com/office/drawing/2014/main" id="{D5BA5B9C-A4D1-FE5C-045B-EFD47B344214}"/>
            </a:ext>
          </a:extLst>
        </xdr:cNvPr>
        <xdr:cNvSpPr txBox="1">
          <a:spLocks noChangeArrowheads="1"/>
        </xdr:cNvSpPr>
      </xdr:nvSpPr>
      <xdr:spPr bwMode="auto">
        <a:xfrm>
          <a:off x="4924425" y="847725"/>
          <a:ext cx="152400" cy="0"/>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L</a:t>
          </a:r>
        </a:p>
      </xdr:txBody>
    </xdr:sp>
    <xdr:clientData/>
  </xdr:twoCellAnchor>
  <xdr:twoCellAnchor>
    <xdr:from>
      <xdr:col>7</xdr:col>
      <xdr:colOff>561975</xdr:colOff>
      <xdr:row>5</xdr:row>
      <xdr:rowOff>0</xdr:rowOff>
    </xdr:from>
    <xdr:to>
      <xdr:col>7</xdr:col>
      <xdr:colOff>804562</xdr:colOff>
      <xdr:row>5</xdr:row>
      <xdr:rowOff>0</xdr:rowOff>
    </xdr:to>
    <xdr:sp macro="" textlink="">
      <xdr:nvSpPr>
        <xdr:cNvPr id="218163" name="Text Box 51">
          <a:extLst>
            <a:ext uri="{FF2B5EF4-FFF2-40B4-BE49-F238E27FC236}">
              <a16:creationId xmlns:a16="http://schemas.microsoft.com/office/drawing/2014/main" id="{B7AFECC3-6FFF-3022-038A-E65FBE012C8F}"/>
            </a:ext>
          </a:extLst>
        </xdr:cNvPr>
        <xdr:cNvSpPr txBox="1">
          <a:spLocks noChangeArrowheads="1"/>
        </xdr:cNvSpPr>
      </xdr:nvSpPr>
      <xdr:spPr bwMode="auto">
        <a:xfrm>
          <a:off x="5715000" y="847725"/>
          <a:ext cx="180975" cy="0"/>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B</a:t>
          </a:r>
        </a:p>
      </xdr:txBody>
    </xdr:sp>
    <xdr:clientData/>
  </xdr:twoCellAnchor>
  <xdr:twoCellAnchor>
    <xdr:from>
      <xdr:col>5</xdr:col>
      <xdr:colOff>186690</xdr:colOff>
      <xdr:row>5</xdr:row>
      <xdr:rowOff>0</xdr:rowOff>
    </xdr:from>
    <xdr:to>
      <xdr:col>5</xdr:col>
      <xdr:colOff>409826</xdr:colOff>
      <xdr:row>5</xdr:row>
      <xdr:rowOff>0</xdr:rowOff>
    </xdr:to>
    <xdr:sp macro="" textlink="">
      <xdr:nvSpPr>
        <xdr:cNvPr id="218164" name="Text Box 52">
          <a:extLst>
            <a:ext uri="{FF2B5EF4-FFF2-40B4-BE49-F238E27FC236}">
              <a16:creationId xmlns:a16="http://schemas.microsoft.com/office/drawing/2014/main" id="{43617743-B892-5DBD-8694-A1026CE9035D}"/>
            </a:ext>
          </a:extLst>
        </xdr:cNvPr>
        <xdr:cNvSpPr txBox="1">
          <a:spLocks noChangeArrowheads="1"/>
        </xdr:cNvSpPr>
      </xdr:nvSpPr>
      <xdr:spPr bwMode="auto">
        <a:xfrm>
          <a:off x="4038600" y="847725"/>
          <a:ext cx="209550" cy="0"/>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h</a:t>
          </a:r>
          <a:r>
            <a:rPr lang="en-US" sz="800" b="0" i="0" strike="noStrike">
              <a:solidFill>
                <a:srgbClr val="0000FF"/>
              </a:solidFill>
              <a:latin typeface="Arial"/>
              <a:cs typeface="Arial"/>
            </a:rPr>
            <a:t>r</a:t>
          </a:r>
        </a:p>
      </xdr:txBody>
    </xdr:sp>
    <xdr:clientData/>
  </xdr:twoCellAnchor>
  <xdr:twoCellAnchor>
    <xdr:from>
      <xdr:col>7</xdr:col>
      <xdr:colOff>575310</xdr:colOff>
      <xdr:row>5</xdr:row>
      <xdr:rowOff>0</xdr:rowOff>
    </xdr:from>
    <xdr:to>
      <xdr:col>7</xdr:col>
      <xdr:colOff>800921</xdr:colOff>
      <xdr:row>5</xdr:row>
      <xdr:rowOff>0</xdr:rowOff>
    </xdr:to>
    <xdr:sp macro="" textlink="">
      <xdr:nvSpPr>
        <xdr:cNvPr id="218165" name="Text Box 53">
          <a:extLst>
            <a:ext uri="{FF2B5EF4-FFF2-40B4-BE49-F238E27FC236}">
              <a16:creationId xmlns:a16="http://schemas.microsoft.com/office/drawing/2014/main" id="{17F0D24E-13AA-CA06-D5A1-8ADFEFB79F66}"/>
            </a:ext>
          </a:extLst>
        </xdr:cNvPr>
        <xdr:cNvSpPr txBox="1">
          <a:spLocks noChangeArrowheads="1"/>
        </xdr:cNvSpPr>
      </xdr:nvSpPr>
      <xdr:spPr bwMode="auto">
        <a:xfrm>
          <a:off x="5724525" y="847725"/>
          <a:ext cx="180975" cy="0"/>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h</a:t>
          </a:r>
          <a:r>
            <a:rPr lang="en-US" sz="800" b="0" i="0" strike="noStrike">
              <a:solidFill>
                <a:srgbClr val="0000FF"/>
              </a:solidFill>
              <a:latin typeface="Arial"/>
              <a:cs typeface="Arial"/>
            </a:rPr>
            <a:t>e</a:t>
          </a:r>
        </a:p>
      </xdr:txBody>
    </xdr:sp>
    <xdr:clientData/>
  </xdr:twoCellAnchor>
  <xdr:twoCellAnchor>
    <xdr:from>
      <xdr:col>7</xdr:col>
      <xdr:colOff>2198</xdr:colOff>
      <xdr:row>5</xdr:row>
      <xdr:rowOff>0</xdr:rowOff>
    </xdr:from>
    <xdr:to>
      <xdr:col>7</xdr:col>
      <xdr:colOff>147717</xdr:colOff>
      <xdr:row>5</xdr:row>
      <xdr:rowOff>0</xdr:rowOff>
    </xdr:to>
    <xdr:sp macro="" textlink="">
      <xdr:nvSpPr>
        <xdr:cNvPr id="218166" name="Text Box 54">
          <a:extLst>
            <a:ext uri="{FF2B5EF4-FFF2-40B4-BE49-F238E27FC236}">
              <a16:creationId xmlns:a16="http://schemas.microsoft.com/office/drawing/2014/main" id="{B4980CF6-4B04-E265-F0BE-8F4ADBE091E1}"/>
            </a:ext>
          </a:extLst>
        </xdr:cNvPr>
        <xdr:cNvSpPr txBox="1">
          <a:spLocks noChangeArrowheads="1"/>
        </xdr:cNvSpPr>
      </xdr:nvSpPr>
      <xdr:spPr bwMode="auto">
        <a:xfrm>
          <a:off x="5181600" y="847725"/>
          <a:ext cx="190500" cy="0"/>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h</a:t>
          </a:r>
        </a:p>
      </xdr:txBody>
    </xdr:sp>
    <xdr:clientData/>
  </xdr:twoCellAnchor>
  <xdr:twoCellAnchor>
    <xdr:from>
      <xdr:col>6</xdr:col>
      <xdr:colOff>329565</xdr:colOff>
      <xdr:row>5</xdr:row>
      <xdr:rowOff>0</xdr:rowOff>
    </xdr:from>
    <xdr:to>
      <xdr:col>7</xdr:col>
      <xdr:colOff>831</xdr:colOff>
      <xdr:row>5</xdr:row>
      <xdr:rowOff>0</xdr:rowOff>
    </xdr:to>
    <xdr:sp macro="" textlink="">
      <xdr:nvSpPr>
        <xdr:cNvPr id="218167" name="Text Box 55">
          <a:extLst>
            <a:ext uri="{FF2B5EF4-FFF2-40B4-BE49-F238E27FC236}">
              <a16:creationId xmlns:a16="http://schemas.microsoft.com/office/drawing/2014/main" id="{7BB4883C-D958-6F4A-764D-B3139560CB92}"/>
            </a:ext>
          </a:extLst>
        </xdr:cNvPr>
        <xdr:cNvSpPr txBox="1">
          <a:spLocks noChangeArrowheads="1"/>
        </xdr:cNvSpPr>
      </xdr:nvSpPr>
      <xdr:spPr bwMode="auto">
        <a:xfrm>
          <a:off x="4819650" y="847725"/>
          <a:ext cx="381000" cy="0"/>
        </a:xfrm>
        <a:prstGeom prst="rect">
          <a:avLst/>
        </a:prstGeom>
        <a:noFill/>
        <a:ln w="9525">
          <a:noFill/>
          <a:miter lim="800000"/>
          <a:headEnd/>
          <a:tailEnd/>
        </a:ln>
      </xdr:spPr>
      <xdr:txBody>
        <a:bodyPr vertOverflow="clip" wrap="square" lIns="27432" tIns="22860" rIns="0" bIns="0" anchor="t" upright="1"/>
        <a:lstStyle/>
        <a:p>
          <a:pPr algn="l" rtl="1">
            <a:defRPr sz="1000"/>
          </a:pPr>
          <a:r>
            <a:rPr lang="en-US" sz="1000" b="1" i="0" u="sng" strike="noStrike">
              <a:solidFill>
                <a:srgbClr val="000000"/>
              </a:solidFill>
              <a:latin typeface="Arial"/>
              <a:cs typeface="Arial"/>
            </a:rPr>
            <a:t>Plan</a:t>
          </a:r>
        </a:p>
      </xdr:txBody>
    </xdr:sp>
    <xdr:clientData/>
  </xdr:twoCellAnchor>
  <xdr:twoCellAnchor>
    <xdr:from>
      <xdr:col>6</xdr:col>
      <xdr:colOff>131445</xdr:colOff>
      <xdr:row>5</xdr:row>
      <xdr:rowOff>0</xdr:rowOff>
    </xdr:from>
    <xdr:to>
      <xdr:col>7</xdr:col>
      <xdr:colOff>73630</xdr:colOff>
      <xdr:row>5</xdr:row>
      <xdr:rowOff>0</xdr:rowOff>
    </xdr:to>
    <xdr:sp macro="" textlink="">
      <xdr:nvSpPr>
        <xdr:cNvPr id="218168" name="Text Box 56">
          <a:extLst>
            <a:ext uri="{FF2B5EF4-FFF2-40B4-BE49-F238E27FC236}">
              <a16:creationId xmlns:a16="http://schemas.microsoft.com/office/drawing/2014/main" id="{AFECA30E-9DE7-04CF-99CA-B21CF48E127D}"/>
            </a:ext>
          </a:extLst>
        </xdr:cNvPr>
        <xdr:cNvSpPr txBox="1">
          <a:spLocks noChangeArrowheads="1"/>
        </xdr:cNvSpPr>
      </xdr:nvSpPr>
      <xdr:spPr bwMode="auto">
        <a:xfrm>
          <a:off x="4676775" y="847725"/>
          <a:ext cx="619125" cy="0"/>
        </a:xfrm>
        <a:prstGeom prst="rect">
          <a:avLst/>
        </a:prstGeom>
        <a:noFill/>
        <a:ln w="9525">
          <a:noFill/>
          <a:miter lim="800000"/>
          <a:headEnd/>
          <a:tailEnd/>
        </a:ln>
      </xdr:spPr>
      <xdr:txBody>
        <a:bodyPr vertOverflow="clip" wrap="square" lIns="27432" tIns="22860" rIns="0" bIns="0" anchor="t" upright="1"/>
        <a:lstStyle/>
        <a:p>
          <a:pPr algn="l" rtl="1">
            <a:defRPr sz="1000"/>
          </a:pPr>
          <a:r>
            <a:rPr lang="en-US" sz="1000" b="1" i="0" u="sng" strike="noStrike">
              <a:solidFill>
                <a:srgbClr val="000000"/>
              </a:solidFill>
              <a:latin typeface="Arial"/>
              <a:cs typeface="Arial"/>
            </a:rPr>
            <a:t>Elevation</a:t>
          </a:r>
        </a:p>
      </xdr:txBody>
    </xdr:sp>
    <xdr:clientData/>
  </xdr:twoCellAnchor>
  <xdr:twoCellAnchor>
    <xdr:from>
      <xdr:col>6</xdr:col>
      <xdr:colOff>436245</xdr:colOff>
      <xdr:row>5</xdr:row>
      <xdr:rowOff>0</xdr:rowOff>
    </xdr:from>
    <xdr:to>
      <xdr:col>6</xdr:col>
      <xdr:colOff>660328</xdr:colOff>
      <xdr:row>5</xdr:row>
      <xdr:rowOff>0</xdr:rowOff>
    </xdr:to>
    <xdr:sp macro="" textlink="">
      <xdr:nvSpPr>
        <xdr:cNvPr id="218169" name="Text Box 57">
          <a:extLst>
            <a:ext uri="{FF2B5EF4-FFF2-40B4-BE49-F238E27FC236}">
              <a16:creationId xmlns:a16="http://schemas.microsoft.com/office/drawing/2014/main" id="{5345D975-322A-586B-E89B-E0EE87DC9A85}"/>
            </a:ext>
          </a:extLst>
        </xdr:cNvPr>
        <xdr:cNvSpPr txBox="1">
          <a:spLocks noChangeArrowheads="1"/>
        </xdr:cNvSpPr>
      </xdr:nvSpPr>
      <xdr:spPr bwMode="auto">
        <a:xfrm>
          <a:off x="4924425" y="847725"/>
          <a:ext cx="152400" cy="0"/>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L</a:t>
          </a:r>
        </a:p>
      </xdr:txBody>
    </xdr:sp>
    <xdr:clientData/>
  </xdr:twoCellAnchor>
  <xdr:twoCellAnchor>
    <xdr:from>
      <xdr:col>4</xdr:col>
      <xdr:colOff>525533</xdr:colOff>
      <xdr:row>3</xdr:row>
      <xdr:rowOff>78270</xdr:rowOff>
    </xdr:from>
    <xdr:to>
      <xdr:col>7</xdr:col>
      <xdr:colOff>570673</xdr:colOff>
      <xdr:row>22</xdr:row>
      <xdr:rowOff>45968</xdr:rowOff>
    </xdr:to>
    <xdr:grpSp>
      <xdr:nvGrpSpPr>
        <xdr:cNvPr id="747101" name="Group 74">
          <a:extLst>
            <a:ext uri="{FF2B5EF4-FFF2-40B4-BE49-F238E27FC236}">
              <a16:creationId xmlns:a16="http://schemas.microsoft.com/office/drawing/2014/main" id="{3510D7E6-7CCE-9A2B-13E8-547F6B9892D0}"/>
            </a:ext>
          </a:extLst>
        </xdr:cNvPr>
        <xdr:cNvGrpSpPr>
          <a:grpSpLocks/>
        </xdr:cNvGrpSpPr>
      </xdr:nvGrpSpPr>
      <xdr:grpSpPr bwMode="auto">
        <a:xfrm>
          <a:off x="4035129" y="598482"/>
          <a:ext cx="1701025" cy="3030351"/>
          <a:chOff x="4109002" y="1131818"/>
          <a:chExt cx="1882223" cy="2934115"/>
        </a:xfrm>
      </xdr:grpSpPr>
      <xdr:sp macro="" textlink="">
        <xdr:nvSpPr>
          <xdr:cNvPr id="218216" name="Text Box 104">
            <a:extLst>
              <a:ext uri="{FF2B5EF4-FFF2-40B4-BE49-F238E27FC236}">
                <a16:creationId xmlns:a16="http://schemas.microsoft.com/office/drawing/2014/main" id="{09BCCCA7-C0EE-A605-BB97-FFB7CA530AAD}"/>
              </a:ext>
            </a:extLst>
          </xdr:cNvPr>
          <xdr:cNvSpPr txBox="1">
            <a:spLocks noChangeArrowheads="1"/>
          </xdr:cNvSpPr>
        </xdr:nvSpPr>
        <xdr:spPr bwMode="auto">
          <a:xfrm>
            <a:off x="4760894" y="3860750"/>
            <a:ext cx="615166" cy="205183"/>
          </a:xfrm>
          <a:prstGeom prst="rect">
            <a:avLst/>
          </a:prstGeom>
          <a:noFill/>
          <a:ln w="9525">
            <a:noFill/>
            <a:miter lim="800000"/>
            <a:headEnd/>
            <a:tailEnd/>
          </a:ln>
        </xdr:spPr>
        <xdr:txBody>
          <a:bodyPr vertOverflow="clip" wrap="square" lIns="27432" tIns="22860" rIns="0" bIns="0" anchor="t" upright="1"/>
          <a:lstStyle/>
          <a:p>
            <a:pPr algn="l" rtl="1">
              <a:defRPr sz="1000"/>
            </a:pPr>
            <a:r>
              <a:rPr lang="en-US" sz="1000" b="1" i="0" u="sng" strike="noStrike">
                <a:solidFill>
                  <a:srgbClr val="000000"/>
                </a:solidFill>
                <a:latin typeface="Arial"/>
                <a:cs typeface="Arial"/>
              </a:rPr>
              <a:t>Elevation</a:t>
            </a:r>
          </a:p>
        </xdr:txBody>
      </xdr:sp>
      <xdr:grpSp>
        <xdr:nvGrpSpPr>
          <xdr:cNvPr id="747103" name="Group 73">
            <a:extLst>
              <a:ext uri="{FF2B5EF4-FFF2-40B4-BE49-F238E27FC236}">
                <a16:creationId xmlns:a16="http://schemas.microsoft.com/office/drawing/2014/main" id="{88980D16-94F8-E624-75D1-BE44FD0E2286}"/>
              </a:ext>
            </a:extLst>
          </xdr:cNvPr>
          <xdr:cNvGrpSpPr>
            <a:grpSpLocks/>
          </xdr:cNvGrpSpPr>
        </xdr:nvGrpSpPr>
        <xdr:grpSpPr bwMode="auto">
          <a:xfrm>
            <a:off x="4109002" y="1131818"/>
            <a:ext cx="1882223" cy="2777987"/>
            <a:chOff x="4109002" y="1131818"/>
            <a:chExt cx="1882223" cy="2777987"/>
          </a:xfrm>
        </xdr:grpSpPr>
        <xdr:sp macro="" textlink="">
          <xdr:nvSpPr>
            <xdr:cNvPr id="747104" name="Line 84">
              <a:extLst>
                <a:ext uri="{FF2B5EF4-FFF2-40B4-BE49-F238E27FC236}">
                  <a16:creationId xmlns:a16="http://schemas.microsoft.com/office/drawing/2014/main" id="{25504EF4-4302-4FD2-FD80-7FCE9771B7E1}"/>
                </a:ext>
              </a:extLst>
            </xdr:cNvPr>
            <xdr:cNvSpPr>
              <a:spLocks noChangeShapeType="1"/>
            </xdr:cNvSpPr>
          </xdr:nvSpPr>
          <xdr:spPr bwMode="auto">
            <a:xfrm>
              <a:off x="5686425" y="3607076"/>
              <a:ext cx="25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nvGrpSpPr>
            <xdr:cNvPr id="747105" name="Group 72">
              <a:extLst>
                <a:ext uri="{FF2B5EF4-FFF2-40B4-BE49-F238E27FC236}">
                  <a16:creationId xmlns:a16="http://schemas.microsoft.com/office/drawing/2014/main" id="{C61D1144-6C7F-754A-603C-169BA7AA9AB9}"/>
                </a:ext>
              </a:extLst>
            </xdr:cNvPr>
            <xdr:cNvGrpSpPr>
              <a:grpSpLocks/>
            </xdr:cNvGrpSpPr>
          </xdr:nvGrpSpPr>
          <xdr:grpSpPr bwMode="auto">
            <a:xfrm>
              <a:off x="4109002" y="1131818"/>
              <a:ext cx="1882223" cy="2777987"/>
              <a:chOff x="4109002" y="1131818"/>
              <a:chExt cx="1882223" cy="2777987"/>
            </a:xfrm>
          </xdr:grpSpPr>
          <xdr:sp macro="" textlink="">
            <xdr:nvSpPr>
              <xdr:cNvPr id="747106" name="Line 74">
                <a:extLst>
                  <a:ext uri="{FF2B5EF4-FFF2-40B4-BE49-F238E27FC236}">
                    <a16:creationId xmlns:a16="http://schemas.microsoft.com/office/drawing/2014/main" id="{522EF7EB-95D3-19A5-AA48-F83F4E0AA168}"/>
                  </a:ext>
                </a:extLst>
              </xdr:cNvPr>
              <xdr:cNvSpPr>
                <a:spLocks noChangeShapeType="1"/>
              </xdr:cNvSpPr>
            </xdr:nvSpPr>
            <xdr:spPr bwMode="auto">
              <a:xfrm flipV="1">
                <a:off x="5657850" y="3190047"/>
                <a:ext cx="0" cy="41702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747107" name="Line 76">
                <a:extLst>
                  <a:ext uri="{FF2B5EF4-FFF2-40B4-BE49-F238E27FC236}">
                    <a16:creationId xmlns:a16="http://schemas.microsoft.com/office/drawing/2014/main" id="{A96927FC-5B7D-B564-8A7B-CEA6C73289C6}"/>
                  </a:ext>
                </a:extLst>
              </xdr:cNvPr>
              <xdr:cNvSpPr>
                <a:spLocks noChangeShapeType="1"/>
              </xdr:cNvSpPr>
            </xdr:nvSpPr>
            <xdr:spPr bwMode="auto">
              <a:xfrm>
                <a:off x="5073926" y="2835965"/>
                <a:ext cx="583924" cy="35408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nvGrpSpPr>
              <xdr:cNvPr id="747108" name="Group 71">
                <a:extLst>
                  <a:ext uri="{FF2B5EF4-FFF2-40B4-BE49-F238E27FC236}">
                    <a16:creationId xmlns:a16="http://schemas.microsoft.com/office/drawing/2014/main" id="{D9C52150-1F80-CA7F-CA2D-A4FA2F323EC5}"/>
                  </a:ext>
                </a:extLst>
              </xdr:cNvPr>
              <xdr:cNvGrpSpPr>
                <a:grpSpLocks/>
              </xdr:cNvGrpSpPr>
            </xdr:nvGrpSpPr>
            <xdr:grpSpPr bwMode="auto">
              <a:xfrm>
                <a:off x="4109002" y="1131818"/>
                <a:ext cx="1882223" cy="2777987"/>
                <a:chOff x="4109002" y="1131818"/>
                <a:chExt cx="1882223" cy="2777987"/>
              </a:xfrm>
            </xdr:grpSpPr>
            <xdr:sp macro="" textlink="">
              <xdr:nvSpPr>
                <xdr:cNvPr id="747109" name="Line 79">
                  <a:extLst>
                    <a:ext uri="{FF2B5EF4-FFF2-40B4-BE49-F238E27FC236}">
                      <a16:creationId xmlns:a16="http://schemas.microsoft.com/office/drawing/2014/main" id="{56C38BEC-B5CF-CF61-B8C0-CD8806BDCF52}"/>
                    </a:ext>
                  </a:extLst>
                </xdr:cNvPr>
                <xdr:cNvSpPr>
                  <a:spLocks noChangeShapeType="1"/>
                </xdr:cNvSpPr>
              </xdr:nvSpPr>
              <xdr:spPr bwMode="auto">
                <a:xfrm>
                  <a:off x="4490002" y="2173357"/>
                  <a:ext cx="0" cy="2741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747110" name="Line 80">
                  <a:extLst>
                    <a:ext uri="{FF2B5EF4-FFF2-40B4-BE49-F238E27FC236}">
                      <a16:creationId xmlns:a16="http://schemas.microsoft.com/office/drawing/2014/main" id="{805B47E8-56CB-8125-A36A-D14BCCFCB266}"/>
                    </a:ext>
                  </a:extLst>
                </xdr:cNvPr>
                <xdr:cNvSpPr>
                  <a:spLocks noChangeShapeType="1"/>
                </xdr:cNvSpPr>
              </xdr:nvSpPr>
              <xdr:spPr bwMode="auto">
                <a:xfrm>
                  <a:off x="5657850" y="2173357"/>
                  <a:ext cx="0" cy="2741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nvGrpSpPr>
                <xdr:cNvPr id="747111" name="Group 70">
                  <a:extLst>
                    <a:ext uri="{FF2B5EF4-FFF2-40B4-BE49-F238E27FC236}">
                      <a16:creationId xmlns:a16="http://schemas.microsoft.com/office/drawing/2014/main" id="{2BA11AD8-D4B6-7008-DD38-BB1D9EEFD9DE}"/>
                    </a:ext>
                  </a:extLst>
                </xdr:cNvPr>
                <xdr:cNvGrpSpPr>
                  <a:grpSpLocks/>
                </xdr:cNvGrpSpPr>
              </xdr:nvGrpSpPr>
              <xdr:grpSpPr bwMode="auto">
                <a:xfrm>
                  <a:off x="4109002" y="1131818"/>
                  <a:ext cx="1882223" cy="2777987"/>
                  <a:chOff x="4109002" y="1131818"/>
                  <a:chExt cx="1882223" cy="2777987"/>
                </a:xfrm>
              </xdr:grpSpPr>
              <xdr:sp macro="" textlink="">
                <xdr:nvSpPr>
                  <xdr:cNvPr id="747112" name="Rectangle 71">
                    <a:extLst>
                      <a:ext uri="{FF2B5EF4-FFF2-40B4-BE49-F238E27FC236}">
                        <a16:creationId xmlns:a16="http://schemas.microsoft.com/office/drawing/2014/main" id="{F0BBBDE4-2ED6-9053-818E-E90B18BF7298}"/>
                      </a:ext>
                    </a:extLst>
                  </xdr:cNvPr>
                  <xdr:cNvSpPr>
                    <a:spLocks noChangeArrowheads="1"/>
                  </xdr:cNvSpPr>
                </xdr:nvSpPr>
                <xdr:spPr bwMode="auto">
                  <a:xfrm>
                    <a:off x="4490002" y="1131818"/>
                    <a:ext cx="1167848" cy="1003439"/>
                  </a:xfrm>
                  <a:prstGeom prst="rect">
                    <a:avLst/>
                  </a:prstGeom>
                  <a:solidFill>
                    <a:srgbClr val="FFFFFF"/>
                  </a:solidFill>
                  <a:ln w="9525">
                    <a:solidFill>
                      <a:srgbClr val="000000"/>
                    </a:solidFill>
                    <a:miter lim="800000"/>
                    <a:headEnd/>
                    <a:tailEnd/>
                  </a:ln>
                </xdr:spPr>
              </xdr:sp>
              <xdr:sp macro="" textlink="">
                <xdr:nvSpPr>
                  <xdr:cNvPr id="747113" name="Line 73">
                    <a:extLst>
                      <a:ext uri="{FF2B5EF4-FFF2-40B4-BE49-F238E27FC236}">
                        <a16:creationId xmlns:a16="http://schemas.microsoft.com/office/drawing/2014/main" id="{509E6DAA-9559-AA03-708B-1AE7ECB958B4}"/>
                      </a:ext>
                    </a:extLst>
                  </xdr:cNvPr>
                  <xdr:cNvSpPr>
                    <a:spLocks noChangeShapeType="1"/>
                  </xdr:cNvSpPr>
                </xdr:nvSpPr>
                <xdr:spPr bwMode="auto">
                  <a:xfrm flipV="1">
                    <a:off x="4490002" y="3190047"/>
                    <a:ext cx="0" cy="417029"/>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747114" name="Line 75">
                    <a:extLst>
                      <a:ext uri="{FF2B5EF4-FFF2-40B4-BE49-F238E27FC236}">
                        <a16:creationId xmlns:a16="http://schemas.microsoft.com/office/drawing/2014/main" id="{6DD0BEE4-2C8E-664D-7AC6-83EC45B44125}"/>
                      </a:ext>
                    </a:extLst>
                  </xdr:cNvPr>
                  <xdr:cNvSpPr>
                    <a:spLocks noChangeShapeType="1"/>
                  </xdr:cNvSpPr>
                </xdr:nvSpPr>
                <xdr:spPr bwMode="auto">
                  <a:xfrm flipV="1">
                    <a:off x="4490002" y="2835965"/>
                    <a:ext cx="583924" cy="35408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747115" name="Line 77">
                    <a:extLst>
                      <a:ext uri="{FF2B5EF4-FFF2-40B4-BE49-F238E27FC236}">
                        <a16:creationId xmlns:a16="http://schemas.microsoft.com/office/drawing/2014/main" id="{B490ACE5-5434-0E6D-C50F-DAC4BF147848}"/>
                      </a:ext>
                    </a:extLst>
                  </xdr:cNvPr>
                  <xdr:cNvSpPr>
                    <a:spLocks noChangeShapeType="1"/>
                  </xdr:cNvSpPr>
                </xdr:nvSpPr>
                <xdr:spPr bwMode="auto">
                  <a:xfrm>
                    <a:off x="4490002" y="3607076"/>
                    <a:ext cx="116784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747116" name="Line 78">
                    <a:extLst>
                      <a:ext uri="{FF2B5EF4-FFF2-40B4-BE49-F238E27FC236}">
                        <a16:creationId xmlns:a16="http://schemas.microsoft.com/office/drawing/2014/main" id="{020398F9-10A1-9968-C469-E819319A53ED}"/>
                      </a:ext>
                    </a:extLst>
                  </xdr:cNvPr>
                  <xdr:cNvSpPr>
                    <a:spLocks noChangeShapeType="1"/>
                  </xdr:cNvSpPr>
                </xdr:nvSpPr>
                <xdr:spPr bwMode="auto">
                  <a:xfrm>
                    <a:off x="4490002" y="2390361"/>
                    <a:ext cx="1167848"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sp macro="" textlink="">
                <xdr:nvSpPr>
                  <xdr:cNvPr id="747117" name="Line 81">
                    <a:extLst>
                      <a:ext uri="{FF2B5EF4-FFF2-40B4-BE49-F238E27FC236}">
                        <a16:creationId xmlns:a16="http://schemas.microsoft.com/office/drawing/2014/main" id="{7BB1F408-40EE-F178-7C73-B8147DB6A1FD}"/>
                      </a:ext>
                    </a:extLst>
                  </xdr:cNvPr>
                  <xdr:cNvSpPr>
                    <a:spLocks noChangeShapeType="1"/>
                  </xdr:cNvSpPr>
                </xdr:nvSpPr>
                <xdr:spPr bwMode="auto">
                  <a:xfrm>
                    <a:off x="4490002" y="3635651"/>
                    <a:ext cx="0" cy="2741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747118" name="Line 82">
                    <a:extLst>
                      <a:ext uri="{FF2B5EF4-FFF2-40B4-BE49-F238E27FC236}">
                        <a16:creationId xmlns:a16="http://schemas.microsoft.com/office/drawing/2014/main" id="{4CAE00E8-7F2F-7698-7DB1-3F12AB212554}"/>
                      </a:ext>
                    </a:extLst>
                  </xdr:cNvPr>
                  <xdr:cNvSpPr>
                    <a:spLocks noChangeShapeType="1"/>
                  </xdr:cNvSpPr>
                </xdr:nvSpPr>
                <xdr:spPr bwMode="auto">
                  <a:xfrm>
                    <a:off x="5657850" y="3635651"/>
                    <a:ext cx="0" cy="274154"/>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747119" name="Line 83">
                    <a:extLst>
                      <a:ext uri="{FF2B5EF4-FFF2-40B4-BE49-F238E27FC236}">
                        <a16:creationId xmlns:a16="http://schemas.microsoft.com/office/drawing/2014/main" id="{B8B80B33-CD3E-BE88-1054-A0E01A53D151}"/>
                      </a:ext>
                    </a:extLst>
                  </xdr:cNvPr>
                  <xdr:cNvSpPr>
                    <a:spLocks noChangeShapeType="1"/>
                  </xdr:cNvSpPr>
                </xdr:nvSpPr>
                <xdr:spPr bwMode="auto">
                  <a:xfrm>
                    <a:off x="4490002" y="3791778"/>
                    <a:ext cx="1167848"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sp macro="" textlink="">
                <xdr:nvSpPr>
                  <xdr:cNvPr id="747120" name="Line 85">
                    <a:extLst>
                      <a:ext uri="{FF2B5EF4-FFF2-40B4-BE49-F238E27FC236}">
                        <a16:creationId xmlns:a16="http://schemas.microsoft.com/office/drawing/2014/main" id="{E666B804-C3ED-B296-9175-F8EAE0DF0A3B}"/>
                      </a:ext>
                    </a:extLst>
                  </xdr:cNvPr>
                  <xdr:cNvSpPr>
                    <a:spLocks noChangeShapeType="1"/>
                  </xdr:cNvSpPr>
                </xdr:nvSpPr>
                <xdr:spPr bwMode="auto">
                  <a:xfrm>
                    <a:off x="5695950" y="3190047"/>
                    <a:ext cx="25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747121" name="Line 86">
                    <a:extLst>
                      <a:ext uri="{FF2B5EF4-FFF2-40B4-BE49-F238E27FC236}">
                        <a16:creationId xmlns:a16="http://schemas.microsoft.com/office/drawing/2014/main" id="{E4EA6B18-AD7D-DC27-7E0D-A1A32EC29F8D}"/>
                      </a:ext>
                    </a:extLst>
                  </xdr:cNvPr>
                  <xdr:cNvSpPr>
                    <a:spLocks noChangeShapeType="1"/>
                  </xdr:cNvSpPr>
                </xdr:nvSpPr>
                <xdr:spPr bwMode="auto">
                  <a:xfrm>
                    <a:off x="4128052" y="2826440"/>
                    <a:ext cx="888724"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747122" name="Line 87">
                    <a:extLst>
                      <a:ext uri="{FF2B5EF4-FFF2-40B4-BE49-F238E27FC236}">
                        <a16:creationId xmlns:a16="http://schemas.microsoft.com/office/drawing/2014/main" id="{C08D1FF5-3C62-94B9-F7FC-B4B41A575F51}"/>
                      </a:ext>
                    </a:extLst>
                  </xdr:cNvPr>
                  <xdr:cNvSpPr>
                    <a:spLocks noChangeShapeType="1"/>
                  </xdr:cNvSpPr>
                </xdr:nvSpPr>
                <xdr:spPr bwMode="auto">
                  <a:xfrm flipH="1">
                    <a:off x="4109002" y="3607076"/>
                    <a:ext cx="342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747123" name="Line 88">
                    <a:extLst>
                      <a:ext uri="{FF2B5EF4-FFF2-40B4-BE49-F238E27FC236}">
                        <a16:creationId xmlns:a16="http://schemas.microsoft.com/office/drawing/2014/main" id="{AFD2808F-51AC-0E7D-AEC0-6ACF3727C30B}"/>
                      </a:ext>
                    </a:extLst>
                  </xdr:cNvPr>
                  <xdr:cNvSpPr>
                    <a:spLocks noChangeShapeType="1"/>
                  </xdr:cNvSpPr>
                </xdr:nvSpPr>
                <xdr:spPr bwMode="auto">
                  <a:xfrm>
                    <a:off x="5810250" y="3190047"/>
                    <a:ext cx="0" cy="417029"/>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sp macro="" textlink="">
                <xdr:nvSpPr>
                  <xdr:cNvPr id="747124" name="Line 89">
                    <a:extLst>
                      <a:ext uri="{FF2B5EF4-FFF2-40B4-BE49-F238E27FC236}">
                        <a16:creationId xmlns:a16="http://schemas.microsoft.com/office/drawing/2014/main" id="{F1D534DA-94EB-88B7-3ABC-A1E622892B84}"/>
                      </a:ext>
                    </a:extLst>
                  </xdr:cNvPr>
                  <xdr:cNvSpPr>
                    <a:spLocks noChangeShapeType="1"/>
                  </xdr:cNvSpPr>
                </xdr:nvSpPr>
                <xdr:spPr bwMode="auto">
                  <a:xfrm>
                    <a:off x="4270927" y="2826440"/>
                    <a:ext cx="0" cy="780636"/>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sp macro="" textlink="">
                <xdr:nvSpPr>
                  <xdr:cNvPr id="747125" name="Line 90">
                    <a:extLst>
                      <a:ext uri="{FF2B5EF4-FFF2-40B4-BE49-F238E27FC236}">
                        <a16:creationId xmlns:a16="http://schemas.microsoft.com/office/drawing/2014/main" id="{58187383-A5B9-215A-0350-5BEECB01624C}"/>
                      </a:ext>
                    </a:extLst>
                  </xdr:cNvPr>
                  <xdr:cNvSpPr>
                    <a:spLocks noChangeShapeType="1"/>
                  </xdr:cNvSpPr>
                </xdr:nvSpPr>
                <xdr:spPr bwMode="auto">
                  <a:xfrm>
                    <a:off x="5695950" y="2135257"/>
                    <a:ext cx="25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747126" name="Line 91">
                    <a:extLst>
                      <a:ext uri="{FF2B5EF4-FFF2-40B4-BE49-F238E27FC236}">
                        <a16:creationId xmlns:a16="http://schemas.microsoft.com/office/drawing/2014/main" id="{6B307166-1A6B-B5D8-D622-F918B3687DDA}"/>
                      </a:ext>
                    </a:extLst>
                  </xdr:cNvPr>
                  <xdr:cNvSpPr>
                    <a:spLocks noChangeShapeType="1"/>
                  </xdr:cNvSpPr>
                </xdr:nvSpPr>
                <xdr:spPr bwMode="auto">
                  <a:xfrm>
                    <a:off x="5695950" y="1131818"/>
                    <a:ext cx="2571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747127" name="Line 92">
                    <a:extLst>
                      <a:ext uri="{FF2B5EF4-FFF2-40B4-BE49-F238E27FC236}">
                        <a16:creationId xmlns:a16="http://schemas.microsoft.com/office/drawing/2014/main" id="{01D503CA-3F02-2E32-9776-5F8E7F8421E1}"/>
                      </a:ext>
                    </a:extLst>
                  </xdr:cNvPr>
                  <xdr:cNvSpPr>
                    <a:spLocks noChangeShapeType="1"/>
                  </xdr:cNvSpPr>
                </xdr:nvSpPr>
                <xdr:spPr bwMode="auto">
                  <a:xfrm>
                    <a:off x="5800725" y="1131818"/>
                    <a:ext cx="0" cy="1003439"/>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sp macro="" textlink="">
                <xdr:nvSpPr>
                  <xdr:cNvPr id="747128" name="Line 93">
                    <a:extLst>
                      <a:ext uri="{FF2B5EF4-FFF2-40B4-BE49-F238E27FC236}">
                        <a16:creationId xmlns:a16="http://schemas.microsoft.com/office/drawing/2014/main" id="{4173A066-63C0-9B3B-2598-D126E08C1891}"/>
                      </a:ext>
                    </a:extLst>
                  </xdr:cNvPr>
                  <xdr:cNvSpPr>
                    <a:spLocks noChangeShapeType="1"/>
                  </xdr:cNvSpPr>
                </xdr:nvSpPr>
                <xdr:spPr bwMode="auto">
                  <a:xfrm>
                    <a:off x="4537627" y="3190047"/>
                    <a:ext cx="47914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747129" name="Arc 94">
                    <a:extLst>
                      <a:ext uri="{FF2B5EF4-FFF2-40B4-BE49-F238E27FC236}">
                        <a16:creationId xmlns:a16="http://schemas.microsoft.com/office/drawing/2014/main" id="{8ADC7B45-B49A-8A60-F068-A4603D91CAFF}"/>
                      </a:ext>
                    </a:extLst>
                  </xdr:cNvPr>
                  <xdr:cNvSpPr>
                    <a:spLocks/>
                  </xdr:cNvSpPr>
                </xdr:nvSpPr>
                <xdr:spPr bwMode="auto">
                  <a:xfrm>
                    <a:off x="4769126" y="3024395"/>
                    <a:ext cx="104775" cy="308527"/>
                  </a:xfrm>
                  <a:custGeom>
                    <a:avLst/>
                    <a:gdLst>
                      <a:gd name="T0" fmla="*/ 0 w 21041"/>
                      <a:gd name="T1" fmla="*/ 2147483646 h 21600"/>
                      <a:gd name="T2" fmla="*/ 2147483646 w 21041"/>
                      <a:gd name="T3" fmla="*/ 2147483646 h 21600"/>
                      <a:gd name="T4" fmla="*/ 2147483646 w 21041"/>
                      <a:gd name="T5" fmla="*/ 2147483646 h 21600"/>
                      <a:gd name="T6" fmla="*/ 0 60000 65536"/>
                      <a:gd name="T7" fmla="*/ 0 60000 65536"/>
                      <a:gd name="T8" fmla="*/ 0 60000 65536"/>
                      <a:gd name="T9" fmla="*/ 0 w 21041"/>
                      <a:gd name="T10" fmla="*/ 0 h 21600"/>
                      <a:gd name="T11" fmla="*/ 21041 w 21041"/>
                      <a:gd name="T12" fmla="*/ 21600 h 21600"/>
                    </a:gdLst>
                    <a:ahLst/>
                    <a:cxnLst>
                      <a:cxn ang="T6">
                        <a:pos x="T0" y="T1"/>
                      </a:cxn>
                      <a:cxn ang="T7">
                        <a:pos x="T2" y="T3"/>
                      </a:cxn>
                      <a:cxn ang="T8">
                        <a:pos x="T4" y="T5"/>
                      </a:cxn>
                    </a:cxnLst>
                    <a:rect l="T9" t="T10" r="T11" b="T12"/>
                    <a:pathLst>
                      <a:path w="21041" h="21600" fill="none" extrusionOk="0">
                        <a:moveTo>
                          <a:pt x="-1" y="84"/>
                        </a:moveTo>
                        <a:cubicBezTo>
                          <a:pt x="635" y="28"/>
                          <a:pt x="1273" y="-1"/>
                          <a:pt x="1912" y="0"/>
                        </a:cubicBezTo>
                        <a:cubicBezTo>
                          <a:pt x="9943" y="0"/>
                          <a:pt x="17311" y="4455"/>
                          <a:pt x="21041" y="11567"/>
                        </a:cubicBezTo>
                      </a:path>
                      <a:path w="21041" h="21600" stroke="0" extrusionOk="0">
                        <a:moveTo>
                          <a:pt x="-1" y="84"/>
                        </a:moveTo>
                        <a:cubicBezTo>
                          <a:pt x="635" y="28"/>
                          <a:pt x="1273" y="-1"/>
                          <a:pt x="1912" y="0"/>
                        </a:cubicBezTo>
                        <a:cubicBezTo>
                          <a:pt x="9943" y="0"/>
                          <a:pt x="17311" y="4455"/>
                          <a:pt x="21041" y="11567"/>
                        </a:cubicBezTo>
                        <a:lnTo>
                          <a:pt x="1912" y="21600"/>
                        </a:lnTo>
                        <a:lnTo>
                          <a:pt x="-1" y="84"/>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218207" name="Text Box 95">
                    <a:extLst>
                      <a:ext uri="{FF2B5EF4-FFF2-40B4-BE49-F238E27FC236}">
                        <a16:creationId xmlns:a16="http://schemas.microsoft.com/office/drawing/2014/main" id="{3E14D0F4-291D-4C1F-2065-04A391DBDA96}"/>
                      </a:ext>
                    </a:extLst>
                  </xdr:cNvPr>
                  <xdr:cNvSpPr txBox="1">
                    <a:spLocks noChangeArrowheads="1"/>
                  </xdr:cNvSpPr>
                </xdr:nvSpPr>
                <xdr:spPr bwMode="auto">
                  <a:xfrm>
                    <a:off x="4852710" y="2978463"/>
                    <a:ext cx="229539" cy="164146"/>
                  </a:xfrm>
                  <a:prstGeom prst="rect">
                    <a:avLst/>
                  </a:prstGeom>
                  <a:noFill/>
                  <a:ln w="9525">
                    <a:noFill/>
                    <a:miter lim="800000"/>
                    <a:headEnd/>
                    <a:tailEnd/>
                  </a:ln>
                </xdr:spPr>
                <xdr:txBody>
                  <a:bodyPr vertOverflow="clip" wrap="square" lIns="27432" tIns="22860" rIns="0" bIns="0" anchor="t" upright="1"/>
                  <a:lstStyle/>
                  <a:p>
                    <a:pPr algn="l" rtl="1">
                      <a:defRPr sz="1000"/>
                    </a:pPr>
                    <a:r>
                      <a:rPr lang="en-US" sz="1000" b="0" i="0" strike="noStrike">
                        <a:solidFill>
                          <a:srgbClr val="0000FF"/>
                        </a:solidFill>
                        <a:latin typeface="Symbol"/>
                      </a:rPr>
                      <a:t>q </a:t>
                    </a:r>
                    <a:r>
                      <a:rPr lang="en-US" sz="800" b="0" i="0" strike="noStrike" baseline="30000">
                        <a:solidFill>
                          <a:srgbClr val="0000FF"/>
                        </a:solidFill>
                        <a:latin typeface="Arial"/>
                        <a:cs typeface="Arial"/>
                      </a:rPr>
                      <a:t>o</a:t>
                    </a:r>
                  </a:p>
                </xdr:txBody>
              </xdr:sp>
              <xdr:sp macro="" textlink="">
                <xdr:nvSpPr>
                  <xdr:cNvPr id="747131" name="Line 96">
                    <a:extLst>
                      <a:ext uri="{FF2B5EF4-FFF2-40B4-BE49-F238E27FC236}">
                        <a16:creationId xmlns:a16="http://schemas.microsoft.com/office/drawing/2014/main" id="{0A6A4432-2881-7A5E-345B-93F5D5913B8C}"/>
                      </a:ext>
                    </a:extLst>
                  </xdr:cNvPr>
                  <xdr:cNvSpPr>
                    <a:spLocks noChangeShapeType="1"/>
                  </xdr:cNvSpPr>
                </xdr:nvSpPr>
                <xdr:spPr bwMode="auto">
                  <a:xfrm>
                    <a:off x="5054876" y="3001617"/>
                    <a:ext cx="469624"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747132" name="Line 97">
                    <a:extLst>
                      <a:ext uri="{FF2B5EF4-FFF2-40B4-BE49-F238E27FC236}">
                        <a16:creationId xmlns:a16="http://schemas.microsoft.com/office/drawing/2014/main" id="{232D2F5E-98D9-FE52-9AC2-DC3402DEB418}"/>
                      </a:ext>
                    </a:extLst>
                  </xdr:cNvPr>
                  <xdr:cNvSpPr>
                    <a:spLocks noChangeShapeType="1"/>
                  </xdr:cNvSpPr>
                </xdr:nvSpPr>
                <xdr:spPr bwMode="auto">
                  <a:xfrm>
                    <a:off x="5264426" y="3001617"/>
                    <a:ext cx="0" cy="605459"/>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sp macro="" textlink="">
                <xdr:nvSpPr>
                  <xdr:cNvPr id="218210" name="Text Box 98">
                    <a:extLst>
                      <a:ext uri="{FF2B5EF4-FFF2-40B4-BE49-F238E27FC236}">
                        <a16:creationId xmlns:a16="http://schemas.microsoft.com/office/drawing/2014/main" id="{14551779-1108-51A0-0A11-DDA7CB9656C9}"/>
                      </a:ext>
                    </a:extLst>
                  </xdr:cNvPr>
                  <xdr:cNvSpPr txBox="1">
                    <a:spLocks noChangeArrowheads="1"/>
                  </xdr:cNvSpPr>
                </xdr:nvSpPr>
                <xdr:spPr bwMode="auto">
                  <a:xfrm>
                    <a:off x="5008796" y="2239805"/>
                    <a:ext cx="156087" cy="153887"/>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L</a:t>
                    </a:r>
                  </a:p>
                </xdr:txBody>
              </xdr:sp>
              <xdr:sp macro="" textlink="">
                <xdr:nvSpPr>
                  <xdr:cNvPr id="218211" name="Text Box 99">
                    <a:extLst>
                      <a:ext uri="{FF2B5EF4-FFF2-40B4-BE49-F238E27FC236}">
                        <a16:creationId xmlns:a16="http://schemas.microsoft.com/office/drawing/2014/main" id="{FFF2A8E4-DE4A-AB6C-C9CC-59DA7A89F1C8}"/>
                      </a:ext>
                    </a:extLst>
                  </xdr:cNvPr>
                  <xdr:cNvSpPr txBox="1">
                    <a:spLocks noChangeArrowheads="1"/>
                  </xdr:cNvSpPr>
                </xdr:nvSpPr>
                <xdr:spPr bwMode="auto">
                  <a:xfrm>
                    <a:off x="5798412" y="1460111"/>
                    <a:ext cx="183632" cy="174405"/>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B</a:t>
                    </a:r>
                  </a:p>
                </xdr:txBody>
              </xdr:sp>
              <xdr:sp macro="" textlink="">
                <xdr:nvSpPr>
                  <xdr:cNvPr id="218212" name="Text Box 100">
                    <a:extLst>
                      <a:ext uri="{FF2B5EF4-FFF2-40B4-BE49-F238E27FC236}">
                        <a16:creationId xmlns:a16="http://schemas.microsoft.com/office/drawing/2014/main" id="{5C8EBE85-A8BE-5069-1218-9DDE86D0807D}"/>
                      </a:ext>
                    </a:extLst>
                  </xdr:cNvPr>
                  <xdr:cNvSpPr txBox="1">
                    <a:spLocks noChangeArrowheads="1"/>
                  </xdr:cNvSpPr>
                </xdr:nvSpPr>
                <xdr:spPr bwMode="auto">
                  <a:xfrm>
                    <a:off x="4118184" y="3111832"/>
                    <a:ext cx="211176" cy="153887"/>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h</a:t>
                    </a:r>
                    <a:r>
                      <a:rPr lang="en-US" sz="800" b="0" i="0" strike="noStrike">
                        <a:solidFill>
                          <a:srgbClr val="0000FF"/>
                        </a:solidFill>
                        <a:latin typeface="Arial"/>
                        <a:cs typeface="Arial"/>
                      </a:rPr>
                      <a:t>r</a:t>
                    </a:r>
                  </a:p>
                </xdr:txBody>
              </xdr:sp>
              <xdr:sp macro="" textlink="">
                <xdr:nvSpPr>
                  <xdr:cNvPr id="218213" name="Text Box 101">
                    <a:extLst>
                      <a:ext uri="{FF2B5EF4-FFF2-40B4-BE49-F238E27FC236}">
                        <a16:creationId xmlns:a16="http://schemas.microsoft.com/office/drawing/2014/main" id="{FB38B42B-2430-DB16-7A96-7CF284D83190}"/>
                      </a:ext>
                    </a:extLst>
                  </xdr:cNvPr>
                  <xdr:cNvSpPr txBox="1">
                    <a:spLocks noChangeArrowheads="1"/>
                  </xdr:cNvSpPr>
                </xdr:nvSpPr>
                <xdr:spPr bwMode="auto">
                  <a:xfrm>
                    <a:off x="5816775" y="3306756"/>
                    <a:ext cx="174450" cy="153887"/>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h</a:t>
                    </a:r>
                    <a:r>
                      <a:rPr lang="en-US" sz="800" b="0" i="0" strike="noStrike">
                        <a:solidFill>
                          <a:srgbClr val="0000FF"/>
                        </a:solidFill>
                        <a:latin typeface="Arial"/>
                        <a:cs typeface="Arial"/>
                      </a:rPr>
                      <a:t>e</a:t>
                    </a:r>
                  </a:p>
                </xdr:txBody>
              </xdr:sp>
              <xdr:sp macro="" textlink="">
                <xdr:nvSpPr>
                  <xdr:cNvPr id="218214" name="Text Box 102">
                    <a:extLst>
                      <a:ext uri="{FF2B5EF4-FFF2-40B4-BE49-F238E27FC236}">
                        <a16:creationId xmlns:a16="http://schemas.microsoft.com/office/drawing/2014/main" id="{D8827B37-E41C-E593-A1E6-F255999B94EC}"/>
                      </a:ext>
                    </a:extLst>
                  </xdr:cNvPr>
                  <xdr:cNvSpPr txBox="1">
                    <a:spLocks noChangeArrowheads="1"/>
                  </xdr:cNvSpPr>
                </xdr:nvSpPr>
                <xdr:spPr bwMode="auto">
                  <a:xfrm>
                    <a:off x="5275062" y="3214424"/>
                    <a:ext cx="183632" cy="174405"/>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h</a:t>
                    </a:r>
                  </a:p>
                </xdr:txBody>
              </xdr:sp>
              <xdr:sp macro="" textlink="">
                <xdr:nvSpPr>
                  <xdr:cNvPr id="218215" name="Text Box 103">
                    <a:extLst>
                      <a:ext uri="{FF2B5EF4-FFF2-40B4-BE49-F238E27FC236}">
                        <a16:creationId xmlns:a16="http://schemas.microsoft.com/office/drawing/2014/main" id="{6279C54A-A194-AC0E-E2B4-BDCBD1BBA950}"/>
                      </a:ext>
                    </a:extLst>
                  </xdr:cNvPr>
                  <xdr:cNvSpPr txBox="1">
                    <a:spLocks noChangeArrowheads="1"/>
                  </xdr:cNvSpPr>
                </xdr:nvSpPr>
                <xdr:spPr bwMode="auto">
                  <a:xfrm>
                    <a:off x="4889436" y="2414211"/>
                    <a:ext cx="394808" cy="205183"/>
                  </a:xfrm>
                  <a:prstGeom prst="rect">
                    <a:avLst/>
                  </a:prstGeom>
                  <a:noFill/>
                  <a:ln w="9525">
                    <a:noFill/>
                    <a:miter lim="800000"/>
                    <a:headEnd/>
                    <a:tailEnd/>
                  </a:ln>
                </xdr:spPr>
                <xdr:txBody>
                  <a:bodyPr vertOverflow="clip" wrap="square" lIns="27432" tIns="22860" rIns="0" bIns="0" anchor="t" upright="1"/>
                  <a:lstStyle/>
                  <a:p>
                    <a:pPr algn="l" rtl="1">
                      <a:defRPr sz="1000"/>
                    </a:pPr>
                    <a:r>
                      <a:rPr lang="en-US" sz="1000" b="1" i="0" u="sng" strike="noStrike">
                        <a:solidFill>
                          <a:srgbClr val="000000"/>
                        </a:solidFill>
                        <a:latin typeface="Arial"/>
                        <a:cs typeface="Arial"/>
                      </a:rPr>
                      <a:t>Plan</a:t>
                    </a:r>
                  </a:p>
                </xdr:txBody>
              </xdr:sp>
              <xdr:sp macro="" textlink="">
                <xdr:nvSpPr>
                  <xdr:cNvPr id="218217" name="Text Box 105">
                    <a:extLst>
                      <a:ext uri="{FF2B5EF4-FFF2-40B4-BE49-F238E27FC236}">
                        <a16:creationId xmlns:a16="http://schemas.microsoft.com/office/drawing/2014/main" id="{E42FAEE1-B8BC-8CB0-91AA-565ED8275D20}"/>
                      </a:ext>
                    </a:extLst>
                  </xdr:cNvPr>
                  <xdr:cNvSpPr txBox="1">
                    <a:spLocks noChangeArrowheads="1"/>
                  </xdr:cNvSpPr>
                </xdr:nvSpPr>
                <xdr:spPr bwMode="auto">
                  <a:xfrm>
                    <a:off x="5008796" y="3614530"/>
                    <a:ext cx="156087" cy="174405"/>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L</a:t>
                    </a:r>
                  </a:p>
                </xdr:txBody>
              </xdr:sp>
            </xdr:grpSp>
          </xdr:grpSp>
        </xdr:grpSp>
      </xdr:grpSp>
    </xdr:grpSp>
    <xdr:clientData/>
  </xdr:twoCellAnchor>
  <xdr:twoCellAnchor editAs="oneCell">
    <xdr:from>
      <xdr:col>9</xdr:col>
      <xdr:colOff>57979</xdr:colOff>
      <xdr:row>0</xdr:row>
      <xdr:rowOff>1</xdr:rowOff>
    </xdr:from>
    <xdr:to>
      <xdr:col>13</xdr:col>
      <xdr:colOff>315057</xdr:colOff>
      <xdr:row>24</xdr:row>
      <xdr:rowOff>31893</xdr:rowOff>
    </xdr:to>
    <xdr:pic>
      <xdr:nvPicPr>
        <xdr:cNvPr id="2" name="Picture 1">
          <a:extLst>
            <a:ext uri="{FF2B5EF4-FFF2-40B4-BE49-F238E27FC236}">
              <a16:creationId xmlns:a16="http://schemas.microsoft.com/office/drawing/2014/main" id="{8CDE0D61-8136-3775-B67E-C1478EC09796}"/>
            </a:ext>
          </a:extLst>
        </xdr:cNvPr>
        <xdr:cNvPicPr>
          <a:picLocks noChangeAspect="1"/>
        </xdr:cNvPicPr>
      </xdr:nvPicPr>
      <xdr:blipFill>
        <a:blip xmlns:r="http://schemas.openxmlformats.org/officeDocument/2006/relationships" r:embed="rId1"/>
        <a:stretch>
          <a:fillRect/>
        </a:stretch>
      </xdr:blipFill>
      <xdr:spPr>
        <a:xfrm>
          <a:off x="6652210" y="1"/>
          <a:ext cx="3502905" cy="393714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440055</xdr:colOff>
      <xdr:row>15</xdr:row>
      <xdr:rowOff>100965</xdr:rowOff>
    </xdr:from>
    <xdr:to>
      <xdr:col>6</xdr:col>
      <xdr:colOff>19474</xdr:colOff>
      <xdr:row>16</xdr:row>
      <xdr:rowOff>141208</xdr:rowOff>
    </xdr:to>
    <xdr:sp macro="" textlink="">
      <xdr:nvSpPr>
        <xdr:cNvPr id="215173" name="Text Box 133">
          <a:extLst>
            <a:ext uri="{FF2B5EF4-FFF2-40B4-BE49-F238E27FC236}">
              <a16:creationId xmlns:a16="http://schemas.microsoft.com/office/drawing/2014/main" id="{1A1ADE40-8C14-1F4D-5BB0-CBF1C404CD6D}"/>
            </a:ext>
          </a:extLst>
        </xdr:cNvPr>
        <xdr:cNvSpPr txBox="1">
          <a:spLocks noChangeArrowheads="1"/>
        </xdr:cNvSpPr>
      </xdr:nvSpPr>
      <xdr:spPr bwMode="auto">
        <a:xfrm>
          <a:off x="4838700" y="2543175"/>
          <a:ext cx="381000" cy="190500"/>
        </a:xfrm>
        <a:prstGeom prst="rect">
          <a:avLst/>
        </a:prstGeom>
        <a:noFill/>
        <a:ln w="9525">
          <a:noFill/>
          <a:miter lim="800000"/>
          <a:headEnd/>
          <a:tailEnd/>
        </a:ln>
      </xdr:spPr>
      <xdr:txBody>
        <a:bodyPr vertOverflow="clip" wrap="square" lIns="27432" tIns="22860" rIns="0" bIns="0" anchor="t" upright="1"/>
        <a:lstStyle/>
        <a:p>
          <a:pPr algn="l" rtl="1">
            <a:defRPr sz="1000"/>
          </a:pPr>
          <a:r>
            <a:rPr lang="en-US" sz="1000" b="1" i="0" u="sng" strike="noStrike">
              <a:solidFill>
                <a:srgbClr val="000000"/>
              </a:solidFill>
              <a:latin typeface="Arial"/>
              <a:cs typeface="Arial"/>
            </a:rPr>
            <a:t>Plan</a:t>
          </a:r>
        </a:p>
      </xdr:txBody>
    </xdr:sp>
    <xdr:clientData/>
  </xdr:twoCellAnchor>
  <xdr:twoCellAnchor>
    <xdr:from>
      <xdr:col>5</xdr:col>
      <xdr:colOff>299085</xdr:colOff>
      <xdr:row>26</xdr:row>
      <xdr:rowOff>110490</xdr:rowOff>
    </xdr:from>
    <xdr:to>
      <xdr:col>6</xdr:col>
      <xdr:colOff>104548</xdr:colOff>
      <xdr:row>27</xdr:row>
      <xdr:rowOff>142878</xdr:rowOff>
    </xdr:to>
    <xdr:sp macro="" textlink="">
      <xdr:nvSpPr>
        <xdr:cNvPr id="215174" name="Text Box 134">
          <a:extLst>
            <a:ext uri="{FF2B5EF4-FFF2-40B4-BE49-F238E27FC236}">
              <a16:creationId xmlns:a16="http://schemas.microsoft.com/office/drawing/2014/main" id="{A4240026-DA42-5F10-1092-87BDCE01063B}"/>
            </a:ext>
          </a:extLst>
        </xdr:cNvPr>
        <xdr:cNvSpPr txBox="1">
          <a:spLocks noChangeArrowheads="1"/>
        </xdr:cNvSpPr>
      </xdr:nvSpPr>
      <xdr:spPr bwMode="auto">
        <a:xfrm>
          <a:off x="4714875" y="4305300"/>
          <a:ext cx="638175" cy="209550"/>
        </a:xfrm>
        <a:prstGeom prst="rect">
          <a:avLst/>
        </a:prstGeom>
        <a:noFill/>
        <a:ln w="9525">
          <a:noFill/>
          <a:miter lim="800000"/>
          <a:headEnd/>
          <a:tailEnd/>
        </a:ln>
      </xdr:spPr>
      <xdr:txBody>
        <a:bodyPr vertOverflow="clip" wrap="square" lIns="27432" tIns="22860" rIns="0" bIns="0" anchor="t" upright="1"/>
        <a:lstStyle/>
        <a:p>
          <a:pPr algn="l" rtl="1">
            <a:defRPr sz="1000"/>
          </a:pPr>
          <a:r>
            <a:rPr lang="en-US" sz="1000" b="1" i="0" u="sng" strike="noStrike">
              <a:solidFill>
                <a:srgbClr val="000000"/>
              </a:solidFill>
              <a:latin typeface="Arial"/>
              <a:cs typeface="Arial"/>
            </a:rPr>
            <a:t>Elevation</a:t>
          </a:r>
        </a:p>
      </xdr:txBody>
    </xdr:sp>
    <xdr:clientData/>
  </xdr:twoCellAnchor>
  <xdr:twoCellAnchor>
    <xdr:from>
      <xdr:col>9</xdr:col>
      <xdr:colOff>809625</xdr:colOff>
      <xdr:row>24</xdr:row>
      <xdr:rowOff>47625</xdr:rowOff>
    </xdr:from>
    <xdr:to>
      <xdr:col>9</xdr:col>
      <xdr:colOff>800100</xdr:colOff>
      <xdr:row>24</xdr:row>
      <xdr:rowOff>47625</xdr:rowOff>
    </xdr:to>
    <xdr:sp macro="" textlink="">
      <xdr:nvSpPr>
        <xdr:cNvPr id="751920" name="Line 140">
          <a:extLst>
            <a:ext uri="{FF2B5EF4-FFF2-40B4-BE49-F238E27FC236}">
              <a16:creationId xmlns:a16="http://schemas.microsoft.com/office/drawing/2014/main" id="{2318F12C-642E-92CD-67FB-E6CD72CE6F16}"/>
            </a:ext>
          </a:extLst>
        </xdr:cNvPr>
        <xdr:cNvSpPr>
          <a:spLocks noChangeShapeType="1"/>
        </xdr:cNvSpPr>
      </xdr:nvSpPr>
      <xdr:spPr bwMode="auto">
        <a:xfrm>
          <a:off x="4533900" y="3810000"/>
          <a:ext cx="0" cy="0"/>
        </a:xfrm>
        <a:prstGeom prst="line">
          <a:avLst/>
        </a:prstGeom>
        <a:noFill/>
        <a:ln w="9525">
          <a:solidFill>
            <a:srgbClr val="000000"/>
          </a:solidFill>
          <a:round/>
          <a:headEnd/>
          <a:tailEnd type="stealth" w="sm" len="sm"/>
        </a:ln>
        <a:extLst>
          <a:ext uri="{909E8E84-426E-40DD-AFC4-6F175D3DCCD1}">
            <a14:hiddenFill xmlns:a14="http://schemas.microsoft.com/office/drawing/2010/main">
              <a:noFill/>
            </a14:hiddenFill>
          </a:ext>
        </a:extLst>
      </xdr:spPr>
    </xdr:sp>
    <xdr:clientData/>
  </xdr:twoCellAnchor>
  <xdr:twoCellAnchor>
    <xdr:from>
      <xdr:col>9</xdr:col>
      <xdr:colOff>809625</xdr:colOff>
      <xdr:row>25</xdr:row>
      <xdr:rowOff>9525</xdr:rowOff>
    </xdr:from>
    <xdr:to>
      <xdr:col>9</xdr:col>
      <xdr:colOff>800100</xdr:colOff>
      <xdr:row>25</xdr:row>
      <xdr:rowOff>9525</xdr:rowOff>
    </xdr:to>
    <xdr:sp macro="" textlink="">
      <xdr:nvSpPr>
        <xdr:cNvPr id="751921" name="Line 141">
          <a:extLst>
            <a:ext uri="{FF2B5EF4-FFF2-40B4-BE49-F238E27FC236}">
              <a16:creationId xmlns:a16="http://schemas.microsoft.com/office/drawing/2014/main" id="{79BCF809-7770-C03A-5C77-F433FA265712}"/>
            </a:ext>
          </a:extLst>
        </xdr:cNvPr>
        <xdr:cNvSpPr>
          <a:spLocks noChangeShapeType="1"/>
        </xdr:cNvSpPr>
      </xdr:nvSpPr>
      <xdr:spPr bwMode="auto">
        <a:xfrm>
          <a:off x="4533900" y="3933825"/>
          <a:ext cx="0" cy="0"/>
        </a:xfrm>
        <a:prstGeom prst="line">
          <a:avLst/>
        </a:prstGeom>
        <a:noFill/>
        <a:ln w="9525">
          <a:solidFill>
            <a:srgbClr val="000000"/>
          </a:solidFill>
          <a:round/>
          <a:headEnd/>
          <a:tailEnd type="stealth" w="sm" len="sm"/>
        </a:ln>
        <a:extLst>
          <a:ext uri="{909E8E84-426E-40DD-AFC4-6F175D3DCCD1}">
            <a14:hiddenFill xmlns:a14="http://schemas.microsoft.com/office/drawing/2010/main">
              <a:noFill/>
            </a14:hiddenFill>
          </a:ext>
        </a:extLst>
      </xdr:spPr>
    </xdr:sp>
    <xdr:clientData/>
  </xdr:twoCellAnchor>
  <xdr:twoCellAnchor editAs="oneCell">
    <xdr:from>
      <xdr:col>0</xdr:col>
      <xdr:colOff>295275</xdr:colOff>
      <xdr:row>157</xdr:row>
      <xdr:rowOff>38100</xdr:rowOff>
    </xdr:from>
    <xdr:to>
      <xdr:col>6</xdr:col>
      <xdr:colOff>695325</xdr:colOff>
      <xdr:row>179</xdr:row>
      <xdr:rowOff>76200</xdr:rowOff>
    </xdr:to>
    <xdr:pic>
      <xdr:nvPicPr>
        <xdr:cNvPr id="751926" name="Picture 1">
          <a:extLst>
            <a:ext uri="{FF2B5EF4-FFF2-40B4-BE49-F238E27FC236}">
              <a16:creationId xmlns:a16="http://schemas.microsoft.com/office/drawing/2014/main" id="{4143510C-7494-30DD-317A-9C4DE71122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5275" y="23907750"/>
          <a:ext cx="5734050" cy="3600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190500</xdr:colOff>
      <xdr:row>181</xdr:row>
      <xdr:rowOff>171450</xdr:rowOff>
    </xdr:from>
    <xdr:to>
      <xdr:col>6</xdr:col>
      <xdr:colOff>514350</xdr:colOff>
      <xdr:row>202</xdr:row>
      <xdr:rowOff>142875</xdr:rowOff>
    </xdr:to>
    <xdr:pic>
      <xdr:nvPicPr>
        <xdr:cNvPr id="751927" name="Picture 2">
          <a:extLst>
            <a:ext uri="{FF2B5EF4-FFF2-40B4-BE49-F238E27FC236}">
              <a16:creationId xmlns:a16="http://schemas.microsoft.com/office/drawing/2014/main" id="{D2FD0D33-825C-2044-EE86-663C03EE4E1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0" y="27917775"/>
          <a:ext cx="5657850" cy="3381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19707</xdr:colOff>
      <xdr:row>49</xdr:row>
      <xdr:rowOff>90114</xdr:rowOff>
    </xdr:from>
    <xdr:to>
      <xdr:col>16</xdr:col>
      <xdr:colOff>508</xdr:colOff>
      <xdr:row>83</xdr:row>
      <xdr:rowOff>54988</xdr:rowOff>
    </xdr:to>
    <xdr:pic>
      <xdr:nvPicPr>
        <xdr:cNvPr id="2" name="Picture 1">
          <a:extLst>
            <a:ext uri="{FF2B5EF4-FFF2-40B4-BE49-F238E27FC236}">
              <a16:creationId xmlns:a16="http://schemas.microsoft.com/office/drawing/2014/main" id="{E72BED81-FAEB-76EB-696F-D9A5ED29FD11}"/>
            </a:ext>
          </a:extLst>
        </xdr:cNvPr>
        <xdr:cNvPicPr>
          <a:picLocks noChangeAspect="1"/>
        </xdr:cNvPicPr>
      </xdr:nvPicPr>
      <xdr:blipFill>
        <a:blip xmlns:r="http://schemas.openxmlformats.org/officeDocument/2006/relationships" r:embed="rId3"/>
        <a:stretch>
          <a:fillRect/>
        </a:stretch>
      </xdr:blipFill>
      <xdr:spPr>
        <a:xfrm>
          <a:off x="6779173" y="8091114"/>
          <a:ext cx="5406766" cy="2034098"/>
        </a:xfrm>
        <a:prstGeom prst="rect">
          <a:avLst/>
        </a:prstGeom>
      </xdr:spPr>
    </xdr:pic>
    <xdr:clientData/>
  </xdr:twoCellAnchor>
  <xdr:twoCellAnchor editAs="oneCell">
    <xdr:from>
      <xdr:col>10</xdr:col>
      <xdr:colOff>430522</xdr:colOff>
      <xdr:row>83</xdr:row>
      <xdr:rowOff>164223</xdr:rowOff>
    </xdr:from>
    <xdr:to>
      <xdr:col>13</xdr:col>
      <xdr:colOff>280554</xdr:colOff>
      <xdr:row>103</xdr:row>
      <xdr:rowOff>18175</xdr:rowOff>
    </xdr:to>
    <xdr:pic>
      <xdr:nvPicPr>
        <xdr:cNvPr id="3" name="Picture 2">
          <a:extLst>
            <a:ext uri="{FF2B5EF4-FFF2-40B4-BE49-F238E27FC236}">
              <a16:creationId xmlns:a16="http://schemas.microsoft.com/office/drawing/2014/main" id="{C2DA750E-8968-6D8B-3C93-6DD0326BACDC}"/>
            </a:ext>
          </a:extLst>
        </xdr:cNvPr>
        <xdr:cNvPicPr>
          <a:picLocks noChangeAspect="1"/>
        </xdr:cNvPicPr>
      </xdr:nvPicPr>
      <xdr:blipFill>
        <a:blip xmlns:r="http://schemas.openxmlformats.org/officeDocument/2006/relationships" r:embed="rId4"/>
        <a:stretch>
          <a:fillRect/>
        </a:stretch>
      </xdr:blipFill>
      <xdr:spPr>
        <a:xfrm>
          <a:off x="7846884" y="10234447"/>
          <a:ext cx="2510463" cy="2645762"/>
        </a:xfrm>
        <a:prstGeom prst="rect">
          <a:avLst/>
        </a:prstGeom>
      </xdr:spPr>
    </xdr:pic>
    <xdr:clientData/>
  </xdr:twoCellAnchor>
  <xdr:twoCellAnchor>
    <xdr:from>
      <xdr:col>4</xdr:col>
      <xdr:colOff>592118</xdr:colOff>
      <xdr:row>4</xdr:row>
      <xdr:rowOff>37610</xdr:rowOff>
    </xdr:from>
    <xdr:to>
      <xdr:col>6</xdr:col>
      <xdr:colOff>580211</xdr:colOff>
      <xdr:row>15</xdr:row>
      <xdr:rowOff>149773</xdr:rowOff>
    </xdr:to>
    <xdr:grpSp>
      <xdr:nvGrpSpPr>
        <xdr:cNvPr id="8" name="Group 7">
          <a:extLst>
            <a:ext uri="{FF2B5EF4-FFF2-40B4-BE49-F238E27FC236}">
              <a16:creationId xmlns:a16="http://schemas.microsoft.com/office/drawing/2014/main" id="{718D69B5-F60D-1E36-A3DF-7498AD57F9EA}"/>
            </a:ext>
          </a:extLst>
        </xdr:cNvPr>
        <xdr:cNvGrpSpPr/>
      </xdr:nvGrpSpPr>
      <xdr:grpSpPr>
        <a:xfrm>
          <a:off x="4329859" y="668231"/>
          <a:ext cx="1590921" cy="1866076"/>
          <a:chOff x="4295253" y="650928"/>
          <a:chExt cx="1586434" cy="1901004"/>
        </a:xfrm>
      </xdr:grpSpPr>
      <xdr:pic>
        <xdr:nvPicPr>
          <xdr:cNvPr id="5" name="Picture 4">
            <a:extLst>
              <a:ext uri="{FF2B5EF4-FFF2-40B4-BE49-F238E27FC236}">
                <a16:creationId xmlns:a16="http://schemas.microsoft.com/office/drawing/2014/main" id="{03FCDE08-F17B-FBBF-C7D5-DDCD91409CEC}"/>
              </a:ext>
            </a:extLst>
          </xdr:cNvPr>
          <xdr:cNvPicPr>
            <a:picLocks noChangeAspect="1"/>
          </xdr:cNvPicPr>
        </xdr:nvPicPr>
        <xdr:blipFill>
          <a:blip xmlns:r="http://schemas.openxmlformats.org/officeDocument/2006/relationships" r:embed="rId5"/>
          <a:stretch>
            <a:fillRect/>
          </a:stretch>
        </xdr:blipFill>
        <xdr:spPr>
          <a:xfrm>
            <a:off x="4295253" y="650928"/>
            <a:ext cx="1586434" cy="1901004"/>
          </a:xfrm>
          <a:prstGeom prst="rect">
            <a:avLst/>
          </a:prstGeom>
        </xdr:spPr>
      </xdr:pic>
      <xdr:sp macro="" textlink="I17">
        <xdr:nvSpPr>
          <xdr:cNvPr id="6" name="TextBox 5">
            <a:extLst>
              <a:ext uri="{FF2B5EF4-FFF2-40B4-BE49-F238E27FC236}">
                <a16:creationId xmlns:a16="http://schemas.microsoft.com/office/drawing/2014/main" id="{99A74FDC-D9E8-8974-B1BE-F364916DBEF3}"/>
              </a:ext>
            </a:extLst>
          </xdr:cNvPr>
          <xdr:cNvSpPr txBox="1"/>
        </xdr:nvSpPr>
        <xdr:spPr>
          <a:xfrm>
            <a:off x="4799669" y="2309232"/>
            <a:ext cx="492514" cy="181207"/>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FCC5D5C-120F-43D2-8636-063D48658184}" type="TxLink">
              <a:rPr lang="en-US" sz="700" b="0" i="0" u="none" strike="noStrike">
                <a:ln>
                  <a:noFill/>
                </a:ln>
                <a:solidFill>
                  <a:srgbClr val="000000"/>
                </a:solidFill>
                <a:latin typeface="Arial"/>
                <a:cs typeface="Arial"/>
              </a:rPr>
              <a:pPr/>
              <a:t>L = 30</a:t>
            </a:fld>
            <a:endParaRPr lang="en-US" sz="900">
              <a:ln>
                <a:noFill/>
              </a:ln>
            </a:endParaRPr>
          </a:p>
        </xdr:txBody>
      </xdr:sp>
      <xdr:sp macro="" textlink="I18">
        <xdr:nvSpPr>
          <xdr:cNvPr id="7" name="TextBox 6">
            <a:extLst>
              <a:ext uri="{FF2B5EF4-FFF2-40B4-BE49-F238E27FC236}">
                <a16:creationId xmlns:a16="http://schemas.microsoft.com/office/drawing/2014/main" id="{DC5E81EF-BE6F-4CFD-8C55-07C5C5DECE47}"/>
              </a:ext>
            </a:extLst>
          </xdr:cNvPr>
          <xdr:cNvSpPr txBox="1"/>
        </xdr:nvSpPr>
        <xdr:spPr>
          <a:xfrm rot="16200000">
            <a:off x="5467911" y="1395394"/>
            <a:ext cx="566493" cy="181207"/>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858B0E0-4A2E-4759-9AF6-98E8E362F235}" type="TxLink">
              <a:rPr lang="en-US" sz="700" b="0" i="0" u="none" strike="noStrike">
                <a:ln>
                  <a:noFill/>
                </a:ln>
                <a:solidFill>
                  <a:srgbClr val="000000"/>
                </a:solidFill>
                <a:latin typeface="Arial"/>
                <a:cs typeface="Arial"/>
              </a:rPr>
              <a:pPr/>
              <a:t>B = 100</a:t>
            </a:fld>
            <a:endParaRPr lang="en-US" sz="700">
              <a:ln>
                <a:noFill/>
              </a:ln>
            </a:endParaRPr>
          </a:p>
        </xdr:txBody>
      </xdr:sp>
    </xdr:grpSp>
    <xdr:clientData/>
  </xdr:twoCellAnchor>
  <xdr:twoCellAnchor>
    <xdr:from>
      <xdr:col>4</xdr:col>
      <xdr:colOff>270710</xdr:colOff>
      <xdr:row>9</xdr:row>
      <xdr:rowOff>110289</xdr:rowOff>
    </xdr:from>
    <xdr:to>
      <xdr:col>4</xdr:col>
      <xdr:colOff>566485</xdr:colOff>
      <xdr:row>10</xdr:row>
      <xdr:rowOff>70184</xdr:rowOff>
    </xdr:to>
    <xdr:sp macro="" textlink="">
      <xdr:nvSpPr>
        <xdr:cNvPr id="9" name="Arrow: Right 8">
          <a:extLst>
            <a:ext uri="{FF2B5EF4-FFF2-40B4-BE49-F238E27FC236}">
              <a16:creationId xmlns:a16="http://schemas.microsoft.com/office/drawing/2014/main" id="{E8287CBB-BA35-CBCB-8A8A-267D54E73E5B}"/>
            </a:ext>
          </a:extLst>
        </xdr:cNvPr>
        <xdr:cNvSpPr/>
      </xdr:nvSpPr>
      <xdr:spPr bwMode="auto">
        <a:xfrm>
          <a:off x="4010526" y="1584157"/>
          <a:ext cx="295775" cy="120316"/>
        </a:xfrm>
        <a:prstGeom prst="rightArrow">
          <a:avLst/>
        </a:prstGeom>
        <a:solidFill>
          <a:srgbClr val="0070C0"/>
        </a:solidFill>
        <a:ln w="9525" cap="flat" cmpd="sng" algn="ctr">
          <a:solidFill>
            <a:srgbClr val="0070C0"/>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twoCellAnchor>
    <xdr:from>
      <xdr:col>4</xdr:col>
      <xdr:colOff>237464</xdr:colOff>
      <xdr:row>17</xdr:row>
      <xdr:rowOff>139910</xdr:rowOff>
    </xdr:from>
    <xdr:to>
      <xdr:col>6</xdr:col>
      <xdr:colOff>507796</xdr:colOff>
      <xdr:row>26</xdr:row>
      <xdr:rowOff>42795</xdr:rowOff>
    </xdr:to>
    <xdr:grpSp>
      <xdr:nvGrpSpPr>
        <xdr:cNvPr id="10" name="Group 9">
          <a:extLst>
            <a:ext uri="{FF2B5EF4-FFF2-40B4-BE49-F238E27FC236}">
              <a16:creationId xmlns:a16="http://schemas.microsoft.com/office/drawing/2014/main" id="{3C77B466-E4CE-0891-26DD-AFE4BB53855E}"/>
            </a:ext>
          </a:extLst>
        </xdr:cNvPr>
        <xdr:cNvGrpSpPr/>
      </xdr:nvGrpSpPr>
      <xdr:grpSpPr>
        <a:xfrm>
          <a:off x="3975205" y="2852893"/>
          <a:ext cx="1873160" cy="1380902"/>
          <a:chOff x="3975205" y="2852893"/>
          <a:chExt cx="1873160" cy="1380902"/>
        </a:xfrm>
      </xdr:grpSpPr>
      <xdr:pic>
        <xdr:nvPicPr>
          <xdr:cNvPr id="4" name="Picture 3">
            <a:extLst>
              <a:ext uri="{FF2B5EF4-FFF2-40B4-BE49-F238E27FC236}">
                <a16:creationId xmlns:a16="http://schemas.microsoft.com/office/drawing/2014/main" id="{2E04E22B-CCB6-6423-4EC6-FBC092322EAB}"/>
              </a:ext>
            </a:extLst>
          </xdr:cNvPr>
          <xdr:cNvPicPr>
            <a:picLocks noChangeAspect="1"/>
          </xdr:cNvPicPr>
        </xdr:nvPicPr>
        <xdr:blipFill>
          <a:blip xmlns:r="http://schemas.openxmlformats.org/officeDocument/2006/relationships" r:embed="rId6"/>
          <a:stretch>
            <a:fillRect/>
          </a:stretch>
        </xdr:blipFill>
        <xdr:spPr>
          <a:xfrm>
            <a:off x="3975205" y="2852893"/>
            <a:ext cx="1873160" cy="1380902"/>
          </a:xfrm>
          <a:prstGeom prst="rect">
            <a:avLst/>
          </a:prstGeom>
        </xdr:spPr>
      </xdr:pic>
      <xdr:sp macro="" textlink="I17">
        <xdr:nvSpPr>
          <xdr:cNvPr id="12" name="TextBox 11">
            <a:extLst>
              <a:ext uri="{FF2B5EF4-FFF2-40B4-BE49-F238E27FC236}">
                <a16:creationId xmlns:a16="http://schemas.microsoft.com/office/drawing/2014/main" id="{5AC0DF32-4C28-E429-D97D-0C41FC5C915E}"/>
              </a:ext>
            </a:extLst>
          </xdr:cNvPr>
          <xdr:cNvSpPr txBox="1"/>
        </xdr:nvSpPr>
        <xdr:spPr>
          <a:xfrm>
            <a:off x="4841361" y="4038645"/>
            <a:ext cx="493907" cy="177878"/>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FCC5D5C-120F-43D2-8636-063D48658184}" type="TxLink">
              <a:rPr lang="en-US" sz="700" b="0" i="0" u="none" strike="noStrike">
                <a:ln>
                  <a:noFill/>
                </a:ln>
                <a:solidFill>
                  <a:srgbClr val="000000"/>
                </a:solidFill>
                <a:latin typeface="Arial"/>
                <a:cs typeface="Arial"/>
              </a:rPr>
              <a:pPr/>
              <a:t>L = 30</a:t>
            </a:fld>
            <a:endParaRPr lang="en-US" sz="900">
              <a:ln>
                <a:noFill/>
              </a:ln>
            </a:endParaRPr>
          </a:p>
        </xdr:txBody>
      </xdr:sp>
      <xdr:sp macro="" textlink="I19">
        <xdr:nvSpPr>
          <xdr:cNvPr id="13" name="TextBox 12">
            <a:extLst>
              <a:ext uri="{FF2B5EF4-FFF2-40B4-BE49-F238E27FC236}">
                <a16:creationId xmlns:a16="http://schemas.microsoft.com/office/drawing/2014/main" id="{5D720C96-854F-AD62-E4CA-7E500FFC898F}"/>
              </a:ext>
            </a:extLst>
          </xdr:cNvPr>
          <xdr:cNvSpPr txBox="1"/>
        </xdr:nvSpPr>
        <xdr:spPr>
          <a:xfrm rot="16200000">
            <a:off x="3791629" y="3476464"/>
            <a:ext cx="578820" cy="181720"/>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C0AB75-558C-4CC9-AB6E-0C3761C682C6}" type="TxLink">
              <a:rPr lang="en-US" sz="700" b="0" i="0" u="none" strike="noStrike">
                <a:ln>
                  <a:noFill/>
                </a:ln>
                <a:solidFill>
                  <a:srgbClr val="000000"/>
                </a:solidFill>
                <a:latin typeface="Arial"/>
                <a:cs typeface="Arial"/>
              </a:rPr>
              <a:pPr/>
              <a:t>Hr = 20</a:t>
            </a:fld>
            <a:endParaRPr lang="en-US" sz="700">
              <a:ln>
                <a:noFill/>
              </a:ln>
            </a:endParaRPr>
          </a:p>
        </xdr:txBody>
      </xdr:sp>
      <xdr:sp macro="" textlink="I20">
        <xdr:nvSpPr>
          <xdr:cNvPr id="18" name="TextBox 17">
            <a:extLst>
              <a:ext uri="{FF2B5EF4-FFF2-40B4-BE49-F238E27FC236}">
                <a16:creationId xmlns:a16="http://schemas.microsoft.com/office/drawing/2014/main" id="{3104245D-44AD-4D2C-9B6F-97B1180C0A31}"/>
              </a:ext>
            </a:extLst>
          </xdr:cNvPr>
          <xdr:cNvSpPr txBox="1"/>
        </xdr:nvSpPr>
        <xdr:spPr>
          <a:xfrm rot="16200000">
            <a:off x="5477036" y="3640688"/>
            <a:ext cx="526269" cy="181720"/>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74F2924-7D93-4999-848C-C6497391067F}" type="TxLink">
              <a:rPr lang="en-US" sz="700" b="0" i="0" u="none" strike="noStrike">
                <a:ln>
                  <a:noFill/>
                </a:ln>
                <a:solidFill>
                  <a:srgbClr val="000000"/>
                </a:solidFill>
                <a:latin typeface="Arial"/>
                <a:cs typeface="Arial"/>
              </a:rPr>
              <a:pPr/>
              <a:t>He = 18</a:t>
            </a:fld>
            <a:endParaRPr lang="en-US" sz="700">
              <a:ln>
                <a:noFill/>
              </a:ln>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704850</xdr:colOff>
      <xdr:row>9</xdr:row>
      <xdr:rowOff>140970</xdr:rowOff>
    </xdr:from>
    <xdr:to>
      <xdr:col>8</xdr:col>
      <xdr:colOff>25364</xdr:colOff>
      <xdr:row>9</xdr:row>
      <xdr:rowOff>140970</xdr:rowOff>
    </xdr:to>
    <xdr:sp macro="" textlink="">
      <xdr:nvSpPr>
        <xdr:cNvPr id="30" name="Text Box 69">
          <a:extLst>
            <a:ext uri="{FF2B5EF4-FFF2-40B4-BE49-F238E27FC236}">
              <a16:creationId xmlns:a16="http://schemas.microsoft.com/office/drawing/2014/main" id="{92A9B3AA-7201-5ABD-6294-0AA9F4D9AB44}"/>
            </a:ext>
          </a:extLst>
        </xdr:cNvPr>
        <xdr:cNvSpPr txBox="1">
          <a:spLocks noChangeArrowheads="1"/>
        </xdr:cNvSpPr>
      </xdr:nvSpPr>
      <xdr:spPr bwMode="auto">
        <a:xfrm>
          <a:off x="6063615" y="1695450"/>
          <a:ext cx="262645" cy="48056"/>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B</a:t>
          </a:r>
        </a:p>
      </xdr:txBody>
    </xdr:sp>
    <xdr:clientData/>
  </xdr:twoCellAnchor>
  <xdr:twoCellAnchor>
    <xdr:from>
      <xdr:col>8</xdr:col>
      <xdr:colOff>752475</xdr:colOff>
      <xdr:row>22</xdr:row>
      <xdr:rowOff>114300</xdr:rowOff>
    </xdr:from>
    <xdr:to>
      <xdr:col>8</xdr:col>
      <xdr:colOff>752475</xdr:colOff>
      <xdr:row>22</xdr:row>
      <xdr:rowOff>114300</xdr:rowOff>
    </xdr:to>
    <xdr:sp macro="" textlink="">
      <xdr:nvSpPr>
        <xdr:cNvPr id="749424" name="Line 85">
          <a:extLst>
            <a:ext uri="{FF2B5EF4-FFF2-40B4-BE49-F238E27FC236}">
              <a16:creationId xmlns:a16="http://schemas.microsoft.com/office/drawing/2014/main" id="{F5DB4602-E0E1-8D2E-F4F4-234E6B7297F2}"/>
            </a:ext>
          </a:extLst>
        </xdr:cNvPr>
        <xdr:cNvSpPr>
          <a:spLocks noChangeShapeType="1"/>
        </xdr:cNvSpPr>
      </xdr:nvSpPr>
      <xdr:spPr bwMode="auto">
        <a:xfrm>
          <a:off x="4514850" y="3552825"/>
          <a:ext cx="0" cy="0"/>
        </a:xfrm>
        <a:prstGeom prst="line">
          <a:avLst/>
        </a:prstGeom>
        <a:noFill/>
        <a:ln w="9525">
          <a:solidFill>
            <a:srgbClr val="000000"/>
          </a:solidFill>
          <a:round/>
          <a:headEnd/>
          <a:tailEnd type="stealth" w="sm" len="sm"/>
        </a:ln>
        <a:extLst>
          <a:ext uri="{909E8E84-426E-40DD-AFC4-6F175D3DCCD1}">
            <a14:hiddenFill xmlns:a14="http://schemas.microsoft.com/office/drawing/2010/main">
              <a:noFill/>
            </a14:hiddenFill>
          </a:ext>
        </a:extLst>
      </xdr:spPr>
    </xdr:sp>
    <xdr:clientData/>
  </xdr:twoCellAnchor>
  <xdr:twoCellAnchor>
    <xdr:from>
      <xdr:col>5</xdr:col>
      <xdr:colOff>455295</xdr:colOff>
      <xdr:row>15</xdr:row>
      <xdr:rowOff>83820</xdr:rowOff>
    </xdr:from>
    <xdr:to>
      <xdr:col>6</xdr:col>
      <xdr:colOff>26069</xdr:colOff>
      <xdr:row>16</xdr:row>
      <xdr:rowOff>117083</xdr:rowOff>
    </xdr:to>
    <xdr:sp macro="" textlink="">
      <xdr:nvSpPr>
        <xdr:cNvPr id="94" name="Text Box 133">
          <a:extLst>
            <a:ext uri="{FF2B5EF4-FFF2-40B4-BE49-F238E27FC236}">
              <a16:creationId xmlns:a16="http://schemas.microsoft.com/office/drawing/2014/main" id="{1E906D81-F576-A246-2B3D-0B9F66944889}"/>
            </a:ext>
          </a:extLst>
        </xdr:cNvPr>
        <xdr:cNvSpPr txBox="1">
          <a:spLocks noChangeArrowheads="1"/>
        </xdr:cNvSpPr>
      </xdr:nvSpPr>
      <xdr:spPr bwMode="auto">
        <a:xfrm>
          <a:off x="5017770" y="2497455"/>
          <a:ext cx="471698" cy="208138"/>
        </a:xfrm>
        <a:prstGeom prst="rect">
          <a:avLst/>
        </a:prstGeom>
        <a:noFill/>
        <a:ln w="9525">
          <a:noFill/>
          <a:miter lim="800000"/>
          <a:headEnd/>
          <a:tailEnd/>
        </a:ln>
      </xdr:spPr>
      <xdr:txBody>
        <a:bodyPr vertOverflow="clip" wrap="square" lIns="27432" tIns="22860" rIns="0" bIns="0" anchor="t" upright="1"/>
        <a:lstStyle/>
        <a:p>
          <a:pPr algn="l" rtl="1">
            <a:defRPr sz="1000"/>
          </a:pPr>
          <a:r>
            <a:rPr lang="en-US" sz="1000" b="1" i="0" u="sng" strike="noStrike">
              <a:solidFill>
                <a:srgbClr val="000000"/>
              </a:solidFill>
              <a:latin typeface="Arial"/>
              <a:cs typeface="Arial"/>
            </a:rPr>
            <a:t>Plan</a:t>
          </a:r>
        </a:p>
      </xdr:txBody>
    </xdr:sp>
    <xdr:clientData/>
  </xdr:twoCellAnchor>
  <xdr:twoCellAnchor>
    <xdr:from>
      <xdr:col>5</xdr:col>
      <xdr:colOff>299085</xdr:colOff>
      <xdr:row>26</xdr:row>
      <xdr:rowOff>81915</xdr:rowOff>
    </xdr:from>
    <xdr:to>
      <xdr:col>6</xdr:col>
      <xdr:colOff>104285</xdr:colOff>
      <xdr:row>27</xdr:row>
      <xdr:rowOff>140144</xdr:rowOff>
    </xdr:to>
    <xdr:sp macro="" textlink="">
      <xdr:nvSpPr>
        <xdr:cNvPr id="95" name="Text Box 134">
          <a:extLst>
            <a:ext uri="{FF2B5EF4-FFF2-40B4-BE49-F238E27FC236}">
              <a16:creationId xmlns:a16="http://schemas.microsoft.com/office/drawing/2014/main" id="{42DCB777-957C-FEC6-CEBB-EF89904AA6BC}"/>
            </a:ext>
          </a:extLst>
        </xdr:cNvPr>
        <xdr:cNvSpPr txBox="1">
          <a:spLocks noChangeArrowheads="1"/>
        </xdr:cNvSpPr>
      </xdr:nvSpPr>
      <xdr:spPr bwMode="auto">
        <a:xfrm>
          <a:off x="4903470" y="4402455"/>
          <a:ext cx="657066" cy="179807"/>
        </a:xfrm>
        <a:prstGeom prst="rect">
          <a:avLst/>
        </a:prstGeom>
        <a:noFill/>
        <a:ln w="9525">
          <a:noFill/>
          <a:miter lim="800000"/>
          <a:headEnd/>
          <a:tailEnd/>
        </a:ln>
      </xdr:spPr>
      <xdr:txBody>
        <a:bodyPr vertOverflow="clip" wrap="square" lIns="27432" tIns="22860" rIns="0" bIns="0" anchor="t" upright="1"/>
        <a:lstStyle/>
        <a:p>
          <a:pPr algn="l" rtl="1">
            <a:defRPr sz="1000"/>
          </a:pPr>
          <a:r>
            <a:rPr lang="en-US" sz="1000" b="1" i="0" u="sng" strike="noStrike">
              <a:solidFill>
                <a:srgbClr val="000000"/>
              </a:solidFill>
              <a:latin typeface="Arial"/>
              <a:cs typeface="Arial"/>
            </a:rPr>
            <a:t>Elevation</a:t>
          </a:r>
        </a:p>
      </xdr:txBody>
    </xdr:sp>
    <xdr:clientData/>
  </xdr:twoCellAnchor>
  <xdr:twoCellAnchor>
    <xdr:from>
      <xdr:col>8</xdr:col>
      <xdr:colOff>752475</xdr:colOff>
      <xdr:row>23</xdr:row>
      <xdr:rowOff>85725</xdr:rowOff>
    </xdr:from>
    <xdr:to>
      <xdr:col>8</xdr:col>
      <xdr:colOff>752475</xdr:colOff>
      <xdr:row>23</xdr:row>
      <xdr:rowOff>85725</xdr:rowOff>
    </xdr:to>
    <xdr:sp macro="" textlink="">
      <xdr:nvSpPr>
        <xdr:cNvPr id="749478" name="Line 139">
          <a:extLst>
            <a:ext uri="{FF2B5EF4-FFF2-40B4-BE49-F238E27FC236}">
              <a16:creationId xmlns:a16="http://schemas.microsoft.com/office/drawing/2014/main" id="{6E06D21A-DA11-6A9C-6087-80FE6E539C16}"/>
            </a:ext>
          </a:extLst>
        </xdr:cNvPr>
        <xdr:cNvSpPr>
          <a:spLocks noChangeShapeType="1"/>
        </xdr:cNvSpPr>
      </xdr:nvSpPr>
      <xdr:spPr bwMode="auto">
        <a:xfrm>
          <a:off x="4514850" y="3686175"/>
          <a:ext cx="0" cy="0"/>
        </a:xfrm>
        <a:prstGeom prst="line">
          <a:avLst/>
        </a:prstGeom>
        <a:noFill/>
        <a:ln w="9525">
          <a:solidFill>
            <a:srgbClr val="000000"/>
          </a:solidFill>
          <a:round/>
          <a:headEnd/>
          <a:tailEnd type="stealth" w="sm" len="sm"/>
        </a:ln>
        <a:extLst>
          <a:ext uri="{909E8E84-426E-40DD-AFC4-6F175D3DCCD1}">
            <a14:hiddenFill xmlns:a14="http://schemas.microsoft.com/office/drawing/2010/main">
              <a:noFill/>
            </a14:hiddenFill>
          </a:ext>
        </a:extLst>
      </xdr:spPr>
    </xdr:sp>
    <xdr:clientData/>
  </xdr:twoCellAnchor>
  <xdr:twoCellAnchor>
    <xdr:from>
      <xdr:col>8</xdr:col>
      <xdr:colOff>800100</xdr:colOff>
      <xdr:row>24</xdr:row>
      <xdr:rowOff>47625</xdr:rowOff>
    </xdr:from>
    <xdr:to>
      <xdr:col>8</xdr:col>
      <xdr:colOff>752475</xdr:colOff>
      <xdr:row>24</xdr:row>
      <xdr:rowOff>47625</xdr:rowOff>
    </xdr:to>
    <xdr:sp macro="" textlink="">
      <xdr:nvSpPr>
        <xdr:cNvPr id="749479" name="Line 140">
          <a:extLst>
            <a:ext uri="{FF2B5EF4-FFF2-40B4-BE49-F238E27FC236}">
              <a16:creationId xmlns:a16="http://schemas.microsoft.com/office/drawing/2014/main" id="{F1A947CB-CE34-216B-6221-D409086C923A}"/>
            </a:ext>
          </a:extLst>
        </xdr:cNvPr>
        <xdr:cNvSpPr>
          <a:spLocks noChangeShapeType="1"/>
        </xdr:cNvSpPr>
      </xdr:nvSpPr>
      <xdr:spPr bwMode="auto">
        <a:xfrm>
          <a:off x="4514850" y="3810000"/>
          <a:ext cx="0" cy="0"/>
        </a:xfrm>
        <a:prstGeom prst="line">
          <a:avLst/>
        </a:prstGeom>
        <a:noFill/>
        <a:ln w="9525">
          <a:solidFill>
            <a:srgbClr val="000000"/>
          </a:solidFill>
          <a:round/>
          <a:headEnd/>
          <a:tailEnd type="stealth" w="sm" len="sm"/>
        </a:ln>
        <a:extLst>
          <a:ext uri="{909E8E84-426E-40DD-AFC4-6F175D3DCCD1}">
            <a14:hiddenFill xmlns:a14="http://schemas.microsoft.com/office/drawing/2010/main">
              <a:noFill/>
            </a14:hiddenFill>
          </a:ext>
        </a:extLst>
      </xdr:spPr>
    </xdr:sp>
    <xdr:clientData/>
  </xdr:twoCellAnchor>
  <xdr:twoCellAnchor>
    <xdr:from>
      <xdr:col>4</xdr:col>
      <xdr:colOff>800100</xdr:colOff>
      <xdr:row>25</xdr:row>
      <xdr:rowOff>9525</xdr:rowOff>
    </xdr:from>
    <xdr:to>
      <xdr:col>4</xdr:col>
      <xdr:colOff>752475</xdr:colOff>
      <xdr:row>25</xdr:row>
      <xdr:rowOff>9525</xdr:rowOff>
    </xdr:to>
    <xdr:sp macro="" textlink="">
      <xdr:nvSpPr>
        <xdr:cNvPr id="749480" name="Line 141">
          <a:extLst>
            <a:ext uri="{FF2B5EF4-FFF2-40B4-BE49-F238E27FC236}">
              <a16:creationId xmlns:a16="http://schemas.microsoft.com/office/drawing/2014/main" id="{257E4F3F-EDD3-6C6F-130E-9C4733E0925D}"/>
            </a:ext>
          </a:extLst>
        </xdr:cNvPr>
        <xdr:cNvSpPr>
          <a:spLocks noChangeShapeType="1"/>
        </xdr:cNvSpPr>
      </xdr:nvSpPr>
      <xdr:spPr bwMode="auto">
        <a:xfrm>
          <a:off x="4514850" y="3933825"/>
          <a:ext cx="0" cy="0"/>
        </a:xfrm>
        <a:prstGeom prst="line">
          <a:avLst/>
        </a:prstGeom>
        <a:noFill/>
        <a:ln w="9525">
          <a:solidFill>
            <a:srgbClr val="000000"/>
          </a:solidFill>
          <a:round/>
          <a:headEnd/>
          <a:tailEnd type="stealth" w="sm" len="sm"/>
        </a:ln>
        <a:extLst>
          <a:ext uri="{909E8E84-426E-40DD-AFC4-6F175D3DCCD1}">
            <a14:hiddenFill xmlns:a14="http://schemas.microsoft.com/office/drawing/2010/main">
              <a:noFill/>
            </a14:hiddenFill>
          </a:ext>
        </a:extLst>
      </xdr:spPr>
    </xdr:sp>
    <xdr:clientData/>
  </xdr:twoCellAnchor>
  <xdr:twoCellAnchor editAs="oneCell">
    <xdr:from>
      <xdr:col>0</xdr:col>
      <xdr:colOff>295275</xdr:colOff>
      <xdr:row>157</xdr:row>
      <xdr:rowOff>38100</xdr:rowOff>
    </xdr:from>
    <xdr:to>
      <xdr:col>6</xdr:col>
      <xdr:colOff>295275</xdr:colOff>
      <xdr:row>174</xdr:row>
      <xdr:rowOff>0</xdr:rowOff>
    </xdr:to>
    <xdr:pic>
      <xdr:nvPicPr>
        <xdr:cNvPr id="749485" name="Picture 106">
          <a:extLst>
            <a:ext uri="{FF2B5EF4-FFF2-40B4-BE49-F238E27FC236}">
              <a16:creationId xmlns:a16="http://schemas.microsoft.com/office/drawing/2014/main" id="{E63B0573-9453-5BA9-0537-1968E6C9C5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5275" y="23907750"/>
          <a:ext cx="5372100" cy="2714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209550</xdr:colOff>
      <xdr:row>181</xdr:row>
      <xdr:rowOff>171450</xdr:rowOff>
    </xdr:from>
    <xdr:to>
      <xdr:col>6</xdr:col>
      <xdr:colOff>581025</xdr:colOff>
      <xdr:row>199</xdr:row>
      <xdr:rowOff>1552</xdr:rowOff>
    </xdr:to>
    <xdr:pic>
      <xdr:nvPicPr>
        <xdr:cNvPr id="749486" name="Picture 107">
          <a:extLst>
            <a:ext uri="{FF2B5EF4-FFF2-40B4-BE49-F238E27FC236}">
              <a16:creationId xmlns:a16="http://schemas.microsoft.com/office/drawing/2014/main" id="{7D1B708F-397B-65F8-DED7-4CCACC3114F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9550" y="27917775"/>
          <a:ext cx="5743575" cy="2752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596104</xdr:colOff>
      <xdr:row>3</xdr:row>
      <xdr:rowOff>140804</xdr:rowOff>
    </xdr:from>
    <xdr:to>
      <xdr:col>6</xdr:col>
      <xdr:colOff>609873</xdr:colOff>
      <xdr:row>15</xdr:row>
      <xdr:rowOff>76070</xdr:rowOff>
    </xdr:to>
    <xdr:grpSp>
      <xdr:nvGrpSpPr>
        <xdr:cNvPr id="13" name="Group 12">
          <a:extLst>
            <a:ext uri="{FF2B5EF4-FFF2-40B4-BE49-F238E27FC236}">
              <a16:creationId xmlns:a16="http://schemas.microsoft.com/office/drawing/2014/main" id="{3FA8D7E1-B29F-E4BA-E2A9-3DD9311E666B}"/>
            </a:ext>
          </a:extLst>
        </xdr:cNvPr>
        <xdr:cNvGrpSpPr/>
      </xdr:nvGrpSpPr>
      <xdr:grpSpPr>
        <a:xfrm>
          <a:off x="4364691" y="662608"/>
          <a:ext cx="1628878" cy="1923092"/>
          <a:chOff x="4360121" y="659752"/>
          <a:chExt cx="1629735" cy="1905956"/>
        </a:xfrm>
      </xdr:grpSpPr>
      <xdr:pic>
        <xdr:nvPicPr>
          <xdr:cNvPr id="2" name="Picture 1">
            <a:extLst>
              <a:ext uri="{FF2B5EF4-FFF2-40B4-BE49-F238E27FC236}">
                <a16:creationId xmlns:a16="http://schemas.microsoft.com/office/drawing/2014/main" id="{50C7CA58-F7DF-DE7D-BD24-11EE5871144C}"/>
              </a:ext>
            </a:extLst>
          </xdr:cNvPr>
          <xdr:cNvPicPr>
            <a:picLocks noChangeAspect="1"/>
          </xdr:cNvPicPr>
        </xdr:nvPicPr>
        <xdr:blipFill>
          <a:blip xmlns:r="http://schemas.openxmlformats.org/officeDocument/2006/relationships" r:embed="rId3"/>
          <a:stretch>
            <a:fillRect/>
          </a:stretch>
        </xdr:blipFill>
        <xdr:spPr>
          <a:xfrm>
            <a:off x="4360121" y="659752"/>
            <a:ext cx="1629735" cy="1905956"/>
          </a:xfrm>
          <a:prstGeom prst="rect">
            <a:avLst/>
          </a:prstGeom>
        </xdr:spPr>
      </xdr:pic>
      <xdr:sp macro="" textlink="I17">
        <xdr:nvSpPr>
          <xdr:cNvPr id="6" name="TextBox 5">
            <a:extLst>
              <a:ext uri="{FF2B5EF4-FFF2-40B4-BE49-F238E27FC236}">
                <a16:creationId xmlns:a16="http://schemas.microsoft.com/office/drawing/2014/main" id="{FB4DF6D0-E479-4600-8699-EEC131D66FD6}"/>
              </a:ext>
            </a:extLst>
          </xdr:cNvPr>
          <xdr:cNvSpPr txBox="1"/>
        </xdr:nvSpPr>
        <xdr:spPr>
          <a:xfrm>
            <a:off x="4861034" y="2358258"/>
            <a:ext cx="493907" cy="177878"/>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FCC5D5C-120F-43D2-8636-063D48658184}" type="TxLink">
              <a:rPr lang="en-US" sz="700" b="0" i="0" u="none" strike="noStrike">
                <a:ln>
                  <a:noFill/>
                </a:ln>
                <a:solidFill>
                  <a:srgbClr val="000000"/>
                </a:solidFill>
                <a:latin typeface="Arial"/>
                <a:cs typeface="Arial"/>
              </a:rPr>
              <a:pPr/>
              <a:t>L = 30</a:t>
            </a:fld>
            <a:endParaRPr lang="en-US" sz="900">
              <a:ln>
                <a:noFill/>
              </a:ln>
            </a:endParaRPr>
          </a:p>
        </xdr:txBody>
      </xdr:sp>
      <xdr:sp macro="" textlink="I18">
        <xdr:nvSpPr>
          <xdr:cNvPr id="9" name="TextBox 8">
            <a:extLst>
              <a:ext uri="{FF2B5EF4-FFF2-40B4-BE49-F238E27FC236}">
                <a16:creationId xmlns:a16="http://schemas.microsoft.com/office/drawing/2014/main" id="{58A25827-0B62-40F1-A8F7-6859D4E9C33D}"/>
              </a:ext>
            </a:extLst>
          </xdr:cNvPr>
          <xdr:cNvSpPr txBox="1"/>
        </xdr:nvSpPr>
        <xdr:spPr>
          <a:xfrm rot="16200000">
            <a:off x="5616467" y="1418896"/>
            <a:ext cx="493907" cy="177878"/>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3BE98EF-D6FC-43D9-99A5-2387A0294C36}" type="TxLink">
              <a:rPr lang="en-US" sz="700" b="0" i="0" u="none" strike="noStrike">
                <a:ln>
                  <a:noFill/>
                </a:ln>
                <a:solidFill>
                  <a:srgbClr val="000000"/>
                </a:solidFill>
                <a:latin typeface="Arial"/>
                <a:cs typeface="Arial"/>
              </a:rPr>
              <a:pPr/>
              <a:t>B = 100</a:t>
            </a:fld>
            <a:endParaRPr lang="en-US" sz="700">
              <a:ln>
                <a:noFill/>
              </a:ln>
            </a:endParaRPr>
          </a:p>
        </xdr:txBody>
      </xdr:sp>
    </xdr:grpSp>
    <xdr:clientData/>
  </xdr:twoCellAnchor>
  <xdr:twoCellAnchor>
    <xdr:from>
      <xdr:col>4</xdr:col>
      <xdr:colOff>229913</xdr:colOff>
      <xdr:row>16</xdr:row>
      <xdr:rowOff>156703</xdr:rowOff>
    </xdr:from>
    <xdr:to>
      <xdr:col>6</xdr:col>
      <xdr:colOff>691476</xdr:colOff>
      <xdr:row>26</xdr:row>
      <xdr:rowOff>62265</xdr:rowOff>
    </xdr:to>
    <xdr:grpSp>
      <xdr:nvGrpSpPr>
        <xdr:cNvPr id="14" name="Group 13">
          <a:extLst>
            <a:ext uri="{FF2B5EF4-FFF2-40B4-BE49-F238E27FC236}">
              <a16:creationId xmlns:a16="http://schemas.microsoft.com/office/drawing/2014/main" id="{27375389-F7D2-EC1E-F672-E19DC9A04ABF}"/>
            </a:ext>
          </a:extLst>
        </xdr:cNvPr>
        <xdr:cNvGrpSpPr/>
      </xdr:nvGrpSpPr>
      <xdr:grpSpPr>
        <a:xfrm>
          <a:off x="3998500" y="2831986"/>
          <a:ext cx="2076672" cy="1562083"/>
          <a:chOff x="3993930" y="2810565"/>
          <a:chExt cx="2077529" cy="1547803"/>
        </a:xfrm>
      </xdr:grpSpPr>
      <xdr:pic>
        <xdr:nvPicPr>
          <xdr:cNvPr id="3" name="Picture 2">
            <a:extLst>
              <a:ext uri="{FF2B5EF4-FFF2-40B4-BE49-F238E27FC236}">
                <a16:creationId xmlns:a16="http://schemas.microsoft.com/office/drawing/2014/main" id="{BE860230-B62F-AA57-26D0-83D83E69C451}"/>
              </a:ext>
            </a:extLst>
          </xdr:cNvPr>
          <xdr:cNvPicPr>
            <a:picLocks noChangeAspect="1"/>
          </xdr:cNvPicPr>
        </xdr:nvPicPr>
        <xdr:blipFill>
          <a:blip xmlns:r="http://schemas.openxmlformats.org/officeDocument/2006/relationships" r:embed="rId4"/>
          <a:stretch>
            <a:fillRect/>
          </a:stretch>
        </xdr:blipFill>
        <xdr:spPr>
          <a:xfrm>
            <a:off x="4111886" y="2810565"/>
            <a:ext cx="1959573" cy="1547803"/>
          </a:xfrm>
          <a:prstGeom prst="rect">
            <a:avLst/>
          </a:prstGeom>
        </xdr:spPr>
      </xdr:pic>
      <xdr:sp macro="" textlink="I17">
        <xdr:nvSpPr>
          <xdr:cNvPr id="8" name="TextBox 7">
            <a:extLst>
              <a:ext uri="{FF2B5EF4-FFF2-40B4-BE49-F238E27FC236}">
                <a16:creationId xmlns:a16="http://schemas.microsoft.com/office/drawing/2014/main" id="{D3E7108A-5B89-4B38-BCDB-8065C57F270D}"/>
              </a:ext>
            </a:extLst>
          </xdr:cNvPr>
          <xdr:cNvSpPr txBox="1"/>
        </xdr:nvSpPr>
        <xdr:spPr>
          <a:xfrm>
            <a:off x="4939862" y="4131879"/>
            <a:ext cx="493907" cy="177878"/>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FCC5D5C-120F-43D2-8636-063D48658184}" type="TxLink">
              <a:rPr lang="en-US" sz="700" b="0" i="0" u="none" strike="noStrike">
                <a:ln>
                  <a:noFill/>
                </a:ln>
                <a:solidFill>
                  <a:srgbClr val="000000"/>
                </a:solidFill>
                <a:latin typeface="Arial"/>
                <a:cs typeface="Arial"/>
              </a:rPr>
              <a:pPr/>
              <a:t>L = 30</a:t>
            </a:fld>
            <a:endParaRPr lang="en-US" sz="900">
              <a:ln>
                <a:noFill/>
              </a:ln>
            </a:endParaRPr>
          </a:p>
        </xdr:txBody>
      </xdr:sp>
      <xdr:sp macro="" textlink="I19">
        <xdr:nvSpPr>
          <xdr:cNvPr id="11" name="TextBox 10">
            <a:extLst>
              <a:ext uri="{FF2B5EF4-FFF2-40B4-BE49-F238E27FC236}">
                <a16:creationId xmlns:a16="http://schemas.microsoft.com/office/drawing/2014/main" id="{E180F1DD-01BE-4F59-999E-16D758717582}"/>
              </a:ext>
            </a:extLst>
          </xdr:cNvPr>
          <xdr:cNvSpPr txBox="1"/>
        </xdr:nvSpPr>
        <xdr:spPr>
          <a:xfrm rot="16200000">
            <a:off x="3803070" y="3508188"/>
            <a:ext cx="559598" cy="177878"/>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CE99E0A-4EA8-4BDE-AD2A-9C847346244C}" type="TxLink">
              <a:rPr lang="en-US" sz="700" b="0" i="0" u="none" strike="noStrike">
                <a:ln>
                  <a:noFill/>
                </a:ln>
                <a:solidFill>
                  <a:srgbClr val="000000"/>
                </a:solidFill>
                <a:latin typeface="Arial"/>
                <a:cs typeface="Arial"/>
              </a:rPr>
              <a:pPr/>
              <a:t>Hr = 20</a:t>
            </a:fld>
            <a:endParaRPr lang="en-US" sz="700">
              <a:ln>
                <a:noFill/>
              </a:ln>
            </a:endParaRPr>
          </a:p>
        </xdr:txBody>
      </xdr:sp>
      <xdr:sp macro="" textlink="I20">
        <xdr:nvSpPr>
          <xdr:cNvPr id="12" name="TextBox 11">
            <a:extLst>
              <a:ext uri="{FF2B5EF4-FFF2-40B4-BE49-F238E27FC236}">
                <a16:creationId xmlns:a16="http://schemas.microsoft.com/office/drawing/2014/main" id="{AB6447E3-CBC5-4E7D-9B5A-2564843F7012}"/>
              </a:ext>
            </a:extLst>
          </xdr:cNvPr>
          <xdr:cNvSpPr txBox="1"/>
        </xdr:nvSpPr>
        <xdr:spPr>
          <a:xfrm rot="16200000">
            <a:off x="5675226" y="3711825"/>
            <a:ext cx="520186" cy="177878"/>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128E78E-6AC7-4873-A27C-8C09048A346F}" type="TxLink">
              <a:rPr lang="en-US" sz="700" b="0" i="0" u="none" strike="noStrike">
                <a:ln>
                  <a:noFill/>
                </a:ln>
                <a:solidFill>
                  <a:srgbClr val="000000"/>
                </a:solidFill>
                <a:latin typeface="Arial"/>
                <a:cs typeface="Arial"/>
              </a:rPr>
              <a:pPr/>
              <a:t>He = 18</a:t>
            </a:fld>
            <a:endParaRPr lang="en-US" sz="700">
              <a:ln>
                <a:noFill/>
              </a:ln>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466725</xdr:colOff>
      <xdr:row>9</xdr:row>
      <xdr:rowOff>66675</xdr:rowOff>
    </xdr:from>
    <xdr:to>
      <xdr:col>14</xdr:col>
      <xdr:colOff>123825</xdr:colOff>
      <xdr:row>28</xdr:row>
      <xdr:rowOff>171450</xdr:rowOff>
    </xdr:to>
    <xdr:pic>
      <xdr:nvPicPr>
        <xdr:cNvPr id="517868" name="Picture 3">
          <a:extLst>
            <a:ext uri="{FF2B5EF4-FFF2-40B4-BE49-F238E27FC236}">
              <a16:creationId xmlns:a16="http://schemas.microsoft.com/office/drawing/2014/main" id="{7E3C3183-991D-0677-B6B0-ED022B81EF8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05500" y="1762125"/>
          <a:ext cx="3314700" cy="3771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647700</xdr:colOff>
      <xdr:row>6</xdr:row>
      <xdr:rowOff>133350</xdr:rowOff>
    </xdr:from>
    <xdr:to>
      <xdr:col>9</xdr:col>
      <xdr:colOff>95250</xdr:colOff>
      <xdr:row>13</xdr:row>
      <xdr:rowOff>142875</xdr:rowOff>
    </xdr:to>
    <xdr:sp macro="" textlink="">
      <xdr:nvSpPr>
        <xdr:cNvPr id="745031" name="Rectangle 14">
          <a:extLst>
            <a:ext uri="{FF2B5EF4-FFF2-40B4-BE49-F238E27FC236}">
              <a16:creationId xmlns:a16="http://schemas.microsoft.com/office/drawing/2014/main" id="{14870535-93B9-80D8-CAE9-DE19030420BD}"/>
            </a:ext>
          </a:extLst>
        </xdr:cNvPr>
        <xdr:cNvSpPr>
          <a:spLocks noChangeArrowheads="1"/>
        </xdr:cNvSpPr>
      </xdr:nvSpPr>
      <xdr:spPr bwMode="auto">
        <a:xfrm>
          <a:off x="4581525" y="1162050"/>
          <a:ext cx="1095375" cy="11430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609600</xdr:colOff>
      <xdr:row>6</xdr:row>
      <xdr:rowOff>133350</xdr:rowOff>
    </xdr:from>
    <xdr:to>
      <xdr:col>7</xdr:col>
      <xdr:colOff>609600</xdr:colOff>
      <xdr:row>13</xdr:row>
      <xdr:rowOff>142875</xdr:rowOff>
    </xdr:to>
    <xdr:sp macro="" textlink="">
      <xdr:nvSpPr>
        <xdr:cNvPr id="745032" name="Line 15">
          <a:extLst>
            <a:ext uri="{FF2B5EF4-FFF2-40B4-BE49-F238E27FC236}">
              <a16:creationId xmlns:a16="http://schemas.microsoft.com/office/drawing/2014/main" id="{33320E22-FCBE-A657-E1FC-5D5064689406}"/>
            </a:ext>
          </a:extLst>
        </xdr:cNvPr>
        <xdr:cNvSpPr>
          <a:spLocks noChangeShapeType="1"/>
        </xdr:cNvSpPr>
      </xdr:nvSpPr>
      <xdr:spPr bwMode="auto">
        <a:xfrm>
          <a:off x="5191125" y="1162050"/>
          <a:ext cx="0" cy="1143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647700</xdr:colOff>
      <xdr:row>20</xdr:row>
      <xdr:rowOff>9525</xdr:rowOff>
    </xdr:from>
    <xdr:to>
      <xdr:col>6</xdr:col>
      <xdr:colOff>647700</xdr:colOff>
      <xdr:row>22</xdr:row>
      <xdr:rowOff>114300</xdr:rowOff>
    </xdr:to>
    <xdr:sp macro="" textlink="">
      <xdr:nvSpPr>
        <xdr:cNvPr id="745033" name="Line 16">
          <a:extLst>
            <a:ext uri="{FF2B5EF4-FFF2-40B4-BE49-F238E27FC236}">
              <a16:creationId xmlns:a16="http://schemas.microsoft.com/office/drawing/2014/main" id="{A7D22602-133A-205D-0161-5DD755126427}"/>
            </a:ext>
          </a:extLst>
        </xdr:cNvPr>
        <xdr:cNvSpPr>
          <a:spLocks noChangeShapeType="1"/>
        </xdr:cNvSpPr>
      </xdr:nvSpPr>
      <xdr:spPr bwMode="auto">
        <a:xfrm flipV="1">
          <a:off x="4581525" y="3305175"/>
          <a:ext cx="0" cy="428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95250</xdr:colOff>
      <xdr:row>20</xdr:row>
      <xdr:rowOff>9525</xdr:rowOff>
    </xdr:from>
    <xdr:to>
      <xdr:col>9</xdr:col>
      <xdr:colOff>95250</xdr:colOff>
      <xdr:row>22</xdr:row>
      <xdr:rowOff>114300</xdr:rowOff>
    </xdr:to>
    <xdr:sp macro="" textlink="">
      <xdr:nvSpPr>
        <xdr:cNvPr id="745034" name="Line 17">
          <a:extLst>
            <a:ext uri="{FF2B5EF4-FFF2-40B4-BE49-F238E27FC236}">
              <a16:creationId xmlns:a16="http://schemas.microsoft.com/office/drawing/2014/main" id="{722E03FE-B12E-3E4C-6E66-B54BCA30BBD2}"/>
            </a:ext>
          </a:extLst>
        </xdr:cNvPr>
        <xdr:cNvSpPr>
          <a:spLocks noChangeShapeType="1"/>
        </xdr:cNvSpPr>
      </xdr:nvSpPr>
      <xdr:spPr bwMode="auto">
        <a:xfrm flipV="1">
          <a:off x="5676900" y="3305175"/>
          <a:ext cx="0" cy="4286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561975</xdr:colOff>
      <xdr:row>17</xdr:row>
      <xdr:rowOff>190500</xdr:rowOff>
    </xdr:from>
    <xdr:to>
      <xdr:col>7</xdr:col>
      <xdr:colOff>609600</xdr:colOff>
      <xdr:row>20</xdr:row>
      <xdr:rowOff>57150</xdr:rowOff>
    </xdr:to>
    <xdr:sp macro="" textlink="">
      <xdr:nvSpPr>
        <xdr:cNvPr id="745035" name="Line 18">
          <a:extLst>
            <a:ext uri="{FF2B5EF4-FFF2-40B4-BE49-F238E27FC236}">
              <a16:creationId xmlns:a16="http://schemas.microsoft.com/office/drawing/2014/main" id="{F1E32BE5-FE06-9AE3-5701-170D2786E0BA}"/>
            </a:ext>
          </a:extLst>
        </xdr:cNvPr>
        <xdr:cNvSpPr>
          <a:spLocks noChangeShapeType="1"/>
        </xdr:cNvSpPr>
      </xdr:nvSpPr>
      <xdr:spPr bwMode="auto">
        <a:xfrm flipV="1">
          <a:off x="4524375" y="2971800"/>
          <a:ext cx="666750" cy="381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609600</xdr:colOff>
      <xdr:row>17</xdr:row>
      <xdr:rowOff>190500</xdr:rowOff>
    </xdr:from>
    <xdr:to>
      <xdr:col>9</xdr:col>
      <xdr:colOff>180975</xdr:colOff>
      <xdr:row>20</xdr:row>
      <xdr:rowOff>57150</xdr:rowOff>
    </xdr:to>
    <xdr:sp macro="" textlink="">
      <xdr:nvSpPr>
        <xdr:cNvPr id="745036" name="Line 19">
          <a:extLst>
            <a:ext uri="{FF2B5EF4-FFF2-40B4-BE49-F238E27FC236}">
              <a16:creationId xmlns:a16="http://schemas.microsoft.com/office/drawing/2014/main" id="{19C1A31D-E33E-38F3-5EE2-19A19A9B4075}"/>
            </a:ext>
          </a:extLst>
        </xdr:cNvPr>
        <xdr:cNvSpPr>
          <a:spLocks noChangeShapeType="1"/>
        </xdr:cNvSpPr>
      </xdr:nvSpPr>
      <xdr:spPr bwMode="auto">
        <a:xfrm>
          <a:off x="5191125" y="2971800"/>
          <a:ext cx="571500" cy="3810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647700</xdr:colOff>
      <xdr:row>22</xdr:row>
      <xdr:rowOff>114300</xdr:rowOff>
    </xdr:from>
    <xdr:to>
      <xdr:col>9</xdr:col>
      <xdr:colOff>95250</xdr:colOff>
      <xdr:row>22</xdr:row>
      <xdr:rowOff>114300</xdr:rowOff>
    </xdr:to>
    <xdr:sp macro="" textlink="">
      <xdr:nvSpPr>
        <xdr:cNvPr id="745037" name="Line 20">
          <a:extLst>
            <a:ext uri="{FF2B5EF4-FFF2-40B4-BE49-F238E27FC236}">
              <a16:creationId xmlns:a16="http://schemas.microsoft.com/office/drawing/2014/main" id="{40044518-5D48-02CA-0B60-48DF57D4E08B}"/>
            </a:ext>
          </a:extLst>
        </xdr:cNvPr>
        <xdr:cNvSpPr>
          <a:spLocks noChangeShapeType="1"/>
        </xdr:cNvSpPr>
      </xdr:nvSpPr>
      <xdr:spPr bwMode="auto">
        <a:xfrm>
          <a:off x="4581525" y="3733800"/>
          <a:ext cx="10953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647700</xdr:colOff>
      <xdr:row>14</xdr:row>
      <xdr:rowOff>190500</xdr:rowOff>
    </xdr:from>
    <xdr:to>
      <xdr:col>9</xdr:col>
      <xdr:colOff>95250</xdr:colOff>
      <xdr:row>14</xdr:row>
      <xdr:rowOff>190500</xdr:rowOff>
    </xdr:to>
    <xdr:sp macro="" textlink="">
      <xdr:nvSpPr>
        <xdr:cNvPr id="745038" name="Line 21">
          <a:extLst>
            <a:ext uri="{FF2B5EF4-FFF2-40B4-BE49-F238E27FC236}">
              <a16:creationId xmlns:a16="http://schemas.microsoft.com/office/drawing/2014/main" id="{C0165EE1-8AC7-67D6-BB2F-36CB0D64D29D}"/>
            </a:ext>
          </a:extLst>
        </xdr:cNvPr>
        <xdr:cNvSpPr>
          <a:spLocks noChangeShapeType="1"/>
        </xdr:cNvSpPr>
      </xdr:nvSpPr>
      <xdr:spPr bwMode="auto">
        <a:xfrm>
          <a:off x="4581525" y="2486025"/>
          <a:ext cx="1095375"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6</xdr:col>
      <xdr:colOff>647700</xdr:colOff>
      <xdr:row>13</xdr:row>
      <xdr:rowOff>180975</xdr:rowOff>
    </xdr:from>
    <xdr:to>
      <xdr:col>6</xdr:col>
      <xdr:colOff>647700</xdr:colOff>
      <xdr:row>15</xdr:row>
      <xdr:rowOff>133350</xdr:rowOff>
    </xdr:to>
    <xdr:sp macro="" textlink="">
      <xdr:nvSpPr>
        <xdr:cNvPr id="745039" name="Line 22">
          <a:extLst>
            <a:ext uri="{FF2B5EF4-FFF2-40B4-BE49-F238E27FC236}">
              <a16:creationId xmlns:a16="http://schemas.microsoft.com/office/drawing/2014/main" id="{0928440A-F9FD-21DC-62C3-11824C02EF4C}"/>
            </a:ext>
          </a:extLst>
        </xdr:cNvPr>
        <xdr:cNvSpPr>
          <a:spLocks noChangeShapeType="1"/>
        </xdr:cNvSpPr>
      </xdr:nvSpPr>
      <xdr:spPr bwMode="auto">
        <a:xfrm>
          <a:off x="4581525" y="2324100"/>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95250</xdr:colOff>
      <xdr:row>13</xdr:row>
      <xdr:rowOff>180975</xdr:rowOff>
    </xdr:from>
    <xdr:to>
      <xdr:col>9</xdr:col>
      <xdr:colOff>95250</xdr:colOff>
      <xdr:row>15</xdr:row>
      <xdr:rowOff>133350</xdr:rowOff>
    </xdr:to>
    <xdr:sp macro="" textlink="">
      <xdr:nvSpPr>
        <xdr:cNvPr id="745040" name="Line 23">
          <a:extLst>
            <a:ext uri="{FF2B5EF4-FFF2-40B4-BE49-F238E27FC236}">
              <a16:creationId xmlns:a16="http://schemas.microsoft.com/office/drawing/2014/main" id="{ED1A3486-7A3B-E73C-D3B3-275380F11121}"/>
            </a:ext>
          </a:extLst>
        </xdr:cNvPr>
        <xdr:cNvSpPr>
          <a:spLocks noChangeShapeType="1"/>
        </xdr:cNvSpPr>
      </xdr:nvSpPr>
      <xdr:spPr bwMode="auto">
        <a:xfrm>
          <a:off x="5676900" y="2324100"/>
          <a:ext cx="0" cy="295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647700</xdr:colOff>
      <xdr:row>22</xdr:row>
      <xdr:rowOff>171450</xdr:rowOff>
    </xdr:from>
    <xdr:to>
      <xdr:col>6</xdr:col>
      <xdr:colOff>647700</xdr:colOff>
      <xdr:row>24</xdr:row>
      <xdr:rowOff>114300</xdr:rowOff>
    </xdr:to>
    <xdr:sp macro="" textlink="">
      <xdr:nvSpPr>
        <xdr:cNvPr id="745041" name="Line 24">
          <a:extLst>
            <a:ext uri="{FF2B5EF4-FFF2-40B4-BE49-F238E27FC236}">
              <a16:creationId xmlns:a16="http://schemas.microsoft.com/office/drawing/2014/main" id="{88CC448B-9D54-8B18-43C2-4179E02BC68E}"/>
            </a:ext>
          </a:extLst>
        </xdr:cNvPr>
        <xdr:cNvSpPr>
          <a:spLocks noChangeShapeType="1"/>
        </xdr:cNvSpPr>
      </xdr:nvSpPr>
      <xdr:spPr bwMode="auto">
        <a:xfrm>
          <a:off x="4581525" y="3781425"/>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95250</xdr:colOff>
      <xdr:row>22</xdr:row>
      <xdr:rowOff>171450</xdr:rowOff>
    </xdr:from>
    <xdr:to>
      <xdr:col>9</xdr:col>
      <xdr:colOff>95250</xdr:colOff>
      <xdr:row>24</xdr:row>
      <xdr:rowOff>114300</xdr:rowOff>
    </xdr:to>
    <xdr:sp macro="" textlink="">
      <xdr:nvSpPr>
        <xdr:cNvPr id="745042" name="Line 25">
          <a:extLst>
            <a:ext uri="{FF2B5EF4-FFF2-40B4-BE49-F238E27FC236}">
              <a16:creationId xmlns:a16="http://schemas.microsoft.com/office/drawing/2014/main" id="{F3760BC5-BD47-F679-FA77-7EC6BC12673C}"/>
            </a:ext>
          </a:extLst>
        </xdr:cNvPr>
        <xdr:cNvSpPr>
          <a:spLocks noChangeShapeType="1"/>
        </xdr:cNvSpPr>
      </xdr:nvSpPr>
      <xdr:spPr bwMode="auto">
        <a:xfrm>
          <a:off x="5676900" y="3781425"/>
          <a:ext cx="0" cy="2762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647700</xdr:colOff>
      <xdr:row>23</xdr:row>
      <xdr:rowOff>190500</xdr:rowOff>
    </xdr:from>
    <xdr:to>
      <xdr:col>9</xdr:col>
      <xdr:colOff>95250</xdr:colOff>
      <xdr:row>23</xdr:row>
      <xdr:rowOff>190500</xdr:rowOff>
    </xdr:to>
    <xdr:sp macro="" textlink="">
      <xdr:nvSpPr>
        <xdr:cNvPr id="745043" name="Line 26">
          <a:extLst>
            <a:ext uri="{FF2B5EF4-FFF2-40B4-BE49-F238E27FC236}">
              <a16:creationId xmlns:a16="http://schemas.microsoft.com/office/drawing/2014/main" id="{29C40AF8-B432-F866-7012-D9C9B7D731AD}"/>
            </a:ext>
          </a:extLst>
        </xdr:cNvPr>
        <xdr:cNvSpPr>
          <a:spLocks noChangeShapeType="1"/>
        </xdr:cNvSpPr>
      </xdr:nvSpPr>
      <xdr:spPr bwMode="auto">
        <a:xfrm>
          <a:off x="4581525" y="3943350"/>
          <a:ext cx="1095375" cy="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9</xdr:col>
      <xdr:colOff>190500</xdr:colOff>
      <xdr:row>22</xdr:row>
      <xdr:rowOff>114300</xdr:rowOff>
    </xdr:from>
    <xdr:to>
      <xdr:col>9</xdr:col>
      <xdr:colOff>619125</xdr:colOff>
      <xdr:row>22</xdr:row>
      <xdr:rowOff>114300</xdr:rowOff>
    </xdr:to>
    <xdr:sp macro="" textlink="">
      <xdr:nvSpPr>
        <xdr:cNvPr id="745044" name="Line 27">
          <a:extLst>
            <a:ext uri="{FF2B5EF4-FFF2-40B4-BE49-F238E27FC236}">
              <a16:creationId xmlns:a16="http://schemas.microsoft.com/office/drawing/2014/main" id="{7606B392-A1C2-0C78-666B-1E71CBF1A3CB}"/>
            </a:ext>
          </a:extLst>
        </xdr:cNvPr>
        <xdr:cNvSpPr>
          <a:spLocks noChangeShapeType="1"/>
        </xdr:cNvSpPr>
      </xdr:nvSpPr>
      <xdr:spPr bwMode="auto">
        <a:xfrm>
          <a:off x="5772150" y="3733800"/>
          <a:ext cx="428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190500</xdr:colOff>
      <xdr:row>20</xdr:row>
      <xdr:rowOff>9525</xdr:rowOff>
    </xdr:from>
    <xdr:to>
      <xdr:col>9</xdr:col>
      <xdr:colOff>619125</xdr:colOff>
      <xdr:row>20</xdr:row>
      <xdr:rowOff>9525</xdr:rowOff>
    </xdr:to>
    <xdr:sp macro="" textlink="">
      <xdr:nvSpPr>
        <xdr:cNvPr id="745045" name="Line 28">
          <a:extLst>
            <a:ext uri="{FF2B5EF4-FFF2-40B4-BE49-F238E27FC236}">
              <a16:creationId xmlns:a16="http://schemas.microsoft.com/office/drawing/2014/main" id="{20698E54-CA4C-E428-0EDE-C677488348D0}"/>
            </a:ext>
          </a:extLst>
        </xdr:cNvPr>
        <xdr:cNvSpPr>
          <a:spLocks noChangeShapeType="1"/>
        </xdr:cNvSpPr>
      </xdr:nvSpPr>
      <xdr:spPr bwMode="auto">
        <a:xfrm>
          <a:off x="5772150" y="3305175"/>
          <a:ext cx="428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133350</xdr:colOff>
      <xdr:row>17</xdr:row>
      <xdr:rowOff>180975</xdr:rowOff>
    </xdr:from>
    <xdr:to>
      <xdr:col>7</xdr:col>
      <xdr:colOff>542925</xdr:colOff>
      <xdr:row>17</xdr:row>
      <xdr:rowOff>180975</xdr:rowOff>
    </xdr:to>
    <xdr:sp macro="" textlink="">
      <xdr:nvSpPr>
        <xdr:cNvPr id="745046" name="Line 29">
          <a:extLst>
            <a:ext uri="{FF2B5EF4-FFF2-40B4-BE49-F238E27FC236}">
              <a16:creationId xmlns:a16="http://schemas.microsoft.com/office/drawing/2014/main" id="{E2B71C58-9ACF-6AC7-9AC6-4DECD91B2FD2}"/>
            </a:ext>
          </a:extLst>
        </xdr:cNvPr>
        <xdr:cNvSpPr>
          <a:spLocks noChangeShapeType="1"/>
        </xdr:cNvSpPr>
      </xdr:nvSpPr>
      <xdr:spPr bwMode="auto">
        <a:xfrm>
          <a:off x="4095750" y="2971800"/>
          <a:ext cx="10287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142875</xdr:colOff>
      <xdr:row>22</xdr:row>
      <xdr:rowOff>114300</xdr:rowOff>
    </xdr:from>
    <xdr:to>
      <xdr:col>6</xdr:col>
      <xdr:colOff>590550</xdr:colOff>
      <xdr:row>22</xdr:row>
      <xdr:rowOff>114300</xdr:rowOff>
    </xdr:to>
    <xdr:sp macro="" textlink="">
      <xdr:nvSpPr>
        <xdr:cNvPr id="745047" name="Line 30">
          <a:extLst>
            <a:ext uri="{FF2B5EF4-FFF2-40B4-BE49-F238E27FC236}">
              <a16:creationId xmlns:a16="http://schemas.microsoft.com/office/drawing/2014/main" id="{1263061F-E2FB-870F-E5C5-B780D40120FB}"/>
            </a:ext>
          </a:extLst>
        </xdr:cNvPr>
        <xdr:cNvSpPr>
          <a:spLocks noChangeShapeType="1"/>
        </xdr:cNvSpPr>
      </xdr:nvSpPr>
      <xdr:spPr bwMode="auto">
        <a:xfrm flipH="1">
          <a:off x="4105275" y="3733800"/>
          <a:ext cx="447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476250</xdr:colOff>
      <xdr:row>20</xdr:row>
      <xdr:rowOff>9525</xdr:rowOff>
    </xdr:from>
    <xdr:to>
      <xdr:col>9</xdr:col>
      <xdr:colOff>476250</xdr:colOff>
      <xdr:row>22</xdr:row>
      <xdr:rowOff>114300</xdr:rowOff>
    </xdr:to>
    <xdr:sp macro="" textlink="">
      <xdr:nvSpPr>
        <xdr:cNvPr id="745048" name="Line 31">
          <a:extLst>
            <a:ext uri="{FF2B5EF4-FFF2-40B4-BE49-F238E27FC236}">
              <a16:creationId xmlns:a16="http://schemas.microsoft.com/office/drawing/2014/main" id="{085397F3-91E1-0EAD-825D-11917D18BED3}"/>
            </a:ext>
          </a:extLst>
        </xdr:cNvPr>
        <xdr:cNvSpPr>
          <a:spLocks noChangeShapeType="1"/>
        </xdr:cNvSpPr>
      </xdr:nvSpPr>
      <xdr:spPr bwMode="auto">
        <a:xfrm>
          <a:off x="6057900" y="3305175"/>
          <a:ext cx="0" cy="428625"/>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6</xdr:col>
      <xdr:colOff>257175</xdr:colOff>
      <xdr:row>17</xdr:row>
      <xdr:rowOff>180975</xdr:rowOff>
    </xdr:from>
    <xdr:to>
      <xdr:col>6</xdr:col>
      <xdr:colOff>257175</xdr:colOff>
      <xdr:row>22</xdr:row>
      <xdr:rowOff>114300</xdr:rowOff>
    </xdr:to>
    <xdr:sp macro="" textlink="">
      <xdr:nvSpPr>
        <xdr:cNvPr id="745049" name="Line 32">
          <a:extLst>
            <a:ext uri="{FF2B5EF4-FFF2-40B4-BE49-F238E27FC236}">
              <a16:creationId xmlns:a16="http://schemas.microsoft.com/office/drawing/2014/main" id="{69837330-A6C8-2375-F00D-5037A00C04D5}"/>
            </a:ext>
          </a:extLst>
        </xdr:cNvPr>
        <xdr:cNvSpPr>
          <a:spLocks noChangeShapeType="1"/>
        </xdr:cNvSpPr>
      </xdr:nvSpPr>
      <xdr:spPr bwMode="auto">
        <a:xfrm>
          <a:off x="4219575" y="2971800"/>
          <a:ext cx="0" cy="76200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9</xdr:col>
      <xdr:colOff>190500</xdr:colOff>
      <xdr:row>13</xdr:row>
      <xdr:rowOff>142875</xdr:rowOff>
    </xdr:from>
    <xdr:to>
      <xdr:col>9</xdr:col>
      <xdr:colOff>619125</xdr:colOff>
      <xdr:row>13</xdr:row>
      <xdr:rowOff>142875</xdr:rowOff>
    </xdr:to>
    <xdr:sp macro="" textlink="">
      <xdr:nvSpPr>
        <xdr:cNvPr id="745050" name="Line 33">
          <a:extLst>
            <a:ext uri="{FF2B5EF4-FFF2-40B4-BE49-F238E27FC236}">
              <a16:creationId xmlns:a16="http://schemas.microsoft.com/office/drawing/2014/main" id="{F4B2310E-81FD-9974-48B4-904D719F17FD}"/>
            </a:ext>
          </a:extLst>
        </xdr:cNvPr>
        <xdr:cNvSpPr>
          <a:spLocks noChangeShapeType="1"/>
        </xdr:cNvSpPr>
      </xdr:nvSpPr>
      <xdr:spPr bwMode="auto">
        <a:xfrm>
          <a:off x="5772150" y="2305050"/>
          <a:ext cx="428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190500</xdr:colOff>
      <xdr:row>6</xdr:row>
      <xdr:rowOff>133350</xdr:rowOff>
    </xdr:from>
    <xdr:to>
      <xdr:col>9</xdr:col>
      <xdr:colOff>619125</xdr:colOff>
      <xdr:row>6</xdr:row>
      <xdr:rowOff>133350</xdr:rowOff>
    </xdr:to>
    <xdr:sp macro="" textlink="">
      <xdr:nvSpPr>
        <xdr:cNvPr id="745051" name="Line 34">
          <a:extLst>
            <a:ext uri="{FF2B5EF4-FFF2-40B4-BE49-F238E27FC236}">
              <a16:creationId xmlns:a16="http://schemas.microsoft.com/office/drawing/2014/main" id="{D0CEF614-A1F6-4096-3325-81B2BD0EBC08}"/>
            </a:ext>
          </a:extLst>
        </xdr:cNvPr>
        <xdr:cNvSpPr>
          <a:spLocks noChangeShapeType="1"/>
        </xdr:cNvSpPr>
      </xdr:nvSpPr>
      <xdr:spPr bwMode="auto">
        <a:xfrm>
          <a:off x="5772150" y="1162050"/>
          <a:ext cx="4286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466725</xdr:colOff>
      <xdr:row>6</xdr:row>
      <xdr:rowOff>133350</xdr:rowOff>
    </xdr:from>
    <xdr:to>
      <xdr:col>9</xdr:col>
      <xdr:colOff>466725</xdr:colOff>
      <xdr:row>13</xdr:row>
      <xdr:rowOff>142875</xdr:rowOff>
    </xdr:to>
    <xdr:sp macro="" textlink="">
      <xdr:nvSpPr>
        <xdr:cNvPr id="745052" name="Line 35">
          <a:extLst>
            <a:ext uri="{FF2B5EF4-FFF2-40B4-BE49-F238E27FC236}">
              <a16:creationId xmlns:a16="http://schemas.microsoft.com/office/drawing/2014/main" id="{885EF9B0-348A-48C2-D9FE-AD8144077DB9}"/>
            </a:ext>
          </a:extLst>
        </xdr:cNvPr>
        <xdr:cNvSpPr>
          <a:spLocks noChangeShapeType="1"/>
        </xdr:cNvSpPr>
      </xdr:nvSpPr>
      <xdr:spPr bwMode="auto">
        <a:xfrm>
          <a:off x="6048375" y="1162050"/>
          <a:ext cx="0" cy="1143000"/>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6</xdr:col>
      <xdr:colOff>695325</xdr:colOff>
      <xdr:row>20</xdr:row>
      <xdr:rowOff>9525</xdr:rowOff>
    </xdr:from>
    <xdr:to>
      <xdr:col>7</xdr:col>
      <xdr:colOff>438150</xdr:colOff>
      <xdr:row>20</xdr:row>
      <xdr:rowOff>9525</xdr:rowOff>
    </xdr:to>
    <xdr:sp macro="" textlink="">
      <xdr:nvSpPr>
        <xdr:cNvPr id="745053" name="Line 36">
          <a:extLst>
            <a:ext uri="{FF2B5EF4-FFF2-40B4-BE49-F238E27FC236}">
              <a16:creationId xmlns:a16="http://schemas.microsoft.com/office/drawing/2014/main" id="{A774B7D2-B0C6-8562-7FFC-422B0D9DFA6F}"/>
            </a:ext>
          </a:extLst>
        </xdr:cNvPr>
        <xdr:cNvSpPr>
          <a:spLocks noChangeShapeType="1"/>
        </xdr:cNvSpPr>
      </xdr:nvSpPr>
      <xdr:spPr bwMode="auto">
        <a:xfrm>
          <a:off x="4581525" y="3305175"/>
          <a:ext cx="4381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209550</xdr:colOff>
      <xdr:row>19</xdr:row>
      <xdr:rowOff>28575</xdr:rowOff>
    </xdr:from>
    <xdr:to>
      <xdr:col>7</xdr:col>
      <xdr:colOff>314325</xdr:colOff>
      <xdr:row>20</xdr:row>
      <xdr:rowOff>171450</xdr:rowOff>
    </xdr:to>
    <xdr:sp macro="" textlink="">
      <xdr:nvSpPr>
        <xdr:cNvPr id="745054" name="Arc 37">
          <a:extLst>
            <a:ext uri="{FF2B5EF4-FFF2-40B4-BE49-F238E27FC236}">
              <a16:creationId xmlns:a16="http://schemas.microsoft.com/office/drawing/2014/main" id="{8D0989ED-15F3-6BE3-C7FC-6E9AEB89C1DC}"/>
            </a:ext>
          </a:extLst>
        </xdr:cNvPr>
        <xdr:cNvSpPr>
          <a:spLocks/>
        </xdr:cNvSpPr>
      </xdr:nvSpPr>
      <xdr:spPr bwMode="auto">
        <a:xfrm>
          <a:off x="4791075" y="3162300"/>
          <a:ext cx="104775" cy="295275"/>
        </a:xfrm>
        <a:custGeom>
          <a:avLst/>
          <a:gdLst>
            <a:gd name="T0" fmla="*/ 2147483646 w 19129"/>
            <a:gd name="T1" fmla="*/ 0 h 21502"/>
            <a:gd name="T2" fmla="*/ 2147483646 w 19129"/>
            <a:gd name="T3" fmla="*/ 2147483646 h 21502"/>
            <a:gd name="T4" fmla="*/ 0 w 19129"/>
            <a:gd name="T5" fmla="*/ 2147483646 h 21502"/>
            <a:gd name="T6" fmla="*/ 0 60000 65536"/>
            <a:gd name="T7" fmla="*/ 0 60000 65536"/>
            <a:gd name="T8" fmla="*/ 0 60000 65536"/>
            <a:gd name="T9" fmla="*/ 0 w 19129"/>
            <a:gd name="T10" fmla="*/ 0 h 21502"/>
            <a:gd name="T11" fmla="*/ 19129 w 19129"/>
            <a:gd name="T12" fmla="*/ 21502 h 21502"/>
          </a:gdLst>
          <a:ahLst/>
          <a:cxnLst>
            <a:cxn ang="T6">
              <a:pos x="T0" y="T1"/>
            </a:cxn>
            <a:cxn ang="T7">
              <a:pos x="T2" y="T3"/>
            </a:cxn>
            <a:cxn ang="T8">
              <a:pos x="T4" y="T5"/>
            </a:cxn>
          </a:cxnLst>
          <a:rect l="T9" t="T10" r="T11" b="T12"/>
          <a:pathLst>
            <a:path w="19129" h="21502" fill="none" extrusionOk="0">
              <a:moveTo>
                <a:pt x="2052" y="-1"/>
              </a:moveTo>
              <a:cubicBezTo>
                <a:pt x="9316" y="692"/>
                <a:pt x="15739" y="5007"/>
                <a:pt x="19129" y="11469"/>
              </a:cubicBezTo>
            </a:path>
            <a:path w="19129" h="21502" stroke="0" extrusionOk="0">
              <a:moveTo>
                <a:pt x="2052" y="-1"/>
              </a:moveTo>
              <a:cubicBezTo>
                <a:pt x="9316" y="692"/>
                <a:pt x="15739" y="5007"/>
                <a:pt x="19129" y="11469"/>
              </a:cubicBezTo>
              <a:lnTo>
                <a:pt x="0" y="21502"/>
              </a:lnTo>
              <a:lnTo>
                <a:pt x="2052" y="-1"/>
              </a:lnTo>
              <a:close/>
            </a:path>
          </a:pathLst>
        </a:cu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289560</xdr:colOff>
      <xdr:row>19</xdr:row>
      <xdr:rowOff>0</xdr:rowOff>
    </xdr:from>
    <xdr:to>
      <xdr:col>7</xdr:col>
      <xdr:colOff>599069</xdr:colOff>
      <xdr:row>20</xdr:row>
      <xdr:rowOff>29286</xdr:rowOff>
    </xdr:to>
    <xdr:sp macro="" textlink="">
      <xdr:nvSpPr>
        <xdr:cNvPr id="217126" name="Text Box 38">
          <a:extLst>
            <a:ext uri="{FF2B5EF4-FFF2-40B4-BE49-F238E27FC236}">
              <a16:creationId xmlns:a16="http://schemas.microsoft.com/office/drawing/2014/main" id="{A9115863-777C-55AA-61C6-DD7A4B28309F}"/>
            </a:ext>
          </a:extLst>
        </xdr:cNvPr>
        <xdr:cNvSpPr txBox="1">
          <a:spLocks noChangeArrowheads="1"/>
        </xdr:cNvSpPr>
      </xdr:nvSpPr>
      <xdr:spPr bwMode="auto">
        <a:xfrm>
          <a:off x="4810125" y="3105150"/>
          <a:ext cx="390525" cy="209550"/>
        </a:xfrm>
        <a:prstGeom prst="rect">
          <a:avLst/>
        </a:prstGeom>
        <a:noFill/>
        <a:ln w="9525">
          <a:noFill/>
          <a:miter lim="800000"/>
          <a:headEnd/>
          <a:tailEnd/>
        </a:ln>
      </xdr:spPr>
      <xdr:txBody>
        <a:bodyPr vertOverflow="clip" wrap="square" lIns="27432" tIns="22860" rIns="0" bIns="0" anchor="t" upright="1"/>
        <a:lstStyle/>
        <a:p>
          <a:pPr algn="l" rtl="1">
            <a:defRPr sz="1000"/>
          </a:pPr>
          <a:r>
            <a:rPr lang="en-US" sz="1000" b="0" i="0" strike="noStrike">
              <a:solidFill>
                <a:srgbClr val="0000FF"/>
              </a:solidFill>
              <a:latin typeface="Symbol"/>
            </a:rPr>
            <a:t>q </a:t>
          </a:r>
          <a:r>
            <a:rPr lang="en-US" sz="800" b="0" i="0" strike="noStrike" baseline="30000">
              <a:solidFill>
                <a:srgbClr val="0000FF"/>
              </a:solidFill>
              <a:latin typeface="Arial"/>
              <a:cs typeface="Arial"/>
            </a:rPr>
            <a:t>o</a:t>
          </a:r>
        </a:p>
      </xdr:txBody>
    </xdr:sp>
    <xdr:clientData/>
  </xdr:twoCellAnchor>
  <xdr:twoCellAnchor>
    <xdr:from>
      <xdr:col>7</xdr:col>
      <xdr:colOff>666750</xdr:colOff>
      <xdr:row>18</xdr:row>
      <xdr:rowOff>190500</xdr:rowOff>
    </xdr:from>
    <xdr:to>
      <xdr:col>9</xdr:col>
      <xdr:colOff>0</xdr:colOff>
      <xdr:row>18</xdr:row>
      <xdr:rowOff>190500</xdr:rowOff>
    </xdr:to>
    <xdr:sp macro="" textlink="">
      <xdr:nvSpPr>
        <xdr:cNvPr id="745056" name="Line 39">
          <a:extLst>
            <a:ext uri="{FF2B5EF4-FFF2-40B4-BE49-F238E27FC236}">
              <a16:creationId xmlns:a16="http://schemas.microsoft.com/office/drawing/2014/main" id="{7B9D1AD7-2341-1060-E201-60E804E3D447}"/>
            </a:ext>
          </a:extLst>
        </xdr:cNvPr>
        <xdr:cNvSpPr>
          <a:spLocks noChangeShapeType="1"/>
        </xdr:cNvSpPr>
      </xdr:nvSpPr>
      <xdr:spPr bwMode="auto">
        <a:xfrm>
          <a:off x="5200650" y="3133725"/>
          <a:ext cx="3810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85725</xdr:colOff>
      <xdr:row>18</xdr:row>
      <xdr:rowOff>190500</xdr:rowOff>
    </xdr:from>
    <xdr:to>
      <xdr:col>8</xdr:col>
      <xdr:colOff>85725</xdr:colOff>
      <xdr:row>22</xdr:row>
      <xdr:rowOff>114300</xdr:rowOff>
    </xdr:to>
    <xdr:sp macro="" textlink="">
      <xdr:nvSpPr>
        <xdr:cNvPr id="745057" name="Line 40">
          <a:extLst>
            <a:ext uri="{FF2B5EF4-FFF2-40B4-BE49-F238E27FC236}">
              <a16:creationId xmlns:a16="http://schemas.microsoft.com/office/drawing/2014/main" id="{015C805E-476E-2BE8-8AF7-6D81347E8520}"/>
            </a:ext>
          </a:extLst>
        </xdr:cNvPr>
        <xdr:cNvSpPr>
          <a:spLocks noChangeShapeType="1"/>
        </xdr:cNvSpPr>
      </xdr:nvSpPr>
      <xdr:spPr bwMode="auto">
        <a:xfrm>
          <a:off x="5286375" y="3133725"/>
          <a:ext cx="0" cy="600075"/>
        </a:xfrm>
        <a:prstGeom prst="line">
          <a:avLst/>
        </a:prstGeom>
        <a:noFill/>
        <a:ln w="9525">
          <a:solidFill>
            <a:srgbClr val="000000"/>
          </a:solidFill>
          <a:round/>
          <a:headEnd type="stealth" w="sm" len="sm"/>
          <a:tailEnd type="stealth" w="sm" len="sm"/>
        </a:ln>
        <a:extLst>
          <a:ext uri="{909E8E84-426E-40DD-AFC4-6F175D3DCCD1}">
            <a14:hiddenFill xmlns:a14="http://schemas.microsoft.com/office/drawing/2010/main">
              <a:noFill/>
            </a14:hiddenFill>
          </a:ext>
        </a:extLst>
      </xdr:spPr>
    </xdr:sp>
    <xdr:clientData/>
  </xdr:twoCellAnchor>
  <xdr:twoCellAnchor>
    <xdr:from>
      <xdr:col>7</xdr:col>
      <xdr:colOff>516255</xdr:colOff>
      <xdr:row>14</xdr:row>
      <xdr:rowOff>0</xdr:rowOff>
    </xdr:from>
    <xdr:to>
      <xdr:col>8</xdr:col>
      <xdr:colOff>352</xdr:colOff>
      <xdr:row>15</xdr:row>
      <xdr:rowOff>883</xdr:rowOff>
    </xdr:to>
    <xdr:sp macro="" textlink="">
      <xdr:nvSpPr>
        <xdr:cNvPr id="217129" name="Text Box 41">
          <a:extLst>
            <a:ext uri="{FF2B5EF4-FFF2-40B4-BE49-F238E27FC236}">
              <a16:creationId xmlns:a16="http://schemas.microsoft.com/office/drawing/2014/main" id="{16B35938-FF81-9ECC-85A1-0110FB1F6133}"/>
            </a:ext>
          </a:extLst>
        </xdr:cNvPr>
        <xdr:cNvSpPr txBox="1">
          <a:spLocks noChangeArrowheads="1"/>
        </xdr:cNvSpPr>
      </xdr:nvSpPr>
      <xdr:spPr bwMode="auto">
        <a:xfrm>
          <a:off x="4991100" y="2324100"/>
          <a:ext cx="180975" cy="152400"/>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W</a:t>
          </a:r>
        </a:p>
      </xdr:txBody>
    </xdr:sp>
    <xdr:clientData/>
  </xdr:twoCellAnchor>
  <xdr:twoCellAnchor>
    <xdr:from>
      <xdr:col>9</xdr:col>
      <xdr:colOff>480060</xdr:colOff>
      <xdr:row>10</xdr:row>
      <xdr:rowOff>15240</xdr:rowOff>
    </xdr:from>
    <xdr:to>
      <xdr:col>9</xdr:col>
      <xdr:colOff>706038</xdr:colOff>
      <xdr:row>11</xdr:row>
      <xdr:rowOff>31</xdr:rowOff>
    </xdr:to>
    <xdr:sp macro="" textlink="">
      <xdr:nvSpPr>
        <xdr:cNvPr id="217130" name="Text Box 42">
          <a:extLst>
            <a:ext uri="{FF2B5EF4-FFF2-40B4-BE49-F238E27FC236}">
              <a16:creationId xmlns:a16="http://schemas.microsoft.com/office/drawing/2014/main" id="{3A33C9D9-9D9C-B1F6-E3D9-D9E467DE5C94}"/>
            </a:ext>
          </a:extLst>
        </xdr:cNvPr>
        <xdr:cNvSpPr txBox="1">
          <a:spLocks noChangeArrowheads="1"/>
        </xdr:cNvSpPr>
      </xdr:nvSpPr>
      <xdr:spPr bwMode="auto">
        <a:xfrm>
          <a:off x="5962650" y="1628775"/>
          <a:ext cx="180975" cy="161925"/>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L</a:t>
          </a:r>
        </a:p>
      </xdr:txBody>
    </xdr:sp>
    <xdr:clientData/>
  </xdr:twoCellAnchor>
  <xdr:twoCellAnchor>
    <xdr:from>
      <xdr:col>6</xdr:col>
      <xdr:colOff>99060</xdr:colOff>
      <xdr:row>19</xdr:row>
      <xdr:rowOff>140970</xdr:rowOff>
    </xdr:from>
    <xdr:to>
      <xdr:col>6</xdr:col>
      <xdr:colOff>325491</xdr:colOff>
      <xdr:row>20</xdr:row>
      <xdr:rowOff>108859</xdr:rowOff>
    </xdr:to>
    <xdr:sp macro="" textlink="">
      <xdr:nvSpPr>
        <xdr:cNvPr id="217131" name="Text Box 43">
          <a:extLst>
            <a:ext uri="{FF2B5EF4-FFF2-40B4-BE49-F238E27FC236}">
              <a16:creationId xmlns:a16="http://schemas.microsoft.com/office/drawing/2014/main" id="{5036357A-6DF7-E8DF-BE50-69F21DA5212F}"/>
            </a:ext>
          </a:extLst>
        </xdr:cNvPr>
        <xdr:cNvSpPr txBox="1">
          <a:spLocks noChangeArrowheads="1"/>
        </xdr:cNvSpPr>
      </xdr:nvSpPr>
      <xdr:spPr bwMode="auto">
        <a:xfrm>
          <a:off x="4029075" y="3238500"/>
          <a:ext cx="180975" cy="152400"/>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h</a:t>
          </a:r>
          <a:r>
            <a:rPr lang="en-US" sz="800" b="0" i="0" strike="noStrike">
              <a:solidFill>
                <a:srgbClr val="0000FF"/>
              </a:solidFill>
              <a:latin typeface="Arial"/>
              <a:cs typeface="Arial"/>
            </a:rPr>
            <a:t>r</a:t>
          </a:r>
        </a:p>
      </xdr:txBody>
    </xdr:sp>
    <xdr:clientData/>
  </xdr:twoCellAnchor>
  <xdr:twoCellAnchor>
    <xdr:from>
      <xdr:col>9</xdr:col>
      <xdr:colOff>518160</xdr:colOff>
      <xdr:row>21</xdr:row>
      <xdr:rowOff>0</xdr:rowOff>
    </xdr:from>
    <xdr:to>
      <xdr:col>9</xdr:col>
      <xdr:colOff>702957</xdr:colOff>
      <xdr:row>22</xdr:row>
      <xdr:rowOff>16321</xdr:rowOff>
    </xdr:to>
    <xdr:sp macro="" textlink="">
      <xdr:nvSpPr>
        <xdr:cNvPr id="217132" name="Text Box 44">
          <a:extLst>
            <a:ext uri="{FF2B5EF4-FFF2-40B4-BE49-F238E27FC236}">
              <a16:creationId xmlns:a16="http://schemas.microsoft.com/office/drawing/2014/main" id="{AB629625-E247-CE8B-0A89-24DFD9E237F3}"/>
            </a:ext>
          </a:extLst>
        </xdr:cNvPr>
        <xdr:cNvSpPr txBox="1">
          <a:spLocks noChangeArrowheads="1"/>
        </xdr:cNvSpPr>
      </xdr:nvSpPr>
      <xdr:spPr bwMode="auto">
        <a:xfrm>
          <a:off x="5972175" y="3429000"/>
          <a:ext cx="180975" cy="152400"/>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h</a:t>
          </a:r>
          <a:r>
            <a:rPr lang="en-US" sz="800" b="0" i="0" strike="noStrike">
              <a:solidFill>
                <a:srgbClr val="0000FF"/>
              </a:solidFill>
              <a:latin typeface="Arial"/>
              <a:cs typeface="Arial"/>
            </a:rPr>
            <a:t>e</a:t>
          </a:r>
        </a:p>
      </xdr:txBody>
    </xdr:sp>
    <xdr:clientData/>
  </xdr:twoCellAnchor>
  <xdr:twoCellAnchor>
    <xdr:from>
      <xdr:col>8</xdr:col>
      <xdr:colOff>70485</xdr:colOff>
      <xdr:row>20</xdr:row>
      <xdr:rowOff>60960</xdr:rowOff>
    </xdr:from>
    <xdr:to>
      <xdr:col>9</xdr:col>
      <xdr:colOff>154148</xdr:colOff>
      <xdr:row>21</xdr:row>
      <xdr:rowOff>116765</xdr:rowOff>
    </xdr:to>
    <xdr:sp macro="" textlink="">
      <xdr:nvSpPr>
        <xdr:cNvPr id="217133" name="Text Box 45">
          <a:extLst>
            <a:ext uri="{FF2B5EF4-FFF2-40B4-BE49-F238E27FC236}">
              <a16:creationId xmlns:a16="http://schemas.microsoft.com/office/drawing/2014/main" id="{BD5C7DAB-F73C-4FCB-409B-7E5296433D05}"/>
            </a:ext>
          </a:extLst>
        </xdr:cNvPr>
        <xdr:cNvSpPr txBox="1">
          <a:spLocks noChangeArrowheads="1"/>
        </xdr:cNvSpPr>
      </xdr:nvSpPr>
      <xdr:spPr bwMode="auto">
        <a:xfrm>
          <a:off x="5267325" y="3333750"/>
          <a:ext cx="428625" cy="228600"/>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h&lt;=60'</a:t>
          </a:r>
        </a:p>
      </xdr:txBody>
    </xdr:sp>
    <xdr:clientData/>
  </xdr:twoCellAnchor>
  <xdr:twoCellAnchor>
    <xdr:from>
      <xdr:col>7</xdr:col>
      <xdr:colOff>516255</xdr:colOff>
      <xdr:row>23</xdr:row>
      <xdr:rowOff>0</xdr:rowOff>
    </xdr:from>
    <xdr:to>
      <xdr:col>8</xdr:col>
      <xdr:colOff>352</xdr:colOff>
      <xdr:row>24</xdr:row>
      <xdr:rowOff>657</xdr:rowOff>
    </xdr:to>
    <xdr:sp macro="" textlink="">
      <xdr:nvSpPr>
        <xdr:cNvPr id="217134" name="Text Box 46">
          <a:extLst>
            <a:ext uri="{FF2B5EF4-FFF2-40B4-BE49-F238E27FC236}">
              <a16:creationId xmlns:a16="http://schemas.microsoft.com/office/drawing/2014/main" id="{7B27A5D0-1F67-F513-CA3A-403D624BAAB1}"/>
            </a:ext>
          </a:extLst>
        </xdr:cNvPr>
        <xdr:cNvSpPr txBox="1">
          <a:spLocks noChangeArrowheads="1"/>
        </xdr:cNvSpPr>
      </xdr:nvSpPr>
      <xdr:spPr bwMode="auto">
        <a:xfrm>
          <a:off x="4991100" y="3781425"/>
          <a:ext cx="180975" cy="152400"/>
        </a:xfrm>
        <a:prstGeom prst="rect">
          <a:avLst/>
        </a:prstGeom>
        <a:noFill/>
        <a:ln w="9525">
          <a:noFill/>
          <a:miter lim="800000"/>
          <a:headEnd/>
          <a:tailEnd/>
        </a:ln>
      </xdr:spPr>
      <xdr:txBody>
        <a:bodyPr vertOverflow="clip" wrap="square" lIns="18288" tIns="18288" rIns="0" bIns="0" anchor="t" upright="1"/>
        <a:lstStyle/>
        <a:p>
          <a:pPr algn="l" rtl="1">
            <a:defRPr sz="1000"/>
          </a:pPr>
          <a:r>
            <a:rPr lang="en-US" sz="900" b="0" i="0" strike="noStrike">
              <a:solidFill>
                <a:srgbClr val="0000FF"/>
              </a:solidFill>
              <a:latin typeface="Arial"/>
              <a:cs typeface="Arial"/>
            </a:rPr>
            <a:t>W</a:t>
          </a:r>
        </a:p>
      </xdr:txBody>
    </xdr:sp>
    <xdr:clientData/>
  </xdr:twoCellAnchor>
  <xdr:twoCellAnchor editAs="oneCell">
    <xdr:from>
      <xdr:col>0</xdr:col>
      <xdr:colOff>800100</xdr:colOff>
      <xdr:row>142</xdr:row>
      <xdr:rowOff>57150</xdr:rowOff>
    </xdr:from>
    <xdr:to>
      <xdr:col>9</xdr:col>
      <xdr:colOff>0</xdr:colOff>
      <xdr:row>170</xdr:row>
      <xdr:rowOff>85725</xdr:rowOff>
    </xdr:to>
    <xdr:pic>
      <xdr:nvPicPr>
        <xdr:cNvPr id="745064" name="Picture 52">
          <a:extLst>
            <a:ext uri="{FF2B5EF4-FFF2-40B4-BE49-F238E27FC236}">
              <a16:creationId xmlns:a16="http://schemas.microsoft.com/office/drawing/2014/main" id="{76A2D592-0D0D-1348-B3CE-492FDEBC92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23107650"/>
          <a:ext cx="4857750" cy="4562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47625</xdr:colOff>
      <xdr:row>117</xdr:row>
      <xdr:rowOff>180975</xdr:rowOff>
    </xdr:from>
    <xdr:to>
      <xdr:col>8</xdr:col>
      <xdr:colOff>152400</xdr:colOff>
      <xdr:row>139</xdr:row>
      <xdr:rowOff>9525</xdr:rowOff>
    </xdr:to>
    <xdr:pic>
      <xdr:nvPicPr>
        <xdr:cNvPr id="745065" name="Picture 53">
          <a:extLst>
            <a:ext uri="{FF2B5EF4-FFF2-40B4-BE49-F238E27FC236}">
              <a16:creationId xmlns:a16="http://schemas.microsoft.com/office/drawing/2014/main" id="{7E315F57-EB5A-289D-971A-6D21737491B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1525" y="19164300"/>
          <a:ext cx="4581525" cy="3409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9E712-4ED1-4ABD-A2A0-6767969318B0}">
  <sheetPr codeName="Sheet2"/>
  <dimension ref="A1:AC38"/>
  <sheetViews>
    <sheetView showGridLines="0" view="pageBreakPreview" zoomScale="130" zoomScaleNormal="130" zoomScaleSheetLayoutView="130" workbookViewId="0">
      <selection activeCell="D20" sqref="D20"/>
    </sheetView>
  </sheetViews>
  <sheetFormatPr defaultRowHeight="12.75" x14ac:dyDescent="0.2"/>
  <cols>
    <col min="1" max="1" width="24.42578125" style="53" customWidth="1"/>
    <col min="2" max="2" width="9.42578125" style="53" customWidth="1"/>
    <col min="3" max="3" width="9.140625" style="53"/>
    <col min="4" max="4" width="9.7109375" style="53" customWidth="1"/>
    <col min="5" max="5" width="8.28515625" style="53" customWidth="1"/>
    <col min="6" max="6" width="6.42578125" style="53" customWidth="1"/>
    <col min="7" max="7" width="10.140625" style="53" customWidth="1"/>
    <col min="8" max="8" width="12.28515625" style="53" customWidth="1"/>
    <col min="9" max="10" width="9.140625" customWidth="1"/>
    <col min="11" max="11" width="15.7109375" customWidth="1"/>
    <col min="12" max="12" width="9.140625" customWidth="1"/>
    <col min="13" max="13" width="14.7109375" customWidth="1"/>
    <col min="14" max="14" width="15.7109375" customWidth="1"/>
    <col min="15" max="18" width="9.140625" customWidth="1"/>
    <col min="19" max="19" width="9.140625" style="13" customWidth="1"/>
    <col min="20" max="26" width="9.140625" customWidth="1"/>
    <col min="28" max="28" width="9.7109375" customWidth="1"/>
    <col min="29" max="29" width="9.7109375" hidden="1" customWidth="1"/>
  </cols>
  <sheetData>
    <row r="1" spans="1:29" ht="15.75" x14ac:dyDescent="0.25">
      <c r="A1" s="33" t="s">
        <v>389</v>
      </c>
      <c r="B1" s="34"/>
      <c r="C1" s="34"/>
      <c r="D1" s="34"/>
      <c r="E1" s="34"/>
      <c r="F1" s="34"/>
      <c r="G1" s="34"/>
      <c r="H1" s="45"/>
      <c r="L1" s="17"/>
      <c r="M1" s="3"/>
      <c r="N1" s="3"/>
      <c r="O1" s="3"/>
      <c r="P1" s="3"/>
      <c r="Q1" s="3"/>
      <c r="R1" s="3"/>
      <c r="AA1" s="473"/>
    </row>
    <row r="2" spans="1:29" ht="12.75" customHeight="1" x14ac:dyDescent="0.2">
      <c r="A2" s="35" t="s">
        <v>435</v>
      </c>
      <c r="B2" s="36"/>
      <c r="C2" s="36"/>
      <c r="D2" s="36"/>
      <c r="E2" s="36"/>
      <c r="F2" s="36"/>
      <c r="G2" s="36"/>
      <c r="H2" s="47"/>
      <c r="L2" s="3"/>
      <c r="M2" s="3"/>
      <c r="N2" s="3"/>
      <c r="O2" s="3"/>
      <c r="P2" s="3"/>
      <c r="Q2" s="3"/>
      <c r="R2" s="3"/>
    </row>
    <row r="3" spans="1:29" ht="12.75" customHeight="1" x14ac:dyDescent="0.2">
      <c r="A3" s="35" t="s">
        <v>434</v>
      </c>
      <c r="B3" s="36"/>
      <c r="C3" s="36"/>
      <c r="D3" s="36"/>
      <c r="E3" s="36"/>
      <c r="F3" s="36"/>
      <c r="G3" s="36"/>
      <c r="H3" s="47"/>
      <c r="J3" s="232"/>
      <c r="L3" s="7"/>
      <c r="M3" s="2"/>
      <c r="N3" s="3"/>
      <c r="O3" s="7"/>
      <c r="P3" s="2"/>
      <c r="Q3" s="3"/>
      <c r="R3" s="3"/>
    </row>
    <row r="4" spans="1:29" x14ac:dyDescent="0.2">
      <c r="A4" s="98"/>
      <c r="B4" s="98"/>
      <c r="C4" s="98"/>
      <c r="D4" s="98"/>
      <c r="E4" s="98"/>
      <c r="F4" s="98"/>
      <c r="G4" s="98"/>
      <c r="H4" s="98"/>
      <c r="J4" s="232"/>
      <c r="L4" s="3"/>
      <c r="M4" s="3"/>
      <c r="N4" s="3"/>
      <c r="O4" s="3"/>
      <c r="P4" s="3"/>
      <c r="Q4" s="3"/>
      <c r="R4" s="3"/>
    </row>
    <row r="5" spans="1:29" x14ac:dyDescent="0.2">
      <c r="A5" s="54" t="s">
        <v>313</v>
      </c>
      <c r="J5" s="232"/>
      <c r="L5" s="3"/>
      <c r="M5" s="2"/>
      <c r="N5" s="8"/>
      <c r="O5" s="3"/>
      <c r="P5" s="3"/>
      <c r="Q5" s="3"/>
      <c r="R5" s="3"/>
    </row>
    <row r="6" spans="1:29" x14ac:dyDescent="0.2">
      <c r="A6" s="675" t="s">
        <v>23</v>
      </c>
      <c r="B6" s="676" t="s">
        <v>47</v>
      </c>
      <c r="C6" s="83"/>
      <c r="D6" s="83"/>
      <c r="E6" s="83"/>
      <c r="F6" s="179"/>
      <c r="G6" s="44"/>
      <c r="H6" s="295"/>
      <c r="AC6" t="s">
        <v>116</v>
      </c>
    </row>
    <row r="7" spans="1:29" x14ac:dyDescent="0.2">
      <c r="A7" s="679" t="s">
        <v>487</v>
      </c>
      <c r="B7" s="680">
        <v>700</v>
      </c>
      <c r="C7" s="83"/>
      <c r="D7" s="83"/>
      <c r="E7" s="83"/>
      <c r="F7" s="498"/>
      <c r="G7" s="39"/>
      <c r="H7" s="183"/>
      <c r="AC7" t="s">
        <v>113</v>
      </c>
    </row>
    <row r="8" spans="1:29" x14ac:dyDescent="0.2">
      <c r="A8" s="56" t="s">
        <v>108</v>
      </c>
      <c r="B8" s="680" t="s">
        <v>47</v>
      </c>
      <c r="C8" s="53" t="s">
        <v>245</v>
      </c>
      <c r="D8" s="83"/>
      <c r="E8" s="83"/>
      <c r="H8" s="57"/>
    </row>
    <row r="9" spans="1:29" x14ac:dyDescent="0.2">
      <c r="A9" s="56" t="s">
        <v>314</v>
      </c>
      <c r="B9" s="681">
        <f>HLOOKUP($B$6,$B$28:$F$32,MATCH($B$7,$G$29:$G$32,0)+1,FALSE)</f>
        <v>55.615418584293401</v>
      </c>
      <c r="C9" s="488" t="s">
        <v>489</v>
      </c>
      <c r="H9" s="57"/>
    </row>
    <row r="10" spans="1:29" x14ac:dyDescent="0.2">
      <c r="A10" s="56"/>
      <c r="B10" s="682">
        <f>B9*3.6</f>
        <v>200.21550690345626</v>
      </c>
      <c r="C10" s="488" t="s">
        <v>488</v>
      </c>
      <c r="H10" s="214"/>
    </row>
    <row r="11" spans="1:29" x14ac:dyDescent="0.2">
      <c r="A11" s="56" t="s">
        <v>109</v>
      </c>
      <c r="B11" s="676" t="s">
        <v>319</v>
      </c>
      <c r="C11" s="103"/>
      <c r="H11" s="225"/>
    </row>
    <row r="12" spans="1:29" x14ac:dyDescent="0.2">
      <c r="A12" s="56" t="s">
        <v>315</v>
      </c>
      <c r="B12" s="676">
        <v>20</v>
      </c>
      <c r="C12" s="416" t="s">
        <v>62</v>
      </c>
      <c r="H12" s="57"/>
    </row>
    <row r="13" spans="1:29" x14ac:dyDescent="0.2">
      <c r="A13" s="56" t="s">
        <v>316</v>
      </c>
      <c r="B13" s="676">
        <v>18</v>
      </c>
      <c r="C13" s="508" t="s">
        <v>65</v>
      </c>
      <c r="E13" s="58" t="str">
        <f>IF(B13&gt;B12,"hr MUST BE &gt;= he !","")</f>
        <v/>
      </c>
      <c r="H13" s="57"/>
      <c r="S13"/>
    </row>
    <row r="14" spans="1:29" x14ac:dyDescent="0.2">
      <c r="A14" s="56" t="s">
        <v>11</v>
      </c>
      <c r="B14" s="676">
        <v>30</v>
      </c>
      <c r="C14" s="416" t="s">
        <v>63</v>
      </c>
      <c r="H14" s="57"/>
      <c r="S14"/>
    </row>
    <row r="15" spans="1:29" x14ac:dyDescent="0.2">
      <c r="A15" s="56" t="s">
        <v>12</v>
      </c>
      <c r="B15" s="676">
        <v>100</v>
      </c>
      <c r="C15" s="416" t="s">
        <v>64</v>
      </c>
      <c r="F15" s="234"/>
      <c r="H15" s="57"/>
      <c r="S15"/>
    </row>
    <row r="16" spans="1:29" x14ac:dyDescent="0.2">
      <c r="A16" s="56" t="s">
        <v>490</v>
      </c>
      <c r="B16" s="709">
        <f>'Building - Ngang'!B28</f>
        <v>7.5946433685914405</v>
      </c>
      <c r="C16" s="416"/>
      <c r="F16" s="500"/>
      <c r="G16" s="501"/>
      <c r="H16" s="57"/>
      <c r="S16"/>
    </row>
    <row r="17" spans="1:19" x14ac:dyDescent="0.2">
      <c r="A17" s="56" t="s">
        <v>112</v>
      </c>
      <c r="B17" s="677" t="s">
        <v>116</v>
      </c>
      <c r="C17" s="416" t="s">
        <v>363</v>
      </c>
      <c r="H17" s="57"/>
      <c r="S17"/>
    </row>
    <row r="18" spans="1:19" x14ac:dyDescent="0.2">
      <c r="A18" s="56" t="s">
        <v>317</v>
      </c>
      <c r="B18" s="676">
        <v>1</v>
      </c>
      <c r="C18" s="508"/>
      <c r="H18" s="57"/>
      <c r="S18"/>
    </row>
    <row r="19" spans="1:19" x14ac:dyDescent="0.2">
      <c r="A19" s="56" t="s">
        <v>390</v>
      </c>
      <c r="B19" s="676">
        <v>0.85</v>
      </c>
      <c r="C19" s="103"/>
      <c r="H19" s="57"/>
    </row>
    <row r="20" spans="1:19" x14ac:dyDescent="0.2">
      <c r="A20" s="56" t="s">
        <v>191</v>
      </c>
      <c r="B20" s="678" t="s">
        <v>17</v>
      </c>
      <c r="C20" s="101"/>
      <c r="H20" s="57"/>
    </row>
    <row r="21" spans="1:19" x14ac:dyDescent="0.2">
      <c r="A21" s="489" t="s">
        <v>44</v>
      </c>
      <c r="B21" s="678" t="s">
        <v>284</v>
      </c>
      <c r="F21" s="234"/>
      <c r="H21" s="214"/>
    </row>
    <row r="22" spans="1:19" x14ac:dyDescent="0.2">
      <c r="A22" s="56"/>
      <c r="C22" s="508"/>
      <c r="H22" s="497"/>
    </row>
    <row r="23" spans="1:19" x14ac:dyDescent="0.2">
      <c r="A23" s="56"/>
      <c r="B23" s="508"/>
      <c r="C23" s="508"/>
      <c r="F23" s="234"/>
      <c r="H23" s="57"/>
    </row>
    <row r="24" spans="1:19" x14ac:dyDescent="0.2">
      <c r="A24" s="52"/>
      <c r="C24" s="599"/>
      <c r="F24" s="234"/>
      <c r="H24" s="57"/>
    </row>
    <row r="25" spans="1:19" x14ac:dyDescent="0.2">
      <c r="C25" s="59"/>
      <c r="F25" s="81"/>
      <c r="G25" s="81"/>
    </row>
    <row r="27" spans="1:19" ht="15" x14ac:dyDescent="0.25">
      <c r="A27" s="686" t="s">
        <v>476</v>
      </c>
      <c r="B27" s="686"/>
      <c r="C27" s="686"/>
      <c r="D27" s="686"/>
      <c r="E27" s="686"/>
      <c r="F27" s="686"/>
      <c r="G27" s="686"/>
      <c r="H27" s="686"/>
    </row>
    <row r="28" spans="1:19" ht="15" x14ac:dyDescent="0.2">
      <c r="A28" s="645" t="s">
        <v>477</v>
      </c>
      <c r="B28" s="645" t="s">
        <v>56</v>
      </c>
      <c r="C28" s="645" t="s">
        <v>47</v>
      </c>
      <c r="D28" s="645" t="s">
        <v>48</v>
      </c>
      <c r="E28" s="645" t="s">
        <v>49</v>
      </c>
      <c r="F28" s="645" t="s">
        <v>478</v>
      </c>
      <c r="G28" s="648" t="s">
        <v>479</v>
      </c>
      <c r="H28" s="645" t="s">
        <v>480</v>
      </c>
    </row>
    <row r="29" spans="1:19" ht="18" x14ac:dyDescent="0.25">
      <c r="A29" s="645" t="s">
        <v>481</v>
      </c>
      <c r="B29" s="649">
        <v>36</v>
      </c>
      <c r="C29" s="649">
        <v>44</v>
      </c>
      <c r="D29" s="649">
        <v>50</v>
      </c>
      <c r="E29" s="649">
        <v>55</v>
      </c>
      <c r="F29" s="649">
        <v>61</v>
      </c>
      <c r="G29" s="648">
        <v>50</v>
      </c>
      <c r="H29" s="650" t="s">
        <v>281</v>
      </c>
    </row>
    <row r="30" spans="1:19" ht="18" x14ac:dyDescent="0.2">
      <c r="A30" s="645" t="s">
        <v>482</v>
      </c>
      <c r="B30" s="649">
        <f>B29*$H30</f>
        <v>42.452315172444344</v>
      </c>
      <c r="C30" s="649">
        <f>C29*$H30</f>
        <v>51.886162988543084</v>
      </c>
      <c r="D30" s="649">
        <f>D29*$H30</f>
        <v>58.961548850617142</v>
      </c>
      <c r="E30" s="649">
        <f>E29*$H30</f>
        <v>64.857703735678854</v>
      </c>
      <c r="F30" s="649">
        <f>F29*$H30</f>
        <v>71.933089597752911</v>
      </c>
      <c r="G30" s="645">
        <v>300</v>
      </c>
      <c r="H30" s="651">
        <f>(0.36+0.1*LN(12*G30))/(0.36+0.1*LN(12*$G$29))</f>
        <v>1.1792309770123428</v>
      </c>
    </row>
    <row r="31" spans="1:19" ht="18" x14ac:dyDescent="0.2">
      <c r="A31" s="645" t="s">
        <v>483</v>
      </c>
      <c r="B31" s="649">
        <f>B29*$H31</f>
        <v>45.503524296240059</v>
      </c>
      <c r="C31" s="649">
        <f>C29*$H31</f>
        <v>55.615418584293401</v>
      </c>
      <c r="D31" s="649">
        <f>D29*$H31</f>
        <v>63.199339300333413</v>
      </c>
      <c r="E31" s="649">
        <f>E29*$H31</f>
        <v>69.51927323036675</v>
      </c>
      <c r="F31" s="649">
        <f>F29*$H31</f>
        <v>77.103193946406762</v>
      </c>
      <c r="G31" s="645">
        <v>700</v>
      </c>
      <c r="H31" s="651">
        <f>(0.36+0.1*LN(12*G31))/(0.36+0.1*LN(12*$G$29))</f>
        <v>1.2639867860066683</v>
      </c>
    </row>
    <row r="32" spans="1:19" ht="18" x14ac:dyDescent="0.2">
      <c r="A32" s="645" t="s">
        <v>484</v>
      </c>
      <c r="B32" s="649">
        <f>B29*$H32</f>
        <v>48.698796857087316</v>
      </c>
      <c r="C32" s="649">
        <f>C29*$H32</f>
        <v>59.520751714217823</v>
      </c>
      <c r="D32" s="649">
        <f>D29*$H32</f>
        <v>67.637217857065707</v>
      </c>
      <c r="E32" s="649">
        <f>E29*$H32</f>
        <v>74.400939642772286</v>
      </c>
      <c r="F32" s="649">
        <f>F29*$H32</f>
        <v>82.51740578562017</v>
      </c>
      <c r="G32" s="645">
        <v>1700</v>
      </c>
      <c r="H32" s="651">
        <f>(0.36+0.1*LN(12*G32))/(0.36+0.1*LN(12*$G$29))</f>
        <v>1.3527443571413142</v>
      </c>
    </row>
    <row r="34" spans="1:7" ht="18" x14ac:dyDescent="0.2">
      <c r="A34" s="645" t="s">
        <v>472</v>
      </c>
      <c r="B34" s="646" t="s">
        <v>473</v>
      </c>
      <c r="C34" s="647" t="s">
        <v>474</v>
      </c>
      <c r="D34" s="647" t="s">
        <v>475</v>
      </c>
      <c r="E34" s="647"/>
      <c r="F34" s="647" t="s">
        <v>284</v>
      </c>
      <c r="G34" s="647" t="s">
        <v>17</v>
      </c>
    </row>
    <row r="35" spans="1:7" ht="15" x14ac:dyDescent="0.2">
      <c r="A35" s="645" t="s">
        <v>13</v>
      </c>
      <c r="B35" s="647">
        <v>7</v>
      </c>
      <c r="C35" s="647">
        <v>365.76</v>
      </c>
      <c r="D35" s="647">
        <v>365.76</v>
      </c>
      <c r="E35" s="647" t="s">
        <v>56</v>
      </c>
      <c r="F35" s="647">
        <v>0.87</v>
      </c>
      <c r="G35" s="647">
        <v>0.77</v>
      </c>
    </row>
    <row r="36" spans="1:7" ht="15" x14ac:dyDescent="0.2">
      <c r="A36" s="645" t="s">
        <v>319</v>
      </c>
      <c r="B36" s="647">
        <v>9.5</v>
      </c>
      <c r="C36" s="647">
        <v>274.32</v>
      </c>
      <c r="D36" s="647">
        <v>274.32</v>
      </c>
      <c r="E36" s="647" t="s">
        <v>47</v>
      </c>
      <c r="F36" s="647">
        <v>1</v>
      </c>
      <c r="G36" s="647">
        <v>1</v>
      </c>
    </row>
    <row r="37" spans="1:7" ht="15" x14ac:dyDescent="0.2">
      <c r="A37" s="645" t="s">
        <v>50</v>
      </c>
      <c r="B37" s="647">
        <v>11.5</v>
      </c>
      <c r="C37" s="647">
        <v>213.36</v>
      </c>
      <c r="D37" s="647">
        <v>213.36</v>
      </c>
      <c r="E37" s="647" t="s">
        <v>48</v>
      </c>
      <c r="F37" s="647">
        <v>1.1499999999999999</v>
      </c>
      <c r="G37" s="647">
        <v>1.1499999999999999</v>
      </c>
    </row>
    <row r="38" spans="1:7" x14ac:dyDescent="0.2">
      <c r="A38"/>
      <c r="B38"/>
      <c r="C38"/>
      <c r="D38"/>
      <c r="E38" s="647" t="s">
        <v>49</v>
      </c>
      <c r="F38" s="647">
        <v>1.1499999999999999</v>
      </c>
      <c r="G38" s="647">
        <v>1.1499999999999999</v>
      </c>
    </row>
  </sheetData>
  <mergeCells count="1">
    <mergeCell ref="A27:H27"/>
  </mergeCells>
  <phoneticPr fontId="36" type="noConversion"/>
  <dataValidations count="6">
    <dataValidation type="list" allowBlank="1" showInputMessage="1" showErrorMessage="1" errorTitle="Warning!" error="Invalid reply (must input either Y or N)" sqref="B20" xr:uid="{09C68EF0-91A9-4D82-8856-1493357124AC}">
      <formula1>#REF!</formula1>
    </dataValidation>
    <dataValidation type="list" allowBlank="1" showInputMessage="1" showErrorMessage="1" errorTitle="Warning!" error="Invalid roof type (must input either G or M)" sqref="B17" xr:uid="{7A05845F-14B1-4715-BC85-7B7238EAEEB5}">
      <formula1>$AC$6:$AC$7</formula1>
    </dataValidation>
    <dataValidation type="list" allowBlank="1" showInputMessage="1" showErrorMessage="1" prompt="Is location in a hurricane prone or non-hurricane prone region?" sqref="B21" xr:uid="{6CA3A573-C17C-432B-AE5A-18BACCF939FC}">
      <formula1>#REF!</formula1>
    </dataValidation>
    <dataValidation type="list" allowBlank="1" showInputMessage="1" showErrorMessage="1" sqref="B6" xr:uid="{CF0CA469-5CE4-48EC-BEFC-E051D406705D}">
      <formula1>$B$28:$F$28</formula1>
    </dataValidation>
    <dataValidation type="list" allowBlank="1" showInputMessage="1" showErrorMessage="1" sqref="B7" xr:uid="{D07F3C5E-270C-48C7-839C-B870B90E8ADD}">
      <formula1>$G$29:$G$32</formula1>
    </dataValidation>
    <dataValidation type="list" allowBlank="1" showInputMessage="1" showErrorMessage="1" errorTitle="Warning!" error="Invalid building category_x000a_Must input either I, II, III, or IV" sqref="B8" xr:uid="{B9F2694E-2EF6-43B0-980E-4F3850F27A04}">
      <formula1>$J$3:$J$5</formula1>
    </dataValidation>
  </dataValidations>
  <pageMargins left="1" right="0.5" top="1" bottom="1" header="0.5" footer="0.5"/>
  <pageSetup scale="97" orientation="portrait" horizontalDpi="4294967292" r:id="rId1"/>
  <headerFooter alignWithMargins="0">
    <oddHeader xml:space="preserve">&amp;R"ASCE705W.xls" Program
Version 1.1 </oddHeader>
    <oddFooter>&amp;C&amp;P of &amp;N&amp;R&amp;D  &amp;T</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8A9F4-3132-4402-A959-0C7B62C1F975}">
  <sheetPr codeName="Sheet5"/>
  <dimension ref="A1:AE205"/>
  <sheetViews>
    <sheetView showGridLines="0" tabSelected="1" view="pageBreakPreview" zoomScale="145" zoomScaleNormal="115" zoomScaleSheetLayoutView="145" workbookViewId="0">
      <selection activeCell="J27" sqref="J27"/>
    </sheetView>
  </sheetViews>
  <sheetFormatPr defaultRowHeight="12.75" x14ac:dyDescent="0.2"/>
  <cols>
    <col min="1" max="1" width="19" style="53" customWidth="1"/>
    <col min="2" max="2" width="11.7109375" style="53" customWidth="1"/>
    <col min="3" max="3" width="12" style="53" customWidth="1"/>
    <col min="4" max="4" width="13.28515625" style="53" customWidth="1"/>
    <col min="5" max="6" width="12" style="53" customWidth="1"/>
    <col min="7" max="7" width="12.140625" style="53" customWidth="1"/>
    <col min="8" max="8" width="9.140625" hidden="1" customWidth="1"/>
    <col min="9" max="9" width="9.140625" customWidth="1"/>
    <col min="10" max="10" width="9.85546875" bestFit="1" customWidth="1"/>
    <col min="11" max="11" width="20" customWidth="1"/>
    <col min="12" max="12" width="9.140625" customWidth="1"/>
    <col min="13" max="13" width="10.7109375" customWidth="1"/>
    <col min="14" max="14" width="13.28515625" customWidth="1"/>
    <col min="15" max="16" width="9.140625" customWidth="1"/>
    <col min="17" max="17" width="8.42578125" customWidth="1"/>
    <col min="18" max="19" width="9.140625" customWidth="1"/>
    <col min="20" max="26" width="9.140625" style="13" customWidth="1"/>
    <col min="27" max="27" width="9.7109375" customWidth="1"/>
    <col min="29" max="29" width="3.7109375" customWidth="1"/>
    <col min="31" max="31" width="3.28515625" customWidth="1"/>
  </cols>
  <sheetData>
    <row r="1" spans="1:27" ht="15" x14ac:dyDescent="0.25">
      <c r="A1" s="687" t="s">
        <v>61</v>
      </c>
      <c r="B1" s="688"/>
      <c r="C1" s="688"/>
      <c r="D1" s="688"/>
      <c r="E1" s="688"/>
      <c r="F1" s="691" t="s">
        <v>485</v>
      </c>
      <c r="G1" s="691" t="s">
        <v>486</v>
      </c>
      <c r="K1" s="17" t="s">
        <v>335</v>
      </c>
      <c r="L1" s="3"/>
      <c r="M1" s="3"/>
      <c r="N1" s="3"/>
      <c r="O1" s="3"/>
      <c r="P1" s="3"/>
      <c r="Q1" s="3"/>
      <c r="AA1" s="473" t="s">
        <v>388</v>
      </c>
    </row>
    <row r="2" spans="1:27" ht="12.75" customHeight="1" x14ac:dyDescent="0.2">
      <c r="A2" s="689" t="s">
        <v>471</v>
      </c>
      <c r="B2" s="690"/>
      <c r="C2" s="690"/>
      <c r="D2" s="690"/>
      <c r="E2" s="690"/>
      <c r="F2" s="692"/>
      <c r="G2" s="692"/>
      <c r="K2" s="3"/>
      <c r="L2" s="3"/>
      <c r="M2" s="3"/>
      <c r="N2" s="3"/>
      <c r="O2" s="3"/>
      <c r="P2" s="3"/>
      <c r="Q2" s="3"/>
    </row>
    <row r="3" spans="1:27" x14ac:dyDescent="0.2">
      <c r="A3" s="689" t="s">
        <v>456</v>
      </c>
      <c r="B3" s="690"/>
      <c r="C3" s="690"/>
      <c r="D3" s="690"/>
      <c r="E3" s="690"/>
      <c r="F3" s="692"/>
      <c r="G3" s="692"/>
      <c r="I3" s="6" t="s">
        <v>57</v>
      </c>
      <c r="K3" s="3" t="s">
        <v>16</v>
      </c>
      <c r="L3" s="3"/>
      <c r="M3" s="3"/>
      <c r="N3" s="3"/>
      <c r="O3" s="7" t="s">
        <v>377</v>
      </c>
      <c r="P3" s="2">
        <f>IF($B$17="Gable",DEGREES(ATAN((($B$13*3.28084)-($B$14*3.28084))/(($B$15*3.28084)/2))),DEGREES(ATAN((($B$13*3.28084)-($B$14*3.28084))/(($B$15*3.28084)))))</f>
        <v>7.5946433685914405</v>
      </c>
      <c r="Q3" s="3"/>
    </row>
    <row r="4" spans="1:27" ht="9" customHeight="1" x14ac:dyDescent="0.2">
      <c r="A4" s="66"/>
      <c r="B4" s="652"/>
      <c r="C4" s="653"/>
      <c r="D4" s="573"/>
      <c r="E4" s="654"/>
      <c r="F4" s="654"/>
      <c r="G4" s="654"/>
      <c r="I4" s="6" t="s">
        <v>58</v>
      </c>
      <c r="K4" s="3" t="s">
        <v>308</v>
      </c>
      <c r="L4" s="3"/>
      <c r="M4" s="3"/>
      <c r="N4" s="3"/>
      <c r="O4" s="7" t="s">
        <v>318</v>
      </c>
      <c r="P4" s="2">
        <f>IF($B$28&lt;=10,($B$14*3.28084),($B$14*3.28084)+(($B$13*3.28084)-($B$14*3.28084))/2)</f>
        <v>59.055120000000002</v>
      </c>
      <c r="Q4" s="3"/>
    </row>
    <row r="5" spans="1:27" ht="9" customHeight="1" x14ac:dyDescent="0.2">
      <c r="A5" s="66"/>
      <c r="B5" s="652"/>
      <c r="C5" s="655"/>
      <c r="D5" s="656"/>
      <c r="E5" s="657"/>
      <c r="F5" s="573"/>
      <c r="G5" s="658"/>
      <c r="I5" s="232" t="s">
        <v>56</v>
      </c>
      <c r="K5" s="7" t="s">
        <v>14</v>
      </c>
      <c r="L5" s="4">
        <f>IF($B$9="Normal",($B$15*3.28084),($B$16*3.28084))</f>
        <v>98.425200000000004</v>
      </c>
      <c r="M5" s="8" t="s">
        <v>311</v>
      </c>
      <c r="N5" s="3"/>
      <c r="O5" s="7" t="s">
        <v>350</v>
      </c>
      <c r="P5" s="11">
        <f>$L$5/$L$6</f>
        <v>0.3</v>
      </c>
      <c r="Q5" s="3"/>
    </row>
    <row r="6" spans="1:27" x14ac:dyDescent="0.2">
      <c r="A6" s="52"/>
      <c r="B6" s="83"/>
      <c r="C6" s="83"/>
      <c r="D6" s="83"/>
      <c r="E6" s="179"/>
      <c r="F6" s="44"/>
      <c r="G6" s="295"/>
      <c r="I6" s="232" t="s">
        <v>47</v>
      </c>
      <c r="K6" s="7" t="s">
        <v>15</v>
      </c>
      <c r="L6" s="4">
        <f>IF($B$9="Normal",($B$16*3.28084),($B$15*3.28084))</f>
        <v>328.084</v>
      </c>
      <c r="M6" s="8" t="s">
        <v>311</v>
      </c>
      <c r="N6" s="3"/>
      <c r="O6" s="7" t="s">
        <v>351</v>
      </c>
      <c r="P6" s="11">
        <f>$P$4/$L$5</f>
        <v>0.6</v>
      </c>
      <c r="Q6" s="3"/>
    </row>
    <row r="7" spans="1:27" x14ac:dyDescent="0.2">
      <c r="A7" s="54" t="s">
        <v>313</v>
      </c>
      <c r="B7" s="83"/>
      <c r="C7" s="83"/>
      <c r="D7" s="83"/>
      <c r="E7" s="498"/>
      <c r="F7" s="39"/>
      <c r="G7" s="183"/>
      <c r="I7" s="232" t="s">
        <v>48</v>
      </c>
      <c r="K7" s="3"/>
      <c r="L7" s="3"/>
      <c r="M7" s="3"/>
      <c r="N7" s="3"/>
      <c r="O7" s="3"/>
      <c r="P7" s="3"/>
      <c r="Q7" s="3"/>
    </row>
    <row r="8" spans="1:27" x14ac:dyDescent="0.2">
      <c r="A8" s="54"/>
      <c r="B8" s="83"/>
      <c r="C8" s="155"/>
      <c r="D8" s="83"/>
      <c r="G8" s="57"/>
      <c r="I8" s="232" t="s">
        <v>49</v>
      </c>
      <c r="K8" s="3" t="s">
        <v>192</v>
      </c>
      <c r="L8" s="3"/>
      <c r="M8" s="3"/>
      <c r="N8" s="3"/>
      <c r="O8" s="3"/>
      <c r="P8" s="3"/>
      <c r="Q8" s="3"/>
    </row>
    <row r="9" spans="1:27" x14ac:dyDescent="0.2">
      <c r="A9" s="56" t="s">
        <v>169</v>
      </c>
      <c r="B9" s="703" t="str">
        <f>I3</f>
        <v>Normal</v>
      </c>
      <c r="C9" s="53" t="s">
        <v>385</v>
      </c>
      <c r="G9" s="57"/>
      <c r="I9" s="6" t="s">
        <v>13</v>
      </c>
      <c r="K9" s="7" t="s">
        <v>276</v>
      </c>
      <c r="L9" s="2">
        <v>0.8</v>
      </c>
      <c r="M9" s="8"/>
      <c r="N9" s="7" t="s">
        <v>307</v>
      </c>
      <c r="O9" s="14">
        <f>$L$6*IF(($B$29*3.28084)/2&lt;=$L$5,($B$29*3.28084)/2,$L$5)</f>
        <v>9687.5203050406417</v>
      </c>
      <c r="P9" s="8" t="s">
        <v>348</v>
      </c>
      <c r="Q9" s="3"/>
    </row>
    <row r="10" spans="1:27" x14ac:dyDescent="0.2">
      <c r="A10" s="56" t="s">
        <v>314</v>
      </c>
      <c r="B10" s="704">
        <f>Input!B10</f>
        <v>200.21550690345626</v>
      </c>
      <c r="C10" s="507" t="s">
        <v>441</v>
      </c>
      <c r="G10" s="214"/>
      <c r="I10" s="6" t="s">
        <v>319</v>
      </c>
      <c r="K10" s="7" t="s">
        <v>277</v>
      </c>
      <c r="L10" s="2">
        <f>IF($L$5/$L$6&gt;=4,-0.2,IF($L$5/$L$6&gt;=2,(-0.2-(-0.3))*($L$5/$L$6-2)/(4-2 )+(-0.3),IF($L$5/$L$6&gt;=1,(-0.3-(-0.5))*($L$5/$L$6-1)/(2-1 )+(-0.5),-0.5)))</f>
        <v>-0.5</v>
      </c>
      <c r="M10" s="8"/>
      <c r="N10" s="7" t="s">
        <v>306</v>
      </c>
      <c r="O10" s="272">
        <f>IF($O$9&gt;=1000,0.8,IF($O$9&gt;=250,(0.8-0.9)*($O$9-250)/(1000-250)+0.9,IF($O$9&gt;100,(0.9-1)*($O$9-100)/(250-100)+1,1)))</f>
        <v>0.8</v>
      </c>
      <c r="P10" s="8" t="s">
        <v>348</v>
      </c>
      <c r="Q10" s="3"/>
    </row>
    <row r="11" spans="1:27" x14ac:dyDescent="0.2">
      <c r="A11" s="56" t="s">
        <v>108</v>
      </c>
      <c r="B11" s="705" t="str">
        <f>Input!B8</f>
        <v>II</v>
      </c>
      <c r="C11" s="53" t="s">
        <v>246</v>
      </c>
      <c r="G11" s="225"/>
      <c r="I11" s="6" t="s">
        <v>50</v>
      </c>
      <c r="K11" s="7" t="s">
        <v>278</v>
      </c>
      <c r="L11" s="2">
        <v>-0.7</v>
      </c>
      <c r="M11" s="8"/>
      <c r="N11" s="3"/>
      <c r="O11" s="3"/>
      <c r="P11" s="3"/>
      <c r="Q11" s="3"/>
    </row>
    <row r="12" spans="1:27" x14ac:dyDescent="0.2">
      <c r="A12" s="56" t="s">
        <v>109</v>
      </c>
      <c r="B12" s="705" t="str">
        <f>Input!B11</f>
        <v>C</v>
      </c>
      <c r="C12" s="402"/>
      <c r="G12" s="57"/>
      <c r="I12" s="6" t="s">
        <v>116</v>
      </c>
      <c r="K12" s="3"/>
      <c r="L12" s="3"/>
      <c r="M12" s="3"/>
      <c r="N12" s="3"/>
      <c r="O12" s="3"/>
      <c r="P12" s="3"/>
      <c r="Q12" s="3"/>
    </row>
    <row r="13" spans="1:27" x14ac:dyDescent="0.2">
      <c r="A13" s="56" t="s">
        <v>315</v>
      </c>
      <c r="B13" s="706">
        <f>Input!B12</f>
        <v>20</v>
      </c>
      <c r="C13" s="416" t="s">
        <v>62</v>
      </c>
      <c r="G13" s="57"/>
      <c r="I13" s="6" t="s">
        <v>113</v>
      </c>
      <c r="K13" s="3" t="s">
        <v>468</v>
      </c>
      <c r="L13" s="3"/>
      <c r="M13" s="8"/>
      <c r="N13" s="13"/>
      <c r="O13" s="3"/>
      <c r="P13" s="3"/>
      <c r="Q13" s="3"/>
    </row>
    <row r="14" spans="1:27" x14ac:dyDescent="0.2">
      <c r="A14" s="56" t="s">
        <v>316</v>
      </c>
      <c r="B14" s="706">
        <f>Input!B13</f>
        <v>18</v>
      </c>
      <c r="C14" s="416" t="s">
        <v>65</v>
      </c>
      <c r="D14" s="58" t="str">
        <f>IF(($B$14*3.28084)&gt;($B$13*3.28084),"    hr MUST BE &gt;= he !","")</f>
        <v/>
      </c>
      <c r="G14" s="57"/>
      <c r="I14" s="6" t="s">
        <v>17</v>
      </c>
      <c r="K14" s="3" t="s">
        <v>336</v>
      </c>
      <c r="L14" s="3"/>
      <c r="M14" s="3"/>
      <c r="N14" s="3" t="s">
        <v>337</v>
      </c>
      <c r="O14" s="13"/>
      <c r="P14" s="3"/>
      <c r="Q14" s="3"/>
    </row>
    <row r="15" spans="1:27" x14ac:dyDescent="0.2">
      <c r="A15" s="56" t="s">
        <v>11</v>
      </c>
      <c r="B15" s="706">
        <f>Input!B14</f>
        <v>30</v>
      </c>
      <c r="C15" s="416" t="s">
        <v>63</v>
      </c>
      <c r="E15" s="234"/>
      <c r="G15" s="57"/>
      <c r="I15" s="6" t="s">
        <v>284</v>
      </c>
      <c r="K15" s="3" t="s">
        <v>380</v>
      </c>
      <c r="L15" s="3"/>
      <c r="M15" s="4"/>
      <c r="N15" s="3" t="s">
        <v>380</v>
      </c>
      <c r="O15" s="13"/>
      <c r="P15" s="3"/>
      <c r="Q15" s="3"/>
    </row>
    <row r="16" spans="1:27" x14ac:dyDescent="0.2">
      <c r="A16" s="56" t="s">
        <v>12</v>
      </c>
      <c r="B16" s="706">
        <f>Input!B15</f>
        <v>100</v>
      </c>
      <c r="C16" s="416" t="s">
        <v>64</v>
      </c>
      <c r="E16" s="500"/>
      <c r="F16" s="501"/>
      <c r="G16" s="57"/>
      <c r="J16" s="4"/>
      <c r="K16" s="7" t="s">
        <v>285</v>
      </c>
      <c r="L16" s="4" t="str">
        <f>IF($B$28=45,0,IF($B$28&gt;=35,0,IF($B$28&gt;=30,(0-(-0.2))*($B$28-30)/(35-30)+(-0.2),IF($B$28&gt;=25,-0.2,IF($B$28&gt;=20,(-0.2-(-0.3))*($B$28-20)/(25-20)+(-0.3),IF($B$28&gt;=15,(-0.3-(-0.5))*($B$28-15)/(20-15)+(-0.5),IF($B$28&gt;=10,(-0.5-(-0.7))*($B$28-10)/(15-10)+(-0.7),"N.A.")))))))</f>
        <v>N.A.</v>
      </c>
      <c r="M16" s="4" t="str">
        <f>IF($B$28=45,0.4,IF($B$28&gt;=35,(0.4-0.4)*($B$28-35)/(45-35)+0.4,IF($B$28&gt;=30,(0.4-0.3)*($B$28-30)/(35-30)+0.3,IF($B$28&gt;=25,0.3,IF($B$28&gt;=20,(0.3-0.2)*($B$28-20)/(25-20)+0.2,IF($B$28&gt;=15,(0.2-0)*($B$28-15)/(20-15)+0,IF($B$28&gt;=10,(0-(-0.18))*($B$28-10)/(15-10)+(-0.18),"N.A.")))))))</f>
        <v>N.A.</v>
      </c>
      <c r="N16" s="3"/>
      <c r="O16" s="7" t="s">
        <v>285</v>
      </c>
      <c r="P16" s="4" t="str">
        <f>IF($B$28&gt;=20,-0.6,IF($B$28&gt;=15,(-0.6-(-0.5))*($B$28-15)/(20-15)+(-0.5),IF($B$28&gt;=10,(-0.5-(-0.3))*($B$28-10)/(15-10)+(-0.3),"N.A.")))</f>
        <v>N.A.</v>
      </c>
      <c r="Q16" s="3"/>
    </row>
    <row r="17" spans="1:17" x14ac:dyDescent="0.2">
      <c r="A17" s="56" t="s">
        <v>112</v>
      </c>
      <c r="B17" s="706" t="str">
        <f>Input!B17</f>
        <v>Gable</v>
      </c>
      <c r="C17" s="53" t="s">
        <v>363</v>
      </c>
      <c r="G17" s="57"/>
      <c r="I17" t="str">
        <f>"L = "&amp;B15</f>
        <v>L = 30</v>
      </c>
      <c r="J17" s="490"/>
      <c r="K17" s="7" t="s">
        <v>286</v>
      </c>
      <c r="L17" s="4" t="str">
        <f>IF($B$28=45,0,IF($B$28&gt;=35,(0-(-0.2))*($B$28-35)/(45-35)+(-0.2),IF($B$28&gt;=30,-0.2,IF($B$28&gt;=25,(-0.2-(-0.3))*($B$28-25)/(30-25)+(-0.3),IF($B$28&gt;=20,(-0.3-(-0.4))*($B$28-20)/(25-20)+(-0.4),IF($B$28&gt;=15,(-0.4-(-0.7))*($B$28-15)/(20-15)+(-0.7),IF($B$28&gt;=10,(-0.7-(-0.9))*($B$28-10)/(15-10)+(-0.9),"N.A.")))))))</f>
        <v>N.A.</v>
      </c>
      <c r="M17" s="4" t="str">
        <f>IF($B$28=45,0.4,IF($B$28&gt;=35,(0.4-0.3)*($B$28-35)/(45-35)+0.3,IF($B$28&gt;=30,(0.3-0.2)*($B$28-30)/(35-30)+0.2,IF($B$28&gt;=25,0.2,IF($B$28&gt;=20,(0.2-0)*($B$28-20)/(25-20)+0,IF($B$28&gt;=15,(0-(-0.18))*($B$28-15)/(20-15)+(-0.18),IF($B$28&gt;=10,(-0.18-(-0.18))*($B$28-10)/(15-10)+(-0.18),"N.A.")))))))</f>
        <v>N.A.</v>
      </c>
      <c r="N17" s="3"/>
      <c r="O17" s="7" t="s">
        <v>286</v>
      </c>
      <c r="P17" s="4" t="str">
        <f>IF($B$28&gt;=20,-0.6,IF($B$28&gt;=15,(-0.6-(-0.5))*($B$28-15)/(20-15)+(-0.5),IF($B$28&gt;=10,-0.5,"N.A.")))</f>
        <v>N.A.</v>
      </c>
      <c r="Q17" s="3"/>
    </row>
    <row r="18" spans="1:17" x14ac:dyDescent="0.2">
      <c r="A18" s="56" t="s">
        <v>317</v>
      </c>
      <c r="B18" s="706">
        <f>Input!B18</f>
        <v>1</v>
      </c>
      <c r="C18" s="488" t="s">
        <v>436</v>
      </c>
      <c r="G18" s="57"/>
      <c r="I18" t="str">
        <f>"B = "&amp;B16</f>
        <v>B = 100</v>
      </c>
      <c r="J18" s="4"/>
      <c r="K18" s="7" t="s">
        <v>287</v>
      </c>
      <c r="L18" s="4" t="str">
        <f>IF($B$28=45,0,IF($B$28&gt;=35,(0-(-0.2))*($B$28-35)/(45-35)+(-0.2),IF($B$28&gt;=30,(-0.2-(-0.3))*($B$28-30)/(35-30)+(-0.3),IF($B$28&gt;=25,(-0.3-(-0.5))*($B$28-25)/(30-25)+(-0.5),IF($B$28&gt;=20,(-0.5-(-0.7))*($B$28-20)/(25-20)+(-0.7),IF($B$28&gt;=15,(-0.7-(-1))*($B$28-15)/(20-15)+(-1),IF($B$28&gt;=10,(-1-(-1.3*$O$10))*($B$28-10)/(15-10)+(-1.3*$O$10),"N.A.")))))))</f>
        <v>N.A.</v>
      </c>
      <c r="M18" s="4" t="str">
        <f>IF($B$28=45,0,IF($B$28&gt;=35,(0.3-(0.2))*($B$28-35)/(45-35)+(0.2),IF($B$28&gt;=30,(0.2-(0.2))*($B$28-30)/(35-30)+(0.2),IF($B$28&gt;=25,(0.2-(0))*($B$28-25)/(30-25)+(0),IF($B$28&gt;=20,(0-(-0.18))*($B$28-20)/(25-20)+(-0.18),IF($B$28&gt;=15,(-0.18-(-0.18))*($B$28-15)/(20-15)+(-0.18),IF($B$28&gt;=10,(-0.18-(-0.18))*($B$28-10)/(15-10)+(-0.18),"N.A.")))))))</f>
        <v>N.A.</v>
      </c>
      <c r="N18" s="3"/>
      <c r="O18" s="7" t="s">
        <v>287</v>
      </c>
      <c r="P18" s="4" t="str">
        <f>IF($B$28&gt;=20,-0.6,IF($B$28&gt;=15,-0.6,IF($B$28&gt;=10,(-0.6-(-0.7))*($B$28-10)/(15-10)+(-0.7),"N.A.")))</f>
        <v>N.A.</v>
      </c>
      <c r="Q18" s="3"/>
    </row>
    <row r="19" spans="1:17" x14ac:dyDescent="0.2">
      <c r="A19" s="56" t="s">
        <v>390</v>
      </c>
      <c r="B19" s="705">
        <f>Input!B19</f>
        <v>0.85</v>
      </c>
      <c r="C19" s="103" t="s">
        <v>437</v>
      </c>
      <c r="G19" s="57"/>
      <c r="I19" t="str">
        <f>"Hr = "&amp;B13</f>
        <v>Hr = 20</v>
      </c>
      <c r="K19" s="7" t="s">
        <v>289</v>
      </c>
      <c r="L19" s="4" t="str">
        <f>IF($B$28&gt;=10,($B$29*3.28084)/$L$5,"N.A.")</f>
        <v>N.A.</v>
      </c>
      <c r="M19" s="4" t="str">
        <f>IF($B$28&gt;=10,($B$29*3.28084)/$L$5,"N.A.")</f>
        <v>N.A.</v>
      </c>
      <c r="N19" s="3"/>
      <c r="O19" s="7" t="s">
        <v>289</v>
      </c>
      <c r="P19" s="4" t="str">
        <f>IF($B$28&gt;=10,($B$29*3.28084)/$L$5,"N.A.")</f>
        <v>N.A.</v>
      </c>
      <c r="Q19" s="3"/>
    </row>
    <row r="20" spans="1:17" x14ac:dyDescent="0.2">
      <c r="A20" s="56" t="s">
        <v>191</v>
      </c>
      <c r="B20" s="706" t="str">
        <f>Input!B20</f>
        <v>Y</v>
      </c>
      <c r="C20" s="101" t="s">
        <v>438</v>
      </c>
      <c r="G20" s="57"/>
      <c r="I20" t="str">
        <f>"He = "&amp;B14</f>
        <v>He = 18</v>
      </c>
      <c r="K20" s="7" t="s">
        <v>288</v>
      </c>
      <c r="L20" s="2" t="str">
        <f>IF($B$28&gt;=10,IF(($B$29*3.28084)/$L$5&gt;=1,$L$18,IF(($B$29*3.28084)/$L$5&gt;=0.5,($L$18-($L$17))*(($B$29*3.28084)/$L$5-0.5)/(1-0.5 )+($L$17),IF(($B$29*3.28084)/$L$5&gt;0.25,($L$17-($L$16))*(($B$29*3.28084)/$L$5-0.25)/(0.5-0.25 )+($L$16),$L$16))),"N.A.")</f>
        <v>N.A.</v>
      </c>
      <c r="M20" s="2" t="str">
        <f>IF($B$28&gt;=10,IF(($B$29*3.28084)/$L$5&gt;=1,$M$18,IF(($B$29*3.28084)/$L$5&gt;=0.5,($M$18-($M$17))*(($B$29*3.28084)/$L$5-0.5)/(1-0.5 )+($M$17),IF(($B$29*3.28084)/$L$5&gt;0.25,($M$17-($M$16))*(($B$29*3.28084)/$L$5-0.25)/(0.5-0.25 )+($M$16),$M$16))),"N.A.")</f>
        <v>N.A.</v>
      </c>
      <c r="N20" s="3"/>
      <c r="O20" s="7" t="s">
        <v>288</v>
      </c>
      <c r="P20" s="2" t="str">
        <f>IF($B$28&gt;=10,IF(($B$29*3.28084)/$L$5&gt;=1,$P$18,IF(($B$29*3.28084)/$L$5&gt;=0.5,($P$18-($P$17))*(($B$29*3.28084)/$L$5-0.5)/(1-0.5 )+($P$17),IF(($B$29*3.28084)/$L$5&gt;0.25,($P$17-($P$16))*(($B$29*3.28084)/$L$5-0.25)/(0.5-0.25 )+($P$16),$P$16))),"N.A.")</f>
        <v>N.A.</v>
      </c>
      <c r="Q20" s="3"/>
    </row>
    <row r="21" spans="1:17" x14ac:dyDescent="0.2">
      <c r="A21" s="489" t="s">
        <v>44</v>
      </c>
      <c r="B21" s="706" t="str">
        <f>Input!B21</f>
        <v>N</v>
      </c>
      <c r="E21" s="234"/>
      <c r="G21" s="214"/>
      <c r="K21" s="3"/>
      <c r="L21" s="3"/>
      <c r="M21" s="3"/>
      <c r="N21" s="3"/>
      <c r="O21" s="3"/>
      <c r="P21" s="3"/>
      <c r="Q21" s="3"/>
    </row>
    <row r="22" spans="1:17" x14ac:dyDescent="0.2">
      <c r="A22" s="100" t="s">
        <v>375</v>
      </c>
      <c r="B22" s="707">
        <v>0.02</v>
      </c>
      <c r="C22" s="101" t="s">
        <v>442</v>
      </c>
      <c r="G22" s="497"/>
      <c r="K22" s="3" t="s">
        <v>381</v>
      </c>
      <c r="L22" s="2"/>
      <c r="M22" s="3"/>
      <c r="N22" s="8" t="s">
        <v>382</v>
      </c>
      <c r="O22" s="13"/>
      <c r="P22" s="2"/>
      <c r="Q22" s="13"/>
    </row>
    <row r="23" spans="1:17" x14ac:dyDescent="0.2">
      <c r="A23" s="102" t="s">
        <v>362</v>
      </c>
      <c r="B23" s="708">
        <v>4.8800000000000003E-2</v>
      </c>
      <c r="C23" s="103" t="s">
        <v>443</v>
      </c>
      <c r="E23" s="234"/>
      <c r="G23" s="57"/>
      <c r="J23" s="8" t="str">
        <f>IF($B$28&lt;10,"for 0 to h/2","")</f>
        <v>for 0 to h/2</v>
      </c>
      <c r="K23" s="7" t="s">
        <v>290</v>
      </c>
      <c r="L23" s="2">
        <f>IF($B$9="Normal",IF($B$28&lt;10,IF(($B$29*3.28084)/$L$5&gt;=1,-1.3*$O$10,IF(($B$29*3.28084)/$L$5&gt;0.5,(-1.3*$O$10-(-0.9))*(($B$29*3.28084)/$L$5-0.5)/(1-0.5)+(-0.9),-0.9)),"N.A."),"N.A.")</f>
        <v>-0.92800000537600003</v>
      </c>
      <c r="M23" s="2">
        <f>IF($B$9="Normal",IF($B$28&lt;10,IF(($B$29*3.28084)/$L$5&gt;=1,-0.18,IF(($B$29*3.28084)/$L$5&gt;0.5,-0.18,-0.18)),"N.A."),"N.A.")</f>
        <v>-0.18</v>
      </c>
      <c r="N23" s="7"/>
      <c r="O23" s="7" t="s">
        <v>290</v>
      </c>
      <c r="P23" s="2" t="str">
        <f>IF($B$9="Parallel",IF(($B$29*3.28084)/$L$5&gt;=1,-1.3*$O$10,IF(($B$29*3.28084)/$L$5&gt;0.5,(-1.3*$O$10-(-0.9))*(($B$29*3.28084)/$L$5-0.5)/(1-0.5)+(-0.9),-0.9)),"N.A.")</f>
        <v>N.A.</v>
      </c>
      <c r="Q23" s="2" t="str">
        <f>IF($B$9="Parallel",IF(($B$29*3.28084)/$L$5&gt;=1,-0.18,IF(($B$29*3.28084)/$L$5&gt;0.5,-0.18,-0.18)),"N.A.")</f>
        <v>N.A.</v>
      </c>
    </row>
    <row r="24" spans="1:17" x14ac:dyDescent="0.2">
      <c r="A24" s="52"/>
      <c r="C24" s="502" t="s">
        <v>373</v>
      </c>
      <c r="E24" s="234"/>
      <c r="G24" s="57"/>
      <c r="J24" s="10" t="str">
        <f>IF($B$28&lt;10,"for h/2 to h","")</f>
        <v>for h/2 to h</v>
      </c>
      <c r="K24" s="7" t="s">
        <v>291</v>
      </c>
      <c r="L24" s="2">
        <f>IF($B$9="Normal",IF($B$28&lt;10,IF($L$5&gt;($B$29*3.28084)/2,IF(($B$29*3.28084)/$L$5&gt;=1,-0.7,IF(($B$29*3.28084)/$L$5&gt;0.5,(-0.7-(-0.9))*(($B$29*3.28084)/$L$5-0.5)/(1-0.5)+(-0.9),-0.9)),"N.A."),"N.A."),"N.A.")</f>
        <v>-0.85999999232000002</v>
      </c>
      <c r="M24" s="2">
        <f>IF($B$9="Normal",IF($B$28&lt;10,IF($L$5&gt;($B$29*3.28084)/2,IF(($B$29*3.28084)/$L$5&gt;=1,-0.18,IF(($B$29*3.28084)/$L$5&gt;0.5,-0.18,-0.18)),"N.A."),"N.A."),"N.A.")</f>
        <v>-0.18</v>
      </c>
      <c r="N24" s="7"/>
      <c r="O24" s="7" t="s">
        <v>291</v>
      </c>
      <c r="P24" s="2" t="str">
        <f>IF($B$9="Parallel",IF($L$5&gt;($B$29*3.28084)/2,IF(($B$29*3.28084)/$L$5&gt;=1,-0.7,IF(($B$29*3.28084)/$L$5&gt;0.5,(-0.7-(-0.9))*(($B$29*3.28084)/$L$5-0.5)/(1-0.5)+(-0.9),-0.9)),"N.A."),"N.A.")</f>
        <v>N.A.</v>
      </c>
      <c r="Q24" s="2" t="str">
        <f>IF($B$9="Parallel",IF($L$5&gt;($B$29*3.28084)/2,IF(($B$29*3.28084)/$L$5&gt;=1,-0.18,IF(($B$29*3.28084)/$L$5&gt;0.5,-0.18,-0.18)),"N.A."),"N.A.")</f>
        <v>N.A.</v>
      </c>
    </row>
    <row r="25" spans="1:17" x14ac:dyDescent="0.2">
      <c r="A25" s="52"/>
      <c r="G25" s="57"/>
      <c r="J25" s="53"/>
      <c r="K25" s="7" t="s">
        <v>292</v>
      </c>
      <c r="L25" s="2">
        <f>IF($B$9="Normal",IF($B$28&lt;10,IF($L$5&gt;($B$29*3.28084),IF(($B$29*3.28084)/$L$5&gt;=1,-0.7,IF(($B$29*3.28084)/$L$5&gt;0.5,(-0.7-(-0.5))*(($B$29*3.28084)/$L$5-0.5)/(1-0.5)+(-0.5),-0.5)),"N.A."),"N.A."),"N.A.")</f>
        <v>-0.54000000768</v>
      </c>
      <c r="M25" s="2">
        <f>IF($B$9="Normal",IF($B$28&lt;10,IF($L$5&gt;($B$29*3.28084),IF(($B$29*3.28084)/$L$5&gt;=1,-0.18,IF(($B$29*3.28084)/$L$5&gt;0.5,-0.18,-0.18)),"N.A."),"N.A."),"N.A.")</f>
        <v>-0.18</v>
      </c>
      <c r="N25" s="7"/>
      <c r="O25" s="7" t="s">
        <v>292</v>
      </c>
      <c r="P25" s="2" t="str">
        <f>IF($B$9="Parallel",IF($L$5&gt;($B$29*3.28084),IF(($B$29*3.28084)/$L$5&gt;=1,-0.7,IF(($B$29*3.28084)/$L$5&gt;0.5,(-0.7-(-0.5))*(($B$29*3.28084)/$L$5-0.5)/(1-0.5)+(-0.5),-0.5)),"N.A."),"N.A.")</f>
        <v>N.A.</v>
      </c>
      <c r="Q25" s="2" t="str">
        <f>IF($B$9="Parallel",IF($L$5&gt;($B$29*3.28084),IF(($B$29*3.28084)/$L$5&gt;=1,-0.18,IF(($B$29*3.28084)/$L$5&gt;0.5,-0.18,-0.18)),"N.A."),"N.A.")</f>
        <v>N.A.</v>
      </c>
    </row>
    <row r="26" spans="1:17" x14ac:dyDescent="0.2">
      <c r="A26" s="54" t="s">
        <v>334</v>
      </c>
      <c r="B26" s="39"/>
      <c r="C26" s="59"/>
      <c r="G26" s="57"/>
      <c r="J26" s="81"/>
      <c r="K26" s="7" t="s">
        <v>293</v>
      </c>
      <c r="L26" s="2" t="str">
        <f>IF($B$9="Normal",IF($B$28&lt;10,IF($L$5&gt;=2*($B$29*3.28084),IF(($B$29*3.28084)/$L$5&gt;=1,-0.7,IF(($B$29*3.28084)/$L$5&gt;0.5,(-0.7-(-0.3))*(($B$29*3.28084)/$L$5-0.5)/(1-0.5)+(-0.3),-0.3)),"N.A."),"N.A."),"N.A.")</f>
        <v>N.A.</v>
      </c>
      <c r="M26" s="2" t="str">
        <f>IF($B$9="Normal",IF($B$28&lt;10,IF($L$5&gt;=2*($B$29*3.28084),IF(($B$29*3.28084)/$L$5&gt;=1,-0.18,IF(($B$29*3.28084)/$L$5&gt;0.5,-0.18,-0.18)),"N.A."),"N.A."),"N.A.")</f>
        <v>N.A.</v>
      </c>
      <c r="N26" s="7"/>
      <c r="O26" s="7" t="s">
        <v>293</v>
      </c>
      <c r="P26" s="2" t="str">
        <f>IF($B$9="Parallel",IF($L$5&gt;=2*($B$29*3.28084),IF(($B$29*3.28084)/$L$5&gt;=1,-0.7,IF(($B$29*3.28084)/$L$5&gt;0.5,(-0.7-(-0.3))*(($B$29*3.28084)/$L$5-0.5)/(1-0.5)+(-0.3),-0.3)),"N.A."),"N.A.")</f>
        <v>N.A.</v>
      </c>
      <c r="Q26" s="2" t="str">
        <f>IF($B$9="Parallel",IF($L$5&gt;=2*($B$29*3.28084),IF(($B$29*3.28084)/$L$5&gt;=1,-0.18,IF(($B$29*3.28084)/$L$5&gt;0.5,-0.18,-0.18)),"N.A."),"N.A.")</f>
        <v>N.A.</v>
      </c>
    </row>
    <row r="27" spans="1:17" x14ac:dyDescent="0.2">
      <c r="A27" s="52"/>
      <c r="G27" s="57"/>
      <c r="K27" s="3"/>
      <c r="L27" s="3"/>
      <c r="M27" s="3"/>
      <c r="N27" s="3"/>
      <c r="O27" s="3"/>
      <c r="P27" s="3"/>
      <c r="Q27" s="3"/>
    </row>
    <row r="28" spans="1:17" x14ac:dyDescent="0.2">
      <c r="A28" s="56" t="s">
        <v>376</v>
      </c>
      <c r="B28" s="660">
        <f>$P$3</f>
        <v>7.5946433685914405</v>
      </c>
      <c r="C28" s="53" t="s">
        <v>42</v>
      </c>
      <c r="G28" s="57"/>
      <c r="K28" s="3" t="s">
        <v>467</v>
      </c>
      <c r="L28" s="3"/>
      <c r="M28" s="3"/>
      <c r="N28" s="3"/>
      <c r="O28" s="3"/>
      <c r="P28" s="3"/>
      <c r="Q28" s="3"/>
    </row>
    <row r="29" spans="1:17" x14ac:dyDescent="0.2">
      <c r="A29" s="56" t="s">
        <v>318</v>
      </c>
      <c r="B29" s="661">
        <f>$P$4*0.3048</f>
        <v>18.000000576000001</v>
      </c>
      <c r="C29" s="59" t="str">
        <f>IF($B$28&lt;=10,"m (h = he, for roof angle &lt;=10 deg.)","m (h = (hr+he)/2, for roof angle &gt;10 deg.)")</f>
        <v>m (h = he, for roof angle &lt;=10 deg.)</v>
      </c>
      <c r="F29" s="137"/>
      <c r="G29" s="596" t="str">
        <f>IF($B$9="Normal","L = "&amp;($B$15*3.28084)&amp;" ft.","L = "&amp;($B$16*3.28084)&amp;" ft.")</f>
        <v>L = 98.4252 ft.</v>
      </c>
      <c r="K29" s="9" t="s">
        <v>346</v>
      </c>
      <c r="L29" s="1">
        <f>IF($B$20="Y",0.18,0.55)</f>
        <v>0.18</v>
      </c>
      <c r="M29" s="8"/>
      <c r="N29" s="3"/>
      <c r="O29" s="3"/>
      <c r="P29" s="3"/>
      <c r="Q29" s="3"/>
    </row>
    <row r="30" spans="1:17" ht="15.75" x14ac:dyDescent="0.35">
      <c r="A30" s="56" t="s">
        <v>276</v>
      </c>
      <c r="B30" s="661">
        <f>$L$9</f>
        <v>0.8</v>
      </c>
      <c r="C30" s="41" t="s">
        <v>469</v>
      </c>
      <c r="E30" s="104"/>
      <c r="F30" s="138"/>
      <c r="G30" s="597" t="str">
        <f>IF($B$9="Normal","B = "&amp;($B$16*3.28084)&amp;" ft.","B = "&amp;($B$15*3.28084)&amp;" ft.")</f>
        <v>B = 328.084 ft.</v>
      </c>
      <c r="K30" s="9" t="s">
        <v>347</v>
      </c>
      <c r="L30" s="1">
        <f>IF($B$20="Y",-0.18,-0.55)</f>
        <v>-0.18</v>
      </c>
      <c r="M30" s="8"/>
      <c r="N30" s="3"/>
      <c r="O30" s="3"/>
      <c r="P30" s="3"/>
      <c r="Q30" s="3"/>
    </row>
    <row r="31" spans="1:17" x14ac:dyDescent="0.2">
      <c r="A31" s="56" t="s">
        <v>277</v>
      </c>
      <c r="B31" s="661">
        <f>$L$10</f>
        <v>-0.5</v>
      </c>
      <c r="C31" s="41" t="s">
        <v>469</v>
      </c>
      <c r="E31" s="105"/>
      <c r="F31" s="43"/>
      <c r="G31" s="106"/>
      <c r="K31" s="3"/>
      <c r="L31" s="3"/>
      <c r="M31" s="3"/>
      <c r="N31" s="3"/>
      <c r="O31" s="3"/>
      <c r="P31" s="3"/>
      <c r="Q31" s="3"/>
    </row>
    <row r="32" spans="1:17" x14ac:dyDescent="0.2">
      <c r="A32" s="56" t="s">
        <v>278</v>
      </c>
      <c r="B32" s="661">
        <f>$L$11</f>
        <v>-0.7</v>
      </c>
      <c r="C32" s="41" t="s">
        <v>469</v>
      </c>
      <c r="G32" s="57"/>
      <c r="K32" s="3" t="s">
        <v>378</v>
      </c>
      <c r="L32" s="3"/>
      <c r="M32" s="3"/>
      <c r="N32" s="3"/>
      <c r="O32" s="3"/>
      <c r="P32" s="3"/>
      <c r="Q32" s="3"/>
    </row>
    <row r="33" spans="1:17" x14ac:dyDescent="0.2">
      <c r="A33" s="56" t="str">
        <f>IF($B$9="Normal",IF($B$28&lt;10,"Roof Cp (zone #1) =","Windward Roof Cp ="),"Roof Cp (zone #1) =")</f>
        <v>Roof Cp (zone #1) =</v>
      </c>
      <c r="B33" s="661">
        <f>IF($B$9="Normal",IF($B$28&lt;10,$L$23,$L$20),$P$23)</f>
        <v>-0.92800000537600003</v>
      </c>
      <c r="C33" s="662">
        <f>IF($B$9="Normal",IF($B$28&lt;10,$M$23,""),$Q$23)</f>
        <v>-0.18</v>
      </c>
      <c r="D33" s="41" t="s">
        <v>469</v>
      </c>
      <c r="E33" s="59" t="str">
        <f>IF($B$9="Normal",IF($B$28&lt;10,"(zone #1 for 0 to h/2)","(Condition #1)"),"(zone #1 for 0 to h/2)")</f>
        <v>(zone #1 for 0 to h/2)</v>
      </c>
      <c r="G33" s="57"/>
      <c r="K33" s="12" t="s">
        <v>379</v>
      </c>
      <c r="L33" s="4">
        <f>IF($B$12="A",5,IF($B$12="B",7,IF($B$12="C",9.5,IF($B$12="D",11.5,"Error!"))))</f>
        <v>9.5</v>
      </c>
      <c r="M33" s="8"/>
      <c r="N33" s="3"/>
      <c r="O33" s="3"/>
      <c r="P33" s="3"/>
      <c r="Q33" s="3"/>
    </row>
    <row r="34" spans="1:17" x14ac:dyDescent="0.2">
      <c r="A34" s="56" t="str">
        <f>IF($B$9="Normal",IF($B$28&lt;10,"Roof Cp (zone #2) =","Windward Roof Cp ="),"Roof Cp (zone #2) =")</f>
        <v>Roof Cp (zone #2) =</v>
      </c>
      <c r="B34" s="661">
        <f>IF($B$9="Normal",IF($B$28&lt;10,$L$24,$M$20),$P$24)</f>
        <v>-0.85999999232000002</v>
      </c>
      <c r="C34" s="664">
        <f>IF($B$9="Normal",IF($B$28&lt;10,$M$24,""),$Q$24)</f>
        <v>-0.18</v>
      </c>
      <c r="D34" s="41" t="s">
        <v>469</v>
      </c>
      <c r="E34" s="89" t="str">
        <f>IF($B$9="Normal",IF($B$28&lt;10,"(zone #2 for h/2 to h)","(Condition #2)"),"(zone #2 for h/2 to h)")</f>
        <v>(zone #2 for h/2 to h)</v>
      </c>
      <c r="G34" s="57"/>
      <c r="K34" s="7" t="s">
        <v>282</v>
      </c>
      <c r="L34" s="6">
        <f>IF($B$12="A",1500,IF($B$12="B",1200,IF($B$12="C",900,IF($B$12="D",700,"Error!"))))</f>
        <v>900</v>
      </c>
      <c r="M34" s="8"/>
      <c r="N34" s="3"/>
      <c r="O34" s="3"/>
      <c r="P34" s="3"/>
      <c r="Q34" s="3"/>
    </row>
    <row r="35" spans="1:17" x14ac:dyDescent="0.2">
      <c r="A35" s="56" t="str">
        <f>IF($B$9="Normal",IF($B$28&lt;10,"Roof Cp (zone #3) =","Leeward Roof Cp ="),"Roof Cp (zone #3) =")</f>
        <v>Roof Cp (zone #3) =</v>
      </c>
      <c r="B35" s="661">
        <f>IF($B$9="Normal",IF($B$28&lt;10,$L$25,$P$20),$P$25)</f>
        <v>-0.54000000768</v>
      </c>
      <c r="C35" s="664">
        <f>IF($B$9="Normal",IF($B$28&lt;10,$M$25,""),$Q$25)</f>
        <v>-0.18</v>
      </c>
      <c r="D35" s="41" t="s">
        <v>469</v>
      </c>
      <c r="E35" s="53" t="str">
        <f>IF($B$9="Normal",IF($B$28&lt;10,"(zone #3 for h to 2*h)",""),"(zone #3 for h to 2*h)")</f>
        <v>(zone #3 for h to 2*h)</v>
      </c>
      <c r="G35" s="57"/>
      <c r="K35" s="7" t="s">
        <v>283</v>
      </c>
      <c r="L35" s="4">
        <f>IF($P$4&lt;15,2.01*(15/$L$34)^(2/$L$33),2.01*($P$4/$L$34)^(2/$L$33))</f>
        <v>1.1327826629938869</v>
      </c>
      <c r="M35" s="3"/>
      <c r="N35" s="3"/>
      <c r="O35" s="3"/>
      <c r="P35" s="3"/>
      <c r="Q35" s="3"/>
    </row>
    <row r="36" spans="1:17" x14ac:dyDescent="0.2">
      <c r="A36" s="56" t="str">
        <f>IF($B$9="Normal",IF($B$28&lt;10,"Roof Cp (zone #4) =",""),"Roof Cp (zone #4) =")</f>
        <v>Roof Cp (zone #4) =</v>
      </c>
      <c r="B36" s="661" t="str">
        <f>IF($B$9="Normal",IF($B$28&lt;10,$L$26,""),$P$26)</f>
        <v>N.A.</v>
      </c>
      <c r="C36" s="665" t="str">
        <f>IF($B$9="Normal",IF($B$28&lt;10,$M$26,""),$Q$26)</f>
        <v>N.A.</v>
      </c>
      <c r="D36" s="41" t="s">
        <v>469</v>
      </c>
      <c r="E36" s="53" t="str">
        <f>IF($B$9="Normal",IF($B$28&lt;10,"(zone #4 for &gt; 2*h)",""),"(zone #4 for &gt; 2*h)")</f>
        <v>(zone #4 for &gt; 2*h)</v>
      </c>
      <c r="G36" s="57"/>
      <c r="K36" s="7" t="s">
        <v>321</v>
      </c>
      <c r="L36" s="4">
        <f>IF(AND($B$21="N",$B$11="I"),0.87,IF(AND($B$21="Y",$B$11="I",($B$10*0.6213712)&lt;=100),0.87,IF(AND($B$21="Y",$B$11="I",($B$10*0.6213712)&gt;100),0.77,IF($B$11="II",1,IF($B$11="III",1.15,IF($B$11="IV",1.15))))))</f>
        <v>1</v>
      </c>
      <c r="M36" s="3"/>
      <c r="N36" s="3"/>
      <c r="O36" s="3"/>
      <c r="P36" s="3"/>
      <c r="Q36" s="3"/>
    </row>
    <row r="37" spans="1:17" x14ac:dyDescent="0.2">
      <c r="A37" s="85" t="s">
        <v>352</v>
      </c>
      <c r="B37" s="661">
        <f>$L$29</f>
        <v>0.18</v>
      </c>
      <c r="C37" s="41" t="s">
        <v>470</v>
      </c>
      <c r="G37" s="57"/>
      <c r="K37" s="7" t="s">
        <v>356</v>
      </c>
      <c r="L37" s="4">
        <f>0.00256*$L$35*$B$18*$B$19*($B$10*0.6213712)^2*0.0478802631216373</f>
        <v>1.826668230117408</v>
      </c>
      <c r="M37" s="3"/>
      <c r="N37" s="3"/>
      <c r="O37" s="3"/>
      <c r="P37" s="3"/>
      <c r="Q37" s="3"/>
    </row>
    <row r="38" spans="1:17" x14ac:dyDescent="0.2">
      <c r="A38" s="85" t="s">
        <v>353</v>
      </c>
      <c r="B38" s="663">
        <f>$L$30</f>
        <v>-0.18</v>
      </c>
      <c r="C38" s="41" t="s">
        <v>470</v>
      </c>
      <c r="G38" s="57"/>
      <c r="K38" s="3"/>
      <c r="L38" s="3"/>
      <c r="M38" s="3"/>
      <c r="N38" s="3"/>
      <c r="O38" s="3"/>
      <c r="P38" s="3"/>
      <c r="Q38" s="3"/>
    </row>
    <row r="39" spans="1:17" x14ac:dyDescent="0.2">
      <c r="A39" s="52"/>
      <c r="G39" s="57"/>
    </row>
    <row r="40" spans="1:17" x14ac:dyDescent="0.2">
      <c r="A40" s="86" t="s">
        <v>465</v>
      </c>
      <c r="F40" s="69"/>
      <c r="G40" s="84"/>
    </row>
    <row r="41" spans="1:17" x14ac:dyDescent="0.2">
      <c r="A41" s="87" t="s">
        <v>374</v>
      </c>
      <c r="B41" s="662">
        <f>$L$33</f>
        <v>9.5</v>
      </c>
      <c r="C41" s="69" t="s">
        <v>282</v>
      </c>
      <c r="D41" s="666">
        <f>$L$34</f>
        <v>900</v>
      </c>
      <c r="E41" s="59" t="s">
        <v>439</v>
      </c>
      <c r="G41" s="84"/>
    </row>
    <row r="42" spans="1:17" x14ac:dyDescent="0.2">
      <c r="A42" s="56" t="s">
        <v>283</v>
      </c>
      <c r="B42" s="664">
        <f>$L$35</f>
        <v>1.1327826629938869</v>
      </c>
      <c r="C42" s="53" t="s">
        <v>349</v>
      </c>
      <c r="F42" s="69"/>
      <c r="G42" s="84"/>
    </row>
    <row r="43" spans="1:17" x14ac:dyDescent="0.2">
      <c r="A43" s="52" t="s">
        <v>466</v>
      </c>
      <c r="F43" s="69"/>
      <c r="G43" s="84"/>
    </row>
    <row r="44" spans="1:17" x14ac:dyDescent="0.2">
      <c r="A44" s="56" t="s">
        <v>356</v>
      </c>
      <c r="B44" s="667">
        <f>IF($L$37&gt;=0.77,$L$37,0.77)</f>
        <v>1.826668230117408</v>
      </c>
      <c r="C44" s="53" t="s">
        <v>168</v>
      </c>
      <c r="D44" s="53" t="s">
        <v>440</v>
      </c>
      <c r="G44" s="107"/>
    </row>
    <row r="45" spans="1:17" x14ac:dyDescent="0.2">
      <c r="A45" s="108" t="str">
        <f>IF(($B$15*3.28084)&lt;=($B$16*3.28084),"Ratio h/L =","Ratio h/B =")</f>
        <v>Ratio h/L =</v>
      </c>
      <c r="B45" s="668">
        <f>$P$6</f>
        <v>0.6</v>
      </c>
      <c r="C45" s="69" t="s">
        <v>354</v>
      </c>
      <c r="D45" s="669">
        <f>$B$136</f>
        <v>2.344907894436143</v>
      </c>
      <c r="E45" s="53" t="s">
        <v>355</v>
      </c>
      <c r="F45" s="91" t="str">
        <f>IF($B$105="No","(f &gt;= 1, Rigid structure)","(f &lt; 1, Flexible structure)")</f>
        <v>(f &gt;= 1, Rigid structure)</v>
      </c>
      <c r="G45" s="57"/>
    </row>
    <row r="46" spans="1:17" x14ac:dyDescent="0.2">
      <c r="A46" s="56" t="s">
        <v>320</v>
      </c>
      <c r="B46" s="169">
        <f>$B$149</f>
        <v>0.83033432496471093</v>
      </c>
      <c r="C46" s="59" t="s">
        <v>463</v>
      </c>
      <c r="F46" s="75"/>
      <c r="G46" s="107"/>
    </row>
    <row r="47" spans="1:17" x14ac:dyDescent="0.2">
      <c r="A47" s="52" t="s">
        <v>460</v>
      </c>
      <c r="C47" s="89"/>
      <c r="D47" s="77"/>
      <c r="E47" s="90"/>
      <c r="F47" s="75"/>
      <c r="G47" s="57"/>
    </row>
    <row r="48" spans="1:17" x14ac:dyDescent="0.2">
      <c r="A48" s="92" t="s">
        <v>461</v>
      </c>
      <c r="D48" s="75"/>
      <c r="G48" s="107"/>
    </row>
    <row r="49" spans="1:31" x14ac:dyDescent="0.2">
      <c r="A49" s="92" t="s">
        <v>462</v>
      </c>
      <c r="D49" s="75"/>
      <c r="G49" s="57"/>
    </row>
    <row r="50" spans="1:31" ht="10.5" customHeight="1" x14ac:dyDescent="0.2">
      <c r="A50" s="52"/>
      <c r="G50" s="57"/>
    </row>
    <row r="51" spans="1:31" ht="10.5" customHeight="1" x14ac:dyDescent="0.2">
      <c r="A51" s="73"/>
      <c r="B51" s="61"/>
      <c r="C51" s="61"/>
      <c r="D51" s="61"/>
      <c r="E51" s="61"/>
      <c r="F51" s="61"/>
      <c r="G51" s="74"/>
      <c r="K51" s="13"/>
      <c r="L51" s="13"/>
      <c r="M51" s="13"/>
      <c r="N51" s="13"/>
      <c r="O51" s="13"/>
      <c r="P51" s="13"/>
      <c r="Q51" s="13"/>
    </row>
    <row r="52" spans="1:31" x14ac:dyDescent="0.2">
      <c r="A52" s="65" t="str">
        <f>IF($B$9="Normal","Normal to Ridge Wind Load Tabulation for MWFRS - Buildings of Any Height","Parallel to Ridge Wind Load Tabulation for MWFRS - Buildings of Any Height")</f>
        <v>Normal to Ridge Wind Load Tabulation for MWFRS - Buildings of Any Height</v>
      </c>
      <c r="B52" s="62"/>
      <c r="C52" s="62"/>
      <c r="D52" s="93"/>
      <c r="E52" s="93"/>
      <c r="F52" s="110"/>
      <c r="G52" s="111"/>
      <c r="K52" s="13"/>
      <c r="L52" s="13"/>
      <c r="M52" s="13"/>
      <c r="N52" s="13"/>
      <c r="O52" s="13"/>
      <c r="P52" s="13"/>
      <c r="Q52" s="13"/>
    </row>
    <row r="53" spans="1:31" x14ac:dyDescent="0.2">
      <c r="A53" s="112" t="s">
        <v>271</v>
      </c>
      <c r="B53" s="112" t="s">
        <v>272</v>
      </c>
      <c r="C53" s="112" t="s">
        <v>269</v>
      </c>
      <c r="D53" s="113" t="s">
        <v>270</v>
      </c>
      <c r="E53" s="112" t="s">
        <v>273</v>
      </c>
      <c r="F53" s="598" t="s">
        <v>226</v>
      </c>
      <c r="G53" s="111"/>
      <c r="K53" s="13"/>
      <c r="L53" s="13"/>
      <c r="M53" s="13"/>
      <c r="N53" s="13"/>
      <c r="O53" s="13"/>
      <c r="P53" s="13"/>
      <c r="Q53" s="13"/>
      <c r="AB53" s="503" t="s">
        <v>198</v>
      </c>
    </row>
    <row r="54" spans="1:31" x14ac:dyDescent="0.2">
      <c r="A54" s="68"/>
      <c r="B54" s="112" t="s">
        <v>75</v>
      </c>
      <c r="C54" s="112"/>
      <c r="D54" s="113" t="s">
        <v>72</v>
      </c>
      <c r="E54" s="140"/>
      <c r="F54" s="94" t="s">
        <v>358</v>
      </c>
      <c r="G54" s="94" t="s">
        <v>359</v>
      </c>
      <c r="K54" s="13"/>
      <c r="L54" s="13"/>
      <c r="M54" s="13"/>
      <c r="N54" s="13"/>
      <c r="O54" s="13"/>
      <c r="P54" s="13"/>
      <c r="Q54" s="13"/>
      <c r="AB54" s="504" t="s">
        <v>17</v>
      </c>
      <c r="AC54" s="506" t="s">
        <v>257</v>
      </c>
    </row>
    <row r="55" spans="1:31" x14ac:dyDescent="0.2">
      <c r="A55" s="112" t="s">
        <v>279</v>
      </c>
      <c r="B55" s="595">
        <f>IF($AB$54="N",0,$AB55)</f>
        <v>20</v>
      </c>
      <c r="C55" s="159">
        <f>IF($B55="","",2.01*(IF(($B55*3.28084)&lt;=15,15,($B55*3.28084))/$L$34)^(2/$L$33))</f>
        <v>1.1581898364473004</v>
      </c>
      <c r="D55" s="159">
        <f>IF(($B55*3.28084)="","",0.00256*$C55*$B$18*$B$19*$L$36*($B$10*0.6213712)^2*0.0478802631216373 )</f>
        <v>1.8676385575072818</v>
      </c>
      <c r="E55" s="165">
        <f>IF(($B55*3.28084)="","",$B$30)</f>
        <v>0.8</v>
      </c>
      <c r="F55" s="159">
        <f>IF(($B55*3.28084)="","",$D55*$B$149*$E55-$L$37*$L$29)</f>
        <v>0.91181123931956676</v>
      </c>
      <c r="G55" s="159">
        <f>IF(($B55*3.28084)="","",$D55*$B$149*$E55-$L$37*$L$30)</f>
        <v>1.5694118021618337</v>
      </c>
      <c r="K55" s="13"/>
      <c r="L55" s="13"/>
      <c r="M55" s="13"/>
      <c r="N55" s="13"/>
      <c r="O55" s="13"/>
      <c r="P55" s="13"/>
      <c r="Q55" s="13"/>
      <c r="AB55" s="586">
        <f>B13</f>
        <v>20</v>
      </c>
      <c r="AC55" s="594" t="s">
        <v>357</v>
      </c>
      <c r="AD55" s="593" t="s">
        <v>73</v>
      </c>
      <c r="AE55" s="584"/>
    </row>
    <row r="56" spans="1:31" x14ac:dyDescent="0.2">
      <c r="A56" s="114" t="str">
        <f>IF($B56=($B$13),"For z = hr:","")</f>
        <v/>
      </c>
      <c r="B56" s="164">
        <f>B14</f>
        <v>18</v>
      </c>
      <c r="C56" s="160">
        <f t="shared" ref="C56:C82" si="0">IF($B56="","",2.01*(IF(($B56*3.28084)&lt;=15,15,($B56*3.28084))/$L$34)^(2/$L$33))</f>
        <v>1.1327826629938869</v>
      </c>
      <c r="D56" s="160">
        <f>IF(($B56*3.28084)="","",0.00256*$C56*$B$18*$B$19*$L$36*($B$10*0.6213712)^2*0.0478802631216373 )</f>
        <v>1.826668230117408</v>
      </c>
      <c r="E56" s="166">
        <f>IF(($B56*3.28084)="","",$B$30)</f>
        <v>0.8</v>
      </c>
      <c r="F56" s="160">
        <f>IF(($B56*3.28084)="","",$D56*$B$149*$E56-$L$37*$L$29)</f>
        <v>0.88459598401008344</v>
      </c>
      <c r="G56" s="160">
        <f>IF(($B56*3.28084)="","",$D56*$B$149*$E56-$L$37*$L$30)</f>
        <v>1.5421965468523504</v>
      </c>
      <c r="K56" s="13"/>
      <c r="L56" s="13"/>
      <c r="M56" s="13"/>
      <c r="N56" s="13"/>
      <c r="O56" s="13"/>
      <c r="P56" s="13"/>
      <c r="Q56" s="13"/>
      <c r="AB56" s="587">
        <f>B14</f>
        <v>18</v>
      </c>
      <c r="AC56" s="594" t="s">
        <v>357</v>
      </c>
      <c r="AD56" s="593" t="s">
        <v>74</v>
      </c>
      <c r="AE56" s="584"/>
    </row>
    <row r="57" spans="1:31" x14ac:dyDescent="0.2">
      <c r="A57" s="114" t="str">
        <f>IF($B57=($B$13),"For z = hr:","")</f>
        <v/>
      </c>
      <c r="B57" s="164">
        <f>B56/3*2</f>
        <v>12</v>
      </c>
      <c r="C57" s="160">
        <f t="shared" si="0"/>
        <v>1.0400991694925239</v>
      </c>
      <c r="D57" s="160">
        <f t="shared" ref="D57:D82" si="1">IF($B57="","",0.00256*$C57*$B$18*$B$19*$L$36*($B$10*0.6213712)^2*0.0478802631216373 )</f>
        <v>1.6772114997435723</v>
      </c>
      <c r="E57" s="166">
        <f t="shared" ref="E57:E82" si="2">IF($B57="","",$B$30)</f>
        <v>0.8</v>
      </c>
      <c r="F57" s="160">
        <f t="shared" ref="F57:F82" si="3">IF($B57="","",$D57*$B$149*$E57-$L$37*$L$29)</f>
        <v>0.78531674134897012</v>
      </c>
      <c r="G57" s="160">
        <f t="shared" ref="G57:G82" si="4">IF($B57="","",$D57*$B$149*$E57-$L$37*$L$30)</f>
        <v>1.4429173041912371</v>
      </c>
      <c r="K57" s="13"/>
      <c r="L57" s="13"/>
      <c r="M57" s="13"/>
      <c r="N57" s="13"/>
      <c r="O57" s="13"/>
      <c r="P57" s="13"/>
      <c r="Q57" s="13"/>
      <c r="AB57" s="185"/>
      <c r="AC57" s="66" t="s">
        <v>357</v>
      </c>
      <c r="AD57" s="53"/>
      <c r="AE57" s="584"/>
    </row>
    <row r="58" spans="1:31" x14ac:dyDescent="0.2">
      <c r="A58" s="114" t="str">
        <f>IF($B58=($B$13),"For z = hr:","")</f>
        <v/>
      </c>
      <c r="B58" s="164">
        <f>B56/3</f>
        <v>6</v>
      </c>
      <c r="C58" s="160">
        <f t="shared" si="0"/>
        <v>0.89887647345945465</v>
      </c>
      <c r="D58" s="160">
        <f t="shared" si="1"/>
        <v>1.4494828977420711</v>
      </c>
      <c r="E58" s="166">
        <f t="shared" si="2"/>
        <v>0.8</v>
      </c>
      <c r="F58" s="160">
        <f t="shared" si="3"/>
        <v>0.6340440413345112</v>
      </c>
      <c r="G58" s="160">
        <f t="shared" si="4"/>
        <v>1.291644604176778</v>
      </c>
      <c r="K58" s="13"/>
      <c r="L58" s="13"/>
      <c r="M58" s="13"/>
      <c r="N58" s="13"/>
      <c r="O58" s="13"/>
      <c r="P58" s="13"/>
      <c r="Q58" s="13"/>
      <c r="AB58" s="185"/>
      <c r="AC58" s="66" t="s">
        <v>357</v>
      </c>
      <c r="AD58" s="53"/>
      <c r="AE58" s="584"/>
    </row>
    <row r="59" spans="1:31" hidden="1" x14ac:dyDescent="0.2">
      <c r="A59" s="114" t="str">
        <f>IF($B59=($B$13),"For z = hr:","")</f>
        <v/>
      </c>
      <c r="B59" s="171" t="str">
        <f>IF($AB$54="N",IF($B$13&gt;=20,20,IF($B58=$B$13,"",IF($B58="","",$B$13))),IF(OR($AB59="",$AB59&gt;($B$13)),"",$AB59))</f>
        <v/>
      </c>
      <c r="C59" s="160" t="str">
        <f t="shared" si="0"/>
        <v/>
      </c>
      <c r="D59" s="160" t="str">
        <f t="shared" si="1"/>
        <v/>
      </c>
      <c r="E59" s="166" t="str">
        <f t="shared" si="2"/>
        <v/>
      </c>
      <c r="F59" s="160" t="str">
        <f t="shared" si="3"/>
        <v/>
      </c>
      <c r="G59" s="160" t="str">
        <f t="shared" si="4"/>
        <v/>
      </c>
      <c r="K59" s="13"/>
      <c r="L59" s="13"/>
      <c r="M59" s="13"/>
      <c r="N59" s="13"/>
      <c r="O59" s="13"/>
      <c r="P59" s="13"/>
      <c r="Q59" s="13"/>
      <c r="AB59" s="185"/>
      <c r="AC59" s="66" t="s">
        <v>357</v>
      </c>
      <c r="AD59" s="53"/>
      <c r="AE59" s="584"/>
    </row>
    <row r="60" spans="1:31" hidden="1" x14ac:dyDescent="0.2">
      <c r="A60" s="114" t="str">
        <f>IF($B60=($B$13),"For z = hr:","")</f>
        <v/>
      </c>
      <c r="B60" s="171" t="str">
        <f>IF($AB$54="N",IF($B$13&gt;=25,25,IF($B59=$B$13,"",IF($B59="","",$B$13))),IF(OR($AB60="",$AB60&gt;$B$13),"",$AB60))</f>
        <v/>
      </c>
      <c r="C60" s="160" t="str">
        <f t="shared" si="0"/>
        <v/>
      </c>
      <c r="D60" s="160" t="str">
        <f t="shared" si="1"/>
        <v/>
      </c>
      <c r="E60" s="166" t="str">
        <f t="shared" si="2"/>
        <v/>
      </c>
      <c r="F60" s="160" t="str">
        <f t="shared" si="3"/>
        <v/>
      </c>
      <c r="G60" s="160" t="str">
        <f t="shared" si="4"/>
        <v/>
      </c>
      <c r="AB60" s="185"/>
      <c r="AC60" s="66" t="s">
        <v>357</v>
      </c>
      <c r="AD60" s="53"/>
      <c r="AE60" s="584"/>
    </row>
    <row r="61" spans="1:31" hidden="1" x14ac:dyDescent="0.2">
      <c r="A61" s="114" t="str">
        <f>IF($B61=$B$13,"For z = hr:","")</f>
        <v/>
      </c>
      <c r="B61" s="171" t="str">
        <f>IF($AB$54="N",IF($B$13&gt;=30,30,IF($B60=$B$13,"",IF($B60="","",$B$13))),IF(OR($AB61="",$AB61&gt;$B$13),"",$AB61))</f>
        <v/>
      </c>
      <c r="C61" s="160" t="str">
        <f t="shared" si="0"/>
        <v/>
      </c>
      <c r="D61" s="160" t="str">
        <f t="shared" si="1"/>
        <v/>
      </c>
      <c r="E61" s="166" t="str">
        <f t="shared" si="2"/>
        <v/>
      </c>
      <c r="F61" s="160" t="str">
        <f t="shared" si="3"/>
        <v/>
      </c>
      <c r="G61" s="160" t="str">
        <f t="shared" si="4"/>
        <v/>
      </c>
      <c r="AB61" s="185"/>
      <c r="AC61" s="66" t="s">
        <v>357</v>
      </c>
      <c r="AD61" s="53"/>
      <c r="AE61" s="584"/>
    </row>
    <row r="62" spans="1:31" hidden="1" x14ac:dyDescent="0.2">
      <c r="A62" s="114" t="str">
        <f>IF($B62=$B$13,"For z = hr:","")</f>
        <v/>
      </c>
      <c r="B62" s="171" t="str">
        <f>IF($AB$49="N",IF($B$13&gt;=35,35,IF($B61=$B$13,"",IF($B61="","",$B$13))),IF(OR($AB62="",$AB62&gt;$B$13),"",$AB62))</f>
        <v/>
      </c>
      <c r="C62" s="160" t="str">
        <f t="shared" si="0"/>
        <v/>
      </c>
      <c r="D62" s="160" t="str">
        <f t="shared" si="1"/>
        <v/>
      </c>
      <c r="E62" s="166" t="str">
        <f t="shared" si="2"/>
        <v/>
      </c>
      <c r="F62" s="160" t="str">
        <f t="shared" si="3"/>
        <v/>
      </c>
      <c r="G62" s="160" t="str">
        <f t="shared" si="4"/>
        <v/>
      </c>
      <c r="AB62" s="185"/>
      <c r="AC62" s="66" t="s">
        <v>357</v>
      </c>
      <c r="AD62" s="53"/>
      <c r="AE62" s="584"/>
    </row>
    <row r="63" spans="1:31" hidden="1" x14ac:dyDescent="0.2">
      <c r="A63" s="114" t="str">
        <f>IF($B63=($B$13),"For z = hr:","")</f>
        <v/>
      </c>
      <c r="B63" s="171" t="str">
        <f>IF($AB$54="N",IF($B$13&gt;=40,40,IF($B62=$B$13,"",IF($B62="","",$B$13))),IF(OR($AB63="",$AB63&gt;$B$13),"",$AB63))</f>
        <v/>
      </c>
      <c r="C63" s="160" t="str">
        <f t="shared" si="0"/>
        <v/>
      </c>
      <c r="D63" s="160" t="str">
        <f t="shared" si="1"/>
        <v/>
      </c>
      <c r="E63" s="166" t="str">
        <f t="shared" si="2"/>
        <v/>
      </c>
      <c r="F63" s="160" t="str">
        <f t="shared" si="3"/>
        <v/>
      </c>
      <c r="G63" s="160" t="str">
        <f t="shared" si="4"/>
        <v/>
      </c>
      <c r="AB63" s="185"/>
      <c r="AC63" s="66" t="s">
        <v>357</v>
      </c>
      <c r="AD63" s="53"/>
      <c r="AE63" s="584"/>
    </row>
    <row r="64" spans="1:31" hidden="1" x14ac:dyDescent="0.2">
      <c r="A64" s="114" t="str">
        <f>IF($B64=($B$13),"For z = hr:","")</f>
        <v/>
      </c>
      <c r="B64" s="171" t="str">
        <f>IF($AB$44="N",IF($B$13&gt;=45,45,IF($B63=$B$13,"",IF($B63="","",$B$13))),IF(OR($AB64="",$AB64&gt;$B$13),"",$AB64))</f>
        <v/>
      </c>
      <c r="C64" s="160" t="str">
        <f t="shared" si="0"/>
        <v/>
      </c>
      <c r="D64" s="160" t="str">
        <f t="shared" si="1"/>
        <v/>
      </c>
      <c r="E64" s="166" t="str">
        <f t="shared" si="2"/>
        <v/>
      </c>
      <c r="F64" s="160" t="str">
        <f t="shared" si="3"/>
        <v/>
      </c>
      <c r="G64" s="160" t="str">
        <f t="shared" si="4"/>
        <v/>
      </c>
      <c r="AB64" s="185"/>
      <c r="AC64" s="66" t="s">
        <v>357</v>
      </c>
      <c r="AD64" s="53"/>
      <c r="AE64" s="584"/>
    </row>
    <row r="65" spans="1:31" hidden="1" x14ac:dyDescent="0.2">
      <c r="A65" s="114" t="str">
        <f>IF($B65=($B$13),"For z = hr:","")</f>
        <v/>
      </c>
      <c r="B65" s="171" t="str">
        <f>IF($AB$54="N",IF($B$13&gt;=50,50,IF($B64=$B$13,"",IF($B64="","",$B$13))),IF(OR($AB65="",$AB65&gt;$B$13),"",$AB65))</f>
        <v/>
      </c>
      <c r="C65" s="160" t="str">
        <f t="shared" si="0"/>
        <v/>
      </c>
      <c r="D65" s="160" t="str">
        <f t="shared" si="1"/>
        <v/>
      </c>
      <c r="E65" s="166" t="str">
        <f t="shared" si="2"/>
        <v/>
      </c>
      <c r="F65" s="160" t="str">
        <f t="shared" si="3"/>
        <v/>
      </c>
      <c r="G65" s="160" t="str">
        <f t="shared" si="4"/>
        <v/>
      </c>
      <c r="AB65" s="185"/>
      <c r="AC65" s="66" t="s">
        <v>357</v>
      </c>
      <c r="AD65" s="53"/>
      <c r="AE65" s="584"/>
    </row>
    <row r="66" spans="1:31" hidden="1" x14ac:dyDescent="0.2">
      <c r="A66" s="114" t="str">
        <f>IF($B66=$B$13,"For z = hr:","")</f>
        <v/>
      </c>
      <c r="B66" s="171" t="str">
        <f>IF($AB$54="N",IF($B$13&gt;=55,55,IF($B65=$B$13,"",IF($B65="","",$B$13))),IF(OR($AB66="",$AB66&gt;$B$13),"",$AB66))</f>
        <v/>
      </c>
      <c r="C66" s="160" t="str">
        <f t="shared" si="0"/>
        <v/>
      </c>
      <c r="D66" s="160" t="str">
        <f t="shared" si="1"/>
        <v/>
      </c>
      <c r="E66" s="166" t="str">
        <f t="shared" si="2"/>
        <v/>
      </c>
      <c r="F66" s="160" t="str">
        <f t="shared" si="3"/>
        <v/>
      </c>
      <c r="G66" s="160" t="str">
        <f t="shared" si="4"/>
        <v/>
      </c>
      <c r="AB66" s="185"/>
      <c r="AC66" s="66" t="s">
        <v>357</v>
      </c>
      <c r="AD66" s="53"/>
      <c r="AE66" s="584"/>
    </row>
    <row r="67" spans="1:31" hidden="1" x14ac:dyDescent="0.2">
      <c r="A67" s="114" t="str">
        <f>IF($B67=$B$13,"For z = hr:","")</f>
        <v/>
      </c>
      <c r="B67" s="171" t="str">
        <f>IF($AB$54="N",IF($B$13&gt;=60,60,IF($B66=$B$13,"",IF($B66="","",$B$13))),IF(OR($AB67="",$AB67&gt;$B$13),"",$AB67))</f>
        <v/>
      </c>
      <c r="C67" s="160" t="str">
        <f t="shared" si="0"/>
        <v/>
      </c>
      <c r="D67" s="160" t="str">
        <f t="shared" si="1"/>
        <v/>
      </c>
      <c r="E67" s="166" t="str">
        <f t="shared" si="2"/>
        <v/>
      </c>
      <c r="F67" s="160" t="str">
        <f t="shared" si="3"/>
        <v/>
      </c>
      <c r="G67" s="160" t="str">
        <f t="shared" si="4"/>
        <v/>
      </c>
      <c r="AB67" s="185"/>
      <c r="AC67" s="66" t="s">
        <v>357</v>
      </c>
      <c r="AD67" s="53"/>
      <c r="AE67" s="584"/>
    </row>
    <row r="68" spans="1:31" hidden="1" x14ac:dyDescent="0.2">
      <c r="A68" s="114" t="str">
        <f>IF($B68=($B$13),"For z = hr:","")</f>
        <v/>
      </c>
      <c r="B68" s="171" t="str">
        <f>IF($AB$54="N",IF($B$13&gt;=65,65,IF($B67=$B$13,"",IF($B67="","",$B$13))),IF(OR($AB68="",$AB68&gt;$B$13),"",$AB68))</f>
        <v/>
      </c>
      <c r="C68" s="160" t="str">
        <f t="shared" si="0"/>
        <v/>
      </c>
      <c r="D68" s="160" t="str">
        <f t="shared" si="1"/>
        <v/>
      </c>
      <c r="E68" s="166" t="str">
        <f t="shared" si="2"/>
        <v/>
      </c>
      <c r="F68" s="160" t="str">
        <f t="shared" si="3"/>
        <v/>
      </c>
      <c r="G68" s="160" t="str">
        <f t="shared" si="4"/>
        <v/>
      </c>
      <c r="AB68" s="185"/>
      <c r="AC68" s="66" t="s">
        <v>357</v>
      </c>
      <c r="AD68" s="53"/>
      <c r="AE68" s="584"/>
    </row>
    <row r="69" spans="1:31" x14ac:dyDescent="0.2">
      <c r="A69" s="114" t="str">
        <f>IF($B69=($B$13),"For z = hr:","")</f>
        <v/>
      </c>
      <c r="B69" s="171" t="str">
        <f>IF($AB$54="N",IF($B$13&gt;=70,70,IF($B68=$B$13,"",IF($B68="","",$B$13))),IF(OR($AB69="",$AB69&gt;$B$13),"",$AB69))</f>
        <v/>
      </c>
      <c r="C69" s="160" t="str">
        <f t="shared" si="0"/>
        <v/>
      </c>
      <c r="D69" s="160" t="str">
        <f t="shared" si="1"/>
        <v/>
      </c>
      <c r="E69" s="166" t="str">
        <f t="shared" si="2"/>
        <v/>
      </c>
      <c r="F69" s="160" t="str">
        <f t="shared" si="3"/>
        <v/>
      </c>
      <c r="G69" s="160" t="str">
        <f t="shared" si="4"/>
        <v/>
      </c>
      <c r="AB69" s="505"/>
      <c r="AC69" s="66" t="s">
        <v>357</v>
      </c>
    </row>
    <row r="70" spans="1:31" hidden="1" x14ac:dyDescent="0.2">
      <c r="A70" s="114" t="str">
        <f>IF($B70=$B$13,"For z = hr:","")</f>
        <v/>
      </c>
      <c r="B70" s="171" t="str">
        <f>IF($AB$54="N",IF($B$13&gt;=120,120,IF($B69=$B$13,"",IF($B69="","",$B$13))),IF(OR($AB70="",$AB70&gt;$B$13),"",$AB70))</f>
        <v/>
      </c>
      <c r="C70" s="160" t="str">
        <f t="shared" si="0"/>
        <v/>
      </c>
      <c r="D70" s="160" t="str">
        <f t="shared" si="1"/>
        <v/>
      </c>
      <c r="E70" s="166" t="str">
        <f t="shared" si="2"/>
        <v/>
      </c>
      <c r="F70" s="160" t="str">
        <f t="shared" si="3"/>
        <v/>
      </c>
      <c r="G70" s="160" t="str">
        <f t="shared" si="4"/>
        <v/>
      </c>
      <c r="AB70" s="578" t="str">
        <f t="shared" ref="AB70:AB80" si="5">IF(AD70&lt;&gt;"",(3.281) * AD70,"")</f>
        <v/>
      </c>
      <c r="AC70" s="585" t="s">
        <v>311</v>
      </c>
    </row>
    <row r="71" spans="1:31" hidden="1" x14ac:dyDescent="0.2">
      <c r="A71" s="114" t="str">
        <f>IF($B71=$B$13,"For z = hr:","")</f>
        <v/>
      </c>
      <c r="B71" s="171" t="str">
        <f>IF($AB$54="N",IF($B$13&gt;=140,140,IF($B70=$B$13,"",IF($B70="","",$B$13))),IF(OR($AB71="",$AB71&gt;$B$13),"",$AB71))</f>
        <v/>
      </c>
      <c r="C71" s="160" t="str">
        <f t="shared" si="0"/>
        <v/>
      </c>
      <c r="D71" s="160" t="str">
        <f t="shared" si="1"/>
        <v/>
      </c>
      <c r="E71" s="166" t="str">
        <f t="shared" si="2"/>
        <v/>
      </c>
      <c r="F71" s="160" t="str">
        <f t="shared" si="3"/>
        <v/>
      </c>
      <c r="G71" s="160" t="str">
        <f t="shared" si="4"/>
        <v/>
      </c>
      <c r="AB71" s="578" t="str">
        <f t="shared" si="5"/>
        <v/>
      </c>
      <c r="AC71" s="585" t="s">
        <v>311</v>
      </c>
    </row>
    <row r="72" spans="1:31" hidden="1" x14ac:dyDescent="0.2">
      <c r="A72" s="114" t="str">
        <f>IF($B72=($B$13*3.28084),"For z = hr:","")</f>
        <v/>
      </c>
      <c r="B72" s="171" t="str">
        <f>IF($AB$54="N",IF($B$13&gt;=160,160,IF($B71=$B$13,"",IF($B71="","",$B$13))),IF(OR($AB72="",$AB72&gt;$B$13),"",$AB72))</f>
        <v/>
      </c>
      <c r="C72" s="160" t="str">
        <f t="shared" si="0"/>
        <v/>
      </c>
      <c r="D72" s="160" t="str">
        <f t="shared" si="1"/>
        <v/>
      </c>
      <c r="E72" s="166" t="str">
        <f t="shared" si="2"/>
        <v/>
      </c>
      <c r="F72" s="160" t="str">
        <f t="shared" si="3"/>
        <v/>
      </c>
      <c r="G72" s="160" t="str">
        <f t="shared" si="4"/>
        <v/>
      </c>
      <c r="AB72" s="578" t="str">
        <f t="shared" si="5"/>
        <v/>
      </c>
      <c r="AC72" s="585" t="s">
        <v>311</v>
      </c>
    </row>
    <row r="73" spans="1:31" hidden="1" x14ac:dyDescent="0.2">
      <c r="A73" s="114" t="str">
        <f>IF($B73=$B$13,"For z = hr:","")</f>
        <v/>
      </c>
      <c r="B73" s="171" t="str">
        <f>IF($AB$54="N",IF($B$13&gt;=180,180,IF($B72=$B$13,"",IF($B72="","",$B$13))),IF(OR($AB73="",$AB73&gt;$B$13),"",$AB73))</f>
        <v/>
      </c>
      <c r="C73" s="160" t="str">
        <f t="shared" si="0"/>
        <v/>
      </c>
      <c r="D73" s="160" t="str">
        <f t="shared" si="1"/>
        <v/>
      </c>
      <c r="E73" s="166" t="str">
        <f t="shared" si="2"/>
        <v/>
      </c>
      <c r="F73" s="160" t="str">
        <f t="shared" si="3"/>
        <v/>
      </c>
      <c r="G73" s="160" t="str">
        <f t="shared" si="4"/>
        <v/>
      </c>
      <c r="AB73" s="578" t="str">
        <f t="shared" si="5"/>
        <v/>
      </c>
      <c r="AC73" s="585" t="s">
        <v>311</v>
      </c>
    </row>
    <row r="74" spans="1:31" hidden="1" x14ac:dyDescent="0.2">
      <c r="A74" s="114" t="str">
        <f>IF($B74=$B$13,"For z = hr:","")</f>
        <v/>
      </c>
      <c r="B74" s="171" t="str">
        <f>IF($AB$54="N",IF($B$13&gt;=200,200,IF($B73=$B$13,"",IF($B73="","",$B$13))),IF(OR($AB74="",$AB74&gt;$B$13),"",$AB74))</f>
        <v/>
      </c>
      <c r="C74" s="160" t="str">
        <f t="shared" si="0"/>
        <v/>
      </c>
      <c r="D74" s="160" t="str">
        <f t="shared" si="1"/>
        <v/>
      </c>
      <c r="E74" s="166" t="str">
        <f t="shared" si="2"/>
        <v/>
      </c>
      <c r="F74" s="160" t="str">
        <f t="shared" si="3"/>
        <v/>
      </c>
      <c r="G74" s="160" t="str">
        <f t="shared" si="4"/>
        <v/>
      </c>
      <c r="AB74" s="578" t="str">
        <f t="shared" si="5"/>
        <v/>
      </c>
      <c r="AC74" s="585" t="s">
        <v>311</v>
      </c>
    </row>
    <row r="75" spans="1:31" hidden="1" x14ac:dyDescent="0.2">
      <c r="A75" s="114" t="str">
        <f>IF($B75=$B$13,"For z = hr:","")</f>
        <v/>
      </c>
      <c r="B75" s="171" t="str">
        <f>IF($AB$54="N",IF($B$13&gt;=250,250,IF($B74=$B$13,"",IF($B74="","",$B$13))),IF(OR($AB75="",$AB75&gt;$B$13),"",$AB75))</f>
        <v/>
      </c>
      <c r="C75" s="160" t="str">
        <f t="shared" si="0"/>
        <v/>
      </c>
      <c r="D75" s="160" t="str">
        <f t="shared" si="1"/>
        <v/>
      </c>
      <c r="E75" s="166" t="str">
        <f t="shared" si="2"/>
        <v/>
      </c>
      <c r="F75" s="160" t="str">
        <f t="shared" si="3"/>
        <v/>
      </c>
      <c r="G75" s="160" t="str">
        <f t="shared" si="4"/>
        <v/>
      </c>
      <c r="AB75" s="578" t="str">
        <f t="shared" si="5"/>
        <v/>
      </c>
      <c r="AC75" s="585" t="s">
        <v>311</v>
      </c>
    </row>
    <row r="76" spans="1:31" hidden="1" x14ac:dyDescent="0.2">
      <c r="A76" s="114" t="str">
        <f>IF($B76=$B$13,"For z = hr:","")</f>
        <v/>
      </c>
      <c r="B76" s="171" t="str">
        <f>IF($AB$54="N",IF($B$13&gt;=300,300,IF($B75=$B$13,"",IF($B75="","",$B$13))),IF(OR($AB76="",$AB76&gt;$B$13),"",$AB76))</f>
        <v/>
      </c>
      <c r="C76" s="160" t="str">
        <f t="shared" si="0"/>
        <v/>
      </c>
      <c r="D76" s="160" t="str">
        <f t="shared" si="1"/>
        <v/>
      </c>
      <c r="E76" s="166" t="str">
        <f t="shared" si="2"/>
        <v/>
      </c>
      <c r="F76" s="160" t="str">
        <f t="shared" si="3"/>
        <v/>
      </c>
      <c r="G76" s="160" t="str">
        <f t="shared" si="4"/>
        <v/>
      </c>
      <c r="AB76" s="578" t="str">
        <f t="shared" si="5"/>
        <v/>
      </c>
      <c r="AC76" s="585" t="s">
        <v>311</v>
      </c>
    </row>
    <row r="77" spans="1:31" hidden="1" x14ac:dyDescent="0.2">
      <c r="A77" s="114" t="str">
        <f>IF($B77=$B$13,"For z = hr:","")</f>
        <v/>
      </c>
      <c r="B77" s="171" t="str">
        <f>IF($AB$54="N",IF($B$13&gt;=350,350,IF($B76=$B$13,"",IF($B76="","",$B$13))),IF(OR($AB77="",$AB77&gt;$B$13),"",$AB77))</f>
        <v/>
      </c>
      <c r="C77" s="160" t="str">
        <f t="shared" si="0"/>
        <v/>
      </c>
      <c r="D77" s="160" t="str">
        <f t="shared" si="1"/>
        <v/>
      </c>
      <c r="E77" s="166" t="str">
        <f t="shared" si="2"/>
        <v/>
      </c>
      <c r="F77" s="160" t="str">
        <f t="shared" si="3"/>
        <v/>
      </c>
      <c r="G77" s="160" t="str">
        <f t="shared" si="4"/>
        <v/>
      </c>
      <c r="AB77" s="578" t="str">
        <f t="shared" si="5"/>
        <v/>
      </c>
      <c r="AC77" s="585" t="s">
        <v>311</v>
      </c>
    </row>
    <row r="78" spans="1:31" hidden="1" x14ac:dyDescent="0.2">
      <c r="A78" s="114" t="str">
        <f>IF($B78=($B$13*3.28084),"For z = hr:","")</f>
        <v/>
      </c>
      <c r="B78" s="171" t="str">
        <f>IF($AB$54="N",IF(($B$13*3.28084)&gt;=400,400,IF($B77=($B$13*3.28084),"",IF($B77="","",($B$13*3.28084)))),IF(OR($AB78="",$AB78&gt;($B$13*3.28084)),"",$AB78))</f>
        <v/>
      </c>
      <c r="C78" s="160" t="str">
        <f t="shared" si="0"/>
        <v/>
      </c>
      <c r="D78" s="160" t="str">
        <f t="shared" si="1"/>
        <v/>
      </c>
      <c r="E78" s="166" t="str">
        <f t="shared" si="2"/>
        <v/>
      </c>
      <c r="F78" s="160" t="str">
        <f t="shared" si="3"/>
        <v/>
      </c>
      <c r="G78" s="160" t="str">
        <f t="shared" si="4"/>
        <v/>
      </c>
      <c r="AB78" s="578" t="str">
        <f t="shared" si="5"/>
        <v/>
      </c>
      <c r="AC78" s="585" t="s">
        <v>311</v>
      </c>
    </row>
    <row r="79" spans="1:31" hidden="1" x14ac:dyDescent="0.2">
      <c r="A79" s="114" t="str">
        <f>IF($B79=($B$13*3.28084),"For z = hr:","")</f>
        <v/>
      </c>
      <c r="B79" s="171" t="str">
        <f>IF($AB$54="N",IF(($B$13*3.28084)&gt;=450,450,IF($B78=($B$13*3.28084),"",IF($B78="","",($B$13*3.28084)))),IF(OR($AB79="",$AB79&gt;($B$13*3.28084)),"",$AB79))</f>
        <v/>
      </c>
      <c r="C79" s="160" t="str">
        <f t="shared" si="0"/>
        <v/>
      </c>
      <c r="D79" s="160" t="str">
        <f t="shared" si="1"/>
        <v/>
      </c>
      <c r="E79" s="166" t="str">
        <f t="shared" si="2"/>
        <v/>
      </c>
      <c r="F79" s="160" t="str">
        <f t="shared" si="3"/>
        <v/>
      </c>
      <c r="G79" s="160" t="str">
        <f t="shared" si="4"/>
        <v/>
      </c>
      <c r="AB79" s="578" t="str">
        <f t="shared" si="5"/>
        <v/>
      </c>
      <c r="AC79" s="585" t="s">
        <v>311</v>
      </c>
    </row>
    <row r="80" spans="1:31" hidden="1" x14ac:dyDescent="0.2">
      <c r="A80" s="114" t="str">
        <f>IF($B80=($B$13*3.28084),"For z = hr:","")</f>
        <v/>
      </c>
      <c r="B80" s="171" t="str">
        <f>IF($AB$54="N",IF(($B$13*3.28084)&gt;=500,500,IF($B79=($B$13*3.28084),"",IF($B79="","",($B$13*3.28084)))),IF(OR($AB80="",$AB80&gt;($B$13*3.28084)),"",$AB80))</f>
        <v/>
      </c>
      <c r="C80" s="160" t="str">
        <f t="shared" si="0"/>
        <v/>
      </c>
      <c r="D80" s="160" t="str">
        <f t="shared" si="1"/>
        <v/>
      </c>
      <c r="E80" s="166" t="str">
        <f t="shared" si="2"/>
        <v/>
      </c>
      <c r="F80" s="160" t="str">
        <f t="shared" si="3"/>
        <v/>
      </c>
      <c r="G80" s="160" t="str">
        <f t="shared" si="4"/>
        <v/>
      </c>
      <c r="AB80" s="583" t="str">
        <f t="shared" si="5"/>
        <v/>
      </c>
      <c r="AC80" s="585" t="s">
        <v>311</v>
      </c>
    </row>
    <row r="81" spans="1:10" x14ac:dyDescent="0.2">
      <c r="A81" s="114" t="s">
        <v>383</v>
      </c>
      <c r="B81" s="171">
        <f>($B$14)</f>
        <v>18</v>
      </c>
      <c r="C81" s="160">
        <f t="shared" si="0"/>
        <v>1.1327826629938869</v>
      </c>
      <c r="D81" s="160">
        <f t="shared" si="1"/>
        <v>1.826668230117408</v>
      </c>
      <c r="E81" s="166">
        <f t="shared" si="2"/>
        <v>0.8</v>
      </c>
      <c r="F81" s="160">
        <f t="shared" si="3"/>
        <v>0.88459598401008344</v>
      </c>
      <c r="G81" s="160">
        <f t="shared" si="4"/>
        <v>1.5421965468523504</v>
      </c>
    </row>
    <row r="82" spans="1:10" x14ac:dyDescent="0.2">
      <c r="A82" s="114" t="s">
        <v>384</v>
      </c>
      <c r="B82" s="161">
        <f>($B$29)</f>
        <v>18.000000576000001</v>
      </c>
      <c r="C82" s="161">
        <f t="shared" si="0"/>
        <v>1.1327826706252646</v>
      </c>
      <c r="D82" s="161">
        <f t="shared" si="1"/>
        <v>1.8266682424233831</v>
      </c>
      <c r="E82" s="167">
        <f t="shared" si="2"/>
        <v>0.8</v>
      </c>
      <c r="F82" s="161">
        <f t="shared" si="3"/>
        <v>0.88459599218454232</v>
      </c>
      <c r="G82" s="161">
        <f t="shared" si="4"/>
        <v>1.5421965550268093</v>
      </c>
      <c r="H82" s="600">
        <f>MAX(F82,G82)/B44</f>
        <v>0.84426746444683365</v>
      </c>
    </row>
    <row r="83" spans="1:10" x14ac:dyDescent="0.2">
      <c r="A83" s="115" t="s">
        <v>280</v>
      </c>
      <c r="B83" s="141" t="s">
        <v>275</v>
      </c>
      <c r="C83" s="116" t="s">
        <v>281</v>
      </c>
      <c r="D83" s="117" t="s">
        <v>281</v>
      </c>
      <c r="E83" s="95">
        <f>$B$31</f>
        <v>-0.5</v>
      </c>
      <c r="F83" s="95">
        <f>$L$37*$B$149*$E83-$L$37*$L$29</f>
        <v>-1.087172947315644</v>
      </c>
      <c r="G83" s="71">
        <f>$L$37*$B$149*$E83-$L$37*$L$30</f>
        <v>-0.42957238447337714</v>
      </c>
      <c r="H83" s="600">
        <f>-MAX(ABS(F83),ABS(G83))/B44</f>
        <v>-0.59516716248235546</v>
      </c>
    </row>
    <row r="84" spans="1:10" x14ac:dyDescent="0.2">
      <c r="A84" s="67" t="s">
        <v>274</v>
      </c>
      <c r="B84" s="142" t="s">
        <v>275</v>
      </c>
      <c r="C84" s="144" t="s">
        <v>281</v>
      </c>
      <c r="D84" s="143" t="s">
        <v>281</v>
      </c>
      <c r="E84" s="139">
        <f>$B$32</f>
        <v>-0.7</v>
      </c>
      <c r="F84" s="139">
        <f>$L$37*$B$149*$E84-$L$37*$L$29</f>
        <v>-1.3905220136734482</v>
      </c>
      <c r="G84" s="70">
        <f>$L$37*$B$149*$E84-$L$37*$L$30</f>
        <v>-0.73292145083118121</v>
      </c>
      <c r="H84" s="600">
        <f>-MAX(ABS(F84),ABS(G84))/B44</f>
        <v>-0.76123402747529756</v>
      </c>
    </row>
    <row r="85" spans="1:10" x14ac:dyDescent="0.2">
      <c r="A85" s="493" t="str">
        <f>IF($B$9="Normal",IF($B$28&lt;10,"Roof (zone #1) cond. 1","Roof (windward) cond. 1"),"Roof (zone #1) cond. 1")</f>
        <v>Roof (zone #1) cond. 1</v>
      </c>
      <c r="B85" s="170" t="s">
        <v>281</v>
      </c>
      <c r="C85" s="170" t="s">
        <v>281</v>
      </c>
      <c r="D85" s="170" t="s">
        <v>281</v>
      </c>
      <c r="E85" s="158">
        <f>IF($B$9="Normal",IF($B$28&lt;10,$L$23,$L$20),$P$23)</f>
        <v>-0.92800000537600003</v>
      </c>
      <c r="F85" s="711">
        <f>$L$37*$B$149*$E85-$L$37*$L$29</f>
        <v>-1.736339957475368</v>
      </c>
      <c r="G85" s="711">
        <f>$L$37*$B$149*$E85-$L$37*$L$30</f>
        <v>-1.078739394633101</v>
      </c>
      <c r="H85" s="600">
        <f>-MAX(ABS(F85),ABS(G85))/B44</f>
        <v>-0.95055025803112903</v>
      </c>
      <c r="I85" s="710" t="str">
        <f>"(zone #1 for 0 to " &amp;ROUND(B29/2,1)&amp;"m)"</f>
        <v>(zone #1 for 0 to 9m)</v>
      </c>
      <c r="J85" s="670"/>
    </row>
    <row r="86" spans="1:10" x14ac:dyDescent="0.2">
      <c r="A86" s="494" t="str">
        <f>IF($B$9="Normal",IF($B$28&lt;10,"Roof (zone #1) cond. 2",""),"Roof (zone #1) cond. 2")</f>
        <v>Roof (zone #1) cond. 2</v>
      </c>
      <c r="B86" s="160" t="str">
        <f>IF($B$9="Normal",IF($B$28&lt;10,"-",""),"-")</f>
        <v>-</v>
      </c>
      <c r="C86" s="160" t="str">
        <f>IF($B$9="Normal",IF($B$28&lt;10,"-",""),"-")</f>
        <v>-</v>
      </c>
      <c r="D86" s="160" t="str">
        <f>IF($B$9="Normal",IF($B$28&lt;10,"-",""),"-")</f>
        <v>-</v>
      </c>
      <c r="E86" s="160">
        <f>IF($B$9="Normal",IF($B$28&lt;10,$M$23,""),$Q$23)</f>
        <v>-0.18</v>
      </c>
      <c r="F86" s="160">
        <f>IF($E86="","",$L$37*$B$149*$E86-$L$37*$L$29)</f>
        <v>-0.60181444114315719</v>
      </c>
      <c r="G86" s="160">
        <f>IF($E86="","",$L$37*$B$149*$E86-$L$37*$L$30)</f>
        <v>5.5786121699109625E-2</v>
      </c>
      <c r="H86" s="600"/>
    </row>
    <row r="87" spans="1:10" x14ac:dyDescent="0.2">
      <c r="A87" s="494" t="str">
        <f>IF($B$9="Normal",IF($B$28&lt;10,IF($L$5&gt;($B$29*3.28084)/2,"Roof (zone #2) cond. 1",""),"Roof (windward) cond. 2"),IF($L$5&gt;($B$29*3.28084)/2,"Roof (zone #2) cond. 1",""))</f>
        <v>Roof (zone #2) cond. 1</v>
      </c>
      <c r="B87" s="171" t="str">
        <f t="shared" ref="B87:D88" si="6">IF($L$5&gt;($B$29*3.28084)/2,"-","")</f>
        <v>-</v>
      </c>
      <c r="C87" s="171" t="str">
        <f t="shared" si="6"/>
        <v>-</v>
      </c>
      <c r="D87" s="171" t="str">
        <f t="shared" si="6"/>
        <v>-</v>
      </c>
      <c r="E87" s="162">
        <f>IF($B$34="N.A.","",IF($B$9="Normal",IF($B$28&lt;10,$L$24,$M$20),$P$24))</f>
        <v>-0.85999999232000002</v>
      </c>
      <c r="F87" s="160">
        <f>IF($B$34="N.A.","",IF($B$9="Normal",IF($L$5&gt;($B$29*3.28084)/2,$L$37*$B$149*$E87-$L$37*$L$29,""),$L$37*$B$149*$E87-$L$37*$L$29))</f>
        <v>-1.6332012551110875</v>
      </c>
      <c r="G87" s="160">
        <f>IF($B$34="N.A.","",IF($B$9="Normal",IF($L$5&gt;($B$29*3.28084)/2,$L$37*$B$149*$E87-$L$37*$L$30,""),$L$37*$B$149*$E87-$L$37*$L$30))</f>
        <v>-0.97560069226882051</v>
      </c>
      <c r="H87" s="600">
        <f>-MAX(ABS(F87),ABS(G87))/B44</f>
        <v>-0.89408751309268375</v>
      </c>
      <c r="I87" t="str">
        <f>"(zone #2 for "&amp; ROUND(B29/2,1) &amp; "m to " &amp; ROUND(B29,1) &amp; "m)"</f>
        <v>(zone #2 for 9m to 18m)</v>
      </c>
    </row>
    <row r="88" spans="1:10" x14ac:dyDescent="0.2">
      <c r="A88" s="494" t="str">
        <f>IF($B$9="Normal",IF($B$28&lt;10,IF($L$5&gt;($B$29*3.28084)/2,"Roof (zone #2) cond. 2",""),""),IF($L$5&gt;($B$29*3.28084)/2,"Roof (zone #2) cond. 2",""))</f>
        <v>Roof (zone #2) cond. 2</v>
      </c>
      <c r="B88" s="171" t="str">
        <f t="shared" si="6"/>
        <v>-</v>
      </c>
      <c r="C88" s="171" t="str">
        <f t="shared" si="6"/>
        <v>-</v>
      </c>
      <c r="D88" s="171" t="str">
        <f t="shared" si="6"/>
        <v>-</v>
      </c>
      <c r="E88" s="160">
        <f>IF($B$34="N.A.","",IF($B$9="Normal",IF($B$28&lt;10,$M$24,""),$Q$24))</f>
        <v>-0.18</v>
      </c>
      <c r="F88" s="160">
        <f>IF($E88="","",IF($B$34="N.A.","",IF($B$9="Normal",IF($L$5&gt;($B$29*3.28084)/2,$L$37*$B$149*$E88-$L$37*$L$29,""),$L$37*$B$149*$E88-$L$37*$L$29)))</f>
        <v>-0.60181444114315719</v>
      </c>
      <c r="G88" s="160">
        <f>IF($E88="","",IF($B$34="N.A.","",IF($B$9="Normal",IF($L$5&gt;($B$29*3.28084)/2,$L$37*$B$149*$E88-$L$37*$L$30,""),$L$37*$B$149*$E88-$L$37*$L$30)))</f>
        <v>5.5786121699109625E-2</v>
      </c>
      <c r="H88" s="600"/>
    </row>
    <row r="89" spans="1:10" x14ac:dyDescent="0.2">
      <c r="A89" s="494" t="str">
        <f>IF($B$9="Normal",IF($B$28&lt;10,IF($L$5&gt;($B$29*3.28084),"Roof (zone #3) cond. 1",""),"Roof (leeward)"),IF($L$5&gt;($B$29*3.28084),"Roof (zone #3) cond. 1",""))</f>
        <v>Roof (zone #3) cond. 1</v>
      </c>
      <c r="B89" s="171" t="str">
        <f t="shared" ref="B89:D90" si="7">IF($B$28&lt;10,IF($L$5&gt;($B$29*3.28084),"-",""),"-")</f>
        <v>-</v>
      </c>
      <c r="C89" s="171" t="str">
        <f t="shared" si="7"/>
        <v>-</v>
      </c>
      <c r="D89" s="171" t="str">
        <f t="shared" si="7"/>
        <v>-</v>
      </c>
      <c r="E89" s="162">
        <f>IF($B$35="N.A.","",IF($B$9="Normal",IF($B$28&lt;10,$L$25,$P$20),$P$25))</f>
        <v>-0.54000000768</v>
      </c>
      <c r="F89" s="712">
        <f>IF($B$35="N.A.","",IF($B$9="Normal",IF($B$28&lt;10,IF($L$5&gt;($B$29*3.28084),$L$37*$B$149*$E89-$L$37*$L$29,""),$L$37*$B$149*$E89-$L$37*$L$29),$L$37*$B$149*$E89-$L$37*$L$29))</f>
        <v>-1.1478427722358091</v>
      </c>
      <c r="G89" s="712">
        <f>IF($B$35="N.A.","",IF($B$9="Normal",IF($B$28&lt;10,IF($L$5&gt;($B$29*3.28084),$L$37*$B$149*$E89-$L$37*$L$30,""),$L$37*$B$149*$E89-$L$37*$L$30),$L$37*$B$149*$E89-$L$37*$L$30))</f>
        <v>-0.49024220939354218</v>
      </c>
      <c r="H89" s="600">
        <f>-MAX(ABS(F89),ABS(G89))/B44</f>
        <v>-0.62838054185791159</v>
      </c>
      <c r="I89" s="710" t="str">
        <f>"(zone #3 for "&amp; ROUND(B29,1) &amp; "m to " &amp; ROUND(2*B29,1) &amp; "m)"</f>
        <v>(zone #3 for 18m to 36m)</v>
      </c>
      <c r="J89" s="670"/>
    </row>
    <row r="90" spans="1:10" x14ac:dyDescent="0.2">
      <c r="A90" s="494" t="str">
        <f>IF($B$9="Normal",IF($B$28&lt;10,IF($L$5&gt;($B$29*3.28084),"Roof (zone #3) cond. 2",""),""),IF($L$5&gt;($B$29*3.28084),"Roof (zone #3) cond. 2",""))</f>
        <v>Roof (zone #3) cond. 2</v>
      </c>
      <c r="B90" s="171" t="str">
        <f t="shared" si="7"/>
        <v>-</v>
      </c>
      <c r="C90" s="171" t="str">
        <f t="shared" si="7"/>
        <v>-</v>
      </c>
      <c r="D90" s="171" t="str">
        <f t="shared" si="7"/>
        <v>-</v>
      </c>
      <c r="E90" s="160">
        <f>IF($B$35="N.A.","",IF($B$9="Normal",IF($B$28&lt;10,$M$25,""),$Q$25))</f>
        <v>-0.18</v>
      </c>
      <c r="F90" s="160">
        <f>IF($E90="","",IF($B$35="N.A.","",IF($B$9="Normal",IF($B$28&lt;10,IF($L$5&gt;($B$29*3.28084),$L$37*$B$149*$E90-$L$37*$L$29,""),$L$37*$B$149*$E90-$L$37*$L$29),$L$37*$B$149*$E90-$L$37*$L$29)))</f>
        <v>-0.60181444114315719</v>
      </c>
      <c r="G90" s="160">
        <f>IF($E90="","",IF($B$35="N.A.","",IF($B$9="Normal",IF($B$28&lt;10,IF($L$5&gt;($B$29*3.28084),$L$37*$B$149*$E90-$L$37*$L$30,""),$L$37*$B$149*$E90-$L$37*$L$30),$L$37*$B$149*$E90-$L$37*$L$30)))</f>
        <v>5.5786121699109625E-2</v>
      </c>
    </row>
    <row r="91" spans="1:10" x14ac:dyDescent="0.2">
      <c r="A91" s="494" t="str">
        <f>IF($B$9="Normal",IF($B$28&lt;10,IF($L$5&gt;=2*($B$29*3.28084),"Roof (zone #4) cond. 1",""),""),IF($L$5&gt;2*($B$29*3.28084),"Roof (zone #4) cond. 1",""))</f>
        <v/>
      </c>
      <c r="B91" s="171" t="str">
        <f t="shared" ref="B91:D92" si="8">IF($A91="","",IF($B$28&lt;10,IF($L$5&gt;=2*($B$29*3.28084),"-",""),IF($L$5&gt;2*($B$29*3.28084),"-","")))</f>
        <v/>
      </c>
      <c r="C91" s="171" t="str">
        <f t="shared" si="8"/>
        <v/>
      </c>
      <c r="D91" s="171" t="str">
        <f t="shared" si="8"/>
        <v/>
      </c>
      <c r="E91" s="162" t="str">
        <f>IF($B$36="N.A.","",IF($B$9="Normal",IF($B$28&lt;10,$L$26,""),$P$26))</f>
        <v/>
      </c>
      <c r="F91" s="160" t="str">
        <f>IF($B$36="N.A.","",IF($B$9="Normal",IF($B$28&lt;10,IF($L$5&gt;=2*($B$29*3.28084),$L$37*$B$149*$E91-$L$37*$L$29,""),""),$L$37*$B$149*$E91-$L$37*$L$29))</f>
        <v/>
      </c>
      <c r="G91" s="160" t="str">
        <f>IF($B$36="N.A.","",IF($B$9="Normal",IF($B$28&lt;10,IF($L$5&gt;=2*($B$29*3.28084),$L$37*$B$149*$E91-$L$37*$L$30,""),""),$L$37*$B$149*$E91-$L$37*$L$30))</f>
        <v/>
      </c>
      <c r="I91" t="str">
        <f>"(zone #4 for &gt; " &amp; ROUND(2*B29,1) &amp;"m"</f>
        <v>(zone #4 for &gt; 36m</v>
      </c>
    </row>
    <row r="92" spans="1:10" x14ac:dyDescent="0.2">
      <c r="A92" s="495" t="str">
        <f>IF($B$9="Normal",IF($B$28&lt;10,IF($L$5&gt;=2*($B$29*3.28084),"Roof (zone #4) cond. 2",""),""),IF($L$5&gt;2*($B$29*3.28084),"Roof (zone #4) cond. 2",""))</f>
        <v/>
      </c>
      <c r="B92" s="172" t="str">
        <f t="shared" si="8"/>
        <v/>
      </c>
      <c r="C92" s="172" t="str">
        <f t="shared" si="8"/>
        <v/>
      </c>
      <c r="D92" s="172" t="str">
        <f t="shared" si="8"/>
        <v/>
      </c>
      <c r="E92" s="161" t="str">
        <f>IF($B$36="N.A.","",IF($B$9="Normal",IF($B$28&lt;10,$M$26,""),$Q$26))</f>
        <v/>
      </c>
      <c r="F92" s="161" t="str">
        <f>IF($E92="","",IF($B$36="N.A.","",IF($B$9="Normal",IF($B$28&lt;10,IF($L$5&gt;=2*($B$29*3.28084),$L$37*$B$149*$E92-$L$37*$L$29,""),""),$L$37*$B$149*$E92-$L$37*$L$29)))</f>
        <v/>
      </c>
      <c r="G92" s="161" t="str">
        <f>IF($E92="","",IF($B$36="N.A.","",IF($B$9="Normal",IF($B$28&lt;10,IF($L$5&gt;=2*($B$29*3.28084),$L$37*$B$149*$E92-$L$37*$L$30,""),""),$L$37*$B$149*$E92-$L$37*$L$30)))</f>
        <v/>
      </c>
    </row>
    <row r="93" spans="1:10" x14ac:dyDescent="0.2">
      <c r="A93" s="52"/>
      <c r="G93" s="57"/>
    </row>
    <row r="94" spans="1:10" x14ac:dyDescent="0.2">
      <c r="A94" s="52" t="s">
        <v>360</v>
      </c>
      <c r="G94" s="57"/>
    </row>
    <row r="95" spans="1:10" x14ac:dyDescent="0.2">
      <c r="A95" s="628" t="s">
        <v>458</v>
      </c>
      <c r="G95" s="57"/>
      <c r="I95" t="str">
        <f>"(zone #2 for "&amp; ROUND(B29/2,1) &amp; "m to " &amp; ROUND(B29,1) &amp; "m)"</f>
        <v>(zone #2 for 9m to 18m)</v>
      </c>
    </row>
    <row r="96" spans="1:10" x14ac:dyDescent="0.2">
      <c r="A96" s="52" t="s">
        <v>264</v>
      </c>
      <c r="B96" s="458" t="s">
        <v>459</v>
      </c>
      <c r="G96" s="57"/>
    </row>
    <row r="97" spans="1:7" x14ac:dyDescent="0.2">
      <c r="A97" s="52" t="str">
        <f>IF($B$9="Normal",IF($B$28&lt;10,"            4. Roof zone #1 is applied for horizontal distance of 0 to h/2 from windward edge.",""),"            4. Roof zone #1 is applied for horizontal distance of 0 to h/2 from windward edge.")</f>
        <v xml:space="preserve">            4. Roof zone #1 is applied for horizontal distance of 0 to h/2 from windward edge.</v>
      </c>
      <c r="G97" s="57"/>
    </row>
    <row r="98" spans="1:7" hidden="1" x14ac:dyDescent="0.2">
      <c r="A98" s="52" t="str">
        <f>IF($B$9="Normal",IF($B$28&lt;10,IF($L$5&gt;($B$29*3.28084)/2,"            5. Roof zone #2 is applied for horizontal distance of h/2 to h from windward edge.",""),""),IF($L$5&gt;($B$29*3.28084)/2,"            5. Roof zone #2 is applied for horizontal distance of h/2 to h from windward edge.",""))</f>
        <v xml:space="preserve">            5. Roof zone #2 is applied for horizontal distance of h/2 to h from windward edge.</v>
      </c>
      <c r="G98" s="57"/>
    </row>
    <row r="99" spans="1:7" hidden="1" x14ac:dyDescent="0.2">
      <c r="A99" s="52" t="str">
        <f>IF($B$9="Normal",IF($B$28&lt;10,IF($L$5&gt;($B$29*3.28084),"            6. Roof zone #3 is applied for horizontal distance of h to 2*h from windward edge.",""),""),IF($L$5&gt;($B$29*3.28084),"            6. Roof zone #3 is applied for horizontal distance of h to 2*h from windward edge.",""))</f>
        <v xml:space="preserve">            6. Roof zone #3 is applied for horizontal distance of h to 2*h from windward edge.</v>
      </c>
      <c r="G99" s="57"/>
    </row>
    <row r="100" spans="1:7" hidden="1" x14ac:dyDescent="0.2">
      <c r="A100" s="52" t="str">
        <f>IF($B$9="Normal",IF($B$28&lt;10,IF($L$5&gt;2*($B$29*3.28084),"            7. Roof zone #4 is applied for horizontal distance of &gt;  2*h from windward edge.",""),""),IF($L$5&gt;2*($B$29*3.28084),"            7. Roof zone #4 is applied for horizontal distance of &gt; 2*h from windward edge.",""))</f>
        <v/>
      </c>
      <c r="G100" s="57"/>
    </row>
    <row r="101" spans="1:7" x14ac:dyDescent="0.2">
      <c r="A101" s="73"/>
      <c r="B101" s="61"/>
      <c r="C101" s="61"/>
      <c r="D101" s="61"/>
      <c r="E101" s="61"/>
      <c r="F101" s="61"/>
      <c r="G101" s="74"/>
    </row>
    <row r="102" spans="1:7" x14ac:dyDescent="0.2">
      <c r="A102" s="97"/>
      <c r="B102" s="98"/>
      <c r="C102" s="98"/>
      <c r="D102" s="98"/>
      <c r="E102" s="98"/>
      <c r="F102" s="182"/>
      <c r="G102" s="180"/>
    </row>
    <row r="103" spans="1:7" x14ac:dyDescent="0.2">
      <c r="A103" s="54" t="s">
        <v>366</v>
      </c>
      <c r="F103" s="44"/>
      <c r="G103" s="181"/>
    </row>
    <row r="104" spans="1:7" x14ac:dyDescent="0.2">
      <c r="A104" s="52"/>
      <c r="F104" s="44"/>
      <c r="G104" s="183"/>
    </row>
    <row r="105" spans="1:7" x14ac:dyDescent="0.2">
      <c r="A105" s="56" t="s">
        <v>60</v>
      </c>
      <c r="B105" s="55" t="str">
        <f>IF($B$136&lt;1,"Yes","No")</f>
        <v>No</v>
      </c>
      <c r="C105" s="118" t="str">
        <f>IF($B$136&gt;=1,"f &gt;=1 Hz.","f &lt; 1 Hz.")</f>
        <v>f &gt;=1 Hz.</v>
      </c>
      <c r="G105" s="57"/>
    </row>
    <row r="106" spans="1:7" x14ac:dyDescent="0.2">
      <c r="A106" s="52"/>
      <c r="E106" s="69"/>
      <c r="F106" s="119"/>
      <c r="G106" s="57"/>
    </row>
    <row r="107" spans="1:7" x14ac:dyDescent="0.2">
      <c r="A107" s="120" t="s">
        <v>0</v>
      </c>
      <c r="C107" s="77"/>
      <c r="E107" s="69"/>
      <c r="F107" s="119"/>
      <c r="G107" s="57"/>
    </row>
    <row r="108" spans="1:7" x14ac:dyDescent="0.2">
      <c r="A108" s="56" t="s">
        <v>344</v>
      </c>
      <c r="B108" s="109">
        <f>IF($B$105="No",0.85,"N.A.")</f>
        <v>0.85</v>
      </c>
      <c r="G108" s="57"/>
    </row>
    <row r="109" spans="1:7" x14ac:dyDescent="0.2">
      <c r="A109" s="52"/>
      <c r="G109" s="57"/>
    </row>
    <row r="110" spans="1:7" x14ac:dyDescent="0.2">
      <c r="A110" s="52" t="s">
        <v>464</v>
      </c>
      <c r="F110" s="69"/>
      <c r="G110" s="57"/>
    </row>
    <row r="111" spans="1:7" x14ac:dyDescent="0.2">
      <c r="A111" s="121" t="s">
        <v>340</v>
      </c>
      <c r="B111" s="173">
        <f>IF($B$12="B",1/7,IF($B$12="C",1/9.5,IF($B$12="D",1/11.5,"Error!")))</f>
        <v>0.10526315789473684</v>
      </c>
      <c r="C111" s="258"/>
      <c r="G111" s="122"/>
    </row>
    <row r="112" spans="1:7" x14ac:dyDescent="0.2">
      <c r="A112" s="123" t="s">
        <v>341</v>
      </c>
      <c r="B112" s="160">
        <f>IF($B$12="B",0.84,IF($B$12="C",1,IF($B$12="D",1.07,"Error!")))</f>
        <v>1</v>
      </c>
      <c r="C112" s="258"/>
      <c r="G112" s="57"/>
    </row>
    <row r="113" spans="1:7" x14ac:dyDescent="0.2">
      <c r="A113" s="121" t="s">
        <v>339</v>
      </c>
      <c r="B113" s="168">
        <f>IF($B$12="B",1/4,IF($B$12="C",1/6.5,IF($B$12="D",1/9,"Error!")))</f>
        <v>0.15384615384615385</v>
      </c>
      <c r="C113" s="258"/>
      <c r="G113" s="57"/>
    </row>
    <row r="114" spans="1:7" x14ac:dyDescent="0.2">
      <c r="A114" s="123" t="s">
        <v>322</v>
      </c>
      <c r="B114" s="160">
        <f>IF($B$12="B",0.45,IF($B$12="C",0.65,IF($B$12="D",0.8,"Error!")))</f>
        <v>0.65</v>
      </c>
      <c r="C114" s="258"/>
      <c r="G114" s="57"/>
    </row>
    <row r="115" spans="1:7" x14ac:dyDescent="0.2">
      <c r="A115" s="56" t="s">
        <v>324</v>
      </c>
      <c r="B115" s="160">
        <f>IF($B$12="B",0.3,IF($B$12="C",0.2,IF($B$12="D",0.15,"Error!")))</f>
        <v>0.2</v>
      </c>
      <c r="C115" s="258"/>
      <c r="G115" s="57"/>
    </row>
    <row r="116" spans="1:7" ht="16.5" x14ac:dyDescent="0.4">
      <c r="A116" s="124" t="s">
        <v>345</v>
      </c>
      <c r="B116" s="164">
        <f>IF($B$12="B",320,IF($B$12="C",500,IF($B$12="D",650,"Error!")))</f>
        <v>500</v>
      </c>
      <c r="C116" s="258" t="s">
        <v>311</v>
      </c>
      <c r="D116" s="125"/>
      <c r="E116" s="126"/>
      <c r="G116" s="57"/>
    </row>
    <row r="117" spans="1:7" x14ac:dyDescent="0.2">
      <c r="A117" s="87" t="s">
        <v>7</v>
      </c>
      <c r="B117" s="168">
        <f>IF($B$12="B",1/3,IF($B$12="C",1/5,IF($B$12="D",1/8,"Error!")))</f>
        <v>0.2</v>
      </c>
      <c r="C117" s="258"/>
      <c r="G117" s="57"/>
    </row>
    <row r="118" spans="1:7" x14ac:dyDescent="0.2">
      <c r="A118" s="56" t="s">
        <v>327</v>
      </c>
      <c r="B118" s="174">
        <f>IF($B$12="B",30,IF($B$12="C",15,IF($B$12="D",7,"Error!")))</f>
        <v>15</v>
      </c>
      <c r="C118" s="258" t="s">
        <v>311</v>
      </c>
      <c r="G118" s="57"/>
    </row>
    <row r="119" spans="1:7" x14ac:dyDescent="0.2">
      <c r="A119" s="52"/>
      <c r="G119" s="57"/>
    </row>
    <row r="120" spans="1:7" ht="15.75" x14ac:dyDescent="0.35">
      <c r="A120" s="52" t="s">
        <v>66</v>
      </c>
      <c r="D120" s="127"/>
      <c r="E120" s="128"/>
      <c r="G120" s="57"/>
    </row>
    <row r="121" spans="1:7" x14ac:dyDescent="0.2">
      <c r="A121" s="56" t="s">
        <v>329</v>
      </c>
      <c r="B121" s="159">
        <f>IF(0.6*($B$29*3.28084)&lt;$B$118,$B$118,0.6*($B$29*3.28084))</f>
        <v>35.433073133858308</v>
      </c>
      <c r="C121" s="129" t="s">
        <v>386</v>
      </c>
      <c r="D121" s="69"/>
      <c r="E121" s="126"/>
      <c r="G121" s="57"/>
    </row>
    <row r="122" spans="1:7" x14ac:dyDescent="0.2">
      <c r="A122" s="56" t="s">
        <v>330</v>
      </c>
      <c r="B122" s="168">
        <f>$B$115*(33/$B$121)^(1/6)</f>
        <v>0.19764273218072567</v>
      </c>
      <c r="C122" s="625" t="s">
        <v>445</v>
      </c>
      <c r="D122" s="69"/>
      <c r="E122" s="128"/>
      <c r="G122" s="57"/>
    </row>
    <row r="123" spans="1:7" ht="16.5" x14ac:dyDescent="0.4">
      <c r="A123" s="56" t="s">
        <v>331</v>
      </c>
      <c r="B123" s="160">
        <f>$B$116*($B$121/33)^$B$117</f>
        <v>507.16465632281569</v>
      </c>
      <c r="C123" s="625" t="s">
        <v>446</v>
      </c>
      <c r="D123" s="69"/>
      <c r="E123" s="128"/>
      <c r="G123" s="57"/>
    </row>
    <row r="124" spans="1:7" x14ac:dyDescent="0.2">
      <c r="A124" s="56" t="s">
        <v>2</v>
      </c>
      <c r="B124" s="171">
        <v>3.4</v>
      </c>
      <c r="C124" s="458" t="s">
        <v>449</v>
      </c>
      <c r="G124" s="57"/>
    </row>
    <row r="125" spans="1:7" x14ac:dyDescent="0.2">
      <c r="A125" s="56" t="s">
        <v>3</v>
      </c>
      <c r="B125" s="171">
        <v>3.4</v>
      </c>
      <c r="C125" s="458" t="s">
        <v>449</v>
      </c>
      <c r="G125" s="57"/>
    </row>
    <row r="126" spans="1:7" x14ac:dyDescent="0.2">
      <c r="A126" s="56" t="s">
        <v>4</v>
      </c>
      <c r="B126" s="175">
        <f>(2*(LN(3600*$B$136)))^(1/2)+0.577/(2*LN(3600*$B$136))^(1/2)</f>
        <v>4.3879702375946055</v>
      </c>
      <c r="C126" s="626" t="s">
        <v>447</v>
      </c>
      <c r="G126" s="57"/>
    </row>
    <row r="127" spans="1:7" x14ac:dyDescent="0.2">
      <c r="A127" s="56" t="s">
        <v>332</v>
      </c>
      <c r="B127" s="169">
        <f>SQRT(1/(1+0.63*(($L$6+($B$29*3.28084))/$B$123)^0.63))</f>
        <v>0.80807232327976153</v>
      </c>
      <c r="C127" s="625" t="s">
        <v>448</v>
      </c>
      <c r="D127" s="69"/>
      <c r="E127" s="128"/>
      <c r="G127" s="57"/>
    </row>
    <row r="128" spans="1:7" x14ac:dyDescent="0.2">
      <c r="A128" s="52"/>
      <c r="G128" s="57"/>
    </row>
    <row r="129" spans="1:20" ht="15.75" x14ac:dyDescent="0.35">
      <c r="A129" s="99" t="s">
        <v>45</v>
      </c>
      <c r="D129" s="104"/>
      <c r="G129" s="57"/>
    </row>
    <row r="130" spans="1:20" x14ac:dyDescent="0.2">
      <c r="A130" s="56" t="s">
        <v>344</v>
      </c>
      <c r="B130" s="109">
        <f>IF($B$105="No",0.925*((1+1.7*3.4*$B$122*$B$127)/(1+1.7*3.4*$B$122)),"N.A.")</f>
        <v>0.83033432496471093</v>
      </c>
      <c r="C130" s="625" t="s">
        <v>444</v>
      </c>
      <c r="D130" s="101"/>
      <c r="E130" s="130"/>
      <c r="F130" s="103"/>
      <c r="G130" s="57"/>
    </row>
    <row r="131" spans="1:20" x14ac:dyDescent="0.2">
      <c r="A131" s="52"/>
      <c r="C131" s="129"/>
      <c r="E131" s="130"/>
      <c r="G131" s="57"/>
    </row>
    <row r="132" spans="1:20" x14ac:dyDescent="0.2">
      <c r="A132" s="99" t="s">
        <v>1</v>
      </c>
      <c r="G132" s="57"/>
    </row>
    <row r="133" spans="1:20" x14ac:dyDescent="0.2">
      <c r="A133" s="131" t="s">
        <v>343</v>
      </c>
      <c r="B133" s="176">
        <f>$B$22</f>
        <v>0.02</v>
      </c>
      <c r="C133" s="101" t="s">
        <v>369</v>
      </c>
      <c r="D133" s="69"/>
      <c r="E133" s="128"/>
      <c r="G133" s="57"/>
    </row>
    <row r="134" spans="1:20" x14ac:dyDescent="0.2">
      <c r="A134" s="102" t="s">
        <v>338</v>
      </c>
      <c r="B134" s="177">
        <f>$B$23</f>
        <v>4.8800000000000003E-2</v>
      </c>
      <c r="C134" s="101" t="s">
        <v>367</v>
      </c>
      <c r="D134" s="88"/>
      <c r="E134" s="128"/>
      <c r="G134" s="57"/>
    </row>
    <row r="135" spans="1:20" x14ac:dyDescent="0.2">
      <c r="A135" s="56" t="s">
        <v>372</v>
      </c>
      <c r="B135" s="177">
        <f>$B$134*($B$29)^(3/4)</f>
        <v>0.42645598250265609</v>
      </c>
      <c r="C135" s="129" t="s">
        <v>219</v>
      </c>
      <c r="D135" s="69"/>
      <c r="E135" s="128"/>
      <c r="G135" s="57"/>
    </row>
    <row r="136" spans="1:20" x14ac:dyDescent="0.2">
      <c r="A136" s="56" t="s">
        <v>368</v>
      </c>
      <c r="B136" s="177">
        <f>1/$B$135</f>
        <v>2.344907894436143</v>
      </c>
      <c r="C136" s="129" t="s">
        <v>76</v>
      </c>
      <c r="D136" s="69"/>
      <c r="E136" s="128"/>
      <c r="G136" s="57"/>
    </row>
    <row r="137" spans="1:20" x14ac:dyDescent="0.2">
      <c r="A137" s="123" t="s">
        <v>9</v>
      </c>
      <c r="B137" s="160" t="str">
        <f>IF($B$105="Yes",($B$10*0.6213712)*5280/3600,"N.A.")</f>
        <v>N.A.</v>
      </c>
      <c r="C137" s="129" t="s">
        <v>8</v>
      </c>
      <c r="D137" s="69"/>
      <c r="E137" s="128"/>
      <c r="G137" s="57"/>
    </row>
    <row r="138" spans="1:20" ht="16.5" x14ac:dyDescent="0.4">
      <c r="A138" s="56" t="s">
        <v>323</v>
      </c>
      <c r="B138" s="160" t="str">
        <f>IF($B$105="Yes",$B$114*($B$121/33)^$B$113*$B$137,"N.A.")</f>
        <v>N.A.</v>
      </c>
      <c r="C138" s="625" t="s">
        <v>450</v>
      </c>
      <c r="D138" s="132"/>
      <c r="E138" s="128"/>
      <c r="G138" s="57"/>
    </row>
    <row r="139" spans="1:20" x14ac:dyDescent="0.2">
      <c r="A139" s="56" t="s">
        <v>325</v>
      </c>
      <c r="B139" s="168" t="str">
        <f>IF($B$105="Yes",$B$136*$B$123/$B$138,"N.A.")</f>
        <v>N.A.</v>
      </c>
      <c r="C139" s="625" t="s">
        <v>451</v>
      </c>
      <c r="D139" s="69"/>
      <c r="E139" s="128"/>
      <c r="G139" s="57"/>
    </row>
    <row r="140" spans="1:20" ht="16.5" x14ac:dyDescent="0.4">
      <c r="A140" s="56" t="s">
        <v>326</v>
      </c>
      <c r="B140" s="168" t="str">
        <f>IF($B$105="Yes",7.47*$B$139/(1+10.3*$B$139)^(5/3),"N.A.")</f>
        <v>N.A.</v>
      </c>
      <c r="C140" s="625" t="s">
        <v>452</v>
      </c>
      <c r="D140" s="132"/>
      <c r="E140" s="128"/>
      <c r="G140" s="57"/>
    </row>
    <row r="141" spans="1:20" x14ac:dyDescent="0.2">
      <c r="A141" s="87" t="s">
        <v>342</v>
      </c>
      <c r="B141" s="168" t="str">
        <f>IF($B$105="Yes",4.6*$B$136*($B$29*3.28084)/$B$138,"N.A.")</f>
        <v>N.A.</v>
      </c>
      <c r="C141" s="129" t="s">
        <v>387</v>
      </c>
      <c r="D141" s="69"/>
      <c r="E141" s="128"/>
      <c r="G141" s="57"/>
    </row>
    <row r="142" spans="1:20" ht="16.5" x14ac:dyDescent="0.4">
      <c r="A142" s="56" t="s">
        <v>328</v>
      </c>
      <c r="B142" s="168" t="str">
        <f>IF($B$105="Yes",IF($B$141&gt;0,1/$B$141-1/(2*$B$141^2)*(1-EXP(-2*$B$141)),1),"N.A.")</f>
        <v>N.A.</v>
      </c>
      <c r="C142" s="625" t="s">
        <v>453</v>
      </c>
      <c r="D142" s="132"/>
      <c r="E142" s="128"/>
      <c r="G142" s="57"/>
    </row>
    <row r="143" spans="1:20" x14ac:dyDescent="0.2">
      <c r="A143" s="87" t="s">
        <v>194</v>
      </c>
      <c r="B143" s="168" t="str">
        <f>IF($B$105="Yes",4.6*$B$136*$L$6/$B$138,"N.A.")</f>
        <v>N.A.</v>
      </c>
      <c r="C143" s="129" t="s">
        <v>18</v>
      </c>
      <c r="D143" s="69"/>
      <c r="E143" s="128"/>
      <c r="G143" s="57"/>
      <c r="T143" s="15"/>
    </row>
    <row r="144" spans="1:20" x14ac:dyDescent="0.2">
      <c r="A144" s="56" t="s">
        <v>6</v>
      </c>
      <c r="B144" s="168" t="str">
        <f>IF($B$105="Yes",IF($B$143&gt;0,1/$B$143-1/(2*$B$143^2)*(1-EXP(-2*$B$143)),1),"N.A.")</f>
        <v>N.A.</v>
      </c>
      <c r="C144" s="496" t="s">
        <v>195</v>
      </c>
      <c r="D144" s="69"/>
      <c r="E144" s="128"/>
      <c r="G144" s="57"/>
      <c r="T144" s="16"/>
    </row>
    <row r="145" spans="1:7" x14ac:dyDescent="0.2">
      <c r="A145" s="87" t="s">
        <v>365</v>
      </c>
      <c r="B145" s="168" t="str">
        <f>IF($B$105="Yes",15.4*$B$136*$L$5/$B$138,"N.A.")</f>
        <v>N.A.</v>
      </c>
      <c r="C145" s="129" t="s">
        <v>71</v>
      </c>
      <c r="D145" s="69"/>
      <c r="G145" s="57"/>
    </row>
    <row r="146" spans="1:7" x14ac:dyDescent="0.2">
      <c r="A146" s="56" t="s">
        <v>5</v>
      </c>
      <c r="B146" s="168" t="str">
        <f>IF($B$105="Yes",IF($B$145&gt;0,1/$B$145-1/(2*$B$145^2)*(1-EXP(-2*$B$145)),1),"N.A.")</f>
        <v>N.A.</v>
      </c>
      <c r="C146" s="625" t="s">
        <v>454</v>
      </c>
      <c r="G146" s="57"/>
    </row>
    <row r="147" spans="1:7" x14ac:dyDescent="0.2">
      <c r="A147" s="56" t="s">
        <v>333</v>
      </c>
      <c r="B147" s="168" t="str">
        <f>IF($B$105="Yes",SQRT(1/$B$133*$B$140*$B$142*$B$144*(0.53+0.47*$B$146)),"N.A.")</f>
        <v>N.A.</v>
      </c>
      <c r="C147" s="496" t="s">
        <v>193</v>
      </c>
      <c r="G147" s="57"/>
    </row>
    <row r="148" spans="1:7" x14ac:dyDescent="0.2">
      <c r="A148" s="56" t="s">
        <v>371</v>
      </c>
      <c r="B148" s="168" t="str">
        <f>IF($B$105="Yes",0.925*(1+1.7*$B$122*($B$124^2*$B$127^2+$B$126^2*$B$147^2)^(1/2))/(1+1.7*$B$125*$B$122),"N.A.")</f>
        <v>N.A.</v>
      </c>
      <c r="C148" s="133" t="s">
        <v>217</v>
      </c>
      <c r="G148" s="57"/>
    </row>
    <row r="149" spans="1:7" x14ac:dyDescent="0.2">
      <c r="A149" s="134" t="s">
        <v>370</v>
      </c>
      <c r="B149" s="169">
        <f>IF($B$105="No",MIN($B$108,$B$130),$B$148)</f>
        <v>0.83033432496471093</v>
      </c>
      <c r="G149" s="627" t="s">
        <v>455</v>
      </c>
    </row>
    <row r="150" spans="1:7" hidden="1" x14ac:dyDescent="0.2">
      <c r="A150" s="52"/>
      <c r="G150" s="57"/>
    </row>
    <row r="151" spans="1:7" hidden="1" x14ac:dyDescent="0.2">
      <c r="A151" s="52"/>
      <c r="G151" s="57"/>
    </row>
    <row r="152" spans="1:7" hidden="1" x14ac:dyDescent="0.2">
      <c r="A152" s="52"/>
      <c r="G152" s="57"/>
    </row>
    <row r="153" spans="1:7" hidden="1" x14ac:dyDescent="0.2">
      <c r="A153" s="73"/>
      <c r="B153" s="61"/>
      <c r="C153" s="61"/>
      <c r="D153" s="61"/>
      <c r="E153" s="61"/>
      <c r="F153" s="296"/>
      <c r="G153" s="492"/>
    </row>
    <row r="154" spans="1:7" x14ac:dyDescent="0.2">
      <c r="A154" s="97"/>
      <c r="B154" s="98"/>
      <c r="C154" s="98"/>
      <c r="D154" s="98"/>
      <c r="E154" s="98"/>
      <c r="F154" s="182"/>
      <c r="G154" s="491"/>
    </row>
    <row r="155" spans="1:7" x14ac:dyDescent="0.2">
      <c r="A155" s="52"/>
      <c r="G155" s="57"/>
    </row>
    <row r="156" spans="1:7" x14ac:dyDescent="0.2">
      <c r="A156" s="54" t="s">
        <v>457</v>
      </c>
      <c r="B156" s="80"/>
      <c r="C156" s="80"/>
      <c r="D156" s="80"/>
      <c r="E156" s="80"/>
      <c r="F156" s="80"/>
      <c r="G156" s="135"/>
    </row>
    <row r="157" spans="1:7" x14ac:dyDescent="0.2">
      <c r="A157" s="52"/>
      <c r="G157" s="57"/>
    </row>
    <row r="158" spans="1:7" x14ac:dyDescent="0.2">
      <c r="A158" s="52"/>
      <c r="G158" s="57"/>
    </row>
    <row r="159" spans="1:7" x14ac:dyDescent="0.2">
      <c r="A159" s="52"/>
      <c r="G159" s="57"/>
    </row>
    <row r="160" spans="1:7" x14ac:dyDescent="0.2">
      <c r="A160" s="52"/>
      <c r="G160" s="57"/>
    </row>
    <row r="161" spans="1:7" x14ac:dyDescent="0.2">
      <c r="A161" s="52"/>
      <c r="G161" s="57"/>
    </row>
    <row r="162" spans="1:7" x14ac:dyDescent="0.2">
      <c r="A162" s="52"/>
      <c r="G162" s="57"/>
    </row>
    <row r="163" spans="1:7" x14ac:dyDescent="0.2">
      <c r="A163" s="52"/>
      <c r="G163" s="57"/>
    </row>
    <row r="164" spans="1:7" x14ac:dyDescent="0.2">
      <c r="A164" s="52"/>
      <c r="G164" s="57"/>
    </row>
    <row r="165" spans="1:7" x14ac:dyDescent="0.2">
      <c r="A165" s="52"/>
      <c r="G165" s="57"/>
    </row>
    <row r="166" spans="1:7" x14ac:dyDescent="0.2">
      <c r="A166" s="52"/>
      <c r="G166" s="57"/>
    </row>
    <row r="167" spans="1:7" x14ac:dyDescent="0.2">
      <c r="A167" s="52"/>
      <c r="G167" s="57"/>
    </row>
    <row r="168" spans="1:7" x14ac:dyDescent="0.2">
      <c r="A168" s="52"/>
      <c r="G168" s="57"/>
    </row>
    <row r="169" spans="1:7" x14ac:dyDescent="0.2">
      <c r="A169" s="52"/>
      <c r="G169" s="57"/>
    </row>
    <row r="170" spans="1:7" x14ac:dyDescent="0.2">
      <c r="A170" s="52"/>
      <c r="G170" s="57"/>
    </row>
    <row r="171" spans="1:7" x14ac:dyDescent="0.2">
      <c r="A171" s="52"/>
      <c r="G171" s="57"/>
    </row>
    <row r="172" spans="1:7" x14ac:dyDescent="0.2">
      <c r="A172" s="52"/>
      <c r="G172" s="57"/>
    </row>
    <row r="173" spans="1:7" x14ac:dyDescent="0.2">
      <c r="A173" s="52"/>
      <c r="G173" s="57"/>
    </row>
    <row r="174" spans="1:7" x14ac:dyDescent="0.2">
      <c r="A174" s="52"/>
      <c r="G174" s="57"/>
    </row>
    <row r="175" spans="1:7" x14ac:dyDescent="0.2">
      <c r="A175" s="52"/>
      <c r="G175" s="57"/>
    </row>
    <row r="176" spans="1:7" x14ac:dyDescent="0.2">
      <c r="A176" s="52"/>
      <c r="G176" s="57"/>
    </row>
    <row r="177" spans="1:20" x14ac:dyDescent="0.2">
      <c r="A177" s="52"/>
      <c r="G177" s="57"/>
    </row>
    <row r="178" spans="1:20" x14ac:dyDescent="0.2">
      <c r="A178" s="52"/>
      <c r="G178" s="57"/>
    </row>
    <row r="179" spans="1:20" x14ac:dyDescent="0.2">
      <c r="A179" s="52"/>
      <c r="G179" s="57"/>
    </row>
    <row r="180" spans="1:20" x14ac:dyDescent="0.2">
      <c r="A180" s="52"/>
      <c r="G180" s="57"/>
    </row>
    <row r="181" spans="1:20" x14ac:dyDescent="0.2">
      <c r="A181" s="52"/>
      <c r="G181" s="57"/>
    </row>
    <row r="182" spans="1:20" x14ac:dyDescent="0.2">
      <c r="A182" s="52"/>
      <c r="G182" s="57"/>
    </row>
    <row r="183" spans="1:20" x14ac:dyDescent="0.2">
      <c r="A183" s="52"/>
      <c r="G183" s="57"/>
    </row>
    <row r="184" spans="1:20" x14ac:dyDescent="0.2">
      <c r="A184" s="99"/>
      <c r="G184" s="57"/>
    </row>
    <row r="185" spans="1:20" x14ac:dyDescent="0.2">
      <c r="A185" s="52"/>
      <c r="G185" s="57"/>
    </row>
    <row r="186" spans="1:20" x14ac:dyDescent="0.2">
      <c r="A186" s="99"/>
      <c r="G186" s="57"/>
    </row>
    <row r="187" spans="1:20" x14ac:dyDescent="0.2">
      <c r="A187" s="52"/>
      <c r="G187" s="57"/>
    </row>
    <row r="188" spans="1:20" x14ac:dyDescent="0.2">
      <c r="A188" s="52"/>
      <c r="G188" s="57"/>
    </row>
    <row r="189" spans="1:20" x14ac:dyDescent="0.2">
      <c r="A189" s="99"/>
      <c r="G189" s="57"/>
    </row>
    <row r="190" spans="1:20" x14ac:dyDescent="0.2">
      <c r="A190" s="52"/>
      <c r="G190" s="57"/>
    </row>
    <row r="191" spans="1:20" x14ac:dyDescent="0.2">
      <c r="A191" s="99"/>
      <c r="G191" s="57"/>
    </row>
    <row r="192" spans="1:20" x14ac:dyDescent="0.2">
      <c r="A192" s="52"/>
      <c r="G192" s="57"/>
      <c r="T192" s="15"/>
    </row>
    <row r="193" spans="1:20" x14ac:dyDescent="0.2">
      <c r="A193" s="52"/>
      <c r="G193" s="57"/>
      <c r="T193" s="16"/>
    </row>
    <row r="194" spans="1:20" x14ac:dyDescent="0.2">
      <c r="A194" s="401"/>
      <c r="G194" s="57"/>
    </row>
    <row r="195" spans="1:20" x14ac:dyDescent="0.2">
      <c r="A195" s="52"/>
      <c r="G195" s="57"/>
    </row>
    <row r="196" spans="1:20" x14ac:dyDescent="0.2">
      <c r="A196" s="52"/>
      <c r="G196" s="57"/>
    </row>
    <row r="197" spans="1:20" x14ac:dyDescent="0.2">
      <c r="A197" s="52"/>
      <c r="G197" s="57"/>
    </row>
    <row r="198" spans="1:20" x14ac:dyDescent="0.2">
      <c r="A198" s="52"/>
      <c r="G198" s="57"/>
    </row>
    <row r="199" spans="1:20" x14ac:dyDescent="0.2">
      <c r="A199" s="52"/>
      <c r="G199" s="57"/>
    </row>
    <row r="200" spans="1:20" x14ac:dyDescent="0.2">
      <c r="A200" s="52"/>
      <c r="G200" s="57"/>
    </row>
    <row r="201" spans="1:20" x14ac:dyDescent="0.2">
      <c r="A201" s="52"/>
      <c r="G201" s="57"/>
    </row>
    <row r="202" spans="1:20" x14ac:dyDescent="0.2">
      <c r="A202" s="52"/>
      <c r="G202" s="57"/>
    </row>
    <row r="203" spans="1:20" x14ac:dyDescent="0.2">
      <c r="A203" s="52"/>
      <c r="G203" s="57"/>
    </row>
    <row r="204" spans="1:20" hidden="1" x14ac:dyDescent="0.2">
      <c r="A204" s="52"/>
      <c r="G204" s="57"/>
    </row>
    <row r="205" spans="1:20" hidden="1" x14ac:dyDescent="0.2">
      <c r="A205" s="73"/>
      <c r="B205" s="61"/>
      <c r="C205" s="61"/>
      <c r="D205" s="61"/>
      <c r="E205" s="61"/>
      <c r="F205" s="61"/>
      <c r="G205" s="74"/>
    </row>
  </sheetData>
  <dataConsolidate/>
  <mergeCells count="5">
    <mergeCell ref="A1:E1"/>
    <mergeCell ref="A2:E2"/>
    <mergeCell ref="A3:E3"/>
    <mergeCell ref="F1:F3"/>
    <mergeCell ref="G1:G3"/>
  </mergeCells>
  <phoneticPr fontId="36" type="noConversion"/>
  <conditionalFormatting sqref="AB57:AB80">
    <cfRule type="cellIs" dxfId="3" priority="1" stopIfTrue="1" operator="greaterThan">
      <formula>$B$12</formula>
    </cfRule>
  </conditionalFormatting>
  <conditionalFormatting sqref="AB55:AB56">
    <cfRule type="cellIs" dxfId="2" priority="2" stopIfTrue="1" operator="greaterThan">
      <formula>$B$12*3.28084+0.01</formula>
    </cfRule>
  </conditionalFormatting>
  <dataValidations disablePrompts="1" count="5">
    <dataValidation type="list" allowBlank="1" showInputMessage="1" showErrorMessage="1" sqref="AB54" xr:uid="{DA1E57D2-494B-4AB4-98D3-F67CAC7B2379}">
      <formula1>$I$14:$I$15</formula1>
    </dataValidation>
    <dataValidation type="decimal" allowBlank="1" showInputMessage="1" showErrorMessage="1" sqref="AB70:AB80" xr:uid="{FC8507A7-A203-403F-BD92-11DA87F47048}">
      <formula1>0</formula1>
      <formula2>$B$12</formula2>
    </dataValidation>
    <dataValidation type="list" allowBlank="1" showInputMessage="1" showErrorMessage="1" errorTitle="Warning!" error="Invalid building category_x000a_Must input either I, II, III, or IV" sqref="B11" xr:uid="{E2F3E852-B165-433E-BF6F-008E59038718}">
      <formula1>$I$5:$I$8</formula1>
    </dataValidation>
    <dataValidation type="list" allowBlank="1" showInputMessage="1" showErrorMessage="1" sqref="B17" xr:uid="{F9D40C84-95B5-4BB5-9A18-C8E8552D92A1}">
      <formula1>$I$3:$I$4</formula1>
    </dataValidation>
    <dataValidation type="list" allowBlank="1" showInputMessage="1" showErrorMessage="1" sqref="B20" xr:uid="{61BE33B8-BAF5-4E1B-B6FD-1B7A3F3000B4}">
      <formula1>"Y,N"</formula1>
    </dataValidation>
  </dataValidations>
  <pageMargins left="1" right="0.5" top="1" bottom="1" header="0.5" footer="0.5"/>
  <pageSetup scale="95" orientation="portrait" r:id="rId1"/>
  <headerFooter alignWithMargins="0">
    <oddHeader>&amp;R"ASCE705W.xls" Program
Version 1.1</oddHeader>
    <oddFooter>&amp;C&amp;P of &amp;N&amp;R&amp;D  &amp;T</oddFooter>
  </headerFooter>
  <rowBreaks count="3" manualBreakCount="3">
    <brk id="51" max="7" man="1"/>
    <brk id="101" max="7" man="1"/>
    <brk id="153" max="7" man="1"/>
  </rowBreaks>
  <ignoredErrors>
    <ignoredError sqref="B11" unlockedFormula="1"/>
  </ignoredErrors>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D26DD-43C7-41C9-9C27-8065AB5E9FB6}">
  <dimension ref="A1:AE205"/>
  <sheetViews>
    <sheetView showGridLines="0" view="pageBreakPreview" topLeftCell="A69" zoomScale="115" zoomScaleNormal="100" zoomScaleSheetLayoutView="115" workbookViewId="0">
      <selection activeCell="L87" sqref="L87"/>
    </sheetView>
  </sheetViews>
  <sheetFormatPr defaultRowHeight="12.75" x14ac:dyDescent="0.2"/>
  <cols>
    <col min="1" max="1" width="19.28515625" style="53" customWidth="1"/>
    <col min="2" max="2" width="10.28515625" style="53" customWidth="1"/>
    <col min="3" max="3" width="13.85546875" style="53" customWidth="1"/>
    <col min="4" max="4" width="13" style="53" customWidth="1"/>
    <col min="5" max="5" width="11.28515625" style="53" customWidth="1"/>
    <col min="6" max="6" width="12.85546875" style="53" customWidth="1"/>
    <col min="7" max="7" width="13.85546875" style="53" customWidth="1"/>
    <col min="8" max="8" width="9.140625" hidden="1" customWidth="1"/>
    <col min="9" max="10" width="8.85546875" customWidth="1"/>
    <col min="11" max="11" width="20" customWidth="1"/>
    <col min="12" max="12" width="8.85546875" customWidth="1"/>
    <col min="13" max="13" width="10.7109375" customWidth="1"/>
    <col min="14" max="14" width="13.28515625" customWidth="1"/>
    <col min="17" max="17" width="8.42578125" customWidth="1"/>
    <col min="20" max="26" width="9.140625" style="13"/>
    <col min="27" max="27" width="9.7109375" customWidth="1"/>
    <col min="29" max="29" width="3.7109375" customWidth="1"/>
    <col min="31" max="31" width="3.28515625" customWidth="1"/>
  </cols>
  <sheetData>
    <row r="1" spans="1:27" ht="15" x14ac:dyDescent="0.25">
      <c r="A1" s="687" t="s">
        <v>61</v>
      </c>
      <c r="B1" s="688"/>
      <c r="C1" s="688"/>
      <c r="D1" s="688"/>
      <c r="E1" s="688"/>
      <c r="F1" s="691" t="s">
        <v>485</v>
      </c>
      <c r="G1" s="694" t="s">
        <v>486</v>
      </c>
      <c r="K1" s="17" t="s">
        <v>335</v>
      </c>
      <c r="L1" s="3"/>
      <c r="M1" s="3"/>
      <c r="N1" s="3"/>
      <c r="O1" s="3"/>
      <c r="P1" s="3"/>
      <c r="Q1" s="3"/>
      <c r="AA1" s="473" t="s">
        <v>388</v>
      </c>
    </row>
    <row r="2" spans="1:27" x14ac:dyDescent="0.2">
      <c r="A2" s="689" t="s">
        <v>471</v>
      </c>
      <c r="B2" s="690"/>
      <c r="C2" s="690"/>
      <c r="D2" s="690"/>
      <c r="E2" s="690"/>
      <c r="F2" s="692"/>
      <c r="G2" s="695"/>
      <c r="K2" s="3"/>
      <c r="L2" s="3"/>
      <c r="M2" s="3"/>
      <c r="N2" s="3"/>
      <c r="O2" s="3"/>
      <c r="P2" s="3"/>
      <c r="Q2" s="3"/>
    </row>
    <row r="3" spans="1:27" x14ac:dyDescent="0.2">
      <c r="A3" s="697" t="s">
        <v>456</v>
      </c>
      <c r="B3" s="698"/>
      <c r="C3" s="698"/>
      <c r="D3" s="698"/>
      <c r="E3" s="698"/>
      <c r="F3" s="693"/>
      <c r="G3" s="696"/>
      <c r="I3" s="6" t="s">
        <v>57</v>
      </c>
      <c r="K3" s="3" t="s">
        <v>16</v>
      </c>
      <c r="L3" s="3"/>
      <c r="M3" s="3"/>
      <c r="N3" s="3"/>
      <c r="O3" s="7" t="s">
        <v>377</v>
      </c>
      <c r="P3" s="2">
        <f>IF($B$17="Gable",DEGREES(ATAN((($B$13*3.28084)-($B$14*3.28084))/(($B$15*3.28084)/2))),DEGREES(ATAN((($B$13*3.28084)-($B$14*3.28084))/(($B$15*3.28084)))))</f>
        <v>7.5946433685914405</v>
      </c>
      <c r="Q3" s="3"/>
    </row>
    <row r="4" spans="1:27" x14ac:dyDescent="0.2">
      <c r="A4" s="66"/>
      <c r="B4" s="652"/>
      <c r="C4" s="653"/>
      <c r="D4" s="573"/>
      <c r="E4" s="654"/>
      <c r="F4" s="654"/>
      <c r="G4" s="654"/>
      <c r="I4" s="6" t="s">
        <v>58</v>
      </c>
      <c r="K4" s="3" t="s">
        <v>308</v>
      </c>
      <c r="L4" s="3"/>
      <c r="M4" s="3"/>
      <c r="N4" s="3"/>
      <c r="O4" s="7" t="s">
        <v>318</v>
      </c>
      <c r="P4" s="2">
        <f>IF($B$28&lt;=10,($B$14*3.28084),($B$14*3.28084)+(($B$13*3.28084)-($B$14*3.28084))/2)</f>
        <v>59.055120000000002</v>
      </c>
      <c r="Q4" s="3"/>
    </row>
    <row r="5" spans="1:27" x14ac:dyDescent="0.2">
      <c r="A5" s="66"/>
      <c r="B5" s="652"/>
      <c r="C5" s="655"/>
      <c r="D5" s="656"/>
      <c r="E5" s="657"/>
      <c r="F5" s="573"/>
      <c r="G5" s="658"/>
      <c r="I5" s="232" t="s">
        <v>56</v>
      </c>
      <c r="K5" s="7" t="s">
        <v>14</v>
      </c>
      <c r="L5" s="4">
        <f>IF($B$9="Normal",($B$15*3.28084),($B$16*3.28084))</f>
        <v>328.084</v>
      </c>
      <c r="M5" s="8" t="s">
        <v>311</v>
      </c>
      <c r="N5" s="3"/>
      <c r="O5" s="7" t="s">
        <v>350</v>
      </c>
      <c r="P5" s="11">
        <f>$L$5/$L$6</f>
        <v>3.333333333333333</v>
      </c>
      <c r="Q5" s="3"/>
    </row>
    <row r="6" spans="1:27" x14ac:dyDescent="0.2">
      <c r="A6" s="52"/>
      <c r="B6" s="83"/>
      <c r="C6" s="83"/>
      <c r="D6" s="83"/>
      <c r="E6" s="179"/>
      <c r="F6" s="44"/>
      <c r="G6" s="295"/>
      <c r="I6" s="232" t="s">
        <v>47</v>
      </c>
      <c r="K6" s="7" t="s">
        <v>15</v>
      </c>
      <c r="L6" s="4">
        <f>IF($B$9="Normal",($B$16*3.28084),($B$15*3.28084))</f>
        <v>98.425200000000004</v>
      </c>
      <c r="M6" s="8" t="s">
        <v>311</v>
      </c>
      <c r="N6" s="3"/>
      <c r="O6" s="7" t="s">
        <v>351</v>
      </c>
      <c r="P6" s="11">
        <f>$P$4/$L$5</f>
        <v>0.18</v>
      </c>
      <c r="Q6" s="3"/>
    </row>
    <row r="7" spans="1:27" x14ac:dyDescent="0.2">
      <c r="A7" s="54" t="s">
        <v>313</v>
      </c>
      <c r="B7" s="83"/>
      <c r="C7" s="83"/>
      <c r="D7" s="83"/>
      <c r="E7" s="498"/>
      <c r="F7" s="39"/>
      <c r="G7" s="183"/>
      <c r="I7" s="232" t="s">
        <v>48</v>
      </c>
      <c r="K7" s="3"/>
      <c r="L7" s="3"/>
      <c r="M7" s="3"/>
      <c r="N7" s="3"/>
      <c r="O7" s="3"/>
      <c r="P7" s="3"/>
      <c r="Q7" s="3"/>
    </row>
    <row r="8" spans="1:27" x14ac:dyDescent="0.2">
      <c r="A8" s="54"/>
      <c r="B8" s="83"/>
      <c r="C8" s="155"/>
      <c r="D8" s="83"/>
      <c r="G8" s="57"/>
      <c r="I8" s="232" t="s">
        <v>49</v>
      </c>
      <c r="K8" s="3" t="s">
        <v>192</v>
      </c>
      <c r="L8" s="3"/>
      <c r="M8" s="3"/>
      <c r="N8" s="3"/>
      <c r="O8" s="3"/>
      <c r="P8" s="3"/>
      <c r="Q8" s="3"/>
    </row>
    <row r="9" spans="1:27" x14ac:dyDescent="0.2">
      <c r="A9" s="56" t="s">
        <v>169</v>
      </c>
      <c r="B9" s="659" t="s">
        <v>58</v>
      </c>
      <c r="C9" s="53" t="s">
        <v>385</v>
      </c>
      <c r="G9" s="57"/>
      <c r="I9" s="6" t="s">
        <v>13</v>
      </c>
      <c r="K9" s="7" t="s">
        <v>276</v>
      </c>
      <c r="L9" s="2">
        <v>0.8</v>
      </c>
      <c r="M9" s="8"/>
      <c r="N9" s="7" t="s">
        <v>307</v>
      </c>
      <c r="O9" s="14">
        <f>$L$6*IF(($B$29*3.28084)/2&lt;=$L$5,($B$29*3.28084)/2,$L$5)</f>
        <v>2906.2560915121926</v>
      </c>
      <c r="P9" s="8" t="s">
        <v>348</v>
      </c>
      <c r="Q9" s="3"/>
    </row>
    <row r="10" spans="1:27" x14ac:dyDescent="0.2">
      <c r="A10" s="56" t="s">
        <v>314</v>
      </c>
      <c r="B10" s="671">
        <f>'Building - Ngang'!B10</f>
        <v>200.21550690345626</v>
      </c>
      <c r="C10" s="507" t="s">
        <v>441</v>
      </c>
      <c r="G10" s="214"/>
      <c r="I10" s="6" t="s">
        <v>319</v>
      </c>
      <c r="K10" s="7" t="s">
        <v>277</v>
      </c>
      <c r="L10" s="2">
        <f>IF($L$5/$L$6&gt;=4,-0.2,IF($L$5/$L$6&gt;=2,(-0.2-(-0.3))*($L$5/$L$6-2)/(4-2 )+(-0.3),IF($L$5/$L$6&gt;=1,(-0.3-(-0.5))*($L$5/$L$6-1)/(2-1 )+(-0.5),-0.5)))</f>
        <v>-0.23333333333333334</v>
      </c>
      <c r="M10" s="8"/>
      <c r="N10" s="7" t="s">
        <v>306</v>
      </c>
      <c r="O10" s="272">
        <f>IF($O$9&gt;=1000,0.8,IF($O$9&gt;=250,(0.8-0.9)*($O$9-250)/(1000-250)+0.9,IF($O$9&gt;100,(0.9-1)*($O$9-100)/(250-100)+1,1)))</f>
        <v>0.8</v>
      </c>
      <c r="P10" s="8" t="s">
        <v>348</v>
      </c>
      <c r="Q10" s="3"/>
    </row>
    <row r="11" spans="1:27" x14ac:dyDescent="0.2">
      <c r="A11" s="56" t="s">
        <v>108</v>
      </c>
      <c r="B11" s="671" t="str">
        <f>Input!B8</f>
        <v>II</v>
      </c>
      <c r="C11" s="53" t="s">
        <v>246</v>
      </c>
      <c r="G11" s="225"/>
      <c r="I11" s="6" t="s">
        <v>50</v>
      </c>
      <c r="K11" s="7" t="s">
        <v>278</v>
      </c>
      <c r="L11" s="2">
        <v>-0.7</v>
      </c>
      <c r="M11" s="8"/>
      <c r="N11" s="3"/>
      <c r="O11" s="3"/>
      <c r="P11" s="3"/>
      <c r="Q11" s="3"/>
    </row>
    <row r="12" spans="1:27" x14ac:dyDescent="0.2">
      <c r="A12" s="56" t="s">
        <v>109</v>
      </c>
      <c r="B12" s="671" t="str">
        <f>'Building - Ngang'!B12</f>
        <v>C</v>
      </c>
      <c r="C12" s="402"/>
      <c r="G12" s="57"/>
      <c r="I12" s="6" t="s">
        <v>116</v>
      </c>
      <c r="K12" s="3"/>
      <c r="L12" s="3"/>
      <c r="M12" s="3"/>
      <c r="N12" s="3"/>
      <c r="O12" s="3"/>
      <c r="P12" s="3"/>
      <c r="Q12" s="3"/>
    </row>
    <row r="13" spans="1:27" x14ac:dyDescent="0.2">
      <c r="A13" s="56" t="s">
        <v>315</v>
      </c>
      <c r="B13" s="672">
        <f>'Building - Ngang'!B13</f>
        <v>20</v>
      </c>
      <c r="C13" s="416" t="s">
        <v>62</v>
      </c>
      <c r="G13" s="57"/>
      <c r="I13" s="6" t="s">
        <v>113</v>
      </c>
      <c r="K13" s="3" t="s">
        <v>468</v>
      </c>
      <c r="L13" s="3"/>
      <c r="M13" s="8"/>
      <c r="N13" s="13"/>
      <c r="O13" s="3"/>
      <c r="P13" s="3"/>
      <c r="Q13" s="3"/>
    </row>
    <row r="14" spans="1:27" x14ac:dyDescent="0.2">
      <c r="A14" s="56" t="s">
        <v>316</v>
      </c>
      <c r="B14" s="672">
        <f>'Building - Ngang'!B14</f>
        <v>18</v>
      </c>
      <c r="C14" s="416" t="s">
        <v>65</v>
      </c>
      <c r="D14" s="58" t="str">
        <f>IF(($B$14*3.28084)&gt;($B$13*3.28084),"    hr MUST BE &gt;= he !","")</f>
        <v/>
      </c>
      <c r="G14" s="57"/>
      <c r="I14" s="6" t="s">
        <v>17</v>
      </c>
      <c r="K14" s="3" t="s">
        <v>336</v>
      </c>
      <c r="L14" s="3"/>
      <c r="M14" s="3"/>
      <c r="N14" s="3" t="s">
        <v>337</v>
      </c>
      <c r="O14" s="13"/>
      <c r="P14" s="3"/>
      <c r="Q14" s="3"/>
    </row>
    <row r="15" spans="1:27" x14ac:dyDescent="0.2">
      <c r="A15" s="56" t="s">
        <v>11</v>
      </c>
      <c r="B15" s="672">
        <f>'Building - Ngang'!B15</f>
        <v>30</v>
      </c>
      <c r="C15" s="416" t="s">
        <v>63</v>
      </c>
      <c r="E15" s="234"/>
      <c r="G15" s="57"/>
      <c r="I15" s="6" t="s">
        <v>284</v>
      </c>
      <c r="K15" s="3" t="s">
        <v>380</v>
      </c>
      <c r="L15" s="3"/>
      <c r="M15" s="4"/>
      <c r="N15" s="3" t="s">
        <v>380</v>
      </c>
      <c r="O15" s="13"/>
      <c r="P15" s="3"/>
      <c r="Q15" s="3"/>
    </row>
    <row r="16" spans="1:27" x14ac:dyDescent="0.2">
      <c r="A16" s="56" t="s">
        <v>12</v>
      </c>
      <c r="B16" s="672">
        <f>'Building - Ngang'!B16</f>
        <v>100</v>
      </c>
      <c r="C16" s="416" t="s">
        <v>64</v>
      </c>
      <c r="E16" s="500"/>
      <c r="F16" s="501"/>
      <c r="G16" s="57"/>
      <c r="J16" s="4"/>
      <c r="K16" s="7" t="s">
        <v>285</v>
      </c>
      <c r="L16" s="4" t="str">
        <f>IF($B$28=45,0,IF($B$28&gt;=35,0,IF($B$28&gt;=30,(0-(-0.2))*($B$28-30)/(35-30)+(-0.2),IF($B$28&gt;=25,-0.2,IF($B$28&gt;=20,(-0.2-(-0.3))*($B$28-20)/(25-20)+(-0.3),IF($B$28&gt;=15,(-0.3-(-0.5))*($B$28-15)/(20-15)+(-0.5),IF($B$28&gt;=10,(-0.5-(-0.7))*($B$28-10)/(15-10)+(-0.7),"N.A.")))))))</f>
        <v>N.A.</v>
      </c>
      <c r="M16" s="4" t="str">
        <f>IF($B$28=45,0.4,IF($B$28&gt;=35,(0.4-0.4)*($B$28-35)/(45-35)+0.4,IF($B$28&gt;=30,(0.4-0.3)*($B$28-30)/(35-30)+0.3,IF($B$28&gt;=25,0.3,IF($B$28&gt;=20,(0.3-0.2)*($B$28-20)/(25-20)+0.2,IF($B$28&gt;=15,(0.2-0)*($B$28-15)/(20-15)+0,IF($B$28&gt;=10,(0-(-0.18))*($B$28-10)/(15-10)+(-0.18),"N.A.")))))))</f>
        <v>N.A.</v>
      </c>
      <c r="N16" s="3"/>
      <c r="O16" s="7" t="s">
        <v>285</v>
      </c>
      <c r="P16" s="4" t="str">
        <f>IF($B$28&gt;=20,-0.6,IF($B$28&gt;=15,(-0.6-(-0.5))*($B$28-15)/(20-15)+(-0.5),IF($B$28&gt;=10,(-0.5-(-0.3))*($B$28-10)/(15-10)+(-0.3),"N.A.")))</f>
        <v>N.A.</v>
      </c>
      <c r="Q16" s="3"/>
    </row>
    <row r="17" spans="1:17" x14ac:dyDescent="0.2">
      <c r="A17" s="56" t="s">
        <v>112</v>
      </c>
      <c r="B17" s="671" t="str">
        <f>'Building - Ngang'!B17</f>
        <v>Gable</v>
      </c>
      <c r="C17" s="53" t="s">
        <v>363</v>
      </c>
      <c r="G17" s="57"/>
      <c r="I17" t="str">
        <f>'Building - Ngang'!I17</f>
        <v>L = 30</v>
      </c>
      <c r="J17" s="490"/>
      <c r="K17" s="7" t="s">
        <v>286</v>
      </c>
      <c r="L17" s="4" t="str">
        <f>IF($B$28=45,0,IF($B$28&gt;=35,(0-(-0.2))*($B$28-35)/(45-35)+(-0.2),IF($B$28&gt;=30,-0.2,IF($B$28&gt;=25,(-0.2-(-0.3))*($B$28-25)/(30-25)+(-0.3),IF($B$28&gt;=20,(-0.3-(-0.4))*($B$28-20)/(25-20)+(-0.4),IF($B$28&gt;=15,(-0.4-(-0.7))*($B$28-15)/(20-15)+(-0.7),IF($B$28&gt;=10,(-0.7-(-0.9))*($B$28-10)/(15-10)+(-0.9),"N.A.")))))))</f>
        <v>N.A.</v>
      </c>
      <c r="M17" s="4" t="str">
        <f>IF($B$28=45,0.4,IF($B$28&gt;=35,(0.4-0.3)*($B$28-35)/(45-35)+0.3,IF($B$28&gt;=30,(0.3-0.2)*($B$28-30)/(35-30)+0.2,IF($B$28&gt;=25,0.2,IF($B$28&gt;=20,(0.2-0)*($B$28-20)/(25-20)+0,IF($B$28&gt;=15,(0-(-0.18))*($B$28-15)/(20-15)+(-0.18),IF($B$28&gt;=10,(-0.18-(-0.18))*($B$28-10)/(15-10)+(-0.18),"N.A.")))))))</f>
        <v>N.A.</v>
      </c>
      <c r="N17" s="3"/>
      <c r="O17" s="7" t="s">
        <v>286</v>
      </c>
      <c r="P17" s="4" t="str">
        <f>IF($B$28&gt;=20,-0.6,IF($B$28&gt;=15,(-0.6-(-0.5))*($B$28-15)/(20-15)+(-0.5),IF($B$28&gt;=10,-0.5,"N.A.")))</f>
        <v>N.A.</v>
      </c>
      <c r="Q17" s="3"/>
    </row>
    <row r="18" spans="1:17" x14ac:dyDescent="0.2">
      <c r="A18" s="56" t="s">
        <v>317</v>
      </c>
      <c r="B18" s="671">
        <f>'Building - Ngang'!B18</f>
        <v>1</v>
      </c>
      <c r="C18" s="488" t="s">
        <v>436</v>
      </c>
      <c r="G18" s="57"/>
      <c r="I18" t="str">
        <f>'Building - Ngang'!I18</f>
        <v>B = 100</v>
      </c>
      <c r="J18" s="4"/>
      <c r="K18" s="7" t="s">
        <v>287</v>
      </c>
      <c r="L18" s="4" t="str">
        <f>IF($B$28=45,0,IF($B$28&gt;=35,(0-(-0.2))*($B$28-35)/(45-35)+(-0.2),IF($B$28&gt;=30,(-0.2-(-0.3))*($B$28-30)/(35-30)+(-0.3),IF($B$28&gt;=25,(-0.3-(-0.5))*($B$28-25)/(30-25)+(-0.5),IF($B$28&gt;=20,(-0.5-(-0.7))*($B$28-20)/(25-20)+(-0.7),IF($B$28&gt;=15,(-0.7-(-1))*($B$28-15)/(20-15)+(-1),IF($B$28&gt;=10,(-1-(-1.3*$O$10))*($B$28-10)/(15-10)+(-1.3*$O$10),"N.A.")))))))</f>
        <v>N.A.</v>
      </c>
      <c r="M18" s="4" t="str">
        <f>IF($B$28=45,0,IF($B$28&gt;=35,(0.3-(0.2))*($B$28-35)/(45-35)+(0.2),IF($B$28&gt;=30,(0.2-(0.2))*($B$28-30)/(35-30)+(0.2),IF($B$28&gt;=25,(0.2-(0))*($B$28-25)/(30-25)+(0),IF($B$28&gt;=20,(0-(-0.18))*($B$28-20)/(25-20)+(-0.18),IF($B$28&gt;=15,(-0.18-(-0.18))*($B$28-15)/(20-15)+(-0.18),IF($B$28&gt;=10,(-0.18-(-0.18))*($B$28-10)/(15-10)+(-0.18),"N.A.")))))))</f>
        <v>N.A.</v>
      </c>
      <c r="N18" s="3"/>
      <c r="O18" s="7" t="s">
        <v>287</v>
      </c>
      <c r="P18" s="4" t="str">
        <f>IF($B$28&gt;=20,-0.6,IF($B$28&gt;=15,-0.6,IF($B$28&gt;=10,(-0.6-(-0.7))*($B$28-10)/(15-10)+(-0.7),"N.A.")))</f>
        <v>N.A.</v>
      </c>
      <c r="Q18" s="3"/>
    </row>
    <row r="19" spans="1:17" x14ac:dyDescent="0.2">
      <c r="A19" s="56" t="s">
        <v>390</v>
      </c>
      <c r="B19" s="672">
        <f>'Building - Ngang'!B19</f>
        <v>0.85</v>
      </c>
      <c r="C19" s="103" t="s">
        <v>437</v>
      </c>
      <c r="G19" s="57"/>
      <c r="I19" t="str">
        <f>'Building - Ngang'!I19</f>
        <v>Hr = 20</v>
      </c>
      <c r="K19" s="7" t="s">
        <v>289</v>
      </c>
      <c r="L19" s="4" t="str">
        <f>IF($B$28&gt;=10,($B$29*3.28084)/$L$5,"N.A.")</f>
        <v>N.A.</v>
      </c>
      <c r="M19" s="4" t="str">
        <f>IF($B$28&gt;=10,($B$29*3.28084)/$L$5,"N.A.")</f>
        <v>N.A.</v>
      </c>
      <c r="N19" s="3"/>
      <c r="O19" s="7" t="s">
        <v>289</v>
      </c>
      <c r="P19" s="4" t="str">
        <f>IF($B$28&gt;=10,($B$29*3.28084)/$L$5,"N.A.")</f>
        <v>N.A.</v>
      </c>
      <c r="Q19" s="3"/>
    </row>
    <row r="20" spans="1:17" x14ac:dyDescent="0.2">
      <c r="A20" s="56" t="s">
        <v>191</v>
      </c>
      <c r="B20" s="671" t="str">
        <f>'Building - Ngang'!B20</f>
        <v>Y</v>
      </c>
      <c r="C20" s="101" t="s">
        <v>438</v>
      </c>
      <c r="G20" s="57"/>
      <c r="I20" t="str">
        <f>'Building - Ngang'!I20</f>
        <v>He = 18</v>
      </c>
      <c r="K20" s="7" t="s">
        <v>288</v>
      </c>
      <c r="L20" s="2" t="str">
        <f>IF($B$28&gt;=10,IF(($B$29*3.28084)/$L$5&gt;=1,$L$18,IF(($B$29*3.28084)/$L$5&gt;=0.5,($L$18-($L$17))*(($B$29*3.28084)/$L$5-0.5)/(1-0.5 )+($L$17),IF(($B$29*3.28084)/$L$5&gt;0.25,($L$17-($L$16))*(($B$29*3.28084)/$L$5-0.25)/(0.5-0.25 )+($L$16),$L$16))),"N.A.")</f>
        <v>N.A.</v>
      </c>
      <c r="M20" s="2" t="str">
        <f>IF($B$28&gt;=10,IF(($B$29*3.28084)/$L$5&gt;=1,$M$18,IF(($B$29*3.28084)/$L$5&gt;=0.5,($M$18-($M$17))*(($B$29*3.28084)/$L$5-0.5)/(1-0.5 )+($M$17),IF(($B$29*3.28084)/$L$5&gt;0.25,($M$17-($M$16))*(($B$29*3.28084)/$L$5-0.25)/(0.5-0.25 )+($M$16),$M$16))),"N.A.")</f>
        <v>N.A.</v>
      </c>
      <c r="N20" s="3"/>
      <c r="O20" s="7" t="s">
        <v>288</v>
      </c>
      <c r="P20" s="2" t="str">
        <f>IF($B$28&gt;=10,IF(($B$29*3.28084)/$L$5&gt;=1,$P$18,IF(($B$29*3.28084)/$L$5&gt;=0.5,($P$18-($P$17))*(($B$29*3.28084)/$L$5-0.5)/(1-0.5 )+($P$17),IF(($B$29*3.28084)/$L$5&gt;0.25,($P$17-($P$16))*(($B$29*3.28084)/$L$5-0.25)/(0.5-0.25 )+($P$16),$P$16))),"N.A.")</f>
        <v>N.A.</v>
      </c>
      <c r="Q20" s="3"/>
    </row>
    <row r="21" spans="1:17" x14ac:dyDescent="0.2">
      <c r="A21" s="489" t="s">
        <v>44</v>
      </c>
      <c r="B21" s="671" t="str">
        <f>'Building - Ngang'!B21</f>
        <v>N</v>
      </c>
      <c r="E21" s="234"/>
      <c r="G21" s="214"/>
      <c r="K21" s="3"/>
      <c r="L21" s="3"/>
      <c r="M21" s="3"/>
      <c r="N21" s="3"/>
      <c r="O21" s="3"/>
      <c r="P21" s="3"/>
      <c r="Q21" s="3"/>
    </row>
    <row r="22" spans="1:17" x14ac:dyDescent="0.2">
      <c r="A22" s="100" t="s">
        <v>375</v>
      </c>
      <c r="B22" s="673">
        <f>'Building - Ngang'!B22</f>
        <v>0.02</v>
      </c>
      <c r="C22" s="101" t="s">
        <v>442</v>
      </c>
      <c r="G22" s="497"/>
      <c r="K22" s="3" t="s">
        <v>381</v>
      </c>
      <c r="L22" s="2"/>
      <c r="M22" s="3"/>
      <c r="N22" s="8" t="s">
        <v>382</v>
      </c>
      <c r="O22" s="13"/>
      <c r="P22" s="2"/>
      <c r="Q22" s="13"/>
    </row>
    <row r="23" spans="1:17" x14ac:dyDescent="0.2">
      <c r="A23" s="102" t="s">
        <v>362</v>
      </c>
      <c r="B23" s="674">
        <f>'Building - Ngang'!B23</f>
        <v>4.8800000000000003E-2</v>
      </c>
      <c r="C23" s="103" t="s">
        <v>443</v>
      </c>
      <c r="F23" s="234"/>
      <c r="G23" s="57"/>
      <c r="I23" s="53"/>
      <c r="J23" s="8" t="str">
        <f>IF($B$28&lt;10,"for 0 to h/2","")</f>
        <v>for 0 to h/2</v>
      </c>
      <c r="K23" s="7" t="s">
        <v>290</v>
      </c>
      <c r="L23" s="2" t="str">
        <f>IF($B$9="Normal",IF($B$28&lt;10,IF(($B$29*3.28084)/$L$5&gt;=1,-1.3*$O$10,IF(($B$29*3.28084)/$L$5&gt;0.5,(-1.3*$O$10-(-0.9))*(($B$29*3.28084)/$L$5-0.5)/(1-0.5)+(-0.9),-0.9)),"N.A."),"N.A.")</f>
        <v>N.A.</v>
      </c>
      <c r="M23" s="2" t="str">
        <f>IF($B$9="Normal",IF($B$28&lt;10,IF(($B$29*3.28084)/$L$5&gt;=1,-0.18,IF(($B$29*3.28084)/$L$5&gt;0.5,-0.18,-0.18)),"N.A."),"N.A.")</f>
        <v>N.A.</v>
      </c>
      <c r="N23" s="7"/>
      <c r="O23" s="7" t="s">
        <v>290</v>
      </c>
      <c r="P23" s="2">
        <f>IF($B$9="Parallel",IF(($B$29*3.28084)/$L$5&gt;=1,-1.3*$O$10,IF(($B$29*3.28084)/$L$5&gt;0.5,(-1.3*$O$10-(-0.9))*(($B$29*3.28084)/$L$5-0.5)/(1-0.5)+(-0.9),-0.9)),"N.A.")</f>
        <v>-0.9</v>
      </c>
      <c r="Q23" s="2">
        <f>IF($B$9="Parallel",IF(($B$29*3.28084)/$L$5&gt;=1,-0.18,IF(($B$29*3.28084)/$L$5&gt;0.5,-0.18,-0.18)),"N.A.")</f>
        <v>-0.18</v>
      </c>
    </row>
    <row r="24" spans="1:17" x14ac:dyDescent="0.2">
      <c r="A24" s="52"/>
      <c r="C24" s="502" t="s">
        <v>373</v>
      </c>
      <c r="F24" s="234"/>
      <c r="G24" s="57"/>
      <c r="I24" s="53"/>
      <c r="J24" s="10" t="str">
        <f>IF($B$28&lt;10,"for h/2 to h","")</f>
        <v>for h/2 to h</v>
      </c>
      <c r="K24" s="7" t="s">
        <v>291</v>
      </c>
      <c r="L24" s="2" t="str">
        <f>IF($B$9="Normal",IF($B$28&lt;10,IF($L$5&gt;($B$29*3.28084)/2,IF(($B$29*3.28084)/$L$5&gt;=1,-0.7,IF(($B$29*3.28084)/$L$5&gt;0.5,(-0.7-(-0.9))*(($B$29*3.28084)/$L$5-0.5)/(1-0.5)+(-0.9),-0.9)),"N.A."),"N.A."),"N.A.")</f>
        <v>N.A.</v>
      </c>
      <c r="M24" s="2" t="str">
        <f>IF($B$9="Normal",IF($B$28&lt;10,IF($L$5&gt;($B$29*3.28084)/2,IF(($B$29*3.28084)/$L$5&gt;=1,-0.18,IF(($B$29*3.28084)/$L$5&gt;0.5,-0.18,-0.18)),"N.A."),"N.A."),"N.A.")</f>
        <v>N.A.</v>
      </c>
      <c r="N24" s="7"/>
      <c r="O24" s="7" t="s">
        <v>291</v>
      </c>
      <c r="P24" s="2">
        <f>IF($B$9="Parallel",IF($L$5&gt;($B$29*3.28084)/2,IF(($B$29*3.28084)/$L$5&gt;=1,-0.7,IF(($B$29*3.28084)/$L$5&gt;0.5,(-0.7-(-0.9))*(($B$29*3.28084)/$L$5-0.5)/(1-0.5)+(-0.9),-0.9)),"N.A."),"N.A.")</f>
        <v>-0.9</v>
      </c>
      <c r="Q24" s="2">
        <f>IF($B$9="Parallel",IF($L$5&gt;($B$29*3.28084)/2,IF(($B$29*3.28084)/$L$5&gt;=1,-0.18,IF(($B$29*3.28084)/$L$5&gt;0.5,-0.18,-0.18)),"N.A."),"N.A.")</f>
        <v>-0.18</v>
      </c>
    </row>
    <row r="25" spans="1:17" x14ac:dyDescent="0.2">
      <c r="A25" s="52"/>
      <c r="F25" s="234"/>
      <c r="G25" s="57"/>
      <c r="I25" s="53"/>
      <c r="J25" s="3" t="str">
        <f>IF($B$28&lt;10,"for h to 2*h","")</f>
        <v>for h to 2*h</v>
      </c>
      <c r="K25" s="7" t="s">
        <v>292</v>
      </c>
      <c r="L25" s="2" t="str">
        <f>IF($B$9="Normal",IF($B$28&lt;10,IF($L$5&gt;($B$29*3.28084),IF(($B$29*3.28084)/$L$5&gt;=1,-0.7,IF(($B$29*3.28084)/$L$5&gt;0.5,(-0.7-(-0.5))*(($B$29*3.28084)/$L$5-0.5)/(1-0.5)+(-0.5),-0.5)),"N.A."),"N.A."),"N.A.")</f>
        <v>N.A.</v>
      </c>
      <c r="M25" s="2" t="str">
        <f>IF($B$9="Normal",IF($B$28&lt;10,IF($L$5&gt;($B$29*3.28084),IF(($B$29*3.28084)/$L$5&gt;=1,-0.18,IF(($B$29*3.28084)/$L$5&gt;0.5,-0.18,-0.18)),"N.A."),"N.A."),"N.A.")</f>
        <v>N.A.</v>
      </c>
      <c r="N25" s="7"/>
      <c r="O25" s="7" t="s">
        <v>292</v>
      </c>
      <c r="P25" s="2">
        <f>IF($B$9="Parallel",IF($L$5&gt;($B$29*3.28084),IF(($B$29*3.28084)/$L$5&gt;=1,-0.7,IF(($B$29*3.28084)/$L$5&gt;0.5,(-0.7-(-0.5))*(($B$29*3.28084)/$L$5-0.5)/(1-0.5)+(-0.5),-0.5)),"N.A."),"N.A.")</f>
        <v>-0.5</v>
      </c>
      <c r="Q25" s="2">
        <f>IF($B$9="Parallel",IF($L$5&gt;($B$29*3.28084),IF(($B$29*3.28084)/$L$5&gt;=1,-0.18,IF(($B$29*3.28084)/$L$5&gt;0.5,-0.18,-0.18)),"N.A."),"N.A.")</f>
        <v>-0.18</v>
      </c>
    </row>
    <row r="26" spans="1:17" x14ac:dyDescent="0.2">
      <c r="A26" s="54" t="s">
        <v>334</v>
      </c>
      <c r="B26" s="39"/>
      <c r="C26" s="59"/>
      <c r="E26" s="234"/>
      <c r="F26" s="234"/>
      <c r="G26" s="57"/>
      <c r="J26" s="3" t="str">
        <f>IF($B$28&lt;10,"for &gt; 2*h","")</f>
        <v>for &gt; 2*h</v>
      </c>
      <c r="K26" s="7" t="s">
        <v>293</v>
      </c>
      <c r="L26" s="2" t="str">
        <f>IF($B$9="Normal",IF($B$28&lt;10,IF($L$5&gt;=2*($B$29*3.28084),IF(($B$29*3.28084)/$L$5&gt;=1,-0.7,IF(($B$29*3.28084)/$L$5&gt;0.5,(-0.7-(-0.3))*(($B$29*3.28084)/$L$5-0.5)/(1-0.5)+(-0.3),-0.3)),"N.A."),"N.A."),"N.A.")</f>
        <v>N.A.</v>
      </c>
      <c r="M26" s="2" t="str">
        <f>IF($B$9="Normal",IF($B$28&lt;10,IF($L$5&gt;=2*($B$29*3.28084),IF(($B$29*3.28084)/$L$5&gt;=1,-0.18,IF(($B$29*3.28084)/$L$5&gt;0.5,-0.18,-0.18)),"N.A."),"N.A."),"N.A.")</f>
        <v>N.A.</v>
      </c>
      <c r="N26" s="7"/>
      <c r="O26" s="7" t="s">
        <v>293</v>
      </c>
      <c r="P26" s="2">
        <f>IF($B$9="Parallel",IF($L$5&gt;=2*($B$29*3.28084),IF(($B$29*3.28084)/$L$5&gt;=1,-0.7,IF(($B$29*3.28084)/$L$5&gt;0.5,(-0.7-(-0.3))*(($B$29*3.28084)/$L$5-0.5)/(1-0.5)+(-0.3),-0.3)),"N.A."),"N.A.")</f>
        <v>-0.3</v>
      </c>
      <c r="Q26" s="2">
        <f>IF($B$9="Parallel",IF($L$5&gt;=2*($B$29*3.28084),IF(($B$29*3.28084)/$L$5&gt;=1,-0.18,IF(($B$29*3.28084)/$L$5&gt;0.5,-0.18,-0.18)),"N.A."),"N.A.")</f>
        <v>-0.18</v>
      </c>
    </row>
    <row r="27" spans="1:17" x14ac:dyDescent="0.2">
      <c r="A27" s="52"/>
      <c r="G27" s="57"/>
      <c r="K27" s="3"/>
      <c r="L27" s="3"/>
      <c r="M27" s="3"/>
      <c r="N27" s="3"/>
      <c r="O27" s="3"/>
      <c r="P27" s="3"/>
      <c r="Q27" s="3"/>
    </row>
    <row r="28" spans="1:17" x14ac:dyDescent="0.2">
      <c r="A28" s="56" t="s">
        <v>376</v>
      </c>
      <c r="B28" s="660">
        <f>$P$3</f>
        <v>7.5946433685914405</v>
      </c>
      <c r="C28" s="53" t="s">
        <v>42</v>
      </c>
      <c r="G28" s="57"/>
      <c r="K28" s="3" t="s">
        <v>467</v>
      </c>
      <c r="L28" s="3"/>
      <c r="M28" s="3"/>
      <c r="N28" s="3"/>
      <c r="O28" s="3"/>
      <c r="P28" s="3"/>
      <c r="Q28" s="3"/>
    </row>
    <row r="29" spans="1:17" x14ac:dyDescent="0.2">
      <c r="A29" s="56" t="s">
        <v>318</v>
      </c>
      <c r="B29" s="661">
        <f>$P$4*0.3048</f>
        <v>18.000000576000001</v>
      </c>
      <c r="C29" s="59" t="str">
        <f>IF($B$28&lt;=10,"m (h = he, for roof angle &lt;=10 deg.)","m (h = (hr+he)/2, for roof angle &gt;10 deg.)")</f>
        <v>m (h = he, for roof angle &lt;=10 deg.)</v>
      </c>
      <c r="F29" s="137"/>
      <c r="G29" s="596" t="str">
        <f>IF($B$9="Normal","L = "&amp;($B$15*3.28084)&amp;" ft.","L = "&amp;($B$16*3.28084)&amp;" ft.")</f>
        <v>L = 328.084 ft.</v>
      </c>
      <c r="K29" s="9" t="s">
        <v>346</v>
      </c>
      <c r="L29" s="1">
        <f>IF($B$20="Y",0.18,0.55)</f>
        <v>0.18</v>
      </c>
      <c r="M29" s="8"/>
      <c r="N29" s="3"/>
      <c r="O29" s="3"/>
      <c r="P29" s="3"/>
      <c r="Q29" s="3"/>
    </row>
    <row r="30" spans="1:17" ht="15.75" x14ac:dyDescent="0.35">
      <c r="A30" s="56" t="s">
        <v>276</v>
      </c>
      <c r="B30" s="661">
        <f>$L$9</f>
        <v>0.8</v>
      </c>
      <c r="C30" s="41" t="s">
        <v>469</v>
      </c>
      <c r="E30" s="104"/>
      <c r="F30" s="138"/>
      <c r="G30" s="597" t="str">
        <f>IF($B$9="Normal","B = "&amp;($B$16*3.28084)&amp;" ft.","B = "&amp;($B$15*3.28084)&amp;" ft.")</f>
        <v>B = 98.4252 ft.</v>
      </c>
      <c r="K30" s="9" t="s">
        <v>347</v>
      </c>
      <c r="L30" s="1">
        <f>IF($B$20="Y",-0.18,-0.55)</f>
        <v>-0.18</v>
      </c>
      <c r="M30" s="8"/>
      <c r="N30" s="3"/>
      <c r="O30" s="3"/>
      <c r="P30" s="3"/>
      <c r="Q30" s="3"/>
    </row>
    <row r="31" spans="1:17" x14ac:dyDescent="0.2">
      <c r="A31" s="56" t="s">
        <v>277</v>
      </c>
      <c r="B31" s="661">
        <f>$L$10</f>
        <v>-0.23333333333333334</v>
      </c>
      <c r="C31" s="41" t="s">
        <v>469</v>
      </c>
      <c r="E31" s="105"/>
      <c r="F31" s="43"/>
      <c r="G31" s="106"/>
      <c r="K31" s="3"/>
      <c r="L31" s="3"/>
      <c r="M31" s="3"/>
      <c r="N31" s="3"/>
      <c r="O31" s="3"/>
      <c r="P31" s="3"/>
      <c r="Q31" s="3"/>
    </row>
    <row r="32" spans="1:17" x14ac:dyDescent="0.2">
      <c r="A32" s="56" t="s">
        <v>278</v>
      </c>
      <c r="B32" s="661">
        <f>$L$11</f>
        <v>-0.7</v>
      </c>
      <c r="C32" s="41" t="s">
        <v>469</v>
      </c>
      <c r="G32" s="57"/>
      <c r="K32" s="3" t="s">
        <v>378</v>
      </c>
      <c r="L32" s="3"/>
      <c r="M32" s="3"/>
      <c r="N32" s="3"/>
      <c r="O32" s="3"/>
      <c r="P32" s="3"/>
      <c r="Q32" s="3"/>
    </row>
    <row r="33" spans="1:17" x14ac:dyDescent="0.2">
      <c r="A33" s="56" t="str">
        <f>IF($B$9="Normal",IF($B$28&lt;10,"Roof Cp (zone #1) =","Windward Roof Cp ="),"Roof Cp (zone #1) =")</f>
        <v>Roof Cp (zone #1) =</v>
      </c>
      <c r="B33" s="661">
        <f>IF($B$9="Normal",IF($B$28&lt;10,$L$23,$L$20),$P$23)</f>
        <v>-0.9</v>
      </c>
      <c r="C33" s="662">
        <f>IF($B$9="Normal",IF($B$28&lt;10,$M$23,""),$Q$23)</f>
        <v>-0.18</v>
      </c>
      <c r="D33" s="41" t="s">
        <v>469</v>
      </c>
      <c r="E33" s="59" t="str">
        <f>IF($B$9="Normal",IF($B$28&lt;10,"(zone #1 for 0 to h/2)","(Condition #1)"),"(zone #1 for 0 to h/2)")</f>
        <v>(zone #1 for 0 to h/2)</v>
      </c>
      <c r="G33" s="57"/>
      <c r="K33" s="12" t="s">
        <v>379</v>
      </c>
      <c r="L33" s="4">
        <f>IF($B$12="A",5,IF($B$12="B",7,IF($B$12="C",9.5,IF($B$12="D",11.5,"Error!"))))</f>
        <v>9.5</v>
      </c>
      <c r="M33" s="8"/>
      <c r="N33" s="3"/>
      <c r="O33" s="3"/>
      <c r="P33" s="3"/>
      <c r="Q33" s="3"/>
    </row>
    <row r="34" spans="1:17" x14ac:dyDescent="0.2">
      <c r="A34" s="56" t="str">
        <f>IF($B$9="Normal",IF($B$28&lt;10,"Roof Cp (zone #2) =","Windward Roof Cp ="),"Roof Cp (zone #2) =")</f>
        <v>Roof Cp (zone #2) =</v>
      </c>
      <c r="B34" s="661">
        <f>IF($B$9="Normal",IF($B$28&lt;10,$L$24,$M$20),$P$24)</f>
        <v>-0.9</v>
      </c>
      <c r="C34" s="664">
        <f>IF($B$9="Normal",IF($B$28&lt;10,$M$24,""),$Q$24)</f>
        <v>-0.18</v>
      </c>
      <c r="D34" s="41" t="s">
        <v>469</v>
      </c>
      <c r="E34" s="89" t="str">
        <f>IF($B$9="Normal",IF($B$28&lt;10,"(zone #2 for h/2 to h)","(Condition #2)"),"(zone #2 for h/2 to h)")</f>
        <v>(zone #2 for h/2 to h)</v>
      </c>
      <c r="G34" s="57"/>
      <c r="K34" s="7" t="s">
        <v>282</v>
      </c>
      <c r="L34" s="6">
        <f>IF($B$12="A",1500,IF($B$12="B",1200,IF($B$12="C",900,IF($B$12="D",700,"Error!"))))</f>
        <v>900</v>
      </c>
      <c r="M34" s="8"/>
      <c r="N34" s="3"/>
      <c r="O34" s="3"/>
      <c r="P34" s="3"/>
      <c r="Q34" s="3"/>
    </row>
    <row r="35" spans="1:17" x14ac:dyDescent="0.2">
      <c r="A35" s="56" t="str">
        <f>IF($B$9="Normal",IF($B$28&lt;10,"Roof Cp (zone #3) =","Leeward Roof Cp ="),"Roof Cp (zone #3) =")</f>
        <v>Roof Cp (zone #3) =</v>
      </c>
      <c r="B35" s="661">
        <f>IF($B$9="Normal",IF($B$28&lt;10,$L$25,$P$20),$P$25)</f>
        <v>-0.5</v>
      </c>
      <c r="C35" s="664">
        <f>IF($B$9="Normal",IF($B$28&lt;10,$M$25,""),$Q$25)</f>
        <v>-0.18</v>
      </c>
      <c r="D35" s="41" t="s">
        <v>469</v>
      </c>
      <c r="E35" s="53" t="str">
        <f>IF($B$9="Normal",IF($B$28&lt;10,"(zone #3 for h to 2*h)",""),"(zone #3 for h to 2*h)")</f>
        <v>(zone #3 for h to 2*h)</v>
      </c>
      <c r="G35" s="57"/>
      <c r="K35" s="7" t="s">
        <v>283</v>
      </c>
      <c r="L35" s="4">
        <f>IF($P$4&lt;15,2.01*(15/$L$34)^(2/$L$33),2.01*($P$4/$L$34)^(2/$L$33))</f>
        <v>1.1327826629938869</v>
      </c>
      <c r="M35" s="3"/>
      <c r="N35" s="3"/>
      <c r="O35" s="3"/>
      <c r="P35" s="3"/>
      <c r="Q35" s="3"/>
    </row>
    <row r="36" spans="1:17" x14ac:dyDescent="0.2">
      <c r="A36" s="56" t="str">
        <f>IF($B$9="Normal",IF($B$28&lt;10,"Roof Cp (zone #4) =",""),"Roof Cp (zone #4) =")</f>
        <v>Roof Cp (zone #4) =</v>
      </c>
      <c r="B36" s="661">
        <f>IF($B$9="Normal",IF($B$28&lt;10,$L$26,""),$P$26)</f>
        <v>-0.3</v>
      </c>
      <c r="C36" s="665">
        <f>IF($B$9="Normal",IF($B$28&lt;10,$M$26,""),$Q$26)</f>
        <v>-0.18</v>
      </c>
      <c r="D36" s="41" t="s">
        <v>469</v>
      </c>
      <c r="E36" s="53" t="str">
        <f>IF($B$9="Normal",IF($B$28&lt;10,"(zone #4 for &gt; 2*h)",""),"(zone #4 for &gt; 2*h)")</f>
        <v>(zone #4 for &gt; 2*h)</v>
      </c>
      <c r="G36" s="57"/>
      <c r="K36" s="7" t="s">
        <v>321</v>
      </c>
      <c r="L36" s="4">
        <f>IF(AND($B$21="N",$B$11="I"),0.87,IF(AND($B$21="Y",$B$11="I",($B$10*0.6213712)&lt;=100),0.87,IF(AND($B$21="Y",$B$11="I",($B$10*0.6213712)&gt;100),0.77,IF($B$11="II",1,IF($B$11="III",1.15,IF($B$11="IV",1.15))))))</f>
        <v>1</v>
      </c>
      <c r="M36" s="3"/>
      <c r="N36" s="3"/>
      <c r="O36" s="3"/>
      <c r="P36" s="3"/>
      <c r="Q36" s="3"/>
    </row>
    <row r="37" spans="1:17" x14ac:dyDescent="0.2">
      <c r="A37" s="85" t="s">
        <v>352</v>
      </c>
      <c r="B37" s="661">
        <f>$L$29</f>
        <v>0.18</v>
      </c>
      <c r="C37" s="41" t="s">
        <v>470</v>
      </c>
      <c r="G37" s="57"/>
      <c r="K37" s="7" t="s">
        <v>356</v>
      </c>
      <c r="L37" s="4">
        <f>0.00256*$L$35*$B$18*$B$19*($B$10*0.6213712)^2*0.0478802631216373</f>
        <v>1.826668230117408</v>
      </c>
      <c r="M37" s="3"/>
      <c r="N37" s="3"/>
      <c r="O37" s="3"/>
      <c r="P37" s="3"/>
      <c r="Q37" s="3"/>
    </row>
    <row r="38" spans="1:17" x14ac:dyDescent="0.2">
      <c r="A38" s="85" t="s">
        <v>353</v>
      </c>
      <c r="B38" s="663">
        <f>$L$30</f>
        <v>-0.18</v>
      </c>
      <c r="C38" s="41" t="s">
        <v>470</v>
      </c>
      <c r="G38" s="57"/>
      <c r="K38" s="3"/>
      <c r="L38" s="3"/>
      <c r="M38" s="3"/>
      <c r="N38" s="3"/>
      <c r="O38" s="3"/>
      <c r="P38" s="3"/>
      <c r="Q38" s="3"/>
    </row>
    <row r="39" spans="1:17" x14ac:dyDescent="0.2">
      <c r="A39" s="52"/>
      <c r="G39" s="57"/>
      <c r="K39" s="7"/>
      <c r="L39" s="11"/>
      <c r="M39" s="3"/>
      <c r="N39" s="3"/>
      <c r="O39" s="3"/>
      <c r="P39" s="3"/>
      <c r="Q39" s="3"/>
    </row>
    <row r="40" spans="1:17" x14ac:dyDescent="0.2">
      <c r="A40" s="86" t="s">
        <v>465</v>
      </c>
      <c r="F40" s="69"/>
      <c r="G40" s="84"/>
      <c r="K40" s="3"/>
      <c r="L40" s="3"/>
      <c r="M40" s="3"/>
      <c r="N40" s="3"/>
      <c r="O40" s="3"/>
      <c r="P40" s="3"/>
      <c r="Q40" s="3"/>
    </row>
    <row r="41" spans="1:17" x14ac:dyDescent="0.2">
      <c r="A41" s="87" t="s">
        <v>374</v>
      </c>
      <c r="B41" s="662">
        <f>$L$33</f>
        <v>9.5</v>
      </c>
      <c r="C41" s="69" t="s">
        <v>282</v>
      </c>
      <c r="D41" s="666">
        <f>$L$34</f>
        <v>900</v>
      </c>
      <c r="E41" s="59" t="s">
        <v>439</v>
      </c>
      <c r="G41" s="84"/>
      <c r="K41" s="3"/>
      <c r="L41" s="3"/>
      <c r="M41" s="3"/>
      <c r="N41" s="3"/>
      <c r="O41" s="3"/>
      <c r="P41" s="3"/>
      <c r="Q41" s="3"/>
    </row>
    <row r="42" spans="1:17" x14ac:dyDescent="0.2">
      <c r="A42" s="56" t="s">
        <v>283</v>
      </c>
      <c r="B42" s="664">
        <f>$L$35</f>
        <v>1.1327826629938869</v>
      </c>
      <c r="C42" s="53" t="s">
        <v>349</v>
      </c>
      <c r="F42" s="69"/>
      <c r="G42" s="84"/>
      <c r="K42" s="3"/>
      <c r="L42" s="3"/>
      <c r="M42" s="3"/>
      <c r="N42" s="3"/>
      <c r="O42" s="3"/>
      <c r="P42" s="3"/>
      <c r="Q42" s="3"/>
    </row>
    <row r="43" spans="1:17" x14ac:dyDescent="0.2">
      <c r="A43" s="52" t="s">
        <v>466</v>
      </c>
      <c r="F43" s="69"/>
      <c r="G43" s="84"/>
      <c r="K43" s="3"/>
      <c r="L43" s="3"/>
      <c r="M43" s="3"/>
      <c r="N43" s="3"/>
      <c r="O43" s="3"/>
      <c r="P43" s="3"/>
      <c r="Q43" s="3"/>
    </row>
    <row r="44" spans="1:17" x14ac:dyDescent="0.2">
      <c r="A44" s="56" t="s">
        <v>356</v>
      </c>
      <c r="B44" s="667">
        <f>IF($L$37&gt;=0.77,$L$37,0.77)</f>
        <v>1.826668230117408</v>
      </c>
      <c r="C44" s="53" t="s">
        <v>168</v>
      </c>
      <c r="D44" s="53" t="s">
        <v>440</v>
      </c>
      <c r="G44" s="107"/>
      <c r="K44" s="3"/>
      <c r="L44" s="3"/>
      <c r="M44" s="3"/>
      <c r="N44" s="3"/>
      <c r="O44" s="3"/>
      <c r="P44" s="3"/>
      <c r="Q44" s="3"/>
    </row>
    <row r="45" spans="1:17" x14ac:dyDescent="0.2">
      <c r="A45" s="108" t="str">
        <f>IF(($B$15*3.28084)&lt;=($B$16*3.28084),"Ratio h/L =","Ratio h/B =")</f>
        <v>Ratio h/L =</v>
      </c>
      <c r="B45" s="668">
        <f>$P$6</f>
        <v>0.18</v>
      </c>
      <c r="C45" s="69" t="s">
        <v>354</v>
      </c>
      <c r="D45" s="669">
        <f>$B$136</f>
        <v>2.344907894436143</v>
      </c>
      <c r="E45" s="53" t="s">
        <v>355</v>
      </c>
      <c r="F45" s="91" t="str">
        <f>IF($B$105="No","(f &gt;= 1, Rigid structure)","(f &lt; 1, Flexible structure)")</f>
        <v>(f &gt;= 1, Rigid structure)</v>
      </c>
      <c r="G45" s="57"/>
      <c r="K45" s="3"/>
      <c r="L45" s="3"/>
      <c r="M45" s="3"/>
      <c r="N45" s="3"/>
      <c r="O45" s="3"/>
      <c r="P45" s="3"/>
      <c r="Q45" s="3"/>
    </row>
    <row r="46" spans="1:17" x14ac:dyDescent="0.2">
      <c r="A46" s="56" t="s">
        <v>320</v>
      </c>
      <c r="B46" s="169">
        <f>$B$149</f>
        <v>0.85</v>
      </c>
      <c r="C46" s="59" t="s">
        <v>463</v>
      </c>
      <c r="F46" s="75"/>
      <c r="G46" s="107"/>
      <c r="K46" s="3"/>
      <c r="L46" s="3"/>
      <c r="M46" s="3"/>
      <c r="N46" s="3"/>
      <c r="O46" s="3"/>
      <c r="P46" s="3"/>
      <c r="Q46" s="3"/>
    </row>
    <row r="47" spans="1:17" x14ac:dyDescent="0.2">
      <c r="A47" s="52" t="s">
        <v>460</v>
      </c>
      <c r="C47" s="89"/>
      <c r="D47" s="77"/>
      <c r="E47" s="90"/>
      <c r="F47" s="75"/>
      <c r="G47" s="57"/>
      <c r="K47" s="3"/>
      <c r="L47" s="3"/>
      <c r="M47" s="3"/>
      <c r="N47" s="3"/>
      <c r="O47" s="3"/>
      <c r="P47" s="3"/>
      <c r="Q47" s="3"/>
    </row>
    <row r="48" spans="1:17" x14ac:dyDescent="0.2">
      <c r="A48" s="92" t="s">
        <v>461</v>
      </c>
      <c r="D48" s="75"/>
      <c r="G48" s="107"/>
      <c r="K48" s="3"/>
      <c r="L48" s="3"/>
      <c r="M48" s="3"/>
      <c r="N48" s="3"/>
      <c r="O48" s="3"/>
      <c r="P48" s="3"/>
      <c r="Q48" s="3"/>
    </row>
    <row r="49" spans="1:31" x14ac:dyDescent="0.2">
      <c r="A49" s="92" t="s">
        <v>462</v>
      </c>
      <c r="D49" s="75"/>
      <c r="G49" s="57"/>
      <c r="K49" s="13"/>
      <c r="L49" s="13"/>
      <c r="M49" s="13"/>
      <c r="N49" s="13"/>
      <c r="O49" s="13"/>
      <c r="P49" s="13"/>
      <c r="Q49" s="13"/>
    </row>
    <row r="50" spans="1:31" x14ac:dyDescent="0.2">
      <c r="A50" s="52"/>
      <c r="G50" s="57"/>
      <c r="K50" s="13"/>
      <c r="L50" s="13"/>
      <c r="M50" s="13"/>
      <c r="N50" s="13"/>
      <c r="O50" s="13"/>
      <c r="P50" s="13"/>
      <c r="Q50" s="13"/>
    </row>
    <row r="51" spans="1:31" x14ac:dyDescent="0.2">
      <c r="A51" s="73"/>
      <c r="B51" s="61"/>
      <c r="C51" s="61"/>
      <c r="D51" s="61"/>
      <c r="E51" s="61"/>
      <c r="F51" s="61"/>
      <c r="G51" s="74"/>
      <c r="K51" s="13"/>
      <c r="L51" s="13"/>
      <c r="M51" s="13"/>
      <c r="N51" s="13"/>
      <c r="O51" s="13"/>
      <c r="P51" s="13"/>
      <c r="Q51" s="13"/>
    </row>
    <row r="52" spans="1:31" x14ac:dyDescent="0.2">
      <c r="A52" s="65" t="str">
        <f>IF($B$9="Normal","Normal to Ridge Wind Load Tabulation for MWFRS - Buildings of Any Height","Parallel to Ridge Wind Load Tabulation for MWFRS - Buildings of Any Height")</f>
        <v>Parallel to Ridge Wind Load Tabulation for MWFRS - Buildings of Any Height</v>
      </c>
      <c r="B52" s="62"/>
      <c r="C52" s="62"/>
      <c r="D52" s="93"/>
      <c r="E52" s="93"/>
      <c r="F52" s="110"/>
      <c r="G52" s="111"/>
      <c r="K52" s="13"/>
      <c r="L52" s="13"/>
      <c r="M52" s="13"/>
      <c r="N52" s="13"/>
      <c r="O52" s="13"/>
      <c r="P52" s="13"/>
      <c r="Q52" s="13"/>
    </row>
    <row r="53" spans="1:31" x14ac:dyDescent="0.2">
      <c r="A53" s="112" t="s">
        <v>271</v>
      </c>
      <c r="B53" s="112" t="s">
        <v>272</v>
      </c>
      <c r="C53" s="112" t="s">
        <v>269</v>
      </c>
      <c r="D53" s="113" t="s">
        <v>270</v>
      </c>
      <c r="E53" s="112" t="s">
        <v>273</v>
      </c>
      <c r="F53" s="598" t="s">
        <v>226</v>
      </c>
      <c r="G53" s="111"/>
      <c r="K53" s="13"/>
      <c r="L53" s="13"/>
      <c r="M53" s="13"/>
      <c r="N53" s="13"/>
      <c r="O53" s="13"/>
      <c r="P53" s="13"/>
      <c r="Q53" s="13"/>
      <c r="AB53" s="503" t="s">
        <v>198</v>
      </c>
    </row>
    <row r="54" spans="1:31" x14ac:dyDescent="0.2">
      <c r="A54" s="68"/>
      <c r="B54" s="112" t="s">
        <v>75</v>
      </c>
      <c r="C54" s="112"/>
      <c r="D54" s="113" t="s">
        <v>72</v>
      </c>
      <c r="E54" s="140"/>
      <c r="F54" s="94" t="s">
        <v>358</v>
      </c>
      <c r="G54" s="94" t="s">
        <v>359</v>
      </c>
      <c r="K54" s="13"/>
      <c r="L54" s="13"/>
      <c r="M54" s="13"/>
      <c r="N54" s="13"/>
      <c r="O54" s="13"/>
      <c r="P54" s="13"/>
      <c r="Q54" s="13"/>
      <c r="AB54" s="504" t="s">
        <v>17</v>
      </c>
      <c r="AC54" s="506" t="s">
        <v>257</v>
      </c>
    </row>
    <row r="55" spans="1:31" x14ac:dyDescent="0.2">
      <c r="A55" s="112" t="s">
        <v>279</v>
      </c>
      <c r="B55" s="595">
        <f>IF($AB$54="N",0,$AB55)</f>
        <v>20</v>
      </c>
      <c r="C55" s="159">
        <f>IF($B55="","",2.01*(IF(($B55*3.28084)&lt;=15,15,($B55*3.28084))/$L$34)^(2/$L$33))</f>
        <v>1.1581898364473004</v>
      </c>
      <c r="D55" s="159">
        <f>IF(($B55*3.28084)="","",0.00256*$C55*$B$18*$B$19*$L$36*($B$10*0.6213712)^2*0.0478802631216373 )</f>
        <v>1.8676385575072818</v>
      </c>
      <c r="E55" s="165">
        <f>IF(($B55*3.28084)="","",$B$30)</f>
        <v>0.8</v>
      </c>
      <c r="F55" s="159">
        <f>IF(($B55*3.28084)="","",$D55*$B$149*$E55-$L$37*$L$29)</f>
        <v>0.94119393768381809</v>
      </c>
      <c r="G55" s="159">
        <f>IF(($B55*3.28084)="","",$D55*$B$149*$E55-$L$37*$L$30)</f>
        <v>1.5987945005260851</v>
      </c>
      <c r="K55" s="13"/>
      <c r="L55" s="13"/>
      <c r="M55" s="13"/>
      <c r="N55" s="13"/>
      <c r="O55" s="13"/>
      <c r="P55" s="13"/>
      <c r="Q55" s="13"/>
      <c r="AB55" s="586">
        <f>B13</f>
        <v>20</v>
      </c>
      <c r="AC55" s="594" t="s">
        <v>357</v>
      </c>
      <c r="AD55" s="593" t="s">
        <v>73</v>
      </c>
      <c r="AE55" s="584"/>
    </row>
    <row r="56" spans="1:31" x14ac:dyDescent="0.2">
      <c r="A56" s="114" t="str">
        <f>IF($B56=($B$13),"For z = hr:","")</f>
        <v/>
      </c>
      <c r="B56" s="164">
        <f>B14</f>
        <v>18</v>
      </c>
      <c r="C56" s="160">
        <f t="shared" ref="C56:C82" si="0">IF($B56="","",2.01*(IF(($B56*3.28084)&lt;=15,15,($B56*3.28084))/$L$34)^(2/$L$33))</f>
        <v>1.1327826629938869</v>
      </c>
      <c r="D56" s="160">
        <f>IF(($B56*3.28084)="","",0.00256*$C56*$B$18*$B$19*$L$36*($B$10*0.6213712)^2*0.0478802631216373 )</f>
        <v>1.826668230117408</v>
      </c>
      <c r="E56" s="166">
        <f>IF(($B56*3.28084)="","",$B$30)</f>
        <v>0.8</v>
      </c>
      <c r="F56" s="160">
        <f>IF(($B56*3.28084)="","",$D56*$B$149*$E56-$L$37*$L$29)</f>
        <v>0.91333411505870399</v>
      </c>
      <c r="G56" s="160">
        <f>IF(($B56*3.28084)="","",$D56*$B$149*$E56-$L$37*$L$30)</f>
        <v>1.570934677900971</v>
      </c>
      <c r="K56" s="13"/>
      <c r="L56" s="13"/>
      <c r="M56" s="13"/>
      <c r="N56" s="13"/>
      <c r="O56" s="13"/>
      <c r="P56" s="13"/>
      <c r="Q56" s="13"/>
      <c r="AB56" s="587">
        <f>B14</f>
        <v>18</v>
      </c>
      <c r="AC56" s="594" t="s">
        <v>357</v>
      </c>
      <c r="AD56" s="593" t="s">
        <v>74</v>
      </c>
      <c r="AE56" s="584"/>
    </row>
    <row r="57" spans="1:31" x14ac:dyDescent="0.2">
      <c r="A57" s="114" t="str">
        <f>IF($B57=($B$13),"For z = hr:","")</f>
        <v/>
      </c>
      <c r="B57" s="164">
        <f>B56/3*2</f>
        <v>12</v>
      </c>
      <c r="C57" s="160">
        <f t="shared" si="0"/>
        <v>1.0400991694925239</v>
      </c>
      <c r="D57" s="160">
        <f t="shared" ref="D57:D82" si="1">IF($B57="","",0.00256*$C57*$B$18*$B$19*$L$36*($B$10*0.6213712)^2*0.0478802631216373 )</f>
        <v>1.6772114997435723</v>
      </c>
      <c r="E57" s="166">
        <f t="shared" ref="E57:E82" si="2">IF($B57="","",$B$30)</f>
        <v>0.8</v>
      </c>
      <c r="F57" s="160">
        <f t="shared" ref="F57:F82" si="3">IF($B57="","",$D57*$B$149*$E57-$L$37*$L$29)</f>
        <v>0.81170353840449572</v>
      </c>
      <c r="G57" s="160">
        <f t="shared" ref="G57:G82" si="4">IF($B57="","",$D57*$B$149*$E57-$L$37*$L$30)</f>
        <v>1.4693041012467627</v>
      </c>
      <c r="K57" s="13"/>
      <c r="L57" s="13"/>
      <c r="M57" s="13"/>
      <c r="N57" s="13"/>
      <c r="O57" s="13"/>
      <c r="P57" s="13"/>
      <c r="Q57" s="13"/>
      <c r="AB57" s="185"/>
      <c r="AC57" s="66" t="s">
        <v>357</v>
      </c>
      <c r="AD57" s="53"/>
      <c r="AE57" s="584"/>
    </row>
    <row r="58" spans="1:31" x14ac:dyDescent="0.2">
      <c r="A58" s="114" t="str">
        <f>IF($B58=($B$13),"For z = hr:","")</f>
        <v/>
      </c>
      <c r="B58" s="164">
        <f>B56/3</f>
        <v>6</v>
      </c>
      <c r="C58" s="160">
        <f t="shared" si="0"/>
        <v>0.89887647345945465</v>
      </c>
      <c r="D58" s="160">
        <f t="shared" si="1"/>
        <v>1.4494828977420711</v>
      </c>
      <c r="E58" s="166">
        <f t="shared" si="2"/>
        <v>0.8</v>
      </c>
      <c r="F58" s="160">
        <f t="shared" si="3"/>
        <v>0.65684808904347491</v>
      </c>
      <c r="G58" s="160">
        <f t="shared" si="4"/>
        <v>1.3144486518857417</v>
      </c>
      <c r="K58" s="13"/>
      <c r="L58" s="13"/>
      <c r="M58" s="13"/>
      <c r="N58" s="13"/>
      <c r="O58" s="13"/>
      <c r="P58" s="13"/>
      <c r="Q58" s="13"/>
      <c r="AB58" s="185"/>
      <c r="AC58" s="66" t="s">
        <v>357</v>
      </c>
      <c r="AD58" s="53"/>
      <c r="AE58" s="584"/>
    </row>
    <row r="59" spans="1:31" x14ac:dyDescent="0.2">
      <c r="A59" s="114" t="str">
        <f>IF($B59=($B$13),"For z = hr:","")</f>
        <v/>
      </c>
      <c r="B59" s="171" t="str">
        <f>IF($AB$54="N",IF($B$13&gt;=20,20,IF($B58=$B$13,"",IF($B58="","",$B$13))),IF(OR($AB59="",$AB59&gt;($B$13)),"",$AB59))</f>
        <v/>
      </c>
      <c r="C59" s="160" t="str">
        <f t="shared" si="0"/>
        <v/>
      </c>
      <c r="D59" s="160" t="str">
        <f t="shared" si="1"/>
        <v/>
      </c>
      <c r="E59" s="166" t="str">
        <f t="shared" si="2"/>
        <v/>
      </c>
      <c r="F59" s="160" t="str">
        <f t="shared" si="3"/>
        <v/>
      </c>
      <c r="G59" s="160" t="str">
        <f t="shared" si="4"/>
        <v/>
      </c>
      <c r="K59" s="13"/>
      <c r="L59" s="13"/>
      <c r="M59" s="13"/>
      <c r="N59" s="13"/>
      <c r="O59" s="13"/>
      <c r="P59" s="13"/>
      <c r="Q59" s="13"/>
      <c r="AB59" s="185"/>
      <c r="AC59" s="66" t="s">
        <v>357</v>
      </c>
      <c r="AD59" s="53"/>
      <c r="AE59" s="584"/>
    </row>
    <row r="60" spans="1:31" x14ac:dyDescent="0.2">
      <c r="A60" s="114" t="str">
        <f>IF($B60=($B$13),"For z = hr:","")</f>
        <v/>
      </c>
      <c r="B60" s="171" t="str">
        <f>IF($AB$54="N",IF($B$13&gt;=25,25,IF($B59=$B$13,"",IF($B59="","",$B$13))),IF(OR($AB60="",$AB60&gt;$B$13),"",$AB60))</f>
        <v/>
      </c>
      <c r="C60" s="160" t="str">
        <f t="shared" si="0"/>
        <v/>
      </c>
      <c r="D60" s="160" t="str">
        <f t="shared" si="1"/>
        <v/>
      </c>
      <c r="E60" s="166" t="str">
        <f t="shared" si="2"/>
        <v/>
      </c>
      <c r="F60" s="160" t="str">
        <f t="shared" si="3"/>
        <v/>
      </c>
      <c r="G60" s="160" t="str">
        <f t="shared" si="4"/>
        <v/>
      </c>
      <c r="AB60" s="185"/>
      <c r="AC60" s="66" t="s">
        <v>357</v>
      </c>
      <c r="AD60" s="53"/>
      <c r="AE60" s="584"/>
    </row>
    <row r="61" spans="1:31" x14ac:dyDescent="0.2">
      <c r="A61" s="114" t="str">
        <f>IF($B61=$B$13,"For z = hr:","")</f>
        <v/>
      </c>
      <c r="B61" s="171" t="str">
        <f>IF($AB$54="N",IF($B$13&gt;=30,30,IF($B60=$B$13,"",IF($B60="","",$B$13))),IF(OR($AB61="",$AB61&gt;$B$13),"",$AB61))</f>
        <v/>
      </c>
      <c r="C61" s="160" t="str">
        <f t="shared" si="0"/>
        <v/>
      </c>
      <c r="D61" s="160" t="str">
        <f t="shared" si="1"/>
        <v/>
      </c>
      <c r="E61" s="166" t="str">
        <f t="shared" si="2"/>
        <v/>
      </c>
      <c r="F61" s="160" t="str">
        <f t="shared" si="3"/>
        <v/>
      </c>
      <c r="G61" s="160" t="str">
        <f t="shared" si="4"/>
        <v/>
      </c>
      <c r="AB61" s="185"/>
      <c r="AC61" s="66" t="s">
        <v>357</v>
      </c>
      <c r="AD61" s="53"/>
      <c r="AE61" s="584"/>
    </row>
    <row r="62" spans="1:31" x14ac:dyDescent="0.2">
      <c r="A62" s="114" t="str">
        <f>IF($B62=$B$13,"For z = hr:","")</f>
        <v/>
      </c>
      <c r="B62" s="171" t="str">
        <f>IF($AB$49="N",IF($B$13&gt;=35,35,IF($B61=$B$13,"",IF($B61="","",$B$13))),IF(OR($AB62="",$AB62&gt;$B$13),"",$AB62))</f>
        <v/>
      </c>
      <c r="C62" s="160" t="str">
        <f t="shared" si="0"/>
        <v/>
      </c>
      <c r="D62" s="160" t="str">
        <f t="shared" si="1"/>
        <v/>
      </c>
      <c r="E62" s="166" t="str">
        <f t="shared" si="2"/>
        <v/>
      </c>
      <c r="F62" s="160" t="str">
        <f t="shared" si="3"/>
        <v/>
      </c>
      <c r="G62" s="160" t="str">
        <f t="shared" si="4"/>
        <v/>
      </c>
      <c r="AB62" s="185"/>
      <c r="AC62" s="66" t="s">
        <v>357</v>
      </c>
      <c r="AD62" s="53"/>
      <c r="AE62" s="584"/>
    </row>
    <row r="63" spans="1:31" x14ac:dyDescent="0.2">
      <c r="A63" s="114" t="str">
        <f>IF($B63=($B$13),"For z = hr:","")</f>
        <v/>
      </c>
      <c r="B63" s="171" t="str">
        <f>IF($AB$54="N",IF($B$13&gt;=40,40,IF($B62=$B$13,"",IF($B62="","",$B$13))),IF(OR($AB63="",$AB63&gt;$B$13),"",$AB63))</f>
        <v/>
      </c>
      <c r="C63" s="160" t="str">
        <f t="shared" si="0"/>
        <v/>
      </c>
      <c r="D63" s="160" t="str">
        <f t="shared" si="1"/>
        <v/>
      </c>
      <c r="E63" s="166" t="str">
        <f t="shared" si="2"/>
        <v/>
      </c>
      <c r="F63" s="160" t="str">
        <f t="shared" si="3"/>
        <v/>
      </c>
      <c r="G63" s="160" t="str">
        <f t="shared" si="4"/>
        <v/>
      </c>
      <c r="AB63" s="185"/>
      <c r="AC63" s="66" t="s">
        <v>357</v>
      </c>
      <c r="AD63" s="53"/>
      <c r="AE63" s="584"/>
    </row>
    <row r="64" spans="1:31" x14ac:dyDescent="0.2">
      <c r="A64" s="114" t="str">
        <f>IF($B64=($B$13),"For z = hr:","")</f>
        <v/>
      </c>
      <c r="B64" s="171" t="str">
        <f>IF($AB$44="N",IF($B$13&gt;=45,45,IF($B63=$B$13,"",IF($B63="","",$B$13))),IF(OR($AB64="",$AB64&gt;$B$13),"",$AB64))</f>
        <v/>
      </c>
      <c r="C64" s="160" t="str">
        <f t="shared" si="0"/>
        <v/>
      </c>
      <c r="D64" s="160" t="str">
        <f t="shared" si="1"/>
        <v/>
      </c>
      <c r="E64" s="166" t="str">
        <f t="shared" si="2"/>
        <v/>
      </c>
      <c r="F64" s="160" t="str">
        <f t="shared" si="3"/>
        <v/>
      </c>
      <c r="G64" s="160" t="str">
        <f t="shared" si="4"/>
        <v/>
      </c>
      <c r="AB64" s="185"/>
      <c r="AC64" s="66" t="s">
        <v>357</v>
      </c>
      <c r="AD64" s="53"/>
      <c r="AE64" s="584"/>
    </row>
    <row r="65" spans="1:31" x14ac:dyDescent="0.2">
      <c r="A65" s="114" t="str">
        <f>IF($B65=($B$13),"For z = hr:","")</f>
        <v/>
      </c>
      <c r="B65" s="171" t="str">
        <f>IF($AB$54="N",IF($B$13&gt;=50,50,IF($B64=$B$13,"",IF($B64="","",$B$13))),IF(OR($AB65="",$AB65&gt;$B$13),"",$AB65))</f>
        <v/>
      </c>
      <c r="C65" s="160" t="str">
        <f t="shared" si="0"/>
        <v/>
      </c>
      <c r="D65" s="160" t="str">
        <f t="shared" si="1"/>
        <v/>
      </c>
      <c r="E65" s="166" t="str">
        <f t="shared" si="2"/>
        <v/>
      </c>
      <c r="F65" s="160" t="str">
        <f t="shared" si="3"/>
        <v/>
      </c>
      <c r="G65" s="160" t="str">
        <f t="shared" si="4"/>
        <v/>
      </c>
      <c r="AB65" s="185"/>
      <c r="AC65" s="66" t="s">
        <v>357</v>
      </c>
      <c r="AD65" s="53"/>
      <c r="AE65" s="584"/>
    </row>
    <row r="66" spans="1:31" x14ac:dyDescent="0.2">
      <c r="A66" s="114" t="str">
        <f>IF($B66=$B$13,"For z = hr:","")</f>
        <v/>
      </c>
      <c r="B66" s="171" t="str">
        <f>IF($AB$54="N",IF($B$13&gt;=55,55,IF($B65=$B$13,"",IF($B65="","",$B$13))),IF(OR($AB66="",$AB66&gt;$B$13),"",$AB66))</f>
        <v/>
      </c>
      <c r="C66" s="160" t="str">
        <f t="shared" si="0"/>
        <v/>
      </c>
      <c r="D66" s="160" t="str">
        <f t="shared" si="1"/>
        <v/>
      </c>
      <c r="E66" s="166" t="str">
        <f t="shared" si="2"/>
        <v/>
      </c>
      <c r="F66" s="160" t="str">
        <f t="shared" si="3"/>
        <v/>
      </c>
      <c r="G66" s="160" t="str">
        <f t="shared" si="4"/>
        <v/>
      </c>
      <c r="AB66" s="185"/>
      <c r="AC66" s="66" t="s">
        <v>357</v>
      </c>
      <c r="AD66" s="53"/>
      <c r="AE66" s="584"/>
    </row>
    <row r="67" spans="1:31" x14ac:dyDescent="0.2">
      <c r="A67" s="114" t="str">
        <f>IF($B67=$B$13,"For z = hr:","")</f>
        <v/>
      </c>
      <c r="B67" s="171" t="str">
        <f>IF($AB$54="N",IF($B$13&gt;=60,60,IF($B66=$B$13,"",IF($B66="","",$B$13))),IF(OR($AB67="",$AB67&gt;$B$13),"",$AB67))</f>
        <v/>
      </c>
      <c r="C67" s="160" t="str">
        <f t="shared" si="0"/>
        <v/>
      </c>
      <c r="D67" s="160" t="str">
        <f t="shared" si="1"/>
        <v/>
      </c>
      <c r="E67" s="166" t="str">
        <f t="shared" si="2"/>
        <v/>
      </c>
      <c r="F67" s="160" t="str">
        <f t="shared" si="3"/>
        <v/>
      </c>
      <c r="G67" s="160" t="str">
        <f t="shared" si="4"/>
        <v/>
      </c>
      <c r="AB67" s="185"/>
      <c r="AC67" s="66" t="s">
        <v>357</v>
      </c>
      <c r="AD67" s="53"/>
      <c r="AE67" s="584"/>
    </row>
    <row r="68" spans="1:31" x14ac:dyDescent="0.2">
      <c r="A68" s="114" t="str">
        <f>IF($B68=($B$13),"For z = hr:","")</f>
        <v/>
      </c>
      <c r="B68" s="171" t="str">
        <f>IF($AB$54="N",IF($B$13&gt;=65,65,IF($B67=$B$13,"",IF($B67="","",$B$13))),IF(OR($AB68="",$AB68&gt;$B$13),"",$AB68))</f>
        <v/>
      </c>
      <c r="C68" s="160" t="str">
        <f t="shared" si="0"/>
        <v/>
      </c>
      <c r="D68" s="160" t="str">
        <f t="shared" si="1"/>
        <v/>
      </c>
      <c r="E68" s="166" t="str">
        <f t="shared" si="2"/>
        <v/>
      </c>
      <c r="F68" s="160" t="str">
        <f t="shared" si="3"/>
        <v/>
      </c>
      <c r="G68" s="160" t="str">
        <f t="shared" si="4"/>
        <v/>
      </c>
      <c r="AB68" s="185"/>
      <c r="AC68" s="66" t="s">
        <v>357</v>
      </c>
      <c r="AD68" s="53"/>
      <c r="AE68" s="584"/>
    </row>
    <row r="69" spans="1:31" x14ac:dyDescent="0.2">
      <c r="A69" s="114" t="str">
        <f>IF($B69=($B$13),"For z = hr:","")</f>
        <v/>
      </c>
      <c r="B69" s="171" t="str">
        <f>IF($AB$54="N",IF($B$13&gt;=70,70,IF($B68=$B$13,"",IF($B68="","",$B$13))),IF(OR($AB69="",$AB69&gt;$B$13),"",$AB69))</f>
        <v/>
      </c>
      <c r="C69" s="160" t="str">
        <f t="shared" si="0"/>
        <v/>
      </c>
      <c r="D69" s="160" t="str">
        <f t="shared" si="1"/>
        <v/>
      </c>
      <c r="E69" s="166" t="str">
        <f t="shared" si="2"/>
        <v/>
      </c>
      <c r="F69" s="160" t="str">
        <f t="shared" si="3"/>
        <v/>
      </c>
      <c r="G69" s="160" t="str">
        <f t="shared" si="4"/>
        <v/>
      </c>
      <c r="AB69" s="505"/>
      <c r="AC69" s="66" t="s">
        <v>357</v>
      </c>
    </row>
    <row r="70" spans="1:31" x14ac:dyDescent="0.2">
      <c r="A70" s="114" t="str">
        <f>IF($B70=$B$13,"For z = hr:","")</f>
        <v/>
      </c>
      <c r="B70" s="171" t="str">
        <f>IF($AB$54="N",IF($B$13&gt;=120,120,IF($B69=$B$13,"",IF($B69="","",$B$13))),IF(OR($AB70="",$AB70&gt;$B$13),"",$AB70))</f>
        <v/>
      </c>
      <c r="C70" s="160" t="str">
        <f t="shared" si="0"/>
        <v/>
      </c>
      <c r="D70" s="160" t="str">
        <f t="shared" si="1"/>
        <v/>
      </c>
      <c r="E70" s="166" t="str">
        <f t="shared" si="2"/>
        <v/>
      </c>
      <c r="F70" s="160" t="str">
        <f t="shared" si="3"/>
        <v/>
      </c>
      <c r="G70" s="160" t="str">
        <f t="shared" si="4"/>
        <v/>
      </c>
      <c r="AB70" s="578" t="str">
        <f t="shared" ref="AB70:AB80" si="5">IF(AD70&lt;&gt;"",(3.281) * AD70,"")</f>
        <v/>
      </c>
      <c r="AC70" s="585" t="s">
        <v>311</v>
      </c>
    </row>
    <row r="71" spans="1:31" x14ac:dyDescent="0.2">
      <c r="A71" s="114" t="str">
        <f>IF($B71=$B$13,"For z = hr:","")</f>
        <v/>
      </c>
      <c r="B71" s="171" t="str">
        <f>IF($AB$54="N",IF($B$13&gt;=140,140,IF($B70=$B$13,"",IF($B70="","",$B$13))),IF(OR($AB71="",$AB71&gt;$B$13),"",$AB71))</f>
        <v/>
      </c>
      <c r="C71" s="160" t="str">
        <f t="shared" si="0"/>
        <v/>
      </c>
      <c r="D71" s="160" t="str">
        <f t="shared" si="1"/>
        <v/>
      </c>
      <c r="E71" s="166" t="str">
        <f t="shared" si="2"/>
        <v/>
      </c>
      <c r="F71" s="160" t="str">
        <f t="shared" si="3"/>
        <v/>
      </c>
      <c r="G71" s="160" t="str">
        <f t="shared" si="4"/>
        <v/>
      </c>
      <c r="AB71" s="578" t="str">
        <f t="shared" si="5"/>
        <v/>
      </c>
      <c r="AC71" s="585" t="s">
        <v>311</v>
      </c>
    </row>
    <row r="72" spans="1:31" x14ac:dyDescent="0.2">
      <c r="A72" s="114" t="str">
        <f>IF($B72=($B$13*3.28084),"For z = hr:","")</f>
        <v/>
      </c>
      <c r="B72" s="171" t="str">
        <f>IF($AB$54="N",IF($B$13&gt;=160,160,IF($B71=$B$13,"",IF($B71="","",$B$13))),IF(OR($AB72="",$AB72&gt;$B$13),"",$AB72))</f>
        <v/>
      </c>
      <c r="C72" s="160" t="str">
        <f t="shared" si="0"/>
        <v/>
      </c>
      <c r="D72" s="160" t="str">
        <f t="shared" si="1"/>
        <v/>
      </c>
      <c r="E72" s="166" t="str">
        <f t="shared" si="2"/>
        <v/>
      </c>
      <c r="F72" s="160" t="str">
        <f t="shared" si="3"/>
        <v/>
      </c>
      <c r="G72" s="160" t="str">
        <f t="shared" si="4"/>
        <v/>
      </c>
      <c r="AB72" s="578" t="str">
        <f t="shared" si="5"/>
        <v/>
      </c>
      <c r="AC72" s="585" t="s">
        <v>311</v>
      </c>
    </row>
    <row r="73" spans="1:31" x14ac:dyDescent="0.2">
      <c r="A73" s="114" t="str">
        <f>IF($B73=$B$13,"For z = hr:","")</f>
        <v/>
      </c>
      <c r="B73" s="171" t="str">
        <f>IF($AB$54="N",IF($B$13&gt;=180,180,IF($B72=$B$13,"",IF($B72="","",$B$13))),IF(OR($AB73="",$AB73&gt;$B$13),"",$AB73))</f>
        <v/>
      </c>
      <c r="C73" s="160" t="str">
        <f t="shared" si="0"/>
        <v/>
      </c>
      <c r="D73" s="160" t="str">
        <f t="shared" si="1"/>
        <v/>
      </c>
      <c r="E73" s="166" t="str">
        <f t="shared" si="2"/>
        <v/>
      </c>
      <c r="F73" s="160" t="str">
        <f t="shared" si="3"/>
        <v/>
      </c>
      <c r="G73" s="160" t="str">
        <f t="shared" si="4"/>
        <v/>
      </c>
      <c r="AB73" s="578" t="str">
        <f t="shared" si="5"/>
        <v/>
      </c>
      <c r="AC73" s="585" t="s">
        <v>311</v>
      </c>
    </row>
    <row r="74" spans="1:31" x14ac:dyDescent="0.2">
      <c r="A74" s="114" t="str">
        <f>IF($B74=$B$13,"For z = hr:","")</f>
        <v/>
      </c>
      <c r="B74" s="171" t="str">
        <f>IF($AB$54="N",IF($B$13&gt;=200,200,IF($B73=$B$13,"",IF($B73="","",$B$13))),IF(OR($AB74="",$AB74&gt;$B$13),"",$AB74))</f>
        <v/>
      </c>
      <c r="C74" s="160" t="str">
        <f t="shared" si="0"/>
        <v/>
      </c>
      <c r="D74" s="160" t="str">
        <f t="shared" si="1"/>
        <v/>
      </c>
      <c r="E74" s="166" t="str">
        <f t="shared" si="2"/>
        <v/>
      </c>
      <c r="F74" s="160" t="str">
        <f t="shared" si="3"/>
        <v/>
      </c>
      <c r="G74" s="160" t="str">
        <f t="shared" si="4"/>
        <v/>
      </c>
      <c r="AB74" s="578" t="str">
        <f t="shared" si="5"/>
        <v/>
      </c>
      <c r="AC74" s="585" t="s">
        <v>311</v>
      </c>
    </row>
    <row r="75" spans="1:31" x14ac:dyDescent="0.2">
      <c r="A75" s="114" t="str">
        <f>IF($B75=$B$13,"For z = hr:","")</f>
        <v/>
      </c>
      <c r="B75" s="171" t="str">
        <f>IF($AB$54="N",IF($B$13&gt;=250,250,IF($B74=$B$13,"",IF($B74="","",$B$13))),IF(OR($AB75="",$AB75&gt;$B$13),"",$AB75))</f>
        <v/>
      </c>
      <c r="C75" s="160" t="str">
        <f t="shared" si="0"/>
        <v/>
      </c>
      <c r="D75" s="160" t="str">
        <f t="shared" si="1"/>
        <v/>
      </c>
      <c r="E75" s="166" t="str">
        <f t="shared" si="2"/>
        <v/>
      </c>
      <c r="F75" s="160" t="str">
        <f t="shared" si="3"/>
        <v/>
      </c>
      <c r="G75" s="160" t="str">
        <f t="shared" si="4"/>
        <v/>
      </c>
      <c r="AB75" s="578" t="str">
        <f t="shared" si="5"/>
        <v/>
      </c>
      <c r="AC75" s="585" t="s">
        <v>311</v>
      </c>
    </row>
    <row r="76" spans="1:31" x14ac:dyDescent="0.2">
      <c r="A76" s="114" t="str">
        <f>IF($B76=$B$13,"For z = hr:","")</f>
        <v/>
      </c>
      <c r="B76" s="171" t="str">
        <f>IF($AB$54="N",IF($B$13&gt;=300,300,IF($B75=$B$13,"",IF($B75="","",$B$13))),IF(OR($AB76="",$AB76&gt;$B$13),"",$AB76))</f>
        <v/>
      </c>
      <c r="C76" s="160" t="str">
        <f t="shared" si="0"/>
        <v/>
      </c>
      <c r="D76" s="160" t="str">
        <f t="shared" si="1"/>
        <v/>
      </c>
      <c r="E76" s="166" t="str">
        <f t="shared" si="2"/>
        <v/>
      </c>
      <c r="F76" s="160" t="str">
        <f t="shared" si="3"/>
        <v/>
      </c>
      <c r="G76" s="160" t="str">
        <f t="shared" si="4"/>
        <v/>
      </c>
      <c r="AB76" s="578" t="str">
        <f t="shared" si="5"/>
        <v/>
      </c>
      <c r="AC76" s="585" t="s">
        <v>311</v>
      </c>
    </row>
    <row r="77" spans="1:31" x14ac:dyDescent="0.2">
      <c r="A77" s="114" t="str">
        <f>IF($B77=$B$13,"For z = hr:","")</f>
        <v/>
      </c>
      <c r="B77" s="171" t="str">
        <f>IF($AB$54="N",IF($B$13&gt;=350,350,IF($B76=$B$13,"",IF($B76="","",$B$13))),IF(OR($AB77="",$AB77&gt;$B$13),"",$AB77))</f>
        <v/>
      </c>
      <c r="C77" s="160" t="str">
        <f t="shared" si="0"/>
        <v/>
      </c>
      <c r="D77" s="160" t="str">
        <f t="shared" si="1"/>
        <v/>
      </c>
      <c r="E77" s="166" t="str">
        <f t="shared" si="2"/>
        <v/>
      </c>
      <c r="F77" s="160" t="str">
        <f t="shared" si="3"/>
        <v/>
      </c>
      <c r="G77" s="160" t="str">
        <f t="shared" si="4"/>
        <v/>
      </c>
      <c r="AB77" s="578" t="str">
        <f t="shared" si="5"/>
        <v/>
      </c>
      <c r="AC77" s="585" t="s">
        <v>311</v>
      </c>
    </row>
    <row r="78" spans="1:31" x14ac:dyDescent="0.2">
      <c r="A78" s="114" t="str">
        <f>IF($B78=($B$13*3.28084),"For z = hr:","")</f>
        <v/>
      </c>
      <c r="B78" s="171" t="str">
        <f>IF($AB$54="N",IF(($B$13*3.28084)&gt;=400,400,IF($B77=($B$13*3.28084),"",IF($B77="","",($B$13*3.28084)))),IF(OR($AB78="",$AB78&gt;($B$13*3.28084)),"",$AB78))</f>
        <v/>
      </c>
      <c r="C78" s="160" t="str">
        <f t="shared" si="0"/>
        <v/>
      </c>
      <c r="D78" s="160" t="str">
        <f t="shared" si="1"/>
        <v/>
      </c>
      <c r="E78" s="166" t="str">
        <f t="shared" si="2"/>
        <v/>
      </c>
      <c r="F78" s="160" t="str">
        <f t="shared" si="3"/>
        <v/>
      </c>
      <c r="G78" s="160" t="str">
        <f t="shared" si="4"/>
        <v/>
      </c>
      <c r="AB78" s="578" t="str">
        <f t="shared" si="5"/>
        <v/>
      </c>
      <c r="AC78" s="585" t="s">
        <v>311</v>
      </c>
    </row>
    <row r="79" spans="1:31" x14ac:dyDescent="0.2">
      <c r="A79" s="114" t="str">
        <f>IF($B79=($B$13*3.28084),"For z = hr:","")</f>
        <v/>
      </c>
      <c r="B79" s="171" t="str">
        <f>IF($AB$54="N",IF(($B$13*3.28084)&gt;=450,450,IF($B78=($B$13*3.28084),"",IF($B78="","",($B$13*3.28084)))),IF(OR($AB79="",$AB79&gt;($B$13*3.28084)),"",$AB79))</f>
        <v/>
      </c>
      <c r="C79" s="160" t="str">
        <f t="shared" si="0"/>
        <v/>
      </c>
      <c r="D79" s="160" t="str">
        <f t="shared" si="1"/>
        <v/>
      </c>
      <c r="E79" s="166" t="str">
        <f t="shared" si="2"/>
        <v/>
      </c>
      <c r="F79" s="160" t="str">
        <f t="shared" si="3"/>
        <v/>
      </c>
      <c r="G79" s="160" t="str">
        <f t="shared" si="4"/>
        <v/>
      </c>
      <c r="AB79" s="578" t="str">
        <f t="shared" si="5"/>
        <v/>
      </c>
      <c r="AC79" s="585" t="s">
        <v>311</v>
      </c>
    </row>
    <row r="80" spans="1:31" x14ac:dyDescent="0.2">
      <c r="A80" s="114" t="str">
        <f>IF($B80=($B$13*3.28084),"For z = hr:","")</f>
        <v/>
      </c>
      <c r="B80" s="171" t="str">
        <f>IF($AB$54="N",IF(($B$13*3.28084)&gt;=500,500,IF($B79=($B$13*3.28084),"",IF($B79="","",($B$13*3.28084)))),IF(OR($AB80="",$AB80&gt;($B$13*3.28084)),"",$AB80))</f>
        <v/>
      </c>
      <c r="C80" s="160" t="str">
        <f t="shared" si="0"/>
        <v/>
      </c>
      <c r="D80" s="160" t="str">
        <f t="shared" si="1"/>
        <v/>
      </c>
      <c r="E80" s="166" t="str">
        <f t="shared" si="2"/>
        <v/>
      </c>
      <c r="F80" s="160" t="str">
        <f t="shared" si="3"/>
        <v/>
      </c>
      <c r="G80" s="160" t="str">
        <f t="shared" si="4"/>
        <v/>
      </c>
      <c r="AB80" s="583" t="str">
        <f t="shared" si="5"/>
        <v/>
      </c>
      <c r="AC80" s="585" t="s">
        <v>311</v>
      </c>
    </row>
    <row r="81" spans="1:9" x14ac:dyDescent="0.2">
      <c r="A81" s="114" t="s">
        <v>383</v>
      </c>
      <c r="B81" s="171">
        <f>($B$14)</f>
        <v>18</v>
      </c>
      <c r="C81" s="160">
        <f t="shared" si="0"/>
        <v>1.1327826629938869</v>
      </c>
      <c r="D81" s="160">
        <f t="shared" si="1"/>
        <v>1.826668230117408</v>
      </c>
      <c r="E81" s="166">
        <f t="shared" si="2"/>
        <v>0.8</v>
      </c>
      <c r="F81" s="160">
        <f t="shared" si="3"/>
        <v>0.91333411505870399</v>
      </c>
      <c r="G81" s="160">
        <f t="shared" si="4"/>
        <v>1.570934677900971</v>
      </c>
    </row>
    <row r="82" spans="1:9" x14ac:dyDescent="0.2">
      <c r="A82" s="114" t="s">
        <v>384</v>
      </c>
      <c r="B82" s="161">
        <f>($B$29)</f>
        <v>18.000000576000001</v>
      </c>
      <c r="C82" s="161">
        <f t="shared" si="0"/>
        <v>1.1327826706252646</v>
      </c>
      <c r="D82" s="161">
        <f t="shared" si="1"/>
        <v>1.8266682424233831</v>
      </c>
      <c r="E82" s="167">
        <f t="shared" si="2"/>
        <v>0.8</v>
      </c>
      <c r="F82" s="161">
        <f t="shared" si="3"/>
        <v>0.91333412342676712</v>
      </c>
      <c r="G82" s="161">
        <f t="shared" si="4"/>
        <v>1.5709346862690341</v>
      </c>
      <c r="H82" s="600">
        <f>MAX(F82,G82)/B44</f>
        <v>0.86000000458105264</v>
      </c>
    </row>
    <row r="83" spans="1:9" x14ac:dyDescent="0.2">
      <c r="A83" s="115" t="s">
        <v>280</v>
      </c>
      <c r="B83" s="141" t="s">
        <v>275</v>
      </c>
      <c r="C83" s="116" t="s">
        <v>281</v>
      </c>
      <c r="D83" s="117" t="s">
        <v>281</v>
      </c>
      <c r="E83" s="95">
        <f>$B$31</f>
        <v>-0.23333333333333334</v>
      </c>
      <c r="F83" s="95">
        <f>$L$37*$B$149*$E83-$L$37*$L$29</f>
        <v>-0.69108948039441942</v>
      </c>
      <c r="G83" s="71">
        <f>$L$37*$B$149*$E83-$L$37*$L$30</f>
        <v>-3.3488917552152497E-2</v>
      </c>
      <c r="H83" s="600">
        <f>-MAX(ABS(F83),ABS(G83))/B44</f>
        <v>-0.37833333333333335</v>
      </c>
    </row>
    <row r="84" spans="1:9" x14ac:dyDescent="0.2">
      <c r="A84" s="67" t="s">
        <v>274</v>
      </c>
      <c r="B84" s="142" t="s">
        <v>275</v>
      </c>
      <c r="C84" s="144" t="s">
        <v>281</v>
      </c>
      <c r="D84" s="143" t="s">
        <v>281</v>
      </c>
      <c r="E84" s="139">
        <f>$B$32</f>
        <v>-0.7</v>
      </c>
      <c r="F84" s="139">
        <f>$L$37*$B$149*$E84-$L$37*$L$29</f>
        <v>-1.4156678783409913</v>
      </c>
      <c r="G84" s="70">
        <f>$L$37*$B$149*$E84-$L$37*$L$30</f>
        <v>-0.7580673154987243</v>
      </c>
      <c r="H84" s="600">
        <f>-MAX(ABS(F84),ABS(G84))/B44</f>
        <v>-0.77500000000000002</v>
      </c>
    </row>
    <row r="85" spans="1:9" x14ac:dyDescent="0.2">
      <c r="A85" s="493" t="str">
        <f>IF($B$9="Normal",IF($B$28&lt;10,"Roof (zone #1) cond. 1","Roof (windward) cond. 1"),"Roof (zone #1) cond. 1")</f>
        <v>Roof (zone #1) cond. 1</v>
      </c>
      <c r="B85" s="170" t="s">
        <v>281</v>
      </c>
      <c r="C85" s="170" t="s">
        <v>281</v>
      </c>
      <c r="D85" s="170" t="s">
        <v>281</v>
      </c>
      <c r="E85" s="158">
        <f>IF($B$9="Normal",IF($B$28&lt;10,$L$23,$L$20),$P$23)</f>
        <v>-0.9</v>
      </c>
      <c r="F85" s="711">
        <f>$L$37*$B$149*$E85-$L$37*$L$29</f>
        <v>-1.7262014774609507</v>
      </c>
      <c r="G85" s="711">
        <f>$L$37*$B$149*$E85-$L$37*$L$30</f>
        <v>-1.0686009146186837</v>
      </c>
      <c r="H85" s="600">
        <f>-MAX(ABS(F85),ABS(G85))/B44</f>
        <v>-0.94500000000000006</v>
      </c>
      <c r="I85" t="str">
        <f>"(zone #1 for 0 to " &amp;ROUND(B29/2,1)&amp;"m)"</f>
        <v>(zone #1 for 0 to 9m)</v>
      </c>
    </row>
    <row r="86" spans="1:9" x14ac:dyDescent="0.2">
      <c r="A86" s="494" t="str">
        <f>IF($B$9="Normal",IF($B$28&lt;10,"Roof (zone #1) cond. 2",""),"Roof (zone #1) cond. 2")</f>
        <v>Roof (zone #1) cond. 2</v>
      </c>
      <c r="B86" s="160" t="str">
        <f>IF($B$9="Normal",IF($B$28&lt;10,"-",""),"-")</f>
        <v>-</v>
      </c>
      <c r="C86" s="160" t="str">
        <f>IF($B$9="Normal",IF($B$28&lt;10,"-",""),"-")</f>
        <v>-</v>
      </c>
      <c r="D86" s="160" t="str">
        <f>IF($B$9="Normal",IF($B$28&lt;10,"-",""),"-")</f>
        <v>-</v>
      </c>
      <c r="E86" s="160">
        <f>IF($B$9="Normal",IF($B$28&lt;10,$M$23,""),$Q$23)</f>
        <v>-0.18</v>
      </c>
      <c r="F86" s="160">
        <f>IF($E86="","",$L$37*$B$149*$E86-$L$37*$L$29)</f>
        <v>-0.60828052062909688</v>
      </c>
      <c r="G86" s="160">
        <f>IF($E86="","",$L$37*$B$149*$E86-$L$37*$L$30)</f>
        <v>4.932004221316999E-2</v>
      </c>
      <c r="H86" s="600"/>
    </row>
    <row r="87" spans="1:9" x14ac:dyDescent="0.2">
      <c r="A87" s="494" t="str">
        <f>IF($B$9="Normal",IF($B$28&lt;10,IF($L$5&gt;($B$29*3.28084)/2,"Roof (zone #2) cond. 1",""),"Roof (windward) cond. 2"),IF($L$5&gt;($B$29*3.28084)/2,"Roof (zone #2) cond. 1",""))</f>
        <v>Roof (zone #2) cond. 1</v>
      </c>
      <c r="B87" s="171" t="str">
        <f t="shared" ref="B87:D88" si="6">IF($L$5&gt;($B$29*3.28084)/2,"-","")</f>
        <v>-</v>
      </c>
      <c r="C87" s="171" t="str">
        <f t="shared" si="6"/>
        <v>-</v>
      </c>
      <c r="D87" s="171" t="str">
        <f t="shared" si="6"/>
        <v>-</v>
      </c>
      <c r="E87" s="162">
        <f>IF($B$34="N.A.","",IF($B$9="Normal",IF($B$28&lt;10,$L$24,$M$20),$P$24))</f>
        <v>-0.9</v>
      </c>
      <c r="F87" s="160">
        <f>IF($B$34="N.A.","",IF($B$9="Normal",IF($L$5&gt;($B$29*3.28084)/2,$L$37*$B$149*$E87-$L$37*$L$29,""),$L$37*$B$149*$E87-$L$37*$L$29))</f>
        <v>-1.7262014774609507</v>
      </c>
      <c r="G87" s="160">
        <f>IF($B$34="N.A.","",IF($B$9="Normal",IF($L$5&gt;($B$29*3.28084)/2,$L$37*$B$149*$E87-$L$37*$L$30,""),$L$37*$B$149*$E87-$L$37*$L$30))</f>
        <v>-1.0686009146186837</v>
      </c>
      <c r="H87" s="600">
        <f>-MAX(ABS(F87),ABS(G87))/B44</f>
        <v>-0.94500000000000006</v>
      </c>
      <c r="I87" t="str">
        <f>"(zone #2 for "&amp; ROUND(B29/2,1) &amp; "m to " &amp; ROUND(B29,1) &amp; "m)"</f>
        <v>(zone #2 for 9m to 18m)</v>
      </c>
    </row>
    <row r="88" spans="1:9" x14ac:dyDescent="0.2">
      <c r="A88" s="494" t="str">
        <f>IF($B$9="Normal",IF($B$28&lt;10,IF($L$5&gt;($B$29*3.28084)/2,"Roof (zone #2) cond. 2",""),""),IF($L$5&gt;($B$29*3.28084)/2,"Roof (zone #2) cond. 2",""))</f>
        <v>Roof (zone #2) cond. 2</v>
      </c>
      <c r="B88" s="171" t="str">
        <f t="shared" si="6"/>
        <v>-</v>
      </c>
      <c r="C88" s="171" t="str">
        <f t="shared" si="6"/>
        <v>-</v>
      </c>
      <c r="D88" s="171" t="str">
        <f t="shared" si="6"/>
        <v>-</v>
      </c>
      <c r="E88" s="160">
        <f>IF($B$34="N.A.","",IF($B$9="Normal",IF($B$28&lt;10,$M$24,""),$Q$24))</f>
        <v>-0.18</v>
      </c>
      <c r="F88" s="160">
        <f>IF($E88="","",IF($B$34="N.A.","",IF($B$9="Normal",IF($L$5&gt;($B$29*3.28084)/2,$L$37*$B$149*$E88-$L$37*$L$29,""),$L$37*$B$149*$E88-$L$37*$L$29)))</f>
        <v>-0.60828052062909688</v>
      </c>
      <c r="G88" s="160">
        <f>IF($E88="","",IF($B$34="N.A.","",IF($B$9="Normal",IF($L$5&gt;($B$29*3.28084)/2,$L$37*$B$149*$E88-$L$37*$L$30,""),$L$37*$B$149*$E88-$L$37*$L$30)))</f>
        <v>4.932004221316999E-2</v>
      </c>
      <c r="H88" s="600"/>
    </row>
    <row r="89" spans="1:9" x14ac:dyDescent="0.2">
      <c r="A89" s="494" t="str">
        <f>IF($B$9="Normal",IF($B$28&lt;10,IF($L$5&gt;($B$29*3.28084),"Roof (zone #3) cond. 1",""),"Roof (leeward)"),IF($L$5&gt;($B$29*3.28084),"Roof (zone #3) cond. 1",""))</f>
        <v>Roof (zone #3) cond. 1</v>
      </c>
      <c r="B89" s="171" t="str">
        <f t="shared" ref="B89:D90" si="7">IF($B$28&lt;10,IF($L$5&gt;($B$29*3.28084),"-",""),"-")</f>
        <v>-</v>
      </c>
      <c r="C89" s="171" t="str">
        <f t="shared" si="7"/>
        <v>-</v>
      </c>
      <c r="D89" s="171" t="str">
        <f t="shared" si="7"/>
        <v>-</v>
      </c>
      <c r="E89" s="162">
        <f>IF($B$35="N.A.","",IF($B$9="Normal",IF($B$28&lt;10,$L$25,$P$20),$P$25))</f>
        <v>-0.5</v>
      </c>
      <c r="F89" s="160">
        <f>IF($B$35="N.A.","",IF($B$9="Normal",IF($B$28&lt;10,IF($L$5&gt;($B$29*3.28084),$L$37*$B$149*$E89-$L$37*$L$29,""),$L$37*$B$149*$E89-$L$37*$L$29),$L$37*$B$149*$E89-$L$37*$L$29))</f>
        <v>-1.1051342792210319</v>
      </c>
      <c r="G89" s="160">
        <f>IF($B$35="N.A.","",IF($B$9="Normal",IF($B$28&lt;10,IF($L$5&gt;($B$29*3.28084),$L$37*$B$149*$E89-$L$37*$L$30,""),$L$37*$B$149*$E89-$L$37*$L$30),$L$37*$B$149*$E89-$L$37*$L$30))</f>
        <v>-0.44753371637876499</v>
      </c>
      <c r="H89" s="600">
        <f>-MAX(ABS(F89),ABS(G89))/B44</f>
        <v>-0.60500000000000009</v>
      </c>
      <c r="I89" t="str">
        <f>"(zone #3 for "&amp; ROUND(B29,1) &amp; "m to " &amp; ROUND(2*B29,1) &amp; "m)"</f>
        <v>(zone #3 for 18m to 36m)</v>
      </c>
    </row>
    <row r="90" spans="1:9" x14ac:dyDescent="0.2">
      <c r="A90" s="494" t="str">
        <f>IF($B$9="Normal",IF($B$28&lt;10,IF($L$5&gt;($B$29*3.28084),"Roof (zone #3) cond. 2",""),""),IF($L$5&gt;($B$29*3.28084),"Roof (zone #3) cond. 2",""))</f>
        <v>Roof (zone #3) cond. 2</v>
      </c>
      <c r="B90" s="171" t="str">
        <f t="shared" si="7"/>
        <v>-</v>
      </c>
      <c r="C90" s="171" t="str">
        <f t="shared" si="7"/>
        <v>-</v>
      </c>
      <c r="D90" s="171" t="str">
        <f t="shared" si="7"/>
        <v>-</v>
      </c>
      <c r="E90" s="160">
        <f>IF($B$35="N.A.","",IF($B$9="Normal",IF($B$28&lt;10,$M$25,""),$Q$25))</f>
        <v>-0.18</v>
      </c>
      <c r="F90" s="160">
        <f>IF($E90="","",IF($B$35="N.A.","",IF($B$9="Normal",IF($B$28&lt;10,IF($L$5&gt;($B$29*3.28084),$L$37*$B$149*$E90-$L$37*$L$29,""),$L$37*$B$149*$E90-$L$37*$L$29),$L$37*$B$149*$E90-$L$37*$L$29)))</f>
        <v>-0.60828052062909688</v>
      </c>
      <c r="G90" s="160">
        <f>IF($E90="","",IF($B$35="N.A.","",IF($B$9="Normal",IF($B$28&lt;10,IF($L$5&gt;($B$29*3.28084),$L$37*$B$149*$E90-$L$37*$L$30,""),$L$37*$B$149*$E90-$L$37*$L$30),$L$37*$B$149*$E90-$L$37*$L$30)))</f>
        <v>4.932004221316999E-2</v>
      </c>
    </row>
    <row r="91" spans="1:9" x14ac:dyDescent="0.2">
      <c r="A91" s="494" t="str">
        <f>IF($B$9="Normal",IF($B$28&lt;10,IF($L$5&gt;=2*($B$29*3.28084),"Roof (zone #4) cond. 1",""),""),IF($L$5&gt;2*($B$29*3.28084),"Roof (zone #4) cond. 1",""))</f>
        <v>Roof (zone #4) cond. 1</v>
      </c>
      <c r="B91" s="171" t="str">
        <f t="shared" ref="B91:D92" si="8">IF($A91="","",IF($B$28&lt;10,IF($L$5&gt;=2*($B$29*3.28084),"-",""),IF($L$5&gt;2*($B$29*3.28084),"-","")))</f>
        <v>-</v>
      </c>
      <c r="C91" s="171" t="str">
        <f t="shared" si="8"/>
        <v>-</v>
      </c>
      <c r="D91" s="171" t="str">
        <f t="shared" si="8"/>
        <v>-</v>
      </c>
      <c r="E91" s="162">
        <f>IF($B$36="N.A.","",IF($B$9="Normal",IF($B$28&lt;10,$L$26,""),$P$26))</f>
        <v>-0.3</v>
      </c>
      <c r="F91" s="160">
        <f>IF($B$36="N.A.","",IF($B$9="Normal",IF($B$28&lt;10,IF($L$5&gt;=2*($B$29*3.28084),$L$37*$B$149*$E91-$L$37*$L$29,""),""),$L$37*$B$149*$E91-$L$37*$L$29))</f>
        <v>-0.79460068010107254</v>
      </c>
      <c r="G91" s="160">
        <f>IF($B$36="N.A.","",IF($B$9="Normal",IF($B$28&lt;10,IF($L$5&gt;=2*($B$29*3.28084),$L$37*$B$149*$E91-$L$37*$L$30,""),""),$L$37*$B$149*$E91-$L$37*$L$30))</f>
        <v>-0.13700011725880562</v>
      </c>
      <c r="I91" t="str">
        <f>"(zone #4 for &gt; " &amp; ROUND(2*B29,1) &amp;"m"</f>
        <v>(zone #4 for &gt; 36m</v>
      </c>
    </row>
    <row r="92" spans="1:9" x14ac:dyDescent="0.2">
      <c r="A92" s="495" t="str">
        <f>IF($B$9="Normal",IF($B$28&lt;10,IF($L$5&gt;=2*($B$29*3.28084),"Roof (zone #4) cond. 2",""),""),IF($L$5&gt;2*($B$29*3.28084),"Roof (zone #4) cond. 2",""))</f>
        <v>Roof (zone #4) cond. 2</v>
      </c>
      <c r="B92" s="172" t="str">
        <f t="shared" si="8"/>
        <v>-</v>
      </c>
      <c r="C92" s="172" t="str">
        <f t="shared" si="8"/>
        <v>-</v>
      </c>
      <c r="D92" s="172" t="str">
        <f t="shared" si="8"/>
        <v>-</v>
      </c>
      <c r="E92" s="161">
        <f>IF($B$36="N.A.","",IF($B$9="Normal",IF($B$28&lt;10,$M$26,""),$Q$26))</f>
        <v>-0.18</v>
      </c>
      <c r="F92" s="161">
        <f>IF($E92="","",IF($B$36="N.A.","",IF($B$9="Normal",IF($B$28&lt;10,IF($L$5&gt;=2*($B$29*3.28084),$L$37*$B$149*$E92-$L$37*$L$29,""),""),$L$37*$B$149*$E92-$L$37*$L$29)))</f>
        <v>-0.60828052062909688</v>
      </c>
      <c r="G92" s="161">
        <f>IF($E92="","",IF($B$36="N.A.","",IF($B$9="Normal",IF($B$28&lt;10,IF($L$5&gt;=2*($B$29*3.28084),$L$37*$B$149*$E92-$L$37*$L$30,""),""),$L$37*$B$149*$E92-$L$37*$L$30)))</f>
        <v>4.932004221316999E-2</v>
      </c>
    </row>
    <row r="93" spans="1:9" x14ac:dyDescent="0.2">
      <c r="A93" s="52"/>
      <c r="G93" s="57"/>
    </row>
    <row r="94" spans="1:9" x14ac:dyDescent="0.2">
      <c r="A94" s="52" t="s">
        <v>360</v>
      </c>
      <c r="G94" s="57"/>
    </row>
    <row r="95" spans="1:9" x14ac:dyDescent="0.2">
      <c r="A95" s="628" t="s">
        <v>458</v>
      </c>
      <c r="G95" s="57"/>
    </row>
    <row r="96" spans="1:9" x14ac:dyDescent="0.2">
      <c r="A96" s="52" t="s">
        <v>264</v>
      </c>
      <c r="B96" s="458" t="s">
        <v>459</v>
      </c>
      <c r="G96" s="57"/>
    </row>
    <row r="97" spans="1:7" x14ac:dyDescent="0.2">
      <c r="A97" s="52" t="str">
        <f>IF($B$9="Normal",IF($B$28&lt;10,"            4. Roof zone #1 is applied for horizontal distance of 0 to h/2 from windward edge.",""),"            4. Roof zone #1 is applied for horizontal distance of 0 to h/2 from windward edge.")</f>
        <v xml:space="preserve">            4. Roof zone #1 is applied for horizontal distance of 0 to h/2 from windward edge.</v>
      </c>
      <c r="G97" s="57"/>
    </row>
    <row r="98" spans="1:7" x14ac:dyDescent="0.2">
      <c r="A98" s="52" t="str">
        <f>IF($B$9="Normal",IF($B$28&lt;10,IF($L$5&gt;($B$29*3.28084)/2,"            5. Roof zone #2 is applied for horizontal distance of h/2 to h from windward edge.",""),""),IF($L$5&gt;($B$29*3.28084)/2,"            5. Roof zone #2 is applied for horizontal distance of h/2 to h from windward edge.",""))</f>
        <v xml:space="preserve">            5. Roof zone #2 is applied for horizontal distance of h/2 to h from windward edge.</v>
      </c>
      <c r="G98" s="57"/>
    </row>
    <row r="99" spans="1:7" x14ac:dyDescent="0.2">
      <c r="A99" s="52" t="str">
        <f>IF($B$9="Normal",IF($B$28&lt;10,IF($L$5&gt;($B$29*3.28084),"            6. Roof zone #3 is applied for horizontal distance of h to 2*h from windward edge.",""),""),IF($L$5&gt;($B$29*3.28084),"            6. Roof zone #3 is applied for horizontal distance of h to 2*h from windward edge.",""))</f>
        <v xml:space="preserve">            6. Roof zone #3 is applied for horizontal distance of h to 2*h from windward edge.</v>
      </c>
      <c r="G99" s="57"/>
    </row>
    <row r="100" spans="1:7" x14ac:dyDescent="0.2">
      <c r="A100" s="52" t="str">
        <f>IF($B$9="Normal",IF($B$28&lt;10,IF($L$5&gt;2*($B$29*3.28084),"            7. Roof zone #4 is applied for horizontal distance of &gt;  2*h from windward edge.",""),""),IF($L$5&gt;2*($B$29*3.28084),"            7. Roof zone #4 is applied for horizontal distance of &gt; 2*h from windward edge.",""))</f>
        <v xml:space="preserve">            7. Roof zone #4 is applied for horizontal distance of &gt; 2*h from windward edge.</v>
      </c>
      <c r="G100" s="57"/>
    </row>
    <row r="101" spans="1:7" x14ac:dyDescent="0.2">
      <c r="A101" s="73"/>
      <c r="B101" s="61"/>
      <c r="C101" s="61"/>
      <c r="D101" s="61"/>
      <c r="E101" s="61"/>
      <c r="F101" s="61"/>
      <c r="G101" s="74"/>
    </row>
    <row r="102" spans="1:7" x14ac:dyDescent="0.2">
      <c r="A102" s="97"/>
      <c r="B102" s="98"/>
      <c r="C102" s="98"/>
      <c r="D102" s="98"/>
      <c r="E102" s="98"/>
      <c r="F102" s="182"/>
      <c r="G102" s="180"/>
    </row>
    <row r="103" spans="1:7" x14ac:dyDescent="0.2">
      <c r="A103" s="54" t="s">
        <v>366</v>
      </c>
      <c r="F103" s="44"/>
      <c r="G103" s="181"/>
    </row>
    <row r="104" spans="1:7" x14ac:dyDescent="0.2">
      <c r="A104" s="52"/>
      <c r="F104" s="44"/>
      <c r="G104" s="183"/>
    </row>
    <row r="105" spans="1:7" x14ac:dyDescent="0.2">
      <c r="A105" s="56" t="s">
        <v>60</v>
      </c>
      <c r="B105" s="55" t="str">
        <f>IF($B$136&lt;1,"Yes","No")</f>
        <v>No</v>
      </c>
      <c r="C105" s="118" t="str">
        <f>IF($B$136&gt;=1,"f &gt;=1 Hz.","f &lt; 1 Hz.")</f>
        <v>f &gt;=1 Hz.</v>
      </c>
      <c r="G105" s="57"/>
    </row>
    <row r="106" spans="1:7" x14ac:dyDescent="0.2">
      <c r="A106" s="52"/>
      <c r="E106" s="69"/>
      <c r="F106" s="119"/>
      <c r="G106" s="57"/>
    </row>
    <row r="107" spans="1:7" x14ac:dyDescent="0.2">
      <c r="A107" s="120" t="s">
        <v>0</v>
      </c>
      <c r="C107" s="77"/>
      <c r="E107" s="69"/>
      <c r="F107" s="119"/>
      <c r="G107" s="57"/>
    </row>
    <row r="108" spans="1:7" x14ac:dyDescent="0.2">
      <c r="A108" s="56" t="s">
        <v>344</v>
      </c>
      <c r="B108" s="109">
        <f>IF($B$105="No",0.85,"N.A.")</f>
        <v>0.85</v>
      </c>
      <c r="G108" s="57"/>
    </row>
    <row r="109" spans="1:7" x14ac:dyDescent="0.2">
      <c r="A109" s="52"/>
      <c r="G109" s="57"/>
    </row>
    <row r="110" spans="1:7" x14ac:dyDescent="0.2">
      <c r="A110" s="52" t="s">
        <v>464</v>
      </c>
      <c r="F110" s="69"/>
      <c r="G110" s="57"/>
    </row>
    <row r="111" spans="1:7" x14ac:dyDescent="0.2">
      <c r="A111" s="121" t="s">
        <v>340</v>
      </c>
      <c r="B111" s="173">
        <f>IF($B$12="B",1/7,IF($B$12="C",1/9.5,IF($B$12="D",1/11.5,"Error!")))</f>
        <v>0.10526315789473684</v>
      </c>
      <c r="C111" s="258"/>
      <c r="G111" s="122"/>
    </row>
    <row r="112" spans="1:7" x14ac:dyDescent="0.2">
      <c r="A112" s="123" t="s">
        <v>341</v>
      </c>
      <c r="B112" s="160">
        <f>IF($B$12="B",0.84,IF($B$12="C",1,IF($B$12="D",1.07,"Error!")))</f>
        <v>1</v>
      </c>
      <c r="C112" s="258"/>
      <c r="G112" s="57"/>
    </row>
    <row r="113" spans="1:7" x14ac:dyDescent="0.2">
      <c r="A113" s="121" t="s">
        <v>339</v>
      </c>
      <c r="B113" s="168">
        <f>IF($B$12="B",1/4,IF($B$12="C",1/6.5,IF($B$12="D",1/9,"Error!")))</f>
        <v>0.15384615384615385</v>
      </c>
      <c r="C113" s="258"/>
      <c r="G113" s="57"/>
    </row>
    <row r="114" spans="1:7" x14ac:dyDescent="0.2">
      <c r="A114" s="123" t="s">
        <v>322</v>
      </c>
      <c r="B114" s="160">
        <f>IF($B$12="B",0.45,IF($B$12="C",0.65,IF($B$12="D",0.8,"Error!")))</f>
        <v>0.65</v>
      </c>
      <c r="C114" s="258"/>
      <c r="G114" s="57"/>
    </row>
    <row r="115" spans="1:7" x14ac:dyDescent="0.2">
      <c r="A115" s="56" t="s">
        <v>324</v>
      </c>
      <c r="B115" s="160">
        <f>IF($B$12="B",0.3,IF($B$12="C",0.2,IF($B$12="D",0.15,"Error!")))</f>
        <v>0.2</v>
      </c>
      <c r="C115" s="258"/>
      <c r="G115" s="57"/>
    </row>
    <row r="116" spans="1:7" ht="16.5" x14ac:dyDescent="0.4">
      <c r="A116" s="124" t="s">
        <v>345</v>
      </c>
      <c r="B116" s="164">
        <f>IF($B$12="B",320,IF($B$12="C",500,IF($B$12="D",650,"Error!")))</f>
        <v>500</v>
      </c>
      <c r="C116" s="258" t="s">
        <v>311</v>
      </c>
      <c r="D116" s="125"/>
      <c r="E116" s="126"/>
      <c r="G116" s="57"/>
    </row>
    <row r="117" spans="1:7" x14ac:dyDescent="0.2">
      <c r="A117" s="87" t="s">
        <v>7</v>
      </c>
      <c r="B117" s="168">
        <f>IF($B$12="B",1/3,IF($B$12="C",1/5,IF($B$12="D",1/8,"Error!")))</f>
        <v>0.2</v>
      </c>
      <c r="C117" s="258"/>
      <c r="G117" s="57"/>
    </row>
    <row r="118" spans="1:7" x14ac:dyDescent="0.2">
      <c r="A118" s="56" t="s">
        <v>327</v>
      </c>
      <c r="B118" s="174">
        <f>IF($B$12="B",30,IF($B$12="C",15,IF($B$12="D",7,"Error!")))</f>
        <v>15</v>
      </c>
      <c r="C118" s="258" t="s">
        <v>311</v>
      </c>
      <c r="G118" s="57"/>
    </row>
    <row r="119" spans="1:7" x14ac:dyDescent="0.2">
      <c r="A119" s="52"/>
      <c r="G119" s="57"/>
    </row>
    <row r="120" spans="1:7" ht="15.75" x14ac:dyDescent="0.35">
      <c r="A120" s="52" t="s">
        <v>66</v>
      </c>
      <c r="D120" s="127"/>
      <c r="E120" s="128"/>
      <c r="G120" s="57"/>
    </row>
    <row r="121" spans="1:7" x14ac:dyDescent="0.2">
      <c r="A121" s="56" t="s">
        <v>329</v>
      </c>
      <c r="B121" s="159">
        <f>IF(0.6*($B$29*3.28084)&lt;$B$118,$B$118,0.6*($B$29*3.28084))</f>
        <v>35.433073133858308</v>
      </c>
      <c r="C121" s="129" t="s">
        <v>386</v>
      </c>
      <c r="D121" s="69"/>
      <c r="E121" s="126"/>
      <c r="G121" s="57"/>
    </row>
    <row r="122" spans="1:7" x14ac:dyDescent="0.2">
      <c r="A122" s="56" t="s">
        <v>330</v>
      </c>
      <c r="B122" s="168">
        <f>$B$115*(33/$B$121)^(1/6)</f>
        <v>0.19764273218072567</v>
      </c>
      <c r="C122" s="625" t="s">
        <v>445</v>
      </c>
      <c r="D122" s="69"/>
      <c r="E122" s="128"/>
      <c r="G122" s="57"/>
    </row>
    <row r="123" spans="1:7" ht="16.5" x14ac:dyDescent="0.4">
      <c r="A123" s="56" t="s">
        <v>331</v>
      </c>
      <c r="B123" s="160">
        <f>$B$116*($B$121/33)^$B$117</f>
        <v>507.16465632281569</v>
      </c>
      <c r="C123" s="625" t="s">
        <v>446</v>
      </c>
      <c r="D123" s="69"/>
      <c r="E123" s="128"/>
      <c r="G123" s="57"/>
    </row>
    <row r="124" spans="1:7" x14ac:dyDescent="0.2">
      <c r="A124" s="56" t="s">
        <v>2</v>
      </c>
      <c r="B124" s="171">
        <v>3.4</v>
      </c>
      <c r="C124" s="458" t="s">
        <v>449</v>
      </c>
      <c r="G124" s="57"/>
    </row>
    <row r="125" spans="1:7" x14ac:dyDescent="0.2">
      <c r="A125" s="56" t="s">
        <v>3</v>
      </c>
      <c r="B125" s="171">
        <v>3.4</v>
      </c>
      <c r="C125" s="458" t="s">
        <v>449</v>
      </c>
      <c r="G125" s="57"/>
    </row>
    <row r="126" spans="1:7" x14ac:dyDescent="0.2">
      <c r="A126" s="56" t="s">
        <v>4</v>
      </c>
      <c r="B126" s="175">
        <f>(2*(LN(3600*$B$136)))^(1/2)+0.577/(2*LN(3600*$B$136))^(1/2)</f>
        <v>4.3879702375946055</v>
      </c>
      <c r="C126" s="626" t="s">
        <v>447</v>
      </c>
      <c r="G126" s="57"/>
    </row>
    <row r="127" spans="1:7" x14ac:dyDescent="0.2">
      <c r="A127" s="56" t="s">
        <v>332</v>
      </c>
      <c r="B127" s="169">
        <f>SQRT(1/(1+0.63*(($L$6+($B$29*3.28084))/$B$123)^0.63))</f>
        <v>0.87653798068040223</v>
      </c>
      <c r="C127" s="625" t="s">
        <v>448</v>
      </c>
      <c r="D127" s="69"/>
      <c r="E127" s="128"/>
      <c r="G127" s="57"/>
    </row>
    <row r="128" spans="1:7" x14ac:dyDescent="0.2">
      <c r="A128" s="52"/>
      <c r="G128" s="57"/>
    </row>
    <row r="129" spans="1:20" ht="15.75" x14ac:dyDescent="0.35">
      <c r="A129" s="99" t="s">
        <v>45</v>
      </c>
      <c r="D129" s="104"/>
      <c r="G129" s="57"/>
    </row>
    <row r="130" spans="1:20" x14ac:dyDescent="0.2">
      <c r="A130" s="56" t="s">
        <v>344</v>
      </c>
      <c r="B130" s="109">
        <f>IF($B$105="No",0.925*((1+1.7*3.4*$B$122*$B$127)/(1+1.7*3.4*$B$122)),"N.A.")</f>
        <v>0.86410406461520428</v>
      </c>
      <c r="C130" s="625" t="s">
        <v>444</v>
      </c>
      <c r="D130" s="101"/>
      <c r="E130" s="130"/>
      <c r="F130" s="103"/>
      <c r="G130" s="57"/>
    </row>
    <row r="131" spans="1:20" x14ac:dyDescent="0.2">
      <c r="A131" s="52"/>
      <c r="C131" s="129"/>
      <c r="E131" s="130"/>
      <c r="G131" s="57"/>
    </row>
    <row r="132" spans="1:20" x14ac:dyDescent="0.2">
      <c r="A132" s="99" t="s">
        <v>1</v>
      </c>
      <c r="G132" s="57"/>
    </row>
    <row r="133" spans="1:20" x14ac:dyDescent="0.2">
      <c r="A133" s="131" t="s">
        <v>343</v>
      </c>
      <c r="B133" s="176">
        <f>$B$22</f>
        <v>0.02</v>
      </c>
      <c r="C133" s="101" t="s">
        <v>369</v>
      </c>
      <c r="D133" s="69"/>
      <c r="E133" s="128"/>
      <c r="G133" s="57"/>
    </row>
    <row r="134" spans="1:20" x14ac:dyDescent="0.2">
      <c r="A134" s="102" t="s">
        <v>338</v>
      </c>
      <c r="B134" s="177">
        <f>$B$23</f>
        <v>4.8800000000000003E-2</v>
      </c>
      <c r="C134" s="101" t="s">
        <v>367</v>
      </c>
      <c r="D134" s="88"/>
      <c r="E134" s="128"/>
      <c r="G134" s="57"/>
    </row>
    <row r="135" spans="1:20" x14ac:dyDescent="0.2">
      <c r="A135" s="56" t="s">
        <v>372</v>
      </c>
      <c r="B135" s="177">
        <f>$B$134*($B$29)^(3/4)</f>
        <v>0.42645598250265609</v>
      </c>
      <c r="C135" s="129" t="s">
        <v>219</v>
      </c>
      <c r="D135" s="69"/>
      <c r="E135" s="128"/>
      <c r="G135" s="57"/>
    </row>
    <row r="136" spans="1:20" x14ac:dyDescent="0.2">
      <c r="A136" s="56" t="s">
        <v>368</v>
      </c>
      <c r="B136" s="177">
        <f>1/$B$135</f>
        <v>2.344907894436143</v>
      </c>
      <c r="C136" s="129" t="s">
        <v>76</v>
      </c>
      <c r="D136" s="69"/>
      <c r="E136" s="128"/>
      <c r="G136" s="57"/>
    </row>
    <row r="137" spans="1:20" x14ac:dyDescent="0.2">
      <c r="A137" s="123" t="s">
        <v>9</v>
      </c>
      <c r="B137" s="160" t="str">
        <f>IF($B$105="Yes",($B$10*0.6213712)*5280/3600,"N.A.")</f>
        <v>N.A.</v>
      </c>
      <c r="C137" s="129" t="s">
        <v>8</v>
      </c>
      <c r="D137" s="69"/>
      <c r="E137" s="128"/>
      <c r="G137" s="57"/>
    </row>
    <row r="138" spans="1:20" ht="16.5" x14ac:dyDescent="0.4">
      <c r="A138" s="56" t="s">
        <v>323</v>
      </c>
      <c r="B138" s="160" t="str">
        <f>IF($B$105="Yes",$B$114*($B$121/33)^$B$113*$B$137,"N.A.")</f>
        <v>N.A.</v>
      </c>
      <c r="C138" s="625" t="s">
        <v>450</v>
      </c>
      <c r="D138" s="132"/>
      <c r="E138" s="128"/>
      <c r="G138" s="57"/>
    </row>
    <row r="139" spans="1:20" x14ac:dyDescent="0.2">
      <c r="A139" s="56" t="s">
        <v>325</v>
      </c>
      <c r="B139" s="168" t="str">
        <f>IF($B$105="Yes",$B$136*$B$123/$B$138,"N.A.")</f>
        <v>N.A.</v>
      </c>
      <c r="C139" s="625" t="s">
        <v>451</v>
      </c>
      <c r="D139" s="69"/>
      <c r="E139" s="128"/>
      <c r="G139" s="57"/>
    </row>
    <row r="140" spans="1:20" ht="16.5" x14ac:dyDescent="0.4">
      <c r="A140" s="56" t="s">
        <v>326</v>
      </c>
      <c r="B140" s="168" t="str">
        <f>IF($B$105="Yes",7.47*$B$139/(1+10.3*$B$139)^(5/3),"N.A.")</f>
        <v>N.A.</v>
      </c>
      <c r="C140" s="625" t="s">
        <v>452</v>
      </c>
      <c r="D140" s="132"/>
      <c r="E140" s="128"/>
      <c r="G140" s="57"/>
    </row>
    <row r="141" spans="1:20" x14ac:dyDescent="0.2">
      <c r="A141" s="87" t="s">
        <v>342</v>
      </c>
      <c r="B141" s="168" t="str">
        <f>IF($B$105="Yes",4.6*$B$136*($B$29*3.28084)/$B$138,"N.A.")</f>
        <v>N.A.</v>
      </c>
      <c r="C141" s="129" t="s">
        <v>387</v>
      </c>
      <c r="D141" s="69"/>
      <c r="E141" s="128"/>
      <c r="G141" s="57"/>
    </row>
    <row r="142" spans="1:20" ht="16.5" x14ac:dyDescent="0.4">
      <c r="A142" s="56" t="s">
        <v>328</v>
      </c>
      <c r="B142" s="168" t="str">
        <f>IF($B$105="Yes",IF($B$141&gt;0,1/$B$141-1/(2*$B$141^2)*(1-EXP(-2*$B$141)),1),"N.A.")</f>
        <v>N.A.</v>
      </c>
      <c r="C142" s="625" t="s">
        <v>453</v>
      </c>
      <c r="D142" s="132"/>
      <c r="E142" s="128"/>
      <c r="G142" s="57"/>
    </row>
    <row r="143" spans="1:20" x14ac:dyDescent="0.2">
      <c r="A143" s="87" t="s">
        <v>194</v>
      </c>
      <c r="B143" s="168" t="str">
        <f>IF($B$105="Yes",4.6*$B$136*$L$6/$B$138,"N.A.")</f>
        <v>N.A.</v>
      </c>
      <c r="C143" s="129" t="s">
        <v>18</v>
      </c>
      <c r="D143" s="69"/>
      <c r="E143" s="128"/>
      <c r="G143" s="57"/>
      <c r="T143" s="15"/>
    </row>
    <row r="144" spans="1:20" x14ac:dyDescent="0.2">
      <c r="A144" s="56" t="s">
        <v>6</v>
      </c>
      <c r="B144" s="168" t="str">
        <f>IF($B$105="Yes",IF($B$143&gt;0,1/$B$143-1/(2*$B$143^2)*(1-EXP(-2*$B$143)),1),"N.A.")</f>
        <v>N.A.</v>
      </c>
      <c r="C144" s="496" t="s">
        <v>195</v>
      </c>
      <c r="D144" s="69"/>
      <c r="E144" s="128"/>
      <c r="G144" s="57"/>
      <c r="T144" s="16"/>
    </row>
    <row r="145" spans="1:7" x14ac:dyDescent="0.2">
      <c r="A145" s="87" t="s">
        <v>365</v>
      </c>
      <c r="B145" s="168" t="str">
        <f>IF($B$105="Yes",15.4*$B$136*$L$5/$B$138,"N.A.")</f>
        <v>N.A.</v>
      </c>
      <c r="C145" s="129" t="s">
        <v>71</v>
      </c>
      <c r="D145" s="69"/>
      <c r="G145" s="57"/>
    </row>
    <row r="146" spans="1:7" x14ac:dyDescent="0.2">
      <c r="A146" s="56" t="s">
        <v>5</v>
      </c>
      <c r="B146" s="168" t="str">
        <f>IF($B$105="Yes",IF($B$145&gt;0,1/$B$145-1/(2*$B$145^2)*(1-EXP(-2*$B$145)),1),"N.A.")</f>
        <v>N.A.</v>
      </c>
      <c r="C146" s="625" t="s">
        <v>454</v>
      </c>
      <c r="G146" s="57"/>
    </row>
    <row r="147" spans="1:7" x14ac:dyDescent="0.2">
      <c r="A147" s="56" t="s">
        <v>333</v>
      </c>
      <c r="B147" s="168" t="str">
        <f>IF($B$105="Yes",SQRT(1/$B$133*$B$140*$B$142*$B$144*(0.53+0.47*$B$146)),"N.A.")</f>
        <v>N.A.</v>
      </c>
      <c r="C147" s="496" t="s">
        <v>193</v>
      </c>
      <c r="G147" s="57"/>
    </row>
    <row r="148" spans="1:7" x14ac:dyDescent="0.2">
      <c r="A148" s="56" t="s">
        <v>371</v>
      </c>
      <c r="B148" s="168" t="str">
        <f>IF($B$105="Yes",0.925*(1+1.7*$B$122*($B$124^2*$B$127^2+$B$126^2*$B$147^2)^(1/2))/(1+1.7*$B$125*$B$122),"N.A.")</f>
        <v>N.A.</v>
      </c>
      <c r="C148" s="133" t="s">
        <v>217</v>
      </c>
      <c r="G148" s="57"/>
    </row>
    <row r="149" spans="1:7" x14ac:dyDescent="0.2">
      <c r="A149" s="134" t="s">
        <v>370</v>
      </c>
      <c r="B149" s="169">
        <f>IF($B$105="No",MIN($B$108,$B$130),$B$148)</f>
        <v>0.85</v>
      </c>
      <c r="G149" s="627" t="s">
        <v>455</v>
      </c>
    </row>
    <row r="150" spans="1:7" x14ac:dyDescent="0.2">
      <c r="A150" s="52"/>
      <c r="G150" s="57"/>
    </row>
    <row r="151" spans="1:7" x14ac:dyDescent="0.2">
      <c r="A151" s="52"/>
      <c r="G151" s="57"/>
    </row>
    <row r="152" spans="1:7" x14ac:dyDescent="0.2">
      <c r="A152" s="52"/>
      <c r="G152" s="57"/>
    </row>
    <row r="153" spans="1:7" hidden="1" x14ac:dyDescent="0.2">
      <c r="A153" s="73"/>
      <c r="B153" s="61"/>
      <c r="C153" s="61"/>
      <c r="D153" s="61"/>
      <c r="E153" s="61"/>
      <c r="F153" s="296"/>
      <c r="G153" s="492"/>
    </row>
    <row r="154" spans="1:7" x14ac:dyDescent="0.2">
      <c r="A154" s="97"/>
      <c r="B154" s="98"/>
      <c r="C154" s="98"/>
      <c r="D154" s="98"/>
      <c r="E154" s="98"/>
      <c r="F154" s="182"/>
      <c r="G154" s="491"/>
    </row>
    <row r="155" spans="1:7" x14ac:dyDescent="0.2">
      <c r="A155" s="52"/>
      <c r="G155" s="57"/>
    </row>
    <row r="156" spans="1:7" x14ac:dyDescent="0.2">
      <c r="A156" s="54" t="s">
        <v>457</v>
      </c>
      <c r="B156" s="80"/>
      <c r="C156" s="80"/>
      <c r="D156" s="80"/>
      <c r="E156" s="80"/>
      <c r="F156" s="80"/>
      <c r="G156" s="135"/>
    </row>
    <row r="157" spans="1:7" x14ac:dyDescent="0.2">
      <c r="A157" s="52"/>
      <c r="G157" s="57"/>
    </row>
    <row r="158" spans="1:7" x14ac:dyDescent="0.2">
      <c r="A158" s="52"/>
      <c r="G158" s="57"/>
    </row>
    <row r="159" spans="1:7" x14ac:dyDescent="0.2">
      <c r="A159" s="52"/>
      <c r="G159" s="57"/>
    </row>
    <row r="160" spans="1:7" x14ac:dyDescent="0.2">
      <c r="A160" s="52"/>
      <c r="G160" s="57"/>
    </row>
    <row r="161" spans="1:7" x14ac:dyDescent="0.2">
      <c r="A161" s="52"/>
      <c r="G161" s="57"/>
    </row>
    <row r="162" spans="1:7" x14ac:dyDescent="0.2">
      <c r="A162" s="52"/>
      <c r="G162" s="57"/>
    </row>
    <row r="163" spans="1:7" x14ac:dyDescent="0.2">
      <c r="A163" s="52"/>
      <c r="G163" s="57"/>
    </row>
    <row r="164" spans="1:7" x14ac:dyDescent="0.2">
      <c r="A164" s="52"/>
      <c r="G164" s="57"/>
    </row>
    <row r="165" spans="1:7" x14ac:dyDescent="0.2">
      <c r="A165" s="52"/>
      <c r="G165" s="57"/>
    </row>
    <row r="166" spans="1:7" x14ac:dyDescent="0.2">
      <c r="A166" s="52"/>
      <c r="G166" s="57"/>
    </row>
    <row r="167" spans="1:7" x14ac:dyDescent="0.2">
      <c r="A167" s="52"/>
      <c r="G167" s="57"/>
    </row>
    <row r="168" spans="1:7" x14ac:dyDescent="0.2">
      <c r="A168" s="52"/>
      <c r="G168" s="57"/>
    </row>
    <row r="169" spans="1:7" x14ac:dyDescent="0.2">
      <c r="A169" s="52"/>
      <c r="G169" s="57"/>
    </row>
    <row r="170" spans="1:7" x14ac:dyDescent="0.2">
      <c r="A170" s="52"/>
      <c r="G170" s="57"/>
    </row>
    <row r="171" spans="1:7" x14ac:dyDescent="0.2">
      <c r="A171" s="52"/>
      <c r="G171" s="57"/>
    </row>
    <row r="172" spans="1:7" x14ac:dyDescent="0.2">
      <c r="A172" s="52"/>
      <c r="G172" s="57"/>
    </row>
    <row r="173" spans="1:7" x14ac:dyDescent="0.2">
      <c r="A173" s="52"/>
      <c r="G173" s="57"/>
    </row>
    <row r="174" spans="1:7" x14ac:dyDescent="0.2">
      <c r="A174" s="52"/>
      <c r="G174" s="57"/>
    </row>
    <row r="175" spans="1:7" x14ac:dyDescent="0.2">
      <c r="A175" s="52"/>
      <c r="G175" s="57"/>
    </row>
    <row r="176" spans="1:7" x14ac:dyDescent="0.2">
      <c r="A176" s="52"/>
      <c r="G176" s="57"/>
    </row>
    <row r="177" spans="1:20" x14ac:dyDescent="0.2">
      <c r="A177" s="52"/>
      <c r="G177" s="57"/>
    </row>
    <row r="178" spans="1:20" x14ac:dyDescent="0.2">
      <c r="A178" s="52"/>
      <c r="G178" s="57"/>
    </row>
    <row r="179" spans="1:20" x14ac:dyDescent="0.2">
      <c r="A179" s="52"/>
      <c r="G179" s="57"/>
    </row>
    <row r="180" spans="1:20" x14ac:dyDescent="0.2">
      <c r="A180" s="52"/>
      <c r="G180" s="57"/>
    </row>
    <row r="181" spans="1:20" x14ac:dyDescent="0.2">
      <c r="A181" s="52"/>
      <c r="G181" s="57"/>
    </row>
    <row r="182" spans="1:20" x14ac:dyDescent="0.2">
      <c r="A182" s="52"/>
      <c r="G182" s="57"/>
    </row>
    <row r="183" spans="1:20" x14ac:dyDescent="0.2">
      <c r="A183" s="52"/>
      <c r="G183" s="57"/>
    </row>
    <row r="184" spans="1:20" x14ac:dyDescent="0.2">
      <c r="A184" s="99"/>
      <c r="G184" s="57"/>
    </row>
    <row r="185" spans="1:20" x14ac:dyDescent="0.2">
      <c r="A185" s="52"/>
      <c r="G185" s="57"/>
    </row>
    <row r="186" spans="1:20" x14ac:dyDescent="0.2">
      <c r="A186" s="99"/>
      <c r="G186" s="57"/>
    </row>
    <row r="187" spans="1:20" x14ac:dyDescent="0.2">
      <c r="A187" s="52"/>
      <c r="G187" s="57"/>
    </row>
    <row r="188" spans="1:20" x14ac:dyDescent="0.2">
      <c r="A188" s="52"/>
      <c r="G188" s="57"/>
    </row>
    <row r="189" spans="1:20" x14ac:dyDescent="0.2">
      <c r="A189" s="99"/>
      <c r="G189" s="57"/>
    </row>
    <row r="190" spans="1:20" x14ac:dyDescent="0.2">
      <c r="A190" s="52"/>
      <c r="G190" s="57"/>
    </row>
    <row r="191" spans="1:20" x14ac:dyDescent="0.2">
      <c r="A191" s="99"/>
      <c r="G191" s="57"/>
    </row>
    <row r="192" spans="1:20" x14ac:dyDescent="0.2">
      <c r="A192" s="52"/>
      <c r="G192" s="57"/>
      <c r="T192" s="15"/>
    </row>
    <row r="193" spans="1:20" x14ac:dyDescent="0.2">
      <c r="A193" s="52"/>
      <c r="G193" s="57"/>
      <c r="T193" s="16"/>
    </row>
    <row r="194" spans="1:20" x14ac:dyDescent="0.2">
      <c r="A194" s="401"/>
      <c r="G194" s="57"/>
    </row>
    <row r="195" spans="1:20" x14ac:dyDescent="0.2">
      <c r="A195" s="52"/>
      <c r="G195" s="57"/>
    </row>
    <row r="196" spans="1:20" x14ac:dyDescent="0.2">
      <c r="A196" s="52"/>
      <c r="G196" s="57"/>
    </row>
    <row r="197" spans="1:20" x14ac:dyDescent="0.2">
      <c r="A197" s="52"/>
      <c r="G197" s="57"/>
    </row>
    <row r="198" spans="1:20" x14ac:dyDescent="0.2">
      <c r="A198" s="52"/>
      <c r="G198" s="57"/>
    </row>
    <row r="199" spans="1:20" x14ac:dyDescent="0.2">
      <c r="A199" s="52"/>
      <c r="G199" s="57"/>
    </row>
    <row r="200" spans="1:20" x14ac:dyDescent="0.2">
      <c r="A200" s="52"/>
      <c r="G200" s="57"/>
    </row>
    <row r="201" spans="1:20" x14ac:dyDescent="0.2">
      <c r="A201" s="52"/>
      <c r="G201" s="57"/>
    </row>
    <row r="202" spans="1:20" x14ac:dyDescent="0.2">
      <c r="A202" s="52"/>
      <c r="G202" s="57"/>
    </row>
    <row r="203" spans="1:20" x14ac:dyDescent="0.2">
      <c r="A203" s="52"/>
      <c r="G203" s="57"/>
    </row>
    <row r="204" spans="1:20" x14ac:dyDescent="0.2">
      <c r="A204" s="52"/>
      <c r="G204" s="57"/>
    </row>
    <row r="205" spans="1:20" x14ac:dyDescent="0.2">
      <c r="A205" s="73"/>
      <c r="B205" s="61"/>
      <c r="C205" s="61"/>
      <c r="D205" s="61"/>
      <c r="E205" s="61"/>
      <c r="F205" s="61"/>
      <c r="G205" s="74"/>
    </row>
  </sheetData>
  <mergeCells count="5">
    <mergeCell ref="A1:E1"/>
    <mergeCell ref="F1:F3"/>
    <mergeCell ref="G1:G3"/>
    <mergeCell ref="A2:E2"/>
    <mergeCell ref="A3:E3"/>
  </mergeCells>
  <conditionalFormatting sqref="AB57:AB80">
    <cfRule type="cellIs" dxfId="1" priority="1" stopIfTrue="1" operator="greaterThan">
      <formula>$B$12</formula>
    </cfRule>
  </conditionalFormatting>
  <conditionalFormatting sqref="AB55:AB56">
    <cfRule type="cellIs" dxfId="0" priority="2" stopIfTrue="1" operator="greaterThan">
      <formula>$B$12*3.28084+0.01</formula>
    </cfRule>
  </conditionalFormatting>
  <dataValidations disablePrompts="1" count="3">
    <dataValidation type="list" allowBlank="1" showInputMessage="1" showErrorMessage="1" errorTitle="Warning!" error="Invalid building category_x000a_Must input either I, II, III, or IV" sqref="B11" xr:uid="{9927049F-2DA1-4E46-A83E-14393F25B4B8}">
      <formula1>$I$5:$I$8</formula1>
    </dataValidation>
    <dataValidation type="decimal" allowBlank="1" showInputMessage="1" showErrorMessage="1" sqref="AB70:AB80" xr:uid="{CFA9DBC2-8C6B-4C7C-A1D5-A82D8F2210F8}">
      <formula1>0</formula1>
      <formula2>$B$12</formula2>
    </dataValidation>
    <dataValidation type="list" allowBlank="1" showInputMessage="1" showErrorMessage="1" sqref="AB54" xr:uid="{4C58810D-6052-4F08-BCB9-1127B7B69F09}">
      <formula1>$I$14:$I$15</formula1>
    </dataValidation>
  </dataValidations>
  <pageMargins left="0.7" right="0.7" top="0.75" bottom="0.75" header="0.3" footer="0.3"/>
  <pageSetup scale="97" orientation="portrait" r:id="rId1"/>
  <rowBreaks count="3" manualBreakCount="3">
    <brk id="50" max="6" man="1"/>
    <brk id="101" max="6" man="1"/>
    <brk id="153" max="6" man="1"/>
  </rowBreaks>
  <ignoredErrors>
    <ignoredError sqref="B10:B23" unlockedFormula="1"/>
  </ignoredError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C57AC-BDAA-43FB-9895-778E8C8A33C0}">
  <dimension ref="A3:T140"/>
  <sheetViews>
    <sheetView workbookViewId="0">
      <selection activeCell="R29" sqref="R29"/>
    </sheetView>
  </sheetViews>
  <sheetFormatPr defaultRowHeight="12.75" x14ac:dyDescent="0.2"/>
  <cols>
    <col min="1" max="2" width="9.140625" style="602"/>
    <col min="3" max="3" width="14.28515625" style="602" customWidth="1"/>
    <col min="4" max="4" width="12.42578125" style="602" customWidth="1"/>
    <col min="5" max="19" width="9.140625" style="602"/>
    <col min="20" max="20" width="12.85546875" style="602" bestFit="1" customWidth="1"/>
    <col min="21" max="16384" width="9.140625" style="602"/>
  </cols>
  <sheetData>
    <row r="3" spans="1:20" ht="15" x14ac:dyDescent="0.25">
      <c r="A3" s="629" t="s">
        <v>418</v>
      </c>
      <c r="B3" s="631"/>
      <c r="C3" s="632"/>
      <c r="D3" s="633"/>
      <c r="E3" s="644">
        <v>0.3</v>
      </c>
      <c r="F3" s="630" t="s">
        <v>400</v>
      </c>
    </row>
    <row r="4" spans="1:20" ht="15" x14ac:dyDescent="0.25">
      <c r="A4" s="699" t="s">
        <v>417</v>
      </c>
      <c r="B4" s="700"/>
      <c r="C4" s="700"/>
      <c r="D4" s="701"/>
      <c r="E4" s="644">
        <v>0.3</v>
      </c>
      <c r="F4" s="630" t="s">
        <v>400</v>
      </c>
    </row>
    <row r="5" spans="1:20" ht="15" x14ac:dyDescent="0.25">
      <c r="A5" s="601"/>
      <c r="F5" s="605"/>
    </row>
    <row r="6" spans="1:20" ht="15" x14ac:dyDescent="0.25">
      <c r="A6" s="606" t="s">
        <v>392</v>
      </c>
      <c r="B6" s="607"/>
      <c r="C6" s="607"/>
      <c r="D6" s="607"/>
      <c r="E6" s="608"/>
      <c r="F6" s="607"/>
    </row>
    <row r="7" spans="1:20" ht="15" x14ac:dyDescent="0.25">
      <c r="A7" s="609" t="s">
        <v>393</v>
      </c>
      <c r="B7" s="609" t="s">
        <v>394</v>
      </c>
      <c r="C7" s="609" t="s">
        <v>395</v>
      </c>
      <c r="D7" s="609" t="s">
        <v>396</v>
      </c>
      <c r="E7" s="610" t="s">
        <v>397</v>
      </c>
      <c r="F7" s="609" t="s">
        <v>398</v>
      </c>
    </row>
    <row r="8" spans="1:20" ht="18" x14ac:dyDescent="0.25">
      <c r="A8" s="611" t="s">
        <v>399</v>
      </c>
      <c r="B8" s="611" t="s">
        <v>399</v>
      </c>
      <c r="C8" s="611" t="s">
        <v>399</v>
      </c>
      <c r="D8" s="611" t="s">
        <v>399</v>
      </c>
      <c r="E8" s="612" t="s">
        <v>400</v>
      </c>
      <c r="F8" s="611" t="s">
        <v>399</v>
      </c>
      <c r="I8" s="702" t="s">
        <v>419</v>
      </c>
      <c r="J8" s="702"/>
      <c r="K8" s="702"/>
      <c r="L8" s="702"/>
      <c r="M8" s="702"/>
      <c r="N8" s="702"/>
      <c r="O8" s="702"/>
      <c r="P8" s="702"/>
      <c r="Q8" s="702"/>
    </row>
    <row r="9" spans="1:20" ht="15" x14ac:dyDescent="0.25">
      <c r="A9" s="621" t="s">
        <v>420</v>
      </c>
      <c r="B9" s="621" t="s">
        <v>401</v>
      </c>
      <c r="C9" s="621" t="s">
        <v>402</v>
      </c>
      <c r="D9" s="621" t="s">
        <v>403</v>
      </c>
      <c r="E9" s="622">
        <f>'Bulding - Doc'!F58</f>
        <v>0.65684808904347491</v>
      </c>
      <c r="F9" s="621" t="s">
        <v>404</v>
      </c>
    </row>
    <row r="10" spans="1:20" ht="15" x14ac:dyDescent="0.25">
      <c r="A10" s="621" t="s">
        <v>420</v>
      </c>
      <c r="B10" s="621" t="s">
        <v>405</v>
      </c>
      <c r="C10" s="621" t="s">
        <v>402</v>
      </c>
      <c r="D10" s="621" t="s">
        <v>403</v>
      </c>
      <c r="E10" s="622">
        <f>'Bulding - Doc'!F83</f>
        <v>-0.69108948039441942</v>
      </c>
      <c r="F10" s="621" t="s">
        <v>404</v>
      </c>
    </row>
    <row r="11" spans="1:20" ht="15" x14ac:dyDescent="0.25">
      <c r="A11" s="621" t="s">
        <v>420</v>
      </c>
      <c r="B11" s="621" t="s">
        <v>406</v>
      </c>
      <c r="C11" s="621" t="s">
        <v>402</v>
      </c>
      <c r="D11" s="621" t="s">
        <v>403</v>
      </c>
      <c r="E11" s="622">
        <f>'Building - Ngang'!F84</f>
        <v>-1.3905220136734482</v>
      </c>
      <c r="F11" s="621" t="s">
        <v>404</v>
      </c>
    </row>
    <row r="12" spans="1:20" ht="15" x14ac:dyDescent="0.25">
      <c r="A12" s="621" t="s">
        <v>420</v>
      </c>
      <c r="B12" s="621" t="s">
        <v>407</v>
      </c>
      <c r="C12" s="621" t="s">
        <v>402</v>
      </c>
      <c r="D12" s="621" t="s">
        <v>403</v>
      </c>
      <c r="E12" s="622">
        <f>'Building - Ngang'!F84</f>
        <v>-1.3905220136734482</v>
      </c>
      <c r="F12" s="621" t="s">
        <v>404</v>
      </c>
    </row>
    <row r="13" spans="1:20" ht="15" x14ac:dyDescent="0.25">
      <c r="A13" s="621" t="s">
        <v>420</v>
      </c>
      <c r="B13" s="621" t="s">
        <v>408</v>
      </c>
      <c r="C13" s="621" t="s">
        <v>402</v>
      </c>
      <c r="D13" s="621" t="s">
        <v>403</v>
      </c>
      <c r="E13" s="622">
        <f>'Bulding - Doc'!G58</f>
        <v>1.3144486518857417</v>
      </c>
      <c r="F13" s="621" t="s">
        <v>404</v>
      </c>
    </row>
    <row r="14" spans="1:20" ht="15.75" customHeight="1" x14ac:dyDescent="0.25">
      <c r="A14" s="621" t="s">
        <v>420</v>
      </c>
      <c r="B14" s="621" t="s">
        <v>409</v>
      </c>
      <c r="C14" s="621" t="s">
        <v>402</v>
      </c>
      <c r="D14" s="621" t="s">
        <v>403</v>
      </c>
      <c r="E14" s="622">
        <f>'Bulding - Doc'!G83</f>
        <v>-3.3488917552152497E-2</v>
      </c>
      <c r="F14" s="621" t="s">
        <v>404</v>
      </c>
      <c r="G14" s="702"/>
      <c r="H14" s="702"/>
      <c r="I14" s="702"/>
      <c r="J14" s="702"/>
      <c r="K14" s="702"/>
      <c r="L14" s="702"/>
      <c r="M14" s="702"/>
      <c r="N14" s="702"/>
      <c r="O14" s="702"/>
      <c r="T14" s="685"/>
    </row>
    <row r="15" spans="1:20" ht="15" x14ac:dyDescent="0.25">
      <c r="A15" s="621" t="s">
        <v>420</v>
      </c>
      <c r="B15" s="621" t="s">
        <v>410</v>
      </c>
      <c r="C15" s="621" t="s">
        <v>402</v>
      </c>
      <c r="D15" s="621" t="s">
        <v>403</v>
      </c>
      <c r="E15" s="622">
        <f>'Building - Ngang'!G84</f>
        <v>-0.73292145083118121</v>
      </c>
      <c r="F15" s="621" t="s">
        <v>404</v>
      </c>
      <c r="T15" s="685"/>
    </row>
    <row r="16" spans="1:20" ht="15" x14ac:dyDescent="0.25">
      <c r="A16" s="621" t="s">
        <v>420</v>
      </c>
      <c r="B16" s="621" t="s">
        <v>411</v>
      </c>
      <c r="C16" s="621" t="s">
        <v>402</v>
      </c>
      <c r="D16" s="621" t="s">
        <v>403</v>
      </c>
      <c r="E16" s="622">
        <f>'Building - Ngang'!G84</f>
        <v>-0.73292145083118121</v>
      </c>
      <c r="F16" s="621" t="s">
        <v>404</v>
      </c>
      <c r="T16" s="685"/>
    </row>
    <row r="17" spans="1:20" ht="15" x14ac:dyDescent="0.25">
      <c r="A17" s="619" t="s">
        <v>425</v>
      </c>
      <c r="B17" s="619" t="s">
        <v>401</v>
      </c>
      <c r="C17" s="619" t="s">
        <v>402</v>
      </c>
      <c r="D17" s="619" t="s">
        <v>403</v>
      </c>
      <c r="E17" s="620">
        <f>'Bulding - Doc'!F57</f>
        <v>0.81170353840449572</v>
      </c>
      <c r="F17" s="619" t="s">
        <v>404</v>
      </c>
    </row>
    <row r="18" spans="1:20" ht="15" x14ac:dyDescent="0.25">
      <c r="A18" s="619" t="s">
        <v>425</v>
      </c>
      <c r="B18" s="619" t="s">
        <v>405</v>
      </c>
      <c r="C18" s="619" t="s">
        <v>402</v>
      </c>
      <c r="D18" s="619" t="s">
        <v>403</v>
      </c>
      <c r="E18" s="620">
        <f>'Bulding - Doc'!F83</f>
        <v>-0.69108948039441942</v>
      </c>
      <c r="F18" s="619" t="s">
        <v>404</v>
      </c>
      <c r="T18" s="685"/>
    </row>
    <row r="19" spans="1:20" ht="15" x14ac:dyDescent="0.25">
      <c r="A19" s="619" t="s">
        <v>425</v>
      </c>
      <c r="B19" s="619" t="s">
        <v>406</v>
      </c>
      <c r="C19" s="619" t="s">
        <v>402</v>
      </c>
      <c r="D19" s="619" t="s">
        <v>403</v>
      </c>
      <c r="E19" s="620">
        <f>+'Building - Ngang'!$F$84</f>
        <v>-1.3905220136734482</v>
      </c>
      <c r="F19" s="619" t="s">
        <v>404</v>
      </c>
    </row>
    <row r="20" spans="1:20" ht="15" x14ac:dyDescent="0.25">
      <c r="A20" s="619" t="s">
        <v>425</v>
      </c>
      <c r="B20" s="619" t="s">
        <v>407</v>
      </c>
      <c r="C20" s="619" t="s">
        <v>402</v>
      </c>
      <c r="D20" s="619" t="s">
        <v>403</v>
      </c>
      <c r="E20" s="620">
        <f>+'Building - Ngang'!$F$84</f>
        <v>-1.3905220136734482</v>
      </c>
      <c r="F20" s="619" t="s">
        <v>404</v>
      </c>
    </row>
    <row r="21" spans="1:20" ht="15" x14ac:dyDescent="0.25">
      <c r="A21" s="619" t="s">
        <v>425</v>
      </c>
      <c r="B21" s="619" t="s">
        <v>408</v>
      </c>
      <c r="C21" s="619" t="s">
        <v>402</v>
      </c>
      <c r="D21" s="619" t="s">
        <v>403</v>
      </c>
      <c r="E21" s="620">
        <f>'Bulding - Doc'!G57</f>
        <v>1.4693041012467627</v>
      </c>
      <c r="F21" s="619" t="s">
        <v>404</v>
      </c>
    </row>
    <row r="22" spans="1:20" ht="18" x14ac:dyDescent="0.25">
      <c r="A22" s="619" t="s">
        <v>425</v>
      </c>
      <c r="B22" s="619" t="s">
        <v>409</v>
      </c>
      <c r="C22" s="619" t="s">
        <v>402</v>
      </c>
      <c r="D22" s="619" t="s">
        <v>403</v>
      </c>
      <c r="E22" s="620">
        <f>'Bulding - Doc'!G83</f>
        <v>-3.3488917552152497E-2</v>
      </c>
      <c r="F22" s="619" t="s">
        <v>404</v>
      </c>
      <c r="G22" s="702"/>
      <c r="H22" s="702"/>
      <c r="I22" s="702"/>
      <c r="J22" s="702"/>
      <c r="K22" s="702"/>
      <c r="L22" s="702"/>
      <c r="M22" s="702"/>
      <c r="N22" s="702"/>
      <c r="O22" s="702"/>
    </row>
    <row r="23" spans="1:20" ht="15" x14ac:dyDescent="0.25">
      <c r="A23" s="619" t="s">
        <v>425</v>
      </c>
      <c r="B23" s="619" t="s">
        <v>410</v>
      </c>
      <c r="C23" s="619" t="s">
        <v>402</v>
      </c>
      <c r="D23" s="619" t="s">
        <v>403</v>
      </c>
      <c r="E23" s="620">
        <f>+'Building - Ngang'!$G$84</f>
        <v>-0.73292145083118121</v>
      </c>
      <c r="F23" s="619" t="s">
        <v>404</v>
      </c>
    </row>
    <row r="24" spans="1:20" ht="15" x14ac:dyDescent="0.25">
      <c r="A24" s="619" t="s">
        <v>425</v>
      </c>
      <c r="B24" s="619" t="s">
        <v>411</v>
      </c>
      <c r="C24" s="619" t="s">
        <v>402</v>
      </c>
      <c r="D24" s="619" t="s">
        <v>403</v>
      </c>
      <c r="E24" s="620">
        <f>+'Building - Ngang'!$G$84</f>
        <v>-0.73292145083118121</v>
      </c>
      <c r="F24" s="619" t="s">
        <v>404</v>
      </c>
    </row>
    <row r="25" spans="1:20" ht="15" x14ac:dyDescent="0.25">
      <c r="A25" s="634" t="s">
        <v>424</v>
      </c>
      <c r="B25" s="634" t="s">
        <v>401</v>
      </c>
      <c r="C25" s="634" t="s">
        <v>402</v>
      </c>
      <c r="D25" s="634" t="s">
        <v>403</v>
      </c>
      <c r="E25" s="635">
        <f>'Bulding - Doc'!F56</f>
        <v>0.91333411505870399</v>
      </c>
      <c r="F25" s="634" t="s">
        <v>404</v>
      </c>
    </row>
    <row r="26" spans="1:20" ht="15" x14ac:dyDescent="0.25">
      <c r="A26" s="634" t="s">
        <v>424</v>
      </c>
      <c r="B26" s="634" t="s">
        <v>405</v>
      </c>
      <c r="C26" s="634" t="s">
        <v>402</v>
      </c>
      <c r="D26" s="634" t="s">
        <v>403</v>
      </c>
      <c r="E26" s="635">
        <f>'Bulding - Doc'!F83</f>
        <v>-0.69108948039441942</v>
      </c>
      <c r="F26" s="634" t="s">
        <v>404</v>
      </c>
    </row>
    <row r="27" spans="1:20" ht="15" x14ac:dyDescent="0.25">
      <c r="A27" s="634" t="s">
        <v>424</v>
      </c>
      <c r="B27" s="634" t="s">
        <v>406</v>
      </c>
      <c r="C27" s="634" t="s">
        <v>402</v>
      </c>
      <c r="D27" s="634" t="s">
        <v>403</v>
      </c>
      <c r="E27" s="635">
        <f>+'Building - Ngang'!$F$84</f>
        <v>-1.3905220136734482</v>
      </c>
      <c r="F27" s="634" t="s">
        <v>404</v>
      </c>
    </row>
    <row r="28" spans="1:20" ht="15" x14ac:dyDescent="0.25">
      <c r="A28" s="634" t="s">
        <v>424</v>
      </c>
      <c r="B28" s="634" t="s">
        <v>407</v>
      </c>
      <c r="C28" s="634" t="s">
        <v>402</v>
      </c>
      <c r="D28" s="634" t="s">
        <v>403</v>
      </c>
      <c r="E28" s="635">
        <f>+'Building - Ngang'!$F$84</f>
        <v>-1.3905220136734482</v>
      </c>
      <c r="F28" s="634" t="s">
        <v>404</v>
      </c>
    </row>
    <row r="29" spans="1:20" ht="15" x14ac:dyDescent="0.25">
      <c r="A29" s="634" t="s">
        <v>424</v>
      </c>
      <c r="B29" s="634" t="s">
        <v>408</v>
      </c>
      <c r="C29" s="634" t="s">
        <v>402</v>
      </c>
      <c r="D29" s="634" t="s">
        <v>403</v>
      </c>
      <c r="E29" s="635">
        <f>'Bulding - Doc'!G56</f>
        <v>1.570934677900971</v>
      </c>
      <c r="F29" s="634" t="s">
        <v>404</v>
      </c>
    </row>
    <row r="30" spans="1:20" ht="18" x14ac:dyDescent="0.25">
      <c r="A30" s="634" t="s">
        <v>424</v>
      </c>
      <c r="B30" s="634" t="s">
        <v>409</v>
      </c>
      <c r="C30" s="634" t="s">
        <v>402</v>
      </c>
      <c r="D30" s="634" t="s">
        <v>403</v>
      </c>
      <c r="E30" s="635">
        <f>'Bulding - Doc'!G83</f>
        <v>-3.3488917552152497E-2</v>
      </c>
      <c r="F30" s="634" t="s">
        <v>404</v>
      </c>
      <c r="G30" s="603"/>
      <c r="H30" s="603"/>
      <c r="I30" s="603"/>
      <c r="J30" s="603"/>
      <c r="K30" s="603"/>
      <c r="L30" s="603"/>
      <c r="M30" s="603"/>
      <c r="N30" s="603"/>
      <c r="O30" s="603"/>
    </row>
    <row r="31" spans="1:20" ht="15" x14ac:dyDescent="0.25">
      <c r="A31" s="634" t="s">
        <v>424</v>
      </c>
      <c r="B31" s="634" t="s">
        <v>410</v>
      </c>
      <c r="C31" s="634" t="s">
        <v>402</v>
      </c>
      <c r="D31" s="634" t="s">
        <v>403</v>
      </c>
      <c r="E31" s="635">
        <f>+'Building - Ngang'!$G$84</f>
        <v>-0.73292145083118121</v>
      </c>
      <c r="F31" s="634" t="s">
        <v>404</v>
      </c>
    </row>
    <row r="32" spans="1:20" ht="15" x14ac:dyDescent="0.25">
      <c r="A32" s="634" t="s">
        <v>424</v>
      </c>
      <c r="B32" s="634" t="s">
        <v>411</v>
      </c>
      <c r="C32" s="634" t="s">
        <v>402</v>
      </c>
      <c r="D32" s="634" t="s">
        <v>403</v>
      </c>
      <c r="E32" s="635">
        <f>+'Building - Ngang'!$G$84</f>
        <v>-0.73292145083118121</v>
      </c>
      <c r="F32" s="634" t="s">
        <v>404</v>
      </c>
    </row>
    <row r="33" spans="1:6" ht="15" x14ac:dyDescent="0.25">
      <c r="A33" s="636" t="s">
        <v>432</v>
      </c>
      <c r="B33" s="636" t="s">
        <v>401</v>
      </c>
      <c r="C33" s="636" t="s">
        <v>402</v>
      </c>
      <c r="D33" s="636" t="s">
        <v>403</v>
      </c>
      <c r="E33" s="637">
        <f>'Bulding - Doc'!F55</f>
        <v>0.94119393768381809</v>
      </c>
      <c r="F33" s="636" t="s">
        <v>404</v>
      </c>
    </row>
    <row r="34" spans="1:6" ht="15" x14ac:dyDescent="0.25">
      <c r="A34" s="636" t="s">
        <v>432</v>
      </c>
      <c r="B34" s="636" t="s">
        <v>405</v>
      </c>
      <c r="C34" s="636" t="s">
        <v>402</v>
      </c>
      <c r="D34" s="636" t="s">
        <v>403</v>
      </c>
      <c r="E34" s="637">
        <f>'Bulding - Doc'!F83</f>
        <v>-0.69108948039441942</v>
      </c>
      <c r="F34" s="636" t="s">
        <v>404</v>
      </c>
    </row>
    <row r="35" spans="1:6" ht="15" x14ac:dyDescent="0.25">
      <c r="A35" s="636" t="s">
        <v>432</v>
      </c>
      <c r="B35" s="636" t="s">
        <v>406</v>
      </c>
      <c r="C35" s="636" t="s">
        <v>402</v>
      </c>
      <c r="D35" s="636" t="s">
        <v>403</v>
      </c>
      <c r="E35" s="637">
        <f>+'Building - Ngang'!$F$84</f>
        <v>-1.3905220136734482</v>
      </c>
      <c r="F35" s="636" t="s">
        <v>404</v>
      </c>
    </row>
    <row r="36" spans="1:6" ht="15" x14ac:dyDescent="0.25">
      <c r="A36" s="636" t="s">
        <v>432</v>
      </c>
      <c r="B36" s="636" t="s">
        <v>407</v>
      </c>
      <c r="C36" s="636" t="s">
        <v>402</v>
      </c>
      <c r="D36" s="636" t="s">
        <v>403</v>
      </c>
      <c r="E36" s="637">
        <f>+'Building - Ngang'!$F$84</f>
        <v>-1.3905220136734482</v>
      </c>
      <c r="F36" s="636" t="s">
        <v>404</v>
      </c>
    </row>
    <row r="37" spans="1:6" ht="15" x14ac:dyDescent="0.25">
      <c r="A37" s="636" t="s">
        <v>432</v>
      </c>
      <c r="B37" s="636" t="s">
        <v>408</v>
      </c>
      <c r="C37" s="636" t="s">
        <v>402</v>
      </c>
      <c r="D37" s="636" t="s">
        <v>403</v>
      </c>
      <c r="E37" s="637">
        <f>'Bulding - Doc'!G55</f>
        <v>1.5987945005260851</v>
      </c>
      <c r="F37" s="636" t="s">
        <v>404</v>
      </c>
    </row>
    <row r="38" spans="1:6" ht="15" x14ac:dyDescent="0.25">
      <c r="A38" s="636" t="s">
        <v>432</v>
      </c>
      <c r="B38" s="636" t="s">
        <v>409</v>
      </c>
      <c r="C38" s="636" t="s">
        <v>402</v>
      </c>
      <c r="D38" s="636" t="s">
        <v>403</v>
      </c>
      <c r="E38" s="637">
        <f>'Bulding - Doc'!G83</f>
        <v>-3.3488917552152497E-2</v>
      </c>
      <c r="F38" s="636" t="s">
        <v>404</v>
      </c>
    </row>
    <row r="39" spans="1:6" ht="15" x14ac:dyDescent="0.25">
      <c r="A39" s="636" t="s">
        <v>432</v>
      </c>
      <c r="B39" s="636" t="s">
        <v>410</v>
      </c>
      <c r="C39" s="636" t="s">
        <v>402</v>
      </c>
      <c r="D39" s="636" t="s">
        <v>403</v>
      </c>
      <c r="E39" s="637">
        <f>+'Building - Ngang'!$G$84</f>
        <v>-0.73292145083118121</v>
      </c>
      <c r="F39" s="636" t="s">
        <v>404</v>
      </c>
    </row>
    <row r="40" spans="1:6" ht="15" x14ac:dyDescent="0.25">
      <c r="A40" s="636" t="s">
        <v>432</v>
      </c>
      <c r="B40" s="636" t="s">
        <v>411</v>
      </c>
      <c r="C40" s="636" t="s">
        <v>402</v>
      </c>
      <c r="D40" s="636" t="s">
        <v>403</v>
      </c>
      <c r="E40" s="637">
        <f>+'Building - Ngang'!$G$84</f>
        <v>-0.73292145083118121</v>
      </c>
      <c r="F40" s="636" t="s">
        <v>404</v>
      </c>
    </row>
    <row r="41" spans="1:6" ht="15" x14ac:dyDescent="0.25">
      <c r="A41" s="638" t="s">
        <v>421</v>
      </c>
      <c r="B41" s="638" t="s">
        <v>401</v>
      </c>
      <c r="C41" s="638" t="s">
        <v>402</v>
      </c>
      <c r="D41" s="638" t="s">
        <v>403</v>
      </c>
      <c r="E41" s="639">
        <f>'Bulding - Doc'!F84</f>
        <v>-1.4156678783409913</v>
      </c>
      <c r="F41" s="638" t="s">
        <v>404</v>
      </c>
    </row>
    <row r="42" spans="1:6" ht="15" x14ac:dyDescent="0.25">
      <c r="A42" s="638" t="s">
        <v>421</v>
      </c>
      <c r="B42" s="638" t="s">
        <v>405</v>
      </c>
      <c r="C42" s="638" t="s">
        <v>402</v>
      </c>
      <c r="D42" s="638" t="s">
        <v>403</v>
      </c>
      <c r="E42" s="639">
        <f>'Bulding - Doc'!F84</f>
        <v>-1.4156678783409913</v>
      </c>
      <c r="F42" s="638" t="s">
        <v>404</v>
      </c>
    </row>
    <row r="43" spans="1:6" ht="15" x14ac:dyDescent="0.25">
      <c r="A43" s="638" t="s">
        <v>421</v>
      </c>
      <c r="B43" s="638" t="s">
        <v>406</v>
      </c>
      <c r="C43" s="638" t="s">
        <v>402</v>
      </c>
      <c r="D43" s="638" t="s">
        <v>403</v>
      </c>
      <c r="E43" s="639">
        <f>'Building - Ngang'!F58</f>
        <v>0.6340440413345112</v>
      </c>
      <c r="F43" s="638" t="s">
        <v>404</v>
      </c>
    </row>
    <row r="44" spans="1:6" ht="15" x14ac:dyDescent="0.25">
      <c r="A44" s="638" t="s">
        <v>421</v>
      </c>
      <c r="B44" s="638" t="s">
        <v>407</v>
      </c>
      <c r="C44" s="638" t="s">
        <v>402</v>
      </c>
      <c r="D44" s="638" t="s">
        <v>403</v>
      </c>
      <c r="E44" s="639">
        <f>'Building - Ngang'!F83</f>
        <v>-1.087172947315644</v>
      </c>
      <c r="F44" s="638" t="s">
        <v>404</v>
      </c>
    </row>
    <row r="45" spans="1:6" ht="15" x14ac:dyDescent="0.25">
      <c r="A45" s="638" t="s">
        <v>421</v>
      </c>
      <c r="B45" s="638" t="s">
        <v>408</v>
      </c>
      <c r="C45" s="638" t="s">
        <v>402</v>
      </c>
      <c r="D45" s="638" t="s">
        <v>403</v>
      </c>
      <c r="E45" s="639">
        <f>'Bulding - Doc'!G84</f>
        <v>-0.7580673154987243</v>
      </c>
      <c r="F45" s="638" t="s">
        <v>404</v>
      </c>
    </row>
    <row r="46" spans="1:6" ht="15" x14ac:dyDescent="0.25">
      <c r="A46" s="638" t="s">
        <v>421</v>
      </c>
      <c r="B46" s="638" t="s">
        <v>409</v>
      </c>
      <c r="C46" s="638" t="s">
        <v>402</v>
      </c>
      <c r="D46" s="638" t="s">
        <v>403</v>
      </c>
      <c r="E46" s="639">
        <f>E45</f>
        <v>-0.7580673154987243</v>
      </c>
      <c r="F46" s="638" t="s">
        <v>404</v>
      </c>
    </row>
    <row r="47" spans="1:6" ht="15" x14ac:dyDescent="0.25">
      <c r="A47" s="638" t="s">
        <v>421</v>
      </c>
      <c r="B47" s="638" t="s">
        <v>410</v>
      </c>
      <c r="C47" s="638" t="s">
        <v>402</v>
      </c>
      <c r="D47" s="638" t="s">
        <v>403</v>
      </c>
      <c r="E47" s="639">
        <f>'Building - Ngang'!G58</f>
        <v>1.291644604176778</v>
      </c>
      <c r="F47" s="638" t="s">
        <v>404</v>
      </c>
    </row>
    <row r="48" spans="1:6" ht="15" x14ac:dyDescent="0.25">
      <c r="A48" s="638" t="s">
        <v>421</v>
      </c>
      <c r="B48" s="638" t="s">
        <v>411</v>
      </c>
      <c r="C48" s="638" t="s">
        <v>402</v>
      </c>
      <c r="D48" s="638" t="s">
        <v>403</v>
      </c>
      <c r="E48" s="639">
        <f>'Building - Ngang'!G83</f>
        <v>-0.42957238447337714</v>
      </c>
      <c r="F48" s="638" t="s">
        <v>404</v>
      </c>
    </row>
    <row r="49" spans="1:15" ht="15" x14ac:dyDescent="0.25">
      <c r="A49" s="617" t="s">
        <v>428</v>
      </c>
      <c r="B49" s="617" t="s">
        <v>401</v>
      </c>
      <c r="C49" s="617" t="s">
        <v>402</v>
      </c>
      <c r="D49" s="617" t="s">
        <v>403</v>
      </c>
      <c r="E49" s="618">
        <f>'Building - Ngang'!$F$84</f>
        <v>-1.3905220136734482</v>
      </c>
      <c r="F49" s="617" t="s">
        <v>404</v>
      </c>
    </row>
    <row r="50" spans="1:15" ht="15" x14ac:dyDescent="0.25">
      <c r="A50" s="617" t="s">
        <v>428</v>
      </c>
      <c r="B50" s="617" t="s">
        <v>405</v>
      </c>
      <c r="C50" s="617" t="s">
        <v>402</v>
      </c>
      <c r="D50" s="617" t="s">
        <v>403</v>
      </c>
      <c r="E50" s="618">
        <f>'Building - Ngang'!$F$84</f>
        <v>-1.3905220136734482</v>
      </c>
      <c r="F50" s="617" t="s">
        <v>404</v>
      </c>
    </row>
    <row r="51" spans="1:15" ht="15" x14ac:dyDescent="0.25">
      <c r="A51" s="617" t="s">
        <v>428</v>
      </c>
      <c r="B51" s="617" t="s">
        <v>406</v>
      </c>
      <c r="C51" s="617" t="s">
        <v>402</v>
      </c>
      <c r="D51" s="617" t="s">
        <v>403</v>
      </c>
      <c r="E51" s="618">
        <f>'Building - Ngang'!F57</f>
        <v>0.78531674134897012</v>
      </c>
      <c r="F51" s="617" t="s">
        <v>404</v>
      </c>
    </row>
    <row r="52" spans="1:15" ht="15" x14ac:dyDescent="0.25">
      <c r="A52" s="617" t="s">
        <v>428</v>
      </c>
      <c r="B52" s="617" t="s">
        <v>407</v>
      </c>
      <c r="C52" s="617" t="s">
        <v>402</v>
      </c>
      <c r="D52" s="617" t="s">
        <v>403</v>
      </c>
      <c r="E52" s="618">
        <f>'Building - Ngang'!$F$83</f>
        <v>-1.087172947315644</v>
      </c>
      <c r="F52" s="617" t="s">
        <v>404</v>
      </c>
    </row>
    <row r="53" spans="1:15" ht="15" x14ac:dyDescent="0.25">
      <c r="A53" s="617" t="s">
        <v>428</v>
      </c>
      <c r="B53" s="617" t="s">
        <v>408</v>
      </c>
      <c r="C53" s="617" t="s">
        <v>402</v>
      </c>
      <c r="D53" s="617" t="s">
        <v>403</v>
      </c>
      <c r="E53" s="618">
        <f>'Building - Ngang'!$G$84</f>
        <v>-0.73292145083118121</v>
      </c>
      <c r="F53" s="617" t="s">
        <v>404</v>
      </c>
    </row>
    <row r="54" spans="1:15" ht="18" x14ac:dyDescent="0.25">
      <c r="A54" s="617" t="s">
        <v>428</v>
      </c>
      <c r="B54" s="617" t="s">
        <v>409</v>
      </c>
      <c r="C54" s="617" t="s">
        <v>402</v>
      </c>
      <c r="D54" s="617" t="s">
        <v>403</v>
      </c>
      <c r="E54" s="618">
        <f>'Building - Ngang'!$G$84</f>
        <v>-0.73292145083118121</v>
      </c>
      <c r="F54" s="617" t="s">
        <v>404</v>
      </c>
      <c r="G54" s="702"/>
      <c r="H54" s="702"/>
      <c r="I54" s="702"/>
      <c r="J54" s="702"/>
      <c r="K54" s="702"/>
      <c r="L54" s="702"/>
      <c r="M54" s="702"/>
      <c r="N54" s="702"/>
      <c r="O54" s="702"/>
    </row>
    <row r="55" spans="1:15" ht="15" x14ac:dyDescent="0.25">
      <c r="A55" s="617" t="s">
        <v>428</v>
      </c>
      <c r="B55" s="617" t="s">
        <v>410</v>
      </c>
      <c r="C55" s="617" t="s">
        <v>402</v>
      </c>
      <c r="D55" s="617" t="s">
        <v>403</v>
      </c>
      <c r="E55" s="618">
        <f>'Building - Ngang'!$G$57</f>
        <v>1.4429173041912371</v>
      </c>
      <c r="F55" s="617" t="s">
        <v>404</v>
      </c>
    </row>
    <row r="56" spans="1:15" ht="15" x14ac:dyDescent="0.25">
      <c r="A56" s="617" t="s">
        <v>428</v>
      </c>
      <c r="B56" s="617" t="s">
        <v>411</v>
      </c>
      <c r="C56" s="617" t="s">
        <v>402</v>
      </c>
      <c r="D56" s="617" t="s">
        <v>403</v>
      </c>
      <c r="E56" s="618">
        <f>'Building - Ngang'!$G$83</f>
        <v>-0.42957238447337714</v>
      </c>
      <c r="F56" s="617" t="s">
        <v>404</v>
      </c>
    </row>
    <row r="57" spans="1:15" ht="15" x14ac:dyDescent="0.25">
      <c r="A57" s="613" t="s">
        <v>429</v>
      </c>
      <c r="B57" s="613" t="s">
        <v>401</v>
      </c>
      <c r="C57" s="613" t="s">
        <v>402</v>
      </c>
      <c r="D57" s="613" t="s">
        <v>403</v>
      </c>
      <c r="E57" s="614">
        <f>+'Building - Ngang'!$F$84</f>
        <v>-1.3905220136734482</v>
      </c>
      <c r="F57" s="613" t="s">
        <v>404</v>
      </c>
    </row>
    <row r="58" spans="1:15" ht="15" x14ac:dyDescent="0.25">
      <c r="A58" s="613" t="s">
        <v>429</v>
      </c>
      <c r="B58" s="613" t="s">
        <v>405</v>
      </c>
      <c r="C58" s="613" t="s">
        <v>402</v>
      </c>
      <c r="D58" s="613" t="s">
        <v>403</v>
      </c>
      <c r="E58" s="614">
        <f>+'Building - Ngang'!$F$84</f>
        <v>-1.3905220136734482</v>
      </c>
      <c r="F58" s="613" t="s">
        <v>404</v>
      </c>
    </row>
    <row r="59" spans="1:15" ht="15" x14ac:dyDescent="0.25">
      <c r="A59" s="613" t="s">
        <v>429</v>
      </c>
      <c r="B59" s="613" t="s">
        <v>406</v>
      </c>
      <c r="C59" s="613" t="s">
        <v>402</v>
      </c>
      <c r="D59" s="613" t="s">
        <v>403</v>
      </c>
      <c r="E59" s="614">
        <f>'Building - Ngang'!F56</f>
        <v>0.88459598401008344</v>
      </c>
      <c r="F59" s="613" t="s">
        <v>404</v>
      </c>
    </row>
    <row r="60" spans="1:15" ht="15" x14ac:dyDescent="0.25">
      <c r="A60" s="613" t="s">
        <v>429</v>
      </c>
      <c r="B60" s="613" t="s">
        <v>407</v>
      </c>
      <c r="C60" s="613" t="s">
        <v>402</v>
      </c>
      <c r="D60" s="613" t="s">
        <v>403</v>
      </c>
      <c r="E60" s="614">
        <f>'Building - Ngang'!$F$83</f>
        <v>-1.087172947315644</v>
      </c>
      <c r="F60" s="613" t="s">
        <v>404</v>
      </c>
    </row>
    <row r="61" spans="1:15" ht="15" x14ac:dyDescent="0.25">
      <c r="A61" s="613" t="s">
        <v>429</v>
      </c>
      <c r="B61" s="613" t="s">
        <v>408</v>
      </c>
      <c r="C61" s="613" t="s">
        <v>402</v>
      </c>
      <c r="D61" s="613" t="s">
        <v>403</v>
      </c>
      <c r="E61" s="614">
        <f>'Building - Ngang'!$G$84</f>
        <v>-0.73292145083118121</v>
      </c>
      <c r="F61" s="613" t="s">
        <v>404</v>
      </c>
    </row>
    <row r="62" spans="1:15" ht="18" x14ac:dyDescent="0.25">
      <c r="A62" s="613" t="s">
        <v>429</v>
      </c>
      <c r="B62" s="613" t="s">
        <v>409</v>
      </c>
      <c r="C62" s="613" t="s">
        <v>402</v>
      </c>
      <c r="D62" s="613" t="s">
        <v>403</v>
      </c>
      <c r="E62" s="614">
        <f>'Building - Ngang'!$G$84</f>
        <v>-0.73292145083118121</v>
      </c>
      <c r="F62" s="613" t="s">
        <v>404</v>
      </c>
      <c r="G62" s="702"/>
      <c r="H62" s="702"/>
      <c r="I62" s="702"/>
      <c r="J62" s="702"/>
      <c r="K62" s="702"/>
      <c r="L62" s="702"/>
      <c r="M62" s="702"/>
      <c r="N62" s="702"/>
      <c r="O62" s="702"/>
    </row>
    <row r="63" spans="1:15" ht="15" x14ac:dyDescent="0.25">
      <c r="A63" s="613" t="s">
        <v>429</v>
      </c>
      <c r="B63" s="613" t="s">
        <v>410</v>
      </c>
      <c r="C63" s="613" t="s">
        <v>402</v>
      </c>
      <c r="D63" s="613" t="s">
        <v>403</v>
      </c>
      <c r="E63" s="614">
        <f>'Building - Ngang'!$G$56</f>
        <v>1.5421965468523504</v>
      </c>
      <c r="F63" s="613" t="s">
        <v>404</v>
      </c>
    </row>
    <row r="64" spans="1:15" ht="15" x14ac:dyDescent="0.25">
      <c r="A64" s="613" t="s">
        <v>429</v>
      </c>
      <c r="B64" s="613" t="s">
        <v>411</v>
      </c>
      <c r="C64" s="613" t="s">
        <v>402</v>
      </c>
      <c r="D64" s="613" t="s">
        <v>403</v>
      </c>
      <c r="E64" s="614">
        <f>'Building - Ngang'!$G$83</f>
        <v>-0.42957238447337714</v>
      </c>
      <c r="F64" s="613" t="s">
        <v>404</v>
      </c>
    </row>
    <row r="65" spans="1:15" ht="15" x14ac:dyDescent="0.25">
      <c r="A65" s="615" t="s">
        <v>422</v>
      </c>
      <c r="B65" s="615" t="s">
        <v>401</v>
      </c>
      <c r="C65" s="615" t="s">
        <v>402</v>
      </c>
      <c r="D65" s="615" t="s">
        <v>403</v>
      </c>
      <c r="E65" s="616">
        <f>'Bulding - Doc'!F83</f>
        <v>-0.69108948039441942</v>
      </c>
      <c r="F65" s="615" t="s">
        <v>404</v>
      </c>
    </row>
    <row r="66" spans="1:15" ht="15" x14ac:dyDescent="0.25">
      <c r="A66" s="615" t="s">
        <v>422</v>
      </c>
      <c r="B66" s="615" t="s">
        <v>405</v>
      </c>
      <c r="C66" s="615" t="s">
        <v>402</v>
      </c>
      <c r="D66" s="615" t="s">
        <v>403</v>
      </c>
      <c r="E66" s="616">
        <f>'Bulding - Doc'!F58</f>
        <v>0.65684808904347491</v>
      </c>
      <c r="F66" s="615" t="s">
        <v>404</v>
      </c>
    </row>
    <row r="67" spans="1:15" ht="15" x14ac:dyDescent="0.25">
      <c r="A67" s="615" t="s">
        <v>422</v>
      </c>
      <c r="B67" s="615" t="s">
        <v>406</v>
      </c>
      <c r="C67" s="615" t="s">
        <v>402</v>
      </c>
      <c r="D67" s="615" t="s">
        <v>403</v>
      </c>
      <c r="E67" s="616">
        <f>+'Building - Ngang'!$F$84</f>
        <v>-1.3905220136734482</v>
      </c>
      <c r="F67" s="615" t="s">
        <v>404</v>
      </c>
    </row>
    <row r="68" spans="1:15" ht="15" x14ac:dyDescent="0.25">
      <c r="A68" s="615" t="s">
        <v>422</v>
      </c>
      <c r="B68" s="615" t="s">
        <v>407</v>
      </c>
      <c r="C68" s="615" t="s">
        <v>402</v>
      </c>
      <c r="D68" s="615" t="s">
        <v>403</v>
      </c>
      <c r="E68" s="616">
        <f>+'Building - Ngang'!$F$84</f>
        <v>-1.3905220136734482</v>
      </c>
      <c r="F68" s="615" t="s">
        <v>404</v>
      </c>
    </row>
    <row r="69" spans="1:15" ht="15" x14ac:dyDescent="0.25">
      <c r="A69" s="615" t="s">
        <v>422</v>
      </c>
      <c r="B69" s="615" t="s">
        <v>408</v>
      </c>
      <c r="C69" s="615" t="s">
        <v>402</v>
      </c>
      <c r="D69" s="615" t="s">
        <v>403</v>
      </c>
      <c r="E69" s="616">
        <f>'Bulding - Doc'!G83</f>
        <v>-3.3488917552152497E-2</v>
      </c>
      <c r="F69" s="615" t="s">
        <v>404</v>
      </c>
    </row>
    <row r="70" spans="1:15" ht="15" x14ac:dyDescent="0.25">
      <c r="A70" s="615" t="s">
        <v>422</v>
      </c>
      <c r="B70" s="615" t="s">
        <v>409</v>
      </c>
      <c r="C70" s="615" t="s">
        <v>402</v>
      </c>
      <c r="D70" s="615" t="s">
        <v>403</v>
      </c>
      <c r="E70" s="616">
        <f>'Bulding - Doc'!G58</f>
        <v>1.3144486518857417</v>
      </c>
      <c r="F70" s="615" t="s">
        <v>404</v>
      </c>
    </row>
    <row r="71" spans="1:15" ht="15" x14ac:dyDescent="0.25">
      <c r="A71" s="615" t="s">
        <v>422</v>
      </c>
      <c r="B71" s="615" t="s">
        <v>410</v>
      </c>
      <c r="C71" s="615" t="s">
        <v>402</v>
      </c>
      <c r="D71" s="615" t="s">
        <v>403</v>
      </c>
      <c r="E71" s="616">
        <f>+'Building - Ngang'!$G$84</f>
        <v>-0.73292145083118121</v>
      </c>
      <c r="F71" s="615" t="s">
        <v>404</v>
      </c>
    </row>
    <row r="72" spans="1:15" ht="18" x14ac:dyDescent="0.25">
      <c r="A72" s="615" t="s">
        <v>422</v>
      </c>
      <c r="B72" s="615" t="s">
        <v>411</v>
      </c>
      <c r="C72" s="615" t="s">
        <v>402</v>
      </c>
      <c r="D72" s="615" t="s">
        <v>403</v>
      </c>
      <c r="E72" s="616">
        <f>+'Building - Ngang'!$G$84</f>
        <v>-0.73292145083118121</v>
      </c>
      <c r="F72" s="615" t="s">
        <v>404</v>
      </c>
      <c r="G72" s="702"/>
      <c r="H72" s="702"/>
      <c r="I72" s="702"/>
      <c r="J72" s="702"/>
      <c r="K72" s="702"/>
      <c r="L72" s="702"/>
      <c r="M72" s="702"/>
      <c r="N72" s="702"/>
      <c r="O72" s="702"/>
    </row>
    <row r="73" spans="1:15" ht="15" x14ac:dyDescent="0.25">
      <c r="A73" s="623" t="s">
        <v>426</v>
      </c>
      <c r="B73" s="623" t="s">
        <v>401</v>
      </c>
      <c r="C73" s="623" t="s">
        <v>402</v>
      </c>
      <c r="D73" s="623" t="s">
        <v>403</v>
      </c>
      <c r="E73" s="624">
        <f>'Bulding - Doc'!F83</f>
        <v>-0.69108948039441942</v>
      </c>
      <c r="F73" s="623" t="s">
        <v>404</v>
      </c>
    </row>
    <row r="74" spans="1:15" ht="15" x14ac:dyDescent="0.25">
      <c r="A74" s="623" t="s">
        <v>426</v>
      </c>
      <c r="B74" s="623" t="s">
        <v>405</v>
      </c>
      <c r="C74" s="623" t="s">
        <v>402</v>
      </c>
      <c r="D74" s="623" t="s">
        <v>403</v>
      </c>
      <c r="E74" s="624">
        <f>'Bulding - Doc'!F57</f>
        <v>0.81170353840449572</v>
      </c>
      <c r="F74" s="623" t="s">
        <v>404</v>
      </c>
    </row>
    <row r="75" spans="1:15" ht="15" x14ac:dyDescent="0.25">
      <c r="A75" s="623" t="s">
        <v>426</v>
      </c>
      <c r="B75" s="623" t="s">
        <v>406</v>
      </c>
      <c r="C75" s="623" t="s">
        <v>402</v>
      </c>
      <c r="D75" s="623" t="s">
        <v>403</v>
      </c>
      <c r="E75" s="624">
        <f>+'Building - Ngang'!$F$84</f>
        <v>-1.3905220136734482</v>
      </c>
      <c r="F75" s="623" t="s">
        <v>404</v>
      </c>
    </row>
    <row r="76" spans="1:15" ht="15" x14ac:dyDescent="0.25">
      <c r="A76" s="623" t="s">
        <v>426</v>
      </c>
      <c r="B76" s="623" t="s">
        <v>407</v>
      </c>
      <c r="C76" s="623" t="s">
        <v>402</v>
      </c>
      <c r="D76" s="623" t="s">
        <v>403</v>
      </c>
      <c r="E76" s="624">
        <f>+'Building - Ngang'!$F$84</f>
        <v>-1.3905220136734482</v>
      </c>
      <c r="F76" s="623" t="s">
        <v>404</v>
      </c>
    </row>
    <row r="77" spans="1:15" ht="15" x14ac:dyDescent="0.25">
      <c r="A77" s="623" t="s">
        <v>426</v>
      </c>
      <c r="B77" s="623" t="s">
        <v>408</v>
      </c>
      <c r="C77" s="623" t="s">
        <v>402</v>
      </c>
      <c r="D77" s="623" t="s">
        <v>403</v>
      </c>
      <c r="E77" s="624">
        <f>'Bulding - Doc'!G83</f>
        <v>-3.3488917552152497E-2</v>
      </c>
      <c r="F77" s="623" t="s">
        <v>404</v>
      </c>
    </row>
    <row r="78" spans="1:15" ht="15" x14ac:dyDescent="0.25">
      <c r="A78" s="623" t="s">
        <v>426</v>
      </c>
      <c r="B78" s="623" t="s">
        <v>409</v>
      </c>
      <c r="C78" s="623" t="s">
        <v>402</v>
      </c>
      <c r="D78" s="623" t="s">
        <v>403</v>
      </c>
      <c r="E78" s="624">
        <f>'Bulding - Doc'!G57</f>
        <v>1.4693041012467627</v>
      </c>
      <c r="F78" s="623" t="s">
        <v>404</v>
      </c>
    </row>
    <row r="79" spans="1:15" ht="15" x14ac:dyDescent="0.25">
      <c r="A79" s="623" t="s">
        <v>426</v>
      </c>
      <c r="B79" s="623" t="s">
        <v>410</v>
      </c>
      <c r="C79" s="623" t="s">
        <v>402</v>
      </c>
      <c r="D79" s="623" t="s">
        <v>403</v>
      </c>
      <c r="E79" s="624">
        <f>+'Building - Ngang'!$G$84</f>
        <v>-0.73292145083118121</v>
      </c>
      <c r="F79" s="623" t="s">
        <v>404</v>
      </c>
    </row>
    <row r="80" spans="1:15" ht="18" x14ac:dyDescent="0.25">
      <c r="A80" s="623" t="s">
        <v>426</v>
      </c>
      <c r="B80" s="623" t="s">
        <v>411</v>
      </c>
      <c r="C80" s="623" t="s">
        <v>402</v>
      </c>
      <c r="D80" s="623" t="s">
        <v>403</v>
      </c>
      <c r="E80" s="624">
        <f>+'Building - Ngang'!$G$84</f>
        <v>-0.73292145083118121</v>
      </c>
      <c r="F80" s="623" t="s">
        <v>404</v>
      </c>
      <c r="G80" s="702"/>
      <c r="H80" s="702"/>
      <c r="I80" s="702"/>
      <c r="J80" s="702"/>
      <c r="K80" s="702"/>
      <c r="L80" s="702"/>
      <c r="M80" s="702"/>
      <c r="N80" s="702"/>
      <c r="O80" s="702"/>
    </row>
    <row r="81" spans="1:15" ht="15" x14ac:dyDescent="0.25">
      <c r="A81" s="640" t="s">
        <v>427</v>
      </c>
      <c r="B81" s="640" t="s">
        <v>401</v>
      </c>
      <c r="C81" s="640" t="s">
        <v>402</v>
      </c>
      <c r="D81" s="640" t="s">
        <v>403</v>
      </c>
      <c r="E81" s="641">
        <f>'Bulding - Doc'!F83</f>
        <v>-0.69108948039441942</v>
      </c>
      <c r="F81" s="640" t="s">
        <v>404</v>
      </c>
    </row>
    <row r="82" spans="1:15" ht="15" x14ac:dyDescent="0.25">
      <c r="A82" s="640" t="s">
        <v>427</v>
      </c>
      <c r="B82" s="640" t="s">
        <v>405</v>
      </c>
      <c r="C82" s="640" t="s">
        <v>402</v>
      </c>
      <c r="D82" s="640" t="s">
        <v>403</v>
      </c>
      <c r="E82" s="641">
        <f>'Bulding - Doc'!F56</f>
        <v>0.91333411505870399</v>
      </c>
      <c r="F82" s="640" t="s">
        <v>404</v>
      </c>
    </row>
    <row r="83" spans="1:15" ht="15" x14ac:dyDescent="0.25">
      <c r="A83" s="640" t="s">
        <v>427</v>
      </c>
      <c r="B83" s="640" t="s">
        <v>406</v>
      </c>
      <c r="C83" s="640" t="s">
        <v>402</v>
      </c>
      <c r="D83" s="640" t="s">
        <v>403</v>
      </c>
      <c r="E83" s="641">
        <f>+'Building - Ngang'!$F$84</f>
        <v>-1.3905220136734482</v>
      </c>
      <c r="F83" s="640" t="s">
        <v>404</v>
      </c>
    </row>
    <row r="84" spans="1:15" ht="15" x14ac:dyDescent="0.25">
      <c r="A84" s="640" t="s">
        <v>427</v>
      </c>
      <c r="B84" s="640" t="s">
        <v>407</v>
      </c>
      <c r="C84" s="640" t="s">
        <v>402</v>
      </c>
      <c r="D84" s="640" t="s">
        <v>403</v>
      </c>
      <c r="E84" s="641">
        <f>+'Building - Ngang'!$F$84</f>
        <v>-1.3905220136734482</v>
      </c>
      <c r="F84" s="640" t="s">
        <v>404</v>
      </c>
    </row>
    <row r="85" spans="1:15" ht="15" x14ac:dyDescent="0.25">
      <c r="A85" s="640" t="s">
        <v>427</v>
      </c>
      <c r="B85" s="640" t="s">
        <v>408</v>
      </c>
      <c r="C85" s="640" t="s">
        <v>402</v>
      </c>
      <c r="D85" s="640" t="s">
        <v>403</v>
      </c>
      <c r="E85" s="641">
        <f>'Bulding - Doc'!G83</f>
        <v>-3.3488917552152497E-2</v>
      </c>
      <c r="F85" s="640" t="s">
        <v>404</v>
      </c>
    </row>
    <row r="86" spans="1:15" ht="15" x14ac:dyDescent="0.25">
      <c r="A86" s="640" t="s">
        <v>427</v>
      </c>
      <c r="B86" s="640" t="s">
        <v>409</v>
      </c>
      <c r="C86" s="640" t="s">
        <v>402</v>
      </c>
      <c r="D86" s="640" t="s">
        <v>403</v>
      </c>
      <c r="E86" s="641">
        <f>'Bulding - Doc'!G56</f>
        <v>1.570934677900971</v>
      </c>
      <c r="F86" s="640" t="s">
        <v>404</v>
      </c>
    </row>
    <row r="87" spans="1:15" ht="15" x14ac:dyDescent="0.25">
      <c r="A87" s="640" t="s">
        <v>427</v>
      </c>
      <c r="B87" s="640" t="s">
        <v>410</v>
      </c>
      <c r="C87" s="640" t="s">
        <v>402</v>
      </c>
      <c r="D87" s="640" t="s">
        <v>403</v>
      </c>
      <c r="E87" s="641">
        <f>+'Building - Ngang'!$G$84</f>
        <v>-0.73292145083118121</v>
      </c>
      <c r="F87" s="640" t="s">
        <v>404</v>
      </c>
    </row>
    <row r="88" spans="1:15" ht="15.75" customHeight="1" x14ac:dyDescent="0.25">
      <c r="A88" s="640" t="s">
        <v>427</v>
      </c>
      <c r="B88" s="640" t="s">
        <v>411</v>
      </c>
      <c r="C88" s="640" t="s">
        <v>402</v>
      </c>
      <c r="D88" s="640" t="s">
        <v>403</v>
      </c>
      <c r="E88" s="641">
        <f>+'Building - Ngang'!$G$84</f>
        <v>-0.73292145083118121</v>
      </c>
      <c r="F88" s="640" t="s">
        <v>404</v>
      </c>
      <c r="G88" s="702"/>
      <c r="H88" s="702"/>
      <c r="I88" s="702"/>
      <c r="J88" s="702"/>
      <c r="K88" s="702"/>
      <c r="L88" s="702"/>
      <c r="M88" s="702"/>
      <c r="N88" s="702"/>
      <c r="O88" s="702"/>
    </row>
    <row r="89" spans="1:15" ht="15" x14ac:dyDescent="0.25">
      <c r="A89" s="621" t="s">
        <v>433</v>
      </c>
      <c r="B89" s="621" t="s">
        <v>401</v>
      </c>
      <c r="C89" s="621" t="s">
        <v>402</v>
      </c>
      <c r="D89" s="621" t="s">
        <v>403</v>
      </c>
      <c r="E89" s="622">
        <f>'Bulding - Doc'!F83</f>
        <v>-0.69108948039441942</v>
      </c>
      <c r="F89" s="621" t="s">
        <v>404</v>
      </c>
    </row>
    <row r="90" spans="1:15" ht="15" x14ac:dyDescent="0.25">
      <c r="A90" s="621" t="s">
        <v>433</v>
      </c>
      <c r="B90" s="621" t="s">
        <v>405</v>
      </c>
      <c r="C90" s="621" t="s">
        <v>402</v>
      </c>
      <c r="D90" s="621" t="s">
        <v>403</v>
      </c>
      <c r="E90" s="622">
        <f>'Bulding - Doc'!F55</f>
        <v>0.94119393768381809</v>
      </c>
      <c r="F90" s="621" t="s">
        <v>404</v>
      </c>
    </row>
    <row r="91" spans="1:15" ht="15" x14ac:dyDescent="0.25">
      <c r="A91" s="621" t="s">
        <v>433</v>
      </c>
      <c r="B91" s="621" t="s">
        <v>406</v>
      </c>
      <c r="C91" s="621" t="s">
        <v>402</v>
      </c>
      <c r="D91" s="621" t="s">
        <v>403</v>
      </c>
      <c r="E91" s="622">
        <f>+'Building - Ngang'!$F$84</f>
        <v>-1.3905220136734482</v>
      </c>
      <c r="F91" s="621" t="s">
        <v>404</v>
      </c>
    </row>
    <row r="92" spans="1:15" ht="15" x14ac:dyDescent="0.25">
      <c r="A92" s="621" t="s">
        <v>433</v>
      </c>
      <c r="B92" s="621" t="s">
        <v>407</v>
      </c>
      <c r="C92" s="621" t="s">
        <v>402</v>
      </c>
      <c r="D92" s="621" t="s">
        <v>403</v>
      </c>
      <c r="E92" s="622">
        <f>+'Building - Ngang'!$F$84</f>
        <v>-1.3905220136734482</v>
      </c>
      <c r="F92" s="621" t="s">
        <v>404</v>
      </c>
    </row>
    <row r="93" spans="1:15" ht="15" x14ac:dyDescent="0.25">
      <c r="A93" s="621" t="s">
        <v>433</v>
      </c>
      <c r="B93" s="621" t="s">
        <v>408</v>
      </c>
      <c r="C93" s="621" t="s">
        <v>402</v>
      </c>
      <c r="D93" s="621" t="s">
        <v>403</v>
      </c>
      <c r="E93" s="622">
        <f>'Bulding - Doc'!G83</f>
        <v>-3.3488917552152497E-2</v>
      </c>
      <c r="F93" s="621" t="s">
        <v>404</v>
      </c>
    </row>
    <row r="94" spans="1:15" ht="15" customHeight="1" x14ac:dyDescent="0.25">
      <c r="A94" s="621" t="s">
        <v>433</v>
      </c>
      <c r="B94" s="621" t="s">
        <v>409</v>
      </c>
      <c r="C94" s="621" t="s">
        <v>402</v>
      </c>
      <c r="D94" s="621" t="s">
        <v>403</v>
      </c>
      <c r="E94" s="622">
        <f>'Bulding - Doc'!G55</f>
        <v>1.5987945005260851</v>
      </c>
      <c r="F94" s="621" t="s">
        <v>404</v>
      </c>
      <c r="G94" s="702"/>
      <c r="H94" s="702"/>
      <c r="I94" s="702"/>
      <c r="J94" s="702"/>
      <c r="K94" s="702"/>
      <c r="L94" s="702"/>
      <c r="M94" s="702"/>
      <c r="N94" s="702"/>
      <c r="O94" s="702"/>
    </row>
    <row r="95" spans="1:15" ht="15" x14ac:dyDescent="0.25">
      <c r="A95" s="621" t="s">
        <v>433</v>
      </c>
      <c r="B95" s="621" t="s">
        <v>410</v>
      </c>
      <c r="C95" s="621" t="s">
        <v>402</v>
      </c>
      <c r="D95" s="621" t="s">
        <v>403</v>
      </c>
      <c r="E95" s="622">
        <f>+'Building - Ngang'!$G$84</f>
        <v>-0.73292145083118121</v>
      </c>
      <c r="F95" s="621" t="s">
        <v>404</v>
      </c>
    </row>
    <row r="96" spans="1:15" ht="15" x14ac:dyDescent="0.25">
      <c r="A96" s="621" t="s">
        <v>433</v>
      </c>
      <c r="B96" s="621" t="s">
        <v>411</v>
      </c>
      <c r="C96" s="621" t="s">
        <v>402</v>
      </c>
      <c r="D96" s="621" t="s">
        <v>403</v>
      </c>
      <c r="E96" s="622">
        <f>+'Building - Ngang'!$G$84</f>
        <v>-0.73292145083118121</v>
      </c>
      <c r="F96" s="621" t="s">
        <v>404</v>
      </c>
    </row>
    <row r="97" spans="1:15" ht="15" x14ac:dyDescent="0.25">
      <c r="A97" s="638" t="s">
        <v>423</v>
      </c>
      <c r="B97" s="638" t="s">
        <v>401</v>
      </c>
      <c r="C97" s="638" t="s">
        <v>402</v>
      </c>
      <c r="D97" s="638" t="s">
        <v>403</v>
      </c>
      <c r="E97" s="639">
        <f>'Bulding - Doc'!F84</f>
        <v>-1.4156678783409913</v>
      </c>
      <c r="F97" s="638" t="s">
        <v>404</v>
      </c>
    </row>
    <row r="98" spans="1:15" ht="15" x14ac:dyDescent="0.25">
      <c r="A98" s="638" t="s">
        <v>423</v>
      </c>
      <c r="B98" s="638" t="s">
        <v>405</v>
      </c>
      <c r="C98" s="638" t="s">
        <v>402</v>
      </c>
      <c r="D98" s="638" t="s">
        <v>403</v>
      </c>
      <c r="E98" s="639">
        <f>E97</f>
        <v>-1.4156678783409913</v>
      </c>
      <c r="F98" s="638" t="s">
        <v>404</v>
      </c>
    </row>
    <row r="99" spans="1:15" ht="15" x14ac:dyDescent="0.25">
      <c r="A99" s="638" t="s">
        <v>423</v>
      </c>
      <c r="B99" s="638" t="s">
        <v>407</v>
      </c>
      <c r="C99" s="638" t="s">
        <v>402</v>
      </c>
      <c r="D99" s="638" t="s">
        <v>403</v>
      </c>
      <c r="E99" s="639">
        <f>'Building - Ngang'!F58</f>
        <v>0.6340440413345112</v>
      </c>
      <c r="F99" s="638" t="s">
        <v>404</v>
      </c>
    </row>
    <row r="100" spans="1:15" ht="15" x14ac:dyDescent="0.25">
      <c r="A100" s="638" t="s">
        <v>423</v>
      </c>
      <c r="B100" s="638" t="s">
        <v>406</v>
      </c>
      <c r="C100" s="638" t="s">
        <v>402</v>
      </c>
      <c r="D100" s="638" t="s">
        <v>403</v>
      </c>
      <c r="E100" s="639">
        <f>+'Building - Ngang'!$F$83</f>
        <v>-1.087172947315644</v>
      </c>
      <c r="F100" s="638" t="s">
        <v>404</v>
      </c>
    </row>
    <row r="101" spans="1:15" ht="15" x14ac:dyDescent="0.25">
      <c r="A101" s="638" t="s">
        <v>423</v>
      </c>
      <c r="B101" s="638" t="s">
        <v>408</v>
      </c>
      <c r="C101" s="638" t="s">
        <v>402</v>
      </c>
      <c r="D101" s="638" t="s">
        <v>403</v>
      </c>
      <c r="E101" s="639">
        <f>+'Building - Ngang'!$G$84</f>
        <v>-0.73292145083118121</v>
      </c>
      <c r="F101" s="638" t="s">
        <v>404</v>
      </c>
    </row>
    <row r="102" spans="1:15" ht="15" x14ac:dyDescent="0.25">
      <c r="A102" s="638" t="s">
        <v>423</v>
      </c>
      <c r="B102" s="638" t="s">
        <v>409</v>
      </c>
      <c r="C102" s="638" t="s">
        <v>402</v>
      </c>
      <c r="D102" s="638" t="s">
        <v>403</v>
      </c>
      <c r="E102" s="639">
        <f>+'Building - Ngang'!$G$84</f>
        <v>-0.73292145083118121</v>
      </c>
      <c r="F102" s="638" t="s">
        <v>404</v>
      </c>
    </row>
    <row r="103" spans="1:15" ht="15" x14ac:dyDescent="0.25">
      <c r="A103" s="638" t="s">
        <v>423</v>
      </c>
      <c r="B103" s="638" t="s">
        <v>411</v>
      </c>
      <c r="C103" s="638" t="s">
        <v>402</v>
      </c>
      <c r="D103" s="638" t="s">
        <v>403</v>
      </c>
      <c r="E103" s="639">
        <f>'Building - Ngang'!G58</f>
        <v>1.291644604176778</v>
      </c>
      <c r="F103" s="638" t="s">
        <v>404</v>
      </c>
    </row>
    <row r="104" spans="1:15" ht="15" x14ac:dyDescent="0.25">
      <c r="A104" s="638" t="s">
        <v>423</v>
      </c>
      <c r="B104" s="638" t="s">
        <v>410</v>
      </c>
      <c r="C104" s="638" t="s">
        <v>402</v>
      </c>
      <c r="D104" s="638" t="s">
        <v>403</v>
      </c>
      <c r="E104" s="639">
        <f>'Building - Ngang'!$G$83</f>
        <v>-0.42957238447337714</v>
      </c>
      <c r="F104" s="638" t="s">
        <v>404</v>
      </c>
    </row>
    <row r="105" spans="1:15" ht="15" x14ac:dyDescent="0.25">
      <c r="A105" s="613" t="s">
        <v>430</v>
      </c>
      <c r="B105" s="613" t="s">
        <v>401</v>
      </c>
      <c r="C105" s="613" t="s">
        <v>402</v>
      </c>
      <c r="D105" s="613" t="s">
        <v>403</v>
      </c>
      <c r="E105" s="614">
        <f>'Building - Ngang'!$F$84</f>
        <v>-1.3905220136734482</v>
      </c>
      <c r="F105" s="613" t="s">
        <v>404</v>
      </c>
    </row>
    <row r="106" spans="1:15" ht="15" x14ac:dyDescent="0.25">
      <c r="A106" s="613" t="s">
        <v>430</v>
      </c>
      <c r="B106" s="613" t="s">
        <v>405</v>
      </c>
      <c r="C106" s="613" t="s">
        <v>402</v>
      </c>
      <c r="D106" s="613" t="s">
        <v>403</v>
      </c>
      <c r="E106" s="614">
        <f>'Building - Ngang'!$F$84</f>
        <v>-1.3905220136734482</v>
      </c>
      <c r="F106" s="613" t="s">
        <v>404</v>
      </c>
    </row>
    <row r="107" spans="1:15" ht="15" x14ac:dyDescent="0.25">
      <c r="A107" s="613" t="s">
        <v>430</v>
      </c>
      <c r="B107" s="613" t="s">
        <v>407</v>
      </c>
      <c r="C107" s="613" t="s">
        <v>402</v>
      </c>
      <c r="D107" s="613" t="s">
        <v>403</v>
      </c>
      <c r="E107" s="614">
        <f>'Building - Ngang'!$F$57</f>
        <v>0.78531674134897012</v>
      </c>
      <c r="F107" s="613" t="s">
        <v>404</v>
      </c>
    </row>
    <row r="108" spans="1:15" ht="15" x14ac:dyDescent="0.25">
      <c r="A108" s="613" t="s">
        <v>430</v>
      </c>
      <c r="B108" s="613" t="s">
        <v>406</v>
      </c>
      <c r="C108" s="613" t="s">
        <v>402</v>
      </c>
      <c r="D108" s="613" t="s">
        <v>403</v>
      </c>
      <c r="E108" s="614">
        <f>'Building - Ngang'!$F$83</f>
        <v>-1.087172947315644</v>
      </c>
      <c r="F108" s="613" t="s">
        <v>404</v>
      </c>
    </row>
    <row r="109" spans="1:15" ht="15" x14ac:dyDescent="0.25">
      <c r="A109" s="613" t="s">
        <v>430</v>
      </c>
      <c r="B109" s="613" t="s">
        <v>408</v>
      </c>
      <c r="C109" s="613" t="s">
        <v>402</v>
      </c>
      <c r="D109" s="613" t="s">
        <v>403</v>
      </c>
      <c r="E109" s="614">
        <f>'Building - Ngang'!$G$84</f>
        <v>-0.73292145083118121</v>
      </c>
      <c r="F109" s="613" t="s">
        <v>404</v>
      </c>
    </row>
    <row r="110" spans="1:15" ht="15" x14ac:dyDescent="0.25">
      <c r="A110" s="613" t="s">
        <v>430</v>
      </c>
      <c r="B110" s="613" t="s">
        <v>409</v>
      </c>
      <c r="C110" s="613" t="s">
        <v>402</v>
      </c>
      <c r="D110" s="613" t="s">
        <v>403</v>
      </c>
      <c r="E110" s="614">
        <f>'Building - Ngang'!$G$84</f>
        <v>-0.73292145083118121</v>
      </c>
      <c r="F110" s="613" t="s">
        <v>404</v>
      </c>
    </row>
    <row r="111" spans="1:15" ht="15" x14ac:dyDescent="0.25">
      <c r="A111" s="613" t="s">
        <v>430</v>
      </c>
      <c r="B111" s="613" t="s">
        <v>411</v>
      </c>
      <c r="C111" s="613" t="s">
        <v>402</v>
      </c>
      <c r="D111" s="613" t="s">
        <v>403</v>
      </c>
      <c r="E111" s="614">
        <f>'Building - Ngang'!$G$57</f>
        <v>1.4429173041912371</v>
      </c>
      <c r="F111" s="613" t="s">
        <v>404</v>
      </c>
    </row>
    <row r="112" spans="1:15" ht="14.25" customHeight="1" x14ac:dyDescent="0.25">
      <c r="A112" s="613" t="s">
        <v>430</v>
      </c>
      <c r="B112" s="613" t="s">
        <v>410</v>
      </c>
      <c r="C112" s="613" t="s">
        <v>402</v>
      </c>
      <c r="D112" s="613" t="s">
        <v>403</v>
      </c>
      <c r="E112" s="614">
        <f>'Building - Ngang'!$G$83</f>
        <v>-0.42957238447337714</v>
      </c>
      <c r="F112" s="613" t="s">
        <v>404</v>
      </c>
      <c r="G112" s="702"/>
      <c r="H112" s="702"/>
      <c r="I112" s="702"/>
      <c r="J112" s="702"/>
      <c r="K112" s="702"/>
      <c r="L112" s="702"/>
      <c r="M112" s="702"/>
      <c r="N112" s="702"/>
      <c r="O112" s="702"/>
    </row>
    <row r="113" spans="1:15" ht="15" x14ac:dyDescent="0.25">
      <c r="A113" s="623" t="s">
        <v>431</v>
      </c>
      <c r="B113" s="623" t="s">
        <v>401</v>
      </c>
      <c r="C113" s="623" t="s">
        <v>402</v>
      </c>
      <c r="D113" s="623" t="s">
        <v>403</v>
      </c>
      <c r="E113" s="624">
        <f>+'Building - Ngang'!$F$84</f>
        <v>-1.3905220136734482</v>
      </c>
      <c r="F113" s="623" t="s">
        <v>404</v>
      </c>
    </row>
    <row r="114" spans="1:15" ht="15" x14ac:dyDescent="0.25">
      <c r="A114" s="623" t="s">
        <v>431</v>
      </c>
      <c r="B114" s="623" t="s">
        <v>405</v>
      </c>
      <c r="C114" s="623" t="s">
        <v>402</v>
      </c>
      <c r="D114" s="623" t="s">
        <v>403</v>
      </c>
      <c r="E114" s="624">
        <f>+'Building - Ngang'!$F$84</f>
        <v>-1.3905220136734482</v>
      </c>
      <c r="F114" s="623" t="s">
        <v>404</v>
      </c>
    </row>
    <row r="115" spans="1:15" ht="15" x14ac:dyDescent="0.25">
      <c r="A115" s="623" t="s">
        <v>431</v>
      </c>
      <c r="B115" s="623" t="s">
        <v>407</v>
      </c>
      <c r="C115" s="623" t="s">
        <v>402</v>
      </c>
      <c r="D115" s="623" t="s">
        <v>403</v>
      </c>
      <c r="E115" s="624">
        <f>'Building - Ngang'!F56</f>
        <v>0.88459598401008344</v>
      </c>
      <c r="F115" s="623" t="s">
        <v>404</v>
      </c>
    </row>
    <row r="116" spans="1:15" ht="15" x14ac:dyDescent="0.25">
      <c r="A116" s="623" t="s">
        <v>431</v>
      </c>
      <c r="B116" s="623" t="s">
        <v>406</v>
      </c>
      <c r="C116" s="623" t="s">
        <v>402</v>
      </c>
      <c r="D116" s="623" t="s">
        <v>403</v>
      </c>
      <c r="E116" s="624">
        <f>'Building - Ngang'!$F$83</f>
        <v>-1.087172947315644</v>
      </c>
      <c r="F116" s="623" t="s">
        <v>404</v>
      </c>
    </row>
    <row r="117" spans="1:15" ht="15" x14ac:dyDescent="0.25">
      <c r="A117" s="623" t="s">
        <v>431</v>
      </c>
      <c r="B117" s="623" t="s">
        <v>408</v>
      </c>
      <c r="C117" s="623" t="s">
        <v>402</v>
      </c>
      <c r="D117" s="623" t="s">
        <v>403</v>
      </c>
      <c r="E117" s="624">
        <f>'Building - Ngang'!$G$84</f>
        <v>-0.73292145083118121</v>
      </c>
      <c r="F117" s="623" t="s">
        <v>404</v>
      </c>
    </row>
    <row r="118" spans="1:15" ht="15" x14ac:dyDescent="0.25">
      <c r="A118" s="623" t="s">
        <v>431</v>
      </c>
      <c r="B118" s="623" t="s">
        <v>409</v>
      </c>
      <c r="C118" s="623" t="s">
        <v>402</v>
      </c>
      <c r="D118" s="623" t="s">
        <v>403</v>
      </c>
      <c r="E118" s="624">
        <f>'Building - Ngang'!$G$84</f>
        <v>-0.73292145083118121</v>
      </c>
      <c r="F118" s="623" t="s">
        <v>404</v>
      </c>
    </row>
    <row r="119" spans="1:15" ht="15" x14ac:dyDescent="0.25">
      <c r="A119" s="623" t="s">
        <v>431</v>
      </c>
      <c r="B119" s="623" t="s">
        <v>411</v>
      </c>
      <c r="C119" s="623" t="s">
        <v>402</v>
      </c>
      <c r="D119" s="623" t="s">
        <v>403</v>
      </c>
      <c r="E119" s="624">
        <f>'Building - Ngang'!G56</f>
        <v>1.5421965468523504</v>
      </c>
      <c r="F119" s="623" t="s">
        <v>404</v>
      </c>
    </row>
    <row r="120" spans="1:15" ht="18" x14ac:dyDescent="0.25">
      <c r="A120" s="623" t="s">
        <v>431</v>
      </c>
      <c r="B120" s="623" t="s">
        <v>410</v>
      </c>
      <c r="C120" s="623" t="s">
        <v>402</v>
      </c>
      <c r="D120" s="623" t="s">
        <v>403</v>
      </c>
      <c r="E120" s="624">
        <f>'Building - Ngang'!$G$83</f>
        <v>-0.42957238447337714</v>
      </c>
      <c r="F120" s="623" t="s">
        <v>404</v>
      </c>
      <c r="G120" s="702"/>
      <c r="H120" s="702"/>
      <c r="I120" s="702"/>
      <c r="J120" s="702"/>
      <c r="K120" s="702"/>
      <c r="L120" s="702"/>
      <c r="M120" s="702"/>
      <c r="N120" s="702"/>
      <c r="O120" s="702"/>
    </row>
    <row r="121" spans="1:15" ht="18" x14ac:dyDescent="0.25">
      <c r="A121" s="642" t="s">
        <v>415</v>
      </c>
      <c r="B121" s="642" t="s">
        <v>50</v>
      </c>
      <c r="C121" s="642" t="s">
        <v>412</v>
      </c>
      <c r="D121" s="642" t="s">
        <v>413</v>
      </c>
      <c r="E121" s="683">
        <f>$E$3</f>
        <v>0.3</v>
      </c>
      <c r="F121" s="642" t="s">
        <v>404</v>
      </c>
      <c r="G121" s="604"/>
      <c r="H121" s="604"/>
      <c r="I121" s="604"/>
      <c r="J121" s="604"/>
      <c r="K121" s="604"/>
      <c r="L121" s="604"/>
      <c r="M121" s="604"/>
      <c r="N121" s="604"/>
      <c r="O121" s="604"/>
    </row>
    <row r="122" spans="1:15" ht="18" x14ac:dyDescent="0.25">
      <c r="A122" s="642" t="s">
        <v>415</v>
      </c>
      <c r="B122" s="642" t="s">
        <v>414</v>
      </c>
      <c r="C122" s="642" t="s">
        <v>412</v>
      </c>
      <c r="D122" s="642" t="s">
        <v>413</v>
      </c>
      <c r="E122" s="683">
        <f>$E$4</f>
        <v>0.3</v>
      </c>
      <c r="F122" s="642" t="s">
        <v>404</v>
      </c>
      <c r="G122" s="604"/>
      <c r="H122" s="604"/>
      <c r="I122" s="604"/>
      <c r="J122" s="604"/>
      <c r="K122" s="604"/>
      <c r="L122" s="604"/>
      <c r="M122" s="604"/>
      <c r="N122" s="604"/>
      <c r="O122" s="604"/>
    </row>
    <row r="123" spans="1:15" ht="15" x14ac:dyDescent="0.25">
      <c r="A123" s="642" t="s">
        <v>415</v>
      </c>
      <c r="B123" s="642" t="s">
        <v>401</v>
      </c>
      <c r="C123" s="642" t="s">
        <v>402</v>
      </c>
      <c r="D123" s="642" t="s">
        <v>403</v>
      </c>
      <c r="E123" s="683">
        <f>'Bulding - Doc'!F85</f>
        <v>-1.7262014774609507</v>
      </c>
      <c r="F123" s="642" t="s">
        <v>404</v>
      </c>
    </row>
    <row r="124" spans="1:15" ht="15" x14ac:dyDescent="0.25">
      <c r="A124" s="642" t="s">
        <v>415</v>
      </c>
      <c r="B124" s="642" t="s">
        <v>405</v>
      </c>
      <c r="C124" s="642" t="s">
        <v>402</v>
      </c>
      <c r="D124" s="642" t="s">
        <v>403</v>
      </c>
      <c r="E124" s="683">
        <f>'Bulding - Doc'!F85</f>
        <v>-1.7262014774609507</v>
      </c>
      <c r="F124" s="642" t="s">
        <v>404</v>
      </c>
    </row>
    <row r="125" spans="1:15" ht="15" x14ac:dyDescent="0.25">
      <c r="A125" s="642" t="s">
        <v>415</v>
      </c>
      <c r="B125" s="642" t="s">
        <v>406</v>
      </c>
      <c r="C125" s="642" t="s">
        <v>402</v>
      </c>
      <c r="D125" s="642" t="s">
        <v>403</v>
      </c>
      <c r="E125" s="683">
        <f>'Building - Ngang'!F89</f>
        <v>-1.1478427722358091</v>
      </c>
      <c r="F125" s="642" t="s">
        <v>404</v>
      </c>
    </row>
    <row r="126" spans="1:15" ht="15" x14ac:dyDescent="0.25">
      <c r="A126" s="642" t="s">
        <v>415</v>
      </c>
      <c r="B126" s="642" t="s">
        <v>407</v>
      </c>
      <c r="C126" s="642" t="s">
        <v>402</v>
      </c>
      <c r="D126" s="642" t="s">
        <v>403</v>
      </c>
      <c r="E126" s="683">
        <f>'Building - Ngang'!F85</f>
        <v>-1.736339957475368</v>
      </c>
      <c r="F126" s="642" t="s">
        <v>404</v>
      </c>
    </row>
    <row r="127" spans="1:15" ht="15" x14ac:dyDescent="0.25">
      <c r="A127" s="642" t="s">
        <v>415</v>
      </c>
      <c r="B127" s="642" t="s">
        <v>408</v>
      </c>
      <c r="C127" s="642" t="s">
        <v>402</v>
      </c>
      <c r="D127" s="642" t="s">
        <v>403</v>
      </c>
      <c r="E127" s="683">
        <f>'Bulding - Doc'!G85</f>
        <v>-1.0686009146186837</v>
      </c>
      <c r="F127" s="642" t="s">
        <v>404</v>
      </c>
    </row>
    <row r="128" spans="1:15" ht="15" x14ac:dyDescent="0.25">
      <c r="A128" s="642" t="s">
        <v>415</v>
      </c>
      <c r="B128" s="642" t="s">
        <v>409</v>
      </c>
      <c r="C128" s="642" t="s">
        <v>402</v>
      </c>
      <c r="D128" s="642" t="s">
        <v>403</v>
      </c>
      <c r="E128" s="683">
        <f>E127</f>
        <v>-1.0686009146186837</v>
      </c>
      <c r="F128" s="642" t="s">
        <v>404</v>
      </c>
    </row>
    <row r="129" spans="1:15" ht="15" x14ac:dyDescent="0.25">
      <c r="A129" s="642" t="s">
        <v>415</v>
      </c>
      <c r="B129" s="642" t="s">
        <v>410</v>
      </c>
      <c r="C129" s="642" t="s">
        <v>402</v>
      </c>
      <c r="D129" s="642" t="s">
        <v>403</v>
      </c>
      <c r="E129" s="683">
        <f>'Building - Ngang'!G89</f>
        <v>-0.49024220939354218</v>
      </c>
      <c r="F129" s="642" t="s">
        <v>404</v>
      </c>
    </row>
    <row r="130" spans="1:15" ht="15" x14ac:dyDescent="0.25">
      <c r="A130" s="642" t="s">
        <v>415</v>
      </c>
      <c r="B130" s="642" t="s">
        <v>411</v>
      </c>
      <c r="C130" s="642" t="s">
        <v>402</v>
      </c>
      <c r="D130" s="642" t="s">
        <v>403</v>
      </c>
      <c r="E130" s="683">
        <f>'Building - Ngang'!G85</f>
        <v>-1.078739394633101</v>
      </c>
      <c r="F130" s="642" t="s">
        <v>404</v>
      </c>
    </row>
    <row r="131" spans="1:15" ht="18" x14ac:dyDescent="0.25">
      <c r="A131" s="643" t="s">
        <v>416</v>
      </c>
      <c r="B131" s="643" t="s">
        <v>50</v>
      </c>
      <c r="C131" s="643" t="s">
        <v>412</v>
      </c>
      <c r="D131" s="643" t="s">
        <v>413</v>
      </c>
      <c r="E131" s="684">
        <f>$E$3</f>
        <v>0.3</v>
      </c>
      <c r="F131" s="643" t="s">
        <v>404</v>
      </c>
      <c r="G131" s="604"/>
      <c r="H131" s="604"/>
      <c r="I131" s="604"/>
      <c r="J131" s="604"/>
      <c r="K131" s="604"/>
      <c r="L131" s="604"/>
      <c r="M131" s="604"/>
      <c r="N131" s="604"/>
      <c r="O131" s="604"/>
    </row>
    <row r="132" spans="1:15" ht="18" x14ac:dyDescent="0.25">
      <c r="A132" s="643" t="s">
        <v>416</v>
      </c>
      <c r="B132" s="643" t="s">
        <v>414</v>
      </c>
      <c r="C132" s="643" t="s">
        <v>412</v>
      </c>
      <c r="D132" s="643" t="s">
        <v>413</v>
      </c>
      <c r="E132" s="684">
        <f>$E$4</f>
        <v>0.3</v>
      </c>
      <c r="F132" s="643" t="s">
        <v>404</v>
      </c>
      <c r="G132" s="604"/>
      <c r="H132" s="604"/>
      <c r="I132" s="604"/>
      <c r="J132" s="604"/>
      <c r="K132" s="604"/>
      <c r="L132" s="604"/>
      <c r="M132" s="604"/>
      <c r="N132" s="604"/>
      <c r="O132" s="604"/>
    </row>
    <row r="133" spans="1:15" ht="15" x14ac:dyDescent="0.25">
      <c r="A133" s="643" t="s">
        <v>416</v>
      </c>
      <c r="B133" s="643" t="s">
        <v>401</v>
      </c>
      <c r="C133" s="643" t="s">
        <v>402</v>
      </c>
      <c r="D133" s="643" t="s">
        <v>403</v>
      </c>
      <c r="E133" s="684">
        <f>E123</f>
        <v>-1.7262014774609507</v>
      </c>
      <c r="F133" s="643" t="s">
        <v>404</v>
      </c>
    </row>
    <row r="134" spans="1:15" ht="15" x14ac:dyDescent="0.25">
      <c r="A134" s="643" t="s">
        <v>416</v>
      </c>
      <c r="B134" s="643" t="s">
        <v>405</v>
      </c>
      <c r="C134" s="643" t="s">
        <v>402</v>
      </c>
      <c r="D134" s="643" t="s">
        <v>403</v>
      </c>
      <c r="E134" s="684">
        <f>E133</f>
        <v>-1.7262014774609507</v>
      </c>
      <c r="F134" s="643" t="s">
        <v>404</v>
      </c>
    </row>
    <row r="135" spans="1:15" ht="15" x14ac:dyDescent="0.25">
      <c r="A135" s="643" t="s">
        <v>416</v>
      </c>
      <c r="B135" s="643" t="s">
        <v>406</v>
      </c>
      <c r="C135" s="643" t="s">
        <v>402</v>
      </c>
      <c r="D135" s="643" t="s">
        <v>403</v>
      </c>
      <c r="E135" s="684">
        <f>'Building - Ngang'!F85</f>
        <v>-1.736339957475368</v>
      </c>
      <c r="F135" s="643" t="s">
        <v>404</v>
      </c>
    </row>
    <row r="136" spans="1:15" ht="15" x14ac:dyDescent="0.25">
      <c r="A136" s="643" t="s">
        <v>416</v>
      </c>
      <c r="B136" s="643" t="s">
        <v>407</v>
      </c>
      <c r="C136" s="643" t="s">
        <v>402</v>
      </c>
      <c r="D136" s="643" t="s">
        <v>403</v>
      </c>
      <c r="E136" s="684">
        <f>'Building - Ngang'!F89</f>
        <v>-1.1478427722358091</v>
      </c>
      <c r="F136" s="643" t="s">
        <v>404</v>
      </c>
    </row>
    <row r="137" spans="1:15" ht="15" x14ac:dyDescent="0.25">
      <c r="A137" s="643" t="s">
        <v>416</v>
      </c>
      <c r="B137" s="643" t="s">
        <v>408</v>
      </c>
      <c r="C137" s="643" t="s">
        <v>402</v>
      </c>
      <c r="D137" s="643" t="s">
        <v>403</v>
      </c>
      <c r="E137" s="684">
        <f>'Bulding - Doc'!G85</f>
        <v>-1.0686009146186837</v>
      </c>
      <c r="F137" s="643" t="s">
        <v>404</v>
      </c>
    </row>
    <row r="138" spans="1:15" ht="15" x14ac:dyDescent="0.25">
      <c r="A138" s="643" t="s">
        <v>416</v>
      </c>
      <c r="B138" s="643" t="s">
        <v>409</v>
      </c>
      <c r="C138" s="643" t="s">
        <v>402</v>
      </c>
      <c r="D138" s="643" t="s">
        <v>403</v>
      </c>
      <c r="E138" s="684">
        <f>E137</f>
        <v>-1.0686009146186837</v>
      </c>
      <c r="F138" s="643" t="s">
        <v>404</v>
      </c>
    </row>
    <row r="139" spans="1:15" ht="15" x14ac:dyDescent="0.25">
      <c r="A139" s="643" t="s">
        <v>416</v>
      </c>
      <c r="B139" s="643" t="s">
        <v>410</v>
      </c>
      <c r="C139" s="643" t="s">
        <v>402</v>
      </c>
      <c r="D139" s="643" t="s">
        <v>403</v>
      </c>
      <c r="E139" s="684">
        <f>'Building - Ngang'!G85</f>
        <v>-1.078739394633101</v>
      </c>
      <c r="F139" s="643" t="s">
        <v>404</v>
      </c>
    </row>
    <row r="140" spans="1:15" ht="15" x14ac:dyDescent="0.25">
      <c r="A140" s="643" t="s">
        <v>416</v>
      </c>
      <c r="B140" s="643" t="s">
        <v>411</v>
      </c>
      <c r="C140" s="643" t="s">
        <v>402</v>
      </c>
      <c r="D140" s="643" t="s">
        <v>403</v>
      </c>
      <c r="E140" s="684">
        <f>'Building - Ngang'!G89</f>
        <v>-0.49024220939354218</v>
      </c>
      <c r="F140" s="643" t="s">
        <v>404</v>
      </c>
    </row>
  </sheetData>
  <mergeCells count="12">
    <mergeCell ref="A4:D4"/>
    <mergeCell ref="G112:O112"/>
    <mergeCell ref="G120:O120"/>
    <mergeCell ref="I8:Q8"/>
    <mergeCell ref="G94:O94"/>
    <mergeCell ref="G14:O14"/>
    <mergeCell ref="G72:O72"/>
    <mergeCell ref="G22:O22"/>
    <mergeCell ref="G80:O80"/>
    <mergeCell ref="G88:O88"/>
    <mergeCell ref="G54:O54"/>
    <mergeCell ref="G62:O62"/>
  </mergeCell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00DCD-AA86-43E1-B48A-0DB351F37236}">
  <sheetPr codeName="Sheet3"/>
  <dimension ref="A1:FH305"/>
  <sheetViews>
    <sheetView showGridLines="0" topLeftCell="CW1" zoomScaleNormal="100" workbookViewId="0">
      <selection activeCell="DK23" sqref="DK23"/>
    </sheetView>
  </sheetViews>
  <sheetFormatPr defaultRowHeight="12.75" x14ac:dyDescent="0.2"/>
  <cols>
    <col min="1" max="1" width="10.85546875" style="53" customWidth="1"/>
    <col min="2" max="6" width="9.7109375" style="53" customWidth="1"/>
    <col min="7" max="8" width="9.28515625" style="53" customWidth="1"/>
    <col min="9" max="9" width="5.7109375" style="53" customWidth="1"/>
    <col min="10" max="10" width="11.140625" style="53" customWidth="1"/>
    <col min="11" max="12" width="10.7109375" hidden="1" customWidth="1"/>
    <col min="13" max="13" width="0" style="13" hidden="1" customWidth="1"/>
    <col min="14" max="14" width="11.7109375" style="13" hidden="1" customWidth="1"/>
    <col min="15" max="26" width="0" style="13" hidden="1" customWidth="1"/>
    <col min="27" max="27" width="0" style="20" hidden="1" customWidth="1"/>
    <col min="28" max="39" width="0" style="13" hidden="1" customWidth="1"/>
    <col min="40" max="41" width="0" hidden="1" customWidth="1"/>
    <col min="42" max="42" width="13.28515625" style="13" hidden="1" customWidth="1"/>
    <col min="43" max="43" width="5.7109375" style="13" hidden="1" customWidth="1"/>
    <col min="44" max="44" width="9.7109375" style="13" hidden="1" customWidth="1"/>
    <col min="45" max="56" width="5.7109375" style="13" hidden="1" customWidth="1"/>
    <col min="57" max="57" width="6.7109375" hidden="1" customWidth="1"/>
    <col min="58" max="59" width="0" hidden="1" customWidth="1"/>
    <col min="60" max="60" width="0" style="13" hidden="1" customWidth="1"/>
    <col min="61" max="61" width="5.7109375" style="13" hidden="1" customWidth="1"/>
    <col min="62" max="62" width="0" style="13" hidden="1" customWidth="1"/>
    <col min="63" max="74" width="5.7109375" style="13" hidden="1" customWidth="1"/>
    <col min="75" max="75" width="6.7109375" hidden="1" customWidth="1"/>
    <col min="76" max="77" width="0" hidden="1" customWidth="1"/>
    <col min="78" max="78" width="0" style="13" hidden="1" customWidth="1"/>
    <col min="79" max="79" width="5.7109375" style="13" hidden="1" customWidth="1"/>
    <col min="80" max="92" width="0" style="13" hidden="1" customWidth="1"/>
    <col min="93" max="95" width="0" hidden="1" customWidth="1"/>
    <col min="96" max="96" width="11.7109375" hidden="1" customWidth="1"/>
    <col min="97" max="100" width="0" hidden="1" customWidth="1"/>
    <col min="101" max="102" width="9.140625" style="53"/>
    <col min="103" max="104" width="6.7109375" style="53" customWidth="1"/>
    <col min="105" max="115" width="5.7109375" style="53" customWidth="1"/>
    <col min="116" max="117" width="9.140625" style="53"/>
    <col min="118" max="118" width="5.7109375" style="53" customWidth="1"/>
    <col min="119" max="119" width="9.140625" style="53"/>
    <col min="120" max="143" width="5.7109375" style="53" customWidth="1"/>
    <col min="144" max="145" width="9.140625" style="53"/>
    <col min="146" max="146" width="5.7109375" style="53" customWidth="1"/>
    <col min="147" max="147" width="9.140625" style="53"/>
    <col min="148" max="159" width="5.7109375" style="53" customWidth="1"/>
    <col min="160" max="160" width="9.140625" style="53"/>
    <col min="161" max="161" width="11.7109375" style="53" customWidth="1"/>
    <col min="162" max="164" width="9.140625" style="53"/>
  </cols>
  <sheetData>
    <row r="1" spans="1:164" ht="15.75" x14ac:dyDescent="0.25">
      <c r="A1" s="33" t="s">
        <v>160</v>
      </c>
      <c r="B1" s="34"/>
      <c r="C1" s="34"/>
      <c r="D1" s="34"/>
      <c r="E1" s="34"/>
      <c r="F1" s="34"/>
      <c r="G1" s="34"/>
      <c r="H1" s="34"/>
      <c r="I1" s="34"/>
      <c r="J1" s="45"/>
      <c r="K1" s="470"/>
      <c r="L1" s="470"/>
      <c r="M1" s="194"/>
      <c r="N1" s="471" t="s">
        <v>335</v>
      </c>
      <c r="O1" s="194"/>
      <c r="P1" s="194"/>
      <c r="Q1" s="194"/>
      <c r="R1" s="194"/>
      <c r="S1" s="194"/>
      <c r="T1" s="194"/>
      <c r="U1" s="194"/>
      <c r="V1" s="194"/>
      <c r="W1" s="194"/>
      <c r="X1" s="194"/>
      <c r="Y1" s="194"/>
      <c r="Z1" s="194"/>
      <c r="AA1" s="472"/>
      <c r="AB1" s="194"/>
      <c r="AC1" s="194"/>
      <c r="AD1" s="194"/>
      <c r="AE1" s="194"/>
      <c r="AF1" s="194"/>
      <c r="AG1" s="194"/>
      <c r="AH1" s="194"/>
      <c r="AI1" s="194"/>
      <c r="AJ1" s="194"/>
      <c r="AK1" s="194"/>
      <c r="AL1" s="194"/>
      <c r="AM1" s="194"/>
      <c r="AN1" s="470"/>
      <c r="AO1" s="470"/>
      <c r="AP1" s="194"/>
      <c r="AQ1" s="194"/>
      <c r="AR1" s="194"/>
      <c r="AS1" s="194"/>
      <c r="AT1" s="194"/>
      <c r="AU1" s="194"/>
      <c r="AV1" s="194"/>
      <c r="AW1" s="194"/>
      <c r="AX1" s="194"/>
      <c r="AY1" s="194"/>
      <c r="AZ1" s="194"/>
      <c r="BA1" s="194"/>
      <c r="BB1" s="194"/>
      <c r="BC1" s="194"/>
      <c r="BD1" s="194"/>
      <c r="BE1" s="470"/>
      <c r="BF1" s="470"/>
      <c r="BG1" s="470"/>
      <c r="BH1" s="194"/>
      <c r="BI1" s="194"/>
      <c r="BJ1" s="194"/>
      <c r="BK1" s="194"/>
      <c r="BL1" s="194"/>
      <c r="BM1" s="194"/>
      <c r="BN1" s="194"/>
      <c r="BO1" s="194"/>
      <c r="BP1" s="194"/>
      <c r="BQ1" s="194"/>
      <c r="BR1" s="194"/>
      <c r="BS1" s="194"/>
      <c r="BT1" s="194"/>
      <c r="BU1" s="194"/>
      <c r="BV1" s="194"/>
      <c r="BW1" s="470"/>
      <c r="BX1" s="470"/>
      <c r="BY1" s="470"/>
      <c r="BZ1" s="194"/>
      <c r="CA1" s="194"/>
      <c r="CB1" s="194"/>
      <c r="CC1" s="194"/>
      <c r="CD1" s="194"/>
      <c r="CE1" s="194"/>
      <c r="CF1" s="194"/>
      <c r="CG1" s="194"/>
      <c r="CH1" s="194"/>
      <c r="CI1" s="194"/>
      <c r="CJ1" s="194"/>
      <c r="CK1" s="194"/>
      <c r="CL1" s="194"/>
      <c r="CM1" s="194"/>
      <c r="CN1" s="194"/>
      <c r="CO1" s="470"/>
      <c r="CP1" s="470"/>
      <c r="CQ1" s="470"/>
      <c r="CR1" s="470"/>
      <c r="CS1" s="470"/>
      <c r="CT1" s="470"/>
      <c r="CU1" s="470"/>
      <c r="CV1" s="470"/>
      <c r="CW1" s="473" t="s">
        <v>388</v>
      </c>
    </row>
    <row r="2" spans="1:164" ht="14.25" x14ac:dyDescent="0.2">
      <c r="A2" s="35" t="s">
        <v>218</v>
      </c>
      <c r="B2" s="46"/>
      <c r="C2" s="36"/>
      <c r="D2" s="36"/>
      <c r="E2" s="36"/>
      <c r="F2" s="36"/>
      <c r="G2" s="36"/>
      <c r="H2" s="36"/>
      <c r="I2" s="36"/>
      <c r="J2" s="47"/>
      <c r="L2" s="6"/>
    </row>
    <row r="3" spans="1:164" x14ac:dyDescent="0.2">
      <c r="A3" s="48" t="s">
        <v>77</v>
      </c>
      <c r="B3" s="49"/>
      <c r="C3" s="37"/>
      <c r="D3" s="37"/>
      <c r="E3" s="37"/>
      <c r="F3" s="37"/>
      <c r="G3" s="37"/>
      <c r="H3" s="37"/>
      <c r="I3" s="37"/>
      <c r="J3" s="50"/>
      <c r="L3" s="6">
        <v>85</v>
      </c>
      <c r="N3" s="13" t="s">
        <v>170</v>
      </c>
    </row>
    <row r="4" spans="1:164" x14ac:dyDescent="0.2">
      <c r="A4" s="145" t="s">
        <v>267</v>
      </c>
      <c r="B4" s="579">
        <f>Input!B4</f>
        <v>0</v>
      </c>
      <c r="C4" s="148"/>
      <c r="D4" s="148"/>
      <c r="E4" s="148"/>
      <c r="F4" s="152" t="s">
        <v>69</v>
      </c>
      <c r="G4" s="580">
        <f>Input!F4</f>
        <v>0</v>
      </c>
      <c r="H4" s="148"/>
      <c r="I4" s="148"/>
      <c r="J4" s="153"/>
      <c r="L4" s="6">
        <v>90</v>
      </c>
      <c r="N4" s="23" t="s">
        <v>78</v>
      </c>
      <c r="O4" s="24"/>
      <c r="P4" s="24"/>
      <c r="Q4" s="24"/>
      <c r="R4" s="24"/>
      <c r="S4" s="23" t="s">
        <v>79</v>
      </c>
      <c r="T4" s="24"/>
      <c r="U4" s="24"/>
      <c r="V4" s="24"/>
      <c r="W4" s="24"/>
      <c r="X4" s="24"/>
      <c r="Y4" s="24"/>
      <c r="Z4" s="25"/>
      <c r="AP4" s="23" t="s">
        <v>80</v>
      </c>
      <c r="AQ4" s="24"/>
      <c r="AR4" s="24"/>
      <c r="AS4" s="24"/>
      <c r="AT4" s="186"/>
      <c r="AU4" s="187" t="s">
        <v>79</v>
      </c>
      <c r="AV4" s="188"/>
      <c r="AW4" s="188"/>
      <c r="AX4" s="188"/>
      <c r="AY4" s="188"/>
      <c r="AZ4" s="188"/>
      <c r="BA4" s="188"/>
      <c r="BB4" s="188"/>
      <c r="BC4" s="188"/>
      <c r="BD4" s="186"/>
      <c r="BH4" s="23" t="s">
        <v>80</v>
      </c>
      <c r="BI4" s="24"/>
      <c r="BJ4" s="24"/>
      <c r="BK4" s="24"/>
      <c r="BL4" s="186"/>
      <c r="BM4" s="187" t="s">
        <v>79</v>
      </c>
      <c r="BN4" s="188"/>
      <c r="BO4" s="188"/>
      <c r="BP4" s="188"/>
      <c r="BQ4" s="188"/>
      <c r="BR4" s="188"/>
      <c r="BS4" s="188"/>
      <c r="BT4" s="188"/>
      <c r="BU4" s="188"/>
      <c r="BV4" s="186"/>
      <c r="BZ4" s="23" t="s">
        <v>80</v>
      </c>
      <c r="CA4" s="24"/>
      <c r="CB4" s="24"/>
      <c r="CC4" s="24"/>
      <c r="CD4" s="186"/>
      <c r="CE4" s="187" t="s">
        <v>79</v>
      </c>
      <c r="CF4" s="188"/>
      <c r="CG4" s="188"/>
      <c r="CH4" s="188"/>
      <c r="CI4" s="188"/>
      <c r="CJ4" s="188"/>
      <c r="CK4" s="188"/>
      <c r="CL4" s="188"/>
      <c r="CM4" s="188"/>
      <c r="CN4" s="186"/>
      <c r="CR4" s="276" t="s">
        <v>148</v>
      </c>
      <c r="CS4" s="277"/>
      <c r="CT4" s="277"/>
      <c r="CU4" s="30"/>
    </row>
    <row r="5" spans="1:164" x14ac:dyDescent="0.2">
      <c r="A5" s="51" t="s">
        <v>268</v>
      </c>
      <c r="B5" s="579">
        <f>Input!B5</f>
        <v>0</v>
      </c>
      <c r="C5" s="149"/>
      <c r="D5" s="150"/>
      <c r="E5" s="151"/>
      <c r="F5" s="147" t="s">
        <v>68</v>
      </c>
      <c r="G5" s="581">
        <f>Input!F5</f>
        <v>0</v>
      </c>
      <c r="H5" s="154" t="s">
        <v>67</v>
      </c>
      <c r="I5" s="582">
        <f>Input!H5</f>
        <v>0</v>
      </c>
      <c r="J5" s="146"/>
      <c r="L5" s="6">
        <v>100</v>
      </c>
      <c r="N5" s="23" t="s">
        <v>81</v>
      </c>
      <c r="O5" s="25"/>
      <c r="P5" s="23" t="s">
        <v>82</v>
      </c>
      <c r="Q5" s="24"/>
      <c r="R5" s="25"/>
      <c r="S5" s="29" t="s">
        <v>83</v>
      </c>
      <c r="T5" s="189"/>
      <c r="U5" s="189"/>
      <c r="V5" s="189"/>
      <c r="W5" s="189"/>
      <c r="X5" s="189"/>
      <c r="Y5" s="189"/>
      <c r="Z5" s="190"/>
      <c r="AB5" s="13" t="s">
        <v>91</v>
      </c>
      <c r="AP5" s="191" t="s">
        <v>84</v>
      </c>
      <c r="AQ5" s="192"/>
      <c r="AR5" s="191" t="s">
        <v>82</v>
      </c>
      <c r="AS5" s="193"/>
      <c r="AT5" s="192"/>
      <c r="AU5" s="194"/>
      <c r="AV5" s="194"/>
      <c r="AW5" s="194"/>
      <c r="AX5" s="194"/>
      <c r="AY5" s="194"/>
      <c r="AZ5" s="194"/>
      <c r="BA5" s="194"/>
      <c r="BB5" s="194"/>
      <c r="BC5" s="194"/>
      <c r="BD5" s="195"/>
      <c r="BH5" s="191" t="s">
        <v>84</v>
      </c>
      <c r="BI5" s="192"/>
      <c r="BJ5" s="191" t="s">
        <v>82</v>
      </c>
      <c r="BK5" s="193"/>
      <c r="BL5" s="192"/>
      <c r="BM5" s="194"/>
      <c r="BN5" s="194"/>
      <c r="BO5" s="194"/>
      <c r="BP5" s="194"/>
      <c r="BQ5" s="194"/>
      <c r="BR5" s="194"/>
      <c r="BS5" s="194"/>
      <c r="BT5" s="194"/>
      <c r="BU5" s="194"/>
      <c r="BV5" s="195"/>
      <c r="BZ5" s="191" t="s">
        <v>84</v>
      </c>
      <c r="CA5" s="192"/>
      <c r="CB5" s="191" t="s">
        <v>82</v>
      </c>
      <c r="CC5" s="193"/>
      <c r="CD5" s="192"/>
      <c r="CE5" s="194"/>
      <c r="CF5" s="194"/>
      <c r="CG5" s="194"/>
      <c r="CH5" s="194"/>
      <c r="CI5" s="194"/>
      <c r="CJ5" s="194"/>
      <c r="CK5" s="194"/>
      <c r="CL5" s="194"/>
      <c r="CM5" s="194"/>
      <c r="CN5" s="195"/>
      <c r="CR5" s="191" t="s">
        <v>156</v>
      </c>
      <c r="CS5" s="193"/>
      <c r="CT5" s="193"/>
      <c r="CU5" s="192"/>
      <c r="CX5" s="466" t="s">
        <v>221</v>
      </c>
      <c r="DM5" s="466" t="s">
        <v>223</v>
      </c>
      <c r="EO5" s="466" t="s">
        <v>222</v>
      </c>
      <c r="FE5" s="466" t="s">
        <v>224</v>
      </c>
    </row>
    <row r="6" spans="1:164" x14ac:dyDescent="0.2">
      <c r="A6" s="52"/>
      <c r="B6" s="462"/>
      <c r="C6" s="462"/>
      <c r="D6" s="462"/>
      <c r="E6" s="462"/>
      <c r="F6" s="462"/>
      <c r="G6" s="462"/>
      <c r="H6" s="463"/>
      <c r="I6" s="464"/>
      <c r="J6" s="465"/>
      <c r="L6" s="6">
        <v>105</v>
      </c>
      <c r="N6" s="23" t="s">
        <v>85</v>
      </c>
      <c r="O6" s="24"/>
      <c r="P6" s="24"/>
      <c r="Q6" s="24"/>
      <c r="R6" s="25"/>
      <c r="S6" s="31" t="s">
        <v>86</v>
      </c>
      <c r="T6" s="196"/>
      <c r="U6" s="196"/>
      <c r="V6" s="196"/>
      <c r="W6" s="196"/>
      <c r="X6" s="196"/>
      <c r="Y6" s="196"/>
      <c r="Z6" s="32"/>
      <c r="AC6" s="408" t="s">
        <v>187</v>
      </c>
      <c r="AD6" s="40" t="e">
        <f>IF($C$15="Gable",DEGREES(ATAN(($C$11-$C$12)/($C$13/2))),DEGREES(ATAN(($C$11-$C$12)/($C$13))))</f>
        <v>#REF!</v>
      </c>
      <c r="AE6" s="72" t="s">
        <v>42</v>
      </c>
      <c r="AF6" s="20" t="s">
        <v>259</v>
      </c>
      <c r="AP6" s="187" t="s">
        <v>85</v>
      </c>
      <c r="AQ6" s="188"/>
      <c r="AR6" s="193"/>
      <c r="AS6" s="193"/>
      <c r="AT6" s="474"/>
      <c r="AU6" s="191" t="s">
        <v>86</v>
      </c>
      <c r="AV6" s="474"/>
      <c r="AW6" s="474"/>
      <c r="AX6" s="193"/>
      <c r="AY6" s="193"/>
      <c r="AZ6" s="193"/>
      <c r="BA6" s="193"/>
      <c r="BB6" s="193"/>
      <c r="BC6" s="193"/>
      <c r="BD6" s="192"/>
      <c r="BH6" s="187" t="s">
        <v>85</v>
      </c>
      <c r="BI6" s="188"/>
      <c r="BJ6" s="193"/>
      <c r="BK6" s="193"/>
      <c r="BL6" s="474"/>
      <c r="BM6" s="191" t="s">
        <v>86</v>
      </c>
      <c r="BN6" s="474"/>
      <c r="BO6" s="474"/>
      <c r="BP6" s="193"/>
      <c r="BQ6" s="193"/>
      <c r="BR6" s="193"/>
      <c r="BS6" s="193"/>
      <c r="BT6" s="193"/>
      <c r="BU6" s="193"/>
      <c r="BV6" s="192"/>
      <c r="BZ6" s="187" t="s">
        <v>85</v>
      </c>
      <c r="CA6" s="188"/>
      <c r="CB6" s="193"/>
      <c r="CC6" s="193"/>
      <c r="CD6" s="474"/>
      <c r="CE6" s="191" t="s">
        <v>86</v>
      </c>
      <c r="CF6" s="474"/>
      <c r="CG6" s="474"/>
      <c r="CH6" s="193"/>
      <c r="CI6" s="193"/>
      <c r="CJ6" s="193"/>
      <c r="CK6" s="193"/>
      <c r="CL6" s="193"/>
      <c r="CM6" s="193"/>
      <c r="CN6" s="192"/>
      <c r="CR6" s="197" t="s">
        <v>149</v>
      </c>
      <c r="CS6" s="187" t="s">
        <v>150</v>
      </c>
      <c r="CT6" s="188"/>
      <c r="CU6" s="186"/>
      <c r="CW6" s="57"/>
      <c r="CX6" s="297" t="s">
        <v>78</v>
      </c>
      <c r="CY6" s="298"/>
      <c r="CZ6" s="298"/>
      <c r="DA6" s="298"/>
      <c r="DB6" s="298"/>
      <c r="DC6" s="297" t="s">
        <v>79</v>
      </c>
      <c r="DD6" s="298"/>
      <c r="DE6" s="298"/>
      <c r="DF6" s="298"/>
      <c r="DG6" s="298"/>
      <c r="DH6" s="298"/>
      <c r="DI6" s="298"/>
      <c r="DJ6" s="298"/>
      <c r="DK6" s="299"/>
      <c r="DM6" s="297" t="s">
        <v>80</v>
      </c>
      <c r="DN6" s="298"/>
      <c r="DO6" s="298"/>
      <c r="DP6" s="298"/>
      <c r="DQ6" s="300"/>
      <c r="DR6" s="301" t="s">
        <v>79</v>
      </c>
      <c r="DS6" s="302"/>
      <c r="DT6" s="302"/>
      <c r="DU6" s="302"/>
      <c r="DV6" s="302"/>
      <c r="DW6" s="302"/>
      <c r="DX6" s="302"/>
      <c r="DY6" s="302"/>
      <c r="DZ6" s="302"/>
      <c r="EA6" s="303"/>
      <c r="EB6" s="303"/>
      <c r="EC6" s="303"/>
      <c r="ED6" s="303"/>
      <c r="EE6" s="303"/>
      <c r="EF6" s="303"/>
      <c r="EG6" s="303"/>
      <c r="EH6" s="303"/>
      <c r="EI6" s="303"/>
      <c r="EJ6" s="303"/>
      <c r="EK6" s="303"/>
      <c r="EL6" s="303"/>
      <c r="EM6" s="304"/>
      <c r="EO6" s="297" t="s">
        <v>80</v>
      </c>
      <c r="EP6" s="298"/>
      <c r="EQ6" s="298"/>
      <c r="ER6" s="298"/>
      <c r="ES6" s="300"/>
      <c r="ET6" s="301" t="s">
        <v>79</v>
      </c>
      <c r="EU6" s="302"/>
      <c r="EV6" s="302"/>
      <c r="EW6" s="302"/>
      <c r="EX6" s="302"/>
      <c r="EY6" s="302"/>
      <c r="EZ6" s="302"/>
      <c r="FA6" s="302"/>
      <c r="FB6" s="302"/>
      <c r="FC6" s="300"/>
      <c r="FE6" s="305" t="s">
        <v>148</v>
      </c>
      <c r="FF6" s="306"/>
      <c r="FG6" s="306"/>
      <c r="FH6" s="307"/>
    </row>
    <row r="7" spans="1:164" x14ac:dyDescent="0.2">
      <c r="A7" s="54" t="s">
        <v>313</v>
      </c>
      <c r="B7" s="462"/>
      <c r="C7" s="462"/>
      <c r="D7" s="462"/>
      <c r="E7" s="462"/>
      <c r="F7" s="462"/>
      <c r="G7" s="103"/>
      <c r="H7" s="273"/>
      <c r="I7" s="573"/>
      <c r="J7" s="574"/>
      <c r="L7" s="6">
        <v>110</v>
      </c>
      <c r="N7" s="31" t="s">
        <v>87</v>
      </c>
      <c r="O7" s="196"/>
      <c r="P7" s="196"/>
      <c r="Q7" s="196"/>
      <c r="R7" s="196"/>
      <c r="S7" s="196"/>
      <c r="T7" s="196"/>
      <c r="U7" s="196"/>
      <c r="V7" s="196"/>
      <c r="W7" s="196"/>
      <c r="X7" s="196"/>
      <c r="Y7" s="196"/>
      <c r="Z7" s="32"/>
      <c r="AC7" s="408" t="s">
        <v>318</v>
      </c>
      <c r="AD7" s="40" t="e">
        <f>IF($AD$6&lt;=10,$C$12,($C$11+$C$12)/2)</f>
        <v>#REF!</v>
      </c>
      <c r="AE7" s="13" t="s">
        <v>311</v>
      </c>
      <c r="AF7" s="486" t="s">
        <v>188</v>
      </c>
      <c r="AP7" s="187" t="s">
        <v>233</v>
      </c>
      <c r="AQ7" s="188"/>
      <c r="AR7" s="188"/>
      <c r="AS7" s="188"/>
      <c r="AT7" s="188"/>
      <c r="AU7" s="188"/>
      <c r="AV7" s="188"/>
      <c r="AW7" s="188"/>
      <c r="AX7" s="188"/>
      <c r="AY7" s="188"/>
      <c r="AZ7" s="188"/>
      <c r="BA7" s="188"/>
      <c r="BB7" s="188"/>
      <c r="BC7" s="188"/>
      <c r="BD7" s="186"/>
      <c r="BH7" s="187" t="s">
        <v>234</v>
      </c>
      <c r="BI7" s="188"/>
      <c r="BJ7" s="188"/>
      <c r="BK7" s="188"/>
      <c r="BL7" s="188"/>
      <c r="BM7" s="188"/>
      <c r="BN7" s="188"/>
      <c r="BO7" s="188"/>
      <c r="BP7" s="188"/>
      <c r="BQ7" s="188"/>
      <c r="BR7" s="188"/>
      <c r="BS7" s="188"/>
      <c r="BT7" s="188"/>
      <c r="BU7" s="188"/>
      <c r="BV7" s="186"/>
      <c r="BZ7" s="187" t="s">
        <v>235</v>
      </c>
      <c r="CA7" s="188"/>
      <c r="CB7" s="188"/>
      <c r="CC7" s="188"/>
      <c r="CD7" s="188"/>
      <c r="CE7" s="188"/>
      <c r="CF7" s="188"/>
      <c r="CG7" s="188"/>
      <c r="CH7" s="188"/>
      <c r="CI7" s="188"/>
      <c r="CJ7" s="188"/>
      <c r="CK7" s="188"/>
      <c r="CL7" s="188"/>
      <c r="CM7" s="188"/>
      <c r="CN7" s="186"/>
      <c r="CQ7" s="200" t="s">
        <v>99</v>
      </c>
      <c r="CR7" s="22" t="s">
        <v>151</v>
      </c>
      <c r="CS7" s="198" t="s">
        <v>13</v>
      </c>
      <c r="CT7" s="198" t="s">
        <v>319</v>
      </c>
      <c r="CU7" s="198" t="s">
        <v>50</v>
      </c>
      <c r="CW7" s="57"/>
      <c r="CX7" s="298" t="s">
        <v>81</v>
      </c>
      <c r="CY7" s="308"/>
      <c r="CZ7" s="297" t="s">
        <v>82</v>
      </c>
      <c r="DA7" s="298"/>
      <c r="DB7" s="308"/>
      <c r="DC7" s="309" t="s">
        <v>83</v>
      </c>
      <c r="DD7" s="310"/>
      <c r="DE7" s="310"/>
      <c r="DF7" s="310"/>
      <c r="DG7" s="310"/>
      <c r="DH7" s="310"/>
      <c r="DI7" s="310"/>
      <c r="DJ7" s="310"/>
      <c r="DK7" s="311"/>
      <c r="DM7" s="312" t="s">
        <v>84</v>
      </c>
      <c r="DN7" s="313"/>
      <c r="DO7" s="312" t="s">
        <v>82</v>
      </c>
      <c r="DP7" s="314"/>
      <c r="DQ7" s="313"/>
      <c r="DR7" s="315"/>
      <c r="DS7" s="316"/>
      <c r="DT7" s="316"/>
      <c r="DU7" s="316"/>
      <c r="DV7" s="316"/>
      <c r="DW7" s="316"/>
      <c r="DX7" s="316"/>
      <c r="DY7" s="316"/>
      <c r="DZ7" s="316"/>
      <c r="EA7" s="317"/>
      <c r="EB7" s="317"/>
      <c r="EC7" s="317"/>
      <c r="ED7" s="317"/>
      <c r="EE7" s="317"/>
      <c r="EF7" s="317"/>
      <c r="EG7" s="317"/>
      <c r="EH7" s="317"/>
      <c r="EI7" s="317"/>
      <c r="EJ7" s="317"/>
      <c r="EK7" s="317"/>
      <c r="EL7" s="317"/>
      <c r="EM7" s="318"/>
      <c r="EO7" s="312" t="s">
        <v>84</v>
      </c>
      <c r="EP7" s="313"/>
      <c r="EQ7" s="312" t="s">
        <v>82</v>
      </c>
      <c r="ER7" s="314"/>
      <c r="ES7" s="313"/>
      <c r="ET7" s="316"/>
      <c r="EU7" s="316"/>
      <c r="EV7" s="316"/>
      <c r="EW7" s="316"/>
      <c r="EX7" s="316"/>
      <c r="EY7" s="316"/>
      <c r="EZ7" s="316"/>
      <c r="FA7" s="316"/>
      <c r="FB7" s="316"/>
      <c r="FC7" s="319"/>
      <c r="FE7" s="320" t="s">
        <v>167</v>
      </c>
      <c r="FF7" s="321"/>
      <c r="FG7" s="321"/>
      <c r="FH7" s="322"/>
    </row>
    <row r="8" spans="1:164" x14ac:dyDescent="0.2">
      <c r="A8" s="52"/>
      <c r="B8" s="56" t="s">
        <v>314</v>
      </c>
      <c r="C8" s="588" t="e">
        <f>Input!#REF!</f>
        <v>#REF!</v>
      </c>
      <c r="D8" s="103" t="s">
        <v>199</v>
      </c>
      <c r="E8" s="103"/>
      <c r="J8" s="57"/>
      <c r="L8" s="6">
        <v>120</v>
      </c>
      <c r="N8" s="26" t="s">
        <v>88</v>
      </c>
      <c r="O8" s="26" t="s">
        <v>20</v>
      </c>
      <c r="P8" s="26" t="s">
        <v>89</v>
      </c>
      <c r="Q8" s="23" t="s">
        <v>90</v>
      </c>
      <c r="R8" s="24"/>
      <c r="S8" s="24"/>
      <c r="T8" s="24"/>
      <c r="U8" s="24"/>
      <c r="V8" s="24"/>
      <c r="W8" s="24"/>
      <c r="X8" s="24"/>
      <c r="Y8" s="24"/>
      <c r="Z8" s="25"/>
      <c r="AP8" s="21" t="s">
        <v>92</v>
      </c>
      <c r="AQ8" s="21" t="s">
        <v>23</v>
      </c>
      <c r="AR8" s="21" t="s">
        <v>25</v>
      </c>
      <c r="AS8" s="187" t="s">
        <v>24</v>
      </c>
      <c r="AT8" s="188"/>
      <c r="AU8" s="188"/>
      <c r="AV8" s="188"/>
      <c r="AW8" s="188"/>
      <c r="AX8" s="188"/>
      <c r="AY8" s="188"/>
      <c r="AZ8" s="188"/>
      <c r="BA8" s="188"/>
      <c r="BB8" s="188"/>
      <c r="BC8" s="188"/>
      <c r="BD8" s="186"/>
      <c r="BH8" s="21" t="s">
        <v>92</v>
      </c>
      <c r="BI8" s="21" t="s">
        <v>23</v>
      </c>
      <c r="BJ8" s="21" t="s">
        <v>25</v>
      </c>
      <c r="BK8" s="187" t="s">
        <v>24</v>
      </c>
      <c r="BL8" s="188"/>
      <c r="BM8" s="188"/>
      <c r="BN8" s="188"/>
      <c r="BO8" s="188"/>
      <c r="BP8" s="188"/>
      <c r="BQ8" s="188"/>
      <c r="BR8" s="188"/>
      <c r="BS8" s="188"/>
      <c r="BT8" s="188"/>
      <c r="BU8" s="188"/>
      <c r="BV8" s="186"/>
      <c r="BZ8" s="197" t="s">
        <v>92</v>
      </c>
      <c r="CA8" s="197" t="s">
        <v>23</v>
      </c>
      <c r="CB8" s="197" t="s">
        <v>25</v>
      </c>
      <c r="CC8" s="187" t="s">
        <v>24</v>
      </c>
      <c r="CD8" s="188"/>
      <c r="CE8" s="188"/>
      <c r="CF8" s="188"/>
      <c r="CG8" s="188"/>
      <c r="CH8" s="188"/>
      <c r="CI8" s="188"/>
      <c r="CJ8" s="188"/>
      <c r="CK8" s="188"/>
      <c r="CL8" s="188"/>
      <c r="CM8" s="188"/>
      <c r="CN8" s="186"/>
      <c r="CQ8" s="278">
        <v>1</v>
      </c>
      <c r="CR8" s="205">
        <v>15</v>
      </c>
      <c r="CS8" s="279">
        <v>1</v>
      </c>
      <c r="CT8" s="280">
        <v>1.21</v>
      </c>
      <c r="CU8" s="281">
        <v>1.47</v>
      </c>
      <c r="CV8" s="201"/>
      <c r="CW8" s="57"/>
      <c r="CX8" s="298" t="s">
        <v>85</v>
      </c>
      <c r="CY8" s="298"/>
      <c r="CZ8" s="298"/>
      <c r="DA8" s="298"/>
      <c r="DB8" s="308"/>
      <c r="DC8" s="323" t="s">
        <v>86</v>
      </c>
      <c r="DD8" s="324"/>
      <c r="DE8" s="324"/>
      <c r="DF8" s="324"/>
      <c r="DG8" s="324"/>
      <c r="DH8" s="324"/>
      <c r="DI8" s="324"/>
      <c r="DJ8" s="324"/>
      <c r="DK8" s="325"/>
      <c r="DM8" s="301" t="s">
        <v>85</v>
      </c>
      <c r="DN8" s="302"/>
      <c r="DO8" s="314"/>
      <c r="DP8" s="314"/>
      <c r="DQ8" s="326"/>
      <c r="DR8" s="312" t="s">
        <v>86</v>
      </c>
      <c r="DS8" s="314"/>
      <c r="DT8" s="314"/>
      <c r="DU8" s="314"/>
      <c r="DV8" s="314"/>
      <c r="DW8" s="314"/>
      <c r="DX8" s="314"/>
      <c r="DY8" s="314"/>
      <c r="DZ8" s="314"/>
      <c r="EA8" s="321"/>
      <c r="EB8" s="321"/>
      <c r="EC8" s="321"/>
      <c r="ED8" s="321"/>
      <c r="EE8" s="321"/>
      <c r="EF8" s="321"/>
      <c r="EG8" s="321"/>
      <c r="EH8" s="321"/>
      <c r="EI8" s="321"/>
      <c r="EJ8" s="321"/>
      <c r="EK8" s="321"/>
      <c r="EL8" s="321"/>
      <c r="EM8" s="322"/>
      <c r="EO8" s="301" t="s">
        <v>85</v>
      </c>
      <c r="EP8" s="302"/>
      <c r="EQ8" s="314"/>
      <c r="ER8" s="314"/>
      <c r="ES8" s="326"/>
      <c r="ET8" s="312" t="s">
        <v>86</v>
      </c>
      <c r="EU8" s="326"/>
      <c r="EV8" s="326"/>
      <c r="EW8" s="314"/>
      <c r="EX8" s="314"/>
      <c r="EY8" s="314"/>
      <c r="EZ8" s="314"/>
      <c r="FA8" s="314"/>
      <c r="FB8" s="314"/>
      <c r="FC8" s="313"/>
      <c r="FE8" s="184" t="s">
        <v>149</v>
      </c>
      <c r="FF8" s="327" t="s">
        <v>150</v>
      </c>
      <c r="FG8" s="303"/>
      <c r="FH8" s="304"/>
    </row>
    <row r="9" spans="1:164" x14ac:dyDescent="0.2">
      <c r="A9" s="52"/>
      <c r="B9" s="56" t="s">
        <v>108</v>
      </c>
      <c r="C9" s="589" t="e">
        <f>Input!#REF!</f>
        <v>#REF!</v>
      </c>
      <c r="D9" s="416" t="s">
        <v>245</v>
      </c>
      <c r="J9" s="57"/>
      <c r="L9" s="6">
        <v>125</v>
      </c>
      <c r="N9" s="28" t="s">
        <v>93</v>
      </c>
      <c r="O9" s="28" t="s">
        <v>94</v>
      </c>
      <c r="P9" s="28" t="s">
        <v>95</v>
      </c>
      <c r="Q9" s="24" t="s">
        <v>96</v>
      </c>
      <c r="R9" s="24"/>
      <c r="S9" s="24"/>
      <c r="T9" s="25"/>
      <c r="U9" s="24" t="s">
        <v>97</v>
      </c>
      <c r="V9" s="24"/>
      <c r="W9" s="24"/>
      <c r="X9" s="25"/>
      <c r="Y9" s="23" t="s">
        <v>98</v>
      </c>
      <c r="Z9" s="25"/>
      <c r="AP9" s="21" t="s">
        <v>21</v>
      </c>
      <c r="AQ9" s="21"/>
      <c r="AR9" s="21" t="s">
        <v>26</v>
      </c>
      <c r="AS9" s="198">
        <v>85</v>
      </c>
      <c r="AT9" s="198">
        <v>90</v>
      </c>
      <c r="AU9" s="198">
        <v>100</v>
      </c>
      <c r="AV9" s="198">
        <v>105</v>
      </c>
      <c r="AW9" s="198">
        <v>110</v>
      </c>
      <c r="AX9" s="198">
        <v>120</v>
      </c>
      <c r="AY9" s="198">
        <v>125</v>
      </c>
      <c r="AZ9" s="198">
        <v>130</v>
      </c>
      <c r="BA9" s="198">
        <v>140</v>
      </c>
      <c r="BB9" s="198">
        <v>145</v>
      </c>
      <c r="BC9" s="198">
        <v>150</v>
      </c>
      <c r="BD9" s="199">
        <v>170</v>
      </c>
      <c r="BE9" s="200" t="s">
        <v>27</v>
      </c>
      <c r="BF9" s="201" t="e">
        <f>$C$8</f>
        <v>#REF!</v>
      </c>
      <c r="BH9" s="21" t="s">
        <v>21</v>
      </c>
      <c r="BI9" s="21"/>
      <c r="BJ9" s="21" t="s">
        <v>26</v>
      </c>
      <c r="BK9" s="198">
        <v>85</v>
      </c>
      <c r="BL9" s="198">
        <v>90</v>
      </c>
      <c r="BM9" s="198">
        <v>100</v>
      </c>
      <c r="BN9" s="198">
        <v>105</v>
      </c>
      <c r="BO9" s="198">
        <v>110</v>
      </c>
      <c r="BP9" s="198">
        <v>120</v>
      </c>
      <c r="BQ9" s="198">
        <v>125</v>
      </c>
      <c r="BR9" s="198">
        <v>130</v>
      </c>
      <c r="BS9" s="198">
        <v>140</v>
      </c>
      <c r="BT9" s="198">
        <v>145</v>
      </c>
      <c r="BU9" s="198">
        <v>150</v>
      </c>
      <c r="BV9" s="199">
        <v>170</v>
      </c>
      <c r="BW9" s="200" t="s">
        <v>27</v>
      </c>
      <c r="BX9" s="201" t="e">
        <f>$C$8</f>
        <v>#REF!</v>
      </c>
      <c r="BY9" s="201"/>
      <c r="BZ9" s="22" t="s">
        <v>21</v>
      </c>
      <c r="CA9" s="22"/>
      <c r="CB9" s="22" t="s">
        <v>26</v>
      </c>
      <c r="CC9" s="198">
        <v>85</v>
      </c>
      <c r="CD9" s="198">
        <v>90</v>
      </c>
      <c r="CE9" s="198">
        <v>100</v>
      </c>
      <c r="CF9" s="198">
        <v>105</v>
      </c>
      <c r="CG9" s="198">
        <v>110</v>
      </c>
      <c r="CH9" s="198">
        <v>120</v>
      </c>
      <c r="CI9" s="198">
        <v>125</v>
      </c>
      <c r="CJ9" s="198">
        <v>130</v>
      </c>
      <c r="CK9" s="198">
        <v>140</v>
      </c>
      <c r="CL9" s="198">
        <v>145</v>
      </c>
      <c r="CM9" s="198">
        <v>150</v>
      </c>
      <c r="CN9" s="198">
        <v>170</v>
      </c>
      <c r="CO9" s="200" t="s">
        <v>27</v>
      </c>
      <c r="CP9" s="201" t="e">
        <f>$C$8</f>
        <v>#REF!</v>
      </c>
      <c r="CQ9" s="278">
        <v>2</v>
      </c>
      <c r="CR9" s="223">
        <v>20</v>
      </c>
      <c r="CS9" s="282">
        <v>1</v>
      </c>
      <c r="CT9" s="283">
        <v>1.29</v>
      </c>
      <c r="CU9" s="284">
        <v>1.55</v>
      </c>
      <c r="CV9" s="475"/>
      <c r="CW9" s="57"/>
      <c r="CX9" s="298" t="s">
        <v>87</v>
      </c>
      <c r="CY9" s="298"/>
      <c r="CZ9" s="298"/>
      <c r="DA9" s="298"/>
      <c r="DB9" s="298"/>
      <c r="DC9" s="298"/>
      <c r="DD9" s="298"/>
      <c r="DE9" s="298"/>
      <c r="DF9" s="298"/>
      <c r="DG9" s="298"/>
      <c r="DH9" s="298"/>
      <c r="DI9" s="298"/>
      <c r="DJ9" s="298"/>
      <c r="DK9" s="299"/>
      <c r="DM9" s="301" t="s">
        <v>231</v>
      </c>
      <c r="DN9" s="302"/>
      <c r="DO9" s="302"/>
      <c r="DP9" s="302"/>
      <c r="DQ9" s="302"/>
      <c r="DR9" s="302"/>
      <c r="DS9" s="302"/>
      <c r="DT9" s="302"/>
      <c r="DU9" s="302"/>
      <c r="DV9" s="302"/>
      <c r="DW9" s="302"/>
      <c r="DX9" s="302"/>
      <c r="DY9" s="302"/>
      <c r="DZ9" s="302"/>
      <c r="EA9" s="303"/>
      <c r="EB9" s="303"/>
      <c r="EC9" s="303"/>
      <c r="ED9" s="303"/>
      <c r="EE9" s="303"/>
      <c r="EF9" s="303"/>
      <c r="EG9" s="303"/>
      <c r="EH9" s="303"/>
      <c r="EI9" s="303"/>
      <c r="EJ9" s="303"/>
      <c r="EK9" s="303"/>
      <c r="EL9" s="303"/>
      <c r="EM9" s="304"/>
      <c r="EO9" s="301" t="s">
        <v>232</v>
      </c>
      <c r="EP9" s="302"/>
      <c r="EQ9" s="302"/>
      <c r="ER9" s="302"/>
      <c r="ES9" s="302"/>
      <c r="ET9" s="302"/>
      <c r="EU9" s="302"/>
      <c r="EV9" s="302"/>
      <c r="EW9" s="302"/>
      <c r="EX9" s="302"/>
      <c r="EY9" s="302"/>
      <c r="EZ9" s="302"/>
      <c r="FA9" s="302"/>
      <c r="FB9" s="302"/>
      <c r="FC9" s="300"/>
      <c r="FE9" s="328" t="s">
        <v>151</v>
      </c>
      <c r="FF9" s="329" t="s">
        <v>13</v>
      </c>
      <c r="FG9" s="329" t="s">
        <v>319</v>
      </c>
      <c r="FH9" s="329" t="s">
        <v>50</v>
      </c>
    </row>
    <row r="10" spans="1:164" x14ac:dyDescent="0.2">
      <c r="A10" s="52"/>
      <c r="B10" s="56" t="s">
        <v>109</v>
      </c>
      <c r="C10" s="590" t="e">
        <f>Input!#REF!</f>
        <v>#REF!</v>
      </c>
      <c r="D10" s="416" t="s">
        <v>197</v>
      </c>
      <c r="F10" s="58" t="e">
        <f>IF($C$12&gt;$C$11,"hr MUST BE&gt;=he !","")</f>
        <v>#REF!</v>
      </c>
      <c r="J10" s="214"/>
      <c r="L10" s="6">
        <v>130</v>
      </c>
      <c r="M10" s="200" t="s">
        <v>99</v>
      </c>
      <c r="N10" s="27" t="s">
        <v>100</v>
      </c>
      <c r="O10" s="27" t="s">
        <v>101</v>
      </c>
      <c r="P10" s="27"/>
      <c r="Q10" s="5" t="s">
        <v>46</v>
      </c>
      <c r="R10" s="5" t="s">
        <v>13</v>
      </c>
      <c r="S10" s="5" t="s">
        <v>319</v>
      </c>
      <c r="T10" s="5" t="s">
        <v>50</v>
      </c>
      <c r="U10" s="5" t="s">
        <v>102</v>
      </c>
      <c r="V10" s="5" t="s">
        <v>103</v>
      </c>
      <c r="W10" s="5" t="s">
        <v>361</v>
      </c>
      <c r="X10" s="5" t="s">
        <v>104</v>
      </c>
      <c r="Y10" s="5" t="s">
        <v>105</v>
      </c>
      <c r="Z10" s="5" t="s">
        <v>106</v>
      </c>
      <c r="AA10" s="201" t="s">
        <v>99</v>
      </c>
      <c r="AB10" s="202"/>
      <c r="AC10" s="203" t="s">
        <v>107</v>
      </c>
      <c r="AD10" s="5" t="s">
        <v>46</v>
      </c>
      <c r="AE10" s="5" t="s">
        <v>13</v>
      </c>
      <c r="AF10" s="198" t="s">
        <v>319</v>
      </c>
      <c r="AG10" s="198" t="s">
        <v>50</v>
      </c>
      <c r="AH10" s="198" t="s">
        <v>102</v>
      </c>
      <c r="AI10" s="198" t="s">
        <v>103</v>
      </c>
      <c r="AJ10" s="198" t="s">
        <v>361</v>
      </c>
      <c r="AK10" s="198" t="s">
        <v>104</v>
      </c>
      <c r="AL10" s="198" t="s">
        <v>105</v>
      </c>
      <c r="AM10" s="198" t="s">
        <v>106</v>
      </c>
      <c r="AN10" s="15"/>
      <c r="AP10" s="197"/>
      <c r="AQ10" s="204">
        <v>1</v>
      </c>
      <c r="AR10" s="205">
        <v>10</v>
      </c>
      <c r="AS10" s="206">
        <v>5.3</v>
      </c>
      <c r="AT10" s="206">
        <v>5.9</v>
      </c>
      <c r="AU10" s="206">
        <v>7.3</v>
      </c>
      <c r="AV10" s="206">
        <v>8.1</v>
      </c>
      <c r="AW10" s="206">
        <v>8.9</v>
      </c>
      <c r="AX10" s="206">
        <v>10.5</v>
      </c>
      <c r="AY10" s="206">
        <v>11.4</v>
      </c>
      <c r="AZ10" s="206">
        <v>12.4</v>
      </c>
      <c r="BA10" s="206">
        <v>14.3</v>
      </c>
      <c r="BB10" s="569">
        <v>15.4</v>
      </c>
      <c r="BC10" s="207">
        <v>16.5</v>
      </c>
      <c r="BD10" s="208">
        <v>21.1</v>
      </c>
      <c r="BE10" s="200" t="s">
        <v>22</v>
      </c>
      <c r="BF10" s="475" t="e">
        <f t="shared" ref="BF10:BF55" si="0">LOOKUP($C$8,$AS$9:$BD$9,$AS10:$BD10)</f>
        <v>#REF!</v>
      </c>
      <c r="BG10" s="8"/>
      <c r="BH10" s="197"/>
      <c r="BI10" s="204">
        <v>1</v>
      </c>
      <c r="BJ10" s="205">
        <v>10</v>
      </c>
      <c r="BK10" s="206">
        <v>-13</v>
      </c>
      <c r="BL10" s="206">
        <v>-14.6</v>
      </c>
      <c r="BM10" s="206">
        <v>-18</v>
      </c>
      <c r="BN10" s="206">
        <v>-19.8</v>
      </c>
      <c r="BO10" s="206">
        <v>-21.8</v>
      </c>
      <c r="BP10" s="206">
        <v>-25.9</v>
      </c>
      <c r="BQ10" s="206">
        <v>-28.1</v>
      </c>
      <c r="BR10" s="206">
        <v>-30.4</v>
      </c>
      <c r="BS10" s="206">
        <v>-35.299999999999997</v>
      </c>
      <c r="BT10" s="569">
        <v>-37.799999999999997</v>
      </c>
      <c r="BU10" s="207">
        <v>-40.5</v>
      </c>
      <c r="BV10" s="208">
        <v>-52</v>
      </c>
      <c r="BW10" s="200" t="s">
        <v>22</v>
      </c>
      <c r="BX10" s="475" t="e">
        <f t="shared" ref="BX10:BX55" si="1">LOOKUP($C$8,$BK$9:$BV$9,$BK10:$BV10)</f>
        <v>#REF!</v>
      </c>
      <c r="BY10" s="475"/>
      <c r="BZ10" s="21"/>
      <c r="CA10" s="209">
        <v>2</v>
      </c>
      <c r="CB10" s="210">
        <v>10</v>
      </c>
      <c r="CC10" s="211">
        <v>-21</v>
      </c>
      <c r="CD10" s="211">
        <v>-21</v>
      </c>
      <c r="CE10" s="211">
        <v>-25.9</v>
      </c>
      <c r="CF10" s="211">
        <v>-28.7</v>
      </c>
      <c r="CG10" s="211">
        <v>-31.4</v>
      </c>
      <c r="CH10" s="211">
        <v>-37.299999999999997</v>
      </c>
      <c r="CI10" s="211">
        <v>-40.6</v>
      </c>
      <c r="CJ10" s="211">
        <v>-43.8</v>
      </c>
      <c r="CK10" s="211">
        <v>-50.8</v>
      </c>
      <c r="CL10" s="570">
        <v>-54.6</v>
      </c>
      <c r="CM10" s="212">
        <v>-58.3</v>
      </c>
      <c r="CN10" s="213">
        <v>-74.900000000000006</v>
      </c>
      <c r="CO10" s="200" t="s">
        <v>22</v>
      </c>
      <c r="CP10" s="475" t="e">
        <f t="shared" ref="CP10:CP33" si="2">LOOKUP($C$8,$CC$9:$CN$9,$CC10:$CN10)</f>
        <v>#REF!</v>
      </c>
      <c r="CQ10" s="278">
        <v>3</v>
      </c>
      <c r="CR10" s="223">
        <v>25</v>
      </c>
      <c r="CS10" s="282">
        <v>1</v>
      </c>
      <c r="CT10" s="283">
        <v>1.35</v>
      </c>
      <c r="CU10" s="284">
        <v>1.61</v>
      </c>
      <c r="CV10" s="475"/>
      <c r="CW10" s="57"/>
      <c r="CX10" s="467" t="s">
        <v>88</v>
      </c>
      <c r="CY10" s="330" t="s">
        <v>20</v>
      </c>
      <c r="CZ10" s="330" t="s">
        <v>20</v>
      </c>
      <c r="DA10" s="330" t="s">
        <v>89</v>
      </c>
      <c r="DB10" s="331" t="s">
        <v>90</v>
      </c>
      <c r="DC10" s="332"/>
      <c r="DD10" s="332"/>
      <c r="DE10" s="332"/>
      <c r="DF10" s="332"/>
      <c r="DG10" s="332"/>
      <c r="DH10" s="332"/>
      <c r="DI10" s="332"/>
      <c r="DJ10" s="332"/>
      <c r="DK10" s="333"/>
      <c r="DM10" s="334" t="s">
        <v>92</v>
      </c>
      <c r="DN10" s="334" t="s">
        <v>23</v>
      </c>
      <c r="DO10" s="334" t="s">
        <v>25</v>
      </c>
      <c r="DP10" s="301" t="s">
        <v>24</v>
      </c>
      <c r="DQ10" s="302"/>
      <c r="DR10" s="302"/>
      <c r="DS10" s="302"/>
      <c r="DT10" s="302"/>
      <c r="DU10" s="302"/>
      <c r="DV10" s="302"/>
      <c r="DW10" s="302"/>
      <c r="DX10" s="302"/>
      <c r="DY10" s="302"/>
      <c r="DZ10" s="302"/>
      <c r="EA10" s="303"/>
      <c r="EB10" s="303"/>
      <c r="EC10" s="303"/>
      <c r="ED10" s="303"/>
      <c r="EE10" s="303"/>
      <c r="EF10" s="303"/>
      <c r="EG10" s="303"/>
      <c r="EH10" s="303"/>
      <c r="EI10" s="303"/>
      <c r="EJ10" s="303"/>
      <c r="EK10" s="303"/>
      <c r="EL10" s="303"/>
      <c r="EM10" s="304"/>
      <c r="EO10" s="335" t="s">
        <v>92</v>
      </c>
      <c r="EP10" s="335" t="s">
        <v>23</v>
      </c>
      <c r="EQ10" s="335" t="s">
        <v>25</v>
      </c>
      <c r="ER10" s="301" t="s">
        <v>24</v>
      </c>
      <c r="ES10" s="302"/>
      <c r="ET10" s="302"/>
      <c r="EU10" s="302"/>
      <c r="EV10" s="302"/>
      <c r="EW10" s="302"/>
      <c r="EX10" s="302"/>
      <c r="EY10" s="302"/>
      <c r="EZ10" s="302"/>
      <c r="FA10" s="302"/>
      <c r="FB10" s="302"/>
      <c r="FC10" s="300"/>
      <c r="FE10" s="336">
        <v>15</v>
      </c>
      <c r="FF10" s="337">
        <v>1</v>
      </c>
      <c r="FG10" s="338">
        <v>1.21</v>
      </c>
      <c r="FH10" s="339">
        <v>1.47</v>
      </c>
    </row>
    <row r="11" spans="1:164" x14ac:dyDescent="0.2">
      <c r="A11" s="52"/>
      <c r="B11" s="56" t="s">
        <v>315</v>
      </c>
      <c r="C11" s="591" t="e">
        <f>Input!#REF!</f>
        <v>#REF!</v>
      </c>
      <c r="D11" s="577" t="s">
        <v>200</v>
      </c>
      <c r="J11" s="225"/>
      <c r="L11" s="6">
        <v>140</v>
      </c>
      <c r="M11" s="200">
        <v>1</v>
      </c>
      <c r="N11" s="197"/>
      <c r="O11" s="205">
        <v>0</v>
      </c>
      <c r="P11" s="205">
        <v>1</v>
      </c>
      <c r="Q11" s="206">
        <v>11.5</v>
      </c>
      <c r="R11" s="215">
        <v>-5.9</v>
      </c>
      <c r="S11" s="215">
        <v>7.6</v>
      </c>
      <c r="T11" s="216">
        <v>-3.5</v>
      </c>
      <c r="U11" s="206">
        <v>-13.8</v>
      </c>
      <c r="V11" s="215">
        <v>-7.8</v>
      </c>
      <c r="W11" s="215">
        <v>-9.6</v>
      </c>
      <c r="X11" s="217">
        <v>-6.1</v>
      </c>
      <c r="Y11" s="206">
        <v>-19.3</v>
      </c>
      <c r="Z11" s="216">
        <v>-15.1</v>
      </c>
      <c r="AA11" s="218">
        <v>1</v>
      </c>
      <c r="AB11" s="219"/>
      <c r="AC11" s="220" t="e">
        <f>IF($C$8=$N16,VLOOKUP(MATCH($AD$6,$O11:$O21,1),$M11:$Z21,3),"")</f>
        <v>#REF!</v>
      </c>
      <c r="AD11" s="220" t="e">
        <f>IF($C$8=$N16,VLOOKUP(MATCH($AD$6,$O11:$O21,1),$M11:$Z21,5),"")</f>
        <v>#REF!</v>
      </c>
      <c r="AE11" s="220" t="e">
        <f>IF($C$8=$N16,VLOOKUP(MATCH($AD$6,$O11:$O21,1),$M11:$Z21,6),"")</f>
        <v>#REF!</v>
      </c>
      <c r="AF11" s="220" t="e">
        <f>IF($C$8=$N16,VLOOKUP(MATCH($AD$6,$O11:$O21,1),$M11:$Z21,7),"")</f>
        <v>#REF!</v>
      </c>
      <c r="AG11" s="220" t="e">
        <f>IF($C$8=$N16,VLOOKUP(MATCH($AD$6,$O11:$O21,1),$M11:$Z21,8),"")</f>
        <v>#REF!</v>
      </c>
      <c r="AH11" s="220" t="e">
        <f>IF($C$8=$N16,VLOOKUP(MATCH($AD$6,$O11:$O21,1),$M11:$Z21,9),"")</f>
        <v>#REF!</v>
      </c>
      <c r="AI11" s="220" t="e">
        <f>IF($C$8=$N16,VLOOKUP(MATCH($AD$6,$O11:$O21,1),$M11:$Z21,10),"")</f>
        <v>#REF!</v>
      </c>
      <c r="AJ11" s="220" t="e">
        <f>IF($C$8=$N16,VLOOKUP(MATCH($AD$6,$O11:$O21,1),$M11:$Z21,11),"")</f>
        <v>#REF!</v>
      </c>
      <c r="AK11" s="220" t="e">
        <f>IF($C$8=$N16,VLOOKUP(MATCH($AD$6,$O11:$O21,1),$M11:$Z21,12),"")</f>
        <v>#REF!</v>
      </c>
      <c r="AL11" s="220" t="e">
        <f>IF($C$8=$N16,VLOOKUP(MATCH($AD$6,$O11:$O21,1),$M11:$Z21,13),"")</f>
        <v>#REF!</v>
      </c>
      <c r="AM11" s="221" t="e">
        <f>IF($C$8=$N16,VLOOKUP(MATCH($AD$6,$O11:$O21,1),$M11:$Z21,14),"")</f>
        <v>#REF!</v>
      </c>
      <c r="AN11" s="19"/>
      <c r="AP11" s="21"/>
      <c r="AQ11" s="222">
        <v>1</v>
      </c>
      <c r="AR11" s="223">
        <v>20</v>
      </c>
      <c r="AS11" s="211">
        <v>5</v>
      </c>
      <c r="AT11" s="211">
        <v>5.6</v>
      </c>
      <c r="AU11" s="211">
        <v>6.9</v>
      </c>
      <c r="AV11" s="211">
        <v>7.6</v>
      </c>
      <c r="AW11" s="211">
        <v>8.3000000000000007</v>
      </c>
      <c r="AX11" s="211">
        <v>9.9</v>
      </c>
      <c r="AY11" s="211">
        <v>10.7</v>
      </c>
      <c r="AZ11" s="211">
        <v>11.6</v>
      </c>
      <c r="BA11" s="211">
        <v>13.4</v>
      </c>
      <c r="BB11" s="570">
        <v>14.4</v>
      </c>
      <c r="BC11" s="212">
        <v>15.4</v>
      </c>
      <c r="BD11" s="224">
        <v>19.8</v>
      </c>
      <c r="BE11" s="200" t="s">
        <v>22</v>
      </c>
      <c r="BF11" s="475" t="e">
        <f t="shared" si="0"/>
        <v>#REF!</v>
      </c>
      <c r="BH11" s="21"/>
      <c r="BI11" s="222">
        <v>1</v>
      </c>
      <c r="BJ11" s="223">
        <v>20</v>
      </c>
      <c r="BK11" s="211">
        <v>-12.7</v>
      </c>
      <c r="BL11" s="211">
        <v>-14.2</v>
      </c>
      <c r="BM11" s="211">
        <v>-17.5</v>
      </c>
      <c r="BN11" s="211">
        <v>-19.3</v>
      </c>
      <c r="BO11" s="211">
        <v>-21.2</v>
      </c>
      <c r="BP11" s="211">
        <v>-25.2</v>
      </c>
      <c r="BQ11" s="211">
        <v>-27.4</v>
      </c>
      <c r="BR11" s="211">
        <v>-29.6</v>
      </c>
      <c r="BS11" s="211">
        <v>-34.4</v>
      </c>
      <c r="BT11" s="570">
        <v>-36.9</v>
      </c>
      <c r="BU11" s="212">
        <v>-39.4</v>
      </c>
      <c r="BV11" s="224">
        <v>-50.7</v>
      </c>
      <c r="BW11" s="200" t="s">
        <v>22</v>
      </c>
      <c r="BX11" s="475" t="e">
        <f t="shared" si="1"/>
        <v>#REF!</v>
      </c>
      <c r="BY11" s="475"/>
      <c r="BZ11" s="21"/>
      <c r="CA11" s="222">
        <v>2</v>
      </c>
      <c r="CB11" s="223">
        <v>20</v>
      </c>
      <c r="CC11" s="211">
        <v>-20.6</v>
      </c>
      <c r="CD11" s="211">
        <v>-20.6</v>
      </c>
      <c r="CE11" s="211">
        <v>-25.5</v>
      </c>
      <c r="CF11" s="211">
        <v>-28.2</v>
      </c>
      <c r="CG11" s="211">
        <v>-30.8</v>
      </c>
      <c r="CH11" s="211">
        <v>-36.700000000000003</v>
      </c>
      <c r="CI11" s="211">
        <v>-39.9</v>
      </c>
      <c r="CJ11" s="211">
        <v>-43</v>
      </c>
      <c r="CK11" s="211">
        <v>-49.9</v>
      </c>
      <c r="CL11" s="570">
        <v>-53.6</v>
      </c>
      <c r="CM11" s="212">
        <v>-57.3</v>
      </c>
      <c r="CN11" s="224">
        <v>-73.599999999999994</v>
      </c>
      <c r="CO11" s="200" t="s">
        <v>22</v>
      </c>
      <c r="CP11" s="475" t="e">
        <f t="shared" si="2"/>
        <v>#REF!</v>
      </c>
      <c r="CQ11" s="278">
        <v>4</v>
      </c>
      <c r="CR11" s="223">
        <v>30</v>
      </c>
      <c r="CS11" s="282">
        <v>1</v>
      </c>
      <c r="CT11" s="283">
        <v>1.4</v>
      </c>
      <c r="CU11" s="284">
        <v>1.66</v>
      </c>
      <c r="CV11" s="475"/>
      <c r="CW11" s="57"/>
      <c r="CX11" s="467" t="s">
        <v>93</v>
      </c>
      <c r="CY11" s="330" t="s">
        <v>94</v>
      </c>
      <c r="CZ11" s="330" t="s">
        <v>161</v>
      </c>
      <c r="DA11" s="330" t="s">
        <v>95</v>
      </c>
      <c r="DB11" s="298" t="s">
        <v>96</v>
      </c>
      <c r="DC11" s="298"/>
      <c r="DD11" s="298"/>
      <c r="DE11" s="308"/>
      <c r="DF11" s="298" t="s">
        <v>97</v>
      </c>
      <c r="DG11" s="298"/>
      <c r="DH11" s="298"/>
      <c r="DI11" s="308"/>
      <c r="DJ11" s="297" t="s">
        <v>98</v>
      </c>
      <c r="DK11" s="308"/>
      <c r="DM11" s="334" t="s">
        <v>21</v>
      </c>
      <c r="DN11" s="334"/>
      <c r="DO11" s="340" t="s">
        <v>26</v>
      </c>
      <c r="DP11" s="301">
        <v>85</v>
      </c>
      <c r="DQ11" s="304"/>
      <c r="DR11" s="301">
        <v>90</v>
      </c>
      <c r="DS11" s="304"/>
      <c r="DT11" s="301">
        <v>100</v>
      </c>
      <c r="DU11" s="304"/>
      <c r="DV11" s="301">
        <v>105</v>
      </c>
      <c r="DW11" s="304"/>
      <c r="DX11" s="301">
        <v>110</v>
      </c>
      <c r="DY11" s="304"/>
      <c r="DZ11" s="301">
        <v>120</v>
      </c>
      <c r="EA11" s="304"/>
      <c r="EB11" s="301">
        <v>125</v>
      </c>
      <c r="EC11" s="304"/>
      <c r="ED11" s="301">
        <v>130</v>
      </c>
      <c r="EE11" s="304"/>
      <c r="EF11" s="301">
        <v>140</v>
      </c>
      <c r="EG11" s="304"/>
      <c r="EH11" s="301">
        <v>145</v>
      </c>
      <c r="EI11" s="304"/>
      <c r="EJ11" s="301">
        <v>150</v>
      </c>
      <c r="EK11" s="304"/>
      <c r="EL11" s="301">
        <v>170</v>
      </c>
      <c r="EM11" s="304"/>
      <c r="EO11" s="341" t="s">
        <v>21</v>
      </c>
      <c r="EP11" s="341"/>
      <c r="EQ11" s="341" t="s">
        <v>26</v>
      </c>
      <c r="ER11" s="342">
        <v>85</v>
      </c>
      <c r="ES11" s="342">
        <v>90</v>
      </c>
      <c r="ET11" s="342">
        <v>100</v>
      </c>
      <c r="EU11" s="342">
        <v>105</v>
      </c>
      <c r="EV11" s="342">
        <v>110</v>
      </c>
      <c r="EW11" s="342">
        <v>120</v>
      </c>
      <c r="EX11" s="342">
        <v>125</v>
      </c>
      <c r="EY11" s="342">
        <v>130</v>
      </c>
      <c r="EZ11" s="342">
        <v>140</v>
      </c>
      <c r="FA11" s="342">
        <v>145</v>
      </c>
      <c r="FB11" s="342">
        <v>150</v>
      </c>
      <c r="FC11" s="342">
        <v>170</v>
      </c>
      <c r="FE11" s="343">
        <v>20</v>
      </c>
      <c r="FF11" s="344">
        <v>1</v>
      </c>
      <c r="FG11" s="345">
        <v>1.29</v>
      </c>
      <c r="FH11" s="346">
        <v>1.55</v>
      </c>
    </row>
    <row r="12" spans="1:164" x14ac:dyDescent="0.2">
      <c r="A12" s="52"/>
      <c r="B12" s="56" t="s">
        <v>316</v>
      </c>
      <c r="C12" s="157">
        <f>(3.281) * 8</f>
        <v>26.248000000000001</v>
      </c>
      <c r="D12" s="416" t="s">
        <v>201</v>
      </c>
      <c r="J12" s="57"/>
      <c r="L12" s="6">
        <v>145</v>
      </c>
      <c r="M12" s="200">
        <v>2</v>
      </c>
      <c r="N12" s="21"/>
      <c r="O12" s="223">
        <v>5</v>
      </c>
      <c r="P12" s="223">
        <v>1</v>
      </c>
      <c r="Q12" s="211">
        <v>11.5</v>
      </c>
      <c r="R12" s="226">
        <v>-5.9</v>
      </c>
      <c r="S12" s="226">
        <v>7.6</v>
      </c>
      <c r="T12" s="227">
        <v>-3.5</v>
      </c>
      <c r="U12" s="211">
        <v>-13.8</v>
      </c>
      <c r="V12" s="226">
        <v>-7.8</v>
      </c>
      <c r="W12" s="226">
        <v>-9.6</v>
      </c>
      <c r="X12" s="228">
        <v>-6.1</v>
      </c>
      <c r="Y12" s="211">
        <v>-19.3</v>
      </c>
      <c r="Z12" s="227">
        <v>-15.1</v>
      </c>
      <c r="AA12" s="218">
        <v>2</v>
      </c>
      <c r="AB12" s="229"/>
      <c r="AC12" s="230" t="e">
        <f>IF($C$8=$N16,VLOOKUP(MATCH($AD$6,$O11:$O21,1)+IF($AD$6&lt;25,1,2),$M11:$Z21,3),"")</f>
        <v>#REF!</v>
      </c>
      <c r="AD12" s="230" t="e">
        <f>IF($C$8=$N16,VLOOKUP(MATCH($AD$6,$O11:$O21,1)+IF($AD$6&lt;25,1,2),$M11:$Z21,5),"")</f>
        <v>#REF!</v>
      </c>
      <c r="AE12" s="230" t="e">
        <f>IF($C$8=$N16,VLOOKUP(MATCH($AD$6,$O11:$O21,1)+IF($AD$6&lt;25,1,2),$M11:$Z21,6),"")</f>
        <v>#REF!</v>
      </c>
      <c r="AF12" s="230" t="e">
        <f>IF($C$8=$N16,VLOOKUP(MATCH($AD$6,$O11:$O21,1)+IF($AD$6&lt;25,1,2),$M11:$Z21,7),"")</f>
        <v>#REF!</v>
      </c>
      <c r="AG12" s="230" t="e">
        <f>IF($C$8=$N16,VLOOKUP(MATCH($AD$6,$O11:$O21,1)+IF($AD$6&lt;25,1,2),$M11:$Z21,8),"")</f>
        <v>#REF!</v>
      </c>
      <c r="AH12" s="230" t="e">
        <f>IF($C$8=$N16,VLOOKUP(MATCH($AD$6,$O11:$O21,1)+IF($AD$6&lt;25,1,2),$M11:$Z21,9),"")</f>
        <v>#REF!</v>
      </c>
      <c r="AI12" s="230" t="e">
        <f>IF($C$8=$N16,VLOOKUP(MATCH($AD$6,$O11:$O21,1)+IF($AD$6&lt;25,1,2),$M11:$Z21,10),"")</f>
        <v>#REF!</v>
      </c>
      <c r="AJ12" s="230" t="e">
        <f>IF($C$8=$N16,VLOOKUP(MATCH($AD$6,$O11:$O21,1)+IF($AD$6&lt;25,1,2),$M11:$Z21,11),"")</f>
        <v>#REF!</v>
      </c>
      <c r="AK12" s="230" t="e">
        <f>IF($C$8=$N16,VLOOKUP(MATCH($AD$6,$O11:$O21,1)+IF($AD$6&lt;25,1,2),$M11:$Z21,12),"")</f>
        <v>#REF!</v>
      </c>
      <c r="AL12" s="230" t="e">
        <f>IF($C$8=$N16,VLOOKUP(MATCH($AD$6,$O11:$O21,1)+IF($AD$6&lt;25,1,2),$M11:$Z21,13),"")</f>
        <v>#REF!</v>
      </c>
      <c r="AM12" s="231" t="e">
        <f>IF($C$8=$N16,VLOOKUP(MATCH($AD$6,$O11:$O21,1)+IF($AD$6&lt;25,1,2),$M11:$Z21,14),"")</f>
        <v>#REF!</v>
      </c>
      <c r="AN12" s="19"/>
      <c r="AP12" s="21"/>
      <c r="AQ12" s="222">
        <v>1</v>
      </c>
      <c r="AR12" s="223">
        <v>50</v>
      </c>
      <c r="AS12" s="211">
        <v>4.5</v>
      </c>
      <c r="AT12" s="211">
        <v>5.0999999999999996</v>
      </c>
      <c r="AU12" s="211">
        <v>6.3</v>
      </c>
      <c r="AV12" s="211">
        <v>6.9</v>
      </c>
      <c r="AW12" s="211">
        <v>7.6</v>
      </c>
      <c r="AX12" s="211">
        <v>9</v>
      </c>
      <c r="AY12" s="211">
        <v>9.8000000000000007</v>
      </c>
      <c r="AZ12" s="211">
        <v>10.6</v>
      </c>
      <c r="BA12" s="211">
        <v>12.3</v>
      </c>
      <c r="BB12" s="570">
        <v>13.1</v>
      </c>
      <c r="BC12" s="212">
        <v>14.1</v>
      </c>
      <c r="BD12" s="224">
        <v>18.100000000000001</v>
      </c>
      <c r="BE12" s="200" t="s">
        <v>22</v>
      </c>
      <c r="BF12" s="475" t="e">
        <f t="shared" si="0"/>
        <v>#REF!</v>
      </c>
      <c r="BH12" s="21"/>
      <c r="BI12" s="222">
        <v>1</v>
      </c>
      <c r="BJ12" s="223">
        <v>50</v>
      </c>
      <c r="BK12" s="211">
        <v>-12.2</v>
      </c>
      <c r="BL12" s="211">
        <v>-13.7</v>
      </c>
      <c r="BM12" s="211">
        <v>-16.899999999999999</v>
      </c>
      <c r="BN12" s="211">
        <v>-18.7</v>
      </c>
      <c r="BO12" s="211">
        <v>-20.5</v>
      </c>
      <c r="BP12" s="211">
        <v>-24.4</v>
      </c>
      <c r="BQ12" s="211">
        <v>-26.4</v>
      </c>
      <c r="BR12" s="211">
        <v>-28.6</v>
      </c>
      <c r="BS12" s="211">
        <v>-33.200000000000003</v>
      </c>
      <c r="BT12" s="570">
        <v>-35.6</v>
      </c>
      <c r="BU12" s="212">
        <v>-38.1</v>
      </c>
      <c r="BV12" s="224">
        <v>-48.9</v>
      </c>
      <c r="BW12" s="200" t="s">
        <v>22</v>
      </c>
      <c r="BX12" s="475" t="e">
        <f t="shared" si="1"/>
        <v>#REF!</v>
      </c>
      <c r="BY12" s="475"/>
      <c r="BZ12" s="21" t="s">
        <v>20</v>
      </c>
      <c r="CA12" s="222">
        <v>2</v>
      </c>
      <c r="CB12" s="223">
        <v>50</v>
      </c>
      <c r="CC12" s="211">
        <v>-20.100000000000001</v>
      </c>
      <c r="CD12" s="211">
        <v>-20.100000000000001</v>
      </c>
      <c r="CE12" s="211">
        <v>-24.9</v>
      </c>
      <c r="CF12" s="211">
        <v>-27.5</v>
      </c>
      <c r="CG12" s="211">
        <v>-30.1</v>
      </c>
      <c r="CH12" s="211">
        <v>-35.799999999999997</v>
      </c>
      <c r="CI12" s="211">
        <v>-38.9</v>
      </c>
      <c r="CJ12" s="211">
        <v>-42</v>
      </c>
      <c r="CK12" s="211">
        <v>-48.7</v>
      </c>
      <c r="CL12" s="570">
        <v>-52.3</v>
      </c>
      <c r="CM12" s="212">
        <v>-55.9</v>
      </c>
      <c r="CN12" s="224">
        <v>-71.8</v>
      </c>
      <c r="CO12" s="200" t="s">
        <v>22</v>
      </c>
      <c r="CP12" s="475" t="e">
        <f t="shared" si="2"/>
        <v>#REF!</v>
      </c>
      <c r="CQ12" s="278">
        <v>5</v>
      </c>
      <c r="CR12" s="223">
        <v>35</v>
      </c>
      <c r="CS12" s="282">
        <v>1.05</v>
      </c>
      <c r="CT12" s="283">
        <v>1.45</v>
      </c>
      <c r="CU12" s="284">
        <v>1.7</v>
      </c>
      <c r="CV12" s="475"/>
      <c r="CW12" s="57"/>
      <c r="CX12" s="468" t="s">
        <v>100</v>
      </c>
      <c r="CY12" s="347" t="s">
        <v>101</v>
      </c>
      <c r="CZ12" s="347" t="s">
        <v>162</v>
      </c>
      <c r="DA12" s="347"/>
      <c r="DB12" s="348" t="s">
        <v>46</v>
      </c>
      <c r="DC12" s="348" t="s">
        <v>13</v>
      </c>
      <c r="DD12" s="348" t="s">
        <v>319</v>
      </c>
      <c r="DE12" s="348" t="s">
        <v>50</v>
      </c>
      <c r="DF12" s="348" t="s">
        <v>102</v>
      </c>
      <c r="DG12" s="348" t="s">
        <v>103</v>
      </c>
      <c r="DH12" s="348" t="s">
        <v>361</v>
      </c>
      <c r="DI12" s="348" t="s">
        <v>104</v>
      </c>
      <c r="DJ12" s="348" t="s">
        <v>105</v>
      </c>
      <c r="DK12" s="348" t="s">
        <v>106</v>
      </c>
      <c r="DM12" s="335"/>
      <c r="DN12" s="349">
        <v>1</v>
      </c>
      <c r="DO12" s="350">
        <v>10</v>
      </c>
      <c r="DP12" s="351">
        <v>5.3</v>
      </c>
      <c r="DQ12" s="352">
        <v>-13</v>
      </c>
      <c r="DR12" s="351">
        <v>5.9</v>
      </c>
      <c r="DS12" s="352">
        <v>-14.6</v>
      </c>
      <c r="DT12" s="351">
        <v>7.3</v>
      </c>
      <c r="DU12" s="352">
        <v>-18</v>
      </c>
      <c r="DV12" s="351">
        <v>8.1</v>
      </c>
      <c r="DW12" s="352">
        <v>-19.8</v>
      </c>
      <c r="DX12" s="351">
        <v>8.9</v>
      </c>
      <c r="DY12" s="352">
        <v>-21.8</v>
      </c>
      <c r="DZ12" s="351">
        <v>10.5</v>
      </c>
      <c r="EA12" s="352">
        <v>-25.9</v>
      </c>
      <c r="EB12" s="351">
        <v>11.4</v>
      </c>
      <c r="EC12" s="352">
        <v>-28.1</v>
      </c>
      <c r="ED12" s="351">
        <v>12.4</v>
      </c>
      <c r="EE12" s="352">
        <v>-30.4</v>
      </c>
      <c r="EF12" s="351">
        <v>14.3</v>
      </c>
      <c r="EG12" s="352">
        <v>-35.299999999999997</v>
      </c>
      <c r="EH12" s="351">
        <v>15.4</v>
      </c>
      <c r="EI12" s="352">
        <v>-37.799999999999997</v>
      </c>
      <c r="EJ12" s="351">
        <v>16.5</v>
      </c>
      <c r="EK12" s="352">
        <v>-40.5</v>
      </c>
      <c r="EL12" s="351">
        <v>21.1</v>
      </c>
      <c r="EM12" s="352">
        <v>-52</v>
      </c>
      <c r="EO12" s="334"/>
      <c r="EP12" s="353">
        <v>2</v>
      </c>
      <c r="EQ12" s="354">
        <v>10</v>
      </c>
      <c r="ER12" s="355">
        <v>-21</v>
      </c>
      <c r="ES12" s="355">
        <v>-21</v>
      </c>
      <c r="ET12" s="355">
        <v>-25.9</v>
      </c>
      <c r="EU12" s="355">
        <v>-28.7</v>
      </c>
      <c r="EV12" s="355">
        <v>-31.4</v>
      </c>
      <c r="EW12" s="355">
        <v>-37.299999999999997</v>
      </c>
      <c r="EX12" s="355">
        <v>-40.6</v>
      </c>
      <c r="EY12" s="355">
        <v>-43.8</v>
      </c>
      <c r="EZ12" s="355">
        <v>-50.8</v>
      </c>
      <c r="FA12" s="511">
        <v>-54.6</v>
      </c>
      <c r="FB12" s="356">
        <v>-58.3</v>
      </c>
      <c r="FC12" s="357">
        <v>-74.900000000000006</v>
      </c>
      <c r="FE12" s="343">
        <v>25</v>
      </c>
      <c r="FF12" s="344">
        <v>1</v>
      </c>
      <c r="FG12" s="345">
        <v>1.35</v>
      </c>
      <c r="FH12" s="346">
        <v>1.61</v>
      </c>
    </row>
    <row r="13" spans="1:164" x14ac:dyDescent="0.2">
      <c r="A13" s="52"/>
      <c r="B13" s="56" t="s">
        <v>258</v>
      </c>
      <c r="C13" s="591" t="e">
        <f>Input!#REF!</f>
        <v>#REF!</v>
      </c>
      <c r="D13" s="416" t="s">
        <v>202</v>
      </c>
      <c r="J13" s="57"/>
      <c r="L13" s="6">
        <v>150</v>
      </c>
      <c r="M13" s="200">
        <v>3</v>
      </c>
      <c r="N13" s="21"/>
      <c r="O13" s="223">
        <v>10</v>
      </c>
      <c r="P13" s="223">
        <v>1</v>
      </c>
      <c r="Q13" s="211">
        <v>12.9</v>
      </c>
      <c r="R13" s="226">
        <v>-5.4</v>
      </c>
      <c r="S13" s="226">
        <v>8.6</v>
      </c>
      <c r="T13" s="227">
        <v>-3.1</v>
      </c>
      <c r="U13" s="211">
        <v>-13.8</v>
      </c>
      <c r="V13" s="226">
        <v>-8.4</v>
      </c>
      <c r="W13" s="226">
        <v>-9.6</v>
      </c>
      <c r="X13" s="228">
        <v>-6.5</v>
      </c>
      <c r="Y13" s="211">
        <v>-19.3</v>
      </c>
      <c r="Z13" s="227">
        <v>-15.1</v>
      </c>
      <c r="AA13" s="218">
        <v>3</v>
      </c>
      <c r="AB13" s="229" t="e">
        <f>IF($C$8=$N16,MATCH($AD$6,$O11:$O21,1),0)</f>
        <v>#REF!</v>
      </c>
      <c r="AC13" s="230" t="e">
        <f>IF($C$8=$N16,$AD$6,"")</f>
        <v>#REF!</v>
      </c>
      <c r="AD13" s="230" t="e">
        <f t="shared" ref="AD13:AM13" si="3">IF($C$8=$N16,(AD12-AD11)*($AD$6-$AC11)/($AC12-$AC11)+AD11,"")</f>
        <v>#REF!</v>
      </c>
      <c r="AE13" s="230" t="e">
        <f t="shared" si="3"/>
        <v>#REF!</v>
      </c>
      <c r="AF13" s="230" t="e">
        <f t="shared" si="3"/>
        <v>#REF!</v>
      </c>
      <c r="AG13" s="230" t="e">
        <f t="shared" si="3"/>
        <v>#REF!</v>
      </c>
      <c r="AH13" s="230" t="e">
        <f t="shared" si="3"/>
        <v>#REF!</v>
      </c>
      <c r="AI13" s="230" t="e">
        <f t="shared" si="3"/>
        <v>#REF!</v>
      </c>
      <c r="AJ13" s="230" t="e">
        <f t="shared" si="3"/>
        <v>#REF!</v>
      </c>
      <c r="AK13" s="230" t="e">
        <f t="shared" si="3"/>
        <v>#REF!</v>
      </c>
      <c r="AL13" s="230" t="e">
        <f t="shared" si="3"/>
        <v>#REF!</v>
      </c>
      <c r="AM13" s="231" t="e">
        <f t="shared" si="3"/>
        <v>#REF!</v>
      </c>
      <c r="AN13" s="19"/>
      <c r="AP13" s="21"/>
      <c r="AQ13" s="222">
        <v>1</v>
      </c>
      <c r="AR13" s="223">
        <v>100</v>
      </c>
      <c r="AS13" s="211">
        <v>4.2</v>
      </c>
      <c r="AT13" s="211">
        <v>4.7</v>
      </c>
      <c r="AU13" s="211">
        <v>5.8</v>
      </c>
      <c r="AV13" s="211">
        <v>6.4</v>
      </c>
      <c r="AW13" s="211">
        <v>7</v>
      </c>
      <c r="AX13" s="211">
        <v>8.3000000000000007</v>
      </c>
      <c r="AY13" s="211">
        <v>9.1</v>
      </c>
      <c r="AZ13" s="211">
        <v>9.8000000000000007</v>
      </c>
      <c r="BA13" s="211">
        <v>11.4</v>
      </c>
      <c r="BB13" s="570">
        <v>12.2</v>
      </c>
      <c r="BC13" s="212">
        <v>13</v>
      </c>
      <c r="BD13" s="224">
        <v>16.7</v>
      </c>
      <c r="BE13" s="200" t="s">
        <v>22</v>
      </c>
      <c r="BF13" s="475" t="e">
        <f t="shared" si="0"/>
        <v>#REF!</v>
      </c>
      <c r="BH13" s="21"/>
      <c r="BI13" s="222">
        <v>1</v>
      </c>
      <c r="BJ13" s="223">
        <v>100</v>
      </c>
      <c r="BK13" s="211">
        <v>-11.9</v>
      </c>
      <c r="BL13" s="211">
        <v>-13.3</v>
      </c>
      <c r="BM13" s="211">
        <v>-16.5</v>
      </c>
      <c r="BN13" s="211">
        <v>-18.2</v>
      </c>
      <c r="BO13" s="211">
        <v>-19.899999999999999</v>
      </c>
      <c r="BP13" s="211">
        <v>-23.7</v>
      </c>
      <c r="BQ13" s="211">
        <v>-25.7</v>
      </c>
      <c r="BR13" s="211">
        <v>-27.8</v>
      </c>
      <c r="BS13" s="211">
        <v>-32.299999999999997</v>
      </c>
      <c r="BT13" s="570">
        <v>-34.6</v>
      </c>
      <c r="BU13" s="212">
        <v>-37</v>
      </c>
      <c r="BV13" s="224">
        <v>-47.6</v>
      </c>
      <c r="BW13" s="200" t="s">
        <v>22</v>
      </c>
      <c r="BX13" s="475" t="e">
        <f t="shared" si="1"/>
        <v>#REF!</v>
      </c>
      <c r="BY13" s="475"/>
      <c r="BZ13" s="21" t="s">
        <v>110</v>
      </c>
      <c r="CA13" s="222">
        <v>2</v>
      </c>
      <c r="CB13" s="223">
        <v>100</v>
      </c>
      <c r="CC13" s="211">
        <v>-19.8</v>
      </c>
      <c r="CD13" s="211">
        <v>-19.8</v>
      </c>
      <c r="CE13" s="211">
        <v>-24.4</v>
      </c>
      <c r="CF13" s="211">
        <v>-27</v>
      </c>
      <c r="CG13" s="211">
        <v>-29.5</v>
      </c>
      <c r="CH13" s="211">
        <v>-35.1</v>
      </c>
      <c r="CI13" s="211">
        <v>-38.200000000000003</v>
      </c>
      <c r="CJ13" s="211">
        <v>-41.2</v>
      </c>
      <c r="CK13" s="211">
        <v>-47.8</v>
      </c>
      <c r="CL13" s="570">
        <v>-51.4</v>
      </c>
      <c r="CM13" s="212">
        <v>-54.9</v>
      </c>
      <c r="CN13" s="224">
        <v>-70.5</v>
      </c>
      <c r="CO13" s="200" t="s">
        <v>22</v>
      </c>
      <c r="CP13" s="475" t="e">
        <f t="shared" si="2"/>
        <v>#REF!</v>
      </c>
      <c r="CQ13" s="278">
        <v>6</v>
      </c>
      <c r="CR13" s="223">
        <v>40</v>
      </c>
      <c r="CS13" s="282">
        <v>1.0900000000000001</v>
      </c>
      <c r="CT13" s="283">
        <v>1.49</v>
      </c>
      <c r="CU13" s="284">
        <v>1.74</v>
      </c>
      <c r="CV13" s="475"/>
      <c r="CW13" s="57"/>
      <c r="CX13" s="467"/>
      <c r="CY13" s="358" t="s">
        <v>163</v>
      </c>
      <c r="CZ13" s="358" t="s">
        <v>165</v>
      </c>
      <c r="DA13" s="358">
        <v>1</v>
      </c>
      <c r="DB13" s="359">
        <v>11.5</v>
      </c>
      <c r="DC13" s="360">
        <v>-5.9</v>
      </c>
      <c r="DD13" s="360">
        <v>7.6</v>
      </c>
      <c r="DE13" s="361">
        <v>-3.5</v>
      </c>
      <c r="DF13" s="359">
        <v>-13.8</v>
      </c>
      <c r="DG13" s="360">
        <v>-7.8</v>
      </c>
      <c r="DH13" s="360">
        <v>-9.6</v>
      </c>
      <c r="DI13" s="362">
        <v>-6.1</v>
      </c>
      <c r="DJ13" s="359">
        <v>-19.3</v>
      </c>
      <c r="DK13" s="361">
        <v>-15.1</v>
      </c>
      <c r="DM13" s="334"/>
      <c r="DN13" s="363">
        <v>1</v>
      </c>
      <c r="DO13" s="364">
        <v>20</v>
      </c>
      <c r="DP13" s="355">
        <v>5</v>
      </c>
      <c r="DQ13" s="365">
        <v>-12.7</v>
      </c>
      <c r="DR13" s="355">
        <v>5.6</v>
      </c>
      <c r="DS13" s="365">
        <v>-14.2</v>
      </c>
      <c r="DT13" s="355">
        <v>6.9</v>
      </c>
      <c r="DU13" s="365">
        <v>-17.5</v>
      </c>
      <c r="DV13" s="355">
        <v>7.6</v>
      </c>
      <c r="DW13" s="365">
        <v>-19.3</v>
      </c>
      <c r="DX13" s="355">
        <v>8.3000000000000007</v>
      </c>
      <c r="DY13" s="365">
        <v>-21.2</v>
      </c>
      <c r="DZ13" s="355">
        <v>9.9</v>
      </c>
      <c r="EA13" s="365">
        <v>-25.2</v>
      </c>
      <c r="EB13" s="355">
        <v>10.7</v>
      </c>
      <c r="EC13" s="365">
        <v>-27.4</v>
      </c>
      <c r="ED13" s="355">
        <v>11.6</v>
      </c>
      <c r="EE13" s="365">
        <v>-29.6</v>
      </c>
      <c r="EF13" s="355">
        <v>13.4</v>
      </c>
      <c r="EG13" s="365">
        <v>-34.4</v>
      </c>
      <c r="EH13" s="355">
        <v>14.4</v>
      </c>
      <c r="EI13" s="365">
        <v>-36.9</v>
      </c>
      <c r="EJ13" s="355">
        <v>15.4</v>
      </c>
      <c r="EK13" s="365">
        <v>-39.4</v>
      </c>
      <c r="EL13" s="355">
        <v>19.8</v>
      </c>
      <c r="EM13" s="365">
        <v>-50.7</v>
      </c>
      <c r="EO13" s="334"/>
      <c r="EP13" s="363">
        <v>2</v>
      </c>
      <c r="EQ13" s="364">
        <v>20</v>
      </c>
      <c r="ER13" s="355">
        <v>-20.6</v>
      </c>
      <c r="ES13" s="355">
        <v>-20.6</v>
      </c>
      <c r="ET13" s="355">
        <v>-25.5</v>
      </c>
      <c r="EU13" s="355">
        <v>-28.2</v>
      </c>
      <c r="EV13" s="355">
        <v>-30.8</v>
      </c>
      <c r="EW13" s="355">
        <v>-36.700000000000003</v>
      </c>
      <c r="EX13" s="355">
        <v>-39.9</v>
      </c>
      <c r="EY13" s="355">
        <v>-43</v>
      </c>
      <c r="EZ13" s="355">
        <v>-49.9</v>
      </c>
      <c r="FA13" s="511">
        <v>-53.6</v>
      </c>
      <c r="FB13" s="356">
        <v>-57.3</v>
      </c>
      <c r="FC13" s="366">
        <v>-73.599999999999994</v>
      </c>
      <c r="FE13" s="343">
        <v>30</v>
      </c>
      <c r="FF13" s="344">
        <v>1</v>
      </c>
      <c r="FG13" s="345">
        <v>1.4</v>
      </c>
      <c r="FH13" s="346">
        <v>1.66</v>
      </c>
    </row>
    <row r="14" spans="1:164" x14ac:dyDescent="0.2">
      <c r="A14" s="52"/>
      <c r="B14" s="56" t="s">
        <v>266</v>
      </c>
      <c r="C14" s="591" t="e">
        <f>Input!#REF!</f>
        <v>#REF!</v>
      </c>
      <c r="D14" s="416" t="s">
        <v>203</v>
      </c>
      <c r="J14" s="57"/>
      <c r="L14" s="6">
        <v>170</v>
      </c>
      <c r="M14" s="200">
        <v>4</v>
      </c>
      <c r="N14" s="21"/>
      <c r="O14" s="223">
        <v>15</v>
      </c>
      <c r="P14" s="223">
        <v>1</v>
      </c>
      <c r="Q14" s="211">
        <v>14.4</v>
      </c>
      <c r="R14" s="226">
        <v>-4.8</v>
      </c>
      <c r="S14" s="226">
        <v>9.6</v>
      </c>
      <c r="T14" s="227">
        <v>-2.7</v>
      </c>
      <c r="U14" s="211">
        <v>-13.8</v>
      </c>
      <c r="V14" s="226">
        <v>-9</v>
      </c>
      <c r="W14" s="226">
        <v>-9.6</v>
      </c>
      <c r="X14" s="228">
        <v>-6.9</v>
      </c>
      <c r="Y14" s="211">
        <v>-19.3</v>
      </c>
      <c r="Z14" s="227">
        <v>-15.1</v>
      </c>
      <c r="AA14" s="218">
        <v>4</v>
      </c>
      <c r="AB14" s="229"/>
      <c r="AC14" s="230"/>
      <c r="AD14" s="552"/>
      <c r="AE14" s="552"/>
      <c r="AF14" s="552"/>
      <c r="AG14" s="552"/>
      <c r="AH14" s="552"/>
      <c r="AI14" s="552"/>
      <c r="AJ14" s="552"/>
      <c r="AK14" s="552"/>
      <c r="AL14" s="552"/>
      <c r="AM14" s="553"/>
      <c r="AN14" s="233"/>
      <c r="AP14" s="21"/>
      <c r="AQ14" s="222">
        <v>2</v>
      </c>
      <c r="AR14" s="223">
        <v>10</v>
      </c>
      <c r="AS14" s="211">
        <v>5.3</v>
      </c>
      <c r="AT14" s="211">
        <v>5.9</v>
      </c>
      <c r="AU14" s="211">
        <v>7.3</v>
      </c>
      <c r="AV14" s="211">
        <v>8.1</v>
      </c>
      <c r="AW14" s="211">
        <v>8.9</v>
      </c>
      <c r="AX14" s="211">
        <v>10.5</v>
      </c>
      <c r="AY14" s="211">
        <v>11.4</v>
      </c>
      <c r="AZ14" s="211">
        <v>12.4</v>
      </c>
      <c r="BA14" s="211">
        <v>14.3</v>
      </c>
      <c r="BB14" s="570">
        <v>15.4</v>
      </c>
      <c r="BC14" s="212">
        <v>16.5</v>
      </c>
      <c r="BD14" s="224">
        <v>21.1</v>
      </c>
      <c r="BE14" s="200" t="s">
        <v>22</v>
      </c>
      <c r="BF14" s="475" t="e">
        <f t="shared" si="0"/>
        <v>#REF!</v>
      </c>
      <c r="BH14" s="21"/>
      <c r="BI14" s="222">
        <v>2</v>
      </c>
      <c r="BJ14" s="223">
        <v>10</v>
      </c>
      <c r="BK14" s="211">
        <v>-21.8</v>
      </c>
      <c r="BL14" s="211">
        <v>-24.4</v>
      </c>
      <c r="BM14" s="211">
        <v>-30.2</v>
      </c>
      <c r="BN14" s="211">
        <v>-33.299999999999997</v>
      </c>
      <c r="BO14" s="211">
        <v>-36.5</v>
      </c>
      <c r="BP14" s="211">
        <v>-43.5</v>
      </c>
      <c r="BQ14" s="211">
        <v>-47.2</v>
      </c>
      <c r="BR14" s="211">
        <v>-51</v>
      </c>
      <c r="BS14" s="211">
        <v>-59.2</v>
      </c>
      <c r="BT14" s="570">
        <v>-63.5</v>
      </c>
      <c r="BU14" s="212">
        <v>-67.900000000000006</v>
      </c>
      <c r="BV14" s="224">
        <v>-87.2</v>
      </c>
      <c r="BW14" s="200" t="s">
        <v>22</v>
      </c>
      <c r="BX14" s="475" t="e">
        <f t="shared" si="1"/>
        <v>#REF!</v>
      </c>
      <c r="BY14" s="475"/>
      <c r="BZ14" s="21" t="s">
        <v>111</v>
      </c>
      <c r="CA14" s="222">
        <v>3</v>
      </c>
      <c r="CB14" s="223">
        <v>10</v>
      </c>
      <c r="CC14" s="211">
        <v>-34.6</v>
      </c>
      <c r="CD14" s="211">
        <v>-34.6</v>
      </c>
      <c r="CE14" s="211">
        <v>-42.7</v>
      </c>
      <c r="CF14" s="211">
        <v>-47.2</v>
      </c>
      <c r="CG14" s="211">
        <v>-51.6</v>
      </c>
      <c r="CH14" s="211">
        <v>-61.5</v>
      </c>
      <c r="CI14" s="211">
        <v>-66.8</v>
      </c>
      <c r="CJ14" s="211">
        <v>-72.099999999999994</v>
      </c>
      <c r="CK14" s="211">
        <v>-83.7</v>
      </c>
      <c r="CL14" s="570">
        <v>-89.9</v>
      </c>
      <c r="CM14" s="212">
        <v>-96</v>
      </c>
      <c r="CN14" s="224">
        <v>-123.4</v>
      </c>
      <c r="CO14" s="200" t="s">
        <v>22</v>
      </c>
      <c r="CP14" s="475" t="e">
        <f t="shared" si="2"/>
        <v>#REF!</v>
      </c>
      <c r="CQ14" s="278">
        <v>7</v>
      </c>
      <c r="CR14" s="223">
        <v>45</v>
      </c>
      <c r="CS14" s="282">
        <v>1.1200000000000001</v>
      </c>
      <c r="CT14" s="283">
        <v>1.53</v>
      </c>
      <c r="CU14" s="284">
        <v>1.78</v>
      </c>
      <c r="CV14" s="475"/>
      <c r="CW14" s="57"/>
      <c r="CX14" s="467"/>
      <c r="CY14" s="358">
        <v>10</v>
      </c>
      <c r="CZ14" s="358">
        <v>2</v>
      </c>
      <c r="DA14" s="358">
        <v>1</v>
      </c>
      <c r="DB14" s="359">
        <v>12.9</v>
      </c>
      <c r="DC14" s="360">
        <v>-5.4</v>
      </c>
      <c r="DD14" s="360">
        <v>8.6</v>
      </c>
      <c r="DE14" s="361">
        <v>-3.1</v>
      </c>
      <c r="DF14" s="359">
        <v>-13.8</v>
      </c>
      <c r="DG14" s="360">
        <v>-8.4</v>
      </c>
      <c r="DH14" s="360">
        <v>-9.6</v>
      </c>
      <c r="DI14" s="362">
        <v>-6.5</v>
      </c>
      <c r="DJ14" s="359">
        <v>-19.3</v>
      </c>
      <c r="DK14" s="361">
        <v>-15.1</v>
      </c>
      <c r="DM14" s="334"/>
      <c r="DN14" s="363">
        <v>1</v>
      </c>
      <c r="DO14" s="364">
        <v>50</v>
      </c>
      <c r="DP14" s="355">
        <v>4.5</v>
      </c>
      <c r="DQ14" s="365">
        <v>-12.2</v>
      </c>
      <c r="DR14" s="355">
        <v>5.0999999999999996</v>
      </c>
      <c r="DS14" s="365">
        <v>-13.7</v>
      </c>
      <c r="DT14" s="355">
        <v>6.3</v>
      </c>
      <c r="DU14" s="365">
        <v>-16.899999999999999</v>
      </c>
      <c r="DV14" s="355">
        <v>6.9</v>
      </c>
      <c r="DW14" s="365">
        <v>-18.7</v>
      </c>
      <c r="DX14" s="355">
        <v>7.6</v>
      </c>
      <c r="DY14" s="365">
        <v>-20.5</v>
      </c>
      <c r="DZ14" s="355">
        <v>9</v>
      </c>
      <c r="EA14" s="365">
        <v>-24.4</v>
      </c>
      <c r="EB14" s="355">
        <v>9.8000000000000007</v>
      </c>
      <c r="EC14" s="365">
        <v>-26.4</v>
      </c>
      <c r="ED14" s="355">
        <v>10.6</v>
      </c>
      <c r="EE14" s="365">
        <v>-28.6</v>
      </c>
      <c r="EF14" s="355">
        <v>12.3</v>
      </c>
      <c r="EG14" s="365">
        <v>-33.200000000000003</v>
      </c>
      <c r="EH14" s="355">
        <v>13.1</v>
      </c>
      <c r="EI14" s="365">
        <v>-35.6</v>
      </c>
      <c r="EJ14" s="355">
        <v>14.1</v>
      </c>
      <c r="EK14" s="365">
        <v>-38.1</v>
      </c>
      <c r="EL14" s="355">
        <v>18.100000000000001</v>
      </c>
      <c r="EM14" s="365">
        <v>-48.9</v>
      </c>
      <c r="EO14" s="334" t="s">
        <v>20</v>
      </c>
      <c r="EP14" s="363">
        <v>2</v>
      </c>
      <c r="EQ14" s="364">
        <v>50</v>
      </c>
      <c r="ER14" s="355">
        <v>-20.100000000000001</v>
      </c>
      <c r="ES14" s="355">
        <v>-20.100000000000001</v>
      </c>
      <c r="ET14" s="355">
        <v>-24.9</v>
      </c>
      <c r="EU14" s="355">
        <v>-27.5</v>
      </c>
      <c r="EV14" s="355">
        <v>-30.1</v>
      </c>
      <c r="EW14" s="355">
        <v>-35.799999999999997</v>
      </c>
      <c r="EX14" s="355">
        <v>-38.9</v>
      </c>
      <c r="EY14" s="355">
        <v>-42</v>
      </c>
      <c r="EZ14" s="355">
        <v>-48.7</v>
      </c>
      <c r="FA14" s="511">
        <v>-52.3</v>
      </c>
      <c r="FB14" s="356">
        <v>-55.9</v>
      </c>
      <c r="FC14" s="366">
        <v>-71.8</v>
      </c>
      <c r="FE14" s="343">
        <v>35</v>
      </c>
      <c r="FF14" s="344">
        <v>1.05</v>
      </c>
      <c r="FG14" s="345">
        <v>1.45</v>
      </c>
      <c r="FH14" s="346">
        <v>1.7</v>
      </c>
    </row>
    <row r="15" spans="1:164" x14ac:dyDescent="0.2">
      <c r="A15" s="52"/>
      <c r="B15" s="56" t="s">
        <v>112</v>
      </c>
      <c r="C15" s="592" t="e">
        <f>Input!#REF!</f>
        <v>#REF!</v>
      </c>
      <c r="D15" s="416" t="s">
        <v>363</v>
      </c>
      <c r="H15" s="234"/>
      <c r="J15" s="57"/>
      <c r="L15" s="232" t="s">
        <v>56</v>
      </c>
      <c r="M15" s="200">
        <v>5</v>
      </c>
      <c r="N15" s="21"/>
      <c r="O15" s="223">
        <v>20</v>
      </c>
      <c r="P15" s="223">
        <v>1</v>
      </c>
      <c r="Q15" s="211">
        <v>15.9</v>
      </c>
      <c r="R15" s="226">
        <v>-4.2</v>
      </c>
      <c r="S15" s="226">
        <v>10.6</v>
      </c>
      <c r="T15" s="227">
        <v>-2.2999999999999998</v>
      </c>
      <c r="U15" s="211">
        <v>-13.8</v>
      </c>
      <c r="V15" s="226">
        <v>-9.6</v>
      </c>
      <c r="W15" s="226">
        <v>-9.6</v>
      </c>
      <c r="X15" s="228">
        <v>-7.3</v>
      </c>
      <c r="Y15" s="211">
        <v>-19.3</v>
      </c>
      <c r="Z15" s="227">
        <v>-15.1</v>
      </c>
      <c r="AA15" s="218">
        <v>5</v>
      </c>
      <c r="AB15" s="229"/>
      <c r="AC15" s="230" t="e">
        <f>IF($C$8=$N16,IF(AND($AD$6&gt;=25,$AD$6&lt;=45),VLOOKUP(MATCH($AD$6,$O11:$O21,1),$M11:$Z21,3),""),"")</f>
        <v>#REF!</v>
      </c>
      <c r="AD15" s="230" t="e">
        <f>IF($C$8=$N16,IF(AND($AD$6&gt;=25,$AD$6&lt;=45),VLOOKUP(MATCH($AD$6,$O11:$O21,1)+1,$M11:$Z21,5),""),"")</f>
        <v>#REF!</v>
      </c>
      <c r="AE15" s="230" t="e">
        <f>IF($C$8=$N16,IF(AND($AD$6&gt;=25,$AD$6&lt;=45),VLOOKUP(MATCH($AD$6,$O11:$O21,1)+1,$M11:$Z21,6),""),"")</f>
        <v>#REF!</v>
      </c>
      <c r="AF15" s="230" t="e">
        <f>IF($C$8=$N16,IF(AND($AD$6&gt;=25,$AD$6&lt;=45),VLOOKUP(MATCH($AD$6,$O11:$O21,1)+1,$M11:$Z21,7),""),"")</f>
        <v>#REF!</v>
      </c>
      <c r="AG15" s="230" t="e">
        <f>IF($C$8=$N16,IF(AND($AD$6&gt;=25,$AD$6&lt;=45),VLOOKUP(MATCH($AD$6,$O11:$O21,1)+1,$M11:$Z21,8),""),"")</f>
        <v>#REF!</v>
      </c>
      <c r="AH15" s="230" t="e">
        <f>IF($C$8=$N16,IF(AND($AD$6&gt;=25,$AD$6&lt;=45),VLOOKUP(MATCH($AD$6,$O11:$O21,1)+1,$M11:$Z21,9),""),"")</f>
        <v>#REF!</v>
      </c>
      <c r="AI15" s="230" t="e">
        <f>IF($C$8=$N16,IF(AND($AD$6&gt;=25,$AD$6&lt;=45),VLOOKUP(MATCH($AD$6,$O11:$O21,1)+1,$M11:$Z21,10),""),"")</f>
        <v>#REF!</v>
      </c>
      <c r="AJ15" s="230" t="e">
        <f>IF($C$8=$N16,IF(AND($AD$6&gt;=25,$AD$6&lt;=45),VLOOKUP(MATCH($AD$6,$O11:$O21,1)+1,$M11:$Z21,11),""),"")</f>
        <v>#REF!</v>
      </c>
      <c r="AK15" s="230" t="e">
        <f>IF($C$8=$N16,IF(AND($AD$6&gt;=25,$AD$6&lt;=45),VLOOKUP(MATCH($AD$6,$O11:$O21,1)+1,$M11:$Z21,12),""),"")</f>
        <v>#REF!</v>
      </c>
      <c r="AL15" s="230" t="e">
        <f>IF($C$8=$N16,IF(AND($AD$6&gt;=25,$AD$6&lt;=45),VLOOKUP(MATCH($AD$6,$O11:$O21,1)+1,$M11:$Z21,13),""),"")</f>
        <v>#REF!</v>
      </c>
      <c r="AM15" s="231" t="e">
        <f>IF($C$8=$N16,IF(AND($AD$6&gt;=25,$AD$6&lt;=45),VLOOKUP(MATCH($AD$6,$O11:$O21,1)+1,$M11:$Z21,14),""),"")</f>
        <v>#REF!</v>
      </c>
      <c r="AN15" s="19"/>
      <c r="AP15" s="21" t="s">
        <v>20</v>
      </c>
      <c r="AQ15" s="222">
        <v>2</v>
      </c>
      <c r="AR15" s="223">
        <v>20</v>
      </c>
      <c r="AS15" s="211">
        <v>5</v>
      </c>
      <c r="AT15" s="211">
        <v>5.6</v>
      </c>
      <c r="AU15" s="211">
        <v>6.9</v>
      </c>
      <c r="AV15" s="211">
        <v>7.6</v>
      </c>
      <c r="AW15" s="211">
        <v>8.3000000000000007</v>
      </c>
      <c r="AX15" s="211">
        <v>9.9</v>
      </c>
      <c r="AY15" s="211">
        <v>10.7</v>
      </c>
      <c r="AZ15" s="211">
        <v>11.6</v>
      </c>
      <c r="BA15" s="211">
        <v>13.4</v>
      </c>
      <c r="BB15" s="570">
        <v>14.4</v>
      </c>
      <c r="BC15" s="212">
        <v>15.4</v>
      </c>
      <c r="BD15" s="224">
        <v>19.8</v>
      </c>
      <c r="BE15" s="200" t="s">
        <v>22</v>
      </c>
      <c r="BF15" s="475" t="e">
        <f t="shared" si="0"/>
        <v>#REF!</v>
      </c>
      <c r="BH15" s="21" t="s">
        <v>20</v>
      </c>
      <c r="BI15" s="222">
        <v>2</v>
      </c>
      <c r="BJ15" s="223">
        <v>20</v>
      </c>
      <c r="BK15" s="211">
        <v>-19.5</v>
      </c>
      <c r="BL15" s="211">
        <v>-21.8</v>
      </c>
      <c r="BM15" s="211">
        <v>-27</v>
      </c>
      <c r="BN15" s="211">
        <v>-29.7</v>
      </c>
      <c r="BO15" s="211">
        <v>-32.6</v>
      </c>
      <c r="BP15" s="211">
        <v>-38.799999999999997</v>
      </c>
      <c r="BQ15" s="211">
        <v>-42.1</v>
      </c>
      <c r="BR15" s="211">
        <v>-45.6</v>
      </c>
      <c r="BS15" s="211">
        <v>-52.9</v>
      </c>
      <c r="BT15" s="570">
        <v>-56.7</v>
      </c>
      <c r="BU15" s="212">
        <v>-60.7</v>
      </c>
      <c r="BV15" s="224">
        <v>-78</v>
      </c>
      <c r="BW15" s="200" t="s">
        <v>22</v>
      </c>
      <c r="BX15" s="475" t="e">
        <f t="shared" si="1"/>
        <v>#REF!</v>
      </c>
      <c r="BY15" s="475"/>
      <c r="BZ15" s="21"/>
      <c r="CA15" s="222">
        <v>3</v>
      </c>
      <c r="CB15" s="223">
        <v>20</v>
      </c>
      <c r="CC15" s="211">
        <v>-27.1</v>
      </c>
      <c r="CD15" s="211">
        <v>-27.1</v>
      </c>
      <c r="CE15" s="211">
        <v>-33.5</v>
      </c>
      <c r="CF15" s="211">
        <v>-37</v>
      </c>
      <c r="CG15" s="211">
        <v>-40.5</v>
      </c>
      <c r="CH15" s="211">
        <v>-48.3</v>
      </c>
      <c r="CI15" s="211">
        <v>-52.5</v>
      </c>
      <c r="CJ15" s="211">
        <v>-56.6</v>
      </c>
      <c r="CK15" s="211">
        <v>-65.7</v>
      </c>
      <c r="CL15" s="570">
        <v>-70.599999999999994</v>
      </c>
      <c r="CM15" s="212">
        <v>-75.400000000000006</v>
      </c>
      <c r="CN15" s="224">
        <v>-96.8</v>
      </c>
      <c r="CO15" s="200" t="s">
        <v>22</v>
      </c>
      <c r="CP15" s="475" t="e">
        <f t="shared" si="2"/>
        <v>#REF!</v>
      </c>
      <c r="CQ15" s="278">
        <v>8</v>
      </c>
      <c r="CR15" s="223">
        <v>50</v>
      </c>
      <c r="CS15" s="282">
        <v>1.26</v>
      </c>
      <c r="CT15" s="283">
        <v>1.56</v>
      </c>
      <c r="CU15" s="284">
        <v>1.81</v>
      </c>
      <c r="CV15" s="475"/>
      <c r="CW15" s="57"/>
      <c r="CX15" s="467"/>
      <c r="CY15" s="358">
        <v>15</v>
      </c>
      <c r="CZ15" s="358">
        <v>3</v>
      </c>
      <c r="DA15" s="358">
        <v>1</v>
      </c>
      <c r="DB15" s="359">
        <v>14.4</v>
      </c>
      <c r="DC15" s="360">
        <v>-4.8</v>
      </c>
      <c r="DD15" s="360">
        <v>9.6</v>
      </c>
      <c r="DE15" s="361">
        <v>-2.7</v>
      </c>
      <c r="DF15" s="359">
        <v>-13.8</v>
      </c>
      <c r="DG15" s="360">
        <v>-9</v>
      </c>
      <c r="DH15" s="360">
        <v>-9.6</v>
      </c>
      <c r="DI15" s="362">
        <v>-6.9</v>
      </c>
      <c r="DJ15" s="359">
        <v>-19.3</v>
      </c>
      <c r="DK15" s="361">
        <v>-15.1</v>
      </c>
      <c r="DM15" s="334"/>
      <c r="DN15" s="363">
        <v>1</v>
      </c>
      <c r="DO15" s="364">
        <v>100</v>
      </c>
      <c r="DP15" s="355">
        <v>4.2</v>
      </c>
      <c r="DQ15" s="365">
        <v>-11.9</v>
      </c>
      <c r="DR15" s="355">
        <v>4.7</v>
      </c>
      <c r="DS15" s="365">
        <v>-13.3</v>
      </c>
      <c r="DT15" s="355">
        <v>5.8</v>
      </c>
      <c r="DU15" s="365">
        <v>-16.5</v>
      </c>
      <c r="DV15" s="355">
        <v>6.4</v>
      </c>
      <c r="DW15" s="365">
        <v>-18.2</v>
      </c>
      <c r="DX15" s="355">
        <v>7</v>
      </c>
      <c r="DY15" s="365">
        <v>-19.899999999999999</v>
      </c>
      <c r="DZ15" s="355">
        <v>8.3000000000000007</v>
      </c>
      <c r="EA15" s="365">
        <v>-23.7</v>
      </c>
      <c r="EB15" s="355">
        <v>9.1</v>
      </c>
      <c r="EC15" s="365">
        <v>-25.7</v>
      </c>
      <c r="ED15" s="355">
        <v>9.8000000000000007</v>
      </c>
      <c r="EE15" s="365">
        <v>-27.8</v>
      </c>
      <c r="EF15" s="355">
        <v>11.4</v>
      </c>
      <c r="EG15" s="365">
        <v>-32.299999999999997</v>
      </c>
      <c r="EH15" s="355">
        <v>12.2</v>
      </c>
      <c r="EI15" s="365">
        <v>-34.6</v>
      </c>
      <c r="EJ15" s="355">
        <v>13</v>
      </c>
      <c r="EK15" s="365">
        <v>-37</v>
      </c>
      <c r="EL15" s="355">
        <v>16.7</v>
      </c>
      <c r="EM15" s="365">
        <v>-47.6</v>
      </c>
      <c r="EO15" s="334" t="s">
        <v>110</v>
      </c>
      <c r="EP15" s="363">
        <v>2</v>
      </c>
      <c r="EQ15" s="364">
        <v>100</v>
      </c>
      <c r="ER15" s="355">
        <v>-19.8</v>
      </c>
      <c r="ES15" s="355">
        <v>-19.8</v>
      </c>
      <c r="ET15" s="355">
        <v>-24.4</v>
      </c>
      <c r="EU15" s="355">
        <v>-27</v>
      </c>
      <c r="EV15" s="355">
        <v>-29.5</v>
      </c>
      <c r="EW15" s="355">
        <v>-35.1</v>
      </c>
      <c r="EX15" s="355">
        <v>-38.200000000000003</v>
      </c>
      <c r="EY15" s="355">
        <v>-41.2</v>
      </c>
      <c r="EZ15" s="355">
        <v>-47.8</v>
      </c>
      <c r="FA15" s="511">
        <v>-51.4</v>
      </c>
      <c r="FB15" s="356">
        <v>-54.9</v>
      </c>
      <c r="FC15" s="366">
        <v>-70.5</v>
      </c>
      <c r="FE15" s="343">
        <v>40</v>
      </c>
      <c r="FF15" s="344">
        <v>1.0900000000000001</v>
      </c>
      <c r="FG15" s="345">
        <v>1.49</v>
      </c>
      <c r="FH15" s="346">
        <v>1.74</v>
      </c>
    </row>
    <row r="16" spans="1:164" x14ac:dyDescent="0.2">
      <c r="A16" s="52"/>
      <c r="B16" s="56" t="s">
        <v>317</v>
      </c>
      <c r="C16" s="591" t="e">
        <f>Input!#REF!</f>
        <v>#REF!</v>
      </c>
      <c r="D16" s="508" t="s">
        <v>196</v>
      </c>
      <c r="H16" s="81" t="s">
        <v>114</v>
      </c>
      <c r="I16" s="81"/>
      <c r="J16" s="57"/>
      <c r="L16" s="232" t="s">
        <v>47</v>
      </c>
      <c r="M16" s="200">
        <v>6</v>
      </c>
      <c r="N16" s="21">
        <v>85</v>
      </c>
      <c r="O16" s="235">
        <v>25</v>
      </c>
      <c r="P16" s="235">
        <v>1</v>
      </c>
      <c r="Q16" s="236">
        <v>14.4</v>
      </c>
      <c r="R16" s="237">
        <v>2.2999999999999998</v>
      </c>
      <c r="S16" s="237">
        <v>10.4</v>
      </c>
      <c r="T16" s="238">
        <v>2.4</v>
      </c>
      <c r="U16" s="236">
        <v>-6.4</v>
      </c>
      <c r="V16" s="237">
        <v>-8.6999999999999993</v>
      </c>
      <c r="W16" s="237">
        <v>-4.5999999999999996</v>
      </c>
      <c r="X16" s="239">
        <v>-7</v>
      </c>
      <c r="Y16" s="236">
        <v>-11.9</v>
      </c>
      <c r="Z16" s="238">
        <v>-10.1</v>
      </c>
      <c r="AA16" s="218">
        <v>6</v>
      </c>
      <c r="AB16" s="229"/>
      <c r="AC16" s="230" t="e">
        <f>IF($C$8=$N16,IF(AND($AD$6&gt;=25,$AD$6&lt;=45),VLOOKUP(MATCH($AD$6,$O11:$O21,1)+IF($AD$6&lt;25,1,2),$M11:$Z21,3),""),"")</f>
        <v>#REF!</v>
      </c>
      <c r="AD16" s="230" t="e">
        <f>IF($C$8=$N16,IF(AND($AD$6&gt;=25,$AD$6&lt;=45),VLOOKUP(MATCH($AD$6,$O11:$O21,1)+1+IF($AD$6&lt;25,1,2),$M11:$Z21,5),""),"")</f>
        <v>#REF!</v>
      </c>
      <c r="AE16" s="230" t="e">
        <f>IF($C$8=$N16,IF(AND($AD$6&gt;=25,$AD$6&lt;=45),VLOOKUP(MATCH($AD$6,$O11:$O21,1)+1+IF($AD$6&lt;25,1,2),$M11:$Z21,6),""),"")</f>
        <v>#REF!</v>
      </c>
      <c r="AF16" s="230" t="e">
        <f>IF($C$8=$N16,IF(AND($AD$6&gt;=25,$AD$6&lt;=45),VLOOKUP(MATCH($AD$6,$O11:$O21,1)+1+IF($AD$6&lt;25,1,2),$M11:$Z21,7),""),"")</f>
        <v>#REF!</v>
      </c>
      <c r="AG16" s="230" t="e">
        <f>IF($C$8=$N16,IF(AND($AD$6&gt;=25,$AD$6&lt;=45),VLOOKUP(MATCH($AD$6,$O11:$O21,1)+1+IF($AD$6&lt;25,1,2),$M11:$Z21,8),""),"")</f>
        <v>#REF!</v>
      </c>
      <c r="AH16" s="230" t="e">
        <f>IF($C$8=$N16,IF(AND($AD$6&gt;=25,$AD$6&lt;=45),VLOOKUP(MATCH($AD$6,$O11:$O21,1)+1+IF($AD$6&lt;25,1,2),$M11:$Z21,9),""),"")</f>
        <v>#REF!</v>
      </c>
      <c r="AI16" s="230" t="e">
        <f>IF($C$8=$N16,IF(AND($AD$6&gt;=25,$AD$6&lt;=45),VLOOKUP(MATCH($AD$6,$O11:$O21,1)+1+IF($AD$6&lt;25,1,2),$M11:$Z21,10),""),"")</f>
        <v>#REF!</v>
      </c>
      <c r="AJ16" s="230" t="e">
        <f>IF($C$8=$N16,IF(AND($AD$6&gt;=25,$AD$6&lt;=45),VLOOKUP(MATCH($AD$6,$O11:$O21,1)+1+IF($AD$6&lt;25,1,2),$M11:$Z21,11),""),"")</f>
        <v>#REF!</v>
      </c>
      <c r="AK16" s="230" t="e">
        <f>IF($C$8=$N16,IF(AND($AD$6&gt;=25,$AD$6&lt;=45),VLOOKUP(MATCH($AD$6,$O11:$O21,1)+1+IF($AD$6&lt;25,1,2),$M11:$Z21,12),""),"")</f>
        <v>#REF!</v>
      </c>
      <c r="AL16" s="230" t="e">
        <f>IF($C$8=$N16,IF(AND($AD$6&gt;=25,$AD$6&lt;=45),VLOOKUP(MATCH($AD$6,$O11:$O21,1)+1+IF($AD$6&lt;25,1,2),$M11:$Z21,13),""),"")</f>
        <v>#REF!</v>
      </c>
      <c r="AM16" s="231" t="e">
        <f>IF($C$8=$N16,IF(AND($AD$6&gt;=25,$AD$6&lt;=45),VLOOKUP(MATCH($AD$6,$O11:$O21,1)+1+IF($AD$6&lt;25,1,2),$M11:$Z21,14),""),"")</f>
        <v>#REF!</v>
      </c>
      <c r="AN16" s="19"/>
      <c r="AP16" s="21" t="s">
        <v>110</v>
      </c>
      <c r="AQ16" s="222">
        <v>2</v>
      </c>
      <c r="AR16" s="223">
        <v>50</v>
      </c>
      <c r="AS16" s="211">
        <v>4.5</v>
      </c>
      <c r="AT16" s="211">
        <v>5.0999999999999996</v>
      </c>
      <c r="AU16" s="211">
        <v>6.3</v>
      </c>
      <c r="AV16" s="211">
        <v>6.9</v>
      </c>
      <c r="AW16" s="211">
        <v>7.6</v>
      </c>
      <c r="AX16" s="211">
        <v>9</v>
      </c>
      <c r="AY16" s="211">
        <v>9.8000000000000007</v>
      </c>
      <c r="AZ16" s="211">
        <v>10.6</v>
      </c>
      <c r="BA16" s="211">
        <v>12.3</v>
      </c>
      <c r="BB16" s="570">
        <v>13.1</v>
      </c>
      <c r="BC16" s="212">
        <v>14.1</v>
      </c>
      <c r="BD16" s="224">
        <v>18.100000000000001</v>
      </c>
      <c r="BE16" s="200" t="s">
        <v>22</v>
      </c>
      <c r="BF16" s="475" t="e">
        <f t="shared" si="0"/>
        <v>#REF!</v>
      </c>
      <c r="BH16" s="21" t="s">
        <v>110</v>
      </c>
      <c r="BI16" s="222">
        <v>2</v>
      </c>
      <c r="BJ16" s="223">
        <v>50</v>
      </c>
      <c r="BK16" s="211">
        <v>-16.399999999999999</v>
      </c>
      <c r="BL16" s="211">
        <v>-18.399999999999999</v>
      </c>
      <c r="BM16" s="211">
        <v>-22.7</v>
      </c>
      <c r="BN16" s="211">
        <v>-25.1</v>
      </c>
      <c r="BO16" s="211">
        <v>-27.5</v>
      </c>
      <c r="BP16" s="211">
        <v>-32.700000000000003</v>
      </c>
      <c r="BQ16" s="211">
        <v>-35.5</v>
      </c>
      <c r="BR16" s="211">
        <v>-38.4</v>
      </c>
      <c r="BS16" s="211">
        <v>-44.5</v>
      </c>
      <c r="BT16" s="570">
        <v>-47.8</v>
      </c>
      <c r="BU16" s="212">
        <v>-51.1</v>
      </c>
      <c r="BV16" s="224">
        <v>-65.7</v>
      </c>
      <c r="BW16" s="200" t="s">
        <v>22</v>
      </c>
      <c r="BX16" s="475" t="e">
        <f t="shared" si="1"/>
        <v>#REF!</v>
      </c>
      <c r="BY16" s="475"/>
      <c r="BZ16" s="21"/>
      <c r="CA16" s="222">
        <v>3</v>
      </c>
      <c r="CB16" s="223">
        <v>50</v>
      </c>
      <c r="CC16" s="211">
        <v>-17.3</v>
      </c>
      <c r="CD16" s="211">
        <v>-17.3</v>
      </c>
      <c r="CE16" s="211">
        <v>-21.4</v>
      </c>
      <c r="CF16" s="211">
        <v>-23.7</v>
      </c>
      <c r="CG16" s="211">
        <v>-25.9</v>
      </c>
      <c r="CH16" s="211">
        <v>-30.8</v>
      </c>
      <c r="CI16" s="211">
        <v>-33.5</v>
      </c>
      <c r="CJ16" s="211">
        <v>-36.1</v>
      </c>
      <c r="CK16" s="211">
        <v>-41.9</v>
      </c>
      <c r="CL16" s="570">
        <v>-45</v>
      </c>
      <c r="CM16" s="212">
        <v>-48.1</v>
      </c>
      <c r="CN16" s="224">
        <v>-61.8</v>
      </c>
      <c r="CO16" s="200" t="s">
        <v>22</v>
      </c>
      <c r="CP16" s="475" t="e">
        <f t="shared" si="2"/>
        <v>#REF!</v>
      </c>
      <c r="CQ16" s="278">
        <v>9</v>
      </c>
      <c r="CR16" s="223">
        <v>55</v>
      </c>
      <c r="CS16" s="282">
        <v>1.19</v>
      </c>
      <c r="CT16" s="283">
        <v>1.59</v>
      </c>
      <c r="CU16" s="284">
        <v>1.84</v>
      </c>
      <c r="CV16" s="475"/>
      <c r="CW16" s="57"/>
      <c r="CX16" s="467">
        <v>85</v>
      </c>
      <c r="CY16" s="358">
        <v>20</v>
      </c>
      <c r="CZ16" s="358">
        <v>4</v>
      </c>
      <c r="DA16" s="358">
        <v>1</v>
      </c>
      <c r="DB16" s="359">
        <v>15.9</v>
      </c>
      <c r="DC16" s="360">
        <v>-4.2</v>
      </c>
      <c r="DD16" s="360">
        <v>10.6</v>
      </c>
      <c r="DE16" s="361">
        <v>-2.2999999999999998</v>
      </c>
      <c r="DF16" s="359">
        <v>-13.8</v>
      </c>
      <c r="DG16" s="360">
        <v>-9.6</v>
      </c>
      <c r="DH16" s="360">
        <v>-9.6</v>
      </c>
      <c r="DI16" s="362">
        <v>-7.3</v>
      </c>
      <c r="DJ16" s="359">
        <v>-19.3</v>
      </c>
      <c r="DK16" s="361">
        <v>-15.1</v>
      </c>
      <c r="DM16" s="334"/>
      <c r="DN16" s="363">
        <v>2</v>
      </c>
      <c r="DO16" s="364">
        <v>10</v>
      </c>
      <c r="DP16" s="355">
        <v>5.3</v>
      </c>
      <c r="DQ16" s="365">
        <v>-21.8</v>
      </c>
      <c r="DR16" s="355">
        <v>5.9</v>
      </c>
      <c r="DS16" s="365">
        <v>-24.4</v>
      </c>
      <c r="DT16" s="355">
        <v>7.3</v>
      </c>
      <c r="DU16" s="365">
        <v>-30.2</v>
      </c>
      <c r="DV16" s="355">
        <v>8.1</v>
      </c>
      <c r="DW16" s="365">
        <v>-33.299999999999997</v>
      </c>
      <c r="DX16" s="355">
        <v>8.9</v>
      </c>
      <c r="DY16" s="365">
        <v>-36.5</v>
      </c>
      <c r="DZ16" s="355">
        <v>10.5</v>
      </c>
      <c r="EA16" s="365">
        <v>-43.5</v>
      </c>
      <c r="EB16" s="355">
        <v>11.4</v>
      </c>
      <c r="EC16" s="365">
        <v>-47.2</v>
      </c>
      <c r="ED16" s="355">
        <v>12.4</v>
      </c>
      <c r="EE16" s="365">
        <v>-51</v>
      </c>
      <c r="EF16" s="355">
        <v>14.3</v>
      </c>
      <c r="EG16" s="365">
        <v>-59.2</v>
      </c>
      <c r="EH16" s="355">
        <v>15.4</v>
      </c>
      <c r="EI16" s="365">
        <v>-63.5</v>
      </c>
      <c r="EJ16" s="355">
        <v>16.5</v>
      </c>
      <c r="EK16" s="365">
        <v>-67.900000000000006</v>
      </c>
      <c r="EL16" s="355">
        <v>21.1</v>
      </c>
      <c r="EM16" s="365">
        <v>-87.2</v>
      </c>
      <c r="EO16" s="334" t="s">
        <v>111</v>
      </c>
      <c r="EP16" s="363">
        <v>3</v>
      </c>
      <c r="EQ16" s="364">
        <v>10</v>
      </c>
      <c r="ER16" s="355">
        <v>-34.6</v>
      </c>
      <c r="ES16" s="355">
        <v>-34.6</v>
      </c>
      <c r="ET16" s="355">
        <v>-42.7</v>
      </c>
      <c r="EU16" s="355">
        <v>-47.2</v>
      </c>
      <c r="EV16" s="355">
        <v>-51.6</v>
      </c>
      <c r="EW16" s="355">
        <v>-61.5</v>
      </c>
      <c r="EX16" s="355">
        <v>-66.8</v>
      </c>
      <c r="EY16" s="355">
        <v>-72.099999999999994</v>
      </c>
      <c r="EZ16" s="355">
        <v>-83.7</v>
      </c>
      <c r="FA16" s="511">
        <v>-89.9</v>
      </c>
      <c r="FB16" s="356">
        <v>-96</v>
      </c>
      <c r="FC16" s="366">
        <v>-123.4</v>
      </c>
      <c r="FE16" s="343">
        <v>45</v>
      </c>
      <c r="FF16" s="344">
        <v>1.1200000000000001</v>
      </c>
      <c r="FG16" s="345">
        <v>1.53</v>
      </c>
      <c r="FH16" s="346">
        <v>1.78</v>
      </c>
    </row>
    <row r="17" spans="1:164" x14ac:dyDescent="0.2">
      <c r="A17" s="52"/>
      <c r="B17" s="56" t="s">
        <v>41</v>
      </c>
      <c r="C17" s="156" t="s">
        <v>10</v>
      </c>
      <c r="D17" s="508" t="s">
        <v>70</v>
      </c>
      <c r="J17" s="57"/>
      <c r="L17" s="232" t="s">
        <v>48</v>
      </c>
      <c r="M17" s="200">
        <v>7</v>
      </c>
      <c r="N17" s="21"/>
      <c r="O17" s="210"/>
      <c r="P17" s="210">
        <v>2</v>
      </c>
      <c r="Q17" s="240">
        <v>0</v>
      </c>
      <c r="R17" s="241">
        <v>0</v>
      </c>
      <c r="S17" s="241">
        <v>0</v>
      </c>
      <c r="T17" s="242">
        <v>0</v>
      </c>
      <c r="U17" s="240">
        <v>-2.4</v>
      </c>
      <c r="V17" s="241">
        <v>-4.7</v>
      </c>
      <c r="W17" s="241">
        <v>-0.7</v>
      </c>
      <c r="X17" s="243">
        <v>-3</v>
      </c>
      <c r="Y17" s="240">
        <v>0</v>
      </c>
      <c r="Z17" s="242">
        <v>0</v>
      </c>
      <c r="AA17" s="218">
        <v>7</v>
      </c>
      <c r="AB17" s="229"/>
      <c r="AC17" s="230" t="e">
        <f>IF($C$8=$N16,IF(AND($AD$6&gt;=25,$AD$6&lt;=45),$AD$6,""),"")</f>
        <v>#REF!</v>
      </c>
      <c r="AD17" s="230" t="e">
        <f t="shared" ref="AD17:AM17" si="4">IF($C$8=$N16,IF(AND($AD$6&gt;=25,$AD$6&lt;=45),(AD16-AD15)*($AD$6-$AC15)/($AC16-$AC15)+AD15,""),"")</f>
        <v>#REF!</v>
      </c>
      <c r="AE17" s="230" t="e">
        <f t="shared" si="4"/>
        <v>#REF!</v>
      </c>
      <c r="AF17" s="230" t="e">
        <f t="shared" si="4"/>
        <v>#REF!</v>
      </c>
      <c r="AG17" s="230" t="e">
        <f t="shared" si="4"/>
        <v>#REF!</v>
      </c>
      <c r="AH17" s="230" t="e">
        <f t="shared" si="4"/>
        <v>#REF!</v>
      </c>
      <c r="AI17" s="230" t="e">
        <f t="shared" si="4"/>
        <v>#REF!</v>
      </c>
      <c r="AJ17" s="230" t="e">
        <f t="shared" si="4"/>
        <v>#REF!</v>
      </c>
      <c r="AK17" s="230" t="e">
        <f t="shared" si="4"/>
        <v>#REF!</v>
      </c>
      <c r="AL17" s="230" t="e">
        <f t="shared" si="4"/>
        <v>#REF!</v>
      </c>
      <c r="AM17" s="231" t="e">
        <f t="shared" si="4"/>
        <v>#REF!</v>
      </c>
      <c r="AN17" s="19"/>
      <c r="AP17" s="21" t="s">
        <v>111</v>
      </c>
      <c r="AQ17" s="222">
        <v>2</v>
      </c>
      <c r="AR17" s="223">
        <v>100</v>
      </c>
      <c r="AS17" s="211">
        <v>4.2</v>
      </c>
      <c r="AT17" s="211">
        <v>4.7</v>
      </c>
      <c r="AU17" s="211">
        <v>5.8</v>
      </c>
      <c r="AV17" s="211">
        <v>6.4</v>
      </c>
      <c r="AW17" s="211">
        <v>7</v>
      </c>
      <c r="AX17" s="211">
        <v>8.3000000000000007</v>
      </c>
      <c r="AY17" s="211">
        <v>9.1</v>
      </c>
      <c r="AZ17" s="211">
        <v>9.8000000000000007</v>
      </c>
      <c r="BA17" s="211">
        <v>11.4</v>
      </c>
      <c r="BB17" s="570">
        <v>12.2</v>
      </c>
      <c r="BC17" s="212">
        <v>13</v>
      </c>
      <c r="BD17" s="224">
        <v>16.7</v>
      </c>
      <c r="BE17" s="200" t="s">
        <v>22</v>
      </c>
      <c r="BF17" s="475" t="e">
        <f t="shared" si="0"/>
        <v>#REF!</v>
      </c>
      <c r="BH17" s="21" t="s">
        <v>111</v>
      </c>
      <c r="BI17" s="222">
        <v>2</v>
      </c>
      <c r="BJ17" s="223">
        <v>100</v>
      </c>
      <c r="BK17" s="211">
        <v>-14.1</v>
      </c>
      <c r="BL17" s="211">
        <v>-15.8</v>
      </c>
      <c r="BM17" s="211">
        <v>-19.5</v>
      </c>
      <c r="BN17" s="211">
        <v>-21.5</v>
      </c>
      <c r="BO17" s="211">
        <v>-23.6</v>
      </c>
      <c r="BP17" s="211">
        <v>-28.1</v>
      </c>
      <c r="BQ17" s="211">
        <v>-30.5</v>
      </c>
      <c r="BR17" s="211">
        <v>-33</v>
      </c>
      <c r="BS17" s="211">
        <v>-38.200000000000003</v>
      </c>
      <c r="BT17" s="570">
        <v>-41</v>
      </c>
      <c r="BU17" s="212">
        <v>-43.9</v>
      </c>
      <c r="BV17" s="224">
        <v>-56.4</v>
      </c>
      <c r="BW17" s="200" t="s">
        <v>22</v>
      </c>
      <c r="BX17" s="475" t="e">
        <f t="shared" si="1"/>
        <v>#REF!</v>
      </c>
      <c r="BY17" s="475"/>
      <c r="BZ17" s="22"/>
      <c r="CA17" s="244">
        <v>3</v>
      </c>
      <c r="CB17" s="245">
        <v>100</v>
      </c>
      <c r="CC17" s="246">
        <v>-10</v>
      </c>
      <c r="CD17" s="246">
        <v>-10</v>
      </c>
      <c r="CE17" s="246">
        <v>-12.2</v>
      </c>
      <c r="CF17" s="246">
        <v>-13.5</v>
      </c>
      <c r="CG17" s="246">
        <v>-14.8</v>
      </c>
      <c r="CH17" s="246">
        <v>-17.600000000000001</v>
      </c>
      <c r="CI17" s="246">
        <v>-19.100000000000001</v>
      </c>
      <c r="CJ17" s="246">
        <v>-20.6</v>
      </c>
      <c r="CK17" s="246">
        <v>-23.9</v>
      </c>
      <c r="CL17" s="571">
        <v>-25.7</v>
      </c>
      <c r="CM17" s="247">
        <v>-27.4</v>
      </c>
      <c r="CN17" s="248">
        <v>-35.200000000000003</v>
      </c>
      <c r="CO17" s="200" t="s">
        <v>22</v>
      </c>
      <c r="CP17" s="475" t="e">
        <f t="shared" si="2"/>
        <v>#REF!</v>
      </c>
      <c r="CQ17" s="278">
        <v>10</v>
      </c>
      <c r="CR17" s="245">
        <v>60</v>
      </c>
      <c r="CS17" s="285">
        <v>1.22</v>
      </c>
      <c r="CT17" s="286">
        <v>1.62</v>
      </c>
      <c r="CU17" s="287">
        <v>1.87</v>
      </c>
      <c r="CV17" s="475"/>
      <c r="CW17" s="57"/>
      <c r="CX17" s="467"/>
      <c r="CY17" s="367">
        <v>25</v>
      </c>
      <c r="CZ17" s="367">
        <v>6</v>
      </c>
      <c r="DA17" s="367">
        <v>1</v>
      </c>
      <c r="DB17" s="368">
        <v>14.4</v>
      </c>
      <c r="DC17" s="369">
        <v>2.2999999999999998</v>
      </c>
      <c r="DD17" s="369">
        <v>10.4</v>
      </c>
      <c r="DE17" s="370">
        <v>2.4</v>
      </c>
      <c r="DF17" s="368">
        <v>-6.4</v>
      </c>
      <c r="DG17" s="369">
        <v>-8.6999999999999993</v>
      </c>
      <c r="DH17" s="369">
        <v>-4.5999999999999996</v>
      </c>
      <c r="DI17" s="371">
        <v>-7</v>
      </c>
      <c r="DJ17" s="368">
        <v>-11.9</v>
      </c>
      <c r="DK17" s="370">
        <v>-10.1</v>
      </c>
      <c r="DM17" s="334" t="s">
        <v>20</v>
      </c>
      <c r="DN17" s="363">
        <v>2</v>
      </c>
      <c r="DO17" s="364">
        <v>20</v>
      </c>
      <c r="DP17" s="355">
        <v>5</v>
      </c>
      <c r="DQ17" s="365">
        <v>-19.5</v>
      </c>
      <c r="DR17" s="355">
        <v>5.6</v>
      </c>
      <c r="DS17" s="365">
        <v>-21.8</v>
      </c>
      <c r="DT17" s="355">
        <v>6.9</v>
      </c>
      <c r="DU17" s="365">
        <v>-27</v>
      </c>
      <c r="DV17" s="355">
        <v>7.6</v>
      </c>
      <c r="DW17" s="365">
        <v>-29.7</v>
      </c>
      <c r="DX17" s="355">
        <v>8.3000000000000007</v>
      </c>
      <c r="DY17" s="365">
        <v>-32.6</v>
      </c>
      <c r="DZ17" s="355">
        <v>9.9</v>
      </c>
      <c r="EA17" s="365">
        <v>-38.799999999999997</v>
      </c>
      <c r="EB17" s="355">
        <v>10.7</v>
      </c>
      <c r="EC17" s="365">
        <v>-42.1</v>
      </c>
      <c r="ED17" s="355">
        <v>11.6</v>
      </c>
      <c r="EE17" s="365">
        <v>-45.6</v>
      </c>
      <c r="EF17" s="355">
        <v>13.4</v>
      </c>
      <c r="EG17" s="365">
        <v>-52.9</v>
      </c>
      <c r="EH17" s="355">
        <v>14.4</v>
      </c>
      <c r="EI17" s="365">
        <v>-56.7</v>
      </c>
      <c r="EJ17" s="355">
        <v>15.4</v>
      </c>
      <c r="EK17" s="365">
        <v>-60.7</v>
      </c>
      <c r="EL17" s="355">
        <v>19.8</v>
      </c>
      <c r="EM17" s="365">
        <v>-78</v>
      </c>
      <c r="EO17" s="334"/>
      <c r="EP17" s="363">
        <v>3</v>
      </c>
      <c r="EQ17" s="364">
        <v>20</v>
      </c>
      <c r="ER17" s="355">
        <v>-27.1</v>
      </c>
      <c r="ES17" s="355">
        <v>-27.1</v>
      </c>
      <c r="ET17" s="355">
        <v>-33.5</v>
      </c>
      <c r="EU17" s="355">
        <v>-37</v>
      </c>
      <c r="EV17" s="355">
        <v>-40.5</v>
      </c>
      <c r="EW17" s="355">
        <v>-48.3</v>
      </c>
      <c r="EX17" s="355">
        <v>-52.5</v>
      </c>
      <c r="EY17" s="355">
        <v>-56.6</v>
      </c>
      <c r="EZ17" s="355">
        <v>-65.7</v>
      </c>
      <c r="FA17" s="511">
        <v>-70.599999999999994</v>
      </c>
      <c r="FB17" s="356">
        <v>-75.400000000000006</v>
      </c>
      <c r="FC17" s="366">
        <v>-96.8</v>
      </c>
      <c r="FE17" s="343">
        <v>50</v>
      </c>
      <c r="FF17" s="344">
        <v>1.26</v>
      </c>
      <c r="FG17" s="345">
        <v>1.56</v>
      </c>
      <c r="FH17" s="346">
        <v>1.81</v>
      </c>
    </row>
    <row r="18" spans="1:164" x14ac:dyDescent="0.2">
      <c r="A18" s="52"/>
      <c r="B18" s="56" t="s">
        <v>115</v>
      </c>
      <c r="C18" s="157">
        <f>(3.281)^2 * 1.5*16.5/2</f>
        <v>133.21639237500003</v>
      </c>
      <c r="D18" s="508" t="s">
        <v>204</v>
      </c>
      <c r="J18" s="57"/>
      <c r="L18" s="232" t="s">
        <v>49</v>
      </c>
      <c r="M18" s="200">
        <v>8</v>
      </c>
      <c r="N18" s="21"/>
      <c r="O18" s="235">
        <v>30</v>
      </c>
      <c r="P18" s="235">
        <v>1</v>
      </c>
      <c r="Q18" s="236">
        <v>12.9</v>
      </c>
      <c r="R18" s="237">
        <v>8.8000000000000007</v>
      </c>
      <c r="S18" s="237">
        <v>10.199999999999999</v>
      </c>
      <c r="T18" s="238">
        <v>7</v>
      </c>
      <c r="U18" s="236">
        <v>1</v>
      </c>
      <c r="V18" s="237">
        <v>-7.8</v>
      </c>
      <c r="W18" s="237">
        <v>0.3</v>
      </c>
      <c r="X18" s="239">
        <v>-6.7</v>
      </c>
      <c r="Y18" s="236">
        <v>-4.5</v>
      </c>
      <c r="Z18" s="238">
        <v>-5.2</v>
      </c>
      <c r="AA18" s="218">
        <v>8</v>
      </c>
      <c r="AB18" s="229"/>
      <c r="AC18" s="552"/>
      <c r="AD18" s="552"/>
      <c r="AE18" s="552"/>
      <c r="AF18" s="552"/>
      <c r="AG18" s="552"/>
      <c r="AH18" s="552"/>
      <c r="AI18" s="552"/>
      <c r="AJ18" s="552"/>
      <c r="AK18" s="552"/>
      <c r="AL18" s="552"/>
      <c r="AM18" s="553"/>
      <c r="AN18" s="233"/>
      <c r="AP18" s="21"/>
      <c r="AQ18" s="222">
        <v>3</v>
      </c>
      <c r="AR18" s="223">
        <v>10</v>
      </c>
      <c r="AS18" s="211">
        <v>5.3</v>
      </c>
      <c r="AT18" s="211">
        <v>5.9</v>
      </c>
      <c r="AU18" s="211">
        <v>7.3</v>
      </c>
      <c r="AV18" s="211">
        <v>8.1</v>
      </c>
      <c r="AW18" s="211">
        <v>8.9</v>
      </c>
      <c r="AX18" s="211">
        <v>10.5</v>
      </c>
      <c r="AY18" s="211">
        <v>11.4</v>
      </c>
      <c r="AZ18" s="211">
        <v>12.4</v>
      </c>
      <c r="BA18" s="211">
        <v>14.3</v>
      </c>
      <c r="BB18" s="570">
        <v>15.4</v>
      </c>
      <c r="BC18" s="212">
        <v>16.5</v>
      </c>
      <c r="BD18" s="224">
        <v>21.1</v>
      </c>
      <c r="BE18" s="200" t="s">
        <v>22</v>
      </c>
      <c r="BF18" s="475" t="e">
        <f t="shared" si="0"/>
        <v>#REF!</v>
      </c>
      <c r="BH18" s="21"/>
      <c r="BI18" s="222">
        <v>3</v>
      </c>
      <c r="BJ18" s="223">
        <v>10</v>
      </c>
      <c r="BK18" s="211">
        <v>-32.799999999999997</v>
      </c>
      <c r="BL18" s="211">
        <v>-36.799999999999997</v>
      </c>
      <c r="BM18" s="211">
        <v>-45.4</v>
      </c>
      <c r="BN18" s="211">
        <v>-50.1</v>
      </c>
      <c r="BO18" s="211">
        <v>-55</v>
      </c>
      <c r="BP18" s="211">
        <v>-65.400000000000006</v>
      </c>
      <c r="BQ18" s="211">
        <v>-71</v>
      </c>
      <c r="BR18" s="211">
        <v>-76.8</v>
      </c>
      <c r="BS18" s="211">
        <v>-89</v>
      </c>
      <c r="BT18" s="570">
        <v>-95.5</v>
      </c>
      <c r="BU18" s="212">
        <v>-102.2</v>
      </c>
      <c r="BV18" s="224">
        <v>-131.30000000000001</v>
      </c>
      <c r="BW18" s="200" t="s">
        <v>22</v>
      </c>
      <c r="BX18" s="475" t="e">
        <f t="shared" si="1"/>
        <v>#REF!</v>
      </c>
      <c r="BY18" s="475"/>
      <c r="BZ18" s="21"/>
      <c r="CA18" s="222">
        <v>2</v>
      </c>
      <c r="CB18" s="223">
        <v>10</v>
      </c>
      <c r="CC18" s="211">
        <v>-27.2</v>
      </c>
      <c r="CD18" s="211">
        <v>-27.2</v>
      </c>
      <c r="CE18" s="211">
        <v>-33.5</v>
      </c>
      <c r="CF18" s="211">
        <v>-37.1</v>
      </c>
      <c r="CG18" s="211">
        <v>-40.6</v>
      </c>
      <c r="CH18" s="211">
        <v>-48.3</v>
      </c>
      <c r="CI18" s="211">
        <v>-52.5</v>
      </c>
      <c r="CJ18" s="211">
        <v>-56.7</v>
      </c>
      <c r="CK18" s="211">
        <v>-65.7</v>
      </c>
      <c r="CL18" s="570">
        <v>-70.599999999999994</v>
      </c>
      <c r="CM18" s="212">
        <v>-75.5</v>
      </c>
      <c r="CN18" s="224">
        <v>-96.9</v>
      </c>
      <c r="CO18" s="200" t="s">
        <v>22</v>
      </c>
      <c r="CP18" s="475" t="e">
        <f t="shared" si="2"/>
        <v>#REF!</v>
      </c>
      <c r="CV18" s="475"/>
      <c r="CW18" s="57"/>
      <c r="CX18" s="467"/>
      <c r="CY18" s="372"/>
      <c r="CZ18" s="372"/>
      <c r="DA18" s="372">
        <v>2</v>
      </c>
      <c r="DB18" s="373" t="s">
        <v>145</v>
      </c>
      <c r="DC18" s="374" t="s">
        <v>145</v>
      </c>
      <c r="DD18" s="374" t="s">
        <v>145</v>
      </c>
      <c r="DE18" s="375" t="s">
        <v>145</v>
      </c>
      <c r="DF18" s="376">
        <v>-2.4</v>
      </c>
      <c r="DG18" s="377">
        <v>-4.7</v>
      </c>
      <c r="DH18" s="377">
        <v>-0.7</v>
      </c>
      <c r="DI18" s="378">
        <v>-3</v>
      </c>
      <c r="DJ18" s="373" t="s">
        <v>145</v>
      </c>
      <c r="DK18" s="375" t="s">
        <v>145</v>
      </c>
      <c r="DM18" s="334" t="s">
        <v>110</v>
      </c>
      <c r="DN18" s="363">
        <v>2</v>
      </c>
      <c r="DO18" s="364">
        <v>50</v>
      </c>
      <c r="DP18" s="355">
        <v>4.5</v>
      </c>
      <c r="DQ18" s="365">
        <v>-16.399999999999999</v>
      </c>
      <c r="DR18" s="355">
        <v>5.0999999999999996</v>
      </c>
      <c r="DS18" s="365">
        <v>-18.399999999999999</v>
      </c>
      <c r="DT18" s="355">
        <v>6.3</v>
      </c>
      <c r="DU18" s="365">
        <v>-22.7</v>
      </c>
      <c r="DV18" s="355">
        <v>6.9</v>
      </c>
      <c r="DW18" s="365">
        <v>-25.1</v>
      </c>
      <c r="DX18" s="355">
        <v>7.6</v>
      </c>
      <c r="DY18" s="365">
        <v>-27.5</v>
      </c>
      <c r="DZ18" s="355">
        <v>9</v>
      </c>
      <c r="EA18" s="365">
        <v>-32.700000000000003</v>
      </c>
      <c r="EB18" s="355">
        <v>9.8000000000000007</v>
      </c>
      <c r="EC18" s="365">
        <v>-35.5</v>
      </c>
      <c r="ED18" s="355">
        <v>10.6</v>
      </c>
      <c r="EE18" s="365">
        <v>-38.4</v>
      </c>
      <c r="EF18" s="355">
        <v>12.3</v>
      </c>
      <c r="EG18" s="365">
        <v>-44.5</v>
      </c>
      <c r="EH18" s="355">
        <v>13.1</v>
      </c>
      <c r="EI18" s="365">
        <v>-47.8</v>
      </c>
      <c r="EJ18" s="355">
        <v>14.1</v>
      </c>
      <c r="EK18" s="365">
        <v>-51.1</v>
      </c>
      <c r="EL18" s="355">
        <v>18.100000000000001</v>
      </c>
      <c r="EM18" s="365">
        <v>-65.7</v>
      </c>
      <c r="EO18" s="334"/>
      <c r="EP18" s="363">
        <v>3</v>
      </c>
      <c r="EQ18" s="364">
        <v>50</v>
      </c>
      <c r="ER18" s="355">
        <v>-17.3</v>
      </c>
      <c r="ES18" s="355">
        <v>-17.3</v>
      </c>
      <c r="ET18" s="355">
        <v>-21.4</v>
      </c>
      <c r="EU18" s="355">
        <v>-23.7</v>
      </c>
      <c r="EV18" s="355">
        <v>-25.9</v>
      </c>
      <c r="EW18" s="355">
        <v>-30.8</v>
      </c>
      <c r="EX18" s="355">
        <v>-33.5</v>
      </c>
      <c r="EY18" s="355">
        <v>-36.1</v>
      </c>
      <c r="EZ18" s="355">
        <v>-41.9</v>
      </c>
      <c r="FA18" s="511">
        <v>-45</v>
      </c>
      <c r="FB18" s="356">
        <v>-48.1</v>
      </c>
      <c r="FC18" s="366">
        <v>-61.8</v>
      </c>
      <c r="FE18" s="343">
        <v>55</v>
      </c>
      <c r="FF18" s="344">
        <v>1.19</v>
      </c>
      <c r="FG18" s="345">
        <v>1.59</v>
      </c>
      <c r="FH18" s="346">
        <v>1.84</v>
      </c>
    </row>
    <row r="19" spans="1:164" x14ac:dyDescent="0.2">
      <c r="A19" s="52"/>
      <c r="B19" s="56" t="s">
        <v>40</v>
      </c>
      <c r="C19" s="156" t="s">
        <v>364</v>
      </c>
      <c r="D19" s="508" t="s">
        <v>51</v>
      </c>
      <c r="J19" s="57"/>
      <c r="L19" s="6" t="s">
        <v>13</v>
      </c>
      <c r="M19" s="200">
        <v>9</v>
      </c>
      <c r="N19" s="249"/>
      <c r="O19" s="210"/>
      <c r="P19" s="210">
        <v>2</v>
      </c>
      <c r="Q19" s="240">
        <v>12.9</v>
      </c>
      <c r="R19" s="241">
        <v>8.8000000000000007</v>
      </c>
      <c r="S19" s="241">
        <v>10.199999999999999</v>
      </c>
      <c r="T19" s="242">
        <v>7</v>
      </c>
      <c r="U19" s="240">
        <v>5</v>
      </c>
      <c r="V19" s="241">
        <v>-3.9</v>
      </c>
      <c r="W19" s="241">
        <v>4.3</v>
      </c>
      <c r="X19" s="243">
        <v>-2.8</v>
      </c>
      <c r="Y19" s="240">
        <v>-4.5</v>
      </c>
      <c r="Z19" s="242">
        <v>-5.2</v>
      </c>
      <c r="AA19" s="218">
        <v>9</v>
      </c>
      <c r="AB19" s="229"/>
      <c r="AC19" s="230"/>
      <c r="AD19" s="552"/>
      <c r="AE19" s="552"/>
      <c r="AF19" s="552"/>
      <c r="AG19" s="552"/>
      <c r="AH19" s="552"/>
      <c r="AI19" s="552"/>
      <c r="AJ19" s="552"/>
      <c r="AK19" s="552"/>
      <c r="AL19" s="552"/>
      <c r="AM19" s="553"/>
      <c r="AN19" s="233"/>
      <c r="AP19" s="21"/>
      <c r="AQ19" s="222">
        <v>3</v>
      </c>
      <c r="AR19" s="223">
        <v>20</v>
      </c>
      <c r="AS19" s="211">
        <v>5</v>
      </c>
      <c r="AT19" s="211">
        <v>5.6</v>
      </c>
      <c r="AU19" s="211">
        <v>6.9</v>
      </c>
      <c r="AV19" s="211">
        <v>7.6</v>
      </c>
      <c r="AW19" s="211">
        <v>8.3000000000000007</v>
      </c>
      <c r="AX19" s="211">
        <v>9.9</v>
      </c>
      <c r="AY19" s="211">
        <v>10.7</v>
      </c>
      <c r="AZ19" s="211">
        <v>11.6</v>
      </c>
      <c r="BA19" s="211">
        <v>13.4</v>
      </c>
      <c r="BB19" s="570">
        <v>14.4</v>
      </c>
      <c r="BC19" s="212">
        <v>15.4</v>
      </c>
      <c r="BD19" s="224">
        <v>19.8</v>
      </c>
      <c r="BE19" s="200" t="s">
        <v>22</v>
      </c>
      <c r="BF19" s="475" t="e">
        <f t="shared" si="0"/>
        <v>#REF!</v>
      </c>
      <c r="BH19" s="21"/>
      <c r="BI19" s="222">
        <v>3</v>
      </c>
      <c r="BJ19" s="223">
        <v>20</v>
      </c>
      <c r="BK19" s="211">
        <v>-27.2</v>
      </c>
      <c r="BL19" s="211">
        <v>-30.5</v>
      </c>
      <c r="BM19" s="211">
        <v>-37.6</v>
      </c>
      <c r="BN19" s="211">
        <v>-41.5</v>
      </c>
      <c r="BO19" s="211">
        <v>-45.5</v>
      </c>
      <c r="BP19" s="211">
        <v>-54.2</v>
      </c>
      <c r="BQ19" s="211">
        <v>-58.5</v>
      </c>
      <c r="BR19" s="211">
        <v>-63.6</v>
      </c>
      <c r="BS19" s="211">
        <v>-73.8</v>
      </c>
      <c r="BT19" s="570">
        <v>-79.099999999999994</v>
      </c>
      <c r="BU19" s="212">
        <v>-84.7</v>
      </c>
      <c r="BV19" s="224">
        <v>-108.7</v>
      </c>
      <c r="BW19" s="200" t="s">
        <v>22</v>
      </c>
      <c r="BX19" s="475" t="e">
        <f t="shared" si="1"/>
        <v>#REF!</v>
      </c>
      <c r="BY19" s="475"/>
      <c r="BZ19" s="21"/>
      <c r="CA19" s="222">
        <v>2</v>
      </c>
      <c r="CB19" s="223">
        <v>20</v>
      </c>
      <c r="CC19" s="211">
        <v>-27.2</v>
      </c>
      <c r="CD19" s="211">
        <v>-27.2</v>
      </c>
      <c r="CE19" s="211">
        <v>-33.5</v>
      </c>
      <c r="CF19" s="211">
        <v>-37.1</v>
      </c>
      <c r="CG19" s="211">
        <v>-40.6</v>
      </c>
      <c r="CH19" s="211">
        <v>-48.3</v>
      </c>
      <c r="CI19" s="211">
        <v>-52.5</v>
      </c>
      <c r="CJ19" s="211">
        <v>-56.7</v>
      </c>
      <c r="CK19" s="211">
        <v>-65.7</v>
      </c>
      <c r="CL19" s="570">
        <v>-70.599999999999994</v>
      </c>
      <c r="CM19" s="212">
        <v>-75.5</v>
      </c>
      <c r="CN19" s="224">
        <v>-96.9</v>
      </c>
      <c r="CO19" s="200" t="s">
        <v>22</v>
      </c>
      <c r="CP19" s="475" t="e">
        <f t="shared" si="2"/>
        <v>#REF!</v>
      </c>
      <c r="CR19" s="6" t="s">
        <v>152</v>
      </c>
      <c r="CS19" s="15" t="s">
        <v>13</v>
      </c>
      <c r="CT19" s="15" t="s">
        <v>319</v>
      </c>
      <c r="CU19" s="15" t="s">
        <v>50</v>
      </c>
      <c r="CV19" s="475"/>
      <c r="CW19" s="57"/>
      <c r="CX19" s="467"/>
      <c r="CY19" s="367" t="s">
        <v>164</v>
      </c>
      <c r="CZ19" s="367" t="s">
        <v>166</v>
      </c>
      <c r="DA19" s="367">
        <v>1</v>
      </c>
      <c r="DB19" s="368">
        <v>12.9</v>
      </c>
      <c r="DC19" s="369">
        <v>8.8000000000000007</v>
      </c>
      <c r="DD19" s="369">
        <v>10.199999999999999</v>
      </c>
      <c r="DE19" s="370">
        <v>7</v>
      </c>
      <c r="DF19" s="368">
        <v>1</v>
      </c>
      <c r="DG19" s="369">
        <v>-7.8</v>
      </c>
      <c r="DH19" s="369">
        <v>0.3</v>
      </c>
      <c r="DI19" s="371">
        <v>-6.7</v>
      </c>
      <c r="DJ19" s="368">
        <v>-4.5</v>
      </c>
      <c r="DK19" s="370">
        <v>-5.2</v>
      </c>
      <c r="DM19" s="334" t="s">
        <v>111</v>
      </c>
      <c r="DN19" s="363">
        <v>2</v>
      </c>
      <c r="DO19" s="364">
        <v>100</v>
      </c>
      <c r="DP19" s="355">
        <v>4.2</v>
      </c>
      <c r="DQ19" s="365">
        <v>-14.1</v>
      </c>
      <c r="DR19" s="355">
        <v>4.7</v>
      </c>
      <c r="DS19" s="365">
        <v>-15.8</v>
      </c>
      <c r="DT19" s="355">
        <v>5.8</v>
      </c>
      <c r="DU19" s="365">
        <v>-19.5</v>
      </c>
      <c r="DV19" s="355">
        <v>6.4</v>
      </c>
      <c r="DW19" s="365">
        <v>-21.5</v>
      </c>
      <c r="DX19" s="355">
        <v>7</v>
      </c>
      <c r="DY19" s="365">
        <v>-23.6</v>
      </c>
      <c r="DZ19" s="355">
        <v>8.3000000000000007</v>
      </c>
      <c r="EA19" s="365">
        <v>-28.1</v>
      </c>
      <c r="EB19" s="355">
        <v>9.1</v>
      </c>
      <c r="EC19" s="365">
        <v>-30.5</v>
      </c>
      <c r="ED19" s="355">
        <v>9.8000000000000007</v>
      </c>
      <c r="EE19" s="365">
        <v>-33</v>
      </c>
      <c r="EF19" s="355">
        <v>11.4</v>
      </c>
      <c r="EG19" s="365">
        <v>-38.200000000000003</v>
      </c>
      <c r="EH19" s="355">
        <v>12.2</v>
      </c>
      <c r="EI19" s="365">
        <v>-41</v>
      </c>
      <c r="EJ19" s="355">
        <v>13</v>
      </c>
      <c r="EK19" s="365">
        <v>-43.9</v>
      </c>
      <c r="EL19" s="355">
        <v>16.7</v>
      </c>
      <c r="EM19" s="365">
        <v>-56.4</v>
      </c>
      <c r="EO19" s="341"/>
      <c r="EP19" s="379">
        <v>3</v>
      </c>
      <c r="EQ19" s="380">
        <v>100</v>
      </c>
      <c r="ER19" s="381">
        <v>-10</v>
      </c>
      <c r="ES19" s="381">
        <v>-10</v>
      </c>
      <c r="ET19" s="381">
        <v>-12.2</v>
      </c>
      <c r="EU19" s="381">
        <v>-13.5</v>
      </c>
      <c r="EV19" s="381">
        <v>-14.8</v>
      </c>
      <c r="EW19" s="381">
        <v>-17.600000000000001</v>
      </c>
      <c r="EX19" s="381">
        <v>-19.100000000000001</v>
      </c>
      <c r="EY19" s="381">
        <v>-20.6</v>
      </c>
      <c r="EZ19" s="381">
        <v>-23.9</v>
      </c>
      <c r="FA19" s="512">
        <v>-25.7</v>
      </c>
      <c r="FB19" s="382">
        <v>-27.4</v>
      </c>
      <c r="FC19" s="383">
        <v>-35.200000000000003</v>
      </c>
      <c r="FE19" s="384">
        <v>60</v>
      </c>
      <c r="FF19" s="385">
        <v>1.22</v>
      </c>
      <c r="FG19" s="386">
        <v>1.62</v>
      </c>
      <c r="FH19" s="387">
        <v>1.87</v>
      </c>
    </row>
    <row r="20" spans="1:164" x14ac:dyDescent="0.2">
      <c r="A20" s="52"/>
      <c r="B20" s="56" t="s">
        <v>117</v>
      </c>
      <c r="C20" s="157">
        <f>(3.281)^2 * 1.5*16.5/2</f>
        <v>133.21639237500003</v>
      </c>
      <c r="D20" s="508" t="s">
        <v>204</v>
      </c>
      <c r="G20" s="499"/>
      <c r="J20" s="57"/>
      <c r="L20" s="6" t="s">
        <v>319</v>
      </c>
      <c r="M20" s="200">
        <v>10</v>
      </c>
      <c r="N20" s="21"/>
      <c r="O20" s="235">
        <v>45</v>
      </c>
      <c r="P20" s="235">
        <v>1</v>
      </c>
      <c r="Q20" s="236">
        <v>12.9</v>
      </c>
      <c r="R20" s="237">
        <v>8.8000000000000007</v>
      </c>
      <c r="S20" s="237">
        <v>10.199999999999999</v>
      </c>
      <c r="T20" s="238">
        <v>7</v>
      </c>
      <c r="U20" s="236">
        <v>1</v>
      </c>
      <c r="V20" s="237">
        <v>-7.8</v>
      </c>
      <c r="W20" s="237">
        <v>0.3</v>
      </c>
      <c r="X20" s="239">
        <v>-6.7</v>
      </c>
      <c r="Y20" s="236">
        <v>-4.5</v>
      </c>
      <c r="Z20" s="238">
        <v>-5.2</v>
      </c>
      <c r="AA20" s="218">
        <v>10</v>
      </c>
      <c r="AB20" s="229"/>
      <c r="AC20" s="230"/>
      <c r="AD20" s="552"/>
      <c r="AE20" s="552"/>
      <c r="AF20" s="552"/>
      <c r="AG20" s="552"/>
      <c r="AH20" s="552"/>
      <c r="AI20" s="552"/>
      <c r="AJ20" s="552"/>
      <c r="AK20" s="552"/>
      <c r="AL20" s="552"/>
      <c r="AM20" s="553"/>
      <c r="AN20" s="233"/>
      <c r="AP20" s="21"/>
      <c r="AQ20" s="222">
        <v>3</v>
      </c>
      <c r="AR20" s="223">
        <v>50</v>
      </c>
      <c r="AS20" s="211">
        <v>4.5</v>
      </c>
      <c r="AT20" s="211">
        <v>5.0999999999999996</v>
      </c>
      <c r="AU20" s="211">
        <v>6.3</v>
      </c>
      <c r="AV20" s="211">
        <v>6.9</v>
      </c>
      <c r="AW20" s="211">
        <v>7.6</v>
      </c>
      <c r="AX20" s="211">
        <v>9</v>
      </c>
      <c r="AY20" s="211">
        <v>9.8000000000000007</v>
      </c>
      <c r="AZ20" s="211">
        <v>10.6</v>
      </c>
      <c r="BA20" s="211">
        <v>12.3</v>
      </c>
      <c r="BB20" s="570">
        <v>13.1</v>
      </c>
      <c r="BC20" s="212">
        <v>14.1</v>
      </c>
      <c r="BD20" s="224">
        <v>18.100000000000001</v>
      </c>
      <c r="BE20" s="200" t="s">
        <v>22</v>
      </c>
      <c r="BF20" s="475" t="e">
        <f t="shared" si="0"/>
        <v>#REF!</v>
      </c>
      <c r="BH20" s="21"/>
      <c r="BI20" s="222">
        <v>3</v>
      </c>
      <c r="BJ20" s="223">
        <v>50</v>
      </c>
      <c r="BK20" s="211">
        <v>-19.7</v>
      </c>
      <c r="BL20" s="211">
        <v>-22.1</v>
      </c>
      <c r="BM20" s="211">
        <v>-27.3</v>
      </c>
      <c r="BN20" s="211">
        <v>-30.1</v>
      </c>
      <c r="BO20" s="211">
        <v>-33.1</v>
      </c>
      <c r="BP20" s="211">
        <v>-39.299999999999997</v>
      </c>
      <c r="BQ20" s="211">
        <v>-42.7</v>
      </c>
      <c r="BR20" s="211">
        <v>-46.2</v>
      </c>
      <c r="BS20" s="211">
        <v>-53.5</v>
      </c>
      <c r="BT20" s="570">
        <v>-57.4</v>
      </c>
      <c r="BU20" s="212">
        <v>-61.5</v>
      </c>
      <c r="BV20" s="224">
        <v>-78.900000000000006</v>
      </c>
      <c r="BW20" s="200" t="s">
        <v>22</v>
      </c>
      <c r="BX20" s="475" t="e">
        <f t="shared" si="1"/>
        <v>#REF!</v>
      </c>
      <c r="BY20" s="475"/>
      <c r="BZ20" s="21" t="s">
        <v>20</v>
      </c>
      <c r="CA20" s="222">
        <v>2</v>
      </c>
      <c r="CB20" s="223">
        <v>50</v>
      </c>
      <c r="CC20" s="211">
        <v>-27.2</v>
      </c>
      <c r="CD20" s="211">
        <v>-27.2</v>
      </c>
      <c r="CE20" s="211">
        <v>-33.5</v>
      </c>
      <c r="CF20" s="211">
        <v>-37.1</v>
      </c>
      <c r="CG20" s="211">
        <v>-40.6</v>
      </c>
      <c r="CH20" s="211">
        <v>-48.3</v>
      </c>
      <c r="CI20" s="211">
        <v>-52.5</v>
      </c>
      <c r="CJ20" s="211">
        <v>-56.7</v>
      </c>
      <c r="CK20" s="211">
        <v>-65.7</v>
      </c>
      <c r="CL20" s="570">
        <v>-70.599999999999994</v>
      </c>
      <c r="CM20" s="212">
        <v>-75.5</v>
      </c>
      <c r="CN20" s="224">
        <v>-96.9</v>
      </c>
      <c r="CO20" s="200" t="s">
        <v>22</v>
      </c>
      <c r="CP20" s="475" t="e">
        <f t="shared" si="2"/>
        <v>#REF!</v>
      </c>
      <c r="CR20" s="19" t="e">
        <f>IF($AD$7&lt;15,15,VLOOKUP(MATCH($AD$7,$CR$8:$CR$17,1),$CQ$8:$CU$17,2))</f>
        <v>#REF!</v>
      </c>
      <c r="CS20" s="19" t="e">
        <f>IF($AD$7&lt;15,1,VLOOKUP(MATCH($AD$7,$CR$8:$CR$17,1),$CQ$8:$CU$17,3))</f>
        <v>#REF!</v>
      </c>
      <c r="CT20" s="19" t="e">
        <f>IF($AD$7&lt;15,1.21,VLOOKUP(MATCH($AD$7,$CR$8:$CR$17,1),$CQ$8:$CU$17,4))</f>
        <v>#REF!</v>
      </c>
      <c r="CU20" s="19" t="e">
        <f>IF($AD$7&lt;15,1.47,VLOOKUP(MATCH($AD$7,$CR$8:$CR$17,1),$CQ$8:$CU$17,5))</f>
        <v>#REF!</v>
      </c>
      <c r="CV20" s="475"/>
      <c r="CW20" s="57"/>
      <c r="CX20" s="468"/>
      <c r="CY20" s="178"/>
      <c r="CZ20" s="178"/>
      <c r="DA20" s="178">
        <v>2</v>
      </c>
      <c r="DB20" s="388">
        <v>12.9</v>
      </c>
      <c r="DC20" s="389">
        <v>8.8000000000000007</v>
      </c>
      <c r="DD20" s="389">
        <v>10.199999999999999</v>
      </c>
      <c r="DE20" s="390">
        <v>7</v>
      </c>
      <c r="DF20" s="388">
        <v>5</v>
      </c>
      <c r="DG20" s="389">
        <v>-3.9</v>
      </c>
      <c r="DH20" s="389">
        <v>4.3</v>
      </c>
      <c r="DI20" s="391">
        <v>-2.8</v>
      </c>
      <c r="DJ20" s="388">
        <v>-4.5</v>
      </c>
      <c r="DK20" s="390">
        <v>-5.2</v>
      </c>
      <c r="DM20" s="334"/>
      <c r="DN20" s="363">
        <v>3</v>
      </c>
      <c r="DO20" s="364">
        <v>10</v>
      </c>
      <c r="DP20" s="355">
        <v>5.3</v>
      </c>
      <c r="DQ20" s="365">
        <v>-32.799999999999997</v>
      </c>
      <c r="DR20" s="355">
        <v>5.9</v>
      </c>
      <c r="DS20" s="365">
        <v>-36.799999999999997</v>
      </c>
      <c r="DT20" s="355">
        <v>7.3</v>
      </c>
      <c r="DU20" s="365">
        <v>-45.4</v>
      </c>
      <c r="DV20" s="355">
        <v>8.1</v>
      </c>
      <c r="DW20" s="365">
        <v>-50.1</v>
      </c>
      <c r="DX20" s="355">
        <v>8.9</v>
      </c>
      <c r="DY20" s="365">
        <v>-55</v>
      </c>
      <c r="DZ20" s="355">
        <v>10.5</v>
      </c>
      <c r="EA20" s="365">
        <v>-65.400000000000006</v>
      </c>
      <c r="EB20" s="355">
        <v>11.4</v>
      </c>
      <c r="EC20" s="365">
        <v>-71</v>
      </c>
      <c r="ED20" s="355">
        <v>12.4</v>
      </c>
      <c r="EE20" s="365">
        <v>-76.8</v>
      </c>
      <c r="EF20" s="355">
        <v>14.3</v>
      </c>
      <c r="EG20" s="365">
        <v>-89</v>
      </c>
      <c r="EH20" s="355">
        <v>15.4</v>
      </c>
      <c r="EI20" s="365">
        <v>-95.5</v>
      </c>
      <c r="EJ20" s="355">
        <v>16.5</v>
      </c>
      <c r="EK20" s="365">
        <v>-102.2</v>
      </c>
      <c r="EL20" s="355">
        <v>21.1</v>
      </c>
      <c r="EM20" s="365">
        <v>-131.30000000000001</v>
      </c>
      <c r="EO20" s="334"/>
      <c r="EP20" s="363">
        <v>2</v>
      </c>
      <c r="EQ20" s="364">
        <v>10</v>
      </c>
      <c r="ER20" s="355">
        <v>-27.2</v>
      </c>
      <c r="ES20" s="355">
        <v>-27.2</v>
      </c>
      <c r="ET20" s="355">
        <v>-33.5</v>
      </c>
      <c r="EU20" s="355">
        <v>-37.1</v>
      </c>
      <c r="EV20" s="355">
        <v>-40.6</v>
      </c>
      <c r="EW20" s="355">
        <v>-48.3</v>
      </c>
      <c r="EX20" s="355">
        <v>-52.5</v>
      </c>
      <c r="EY20" s="355">
        <v>-56.7</v>
      </c>
      <c r="EZ20" s="355">
        <v>-65.7</v>
      </c>
      <c r="FA20" s="511">
        <v>-70.599999999999994</v>
      </c>
      <c r="FB20" s="356">
        <v>-75.5</v>
      </c>
      <c r="FC20" s="366">
        <v>-96.9</v>
      </c>
    </row>
    <row r="21" spans="1:164" x14ac:dyDescent="0.2">
      <c r="A21" s="52"/>
      <c r="B21" s="69" t="s">
        <v>119</v>
      </c>
      <c r="C21" s="157">
        <v>0</v>
      </c>
      <c r="D21" s="508" t="s">
        <v>204</v>
      </c>
      <c r="G21" s="234"/>
      <c r="H21" s="234"/>
      <c r="J21" s="214"/>
      <c r="L21" s="6" t="s">
        <v>50</v>
      </c>
      <c r="M21" s="200">
        <v>11</v>
      </c>
      <c r="N21" s="22"/>
      <c r="O21" s="250"/>
      <c r="P21" s="250">
        <v>2</v>
      </c>
      <c r="Q21" s="251">
        <v>12.9</v>
      </c>
      <c r="R21" s="252">
        <v>8.8000000000000007</v>
      </c>
      <c r="S21" s="252">
        <v>10.199999999999999</v>
      </c>
      <c r="T21" s="253">
        <v>7</v>
      </c>
      <c r="U21" s="251">
        <v>5</v>
      </c>
      <c r="V21" s="252">
        <v>-3.9</v>
      </c>
      <c r="W21" s="252">
        <v>4.3</v>
      </c>
      <c r="X21" s="254">
        <v>-2.8</v>
      </c>
      <c r="Y21" s="251">
        <v>-4.5</v>
      </c>
      <c r="Z21" s="253">
        <v>-5.2</v>
      </c>
      <c r="AA21" s="218">
        <v>11</v>
      </c>
      <c r="AB21" s="255"/>
      <c r="AC21" s="554"/>
      <c r="AD21" s="555"/>
      <c r="AE21" s="555"/>
      <c r="AF21" s="555"/>
      <c r="AG21" s="555"/>
      <c r="AH21" s="555"/>
      <c r="AI21" s="555"/>
      <c r="AJ21" s="555"/>
      <c r="AK21" s="555"/>
      <c r="AL21" s="555"/>
      <c r="AM21" s="556"/>
      <c r="AN21" s="233"/>
      <c r="AP21" s="22"/>
      <c r="AQ21" s="244">
        <v>3</v>
      </c>
      <c r="AR21" s="245">
        <v>100</v>
      </c>
      <c r="AS21" s="246">
        <v>4.2</v>
      </c>
      <c r="AT21" s="246">
        <v>4.7</v>
      </c>
      <c r="AU21" s="246">
        <v>5.8</v>
      </c>
      <c r="AV21" s="246">
        <v>6.4</v>
      </c>
      <c r="AW21" s="246">
        <v>7</v>
      </c>
      <c r="AX21" s="246">
        <v>8.3000000000000007</v>
      </c>
      <c r="AY21" s="246">
        <v>9.1</v>
      </c>
      <c r="AZ21" s="246">
        <v>9.8000000000000007</v>
      </c>
      <c r="BA21" s="246">
        <v>11.4</v>
      </c>
      <c r="BB21" s="571">
        <v>12.2</v>
      </c>
      <c r="BC21" s="247">
        <v>13</v>
      </c>
      <c r="BD21" s="248">
        <v>16.7</v>
      </c>
      <c r="BE21" s="200" t="s">
        <v>22</v>
      </c>
      <c r="BF21" s="475" t="e">
        <f t="shared" si="0"/>
        <v>#REF!</v>
      </c>
      <c r="BH21" s="22"/>
      <c r="BI21" s="244">
        <v>3</v>
      </c>
      <c r="BJ21" s="245">
        <v>100</v>
      </c>
      <c r="BK21" s="246">
        <v>-14.1</v>
      </c>
      <c r="BL21" s="246">
        <v>-15.8</v>
      </c>
      <c r="BM21" s="246">
        <v>-19.5</v>
      </c>
      <c r="BN21" s="246">
        <v>-21.5</v>
      </c>
      <c r="BO21" s="246">
        <v>-23.6</v>
      </c>
      <c r="BP21" s="246">
        <v>-28.1</v>
      </c>
      <c r="BQ21" s="246">
        <v>-30.5</v>
      </c>
      <c r="BR21" s="246">
        <v>-33</v>
      </c>
      <c r="BS21" s="246">
        <v>-38.200000000000003</v>
      </c>
      <c r="BT21" s="571">
        <v>-41</v>
      </c>
      <c r="BU21" s="247">
        <v>-43.9</v>
      </c>
      <c r="BV21" s="248">
        <v>-56.4</v>
      </c>
      <c r="BW21" s="200" t="s">
        <v>22</v>
      </c>
      <c r="BX21" s="475" t="e">
        <f t="shared" si="1"/>
        <v>#REF!</v>
      </c>
      <c r="BY21" s="475"/>
      <c r="BZ21" s="21" t="s">
        <v>118</v>
      </c>
      <c r="CA21" s="222">
        <v>2</v>
      </c>
      <c r="CB21" s="223">
        <v>100</v>
      </c>
      <c r="CC21" s="211">
        <v>-27.2</v>
      </c>
      <c r="CD21" s="211">
        <v>-27.2</v>
      </c>
      <c r="CE21" s="211">
        <v>-33.5</v>
      </c>
      <c r="CF21" s="211">
        <v>-37.1</v>
      </c>
      <c r="CG21" s="211">
        <v>-40.6</v>
      </c>
      <c r="CH21" s="211">
        <v>-48.3</v>
      </c>
      <c r="CI21" s="211">
        <v>-52.5</v>
      </c>
      <c r="CJ21" s="211">
        <v>-56.7</v>
      </c>
      <c r="CK21" s="211">
        <v>-65.7</v>
      </c>
      <c r="CL21" s="570">
        <v>-70.599999999999994</v>
      </c>
      <c r="CM21" s="212">
        <v>-75.5</v>
      </c>
      <c r="CN21" s="224">
        <v>-96.9</v>
      </c>
      <c r="CO21" s="200" t="s">
        <v>22</v>
      </c>
      <c r="CP21" s="475" t="e">
        <f t="shared" si="2"/>
        <v>#REF!</v>
      </c>
      <c r="CR21" s="19" t="e">
        <f>IF($AD$7&lt;15,15,VLOOKUP(MATCH($AD$7,$CR$8:$CR$17,1)+1,$CQ$8:$CU$17,2))</f>
        <v>#REF!</v>
      </c>
      <c r="CS21" s="19" t="e">
        <f>IF($AD$7&lt;15,1,VLOOKUP(MATCH($AD$7,$CR$8:$CR$17,1)+1,$CQ$8:$CU$17,3))</f>
        <v>#REF!</v>
      </c>
      <c r="CT21" s="19" t="e">
        <f>IF($AD$7&lt;15,1.21,VLOOKUP(MATCH($AD$7,$CR$8:$CR$17,1)+1,$CQ$8:$CU$17,4))</f>
        <v>#REF!</v>
      </c>
      <c r="CU21" s="19" t="e">
        <f>IF($AD$7&lt;15,1.47,VLOOKUP(MATCH($AD$7,$CR$8:$CR$17,1)+1,$CQ$8:$CU$17,5))</f>
        <v>#REF!</v>
      </c>
      <c r="CV21" s="475"/>
      <c r="CW21" s="57"/>
      <c r="CX21" s="467"/>
      <c r="CY21" s="358" t="s">
        <v>163</v>
      </c>
      <c r="CZ21" s="358" t="s">
        <v>165</v>
      </c>
      <c r="DA21" s="358">
        <v>1</v>
      </c>
      <c r="DB21" s="359">
        <v>12.8</v>
      </c>
      <c r="DC21" s="360">
        <v>-6.7</v>
      </c>
      <c r="DD21" s="360">
        <v>8.5</v>
      </c>
      <c r="DE21" s="361">
        <v>-4</v>
      </c>
      <c r="DF21" s="359">
        <v>-15.4</v>
      </c>
      <c r="DG21" s="360">
        <v>-8.8000000000000007</v>
      </c>
      <c r="DH21" s="360">
        <v>-10.7</v>
      </c>
      <c r="DI21" s="362">
        <v>-6.8</v>
      </c>
      <c r="DJ21" s="359">
        <v>-21.6</v>
      </c>
      <c r="DK21" s="361">
        <v>-16.899999999999999</v>
      </c>
      <c r="DM21" s="334"/>
      <c r="DN21" s="363">
        <v>3</v>
      </c>
      <c r="DO21" s="364">
        <v>20</v>
      </c>
      <c r="DP21" s="355">
        <v>5</v>
      </c>
      <c r="DQ21" s="365">
        <v>-27.2</v>
      </c>
      <c r="DR21" s="355">
        <v>5.6</v>
      </c>
      <c r="DS21" s="365">
        <v>-30.5</v>
      </c>
      <c r="DT21" s="355">
        <v>6.9</v>
      </c>
      <c r="DU21" s="365">
        <v>-37.6</v>
      </c>
      <c r="DV21" s="355">
        <v>7.6</v>
      </c>
      <c r="DW21" s="365">
        <v>-41.5</v>
      </c>
      <c r="DX21" s="355">
        <v>8.3000000000000007</v>
      </c>
      <c r="DY21" s="365">
        <v>-45.5</v>
      </c>
      <c r="DZ21" s="355">
        <v>9.9</v>
      </c>
      <c r="EA21" s="365">
        <v>-54.2</v>
      </c>
      <c r="EB21" s="355">
        <v>10.7</v>
      </c>
      <c r="EC21" s="365">
        <v>-58.5</v>
      </c>
      <c r="ED21" s="355">
        <v>11.6</v>
      </c>
      <c r="EE21" s="365">
        <v>-63.6</v>
      </c>
      <c r="EF21" s="355">
        <v>13.4</v>
      </c>
      <c r="EG21" s="365">
        <v>-73.8</v>
      </c>
      <c r="EH21" s="355">
        <v>14.4</v>
      </c>
      <c r="EI21" s="365">
        <v>-79.099999999999994</v>
      </c>
      <c r="EJ21" s="355">
        <v>15.4</v>
      </c>
      <c r="EK21" s="365">
        <v>-84.7</v>
      </c>
      <c r="EL21" s="355">
        <v>19.8</v>
      </c>
      <c r="EM21" s="365">
        <v>-108.7</v>
      </c>
      <c r="EO21" s="334"/>
      <c r="EP21" s="363">
        <v>2</v>
      </c>
      <c r="EQ21" s="364">
        <v>20</v>
      </c>
      <c r="ER21" s="355">
        <v>-27.2</v>
      </c>
      <c r="ES21" s="355">
        <v>-27.2</v>
      </c>
      <c r="ET21" s="355">
        <v>-33.5</v>
      </c>
      <c r="EU21" s="355">
        <v>-37.1</v>
      </c>
      <c r="EV21" s="355">
        <v>-40.6</v>
      </c>
      <c r="EW21" s="355">
        <v>-48.3</v>
      </c>
      <c r="EX21" s="355">
        <v>-52.5</v>
      </c>
      <c r="EY21" s="355">
        <v>-56.7</v>
      </c>
      <c r="EZ21" s="355">
        <v>-65.7</v>
      </c>
      <c r="FA21" s="511">
        <v>-70.599999999999994</v>
      </c>
      <c r="FB21" s="356">
        <v>-75.5</v>
      </c>
      <c r="FC21" s="366">
        <v>-96.9</v>
      </c>
    </row>
    <row r="22" spans="1:164" x14ac:dyDescent="0.2">
      <c r="A22" s="52"/>
      <c r="B22" s="489" t="s">
        <v>44</v>
      </c>
      <c r="C22" s="163" t="str">
        <f>Input!B21</f>
        <v>N</v>
      </c>
      <c r="J22" s="497"/>
      <c r="L22" s="6" t="s">
        <v>116</v>
      </c>
      <c r="M22" s="200">
        <v>1</v>
      </c>
      <c r="N22" s="197"/>
      <c r="O22" s="205">
        <v>0</v>
      </c>
      <c r="P22" s="205">
        <v>1</v>
      </c>
      <c r="Q22" s="206">
        <v>12.8</v>
      </c>
      <c r="R22" s="215">
        <v>-6.7</v>
      </c>
      <c r="S22" s="215">
        <v>8.5</v>
      </c>
      <c r="T22" s="216">
        <v>-4</v>
      </c>
      <c r="U22" s="206">
        <v>-15.4</v>
      </c>
      <c r="V22" s="215">
        <v>-8.8000000000000007</v>
      </c>
      <c r="W22" s="215">
        <v>-10.7</v>
      </c>
      <c r="X22" s="217">
        <v>-6.8</v>
      </c>
      <c r="Y22" s="206">
        <v>-21.6</v>
      </c>
      <c r="Z22" s="216">
        <v>-16.899999999999999</v>
      </c>
      <c r="AA22" s="218">
        <v>12</v>
      </c>
      <c r="AB22" s="219"/>
      <c r="AC22" s="220" t="e">
        <f>IF($C$8=$N27,VLOOKUP(MATCH($AD$6,$O22:$O32,1),$M22:$Z32,3),"")</f>
        <v>#REF!</v>
      </c>
      <c r="AD22" s="220" t="e">
        <f>IF($C$8=$N27,VLOOKUP(MATCH($AD$6,$O22:$O32,1),$M22:$Z32,5),"")</f>
        <v>#REF!</v>
      </c>
      <c r="AE22" s="220" t="e">
        <f>IF($C$8=$N27,VLOOKUP(MATCH($AD$6,$O22:$O32,1),$M22:$Z32,6),"")</f>
        <v>#REF!</v>
      </c>
      <c r="AF22" s="220" t="e">
        <f>IF($C$8=$N27,VLOOKUP(MATCH($AD$6,$O22:$O32,1),$M22:$Z32,7),"")</f>
        <v>#REF!</v>
      </c>
      <c r="AG22" s="220" t="e">
        <f>IF($C$8=$N27,VLOOKUP(MATCH($AD$6,$O22:$O32,1),$M22:$Z32,8),"")</f>
        <v>#REF!</v>
      </c>
      <c r="AH22" s="220" t="e">
        <f>IF($C$8=$N27,VLOOKUP(MATCH($AD$6,$O22:$O32,1),$M22:$Z32,9),"")</f>
        <v>#REF!</v>
      </c>
      <c r="AI22" s="220" t="e">
        <f>IF($C$8=$N27,VLOOKUP(MATCH($AD$6,$O22:$O32,1),$M22:$Z32,10),"")</f>
        <v>#REF!</v>
      </c>
      <c r="AJ22" s="220" t="e">
        <f>IF($C$8=$N27,VLOOKUP(MATCH($AD$6,$O22:$O32,1),$M22:$Z32,11),"")</f>
        <v>#REF!</v>
      </c>
      <c r="AK22" s="220" t="e">
        <f>IF($C$8=$N27,VLOOKUP(MATCH($AD$6,$O22:$O32,1),$M22:$Z32,12),"")</f>
        <v>#REF!</v>
      </c>
      <c r="AL22" s="220" t="e">
        <f>IF($C$8=$N27,VLOOKUP(MATCH($AD$6,$O22:$O32,1),$M22:$Z32,13),"")</f>
        <v>#REF!</v>
      </c>
      <c r="AM22" s="221" t="e">
        <f>IF($C$8=$N27,VLOOKUP(MATCH($AD$6,$O22:$O32,1),$M22:$Z32,14),"")</f>
        <v>#REF!</v>
      </c>
      <c r="AN22" s="19"/>
      <c r="AP22" s="197"/>
      <c r="AQ22" s="204">
        <v>1</v>
      </c>
      <c r="AR22" s="205">
        <v>10</v>
      </c>
      <c r="AS22" s="206">
        <v>7.5</v>
      </c>
      <c r="AT22" s="206">
        <v>8.4</v>
      </c>
      <c r="AU22" s="206">
        <v>10.4</v>
      </c>
      <c r="AV22" s="206">
        <v>11.4</v>
      </c>
      <c r="AW22" s="206">
        <v>12.5</v>
      </c>
      <c r="AX22" s="206">
        <v>14.9</v>
      </c>
      <c r="AY22" s="206">
        <v>16.2</v>
      </c>
      <c r="AZ22" s="206">
        <v>17.5</v>
      </c>
      <c r="BA22" s="206">
        <v>20.3</v>
      </c>
      <c r="BB22" s="569">
        <v>21.8</v>
      </c>
      <c r="BC22" s="207">
        <v>23.3</v>
      </c>
      <c r="BD22" s="208">
        <v>30</v>
      </c>
      <c r="BE22" s="200" t="s">
        <v>22</v>
      </c>
      <c r="BF22" s="475" t="e">
        <f t="shared" si="0"/>
        <v>#REF!</v>
      </c>
      <c r="BH22" s="197"/>
      <c r="BI22" s="204">
        <v>1</v>
      </c>
      <c r="BJ22" s="205">
        <v>10</v>
      </c>
      <c r="BK22" s="206">
        <v>-11.9</v>
      </c>
      <c r="BL22" s="206">
        <v>-13.3</v>
      </c>
      <c r="BM22" s="206">
        <v>-16.5</v>
      </c>
      <c r="BN22" s="206">
        <v>-18.2</v>
      </c>
      <c r="BO22" s="206">
        <v>-19.899999999999999</v>
      </c>
      <c r="BP22" s="206">
        <v>-23.7</v>
      </c>
      <c r="BQ22" s="206">
        <v>-25.7</v>
      </c>
      <c r="BR22" s="206">
        <v>-27.8</v>
      </c>
      <c r="BS22" s="206">
        <v>-32.299999999999997</v>
      </c>
      <c r="BT22" s="569">
        <v>-34.6</v>
      </c>
      <c r="BU22" s="207">
        <v>-37</v>
      </c>
      <c r="BV22" s="208">
        <v>-47.6</v>
      </c>
      <c r="BW22" s="200" t="s">
        <v>22</v>
      </c>
      <c r="BX22" s="475" t="e">
        <f t="shared" si="1"/>
        <v>#REF!</v>
      </c>
      <c r="BY22" s="475"/>
      <c r="BZ22" s="21" t="s">
        <v>111</v>
      </c>
      <c r="CA22" s="222">
        <v>3</v>
      </c>
      <c r="CB22" s="223">
        <v>10</v>
      </c>
      <c r="CC22" s="211">
        <v>-45.7</v>
      </c>
      <c r="CD22" s="211">
        <v>-45.7</v>
      </c>
      <c r="CE22" s="211">
        <v>-56.4</v>
      </c>
      <c r="CF22" s="211">
        <v>-62.4</v>
      </c>
      <c r="CG22" s="211">
        <v>-68.3</v>
      </c>
      <c r="CH22" s="211">
        <v>-81.2</v>
      </c>
      <c r="CI22" s="211">
        <v>-88.3</v>
      </c>
      <c r="CJ22" s="211">
        <v>-95.3</v>
      </c>
      <c r="CK22" s="211">
        <v>-110.6</v>
      </c>
      <c r="CL22" s="570">
        <v>-118.8</v>
      </c>
      <c r="CM22" s="212">
        <v>-126.9</v>
      </c>
      <c r="CN22" s="224">
        <v>-163</v>
      </c>
      <c r="CO22" s="200" t="s">
        <v>22</v>
      </c>
      <c r="CP22" s="475" t="e">
        <f t="shared" si="2"/>
        <v>#REF!</v>
      </c>
      <c r="CQ22" s="18"/>
      <c r="CR22" s="19" t="e">
        <f>$AD$7</f>
        <v>#REF!</v>
      </c>
      <c r="CS22" s="19" t="e">
        <f>IF($AD$7&lt;15,1,IF($CR$22=60,$CS$21,($CS$21-$CS$20)*($CR$22-$CR$20)/($CR$21-$CR$20)+$CS$20))</f>
        <v>#REF!</v>
      </c>
      <c r="CT22" s="19" t="e">
        <f>IF($AD$7&lt;15,1.21,IF($CR$22=60,$CT$21,($CT$21-$CT$20)*($CR$22-$CR$20)/($CR$21-$CR$20)+$CT$20))</f>
        <v>#REF!</v>
      </c>
      <c r="CU22" s="19" t="e">
        <f>IF($AD$7&lt;15,1.47,IF($CR$22=60,$CU$21,($CU$21-$CU$20)*($CR$22-$CR$20)/($CR$21-$CR$20)+$CU$20))</f>
        <v>#REF!</v>
      </c>
      <c r="CV22" s="475"/>
      <c r="CW22" s="57"/>
      <c r="CX22" s="467"/>
      <c r="CY22" s="358">
        <v>10</v>
      </c>
      <c r="CZ22" s="358">
        <v>2</v>
      </c>
      <c r="DA22" s="358">
        <v>1</v>
      </c>
      <c r="DB22" s="359">
        <v>14.5</v>
      </c>
      <c r="DC22" s="360">
        <v>-6</v>
      </c>
      <c r="DD22" s="360">
        <v>9.6</v>
      </c>
      <c r="DE22" s="361">
        <v>-3.5</v>
      </c>
      <c r="DF22" s="359">
        <v>-15.4</v>
      </c>
      <c r="DG22" s="360">
        <v>-9.4</v>
      </c>
      <c r="DH22" s="360">
        <v>-10.7</v>
      </c>
      <c r="DI22" s="362">
        <v>-7.2</v>
      </c>
      <c r="DJ22" s="359">
        <v>-21.6</v>
      </c>
      <c r="DK22" s="361">
        <v>-16.899999999999999</v>
      </c>
      <c r="DM22" s="334"/>
      <c r="DN22" s="363">
        <v>3</v>
      </c>
      <c r="DO22" s="364">
        <v>50</v>
      </c>
      <c r="DP22" s="355">
        <v>4.5</v>
      </c>
      <c r="DQ22" s="365">
        <v>-19.7</v>
      </c>
      <c r="DR22" s="355">
        <v>5.0999999999999996</v>
      </c>
      <c r="DS22" s="365">
        <v>-22.1</v>
      </c>
      <c r="DT22" s="355">
        <v>6.3</v>
      </c>
      <c r="DU22" s="365">
        <v>-27.3</v>
      </c>
      <c r="DV22" s="355">
        <v>6.9</v>
      </c>
      <c r="DW22" s="365">
        <v>-30.1</v>
      </c>
      <c r="DX22" s="355">
        <v>7.6</v>
      </c>
      <c r="DY22" s="365">
        <v>-33.1</v>
      </c>
      <c r="DZ22" s="355">
        <v>9</v>
      </c>
      <c r="EA22" s="365">
        <v>-39.299999999999997</v>
      </c>
      <c r="EB22" s="355">
        <v>9.8000000000000007</v>
      </c>
      <c r="EC22" s="365">
        <v>-42.7</v>
      </c>
      <c r="ED22" s="355">
        <v>10.6</v>
      </c>
      <c r="EE22" s="365">
        <v>-46.2</v>
      </c>
      <c r="EF22" s="355">
        <v>12.3</v>
      </c>
      <c r="EG22" s="365">
        <v>-53.5</v>
      </c>
      <c r="EH22" s="355">
        <v>13.1</v>
      </c>
      <c r="EI22" s="365">
        <v>-57.4</v>
      </c>
      <c r="EJ22" s="355">
        <v>14.1</v>
      </c>
      <c r="EK22" s="365">
        <v>-61.5</v>
      </c>
      <c r="EL22" s="355">
        <v>18.100000000000001</v>
      </c>
      <c r="EM22" s="365">
        <v>-78.900000000000006</v>
      </c>
      <c r="EO22" s="334" t="s">
        <v>20</v>
      </c>
      <c r="EP22" s="363">
        <v>2</v>
      </c>
      <c r="EQ22" s="364">
        <v>50</v>
      </c>
      <c r="ER22" s="355">
        <v>-27.2</v>
      </c>
      <c r="ES22" s="355">
        <v>-27.2</v>
      </c>
      <c r="ET22" s="355">
        <v>-33.5</v>
      </c>
      <c r="EU22" s="355">
        <v>-37.1</v>
      </c>
      <c r="EV22" s="355">
        <v>-40.6</v>
      </c>
      <c r="EW22" s="355">
        <v>-48.3</v>
      </c>
      <c r="EX22" s="355">
        <v>-52.5</v>
      </c>
      <c r="EY22" s="355">
        <v>-56.7</v>
      </c>
      <c r="EZ22" s="355">
        <v>-65.7</v>
      </c>
      <c r="FA22" s="511">
        <v>-70.599999999999994</v>
      </c>
      <c r="FB22" s="356">
        <v>-75.5</v>
      </c>
      <c r="FC22" s="366">
        <v>-96.9</v>
      </c>
    </row>
    <row r="23" spans="1:164" x14ac:dyDescent="0.2">
      <c r="A23" s="52"/>
      <c r="C23" s="60" t="e">
        <f>IF($AD$7&lt;=MIN($C$13,$C$14),"","Exceeds low-rise criteria, DO NOT use!")</f>
        <v>#REF!</v>
      </c>
      <c r="H23" s="234"/>
      <c r="J23" s="57"/>
      <c r="L23" s="6" t="s">
        <v>113</v>
      </c>
      <c r="M23" s="200">
        <v>2</v>
      </c>
      <c r="N23" s="21"/>
      <c r="O23" s="223">
        <v>5</v>
      </c>
      <c r="P23" s="223">
        <v>1</v>
      </c>
      <c r="Q23" s="211">
        <v>12.8</v>
      </c>
      <c r="R23" s="226">
        <v>-6.7</v>
      </c>
      <c r="S23" s="226">
        <v>8.5</v>
      </c>
      <c r="T23" s="227">
        <v>-4</v>
      </c>
      <c r="U23" s="211">
        <v>-15.4</v>
      </c>
      <c r="V23" s="226">
        <v>-8.8000000000000007</v>
      </c>
      <c r="W23" s="226">
        <v>-10.7</v>
      </c>
      <c r="X23" s="228">
        <v>-6.8</v>
      </c>
      <c r="Y23" s="211">
        <v>-21.6</v>
      </c>
      <c r="Z23" s="227">
        <v>-16.899999999999999</v>
      </c>
      <c r="AA23" s="218">
        <v>13</v>
      </c>
      <c r="AB23" s="229"/>
      <c r="AC23" s="230" t="e">
        <f>IF($C$8=$N27,VLOOKUP(MATCH($AD$6,$O22:$O32,1)+IF($AD$6&lt;25,1,2),$M22:$Z32,3),"")</f>
        <v>#REF!</v>
      </c>
      <c r="AD23" s="230" t="e">
        <f>IF($C$8=$N27,VLOOKUP(MATCH($AD$6,$O22:$O32,1)+IF($AD$6&lt;25,1,2),$M22:$Z32,5),"")</f>
        <v>#REF!</v>
      </c>
      <c r="AE23" s="230" t="e">
        <f>IF($C$8=$N27,VLOOKUP(MATCH($AD$6,$O22:$O32,1)+IF($AD$6&lt;25,1,2),$M22:$Z32,6),"")</f>
        <v>#REF!</v>
      </c>
      <c r="AF23" s="230" t="e">
        <f>IF($C$8=$N27,VLOOKUP(MATCH($AD$6,$O22:$O32,1)+IF($AD$6&lt;25,1,2),$M22:$Z32,7),"")</f>
        <v>#REF!</v>
      </c>
      <c r="AG23" s="230" t="e">
        <f>IF($C$8=$N27,VLOOKUP(MATCH($AD$6,$O22:$O32,1)+IF($AD$6&lt;25,1,2),$M22:$Z32,8),"")</f>
        <v>#REF!</v>
      </c>
      <c r="AH23" s="230" t="e">
        <f>IF($C$8=$N27,VLOOKUP(MATCH($AD$6,$O22:$O32,1)+IF($AD$6&lt;25,1,2),$M22:$Z32,9),"")</f>
        <v>#REF!</v>
      </c>
      <c r="AI23" s="230" t="e">
        <f>IF($C$8=$N27,VLOOKUP(MATCH($AD$6,$O22:$O32,1)+IF($AD$6&lt;25,1,2),$M22:$Z32,10),"")</f>
        <v>#REF!</v>
      </c>
      <c r="AJ23" s="230" t="e">
        <f>IF($C$8=$N27,VLOOKUP(MATCH($AD$6,$O22:$O32,1)+IF($AD$6&lt;25,1,2),$M22:$Z32,11),"")</f>
        <v>#REF!</v>
      </c>
      <c r="AK23" s="230" t="e">
        <f>IF($C$8=$N27,VLOOKUP(MATCH($AD$6,$O22:$O32,1)+IF($AD$6&lt;25,1,2),$M22:$Z32,12),"")</f>
        <v>#REF!</v>
      </c>
      <c r="AL23" s="230" t="e">
        <f>IF($C$8=$N27,VLOOKUP(MATCH($AD$6,$O22:$O32,1)+IF($AD$6&lt;25,1,2),$M22:$Z32,13),"")</f>
        <v>#REF!</v>
      </c>
      <c r="AM23" s="231" t="e">
        <f>IF($C$8=$N27,VLOOKUP(MATCH($AD$6,$O22:$O32,1)+IF($AD$6&lt;25,1,2),$M22:$Z32,14),"")</f>
        <v>#REF!</v>
      </c>
      <c r="AN23" s="19"/>
      <c r="AP23" s="21"/>
      <c r="AQ23" s="222">
        <v>1</v>
      </c>
      <c r="AR23" s="223">
        <v>20</v>
      </c>
      <c r="AS23" s="211">
        <v>6.8</v>
      </c>
      <c r="AT23" s="211">
        <v>7.7</v>
      </c>
      <c r="AU23" s="211">
        <v>9.4</v>
      </c>
      <c r="AV23" s="211">
        <v>10.4</v>
      </c>
      <c r="AW23" s="211">
        <v>11.4</v>
      </c>
      <c r="AX23" s="211">
        <v>13.6</v>
      </c>
      <c r="AY23" s="211">
        <v>14.8</v>
      </c>
      <c r="AZ23" s="211">
        <v>16</v>
      </c>
      <c r="BA23" s="211">
        <v>18.5</v>
      </c>
      <c r="BB23" s="570">
        <v>19.899999999999999</v>
      </c>
      <c r="BC23" s="212">
        <v>21.3</v>
      </c>
      <c r="BD23" s="224">
        <v>27.3</v>
      </c>
      <c r="BE23" s="200" t="s">
        <v>22</v>
      </c>
      <c r="BF23" s="475" t="e">
        <f t="shared" si="0"/>
        <v>#REF!</v>
      </c>
      <c r="BH23" s="21"/>
      <c r="BI23" s="222">
        <v>1</v>
      </c>
      <c r="BJ23" s="223">
        <v>20</v>
      </c>
      <c r="BK23" s="211">
        <v>-11.6</v>
      </c>
      <c r="BL23" s="211">
        <v>-13</v>
      </c>
      <c r="BM23" s="211">
        <v>-16</v>
      </c>
      <c r="BN23" s="211">
        <v>-17.600000000000001</v>
      </c>
      <c r="BO23" s="211">
        <v>-19.399999999999999</v>
      </c>
      <c r="BP23" s="211">
        <v>-23</v>
      </c>
      <c r="BQ23" s="211">
        <v>-25</v>
      </c>
      <c r="BR23" s="211">
        <v>-27</v>
      </c>
      <c r="BS23" s="211">
        <v>-31.4</v>
      </c>
      <c r="BT23" s="570">
        <v>-33.700000000000003</v>
      </c>
      <c r="BU23" s="212">
        <v>-36</v>
      </c>
      <c r="BV23" s="224">
        <v>-46.3</v>
      </c>
      <c r="BW23" s="200" t="s">
        <v>22</v>
      </c>
      <c r="BX23" s="475" t="e">
        <f t="shared" si="1"/>
        <v>#REF!</v>
      </c>
      <c r="BY23" s="475"/>
      <c r="BZ23" s="21"/>
      <c r="CA23" s="222">
        <v>3</v>
      </c>
      <c r="CB23" s="223">
        <v>20</v>
      </c>
      <c r="CC23" s="211">
        <v>-41.2</v>
      </c>
      <c r="CD23" s="211">
        <v>-41.2</v>
      </c>
      <c r="CE23" s="211">
        <v>-50.9</v>
      </c>
      <c r="CF23" s="211">
        <v>-56.3</v>
      </c>
      <c r="CG23" s="211">
        <v>-61.6</v>
      </c>
      <c r="CH23" s="211">
        <v>-73.3</v>
      </c>
      <c r="CI23" s="211">
        <v>-79.7</v>
      </c>
      <c r="CJ23" s="211">
        <v>-86</v>
      </c>
      <c r="CK23" s="211">
        <v>-99.8</v>
      </c>
      <c r="CL23" s="570">
        <v>-107.2</v>
      </c>
      <c r="CM23" s="212">
        <v>-114.5</v>
      </c>
      <c r="CN23" s="224">
        <v>-147.1</v>
      </c>
      <c r="CO23" s="200" t="s">
        <v>22</v>
      </c>
      <c r="CP23" s="475" t="e">
        <f t="shared" si="2"/>
        <v>#REF!</v>
      </c>
      <c r="CR23" s="18" t="s">
        <v>157</v>
      </c>
      <c r="CS23" s="407" t="e">
        <f>IF($C$10="B",$CS$22,IF($C$10="C",$CT$22,IF($C$10="D",$CU$22)))</f>
        <v>#REF!</v>
      </c>
      <c r="CV23" s="475"/>
      <c r="CW23" s="57"/>
      <c r="CX23" s="467"/>
      <c r="CY23" s="358">
        <v>15</v>
      </c>
      <c r="CZ23" s="358">
        <v>3</v>
      </c>
      <c r="DA23" s="358">
        <v>1</v>
      </c>
      <c r="DB23" s="359">
        <v>16.100000000000001</v>
      </c>
      <c r="DC23" s="360">
        <v>-5.4</v>
      </c>
      <c r="DD23" s="360">
        <v>10.7</v>
      </c>
      <c r="DE23" s="361">
        <v>-3</v>
      </c>
      <c r="DF23" s="359">
        <v>-15.4</v>
      </c>
      <c r="DG23" s="360">
        <v>-10.1</v>
      </c>
      <c r="DH23" s="360">
        <v>-10.7</v>
      </c>
      <c r="DI23" s="362">
        <v>-7.7</v>
      </c>
      <c r="DJ23" s="359">
        <v>-21.6</v>
      </c>
      <c r="DK23" s="361">
        <v>-16.899999999999999</v>
      </c>
      <c r="DM23" s="341"/>
      <c r="DN23" s="379">
        <v>3</v>
      </c>
      <c r="DO23" s="380">
        <v>100</v>
      </c>
      <c r="DP23" s="381">
        <v>4.2</v>
      </c>
      <c r="DQ23" s="392">
        <v>-14.1</v>
      </c>
      <c r="DR23" s="381">
        <v>4.7</v>
      </c>
      <c r="DS23" s="392">
        <v>-15.8</v>
      </c>
      <c r="DT23" s="381">
        <v>5.8</v>
      </c>
      <c r="DU23" s="392">
        <v>-19.5</v>
      </c>
      <c r="DV23" s="381">
        <v>6.4</v>
      </c>
      <c r="DW23" s="392">
        <v>-21.5</v>
      </c>
      <c r="DX23" s="381">
        <v>7</v>
      </c>
      <c r="DY23" s="392">
        <v>-23.6</v>
      </c>
      <c r="DZ23" s="381">
        <v>8.3000000000000007</v>
      </c>
      <c r="EA23" s="392">
        <v>-28.1</v>
      </c>
      <c r="EB23" s="381">
        <v>9.1</v>
      </c>
      <c r="EC23" s="392">
        <v>-30.5</v>
      </c>
      <c r="ED23" s="381">
        <v>9.8000000000000007</v>
      </c>
      <c r="EE23" s="392">
        <v>-33</v>
      </c>
      <c r="EF23" s="381">
        <v>11.4</v>
      </c>
      <c r="EG23" s="392">
        <v>-38.200000000000003</v>
      </c>
      <c r="EH23" s="381">
        <v>12.2</v>
      </c>
      <c r="EI23" s="392">
        <v>-41</v>
      </c>
      <c r="EJ23" s="381">
        <v>13</v>
      </c>
      <c r="EK23" s="392">
        <v>-43.9</v>
      </c>
      <c r="EL23" s="381">
        <v>16.7</v>
      </c>
      <c r="EM23" s="392">
        <v>-56.4</v>
      </c>
      <c r="EO23" s="334" t="s">
        <v>118</v>
      </c>
      <c r="EP23" s="363">
        <v>2</v>
      </c>
      <c r="EQ23" s="364">
        <v>100</v>
      </c>
      <c r="ER23" s="355">
        <v>-27.2</v>
      </c>
      <c r="ES23" s="355">
        <v>-27.2</v>
      </c>
      <c r="ET23" s="355">
        <v>-33.5</v>
      </c>
      <c r="EU23" s="355">
        <v>-37.1</v>
      </c>
      <c r="EV23" s="355">
        <v>-40.6</v>
      </c>
      <c r="EW23" s="355">
        <v>-48.3</v>
      </c>
      <c r="EX23" s="355">
        <v>-52.5</v>
      </c>
      <c r="EY23" s="355">
        <v>-56.7</v>
      </c>
      <c r="EZ23" s="355">
        <v>-65.7</v>
      </c>
      <c r="FA23" s="511">
        <v>-70.599999999999994</v>
      </c>
      <c r="FB23" s="356">
        <v>-75.5</v>
      </c>
      <c r="FC23" s="366">
        <v>-96.9</v>
      </c>
    </row>
    <row r="24" spans="1:164" x14ac:dyDescent="0.2">
      <c r="A24" s="576" t="s">
        <v>43</v>
      </c>
      <c r="B24" s="103"/>
      <c r="C24" s="103"/>
      <c r="D24" s="103"/>
      <c r="E24" s="101"/>
      <c r="F24" s="103"/>
      <c r="G24" s="575"/>
      <c r="H24" s="234"/>
      <c r="J24" s="57"/>
      <c r="L24" s="6" t="s">
        <v>364</v>
      </c>
      <c r="M24" s="200">
        <v>3</v>
      </c>
      <c r="N24" s="21"/>
      <c r="O24" s="223">
        <v>10</v>
      </c>
      <c r="P24" s="223">
        <v>1</v>
      </c>
      <c r="Q24" s="211">
        <v>14.5</v>
      </c>
      <c r="R24" s="226">
        <v>-6</v>
      </c>
      <c r="S24" s="226">
        <v>9.6</v>
      </c>
      <c r="T24" s="227">
        <v>-3.5</v>
      </c>
      <c r="U24" s="211">
        <v>-15.4</v>
      </c>
      <c r="V24" s="226">
        <v>-9.4</v>
      </c>
      <c r="W24" s="226">
        <v>-10.7</v>
      </c>
      <c r="X24" s="228">
        <v>-7.2</v>
      </c>
      <c r="Y24" s="211">
        <v>-21.6</v>
      </c>
      <c r="Z24" s="227">
        <v>-16.899999999999999</v>
      </c>
      <c r="AA24" s="218">
        <v>14</v>
      </c>
      <c r="AB24" s="229" t="e">
        <f>IF($C$8=$N27,MATCH($AD$6,$O22:$O32,1),0)</f>
        <v>#REF!</v>
      </c>
      <c r="AC24" s="230" t="e">
        <f>IF($C$8=$N27,$AD$6,"")</f>
        <v>#REF!</v>
      </c>
      <c r="AD24" s="230" t="e">
        <f t="shared" ref="AD24:AM24" si="5">IF($C$8=$N27,(AD23-AD22)*($AD$6-$AC22)/($AC23-$AC22)+AD22,"")</f>
        <v>#REF!</v>
      </c>
      <c r="AE24" s="230" t="e">
        <f t="shared" si="5"/>
        <v>#REF!</v>
      </c>
      <c r="AF24" s="230" t="e">
        <f t="shared" si="5"/>
        <v>#REF!</v>
      </c>
      <c r="AG24" s="230" t="e">
        <f t="shared" si="5"/>
        <v>#REF!</v>
      </c>
      <c r="AH24" s="230" t="e">
        <f t="shared" si="5"/>
        <v>#REF!</v>
      </c>
      <c r="AI24" s="230" t="e">
        <f t="shared" si="5"/>
        <v>#REF!</v>
      </c>
      <c r="AJ24" s="230" t="e">
        <f t="shared" si="5"/>
        <v>#REF!</v>
      </c>
      <c r="AK24" s="230" t="e">
        <f t="shared" si="5"/>
        <v>#REF!</v>
      </c>
      <c r="AL24" s="230" t="e">
        <f t="shared" si="5"/>
        <v>#REF!</v>
      </c>
      <c r="AM24" s="231" t="e">
        <f t="shared" si="5"/>
        <v>#REF!</v>
      </c>
      <c r="AN24" s="19"/>
      <c r="AP24" s="21"/>
      <c r="AQ24" s="222">
        <v>1</v>
      </c>
      <c r="AR24" s="223">
        <v>50</v>
      </c>
      <c r="AS24" s="211">
        <v>6</v>
      </c>
      <c r="AT24" s="211">
        <v>6.7</v>
      </c>
      <c r="AU24" s="211">
        <v>8.1999999999999993</v>
      </c>
      <c r="AV24" s="211">
        <v>9.1</v>
      </c>
      <c r="AW24" s="211">
        <v>10</v>
      </c>
      <c r="AX24" s="211">
        <v>11.9</v>
      </c>
      <c r="AY24" s="211">
        <v>12.9</v>
      </c>
      <c r="AZ24" s="211">
        <v>13.9</v>
      </c>
      <c r="BA24" s="211">
        <v>16.100000000000001</v>
      </c>
      <c r="BB24" s="570">
        <v>17.3</v>
      </c>
      <c r="BC24" s="212">
        <v>18.5</v>
      </c>
      <c r="BD24" s="224">
        <v>23.8</v>
      </c>
      <c r="BE24" s="200" t="s">
        <v>22</v>
      </c>
      <c r="BF24" s="475" t="e">
        <f t="shared" si="0"/>
        <v>#REF!</v>
      </c>
      <c r="BH24" s="21"/>
      <c r="BI24" s="222">
        <v>1</v>
      </c>
      <c r="BJ24" s="223">
        <v>50</v>
      </c>
      <c r="BK24" s="211">
        <v>-11.1</v>
      </c>
      <c r="BL24" s="211">
        <v>-12.5</v>
      </c>
      <c r="BM24" s="211">
        <v>-15.4</v>
      </c>
      <c r="BN24" s="211">
        <v>-17</v>
      </c>
      <c r="BO24" s="211">
        <v>-18.600000000000001</v>
      </c>
      <c r="BP24" s="211">
        <v>-22.2</v>
      </c>
      <c r="BQ24" s="211">
        <v>-24.1</v>
      </c>
      <c r="BR24" s="211">
        <v>-26</v>
      </c>
      <c r="BS24" s="211">
        <v>-30.2</v>
      </c>
      <c r="BT24" s="570">
        <v>-32.4</v>
      </c>
      <c r="BU24" s="212">
        <v>-34.6</v>
      </c>
      <c r="BV24" s="224">
        <v>-44.5</v>
      </c>
      <c r="BW24" s="200" t="s">
        <v>22</v>
      </c>
      <c r="BX24" s="475" t="e">
        <f t="shared" si="1"/>
        <v>#REF!</v>
      </c>
      <c r="BY24" s="475"/>
      <c r="BZ24" s="21"/>
      <c r="CA24" s="222">
        <v>3</v>
      </c>
      <c r="CB24" s="223">
        <v>50</v>
      </c>
      <c r="CC24" s="211">
        <v>-35.299999999999997</v>
      </c>
      <c r="CD24" s="211">
        <v>-35.299999999999997</v>
      </c>
      <c r="CE24" s="211">
        <v>-43.6</v>
      </c>
      <c r="CF24" s="211">
        <v>-48.2</v>
      </c>
      <c r="CG24" s="211">
        <v>-52.8</v>
      </c>
      <c r="CH24" s="211">
        <v>-62.8</v>
      </c>
      <c r="CI24" s="211">
        <v>-68.3</v>
      </c>
      <c r="CJ24" s="211">
        <v>-73.7</v>
      </c>
      <c r="CK24" s="211">
        <v>-85.5</v>
      </c>
      <c r="CL24" s="570">
        <v>-91.8</v>
      </c>
      <c r="CM24" s="212">
        <v>-98.1</v>
      </c>
      <c r="CN24" s="224">
        <v>-126.1</v>
      </c>
      <c r="CO24" s="200" t="s">
        <v>22</v>
      </c>
      <c r="CP24" s="475" t="e">
        <f t="shared" si="2"/>
        <v>#REF!</v>
      </c>
      <c r="CQ24" s="13"/>
      <c r="CS24" s="13"/>
      <c r="CT24" s="13"/>
      <c r="CV24" s="475"/>
      <c r="CW24" s="57"/>
      <c r="CX24" s="467">
        <v>90</v>
      </c>
      <c r="CY24" s="358">
        <v>20</v>
      </c>
      <c r="CZ24" s="358">
        <v>4</v>
      </c>
      <c r="DA24" s="358">
        <v>1</v>
      </c>
      <c r="DB24" s="359">
        <v>17.8</v>
      </c>
      <c r="DC24" s="360">
        <v>-4.7</v>
      </c>
      <c r="DD24" s="360">
        <v>11.9</v>
      </c>
      <c r="DE24" s="361">
        <v>-2.6</v>
      </c>
      <c r="DF24" s="359">
        <v>-15.4</v>
      </c>
      <c r="DG24" s="360">
        <v>-10.7</v>
      </c>
      <c r="DH24" s="360">
        <v>-10.7</v>
      </c>
      <c r="DI24" s="362">
        <v>-8.1</v>
      </c>
      <c r="DJ24" s="359">
        <v>-21.6</v>
      </c>
      <c r="DK24" s="361">
        <v>-16.899999999999999</v>
      </c>
      <c r="DM24" s="335"/>
      <c r="DN24" s="349">
        <v>1</v>
      </c>
      <c r="DO24" s="350">
        <v>10</v>
      </c>
      <c r="DP24" s="351">
        <v>7.5</v>
      </c>
      <c r="DQ24" s="352">
        <v>-11.9</v>
      </c>
      <c r="DR24" s="351">
        <v>8.4</v>
      </c>
      <c r="DS24" s="352">
        <v>-13.3</v>
      </c>
      <c r="DT24" s="351">
        <v>10.4</v>
      </c>
      <c r="DU24" s="352">
        <v>-16.5</v>
      </c>
      <c r="DV24" s="351">
        <v>11.4</v>
      </c>
      <c r="DW24" s="352">
        <v>-18.2</v>
      </c>
      <c r="DX24" s="351">
        <v>12.5</v>
      </c>
      <c r="DY24" s="352">
        <v>-19.899999999999999</v>
      </c>
      <c r="DZ24" s="351">
        <v>14.9</v>
      </c>
      <c r="EA24" s="352">
        <v>-23.7</v>
      </c>
      <c r="EB24" s="351">
        <v>16.2</v>
      </c>
      <c r="EC24" s="352">
        <v>-25.7</v>
      </c>
      <c r="ED24" s="351">
        <v>17.5</v>
      </c>
      <c r="EE24" s="352">
        <v>-27.8</v>
      </c>
      <c r="EF24" s="351">
        <v>20.3</v>
      </c>
      <c r="EG24" s="352">
        <v>-32.299999999999997</v>
      </c>
      <c r="EH24" s="351">
        <v>21.8</v>
      </c>
      <c r="EI24" s="352">
        <v>-34.6</v>
      </c>
      <c r="EJ24" s="351">
        <v>23.3</v>
      </c>
      <c r="EK24" s="352">
        <v>-37</v>
      </c>
      <c r="EL24" s="351">
        <v>30</v>
      </c>
      <c r="EM24" s="352">
        <v>-47.6</v>
      </c>
      <c r="EO24" s="334" t="s">
        <v>111</v>
      </c>
      <c r="EP24" s="363">
        <v>3</v>
      </c>
      <c r="EQ24" s="364">
        <v>10</v>
      </c>
      <c r="ER24" s="355">
        <v>-45.7</v>
      </c>
      <c r="ES24" s="355">
        <v>-45.7</v>
      </c>
      <c r="ET24" s="355">
        <v>-56.4</v>
      </c>
      <c r="EU24" s="355">
        <v>-62.4</v>
      </c>
      <c r="EV24" s="355">
        <v>-68.3</v>
      </c>
      <c r="EW24" s="355">
        <v>-81.2</v>
      </c>
      <c r="EX24" s="355">
        <v>-88.3</v>
      </c>
      <c r="EY24" s="355">
        <v>-95.3</v>
      </c>
      <c r="EZ24" s="355">
        <v>-110.6</v>
      </c>
      <c r="FA24" s="511">
        <v>-118.8</v>
      </c>
      <c r="FB24" s="356">
        <v>-126.9</v>
      </c>
      <c r="FC24" s="366">
        <v>-163</v>
      </c>
    </row>
    <row r="25" spans="1:164" x14ac:dyDescent="0.2">
      <c r="A25" s="52"/>
      <c r="B25" s="80" t="s">
        <v>170</v>
      </c>
      <c r="E25" s="53" t="s">
        <v>184</v>
      </c>
      <c r="H25" s="81" t="s">
        <v>120</v>
      </c>
      <c r="I25" s="81"/>
      <c r="J25" s="57"/>
      <c r="L25" s="6" t="s">
        <v>52</v>
      </c>
      <c r="M25" s="200">
        <v>4</v>
      </c>
      <c r="N25" s="21"/>
      <c r="O25" s="223">
        <v>15</v>
      </c>
      <c r="P25" s="223">
        <v>1</v>
      </c>
      <c r="Q25" s="211">
        <v>16.100000000000001</v>
      </c>
      <c r="R25" s="226">
        <v>-5.4</v>
      </c>
      <c r="S25" s="226">
        <v>10.7</v>
      </c>
      <c r="T25" s="227">
        <v>-3</v>
      </c>
      <c r="U25" s="211">
        <v>-15.4</v>
      </c>
      <c r="V25" s="226">
        <v>-10.1</v>
      </c>
      <c r="W25" s="226">
        <v>-10.7</v>
      </c>
      <c r="X25" s="228">
        <v>-7.7</v>
      </c>
      <c r="Y25" s="211">
        <v>-21.6</v>
      </c>
      <c r="Z25" s="227">
        <v>-16.899999999999999</v>
      </c>
      <c r="AA25" s="218">
        <v>15</v>
      </c>
      <c r="AB25" s="229"/>
      <c r="AC25" s="230"/>
      <c r="AD25" s="552"/>
      <c r="AE25" s="552"/>
      <c r="AF25" s="552"/>
      <c r="AG25" s="552"/>
      <c r="AH25" s="552"/>
      <c r="AI25" s="552"/>
      <c r="AJ25" s="552"/>
      <c r="AK25" s="552"/>
      <c r="AL25" s="552"/>
      <c r="AM25" s="553"/>
      <c r="AN25" s="233"/>
      <c r="AP25" s="21"/>
      <c r="AQ25" s="222">
        <v>1</v>
      </c>
      <c r="AR25" s="223">
        <v>100</v>
      </c>
      <c r="AS25" s="211">
        <v>5.3</v>
      </c>
      <c r="AT25" s="211">
        <v>5.9</v>
      </c>
      <c r="AU25" s="211">
        <v>7.3</v>
      </c>
      <c r="AV25" s="211">
        <v>8.1</v>
      </c>
      <c r="AW25" s="211">
        <v>8.9</v>
      </c>
      <c r="AX25" s="211">
        <v>10.5</v>
      </c>
      <c r="AY25" s="211">
        <v>11.4</v>
      </c>
      <c r="AZ25" s="211">
        <v>12.4</v>
      </c>
      <c r="BA25" s="211">
        <v>14.3</v>
      </c>
      <c r="BB25" s="570">
        <v>15.4</v>
      </c>
      <c r="BC25" s="212">
        <v>16.5</v>
      </c>
      <c r="BD25" s="224">
        <v>21.1</v>
      </c>
      <c r="BE25" s="200" t="s">
        <v>22</v>
      </c>
      <c r="BF25" s="475" t="e">
        <f t="shared" si="0"/>
        <v>#REF!</v>
      </c>
      <c r="BH25" s="21"/>
      <c r="BI25" s="222">
        <v>1</v>
      </c>
      <c r="BJ25" s="223">
        <v>100</v>
      </c>
      <c r="BK25" s="211">
        <v>-10.8</v>
      </c>
      <c r="BL25" s="211">
        <v>-12.1</v>
      </c>
      <c r="BM25" s="211">
        <v>-14.9</v>
      </c>
      <c r="BN25" s="211">
        <v>-16.5</v>
      </c>
      <c r="BO25" s="211">
        <v>-18.100000000000001</v>
      </c>
      <c r="BP25" s="211">
        <v>-21.5</v>
      </c>
      <c r="BQ25" s="211">
        <v>-23.2</v>
      </c>
      <c r="BR25" s="211">
        <v>-25.2</v>
      </c>
      <c r="BS25" s="211">
        <v>-29.3</v>
      </c>
      <c r="BT25" s="570">
        <v>-31.4</v>
      </c>
      <c r="BU25" s="212">
        <v>-33.6</v>
      </c>
      <c r="BV25" s="224">
        <v>-43.2</v>
      </c>
      <c r="BW25" s="200" t="s">
        <v>22</v>
      </c>
      <c r="BX25" s="475" t="e">
        <f t="shared" si="1"/>
        <v>#REF!</v>
      </c>
      <c r="BY25" s="475"/>
      <c r="BZ25" s="22"/>
      <c r="CA25" s="244">
        <v>3</v>
      </c>
      <c r="CB25" s="245">
        <v>100</v>
      </c>
      <c r="CC25" s="246">
        <v>-30.9</v>
      </c>
      <c r="CD25" s="246">
        <v>-30.9</v>
      </c>
      <c r="CE25" s="246">
        <v>-38.1</v>
      </c>
      <c r="CF25" s="246">
        <v>-42.1</v>
      </c>
      <c r="CG25" s="246">
        <v>-46.1</v>
      </c>
      <c r="CH25" s="246">
        <v>-54.9</v>
      </c>
      <c r="CI25" s="246">
        <v>-59.7</v>
      </c>
      <c r="CJ25" s="246">
        <v>-64.400000000000006</v>
      </c>
      <c r="CK25" s="246">
        <v>-74.7</v>
      </c>
      <c r="CL25" s="571">
        <v>-80.3</v>
      </c>
      <c r="CM25" s="247">
        <v>-85.8</v>
      </c>
      <c r="CN25" s="248">
        <v>-110.1</v>
      </c>
      <c r="CO25" s="200" t="s">
        <v>22</v>
      </c>
      <c r="CP25" s="475" t="e">
        <f t="shared" si="2"/>
        <v>#REF!</v>
      </c>
      <c r="CV25" s="475"/>
      <c r="CW25" s="57"/>
      <c r="CX25" s="467"/>
      <c r="CY25" s="367">
        <v>25</v>
      </c>
      <c r="CZ25" s="367">
        <v>6</v>
      </c>
      <c r="DA25" s="367">
        <v>1</v>
      </c>
      <c r="DB25" s="368">
        <v>16.100000000000001</v>
      </c>
      <c r="DC25" s="369">
        <v>2.6</v>
      </c>
      <c r="DD25" s="369">
        <v>11.7</v>
      </c>
      <c r="DE25" s="370">
        <v>2.7</v>
      </c>
      <c r="DF25" s="368">
        <v>-7.2</v>
      </c>
      <c r="DG25" s="369">
        <v>-9.8000000000000007</v>
      </c>
      <c r="DH25" s="369">
        <v>-5.2</v>
      </c>
      <c r="DI25" s="371">
        <v>-7.8</v>
      </c>
      <c r="DJ25" s="368">
        <v>-13.3</v>
      </c>
      <c r="DK25" s="370">
        <v>-11.4</v>
      </c>
      <c r="DM25" s="334"/>
      <c r="DN25" s="363">
        <v>1</v>
      </c>
      <c r="DO25" s="364">
        <v>20</v>
      </c>
      <c r="DP25" s="355">
        <v>6.8</v>
      </c>
      <c r="DQ25" s="365">
        <v>-11.6</v>
      </c>
      <c r="DR25" s="355">
        <v>7.7</v>
      </c>
      <c r="DS25" s="365">
        <v>-13</v>
      </c>
      <c r="DT25" s="355">
        <v>9.4</v>
      </c>
      <c r="DU25" s="365">
        <v>-16</v>
      </c>
      <c r="DV25" s="355">
        <v>10.4</v>
      </c>
      <c r="DW25" s="365">
        <v>-17.600000000000001</v>
      </c>
      <c r="DX25" s="355">
        <v>11.4</v>
      </c>
      <c r="DY25" s="365">
        <v>-19.399999999999999</v>
      </c>
      <c r="DZ25" s="355">
        <v>13.6</v>
      </c>
      <c r="EA25" s="365">
        <v>-23</v>
      </c>
      <c r="EB25" s="355">
        <v>14.8</v>
      </c>
      <c r="EC25" s="365">
        <v>-25</v>
      </c>
      <c r="ED25" s="355">
        <v>16</v>
      </c>
      <c r="EE25" s="365">
        <v>-27</v>
      </c>
      <c r="EF25" s="355">
        <v>18.5</v>
      </c>
      <c r="EG25" s="365">
        <v>-31.4</v>
      </c>
      <c r="EH25" s="355">
        <v>19.899999999999999</v>
      </c>
      <c r="EI25" s="365">
        <v>-33.700000000000003</v>
      </c>
      <c r="EJ25" s="355">
        <v>21.3</v>
      </c>
      <c r="EK25" s="365">
        <v>-36</v>
      </c>
      <c r="EL25" s="355">
        <v>27.3</v>
      </c>
      <c r="EM25" s="365">
        <v>-46.3</v>
      </c>
      <c r="EO25" s="334"/>
      <c r="EP25" s="363">
        <v>3</v>
      </c>
      <c r="EQ25" s="364">
        <v>20</v>
      </c>
      <c r="ER25" s="355">
        <v>-41.2</v>
      </c>
      <c r="ES25" s="355">
        <v>-41.2</v>
      </c>
      <c r="ET25" s="355">
        <v>-50.9</v>
      </c>
      <c r="EU25" s="355">
        <v>-56.3</v>
      </c>
      <c r="EV25" s="355">
        <v>-61.6</v>
      </c>
      <c r="EW25" s="355">
        <v>-73.3</v>
      </c>
      <c r="EX25" s="355">
        <v>-79.7</v>
      </c>
      <c r="EY25" s="355">
        <v>-86</v>
      </c>
      <c r="EZ25" s="355">
        <v>-99.8</v>
      </c>
      <c r="FA25" s="511">
        <v>-107.2</v>
      </c>
      <c r="FB25" s="356">
        <v>-114.5</v>
      </c>
      <c r="FC25" s="366">
        <v>-147.1</v>
      </c>
    </row>
    <row r="26" spans="1:164" x14ac:dyDescent="0.2">
      <c r="A26" s="52"/>
      <c r="C26" s="56" t="s">
        <v>376</v>
      </c>
      <c r="D26" s="405" t="e">
        <f>$AD$6</f>
        <v>#REF!</v>
      </c>
      <c r="E26" s="416" t="s">
        <v>42</v>
      </c>
      <c r="G26" s="58"/>
      <c r="J26" s="57"/>
      <c r="L26" s="6" t="s">
        <v>53</v>
      </c>
      <c r="M26" s="200">
        <v>5</v>
      </c>
      <c r="N26" s="21"/>
      <c r="O26" s="223">
        <v>20</v>
      </c>
      <c r="P26" s="223">
        <v>1</v>
      </c>
      <c r="Q26" s="211">
        <v>17.8</v>
      </c>
      <c r="R26" s="226">
        <v>-4.7</v>
      </c>
      <c r="S26" s="226">
        <v>11.9</v>
      </c>
      <c r="T26" s="227">
        <v>-2.6</v>
      </c>
      <c r="U26" s="211">
        <v>-15.4</v>
      </c>
      <c r="V26" s="226">
        <v>-10.7</v>
      </c>
      <c r="W26" s="226">
        <v>-10.7</v>
      </c>
      <c r="X26" s="228">
        <v>-8.1</v>
      </c>
      <c r="Y26" s="211">
        <v>-21.6</v>
      </c>
      <c r="Z26" s="227">
        <v>-16.899999999999999</v>
      </c>
      <c r="AA26" s="218">
        <v>16</v>
      </c>
      <c r="AB26" s="229"/>
      <c r="AC26" s="230" t="e">
        <f>IF($C$8=$N27,IF(AND($AD$6&gt;=25,$AD$6&lt;=45),VLOOKUP(MATCH($AD$6,$O22:$O32,1),$M22:$Z32,3),""),"")</f>
        <v>#REF!</v>
      </c>
      <c r="AD26" s="230" t="e">
        <f>IF($C$8=$N27,IF(AND($AD$6&gt;=25,$AD$6&lt;=45),VLOOKUP(MATCH($AD$6,$O22:$O32,1)+1,$M22:$Z32,5),""),"")</f>
        <v>#REF!</v>
      </c>
      <c r="AE26" s="230" t="e">
        <f>IF($C$8=$N27,IF(AND($AD$6&gt;=25,$AD$6&lt;=45),VLOOKUP(MATCH($AD$6,$O22:$O32,1)+1,$M22:$Z32,6),""),"")</f>
        <v>#REF!</v>
      </c>
      <c r="AF26" s="230" t="e">
        <f>IF($C$8=$N27,IF(AND($AD$6&gt;=25,$AD$6&lt;=45),VLOOKUP(MATCH($AD$6,$O22:$O32,1)+1,$M22:$Z32,7),""),"")</f>
        <v>#REF!</v>
      </c>
      <c r="AG26" s="230" t="e">
        <f>IF($C$8=$N27,IF(AND($AD$6&gt;=25,$AD$6&lt;=45),VLOOKUP(MATCH($AD$6,$O22:$O32,1)+1,$M22:$Z32,8),""),"")</f>
        <v>#REF!</v>
      </c>
      <c r="AH26" s="230" t="e">
        <f>IF($C$8=$N27,IF(AND($AD$6&gt;=25,$AD$6&lt;=45),VLOOKUP(MATCH($AD$6,$O22:$O32,1)+1,$M22:$Z32,9),""),"")</f>
        <v>#REF!</v>
      </c>
      <c r="AI26" s="230" t="e">
        <f>IF($C$8=$N27,IF(AND($AD$6&gt;=25,$AD$6&lt;=45),VLOOKUP(MATCH($AD$6,$O22:$O32,1)+1,$M22:$Z32,10),""),"")</f>
        <v>#REF!</v>
      </c>
      <c r="AJ26" s="230" t="e">
        <f>IF($C$8=$N27,IF(AND($AD$6&gt;=25,$AD$6&lt;=45),VLOOKUP(MATCH($AD$6,$O22:$O32,1)+1,$M22:$Z32,11),""),"")</f>
        <v>#REF!</v>
      </c>
      <c r="AK26" s="230" t="e">
        <f>IF($C$8=$N27,IF(AND($AD$6&gt;=25,$AD$6&lt;=45),VLOOKUP(MATCH($AD$6,$O22:$O32,1)+1,$M22:$Z32,12),""),"")</f>
        <v>#REF!</v>
      </c>
      <c r="AL26" s="230" t="e">
        <f>IF($C$8=$N27,IF(AND($AD$6&gt;=25,$AD$6&lt;=45),VLOOKUP(MATCH($AD$6,$O22:$O32,1)+1,$M22:$Z32,13),""),"")</f>
        <v>#REF!</v>
      </c>
      <c r="AM26" s="231" t="e">
        <f>IF($C$8=$N27,IF(AND($AD$6&gt;=25,$AD$6&lt;=45),VLOOKUP(MATCH($AD$6,$O22:$O32,1)+1,$M22:$Z32,14),""),"")</f>
        <v>#REF!</v>
      </c>
      <c r="AN26" s="19"/>
      <c r="AP26" s="21"/>
      <c r="AQ26" s="222">
        <v>2</v>
      </c>
      <c r="AR26" s="223">
        <v>10</v>
      </c>
      <c r="AS26" s="211">
        <v>7.5</v>
      </c>
      <c r="AT26" s="211">
        <v>8.4</v>
      </c>
      <c r="AU26" s="211">
        <v>10.4</v>
      </c>
      <c r="AV26" s="211">
        <v>11.4</v>
      </c>
      <c r="AW26" s="211">
        <v>12.5</v>
      </c>
      <c r="AX26" s="211">
        <v>14.9</v>
      </c>
      <c r="AY26" s="211">
        <v>16.2</v>
      </c>
      <c r="AZ26" s="211">
        <v>17.5</v>
      </c>
      <c r="BA26" s="211">
        <v>20.3</v>
      </c>
      <c r="BB26" s="570">
        <v>21.8</v>
      </c>
      <c r="BC26" s="212">
        <v>23.3</v>
      </c>
      <c r="BD26" s="224">
        <v>30</v>
      </c>
      <c r="BE26" s="200" t="s">
        <v>22</v>
      </c>
      <c r="BF26" s="475" t="e">
        <f t="shared" si="0"/>
        <v>#REF!</v>
      </c>
      <c r="BH26" s="21"/>
      <c r="BI26" s="222">
        <v>2</v>
      </c>
      <c r="BJ26" s="223">
        <v>10</v>
      </c>
      <c r="BK26" s="211">
        <v>-20.7</v>
      </c>
      <c r="BL26" s="211">
        <v>-23.2</v>
      </c>
      <c r="BM26" s="211">
        <v>-28.7</v>
      </c>
      <c r="BN26" s="211">
        <v>-31.6</v>
      </c>
      <c r="BO26" s="211">
        <v>-34.700000000000003</v>
      </c>
      <c r="BP26" s="211">
        <v>-41.3</v>
      </c>
      <c r="BQ26" s="211">
        <v>-44.8</v>
      </c>
      <c r="BR26" s="211">
        <v>-48.4</v>
      </c>
      <c r="BS26" s="211">
        <v>-56.2</v>
      </c>
      <c r="BT26" s="570">
        <v>-60.3</v>
      </c>
      <c r="BU26" s="212">
        <v>-64.5</v>
      </c>
      <c r="BV26" s="224">
        <v>-82.8</v>
      </c>
      <c r="BW26" s="200" t="s">
        <v>22</v>
      </c>
      <c r="BX26" s="475" t="e">
        <f t="shared" si="1"/>
        <v>#REF!</v>
      </c>
      <c r="BY26" s="475"/>
      <c r="BZ26" s="197"/>
      <c r="CA26" s="204">
        <v>2</v>
      </c>
      <c r="CB26" s="205">
        <v>10</v>
      </c>
      <c r="CC26" s="206">
        <v>-24.7</v>
      </c>
      <c r="CD26" s="206">
        <v>-24.7</v>
      </c>
      <c r="CE26" s="206">
        <v>-30.5</v>
      </c>
      <c r="CF26" s="206">
        <v>-33.700000000000003</v>
      </c>
      <c r="CG26" s="206">
        <v>-36.9</v>
      </c>
      <c r="CH26" s="206">
        <v>-43.9</v>
      </c>
      <c r="CI26" s="206">
        <v>-47.7</v>
      </c>
      <c r="CJ26" s="206">
        <v>-51.5</v>
      </c>
      <c r="CK26" s="206">
        <v>-59.8</v>
      </c>
      <c r="CL26" s="569">
        <v>-64.2</v>
      </c>
      <c r="CM26" s="207">
        <v>-68.599999999999994</v>
      </c>
      <c r="CN26" s="208">
        <v>-88.1</v>
      </c>
      <c r="CO26" s="200" t="s">
        <v>22</v>
      </c>
      <c r="CP26" s="475" t="e">
        <f t="shared" si="2"/>
        <v>#REF!</v>
      </c>
      <c r="CV26" s="475"/>
      <c r="CW26" s="57"/>
      <c r="CX26" s="467"/>
      <c r="CY26" s="372"/>
      <c r="CZ26" s="372"/>
      <c r="DA26" s="372">
        <v>2</v>
      </c>
      <c r="DB26" s="373" t="s">
        <v>145</v>
      </c>
      <c r="DC26" s="374" t="s">
        <v>145</v>
      </c>
      <c r="DD26" s="374" t="s">
        <v>145</v>
      </c>
      <c r="DE26" s="375" t="s">
        <v>145</v>
      </c>
      <c r="DF26" s="376">
        <v>-2.7</v>
      </c>
      <c r="DG26" s="377">
        <v>-5.3</v>
      </c>
      <c r="DH26" s="377">
        <v>-0.7</v>
      </c>
      <c r="DI26" s="378">
        <v>-3.4</v>
      </c>
      <c r="DJ26" s="373" t="s">
        <v>145</v>
      </c>
      <c r="DK26" s="375" t="s">
        <v>145</v>
      </c>
      <c r="DM26" s="334"/>
      <c r="DN26" s="363">
        <v>1</v>
      </c>
      <c r="DO26" s="364">
        <v>50</v>
      </c>
      <c r="DP26" s="355">
        <v>6</v>
      </c>
      <c r="DQ26" s="365">
        <v>-11.1</v>
      </c>
      <c r="DR26" s="355">
        <v>6.7</v>
      </c>
      <c r="DS26" s="365">
        <v>-12.5</v>
      </c>
      <c r="DT26" s="355">
        <v>8.1999999999999993</v>
      </c>
      <c r="DU26" s="365">
        <v>-15.4</v>
      </c>
      <c r="DV26" s="355">
        <v>9.1</v>
      </c>
      <c r="DW26" s="365">
        <v>-17</v>
      </c>
      <c r="DX26" s="355">
        <v>10</v>
      </c>
      <c r="DY26" s="365">
        <v>-18.600000000000001</v>
      </c>
      <c r="DZ26" s="355">
        <v>11.9</v>
      </c>
      <c r="EA26" s="365">
        <v>-22.2</v>
      </c>
      <c r="EB26" s="355">
        <v>12.9</v>
      </c>
      <c r="EC26" s="365">
        <v>-24.1</v>
      </c>
      <c r="ED26" s="355">
        <v>13.9</v>
      </c>
      <c r="EE26" s="365">
        <v>-26</v>
      </c>
      <c r="EF26" s="355">
        <v>16.100000000000001</v>
      </c>
      <c r="EG26" s="365">
        <v>-30.2</v>
      </c>
      <c r="EH26" s="355">
        <v>17.3</v>
      </c>
      <c r="EI26" s="365">
        <v>-32.4</v>
      </c>
      <c r="EJ26" s="355">
        <v>18.5</v>
      </c>
      <c r="EK26" s="365">
        <v>-34.6</v>
      </c>
      <c r="EL26" s="355">
        <v>23.8</v>
      </c>
      <c r="EM26" s="365">
        <v>-44.5</v>
      </c>
      <c r="EO26" s="334"/>
      <c r="EP26" s="363">
        <v>3</v>
      </c>
      <c r="EQ26" s="364">
        <v>50</v>
      </c>
      <c r="ER26" s="355">
        <v>-35.299999999999997</v>
      </c>
      <c r="ES26" s="355">
        <v>-35.299999999999997</v>
      </c>
      <c r="ET26" s="355">
        <v>-43.6</v>
      </c>
      <c r="EU26" s="355">
        <v>-48.2</v>
      </c>
      <c r="EV26" s="355">
        <v>-52.8</v>
      </c>
      <c r="EW26" s="355">
        <v>-62.8</v>
      </c>
      <c r="EX26" s="355">
        <v>-68.3</v>
      </c>
      <c r="EY26" s="355">
        <v>-73.7</v>
      </c>
      <c r="EZ26" s="355">
        <v>-85.5</v>
      </c>
      <c r="FA26" s="511">
        <v>-91.8</v>
      </c>
      <c r="FB26" s="356">
        <v>-98.1</v>
      </c>
      <c r="FC26" s="366">
        <v>-126.1</v>
      </c>
    </row>
    <row r="27" spans="1:164" x14ac:dyDescent="0.2">
      <c r="A27" s="52"/>
      <c r="C27" s="56" t="s">
        <v>318</v>
      </c>
      <c r="D27" s="403" t="e">
        <f>$AD$7</f>
        <v>#REF!</v>
      </c>
      <c r="E27" s="508" t="s">
        <v>205</v>
      </c>
      <c r="J27" s="57"/>
      <c r="L27" s="6" t="s">
        <v>54</v>
      </c>
      <c r="M27" s="200">
        <v>6</v>
      </c>
      <c r="N27" s="21">
        <v>90</v>
      </c>
      <c r="O27" s="235">
        <v>25</v>
      </c>
      <c r="P27" s="235">
        <v>1</v>
      </c>
      <c r="Q27" s="236">
        <v>16.100000000000001</v>
      </c>
      <c r="R27" s="237">
        <v>2.6</v>
      </c>
      <c r="S27" s="237">
        <v>11.7</v>
      </c>
      <c r="T27" s="238">
        <v>2.7</v>
      </c>
      <c r="U27" s="236">
        <v>-7.2</v>
      </c>
      <c r="V27" s="237">
        <v>-9.8000000000000007</v>
      </c>
      <c r="W27" s="237">
        <v>-5.2</v>
      </c>
      <c r="X27" s="239">
        <v>-7.8</v>
      </c>
      <c r="Y27" s="236">
        <v>-13.3</v>
      </c>
      <c r="Z27" s="238">
        <v>-11.4</v>
      </c>
      <c r="AA27" s="218">
        <v>17</v>
      </c>
      <c r="AB27" s="229"/>
      <c r="AC27" s="230" t="e">
        <f>IF($C$8=$N27,IF(AND($AD$6&gt;=25,$AD$6&lt;=45),VLOOKUP(MATCH($AD$6,$O22:$O32,1)+IF($AD$6&lt;25,1,2),$M22:$Z32,3),""),"")</f>
        <v>#REF!</v>
      </c>
      <c r="AD27" s="230" t="e">
        <f>IF($C$8=$N27,IF(AND($AD$6&gt;=25,$AD$6&lt;=45),VLOOKUP(MATCH($AD$6,$O22:$O32,1)+1+IF($AD$6&lt;25,1,2),$M22:$Z32,5),""),"")</f>
        <v>#REF!</v>
      </c>
      <c r="AE27" s="230" t="e">
        <f>IF($C$8=$N27,IF(AND($AD$6&gt;=25,$AD$6&lt;=45),VLOOKUP(MATCH($AD$6,$O22:$O32,1)+1+IF($AD$6&lt;25,1,2),$M22:$Z32,6),""),"")</f>
        <v>#REF!</v>
      </c>
      <c r="AF27" s="230" t="e">
        <f>IF($C$8=$N27,IF(AND($AD$6&gt;=25,$AD$6&lt;=45),VLOOKUP(MATCH($AD$6,$O22:$O32,1)+1+IF($AD$6&lt;25,1,2),$M22:$Z32,7),""),"")</f>
        <v>#REF!</v>
      </c>
      <c r="AG27" s="230" t="e">
        <f>IF($C$8=$N27,IF(AND($AD$6&gt;=25,$AD$6&lt;=45),VLOOKUP(MATCH($AD$6,$O22:$O32,1)+1+IF($AD$6&lt;25,1,2),$M22:$Z32,8),""),"")</f>
        <v>#REF!</v>
      </c>
      <c r="AH27" s="230" t="e">
        <f>IF($C$8=$N27,IF(AND($AD$6&gt;=25,$AD$6&lt;=45),VLOOKUP(MATCH($AD$6,$O22:$O32,1)+1+IF($AD$6&lt;25,1,2),$M22:$Z32,9),""),"")</f>
        <v>#REF!</v>
      </c>
      <c r="AI27" s="230" t="e">
        <f>IF($C$8=$N27,IF(AND($AD$6&gt;=25,$AD$6&lt;=45),VLOOKUP(MATCH($AD$6,$O22:$O32,1)+1+IF($AD$6&lt;25,1,2),$M22:$Z32,10),""),"")</f>
        <v>#REF!</v>
      </c>
      <c r="AJ27" s="230" t="e">
        <f>IF($C$8=$N27,IF(AND($AD$6&gt;=25,$AD$6&lt;=45),VLOOKUP(MATCH($AD$6,$O22:$O32,1)+1+IF($AD$6&lt;25,1,2),$M22:$Z32,11),""),"")</f>
        <v>#REF!</v>
      </c>
      <c r="AK27" s="230" t="e">
        <f>IF($C$8=$N27,IF(AND($AD$6&gt;=25,$AD$6&lt;=45),VLOOKUP(MATCH($AD$6,$O22:$O32,1)+1+IF($AD$6&lt;25,1,2),$M22:$Z32,12),""),"")</f>
        <v>#REF!</v>
      </c>
      <c r="AL27" s="230" t="e">
        <f>IF($C$8=$N27,IF(AND($AD$6&gt;=25,$AD$6&lt;=45),VLOOKUP(MATCH($AD$6,$O22:$O32,1)+1+IF($AD$6&lt;25,1,2),$M22:$Z32,13),""),"")</f>
        <v>#REF!</v>
      </c>
      <c r="AM27" s="231" t="e">
        <f>IF($C$8=$N27,IF(AND($AD$6&gt;=25,$AD$6&lt;=45),VLOOKUP(MATCH($AD$6,$O22:$O32,1)+1+IF($AD$6&lt;25,1,2),$M22:$Z32,14),""),"")</f>
        <v>#REF!</v>
      </c>
      <c r="AN27" s="19"/>
      <c r="AP27" s="21" t="s">
        <v>20</v>
      </c>
      <c r="AQ27" s="222">
        <v>2</v>
      </c>
      <c r="AR27" s="223">
        <v>20</v>
      </c>
      <c r="AS27" s="211">
        <v>6.8</v>
      </c>
      <c r="AT27" s="211">
        <v>7.7</v>
      </c>
      <c r="AU27" s="211">
        <v>9.4</v>
      </c>
      <c r="AV27" s="211">
        <v>10.4</v>
      </c>
      <c r="AW27" s="211">
        <v>11.4</v>
      </c>
      <c r="AX27" s="211">
        <v>13.6</v>
      </c>
      <c r="AY27" s="211">
        <v>14.8</v>
      </c>
      <c r="AZ27" s="211">
        <v>16</v>
      </c>
      <c r="BA27" s="211">
        <v>18.5</v>
      </c>
      <c r="BB27" s="570">
        <v>19.899999999999999</v>
      </c>
      <c r="BC27" s="212">
        <v>21.3</v>
      </c>
      <c r="BD27" s="224">
        <v>27.3</v>
      </c>
      <c r="BE27" s="200" t="s">
        <v>22</v>
      </c>
      <c r="BF27" s="475" t="e">
        <f t="shared" si="0"/>
        <v>#REF!</v>
      </c>
      <c r="BH27" s="21" t="s">
        <v>20</v>
      </c>
      <c r="BI27" s="222">
        <v>2</v>
      </c>
      <c r="BJ27" s="223">
        <v>20</v>
      </c>
      <c r="BK27" s="211">
        <v>-19</v>
      </c>
      <c r="BL27" s="211">
        <v>-21.4</v>
      </c>
      <c r="BM27" s="211">
        <v>-26.4</v>
      </c>
      <c r="BN27" s="211">
        <v>-29.1</v>
      </c>
      <c r="BO27" s="211">
        <v>-31.9</v>
      </c>
      <c r="BP27" s="211">
        <v>-38</v>
      </c>
      <c r="BQ27" s="211">
        <v>-41.2</v>
      </c>
      <c r="BR27" s="211">
        <v>-44.6</v>
      </c>
      <c r="BS27" s="211">
        <v>-51.7</v>
      </c>
      <c r="BT27" s="570">
        <v>-55.4</v>
      </c>
      <c r="BU27" s="212">
        <v>-59.3</v>
      </c>
      <c r="BV27" s="224">
        <v>-76.2</v>
      </c>
      <c r="BW27" s="200" t="s">
        <v>22</v>
      </c>
      <c r="BX27" s="475" t="e">
        <f t="shared" si="1"/>
        <v>#REF!</v>
      </c>
      <c r="BY27" s="475"/>
      <c r="BZ27" s="21"/>
      <c r="CA27" s="222">
        <v>2</v>
      </c>
      <c r="CB27" s="223">
        <v>20</v>
      </c>
      <c r="CC27" s="211">
        <v>-24</v>
      </c>
      <c r="CD27" s="211">
        <v>-24</v>
      </c>
      <c r="CE27" s="211">
        <v>-29.6</v>
      </c>
      <c r="CF27" s="211">
        <v>-32.700000000000003</v>
      </c>
      <c r="CG27" s="211">
        <v>-35.799999999999997</v>
      </c>
      <c r="CH27" s="211">
        <v>-42.6</v>
      </c>
      <c r="CI27" s="211">
        <v>-46.3</v>
      </c>
      <c r="CJ27" s="211">
        <v>-50</v>
      </c>
      <c r="CK27" s="211">
        <v>-58</v>
      </c>
      <c r="CL27" s="570">
        <v>-62.3</v>
      </c>
      <c r="CM27" s="212">
        <v>-66.5</v>
      </c>
      <c r="CN27" s="224">
        <v>-85.5</v>
      </c>
      <c r="CO27" s="200" t="s">
        <v>22</v>
      </c>
      <c r="CP27" s="475" t="e">
        <f t="shared" si="2"/>
        <v>#REF!</v>
      </c>
      <c r="CV27" s="475"/>
      <c r="CW27" s="57"/>
      <c r="CX27" s="467"/>
      <c r="CY27" s="367" t="s">
        <v>164</v>
      </c>
      <c r="CZ27" s="367" t="s">
        <v>166</v>
      </c>
      <c r="DA27" s="367">
        <v>1</v>
      </c>
      <c r="DB27" s="368">
        <v>14.4</v>
      </c>
      <c r="DC27" s="369">
        <v>9.9</v>
      </c>
      <c r="DD27" s="369">
        <v>11.5</v>
      </c>
      <c r="DE27" s="370">
        <v>7.9</v>
      </c>
      <c r="DF27" s="368">
        <v>1.1000000000000001</v>
      </c>
      <c r="DG27" s="369">
        <v>-8.8000000000000007</v>
      </c>
      <c r="DH27" s="369">
        <v>0.4</v>
      </c>
      <c r="DI27" s="371">
        <v>-7.5</v>
      </c>
      <c r="DJ27" s="368">
        <v>-5.0999999999999996</v>
      </c>
      <c r="DK27" s="370">
        <v>-5.8</v>
      </c>
      <c r="DM27" s="334"/>
      <c r="DN27" s="363">
        <v>1</v>
      </c>
      <c r="DO27" s="364">
        <v>100</v>
      </c>
      <c r="DP27" s="355">
        <v>5.3</v>
      </c>
      <c r="DQ27" s="365">
        <v>-10.8</v>
      </c>
      <c r="DR27" s="355">
        <v>5.9</v>
      </c>
      <c r="DS27" s="365">
        <v>-12.1</v>
      </c>
      <c r="DT27" s="355">
        <v>7.3</v>
      </c>
      <c r="DU27" s="365">
        <v>-14.9</v>
      </c>
      <c r="DV27" s="355">
        <v>8.1</v>
      </c>
      <c r="DW27" s="365">
        <v>-16.5</v>
      </c>
      <c r="DX27" s="355">
        <v>8.9</v>
      </c>
      <c r="DY27" s="365">
        <v>-18.100000000000001</v>
      </c>
      <c r="DZ27" s="355">
        <v>10.5</v>
      </c>
      <c r="EA27" s="365">
        <v>-21.5</v>
      </c>
      <c r="EB27" s="355">
        <v>11.4</v>
      </c>
      <c r="EC27" s="365">
        <v>-23.2</v>
      </c>
      <c r="ED27" s="355">
        <v>12.4</v>
      </c>
      <c r="EE27" s="365">
        <v>-25.2</v>
      </c>
      <c r="EF27" s="355">
        <v>14.3</v>
      </c>
      <c r="EG27" s="365">
        <v>-29.3</v>
      </c>
      <c r="EH27" s="355">
        <v>15.4</v>
      </c>
      <c r="EI27" s="365">
        <v>-31.4</v>
      </c>
      <c r="EJ27" s="355">
        <v>16.5</v>
      </c>
      <c r="EK27" s="365">
        <v>-33.6</v>
      </c>
      <c r="EL27" s="355">
        <v>21.1</v>
      </c>
      <c r="EM27" s="365">
        <v>-43.2</v>
      </c>
      <c r="EO27" s="341"/>
      <c r="EP27" s="379">
        <v>3</v>
      </c>
      <c r="EQ27" s="380">
        <v>100</v>
      </c>
      <c r="ER27" s="381">
        <v>-30.9</v>
      </c>
      <c r="ES27" s="381">
        <v>-30.9</v>
      </c>
      <c r="ET27" s="381">
        <v>-38.1</v>
      </c>
      <c r="EU27" s="381">
        <v>-42.1</v>
      </c>
      <c r="EV27" s="381">
        <v>-46.1</v>
      </c>
      <c r="EW27" s="381">
        <v>-54.9</v>
      </c>
      <c r="EX27" s="381">
        <v>-59.7</v>
      </c>
      <c r="EY27" s="381">
        <v>-64.400000000000006</v>
      </c>
      <c r="EZ27" s="381">
        <v>-74.7</v>
      </c>
      <c r="FA27" s="512">
        <v>-80.3</v>
      </c>
      <c r="FB27" s="382">
        <v>-85.8</v>
      </c>
      <c r="FC27" s="383">
        <v>-110.1</v>
      </c>
    </row>
    <row r="28" spans="1:164" x14ac:dyDescent="0.2">
      <c r="A28" s="52"/>
      <c r="C28" s="69" t="s">
        <v>154</v>
      </c>
      <c r="D28" s="168" t="e">
        <f>$CS$23</f>
        <v>#REF!</v>
      </c>
      <c r="E28" s="458" t="s">
        <v>121</v>
      </c>
      <c r="G28" s="256"/>
      <c r="J28" s="57"/>
      <c r="L28" s="6" t="s">
        <v>10</v>
      </c>
      <c r="M28" s="200">
        <v>7</v>
      </c>
      <c r="N28" s="21"/>
      <c r="O28" s="210"/>
      <c r="P28" s="210">
        <v>2</v>
      </c>
      <c r="Q28" s="240">
        <v>0</v>
      </c>
      <c r="R28" s="241">
        <v>0</v>
      </c>
      <c r="S28" s="241">
        <v>0</v>
      </c>
      <c r="T28" s="242">
        <v>0</v>
      </c>
      <c r="U28" s="240">
        <v>-2.7</v>
      </c>
      <c r="V28" s="241">
        <v>-5.3</v>
      </c>
      <c r="W28" s="241">
        <v>-0.7</v>
      </c>
      <c r="X28" s="243">
        <v>-3.4</v>
      </c>
      <c r="Y28" s="240">
        <v>0</v>
      </c>
      <c r="Z28" s="242">
        <v>0</v>
      </c>
      <c r="AA28" s="218">
        <v>18</v>
      </c>
      <c r="AB28" s="229"/>
      <c r="AC28" s="230" t="e">
        <f>IF($C$8=$N27,IF(AND($AD$6&gt;=25,$AD$6&lt;=45),$AD$6,""),"")</f>
        <v>#REF!</v>
      </c>
      <c r="AD28" s="230" t="e">
        <f t="shared" ref="AD28:AM28" si="6">IF($C$8=$N27,IF(AND($AD$6&gt;=25,$AD$6&lt;=45),(AD27-AD26)*($AD$6-$AC26)/($AC27-$AC26)+AD26,""),"")</f>
        <v>#REF!</v>
      </c>
      <c r="AE28" s="230" t="e">
        <f t="shared" si="6"/>
        <v>#REF!</v>
      </c>
      <c r="AF28" s="230" t="e">
        <f t="shared" si="6"/>
        <v>#REF!</v>
      </c>
      <c r="AG28" s="230" t="e">
        <f t="shared" si="6"/>
        <v>#REF!</v>
      </c>
      <c r="AH28" s="230" t="e">
        <f t="shared" si="6"/>
        <v>#REF!</v>
      </c>
      <c r="AI28" s="230" t="e">
        <f t="shared" si="6"/>
        <v>#REF!</v>
      </c>
      <c r="AJ28" s="230" t="e">
        <f t="shared" si="6"/>
        <v>#REF!</v>
      </c>
      <c r="AK28" s="230" t="e">
        <f t="shared" si="6"/>
        <v>#REF!</v>
      </c>
      <c r="AL28" s="230" t="e">
        <f t="shared" si="6"/>
        <v>#REF!</v>
      </c>
      <c r="AM28" s="231" t="e">
        <f t="shared" si="6"/>
        <v>#REF!</v>
      </c>
      <c r="AN28" s="19"/>
      <c r="AP28" s="21" t="s">
        <v>118</v>
      </c>
      <c r="AQ28" s="222">
        <v>2</v>
      </c>
      <c r="AR28" s="223">
        <v>50</v>
      </c>
      <c r="AS28" s="211">
        <v>6</v>
      </c>
      <c r="AT28" s="211">
        <v>6.7</v>
      </c>
      <c r="AU28" s="211">
        <v>8.1999999999999993</v>
      </c>
      <c r="AV28" s="211">
        <v>9.1</v>
      </c>
      <c r="AW28" s="211">
        <v>10</v>
      </c>
      <c r="AX28" s="211">
        <v>11.9</v>
      </c>
      <c r="AY28" s="211">
        <v>12.9</v>
      </c>
      <c r="AZ28" s="211">
        <v>13.9</v>
      </c>
      <c r="BA28" s="211">
        <v>16.100000000000001</v>
      </c>
      <c r="BB28" s="570">
        <v>17.3</v>
      </c>
      <c r="BC28" s="212">
        <v>18.5</v>
      </c>
      <c r="BD28" s="224">
        <v>23.8</v>
      </c>
      <c r="BE28" s="200" t="s">
        <v>22</v>
      </c>
      <c r="BF28" s="475" t="e">
        <f t="shared" si="0"/>
        <v>#REF!</v>
      </c>
      <c r="BH28" s="21" t="s">
        <v>118</v>
      </c>
      <c r="BI28" s="222">
        <v>2</v>
      </c>
      <c r="BJ28" s="223">
        <v>50</v>
      </c>
      <c r="BK28" s="211">
        <v>-16.899999999999999</v>
      </c>
      <c r="BL28" s="211">
        <v>-18.899999999999999</v>
      </c>
      <c r="BM28" s="211">
        <v>-23.3</v>
      </c>
      <c r="BN28" s="211">
        <v>-25.7</v>
      </c>
      <c r="BO28" s="211">
        <v>-28.2</v>
      </c>
      <c r="BP28" s="211">
        <v>-33.6</v>
      </c>
      <c r="BQ28" s="211">
        <v>-36.5</v>
      </c>
      <c r="BR28" s="211">
        <v>-39.4</v>
      </c>
      <c r="BS28" s="211">
        <v>-45.7</v>
      </c>
      <c r="BT28" s="570">
        <v>-49.1</v>
      </c>
      <c r="BU28" s="212">
        <v>-52.5</v>
      </c>
      <c r="BV28" s="224">
        <v>-67.400000000000006</v>
      </c>
      <c r="BW28" s="200" t="s">
        <v>22</v>
      </c>
      <c r="BX28" s="475" t="e">
        <f t="shared" si="1"/>
        <v>#REF!</v>
      </c>
      <c r="BY28" s="475"/>
      <c r="BZ28" s="21" t="s">
        <v>20</v>
      </c>
      <c r="CA28" s="222">
        <v>2</v>
      </c>
      <c r="CB28" s="223">
        <v>50</v>
      </c>
      <c r="CC28" s="211">
        <v>-23</v>
      </c>
      <c r="CD28" s="211">
        <v>-23</v>
      </c>
      <c r="CE28" s="211">
        <v>-28.4</v>
      </c>
      <c r="CF28" s="211">
        <v>-31.4</v>
      </c>
      <c r="CG28" s="211">
        <v>-34.299999999999997</v>
      </c>
      <c r="CH28" s="211">
        <v>-40.799999999999997</v>
      </c>
      <c r="CI28" s="211">
        <v>-44.4</v>
      </c>
      <c r="CJ28" s="211">
        <v>-47.9</v>
      </c>
      <c r="CK28" s="211">
        <v>-55.6</v>
      </c>
      <c r="CL28" s="570">
        <v>-59.7</v>
      </c>
      <c r="CM28" s="212">
        <v>-63.8</v>
      </c>
      <c r="CN28" s="224">
        <v>-82</v>
      </c>
      <c r="CO28" s="200" t="s">
        <v>22</v>
      </c>
      <c r="CP28" s="475" t="e">
        <f t="shared" si="2"/>
        <v>#REF!</v>
      </c>
      <c r="CV28" s="475"/>
      <c r="CW28" s="57"/>
      <c r="CX28" s="468"/>
      <c r="CY28" s="178"/>
      <c r="CZ28" s="178"/>
      <c r="DA28" s="178">
        <v>2</v>
      </c>
      <c r="DB28" s="388">
        <v>14.4</v>
      </c>
      <c r="DC28" s="389">
        <v>9.9</v>
      </c>
      <c r="DD28" s="389">
        <v>11.5</v>
      </c>
      <c r="DE28" s="390">
        <v>7.9</v>
      </c>
      <c r="DF28" s="388">
        <v>5.6</v>
      </c>
      <c r="DG28" s="389">
        <v>-4.3</v>
      </c>
      <c r="DH28" s="389">
        <v>4.8</v>
      </c>
      <c r="DI28" s="391">
        <v>-3.1</v>
      </c>
      <c r="DJ28" s="388">
        <v>-5.0999999999999996</v>
      </c>
      <c r="DK28" s="390">
        <v>-5.8</v>
      </c>
      <c r="DM28" s="334"/>
      <c r="DN28" s="363">
        <v>2</v>
      </c>
      <c r="DO28" s="364">
        <v>10</v>
      </c>
      <c r="DP28" s="355">
        <v>7.5</v>
      </c>
      <c r="DQ28" s="365">
        <v>-20.7</v>
      </c>
      <c r="DR28" s="355">
        <v>8.4</v>
      </c>
      <c r="DS28" s="365">
        <v>-23.2</v>
      </c>
      <c r="DT28" s="355">
        <v>10.4</v>
      </c>
      <c r="DU28" s="365">
        <v>-28.7</v>
      </c>
      <c r="DV28" s="355">
        <v>11.4</v>
      </c>
      <c r="DW28" s="365">
        <v>-31.6</v>
      </c>
      <c r="DX28" s="355">
        <v>12.5</v>
      </c>
      <c r="DY28" s="365">
        <v>-34.700000000000003</v>
      </c>
      <c r="DZ28" s="355">
        <v>14.9</v>
      </c>
      <c r="EA28" s="365">
        <v>-41.3</v>
      </c>
      <c r="EB28" s="355">
        <v>16.2</v>
      </c>
      <c r="EC28" s="365">
        <v>-44.8</v>
      </c>
      <c r="ED28" s="355">
        <v>17.5</v>
      </c>
      <c r="EE28" s="365">
        <v>-48.4</v>
      </c>
      <c r="EF28" s="355">
        <v>20.3</v>
      </c>
      <c r="EG28" s="365">
        <v>-56.2</v>
      </c>
      <c r="EH28" s="355">
        <v>21.8</v>
      </c>
      <c r="EI28" s="365">
        <v>-60.3</v>
      </c>
      <c r="EJ28" s="355">
        <v>23.3</v>
      </c>
      <c r="EK28" s="365">
        <v>-64.5</v>
      </c>
      <c r="EL28" s="355">
        <v>30</v>
      </c>
      <c r="EM28" s="365">
        <v>-82.8</v>
      </c>
      <c r="EO28" s="335"/>
      <c r="EP28" s="349">
        <v>2</v>
      </c>
      <c r="EQ28" s="350">
        <v>10</v>
      </c>
      <c r="ER28" s="351">
        <v>-24.7</v>
      </c>
      <c r="ES28" s="351">
        <v>-24.7</v>
      </c>
      <c r="ET28" s="351">
        <v>-30.5</v>
      </c>
      <c r="EU28" s="351">
        <v>-33.700000000000003</v>
      </c>
      <c r="EV28" s="351">
        <v>-36.9</v>
      </c>
      <c r="EW28" s="351">
        <v>-43.9</v>
      </c>
      <c r="EX28" s="351">
        <v>-47.7</v>
      </c>
      <c r="EY28" s="351">
        <v>-51.5</v>
      </c>
      <c r="EZ28" s="351">
        <v>-59.8</v>
      </c>
      <c r="FA28" s="513">
        <v>-64.2</v>
      </c>
      <c r="FB28" s="393">
        <v>-68.599999999999994</v>
      </c>
      <c r="FC28" s="394">
        <v>-88.1</v>
      </c>
    </row>
    <row r="29" spans="1:164" x14ac:dyDescent="0.2">
      <c r="A29" s="52"/>
      <c r="C29" s="69" t="s">
        <v>155</v>
      </c>
      <c r="D29" s="160" t="e">
        <f>IF(AND($C$22="N",$C$9="I"),0.87,IF(AND($C$22="Y",$C$9="I",$C$8&lt;=100),0.87,IF(AND($C$22="Y",$C$9="I",$C$8&gt;100),0.77,IF($C$9="II",1,IF($C$9="III",1.15,IF($C$9="IV",1.15))))))</f>
        <v>#REF!</v>
      </c>
      <c r="E29" s="458" t="s">
        <v>391</v>
      </c>
      <c r="F29" s="58" t="e">
        <f>IF($AD$7&lt;=60,"","h &gt; 60 ft., DO NOT use sheet!")</f>
        <v>#REF!</v>
      </c>
      <c r="J29" s="57"/>
      <c r="L29" s="6" t="s">
        <v>55</v>
      </c>
      <c r="M29" s="200">
        <v>8</v>
      </c>
      <c r="N29" s="21"/>
      <c r="O29" s="235">
        <v>30</v>
      </c>
      <c r="P29" s="235">
        <v>1</v>
      </c>
      <c r="Q29" s="236">
        <v>14.4</v>
      </c>
      <c r="R29" s="237">
        <v>9.9</v>
      </c>
      <c r="S29" s="237">
        <v>11.5</v>
      </c>
      <c r="T29" s="238">
        <v>7.9</v>
      </c>
      <c r="U29" s="236">
        <v>1.1000000000000001</v>
      </c>
      <c r="V29" s="237">
        <v>-8.8000000000000007</v>
      </c>
      <c r="W29" s="237">
        <v>0.4</v>
      </c>
      <c r="X29" s="239">
        <v>-7.5</v>
      </c>
      <c r="Y29" s="236">
        <v>-5.0999999999999996</v>
      </c>
      <c r="Z29" s="238">
        <v>-5.8</v>
      </c>
      <c r="AA29" s="218">
        <v>19</v>
      </c>
      <c r="AB29" s="229"/>
      <c r="AC29" s="552"/>
      <c r="AD29" s="552"/>
      <c r="AE29" s="552"/>
      <c r="AF29" s="552"/>
      <c r="AG29" s="552"/>
      <c r="AH29" s="552"/>
      <c r="AI29" s="552"/>
      <c r="AJ29" s="552"/>
      <c r="AK29" s="552"/>
      <c r="AL29" s="552"/>
      <c r="AM29" s="553"/>
      <c r="AN29" s="233"/>
      <c r="AP29" s="21" t="s">
        <v>111</v>
      </c>
      <c r="AQ29" s="222">
        <v>2</v>
      </c>
      <c r="AR29" s="223">
        <v>100</v>
      </c>
      <c r="AS29" s="211">
        <v>5.3</v>
      </c>
      <c r="AT29" s="211">
        <v>5.9</v>
      </c>
      <c r="AU29" s="211">
        <v>7.3</v>
      </c>
      <c r="AV29" s="211">
        <v>8.1</v>
      </c>
      <c r="AW29" s="211">
        <v>8.9</v>
      </c>
      <c r="AX29" s="211">
        <v>10.5</v>
      </c>
      <c r="AY29" s="211">
        <v>11.4</v>
      </c>
      <c r="AZ29" s="211">
        <v>12.4</v>
      </c>
      <c r="BA29" s="211">
        <v>14.3</v>
      </c>
      <c r="BB29" s="570">
        <v>15.4</v>
      </c>
      <c r="BC29" s="212">
        <v>16.5</v>
      </c>
      <c r="BD29" s="224">
        <v>21.1</v>
      </c>
      <c r="BE29" s="200" t="s">
        <v>22</v>
      </c>
      <c r="BF29" s="475" t="e">
        <f t="shared" si="0"/>
        <v>#REF!</v>
      </c>
      <c r="BH29" s="21" t="s">
        <v>111</v>
      </c>
      <c r="BI29" s="222">
        <v>2</v>
      </c>
      <c r="BJ29" s="223">
        <v>100</v>
      </c>
      <c r="BK29" s="211">
        <v>-15.2</v>
      </c>
      <c r="BL29" s="211">
        <v>-17</v>
      </c>
      <c r="BM29" s="211">
        <v>-21</v>
      </c>
      <c r="BN29" s="211">
        <v>-23.2</v>
      </c>
      <c r="BO29" s="211">
        <v>-25.5</v>
      </c>
      <c r="BP29" s="211">
        <v>-30.3</v>
      </c>
      <c r="BQ29" s="211">
        <v>-32.9</v>
      </c>
      <c r="BR29" s="211">
        <v>-35.6</v>
      </c>
      <c r="BS29" s="211">
        <v>-41.2</v>
      </c>
      <c r="BT29" s="570">
        <v>-44.2</v>
      </c>
      <c r="BU29" s="212">
        <v>-47.3</v>
      </c>
      <c r="BV29" s="224">
        <v>-60.8</v>
      </c>
      <c r="BW29" s="200" t="s">
        <v>22</v>
      </c>
      <c r="BX29" s="475" t="e">
        <f t="shared" si="1"/>
        <v>#REF!</v>
      </c>
      <c r="BY29" s="475"/>
      <c r="BZ29" s="21" t="s">
        <v>122</v>
      </c>
      <c r="CA29" s="222">
        <v>2</v>
      </c>
      <c r="CB29" s="223">
        <v>100</v>
      </c>
      <c r="CC29" s="211">
        <v>-22.2</v>
      </c>
      <c r="CD29" s="211">
        <v>-22.2</v>
      </c>
      <c r="CE29" s="211">
        <v>-27.4</v>
      </c>
      <c r="CF29" s="211">
        <v>-30.3</v>
      </c>
      <c r="CG29" s="211">
        <v>-33.200000000000003</v>
      </c>
      <c r="CH29" s="211">
        <v>-39.5</v>
      </c>
      <c r="CI29" s="211">
        <v>-43</v>
      </c>
      <c r="CJ29" s="211">
        <v>-46.4</v>
      </c>
      <c r="CK29" s="211">
        <v>-53.8</v>
      </c>
      <c r="CL29" s="570">
        <v>-57.8</v>
      </c>
      <c r="CM29" s="212">
        <v>-61.7</v>
      </c>
      <c r="CN29" s="224">
        <v>-79.3</v>
      </c>
      <c r="CO29" s="200" t="s">
        <v>22</v>
      </c>
      <c r="CP29" s="475" t="e">
        <f t="shared" si="2"/>
        <v>#REF!</v>
      </c>
      <c r="CV29" s="475"/>
      <c r="CW29" s="57"/>
      <c r="CX29" s="467"/>
      <c r="CY29" s="358" t="s">
        <v>163</v>
      </c>
      <c r="CZ29" s="358" t="s">
        <v>165</v>
      </c>
      <c r="DA29" s="358">
        <v>1</v>
      </c>
      <c r="DB29" s="359">
        <v>15.9</v>
      </c>
      <c r="DC29" s="360">
        <v>-8.1999999999999993</v>
      </c>
      <c r="DD29" s="360">
        <v>10.5</v>
      </c>
      <c r="DE29" s="361">
        <v>-4.9000000000000004</v>
      </c>
      <c r="DF29" s="359">
        <v>-19.100000000000001</v>
      </c>
      <c r="DG29" s="360">
        <v>-10.8</v>
      </c>
      <c r="DH29" s="360">
        <v>-13.3</v>
      </c>
      <c r="DI29" s="362">
        <v>-8.4</v>
      </c>
      <c r="DJ29" s="359">
        <v>-26.7</v>
      </c>
      <c r="DK29" s="361">
        <v>-20.9</v>
      </c>
      <c r="DM29" s="334" t="s">
        <v>20</v>
      </c>
      <c r="DN29" s="363">
        <v>2</v>
      </c>
      <c r="DO29" s="364">
        <v>20</v>
      </c>
      <c r="DP29" s="355">
        <v>6.8</v>
      </c>
      <c r="DQ29" s="365">
        <v>-19</v>
      </c>
      <c r="DR29" s="355">
        <v>7.7</v>
      </c>
      <c r="DS29" s="365">
        <v>-21.4</v>
      </c>
      <c r="DT29" s="355">
        <v>9.4</v>
      </c>
      <c r="DU29" s="365">
        <v>-26.4</v>
      </c>
      <c r="DV29" s="355">
        <v>10.4</v>
      </c>
      <c r="DW29" s="365">
        <v>-29.1</v>
      </c>
      <c r="DX29" s="355">
        <v>11.4</v>
      </c>
      <c r="DY29" s="365">
        <v>-31.9</v>
      </c>
      <c r="DZ29" s="355">
        <v>13.6</v>
      </c>
      <c r="EA29" s="365">
        <v>-38</v>
      </c>
      <c r="EB29" s="355">
        <v>14.8</v>
      </c>
      <c r="EC29" s="365">
        <v>-41.2</v>
      </c>
      <c r="ED29" s="355">
        <v>16</v>
      </c>
      <c r="EE29" s="365">
        <v>-44.6</v>
      </c>
      <c r="EF29" s="355">
        <v>18.5</v>
      </c>
      <c r="EG29" s="365">
        <v>-51.7</v>
      </c>
      <c r="EH29" s="355">
        <v>19.899999999999999</v>
      </c>
      <c r="EI29" s="365">
        <v>-55.4</v>
      </c>
      <c r="EJ29" s="355">
        <v>21.3</v>
      </c>
      <c r="EK29" s="365">
        <v>-59.3</v>
      </c>
      <c r="EL29" s="355">
        <v>27.3</v>
      </c>
      <c r="EM29" s="365">
        <v>-76.2</v>
      </c>
      <c r="EO29" s="334"/>
      <c r="EP29" s="363">
        <v>2</v>
      </c>
      <c r="EQ29" s="364">
        <v>20</v>
      </c>
      <c r="ER29" s="355">
        <v>-24</v>
      </c>
      <c r="ES29" s="355">
        <v>-24</v>
      </c>
      <c r="ET29" s="355">
        <v>-29.6</v>
      </c>
      <c r="EU29" s="355">
        <v>-32.700000000000003</v>
      </c>
      <c r="EV29" s="355">
        <v>-35.799999999999997</v>
      </c>
      <c r="EW29" s="355">
        <v>-42.6</v>
      </c>
      <c r="EX29" s="355">
        <v>-46.3</v>
      </c>
      <c r="EY29" s="355">
        <v>-50</v>
      </c>
      <c r="EZ29" s="355">
        <v>-58</v>
      </c>
      <c r="FA29" s="511">
        <v>-62.3</v>
      </c>
      <c r="FB29" s="356">
        <v>-66.5</v>
      </c>
      <c r="FC29" s="366">
        <v>-85.5</v>
      </c>
    </row>
    <row r="30" spans="1:164" x14ac:dyDescent="0.2">
      <c r="A30" s="52"/>
      <c r="C30" s="69" t="s">
        <v>123</v>
      </c>
      <c r="D30" s="169" t="e">
        <f>$U$293</f>
        <v>#REF!</v>
      </c>
      <c r="E30" s="416" t="s">
        <v>206</v>
      </c>
      <c r="J30" s="57"/>
      <c r="L30" s="6" t="s">
        <v>39</v>
      </c>
      <c r="M30" s="200">
        <v>9</v>
      </c>
      <c r="N30" s="249"/>
      <c r="O30" s="210"/>
      <c r="P30" s="210">
        <v>2</v>
      </c>
      <c r="Q30" s="240">
        <v>14.4</v>
      </c>
      <c r="R30" s="241">
        <v>9.9</v>
      </c>
      <c r="S30" s="241">
        <v>11.5</v>
      </c>
      <c r="T30" s="242">
        <v>7.9</v>
      </c>
      <c r="U30" s="240">
        <v>5.6</v>
      </c>
      <c r="V30" s="241">
        <v>-4.3</v>
      </c>
      <c r="W30" s="241">
        <v>4.8</v>
      </c>
      <c r="X30" s="243">
        <v>-3.1</v>
      </c>
      <c r="Y30" s="240">
        <v>-5.0999999999999996</v>
      </c>
      <c r="Z30" s="242">
        <v>-5.8</v>
      </c>
      <c r="AA30" s="218">
        <v>20</v>
      </c>
      <c r="AB30" s="229"/>
      <c r="AC30" s="230"/>
      <c r="AD30" s="230"/>
      <c r="AE30" s="552"/>
      <c r="AF30" s="552"/>
      <c r="AG30" s="552"/>
      <c r="AH30" s="552"/>
      <c r="AI30" s="552"/>
      <c r="AJ30" s="552"/>
      <c r="AK30" s="552"/>
      <c r="AL30" s="552"/>
      <c r="AM30" s="553"/>
      <c r="AN30" s="233"/>
      <c r="AP30" s="21"/>
      <c r="AQ30" s="222">
        <v>3</v>
      </c>
      <c r="AR30" s="223">
        <v>10</v>
      </c>
      <c r="AS30" s="211">
        <v>7.5</v>
      </c>
      <c r="AT30" s="211">
        <v>8.4</v>
      </c>
      <c r="AU30" s="211">
        <v>10.4</v>
      </c>
      <c r="AV30" s="211">
        <v>11.4</v>
      </c>
      <c r="AW30" s="211">
        <v>12.5</v>
      </c>
      <c r="AX30" s="211">
        <v>14.9</v>
      </c>
      <c r="AY30" s="211">
        <v>16.2</v>
      </c>
      <c r="AZ30" s="211">
        <v>17.5</v>
      </c>
      <c r="BA30" s="211">
        <v>20.3</v>
      </c>
      <c r="BB30" s="570">
        <v>21.8</v>
      </c>
      <c r="BC30" s="212">
        <v>23.3</v>
      </c>
      <c r="BD30" s="224">
        <v>30</v>
      </c>
      <c r="BE30" s="200" t="s">
        <v>22</v>
      </c>
      <c r="BF30" s="475" t="e">
        <f t="shared" si="0"/>
        <v>#REF!</v>
      </c>
      <c r="BH30" s="21"/>
      <c r="BI30" s="222">
        <v>3</v>
      </c>
      <c r="BJ30" s="223">
        <v>10</v>
      </c>
      <c r="BK30" s="211">
        <v>-30.6</v>
      </c>
      <c r="BL30" s="211">
        <v>-34.299999999999997</v>
      </c>
      <c r="BM30" s="211">
        <v>-42.4</v>
      </c>
      <c r="BN30" s="211">
        <v>-46.7</v>
      </c>
      <c r="BO30" s="211">
        <v>-51.3</v>
      </c>
      <c r="BP30" s="211">
        <v>-61</v>
      </c>
      <c r="BQ30" s="211">
        <v>-66.2</v>
      </c>
      <c r="BR30" s="211">
        <v>-71.599999999999994</v>
      </c>
      <c r="BS30" s="211">
        <v>-83.1</v>
      </c>
      <c r="BT30" s="570">
        <v>-89.1</v>
      </c>
      <c r="BU30" s="212">
        <v>-95.4</v>
      </c>
      <c r="BV30" s="224">
        <v>-122.5</v>
      </c>
      <c r="BW30" s="200" t="s">
        <v>22</v>
      </c>
      <c r="BX30" s="475" t="e">
        <f t="shared" si="1"/>
        <v>#REF!</v>
      </c>
      <c r="BY30" s="475"/>
      <c r="BZ30" s="21" t="s">
        <v>111</v>
      </c>
      <c r="CA30" s="222">
        <v>3</v>
      </c>
      <c r="CB30" s="223">
        <v>10</v>
      </c>
      <c r="CC30" s="211">
        <v>-24.7</v>
      </c>
      <c r="CD30" s="211">
        <v>-24.7</v>
      </c>
      <c r="CE30" s="211">
        <v>-30.5</v>
      </c>
      <c r="CF30" s="211">
        <v>-33.700000000000003</v>
      </c>
      <c r="CG30" s="211">
        <v>-36.9</v>
      </c>
      <c r="CH30" s="211">
        <v>-43.9</v>
      </c>
      <c r="CI30" s="211">
        <v>-47.7</v>
      </c>
      <c r="CJ30" s="211">
        <v>-51.5</v>
      </c>
      <c r="CK30" s="211">
        <v>-59.8</v>
      </c>
      <c r="CL30" s="570">
        <v>-64.2</v>
      </c>
      <c r="CM30" s="212">
        <v>-68.599999999999994</v>
      </c>
      <c r="CN30" s="224">
        <v>-88.1</v>
      </c>
      <c r="CO30" s="200" t="s">
        <v>22</v>
      </c>
      <c r="CP30" s="475" t="e">
        <f t="shared" si="2"/>
        <v>#REF!</v>
      </c>
      <c r="CV30" s="475"/>
      <c r="CW30" s="57"/>
      <c r="CX30" s="467"/>
      <c r="CY30" s="358">
        <v>10</v>
      </c>
      <c r="CZ30" s="358">
        <v>2</v>
      </c>
      <c r="DA30" s="358">
        <v>1</v>
      </c>
      <c r="DB30" s="359">
        <v>17.899999999999999</v>
      </c>
      <c r="DC30" s="360">
        <v>-7.4</v>
      </c>
      <c r="DD30" s="360">
        <v>11.9</v>
      </c>
      <c r="DE30" s="361">
        <v>-4.3</v>
      </c>
      <c r="DF30" s="359">
        <v>-19.100000000000001</v>
      </c>
      <c r="DG30" s="360">
        <v>-11.6</v>
      </c>
      <c r="DH30" s="360">
        <v>-13.3</v>
      </c>
      <c r="DI30" s="362">
        <v>-8.9</v>
      </c>
      <c r="DJ30" s="359">
        <v>-26.7</v>
      </c>
      <c r="DK30" s="361">
        <v>-20.9</v>
      </c>
      <c r="DM30" s="334" t="s">
        <v>118</v>
      </c>
      <c r="DN30" s="363">
        <v>2</v>
      </c>
      <c r="DO30" s="364">
        <v>50</v>
      </c>
      <c r="DP30" s="355">
        <v>6</v>
      </c>
      <c r="DQ30" s="365">
        <v>-16.899999999999999</v>
      </c>
      <c r="DR30" s="355">
        <v>6.7</v>
      </c>
      <c r="DS30" s="365">
        <v>-18.899999999999999</v>
      </c>
      <c r="DT30" s="355">
        <v>8.1999999999999993</v>
      </c>
      <c r="DU30" s="365">
        <v>-23.3</v>
      </c>
      <c r="DV30" s="355">
        <v>9.1</v>
      </c>
      <c r="DW30" s="365">
        <v>-25.7</v>
      </c>
      <c r="DX30" s="355">
        <v>10</v>
      </c>
      <c r="DY30" s="365">
        <v>-28.2</v>
      </c>
      <c r="DZ30" s="355">
        <v>11.9</v>
      </c>
      <c r="EA30" s="365">
        <v>-33.6</v>
      </c>
      <c r="EB30" s="355">
        <v>12.9</v>
      </c>
      <c r="EC30" s="365">
        <v>-36.5</v>
      </c>
      <c r="ED30" s="355">
        <v>13.9</v>
      </c>
      <c r="EE30" s="365">
        <v>-39.4</v>
      </c>
      <c r="EF30" s="355">
        <v>16.100000000000001</v>
      </c>
      <c r="EG30" s="365">
        <v>-45.7</v>
      </c>
      <c r="EH30" s="355">
        <v>17.3</v>
      </c>
      <c r="EI30" s="365">
        <v>-49.1</v>
      </c>
      <c r="EJ30" s="355">
        <v>18.5</v>
      </c>
      <c r="EK30" s="365">
        <v>-52.5</v>
      </c>
      <c r="EL30" s="355">
        <v>23.8</v>
      </c>
      <c r="EM30" s="365">
        <v>-67.400000000000006</v>
      </c>
      <c r="EO30" s="334" t="s">
        <v>20</v>
      </c>
      <c r="EP30" s="363">
        <v>2</v>
      </c>
      <c r="EQ30" s="364">
        <v>50</v>
      </c>
      <c r="ER30" s="355">
        <v>-23</v>
      </c>
      <c r="ES30" s="355">
        <v>-23</v>
      </c>
      <c r="ET30" s="355">
        <v>-28.4</v>
      </c>
      <c r="EU30" s="355">
        <v>-31.4</v>
      </c>
      <c r="EV30" s="355">
        <v>-34.299999999999997</v>
      </c>
      <c r="EW30" s="355">
        <v>-40.799999999999997</v>
      </c>
      <c r="EX30" s="355">
        <v>-44.4</v>
      </c>
      <c r="EY30" s="355">
        <v>-47.9</v>
      </c>
      <c r="EZ30" s="355">
        <v>-55.6</v>
      </c>
      <c r="FA30" s="511">
        <v>-59.7</v>
      </c>
      <c r="FB30" s="356">
        <v>-63.8</v>
      </c>
      <c r="FC30" s="366">
        <v>-82</v>
      </c>
    </row>
    <row r="31" spans="1:164" x14ac:dyDescent="0.2">
      <c r="A31" s="52"/>
      <c r="C31" s="58" t="e">
        <f>IF($AD$6&lt;=45,"","Angle &gt; 45 deg., DO NOT use!")</f>
        <v>#REF!</v>
      </c>
      <c r="J31" s="57"/>
      <c r="L31" s="6" t="s">
        <v>54</v>
      </c>
      <c r="M31" s="200">
        <v>10</v>
      </c>
      <c r="N31" s="21"/>
      <c r="O31" s="235">
        <v>45</v>
      </c>
      <c r="P31" s="235">
        <v>1</v>
      </c>
      <c r="Q31" s="236">
        <v>14.4</v>
      </c>
      <c r="R31" s="237">
        <v>9.9</v>
      </c>
      <c r="S31" s="237">
        <v>11.5</v>
      </c>
      <c r="T31" s="238">
        <v>7.9</v>
      </c>
      <c r="U31" s="236">
        <v>1.1000000000000001</v>
      </c>
      <c r="V31" s="237">
        <v>-8.8000000000000007</v>
      </c>
      <c r="W31" s="237">
        <v>0.4</v>
      </c>
      <c r="X31" s="239">
        <v>-7.5</v>
      </c>
      <c r="Y31" s="236">
        <v>-5.0999999999999996</v>
      </c>
      <c r="Z31" s="238">
        <v>-5.8</v>
      </c>
      <c r="AA31" s="218">
        <v>21</v>
      </c>
      <c r="AB31" s="229"/>
      <c r="AC31" s="230"/>
      <c r="AD31" s="230"/>
      <c r="AE31" s="552"/>
      <c r="AF31" s="552"/>
      <c r="AG31" s="552"/>
      <c r="AH31" s="552"/>
      <c r="AI31" s="552"/>
      <c r="AJ31" s="552"/>
      <c r="AK31" s="552"/>
      <c r="AL31" s="552"/>
      <c r="AM31" s="553"/>
      <c r="AN31" s="233"/>
      <c r="AP31" s="21"/>
      <c r="AQ31" s="222">
        <v>3</v>
      </c>
      <c r="AR31" s="223">
        <v>20</v>
      </c>
      <c r="AS31" s="211">
        <v>6.8</v>
      </c>
      <c r="AT31" s="211">
        <v>7.7</v>
      </c>
      <c r="AU31" s="211">
        <v>9.4</v>
      </c>
      <c r="AV31" s="211">
        <v>10.4</v>
      </c>
      <c r="AW31" s="211">
        <v>11.4</v>
      </c>
      <c r="AX31" s="211">
        <v>13.6</v>
      </c>
      <c r="AY31" s="211">
        <v>14.8</v>
      </c>
      <c r="AZ31" s="211">
        <v>16</v>
      </c>
      <c r="BA31" s="211">
        <v>18.5</v>
      </c>
      <c r="BB31" s="570">
        <v>19.899999999999999</v>
      </c>
      <c r="BC31" s="212">
        <v>21.3</v>
      </c>
      <c r="BD31" s="224">
        <v>27.3</v>
      </c>
      <c r="BE31" s="200" t="s">
        <v>22</v>
      </c>
      <c r="BF31" s="475" t="e">
        <f t="shared" si="0"/>
        <v>#REF!</v>
      </c>
      <c r="BH31" s="21"/>
      <c r="BI31" s="222">
        <v>3</v>
      </c>
      <c r="BJ31" s="223">
        <v>20</v>
      </c>
      <c r="BK31" s="211">
        <v>-28.6</v>
      </c>
      <c r="BL31" s="211">
        <v>-32.1</v>
      </c>
      <c r="BM31" s="211">
        <v>-39.6</v>
      </c>
      <c r="BN31" s="211">
        <v>-43.7</v>
      </c>
      <c r="BO31" s="211">
        <v>-47.9</v>
      </c>
      <c r="BP31" s="211">
        <v>-57.1</v>
      </c>
      <c r="BQ31" s="211">
        <v>-61.9</v>
      </c>
      <c r="BR31" s="211">
        <v>-67</v>
      </c>
      <c r="BS31" s="211">
        <v>-77.7</v>
      </c>
      <c r="BT31" s="570">
        <v>-83.3</v>
      </c>
      <c r="BU31" s="212">
        <v>-89.2</v>
      </c>
      <c r="BV31" s="224">
        <v>-114.5</v>
      </c>
      <c r="BW31" s="200" t="s">
        <v>22</v>
      </c>
      <c r="BX31" s="475" t="e">
        <f t="shared" si="1"/>
        <v>#REF!</v>
      </c>
      <c r="BY31" s="475"/>
      <c r="BZ31" s="21"/>
      <c r="CA31" s="222">
        <v>3</v>
      </c>
      <c r="CB31" s="223">
        <v>20</v>
      </c>
      <c r="CC31" s="211">
        <v>-24</v>
      </c>
      <c r="CD31" s="211">
        <v>-24</v>
      </c>
      <c r="CE31" s="211">
        <v>-29.6</v>
      </c>
      <c r="CF31" s="211">
        <v>-32.700000000000003</v>
      </c>
      <c r="CG31" s="211">
        <v>-35.799999999999997</v>
      </c>
      <c r="CH31" s="211">
        <v>-42.6</v>
      </c>
      <c r="CI31" s="211">
        <v>-46.3</v>
      </c>
      <c r="CJ31" s="211">
        <v>-50</v>
      </c>
      <c r="CK31" s="211">
        <v>-58</v>
      </c>
      <c r="CL31" s="570">
        <v>-62.3</v>
      </c>
      <c r="CM31" s="212">
        <v>-66.5</v>
      </c>
      <c r="CN31" s="224">
        <v>-85.5</v>
      </c>
      <c r="CO31" s="200" t="s">
        <v>22</v>
      </c>
      <c r="CP31" s="475" t="e">
        <f t="shared" si="2"/>
        <v>#REF!</v>
      </c>
      <c r="CV31" s="475"/>
      <c r="CW31" s="57"/>
      <c r="CX31" s="467"/>
      <c r="CY31" s="358">
        <v>15</v>
      </c>
      <c r="CZ31" s="358">
        <v>3</v>
      </c>
      <c r="DA31" s="358">
        <v>1</v>
      </c>
      <c r="DB31" s="359">
        <v>19.899999999999999</v>
      </c>
      <c r="DC31" s="360">
        <v>-6.6</v>
      </c>
      <c r="DD31" s="360">
        <v>13.3</v>
      </c>
      <c r="DE31" s="361">
        <v>-3.8</v>
      </c>
      <c r="DF31" s="359">
        <v>-19.100000000000001</v>
      </c>
      <c r="DG31" s="360">
        <v>-12.4</v>
      </c>
      <c r="DH31" s="360">
        <v>-13.3</v>
      </c>
      <c r="DI31" s="362">
        <v>-9.5</v>
      </c>
      <c r="DJ31" s="359">
        <v>-26.7</v>
      </c>
      <c r="DK31" s="361">
        <v>-20.9</v>
      </c>
      <c r="DM31" s="334" t="s">
        <v>111</v>
      </c>
      <c r="DN31" s="363">
        <v>2</v>
      </c>
      <c r="DO31" s="364">
        <v>100</v>
      </c>
      <c r="DP31" s="355">
        <v>5.3</v>
      </c>
      <c r="DQ31" s="365">
        <v>-15.2</v>
      </c>
      <c r="DR31" s="355">
        <v>5.9</v>
      </c>
      <c r="DS31" s="365">
        <v>-17</v>
      </c>
      <c r="DT31" s="355">
        <v>7.3</v>
      </c>
      <c r="DU31" s="365">
        <v>-21</v>
      </c>
      <c r="DV31" s="355">
        <v>8.1</v>
      </c>
      <c r="DW31" s="365">
        <v>-23.2</v>
      </c>
      <c r="DX31" s="355">
        <v>8.9</v>
      </c>
      <c r="DY31" s="365">
        <v>-25.5</v>
      </c>
      <c r="DZ31" s="355">
        <v>10.5</v>
      </c>
      <c r="EA31" s="365">
        <v>-30.3</v>
      </c>
      <c r="EB31" s="355">
        <v>11.4</v>
      </c>
      <c r="EC31" s="365">
        <v>-32.9</v>
      </c>
      <c r="ED31" s="355">
        <v>12.4</v>
      </c>
      <c r="EE31" s="365">
        <v>-35.6</v>
      </c>
      <c r="EF31" s="355">
        <v>14.3</v>
      </c>
      <c r="EG31" s="365">
        <v>-41.2</v>
      </c>
      <c r="EH31" s="355">
        <v>15.4</v>
      </c>
      <c r="EI31" s="365">
        <v>-44.2</v>
      </c>
      <c r="EJ31" s="355">
        <v>16.5</v>
      </c>
      <c r="EK31" s="365">
        <v>-47.3</v>
      </c>
      <c r="EL31" s="355">
        <v>21.1</v>
      </c>
      <c r="EM31" s="365">
        <v>-60.8</v>
      </c>
      <c r="EO31" s="334" t="s">
        <v>122</v>
      </c>
      <c r="EP31" s="363">
        <v>2</v>
      </c>
      <c r="EQ31" s="364">
        <v>100</v>
      </c>
      <c r="ER31" s="355">
        <v>-22.2</v>
      </c>
      <c r="ES31" s="355">
        <v>-22.2</v>
      </c>
      <c r="ET31" s="355">
        <v>-27.4</v>
      </c>
      <c r="EU31" s="355">
        <v>-30.3</v>
      </c>
      <c r="EV31" s="355">
        <v>-33.200000000000003</v>
      </c>
      <c r="EW31" s="355">
        <v>-39.5</v>
      </c>
      <c r="EX31" s="355">
        <v>-43</v>
      </c>
      <c r="EY31" s="355">
        <v>-46.4</v>
      </c>
      <c r="EZ31" s="355">
        <v>-53.8</v>
      </c>
      <c r="FA31" s="511">
        <v>-57.8</v>
      </c>
      <c r="FB31" s="356">
        <v>-61.7</v>
      </c>
      <c r="FC31" s="366">
        <v>-79.3</v>
      </c>
    </row>
    <row r="32" spans="1:164" x14ac:dyDescent="0.2">
      <c r="A32" s="52"/>
      <c r="B32" s="65" t="s">
        <v>304</v>
      </c>
      <c r="C32" s="257"/>
      <c r="D32" s="257"/>
      <c r="E32" s="257"/>
      <c r="F32" s="257"/>
      <c r="G32" s="257"/>
      <c r="H32" s="63"/>
      <c r="I32" s="258" t="s">
        <v>301</v>
      </c>
      <c r="J32" s="57"/>
      <c r="L32" s="6" t="s">
        <v>17</v>
      </c>
      <c r="M32" s="200">
        <v>11</v>
      </c>
      <c r="N32" s="22"/>
      <c r="O32" s="250"/>
      <c r="P32" s="250">
        <v>2</v>
      </c>
      <c r="Q32" s="251">
        <v>14.4</v>
      </c>
      <c r="R32" s="252">
        <v>9.9</v>
      </c>
      <c r="S32" s="252">
        <v>11.5</v>
      </c>
      <c r="T32" s="253">
        <v>7.9</v>
      </c>
      <c r="U32" s="251">
        <v>5.6</v>
      </c>
      <c r="V32" s="252">
        <v>-4.3</v>
      </c>
      <c r="W32" s="252">
        <v>4.8</v>
      </c>
      <c r="X32" s="254">
        <v>-3.1</v>
      </c>
      <c r="Y32" s="251">
        <v>-5.0999999999999996</v>
      </c>
      <c r="Z32" s="253">
        <v>-5.8</v>
      </c>
      <c r="AA32" s="218">
        <v>22</v>
      </c>
      <c r="AB32" s="255"/>
      <c r="AC32" s="554"/>
      <c r="AD32" s="554"/>
      <c r="AE32" s="555"/>
      <c r="AF32" s="555"/>
      <c r="AG32" s="555"/>
      <c r="AH32" s="555"/>
      <c r="AI32" s="555"/>
      <c r="AJ32" s="555"/>
      <c r="AK32" s="555"/>
      <c r="AL32" s="555"/>
      <c r="AM32" s="556"/>
      <c r="AN32" s="233"/>
      <c r="AP32" s="21"/>
      <c r="AQ32" s="222">
        <v>3</v>
      </c>
      <c r="AR32" s="223">
        <v>50</v>
      </c>
      <c r="AS32" s="211">
        <v>6</v>
      </c>
      <c r="AT32" s="211">
        <v>6.7</v>
      </c>
      <c r="AU32" s="211">
        <v>8.1999999999999993</v>
      </c>
      <c r="AV32" s="211">
        <v>9.1</v>
      </c>
      <c r="AW32" s="211">
        <v>10</v>
      </c>
      <c r="AX32" s="211">
        <v>11.9</v>
      </c>
      <c r="AY32" s="211">
        <v>12.9</v>
      </c>
      <c r="AZ32" s="211">
        <v>13.9</v>
      </c>
      <c r="BA32" s="211">
        <v>16.100000000000001</v>
      </c>
      <c r="BB32" s="570">
        <v>17.3</v>
      </c>
      <c r="BC32" s="212">
        <v>18.5</v>
      </c>
      <c r="BD32" s="224">
        <v>23.8</v>
      </c>
      <c r="BE32" s="200" t="s">
        <v>22</v>
      </c>
      <c r="BF32" s="475" t="e">
        <f t="shared" si="0"/>
        <v>#REF!</v>
      </c>
      <c r="BH32" s="21"/>
      <c r="BI32" s="222">
        <v>3</v>
      </c>
      <c r="BJ32" s="223">
        <v>50</v>
      </c>
      <c r="BK32" s="211">
        <v>-26</v>
      </c>
      <c r="BL32" s="211">
        <v>-29.1</v>
      </c>
      <c r="BM32" s="211">
        <v>-36</v>
      </c>
      <c r="BN32" s="211">
        <v>-39.700000000000003</v>
      </c>
      <c r="BO32" s="211">
        <v>-43.5</v>
      </c>
      <c r="BP32" s="211">
        <v>-51.8</v>
      </c>
      <c r="BQ32" s="211">
        <v>-56.2</v>
      </c>
      <c r="BR32" s="211">
        <v>-60.8</v>
      </c>
      <c r="BS32" s="211">
        <v>-70.5</v>
      </c>
      <c r="BT32" s="570">
        <v>-75.7</v>
      </c>
      <c r="BU32" s="212">
        <v>-81</v>
      </c>
      <c r="BV32" s="224">
        <v>-104</v>
      </c>
      <c r="BW32" s="200" t="s">
        <v>22</v>
      </c>
      <c r="BX32" s="475" t="e">
        <f t="shared" si="1"/>
        <v>#REF!</v>
      </c>
      <c r="BY32" s="475"/>
      <c r="BZ32" s="21"/>
      <c r="CA32" s="222">
        <v>3</v>
      </c>
      <c r="CB32" s="223">
        <v>50</v>
      </c>
      <c r="CC32" s="211">
        <v>-23</v>
      </c>
      <c r="CD32" s="211">
        <v>-23</v>
      </c>
      <c r="CE32" s="211">
        <v>-28.4</v>
      </c>
      <c r="CF32" s="211">
        <v>-31.4</v>
      </c>
      <c r="CG32" s="211">
        <v>-34.299999999999997</v>
      </c>
      <c r="CH32" s="211">
        <v>-40.799999999999997</v>
      </c>
      <c r="CI32" s="211">
        <v>-44.4</v>
      </c>
      <c r="CJ32" s="211">
        <v>-47.9</v>
      </c>
      <c r="CK32" s="211">
        <v>-55.6</v>
      </c>
      <c r="CL32" s="570">
        <v>-59.7</v>
      </c>
      <c r="CM32" s="212">
        <v>-63.8</v>
      </c>
      <c r="CN32" s="224">
        <v>-82</v>
      </c>
      <c r="CO32" s="200" t="s">
        <v>22</v>
      </c>
      <c r="CP32" s="475" t="e">
        <f t="shared" si="2"/>
        <v>#REF!</v>
      </c>
      <c r="CV32" s="475"/>
      <c r="CW32" s="57"/>
      <c r="CX32" s="467">
        <v>100</v>
      </c>
      <c r="CY32" s="358">
        <v>20</v>
      </c>
      <c r="CZ32" s="358">
        <v>4</v>
      </c>
      <c r="DA32" s="358">
        <v>1</v>
      </c>
      <c r="DB32" s="359">
        <v>22</v>
      </c>
      <c r="DC32" s="360">
        <v>-5.8</v>
      </c>
      <c r="DD32" s="360">
        <v>14.6</v>
      </c>
      <c r="DE32" s="361">
        <v>-3.2</v>
      </c>
      <c r="DF32" s="359">
        <v>-19.100000000000001</v>
      </c>
      <c r="DG32" s="360">
        <v>-13.3</v>
      </c>
      <c r="DH32" s="360">
        <v>-13.3</v>
      </c>
      <c r="DI32" s="362">
        <v>-10.1</v>
      </c>
      <c r="DJ32" s="359">
        <v>-26.7</v>
      </c>
      <c r="DK32" s="361">
        <v>-20.9</v>
      </c>
      <c r="DM32" s="334"/>
      <c r="DN32" s="363">
        <v>3</v>
      </c>
      <c r="DO32" s="364">
        <v>10</v>
      </c>
      <c r="DP32" s="355">
        <v>7.5</v>
      </c>
      <c r="DQ32" s="365">
        <v>-30.6</v>
      </c>
      <c r="DR32" s="355">
        <v>8.4</v>
      </c>
      <c r="DS32" s="365">
        <v>-34.299999999999997</v>
      </c>
      <c r="DT32" s="355">
        <v>10.4</v>
      </c>
      <c r="DU32" s="365">
        <v>-42.4</v>
      </c>
      <c r="DV32" s="355">
        <v>11.4</v>
      </c>
      <c r="DW32" s="365">
        <v>-46.7</v>
      </c>
      <c r="DX32" s="355">
        <v>12.5</v>
      </c>
      <c r="DY32" s="365">
        <v>-51.3</v>
      </c>
      <c r="DZ32" s="355">
        <v>14.9</v>
      </c>
      <c r="EA32" s="365">
        <v>-61</v>
      </c>
      <c r="EB32" s="355">
        <v>16.2</v>
      </c>
      <c r="EC32" s="365">
        <v>-66.2</v>
      </c>
      <c r="ED32" s="355">
        <v>17.5</v>
      </c>
      <c r="EE32" s="365">
        <v>-71.599999999999994</v>
      </c>
      <c r="EF32" s="355">
        <v>20.3</v>
      </c>
      <c r="EG32" s="365">
        <v>-83.1</v>
      </c>
      <c r="EH32" s="355">
        <v>21.8</v>
      </c>
      <c r="EI32" s="365">
        <v>-89.1</v>
      </c>
      <c r="EJ32" s="355">
        <v>23.3</v>
      </c>
      <c r="EK32" s="365">
        <v>-95.4</v>
      </c>
      <c r="EL32" s="355">
        <v>30</v>
      </c>
      <c r="EM32" s="365">
        <v>-122.5</v>
      </c>
      <c r="EO32" s="334" t="s">
        <v>111</v>
      </c>
      <c r="EP32" s="363">
        <v>3</v>
      </c>
      <c r="EQ32" s="364">
        <v>10</v>
      </c>
      <c r="ER32" s="355">
        <v>-24.7</v>
      </c>
      <c r="ES32" s="355">
        <v>-24.7</v>
      </c>
      <c r="ET32" s="355">
        <v>-30.5</v>
      </c>
      <c r="EU32" s="355">
        <v>-33.700000000000003</v>
      </c>
      <c r="EV32" s="355">
        <v>-36.9</v>
      </c>
      <c r="EW32" s="355">
        <v>-43.9</v>
      </c>
      <c r="EX32" s="355">
        <v>-47.7</v>
      </c>
      <c r="EY32" s="355">
        <v>-51.5</v>
      </c>
      <c r="EZ32" s="355">
        <v>-59.8</v>
      </c>
      <c r="FA32" s="511">
        <v>-64.2</v>
      </c>
      <c r="FB32" s="356">
        <v>-68.599999999999994</v>
      </c>
      <c r="FC32" s="366">
        <v>-88.1</v>
      </c>
    </row>
    <row r="33" spans="1:159" x14ac:dyDescent="0.2">
      <c r="A33" s="52"/>
      <c r="B33" s="259" t="s">
        <v>19</v>
      </c>
      <c r="C33" s="264"/>
      <c r="D33" s="63"/>
      <c r="E33" s="266" t="s">
        <v>177</v>
      </c>
      <c r="F33" s="260" t="s">
        <v>23</v>
      </c>
      <c r="G33" s="410" t="s">
        <v>126</v>
      </c>
      <c r="H33" s="410" t="s">
        <v>128</v>
      </c>
      <c r="I33" s="258" t="s">
        <v>302</v>
      </c>
      <c r="J33" s="57"/>
      <c r="L33" s="6" t="s">
        <v>284</v>
      </c>
      <c r="M33" s="200">
        <v>1</v>
      </c>
      <c r="N33" s="197"/>
      <c r="O33" s="205">
        <v>0</v>
      </c>
      <c r="P33" s="205">
        <v>1</v>
      </c>
      <c r="Q33" s="206">
        <v>15.9</v>
      </c>
      <c r="R33" s="215">
        <v>-8.1999999999999993</v>
      </c>
      <c r="S33" s="215">
        <v>10.5</v>
      </c>
      <c r="T33" s="216">
        <v>-4.9000000000000004</v>
      </c>
      <c r="U33" s="206">
        <v>-19.100000000000001</v>
      </c>
      <c r="V33" s="215">
        <v>-10.8</v>
      </c>
      <c r="W33" s="215">
        <v>-13.3</v>
      </c>
      <c r="X33" s="217">
        <v>-8.4</v>
      </c>
      <c r="Y33" s="206">
        <v>-26.7</v>
      </c>
      <c r="Z33" s="216">
        <v>-20.9</v>
      </c>
      <c r="AA33" s="218">
        <v>23</v>
      </c>
      <c r="AB33" s="219"/>
      <c r="AC33" s="220" t="e">
        <f>IF($C$8=$N38,VLOOKUP(MATCH($AD$6,$O33:$O43,1),$M33:$Z43,3),"")</f>
        <v>#REF!</v>
      </c>
      <c r="AD33" s="220" t="e">
        <f>IF($C$8=$N38,VLOOKUP(MATCH($AD$6,$O33:$O43,1),$M33:$Z43,5),"")</f>
        <v>#REF!</v>
      </c>
      <c r="AE33" s="220" t="e">
        <f>IF($C$8=$N38,VLOOKUP(MATCH($AD$6,$O33:$O43,1),$M33:$Z43,6),"")</f>
        <v>#REF!</v>
      </c>
      <c r="AF33" s="220" t="e">
        <f>IF($C$8=$N38,VLOOKUP(MATCH($AD$6,$O33:$O43,1),$M33:$Z43,7),"")</f>
        <v>#REF!</v>
      </c>
      <c r="AG33" s="220" t="e">
        <f>IF($C$8=$N38,VLOOKUP(MATCH($AD$6,$O33:$O43,1),$M33:$Z43,8),"")</f>
        <v>#REF!</v>
      </c>
      <c r="AH33" s="220" t="e">
        <f>IF($C$8=$N38,VLOOKUP(MATCH($AD$6,$O33:$O43,1),$M33:$Z43,9),"")</f>
        <v>#REF!</v>
      </c>
      <c r="AI33" s="220" t="e">
        <f>IF($C$8=$N38,VLOOKUP(MATCH($AD$6,$O33:$O43,1),$M33:$Z43,10),"")</f>
        <v>#REF!</v>
      </c>
      <c r="AJ33" s="220" t="e">
        <f>IF($C$8=$N38,VLOOKUP(MATCH($AD$6,$O33:$O43,1),$M33:$Z43,11),"")</f>
        <v>#REF!</v>
      </c>
      <c r="AK33" s="220" t="e">
        <f>IF($C$8=$N38,VLOOKUP(MATCH($AD$6,$O33:$O43,1),$M33:$Z43,12),"")</f>
        <v>#REF!</v>
      </c>
      <c r="AL33" s="220" t="e">
        <f>IF($C$8=$N38,VLOOKUP(MATCH($AD$6,$O33:$O43,1),$M33:$Z43,13),"")</f>
        <v>#REF!</v>
      </c>
      <c r="AM33" s="221" t="e">
        <f>IF($C$8=$N38,VLOOKUP(MATCH($AD$6,$O33:$O43,1),$M33:$Z43,14),"")</f>
        <v>#REF!</v>
      </c>
      <c r="AN33" s="19"/>
      <c r="AP33" s="22"/>
      <c r="AQ33" s="244">
        <v>3</v>
      </c>
      <c r="AR33" s="245">
        <v>100</v>
      </c>
      <c r="AS33" s="246">
        <v>5.3</v>
      </c>
      <c r="AT33" s="246">
        <v>5.9</v>
      </c>
      <c r="AU33" s="246">
        <v>7.3</v>
      </c>
      <c r="AV33" s="246">
        <v>8.1</v>
      </c>
      <c r="AW33" s="246">
        <v>8.9</v>
      </c>
      <c r="AX33" s="246">
        <v>10.5</v>
      </c>
      <c r="AY33" s="246">
        <v>11.4</v>
      </c>
      <c r="AZ33" s="246">
        <v>12.4</v>
      </c>
      <c r="BA33" s="246">
        <v>14.3</v>
      </c>
      <c r="BB33" s="571">
        <v>15.4</v>
      </c>
      <c r="BC33" s="247">
        <v>16.5</v>
      </c>
      <c r="BD33" s="248">
        <v>21.1</v>
      </c>
      <c r="BE33" s="200" t="s">
        <v>22</v>
      </c>
      <c r="BF33" s="475" t="e">
        <f t="shared" si="0"/>
        <v>#REF!</v>
      </c>
      <c r="BH33" s="22"/>
      <c r="BI33" s="244">
        <v>3</v>
      </c>
      <c r="BJ33" s="245">
        <v>100</v>
      </c>
      <c r="BK33" s="246">
        <v>-24</v>
      </c>
      <c r="BL33" s="246">
        <v>-26.9</v>
      </c>
      <c r="BM33" s="246">
        <v>-33.200000000000003</v>
      </c>
      <c r="BN33" s="246">
        <v>-36.6</v>
      </c>
      <c r="BO33" s="246">
        <v>-40.200000000000003</v>
      </c>
      <c r="BP33" s="246">
        <v>-47.9</v>
      </c>
      <c r="BQ33" s="246">
        <v>-51.9</v>
      </c>
      <c r="BR33" s="246">
        <v>-56.2</v>
      </c>
      <c r="BS33" s="246">
        <v>-65.099999999999994</v>
      </c>
      <c r="BT33" s="571">
        <v>-69.900000000000006</v>
      </c>
      <c r="BU33" s="247">
        <v>-74.8</v>
      </c>
      <c r="BV33" s="248">
        <v>-96</v>
      </c>
      <c r="BW33" s="200" t="s">
        <v>22</v>
      </c>
      <c r="BX33" s="475" t="e">
        <f t="shared" si="1"/>
        <v>#REF!</v>
      </c>
      <c r="BY33" s="475"/>
      <c r="BZ33" s="22"/>
      <c r="CA33" s="244">
        <v>3</v>
      </c>
      <c r="CB33" s="245">
        <v>100</v>
      </c>
      <c r="CC33" s="246">
        <v>-22.2</v>
      </c>
      <c r="CD33" s="246">
        <v>-22.2</v>
      </c>
      <c r="CE33" s="246">
        <v>-24.4</v>
      </c>
      <c r="CF33" s="246">
        <v>-28.8</v>
      </c>
      <c r="CG33" s="246">
        <v>-33.200000000000003</v>
      </c>
      <c r="CH33" s="246">
        <v>-39.5</v>
      </c>
      <c r="CI33" s="246">
        <v>-43</v>
      </c>
      <c r="CJ33" s="246">
        <v>-46.4</v>
      </c>
      <c r="CK33" s="246">
        <v>-53.8</v>
      </c>
      <c r="CL33" s="571">
        <v>-57.8</v>
      </c>
      <c r="CM33" s="247">
        <v>-61.7</v>
      </c>
      <c r="CN33" s="248">
        <v>-79.3</v>
      </c>
      <c r="CO33" s="200" t="s">
        <v>22</v>
      </c>
      <c r="CP33" s="475" t="e">
        <f t="shared" si="2"/>
        <v>#REF!</v>
      </c>
      <c r="CQ33" s="13"/>
      <c r="CR33" s="13"/>
      <c r="CS33" s="13"/>
      <c r="CT33" s="13"/>
      <c r="CU33" s="13"/>
      <c r="CW33" s="57"/>
      <c r="CX33" s="467"/>
      <c r="CY33" s="367">
        <v>25</v>
      </c>
      <c r="CZ33" s="367">
        <v>6</v>
      </c>
      <c r="DA33" s="367">
        <v>1</v>
      </c>
      <c r="DB33" s="368">
        <v>19.899999999999999</v>
      </c>
      <c r="DC33" s="369">
        <v>3.2</v>
      </c>
      <c r="DD33" s="369">
        <v>14.4</v>
      </c>
      <c r="DE33" s="370">
        <v>3.3</v>
      </c>
      <c r="DF33" s="368">
        <v>-8.8000000000000007</v>
      </c>
      <c r="DG33" s="369">
        <v>-12</v>
      </c>
      <c r="DH33" s="369">
        <v>-6.4</v>
      </c>
      <c r="DI33" s="371">
        <v>-9.6999999999999993</v>
      </c>
      <c r="DJ33" s="368">
        <v>-16.5</v>
      </c>
      <c r="DK33" s="370">
        <v>-14</v>
      </c>
      <c r="DM33" s="334"/>
      <c r="DN33" s="363">
        <v>3</v>
      </c>
      <c r="DO33" s="364">
        <v>20</v>
      </c>
      <c r="DP33" s="355">
        <v>6.8</v>
      </c>
      <c r="DQ33" s="365">
        <v>-28.6</v>
      </c>
      <c r="DR33" s="355">
        <v>7.7</v>
      </c>
      <c r="DS33" s="365">
        <v>-32.1</v>
      </c>
      <c r="DT33" s="355">
        <v>9.4</v>
      </c>
      <c r="DU33" s="365">
        <v>-39.6</v>
      </c>
      <c r="DV33" s="355">
        <v>10.4</v>
      </c>
      <c r="DW33" s="365">
        <v>-43.7</v>
      </c>
      <c r="DX33" s="355">
        <v>11.4</v>
      </c>
      <c r="DY33" s="365">
        <v>-47.9</v>
      </c>
      <c r="DZ33" s="355">
        <v>13.6</v>
      </c>
      <c r="EA33" s="365">
        <v>-57.1</v>
      </c>
      <c r="EB33" s="355">
        <v>14.8</v>
      </c>
      <c r="EC33" s="365">
        <v>-61.9</v>
      </c>
      <c r="ED33" s="355">
        <v>16</v>
      </c>
      <c r="EE33" s="365">
        <v>-67</v>
      </c>
      <c r="EF33" s="355">
        <v>18.5</v>
      </c>
      <c r="EG33" s="365">
        <v>-77.7</v>
      </c>
      <c r="EH33" s="355">
        <v>19.899999999999999</v>
      </c>
      <c r="EI33" s="365">
        <v>-83.3</v>
      </c>
      <c r="EJ33" s="355">
        <v>21.3</v>
      </c>
      <c r="EK33" s="365">
        <v>-89.2</v>
      </c>
      <c r="EL33" s="355">
        <v>27.3</v>
      </c>
      <c r="EM33" s="365">
        <v>-114.5</v>
      </c>
      <c r="EO33" s="334"/>
      <c r="EP33" s="363">
        <v>3</v>
      </c>
      <c r="EQ33" s="364">
        <v>20</v>
      </c>
      <c r="ER33" s="355">
        <v>-24</v>
      </c>
      <c r="ES33" s="355">
        <v>-24</v>
      </c>
      <c r="ET33" s="355">
        <v>-29.6</v>
      </c>
      <c r="EU33" s="355">
        <v>-32.700000000000003</v>
      </c>
      <c r="EV33" s="355">
        <v>-35.799999999999997</v>
      </c>
      <c r="EW33" s="355">
        <v>-42.6</v>
      </c>
      <c r="EX33" s="355">
        <v>-46.3</v>
      </c>
      <c r="EY33" s="355">
        <v>-50</v>
      </c>
      <c r="EZ33" s="355">
        <v>-58</v>
      </c>
      <c r="FA33" s="511">
        <v>-62.3</v>
      </c>
      <c r="FB33" s="356">
        <v>-66.5</v>
      </c>
      <c r="FC33" s="366">
        <v>-85.5</v>
      </c>
    </row>
    <row r="34" spans="1:159" x14ac:dyDescent="0.2">
      <c r="A34" s="52"/>
      <c r="B34" s="430" t="s">
        <v>124</v>
      </c>
      <c r="C34" s="431"/>
      <c r="D34" s="432"/>
      <c r="E34" s="424" t="s">
        <v>178</v>
      </c>
      <c r="F34" s="411" t="s">
        <v>46</v>
      </c>
      <c r="G34" s="405" t="e">
        <f>$D$28*$C$16*$D$29*$AD$143</f>
        <v>#REF!</v>
      </c>
      <c r="H34" s="405" t="e">
        <f>IF(AND($AD$6&gt;=25,$AD$6&lt;=45),$D$28*$C$16*$D$29*$AD$144,"---")</f>
        <v>#REF!</v>
      </c>
      <c r="J34" s="57"/>
      <c r="M34" s="200">
        <v>2</v>
      </c>
      <c r="N34" s="21"/>
      <c r="O34" s="223">
        <v>5</v>
      </c>
      <c r="P34" s="223">
        <v>1</v>
      </c>
      <c r="Q34" s="211">
        <v>15.9</v>
      </c>
      <c r="R34" s="226">
        <v>-8.1999999999999993</v>
      </c>
      <c r="S34" s="226">
        <v>10.5</v>
      </c>
      <c r="T34" s="227">
        <v>-4.9000000000000004</v>
      </c>
      <c r="U34" s="211">
        <v>-19.100000000000001</v>
      </c>
      <c r="V34" s="226">
        <v>-10.8</v>
      </c>
      <c r="W34" s="226">
        <v>-13.3</v>
      </c>
      <c r="X34" s="228">
        <v>-8.4</v>
      </c>
      <c r="Y34" s="211">
        <v>-26.7</v>
      </c>
      <c r="Z34" s="227">
        <v>-20.9</v>
      </c>
      <c r="AA34" s="218">
        <v>24</v>
      </c>
      <c r="AB34" s="229"/>
      <c r="AC34" s="230" t="e">
        <f>IF($C$8=$N38,VLOOKUP(MATCH($AD$6,$O33:$O43,1)+IF($AD$6&lt;25,1,2),$M33:$Z43,3),"")</f>
        <v>#REF!</v>
      </c>
      <c r="AD34" s="230" t="e">
        <f>IF($C$8=$N38,VLOOKUP(MATCH($AD$6,$O33:$O43,1)+IF($AD$6&lt;25,1,2),$M33:$Z43,5),"")</f>
        <v>#REF!</v>
      </c>
      <c r="AE34" s="230" t="e">
        <f>IF($C$8=$N38,VLOOKUP(MATCH($AD$6,$O33:$O43,1)+IF($AD$6&lt;25,1,2),$M33:$Z43,6),"")</f>
        <v>#REF!</v>
      </c>
      <c r="AF34" s="230" t="e">
        <f>IF($C$8=$N38,VLOOKUP(MATCH($AD$6,$O33:$O43,1)+IF($AD$6&lt;25,1,2),$M33:$Z43,7),"")</f>
        <v>#REF!</v>
      </c>
      <c r="AG34" s="230" t="e">
        <f>IF($C$8=$N38,VLOOKUP(MATCH($AD$6,$O33:$O43,1)+IF($AD$6&lt;25,1,2),$M33:$Z43,8),"")</f>
        <v>#REF!</v>
      </c>
      <c r="AH34" s="230" t="e">
        <f>IF($C$8=$N38,VLOOKUP(MATCH($AD$6,$O33:$O43,1)+IF($AD$6&lt;25,1,2),$M33:$Z43,9),"")</f>
        <v>#REF!</v>
      </c>
      <c r="AI34" s="230" t="e">
        <f>IF($C$8=$N38,VLOOKUP(MATCH($AD$6,$O33:$O43,1)+IF($AD$6&lt;25,1,2),$M33:$Z43,10),"")</f>
        <v>#REF!</v>
      </c>
      <c r="AJ34" s="230" t="e">
        <f>IF($C$8=$N38,VLOOKUP(MATCH($AD$6,$O33:$O43,1)+IF($AD$6&lt;25,1,2),$M33:$Z43,11),"")</f>
        <v>#REF!</v>
      </c>
      <c r="AK34" s="230" t="e">
        <f>IF($C$8=$N38,VLOOKUP(MATCH($AD$6,$O33:$O43,1)+IF($AD$6&lt;25,1,2),$M33:$Z43,12),"")</f>
        <v>#REF!</v>
      </c>
      <c r="AL34" s="230" t="e">
        <f>IF($C$8=$N38,VLOOKUP(MATCH($AD$6,$O33:$O43,1)+IF($AD$6&lt;25,1,2),$M33:$Z43,13),"")</f>
        <v>#REF!</v>
      </c>
      <c r="AM34" s="231" t="e">
        <f>IF($C$8=$N38,VLOOKUP(MATCH($AD$6,$O33:$O43,1)+IF($AD$6&lt;25,1,2),$M33:$Z43,14),"")</f>
        <v>#REF!</v>
      </c>
      <c r="AN34" s="19"/>
      <c r="AP34" s="197"/>
      <c r="AQ34" s="204">
        <v>1</v>
      </c>
      <c r="AR34" s="205">
        <v>10</v>
      </c>
      <c r="AS34" s="206">
        <v>11.9</v>
      </c>
      <c r="AT34" s="206">
        <v>13.3</v>
      </c>
      <c r="AU34" s="206">
        <v>16.5</v>
      </c>
      <c r="AV34" s="206">
        <v>18.2</v>
      </c>
      <c r="AW34" s="206">
        <v>19.899999999999999</v>
      </c>
      <c r="AX34" s="206">
        <v>23.7</v>
      </c>
      <c r="AY34" s="206">
        <v>25.7</v>
      </c>
      <c r="AZ34" s="206">
        <v>27.8</v>
      </c>
      <c r="BA34" s="206">
        <v>32.299999999999997</v>
      </c>
      <c r="BB34" s="569">
        <v>34.6</v>
      </c>
      <c r="BC34" s="207">
        <v>37</v>
      </c>
      <c r="BD34" s="208">
        <v>47.6</v>
      </c>
      <c r="BE34" s="200" t="s">
        <v>22</v>
      </c>
      <c r="BF34" s="475" t="e">
        <f t="shared" si="0"/>
        <v>#REF!</v>
      </c>
      <c r="BH34" s="197"/>
      <c r="BI34" s="204">
        <v>1</v>
      </c>
      <c r="BJ34" s="205">
        <v>10</v>
      </c>
      <c r="BK34" s="206">
        <v>-13</v>
      </c>
      <c r="BL34" s="206">
        <v>-14.6</v>
      </c>
      <c r="BM34" s="206">
        <v>-18</v>
      </c>
      <c r="BN34" s="206">
        <v>-19.8</v>
      </c>
      <c r="BO34" s="206">
        <v>-21.8</v>
      </c>
      <c r="BP34" s="206">
        <v>-25.9</v>
      </c>
      <c r="BQ34" s="206">
        <v>-28.1</v>
      </c>
      <c r="BR34" s="206">
        <v>-30.4</v>
      </c>
      <c r="BS34" s="206">
        <v>-35.299999999999997</v>
      </c>
      <c r="BT34" s="569">
        <v>-37.799999999999997</v>
      </c>
      <c r="BU34" s="207">
        <v>-40.5</v>
      </c>
      <c r="BV34" s="208">
        <v>-52</v>
      </c>
      <c r="BW34" s="200" t="s">
        <v>22</v>
      </c>
      <c r="BX34" s="475" t="e">
        <f t="shared" si="1"/>
        <v>#REF!</v>
      </c>
      <c r="BY34" s="475"/>
      <c r="BZ34" s="261"/>
      <c r="CA34" s="262"/>
      <c r="CB34" s="262"/>
      <c r="CC34" s="263"/>
      <c r="CD34" s="263"/>
      <c r="CE34" s="263"/>
      <c r="CF34" s="263"/>
      <c r="CG34" s="263"/>
      <c r="CH34" s="263"/>
      <c r="CI34" s="263"/>
      <c r="CJ34" s="263"/>
      <c r="CK34" s="263"/>
      <c r="CL34" s="263"/>
      <c r="CM34" s="263"/>
      <c r="CN34" s="263"/>
      <c r="CO34" s="475"/>
      <c r="CQ34" s="13"/>
      <c r="CT34" s="13"/>
      <c r="CU34" s="13"/>
      <c r="CW34" s="57"/>
      <c r="CX34" s="467"/>
      <c r="CY34" s="372"/>
      <c r="CZ34" s="372"/>
      <c r="DA34" s="372">
        <v>2</v>
      </c>
      <c r="DB34" s="373" t="s">
        <v>145</v>
      </c>
      <c r="DC34" s="374" t="s">
        <v>145</v>
      </c>
      <c r="DD34" s="374" t="s">
        <v>145</v>
      </c>
      <c r="DE34" s="375" t="s">
        <v>145</v>
      </c>
      <c r="DF34" s="376">
        <v>-3.4</v>
      </c>
      <c r="DG34" s="377">
        <v>-6.6</v>
      </c>
      <c r="DH34" s="377">
        <v>-0.9</v>
      </c>
      <c r="DI34" s="378">
        <v>-4.2</v>
      </c>
      <c r="DJ34" s="373" t="s">
        <v>145</v>
      </c>
      <c r="DK34" s="375" t="s">
        <v>145</v>
      </c>
      <c r="DM34" s="334"/>
      <c r="DN34" s="363">
        <v>3</v>
      </c>
      <c r="DO34" s="364">
        <v>50</v>
      </c>
      <c r="DP34" s="355">
        <v>6</v>
      </c>
      <c r="DQ34" s="365">
        <v>-26</v>
      </c>
      <c r="DR34" s="355">
        <v>6.7</v>
      </c>
      <c r="DS34" s="365">
        <v>-29.1</v>
      </c>
      <c r="DT34" s="355">
        <v>8.1999999999999993</v>
      </c>
      <c r="DU34" s="365">
        <v>-36</v>
      </c>
      <c r="DV34" s="355">
        <v>9.1</v>
      </c>
      <c r="DW34" s="365">
        <v>-39.700000000000003</v>
      </c>
      <c r="DX34" s="355">
        <v>10</v>
      </c>
      <c r="DY34" s="365">
        <v>-43.5</v>
      </c>
      <c r="DZ34" s="355">
        <v>11.9</v>
      </c>
      <c r="EA34" s="365">
        <v>-51.8</v>
      </c>
      <c r="EB34" s="355">
        <v>12.9</v>
      </c>
      <c r="EC34" s="365">
        <v>-56.2</v>
      </c>
      <c r="ED34" s="355">
        <v>13.9</v>
      </c>
      <c r="EE34" s="365">
        <v>-60.8</v>
      </c>
      <c r="EF34" s="355">
        <v>16.100000000000001</v>
      </c>
      <c r="EG34" s="365">
        <v>-70.5</v>
      </c>
      <c r="EH34" s="355">
        <v>17.3</v>
      </c>
      <c r="EI34" s="365">
        <v>-75.7</v>
      </c>
      <c r="EJ34" s="355">
        <v>18.5</v>
      </c>
      <c r="EK34" s="365">
        <v>-81</v>
      </c>
      <c r="EL34" s="355">
        <v>23.8</v>
      </c>
      <c r="EM34" s="365">
        <v>-104</v>
      </c>
      <c r="EO34" s="334"/>
      <c r="EP34" s="363">
        <v>3</v>
      </c>
      <c r="EQ34" s="364">
        <v>50</v>
      </c>
      <c r="ER34" s="355">
        <v>-23</v>
      </c>
      <c r="ES34" s="355">
        <v>-23</v>
      </c>
      <c r="ET34" s="355">
        <v>-28.4</v>
      </c>
      <c r="EU34" s="355">
        <v>-31.4</v>
      </c>
      <c r="EV34" s="355">
        <v>-34.299999999999997</v>
      </c>
      <c r="EW34" s="355">
        <v>-40.799999999999997</v>
      </c>
      <c r="EX34" s="355">
        <v>-44.4</v>
      </c>
      <c r="EY34" s="355">
        <v>-47.9</v>
      </c>
      <c r="EZ34" s="355">
        <v>-55.6</v>
      </c>
      <c r="FA34" s="511">
        <v>-59.7</v>
      </c>
      <c r="FB34" s="356">
        <v>-63.8</v>
      </c>
      <c r="FC34" s="366">
        <v>-82</v>
      </c>
    </row>
    <row r="35" spans="1:159" x14ac:dyDescent="0.2">
      <c r="A35" s="52"/>
      <c r="B35" s="433" t="s">
        <v>125</v>
      </c>
      <c r="C35" s="434"/>
      <c r="D35" s="435"/>
      <c r="E35" s="425" t="s">
        <v>178</v>
      </c>
      <c r="F35" s="412" t="s">
        <v>13</v>
      </c>
      <c r="G35" s="403" t="e">
        <f>IF($D$28*$C$16*$D$29*$AE$143&gt;=0,$D$28*$C$16*$D$29*$AE$143,0)</f>
        <v>#REF!</v>
      </c>
      <c r="H35" s="403" t="e">
        <f>IF(AND($AD$6&gt;=25,$AD$6&lt;=45),$D$28*$C$16*$D$29*$AE$144,"---")</f>
        <v>#REF!</v>
      </c>
      <c r="I35" s="416"/>
      <c r="J35" s="417"/>
      <c r="M35" s="200">
        <v>3</v>
      </c>
      <c r="N35" s="21"/>
      <c r="O35" s="223">
        <v>10</v>
      </c>
      <c r="P35" s="223">
        <v>1</v>
      </c>
      <c r="Q35" s="211">
        <v>17.899999999999999</v>
      </c>
      <c r="R35" s="226">
        <v>-7.4</v>
      </c>
      <c r="S35" s="226">
        <v>11.9</v>
      </c>
      <c r="T35" s="227">
        <v>-4.3</v>
      </c>
      <c r="U35" s="211">
        <v>-19.100000000000001</v>
      </c>
      <c r="V35" s="226">
        <v>-11.6</v>
      </c>
      <c r="W35" s="226">
        <v>-13.3</v>
      </c>
      <c r="X35" s="228">
        <v>-8.9</v>
      </c>
      <c r="Y35" s="211">
        <v>-26.7</v>
      </c>
      <c r="Z35" s="227">
        <v>-20.9</v>
      </c>
      <c r="AA35" s="218">
        <v>25</v>
      </c>
      <c r="AB35" s="229" t="e">
        <f>IF($C$8=$N38,MATCH($AD$6,$O33:$O43,1),0)</f>
        <v>#REF!</v>
      </c>
      <c r="AC35" s="230" t="e">
        <f>IF($C$8=$N38,$AD$6,"")</f>
        <v>#REF!</v>
      </c>
      <c r="AD35" s="230" t="e">
        <f t="shared" ref="AD35:AM35" si="7">IF($C$8=$N38,(AD34-AD33)*($AD$6-$AC33)/($AC34-$AC33)+AD33,"")</f>
        <v>#REF!</v>
      </c>
      <c r="AE35" s="230" t="e">
        <f t="shared" si="7"/>
        <v>#REF!</v>
      </c>
      <c r="AF35" s="230" t="e">
        <f t="shared" si="7"/>
        <v>#REF!</v>
      </c>
      <c r="AG35" s="230" t="e">
        <f t="shared" si="7"/>
        <v>#REF!</v>
      </c>
      <c r="AH35" s="230" t="e">
        <f t="shared" si="7"/>
        <v>#REF!</v>
      </c>
      <c r="AI35" s="230" t="e">
        <f t="shared" si="7"/>
        <v>#REF!</v>
      </c>
      <c r="AJ35" s="230" t="e">
        <f t="shared" si="7"/>
        <v>#REF!</v>
      </c>
      <c r="AK35" s="230" t="e">
        <f t="shared" si="7"/>
        <v>#REF!</v>
      </c>
      <c r="AL35" s="230" t="e">
        <f t="shared" si="7"/>
        <v>#REF!</v>
      </c>
      <c r="AM35" s="231" t="e">
        <f t="shared" si="7"/>
        <v>#REF!</v>
      </c>
      <c r="AN35" s="19"/>
      <c r="AP35" s="21"/>
      <c r="AQ35" s="222">
        <v>1</v>
      </c>
      <c r="AR35" s="223">
        <v>20</v>
      </c>
      <c r="AS35" s="211">
        <v>11.6</v>
      </c>
      <c r="AT35" s="211">
        <v>13</v>
      </c>
      <c r="AU35" s="211">
        <v>16</v>
      </c>
      <c r="AV35" s="211">
        <v>17.600000000000001</v>
      </c>
      <c r="AW35" s="211">
        <v>19.399999999999999</v>
      </c>
      <c r="AX35" s="211">
        <v>23</v>
      </c>
      <c r="AY35" s="211">
        <v>25</v>
      </c>
      <c r="AZ35" s="211">
        <v>27</v>
      </c>
      <c r="BA35" s="211">
        <v>31.4</v>
      </c>
      <c r="BB35" s="570">
        <v>33.700000000000003</v>
      </c>
      <c r="BC35" s="212">
        <v>36</v>
      </c>
      <c r="BD35" s="224">
        <v>46.3</v>
      </c>
      <c r="BE35" s="200" t="s">
        <v>22</v>
      </c>
      <c r="BF35" s="475" t="e">
        <f t="shared" si="0"/>
        <v>#REF!</v>
      </c>
      <c r="BH35" s="21"/>
      <c r="BI35" s="222">
        <v>1</v>
      </c>
      <c r="BJ35" s="223">
        <v>20</v>
      </c>
      <c r="BK35" s="211">
        <v>-12.3</v>
      </c>
      <c r="BL35" s="211">
        <v>-13.8</v>
      </c>
      <c r="BM35" s="211">
        <v>-17.100000000000001</v>
      </c>
      <c r="BN35" s="211">
        <v>-18.8</v>
      </c>
      <c r="BO35" s="211">
        <v>-20.7</v>
      </c>
      <c r="BP35" s="211">
        <v>-24.6</v>
      </c>
      <c r="BQ35" s="211">
        <v>-26.7</v>
      </c>
      <c r="BR35" s="211">
        <v>-28.9</v>
      </c>
      <c r="BS35" s="211">
        <v>-33.5</v>
      </c>
      <c r="BT35" s="570">
        <v>-35.9</v>
      </c>
      <c r="BU35" s="212">
        <v>-38.4</v>
      </c>
      <c r="BV35" s="224">
        <v>-49.3</v>
      </c>
      <c r="BW35" s="200" t="s">
        <v>22</v>
      </c>
      <c r="BX35" s="475" t="e">
        <f t="shared" si="1"/>
        <v>#REF!</v>
      </c>
      <c r="BY35" s="475"/>
      <c r="BZ35" s="261"/>
      <c r="CA35" s="262"/>
      <c r="CB35" s="262"/>
      <c r="CC35" s="263"/>
      <c r="CD35" s="263"/>
      <c r="CE35" s="263"/>
      <c r="CF35" s="263"/>
      <c r="CG35" s="263"/>
      <c r="CH35" s="263"/>
      <c r="CI35" s="263"/>
      <c r="CJ35" s="263"/>
      <c r="CK35" s="263"/>
      <c r="CL35" s="263"/>
      <c r="CM35" s="263"/>
      <c r="CN35" s="263"/>
      <c r="CO35" s="475"/>
      <c r="CQ35" s="13"/>
      <c r="CT35" s="13"/>
      <c r="CU35" s="13"/>
      <c r="CW35" s="57"/>
      <c r="CX35" s="467"/>
      <c r="CY35" s="367" t="s">
        <v>164</v>
      </c>
      <c r="CZ35" s="367" t="s">
        <v>166</v>
      </c>
      <c r="DA35" s="367">
        <v>1</v>
      </c>
      <c r="DB35" s="368">
        <v>17.8</v>
      </c>
      <c r="DC35" s="369">
        <v>12.2</v>
      </c>
      <c r="DD35" s="369">
        <v>14.2</v>
      </c>
      <c r="DE35" s="370">
        <v>9.8000000000000007</v>
      </c>
      <c r="DF35" s="368">
        <v>1.4</v>
      </c>
      <c r="DG35" s="369">
        <v>-10.8</v>
      </c>
      <c r="DH35" s="369">
        <v>0.5</v>
      </c>
      <c r="DI35" s="371">
        <v>-9.3000000000000007</v>
      </c>
      <c r="DJ35" s="368">
        <v>-6.3</v>
      </c>
      <c r="DK35" s="370">
        <v>-7.2</v>
      </c>
      <c r="DM35" s="341"/>
      <c r="DN35" s="379">
        <v>3</v>
      </c>
      <c r="DO35" s="380">
        <v>100</v>
      </c>
      <c r="DP35" s="381">
        <v>5.3</v>
      </c>
      <c r="DQ35" s="392">
        <v>-24</v>
      </c>
      <c r="DR35" s="381">
        <v>5.9</v>
      </c>
      <c r="DS35" s="392">
        <v>-26.9</v>
      </c>
      <c r="DT35" s="381">
        <v>7.3</v>
      </c>
      <c r="DU35" s="392">
        <v>-33.200000000000003</v>
      </c>
      <c r="DV35" s="381">
        <v>8.1</v>
      </c>
      <c r="DW35" s="392">
        <v>-36.6</v>
      </c>
      <c r="DX35" s="381">
        <v>8.9</v>
      </c>
      <c r="DY35" s="392">
        <v>-40.200000000000003</v>
      </c>
      <c r="DZ35" s="381">
        <v>10.5</v>
      </c>
      <c r="EA35" s="392">
        <v>-47.9</v>
      </c>
      <c r="EB35" s="381">
        <v>11.4</v>
      </c>
      <c r="EC35" s="392">
        <v>-51.9</v>
      </c>
      <c r="ED35" s="381">
        <v>12.4</v>
      </c>
      <c r="EE35" s="392">
        <v>-56.2</v>
      </c>
      <c r="EF35" s="381">
        <v>14.3</v>
      </c>
      <c r="EG35" s="392">
        <v>-65.099999999999994</v>
      </c>
      <c r="EH35" s="381">
        <v>15.4</v>
      </c>
      <c r="EI35" s="392">
        <v>-69.900000000000006</v>
      </c>
      <c r="EJ35" s="381">
        <v>16.5</v>
      </c>
      <c r="EK35" s="392">
        <v>-74.8</v>
      </c>
      <c r="EL35" s="381">
        <v>21.1</v>
      </c>
      <c r="EM35" s="392">
        <v>-96</v>
      </c>
      <c r="EO35" s="341"/>
      <c r="EP35" s="379">
        <v>3</v>
      </c>
      <c r="EQ35" s="380">
        <v>100</v>
      </c>
      <c r="ER35" s="381">
        <v>-22.2</v>
      </c>
      <c r="ES35" s="381">
        <v>-22.2</v>
      </c>
      <c r="ET35" s="381">
        <v>-24.4</v>
      </c>
      <c r="EU35" s="381">
        <v>-28.8</v>
      </c>
      <c r="EV35" s="381">
        <v>-33.200000000000003</v>
      </c>
      <c r="EW35" s="381">
        <v>-39.5</v>
      </c>
      <c r="EX35" s="381">
        <v>-43</v>
      </c>
      <c r="EY35" s="381">
        <v>-46.4</v>
      </c>
      <c r="EZ35" s="381">
        <v>-53.8</v>
      </c>
      <c r="FA35" s="512">
        <v>-57.8</v>
      </c>
      <c r="FB35" s="382">
        <v>-61.7</v>
      </c>
      <c r="FC35" s="383">
        <v>-79.3</v>
      </c>
    </row>
    <row r="36" spans="1:159" x14ac:dyDescent="0.2">
      <c r="A36" s="52"/>
      <c r="B36" s="433" t="s">
        <v>127</v>
      </c>
      <c r="C36" s="436"/>
      <c r="D36" s="435"/>
      <c r="E36" s="425" t="s">
        <v>178</v>
      </c>
      <c r="F36" s="412" t="s">
        <v>319</v>
      </c>
      <c r="G36" s="403" t="e">
        <f>$D$28*$C$16*$D$29*$AF$143</f>
        <v>#REF!</v>
      </c>
      <c r="H36" s="403" t="e">
        <f>IF(AND($AD$6&gt;=25,$AD$6&lt;=45),$D$28*$C$16*$D$29*$AF$144,"---")</f>
        <v>#REF!</v>
      </c>
      <c r="I36" s="416"/>
      <c r="J36" s="417"/>
      <c r="M36" s="200">
        <v>4</v>
      </c>
      <c r="N36" s="21"/>
      <c r="O36" s="223">
        <v>15</v>
      </c>
      <c r="P36" s="223">
        <v>1</v>
      </c>
      <c r="Q36" s="211">
        <v>19.899999999999999</v>
      </c>
      <c r="R36" s="226">
        <v>-6.6</v>
      </c>
      <c r="S36" s="226">
        <v>13.3</v>
      </c>
      <c r="T36" s="227">
        <v>-3.8</v>
      </c>
      <c r="U36" s="211">
        <v>-19.100000000000001</v>
      </c>
      <c r="V36" s="226">
        <v>-12.4</v>
      </c>
      <c r="W36" s="226">
        <v>-13.3</v>
      </c>
      <c r="X36" s="228">
        <v>-9.5</v>
      </c>
      <c r="Y36" s="211">
        <v>-26.7</v>
      </c>
      <c r="Z36" s="227">
        <v>-20.9</v>
      </c>
      <c r="AA36" s="218">
        <v>26</v>
      </c>
      <c r="AB36" s="229"/>
      <c r="AC36" s="230"/>
      <c r="AD36" s="552"/>
      <c r="AE36" s="552"/>
      <c r="AF36" s="552"/>
      <c r="AG36" s="552"/>
      <c r="AH36" s="552"/>
      <c r="AI36" s="552"/>
      <c r="AJ36" s="552"/>
      <c r="AK36" s="552"/>
      <c r="AL36" s="552"/>
      <c r="AM36" s="553"/>
      <c r="AN36" s="233"/>
      <c r="AP36" s="21"/>
      <c r="AQ36" s="222">
        <v>1</v>
      </c>
      <c r="AR36" s="223">
        <v>50</v>
      </c>
      <c r="AS36" s="211">
        <v>11.1</v>
      </c>
      <c r="AT36" s="211">
        <v>12.5</v>
      </c>
      <c r="AU36" s="211">
        <v>15.4</v>
      </c>
      <c r="AV36" s="212">
        <v>17</v>
      </c>
      <c r="AW36" s="211">
        <v>18.600000000000001</v>
      </c>
      <c r="AX36" s="211">
        <v>22.2</v>
      </c>
      <c r="AY36" s="211">
        <v>24.1</v>
      </c>
      <c r="AZ36" s="211">
        <v>26</v>
      </c>
      <c r="BA36" s="211">
        <v>30.2</v>
      </c>
      <c r="BB36" s="570">
        <v>32.4</v>
      </c>
      <c r="BC36" s="212">
        <v>34.6</v>
      </c>
      <c r="BD36" s="224">
        <v>44.5</v>
      </c>
      <c r="BE36" s="200" t="s">
        <v>22</v>
      </c>
      <c r="BF36" s="475" t="e">
        <f t="shared" si="0"/>
        <v>#REF!</v>
      </c>
      <c r="BH36" s="21"/>
      <c r="BI36" s="222">
        <v>1</v>
      </c>
      <c r="BJ36" s="223">
        <v>50</v>
      </c>
      <c r="BK36" s="211">
        <v>-11.5</v>
      </c>
      <c r="BL36" s="211">
        <v>-12.8</v>
      </c>
      <c r="BM36" s="211">
        <v>-15.9</v>
      </c>
      <c r="BN36" s="211">
        <v>-17.5</v>
      </c>
      <c r="BO36" s="211">
        <v>-19.2</v>
      </c>
      <c r="BP36" s="211">
        <v>-22.8</v>
      </c>
      <c r="BQ36" s="211">
        <v>-24.8</v>
      </c>
      <c r="BR36" s="211">
        <v>-26.8</v>
      </c>
      <c r="BS36" s="211">
        <v>-31.1</v>
      </c>
      <c r="BT36" s="570">
        <v>-33.299999999999997</v>
      </c>
      <c r="BU36" s="212">
        <v>-35.700000000000003</v>
      </c>
      <c r="BV36" s="224">
        <v>-45.8</v>
      </c>
      <c r="BW36" s="200" t="s">
        <v>22</v>
      </c>
      <c r="BX36" s="475" t="e">
        <f t="shared" si="1"/>
        <v>#REF!</v>
      </c>
      <c r="BY36" s="475"/>
      <c r="BZ36" s="3" t="s">
        <v>130</v>
      </c>
      <c r="CA36" s="3"/>
      <c r="CB36" s="3"/>
      <c r="CC36" s="3"/>
      <c r="CD36" s="263"/>
      <c r="CE36" s="263"/>
      <c r="CF36" s="263"/>
      <c r="CG36" s="263"/>
      <c r="CH36" s="263"/>
      <c r="CI36" s="263"/>
      <c r="CJ36" s="263"/>
      <c r="CK36" s="263"/>
      <c r="CL36" s="263"/>
      <c r="CM36" s="263"/>
      <c r="CN36" s="263"/>
      <c r="CO36" s="475"/>
      <c r="CQ36" s="13"/>
      <c r="CT36" s="13"/>
      <c r="CU36" s="13"/>
      <c r="CW36" s="57"/>
      <c r="CX36" s="468"/>
      <c r="CY36" s="178"/>
      <c r="CZ36" s="178"/>
      <c r="DA36" s="178">
        <v>2</v>
      </c>
      <c r="DB36" s="388">
        <v>17.8</v>
      </c>
      <c r="DC36" s="389">
        <v>12.2</v>
      </c>
      <c r="DD36" s="389">
        <v>14.2</v>
      </c>
      <c r="DE36" s="390">
        <v>9.8000000000000007</v>
      </c>
      <c r="DF36" s="388">
        <v>6.9</v>
      </c>
      <c r="DG36" s="389">
        <v>-5.3</v>
      </c>
      <c r="DH36" s="389">
        <v>5.9</v>
      </c>
      <c r="DI36" s="391">
        <v>-3.8</v>
      </c>
      <c r="DJ36" s="388">
        <v>-6.3</v>
      </c>
      <c r="DK36" s="390">
        <v>-7.2</v>
      </c>
      <c r="DM36" s="335"/>
      <c r="DN36" s="349">
        <v>1</v>
      </c>
      <c r="DO36" s="350">
        <v>10</v>
      </c>
      <c r="DP36" s="351">
        <v>11.9</v>
      </c>
      <c r="DQ36" s="352">
        <v>-13</v>
      </c>
      <c r="DR36" s="351">
        <v>13.3</v>
      </c>
      <c r="DS36" s="352">
        <v>-14.6</v>
      </c>
      <c r="DT36" s="351">
        <v>16.5</v>
      </c>
      <c r="DU36" s="352">
        <v>-18</v>
      </c>
      <c r="DV36" s="351">
        <v>18.2</v>
      </c>
      <c r="DW36" s="352">
        <v>-19.8</v>
      </c>
      <c r="DX36" s="351">
        <v>19.899999999999999</v>
      </c>
      <c r="DY36" s="352">
        <v>-21.8</v>
      </c>
      <c r="DZ36" s="351">
        <v>23.7</v>
      </c>
      <c r="EA36" s="352">
        <v>-25.9</v>
      </c>
      <c r="EB36" s="351">
        <v>25.7</v>
      </c>
      <c r="EC36" s="352">
        <v>-28.1</v>
      </c>
      <c r="ED36" s="351">
        <v>27.8</v>
      </c>
      <c r="EE36" s="352">
        <v>-30.4</v>
      </c>
      <c r="EF36" s="351">
        <v>32.299999999999997</v>
      </c>
      <c r="EG36" s="352">
        <v>-35.299999999999997</v>
      </c>
      <c r="EH36" s="351">
        <v>34.6</v>
      </c>
      <c r="EI36" s="352">
        <v>-37.799999999999997</v>
      </c>
      <c r="EJ36" s="351">
        <v>37</v>
      </c>
      <c r="EK36" s="352">
        <v>-40.5</v>
      </c>
      <c r="EL36" s="351">
        <v>47.6</v>
      </c>
      <c r="EM36" s="352">
        <v>-52</v>
      </c>
    </row>
    <row r="37" spans="1:159" x14ac:dyDescent="0.2">
      <c r="A37" s="52"/>
      <c r="B37" s="437" t="s">
        <v>129</v>
      </c>
      <c r="C37" s="438"/>
      <c r="D37" s="439"/>
      <c r="E37" s="426" t="s">
        <v>178</v>
      </c>
      <c r="F37" s="423" t="s">
        <v>50</v>
      </c>
      <c r="G37" s="404" t="e">
        <f>IF($D$28*$C$16*$D$29*$AG$143&gt;=0,$D$28*$C$16*$D$29*$AG$143,0)</f>
        <v>#REF!</v>
      </c>
      <c r="H37" s="404" t="e">
        <f>IF(AND($AD$6&gt;=25,$AD$6&lt;=45),$D$28*$C$16*$D$29*$AG$144,"---")</f>
        <v>#REF!</v>
      </c>
      <c r="I37" s="416"/>
      <c r="J37" s="417"/>
      <c r="M37" s="200">
        <v>5</v>
      </c>
      <c r="N37" s="21"/>
      <c r="O37" s="223">
        <v>20</v>
      </c>
      <c r="P37" s="223">
        <v>1</v>
      </c>
      <c r="Q37" s="211">
        <v>22</v>
      </c>
      <c r="R37" s="226">
        <v>-5.8</v>
      </c>
      <c r="S37" s="226">
        <v>14.6</v>
      </c>
      <c r="T37" s="227">
        <v>-3.2</v>
      </c>
      <c r="U37" s="211">
        <v>-19.100000000000001</v>
      </c>
      <c r="V37" s="226">
        <v>-13.3</v>
      </c>
      <c r="W37" s="226">
        <v>-13.3</v>
      </c>
      <c r="X37" s="228">
        <v>-10.1</v>
      </c>
      <c r="Y37" s="211">
        <v>-26.7</v>
      </c>
      <c r="Z37" s="227">
        <v>-20.9</v>
      </c>
      <c r="AA37" s="218">
        <v>27</v>
      </c>
      <c r="AB37" s="229"/>
      <c r="AC37" s="230" t="e">
        <f>IF($C$8=$N38,IF(AND($AD$6&gt;=25,$AD$6&lt;=45),VLOOKUP(MATCH($AD$6,$O33:$O43,1),$M33:$Z43,3),""),"")</f>
        <v>#REF!</v>
      </c>
      <c r="AD37" s="230" t="e">
        <f>IF($C$8=$N38,IF(AND($AD$6&gt;=25,$AD$6&lt;=45),VLOOKUP(MATCH($AD$6,$O33:$O43,1)+1,$M33:$Z43,5),""),"")</f>
        <v>#REF!</v>
      </c>
      <c r="AE37" s="230" t="e">
        <f>IF($C$8=$N38,IF(AND($AD$6&gt;=25,$AD$6&lt;=45),VLOOKUP(MATCH($AD$6,$O33:$O43,1)+1,$M33:$Z43,6),""),"")</f>
        <v>#REF!</v>
      </c>
      <c r="AF37" s="230" t="e">
        <f>IF($C$8=$N38,IF(AND($AD$6&gt;=25,$AD$6&lt;=45),VLOOKUP(MATCH($AD$6,$O33:$O43,1)+1,$M33:$Z43,7),""),"")</f>
        <v>#REF!</v>
      </c>
      <c r="AG37" s="230" t="e">
        <f>IF($C$8=$N38,IF(AND($AD$6&gt;=25,$AD$6&lt;=45),VLOOKUP(MATCH($AD$6,$O33:$O43,1)+1,$M33:$Z43,8),""),"")</f>
        <v>#REF!</v>
      </c>
      <c r="AH37" s="230" t="e">
        <f>IF($C$8=$N38,IF(AND($AD$6&gt;=25,$AD$6&lt;=45),VLOOKUP(MATCH($AD$6,$O33:$O43,1)+1,$M33:$Z43,9),""),"")</f>
        <v>#REF!</v>
      </c>
      <c r="AI37" s="230" t="e">
        <f>IF($C$8=$N38,IF(AND($AD$6&gt;=25,$AD$6&lt;=45),VLOOKUP(MATCH($AD$6,$O33:$O43,1)+1,$M33:$Z43,10),""),"")</f>
        <v>#REF!</v>
      </c>
      <c r="AJ37" s="230" t="e">
        <f>IF($C$8=$N38,IF(AND($AD$6&gt;=25,$AD$6&lt;=45),VLOOKUP(MATCH($AD$6,$O33:$O43,1)+1,$M33:$Z43,11),""),"")</f>
        <v>#REF!</v>
      </c>
      <c r="AK37" s="230" t="e">
        <f>IF($C$8=$N38,IF(AND($AD$6&gt;=25,$AD$6&lt;=45),VLOOKUP(MATCH($AD$6,$O33:$O43,1)+1,$M33:$Z43,12),""),"")</f>
        <v>#REF!</v>
      </c>
      <c r="AL37" s="230" t="e">
        <f>IF($C$8=$N38,IF(AND($AD$6&gt;=25,$AD$6&lt;=45),VLOOKUP(MATCH($AD$6,$O33:$O43,1)+1,$M33:$Z43,13),""),"")</f>
        <v>#REF!</v>
      </c>
      <c r="AM37" s="231" t="e">
        <f>IF($C$8=$N38,IF(AND($AD$6&gt;=25,$AD$6&lt;=45),VLOOKUP(MATCH($AD$6,$O33:$O43,1)+1,$M33:$Z43,14),""),"")</f>
        <v>#REF!</v>
      </c>
      <c r="AN37" s="19"/>
      <c r="AP37" s="21"/>
      <c r="AQ37" s="222">
        <v>1</v>
      </c>
      <c r="AR37" s="223">
        <v>100</v>
      </c>
      <c r="AS37" s="211">
        <v>10.8</v>
      </c>
      <c r="AT37" s="211">
        <v>12.1</v>
      </c>
      <c r="AU37" s="211">
        <v>14.9</v>
      </c>
      <c r="AV37" s="212">
        <v>16.5</v>
      </c>
      <c r="AW37" s="211">
        <v>18.100000000000001</v>
      </c>
      <c r="AX37" s="211">
        <v>21.5</v>
      </c>
      <c r="AY37" s="211">
        <v>23.3</v>
      </c>
      <c r="AZ37" s="211">
        <v>25.2</v>
      </c>
      <c r="BA37" s="211">
        <v>29.3</v>
      </c>
      <c r="BB37" s="570">
        <v>31.4</v>
      </c>
      <c r="BC37" s="212">
        <v>33.6</v>
      </c>
      <c r="BD37" s="224">
        <v>43.2</v>
      </c>
      <c r="BE37" s="200" t="s">
        <v>22</v>
      </c>
      <c r="BF37" s="475" t="e">
        <f t="shared" si="0"/>
        <v>#REF!</v>
      </c>
      <c r="BH37" s="21"/>
      <c r="BI37" s="222">
        <v>1</v>
      </c>
      <c r="BJ37" s="223">
        <v>100</v>
      </c>
      <c r="BK37" s="211">
        <v>-18.8</v>
      </c>
      <c r="BL37" s="211">
        <v>-12.1</v>
      </c>
      <c r="BM37" s="211">
        <v>-14.9</v>
      </c>
      <c r="BN37" s="211">
        <v>-16.5</v>
      </c>
      <c r="BO37" s="211">
        <v>-18.100000000000001</v>
      </c>
      <c r="BP37" s="211">
        <v>-21.5</v>
      </c>
      <c r="BQ37" s="211">
        <v>-23.3</v>
      </c>
      <c r="BR37" s="211">
        <v>-25.2</v>
      </c>
      <c r="BS37" s="211">
        <v>-29.3</v>
      </c>
      <c r="BT37" s="570">
        <v>-31.4</v>
      </c>
      <c r="BU37" s="212">
        <v>-33.6</v>
      </c>
      <c r="BV37" s="224">
        <v>-43.2</v>
      </c>
      <c r="BW37" s="200" t="s">
        <v>22</v>
      </c>
      <c r="BX37" s="475" t="e">
        <f t="shared" si="1"/>
        <v>#REF!</v>
      </c>
      <c r="BY37" s="475"/>
      <c r="BZ37" s="7" t="s">
        <v>131</v>
      </c>
      <c r="CA37" s="9"/>
      <c r="CB37" s="2"/>
      <c r="CD37" s="263"/>
      <c r="CE37" s="263"/>
      <c r="CF37" s="263"/>
      <c r="CG37" s="263"/>
      <c r="CH37" s="263"/>
      <c r="CI37" s="263"/>
      <c r="CJ37" s="263"/>
      <c r="CK37" s="263"/>
      <c r="CL37" s="263"/>
      <c r="CM37" s="263"/>
      <c r="CN37" s="263"/>
      <c r="CO37" s="475"/>
      <c r="CQ37" s="13"/>
      <c r="CT37" s="13"/>
      <c r="CU37" s="13"/>
      <c r="CW37" s="57"/>
      <c r="CX37" s="467"/>
      <c r="CY37" s="358" t="s">
        <v>163</v>
      </c>
      <c r="CZ37" s="358" t="s">
        <v>165</v>
      </c>
      <c r="DA37" s="358">
        <v>1</v>
      </c>
      <c r="DB37" s="359">
        <v>17.5</v>
      </c>
      <c r="DC37" s="360">
        <v>-9</v>
      </c>
      <c r="DD37" s="360">
        <v>11.6</v>
      </c>
      <c r="DE37" s="361">
        <v>-5.4</v>
      </c>
      <c r="DF37" s="359">
        <v>-21.1</v>
      </c>
      <c r="DG37" s="360">
        <v>-11.9</v>
      </c>
      <c r="DH37" s="360">
        <v>-14.7</v>
      </c>
      <c r="DI37" s="362">
        <v>-9.3000000000000007</v>
      </c>
      <c r="DJ37" s="359">
        <v>-29.4</v>
      </c>
      <c r="DK37" s="361">
        <v>-23</v>
      </c>
      <c r="DM37" s="334"/>
      <c r="DN37" s="363">
        <v>1</v>
      </c>
      <c r="DO37" s="364">
        <v>20</v>
      </c>
      <c r="DP37" s="355">
        <v>11.6</v>
      </c>
      <c r="DQ37" s="365">
        <v>-12.3</v>
      </c>
      <c r="DR37" s="355">
        <v>13</v>
      </c>
      <c r="DS37" s="365">
        <v>-13.8</v>
      </c>
      <c r="DT37" s="355">
        <v>16</v>
      </c>
      <c r="DU37" s="365">
        <v>-17.100000000000001</v>
      </c>
      <c r="DV37" s="355">
        <v>17.600000000000001</v>
      </c>
      <c r="DW37" s="365">
        <v>-18.8</v>
      </c>
      <c r="DX37" s="355">
        <v>19.399999999999999</v>
      </c>
      <c r="DY37" s="365">
        <v>-20.7</v>
      </c>
      <c r="DZ37" s="355">
        <v>23</v>
      </c>
      <c r="EA37" s="365">
        <v>-24.6</v>
      </c>
      <c r="EB37" s="355">
        <v>25</v>
      </c>
      <c r="EC37" s="365">
        <v>-26.7</v>
      </c>
      <c r="ED37" s="355">
        <v>27</v>
      </c>
      <c r="EE37" s="365">
        <v>-28.9</v>
      </c>
      <c r="EF37" s="355">
        <v>31.4</v>
      </c>
      <c r="EG37" s="365">
        <v>-33.5</v>
      </c>
      <c r="EH37" s="355">
        <v>33.700000000000003</v>
      </c>
      <c r="EI37" s="365">
        <v>-35.9</v>
      </c>
      <c r="EJ37" s="355">
        <v>36</v>
      </c>
      <c r="EK37" s="365">
        <v>-38.4</v>
      </c>
      <c r="EL37" s="355">
        <v>46.3</v>
      </c>
      <c r="EM37" s="365">
        <v>-49.3</v>
      </c>
    </row>
    <row r="38" spans="1:159" x14ac:dyDescent="0.2">
      <c r="A38" s="52"/>
      <c r="B38" s="440" t="s">
        <v>132</v>
      </c>
      <c r="C38" s="441"/>
      <c r="D38" s="442"/>
      <c r="E38" s="427" t="s">
        <v>179</v>
      </c>
      <c r="F38" s="421" t="s">
        <v>102</v>
      </c>
      <c r="G38" s="405" t="e">
        <f>$D$28*$C$16*$D$29*$AH$143</f>
        <v>#REF!</v>
      </c>
      <c r="H38" s="405" t="e">
        <f>IF(AND($AD$6&gt;=25,$AD$6&lt;=45),$D$28*$C$16*$D$29*$AH$144,"---")</f>
        <v>#REF!</v>
      </c>
      <c r="I38" s="416"/>
      <c r="J38" s="417"/>
      <c r="L38" s="6"/>
      <c r="M38" s="200">
        <v>6</v>
      </c>
      <c r="N38" s="21">
        <v>100</v>
      </c>
      <c r="O38" s="235">
        <v>25</v>
      </c>
      <c r="P38" s="235">
        <v>1</v>
      </c>
      <c r="Q38" s="236">
        <v>19.899999999999999</v>
      </c>
      <c r="R38" s="237">
        <v>3.2</v>
      </c>
      <c r="S38" s="237">
        <v>14.4</v>
      </c>
      <c r="T38" s="238">
        <v>3.3</v>
      </c>
      <c r="U38" s="236">
        <v>-8.8000000000000007</v>
      </c>
      <c r="V38" s="237">
        <v>-12</v>
      </c>
      <c r="W38" s="237">
        <v>-6.4</v>
      </c>
      <c r="X38" s="239">
        <v>-9.6999999999999993</v>
      </c>
      <c r="Y38" s="236">
        <v>-16.5</v>
      </c>
      <c r="Z38" s="238">
        <v>-14</v>
      </c>
      <c r="AA38" s="218">
        <v>28</v>
      </c>
      <c r="AB38" s="229"/>
      <c r="AC38" s="230" t="e">
        <f>IF($C$8=$N38,IF(AND($AD$6&gt;=25,$AD$6&lt;=45),VLOOKUP(MATCH($AD$6,$O33:$O43,1)+IF($AD$6&lt;25,1,2),$M33:$Z43,3),""),"")</f>
        <v>#REF!</v>
      </c>
      <c r="AD38" s="230" t="e">
        <f>IF($C$8=$N38,IF(AND($AD$6&gt;=25,$AD$6&lt;=45),VLOOKUP(MATCH($AD$6,$O33:$O43,1)+1+IF($AD$6&lt;25,1,2),$M33:$Z43,5),""),"")</f>
        <v>#REF!</v>
      </c>
      <c r="AE38" s="230" t="e">
        <f>IF($C$8=$N38,IF(AND($AD$6&gt;=25,$AD$6&lt;=45),VLOOKUP(MATCH($AD$6,$O33:$O43,1)+1+IF($AD$6&lt;25,1,2),$M33:$Z43,6),""),"")</f>
        <v>#REF!</v>
      </c>
      <c r="AF38" s="230" t="e">
        <f>IF($C$8=$N38,IF(AND($AD$6&gt;=25,$AD$6&lt;=45),VLOOKUP(MATCH($AD$6,$O33:$O43,1)+1+IF($AD$6&lt;25,1,2),$M33:$Z43,7),""),"")</f>
        <v>#REF!</v>
      </c>
      <c r="AG38" s="230" t="e">
        <f>IF($C$8=$N38,IF(AND($AD$6&gt;=25,$AD$6&lt;=45),VLOOKUP(MATCH($AD$6,$O33:$O43,1)+1+IF($AD$6&lt;25,1,2),$M33:$Z43,8),""),"")</f>
        <v>#REF!</v>
      </c>
      <c r="AH38" s="230" t="e">
        <f>IF($C$8=$N38,IF(AND($AD$6&gt;=25,$AD$6&lt;=45),VLOOKUP(MATCH($AD$6,$O33:$O43,1)+1+IF($AD$6&lt;25,1,2),$M33:$Z43,9),""),"")</f>
        <v>#REF!</v>
      </c>
      <c r="AI38" s="230" t="e">
        <f>IF($C$8=$N38,IF(AND($AD$6&gt;=25,$AD$6&lt;=45),VLOOKUP(MATCH($AD$6,$O33:$O43,1)+1+IF($AD$6&lt;25,1,2),$M33:$Z43,10),""),"")</f>
        <v>#REF!</v>
      </c>
      <c r="AJ38" s="230" t="e">
        <f>IF($C$8=$N38,IF(AND($AD$6&gt;=25,$AD$6&lt;=45),VLOOKUP(MATCH($AD$6,$O33:$O43,1)+1+IF($AD$6&lt;25,1,2),$M33:$Z43,11),""),"")</f>
        <v>#REF!</v>
      </c>
      <c r="AK38" s="230" t="e">
        <f>IF($C$8=$N38,IF(AND($AD$6&gt;=25,$AD$6&lt;=45),VLOOKUP(MATCH($AD$6,$O33:$O43,1)+1+IF($AD$6&lt;25,1,2),$M33:$Z43,12),""),"")</f>
        <v>#REF!</v>
      </c>
      <c r="AL38" s="230" t="e">
        <f>IF($C$8=$N38,IF(AND($AD$6&gt;=25,$AD$6&lt;=45),VLOOKUP(MATCH($AD$6,$O33:$O43,1)+1+IF($AD$6&lt;25,1,2),$M33:$Z43,13),""),"")</f>
        <v>#REF!</v>
      </c>
      <c r="AM38" s="231" t="e">
        <f>IF($C$8=$N38,IF(AND($AD$6&gt;=25,$AD$6&lt;=45),VLOOKUP(MATCH($AD$6,$O33:$O43,1)+1+IF($AD$6&lt;25,1,2),$M33:$Z43,14),""),"")</f>
        <v>#REF!</v>
      </c>
      <c r="AN38" s="19"/>
      <c r="AP38" s="21"/>
      <c r="AQ38" s="222">
        <v>2</v>
      </c>
      <c r="AR38" s="223">
        <v>10</v>
      </c>
      <c r="AS38" s="211">
        <v>11.9</v>
      </c>
      <c r="AT38" s="211">
        <v>13.3</v>
      </c>
      <c r="AU38" s="211">
        <v>16.5</v>
      </c>
      <c r="AV38" s="212">
        <v>18.2</v>
      </c>
      <c r="AW38" s="211">
        <v>19.899999999999999</v>
      </c>
      <c r="AX38" s="211">
        <v>23.7</v>
      </c>
      <c r="AY38" s="211">
        <v>25.7</v>
      </c>
      <c r="AZ38" s="211">
        <v>27.8</v>
      </c>
      <c r="BA38" s="211">
        <v>32.299999999999997</v>
      </c>
      <c r="BB38" s="570">
        <v>34.6</v>
      </c>
      <c r="BC38" s="212">
        <v>37</v>
      </c>
      <c r="BD38" s="224">
        <v>47.6</v>
      </c>
      <c r="BE38" s="200" t="s">
        <v>22</v>
      </c>
      <c r="BF38" s="475" t="e">
        <f t="shared" si="0"/>
        <v>#REF!</v>
      </c>
      <c r="BH38" s="21"/>
      <c r="BI38" s="222">
        <v>2</v>
      </c>
      <c r="BJ38" s="223">
        <v>10</v>
      </c>
      <c r="BK38" s="211">
        <v>-15.2</v>
      </c>
      <c r="BL38" s="211">
        <v>-17</v>
      </c>
      <c r="BM38" s="211">
        <v>-21</v>
      </c>
      <c r="BN38" s="211">
        <v>-23.2</v>
      </c>
      <c r="BO38" s="211">
        <v>-25.5</v>
      </c>
      <c r="BP38" s="211">
        <v>-30.3</v>
      </c>
      <c r="BQ38" s="211">
        <v>-32.9</v>
      </c>
      <c r="BR38" s="211">
        <v>-35.6</v>
      </c>
      <c r="BS38" s="211">
        <v>-41.2</v>
      </c>
      <c r="BT38" s="570">
        <v>-44.2</v>
      </c>
      <c r="BU38" s="212">
        <v>-47.3</v>
      </c>
      <c r="BV38" s="224">
        <v>-60.8</v>
      </c>
      <c r="BW38" s="200" t="s">
        <v>22</v>
      </c>
      <c r="BX38" s="475" t="e">
        <f t="shared" si="1"/>
        <v>#REF!</v>
      </c>
      <c r="BY38" s="475"/>
      <c r="BZ38" s="7"/>
      <c r="CA38" s="9" t="s">
        <v>35</v>
      </c>
      <c r="CB38" s="2" t="e">
        <f>IF($C$21&lt;=10,$CP$10,IF($C$21&lt;=20,($CP$11-$CP$10)*($C$21-10)/(20-10)+$CP$10,IF($C$21&lt;=50,($CP$12-$CP$11)*($C$21-20)/(50-20 )+$CP$11,IF($C$21&lt;=100,($CP$13-$CP$12)*($C$21-50)/(100-50 )+$CP$12,$CP$13))))</f>
        <v>#REF!</v>
      </c>
      <c r="CC38" s="13" t="s">
        <v>59</v>
      </c>
      <c r="CD38" s="572"/>
      <c r="CE38" s="572"/>
      <c r="CF38" s="572"/>
      <c r="CG38" s="572"/>
      <c r="CH38" s="572"/>
      <c r="CI38" s="572"/>
      <c r="CJ38" s="572"/>
      <c r="CK38" s="572"/>
      <c r="CL38" s="572"/>
      <c r="CM38" s="572"/>
      <c r="CN38" s="572"/>
      <c r="CO38" s="475"/>
      <c r="CW38" s="57"/>
      <c r="CX38" s="467"/>
      <c r="CY38" s="358">
        <v>10</v>
      </c>
      <c r="CZ38" s="358">
        <v>2</v>
      </c>
      <c r="DA38" s="358">
        <v>1</v>
      </c>
      <c r="DB38" s="359">
        <v>19.7</v>
      </c>
      <c r="DC38" s="360">
        <v>-8.1999999999999993</v>
      </c>
      <c r="DD38" s="360">
        <v>13.1</v>
      </c>
      <c r="DE38" s="361">
        <v>-4.7</v>
      </c>
      <c r="DF38" s="359">
        <v>-21.1</v>
      </c>
      <c r="DG38" s="360">
        <v>-12.8</v>
      </c>
      <c r="DH38" s="360">
        <v>-14.7</v>
      </c>
      <c r="DI38" s="362">
        <v>-9.8000000000000007</v>
      </c>
      <c r="DJ38" s="359">
        <v>-29.4</v>
      </c>
      <c r="DK38" s="361">
        <v>-23</v>
      </c>
      <c r="DM38" s="334"/>
      <c r="DN38" s="363">
        <v>1</v>
      </c>
      <c r="DO38" s="364">
        <v>50</v>
      </c>
      <c r="DP38" s="355">
        <v>11.1</v>
      </c>
      <c r="DQ38" s="365">
        <v>-11.5</v>
      </c>
      <c r="DR38" s="355">
        <v>12.5</v>
      </c>
      <c r="DS38" s="365">
        <v>-12.8</v>
      </c>
      <c r="DT38" s="355">
        <v>15.4</v>
      </c>
      <c r="DU38" s="365">
        <v>-15.9</v>
      </c>
      <c r="DV38" s="355">
        <v>17</v>
      </c>
      <c r="DW38" s="365">
        <v>-17.5</v>
      </c>
      <c r="DX38" s="355">
        <v>18.600000000000001</v>
      </c>
      <c r="DY38" s="365">
        <v>-19.2</v>
      </c>
      <c r="DZ38" s="355">
        <v>22.2</v>
      </c>
      <c r="EA38" s="365">
        <v>-22.8</v>
      </c>
      <c r="EB38" s="355">
        <v>24.1</v>
      </c>
      <c r="EC38" s="365">
        <v>-24.8</v>
      </c>
      <c r="ED38" s="355">
        <v>26</v>
      </c>
      <c r="EE38" s="365">
        <v>-26.8</v>
      </c>
      <c r="EF38" s="355">
        <v>30.2</v>
      </c>
      <c r="EG38" s="365">
        <v>-31.1</v>
      </c>
      <c r="EH38" s="355">
        <v>32.4</v>
      </c>
      <c r="EI38" s="365">
        <v>-33.299999999999997</v>
      </c>
      <c r="EJ38" s="355">
        <v>34.6</v>
      </c>
      <c r="EK38" s="365">
        <v>-35.700000000000003</v>
      </c>
      <c r="EL38" s="355">
        <v>44.5</v>
      </c>
      <c r="EM38" s="365">
        <v>-45.8</v>
      </c>
    </row>
    <row r="39" spans="1:159" x14ac:dyDescent="0.2">
      <c r="A39" s="52"/>
      <c r="B39" s="433" t="s">
        <v>133</v>
      </c>
      <c r="C39" s="434"/>
      <c r="D39" s="435"/>
      <c r="E39" s="425" t="s">
        <v>179</v>
      </c>
      <c r="F39" s="413" t="s">
        <v>103</v>
      </c>
      <c r="G39" s="422" t="e">
        <f>$D$28*$C$16*$D$29*$AI$143</f>
        <v>#REF!</v>
      </c>
      <c r="H39" s="403" t="e">
        <f>IF(AND($AD$6&gt;=25,$AD$6&lt;=45),$D$28*$C$16*$D$29*$AI$144,"---")</f>
        <v>#REF!</v>
      </c>
      <c r="I39" s="416"/>
      <c r="J39" s="417"/>
      <c r="L39" s="6"/>
      <c r="M39" s="200">
        <v>7</v>
      </c>
      <c r="N39" s="21"/>
      <c r="O39" s="210"/>
      <c r="P39" s="210">
        <v>2</v>
      </c>
      <c r="Q39" s="240">
        <v>0</v>
      </c>
      <c r="R39" s="241">
        <v>0</v>
      </c>
      <c r="S39" s="241">
        <v>0</v>
      </c>
      <c r="T39" s="242">
        <v>0</v>
      </c>
      <c r="U39" s="240">
        <v>-3.4</v>
      </c>
      <c r="V39" s="241">
        <v>-6.6</v>
      </c>
      <c r="W39" s="241">
        <v>-0.9</v>
      </c>
      <c r="X39" s="243">
        <v>-4.2</v>
      </c>
      <c r="Y39" s="240">
        <v>0</v>
      </c>
      <c r="Z39" s="242">
        <v>0</v>
      </c>
      <c r="AA39" s="218">
        <v>29</v>
      </c>
      <c r="AB39" s="229"/>
      <c r="AC39" s="230" t="e">
        <f>IF($C$8=$N38,IF(AND($AD$6&gt;=25,$AD$6&lt;=45),$AD$6,""),"")</f>
        <v>#REF!</v>
      </c>
      <c r="AD39" s="230" t="e">
        <f t="shared" ref="AD39:AM39" si="8">IF($C$8=$N38,IF(AND($AD$6&gt;=25,$AD$6&lt;=45),(AD38-AD37)*($AD$6-$AC37)/($AC38-$AC37)+AD37,""),"")</f>
        <v>#REF!</v>
      </c>
      <c r="AE39" s="230" t="e">
        <f t="shared" si="8"/>
        <v>#REF!</v>
      </c>
      <c r="AF39" s="230" t="e">
        <f t="shared" si="8"/>
        <v>#REF!</v>
      </c>
      <c r="AG39" s="230" t="e">
        <f t="shared" si="8"/>
        <v>#REF!</v>
      </c>
      <c r="AH39" s="230" t="e">
        <f t="shared" si="8"/>
        <v>#REF!</v>
      </c>
      <c r="AI39" s="230" t="e">
        <f t="shared" si="8"/>
        <v>#REF!</v>
      </c>
      <c r="AJ39" s="230" t="e">
        <f t="shared" si="8"/>
        <v>#REF!</v>
      </c>
      <c r="AK39" s="230" t="e">
        <f t="shared" si="8"/>
        <v>#REF!</v>
      </c>
      <c r="AL39" s="230" t="e">
        <f t="shared" si="8"/>
        <v>#REF!</v>
      </c>
      <c r="AM39" s="231" t="e">
        <f t="shared" si="8"/>
        <v>#REF!</v>
      </c>
      <c r="AN39" s="19"/>
      <c r="AP39" s="21" t="s">
        <v>20</v>
      </c>
      <c r="AQ39" s="222">
        <v>2</v>
      </c>
      <c r="AR39" s="223">
        <v>20</v>
      </c>
      <c r="AS39" s="211">
        <v>11.6</v>
      </c>
      <c r="AT39" s="211">
        <v>13</v>
      </c>
      <c r="AU39" s="211">
        <v>16</v>
      </c>
      <c r="AV39" s="212">
        <v>17.600000000000001</v>
      </c>
      <c r="AW39" s="211">
        <v>19.399999999999999</v>
      </c>
      <c r="AX39" s="211">
        <v>23</v>
      </c>
      <c r="AY39" s="211">
        <v>25</v>
      </c>
      <c r="AZ39" s="211">
        <v>27</v>
      </c>
      <c r="BA39" s="211">
        <v>31.4</v>
      </c>
      <c r="BB39" s="570">
        <v>33.700000000000003</v>
      </c>
      <c r="BC39" s="212">
        <v>36</v>
      </c>
      <c r="BD39" s="224">
        <v>46.3</v>
      </c>
      <c r="BE39" s="200" t="s">
        <v>22</v>
      </c>
      <c r="BF39" s="475" t="e">
        <f t="shared" si="0"/>
        <v>#REF!</v>
      </c>
      <c r="BH39" s="21" t="s">
        <v>20</v>
      </c>
      <c r="BI39" s="222">
        <v>2</v>
      </c>
      <c r="BJ39" s="223">
        <v>20</v>
      </c>
      <c r="BK39" s="211">
        <v>-14.5</v>
      </c>
      <c r="BL39" s="211">
        <v>-16.3</v>
      </c>
      <c r="BM39" s="211">
        <v>-20.100000000000001</v>
      </c>
      <c r="BN39" s="211">
        <v>-22.2</v>
      </c>
      <c r="BO39" s="211">
        <v>-24.3</v>
      </c>
      <c r="BP39" s="211">
        <v>-29</v>
      </c>
      <c r="BQ39" s="211">
        <v>-31.4</v>
      </c>
      <c r="BR39" s="211">
        <v>-34</v>
      </c>
      <c r="BS39" s="211">
        <v>-39.4</v>
      </c>
      <c r="BT39" s="570">
        <v>-42.3</v>
      </c>
      <c r="BU39" s="212">
        <v>-45.3</v>
      </c>
      <c r="BV39" s="224">
        <v>-58.1</v>
      </c>
      <c r="BW39" s="200" t="s">
        <v>22</v>
      </c>
      <c r="BX39" s="475" t="e">
        <f t="shared" si="1"/>
        <v>#REF!</v>
      </c>
      <c r="BY39" s="475"/>
      <c r="BZ39" s="7"/>
      <c r="CA39" s="9" t="s">
        <v>36</v>
      </c>
      <c r="CB39" s="2" t="e">
        <f>IF($C$21&lt;=10,$CP$14,IF($C$21&lt;=20,($CP$15-$CP$14)*($C$21-10)/(20-10)+$CP$14,IF($C$21&lt;=50,($CP$16-$CP$15)*($C$21-20)/(50-20 )+$CP$15,IF($C$21&lt;=100,($CP$17-$CP$16)*($C$21-50)/(100-50 )+$CP$16,$CP$17))))</f>
        <v>#REF!</v>
      </c>
      <c r="CC39" s="13" t="s">
        <v>59</v>
      </c>
      <c r="CO39" s="475"/>
      <c r="CW39" s="57"/>
      <c r="CX39" s="467"/>
      <c r="CY39" s="358">
        <v>15</v>
      </c>
      <c r="CZ39" s="358">
        <v>3</v>
      </c>
      <c r="DA39" s="358">
        <v>1</v>
      </c>
      <c r="DB39" s="359">
        <v>21.9</v>
      </c>
      <c r="DC39" s="360">
        <v>-7.3</v>
      </c>
      <c r="DD39" s="360">
        <v>14.7</v>
      </c>
      <c r="DE39" s="361">
        <v>-4.2</v>
      </c>
      <c r="DF39" s="359">
        <v>-21.1</v>
      </c>
      <c r="DG39" s="360">
        <v>-13.7</v>
      </c>
      <c r="DH39" s="360">
        <v>-14.7</v>
      </c>
      <c r="DI39" s="362">
        <v>-10.5</v>
      </c>
      <c r="DJ39" s="359">
        <v>-29.4</v>
      </c>
      <c r="DK39" s="361">
        <v>-23</v>
      </c>
      <c r="DM39" s="334"/>
      <c r="DN39" s="363">
        <v>1</v>
      </c>
      <c r="DO39" s="364">
        <v>100</v>
      </c>
      <c r="DP39" s="355">
        <v>10.8</v>
      </c>
      <c r="DQ39" s="365">
        <v>-18.8</v>
      </c>
      <c r="DR39" s="355">
        <v>12.1</v>
      </c>
      <c r="DS39" s="365">
        <v>-12.1</v>
      </c>
      <c r="DT39" s="355">
        <v>14.9</v>
      </c>
      <c r="DU39" s="365">
        <v>-14.9</v>
      </c>
      <c r="DV39" s="355">
        <v>16.5</v>
      </c>
      <c r="DW39" s="365">
        <v>-16.5</v>
      </c>
      <c r="DX39" s="355">
        <v>18.100000000000001</v>
      </c>
      <c r="DY39" s="365">
        <v>-18.100000000000001</v>
      </c>
      <c r="DZ39" s="355">
        <v>21.5</v>
      </c>
      <c r="EA39" s="365">
        <v>-21.5</v>
      </c>
      <c r="EB39" s="355">
        <v>23.3</v>
      </c>
      <c r="EC39" s="365">
        <v>-23.3</v>
      </c>
      <c r="ED39" s="355">
        <v>25.2</v>
      </c>
      <c r="EE39" s="365">
        <v>-25.2</v>
      </c>
      <c r="EF39" s="355">
        <v>29.3</v>
      </c>
      <c r="EG39" s="365">
        <v>-29.3</v>
      </c>
      <c r="EH39" s="355">
        <v>31.4</v>
      </c>
      <c r="EI39" s="365">
        <v>-31.4</v>
      </c>
      <c r="EJ39" s="355">
        <v>33.6</v>
      </c>
      <c r="EK39" s="365">
        <v>-33.6</v>
      </c>
      <c r="EL39" s="355">
        <v>43.2</v>
      </c>
      <c r="EM39" s="365">
        <v>-43.2</v>
      </c>
    </row>
    <row r="40" spans="1:159" x14ac:dyDescent="0.2">
      <c r="A40" s="52"/>
      <c r="B40" s="433" t="s">
        <v>134</v>
      </c>
      <c r="C40" s="434"/>
      <c r="D40" s="435"/>
      <c r="E40" s="425" t="s">
        <v>179</v>
      </c>
      <c r="F40" s="413" t="s">
        <v>361</v>
      </c>
      <c r="G40" s="422" t="e">
        <f>$D$28*$C$16*$D$29*$AJ$143</f>
        <v>#REF!</v>
      </c>
      <c r="H40" s="403" t="e">
        <f>IF(AND($AD$6&gt;=25,$AD$6&lt;=45),$D$28*$C$16*$D$29*$AJ$144,"---")</f>
        <v>#REF!</v>
      </c>
      <c r="I40" s="416"/>
      <c r="J40" s="417"/>
      <c r="L40" s="6"/>
      <c r="M40" s="200">
        <v>8</v>
      </c>
      <c r="N40" s="21"/>
      <c r="O40" s="235">
        <v>30</v>
      </c>
      <c r="P40" s="235">
        <v>1</v>
      </c>
      <c r="Q40" s="236">
        <v>17.8</v>
      </c>
      <c r="R40" s="237">
        <v>12.2</v>
      </c>
      <c r="S40" s="237">
        <v>14.2</v>
      </c>
      <c r="T40" s="238">
        <v>9.8000000000000007</v>
      </c>
      <c r="U40" s="236">
        <v>1.4</v>
      </c>
      <c r="V40" s="237">
        <v>-10.8</v>
      </c>
      <c r="W40" s="237">
        <v>0.5</v>
      </c>
      <c r="X40" s="239">
        <v>-9.3000000000000007</v>
      </c>
      <c r="Y40" s="236">
        <v>-6.3</v>
      </c>
      <c r="Z40" s="238">
        <v>-7.2</v>
      </c>
      <c r="AA40" s="218">
        <v>30</v>
      </c>
      <c r="AB40" s="229"/>
      <c r="AC40" s="230"/>
      <c r="AD40" s="552"/>
      <c r="AE40" s="552"/>
      <c r="AF40" s="552"/>
      <c r="AG40" s="552"/>
      <c r="AH40" s="552"/>
      <c r="AI40" s="552"/>
      <c r="AJ40" s="552"/>
      <c r="AK40" s="552"/>
      <c r="AL40" s="552"/>
      <c r="AM40" s="553"/>
      <c r="AN40" s="233"/>
      <c r="AP40" s="21" t="s">
        <v>122</v>
      </c>
      <c r="AQ40" s="222">
        <v>2</v>
      </c>
      <c r="AR40" s="223">
        <v>50</v>
      </c>
      <c r="AS40" s="211">
        <v>11.1</v>
      </c>
      <c r="AT40" s="211">
        <v>12.5</v>
      </c>
      <c r="AU40" s="211">
        <v>15.4</v>
      </c>
      <c r="AV40" s="212">
        <v>17</v>
      </c>
      <c r="AW40" s="211">
        <v>18.600000000000001</v>
      </c>
      <c r="AX40" s="211">
        <v>22.2</v>
      </c>
      <c r="AY40" s="211">
        <v>24.1</v>
      </c>
      <c r="AZ40" s="211">
        <v>26</v>
      </c>
      <c r="BA40" s="211">
        <v>30.2</v>
      </c>
      <c r="BB40" s="570">
        <v>32.4</v>
      </c>
      <c r="BC40" s="212">
        <v>34.6</v>
      </c>
      <c r="BD40" s="224">
        <v>44.5</v>
      </c>
      <c r="BE40" s="200" t="s">
        <v>22</v>
      </c>
      <c r="BF40" s="475" t="e">
        <f t="shared" si="0"/>
        <v>#REF!</v>
      </c>
      <c r="BH40" s="21" t="s">
        <v>122</v>
      </c>
      <c r="BI40" s="222">
        <v>2</v>
      </c>
      <c r="BJ40" s="223">
        <v>50</v>
      </c>
      <c r="BK40" s="211">
        <v>-13.7</v>
      </c>
      <c r="BL40" s="211">
        <v>-15.3</v>
      </c>
      <c r="BM40" s="211">
        <v>-18.899999999999999</v>
      </c>
      <c r="BN40" s="211">
        <v>-20.8</v>
      </c>
      <c r="BO40" s="211">
        <v>-22.9</v>
      </c>
      <c r="BP40" s="211">
        <v>-27.2</v>
      </c>
      <c r="BQ40" s="211">
        <v>-29.5</v>
      </c>
      <c r="BR40" s="211">
        <v>-32</v>
      </c>
      <c r="BS40" s="211">
        <v>-37.1</v>
      </c>
      <c r="BT40" s="570">
        <v>-39.799999999999997</v>
      </c>
      <c r="BU40" s="212">
        <v>-42.5</v>
      </c>
      <c r="BV40" s="224">
        <v>-54.6</v>
      </c>
      <c r="BW40" s="200" t="s">
        <v>22</v>
      </c>
      <c r="BX40" s="475" t="e">
        <f t="shared" si="1"/>
        <v>#REF!</v>
      </c>
      <c r="BY40" s="475"/>
      <c r="BZ40" s="7" t="s">
        <v>135</v>
      </c>
      <c r="CA40" s="9"/>
      <c r="CB40" s="2"/>
      <c r="CO40" s="475"/>
      <c r="CW40" s="57"/>
      <c r="CX40" s="467">
        <v>105</v>
      </c>
      <c r="CY40" s="358">
        <v>20</v>
      </c>
      <c r="CZ40" s="358">
        <v>4</v>
      </c>
      <c r="DA40" s="358">
        <v>1</v>
      </c>
      <c r="DB40" s="359">
        <v>24.3</v>
      </c>
      <c r="DC40" s="360">
        <v>-8.4</v>
      </c>
      <c r="DD40" s="360">
        <v>16.100000000000001</v>
      </c>
      <c r="DE40" s="361">
        <v>-3.5</v>
      </c>
      <c r="DF40" s="359">
        <v>-21.1</v>
      </c>
      <c r="DG40" s="360">
        <v>-14.7</v>
      </c>
      <c r="DH40" s="360">
        <v>-14.7</v>
      </c>
      <c r="DI40" s="362">
        <v>-11.1</v>
      </c>
      <c r="DJ40" s="359">
        <v>-29.4</v>
      </c>
      <c r="DK40" s="361">
        <v>-23</v>
      </c>
      <c r="DM40" s="334"/>
      <c r="DN40" s="363">
        <v>2</v>
      </c>
      <c r="DO40" s="364">
        <v>10</v>
      </c>
      <c r="DP40" s="355">
        <v>11.9</v>
      </c>
      <c r="DQ40" s="365">
        <v>-15.2</v>
      </c>
      <c r="DR40" s="355">
        <v>13.3</v>
      </c>
      <c r="DS40" s="365">
        <v>-17</v>
      </c>
      <c r="DT40" s="355">
        <v>16.5</v>
      </c>
      <c r="DU40" s="365">
        <v>-21</v>
      </c>
      <c r="DV40" s="355">
        <v>18.2</v>
      </c>
      <c r="DW40" s="365">
        <v>-23.2</v>
      </c>
      <c r="DX40" s="355">
        <v>19.899999999999999</v>
      </c>
      <c r="DY40" s="365">
        <v>-25.5</v>
      </c>
      <c r="DZ40" s="355">
        <v>23.7</v>
      </c>
      <c r="EA40" s="365">
        <v>-30.3</v>
      </c>
      <c r="EB40" s="355">
        <v>25.7</v>
      </c>
      <c r="EC40" s="365">
        <v>-32.9</v>
      </c>
      <c r="ED40" s="355">
        <v>27.8</v>
      </c>
      <c r="EE40" s="365">
        <v>-35.6</v>
      </c>
      <c r="EF40" s="355">
        <v>32.299999999999997</v>
      </c>
      <c r="EG40" s="365">
        <v>-41.2</v>
      </c>
      <c r="EH40" s="355">
        <v>34.6</v>
      </c>
      <c r="EI40" s="365">
        <v>-44.2</v>
      </c>
      <c r="EJ40" s="355">
        <v>37</v>
      </c>
      <c r="EK40" s="365">
        <v>-47.3</v>
      </c>
      <c r="EL40" s="355">
        <v>47.6</v>
      </c>
      <c r="EM40" s="365">
        <v>-60.8</v>
      </c>
    </row>
    <row r="41" spans="1:159" x14ac:dyDescent="0.2">
      <c r="A41" s="52"/>
      <c r="B41" s="437" t="s">
        <v>136</v>
      </c>
      <c r="C41" s="443"/>
      <c r="D41" s="439"/>
      <c r="E41" s="426" t="s">
        <v>179</v>
      </c>
      <c r="F41" s="414" t="s">
        <v>104</v>
      </c>
      <c r="G41" s="487" t="e">
        <f>$D$28*$C$16*$D$29*$AK$143</f>
        <v>#REF!</v>
      </c>
      <c r="H41" s="404" t="e">
        <f>IF(AND($AD$6&gt;=25,$AD$6&lt;=45),$D$28*$C$16*$D$29*$AK$144,"---")</f>
        <v>#REF!</v>
      </c>
      <c r="I41" s="416"/>
      <c r="J41" s="417"/>
      <c r="L41" s="6"/>
      <c r="M41" s="200">
        <v>9</v>
      </c>
      <c r="N41" s="249"/>
      <c r="O41" s="210"/>
      <c r="P41" s="210">
        <v>2</v>
      </c>
      <c r="Q41" s="240">
        <v>17.8</v>
      </c>
      <c r="R41" s="241">
        <v>12.2</v>
      </c>
      <c r="S41" s="241">
        <v>14.2</v>
      </c>
      <c r="T41" s="242">
        <v>9.8000000000000007</v>
      </c>
      <c r="U41" s="240">
        <v>6.9</v>
      </c>
      <c r="V41" s="241">
        <v>-5.3</v>
      </c>
      <c r="W41" s="241">
        <v>5.9</v>
      </c>
      <c r="X41" s="243">
        <v>-3.8</v>
      </c>
      <c r="Y41" s="240">
        <v>-6.3</v>
      </c>
      <c r="Z41" s="242">
        <v>-7.2</v>
      </c>
      <c r="AA41" s="218">
        <v>31</v>
      </c>
      <c r="AB41" s="229"/>
      <c r="AC41" s="230"/>
      <c r="AD41" s="552"/>
      <c r="AE41" s="552"/>
      <c r="AF41" s="552"/>
      <c r="AG41" s="552"/>
      <c r="AH41" s="552"/>
      <c r="AI41" s="552"/>
      <c r="AJ41" s="552"/>
      <c r="AK41" s="552"/>
      <c r="AL41" s="552"/>
      <c r="AM41" s="553"/>
      <c r="AN41" s="233"/>
      <c r="AP41" s="21" t="s">
        <v>111</v>
      </c>
      <c r="AQ41" s="222">
        <v>2</v>
      </c>
      <c r="AR41" s="223">
        <v>100</v>
      </c>
      <c r="AS41" s="211">
        <v>10.8</v>
      </c>
      <c r="AT41" s="211">
        <v>12.1</v>
      </c>
      <c r="AU41" s="211">
        <v>14.9</v>
      </c>
      <c r="AV41" s="212">
        <v>16.5</v>
      </c>
      <c r="AW41" s="211">
        <v>18.100000000000001</v>
      </c>
      <c r="AX41" s="211">
        <v>21.5</v>
      </c>
      <c r="AY41" s="211">
        <v>23.2</v>
      </c>
      <c r="AZ41" s="211">
        <v>25.2</v>
      </c>
      <c r="BA41" s="211">
        <v>29.3</v>
      </c>
      <c r="BB41" s="570">
        <v>31.4</v>
      </c>
      <c r="BC41" s="212">
        <v>33.6</v>
      </c>
      <c r="BD41" s="224">
        <v>43.2</v>
      </c>
      <c r="BE41" s="200" t="s">
        <v>22</v>
      </c>
      <c r="BF41" s="475" t="e">
        <f t="shared" si="0"/>
        <v>#REF!</v>
      </c>
      <c r="BH41" s="21" t="s">
        <v>111</v>
      </c>
      <c r="BI41" s="222">
        <v>2</v>
      </c>
      <c r="BJ41" s="223">
        <v>100</v>
      </c>
      <c r="BK41" s="211">
        <v>-13</v>
      </c>
      <c r="BL41" s="211">
        <v>-14.6</v>
      </c>
      <c r="BM41" s="211">
        <v>-18</v>
      </c>
      <c r="BN41" s="211">
        <v>-19.8</v>
      </c>
      <c r="BO41" s="211">
        <v>-21.8</v>
      </c>
      <c r="BP41" s="211">
        <v>-25.9</v>
      </c>
      <c r="BQ41" s="211">
        <v>-28.1</v>
      </c>
      <c r="BR41" s="211">
        <v>-30.4</v>
      </c>
      <c r="BS41" s="211">
        <v>-35.299999999999997</v>
      </c>
      <c r="BT41" s="570">
        <v>-37.799999999999997</v>
      </c>
      <c r="BU41" s="212">
        <v>-40.5</v>
      </c>
      <c r="BV41" s="224">
        <v>-52</v>
      </c>
      <c r="BW41" s="200" t="s">
        <v>22</v>
      </c>
      <c r="BX41" s="475" t="e">
        <f t="shared" si="1"/>
        <v>#REF!</v>
      </c>
      <c r="BY41" s="475"/>
      <c r="BZ41" s="7"/>
      <c r="CA41" s="9" t="s">
        <v>35</v>
      </c>
      <c r="CB41" s="2" t="e">
        <f>IF($C$21&lt;=10,$CP$18,IF($C$21&lt;=20,($CP$19-$CP$18)*($C$21-10)/(20-10)+$CP$18,IF($C$21&lt;=50,($CP$20-$CP$19)*($C$21-20)/(50-20 )+$CP$19,IF($C$21&lt;=100,($CP$21-$CP$20)*($C$21-50)/(100-50 )+$CP$20,$CP$21))))</f>
        <v>#REF!</v>
      </c>
      <c r="CC41" s="13" t="s">
        <v>59</v>
      </c>
      <c r="CO41" s="475"/>
      <c r="CW41" s="57"/>
      <c r="CX41" s="467"/>
      <c r="CY41" s="367">
        <v>25</v>
      </c>
      <c r="CZ41" s="367">
        <v>6</v>
      </c>
      <c r="DA41" s="367">
        <v>1</v>
      </c>
      <c r="DB41" s="368">
        <v>21.9</v>
      </c>
      <c r="DC41" s="369">
        <v>3.5</v>
      </c>
      <c r="DD41" s="369">
        <v>15.9</v>
      </c>
      <c r="DE41" s="370">
        <v>3.5</v>
      </c>
      <c r="DF41" s="368">
        <v>-9.6999999999999993</v>
      </c>
      <c r="DG41" s="369">
        <v>-7.1</v>
      </c>
      <c r="DH41" s="369">
        <v>-7.1</v>
      </c>
      <c r="DI41" s="371">
        <v>-10.7</v>
      </c>
      <c r="DJ41" s="368">
        <v>-18.2</v>
      </c>
      <c r="DK41" s="370">
        <v>-15.4</v>
      </c>
      <c r="DM41" s="334" t="s">
        <v>20</v>
      </c>
      <c r="DN41" s="363">
        <v>2</v>
      </c>
      <c r="DO41" s="364">
        <v>20</v>
      </c>
      <c r="DP41" s="355">
        <v>11.6</v>
      </c>
      <c r="DQ41" s="365">
        <v>-14.5</v>
      </c>
      <c r="DR41" s="355">
        <v>13</v>
      </c>
      <c r="DS41" s="365">
        <v>-16.3</v>
      </c>
      <c r="DT41" s="355">
        <v>16</v>
      </c>
      <c r="DU41" s="365">
        <v>-20.100000000000001</v>
      </c>
      <c r="DV41" s="355">
        <v>17.600000000000001</v>
      </c>
      <c r="DW41" s="365">
        <v>-22.2</v>
      </c>
      <c r="DX41" s="355">
        <v>19.399999999999999</v>
      </c>
      <c r="DY41" s="365">
        <v>-24.3</v>
      </c>
      <c r="DZ41" s="355">
        <v>23</v>
      </c>
      <c r="EA41" s="365">
        <v>-29</v>
      </c>
      <c r="EB41" s="355">
        <v>25</v>
      </c>
      <c r="EC41" s="365">
        <v>-31.4</v>
      </c>
      <c r="ED41" s="355">
        <v>27</v>
      </c>
      <c r="EE41" s="365">
        <v>-34</v>
      </c>
      <c r="EF41" s="355">
        <v>31.4</v>
      </c>
      <c r="EG41" s="365">
        <v>-39.4</v>
      </c>
      <c r="EH41" s="355">
        <v>33.700000000000003</v>
      </c>
      <c r="EI41" s="365">
        <v>-42.3</v>
      </c>
      <c r="EJ41" s="355">
        <v>36</v>
      </c>
      <c r="EK41" s="365">
        <v>-45.3</v>
      </c>
      <c r="EL41" s="355">
        <v>46.3</v>
      </c>
      <c r="EM41" s="365">
        <v>-58.1</v>
      </c>
    </row>
    <row r="42" spans="1:159" x14ac:dyDescent="0.2">
      <c r="A42" s="52"/>
      <c r="I42" s="416"/>
      <c r="J42" s="417"/>
      <c r="L42" s="6"/>
      <c r="M42" s="200">
        <v>10</v>
      </c>
      <c r="N42" s="21"/>
      <c r="O42" s="235">
        <v>45</v>
      </c>
      <c r="P42" s="235">
        <v>1</v>
      </c>
      <c r="Q42" s="236">
        <v>17.8</v>
      </c>
      <c r="R42" s="237">
        <v>12.2</v>
      </c>
      <c r="S42" s="237">
        <v>14.2</v>
      </c>
      <c r="T42" s="238">
        <v>9.8000000000000007</v>
      </c>
      <c r="U42" s="236">
        <v>1.4</v>
      </c>
      <c r="V42" s="237">
        <v>-10.8</v>
      </c>
      <c r="W42" s="237">
        <v>0.5</v>
      </c>
      <c r="X42" s="239">
        <v>-9.3000000000000007</v>
      </c>
      <c r="Y42" s="236">
        <v>-6.3</v>
      </c>
      <c r="Z42" s="238">
        <v>-7.2</v>
      </c>
      <c r="AA42" s="218">
        <v>32</v>
      </c>
      <c r="AB42" s="229"/>
      <c r="AC42" s="230"/>
      <c r="AD42" s="552"/>
      <c r="AE42" s="552"/>
      <c r="AF42" s="552"/>
      <c r="AG42" s="552"/>
      <c r="AH42" s="552"/>
      <c r="AI42" s="552"/>
      <c r="AJ42" s="552"/>
      <c r="AK42" s="552"/>
      <c r="AL42" s="552"/>
      <c r="AM42" s="553"/>
      <c r="AN42" s="233"/>
      <c r="AP42" s="21"/>
      <c r="AQ42" s="222">
        <v>3</v>
      </c>
      <c r="AR42" s="223">
        <v>10</v>
      </c>
      <c r="AS42" s="211">
        <v>11.9</v>
      </c>
      <c r="AT42" s="211">
        <v>13.3</v>
      </c>
      <c r="AU42" s="211">
        <v>16.5</v>
      </c>
      <c r="AV42" s="212">
        <v>18.2</v>
      </c>
      <c r="AW42" s="211">
        <v>19.899999999999999</v>
      </c>
      <c r="AX42" s="211">
        <v>23.7</v>
      </c>
      <c r="AY42" s="211">
        <v>25.7</v>
      </c>
      <c r="AZ42" s="211">
        <v>27.8</v>
      </c>
      <c r="BA42" s="211">
        <v>32.299999999999997</v>
      </c>
      <c r="BB42" s="570">
        <v>34.6</v>
      </c>
      <c r="BC42" s="212">
        <v>37</v>
      </c>
      <c r="BD42" s="224">
        <v>47.6</v>
      </c>
      <c r="BE42" s="200" t="s">
        <v>22</v>
      </c>
      <c r="BF42" s="475" t="e">
        <f t="shared" si="0"/>
        <v>#REF!</v>
      </c>
      <c r="BH42" s="21"/>
      <c r="BI42" s="222">
        <v>3</v>
      </c>
      <c r="BJ42" s="223">
        <v>10</v>
      </c>
      <c r="BK42" s="211">
        <v>-15.2</v>
      </c>
      <c r="BL42" s="211">
        <v>-17</v>
      </c>
      <c r="BM42" s="211">
        <v>-21</v>
      </c>
      <c r="BN42" s="211">
        <v>-23.2</v>
      </c>
      <c r="BO42" s="211">
        <v>-25.5</v>
      </c>
      <c r="BP42" s="211">
        <v>-30.3</v>
      </c>
      <c r="BQ42" s="211">
        <v>-32.9</v>
      </c>
      <c r="BR42" s="211">
        <v>-35.6</v>
      </c>
      <c r="BS42" s="211">
        <v>-41.2</v>
      </c>
      <c r="BT42" s="570">
        <v>-44.2</v>
      </c>
      <c r="BU42" s="212">
        <v>-47.3</v>
      </c>
      <c r="BV42" s="224">
        <v>-60.8</v>
      </c>
      <c r="BW42" s="200" t="s">
        <v>22</v>
      </c>
      <c r="BX42" s="475" t="e">
        <f t="shared" si="1"/>
        <v>#REF!</v>
      </c>
      <c r="BY42" s="475"/>
      <c r="BZ42" s="7"/>
      <c r="CA42" s="9" t="s">
        <v>36</v>
      </c>
      <c r="CB42" s="2" t="e">
        <f>IF($C$21&lt;=10,$CP$22,IF($C$21&lt;=20,($CP$23-$CP$22)*($C$21-10)/(20-10)+$CP$22,IF($C$21&lt;=50,($CP$24-$CP$23)*($C$21-20)/(50-20 )+$CP$23,IF($C$21&lt;=100,($CP$25-$CP$24)*($C$21-50)/(100-50 )+$CP$24,$CP$25))))</f>
        <v>#REF!</v>
      </c>
      <c r="CC42" s="13" t="s">
        <v>59</v>
      </c>
      <c r="CO42" s="475"/>
      <c r="CW42" s="57"/>
      <c r="CX42" s="467"/>
      <c r="CY42" s="372"/>
      <c r="CZ42" s="372"/>
      <c r="DA42" s="372">
        <v>2</v>
      </c>
      <c r="DB42" s="373" t="s">
        <v>145</v>
      </c>
      <c r="DC42" s="374" t="s">
        <v>145</v>
      </c>
      <c r="DD42" s="374" t="s">
        <v>145</v>
      </c>
      <c r="DE42" s="375" t="s">
        <v>145</v>
      </c>
      <c r="DF42" s="376">
        <v>-3.7</v>
      </c>
      <c r="DG42" s="377">
        <v>-1</v>
      </c>
      <c r="DH42" s="377">
        <v>-1</v>
      </c>
      <c r="DI42" s="378">
        <v>-4.5999999999999996</v>
      </c>
      <c r="DJ42" s="373" t="s">
        <v>145</v>
      </c>
      <c r="DK42" s="375" t="s">
        <v>145</v>
      </c>
      <c r="DM42" s="334" t="s">
        <v>122</v>
      </c>
      <c r="DN42" s="363">
        <v>2</v>
      </c>
      <c r="DO42" s="364">
        <v>50</v>
      </c>
      <c r="DP42" s="355">
        <v>11.1</v>
      </c>
      <c r="DQ42" s="365">
        <v>-13.7</v>
      </c>
      <c r="DR42" s="355">
        <v>12.5</v>
      </c>
      <c r="DS42" s="365">
        <v>-15.3</v>
      </c>
      <c r="DT42" s="355">
        <v>15.4</v>
      </c>
      <c r="DU42" s="365">
        <v>-18.899999999999999</v>
      </c>
      <c r="DV42" s="355">
        <v>17</v>
      </c>
      <c r="DW42" s="365">
        <v>-20.8</v>
      </c>
      <c r="DX42" s="355">
        <v>18.600000000000001</v>
      </c>
      <c r="DY42" s="365">
        <v>-22.9</v>
      </c>
      <c r="DZ42" s="355">
        <v>22.2</v>
      </c>
      <c r="EA42" s="365">
        <v>-27.2</v>
      </c>
      <c r="EB42" s="355">
        <v>24.1</v>
      </c>
      <c r="EC42" s="365">
        <v>-29.5</v>
      </c>
      <c r="ED42" s="355">
        <v>26</v>
      </c>
      <c r="EE42" s="365">
        <v>-32</v>
      </c>
      <c r="EF42" s="355">
        <v>30.2</v>
      </c>
      <c r="EG42" s="365">
        <v>-37.1</v>
      </c>
      <c r="EH42" s="355">
        <v>32.4</v>
      </c>
      <c r="EI42" s="365">
        <v>-39.799999999999997</v>
      </c>
      <c r="EJ42" s="355">
        <v>34.6</v>
      </c>
      <c r="EK42" s="365">
        <v>-42.5</v>
      </c>
      <c r="EL42" s="355">
        <v>44.5</v>
      </c>
      <c r="EM42" s="365">
        <v>-54.6</v>
      </c>
    </row>
    <row r="43" spans="1:159" x14ac:dyDescent="0.2">
      <c r="A43" s="52"/>
      <c r="B43" s="80" t="s">
        <v>171</v>
      </c>
      <c r="E43" s="53" t="s">
        <v>185</v>
      </c>
      <c r="J43" s="57"/>
      <c r="L43" s="6"/>
      <c r="M43" s="200">
        <v>11</v>
      </c>
      <c r="N43" s="22"/>
      <c r="O43" s="250"/>
      <c r="P43" s="250">
        <v>2</v>
      </c>
      <c r="Q43" s="251">
        <v>17.8</v>
      </c>
      <c r="R43" s="252">
        <v>12.2</v>
      </c>
      <c r="S43" s="252">
        <v>14.2</v>
      </c>
      <c r="T43" s="253">
        <v>9.8000000000000007</v>
      </c>
      <c r="U43" s="251">
        <v>6.9</v>
      </c>
      <c r="V43" s="252">
        <v>-5.3</v>
      </c>
      <c r="W43" s="252">
        <v>5.9</v>
      </c>
      <c r="X43" s="254">
        <v>-3.8</v>
      </c>
      <c r="Y43" s="251">
        <v>-6.3</v>
      </c>
      <c r="Z43" s="253">
        <v>-7.2</v>
      </c>
      <c r="AA43" s="218">
        <v>33</v>
      </c>
      <c r="AB43" s="255"/>
      <c r="AC43" s="554"/>
      <c r="AD43" s="555"/>
      <c r="AE43" s="555"/>
      <c r="AF43" s="555"/>
      <c r="AG43" s="555"/>
      <c r="AH43" s="555"/>
      <c r="AI43" s="555"/>
      <c r="AJ43" s="555"/>
      <c r="AK43" s="555"/>
      <c r="AL43" s="555"/>
      <c r="AM43" s="556"/>
      <c r="AN43" s="233"/>
      <c r="AP43" s="21"/>
      <c r="AQ43" s="222">
        <v>3</v>
      </c>
      <c r="AR43" s="223">
        <v>20</v>
      </c>
      <c r="AS43" s="211">
        <v>11.6</v>
      </c>
      <c r="AT43" s="211">
        <v>13</v>
      </c>
      <c r="AU43" s="211">
        <v>16</v>
      </c>
      <c r="AV43" s="212">
        <v>17.600000000000001</v>
      </c>
      <c r="AW43" s="211">
        <v>19.399999999999999</v>
      </c>
      <c r="AX43" s="211">
        <v>23</v>
      </c>
      <c r="AY43" s="211">
        <v>25</v>
      </c>
      <c r="AZ43" s="211">
        <v>27</v>
      </c>
      <c r="BA43" s="211">
        <v>31.4</v>
      </c>
      <c r="BB43" s="570">
        <v>33.700000000000003</v>
      </c>
      <c r="BC43" s="212">
        <v>36</v>
      </c>
      <c r="BD43" s="224">
        <v>46.3</v>
      </c>
      <c r="BE43" s="200" t="s">
        <v>22</v>
      </c>
      <c r="BF43" s="475" t="e">
        <f t="shared" si="0"/>
        <v>#REF!</v>
      </c>
      <c r="BH43" s="21"/>
      <c r="BI43" s="222">
        <v>3</v>
      </c>
      <c r="BJ43" s="223">
        <v>20</v>
      </c>
      <c r="BK43" s="211">
        <v>-14.5</v>
      </c>
      <c r="BL43" s="211">
        <v>-16.3</v>
      </c>
      <c r="BM43" s="211">
        <v>-20.100000000000001</v>
      </c>
      <c r="BN43" s="211">
        <v>-22.2</v>
      </c>
      <c r="BO43" s="211">
        <v>-24.3</v>
      </c>
      <c r="BP43" s="211">
        <v>-29</v>
      </c>
      <c r="BQ43" s="211">
        <v>-31.4</v>
      </c>
      <c r="BR43" s="211">
        <v>-34</v>
      </c>
      <c r="BS43" s="211">
        <v>-39.4</v>
      </c>
      <c r="BT43" s="570">
        <v>-42.3</v>
      </c>
      <c r="BU43" s="212">
        <v>-45.3</v>
      </c>
      <c r="BV43" s="224">
        <v>-58.1</v>
      </c>
      <c r="BW43" s="200" t="s">
        <v>22</v>
      </c>
      <c r="BX43" s="475" t="e">
        <f t="shared" si="1"/>
        <v>#REF!</v>
      </c>
      <c r="BY43" s="475"/>
      <c r="BZ43" s="7" t="s">
        <v>137</v>
      </c>
      <c r="CA43" s="9"/>
      <c r="CB43" s="2"/>
      <c r="CO43" s="475"/>
      <c r="CW43" s="57"/>
      <c r="CX43" s="467"/>
      <c r="CY43" s="367" t="s">
        <v>164</v>
      </c>
      <c r="CZ43" s="367" t="s">
        <v>166</v>
      </c>
      <c r="DA43" s="367">
        <v>1</v>
      </c>
      <c r="DB43" s="368">
        <v>19.600000000000001</v>
      </c>
      <c r="DC43" s="369">
        <v>13.5</v>
      </c>
      <c r="DD43" s="369">
        <v>10.8</v>
      </c>
      <c r="DE43" s="370">
        <v>10.8</v>
      </c>
      <c r="DF43" s="368">
        <v>1.5</v>
      </c>
      <c r="DG43" s="369">
        <v>0.6</v>
      </c>
      <c r="DH43" s="369">
        <v>0.6</v>
      </c>
      <c r="DI43" s="371">
        <v>-10.3</v>
      </c>
      <c r="DJ43" s="368">
        <v>-6.9</v>
      </c>
      <c r="DK43" s="370">
        <v>-7.9</v>
      </c>
      <c r="DM43" s="334" t="s">
        <v>111</v>
      </c>
      <c r="DN43" s="363">
        <v>2</v>
      </c>
      <c r="DO43" s="364">
        <v>100</v>
      </c>
      <c r="DP43" s="355">
        <v>10.8</v>
      </c>
      <c r="DQ43" s="365">
        <v>-13</v>
      </c>
      <c r="DR43" s="355">
        <v>12.1</v>
      </c>
      <c r="DS43" s="365">
        <v>-14.6</v>
      </c>
      <c r="DT43" s="355">
        <v>14.9</v>
      </c>
      <c r="DU43" s="365">
        <v>-18</v>
      </c>
      <c r="DV43" s="355">
        <v>16.5</v>
      </c>
      <c r="DW43" s="365">
        <v>-19.8</v>
      </c>
      <c r="DX43" s="355">
        <v>18.100000000000001</v>
      </c>
      <c r="DY43" s="365">
        <v>-21.8</v>
      </c>
      <c r="DZ43" s="355">
        <v>21.5</v>
      </c>
      <c r="EA43" s="365">
        <v>-25.9</v>
      </c>
      <c r="EB43" s="355">
        <v>23.2</v>
      </c>
      <c r="EC43" s="365">
        <v>-28.1</v>
      </c>
      <c r="ED43" s="355">
        <v>25.2</v>
      </c>
      <c r="EE43" s="365">
        <v>-30.4</v>
      </c>
      <c r="EF43" s="355">
        <v>29.3</v>
      </c>
      <c r="EG43" s="365">
        <v>-35.299999999999997</v>
      </c>
      <c r="EH43" s="355">
        <v>31.4</v>
      </c>
      <c r="EI43" s="365">
        <v>-37.799999999999997</v>
      </c>
      <c r="EJ43" s="355">
        <v>33.6</v>
      </c>
      <c r="EK43" s="365">
        <v>-40.5</v>
      </c>
      <c r="EL43" s="355">
        <v>43.2</v>
      </c>
      <c r="EM43" s="365">
        <v>-52</v>
      </c>
    </row>
    <row r="44" spans="1:159" x14ac:dyDescent="0.2">
      <c r="A44" s="52"/>
      <c r="C44" s="56" t="s">
        <v>376</v>
      </c>
      <c r="D44" s="405">
        <f>$AD$148</f>
        <v>0</v>
      </c>
      <c r="E44" s="416" t="s">
        <v>207</v>
      </c>
      <c r="J44" s="57"/>
      <c r="L44" s="6"/>
      <c r="M44" s="200">
        <v>1</v>
      </c>
      <c r="N44" s="197"/>
      <c r="O44" s="205">
        <v>0</v>
      </c>
      <c r="P44" s="205">
        <v>1</v>
      </c>
      <c r="Q44" s="206">
        <v>17.5</v>
      </c>
      <c r="R44" s="215">
        <v>-9</v>
      </c>
      <c r="S44" s="215">
        <v>11.6</v>
      </c>
      <c r="T44" s="216">
        <v>-5.4</v>
      </c>
      <c r="U44" s="206">
        <v>-21.1</v>
      </c>
      <c r="V44" s="215">
        <v>-11.9</v>
      </c>
      <c r="W44" s="215">
        <v>-14.7</v>
      </c>
      <c r="X44" s="217">
        <v>-9.3000000000000007</v>
      </c>
      <c r="Y44" s="206">
        <v>-29.4</v>
      </c>
      <c r="Z44" s="216">
        <v>-23</v>
      </c>
      <c r="AA44" s="218">
        <v>34</v>
      </c>
      <c r="AB44" s="219"/>
      <c r="AC44" s="220" t="e">
        <f>IF($C$8=$N49,VLOOKUP(MATCH($AD$6,$O44:$O54,1),$M44:$Z54,3),"")</f>
        <v>#REF!</v>
      </c>
      <c r="AD44" s="220" t="e">
        <f>IF($C$8=$N49,VLOOKUP(MATCH($AD$6,$O44:$O54,1),$M44:$Z54,5),"")</f>
        <v>#REF!</v>
      </c>
      <c r="AE44" s="220" t="e">
        <f>IF($C$8=$N49,VLOOKUP(MATCH($AD$6,$O44:$O54,1),$M44:$Z54,6),"")</f>
        <v>#REF!</v>
      </c>
      <c r="AF44" s="220" t="e">
        <f>IF($C$8=$N49,VLOOKUP(MATCH($AD$6,$O44:$O54,1),$M44:$Z54,7),"")</f>
        <v>#REF!</v>
      </c>
      <c r="AG44" s="220" t="e">
        <f>IF($C$8=$N49,VLOOKUP(MATCH($AD$6,$O44:$O54,1),$M44:$Z54,8),"")</f>
        <v>#REF!</v>
      </c>
      <c r="AH44" s="220" t="e">
        <f>IF($C$8=$N49,VLOOKUP(MATCH($AD$6,$O44:$O54,1),$M44:$Z54,9),"")</f>
        <v>#REF!</v>
      </c>
      <c r="AI44" s="220" t="e">
        <f>IF($C$8=$N49,VLOOKUP(MATCH($AD$6,$O44:$O54,1),$M44:$Z54,10),"")</f>
        <v>#REF!</v>
      </c>
      <c r="AJ44" s="220" t="e">
        <f>IF($C$8=$N49,VLOOKUP(MATCH($AD$6,$O44:$O54,1),$M44:$Z54,11),"")</f>
        <v>#REF!</v>
      </c>
      <c r="AK44" s="220" t="e">
        <f>IF($C$8=$N49,VLOOKUP(MATCH($AD$6,$O44:$O54,1),$M44:$Z54,12),"")</f>
        <v>#REF!</v>
      </c>
      <c r="AL44" s="220" t="e">
        <f>IF($C$8=$N49,VLOOKUP(MATCH($AD$6,$O44:$O54,1),$M44:$Z54,13),"")</f>
        <v>#REF!</v>
      </c>
      <c r="AM44" s="221" t="e">
        <f>IF($C$8=$N49,VLOOKUP(MATCH($AD$6,$O44:$O54,1),$M44:$Z54,14),"")</f>
        <v>#REF!</v>
      </c>
      <c r="AN44" s="19"/>
      <c r="AP44" s="21"/>
      <c r="AQ44" s="222">
        <v>3</v>
      </c>
      <c r="AR44" s="223">
        <v>50</v>
      </c>
      <c r="AS44" s="211">
        <v>11.1</v>
      </c>
      <c r="AT44" s="211">
        <v>12.5</v>
      </c>
      <c r="AU44" s="211">
        <v>15.4</v>
      </c>
      <c r="AV44" s="211">
        <v>17</v>
      </c>
      <c r="AW44" s="211">
        <v>18.600000000000001</v>
      </c>
      <c r="AX44" s="211">
        <v>22.2</v>
      </c>
      <c r="AY44" s="211">
        <v>24.1</v>
      </c>
      <c r="AZ44" s="211">
        <v>26</v>
      </c>
      <c r="BA44" s="211">
        <v>30.2</v>
      </c>
      <c r="BB44" s="570">
        <v>32.4</v>
      </c>
      <c r="BC44" s="212">
        <v>34.6</v>
      </c>
      <c r="BD44" s="224">
        <v>44.5</v>
      </c>
      <c r="BE44" s="200" t="s">
        <v>22</v>
      </c>
      <c r="BF44" s="475" t="e">
        <f t="shared" si="0"/>
        <v>#REF!</v>
      </c>
      <c r="BH44" s="21"/>
      <c r="BI44" s="222">
        <v>3</v>
      </c>
      <c r="BJ44" s="223">
        <v>50</v>
      </c>
      <c r="BK44" s="211">
        <v>-13.7</v>
      </c>
      <c r="BL44" s="211">
        <v>-15.3</v>
      </c>
      <c r="BM44" s="211">
        <v>-18.899999999999999</v>
      </c>
      <c r="BN44" s="211">
        <v>-20.8</v>
      </c>
      <c r="BO44" s="211">
        <v>-22.9</v>
      </c>
      <c r="BP44" s="211">
        <v>-27.2</v>
      </c>
      <c r="BQ44" s="211">
        <v>-29.5</v>
      </c>
      <c r="BR44" s="211">
        <v>-32</v>
      </c>
      <c r="BS44" s="211">
        <v>-37.1</v>
      </c>
      <c r="BT44" s="570">
        <v>-39.799999999999997</v>
      </c>
      <c r="BU44" s="212">
        <v>-42.5</v>
      </c>
      <c r="BV44" s="224">
        <v>-54.6</v>
      </c>
      <c r="BW44" s="200" t="s">
        <v>22</v>
      </c>
      <c r="BX44" s="475" t="e">
        <f t="shared" si="1"/>
        <v>#REF!</v>
      </c>
      <c r="BY44" s="475"/>
      <c r="BZ44" s="7"/>
      <c r="CA44" s="9" t="s">
        <v>35</v>
      </c>
      <c r="CB44" s="2" t="e">
        <f>IF($C$21&lt;=10,$CP$26,IF($C$21&lt;=20,($CP$27-$CP$26)*($C$21-10)/(20-10)+$CP$26,IF($C$21&lt;=50,($CP$28-$CP$27)*($C$21-20)/(50-20 )+$CP$27,IF($C$21&lt;=100,($CP$29-$CP$28)*($C$21-50)/(100-50 )+$CP$28,$CP$29))))</f>
        <v>#REF!</v>
      </c>
      <c r="CC44" s="13" t="s">
        <v>59</v>
      </c>
      <c r="CO44" s="475"/>
      <c r="CW44" s="57"/>
      <c r="CX44" s="468"/>
      <c r="CY44" s="178"/>
      <c r="CZ44" s="178"/>
      <c r="DA44" s="178">
        <v>2</v>
      </c>
      <c r="DB44" s="388">
        <v>19.600000000000001</v>
      </c>
      <c r="DC44" s="389">
        <v>13.5</v>
      </c>
      <c r="DD44" s="389">
        <v>10.8</v>
      </c>
      <c r="DE44" s="390">
        <v>10.8</v>
      </c>
      <c r="DF44" s="388">
        <v>7.6</v>
      </c>
      <c r="DG44" s="389">
        <v>6.5</v>
      </c>
      <c r="DH44" s="389">
        <v>6.5</v>
      </c>
      <c r="DI44" s="391">
        <v>-4.2</v>
      </c>
      <c r="DJ44" s="388">
        <v>-6.9</v>
      </c>
      <c r="DK44" s="390">
        <v>-7.9</v>
      </c>
      <c r="DM44" s="334"/>
      <c r="DN44" s="363">
        <v>3</v>
      </c>
      <c r="DO44" s="364">
        <v>10</v>
      </c>
      <c r="DP44" s="355">
        <v>11.9</v>
      </c>
      <c r="DQ44" s="365">
        <v>-15.2</v>
      </c>
      <c r="DR44" s="355">
        <v>13.3</v>
      </c>
      <c r="DS44" s="365">
        <v>-17</v>
      </c>
      <c r="DT44" s="355">
        <v>16.5</v>
      </c>
      <c r="DU44" s="365">
        <v>-21</v>
      </c>
      <c r="DV44" s="355">
        <v>18.2</v>
      </c>
      <c r="DW44" s="365">
        <v>-23.2</v>
      </c>
      <c r="DX44" s="355">
        <v>19.899999999999999</v>
      </c>
      <c r="DY44" s="365">
        <v>-25.5</v>
      </c>
      <c r="DZ44" s="355">
        <v>23.7</v>
      </c>
      <c r="EA44" s="365">
        <v>-30.3</v>
      </c>
      <c r="EB44" s="355">
        <v>25.7</v>
      </c>
      <c r="EC44" s="365">
        <v>-32.9</v>
      </c>
      <c r="ED44" s="355">
        <v>27.8</v>
      </c>
      <c r="EE44" s="365">
        <v>-35.6</v>
      </c>
      <c r="EF44" s="355">
        <v>32.299999999999997</v>
      </c>
      <c r="EG44" s="365">
        <v>-41.2</v>
      </c>
      <c r="EH44" s="355">
        <v>34.6</v>
      </c>
      <c r="EI44" s="365">
        <v>-44.2</v>
      </c>
      <c r="EJ44" s="355">
        <v>37</v>
      </c>
      <c r="EK44" s="365">
        <v>-47.3</v>
      </c>
      <c r="EL44" s="355">
        <v>47.6</v>
      </c>
      <c r="EM44" s="365">
        <v>-60.8</v>
      </c>
    </row>
    <row r="45" spans="1:159" x14ac:dyDescent="0.2">
      <c r="A45" s="52"/>
      <c r="C45" s="56" t="s">
        <v>318</v>
      </c>
      <c r="D45" s="403" t="e">
        <f>$AD$149</f>
        <v>#REF!</v>
      </c>
      <c r="E45" s="508" t="s">
        <v>208</v>
      </c>
      <c r="J45" s="57"/>
      <c r="L45" s="6"/>
      <c r="M45" s="200">
        <v>2</v>
      </c>
      <c r="N45" s="21"/>
      <c r="O45" s="223">
        <v>5</v>
      </c>
      <c r="P45" s="223">
        <v>1</v>
      </c>
      <c r="Q45" s="211">
        <v>17.5</v>
      </c>
      <c r="R45" s="226">
        <v>-9</v>
      </c>
      <c r="S45" s="226">
        <v>11.6</v>
      </c>
      <c r="T45" s="227">
        <v>-5.4</v>
      </c>
      <c r="U45" s="211">
        <v>-21.1</v>
      </c>
      <c r="V45" s="226">
        <v>-11.9</v>
      </c>
      <c r="W45" s="226">
        <v>-14.7</v>
      </c>
      <c r="X45" s="228">
        <v>-9.3000000000000007</v>
      </c>
      <c r="Y45" s="211">
        <v>-29.4</v>
      </c>
      <c r="Z45" s="227">
        <v>-23</v>
      </c>
      <c r="AA45" s="218">
        <v>35</v>
      </c>
      <c r="AB45" s="229"/>
      <c r="AC45" s="230" t="e">
        <f>IF($C$8=$N49,VLOOKUP(MATCH($AD$6,$O44:$O54,1)+IF($AD$6&lt;25,1,2),$M44:$Z54,3),"")</f>
        <v>#REF!</v>
      </c>
      <c r="AD45" s="230" t="e">
        <f>IF($C$8=$N49,VLOOKUP(MATCH($AD$6,$O44:$O54,1)+IF($AD$6&lt;25,1,2),$M44:$Z54,5),"")</f>
        <v>#REF!</v>
      </c>
      <c r="AE45" s="230" t="e">
        <f>IF($C$8=$N49,VLOOKUP(MATCH($AD$6,$O44:$O54,1)+IF($AD$6&lt;25,1,2),$M44:$Z54,6),"")</f>
        <v>#REF!</v>
      </c>
      <c r="AF45" s="230" t="e">
        <f>IF($C$8=$N49,VLOOKUP(MATCH($AD$6,$O44:$O54,1)+IF($AD$6&lt;25,1,2),$M44:$Z54,7),"")</f>
        <v>#REF!</v>
      </c>
      <c r="AG45" s="230" t="e">
        <f>IF($C$8=$N49,VLOOKUP(MATCH($AD$6,$O44:$O54,1)+IF($AD$6&lt;25,1,2),$M44:$Z54,8),"")</f>
        <v>#REF!</v>
      </c>
      <c r="AH45" s="230" t="e">
        <f>IF($C$8=$N49,VLOOKUP(MATCH($AD$6,$O44:$O54,1)+IF($AD$6&lt;25,1,2),$M44:$Z54,9),"")</f>
        <v>#REF!</v>
      </c>
      <c r="AI45" s="230" t="e">
        <f>IF($C$8=$N49,VLOOKUP(MATCH($AD$6,$O44:$O54,1)+IF($AD$6&lt;25,1,2),$M44:$Z54,10),"")</f>
        <v>#REF!</v>
      </c>
      <c r="AJ45" s="230" t="e">
        <f>IF($C$8=$N49,VLOOKUP(MATCH($AD$6,$O44:$O54,1)+IF($AD$6&lt;25,1,2),$M44:$Z54,11),"")</f>
        <v>#REF!</v>
      </c>
      <c r="AK45" s="230" t="e">
        <f>IF($C$8=$N49,VLOOKUP(MATCH($AD$6,$O44:$O54,1)+IF($AD$6&lt;25,1,2),$M44:$Z54,12),"")</f>
        <v>#REF!</v>
      </c>
      <c r="AL45" s="230" t="e">
        <f>IF($C$8=$N49,VLOOKUP(MATCH($AD$6,$O44:$O54,1)+IF($AD$6&lt;25,1,2),$M44:$Z54,13),"")</f>
        <v>#REF!</v>
      </c>
      <c r="AM45" s="231" t="e">
        <f>IF($C$8=$N49,VLOOKUP(MATCH($AD$6,$O44:$O54,1)+IF($AD$6&lt;25,1,2),$M44:$Z54,14),"")</f>
        <v>#REF!</v>
      </c>
      <c r="AN45" s="19"/>
      <c r="AP45" s="22"/>
      <c r="AQ45" s="244">
        <v>3</v>
      </c>
      <c r="AR45" s="245">
        <v>100</v>
      </c>
      <c r="AS45" s="246">
        <v>10.8</v>
      </c>
      <c r="AT45" s="246">
        <v>12.1</v>
      </c>
      <c r="AU45" s="246">
        <v>14.9</v>
      </c>
      <c r="AV45" s="211">
        <v>16.5</v>
      </c>
      <c r="AW45" s="246">
        <v>18.100000000000001</v>
      </c>
      <c r="AX45" s="246">
        <v>21.5</v>
      </c>
      <c r="AY45" s="246">
        <v>23.3</v>
      </c>
      <c r="AZ45" s="246">
        <v>25.2</v>
      </c>
      <c r="BA45" s="246">
        <v>29.3</v>
      </c>
      <c r="BB45" s="571">
        <v>31.4</v>
      </c>
      <c r="BC45" s="247">
        <v>33.6</v>
      </c>
      <c r="BD45" s="248">
        <v>43.2</v>
      </c>
      <c r="BE45" s="200" t="s">
        <v>22</v>
      </c>
      <c r="BF45" s="475" t="e">
        <f t="shared" si="0"/>
        <v>#REF!</v>
      </c>
      <c r="BH45" s="22"/>
      <c r="BI45" s="244">
        <v>3</v>
      </c>
      <c r="BJ45" s="245">
        <v>100</v>
      </c>
      <c r="BK45" s="246">
        <v>-13</v>
      </c>
      <c r="BL45" s="246">
        <v>-14.6</v>
      </c>
      <c r="BM45" s="246">
        <v>-18</v>
      </c>
      <c r="BN45" s="246">
        <v>-19.8</v>
      </c>
      <c r="BO45" s="246">
        <v>-21.8</v>
      </c>
      <c r="BP45" s="246">
        <v>-25.9</v>
      </c>
      <c r="BQ45" s="246">
        <v>-28.1</v>
      </c>
      <c r="BR45" s="246">
        <v>-30.4</v>
      </c>
      <c r="BS45" s="246">
        <v>-35.299999999999997</v>
      </c>
      <c r="BT45" s="571">
        <v>-37.799999999999997</v>
      </c>
      <c r="BU45" s="247">
        <v>-40.5</v>
      </c>
      <c r="BV45" s="248">
        <v>-52</v>
      </c>
      <c r="BW45" s="200" t="s">
        <v>22</v>
      </c>
      <c r="BX45" s="475" t="e">
        <f t="shared" si="1"/>
        <v>#REF!</v>
      </c>
      <c r="BY45" s="475"/>
      <c r="BZ45" s="7"/>
      <c r="CA45" s="9" t="s">
        <v>36</v>
      </c>
      <c r="CB45" s="2" t="e">
        <f>IF($C$21&lt;=10,$CP$30,IF($C$21&lt;=20,($CP$31-$CP$30)*($C$21-10)/(20-10)+$CP$30,IF($C$21&lt;=50,($CP$32-$CP$31)*($C$21-20)/(50-20 )+$CP$31,IF($C$21&lt;=100,($CP$33-$CP$32)*($C$21-50)/(100-50 )+$CP$32,$CP$33))))</f>
        <v>#REF!</v>
      </c>
      <c r="CC45" s="13" t="s">
        <v>59</v>
      </c>
      <c r="CO45" s="475"/>
      <c r="CW45" s="57"/>
      <c r="CX45" s="469"/>
      <c r="CY45" s="396" t="s">
        <v>163</v>
      </c>
      <c r="CZ45" s="396" t="s">
        <v>165</v>
      </c>
      <c r="DA45" s="396">
        <v>1</v>
      </c>
      <c r="DB45" s="397">
        <v>19.2</v>
      </c>
      <c r="DC45" s="398">
        <v>-10</v>
      </c>
      <c r="DD45" s="398">
        <v>12.7</v>
      </c>
      <c r="DE45" s="399">
        <v>-5.9</v>
      </c>
      <c r="DF45" s="397">
        <v>-23.1</v>
      </c>
      <c r="DG45" s="398">
        <v>-13.1</v>
      </c>
      <c r="DH45" s="398">
        <v>-16</v>
      </c>
      <c r="DI45" s="400">
        <v>-10.1</v>
      </c>
      <c r="DJ45" s="397">
        <v>-32.299999999999997</v>
      </c>
      <c r="DK45" s="399">
        <v>-25.3</v>
      </c>
      <c r="DM45" s="334"/>
      <c r="DN45" s="363">
        <v>3</v>
      </c>
      <c r="DO45" s="364">
        <v>20</v>
      </c>
      <c r="DP45" s="355">
        <v>11.6</v>
      </c>
      <c r="DQ45" s="365">
        <v>-14.5</v>
      </c>
      <c r="DR45" s="355">
        <v>13</v>
      </c>
      <c r="DS45" s="365">
        <v>-16.3</v>
      </c>
      <c r="DT45" s="355">
        <v>16</v>
      </c>
      <c r="DU45" s="365">
        <v>-20.100000000000001</v>
      </c>
      <c r="DV45" s="355">
        <v>17.600000000000001</v>
      </c>
      <c r="DW45" s="365">
        <v>-22.2</v>
      </c>
      <c r="DX45" s="355">
        <v>19.399999999999999</v>
      </c>
      <c r="DY45" s="365">
        <v>-24.3</v>
      </c>
      <c r="DZ45" s="355">
        <v>23</v>
      </c>
      <c r="EA45" s="365">
        <v>-29</v>
      </c>
      <c r="EB45" s="355">
        <v>25</v>
      </c>
      <c r="EC45" s="365">
        <v>-31.4</v>
      </c>
      <c r="ED45" s="355">
        <v>27</v>
      </c>
      <c r="EE45" s="365">
        <v>-34</v>
      </c>
      <c r="EF45" s="355">
        <v>31.4</v>
      </c>
      <c r="EG45" s="365">
        <v>-39.4</v>
      </c>
      <c r="EH45" s="355">
        <v>33.700000000000003</v>
      </c>
      <c r="EI45" s="365">
        <v>-42.3</v>
      </c>
      <c r="EJ45" s="355">
        <v>36</v>
      </c>
      <c r="EK45" s="365">
        <v>-45.3</v>
      </c>
      <c r="EL45" s="355">
        <v>46.3</v>
      </c>
      <c r="EM45" s="365">
        <v>-58.1</v>
      </c>
    </row>
    <row r="46" spans="1:159" x14ac:dyDescent="0.2">
      <c r="A46" s="52"/>
      <c r="C46" s="69" t="s">
        <v>154</v>
      </c>
      <c r="D46" s="169" t="e">
        <f>$O$305</f>
        <v>#REF!</v>
      </c>
      <c r="E46" s="416" t="s">
        <v>121</v>
      </c>
      <c r="J46" s="57"/>
      <c r="L46" s="6"/>
      <c r="M46" s="200">
        <v>3</v>
      </c>
      <c r="N46" s="21"/>
      <c r="O46" s="223">
        <v>10</v>
      </c>
      <c r="P46" s="223">
        <v>1</v>
      </c>
      <c r="Q46" s="211">
        <v>19.7</v>
      </c>
      <c r="R46" s="226">
        <v>-8.1999999999999993</v>
      </c>
      <c r="S46" s="226">
        <v>13.1</v>
      </c>
      <c r="T46" s="227">
        <v>-4.7</v>
      </c>
      <c r="U46" s="211">
        <v>-21.1</v>
      </c>
      <c r="V46" s="226">
        <v>-12.8</v>
      </c>
      <c r="W46" s="226">
        <v>-14.7</v>
      </c>
      <c r="X46" s="228">
        <v>-9.8000000000000007</v>
      </c>
      <c r="Y46" s="211">
        <v>-29.4</v>
      </c>
      <c r="Z46" s="227">
        <v>-23</v>
      </c>
      <c r="AA46" s="218">
        <v>36</v>
      </c>
      <c r="AB46" s="229" t="e">
        <f>IF($C$8=$N49,MATCH($AD$6,$O44:$O54,1),0)</f>
        <v>#REF!</v>
      </c>
      <c r="AC46" s="230" t="e">
        <f>IF($C$8=$N49,$AD$6,"")</f>
        <v>#REF!</v>
      </c>
      <c r="AD46" s="230" t="e">
        <f t="shared" ref="AD46:AM46" si="9">IF($C$8=$N49,(AD45-AD44)*($AD$6-$AC44)/($AC45-$AC44)+AD44,"")</f>
        <v>#REF!</v>
      </c>
      <c r="AE46" s="230" t="e">
        <f t="shared" si="9"/>
        <v>#REF!</v>
      </c>
      <c r="AF46" s="230" t="e">
        <f t="shared" si="9"/>
        <v>#REF!</v>
      </c>
      <c r="AG46" s="230" t="e">
        <f t="shared" si="9"/>
        <v>#REF!</v>
      </c>
      <c r="AH46" s="230" t="e">
        <f t="shared" si="9"/>
        <v>#REF!</v>
      </c>
      <c r="AI46" s="230" t="e">
        <f t="shared" si="9"/>
        <v>#REF!</v>
      </c>
      <c r="AJ46" s="230" t="e">
        <f t="shared" si="9"/>
        <v>#REF!</v>
      </c>
      <c r="AK46" s="230" t="e">
        <f t="shared" si="9"/>
        <v>#REF!</v>
      </c>
      <c r="AL46" s="230" t="e">
        <f t="shared" si="9"/>
        <v>#REF!</v>
      </c>
      <c r="AM46" s="231" t="e">
        <f t="shared" si="9"/>
        <v>#REF!</v>
      </c>
      <c r="AN46" s="19"/>
      <c r="AP46" s="197"/>
      <c r="AQ46" s="204">
        <v>4</v>
      </c>
      <c r="AR46" s="205">
        <v>10</v>
      </c>
      <c r="AS46" s="206">
        <v>13</v>
      </c>
      <c r="AT46" s="206">
        <v>14.6</v>
      </c>
      <c r="AU46" s="206">
        <v>18</v>
      </c>
      <c r="AV46" s="206">
        <v>19.8</v>
      </c>
      <c r="AW46" s="206">
        <v>21.8</v>
      </c>
      <c r="AX46" s="206">
        <v>25.9</v>
      </c>
      <c r="AY46" s="206">
        <v>28.1</v>
      </c>
      <c r="AZ46" s="206">
        <v>30.4</v>
      </c>
      <c r="BA46" s="206">
        <v>35.299999999999997</v>
      </c>
      <c r="BB46" s="569">
        <v>37.799999999999997</v>
      </c>
      <c r="BC46" s="207">
        <v>40.5</v>
      </c>
      <c r="BD46" s="208">
        <v>52</v>
      </c>
      <c r="BE46" s="200" t="s">
        <v>22</v>
      </c>
      <c r="BF46" s="475" t="e">
        <f t="shared" si="0"/>
        <v>#REF!</v>
      </c>
      <c r="BH46" s="197"/>
      <c r="BI46" s="204">
        <v>4</v>
      </c>
      <c r="BJ46" s="205">
        <v>10</v>
      </c>
      <c r="BK46" s="206">
        <v>-14.1</v>
      </c>
      <c r="BL46" s="206">
        <v>-15.8</v>
      </c>
      <c r="BM46" s="206">
        <v>-19.5</v>
      </c>
      <c r="BN46" s="206">
        <v>-21.5</v>
      </c>
      <c r="BO46" s="206">
        <v>-23.6</v>
      </c>
      <c r="BP46" s="206">
        <v>-28.1</v>
      </c>
      <c r="BQ46" s="206">
        <v>-30.5</v>
      </c>
      <c r="BR46" s="206">
        <v>-33</v>
      </c>
      <c r="BS46" s="206">
        <v>-38.200000000000003</v>
      </c>
      <c r="BT46" s="569">
        <v>-41</v>
      </c>
      <c r="BU46" s="207">
        <v>-43.9</v>
      </c>
      <c r="BV46" s="208">
        <v>-56.4</v>
      </c>
      <c r="BW46" s="200" t="s">
        <v>22</v>
      </c>
      <c r="BX46" s="475" t="e">
        <f t="shared" si="1"/>
        <v>#REF!</v>
      </c>
      <c r="BY46" s="475"/>
      <c r="BZ46" s="7"/>
      <c r="CA46" s="9"/>
      <c r="CB46" s="2"/>
      <c r="CD46" s="475"/>
      <c r="CE46" s="475"/>
      <c r="CF46" s="475"/>
      <c r="CG46" s="475"/>
      <c r="CH46" s="475"/>
      <c r="CI46" s="475"/>
      <c r="CJ46" s="475"/>
      <c r="CK46" s="475"/>
      <c r="CL46" s="475"/>
      <c r="CM46" s="475"/>
      <c r="CN46" s="475"/>
      <c r="CO46" s="475"/>
      <c r="CW46" s="57"/>
      <c r="CX46" s="467"/>
      <c r="CY46" s="358">
        <v>10</v>
      </c>
      <c r="CZ46" s="358">
        <v>2</v>
      </c>
      <c r="DA46" s="358">
        <v>1</v>
      </c>
      <c r="DB46" s="359">
        <v>21.6</v>
      </c>
      <c r="DC46" s="360">
        <v>-9</v>
      </c>
      <c r="DD46" s="360">
        <v>14.4</v>
      </c>
      <c r="DE46" s="361">
        <v>-5.2</v>
      </c>
      <c r="DF46" s="359">
        <v>-23.1</v>
      </c>
      <c r="DG46" s="360">
        <v>-14.1</v>
      </c>
      <c r="DH46" s="360">
        <v>-16</v>
      </c>
      <c r="DI46" s="362">
        <v>-10.8</v>
      </c>
      <c r="DJ46" s="359">
        <v>-32.299999999999997</v>
      </c>
      <c r="DK46" s="361">
        <v>-25.3</v>
      </c>
      <c r="DM46" s="334"/>
      <c r="DN46" s="363">
        <v>3</v>
      </c>
      <c r="DO46" s="364">
        <v>50</v>
      </c>
      <c r="DP46" s="355">
        <v>11.1</v>
      </c>
      <c r="DQ46" s="365">
        <v>-13.7</v>
      </c>
      <c r="DR46" s="355">
        <v>12.5</v>
      </c>
      <c r="DS46" s="365">
        <v>-15.3</v>
      </c>
      <c r="DT46" s="355">
        <v>15.4</v>
      </c>
      <c r="DU46" s="365">
        <v>-18.899999999999999</v>
      </c>
      <c r="DV46" s="355">
        <v>17</v>
      </c>
      <c r="DW46" s="365">
        <v>-20.8</v>
      </c>
      <c r="DX46" s="355">
        <v>18.600000000000001</v>
      </c>
      <c r="DY46" s="365">
        <v>-22.9</v>
      </c>
      <c r="DZ46" s="355">
        <v>22.2</v>
      </c>
      <c r="EA46" s="365">
        <v>-27.2</v>
      </c>
      <c r="EB46" s="355">
        <v>24.1</v>
      </c>
      <c r="EC46" s="365">
        <v>-29.5</v>
      </c>
      <c r="ED46" s="355">
        <v>26</v>
      </c>
      <c r="EE46" s="365">
        <v>-32</v>
      </c>
      <c r="EF46" s="355">
        <v>30.2</v>
      </c>
      <c r="EG46" s="365">
        <v>-37.1</v>
      </c>
      <c r="EH46" s="355">
        <v>32.4</v>
      </c>
      <c r="EI46" s="365">
        <v>-39.799999999999997</v>
      </c>
      <c r="EJ46" s="355">
        <v>34.6</v>
      </c>
      <c r="EK46" s="365">
        <v>-42.5</v>
      </c>
      <c r="EL46" s="355">
        <v>44.5</v>
      </c>
      <c r="EM46" s="365">
        <v>-54.6</v>
      </c>
    </row>
    <row r="47" spans="1:159" x14ac:dyDescent="0.2">
      <c r="A47" s="52"/>
      <c r="J47" s="57"/>
      <c r="L47" s="6"/>
      <c r="M47" s="200">
        <v>4</v>
      </c>
      <c r="N47" s="21"/>
      <c r="O47" s="223">
        <v>15</v>
      </c>
      <c r="P47" s="223">
        <v>1</v>
      </c>
      <c r="Q47" s="211">
        <v>21.9</v>
      </c>
      <c r="R47" s="226">
        <v>-7.3</v>
      </c>
      <c r="S47" s="226">
        <v>14.7</v>
      </c>
      <c r="T47" s="227">
        <v>-4.2</v>
      </c>
      <c r="U47" s="211">
        <v>-21.1</v>
      </c>
      <c r="V47" s="226">
        <v>-13.7</v>
      </c>
      <c r="W47" s="226">
        <v>-14.7</v>
      </c>
      <c r="X47" s="228">
        <v>-10.5</v>
      </c>
      <c r="Y47" s="211">
        <v>-29.4</v>
      </c>
      <c r="Z47" s="227">
        <v>-23</v>
      </c>
      <c r="AA47" s="218">
        <v>37</v>
      </c>
      <c r="AB47" s="229"/>
      <c r="AC47" s="230"/>
      <c r="AD47" s="552"/>
      <c r="AE47" s="552"/>
      <c r="AF47" s="552"/>
      <c r="AG47" s="552"/>
      <c r="AH47" s="552"/>
      <c r="AI47" s="552"/>
      <c r="AJ47" s="552"/>
      <c r="AK47" s="552"/>
      <c r="AL47" s="552"/>
      <c r="AM47" s="553"/>
      <c r="AN47" s="233"/>
      <c r="AP47" s="21"/>
      <c r="AQ47" s="222">
        <v>4</v>
      </c>
      <c r="AR47" s="223">
        <v>20</v>
      </c>
      <c r="AS47" s="211">
        <v>12.4</v>
      </c>
      <c r="AT47" s="211">
        <v>13.9</v>
      </c>
      <c r="AU47" s="211">
        <v>17.2</v>
      </c>
      <c r="AV47" s="211">
        <v>18.899999999999999</v>
      </c>
      <c r="AW47" s="211">
        <v>20.8</v>
      </c>
      <c r="AX47" s="211">
        <v>24.7</v>
      </c>
      <c r="AY47" s="211">
        <v>26.8</v>
      </c>
      <c r="AZ47" s="211">
        <v>29</v>
      </c>
      <c r="BA47" s="211">
        <v>33.700000000000003</v>
      </c>
      <c r="BB47" s="570">
        <v>36.1</v>
      </c>
      <c r="BC47" s="212">
        <v>38.700000000000003</v>
      </c>
      <c r="BD47" s="224">
        <v>49.6</v>
      </c>
      <c r="BE47" s="200" t="s">
        <v>22</v>
      </c>
      <c r="BF47" s="475" t="e">
        <f t="shared" si="0"/>
        <v>#REF!</v>
      </c>
      <c r="BH47" s="21"/>
      <c r="BI47" s="222">
        <v>4</v>
      </c>
      <c r="BJ47" s="223">
        <v>20</v>
      </c>
      <c r="BK47" s="211">
        <v>-13.5</v>
      </c>
      <c r="BL47" s="211">
        <v>-15.1</v>
      </c>
      <c r="BM47" s="211">
        <v>-18.7</v>
      </c>
      <c r="BN47" s="211">
        <v>-20.6</v>
      </c>
      <c r="BO47" s="211">
        <v>-22.6</v>
      </c>
      <c r="BP47" s="211">
        <v>-26.9</v>
      </c>
      <c r="BQ47" s="211">
        <v>-29.2</v>
      </c>
      <c r="BR47" s="211">
        <v>-31.6</v>
      </c>
      <c r="BS47" s="211">
        <v>-36.700000000000003</v>
      </c>
      <c r="BT47" s="570">
        <v>-39.299999999999997</v>
      </c>
      <c r="BU47" s="212">
        <v>-42.1</v>
      </c>
      <c r="BV47" s="224">
        <v>-54.1</v>
      </c>
      <c r="BW47" s="200" t="s">
        <v>22</v>
      </c>
      <c r="BX47" s="475" t="e">
        <f t="shared" si="1"/>
        <v>#REF!</v>
      </c>
      <c r="BY47" s="475"/>
      <c r="CA47" s="9"/>
      <c r="CB47" s="2"/>
      <c r="CD47" s="475"/>
      <c r="CE47" s="475"/>
      <c r="CF47" s="475"/>
      <c r="CG47" s="475"/>
      <c r="CH47" s="475"/>
      <c r="CI47" s="475"/>
      <c r="CJ47" s="475"/>
      <c r="CK47" s="475"/>
      <c r="CL47" s="475"/>
      <c r="CM47" s="475"/>
      <c r="CN47" s="475"/>
      <c r="CO47" s="475"/>
      <c r="CW47" s="57"/>
      <c r="CX47" s="467"/>
      <c r="CY47" s="358">
        <v>15</v>
      </c>
      <c r="CZ47" s="358">
        <v>3</v>
      </c>
      <c r="DA47" s="358">
        <v>1</v>
      </c>
      <c r="DB47" s="359">
        <v>24.1</v>
      </c>
      <c r="DC47" s="360">
        <v>-8</v>
      </c>
      <c r="DD47" s="360">
        <v>16</v>
      </c>
      <c r="DE47" s="361">
        <v>-4.5999999999999996</v>
      </c>
      <c r="DF47" s="359">
        <v>-23.1</v>
      </c>
      <c r="DG47" s="360">
        <v>-15.1</v>
      </c>
      <c r="DH47" s="360">
        <v>-16</v>
      </c>
      <c r="DI47" s="362">
        <v>-11.5</v>
      </c>
      <c r="DJ47" s="359">
        <v>-32.299999999999997</v>
      </c>
      <c r="DK47" s="361">
        <v>-25.3</v>
      </c>
      <c r="DM47" s="341"/>
      <c r="DN47" s="379">
        <v>3</v>
      </c>
      <c r="DO47" s="380">
        <v>100</v>
      </c>
      <c r="DP47" s="381">
        <v>10.8</v>
      </c>
      <c r="DQ47" s="392">
        <v>-13</v>
      </c>
      <c r="DR47" s="381">
        <v>12.1</v>
      </c>
      <c r="DS47" s="392">
        <v>-14.6</v>
      </c>
      <c r="DT47" s="381">
        <v>14.9</v>
      </c>
      <c r="DU47" s="392">
        <v>-18</v>
      </c>
      <c r="DV47" s="381">
        <v>16.5</v>
      </c>
      <c r="DW47" s="392">
        <v>-19.8</v>
      </c>
      <c r="DX47" s="381">
        <v>18.100000000000001</v>
      </c>
      <c r="DY47" s="392">
        <v>-21.8</v>
      </c>
      <c r="DZ47" s="381">
        <v>21.5</v>
      </c>
      <c r="EA47" s="392">
        <v>-25.9</v>
      </c>
      <c r="EB47" s="381">
        <v>23.3</v>
      </c>
      <c r="EC47" s="392">
        <v>-28.1</v>
      </c>
      <c r="ED47" s="381">
        <v>25.2</v>
      </c>
      <c r="EE47" s="392">
        <v>-30.4</v>
      </c>
      <c r="EF47" s="381">
        <v>29.3</v>
      </c>
      <c r="EG47" s="392">
        <v>-35.299999999999997</v>
      </c>
      <c r="EH47" s="381">
        <v>31.4</v>
      </c>
      <c r="EI47" s="392">
        <v>-37.799999999999997</v>
      </c>
      <c r="EJ47" s="381">
        <v>33.6</v>
      </c>
      <c r="EK47" s="392">
        <v>-40.5</v>
      </c>
      <c r="EL47" s="381">
        <v>43.2</v>
      </c>
      <c r="EM47" s="392">
        <v>-52</v>
      </c>
    </row>
    <row r="48" spans="1:159" x14ac:dyDescent="0.2">
      <c r="A48" s="52"/>
      <c r="B48" s="65" t="s">
        <v>303</v>
      </c>
      <c r="C48" s="257"/>
      <c r="D48" s="257"/>
      <c r="E48" s="257"/>
      <c r="F48" s="257"/>
      <c r="G48" s="257"/>
      <c r="H48" s="420"/>
      <c r="I48" s="258" t="s">
        <v>301</v>
      </c>
      <c r="J48" s="57"/>
      <c r="L48" s="6"/>
      <c r="M48" s="200">
        <v>5</v>
      </c>
      <c r="N48" s="21"/>
      <c r="O48" s="223">
        <v>20</v>
      </c>
      <c r="P48" s="223">
        <v>1</v>
      </c>
      <c r="Q48" s="211">
        <v>24.3</v>
      </c>
      <c r="R48" s="226">
        <v>-8.4</v>
      </c>
      <c r="S48" s="226">
        <v>16.100000000000001</v>
      </c>
      <c r="T48" s="227">
        <v>-3.5</v>
      </c>
      <c r="U48" s="211">
        <v>-21.1</v>
      </c>
      <c r="V48" s="226">
        <v>-14.7</v>
      </c>
      <c r="W48" s="226">
        <v>-14.7</v>
      </c>
      <c r="X48" s="228">
        <v>-11.1</v>
      </c>
      <c r="Y48" s="211">
        <v>-29.4</v>
      </c>
      <c r="Z48" s="227">
        <v>-23</v>
      </c>
      <c r="AA48" s="218">
        <v>38</v>
      </c>
      <c r="AB48" s="229"/>
      <c r="AC48" s="230" t="e">
        <f>IF($C$8=$N49,IF(AND($AD$6&gt;=25,$AD$6&lt;=45),VLOOKUP(MATCH($AD$6,$O44:$O54,1),$M44:$Z54,3),""),"")</f>
        <v>#REF!</v>
      </c>
      <c r="AD48" s="230" t="e">
        <f>IF($C$8=$N49,IF(AND($AD$6&gt;=25,$AD$6&lt;=45),VLOOKUP(MATCH($AD$6,$O44:$O54,1)+1,$M44:$Z54,5),""),"")</f>
        <v>#REF!</v>
      </c>
      <c r="AE48" s="230" t="e">
        <f>IF($C$8=$N49,IF(AND($AD$6&gt;=25,$AD$6&lt;=45),VLOOKUP(MATCH($AD$6,$O44:$O54,1)+1,$M44:$Z54,6),""),"")</f>
        <v>#REF!</v>
      </c>
      <c r="AF48" s="230" t="e">
        <f>IF($C$8=$N49,IF(AND($AD$6&gt;=25,$AD$6&lt;=45),VLOOKUP(MATCH($AD$6,$O44:$O54,1)+1,$M44:$Z54,7),""),"")</f>
        <v>#REF!</v>
      </c>
      <c r="AG48" s="230" t="e">
        <f>IF($C$8=$N49,IF(AND($AD$6&gt;=25,$AD$6&lt;=45),VLOOKUP(MATCH($AD$6,$O44:$O54,1)+1,$M44:$Z54,8),""),"")</f>
        <v>#REF!</v>
      </c>
      <c r="AH48" s="230" t="e">
        <f>IF($C$8=$N49,IF(AND($AD$6&gt;=25,$AD$6&lt;=45),VLOOKUP(MATCH($AD$6,$O44:$O54,1)+1,$M44:$Z54,9),""),"")</f>
        <v>#REF!</v>
      </c>
      <c r="AI48" s="230" t="e">
        <f>IF($C$8=$N49,IF(AND($AD$6&gt;=25,$AD$6&lt;=45),VLOOKUP(MATCH($AD$6,$O44:$O54,1)+1,$M44:$Z54,10),""),"")</f>
        <v>#REF!</v>
      </c>
      <c r="AJ48" s="230" t="e">
        <f>IF($C$8=$N49,IF(AND($AD$6&gt;=25,$AD$6&lt;=45),VLOOKUP(MATCH($AD$6,$O44:$O54,1)+1,$M44:$Z54,11),""),"")</f>
        <v>#REF!</v>
      </c>
      <c r="AK48" s="230" t="e">
        <f>IF($C$8=$N49,IF(AND($AD$6&gt;=25,$AD$6&lt;=45),VLOOKUP(MATCH($AD$6,$O44:$O54,1)+1,$M44:$Z54,12),""),"")</f>
        <v>#REF!</v>
      </c>
      <c r="AL48" s="230" t="e">
        <f>IF($C$8=$N49,IF(AND($AD$6&gt;=25,$AD$6&lt;=45),VLOOKUP(MATCH($AD$6,$O44:$O54,1)+1,$M44:$Z54,13),""),"")</f>
        <v>#REF!</v>
      </c>
      <c r="AM48" s="231" t="e">
        <f>IF($C$8=$N49,IF(AND($AD$6&gt;=25,$AD$6&lt;=45),VLOOKUP(MATCH($AD$6,$O44:$O54,1)+1,$M44:$Z54,14),""),"")</f>
        <v>#REF!</v>
      </c>
      <c r="AN48" s="19"/>
      <c r="AP48" s="21"/>
      <c r="AQ48" s="222">
        <v>4</v>
      </c>
      <c r="AR48" s="223">
        <v>50</v>
      </c>
      <c r="AS48" s="211">
        <v>11.6</v>
      </c>
      <c r="AT48" s="211">
        <v>13</v>
      </c>
      <c r="AU48" s="211">
        <v>16.100000000000001</v>
      </c>
      <c r="AV48" s="211">
        <v>17.8</v>
      </c>
      <c r="AW48" s="211">
        <v>19.5</v>
      </c>
      <c r="AX48" s="211">
        <v>23.2</v>
      </c>
      <c r="AY48" s="211">
        <v>25.2</v>
      </c>
      <c r="AZ48" s="211">
        <v>27.2</v>
      </c>
      <c r="BA48" s="211">
        <v>31.6</v>
      </c>
      <c r="BB48" s="570">
        <v>33.9</v>
      </c>
      <c r="BC48" s="212">
        <v>36.200000000000003</v>
      </c>
      <c r="BD48" s="224">
        <v>46.6</v>
      </c>
      <c r="BE48" s="200" t="s">
        <v>22</v>
      </c>
      <c r="BF48" s="475" t="e">
        <f t="shared" si="0"/>
        <v>#REF!</v>
      </c>
      <c r="BH48" s="21"/>
      <c r="BI48" s="222">
        <v>4</v>
      </c>
      <c r="BJ48" s="223">
        <v>50</v>
      </c>
      <c r="BK48" s="211">
        <v>-12.7</v>
      </c>
      <c r="BL48" s="211">
        <v>-14.3</v>
      </c>
      <c r="BM48" s="211">
        <v>-17.600000000000001</v>
      </c>
      <c r="BN48" s="211">
        <v>-19.399999999999999</v>
      </c>
      <c r="BO48" s="211">
        <v>-21.3</v>
      </c>
      <c r="BP48" s="211">
        <v>-25.4</v>
      </c>
      <c r="BQ48" s="211">
        <v>-27.5</v>
      </c>
      <c r="BR48" s="211">
        <v>-29.8</v>
      </c>
      <c r="BS48" s="211">
        <v>-34.6</v>
      </c>
      <c r="BT48" s="570">
        <v>-37.1</v>
      </c>
      <c r="BU48" s="212">
        <v>-39.700000000000003</v>
      </c>
      <c r="BV48" s="224">
        <v>-51</v>
      </c>
      <c r="BW48" s="200" t="s">
        <v>22</v>
      </c>
      <c r="BX48" s="475" t="e">
        <f t="shared" si="1"/>
        <v>#REF!</v>
      </c>
      <c r="BY48" s="475"/>
      <c r="BZ48" s="475"/>
      <c r="CA48" s="475"/>
      <c r="CB48" s="475"/>
      <c r="CC48" s="475"/>
      <c r="CD48" s="475"/>
      <c r="CE48" s="475"/>
      <c r="CF48" s="475"/>
      <c r="CG48" s="475"/>
      <c r="CH48" s="475"/>
      <c r="CI48" s="475"/>
      <c r="CJ48" s="475"/>
      <c r="CK48" s="475"/>
      <c r="CL48" s="475"/>
      <c r="CM48" s="475"/>
      <c r="CN48" s="475"/>
      <c r="CO48" s="475"/>
      <c r="CW48" s="57"/>
      <c r="CX48" s="467">
        <v>110</v>
      </c>
      <c r="CY48" s="358">
        <v>20</v>
      </c>
      <c r="CZ48" s="358">
        <v>4</v>
      </c>
      <c r="DA48" s="358">
        <v>1</v>
      </c>
      <c r="DB48" s="359">
        <v>26.6</v>
      </c>
      <c r="DC48" s="360">
        <v>-7</v>
      </c>
      <c r="DD48" s="360">
        <v>17.7</v>
      </c>
      <c r="DE48" s="361">
        <v>-3.9</v>
      </c>
      <c r="DF48" s="359">
        <v>-23.1</v>
      </c>
      <c r="DG48" s="360">
        <v>-16</v>
      </c>
      <c r="DH48" s="360">
        <v>-16</v>
      </c>
      <c r="DI48" s="362">
        <v>-12.2</v>
      </c>
      <c r="DJ48" s="359">
        <v>-32.299999999999997</v>
      </c>
      <c r="DK48" s="361">
        <v>-25.3</v>
      </c>
      <c r="DM48" s="335"/>
      <c r="DN48" s="349">
        <v>4</v>
      </c>
      <c r="DO48" s="350">
        <v>10</v>
      </c>
      <c r="DP48" s="351">
        <v>13</v>
      </c>
      <c r="DQ48" s="352">
        <v>-14.1</v>
      </c>
      <c r="DR48" s="351">
        <v>14.6</v>
      </c>
      <c r="DS48" s="352">
        <v>-15.8</v>
      </c>
      <c r="DT48" s="351">
        <v>18</v>
      </c>
      <c r="DU48" s="352">
        <v>-19.5</v>
      </c>
      <c r="DV48" s="351">
        <v>19.8</v>
      </c>
      <c r="DW48" s="352">
        <v>-21.5</v>
      </c>
      <c r="DX48" s="351">
        <v>21.8</v>
      </c>
      <c r="DY48" s="352">
        <v>-23.6</v>
      </c>
      <c r="DZ48" s="351">
        <v>25.9</v>
      </c>
      <c r="EA48" s="352">
        <v>-28.1</v>
      </c>
      <c r="EB48" s="351">
        <v>28.1</v>
      </c>
      <c r="EC48" s="352">
        <v>-30.5</v>
      </c>
      <c r="ED48" s="351">
        <v>30.4</v>
      </c>
      <c r="EE48" s="352">
        <v>-33</v>
      </c>
      <c r="EF48" s="351">
        <v>35.299999999999997</v>
      </c>
      <c r="EG48" s="352">
        <v>-38.200000000000003</v>
      </c>
      <c r="EH48" s="351">
        <v>37.799999999999997</v>
      </c>
      <c r="EI48" s="352">
        <v>-41</v>
      </c>
      <c r="EJ48" s="351">
        <v>40.5</v>
      </c>
      <c r="EK48" s="352">
        <v>-43.9</v>
      </c>
      <c r="EL48" s="351">
        <v>52</v>
      </c>
      <c r="EM48" s="352">
        <v>-56.4</v>
      </c>
    </row>
    <row r="49" spans="1:143" x14ac:dyDescent="0.2">
      <c r="A49" s="52"/>
      <c r="B49" s="259" t="s">
        <v>19</v>
      </c>
      <c r="C49" s="264"/>
      <c r="D49" s="63"/>
      <c r="E49" s="266" t="s">
        <v>177</v>
      </c>
      <c r="F49" s="260" t="s">
        <v>23</v>
      </c>
      <c r="G49" s="415" t="s">
        <v>126</v>
      </c>
      <c r="H49" s="410" t="s">
        <v>128</v>
      </c>
      <c r="I49" s="258" t="s">
        <v>302</v>
      </c>
      <c r="J49" s="57"/>
      <c r="L49" s="6"/>
      <c r="M49" s="200">
        <v>6</v>
      </c>
      <c r="N49" s="21">
        <v>105</v>
      </c>
      <c r="O49" s="235">
        <v>25</v>
      </c>
      <c r="P49" s="235">
        <v>1</v>
      </c>
      <c r="Q49" s="236">
        <v>21.9</v>
      </c>
      <c r="R49" s="237">
        <v>3.5</v>
      </c>
      <c r="S49" s="237">
        <v>15.9</v>
      </c>
      <c r="T49" s="238">
        <v>3.5</v>
      </c>
      <c r="U49" s="236">
        <v>-9.6999999999999993</v>
      </c>
      <c r="V49" s="237">
        <v>-7.1</v>
      </c>
      <c r="W49" s="237">
        <v>-7.1</v>
      </c>
      <c r="X49" s="239">
        <v>-10.7</v>
      </c>
      <c r="Y49" s="236">
        <v>-18.2</v>
      </c>
      <c r="Z49" s="238">
        <v>-15.4</v>
      </c>
      <c r="AA49" s="218">
        <v>39</v>
      </c>
      <c r="AB49" s="229"/>
      <c r="AC49" s="230" t="e">
        <f>IF($C$8=$N49,IF(AND($AD$6&gt;=25,$AD$6&lt;=45),VLOOKUP(MATCH($AD$6,$O44:$O54,1)+IF($AD$6&lt;25,1,2),$M44:$Z54,3),""),"")</f>
        <v>#REF!</v>
      </c>
      <c r="AD49" s="230" t="e">
        <f>IF($C$8=$N49,IF(AND($AD$6&gt;=25,$AD$6&lt;=45),VLOOKUP(MATCH($AD$6,$O44:$O54,1)+1+IF($AD$6&lt;25,1,2),$M44:$Z54,5),""),"")</f>
        <v>#REF!</v>
      </c>
      <c r="AE49" s="230" t="e">
        <f>IF($C$8=$N49,IF(AND($AD$6&gt;=25,$AD$6&lt;=45),VLOOKUP(MATCH($AD$6,$O44:$O54,1)+1+IF($AD$6&lt;25,1,2),$M44:$Z54,6),""),"")</f>
        <v>#REF!</v>
      </c>
      <c r="AF49" s="230" t="e">
        <f>IF($C$8=$N49,IF(AND($AD$6&gt;=25,$AD$6&lt;=45),VLOOKUP(MATCH($AD$6,$O44:$O54,1)+1+IF($AD$6&lt;25,1,2),$M44:$Z54,7),""),"")</f>
        <v>#REF!</v>
      </c>
      <c r="AG49" s="230" t="e">
        <f>IF($C$8=$N49,IF(AND($AD$6&gt;=25,$AD$6&lt;=45),VLOOKUP(MATCH($AD$6,$O44:$O54,1)+1+IF($AD$6&lt;25,1,2),$M44:$Z54,8),""),"")</f>
        <v>#REF!</v>
      </c>
      <c r="AH49" s="230" t="e">
        <f>IF($C$8=$N49,IF(AND($AD$6&gt;=25,$AD$6&lt;=45),VLOOKUP(MATCH($AD$6,$O44:$O54,1)+1+IF($AD$6&lt;25,1,2),$M44:$Z54,9),""),"")</f>
        <v>#REF!</v>
      </c>
      <c r="AI49" s="230" t="e">
        <f>IF($C$8=$N49,IF(AND($AD$6&gt;=25,$AD$6&lt;=45),VLOOKUP(MATCH($AD$6,$O44:$O54,1)+1+IF($AD$6&lt;25,1,2),$M44:$Z54,10),""),"")</f>
        <v>#REF!</v>
      </c>
      <c r="AJ49" s="230" t="e">
        <f>IF($C$8=$N49,IF(AND($AD$6&gt;=25,$AD$6&lt;=45),VLOOKUP(MATCH($AD$6,$O44:$O54,1)+1+IF($AD$6&lt;25,1,2),$M44:$Z54,11),""),"")</f>
        <v>#REF!</v>
      </c>
      <c r="AK49" s="230" t="e">
        <f>IF($C$8=$N49,IF(AND($AD$6&gt;=25,$AD$6&lt;=45),VLOOKUP(MATCH($AD$6,$O44:$O54,1)+1+IF($AD$6&lt;25,1,2),$M44:$Z54,12),""),"")</f>
        <v>#REF!</v>
      </c>
      <c r="AL49" s="230" t="e">
        <f>IF($C$8=$N49,IF(AND($AD$6&gt;=25,$AD$6&lt;=45),VLOOKUP(MATCH($AD$6,$O44:$O54,1)+1+IF($AD$6&lt;25,1,2),$M44:$Z54,13),""),"")</f>
        <v>#REF!</v>
      </c>
      <c r="AM49" s="231" t="e">
        <f>IF($C$8=$N49,IF(AND($AD$6&gt;=25,$AD$6&lt;=45),VLOOKUP(MATCH($AD$6,$O44:$O54,1)+1+IF($AD$6&lt;25,1,2),$M44:$Z54,14),""),"")</f>
        <v>#REF!</v>
      </c>
      <c r="AN49" s="19"/>
      <c r="AP49" s="21"/>
      <c r="AQ49" s="222">
        <v>4</v>
      </c>
      <c r="AR49" s="223">
        <v>100</v>
      </c>
      <c r="AS49" s="211">
        <v>11.1</v>
      </c>
      <c r="AT49" s="211">
        <v>12.4</v>
      </c>
      <c r="AU49" s="211">
        <v>15.3</v>
      </c>
      <c r="AV49" s="211">
        <v>16.899999999999999</v>
      </c>
      <c r="AW49" s="211">
        <v>18.5</v>
      </c>
      <c r="AX49" s="211">
        <v>22</v>
      </c>
      <c r="AY49" s="211">
        <v>23.9</v>
      </c>
      <c r="AZ49" s="211">
        <v>25.9</v>
      </c>
      <c r="BA49" s="211">
        <v>30</v>
      </c>
      <c r="BB49" s="570">
        <v>32.200000000000003</v>
      </c>
      <c r="BC49" s="212">
        <v>34.4</v>
      </c>
      <c r="BD49" s="224">
        <v>44.2</v>
      </c>
      <c r="BE49" s="200" t="s">
        <v>22</v>
      </c>
      <c r="BF49" s="475" t="e">
        <f t="shared" si="0"/>
        <v>#REF!</v>
      </c>
      <c r="BH49" s="21"/>
      <c r="BI49" s="222">
        <v>4</v>
      </c>
      <c r="BJ49" s="223">
        <v>100</v>
      </c>
      <c r="BK49" s="211">
        <v>-12.2</v>
      </c>
      <c r="BL49" s="211">
        <v>-13.6</v>
      </c>
      <c r="BM49" s="211">
        <v>-16.8</v>
      </c>
      <c r="BN49" s="211">
        <v>-18.5</v>
      </c>
      <c r="BO49" s="211">
        <v>-20.399999999999999</v>
      </c>
      <c r="BP49" s="211">
        <v>-24.2</v>
      </c>
      <c r="BQ49" s="211">
        <v>-26.3</v>
      </c>
      <c r="BR49" s="211">
        <v>-28.4</v>
      </c>
      <c r="BS49" s="211">
        <v>-33</v>
      </c>
      <c r="BT49" s="570">
        <v>-35.4</v>
      </c>
      <c r="BU49" s="212">
        <v>-37.799999999999997</v>
      </c>
      <c r="BV49" s="224">
        <v>-48.6</v>
      </c>
      <c r="BW49" s="200" t="s">
        <v>22</v>
      </c>
      <c r="BX49" s="475" t="e">
        <f t="shared" si="1"/>
        <v>#REF!</v>
      </c>
      <c r="BY49" s="475"/>
      <c r="BZ49" s="475"/>
      <c r="CA49" s="475"/>
      <c r="CB49" s="475"/>
      <c r="CC49" s="475"/>
      <c r="CD49" s="475"/>
      <c r="CE49" s="475"/>
      <c r="CF49" s="475"/>
      <c r="CG49" s="475"/>
      <c r="CH49" s="475"/>
      <c r="CI49" s="475"/>
      <c r="CJ49" s="475"/>
      <c r="CK49" s="475"/>
      <c r="CL49" s="475"/>
      <c r="CM49" s="475"/>
      <c r="CN49" s="475"/>
      <c r="CO49" s="475"/>
      <c r="CW49" s="57"/>
      <c r="CX49" s="467"/>
      <c r="CY49" s="367">
        <v>25</v>
      </c>
      <c r="CZ49" s="367">
        <v>6</v>
      </c>
      <c r="DA49" s="367">
        <v>1</v>
      </c>
      <c r="DB49" s="368">
        <v>24.1</v>
      </c>
      <c r="DC49" s="369">
        <v>3.9</v>
      </c>
      <c r="DD49" s="369">
        <v>17.399999999999999</v>
      </c>
      <c r="DE49" s="370">
        <v>4</v>
      </c>
      <c r="DF49" s="368">
        <v>-10.7</v>
      </c>
      <c r="DG49" s="369">
        <v>-14.6</v>
      </c>
      <c r="DH49" s="369">
        <v>-7.7</v>
      </c>
      <c r="DI49" s="371">
        <v>-11.7</v>
      </c>
      <c r="DJ49" s="368">
        <v>-19.899999999999999</v>
      </c>
      <c r="DK49" s="370">
        <v>-17</v>
      </c>
      <c r="DM49" s="334"/>
      <c r="DN49" s="363">
        <v>4</v>
      </c>
      <c r="DO49" s="364">
        <v>20</v>
      </c>
      <c r="DP49" s="355">
        <v>12.4</v>
      </c>
      <c r="DQ49" s="365">
        <v>-13.5</v>
      </c>
      <c r="DR49" s="355">
        <v>13.9</v>
      </c>
      <c r="DS49" s="365">
        <v>-15.1</v>
      </c>
      <c r="DT49" s="355">
        <v>17.2</v>
      </c>
      <c r="DU49" s="365">
        <v>-18.7</v>
      </c>
      <c r="DV49" s="355">
        <v>18.899999999999999</v>
      </c>
      <c r="DW49" s="365">
        <v>-20.6</v>
      </c>
      <c r="DX49" s="355">
        <v>20.8</v>
      </c>
      <c r="DY49" s="365">
        <v>-22.6</v>
      </c>
      <c r="DZ49" s="355">
        <v>24.7</v>
      </c>
      <c r="EA49" s="365">
        <v>-26.9</v>
      </c>
      <c r="EB49" s="355">
        <v>26.8</v>
      </c>
      <c r="EC49" s="365">
        <v>-29.2</v>
      </c>
      <c r="ED49" s="355">
        <v>29</v>
      </c>
      <c r="EE49" s="365">
        <v>-31.6</v>
      </c>
      <c r="EF49" s="355">
        <v>33.700000000000003</v>
      </c>
      <c r="EG49" s="365">
        <v>-36.700000000000003</v>
      </c>
      <c r="EH49" s="355">
        <v>36.1</v>
      </c>
      <c r="EI49" s="365">
        <v>-39.299999999999997</v>
      </c>
      <c r="EJ49" s="355">
        <v>38.700000000000003</v>
      </c>
      <c r="EK49" s="365">
        <v>-42.1</v>
      </c>
      <c r="EL49" s="355">
        <v>49.6</v>
      </c>
      <c r="EM49" s="365">
        <v>-54.1</v>
      </c>
    </row>
    <row r="50" spans="1:143" x14ac:dyDescent="0.2">
      <c r="A50" s="52"/>
      <c r="B50" s="430" t="s">
        <v>124</v>
      </c>
      <c r="C50" s="431"/>
      <c r="D50" s="432"/>
      <c r="E50" s="424" t="s">
        <v>178</v>
      </c>
      <c r="F50" s="411" t="s">
        <v>46</v>
      </c>
      <c r="G50" s="405" t="e">
        <f>$D$46*$C$16*$D$29*$AD$285</f>
        <v>#REF!</v>
      </c>
      <c r="H50" s="405" t="str">
        <f>IF(AND($AD$148&gt;=25,$AD$148&lt;=45),$D$46*$C$16*$D$29*$AD$286,"---")</f>
        <v>---</v>
      </c>
      <c r="I50" s="416"/>
      <c r="J50" s="417"/>
      <c r="L50" s="6"/>
      <c r="M50" s="200">
        <v>7</v>
      </c>
      <c r="N50" s="21"/>
      <c r="O50" s="210"/>
      <c r="P50" s="210">
        <v>2</v>
      </c>
      <c r="Q50" s="240">
        <v>0</v>
      </c>
      <c r="R50" s="241">
        <v>0</v>
      </c>
      <c r="S50" s="241">
        <v>0</v>
      </c>
      <c r="T50" s="242">
        <v>0</v>
      </c>
      <c r="U50" s="240">
        <v>-3.7</v>
      </c>
      <c r="V50" s="241">
        <v>-1</v>
      </c>
      <c r="W50" s="241">
        <v>-1</v>
      </c>
      <c r="X50" s="243">
        <v>-4.5999999999999996</v>
      </c>
      <c r="Y50" s="240">
        <v>0</v>
      </c>
      <c r="Z50" s="242">
        <v>0</v>
      </c>
      <c r="AA50" s="218">
        <v>40</v>
      </c>
      <c r="AB50" s="229"/>
      <c r="AC50" s="230" t="e">
        <f>IF($C$8=$N49,IF(AND($AD$6&gt;=25,$AD$6&lt;=45),$AD$6,""),"")</f>
        <v>#REF!</v>
      </c>
      <c r="AD50" s="230" t="e">
        <f t="shared" ref="AD50:AM50" si="10">IF($C$8=$N49,IF(AND($AD$6&gt;=25,$AD$6&lt;=45),(AD49-AD48)*($AD$6-$AC48)/($AC49-$AC48)+AD48,""),"")</f>
        <v>#REF!</v>
      </c>
      <c r="AE50" s="230" t="e">
        <f t="shared" si="10"/>
        <v>#REF!</v>
      </c>
      <c r="AF50" s="230" t="e">
        <f t="shared" si="10"/>
        <v>#REF!</v>
      </c>
      <c r="AG50" s="230" t="e">
        <f t="shared" si="10"/>
        <v>#REF!</v>
      </c>
      <c r="AH50" s="230" t="e">
        <f t="shared" si="10"/>
        <v>#REF!</v>
      </c>
      <c r="AI50" s="230" t="e">
        <f t="shared" si="10"/>
        <v>#REF!</v>
      </c>
      <c r="AJ50" s="230" t="e">
        <f t="shared" si="10"/>
        <v>#REF!</v>
      </c>
      <c r="AK50" s="230" t="e">
        <f t="shared" si="10"/>
        <v>#REF!</v>
      </c>
      <c r="AL50" s="230" t="e">
        <f t="shared" si="10"/>
        <v>#REF!</v>
      </c>
      <c r="AM50" s="231" t="e">
        <f t="shared" si="10"/>
        <v>#REF!</v>
      </c>
      <c r="AN50" s="19"/>
      <c r="AP50" s="21" t="s">
        <v>39</v>
      </c>
      <c r="AQ50" s="222">
        <v>4</v>
      </c>
      <c r="AR50" s="223">
        <v>500</v>
      </c>
      <c r="AS50" s="211">
        <v>9.6999999999999993</v>
      </c>
      <c r="AT50" s="211">
        <v>10.9</v>
      </c>
      <c r="AU50" s="211">
        <v>13.4</v>
      </c>
      <c r="AV50" s="211">
        <v>14.8</v>
      </c>
      <c r="AW50" s="211">
        <v>16.2</v>
      </c>
      <c r="AX50" s="211">
        <v>19.3</v>
      </c>
      <c r="AY50" s="211">
        <v>21</v>
      </c>
      <c r="AZ50" s="211">
        <v>22.7</v>
      </c>
      <c r="BA50" s="211">
        <v>26.3</v>
      </c>
      <c r="BB50" s="570">
        <v>28.2</v>
      </c>
      <c r="BC50" s="212">
        <v>30.2</v>
      </c>
      <c r="BD50" s="224">
        <v>38.799999999999997</v>
      </c>
      <c r="BE50" s="200" t="s">
        <v>22</v>
      </c>
      <c r="BF50" s="475" t="e">
        <f t="shared" si="0"/>
        <v>#REF!</v>
      </c>
      <c r="BH50" s="21" t="s">
        <v>39</v>
      </c>
      <c r="BI50" s="222">
        <v>4</v>
      </c>
      <c r="BJ50" s="223">
        <v>500</v>
      </c>
      <c r="BK50" s="211">
        <v>-10.8</v>
      </c>
      <c r="BL50" s="211">
        <v>-12.1</v>
      </c>
      <c r="BM50" s="211">
        <v>-14.9</v>
      </c>
      <c r="BN50" s="211">
        <v>-16.5</v>
      </c>
      <c r="BO50" s="211">
        <v>-18.100000000000001</v>
      </c>
      <c r="BP50" s="211">
        <v>-21.5</v>
      </c>
      <c r="BQ50" s="211">
        <v>-23.3</v>
      </c>
      <c r="BR50" s="211">
        <v>-25.2</v>
      </c>
      <c r="BS50" s="211">
        <v>-29.3</v>
      </c>
      <c r="BT50" s="570">
        <v>-31.4</v>
      </c>
      <c r="BU50" s="212">
        <v>-33.6</v>
      </c>
      <c r="BV50" s="224">
        <v>-43.2</v>
      </c>
      <c r="BW50" s="200" t="s">
        <v>22</v>
      </c>
      <c r="BX50" s="475" t="e">
        <f t="shared" si="1"/>
        <v>#REF!</v>
      </c>
      <c r="BY50" s="475"/>
      <c r="BZ50" s="475"/>
      <c r="CA50" s="475"/>
      <c r="CB50" s="475"/>
      <c r="CC50" s="475"/>
      <c r="CD50" s="475"/>
      <c r="CE50" s="475"/>
      <c r="CF50" s="475"/>
      <c r="CG50" s="475"/>
      <c r="CH50" s="475"/>
      <c r="CI50" s="475"/>
      <c r="CJ50" s="475"/>
      <c r="CK50" s="475"/>
      <c r="CL50" s="475"/>
      <c r="CM50" s="475"/>
      <c r="CN50" s="475"/>
      <c r="CO50" s="475"/>
      <c r="CW50" s="57"/>
      <c r="CX50" s="467"/>
      <c r="CY50" s="372"/>
      <c r="CZ50" s="372"/>
      <c r="DA50" s="372">
        <v>2</v>
      </c>
      <c r="DB50" s="373" t="s">
        <v>145</v>
      </c>
      <c r="DC50" s="374" t="s">
        <v>145</v>
      </c>
      <c r="DD50" s="374" t="s">
        <v>145</v>
      </c>
      <c r="DE50" s="375" t="s">
        <v>145</v>
      </c>
      <c r="DF50" s="376">
        <v>-4.0999999999999996</v>
      </c>
      <c r="DG50" s="377">
        <v>-7.9</v>
      </c>
      <c r="DH50" s="377">
        <v>-1.1000000000000001</v>
      </c>
      <c r="DI50" s="378">
        <v>-5.0999999999999996</v>
      </c>
      <c r="DJ50" s="373" t="s">
        <v>145</v>
      </c>
      <c r="DK50" s="375" t="s">
        <v>145</v>
      </c>
      <c r="DM50" s="334"/>
      <c r="DN50" s="363">
        <v>4</v>
      </c>
      <c r="DO50" s="364">
        <v>50</v>
      </c>
      <c r="DP50" s="355">
        <v>11.6</v>
      </c>
      <c r="DQ50" s="365">
        <v>-12.7</v>
      </c>
      <c r="DR50" s="355">
        <v>13</v>
      </c>
      <c r="DS50" s="365">
        <v>-14.3</v>
      </c>
      <c r="DT50" s="355">
        <v>16.100000000000001</v>
      </c>
      <c r="DU50" s="365">
        <v>-17.600000000000001</v>
      </c>
      <c r="DV50" s="355">
        <v>17.8</v>
      </c>
      <c r="DW50" s="365">
        <v>-19.399999999999999</v>
      </c>
      <c r="DX50" s="355">
        <v>19.5</v>
      </c>
      <c r="DY50" s="365">
        <v>-21.3</v>
      </c>
      <c r="DZ50" s="355">
        <v>23.2</v>
      </c>
      <c r="EA50" s="365">
        <v>-25.4</v>
      </c>
      <c r="EB50" s="355">
        <v>25.2</v>
      </c>
      <c r="EC50" s="365">
        <v>-27.5</v>
      </c>
      <c r="ED50" s="355">
        <v>27.2</v>
      </c>
      <c r="EE50" s="365">
        <v>-29.8</v>
      </c>
      <c r="EF50" s="355">
        <v>31.6</v>
      </c>
      <c r="EG50" s="365">
        <v>-34.6</v>
      </c>
      <c r="EH50" s="355">
        <v>33.9</v>
      </c>
      <c r="EI50" s="365">
        <v>-37.1</v>
      </c>
      <c r="EJ50" s="355">
        <v>36.200000000000003</v>
      </c>
      <c r="EK50" s="365">
        <v>-39.700000000000003</v>
      </c>
      <c r="EL50" s="355">
        <v>46.6</v>
      </c>
      <c r="EM50" s="365">
        <v>-51</v>
      </c>
    </row>
    <row r="51" spans="1:143" x14ac:dyDescent="0.2">
      <c r="A51" s="52"/>
      <c r="B51" s="433" t="s">
        <v>125</v>
      </c>
      <c r="C51" s="434"/>
      <c r="D51" s="435"/>
      <c r="E51" s="425" t="s">
        <v>178</v>
      </c>
      <c r="F51" s="412" t="s">
        <v>13</v>
      </c>
      <c r="G51" s="403" t="e">
        <f>IF($D$46*$C$16*$D$29*$AE$285&gt;=0,$D$46*$C$16*$D$29*$AE$285,0)</f>
        <v>#REF!</v>
      </c>
      <c r="H51" s="403" t="str">
        <f>IF(AND($AD$148&gt;=25,$AD$148&lt;=45),$D$46*$C$16*$D$29*$AE$286,"---")</f>
        <v>---</v>
      </c>
      <c r="I51" s="416"/>
      <c r="J51" s="417"/>
      <c r="L51" s="6"/>
      <c r="M51" s="200">
        <v>8</v>
      </c>
      <c r="N51" s="21"/>
      <c r="O51" s="235">
        <v>30</v>
      </c>
      <c r="P51" s="235">
        <v>1</v>
      </c>
      <c r="Q51" s="236">
        <v>19.600000000000001</v>
      </c>
      <c r="R51" s="237">
        <v>13.5</v>
      </c>
      <c r="S51" s="237">
        <v>10.8</v>
      </c>
      <c r="T51" s="238">
        <v>10.8</v>
      </c>
      <c r="U51" s="236">
        <v>1.5</v>
      </c>
      <c r="V51" s="237">
        <v>0.6</v>
      </c>
      <c r="W51" s="237">
        <v>0.6</v>
      </c>
      <c r="X51" s="239">
        <v>-10.3</v>
      </c>
      <c r="Y51" s="236">
        <v>-6.9</v>
      </c>
      <c r="Z51" s="238">
        <v>-7.9</v>
      </c>
      <c r="AA51" s="218">
        <v>41</v>
      </c>
      <c r="AB51" s="229"/>
      <c r="AC51" s="230"/>
      <c r="AD51" s="552"/>
      <c r="AE51" s="552"/>
      <c r="AF51" s="552"/>
      <c r="AG51" s="552"/>
      <c r="AH51" s="552"/>
      <c r="AI51" s="552"/>
      <c r="AJ51" s="552"/>
      <c r="AK51" s="552"/>
      <c r="AL51" s="552"/>
      <c r="AM51" s="553"/>
      <c r="AN51" s="233"/>
      <c r="AP51" s="21"/>
      <c r="AQ51" s="222">
        <v>5</v>
      </c>
      <c r="AR51" s="223">
        <v>10</v>
      </c>
      <c r="AS51" s="211">
        <v>13</v>
      </c>
      <c r="AT51" s="211">
        <v>14.6</v>
      </c>
      <c r="AU51" s="211">
        <v>18</v>
      </c>
      <c r="AV51" s="211">
        <v>19.8</v>
      </c>
      <c r="AW51" s="211">
        <v>21.8</v>
      </c>
      <c r="AX51" s="211">
        <v>25.9</v>
      </c>
      <c r="AY51" s="211">
        <v>28.1</v>
      </c>
      <c r="AZ51" s="211">
        <v>30.4</v>
      </c>
      <c r="BA51" s="211">
        <v>35.299999999999997</v>
      </c>
      <c r="BB51" s="570">
        <v>37.799999999999997</v>
      </c>
      <c r="BC51" s="212">
        <v>40.5</v>
      </c>
      <c r="BD51" s="224">
        <v>52</v>
      </c>
      <c r="BE51" s="200" t="s">
        <v>22</v>
      </c>
      <c r="BF51" s="475" t="e">
        <f t="shared" si="0"/>
        <v>#REF!</v>
      </c>
      <c r="BH51" s="21"/>
      <c r="BI51" s="222">
        <v>5</v>
      </c>
      <c r="BJ51" s="223">
        <v>10</v>
      </c>
      <c r="BK51" s="211">
        <v>-17.399999999999999</v>
      </c>
      <c r="BL51" s="211">
        <v>-19.5</v>
      </c>
      <c r="BM51" s="211">
        <v>-24.1</v>
      </c>
      <c r="BN51" s="211">
        <v>-26.6</v>
      </c>
      <c r="BO51" s="211">
        <v>-29.1</v>
      </c>
      <c r="BP51" s="211">
        <v>-34.700000000000003</v>
      </c>
      <c r="BQ51" s="211">
        <v>-37.6</v>
      </c>
      <c r="BR51" s="211">
        <v>-40.700000000000003</v>
      </c>
      <c r="BS51" s="211">
        <v>-47.2</v>
      </c>
      <c r="BT51" s="570">
        <v>-50.6</v>
      </c>
      <c r="BU51" s="212">
        <v>-54.2</v>
      </c>
      <c r="BV51" s="224">
        <v>-69.599999999999994</v>
      </c>
      <c r="BW51" s="200" t="s">
        <v>22</v>
      </c>
      <c r="BX51" s="475" t="e">
        <f t="shared" si="1"/>
        <v>#REF!</v>
      </c>
      <c r="BY51" s="475"/>
      <c r="BZ51" s="475"/>
      <c r="CA51" s="475"/>
      <c r="CB51" s="475"/>
      <c r="CC51" s="475"/>
      <c r="CD51" s="475"/>
      <c r="CE51" s="475"/>
      <c r="CF51" s="475"/>
      <c r="CG51" s="475"/>
      <c r="CH51" s="475"/>
      <c r="CI51" s="475"/>
      <c r="CJ51" s="475"/>
      <c r="CK51" s="475"/>
      <c r="CL51" s="475"/>
      <c r="CM51" s="475"/>
      <c r="CN51" s="475"/>
      <c r="CO51" s="475"/>
      <c r="CW51" s="57"/>
      <c r="CX51" s="467"/>
      <c r="CY51" s="367" t="s">
        <v>164</v>
      </c>
      <c r="CZ51" s="367" t="s">
        <v>166</v>
      </c>
      <c r="DA51" s="367">
        <v>1</v>
      </c>
      <c r="DB51" s="368">
        <v>21.6</v>
      </c>
      <c r="DC51" s="369">
        <v>14.8</v>
      </c>
      <c r="DD51" s="369">
        <v>17.2</v>
      </c>
      <c r="DE51" s="370">
        <v>11.8</v>
      </c>
      <c r="DF51" s="368">
        <v>1.7</v>
      </c>
      <c r="DG51" s="369">
        <v>-13.1</v>
      </c>
      <c r="DH51" s="369">
        <v>0.6</v>
      </c>
      <c r="DI51" s="371">
        <v>-11.3</v>
      </c>
      <c r="DJ51" s="368">
        <v>-7.6</v>
      </c>
      <c r="DK51" s="370">
        <v>-8.6999999999999993</v>
      </c>
      <c r="DM51" s="334"/>
      <c r="DN51" s="363">
        <v>4</v>
      </c>
      <c r="DO51" s="364">
        <v>100</v>
      </c>
      <c r="DP51" s="355">
        <v>11.1</v>
      </c>
      <c r="DQ51" s="365">
        <v>-12.2</v>
      </c>
      <c r="DR51" s="355">
        <v>12.4</v>
      </c>
      <c r="DS51" s="365">
        <v>-13.6</v>
      </c>
      <c r="DT51" s="355">
        <v>15.3</v>
      </c>
      <c r="DU51" s="365">
        <v>-16.8</v>
      </c>
      <c r="DV51" s="355">
        <v>16.899999999999999</v>
      </c>
      <c r="DW51" s="365">
        <v>-18.5</v>
      </c>
      <c r="DX51" s="355">
        <v>18.5</v>
      </c>
      <c r="DY51" s="365">
        <v>-20.399999999999999</v>
      </c>
      <c r="DZ51" s="355">
        <v>22</v>
      </c>
      <c r="EA51" s="365">
        <v>-24.2</v>
      </c>
      <c r="EB51" s="355">
        <v>23.9</v>
      </c>
      <c r="EC51" s="365">
        <v>-26.3</v>
      </c>
      <c r="ED51" s="355">
        <v>25.9</v>
      </c>
      <c r="EE51" s="365">
        <v>-28.4</v>
      </c>
      <c r="EF51" s="355">
        <v>30</v>
      </c>
      <c r="EG51" s="365">
        <v>-33</v>
      </c>
      <c r="EH51" s="355">
        <v>32.200000000000003</v>
      </c>
      <c r="EI51" s="365">
        <v>-35.4</v>
      </c>
      <c r="EJ51" s="355">
        <v>34.4</v>
      </c>
      <c r="EK51" s="365">
        <v>-37.799999999999997</v>
      </c>
      <c r="EL51" s="355">
        <v>44.2</v>
      </c>
      <c r="EM51" s="365">
        <v>-48.6</v>
      </c>
    </row>
    <row r="52" spans="1:143" x14ac:dyDescent="0.2">
      <c r="A52" s="52"/>
      <c r="B52" s="433" t="s">
        <v>127</v>
      </c>
      <c r="C52" s="436"/>
      <c r="D52" s="435"/>
      <c r="E52" s="425" t="s">
        <v>178</v>
      </c>
      <c r="F52" s="412" t="s">
        <v>319</v>
      </c>
      <c r="G52" s="403" t="e">
        <f>$D$46*$C$16*$D$29*$AF$285</f>
        <v>#REF!</v>
      </c>
      <c r="H52" s="403" t="str">
        <f>IF(AND($AD$148&gt;=25,$AD$148&lt;=45),$D$46*$C$16*$D$29*$AF$286,"---")</f>
        <v>---</v>
      </c>
      <c r="I52" s="416"/>
      <c r="J52" s="417"/>
      <c r="L52" s="6"/>
      <c r="M52" s="200">
        <v>9</v>
      </c>
      <c r="N52" s="249"/>
      <c r="O52" s="210"/>
      <c r="P52" s="210">
        <v>2</v>
      </c>
      <c r="Q52" s="240">
        <v>19.600000000000001</v>
      </c>
      <c r="R52" s="241">
        <v>13.5</v>
      </c>
      <c r="S52" s="241">
        <v>10.8</v>
      </c>
      <c r="T52" s="242">
        <v>10.8</v>
      </c>
      <c r="U52" s="240">
        <v>7.6</v>
      </c>
      <c r="V52" s="241">
        <v>6.5</v>
      </c>
      <c r="W52" s="241">
        <v>6.5</v>
      </c>
      <c r="X52" s="243">
        <v>-4.2</v>
      </c>
      <c r="Y52" s="240">
        <v>-6.9</v>
      </c>
      <c r="Z52" s="242">
        <v>-7.9</v>
      </c>
      <c r="AA52" s="218">
        <v>42</v>
      </c>
      <c r="AB52" s="229"/>
      <c r="AC52" s="230"/>
      <c r="AD52" s="552"/>
      <c r="AE52" s="552"/>
      <c r="AF52" s="552"/>
      <c r="AG52" s="552"/>
      <c r="AH52" s="552"/>
      <c r="AI52" s="552"/>
      <c r="AJ52" s="552"/>
      <c r="AK52" s="552"/>
      <c r="AL52" s="552"/>
      <c r="AM52" s="553"/>
      <c r="AN52" s="233"/>
      <c r="AP52" s="21"/>
      <c r="AQ52" s="222">
        <v>5</v>
      </c>
      <c r="AR52" s="223">
        <v>20</v>
      </c>
      <c r="AS52" s="211">
        <v>12.4</v>
      </c>
      <c r="AT52" s="211">
        <v>13.9</v>
      </c>
      <c r="AU52" s="211">
        <v>17.2</v>
      </c>
      <c r="AV52" s="211">
        <v>18.899999999999999</v>
      </c>
      <c r="AW52" s="211">
        <v>20.8</v>
      </c>
      <c r="AX52" s="211">
        <v>24.7</v>
      </c>
      <c r="AY52" s="211">
        <v>26.8</v>
      </c>
      <c r="AZ52" s="211">
        <v>29</v>
      </c>
      <c r="BA52" s="211">
        <v>33.700000000000003</v>
      </c>
      <c r="BB52" s="570">
        <v>36.1</v>
      </c>
      <c r="BC52" s="212">
        <v>38.700000000000003</v>
      </c>
      <c r="BD52" s="224">
        <v>49.6</v>
      </c>
      <c r="BE52" s="200" t="s">
        <v>22</v>
      </c>
      <c r="BF52" s="475" t="e">
        <f t="shared" si="0"/>
        <v>#REF!</v>
      </c>
      <c r="BH52" s="21"/>
      <c r="BI52" s="222">
        <v>5</v>
      </c>
      <c r="BJ52" s="223">
        <v>20</v>
      </c>
      <c r="BK52" s="211">
        <v>-16.2</v>
      </c>
      <c r="BL52" s="211">
        <v>-18.2</v>
      </c>
      <c r="BM52" s="211">
        <v>-22.5</v>
      </c>
      <c r="BN52" s="211">
        <v>-24.8</v>
      </c>
      <c r="BO52" s="211">
        <v>-27.2</v>
      </c>
      <c r="BP52" s="211">
        <v>-32.4</v>
      </c>
      <c r="BQ52" s="211">
        <v>-35.1</v>
      </c>
      <c r="BR52" s="211">
        <v>-38</v>
      </c>
      <c r="BS52" s="211">
        <v>-44</v>
      </c>
      <c r="BT52" s="570">
        <v>-47.2</v>
      </c>
      <c r="BU52" s="212">
        <v>-50.5</v>
      </c>
      <c r="BV52" s="224">
        <v>-64.900000000000006</v>
      </c>
      <c r="BW52" s="200" t="s">
        <v>22</v>
      </c>
      <c r="BX52" s="475" t="e">
        <f t="shared" si="1"/>
        <v>#REF!</v>
      </c>
      <c r="BY52" s="475"/>
      <c r="BZ52" s="475"/>
      <c r="CA52" s="475"/>
      <c r="CB52" s="475"/>
      <c r="CC52" s="475"/>
      <c r="CD52" s="475"/>
      <c r="CE52" s="475"/>
      <c r="CF52" s="475"/>
      <c r="CG52" s="475"/>
      <c r="CH52" s="475"/>
      <c r="CI52" s="475"/>
      <c r="CJ52" s="475"/>
      <c r="CK52" s="475"/>
      <c r="CL52" s="475"/>
      <c r="CM52" s="475"/>
      <c r="CN52" s="475"/>
      <c r="CO52" s="475"/>
      <c r="CW52" s="57"/>
      <c r="CX52" s="468"/>
      <c r="CY52" s="178"/>
      <c r="CZ52" s="178"/>
      <c r="DA52" s="178">
        <v>2</v>
      </c>
      <c r="DB52" s="388">
        <v>21.6</v>
      </c>
      <c r="DC52" s="389">
        <v>14.8</v>
      </c>
      <c r="DD52" s="389">
        <v>17.2</v>
      </c>
      <c r="DE52" s="390">
        <v>11.8</v>
      </c>
      <c r="DF52" s="388">
        <v>8.3000000000000007</v>
      </c>
      <c r="DG52" s="389">
        <v>-6.5</v>
      </c>
      <c r="DH52" s="389">
        <v>7.2</v>
      </c>
      <c r="DI52" s="391">
        <v>-4.5999999999999996</v>
      </c>
      <c r="DJ52" s="388">
        <v>-7.6</v>
      </c>
      <c r="DK52" s="390">
        <v>-8.6999999999999993</v>
      </c>
      <c r="DM52" s="334" t="s">
        <v>39</v>
      </c>
      <c r="DN52" s="363">
        <v>4</v>
      </c>
      <c r="DO52" s="364">
        <v>500</v>
      </c>
      <c r="DP52" s="355">
        <v>9.6999999999999993</v>
      </c>
      <c r="DQ52" s="365">
        <v>-10.8</v>
      </c>
      <c r="DR52" s="355">
        <v>10.9</v>
      </c>
      <c r="DS52" s="365">
        <v>-12.1</v>
      </c>
      <c r="DT52" s="355">
        <v>13.4</v>
      </c>
      <c r="DU52" s="365">
        <v>-14.9</v>
      </c>
      <c r="DV52" s="355">
        <v>14.8</v>
      </c>
      <c r="DW52" s="365">
        <v>-16.5</v>
      </c>
      <c r="DX52" s="355">
        <v>16.2</v>
      </c>
      <c r="DY52" s="365">
        <v>-18.100000000000001</v>
      </c>
      <c r="DZ52" s="355">
        <v>19.3</v>
      </c>
      <c r="EA52" s="365">
        <v>-21.5</v>
      </c>
      <c r="EB52" s="355">
        <v>21</v>
      </c>
      <c r="EC52" s="365">
        <v>-23.3</v>
      </c>
      <c r="ED52" s="355">
        <v>22.7</v>
      </c>
      <c r="EE52" s="365">
        <v>-25.2</v>
      </c>
      <c r="EF52" s="355">
        <v>26.3</v>
      </c>
      <c r="EG52" s="365">
        <v>-29.3</v>
      </c>
      <c r="EH52" s="355">
        <v>28.2</v>
      </c>
      <c r="EI52" s="365">
        <v>-31.4</v>
      </c>
      <c r="EJ52" s="355">
        <v>30.2</v>
      </c>
      <c r="EK52" s="365">
        <v>-33.6</v>
      </c>
      <c r="EL52" s="355">
        <v>38.799999999999997</v>
      </c>
      <c r="EM52" s="365">
        <v>-43.2</v>
      </c>
    </row>
    <row r="53" spans="1:143" x14ac:dyDescent="0.2">
      <c r="A53" s="52"/>
      <c r="B53" s="437" t="s">
        <v>129</v>
      </c>
      <c r="C53" s="438"/>
      <c r="D53" s="439"/>
      <c r="E53" s="426" t="s">
        <v>178</v>
      </c>
      <c r="F53" s="423" t="s">
        <v>50</v>
      </c>
      <c r="G53" s="404" t="e">
        <f>IF($D$46*$C$16*$D$29*$AG$285&gt;=0,$D$46*$C$16*$D$29*$AG$285,0)</f>
        <v>#REF!</v>
      </c>
      <c r="H53" s="404" t="str">
        <f>IF(AND($AD$148&gt;=25,$AD$148&lt;=45),$D$46*$C$16*$D$29*$AG$286,"---")</f>
        <v>---</v>
      </c>
      <c r="I53" s="416"/>
      <c r="J53" s="417"/>
      <c r="L53" s="6"/>
      <c r="M53" s="200">
        <v>10</v>
      </c>
      <c r="N53" s="21"/>
      <c r="O53" s="235">
        <v>45</v>
      </c>
      <c r="P53" s="235">
        <v>1</v>
      </c>
      <c r="Q53" s="236">
        <v>19.600000000000001</v>
      </c>
      <c r="R53" s="237">
        <v>13.5</v>
      </c>
      <c r="S53" s="237">
        <v>10.8</v>
      </c>
      <c r="T53" s="238">
        <v>10.8</v>
      </c>
      <c r="U53" s="236">
        <v>1.5</v>
      </c>
      <c r="V53" s="237">
        <v>0.6</v>
      </c>
      <c r="W53" s="237">
        <v>0.6</v>
      </c>
      <c r="X53" s="239">
        <v>-10.3</v>
      </c>
      <c r="Y53" s="236">
        <v>-6.9</v>
      </c>
      <c r="Z53" s="238">
        <v>-7.9</v>
      </c>
      <c r="AA53" s="218">
        <v>43</v>
      </c>
      <c r="AB53" s="229"/>
      <c r="AC53" s="230"/>
      <c r="AD53" s="552"/>
      <c r="AE53" s="552"/>
      <c r="AF53" s="552"/>
      <c r="AG53" s="552"/>
      <c r="AH53" s="552"/>
      <c r="AI53" s="552"/>
      <c r="AJ53" s="552"/>
      <c r="AK53" s="552"/>
      <c r="AL53" s="552"/>
      <c r="AM53" s="553"/>
      <c r="AN53" s="233"/>
      <c r="AP53" s="21"/>
      <c r="AQ53" s="222">
        <v>5</v>
      </c>
      <c r="AR53" s="223">
        <v>50</v>
      </c>
      <c r="AS53" s="211">
        <v>11.6</v>
      </c>
      <c r="AT53" s="211">
        <v>13</v>
      </c>
      <c r="AU53" s="211">
        <v>16.100000000000001</v>
      </c>
      <c r="AV53" s="211">
        <v>17.8</v>
      </c>
      <c r="AW53" s="211">
        <v>19.5</v>
      </c>
      <c r="AX53" s="211">
        <v>23.2</v>
      </c>
      <c r="AY53" s="211">
        <v>25.2</v>
      </c>
      <c r="AZ53" s="211">
        <v>27.2</v>
      </c>
      <c r="BA53" s="211">
        <v>31.6</v>
      </c>
      <c r="BB53" s="570">
        <v>33.9</v>
      </c>
      <c r="BC53" s="212">
        <v>36.200000000000003</v>
      </c>
      <c r="BD53" s="224">
        <v>46.6</v>
      </c>
      <c r="BE53" s="200" t="s">
        <v>22</v>
      </c>
      <c r="BF53" s="475" t="e">
        <f t="shared" si="0"/>
        <v>#REF!</v>
      </c>
      <c r="BH53" s="21"/>
      <c r="BI53" s="222">
        <v>5</v>
      </c>
      <c r="BJ53" s="223">
        <v>50</v>
      </c>
      <c r="BK53" s="211">
        <v>-14.7</v>
      </c>
      <c r="BL53" s="211">
        <v>-16.5</v>
      </c>
      <c r="BM53" s="211">
        <v>-20.3</v>
      </c>
      <c r="BN53" s="211">
        <v>-22.4</v>
      </c>
      <c r="BO53" s="211">
        <v>-24.6</v>
      </c>
      <c r="BP53" s="211">
        <v>-29.3</v>
      </c>
      <c r="BQ53" s="211">
        <v>-31.8</v>
      </c>
      <c r="BR53" s="211">
        <v>-34.299999999999997</v>
      </c>
      <c r="BS53" s="211">
        <v>-39.799999999999997</v>
      </c>
      <c r="BT53" s="570">
        <v>-42.7</v>
      </c>
      <c r="BU53" s="212">
        <v>-45.7</v>
      </c>
      <c r="BV53" s="224">
        <v>-58.7</v>
      </c>
      <c r="BW53" s="200" t="s">
        <v>22</v>
      </c>
      <c r="BX53" s="475" t="e">
        <f t="shared" si="1"/>
        <v>#REF!</v>
      </c>
      <c r="BY53" s="475"/>
      <c r="BZ53" s="475"/>
      <c r="CA53" s="475"/>
      <c r="CB53" s="475"/>
      <c r="CC53" s="475"/>
      <c r="CD53" s="475"/>
      <c r="CE53" s="475"/>
      <c r="CF53" s="475"/>
      <c r="CG53" s="475"/>
      <c r="CH53" s="475"/>
      <c r="CI53" s="475"/>
      <c r="CJ53" s="475"/>
      <c r="CK53" s="475"/>
      <c r="CL53" s="475"/>
      <c r="CM53" s="475"/>
      <c r="CN53" s="475"/>
      <c r="CO53" s="475"/>
      <c r="CX53" s="395"/>
      <c r="CY53" s="358" t="s">
        <v>163</v>
      </c>
      <c r="CZ53" s="358" t="s">
        <v>165</v>
      </c>
      <c r="DA53" s="396">
        <v>1</v>
      </c>
      <c r="DB53" s="397">
        <v>22.8</v>
      </c>
      <c r="DC53" s="398">
        <v>-11.9</v>
      </c>
      <c r="DD53" s="398">
        <v>15.1</v>
      </c>
      <c r="DE53" s="399">
        <v>-7</v>
      </c>
      <c r="DF53" s="397">
        <v>-27.4</v>
      </c>
      <c r="DG53" s="398">
        <v>-15.6</v>
      </c>
      <c r="DH53" s="398">
        <v>-19.100000000000001</v>
      </c>
      <c r="DI53" s="400">
        <v>-12.1</v>
      </c>
      <c r="DJ53" s="397">
        <v>-38.4</v>
      </c>
      <c r="DK53" s="399">
        <v>-30.1</v>
      </c>
      <c r="DM53" s="334"/>
      <c r="DN53" s="363">
        <v>5</v>
      </c>
      <c r="DO53" s="364">
        <v>10</v>
      </c>
      <c r="DP53" s="355">
        <v>13</v>
      </c>
      <c r="DQ53" s="365">
        <v>-17.399999999999999</v>
      </c>
      <c r="DR53" s="355">
        <v>14.6</v>
      </c>
      <c r="DS53" s="365">
        <v>-19.5</v>
      </c>
      <c r="DT53" s="355">
        <v>18</v>
      </c>
      <c r="DU53" s="365">
        <v>-24.1</v>
      </c>
      <c r="DV53" s="355">
        <v>19.8</v>
      </c>
      <c r="DW53" s="365">
        <v>-26.6</v>
      </c>
      <c r="DX53" s="355">
        <v>21.8</v>
      </c>
      <c r="DY53" s="365">
        <v>-29.1</v>
      </c>
      <c r="DZ53" s="355">
        <v>25.9</v>
      </c>
      <c r="EA53" s="365">
        <v>-34.700000000000003</v>
      </c>
      <c r="EB53" s="355">
        <v>28.1</v>
      </c>
      <c r="EC53" s="365">
        <v>-37.6</v>
      </c>
      <c r="ED53" s="355">
        <v>30.4</v>
      </c>
      <c r="EE53" s="365">
        <v>-40.700000000000003</v>
      </c>
      <c r="EF53" s="355">
        <v>35.299999999999997</v>
      </c>
      <c r="EG53" s="365">
        <v>-47.2</v>
      </c>
      <c r="EH53" s="355">
        <v>37.799999999999997</v>
      </c>
      <c r="EI53" s="365">
        <v>-50.6</v>
      </c>
      <c r="EJ53" s="355">
        <v>40.5</v>
      </c>
      <c r="EK53" s="365">
        <v>-54.2</v>
      </c>
      <c r="EL53" s="355">
        <v>52</v>
      </c>
      <c r="EM53" s="365">
        <v>-69.599999999999994</v>
      </c>
    </row>
    <row r="54" spans="1:143" x14ac:dyDescent="0.2">
      <c r="A54" s="52"/>
      <c r="B54" s="440" t="s">
        <v>132</v>
      </c>
      <c r="C54" s="441"/>
      <c r="D54" s="442"/>
      <c r="E54" s="427" t="s">
        <v>179</v>
      </c>
      <c r="F54" s="421" t="s">
        <v>102</v>
      </c>
      <c r="G54" s="405" t="e">
        <f>$D$46*$C$16*$D$29*$AH$285</f>
        <v>#REF!</v>
      </c>
      <c r="H54" s="405" t="str">
        <f>IF(AND($AD$148&gt;=25,$AD$148&lt;=45),$D$46*$C$16*$D$29*$AH$286,"---")</f>
        <v>---</v>
      </c>
      <c r="I54" s="416"/>
      <c r="J54" s="417"/>
      <c r="L54" s="6"/>
      <c r="M54" s="200">
        <v>11</v>
      </c>
      <c r="N54" s="22"/>
      <c r="O54" s="250"/>
      <c r="P54" s="250">
        <v>2</v>
      </c>
      <c r="Q54" s="251">
        <v>19.600000000000001</v>
      </c>
      <c r="R54" s="252">
        <v>13.5</v>
      </c>
      <c r="S54" s="252">
        <v>10.8</v>
      </c>
      <c r="T54" s="253">
        <v>10.8</v>
      </c>
      <c r="U54" s="251">
        <v>7.6</v>
      </c>
      <c r="V54" s="252">
        <v>6.5</v>
      </c>
      <c r="W54" s="252">
        <v>6.5</v>
      </c>
      <c r="X54" s="254">
        <v>-4.2</v>
      </c>
      <c r="Y54" s="251">
        <v>-6.9</v>
      </c>
      <c r="Z54" s="253">
        <v>-7.9</v>
      </c>
      <c r="AA54" s="218">
        <v>44</v>
      </c>
      <c r="AB54" s="255"/>
      <c r="AC54" s="554"/>
      <c r="AD54" s="555"/>
      <c r="AE54" s="555"/>
      <c r="AF54" s="555"/>
      <c r="AG54" s="555"/>
      <c r="AH54" s="555"/>
      <c r="AI54" s="555"/>
      <c r="AJ54" s="555"/>
      <c r="AK54" s="555"/>
      <c r="AL54" s="555"/>
      <c r="AM54" s="556"/>
      <c r="AN54" s="233"/>
      <c r="AP54" s="21"/>
      <c r="AQ54" s="222">
        <v>5</v>
      </c>
      <c r="AR54" s="223">
        <v>100</v>
      </c>
      <c r="AS54" s="211">
        <v>11.1</v>
      </c>
      <c r="AT54" s="211">
        <v>12.4</v>
      </c>
      <c r="AU54" s="211">
        <v>15.3</v>
      </c>
      <c r="AV54" s="211">
        <v>16.899999999999999</v>
      </c>
      <c r="AW54" s="211">
        <v>18.5</v>
      </c>
      <c r="AX54" s="211">
        <v>22</v>
      </c>
      <c r="AY54" s="211">
        <v>23.9</v>
      </c>
      <c r="AZ54" s="211">
        <v>25.9</v>
      </c>
      <c r="BA54" s="211">
        <v>30</v>
      </c>
      <c r="BB54" s="570">
        <v>32.200000000000003</v>
      </c>
      <c r="BC54" s="212">
        <v>34.4</v>
      </c>
      <c r="BD54" s="224">
        <v>44.2</v>
      </c>
      <c r="BE54" s="200" t="s">
        <v>22</v>
      </c>
      <c r="BF54" s="475" t="e">
        <f t="shared" si="0"/>
        <v>#REF!</v>
      </c>
      <c r="BH54" s="21"/>
      <c r="BI54" s="222">
        <v>5</v>
      </c>
      <c r="BJ54" s="223">
        <v>100</v>
      </c>
      <c r="BK54" s="211">
        <v>-13.5</v>
      </c>
      <c r="BL54" s="211">
        <v>-15.1</v>
      </c>
      <c r="BM54" s="211">
        <v>-18.7</v>
      </c>
      <c r="BN54" s="211">
        <v>-20.6</v>
      </c>
      <c r="BO54" s="211">
        <v>-22.6</v>
      </c>
      <c r="BP54" s="211">
        <v>-26.9</v>
      </c>
      <c r="BQ54" s="211">
        <v>-29.2</v>
      </c>
      <c r="BR54" s="211">
        <v>-31.6</v>
      </c>
      <c r="BS54" s="211">
        <v>-36.700000000000003</v>
      </c>
      <c r="BT54" s="211">
        <v>-39.299999999999997</v>
      </c>
      <c r="BU54" s="211">
        <v>-42.1</v>
      </c>
      <c r="BV54" s="212">
        <v>-54.1</v>
      </c>
      <c r="BW54" s="200" t="s">
        <v>22</v>
      </c>
      <c r="BX54" s="475" t="e">
        <f t="shared" si="1"/>
        <v>#REF!</v>
      </c>
      <c r="BY54" s="475"/>
      <c r="BZ54" s="475"/>
      <c r="CA54" s="475"/>
      <c r="CB54" s="475"/>
      <c r="CC54" s="475"/>
      <c r="CD54" s="475"/>
      <c r="CE54" s="475"/>
      <c r="CF54" s="475"/>
      <c r="CG54" s="475"/>
      <c r="CH54" s="475"/>
      <c r="CI54" s="475"/>
      <c r="CJ54" s="475"/>
      <c r="CK54" s="475"/>
      <c r="CL54" s="475"/>
      <c r="CM54" s="475"/>
      <c r="CN54" s="475"/>
      <c r="CO54" s="475"/>
      <c r="CX54" s="330"/>
      <c r="CY54" s="358">
        <v>10</v>
      </c>
      <c r="CZ54" s="358">
        <v>2</v>
      </c>
      <c r="DA54" s="358">
        <v>1</v>
      </c>
      <c r="DB54" s="359">
        <v>25.8</v>
      </c>
      <c r="DC54" s="360">
        <v>-10.7</v>
      </c>
      <c r="DD54" s="360">
        <v>17.100000000000001</v>
      </c>
      <c r="DE54" s="361">
        <v>-6.2</v>
      </c>
      <c r="DF54" s="359">
        <v>-27.4</v>
      </c>
      <c r="DG54" s="360">
        <v>-16.8</v>
      </c>
      <c r="DH54" s="360">
        <v>-19.100000000000001</v>
      </c>
      <c r="DI54" s="362">
        <v>-12.9</v>
      </c>
      <c r="DJ54" s="359">
        <v>-38.4</v>
      </c>
      <c r="DK54" s="361">
        <v>-30.1</v>
      </c>
      <c r="DM54" s="334"/>
      <c r="DN54" s="363">
        <v>5</v>
      </c>
      <c r="DO54" s="364">
        <v>20</v>
      </c>
      <c r="DP54" s="355">
        <v>12.4</v>
      </c>
      <c r="DQ54" s="365">
        <v>-16.2</v>
      </c>
      <c r="DR54" s="355">
        <v>13.9</v>
      </c>
      <c r="DS54" s="365">
        <v>-18.2</v>
      </c>
      <c r="DT54" s="355">
        <v>17.2</v>
      </c>
      <c r="DU54" s="365">
        <v>-22.5</v>
      </c>
      <c r="DV54" s="355">
        <v>18.899999999999999</v>
      </c>
      <c r="DW54" s="365">
        <v>-24.8</v>
      </c>
      <c r="DX54" s="355">
        <v>20.8</v>
      </c>
      <c r="DY54" s="365">
        <v>-27.2</v>
      </c>
      <c r="DZ54" s="355">
        <v>24.7</v>
      </c>
      <c r="EA54" s="365">
        <v>-32.4</v>
      </c>
      <c r="EB54" s="355">
        <v>26.8</v>
      </c>
      <c r="EC54" s="365">
        <v>-35.1</v>
      </c>
      <c r="ED54" s="355">
        <v>29</v>
      </c>
      <c r="EE54" s="365">
        <v>-38</v>
      </c>
      <c r="EF54" s="355">
        <v>33.700000000000003</v>
      </c>
      <c r="EG54" s="365">
        <v>-44</v>
      </c>
      <c r="EH54" s="355">
        <v>36.1</v>
      </c>
      <c r="EI54" s="365">
        <v>-47.2</v>
      </c>
      <c r="EJ54" s="355">
        <v>38.700000000000003</v>
      </c>
      <c r="EK54" s="365">
        <v>-50.5</v>
      </c>
      <c r="EL54" s="355">
        <v>49.6</v>
      </c>
      <c r="EM54" s="365">
        <v>-64.900000000000006</v>
      </c>
    </row>
    <row r="55" spans="1:143" x14ac:dyDescent="0.2">
      <c r="A55" s="52"/>
      <c r="B55" s="433" t="s">
        <v>133</v>
      </c>
      <c r="C55" s="434"/>
      <c r="D55" s="435"/>
      <c r="E55" s="425" t="s">
        <v>179</v>
      </c>
      <c r="F55" s="413" t="s">
        <v>103</v>
      </c>
      <c r="G55" s="403" t="e">
        <f>$D$46*$C$16*$D$29*$AI$285</f>
        <v>#REF!</v>
      </c>
      <c r="H55" s="403" t="str">
        <f>IF(AND($AD$148&gt;=25,$AD$148&lt;=45),$D$46*$C$16*$D$29*$AI$286,"---")</f>
        <v>---</v>
      </c>
      <c r="I55" s="416"/>
      <c r="J55" s="417"/>
      <c r="L55" s="6"/>
      <c r="M55" s="200">
        <v>1</v>
      </c>
      <c r="N55" s="197"/>
      <c r="O55" s="205">
        <v>0</v>
      </c>
      <c r="P55" s="205">
        <v>1</v>
      </c>
      <c r="Q55" s="206">
        <v>19.2</v>
      </c>
      <c r="R55" s="215">
        <v>-10</v>
      </c>
      <c r="S55" s="215">
        <v>12.7</v>
      </c>
      <c r="T55" s="216">
        <v>-5.9</v>
      </c>
      <c r="U55" s="206">
        <v>-23.1</v>
      </c>
      <c r="V55" s="215">
        <v>-13.1</v>
      </c>
      <c r="W55" s="215">
        <v>-16</v>
      </c>
      <c r="X55" s="217">
        <v>-10.1</v>
      </c>
      <c r="Y55" s="206">
        <v>-32.299999999999997</v>
      </c>
      <c r="Z55" s="216">
        <v>-25.3</v>
      </c>
      <c r="AA55" s="218">
        <v>45</v>
      </c>
      <c r="AB55" s="219"/>
      <c r="AC55" s="220" t="e">
        <f>IF($C$8=$N60,VLOOKUP(MATCH($AD$6,$O55:$O65,1),$M55:$Z65,3),"")</f>
        <v>#REF!</v>
      </c>
      <c r="AD55" s="220" t="e">
        <f>IF($C$8=$N60,VLOOKUP(MATCH($AD$6,$O55:$O65,1),$M55:$Z65,5),"")</f>
        <v>#REF!</v>
      </c>
      <c r="AE55" s="220" t="e">
        <f>IF($C$8=$N60,VLOOKUP(MATCH($AD$6,$O55:$O65,1),$M55:$Z65,6),"")</f>
        <v>#REF!</v>
      </c>
      <c r="AF55" s="220" t="e">
        <f>IF($C$8=$N60,VLOOKUP(MATCH($AD$6,$O55:$O65,1),$M55:$Z65,7),"")</f>
        <v>#REF!</v>
      </c>
      <c r="AG55" s="220" t="e">
        <f>IF($C$8=$N60,VLOOKUP(MATCH($AD$6,$O55:$O65,1),$M55:$Z65,8),"")</f>
        <v>#REF!</v>
      </c>
      <c r="AH55" s="220" t="e">
        <f>IF($C$8=$N60,VLOOKUP(MATCH($AD$6,$O55:$O65,1),$M55:$Z65,9),"")</f>
        <v>#REF!</v>
      </c>
      <c r="AI55" s="220" t="e">
        <f>IF($C$8=$N60,VLOOKUP(MATCH($AD$6,$O55:$O65,1),$M55:$Z65,10),"")</f>
        <v>#REF!</v>
      </c>
      <c r="AJ55" s="220" t="e">
        <f>IF($C$8=$N60,VLOOKUP(MATCH($AD$6,$O55:$O65,1),$M55:$Z65,11),"")</f>
        <v>#REF!</v>
      </c>
      <c r="AK55" s="220" t="e">
        <f>IF($C$8=$N60,VLOOKUP(MATCH($AD$6,$O55:$O65,1),$M55:$Z65,12),"")</f>
        <v>#REF!</v>
      </c>
      <c r="AL55" s="220" t="e">
        <f>IF($C$8=$N60,VLOOKUP(MATCH($AD$6,$O55:$O65,1),$M55:$Z65,13),"")</f>
        <v>#REF!</v>
      </c>
      <c r="AM55" s="221" t="e">
        <f>IF($C$8=$N60,VLOOKUP(MATCH($AD$6,$O55:$O65,1),$M55:$Z65,14),"")</f>
        <v>#REF!</v>
      </c>
      <c r="AN55" s="19"/>
      <c r="AP55" s="22"/>
      <c r="AQ55" s="244">
        <v>5</v>
      </c>
      <c r="AR55" s="245">
        <v>500</v>
      </c>
      <c r="AS55" s="246">
        <v>9.6999999999999993</v>
      </c>
      <c r="AT55" s="246">
        <v>10.9</v>
      </c>
      <c r="AU55" s="246">
        <v>13.4</v>
      </c>
      <c r="AV55" s="246">
        <v>14.8</v>
      </c>
      <c r="AW55" s="246">
        <v>16.2</v>
      </c>
      <c r="AX55" s="246">
        <v>19.3</v>
      </c>
      <c r="AY55" s="246">
        <v>21</v>
      </c>
      <c r="AZ55" s="246">
        <v>22.7</v>
      </c>
      <c r="BA55" s="246">
        <v>26.3</v>
      </c>
      <c r="BB55" s="571">
        <v>28.2</v>
      </c>
      <c r="BC55" s="247">
        <v>30.2</v>
      </c>
      <c r="BD55" s="248">
        <v>38.799999999999997</v>
      </c>
      <c r="BE55" s="200" t="s">
        <v>22</v>
      </c>
      <c r="BF55" s="475" t="e">
        <f t="shared" si="0"/>
        <v>#REF!</v>
      </c>
      <c r="BH55" s="22"/>
      <c r="BI55" s="244">
        <v>5</v>
      </c>
      <c r="BJ55" s="245">
        <v>500</v>
      </c>
      <c r="BK55" s="246">
        <v>-10.8</v>
      </c>
      <c r="BL55" s="246">
        <v>-12.1</v>
      </c>
      <c r="BM55" s="246">
        <v>-14.9</v>
      </c>
      <c r="BN55" s="246">
        <v>-16.5</v>
      </c>
      <c r="BO55" s="246">
        <v>-18.100000000000001</v>
      </c>
      <c r="BP55" s="246">
        <v>-21.5</v>
      </c>
      <c r="BQ55" s="246">
        <v>-23.2</v>
      </c>
      <c r="BR55" s="246">
        <v>-25.2</v>
      </c>
      <c r="BS55" s="246">
        <v>-29.3</v>
      </c>
      <c r="BT55" s="246">
        <v>-31.1</v>
      </c>
      <c r="BU55" s="246">
        <v>-33.6</v>
      </c>
      <c r="BV55" s="247">
        <v>-43.2</v>
      </c>
      <c r="BW55" s="200" t="s">
        <v>22</v>
      </c>
      <c r="BX55" s="475" t="e">
        <f t="shared" si="1"/>
        <v>#REF!</v>
      </c>
      <c r="BY55" s="475"/>
      <c r="BZ55" s="475"/>
      <c r="CA55" s="475"/>
      <c r="CB55" s="475"/>
      <c r="CC55" s="475"/>
      <c r="CD55" s="475"/>
      <c r="CE55" s="475"/>
      <c r="CF55" s="475"/>
      <c r="CG55" s="475"/>
      <c r="CH55" s="475"/>
      <c r="CI55" s="475"/>
      <c r="CJ55" s="475"/>
      <c r="CK55" s="475"/>
      <c r="CL55" s="475"/>
      <c r="CM55" s="475"/>
      <c r="CN55" s="475"/>
      <c r="CO55" s="475"/>
      <c r="CX55" s="330"/>
      <c r="CY55" s="358">
        <v>15</v>
      </c>
      <c r="CZ55" s="358">
        <v>3</v>
      </c>
      <c r="DA55" s="358">
        <v>1</v>
      </c>
      <c r="DB55" s="359">
        <v>29.7</v>
      </c>
      <c r="DC55" s="360">
        <v>-9.5</v>
      </c>
      <c r="DD55" s="360">
        <v>19.100000000000001</v>
      </c>
      <c r="DE55" s="361">
        <v>-5.4</v>
      </c>
      <c r="DF55" s="359">
        <v>-27.4</v>
      </c>
      <c r="DG55" s="360">
        <v>-17.899999999999999</v>
      </c>
      <c r="DH55" s="360">
        <v>-19.100000000000001</v>
      </c>
      <c r="DI55" s="362">
        <v>-13.7</v>
      </c>
      <c r="DJ55" s="359">
        <v>-38.4</v>
      </c>
      <c r="DK55" s="361">
        <v>-30.1</v>
      </c>
      <c r="DM55" s="334"/>
      <c r="DN55" s="363">
        <v>5</v>
      </c>
      <c r="DO55" s="364">
        <v>50</v>
      </c>
      <c r="DP55" s="355">
        <v>11.6</v>
      </c>
      <c r="DQ55" s="365">
        <v>-14.7</v>
      </c>
      <c r="DR55" s="355">
        <v>13</v>
      </c>
      <c r="DS55" s="365">
        <v>-16.5</v>
      </c>
      <c r="DT55" s="355">
        <v>16.100000000000001</v>
      </c>
      <c r="DU55" s="365">
        <v>-20.3</v>
      </c>
      <c r="DV55" s="355">
        <v>17.8</v>
      </c>
      <c r="DW55" s="365">
        <v>-22.4</v>
      </c>
      <c r="DX55" s="355">
        <v>19.5</v>
      </c>
      <c r="DY55" s="365">
        <v>-24.6</v>
      </c>
      <c r="DZ55" s="355">
        <v>23.2</v>
      </c>
      <c r="EA55" s="365">
        <v>-29.3</v>
      </c>
      <c r="EB55" s="355">
        <v>25.2</v>
      </c>
      <c r="EC55" s="365">
        <v>-31.8</v>
      </c>
      <c r="ED55" s="355">
        <v>27.2</v>
      </c>
      <c r="EE55" s="365">
        <v>-34.299999999999997</v>
      </c>
      <c r="EF55" s="355">
        <v>31.6</v>
      </c>
      <c r="EG55" s="365">
        <v>-39.799999999999997</v>
      </c>
      <c r="EH55" s="355">
        <v>33.9</v>
      </c>
      <c r="EI55" s="365">
        <v>-42.7</v>
      </c>
      <c r="EJ55" s="355">
        <v>36.200000000000003</v>
      </c>
      <c r="EK55" s="365">
        <v>-45.7</v>
      </c>
      <c r="EL55" s="355">
        <v>46.6</v>
      </c>
      <c r="EM55" s="365">
        <v>-58.7</v>
      </c>
    </row>
    <row r="56" spans="1:143" x14ac:dyDescent="0.2">
      <c r="A56" s="52"/>
      <c r="B56" s="433" t="s">
        <v>134</v>
      </c>
      <c r="C56" s="434"/>
      <c r="D56" s="435"/>
      <c r="E56" s="425" t="s">
        <v>179</v>
      </c>
      <c r="F56" s="413" t="s">
        <v>361</v>
      </c>
      <c r="G56" s="403" t="e">
        <f>$D$46*$C$16*$D$29*$AJ$285</f>
        <v>#REF!</v>
      </c>
      <c r="H56" s="403" t="str">
        <f>IF(AND($AD$148&gt;=25,$AD$148&lt;=45),$D$46*$C$16*$D$29*$AJ$286,"---")</f>
        <v>---</v>
      </c>
      <c r="I56" s="416"/>
      <c r="J56" s="417"/>
      <c r="L56" s="6"/>
      <c r="M56" s="200">
        <v>2</v>
      </c>
      <c r="N56" s="21"/>
      <c r="O56" s="223">
        <v>5</v>
      </c>
      <c r="P56" s="223">
        <v>1</v>
      </c>
      <c r="Q56" s="211">
        <v>19.2</v>
      </c>
      <c r="R56" s="226">
        <v>-10</v>
      </c>
      <c r="S56" s="226">
        <v>12.7</v>
      </c>
      <c r="T56" s="227">
        <v>-5.9</v>
      </c>
      <c r="U56" s="211">
        <v>-23.1</v>
      </c>
      <c r="V56" s="226">
        <v>-13.1</v>
      </c>
      <c r="W56" s="226">
        <v>-16</v>
      </c>
      <c r="X56" s="228">
        <v>-10.1</v>
      </c>
      <c r="Y56" s="211">
        <v>-32.299999999999997</v>
      </c>
      <c r="Z56" s="227">
        <v>-25.3</v>
      </c>
      <c r="AA56" s="218">
        <v>46</v>
      </c>
      <c r="AB56" s="229"/>
      <c r="AC56" s="230" t="e">
        <f>IF($C$8=$N60,VLOOKUP(MATCH($AD$6,$O55:$O65,1)+IF($AD$6&lt;25,1,2),$M55:$Z65,3),"")</f>
        <v>#REF!</v>
      </c>
      <c r="AD56" s="230" t="e">
        <f>IF($C$8=$N60,VLOOKUP(MATCH($AD$6,$O55:$O65,1)+IF($AD$6&lt;25,1,2),$M55:$Z65,5),"")</f>
        <v>#REF!</v>
      </c>
      <c r="AE56" s="230" t="e">
        <f>IF($C$8=$N60,VLOOKUP(MATCH($AD$6,$O55:$O65,1)+IF($AD$6&lt;25,1,2),$M55:$Z65,6),"")</f>
        <v>#REF!</v>
      </c>
      <c r="AF56" s="230" t="e">
        <f>IF($C$8=$N60,VLOOKUP(MATCH($AD$6,$O55:$O65,1)+IF($AD$6&lt;25,1,2),$M55:$Z65,7),"")</f>
        <v>#REF!</v>
      </c>
      <c r="AG56" s="230" t="e">
        <f>IF($C$8=$N60,VLOOKUP(MATCH($AD$6,$O55:$O65,1)+IF($AD$6&lt;25,1,2),$M55:$Z65,8),"")</f>
        <v>#REF!</v>
      </c>
      <c r="AH56" s="230" t="e">
        <f>IF($C$8=$N60,VLOOKUP(MATCH($AD$6,$O55:$O65,1)+IF($AD$6&lt;25,1,2),$M55:$Z65,9),"")</f>
        <v>#REF!</v>
      </c>
      <c r="AI56" s="230" t="e">
        <f>IF($C$8=$N60,VLOOKUP(MATCH($AD$6,$O55:$O65,1)+IF($AD$6&lt;25,1,2),$M55:$Z65,10),"")</f>
        <v>#REF!</v>
      </c>
      <c r="AJ56" s="230" t="e">
        <f>IF($C$8=$N60,VLOOKUP(MATCH($AD$6,$O55:$O65,1)+IF($AD$6&lt;25,1,2),$M55:$Z65,11),"")</f>
        <v>#REF!</v>
      </c>
      <c r="AK56" s="230" t="e">
        <f>IF($C$8=$N60,VLOOKUP(MATCH($AD$6,$O55:$O65,1)+IF($AD$6&lt;25,1,2),$M55:$Z65,12),"")</f>
        <v>#REF!</v>
      </c>
      <c r="AL56" s="230" t="e">
        <f>IF($C$8=$N60,VLOOKUP(MATCH($AD$6,$O55:$O65,1)+IF($AD$6&lt;25,1,2),$M55:$Z65,13),"")</f>
        <v>#REF!</v>
      </c>
      <c r="AM56" s="231" t="e">
        <f>IF($C$8=$N60,VLOOKUP(MATCH($AD$6,$O55:$O65,1)+IF($AD$6&lt;25,1,2),$M55:$Z65,14),"")</f>
        <v>#REF!</v>
      </c>
      <c r="AN56" s="19"/>
      <c r="CX56" s="330">
        <v>120</v>
      </c>
      <c r="CY56" s="358">
        <v>20</v>
      </c>
      <c r="CZ56" s="358">
        <v>4</v>
      </c>
      <c r="DA56" s="358">
        <v>1</v>
      </c>
      <c r="DB56" s="359">
        <v>31.6</v>
      </c>
      <c r="DC56" s="360">
        <v>-8.3000000000000007</v>
      </c>
      <c r="DD56" s="360">
        <v>21.1</v>
      </c>
      <c r="DE56" s="361">
        <v>-4.5999999999999996</v>
      </c>
      <c r="DF56" s="359">
        <v>-27.4</v>
      </c>
      <c r="DG56" s="360">
        <v>-19.100000000000001</v>
      </c>
      <c r="DH56" s="360">
        <v>-19.100000000000001</v>
      </c>
      <c r="DI56" s="362">
        <v>-14.5</v>
      </c>
      <c r="DJ56" s="359">
        <v>-38.4</v>
      </c>
      <c r="DK56" s="361">
        <v>-30.1</v>
      </c>
      <c r="DM56" s="334"/>
      <c r="DN56" s="363">
        <v>5</v>
      </c>
      <c r="DO56" s="364">
        <v>100</v>
      </c>
      <c r="DP56" s="355">
        <v>11.1</v>
      </c>
      <c r="DQ56" s="365">
        <v>-13.5</v>
      </c>
      <c r="DR56" s="355">
        <v>12.4</v>
      </c>
      <c r="DS56" s="365">
        <v>-15.1</v>
      </c>
      <c r="DT56" s="355">
        <v>15.3</v>
      </c>
      <c r="DU56" s="365">
        <v>-18.7</v>
      </c>
      <c r="DV56" s="355">
        <v>16.899999999999999</v>
      </c>
      <c r="DW56" s="365">
        <v>-20.6</v>
      </c>
      <c r="DX56" s="355">
        <v>18.5</v>
      </c>
      <c r="DY56" s="365">
        <v>-22.6</v>
      </c>
      <c r="DZ56" s="355">
        <v>22</v>
      </c>
      <c r="EA56" s="365">
        <v>-26.9</v>
      </c>
      <c r="EB56" s="355">
        <v>23.9</v>
      </c>
      <c r="EC56" s="365">
        <v>-29.2</v>
      </c>
      <c r="ED56" s="355">
        <v>25.9</v>
      </c>
      <c r="EE56" s="365">
        <v>-31.6</v>
      </c>
      <c r="EF56" s="355">
        <v>30</v>
      </c>
      <c r="EG56" s="365">
        <v>-36.700000000000003</v>
      </c>
      <c r="EH56" s="355">
        <v>32.200000000000003</v>
      </c>
      <c r="EI56" s="365">
        <v>-39.299999999999997</v>
      </c>
      <c r="EJ56" s="355">
        <v>34.4</v>
      </c>
      <c r="EK56" s="365">
        <v>-42.1</v>
      </c>
      <c r="EL56" s="355">
        <v>44.2</v>
      </c>
      <c r="EM56" s="365">
        <v>-54.1</v>
      </c>
    </row>
    <row r="57" spans="1:143" x14ac:dyDescent="0.2">
      <c r="A57" s="52"/>
      <c r="B57" s="437" t="s">
        <v>136</v>
      </c>
      <c r="C57" s="443"/>
      <c r="D57" s="439"/>
      <c r="E57" s="426" t="s">
        <v>179</v>
      </c>
      <c r="F57" s="414" t="s">
        <v>104</v>
      </c>
      <c r="G57" s="404" t="e">
        <f>$D$46*$C$16*$D$29*$AK$285</f>
        <v>#REF!</v>
      </c>
      <c r="H57" s="404" t="str">
        <f>IF(AND($AD$148&gt;=25,$AD$148&lt;=45),$D$46*$C$16*$D$29*$AK$286,"---")</f>
        <v>---</v>
      </c>
      <c r="I57" s="416"/>
      <c r="J57" s="417"/>
      <c r="L57" s="6"/>
      <c r="M57" s="200">
        <v>3</v>
      </c>
      <c r="N57" s="21"/>
      <c r="O57" s="223">
        <v>10</v>
      </c>
      <c r="P57" s="223">
        <v>1</v>
      </c>
      <c r="Q57" s="211">
        <v>21.6</v>
      </c>
      <c r="R57" s="226">
        <v>-9</v>
      </c>
      <c r="S57" s="226">
        <v>14.4</v>
      </c>
      <c r="T57" s="227">
        <v>-5.2</v>
      </c>
      <c r="U57" s="211">
        <v>-23.1</v>
      </c>
      <c r="V57" s="226">
        <v>-14.1</v>
      </c>
      <c r="W57" s="226">
        <v>-16</v>
      </c>
      <c r="X57" s="228">
        <v>-10.8</v>
      </c>
      <c r="Y57" s="211">
        <v>-32.299999999999997</v>
      </c>
      <c r="Z57" s="227">
        <v>-25.3</v>
      </c>
      <c r="AA57" s="218">
        <v>47</v>
      </c>
      <c r="AB57" s="229" t="e">
        <f>IF($C$8=$N60,MATCH($AD$6,$O55:$O65,1),0)</f>
        <v>#REF!</v>
      </c>
      <c r="AC57" s="230" t="e">
        <f>IF($C$8=$N60,$AD$6,"")</f>
        <v>#REF!</v>
      </c>
      <c r="AD57" s="230" t="e">
        <f t="shared" ref="AD57:AM57" si="11">IF($C$8=$N60,(AD56-AD55)*($AD$6-$AC55)/($AC56-$AC55)+AD55,"")</f>
        <v>#REF!</v>
      </c>
      <c r="AE57" s="230" t="e">
        <f t="shared" si="11"/>
        <v>#REF!</v>
      </c>
      <c r="AF57" s="230" t="e">
        <f t="shared" si="11"/>
        <v>#REF!</v>
      </c>
      <c r="AG57" s="230" t="e">
        <f t="shared" si="11"/>
        <v>#REF!</v>
      </c>
      <c r="AH57" s="230" t="e">
        <f t="shared" si="11"/>
        <v>#REF!</v>
      </c>
      <c r="AI57" s="230" t="e">
        <f t="shared" si="11"/>
        <v>#REF!</v>
      </c>
      <c r="AJ57" s="230" t="e">
        <f t="shared" si="11"/>
        <v>#REF!</v>
      </c>
      <c r="AK57" s="230" t="e">
        <f t="shared" si="11"/>
        <v>#REF!</v>
      </c>
      <c r="AL57" s="230" t="e">
        <f t="shared" si="11"/>
        <v>#REF!</v>
      </c>
      <c r="AM57" s="231" t="e">
        <f t="shared" si="11"/>
        <v>#REF!</v>
      </c>
      <c r="AN57" s="19"/>
      <c r="CX57" s="330"/>
      <c r="CY57" s="367">
        <v>25</v>
      </c>
      <c r="CZ57" s="367">
        <v>6</v>
      </c>
      <c r="DA57" s="367">
        <v>1</v>
      </c>
      <c r="DB57" s="368">
        <v>28.6</v>
      </c>
      <c r="DC57" s="369">
        <v>4.5999999999999996</v>
      </c>
      <c r="DD57" s="369">
        <v>20.7</v>
      </c>
      <c r="DE57" s="370">
        <v>4.7</v>
      </c>
      <c r="DF57" s="368">
        <v>-12.7</v>
      </c>
      <c r="DG57" s="369">
        <v>-17.3</v>
      </c>
      <c r="DH57" s="369">
        <v>-9.1999999999999993</v>
      </c>
      <c r="DI57" s="371">
        <v>-13.9</v>
      </c>
      <c r="DJ57" s="368">
        <v>-23.7</v>
      </c>
      <c r="DK57" s="370">
        <v>-20.2</v>
      </c>
      <c r="DM57" s="341"/>
      <c r="DN57" s="379">
        <v>5</v>
      </c>
      <c r="DO57" s="380">
        <v>500</v>
      </c>
      <c r="DP57" s="381">
        <v>9.6999999999999993</v>
      </c>
      <c r="DQ57" s="392">
        <v>-10.8</v>
      </c>
      <c r="DR57" s="381">
        <v>10.9</v>
      </c>
      <c r="DS57" s="392">
        <v>-12.1</v>
      </c>
      <c r="DT57" s="381">
        <v>13.4</v>
      </c>
      <c r="DU57" s="392">
        <v>-14.9</v>
      </c>
      <c r="DV57" s="381">
        <v>14.8</v>
      </c>
      <c r="DW57" s="392">
        <v>-16.5</v>
      </c>
      <c r="DX57" s="381">
        <v>16.2</v>
      </c>
      <c r="DY57" s="392">
        <v>-18.100000000000001</v>
      </c>
      <c r="DZ57" s="381">
        <v>19.3</v>
      </c>
      <c r="EA57" s="392">
        <v>-21.5</v>
      </c>
      <c r="EB57" s="381">
        <v>21</v>
      </c>
      <c r="EC57" s="392">
        <v>-23.2</v>
      </c>
      <c r="ED57" s="381">
        <v>22.7</v>
      </c>
      <c r="EE57" s="392">
        <v>-25.2</v>
      </c>
      <c r="EF57" s="381">
        <v>26.3</v>
      </c>
      <c r="EG57" s="392">
        <v>-29.3</v>
      </c>
      <c r="EH57" s="381">
        <v>28.2</v>
      </c>
      <c r="EI57" s="392">
        <v>-31.1</v>
      </c>
      <c r="EJ57" s="381">
        <v>30.2</v>
      </c>
      <c r="EK57" s="392">
        <v>-33.6</v>
      </c>
      <c r="EL57" s="381">
        <v>38.799999999999997</v>
      </c>
      <c r="EM57" s="392">
        <v>-43.2</v>
      </c>
    </row>
    <row r="58" spans="1:143" x14ac:dyDescent="0.2">
      <c r="A58" s="73"/>
      <c r="B58" s="61"/>
      <c r="C58" s="61"/>
      <c r="D58" s="61"/>
      <c r="E58" s="61"/>
      <c r="F58" s="61"/>
      <c r="G58" s="61"/>
      <c r="H58" s="61"/>
      <c r="I58" s="61"/>
      <c r="J58" s="409" t="s">
        <v>173</v>
      </c>
      <c r="L58" s="6"/>
      <c r="M58" s="200">
        <v>4</v>
      </c>
      <c r="N58" s="21"/>
      <c r="O58" s="223">
        <v>15</v>
      </c>
      <c r="P58" s="223">
        <v>1</v>
      </c>
      <c r="Q58" s="211">
        <v>24.1</v>
      </c>
      <c r="R58" s="226">
        <v>-8</v>
      </c>
      <c r="S58" s="226">
        <v>16</v>
      </c>
      <c r="T58" s="227">
        <v>-4.5999999999999996</v>
      </c>
      <c r="U58" s="211">
        <v>-23.1</v>
      </c>
      <c r="V58" s="226">
        <v>-15.1</v>
      </c>
      <c r="W58" s="226">
        <v>-16</v>
      </c>
      <c r="X58" s="228">
        <v>-11.5</v>
      </c>
      <c r="Y58" s="211">
        <v>-32.299999999999997</v>
      </c>
      <c r="Z58" s="227">
        <v>-25.3</v>
      </c>
      <c r="AA58" s="218">
        <v>48</v>
      </c>
      <c r="AB58" s="229"/>
      <c r="AC58" s="230"/>
      <c r="AD58" s="552"/>
      <c r="AE58" s="552"/>
      <c r="AF58" s="552"/>
      <c r="AG58" s="552"/>
      <c r="AH58" s="552"/>
      <c r="AI58" s="552"/>
      <c r="AJ58" s="552"/>
      <c r="AK58" s="552"/>
      <c r="AL58" s="552"/>
      <c r="AM58" s="553"/>
      <c r="AN58" s="233"/>
      <c r="AP58" s="3" t="s">
        <v>146</v>
      </c>
      <c r="AQ58" s="3"/>
      <c r="AR58" s="3"/>
      <c r="AS58" s="3"/>
      <c r="AT58" s="3"/>
      <c r="BH58" s="3" t="s">
        <v>147</v>
      </c>
      <c r="BI58" s="3"/>
      <c r="BJ58" s="3"/>
      <c r="BK58" s="3"/>
      <c r="CX58" s="330"/>
      <c r="CY58" s="372"/>
      <c r="CZ58" s="372"/>
      <c r="DA58" s="372">
        <v>2</v>
      </c>
      <c r="DB58" s="373" t="s">
        <v>145</v>
      </c>
      <c r="DC58" s="374" t="s">
        <v>145</v>
      </c>
      <c r="DD58" s="374" t="s">
        <v>145</v>
      </c>
      <c r="DE58" s="375" t="s">
        <v>145</v>
      </c>
      <c r="DF58" s="376">
        <v>-4.8</v>
      </c>
      <c r="DG58" s="377">
        <v>-9.4</v>
      </c>
      <c r="DH58" s="377">
        <v>-1.3</v>
      </c>
      <c r="DI58" s="378">
        <v>-6</v>
      </c>
      <c r="DJ58" s="373" t="s">
        <v>145</v>
      </c>
      <c r="DK58" s="375" t="s">
        <v>145</v>
      </c>
    </row>
    <row r="59" spans="1:143" x14ac:dyDescent="0.2">
      <c r="A59" s="97"/>
      <c r="B59" s="98"/>
      <c r="C59" s="98"/>
      <c r="D59" s="98"/>
      <c r="E59" s="98"/>
      <c r="F59" s="98"/>
      <c r="G59" s="98"/>
      <c r="H59" s="98"/>
      <c r="I59" s="98"/>
      <c r="J59" s="288"/>
      <c r="L59" s="6"/>
      <c r="M59" s="200">
        <v>5</v>
      </c>
      <c r="N59" s="21"/>
      <c r="O59" s="223">
        <v>20</v>
      </c>
      <c r="P59" s="223">
        <v>1</v>
      </c>
      <c r="Q59" s="211">
        <v>26.6</v>
      </c>
      <c r="R59" s="226">
        <v>-7</v>
      </c>
      <c r="S59" s="226">
        <v>17.7</v>
      </c>
      <c r="T59" s="227">
        <v>-3.9</v>
      </c>
      <c r="U59" s="211">
        <v>-23.1</v>
      </c>
      <c r="V59" s="226">
        <v>-16</v>
      </c>
      <c r="W59" s="226">
        <v>-16</v>
      </c>
      <c r="X59" s="228">
        <v>-12.2</v>
      </c>
      <c r="Y59" s="211">
        <v>-32.299999999999997</v>
      </c>
      <c r="Z59" s="227">
        <v>-25.3</v>
      </c>
      <c r="AA59" s="218">
        <v>49</v>
      </c>
      <c r="AB59" s="229"/>
      <c r="AC59" s="230" t="e">
        <f>IF($C$8=$N60,IF(AND($AD$6&gt;=25,$AD$6&lt;=45),VLOOKUP(MATCH($AD$6,$O55:$O65,1),$M55:$Z65,3),""),"")</f>
        <v>#REF!</v>
      </c>
      <c r="AD59" s="230" t="e">
        <f>IF($C$8=$N60,IF(AND($AD$6&gt;=25,$AD$6&lt;=45),VLOOKUP(MATCH($AD$6,$O55:$O65,1)+1,$M55:$Z65,5),""),"")</f>
        <v>#REF!</v>
      </c>
      <c r="AE59" s="230" t="e">
        <f>IF($C$8=$N60,IF(AND($AD$6&gt;=25,$AD$6&lt;=45),VLOOKUP(MATCH($AD$6,$O55:$O65,1)+1,$M55:$Z65,6),""),"")</f>
        <v>#REF!</v>
      </c>
      <c r="AF59" s="230" t="e">
        <f>IF($C$8=$N60,IF(AND($AD$6&gt;=25,$AD$6&lt;=45),VLOOKUP(MATCH($AD$6,$O55:$O65,1)+1,$M55:$Z65,7),""),"")</f>
        <v>#REF!</v>
      </c>
      <c r="AG59" s="230" t="e">
        <f>IF($C$8=$N60,IF(AND($AD$6&gt;=25,$AD$6&lt;=45),VLOOKUP(MATCH($AD$6,$O55:$O65,1)+1,$M55:$Z65,8),""),"")</f>
        <v>#REF!</v>
      </c>
      <c r="AH59" s="230" t="e">
        <f>IF($C$8=$N60,IF(AND($AD$6&gt;=25,$AD$6&lt;=45),VLOOKUP(MATCH($AD$6,$O55:$O65,1)+1,$M55:$Z65,9),""),"")</f>
        <v>#REF!</v>
      </c>
      <c r="AI59" s="230" t="e">
        <f>IF($C$8=$N60,IF(AND($AD$6&gt;=25,$AD$6&lt;=45),VLOOKUP(MATCH($AD$6,$O55:$O65,1)+1,$M55:$Z65,10),""),"")</f>
        <v>#REF!</v>
      </c>
      <c r="AJ59" s="230" t="e">
        <f>IF($C$8=$N60,IF(AND($AD$6&gt;=25,$AD$6&lt;=45),VLOOKUP(MATCH($AD$6,$O55:$O65,1)+1,$M55:$Z65,11),""),"")</f>
        <v>#REF!</v>
      </c>
      <c r="AK59" s="230" t="e">
        <f>IF($C$8=$N60,IF(AND($AD$6&gt;=25,$AD$6&lt;=45),VLOOKUP(MATCH($AD$6,$O55:$O65,1)+1,$M55:$Z65,12),""),"")</f>
        <v>#REF!</v>
      </c>
      <c r="AL59" s="230" t="e">
        <f>IF($C$8=$N60,IF(AND($AD$6&gt;=25,$AD$6&lt;=45),VLOOKUP(MATCH($AD$6,$O55:$O65,1)+1,$M55:$Z65,13),""),"")</f>
        <v>#REF!</v>
      </c>
      <c r="AM59" s="231" t="e">
        <f>IF($C$8=$N60,IF(AND($AD$6&gt;=25,$AD$6&lt;=45),VLOOKUP(MATCH($AD$6,$O55:$O65,1)+1,$M55:$Z65,14),""),"")</f>
        <v>#REF!</v>
      </c>
      <c r="AN59" s="19"/>
      <c r="AP59" s="7" t="s">
        <v>131</v>
      </c>
      <c r="AQ59" s="9" t="s">
        <v>29</v>
      </c>
      <c r="AR59" s="2" t="e">
        <f>IF($C$20&lt;=10,$BF$10,IF($C$20&lt;=20,($BF$11-$BF$10)*($C$20-10)/(20-10)+$BF$10,IF($C$20&lt;=50,($BF$12-$BF$11)*($C$20-20)/(50-20 )+$BF$11,IF($C$20&lt;=100,($BF$13-$BF$12)*($C$20-50)/(100-50 )+$BF$12,$BF$13))))</f>
        <v>#REF!</v>
      </c>
      <c r="AS59" s="13" t="s">
        <v>59</v>
      </c>
      <c r="BE59" s="272"/>
      <c r="BH59" s="7" t="s">
        <v>131</v>
      </c>
      <c r="BI59" s="9" t="s">
        <v>34</v>
      </c>
      <c r="BJ59" s="2" t="e">
        <f>IF($C$20&lt;=10,$BX$10,IF($C$20&lt;=20,($BX$11-$BX$10)*($C$20-10)/(20-10)+$BX$10,IF($C$20&lt;=50,($BX$12-$BX$11)*($C$20-20)/(50-20 )+$BX$11,IF($C$20&lt;=100,($BX$13-$BX$12)*($C$20-50)/(100-50 )+$BX$12,$BX$13))))</f>
        <v>#REF!</v>
      </c>
      <c r="BK59" s="13" t="s">
        <v>59</v>
      </c>
      <c r="BW59" s="272"/>
      <c r="CX59" s="330"/>
      <c r="CY59" s="367" t="s">
        <v>164</v>
      </c>
      <c r="CZ59" s="367" t="s">
        <v>166</v>
      </c>
      <c r="DA59" s="367">
        <v>1</v>
      </c>
      <c r="DB59" s="368">
        <v>25.7</v>
      </c>
      <c r="DC59" s="369">
        <v>17.600000000000001</v>
      </c>
      <c r="DD59" s="369">
        <v>20.399999999999999</v>
      </c>
      <c r="DE59" s="370">
        <v>14</v>
      </c>
      <c r="DF59" s="368">
        <v>2</v>
      </c>
      <c r="DG59" s="369">
        <v>-15.6</v>
      </c>
      <c r="DH59" s="369">
        <v>0.7</v>
      </c>
      <c r="DI59" s="371">
        <v>-13.4</v>
      </c>
      <c r="DJ59" s="368">
        <v>-9</v>
      </c>
      <c r="DK59" s="370">
        <v>-10.3</v>
      </c>
    </row>
    <row r="60" spans="1:143" x14ac:dyDescent="0.2">
      <c r="A60" s="52"/>
      <c r="B60" s="65" t="s">
        <v>265</v>
      </c>
      <c r="C60" s="62"/>
      <c r="D60" s="62"/>
      <c r="E60" s="62"/>
      <c r="F60" s="62"/>
      <c r="G60" s="63"/>
      <c r="J60" s="57"/>
      <c r="L60" s="6"/>
      <c r="M60" s="200">
        <v>6</v>
      </c>
      <c r="N60" s="21">
        <v>110</v>
      </c>
      <c r="O60" s="235">
        <v>25</v>
      </c>
      <c r="P60" s="235">
        <v>1</v>
      </c>
      <c r="Q60" s="236">
        <v>24.1</v>
      </c>
      <c r="R60" s="237">
        <v>3.9</v>
      </c>
      <c r="S60" s="237">
        <v>17.399999999999999</v>
      </c>
      <c r="T60" s="238">
        <v>4</v>
      </c>
      <c r="U60" s="236">
        <v>-10.7</v>
      </c>
      <c r="V60" s="237">
        <v>-14.6</v>
      </c>
      <c r="W60" s="237">
        <v>-7.7</v>
      </c>
      <c r="X60" s="239">
        <v>-11.7</v>
      </c>
      <c r="Y60" s="236">
        <v>-19.899999999999999</v>
      </c>
      <c r="Z60" s="238">
        <v>-17</v>
      </c>
      <c r="AA60" s="218">
        <v>50</v>
      </c>
      <c r="AB60" s="229"/>
      <c r="AC60" s="230" t="e">
        <f>IF($C$8=$N60,IF(AND($AD$6&gt;=25,$AD$6&lt;=45),VLOOKUP(MATCH($AD$6,$O55:$O65,1)+IF($AD$6&lt;25,1,2),$M55:$Z65,3),""),"")</f>
        <v>#REF!</v>
      </c>
      <c r="AD60" s="230" t="e">
        <f>IF($C$8=$N60,IF(AND($AD$6&gt;=25,$AD$6&lt;=45),VLOOKUP(MATCH($AD$6,$O55:$O65,1)+1+IF($AD$6&lt;25,1,2),$M55:$Z65,5),""),"")</f>
        <v>#REF!</v>
      </c>
      <c r="AE60" s="230" t="e">
        <f>IF($C$8=$N60,IF(AND($AD$6&gt;=25,$AD$6&lt;=45),VLOOKUP(MATCH($AD$6,$O55:$O65,1)+1+IF($AD$6&lt;25,1,2),$M55:$Z65,6),""),"")</f>
        <v>#REF!</v>
      </c>
      <c r="AF60" s="230" t="e">
        <f>IF($C$8=$N60,IF(AND($AD$6&gt;=25,$AD$6&lt;=45),VLOOKUP(MATCH($AD$6,$O55:$O65,1)+1+IF($AD$6&lt;25,1,2),$M55:$Z65,7),""),"")</f>
        <v>#REF!</v>
      </c>
      <c r="AG60" s="230" t="e">
        <f>IF($C$8=$N60,IF(AND($AD$6&gt;=25,$AD$6&lt;=45),VLOOKUP(MATCH($AD$6,$O55:$O65,1)+1+IF($AD$6&lt;25,1,2),$M55:$Z65,8),""),"")</f>
        <v>#REF!</v>
      </c>
      <c r="AH60" s="230" t="e">
        <f>IF($C$8=$N60,IF(AND($AD$6&gt;=25,$AD$6&lt;=45),VLOOKUP(MATCH($AD$6,$O55:$O65,1)+1+IF($AD$6&lt;25,1,2),$M55:$Z65,9),""),"")</f>
        <v>#REF!</v>
      </c>
      <c r="AI60" s="230" t="e">
        <f>IF($C$8=$N60,IF(AND($AD$6&gt;=25,$AD$6&lt;=45),VLOOKUP(MATCH($AD$6,$O55:$O65,1)+1+IF($AD$6&lt;25,1,2),$M55:$Z65,10),""),"")</f>
        <v>#REF!</v>
      </c>
      <c r="AJ60" s="230" t="e">
        <f>IF($C$8=$N60,IF(AND($AD$6&gt;=25,$AD$6&lt;=45),VLOOKUP(MATCH($AD$6,$O55:$O65,1)+1+IF($AD$6&lt;25,1,2),$M55:$Z65,11),""),"")</f>
        <v>#REF!</v>
      </c>
      <c r="AK60" s="230" t="e">
        <f>IF($C$8=$N60,IF(AND($AD$6&gt;=25,$AD$6&lt;=45),VLOOKUP(MATCH($AD$6,$O55:$O65,1)+1+IF($AD$6&lt;25,1,2),$M55:$Z65,12),""),"")</f>
        <v>#REF!</v>
      </c>
      <c r="AL60" s="230" t="e">
        <f>IF($C$8=$N60,IF(AND($AD$6&gt;=25,$AD$6&lt;=45),VLOOKUP(MATCH($AD$6,$O55:$O65,1)+1+IF($AD$6&lt;25,1,2),$M55:$Z65,13),""),"")</f>
        <v>#REF!</v>
      </c>
      <c r="AM60" s="231" t="e">
        <f>IF($C$8=$N60,IF(AND($AD$6&gt;=25,$AD$6&lt;=45),VLOOKUP(MATCH($AD$6,$O55:$O65,1)+1+IF($AD$6&lt;25,1,2),$M55:$Z65,14),""),"")</f>
        <v>#REF!</v>
      </c>
      <c r="AN60" s="19"/>
      <c r="AP60" s="7"/>
      <c r="AQ60" s="9" t="s">
        <v>30</v>
      </c>
      <c r="AR60" s="2" t="e">
        <f>IF($C$20&lt;=10,$BF$14,IF($C$20&lt;=20,($BF$15-$BF$14)*($C$20-10)/(20-10)+$BF$14,IF($C$20&lt;=50,($BF$16-$BF$15)*($C$20-20)/(50-20 )+$BF$15,IF($C$20&lt;=100,($BF$17-$BF$16)*($C$20-50)/(100-50 )+$BF$16,$BF$17))))</f>
        <v>#REF!</v>
      </c>
      <c r="AS60" s="13" t="s">
        <v>59</v>
      </c>
      <c r="BH60" s="7"/>
      <c r="BI60" s="9" t="s">
        <v>35</v>
      </c>
      <c r="BJ60" s="2" t="e">
        <f>IF($C$20&lt;=10,$BX$14,IF($C$20&lt;=20,($BX$15-$BX$14)*($C$20-10)/(20-10)+$BX$14,IF($C$20&lt;=50,($BX$16-$BX$15)*($C$20-20)/(50-20 )+$BX$15,IF($C$20&lt;=100,($BX$17-$BX$16)*($C$20-50)/(100-50 )+$BX$16,$BX$17))))</f>
        <v>#REF!</v>
      </c>
      <c r="BK60" s="13" t="s">
        <v>59</v>
      </c>
      <c r="CX60" s="347"/>
      <c r="CY60" s="178"/>
      <c r="CZ60" s="178"/>
      <c r="DA60" s="178">
        <v>2</v>
      </c>
      <c r="DB60" s="388">
        <v>25.7</v>
      </c>
      <c r="DC60" s="389">
        <v>17.600000000000001</v>
      </c>
      <c r="DD60" s="389">
        <v>20.399999999999999</v>
      </c>
      <c r="DE60" s="390">
        <v>14</v>
      </c>
      <c r="DF60" s="388">
        <v>9.9</v>
      </c>
      <c r="DG60" s="389">
        <v>-7.7</v>
      </c>
      <c r="DH60" s="389">
        <v>8.6</v>
      </c>
      <c r="DI60" s="391">
        <v>-5.5</v>
      </c>
      <c r="DJ60" s="388">
        <v>-9</v>
      </c>
      <c r="DK60" s="390">
        <v>-10.3</v>
      </c>
    </row>
    <row r="61" spans="1:143" x14ac:dyDescent="0.2">
      <c r="A61" s="52"/>
      <c r="B61" s="65" t="s">
        <v>180</v>
      </c>
      <c r="C61" s="62"/>
      <c r="D61" s="63"/>
      <c r="E61" s="65" t="s">
        <v>181</v>
      </c>
      <c r="F61" s="62"/>
      <c r="G61" s="63"/>
      <c r="J61" s="57"/>
      <c r="L61" s="6"/>
      <c r="M61" s="200">
        <v>7</v>
      </c>
      <c r="N61" s="21"/>
      <c r="O61" s="210"/>
      <c r="P61" s="210">
        <v>2</v>
      </c>
      <c r="Q61" s="240">
        <v>0</v>
      </c>
      <c r="R61" s="241">
        <v>0</v>
      </c>
      <c r="S61" s="241">
        <v>0</v>
      </c>
      <c r="T61" s="242">
        <v>0</v>
      </c>
      <c r="U61" s="240">
        <v>-4.0999999999999996</v>
      </c>
      <c r="V61" s="241">
        <v>-7.9</v>
      </c>
      <c r="W61" s="241">
        <v>-1.1000000000000001</v>
      </c>
      <c r="X61" s="243">
        <v>-5.0999999999999996</v>
      </c>
      <c r="Y61" s="240">
        <v>0</v>
      </c>
      <c r="Z61" s="242">
        <v>0</v>
      </c>
      <c r="AA61" s="218">
        <v>51</v>
      </c>
      <c r="AB61" s="229"/>
      <c r="AC61" s="230" t="e">
        <f>IF($C$8=$N60,IF(AND($AD$6&gt;=25,$AD$6&lt;=45),$AD$6,""),"")</f>
        <v>#REF!</v>
      </c>
      <c r="AD61" s="230" t="e">
        <f t="shared" ref="AD61:AM61" si="12">IF($C$8=$N60,IF(AND($AD$6&gt;=25,$AD$6&lt;=45),(AD60-AD59)*($AD$6-$AC59)/($AC60-$AC59)+AD59,""),"")</f>
        <v>#REF!</v>
      </c>
      <c r="AE61" s="230" t="e">
        <f t="shared" si="12"/>
        <v>#REF!</v>
      </c>
      <c r="AF61" s="230" t="e">
        <f t="shared" si="12"/>
        <v>#REF!</v>
      </c>
      <c r="AG61" s="230" t="e">
        <f t="shared" si="12"/>
        <v>#REF!</v>
      </c>
      <c r="AH61" s="230" t="e">
        <f t="shared" si="12"/>
        <v>#REF!</v>
      </c>
      <c r="AI61" s="230" t="e">
        <f t="shared" si="12"/>
        <v>#REF!</v>
      </c>
      <c r="AJ61" s="230" t="e">
        <f t="shared" si="12"/>
        <v>#REF!</v>
      </c>
      <c r="AK61" s="230" t="e">
        <f t="shared" si="12"/>
        <v>#REF!</v>
      </c>
      <c r="AL61" s="230" t="e">
        <f t="shared" si="12"/>
        <v>#REF!</v>
      </c>
      <c r="AM61" s="231" t="e">
        <f t="shared" si="12"/>
        <v>#REF!</v>
      </c>
      <c r="AN61" s="19"/>
      <c r="AP61" s="7"/>
      <c r="AQ61" s="9" t="s">
        <v>31</v>
      </c>
      <c r="AR61" s="2" t="e">
        <f>IF($C$20&lt;=10,$BF$18,IF($C$20&lt;=20,($BF$19-$BF$18)*($C$20-10)/(20-10)+$BF$18,IF($C$20&lt;=50,($BF$20-$BF$19)*($C$20-20)/(50-20 )+$BF$19,IF($C$20&lt;=100,($BF$21-$BF$20)*($C$20-50)/(100-50 )+$BF$20,$BF$21))))</f>
        <v>#REF!</v>
      </c>
      <c r="AS61" s="13" t="s">
        <v>59</v>
      </c>
      <c r="BH61" s="7"/>
      <c r="BI61" s="9" t="s">
        <v>36</v>
      </c>
      <c r="BJ61" s="2" t="e">
        <f>IF($C$20&lt;=10,$BX$18,IF($C$20&lt;=20,($BX$19-$BX$18)*($C$20-10)/(20-10)+$BX$18,IF($C$20&lt;=50,($BX$20-$BX$19)*($C$20-20)/(50-20 )+$BX$19,IF($C$20&lt;=100,($BX$21-$BX$20)*($C$20-50)/(100-50 )+$BX$20,$BX$21))))</f>
        <v>#REF!</v>
      </c>
      <c r="BK61" s="13" t="s">
        <v>59</v>
      </c>
      <c r="CX61" s="395"/>
      <c r="CY61" s="358" t="s">
        <v>163</v>
      </c>
      <c r="CZ61" s="358" t="s">
        <v>165</v>
      </c>
      <c r="DA61" s="396">
        <v>1</v>
      </c>
      <c r="DB61" s="397">
        <v>24.7</v>
      </c>
      <c r="DC61" s="398">
        <v>-12.9</v>
      </c>
      <c r="DD61" s="398">
        <v>16.399999999999999</v>
      </c>
      <c r="DE61" s="399">
        <v>-7.6</v>
      </c>
      <c r="DF61" s="397">
        <v>-29.7</v>
      </c>
      <c r="DG61" s="398">
        <v>-16.899999999999999</v>
      </c>
      <c r="DH61" s="398">
        <v>-20.7</v>
      </c>
      <c r="DI61" s="400">
        <v>-13.1</v>
      </c>
      <c r="DJ61" s="397">
        <v>-41.7</v>
      </c>
      <c r="DK61" s="399">
        <v>-32.700000000000003</v>
      </c>
    </row>
    <row r="62" spans="1:143" x14ac:dyDescent="0.2">
      <c r="A62" s="52"/>
      <c r="B62" s="410" t="s">
        <v>126</v>
      </c>
      <c r="C62" s="410" t="s">
        <v>128</v>
      </c>
      <c r="D62" s="410" t="s">
        <v>183</v>
      </c>
      <c r="E62" s="410" t="s">
        <v>126</v>
      </c>
      <c r="F62" s="348" t="s">
        <v>128</v>
      </c>
      <c r="G62" s="410" t="s">
        <v>183</v>
      </c>
      <c r="J62" s="57"/>
      <c r="L62" s="6"/>
      <c r="M62" s="200">
        <v>8</v>
      </c>
      <c r="N62" s="21"/>
      <c r="O62" s="235">
        <v>30</v>
      </c>
      <c r="P62" s="235">
        <v>1</v>
      </c>
      <c r="Q62" s="236">
        <v>21.6</v>
      </c>
      <c r="R62" s="237">
        <v>14.8</v>
      </c>
      <c r="S62" s="237">
        <v>17.2</v>
      </c>
      <c r="T62" s="238">
        <v>11.8</v>
      </c>
      <c r="U62" s="236">
        <v>1.7</v>
      </c>
      <c r="V62" s="237">
        <v>-13.1</v>
      </c>
      <c r="W62" s="237">
        <v>0.6</v>
      </c>
      <c r="X62" s="239">
        <v>-11.3</v>
      </c>
      <c r="Y62" s="236">
        <v>-7.6</v>
      </c>
      <c r="Z62" s="238">
        <v>-8.6999999999999993</v>
      </c>
      <c r="AA62" s="218">
        <v>52</v>
      </c>
      <c r="AB62" s="270"/>
      <c r="AC62" s="552"/>
      <c r="AD62" s="552"/>
      <c r="AE62" s="552"/>
      <c r="AF62" s="552"/>
      <c r="AG62" s="552"/>
      <c r="AH62" s="552"/>
      <c r="AI62" s="552"/>
      <c r="AJ62" s="552"/>
      <c r="AK62" s="552"/>
      <c r="AL62" s="552"/>
      <c r="AM62" s="553"/>
      <c r="AN62" s="233"/>
      <c r="AP62" s="7" t="s">
        <v>135</v>
      </c>
      <c r="AQ62" s="9" t="s">
        <v>29</v>
      </c>
      <c r="AR62" s="2" t="e">
        <f>IF($C$20&lt;=10,$BF$22,IF($C$20&lt;=20,($BF$23-$BF$22)*($C$20-10)/(20-10)+$BF$22,IF($C$20&lt;=50,($BF$24-$BF$23)*($C$20-20)/(50-20 )+$BF$23,IF($C$20&lt;=100,($BF$25-$BF$24)*($C$20-50)/(100-50 )+$BF$24,$BF$25))))</f>
        <v>#REF!</v>
      </c>
      <c r="AS62" s="13" t="s">
        <v>59</v>
      </c>
      <c r="BH62" s="7" t="s">
        <v>135</v>
      </c>
      <c r="BI62" s="9" t="s">
        <v>34</v>
      </c>
      <c r="BJ62" s="2" t="e">
        <f>IF($C$20&lt;=10,$BX$22,IF($C$20&lt;=20,($BX$23-$BX$22)*($C$20-10)/(20-10)+$BX$22,IF($C$20&lt;=50,($BX$24-$BX$23)*($C$20-20)/(50-20 )+$BX$23,IF($C$20&lt;=100,($BX$25-$BX$24)*($C$20-50)/(100-50 )+$BX$24,$BX$25))))</f>
        <v>#REF!</v>
      </c>
      <c r="BK62" s="13" t="s">
        <v>59</v>
      </c>
      <c r="CX62" s="330"/>
      <c r="CY62" s="358">
        <v>10</v>
      </c>
      <c r="CZ62" s="358">
        <v>2</v>
      </c>
      <c r="DA62" s="358">
        <v>1</v>
      </c>
      <c r="DB62" s="359">
        <v>28</v>
      </c>
      <c r="DC62" s="360">
        <v>-11.6</v>
      </c>
      <c r="DD62" s="360">
        <v>18.600000000000001</v>
      </c>
      <c r="DE62" s="361">
        <v>-6.7</v>
      </c>
      <c r="DF62" s="359">
        <v>-29.7</v>
      </c>
      <c r="DG62" s="360">
        <v>-18.2</v>
      </c>
      <c r="DH62" s="360">
        <v>-20.7</v>
      </c>
      <c r="DI62" s="362">
        <v>-14</v>
      </c>
      <c r="DJ62" s="359">
        <v>-41.7</v>
      </c>
      <c r="DK62" s="361">
        <v>-32.700000000000003</v>
      </c>
    </row>
    <row r="63" spans="1:143" x14ac:dyDescent="0.2">
      <c r="A63" s="52"/>
      <c r="B63" s="64" t="e">
        <f>(($G$36*($C$14-4*$D$30)+$G$34*4*$D$30)*$C$12+($G$37*($C$14-4*$D$30)+$G$35*4*$D$30)*($C$11-$C$12))/1000</f>
        <v>#REF!</v>
      </c>
      <c r="C63" s="64" t="e">
        <f>IF(AND($AD$6&gt;=25,$AD$6&lt;=45),(($H$36*($C$14-2*$D$30)+$H$34*2*$D$30)*$C$12+($H$37*($C$14-2*$D$30)+$H$35*2*$D$30)*($C$11-$C$12))/1000,"---")</f>
        <v>#REF!</v>
      </c>
      <c r="D63" s="64" t="e">
        <f>10*$C$14*$C$11/1000</f>
        <v>#REF!</v>
      </c>
      <c r="E63" s="64" t="e">
        <f>IF($C$15="Gable",($G$50*($C$12+4*$D$30/$C$13*($C$11-$C$12)+$C$12)/2*4*$D$30+$G$52*($C$13*($C$11+$C$12)/2-($C$12+4*$D$30/$C$13*($C$11-$C$12)+$C$12)/2*4*$D$30))/1000,($G$50*($C$11+$C$12)/2*4*$D$30+$G$52*(($C$11+$C$12)/2*$C$13-($C$11+$C$12)/2*4*$D$30))/1000)</f>
        <v>#REF!</v>
      </c>
      <c r="F63" s="64" t="str">
        <f>IF(AND($AD$148&gt;=25,$AD$148&lt;=45),($H$50*(($C$12+4*$D$30/$C$13*($C$11-$C$12)+$C$12)/2*2*$D$30)+$H$52*(($C$11+$C$12)/2*$C$13-($C$12+4*$D$30/$C$13*($C$11-$C$12)+$C$12)/2*2*$D$30))/1000,"---")</f>
        <v>---</v>
      </c>
      <c r="G63" s="64" t="e">
        <f>10*$C$13*($C$11+$C$12)/2/1000</f>
        <v>#REF!</v>
      </c>
      <c r="J63" s="57"/>
      <c r="L63" s="6"/>
      <c r="M63" s="200">
        <v>9</v>
      </c>
      <c r="N63" s="249"/>
      <c r="O63" s="210"/>
      <c r="P63" s="210">
        <v>2</v>
      </c>
      <c r="Q63" s="240">
        <v>21.6</v>
      </c>
      <c r="R63" s="241">
        <v>14.8</v>
      </c>
      <c r="S63" s="241">
        <v>17.2</v>
      </c>
      <c r="T63" s="242">
        <v>11.8</v>
      </c>
      <c r="U63" s="240">
        <v>8.3000000000000007</v>
      </c>
      <c r="V63" s="241">
        <v>-6.5</v>
      </c>
      <c r="W63" s="241">
        <v>7.2</v>
      </c>
      <c r="X63" s="243">
        <v>-4.5999999999999996</v>
      </c>
      <c r="Y63" s="240">
        <v>-7.6</v>
      </c>
      <c r="Z63" s="242">
        <v>-8.6999999999999993</v>
      </c>
      <c r="AA63" s="218">
        <v>53</v>
      </c>
      <c r="AB63" s="270"/>
      <c r="AC63" s="552"/>
      <c r="AD63" s="552"/>
      <c r="AE63" s="552"/>
      <c r="AF63" s="552"/>
      <c r="AG63" s="552"/>
      <c r="AH63" s="552"/>
      <c r="AI63" s="552"/>
      <c r="AJ63" s="552"/>
      <c r="AK63" s="552"/>
      <c r="AL63" s="552"/>
      <c r="AM63" s="553"/>
      <c r="AN63" s="233"/>
      <c r="AP63" s="7"/>
      <c r="AQ63" s="9" t="s">
        <v>30</v>
      </c>
      <c r="AR63" s="2" t="e">
        <f>IF($C$20&lt;=10,$BF$26,IF($C$20&lt;=20,($BF$27-$BF$26)*($C$20-10)/(20-10)+$BF$26,IF($C$20&lt;=50,($BF$28-$BF$27)*($C$20-20)/(50-20 )+$BF$27,IF($C$20&lt;=100,($BF$29-$BF$28)*($C$20-50)/(100-50 )+$BF$28,$BF$29))))</f>
        <v>#REF!</v>
      </c>
      <c r="AS63" s="13" t="s">
        <v>59</v>
      </c>
      <c r="BH63" s="7"/>
      <c r="BI63" s="9" t="s">
        <v>35</v>
      </c>
      <c r="BJ63" s="2" t="e">
        <f>IF($C$20&lt;=10,$BX$26,IF($C$20&lt;=20,($BX$27-$BX$26)*($C$20-10)/(20-10)+$BX$26,IF($C$20&lt;=50,($BX$28-$BX$27)*($C$20-20)/(50-20 )+$BX$27,IF($C$20&lt;=100,($BX$29-$BX$28)*($C$20-50)/(100-50 )+$BX$28,$BX$29))))</f>
        <v>#REF!</v>
      </c>
      <c r="BK63" s="13" t="s">
        <v>59</v>
      </c>
      <c r="CX63" s="330"/>
      <c r="CY63" s="358">
        <v>15</v>
      </c>
      <c r="CZ63" s="358">
        <v>3</v>
      </c>
      <c r="DA63" s="358">
        <v>1</v>
      </c>
      <c r="DB63" s="359">
        <v>31.1</v>
      </c>
      <c r="DC63" s="360">
        <v>-10.3</v>
      </c>
      <c r="DD63" s="360">
        <v>20.7</v>
      </c>
      <c r="DE63" s="361">
        <v>-5.9</v>
      </c>
      <c r="DF63" s="359">
        <v>-29.7</v>
      </c>
      <c r="DG63" s="360">
        <v>-19.399999999999999</v>
      </c>
      <c r="DH63" s="360">
        <v>-20.7</v>
      </c>
      <c r="DI63" s="362">
        <v>-14.9</v>
      </c>
      <c r="DJ63" s="359">
        <v>-41.7</v>
      </c>
      <c r="DK63" s="361">
        <v>-32.700000000000003</v>
      </c>
    </row>
    <row r="64" spans="1:143" x14ac:dyDescent="0.2">
      <c r="A64" s="476"/>
      <c r="B64" s="458" t="s">
        <v>186</v>
      </c>
      <c r="C64" s="458"/>
      <c r="D64" s="458"/>
      <c r="E64" s="509"/>
      <c r="F64" s="509"/>
      <c r="G64" s="460"/>
      <c r="H64" s="460"/>
      <c r="I64" s="458"/>
      <c r="J64" s="461"/>
      <c r="L64" s="6"/>
      <c r="M64" s="200">
        <v>10</v>
      </c>
      <c r="N64" s="21"/>
      <c r="O64" s="235">
        <v>45</v>
      </c>
      <c r="P64" s="235">
        <v>1</v>
      </c>
      <c r="Q64" s="236">
        <v>21.6</v>
      </c>
      <c r="R64" s="237">
        <v>14.8</v>
      </c>
      <c r="S64" s="237">
        <v>17.2</v>
      </c>
      <c r="T64" s="238">
        <v>11.8</v>
      </c>
      <c r="U64" s="236">
        <v>1.7</v>
      </c>
      <c r="V64" s="237">
        <v>-13.1</v>
      </c>
      <c r="W64" s="237">
        <v>0.6</v>
      </c>
      <c r="X64" s="239">
        <v>-11.3</v>
      </c>
      <c r="Y64" s="236">
        <v>-7.6</v>
      </c>
      <c r="Z64" s="238">
        <v>-8.6999999999999993</v>
      </c>
      <c r="AA64" s="218">
        <v>54</v>
      </c>
      <c r="AB64" s="270"/>
      <c r="AC64" s="552"/>
      <c r="AD64" s="552"/>
      <c r="AE64" s="552"/>
      <c r="AF64" s="552"/>
      <c r="AG64" s="552"/>
      <c r="AH64" s="552"/>
      <c r="AI64" s="552"/>
      <c r="AJ64" s="552"/>
      <c r="AK64" s="552"/>
      <c r="AL64" s="552"/>
      <c r="AM64" s="553"/>
      <c r="AN64" s="233"/>
      <c r="AP64" s="7"/>
      <c r="AQ64" s="9" t="s">
        <v>31</v>
      </c>
      <c r="AR64" s="2" t="e">
        <f>IF($C$20&lt;=10,$BF$30,IF($C$20&lt;=20,($BF$31-$BF$30)*($C$20-10)/(20-10)+$BF$30,IF($C$20&lt;=50,($BF$32-$BF$31)*($C$20-20)/(50-20 )+$BF$31,IF($C$20&lt;=100,($BF$33-$BF$32)*($C$20-50)/(100-50 )+$BF$32,$BF$33))))</f>
        <v>#REF!</v>
      </c>
      <c r="AS64" s="13" t="s">
        <v>59</v>
      </c>
      <c r="BH64" s="7"/>
      <c r="BI64" s="9" t="s">
        <v>36</v>
      </c>
      <c r="BJ64" s="2" t="e">
        <f>IF($C$20&lt;=10,$BX$30,IF($C$20&lt;=20,($BX$31-$BX$30)*($C$20-10)/(20-10)+$BX$30,IF($C$20&lt;=50,($BX$32-$BX$31)*($C$20-20)/(50-20 )+$BX$31,IF($C$20&lt;=100,($BX$33-$BX$32)*($C$20-50)/(100-50 )+$BX$32,$BX$33))))</f>
        <v>#REF!</v>
      </c>
      <c r="BK64" s="13" t="s">
        <v>59</v>
      </c>
      <c r="CX64" s="330">
        <v>125</v>
      </c>
      <c r="CY64" s="358">
        <v>20</v>
      </c>
      <c r="CZ64" s="358">
        <v>4</v>
      </c>
      <c r="DA64" s="358">
        <v>1</v>
      </c>
      <c r="DB64" s="359">
        <v>34.299999999999997</v>
      </c>
      <c r="DC64" s="360">
        <v>-9</v>
      </c>
      <c r="DD64" s="360">
        <v>22.9</v>
      </c>
      <c r="DE64" s="361">
        <v>-5</v>
      </c>
      <c r="DF64" s="359">
        <v>-29.7</v>
      </c>
      <c r="DG64" s="360">
        <v>-20.7</v>
      </c>
      <c r="DH64" s="360">
        <v>-20.7</v>
      </c>
      <c r="DI64" s="362">
        <v>-15.7</v>
      </c>
      <c r="DJ64" s="359">
        <v>-41.7</v>
      </c>
      <c r="DK64" s="361">
        <v>-32.700000000000003</v>
      </c>
    </row>
    <row r="65" spans="1:115" x14ac:dyDescent="0.2">
      <c r="A65" s="457"/>
      <c r="B65" s="402" t="s">
        <v>210</v>
      </c>
      <c r="C65" s="458"/>
      <c r="D65" s="458"/>
      <c r="E65" s="458"/>
      <c r="F65" s="458"/>
      <c r="G65" s="458"/>
      <c r="H65" s="458"/>
      <c r="I65" s="458"/>
      <c r="J65" s="461"/>
      <c r="L65" s="6"/>
      <c r="M65" s="200">
        <v>11</v>
      </c>
      <c r="N65" s="22"/>
      <c r="O65" s="250"/>
      <c r="P65" s="250">
        <v>2</v>
      </c>
      <c r="Q65" s="251">
        <v>21.6</v>
      </c>
      <c r="R65" s="252">
        <v>14.8</v>
      </c>
      <c r="S65" s="252">
        <v>17.2</v>
      </c>
      <c r="T65" s="253">
        <v>11.8</v>
      </c>
      <c r="U65" s="251">
        <v>8.3000000000000007</v>
      </c>
      <c r="V65" s="252">
        <v>-6.5</v>
      </c>
      <c r="W65" s="252">
        <v>7.2</v>
      </c>
      <c r="X65" s="254">
        <v>-4.5999999999999996</v>
      </c>
      <c r="Y65" s="251">
        <v>-7.6</v>
      </c>
      <c r="Z65" s="253">
        <v>-8.6999999999999993</v>
      </c>
      <c r="AA65" s="218">
        <v>55</v>
      </c>
      <c r="AB65" s="271"/>
      <c r="AC65" s="555"/>
      <c r="AD65" s="555"/>
      <c r="AE65" s="555"/>
      <c r="AF65" s="555"/>
      <c r="AG65" s="555"/>
      <c r="AH65" s="555"/>
      <c r="AI65" s="555"/>
      <c r="AJ65" s="555"/>
      <c r="AK65" s="555"/>
      <c r="AL65" s="555"/>
      <c r="AM65" s="556"/>
      <c r="AN65" s="233"/>
      <c r="AP65" s="7" t="s">
        <v>137</v>
      </c>
      <c r="AQ65" s="9" t="s">
        <v>29</v>
      </c>
      <c r="AR65" s="2" t="e">
        <f>IF($C$20&lt;=10,$BF$34,IF($C$20&lt;=20,($BF$35-$BF$34)*($C$20-10)/(20-10)+$BF$34,IF($C$20&lt;=50,($BF$36-$BF$35)*($C$20-20)/(50-20 )+$BF$35,IF($C$20&lt;=100,($BF$37-$BF$36)*($C$20-50)/(100-50 )+$BF$36,$BF$37))))</f>
        <v>#REF!</v>
      </c>
      <c r="AS65" s="13" t="s">
        <v>59</v>
      </c>
      <c r="BH65" s="7" t="s">
        <v>137</v>
      </c>
      <c r="BI65" s="9" t="s">
        <v>34</v>
      </c>
      <c r="BJ65" s="2" t="e">
        <f>IF($C$20&lt;=10,$BX$34,IF($C$20&lt;=20,($BX$35-$BX$34)*($C$20-10)/(20-10)+$BX$34,IF($C$20&lt;=50,($BX$36-$BX$35)*($C$20-20)/(50-20 )+$BX$35,IF($C$20&lt;=100,($BX$37-$BX$36)*($C$20-50)/(100-50 )+$BX$36,$BX$37))))</f>
        <v>#REF!</v>
      </c>
      <c r="BK65" s="13" t="s">
        <v>59</v>
      </c>
      <c r="CX65" s="330"/>
      <c r="CY65" s="367">
        <v>25</v>
      </c>
      <c r="CZ65" s="367">
        <v>6</v>
      </c>
      <c r="DA65" s="367">
        <v>1</v>
      </c>
      <c r="DB65" s="368">
        <v>31</v>
      </c>
      <c r="DC65" s="369">
        <v>5</v>
      </c>
      <c r="DD65" s="369">
        <v>22.5</v>
      </c>
      <c r="DE65" s="370">
        <v>5.0999999999999996</v>
      </c>
      <c r="DF65" s="368">
        <v>-13.8</v>
      </c>
      <c r="DG65" s="369">
        <v>-18.8</v>
      </c>
      <c r="DH65" s="369">
        <v>-10</v>
      </c>
      <c r="DI65" s="371">
        <v>-15.1</v>
      </c>
      <c r="DJ65" s="368">
        <v>-25.7</v>
      </c>
      <c r="DK65" s="370">
        <v>-21.9</v>
      </c>
    </row>
    <row r="66" spans="1:115" x14ac:dyDescent="0.2">
      <c r="A66" s="457"/>
      <c r="B66" s="402" t="s">
        <v>211</v>
      </c>
      <c r="C66" s="458"/>
      <c r="D66" s="458"/>
      <c r="E66" s="458"/>
      <c r="F66" s="458"/>
      <c r="G66" s="458"/>
      <c r="H66" s="458"/>
      <c r="I66" s="458"/>
      <c r="J66" s="461"/>
      <c r="L66" s="6"/>
      <c r="M66" s="200">
        <v>1</v>
      </c>
      <c r="N66" s="197"/>
      <c r="O66" s="204">
        <v>0</v>
      </c>
      <c r="P66" s="205">
        <v>1</v>
      </c>
      <c r="Q66" s="480">
        <v>22.8</v>
      </c>
      <c r="R66" s="215">
        <v>-11.9</v>
      </c>
      <c r="S66" s="215">
        <v>15.1</v>
      </c>
      <c r="T66" s="216">
        <v>-7</v>
      </c>
      <c r="U66" s="206">
        <v>-27.4</v>
      </c>
      <c r="V66" s="215">
        <v>-15.6</v>
      </c>
      <c r="W66" s="215">
        <v>-19.100000000000001</v>
      </c>
      <c r="X66" s="217">
        <v>-12.1</v>
      </c>
      <c r="Y66" s="206">
        <v>-38.4</v>
      </c>
      <c r="Z66" s="216">
        <v>-30.1</v>
      </c>
      <c r="AA66" s="218">
        <v>56</v>
      </c>
      <c r="AB66" s="219"/>
      <c r="AC66" s="220" t="e">
        <f>IF($C$8=$N71,VLOOKUP(MATCH($AD$6,$O66:$O76,1),$M66:$Z76,3),"")</f>
        <v>#REF!</v>
      </c>
      <c r="AD66" s="220" t="e">
        <f>IF($C$8=$N71,VLOOKUP(MATCH($AD$6,$O66:$O76,1),$M66:$Z76,5),"")</f>
        <v>#REF!</v>
      </c>
      <c r="AE66" s="220" t="e">
        <f>IF($C$8=$N71,VLOOKUP(MATCH($AD$6,$O66:$O76,1),$M66:$Z76,6),"")</f>
        <v>#REF!</v>
      </c>
      <c r="AF66" s="220" t="e">
        <f>IF($C$8=$N71,VLOOKUP(MATCH($AD$6,$O66:$O76,1),$M66:$Z76,7),"")</f>
        <v>#REF!</v>
      </c>
      <c r="AG66" s="220" t="e">
        <f>IF($C$8=$N71,VLOOKUP(MATCH($AD$6,$O66:$O76,1),$M66:$Z76,8),"")</f>
        <v>#REF!</v>
      </c>
      <c r="AH66" s="220" t="e">
        <f>IF($C$8=$N71,VLOOKUP(MATCH($AD$6,$O66:$O76,1),$M66:$Z76,9),"")</f>
        <v>#REF!</v>
      </c>
      <c r="AI66" s="220" t="e">
        <f>IF($C$8=$N71,VLOOKUP(MATCH($AD$6,$O66:$O76,1),$M66:$Z76,10),"")</f>
        <v>#REF!</v>
      </c>
      <c r="AJ66" s="220" t="e">
        <f>IF($C$8=$N71,VLOOKUP(MATCH($AD$6,$O66:$O76,1),$M66:$Z76,11),"")</f>
        <v>#REF!</v>
      </c>
      <c r="AK66" s="220" t="e">
        <f>IF($C$8=$N71,VLOOKUP(MATCH($AD$6,$O66:$O76,1),$M66:$Z76,12),"")</f>
        <v>#REF!</v>
      </c>
      <c r="AL66" s="220" t="e">
        <f>IF($C$8=$N71,VLOOKUP(MATCH($AD$6,$O66:$O76,1),$M66:$Z76,13),"")</f>
        <v>#REF!</v>
      </c>
      <c r="AM66" s="221" t="e">
        <f>IF($C$8=$N71,VLOOKUP(MATCH($AD$6,$O66:$O76,1),$M66:$Z76,14),"")</f>
        <v>#REF!</v>
      </c>
      <c r="AN66" s="19"/>
      <c r="AP66" s="7"/>
      <c r="AQ66" s="9" t="s">
        <v>30</v>
      </c>
      <c r="AR66" s="2" t="e">
        <f>IF($C$20&lt;=10,$BF$38,IF($C$20&lt;=20,($BF$39-$BF$38)*($C$20-10)/(20-10)+$BF$38,IF($C$20&lt;=50,($BF$40-$BF$39)*($C$20-20)/(50-20 )+$BF$39,IF($C$20&lt;=100,($BF$41-$BF$40)*($C$20-50)/(100-50 )+$BF$40,$BF$41))))</f>
        <v>#REF!</v>
      </c>
      <c r="AS66" s="13" t="s">
        <v>59</v>
      </c>
      <c r="BH66" s="7"/>
      <c r="BI66" s="9" t="s">
        <v>35</v>
      </c>
      <c r="BJ66" s="2" t="e">
        <f>IF($C$20&lt;=10,$BX$38,IF($C$20&lt;=20,($BX$39-$BX$38)*($C$20-10)/(20-10)+$BX$38,IF($C$20&lt;=50,($BX$40-$BX$39)*($C$20-20)/(50-20 )+$BX$39,IF($C$20&lt;=100,($BX$41-$BX$40)*($C$20-50)/(100-50 )+$BX$40,$BX$41))))</f>
        <v>#REF!</v>
      </c>
      <c r="BK66" s="13" t="s">
        <v>59</v>
      </c>
      <c r="CX66" s="330"/>
      <c r="CY66" s="372"/>
      <c r="CZ66" s="372"/>
      <c r="DA66" s="372">
        <v>2</v>
      </c>
      <c r="DB66" s="373" t="s">
        <v>145</v>
      </c>
      <c r="DC66" s="374" t="s">
        <v>145</v>
      </c>
      <c r="DD66" s="374" t="s">
        <v>145</v>
      </c>
      <c r="DE66" s="375" t="s">
        <v>145</v>
      </c>
      <c r="DF66" s="376">
        <v>-5.2</v>
      </c>
      <c r="DG66" s="377">
        <v>-10.199999999999999</v>
      </c>
      <c r="DH66" s="377">
        <v>-1.4</v>
      </c>
      <c r="DI66" s="378">
        <v>-6.5</v>
      </c>
      <c r="DJ66" s="373" t="s">
        <v>145</v>
      </c>
      <c r="DK66" s="375" t="s">
        <v>145</v>
      </c>
    </row>
    <row r="67" spans="1:115" x14ac:dyDescent="0.2">
      <c r="A67" s="457"/>
      <c r="B67" s="402" t="e">
        <f>IF($C$15="Gable","Ph(Long) = (Pa*(he+4*a/W*(hr-he)+he)/2*4*a+Pc*(W*(hr+he)/2-(he+4*a/W*(hr-he)+he)/2*4*a))/1000","Ph(Long) = (Pa*(hr+he)/2*4*a+Pc*((hr+he)/2*W-(hr+he)/2*4*a))/1000")</f>
        <v>#REF!</v>
      </c>
      <c r="C67" s="458"/>
      <c r="D67" s="458"/>
      <c r="E67" s="458"/>
      <c r="F67" s="458"/>
      <c r="G67" s="458"/>
      <c r="H67" s="458"/>
      <c r="I67" s="458"/>
      <c r="J67" s="461"/>
      <c r="L67" s="6"/>
      <c r="M67" s="200">
        <v>2</v>
      </c>
      <c r="N67" s="21"/>
      <c r="O67" s="222">
        <v>5</v>
      </c>
      <c r="P67" s="223">
        <v>1</v>
      </c>
      <c r="Q67" s="479">
        <v>22.8</v>
      </c>
      <c r="R67" s="226">
        <v>-11.9</v>
      </c>
      <c r="S67" s="226">
        <v>15.1</v>
      </c>
      <c r="T67" s="227">
        <v>-7</v>
      </c>
      <c r="U67" s="211">
        <v>-27.4</v>
      </c>
      <c r="V67" s="226">
        <v>-15.6</v>
      </c>
      <c r="W67" s="226">
        <v>-19.100000000000001</v>
      </c>
      <c r="X67" s="228">
        <v>-12.1</v>
      </c>
      <c r="Y67" s="211">
        <v>-38.4</v>
      </c>
      <c r="Z67" s="227">
        <v>-30.1</v>
      </c>
      <c r="AA67" s="218">
        <v>57</v>
      </c>
      <c r="AB67" s="229"/>
      <c r="AC67" s="230" t="e">
        <f>IF($C$8=$N71,VLOOKUP(MATCH($AD$6,$O66:$O76,1)+IF($AD$6&lt;25,1,2),$M66:$Z76,3),"")</f>
        <v>#REF!</v>
      </c>
      <c r="AD67" s="230" t="e">
        <f>IF($C$8=$N71,VLOOKUP(MATCH($AD$6,$O66:$O76,1)+IF($AD$6&lt;25,1,2),$M66:$Z76,5),"")</f>
        <v>#REF!</v>
      </c>
      <c r="AE67" s="230" t="e">
        <f>IF($C$8=$N71,VLOOKUP(MATCH($AD$6,$O66:$O76,1)+IF($AD$6&lt;25,1,2),$M66:$Z76,6),"")</f>
        <v>#REF!</v>
      </c>
      <c r="AF67" s="230" t="e">
        <f>IF($C$8=$N71,VLOOKUP(MATCH($AD$6,$O66:$O76,1)+IF($AD$6&lt;25,1,2),$M66:$Z76,7),"")</f>
        <v>#REF!</v>
      </c>
      <c r="AG67" s="230" t="e">
        <f>IF($C$8=$N71,VLOOKUP(MATCH($AD$6,$O66:$O76,1)+IF($AD$6&lt;25,1,2),$M66:$Z76,8),"")</f>
        <v>#REF!</v>
      </c>
      <c r="AH67" s="230" t="e">
        <f>IF($C$8=$N71,VLOOKUP(MATCH($AD$6,$O66:$O76,1)+IF($AD$6&lt;25,1,2),$M66:$Z76,9),"")</f>
        <v>#REF!</v>
      </c>
      <c r="AI67" s="230" t="e">
        <f>IF($C$8=$N71,VLOOKUP(MATCH($AD$6,$O66:$O76,1)+IF($AD$6&lt;25,1,2),$M66:$Z76,10),"")</f>
        <v>#REF!</v>
      </c>
      <c r="AJ67" s="230" t="e">
        <f>IF($C$8=$N71,VLOOKUP(MATCH($AD$6,$O66:$O76,1)+IF($AD$6&lt;25,1,2),$M66:$Z76,11),"")</f>
        <v>#REF!</v>
      </c>
      <c r="AK67" s="230" t="e">
        <f>IF($C$8=$N71,VLOOKUP(MATCH($AD$6,$O66:$O76,1)+IF($AD$6&lt;25,1,2),$M66:$Z76,12),"")</f>
        <v>#REF!</v>
      </c>
      <c r="AL67" s="230" t="e">
        <f>IF($C$8=$N71,VLOOKUP(MATCH($AD$6,$O66:$O76,1)+IF($AD$6&lt;25,1,2),$M66:$Z76,13),"")</f>
        <v>#REF!</v>
      </c>
      <c r="AM67" s="231" t="e">
        <f>IF($C$8=$N71,VLOOKUP(MATCH($AD$6,$O66:$O76,1)+IF($AD$6&lt;25,1,2),$M66:$Z76,14),"")</f>
        <v>#REF!</v>
      </c>
      <c r="AN67" s="19"/>
      <c r="AP67" s="7"/>
      <c r="AQ67" s="9" t="s">
        <v>31</v>
      </c>
      <c r="AR67" s="2" t="e">
        <f>IF($C$20&lt;=10,$BF$42,IF($C$20&lt;=20,($BF$43-$BF$42)*($C$20-10)/(20-10)+$BF$42,IF($C$20&lt;=50,($BF$44-$BF$43)*($C$20-20)/(50-20 )+$BF$43,IF($C$20&lt;=100,($BF$45-$BF$44)*($C$20-50)/(100-50 )+$BF$44,$BF$45))))</f>
        <v>#REF!</v>
      </c>
      <c r="AS67" s="13" t="s">
        <v>59</v>
      </c>
      <c r="BH67" s="7"/>
      <c r="BI67" s="9" t="s">
        <v>36</v>
      </c>
      <c r="BJ67" s="2" t="e">
        <f>IF($C$20&lt;=10,$BX$42,IF($C$20&lt;=20,($BX$43-$BX$42)*($C$20-10)/(20-10)+$BX$42,IF($C$20&lt;=50,($BX$44-$BX$43)*($C$20-20)/(50-20 )+$BX$43,IF($C$20&lt;=100,($BX$45-$BX$44)*($C$20-50)/(100-50 )+$BX$44,$BX$45))))</f>
        <v>#REF!</v>
      </c>
      <c r="BK67" s="13" t="s">
        <v>59</v>
      </c>
      <c r="CX67" s="330"/>
      <c r="CY67" s="367" t="s">
        <v>164</v>
      </c>
      <c r="CZ67" s="367" t="s">
        <v>166</v>
      </c>
      <c r="DA67" s="367">
        <v>1</v>
      </c>
      <c r="DB67" s="368">
        <v>27.9</v>
      </c>
      <c r="DC67" s="369">
        <v>19.100000000000001</v>
      </c>
      <c r="DD67" s="369">
        <v>22.1</v>
      </c>
      <c r="DE67" s="370">
        <v>15.2</v>
      </c>
      <c r="DF67" s="368">
        <v>2.2000000000000002</v>
      </c>
      <c r="DG67" s="369">
        <v>-16.899999999999999</v>
      </c>
      <c r="DH67" s="369">
        <v>0.8</v>
      </c>
      <c r="DI67" s="371">
        <v>-14.5</v>
      </c>
      <c r="DJ67" s="368">
        <v>-9.8000000000000007</v>
      </c>
      <c r="DK67" s="370">
        <v>-11.2</v>
      </c>
    </row>
    <row r="68" spans="1:115" x14ac:dyDescent="0.2">
      <c r="A68" s="457"/>
      <c r="B68" s="402" t="s">
        <v>209</v>
      </c>
      <c r="C68" s="459"/>
      <c r="D68" s="459"/>
      <c r="E68" s="459"/>
      <c r="F68" s="459"/>
      <c r="G68" s="460"/>
      <c r="H68" s="458"/>
      <c r="I68" s="458"/>
      <c r="J68" s="461"/>
      <c r="L68" s="6"/>
      <c r="M68" s="200">
        <v>3</v>
      </c>
      <c r="N68" s="21"/>
      <c r="O68" s="222">
        <v>10</v>
      </c>
      <c r="P68" s="223">
        <v>1</v>
      </c>
      <c r="Q68" s="479">
        <v>25.8</v>
      </c>
      <c r="R68" s="226">
        <v>-10.7</v>
      </c>
      <c r="S68" s="226">
        <v>17.100000000000001</v>
      </c>
      <c r="T68" s="227">
        <v>-6.2</v>
      </c>
      <c r="U68" s="479">
        <v>-27.4</v>
      </c>
      <c r="V68" s="226">
        <v>-16.8</v>
      </c>
      <c r="W68" s="226">
        <v>-19.100000000000001</v>
      </c>
      <c r="X68" s="227">
        <v>-12.9</v>
      </c>
      <c r="Y68" s="479">
        <v>-38.4</v>
      </c>
      <c r="Z68" s="227">
        <v>-30.1</v>
      </c>
      <c r="AA68" s="218">
        <v>58</v>
      </c>
      <c r="AB68" s="229" t="e">
        <f>IF($C$8=$N71,MATCH($AD$6,$O66:$O76,1),0)</f>
        <v>#REF!</v>
      </c>
      <c r="AC68" s="230" t="e">
        <f>IF($C$8=$N71,$AD$6,"")</f>
        <v>#REF!</v>
      </c>
      <c r="AD68" s="230" t="e">
        <f t="shared" ref="AD68:AM68" si="13">IF($C$8=$N71,(AD67-AD66)*($AD$6-$AC66)/($AC67-$AC66)+AD66,"")</f>
        <v>#REF!</v>
      </c>
      <c r="AE68" s="230" t="e">
        <f t="shared" si="13"/>
        <v>#REF!</v>
      </c>
      <c r="AF68" s="230" t="e">
        <f t="shared" si="13"/>
        <v>#REF!</v>
      </c>
      <c r="AG68" s="230" t="e">
        <f t="shared" si="13"/>
        <v>#REF!</v>
      </c>
      <c r="AH68" s="230" t="e">
        <f t="shared" si="13"/>
        <v>#REF!</v>
      </c>
      <c r="AI68" s="230" t="e">
        <f t="shared" si="13"/>
        <v>#REF!</v>
      </c>
      <c r="AJ68" s="230" t="e">
        <f t="shared" si="13"/>
        <v>#REF!</v>
      </c>
      <c r="AK68" s="230" t="e">
        <f t="shared" si="13"/>
        <v>#REF!</v>
      </c>
      <c r="AL68" s="230" t="e">
        <f t="shared" si="13"/>
        <v>#REF!</v>
      </c>
      <c r="AM68" s="231" t="e">
        <f t="shared" si="13"/>
        <v>#REF!</v>
      </c>
      <c r="AN68" s="19"/>
      <c r="AP68" s="7" t="s">
        <v>28</v>
      </c>
      <c r="AQ68" s="9" t="s">
        <v>32</v>
      </c>
      <c r="AR68" s="2" t="e">
        <f>IF($C$18&lt;=10,$BF$46,IF($C$18&lt;=20,($BF$47-$BF$46)*($C$18-10)/(20-10)+$BF$46,IF($C$18&lt;=50,($BF$48-$BF$47)*($C$18-20)/(50-20 )+$BF$47,IF($C$18&lt;=100,($BF$49-$BF$48)*($C$18-50)/(100-50 )+$BF$48,IF($C$18&lt;=500,($BF$50-$BF$49)*($C$18-100)/(500-100 )+$BF$49,$BF$50)))))</f>
        <v>#REF!</v>
      </c>
      <c r="AS68" s="13" t="s">
        <v>59</v>
      </c>
      <c r="BH68" s="7" t="s">
        <v>28</v>
      </c>
      <c r="BI68" s="9" t="s">
        <v>37</v>
      </c>
      <c r="BJ68" s="2" t="e">
        <f>IF($C$18&lt;=10,$BX$46,IF($C$18&lt;=20,($BX$47-$BX$46)*($C$18-10)/(20-10)+$BX$46,IF($C$18&lt;=50,($BX$48-$BX$47)*($C$18-20)/(50-20 )+$BX$47,IF($C$18&lt;=100,($BX$49-$BX$48)*($C$18-50)/(100-50 )+$BX$48,IF($C$18&lt;=500,($BX$50-$BX$49)*($C$18-100)/(500-100 )+$BX$49,$BX$50)))))</f>
        <v>#REF!</v>
      </c>
      <c r="BK68" s="13" t="s">
        <v>59</v>
      </c>
      <c r="CX68" s="347"/>
      <c r="CY68" s="178"/>
      <c r="CZ68" s="178"/>
      <c r="DA68" s="178">
        <v>2</v>
      </c>
      <c r="DB68" s="388">
        <v>27.9</v>
      </c>
      <c r="DC68" s="389">
        <v>19.100000000000001</v>
      </c>
      <c r="DD68" s="389">
        <v>22.1</v>
      </c>
      <c r="DE68" s="390">
        <v>15.2</v>
      </c>
      <c r="DF68" s="388">
        <v>10.7</v>
      </c>
      <c r="DG68" s="389">
        <v>-8.4</v>
      </c>
      <c r="DH68" s="389">
        <v>9.3000000000000007</v>
      </c>
      <c r="DI68" s="391">
        <v>-6</v>
      </c>
      <c r="DJ68" s="388">
        <v>-9.8000000000000007</v>
      </c>
      <c r="DK68" s="390">
        <v>-11.2</v>
      </c>
    </row>
    <row r="69" spans="1:115" x14ac:dyDescent="0.2">
      <c r="A69" s="457"/>
      <c r="B69" s="458"/>
      <c r="C69" s="458"/>
      <c r="D69" s="458"/>
      <c r="E69" s="458"/>
      <c r="F69" s="458"/>
      <c r="G69" s="458"/>
      <c r="H69" s="458"/>
      <c r="I69" s="458"/>
      <c r="J69" s="461"/>
      <c r="L69" s="6"/>
      <c r="M69" s="200">
        <v>4</v>
      </c>
      <c r="N69" s="21"/>
      <c r="O69" s="222">
        <v>15</v>
      </c>
      <c r="P69" s="223">
        <v>1</v>
      </c>
      <c r="Q69" s="479">
        <v>29.7</v>
      </c>
      <c r="R69" s="226">
        <v>-9.5</v>
      </c>
      <c r="S69" s="226">
        <v>19.100000000000001</v>
      </c>
      <c r="T69" s="227">
        <v>-5.4</v>
      </c>
      <c r="U69" s="479">
        <v>-27.4</v>
      </c>
      <c r="V69" s="226">
        <v>-17.899999999999999</v>
      </c>
      <c r="W69" s="226">
        <v>-19.100000000000001</v>
      </c>
      <c r="X69" s="227">
        <v>-13.7</v>
      </c>
      <c r="Y69" s="479">
        <v>-38.4</v>
      </c>
      <c r="Z69" s="227">
        <v>-30.1</v>
      </c>
      <c r="AA69" s="218">
        <v>59</v>
      </c>
      <c r="AB69" s="229"/>
      <c r="AC69" s="230"/>
      <c r="AD69" s="552"/>
      <c r="AE69" s="552"/>
      <c r="AF69" s="552"/>
      <c r="AG69" s="552"/>
      <c r="AH69" s="552"/>
      <c r="AI69" s="552"/>
      <c r="AJ69" s="552"/>
      <c r="AK69" s="552"/>
      <c r="AL69" s="552"/>
      <c r="AM69" s="553"/>
      <c r="AN69" s="233"/>
      <c r="AP69" s="6"/>
      <c r="AQ69" s="9" t="s">
        <v>33</v>
      </c>
      <c r="AR69" s="2" t="e">
        <f>IF($C$18&lt;=10,$BF$51,IF($C$18&lt;=20,($BF$52-$BF$51)*($C$18-10)/(20-10)+$BF$51,IF($C$18&lt;=50,($BF$53-$BF$52)*($C$18-20)/(50-20 )+$BF$52,IF($C$18&lt;=100,($BF$54-$BF$53)*($C$18-50)/(100-50 )+$BF$53,IF($C$18&lt;=500,($BF$55-$BF$54)*($C$18-100)/(500-100 )+$BF$54,$BF$55)))))</f>
        <v>#REF!</v>
      </c>
      <c r="AS69" s="13" t="s">
        <v>59</v>
      </c>
      <c r="BI69" s="9" t="s">
        <v>38</v>
      </c>
      <c r="BJ69" s="2" t="e">
        <f>IF($C$18&lt;=10,$BX$51,IF($C$18&lt;=20,($BX$52-$BX$51)*($C$18-10)/(20-10)+$BX$51,IF($C$18&lt;=50,($BX$53-$BX$52)*($C$18-20)/(50-20 )+$BX$52,IF($C$18&lt;=100,($BX$54-$BX$53)*($C$18-50)/(100-50 )+$BX$53,IF($C$18&lt;=500,($BX$55-$BX$54)*($C$18-100)/(500-100 )+$BX$54,$BX$55)))))</f>
        <v>#REF!</v>
      </c>
      <c r="BK69" s="13" t="s">
        <v>59</v>
      </c>
      <c r="CX69" s="395"/>
      <c r="CY69" s="396" t="s">
        <v>163</v>
      </c>
      <c r="CZ69" s="396" t="s">
        <v>165</v>
      </c>
      <c r="DA69" s="396">
        <v>1</v>
      </c>
      <c r="DB69" s="397">
        <v>26.8</v>
      </c>
      <c r="DC69" s="398">
        <v>-13.9</v>
      </c>
      <c r="DD69" s="398">
        <v>17.8</v>
      </c>
      <c r="DE69" s="399">
        <v>-8.1999999999999993</v>
      </c>
      <c r="DF69" s="397">
        <v>-32.200000000000003</v>
      </c>
      <c r="DG69" s="398">
        <v>-18.3</v>
      </c>
      <c r="DH69" s="398">
        <v>-22.4</v>
      </c>
      <c r="DI69" s="400">
        <v>-14.2</v>
      </c>
      <c r="DJ69" s="397">
        <v>-45.1</v>
      </c>
      <c r="DK69" s="399">
        <v>-35.299999999999997</v>
      </c>
    </row>
    <row r="70" spans="1:115" x14ac:dyDescent="0.2">
      <c r="A70" s="52"/>
      <c r="B70" s="65" t="s">
        <v>305</v>
      </c>
      <c r="C70" s="62"/>
      <c r="D70" s="34"/>
      <c r="E70" s="34"/>
      <c r="F70" s="62"/>
      <c r="G70" s="62"/>
      <c r="H70" s="63"/>
      <c r="I70" s="258" t="s">
        <v>299</v>
      </c>
      <c r="J70" s="57"/>
      <c r="L70" s="6"/>
      <c r="M70" s="200">
        <v>5</v>
      </c>
      <c r="N70" s="21"/>
      <c r="O70" s="222">
        <v>20</v>
      </c>
      <c r="P70" s="223">
        <v>1</v>
      </c>
      <c r="Q70" s="479">
        <v>31.6</v>
      </c>
      <c r="R70" s="226">
        <v>-8.3000000000000007</v>
      </c>
      <c r="S70" s="226">
        <v>21.1</v>
      </c>
      <c r="T70" s="227">
        <v>-4.5999999999999996</v>
      </c>
      <c r="U70" s="211">
        <v>-27.4</v>
      </c>
      <c r="V70" s="226">
        <v>-19.100000000000001</v>
      </c>
      <c r="W70" s="226">
        <v>-19.100000000000001</v>
      </c>
      <c r="X70" s="228">
        <v>-14.5</v>
      </c>
      <c r="Y70" s="211">
        <v>-38.4</v>
      </c>
      <c r="Z70" s="227">
        <v>-30.1</v>
      </c>
      <c r="AA70" s="218">
        <v>60</v>
      </c>
      <c r="AB70" s="229"/>
      <c r="AC70" s="230" t="e">
        <f>IF($C$8=$N71,IF(AND($AD$6&gt;=25,$AD$6&lt;=45),VLOOKUP(MATCH($AD$6,$O66:$O76,1),$M66:$Z76,3),""),"")</f>
        <v>#REF!</v>
      </c>
      <c r="AD70" s="230" t="e">
        <f>IF($C$8=$N71,IF(AND($AD$6&gt;=25,$AD$6&lt;=45),VLOOKUP(MATCH($AD$6,$O66:$O76,1)+1,$M66:$Z76,5),""),"")</f>
        <v>#REF!</v>
      </c>
      <c r="AE70" s="230" t="e">
        <f>IF($C$8=$N71,IF(AND($AD$6&gt;=25,$AD$6&lt;=45),VLOOKUP(MATCH($AD$6,$O66:$O76,1)+1,$M66:$Z76,6),""),"")</f>
        <v>#REF!</v>
      </c>
      <c r="AF70" s="230" t="e">
        <f>IF($C$8=$N71,IF(AND($AD$6&gt;=25,$AD$6&lt;=45),VLOOKUP(MATCH($AD$6,$O66:$O76,1)+1,$M66:$Z76,7),""),"")</f>
        <v>#REF!</v>
      </c>
      <c r="AG70" s="230" t="e">
        <f>IF($C$8=$N71,IF(AND($AD$6&gt;=25,$AD$6&lt;=45),VLOOKUP(MATCH($AD$6,$O66:$O76,1)+1,$M66:$Z76,8),""),"")</f>
        <v>#REF!</v>
      </c>
      <c r="AH70" s="230" t="e">
        <f>IF($C$8=$N71,IF(AND($AD$6&gt;=25,$AD$6&lt;=45),VLOOKUP(MATCH($AD$6,$O66:$O76,1)+1,$M66:$Z76,9),""),"")</f>
        <v>#REF!</v>
      </c>
      <c r="AI70" s="230" t="e">
        <f>IF($C$8=$N71,IF(AND($AD$6&gt;=25,$AD$6&lt;=45),VLOOKUP(MATCH($AD$6,$O66:$O76,1)+1,$M66:$Z76,10),""),"")</f>
        <v>#REF!</v>
      </c>
      <c r="AJ70" s="230" t="e">
        <f>IF($C$8=$N71,IF(AND($AD$6&gt;=25,$AD$6&lt;=45),VLOOKUP(MATCH($AD$6,$O66:$O76,1)+1,$M66:$Z76,11),""),"")</f>
        <v>#REF!</v>
      </c>
      <c r="AK70" s="230" t="e">
        <f>IF($C$8=$N71,IF(AND($AD$6&gt;=25,$AD$6&lt;=45),VLOOKUP(MATCH($AD$6,$O66:$O76,1)+1,$M66:$Z76,12),""),"")</f>
        <v>#REF!</v>
      </c>
      <c r="AL70" s="230" t="e">
        <f>IF($C$8=$N71,IF(AND($AD$6&gt;=25,$AD$6&lt;=45),VLOOKUP(MATCH($AD$6,$O66:$O76,1)+1,$M66:$Z76,13),""),"")</f>
        <v>#REF!</v>
      </c>
      <c r="AM70" s="231" t="e">
        <f>IF($C$8=$N71,IF(AND($AD$6&gt;=25,$AD$6&lt;=45),VLOOKUP(MATCH($AD$6,$O66:$O76,1)+1,$M66:$Z76,14),""),"")</f>
        <v>#REF!</v>
      </c>
      <c r="AN70" s="19"/>
      <c r="CX70" s="330"/>
      <c r="CY70" s="358">
        <v>10</v>
      </c>
      <c r="CZ70" s="358">
        <v>2</v>
      </c>
      <c r="DA70" s="358">
        <v>1</v>
      </c>
      <c r="DB70" s="359">
        <v>30.2</v>
      </c>
      <c r="DC70" s="360">
        <v>-12.5</v>
      </c>
      <c r="DD70" s="360">
        <v>20.100000000000001</v>
      </c>
      <c r="DE70" s="361">
        <v>-7.3</v>
      </c>
      <c r="DF70" s="359">
        <v>-32.200000000000003</v>
      </c>
      <c r="DG70" s="360">
        <v>-19.7</v>
      </c>
      <c r="DH70" s="360">
        <v>-22.4</v>
      </c>
      <c r="DI70" s="362">
        <v>-15.1</v>
      </c>
      <c r="DJ70" s="359">
        <v>-45.1</v>
      </c>
      <c r="DK70" s="361">
        <v>-35.299999999999997</v>
      </c>
    </row>
    <row r="71" spans="1:115" x14ac:dyDescent="0.2">
      <c r="A71" s="52"/>
      <c r="B71" s="259" t="s">
        <v>174</v>
      </c>
      <c r="C71" s="264"/>
      <c r="D71" s="259" t="s">
        <v>19</v>
      </c>
      <c r="E71" s="63"/>
      <c r="F71" s="265" t="s">
        <v>23</v>
      </c>
      <c r="G71" s="266" t="s">
        <v>138</v>
      </c>
      <c r="H71" s="266" t="s">
        <v>139</v>
      </c>
      <c r="I71" s="258" t="s">
        <v>300</v>
      </c>
      <c r="J71" s="57"/>
      <c r="L71" s="6"/>
      <c r="M71" s="200">
        <v>6</v>
      </c>
      <c r="N71" s="21">
        <v>120</v>
      </c>
      <c r="O71" s="484">
        <v>25</v>
      </c>
      <c r="P71" s="235">
        <v>1</v>
      </c>
      <c r="Q71" s="481">
        <v>28.6</v>
      </c>
      <c r="R71" s="237">
        <v>4.5999999999999996</v>
      </c>
      <c r="S71" s="237">
        <v>20.7</v>
      </c>
      <c r="T71" s="238">
        <v>4.7</v>
      </c>
      <c r="U71" s="236">
        <v>-12.7</v>
      </c>
      <c r="V71" s="237">
        <v>-17.3</v>
      </c>
      <c r="W71" s="237">
        <v>-9.1999999999999993</v>
      </c>
      <c r="X71" s="239">
        <v>-13.9</v>
      </c>
      <c r="Y71" s="236">
        <v>-23.7</v>
      </c>
      <c r="Z71" s="238">
        <v>-20.2</v>
      </c>
      <c r="AA71" s="218">
        <v>61</v>
      </c>
      <c r="AB71" s="229"/>
      <c r="AC71" s="230" t="e">
        <f>IF($C$8=$N71,IF(AND($AD$6&gt;=25,$AD$6&lt;=45),VLOOKUP(MATCH($AD$6,$O66:$O76,1)+IF($AD$6&lt;25,1,2),$M66:$Z76,3),""),"")</f>
        <v>#REF!</v>
      </c>
      <c r="AD71" s="230" t="e">
        <f>IF($C$8=$N71,IF(AND($AD$6&gt;=25,$AD$6&lt;=45),VLOOKUP(MATCH($AD$6,$O66:$O76,1)+1+IF($AD$6&lt;25,1,2),$M66:$Z76,5),""),"")</f>
        <v>#REF!</v>
      </c>
      <c r="AE71" s="230" t="e">
        <f>IF($C$8=$N71,IF(AND($AD$6&gt;=25,$AD$6&lt;=45),VLOOKUP(MATCH($AD$6,$O66:$O76,1)+1+IF($AD$6&lt;25,1,2),$M66:$Z76,6),""),"")</f>
        <v>#REF!</v>
      </c>
      <c r="AF71" s="230" t="e">
        <f>IF($C$8=$N71,IF(AND($AD$6&gt;=25,$AD$6&lt;=45),VLOOKUP(MATCH($AD$6,$O66:$O76,1)+1+IF($AD$6&lt;25,1,2),$M66:$Z76,7),""),"")</f>
        <v>#REF!</v>
      </c>
      <c r="AG71" s="230" t="e">
        <f>IF($C$8=$N71,IF(AND($AD$6&gt;=25,$AD$6&lt;=45),VLOOKUP(MATCH($AD$6,$O66:$O76,1)+1+IF($AD$6&lt;25,1,2),$M66:$Z76,8),""),"")</f>
        <v>#REF!</v>
      </c>
      <c r="AH71" s="230" t="e">
        <f>IF($C$8=$N71,IF(AND($AD$6&gt;=25,$AD$6&lt;=45),VLOOKUP(MATCH($AD$6,$O66:$O76,1)+1+IF($AD$6&lt;25,1,2),$M66:$Z76,9),""),"")</f>
        <v>#REF!</v>
      </c>
      <c r="AI71" s="230" t="e">
        <f>IF($C$8=$N71,IF(AND($AD$6&gt;=25,$AD$6&lt;=45),VLOOKUP(MATCH($AD$6,$O66:$O76,1)+1+IF($AD$6&lt;25,1,2),$M66:$Z76,10),""),"")</f>
        <v>#REF!</v>
      </c>
      <c r="AJ71" s="230" t="e">
        <f>IF($C$8=$N71,IF(AND($AD$6&gt;=25,$AD$6&lt;=45),VLOOKUP(MATCH($AD$6,$O66:$O76,1)+1+IF($AD$6&lt;25,1,2),$M66:$Z76,11),""),"")</f>
        <v>#REF!</v>
      </c>
      <c r="AK71" s="230" t="e">
        <f>IF($C$8=$N71,IF(AND($AD$6&gt;=25,$AD$6&lt;=45),VLOOKUP(MATCH($AD$6,$O66:$O76,1)+1+IF($AD$6&lt;25,1,2),$M66:$Z76,12),""),"")</f>
        <v>#REF!</v>
      </c>
      <c r="AL71" s="230" t="e">
        <f>IF($C$8=$N71,IF(AND($AD$6&gt;=25,$AD$6&lt;=45),VLOOKUP(MATCH($AD$6,$O66:$O76,1)+1+IF($AD$6&lt;25,1,2),$M66:$Z76,13),""),"")</f>
        <v>#REF!</v>
      </c>
      <c r="AM71" s="231" t="e">
        <f>IF($C$8=$N71,IF(AND($AD$6&gt;=25,$AD$6&lt;=45),VLOOKUP(MATCH($AD$6,$O66:$O76,1)+1+IF($AD$6&lt;25,1,2),$M66:$Z76,14),""),"")</f>
        <v>#REF!</v>
      </c>
      <c r="AN71" s="19"/>
      <c r="CX71" s="330"/>
      <c r="CY71" s="358">
        <v>15</v>
      </c>
      <c r="CZ71" s="358">
        <v>3</v>
      </c>
      <c r="DA71" s="358">
        <v>1</v>
      </c>
      <c r="DB71" s="359">
        <v>33.700000000000003</v>
      </c>
      <c r="DC71" s="360">
        <v>-11.2</v>
      </c>
      <c r="DD71" s="360">
        <v>22.4</v>
      </c>
      <c r="DE71" s="361">
        <v>-6.4</v>
      </c>
      <c r="DF71" s="359">
        <v>-32.200000000000003</v>
      </c>
      <c r="DG71" s="360">
        <v>-21</v>
      </c>
      <c r="DH71" s="360">
        <v>-22.4</v>
      </c>
      <c r="DI71" s="362">
        <v>-16.100000000000001</v>
      </c>
      <c r="DJ71" s="359">
        <v>-45.1</v>
      </c>
      <c r="DK71" s="361">
        <v>-35.299999999999997</v>
      </c>
    </row>
    <row r="72" spans="1:115" x14ac:dyDescent="0.2">
      <c r="A72" s="52"/>
      <c r="B72" s="450" t="str">
        <f>"Wall "&amp;IF($C$17&lt;&gt;"Wall",$C$17,"")</f>
        <v>Wall Girt</v>
      </c>
      <c r="C72" s="451"/>
      <c r="D72" s="444" t="s">
        <v>140</v>
      </c>
      <c r="E72" s="445"/>
      <c r="F72" s="267">
        <v>4</v>
      </c>
      <c r="G72" s="159" t="e">
        <f>$D$28*$C$16*$D$29*$AR$68</f>
        <v>#REF!</v>
      </c>
      <c r="H72" s="159" t="e">
        <f>$D$28*$C$16*$D$29*$BJ$68</f>
        <v>#REF!</v>
      </c>
      <c r="J72" s="57"/>
      <c r="L72" s="6"/>
      <c r="M72" s="200">
        <v>7</v>
      </c>
      <c r="N72" s="21"/>
      <c r="O72" s="209"/>
      <c r="P72" s="210">
        <v>2</v>
      </c>
      <c r="Q72" s="482">
        <v>0</v>
      </c>
      <c r="R72" s="241">
        <v>0</v>
      </c>
      <c r="S72" s="241">
        <v>0</v>
      </c>
      <c r="T72" s="242">
        <v>0</v>
      </c>
      <c r="U72" s="240">
        <v>-4.8</v>
      </c>
      <c r="V72" s="241">
        <v>-9.4</v>
      </c>
      <c r="W72" s="241">
        <v>-1.3</v>
      </c>
      <c r="X72" s="243">
        <v>-6</v>
      </c>
      <c r="Y72" s="240">
        <v>0</v>
      </c>
      <c r="Z72" s="242">
        <v>0</v>
      </c>
      <c r="AA72" s="218">
        <v>62</v>
      </c>
      <c r="AB72" s="229"/>
      <c r="AC72" s="230" t="e">
        <f>IF($C$8=$N71,IF(AND($AD$6&gt;=25,$AD$6&lt;=45),$AD$6,""),"")</f>
        <v>#REF!</v>
      </c>
      <c r="AD72" s="230" t="e">
        <f t="shared" ref="AD72:AM72" si="14">IF($C$8=$N71,IF(AND($AD$6&gt;=25,$AD$6&lt;=45),(AD71-AD70)*($AD$6-$AC70)/($AC71-$AC70)+AD70,""),"")</f>
        <v>#REF!</v>
      </c>
      <c r="AE72" s="230" t="e">
        <f t="shared" si="14"/>
        <v>#REF!</v>
      </c>
      <c r="AF72" s="230" t="e">
        <f t="shared" si="14"/>
        <v>#REF!</v>
      </c>
      <c r="AG72" s="230" t="e">
        <f t="shared" si="14"/>
        <v>#REF!</v>
      </c>
      <c r="AH72" s="230" t="e">
        <f t="shared" si="14"/>
        <v>#REF!</v>
      </c>
      <c r="AI72" s="230" t="e">
        <f t="shared" si="14"/>
        <v>#REF!</v>
      </c>
      <c r="AJ72" s="230" t="e">
        <f t="shared" si="14"/>
        <v>#REF!</v>
      </c>
      <c r="AK72" s="230" t="e">
        <f t="shared" si="14"/>
        <v>#REF!</v>
      </c>
      <c r="AL72" s="230" t="e">
        <f t="shared" si="14"/>
        <v>#REF!</v>
      </c>
      <c r="AM72" s="231" t="e">
        <f t="shared" si="14"/>
        <v>#REF!</v>
      </c>
      <c r="AN72" s="19"/>
      <c r="CX72" s="330">
        <v>130</v>
      </c>
      <c r="CY72" s="358">
        <v>20</v>
      </c>
      <c r="CZ72" s="358">
        <v>4</v>
      </c>
      <c r="DA72" s="358">
        <v>1</v>
      </c>
      <c r="DB72" s="359">
        <v>37.1</v>
      </c>
      <c r="DC72" s="360">
        <v>-9.8000000000000007</v>
      </c>
      <c r="DD72" s="360">
        <v>24.7</v>
      </c>
      <c r="DE72" s="361">
        <v>-5.4</v>
      </c>
      <c r="DF72" s="359">
        <v>-32.200000000000003</v>
      </c>
      <c r="DG72" s="360">
        <v>-22.4</v>
      </c>
      <c r="DH72" s="360">
        <v>-22.4</v>
      </c>
      <c r="DI72" s="362">
        <v>-17</v>
      </c>
      <c r="DJ72" s="359">
        <v>-45.1</v>
      </c>
      <c r="DK72" s="361">
        <v>-35.299999999999997</v>
      </c>
    </row>
    <row r="73" spans="1:115" x14ac:dyDescent="0.2">
      <c r="A73" s="52"/>
      <c r="B73" s="428"/>
      <c r="C73" s="429"/>
      <c r="D73" s="446" t="s">
        <v>141</v>
      </c>
      <c r="E73" s="447"/>
      <c r="F73" s="268">
        <v>5</v>
      </c>
      <c r="G73" s="161" t="e">
        <f>$D$28*$C$16*$D$29*$AR$69</f>
        <v>#REF!</v>
      </c>
      <c r="H73" s="161" t="e">
        <f>$D$28*$C$16*$D$29*$BJ$69</f>
        <v>#REF!</v>
      </c>
      <c r="J73" s="57"/>
      <c r="L73" s="6"/>
      <c r="M73" s="200">
        <v>8</v>
      </c>
      <c r="N73" s="21"/>
      <c r="O73" s="484">
        <v>30</v>
      </c>
      <c r="P73" s="235">
        <v>1</v>
      </c>
      <c r="Q73" s="481">
        <v>25.7</v>
      </c>
      <c r="R73" s="237">
        <v>17.600000000000001</v>
      </c>
      <c r="S73" s="237">
        <v>20.399999999999999</v>
      </c>
      <c r="T73" s="238">
        <v>14</v>
      </c>
      <c r="U73" s="236">
        <v>2</v>
      </c>
      <c r="V73" s="237">
        <v>-15.6</v>
      </c>
      <c r="W73" s="237">
        <v>0.7</v>
      </c>
      <c r="X73" s="239">
        <v>-13.4</v>
      </c>
      <c r="Y73" s="236">
        <v>-9</v>
      </c>
      <c r="Z73" s="238">
        <v>-10.3</v>
      </c>
      <c r="AA73" s="218">
        <v>63</v>
      </c>
      <c r="AB73" s="270"/>
      <c r="AC73" s="552"/>
      <c r="AD73" s="552"/>
      <c r="AE73" s="552"/>
      <c r="AF73" s="552"/>
      <c r="AG73" s="552"/>
      <c r="AH73" s="552"/>
      <c r="AI73" s="552"/>
      <c r="AJ73" s="552"/>
      <c r="AK73" s="552"/>
      <c r="AL73" s="552"/>
      <c r="AM73" s="553"/>
      <c r="AN73" s="233"/>
      <c r="CX73" s="330"/>
      <c r="CY73" s="367">
        <v>25</v>
      </c>
      <c r="CZ73" s="367">
        <v>6</v>
      </c>
      <c r="DA73" s="367">
        <v>1</v>
      </c>
      <c r="DB73" s="368">
        <v>33.6</v>
      </c>
      <c r="DC73" s="369">
        <v>5.4</v>
      </c>
      <c r="DD73" s="369">
        <v>24.3</v>
      </c>
      <c r="DE73" s="370">
        <v>5.5</v>
      </c>
      <c r="DF73" s="368">
        <v>-14.9</v>
      </c>
      <c r="DG73" s="369">
        <v>-20.399999999999999</v>
      </c>
      <c r="DH73" s="369">
        <v>-10.8</v>
      </c>
      <c r="DI73" s="371">
        <v>-16.399999999999999</v>
      </c>
      <c r="DJ73" s="368">
        <v>-27.8</v>
      </c>
      <c r="DK73" s="370">
        <v>-23.7</v>
      </c>
    </row>
    <row r="74" spans="1:115" x14ac:dyDescent="0.2">
      <c r="A74" s="52"/>
      <c r="B74" s="450"/>
      <c r="C74" s="452"/>
      <c r="D74" s="444" t="s">
        <v>142</v>
      </c>
      <c r="E74" s="445"/>
      <c r="F74" s="267">
        <v>1</v>
      </c>
      <c r="G74" s="159" t="e">
        <f>IF($AD$6&lt;=7,$D$28*$C$16*$D$29*$AR$59,IF(AND($AD$6&gt;7,$AD$6&lt;=27),$D$28*$C$16*$D$29*$AR$62,IF(AND($AD$6&gt;27,$AD$6&lt;=45),$D$28*$C$16*$D$29*$AR$65)))</f>
        <v>#REF!</v>
      </c>
      <c r="H74" s="159" t="e">
        <f>IF($AD$6&lt;=7,$D$28*$C$16*$D$29*$BJ$59,IF(AND($AD$6&gt;7,$AD$6&lt;=27),$D$28*$C$16*$D$29*$BJ$62,IF(AND($AD$6&gt;27,$AD$6&lt;=45),$D$28*$C$16*$D$29*$BJ$65)))</f>
        <v>#REF!</v>
      </c>
      <c r="J74" s="57"/>
      <c r="L74" s="6"/>
      <c r="M74" s="200">
        <v>9</v>
      </c>
      <c r="N74" s="249"/>
      <c r="O74" s="209"/>
      <c r="P74" s="210">
        <v>2</v>
      </c>
      <c r="Q74" s="482">
        <v>25.7</v>
      </c>
      <c r="R74" s="241">
        <v>17.600000000000001</v>
      </c>
      <c r="S74" s="241">
        <v>20.399999999999999</v>
      </c>
      <c r="T74" s="242">
        <v>14</v>
      </c>
      <c r="U74" s="240">
        <v>9.9</v>
      </c>
      <c r="V74" s="241">
        <v>-7.7</v>
      </c>
      <c r="W74" s="241">
        <v>8.6</v>
      </c>
      <c r="X74" s="243">
        <v>-5.5</v>
      </c>
      <c r="Y74" s="240">
        <v>-9</v>
      </c>
      <c r="Z74" s="242">
        <v>-10.3</v>
      </c>
      <c r="AA74" s="218">
        <v>64</v>
      </c>
      <c r="AB74" s="270"/>
      <c r="AC74" s="552"/>
      <c r="AD74" s="552"/>
      <c r="AE74" s="552"/>
      <c r="AF74" s="552"/>
      <c r="AG74" s="552"/>
      <c r="AH74" s="552"/>
      <c r="AI74" s="552"/>
      <c r="AJ74" s="552"/>
      <c r="AK74" s="552"/>
      <c r="AL74" s="552"/>
      <c r="AM74" s="553"/>
      <c r="AN74" s="233"/>
      <c r="CX74" s="330"/>
      <c r="CY74" s="372"/>
      <c r="CZ74" s="372"/>
      <c r="DA74" s="372">
        <v>2</v>
      </c>
      <c r="DB74" s="373" t="s">
        <v>145</v>
      </c>
      <c r="DC74" s="374" t="s">
        <v>145</v>
      </c>
      <c r="DD74" s="374" t="s">
        <v>145</v>
      </c>
      <c r="DE74" s="375" t="s">
        <v>145</v>
      </c>
      <c r="DF74" s="376">
        <v>-5.7</v>
      </c>
      <c r="DG74" s="377">
        <v>-11.1</v>
      </c>
      <c r="DH74" s="377">
        <v>-1.5</v>
      </c>
      <c r="DI74" s="378">
        <v>-7.1</v>
      </c>
      <c r="DJ74" s="373" t="s">
        <v>145</v>
      </c>
      <c r="DK74" s="375" t="s">
        <v>145</v>
      </c>
    </row>
    <row r="75" spans="1:115" x14ac:dyDescent="0.2">
      <c r="A75" s="52"/>
      <c r="B75" s="453" t="str">
        <f>"Roof "&amp;$C$19</f>
        <v>Roof Purlin</v>
      </c>
      <c r="C75" s="454"/>
      <c r="D75" s="448" t="s">
        <v>143</v>
      </c>
      <c r="E75" s="449"/>
      <c r="F75" s="269">
        <v>2</v>
      </c>
      <c r="G75" s="160" t="e">
        <f>IF($AD$6&lt;=7,$D$28*$C$16*$D$29*$AR$60,IF(AND($AD$6&gt;7,$AD$6&lt;=27),$D$28*$C$16*$D$29*$AR$63,IF(AND($AD$6&gt;27,$AD$6&lt;=45),$D$28*$C$16*$D$29*$AR$66)))</f>
        <v>#REF!</v>
      </c>
      <c r="H75" s="160" t="e">
        <f>IF($AD$6&lt;=7,$D$28*$C$16*$D$29*$BJ$60,IF(AND($AD$6&gt;7,$AD$6&lt;=27),$D$28*$C$16*$D$29*$BJ$63,IF(AND($AD$6&gt;27,$AD$6&lt;=45),$D$28*$C$16*$D$29*$BJ$66)))</f>
        <v>#REF!</v>
      </c>
      <c r="J75" s="57"/>
      <c r="L75" s="6"/>
      <c r="M75" s="200">
        <v>10</v>
      </c>
      <c r="N75" s="21"/>
      <c r="O75" s="484">
        <v>45</v>
      </c>
      <c r="P75" s="235">
        <v>1</v>
      </c>
      <c r="Q75" s="481">
        <v>25.7</v>
      </c>
      <c r="R75" s="237">
        <v>17.600000000000001</v>
      </c>
      <c r="S75" s="237">
        <v>20.399999999999999</v>
      </c>
      <c r="T75" s="238">
        <v>14</v>
      </c>
      <c r="U75" s="236">
        <v>2</v>
      </c>
      <c r="V75" s="237">
        <v>-15.6</v>
      </c>
      <c r="W75" s="237">
        <v>0.7</v>
      </c>
      <c r="X75" s="239">
        <v>-13.4</v>
      </c>
      <c r="Y75" s="236">
        <v>-9</v>
      </c>
      <c r="Z75" s="238">
        <v>-10.3</v>
      </c>
      <c r="AA75" s="218">
        <v>65</v>
      </c>
      <c r="AB75" s="270"/>
      <c r="AC75" s="552"/>
      <c r="AD75" s="552"/>
      <c r="AE75" s="552"/>
      <c r="AF75" s="552"/>
      <c r="AG75" s="552"/>
      <c r="AH75" s="552"/>
      <c r="AI75" s="552"/>
      <c r="AJ75" s="552"/>
      <c r="AK75" s="552"/>
      <c r="AL75" s="552"/>
      <c r="AM75" s="553"/>
      <c r="AN75" s="233"/>
      <c r="CX75" s="330"/>
      <c r="CY75" s="367" t="s">
        <v>164</v>
      </c>
      <c r="CZ75" s="367" t="s">
        <v>166</v>
      </c>
      <c r="DA75" s="367">
        <v>1</v>
      </c>
      <c r="DB75" s="368">
        <v>30.1</v>
      </c>
      <c r="DC75" s="369">
        <v>20.6</v>
      </c>
      <c r="DD75" s="369">
        <v>24</v>
      </c>
      <c r="DE75" s="370">
        <v>16.5</v>
      </c>
      <c r="DF75" s="368">
        <v>2.2999999999999998</v>
      </c>
      <c r="DG75" s="369">
        <v>-18.3</v>
      </c>
      <c r="DH75" s="369">
        <v>0.8</v>
      </c>
      <c r="DI75" s="371">
        <v>-15.7</v>
      </c>
      <c r="DJ75" s="368">
        <v>-10.6</v>
      </c>
      <c r="DK75" s="370">
        <v>-12.1</v>
      </c>
    </row>
    <row r="76" spans="1:115" ht="12.75" customHeight="1" x14ac:dyDescent="0.2">
      <c r="A76" s="52"/>
      <c r="B76" s="455"/>
      <c r="C76" s="456"/>
      <c r="D76" s="446" t="s">
        <v>144</v>
      </c>
      <c r="E76" s="447"/>
      <c r="F76" s="268">
        <v>3</v>
      </c>
      <c r="G76" s="161" t="e">
        <f>IF($AD$6&lt;=7,$D$28*$C$16*$D$29*$AR$61,IF(AND($AD$6&gt;7,$AD$6&lt;=27),$D$28*$C$16*$D$29*$AR$64,IF(AND($AD$6&gt;27,$AD$6&lt;=45),$D$28*$C$16*$D$29*$AR$67)))</f>
        <v>#REF!</v>
      </c>
      <c r="H76" s="161" t="e">
        <f>IF($AD$6&lt;=7,$D$28*$C$16*$D$29*$BJ$61,IF(AND($AD$6&gt;7,$AD$6&lt;=27),$D$28*$C$16*$D$29*$BJ$64,IF(AND($AD$6&gt;27,$AD$6&lt;=45),$D$28*$C$16*$D$29*$BJ$67)))</f>
        <v>#REF!</v>
      </c>
      <c r="J76" s="57"/>
      <c r="L76" s="6"/>
      <c r="M76" s="200">
        <v>11</v>
      </c>
      <c r="N76" s="22"/>
      <c r="O76" s="485"/>
      <c r="P76" s="250">
        <v>2</v>
      </c>
      <c r="Q76" s="483">
        <v>25.7</v>
      </c>
      <c r="R76" s="252">
        <v>17.600000000000001</v>
      </c>
      <c r="S76" s="252">
        <v>20.399999999999999</v>
      </c>
      <c r="T76" s="253">
        <v>14</v>
      </c>
      <c r="U76" s="251">
        <v>9.9</v>
      </c>
      <c r="V76" s="252">
        <v>-7.7</v>
      </c>
      <c r="W76" s="252">
        <v>8.6</v>
      </c>
      <c r="X76" s="254">
        <v>-5.5</v>
      </c>
      <c r="Y76" s="251">
        <v>-9</v>
      </c>
      <c r="Z76" s="253">
        <v>-10.3</v>
      </c>
      <c r="AA76" s="218">
        <v>66</v>
      </c>
      <c r="AB76" s="271"/>
      <c r="AC76" s="555"/>
      <c r="AD76" s="555"/>
      <c r="AE76" s="555"/>
      <c r="AF76" s="555"/>
      <c r="AG76" s="555"/>
      <c r="AH76" s="555"/>
      <c r="AI76" s="555"/>
      <c r="AJ76" s="555"/>
      <c r="AK76" s="555"/>
      <c r="AL76" s="555"/>
      <c r="AM76" s="556"/>
      <c r="AN76" s="233"/>
      <c r="CX76" s="347"/>
      <c r="CY76" s="178"/>
      <c r="CZ76" s="178"/>
      <c r="DA76" s="178">
        <v>2</v>
      </c>
      <c r="DB76" s="388">
        <v>30.1</v>
      </c>
      <c r="DC76" s="389">
        <v>20.6</v>
      </c>
      <c r="DD76" s="389">
        <v>24</v>
      </c>
      <c r="DE76" s="390">
        <v>16.5</v>
      </c>
      <c r="DF76" s="388">
        <v>11.6</v>
      </c>
      <c r="DG76" s="389">
        <v>-9</v>
      </c>
      <c r="DH76" s="389">
        <v>10</v>
      </c>
      <c r="DI76" s="391">
        <v>-6.4</v>
      </c>
      <c r="DJ76" s="388">
        <v>-10.6</v>
      </c>
      <c r="DK76" s="390">
        <v>-12.1</v>
      </c>
    </row>
    <row r="77" spans="1:115" x14ac:dyDescent="0.2">
      <c r="A77" s="52"/>
      <c r="B77" s="450" t="s">
        <v>182</v>
      </c>
      <c r="C77" s="451"/>
      <c r="D77" s="444" t="s">
        <v>175</v>
      </c>
      <c r="E77" s="445"/>
      <c r="F77" s="418">
        <v>2</v>
      </c>
      <c r="G77" s="170" t="s">
        <v>145</v>
      </c>
      <c r="H77" s="159" t="str">
        <f>IF($C$21&gt;0,IF($AD$6&lt;=7,$D$28*$C$16*$D$29*$CB$38,IF(AND($AD$6&gt;7,$AD$6&lt;=27),$D$28*$C$16*$D$29*$CB$41,IF(AND($AD$6&gt;27,$AD$6&lt;=45),$D$28*$C$16*$D$29*$CB$44))),"---")</f>
        <v>---</v>
      </c>
      <c r="J77" s="57"/>
      <c r="L77" s="6"/>
      <c r="M77" s="200">
        <v>1</v>
      </c>
      <c r="N77" s="26"/>
      <c r="O77" s="557">
        <v>0</v>
      </c>
      <c r="P77" s="514">
        <v>1</v>
      </c>
      <c r="Q77" s="558">
        <v>24.7</v>
      </c>
      <c r="R77" s="516">
        <v>-12.9</v>
      </c>
      <c r="S77" s="516">
        <v>16.399999999999999</v>
      </c>
      <c r="T77" s="517">
        <v>-7.6</v>
      </c>
      <c r="U77" s="515">
        <v>-29.7</v>
      </c>
      <c r="V77" s="516">
        <v>-16.899999999999999</v>
      </c>
      <c r="W77" s="516">
        <v>-20.7</v>
      </c>
      <c r="X77" s="518">
        <v>-13.1</v>
      </c>
      <c r="Y77" s="515">
        <v>-41.7</v>
      </c>
      <c r="Z77" s="517">
        <v>-32.700000000000003</v>
      </c>
      <c r="AA77" s="201">
        <v>67</v>
      </c>
      <c r="AB77" s="519"/>
      <c r="AC77" s="520" t="e">
        <f>IF($C$8=$N82,VLOOKUP(MATCH($AD$6,$O77:$O87,1),$M77:$Z87,3),"")</f>
        <v>#REF!</v>
      </c>
      <c r="AD77" s="520" t="e">
        <f>IF($C$8=$N82,VLOOKUP(MATCH($AD$6,$O77:$O87,1),$M77:$Z87,5),"")</f>
        <v>#REF!</v>
      </c>
      <c r="AE77" s="520" t="e">
        <f>IF($C$8=$N82,VLOOKUP(MATCH($AD$6,$O77:$O87,1),$M77:$Z87,6),"")</f>
        <v>#REF!</v>
      </c>
      <c r="AF77" s="520" t="e">
        <f>IF($C$8=$N82,VLOOKUP(MATCH($AD$6,$O77:$O87,1),$M77:$Z87,7),"")</f>
        <v>#REF!</v>
      </c>
      <c r="AG77" s="520" t="e">
        <f>IF($C$8=$N82,VLOOKUP(MATCH($AD$6,$O77:$O87,1),$M77:$Z87,8),"")</f>
        <v>#REF!</v>
      </c>
      <c r="AH77" s="520" t="e">
        <f>IF($C$8=$N82,VLOOKUP(MATCH($AD$6,$O77:$O87,1),$M77:$Z87,9),"")</f>
        <v>#REF!</v>
      </c>
      <c r="AI77" s="520" t="e">
        <f>IF($C$8=$N82,VLOOKUP(MATCH($AD$6,$O77:$O87,1),$M77:$Z87,10),"")</f>
        <v>#REF!</v>
      </c>
      <c r="AJ77" s="520" t="e">
        <f>IF($C$8=$N82,VLOOKUP(MATCH($AD$6,$O77:$O87,1),$M77:$Z87,11),"")</f>
        <v>#REF!</v>
      </c>
      <c r="AK77" s="520" t="e">
        <f>IF($C$8=$N82,VLOOKUP(MATCH($AD$6,$O77:$O87,1),$M77:$Z87,12),"")</f>
        <v>#REF!</v>
      </c>
      <c r="AL77" s="520" t="e">
        <f>IF($C$8=$N82,VLOOKUP(MATCH($AD$6,$O77:$O87,1),$M77:$Z87,13),"")</f>
        <v>#REF!</v>
      </c>
      <c r="AM77" s="521" t="e">
        <f>IF($C$8=$N82,VLOOKUP(MATCH($AD$6,$O77:$O87,1),$M77:$Z87,14),"")</f>
        <v>#REF!</v>
      </c>
      <c r="AN77" s="19"/>
      <c r="CX77" s="395"/>
      <c r="CY77" s="358" t="s">
        <v>163</v>
      </c>
      <c r="CZ77" s="358" t="s">
        <v>165</v>
      </c>
      <c r="DA77" s="396">
        <v>1</v>
      </c>
      <c r="DB77" s="397">
        <v>31.1</v>
      </c>
      <c r="DC77" s="398">
        <v>-16.100000000000001</v>
      </c>
      <c r="DD77" s="398">
        <v>20.6</v>
      </c>
      <c r="DE77" s="399">
        <v>-9.6</v>
      </c>
      <c r="DF77" s="397">
        <v>-37.299999999999997</v>
      </c>
      <c r="DG77" s="398">
        <v>-21.2</v>
      </c>
      <c r="DH77" s="398">
        <v>-26</v>
      </c>
      <c r="DI77" s="400">
        <v>-16.399999999999999</v>
      </c>
      <c r="DJ77" s="397">
        <v>-52.3</v>
      </c>
      <c r="DK77" s="399">
        <v>-40.9</v>
      </c>
    </row>
    <row r="78" spans="1:115" x14ac:dyDescent="0.2">
      <c r="A78" s="52"/>
      <c r="B78" s="455"/>
      <c r="C78" s="456"/>
      <c r="D78" s="446" t="s">
        <v>176</v>
      </c>
      <c r="E78" s="447"/>
      <c r="F78" s="419">
        <v>3</v>
      </c>
      <c r="G78" s="406" t="s">
        <v>145</v>
      </c>
      <c r="H78" s="161" t="str">
        <f>IF($C$21&gt;0,IF($AD$6&lt;=7,$D$28*$C$16*$D$29*$CB$39,IF(AND($AD$6&gt;7,$AD$6&lt;=27),$D$28*$C$16*$D$29*$CB$42,IF(AND($AD$6&gt;27,$AD$6&lt;=45),$D$28*$C$16*$D$29*$CB$45))),"---")</f>
        <v>---</v>
      </c>
      <c r="J78" s="57"/>
      <c r="L78" s="6"/>
      <c r="M78" s="200">
        <v>2</v>
      </c>
      <c r="N78" s="28"/>
      <c r="O78" s="559">
        <v>5</v>
      </c>
      <c r="P78" s="522">
        <v>1</v>
      </c>
      <c r="Q78" s="560">
        <v>24.7</v>
      </c>
      <c r="R78" s="524">
        <v>-12.9</v>
      </c>
      <c r="S78" s="524">
        <v>16.399999999999999</v>
      </c>
      <c r="T78" s="525">
        <v>-7.6</v>
      </c>
      <c r="U78" s="523">
        <v>-29.7</v>
      </c>
      <c r="V78" s="524">
        <v>-16.899999999999999</v>
      </c>
      <c r="W78" s="524">
        <v>-20.7</v>
      </c>
      <c r="X78" s="526">
        <v>-13.1</v>
      </c>
      <c r="Y78" s="523">
        <v>-41.7</v>
      </c>
      <c r="Z78" s="525">
        <v>-32.700000000000003</v>
      </c>
      <c r="AA78" s="201">
        <v>68</v>
      </c>
      <c r="AB78" s="527"/>
      <c r="AC78" s="528" t="e">
        <f>IF($C$8=$N82,VLOOKUP(MATCH($AD$6,$O77:$O87,1)+IF($AD$6&lt;25,1,2),$M77:$Z87,3),"")</f>
        <v>#REF!</v>
      </c>
      <c r="AD78" s="528" t="e">
        <f>IF($C$8=$N82,VLOOKUP(MATCH($AD$6,$O77:$O87,1)+IF($AD$6&lt;25,1,2),$M77:$Z87,5),"")</f>
        <v>#REF!</v>
      </c>
      <c r="AE78" s="528" t="e">
        <f>IF($C$8=$N82,VLOOKUP(MATCH($AD$6,$O77:$O87,1)+IF($AD$6&lt;25,1,2),$M77:$Z87,6),"")</f>
        <v>#REF!</v>
      </c>
      <c r="AF78" s="528" t="e">
        <f>IF($C$8=$N82,VLOOKUP(MATCH($AD$6,$O77:$O87,1)+IF($AD$6&lt;25,1,2),$M77:$Z87,7),"")</f>
        <v>#REF!</v>
      </c>
      <c r="AG78" s="528" t="e">
        <f>IF($C$8=$N82,VLOOKUP(MATCH($AD$6,$O77:$O87,1)+IF($AD$6&lt;25,1,2),$M77:$Z87,8),"")</f>
        <v>#REF!</v>
      </c>
      <c r="AH78" s="528" t="e">
        <f>IF($C$8=$N82,VLOOKUP(MATCH($AD$6,$O77:$O87,1)+IF($AD$6&lt;25,1,2),$M77:$Z87,9),"")</f>
        <v>#REF!</v>
      </c>
      <c r="AI78" s="528" t="e">
        <f>IF($C$8=$N82,VLOOKUP(MATCH($AD$6,$O77:$O87,1)+IF($AD$6&lt;25,1,2),$M77:$Z87,10),"")</f>
        <v>#REF!</v>
      </c>
      <c r="AJ78" s="528" t="e">
        <f>IF($C$8=$N82,VLOOKUP(MATCH($AD$6,$O77:$O87,1)+IF($AD$6&lt;25,1,2),$M77:$Z87,11),"")</f>
        <v>#REF!</v>
      </c>
      <c r="AK78" s="528" t="e">
        <f>IF($C$8=$N82,VLOOKUP(MATCH($AD$6,$O77:$O87,1)+IF($AD$6&lt;25,1,2),$M77:$Z87,12),"")</f>
        <v>#REF!</v>
      </c>
      <c r="AL78" s="528" t="e">
        <f>IF($C$8=$N82,VLOOKUP(MATCH($AD$6,$O77:$O87,1)+IF($AD$6&lt;25,1,2),$M77:$Z87,13),"")</f>
        <v>#REF!</v>
      </c>
      <c r="AM78" s="529" t="e">
        <f>IF($C$8=$N82,VLOOKUP(MATCH($AD$6,$O77:$O87,1)+IF($AD$6&lt;25,1,2),$M77:$Z87,14),"")</f>
        <v>#REF!</v>
      </c>
      <c r="AN78" s="19"/>
      <c r="CX78" s="330"/>
      <c r="CY78" s="358">
        <v>10</v>
      </c>
      <c r="CZ78" s="358">
        <v>2</v>
      </c>
      <c r="DA78" s="358">
        <v>1</v>
      </c>
      <c r="DB78" s="359">
        <v>35.1</v>
      </c>
      <c r="DC78" s="360">
        <v>-14.5</v>
      </c>
      <c r="DD78" s="360">
        <v>23.3</v>
      </c>
      <c r="DE78" s="361">
        <v>-8.5</v>
      </c>
      <c r="DF78" s="359">
        <v>-37.299999999999997</v>
      </c>
      <c r="DG78" s="360">
        <v>-22.8</v>
      </c>
      <c r="DH78" s="360">
        <v>-26</v>
      </c>
      <c r="DI78" s="362">
        <v>-17.5</v>
      </c>
      <c r="DJ78" s="359">
        <v>-52.3</v>
      </c>
      <c r="DK78" s="361">
        <v>-40.9</v>
      </c>
    </row>
    <row r="79" spans="1:115" x14ac:dyDescent="0.2">
      <c r="A79" s="52"/>
      <c r="J79" s="57"/>
      <c r="L79" s="6"/>
      <c r="M79" s="200">
        <v>3</v>
      </c>
      <c r="N79" s="28"/>
      <c r="O79" s="559">
        <v>10</v>
      </c>
      <c r="P79" s="522">
        <v>1</v>
      </c>
      <c r="Q79" s="560">
        <v>28</v>
      </c>
      <c r="R79" s="524">
        <v>-11.6</v>
      </c>
      <c r="S79" s="524">
        <v>18.600000000000001</v>
      </c>
      <c r="T79" s="525">
        <v>-6.7</v>
      </c>
      <c r="U79" s="523">
        <v>-29.7</v>
      </c>
      <c r="V79" s="524">
        <v>-18.2</v>
      </c>
      <c r="W79" s="524">
        <v>-20.7</v>
      </c>
      <c r="X79" s="525">
        <v>-14</v>
      </c>
      <c r="Y79" s="523">
        <v>-41.7</v>
      </c>
      <c r="Z79" s="525">
        <v>-32.700000000000003</v>
      </c>
      <c r="AA79" s="201">
        <v>69</v>
      </c>
      <c r="AB79" s="527" t="e">
        <f>IF($C$8=$N82,MATCH($AD$6,$O77:$O87,1),0)</f>
        <v>#REF!</v>
      </c>
      <c r="AC79" s="528" t="e">
        <f>IF($C$8=$N82,$AD$6,"")</f>
        <v>#REF!</v>
      </c>
      <c r="AD79" s="528" t="e">
        <f t="shared" ref="AD79:AM79" si="15">IF($C$8=$N82,(AD78-AD77)*($AD$6-$AC77)/($AC78-$AC77)+AD77,"")</f>
        <v>#REF!</v>
      </c>
      <c r="AE79" s="528" t="e">
        <f t="shared" si="15"/>
        <v>#REF!</v>
      </c>
      <c r="AF79" s="528" t="e">
        <f t="shared" si="15"/>
        <v>#REF!</v>
      </c>
      <c r="AG79" s="528" t="e">
        <f t="shared" si="15"/>
        <v>#REF!</v>
      </c>
      <c r="AH79" s="528" t="e">
        <f t="shared" si="15"/>
        <v>#REF!</v>
      </c>
      <c r="AI79" s="528" t="e">
        <f t="shared" si="15"/>
        <v>#REF!</v>
      </c>
      <c r="AJ79" s="528" t="e">
        <f t="shared" si="15"/>
        <v>#REF!</v>
      </c>
      <c r="AK79" s="528" t="e">
        <f t="shared" si="15"/>
        <v>#REF!</v>
      </c>
      <c r="AL79" s="528" t="e">
        <f t="shared" si="15"/>
        <v>#REF!</v>
      </c>
      <c r="AM79" s="529" t="e">
        <f t="shared" si="15"/>
        <v>#REF!</v>
      </c>
      <c r="AN79" s="19"/>
      <c r="CX79" s="330"/>
      <c r="CY79" s="358">
        <v>15</v>
      </c>
      <c r="CZ79" s="358">
        <v>3</v>
      </c>
      <c r="DA79" s="358">
        <v>1</v>
      </c>
      <c r="DB79" s="359">
        <v>39</v>
      </c>
      <c r="DC79" s="360">
        <v>-12.9</v>
      </c>
      <c r="DD79" s="360">
        <v>26</v>
      </c>
      <c r="DE79" s="361">
        <v>-7.4</v>
      </c>
      <c r="DF79" s="359">
        <v>-37.299999999999997</v>
      </c>
      <c r="DG79" s="360">
        <v>-24.4</v>
      </c>
      <c r="DH79" s="360">
        <v>-26</v>
      </c>
      <c r="DI79" s="362">
        <v>-18.600000000000001</v>
      </c>
      <c r="DJ79" s="359">
        <v>-52.3</v>
      </c>
      <c r="DK79" s="361">
        <v>-40.9</v>
      </c>
    </row>
    <row r="80" spans="1:115" x14ac:dyDescent="0.2">
      <c r="A80" s="510" t="s">
        <v>213</v>
      </c>
      <c r="B80" s="53" t="s">
        <v>212</v>
      </c>
      <c r="J80" s="57"/>
      <c r="L80" s="6"/>
      <c r="M80" s="200">
        <v>4</v>
      </c>
      <c r="N80" s="28"/>
      <c r="O80" s="559">
        <v>15</v>
      </c>
      <c r="P80" s="522">
        <v>1</v>
      </c>
      <c r="Q80" s="560">
        <v>31.1</v>
      </c>
      <c r="R80" s="524">
        <v>-10.3</v>
      </c>
      <c r="S80" s="524">
        <v>20.7</v>
      </c>
      <c r="T80" s="525">
        <v>-5.9</v>
      </c>
      <c r="U80" s="523">
        <v>-29.7</v>
      </c>
      <c r="V80" s="524">
        <v>-19.399999999999999</v>
      </c>
      <c r="W80" s="524">
        <v>-20.7</v>
      </c>
      <c r="X80" s="525">
        <v>-14.9</v>
      </c>
      <c r="Y80" s="523">
        <v>-41.7</v>
      </c>
      <c r="Z80" s="525">
        <v>-32.700000000000003</v>
      </c>
      <c r="AA80" s="201">
        <v>70</v>
      </c>
      <c r="AB80" s="527"/>
      <c r="AC80" s="528"/>
      <c r="AD80" s="530"/>
      <c r="AE80" s="530"/>
      <c r="AF80" s="530"/>
      <c r="AG80" s="530"/>
      <c r="AH80" s="530"/>
      <c r="AI80" s="530"/>
      <c r="AJ80" s="530"/>
      <c r="AK80" s="530"/>
      <c r="AL80" s="530"/>
      <c r="AM80" s="531"/>
      <c r="AN80" s="233"/>
      <c r="CX80" s="330">
        <v>140</v>
      </c>
      <c r="CY80" s="358">
        <v>20</v>
      </c>
      <c r="CZ80" s="358">
        <v>4</v>
      </c>
      <c r="DA80" s="358">
        <v>1</v>
      </c>
      <c r="DB80" s="359">
        <v>43</v>
      </c>
      <c r="DC80" s="360">
        <v>-11.4</v>
      </c>
      <c r="DD80" s="360">
        <v>28.7</v>
      </c>
      <c r="DE80" s="361">
        <v>-6.3</v>
      </c>
      <c r="DF80" s="359">
        <v>-37.299999999999997</v>
      </c>
      <c r="DG80" s="360">
        <v>-26</v>
      </c>
      <c r="DH80" s="360">
        <v>-26</v>
      </c>
      <c r="DI80" s="362">
        <v>-19.7</v>
      </c>
      <c r="DJ80" s="359">
        <v>-52.3</v>
      </c>
      <c r="DK80" s="361">
        <v>-40.9</v>
      </c>
    </row>
    <row r="81" spans="1:115" x14ac:dyDescent="0.2">
      <c r="A81" s="52"/>
      <c r="B81" s="53" t="s">
        <v>225</v>
      </c>
      <c r="J81" s="57"/>
      <c r="M81" s="200">
        <v>5</v>
      </c>
      <c r="N81" s="28"/>
      <c r="O81" s="559">
        <v>20</v>
      </c>
      <c r="P81" s="522">
        <v>1</v>
      </c>
      <c r="Q81" s="560">
        <v>34.299999999999997</v>
      </c>
      <c r="R81" s="524">
        <v>-9</v>
      </c>
      <c r="S81" s="524">
        <v>22.9</v>
      </c>
      <c r="T81" s="525">
        <v>-5</v>
      </c>
      <c r="U81" s="523">
        <v>-29.7</v>
      </c>
      <c r="V81" s="524">
        <v>-20.7</v>
      </c>
      <c r="W81" s="524">
        <v>-20.7</v>
      </c>
      <c r="X81" s="526">
        <v>-15.7</v>
      </c>
      <c r="Y81" s="523">
        <v>-41.7</v>
      </c>
      <c r="Z81" s="525">
        <v>-32.700000000000003</v>
      </c>
      <c r="AA81" s="201">
        <v>71</v>
      </c>
      <c r="AB81" s="527"/>
      <c r="AC81" s="528" t="e">
        <f>IF($C$8=$N82,IF(AND($AD$6&gt;=25,$AD$6&lt;=45),VLOOKUP(MATCH($AD$6,$O77:$O87,1),$M77:$Z87,3),""),"")</f>
        <v>#REF!</v>
      </c>
      <c r="AD81" s="528" t="e">
        <f>IF($C$8=$N82,IF(AND($AD$6&gt;=25,$AD$6&lt;=45),VLOOKUP(MATCH($AD$6,$O77:$O87,1)+1,$M77:$Z87,5),""),"")</f>
        <v>#REF!</v>
      </c>
      <c r="AE81" s="528" t="e">
        <f>IF($C$8=$N82,IF(AND($AD$6&gt;=25,$AD$6&lt;=45),VLOOKUP(MATCH($AD$6,$O77:$O87,1)+1,$M77:$Z87,6),""),"")</f>
        <v>#REF!</v>
      </c>
      <c r="AF81" s="528" t="e">
        <f>IF($C$8=$N82,IF(AND($AD$6&gt;=25,$AD$6&lt;=45),VLOOKUP(MATCH($AD$6,$O77:$O87,1)+1,$M77:$Z87,7),""),"")</f>
        <v>#REF!</v>
      </c>
      <c r="AG81" s="528" t="e">
        <f>IF($C$8=$N82,IF(AND($AD$6&gt;=25,$AD$6&lt;=45),VLOOKUP(MATCH($AD$6,$O77:$O87,1)+1,$M77:$Z87,8),""),"")</f>
        <v>#REF!</v>
      </c>
      <c r="AH81" s="528" t="e">
        <f>IF($C$8=$N82,IF(AND($AD$6&gt;=25,$AD$6&lt;=45),VLOOKUP(MATCH($AD$6,$O77:$O87,1)+1,$M77:$Z87,9),""),"")</f>
        <v>#REF!</v>
      </c>
      <c r="AI81" s="528" t="e">
        <f>IF($C$8=$N82,IF(AND($AD$6&gt;=25,$AD$6&lt;=45),VLOOKUP(MATCH($AD$6,$O77:$O87,1)+1,$M77:$Z87,10),""),"")</f>
        <v>#REF!</v>
      </c>
      <c r="AJ81" s="528" t="e">
        <f>IF($C$8=$N82,IF(AND($AD$6&gt;=25,$AD$6&lt;=45),VLOOKUP(MATCH($AD$6,$O77:$O87,1)+1,$M77:$Z87,11),""),"")</f>
        <v>#REF!</v>
      </c>
      <c r="AK81" s="528" t="e">
        <f>IF($C$8=$N82,IF(AND($AD$6&gt;=25,$AD$6&lt;=45),VLOOKUP(MATCH($AD$6,$O77:$O87,1)+1,$M77:$Z87,12),""),"")</f>
        <v>#REF!</v>
      </c>
      <c r="AL81" s="528" t="e">
        <f>IF($C$8=$N82,IF(AND($AD$6&gt;=25,$AD$6&lt;=45),VLOOKUP(MATCH($AD$6,$O77:$O87,1)+1,$M77:$Z87,13),""),"")</f>
        <v>#REF!</v>
      </c>
      <c r="AM81" s="529" t="e">
        <f>IF($C$8=$N82,IF(AND($AD$6&gt;=25,$AD$6&lt;=45),VLOOKUP(MATCH($AD$6,$O77:$O87,1)+1,$M77:$Z87,14),""),"")</f>
        <v>#REF!</v>
      </c>
      <c r="AN81" s="19"/>
      <c r="CX81" s="330"/>
      <c r="CY81" s="367">
        <v>25</v>
      </c>
      <c r="CZ81" s="367">
        <v>6</v>
      </c>
      <c r="DA81" s="367">
        <v>1</v>
      </c>
      <c r="DB81" s="368">
        <v>39</v>
      </c>
      <c r="DC81" s="369">
        <v>6.3</v>
      </c>
      <c r="DD81" s="369">
        <v>28.2</v>
      </c>
      <c r="DE81" s="370">
        <v>6.4</v>
      </c>
      <c r="DF81" s="368">
        <v>-17.3</v>
      </c>
      <c r="DG81" s="369">
        <v>-23.6</v>
      </c>
      <c r="DH81" s="369">
        <v>-12.5</v>
      </c>
      <c r="DI81" s="371">
        <v>-19</v>
      </c>
      <c r="DJ81" s="368">
        <v>-32.299999999999997</v>
      </c>
      <c r="DK81" s="370">
        <v>-27.5</v>
      </c>
    </row>
    <row r="82" spans="1:115" x14ac:dyDescent="0.2">
      <c r="A82" s="52"/>
      <c r="B82" s="53" t="s">
        <v>214</v>
      </c>
      <c r="J82" s="57"/>
      <c r="M82" s="200">
        <v>6</v>
      </c>
      <c r="N82" s="28">
        <v>125</v>
      </c>
      <c r="O82" s="561">
        <v>25</v>
      </c>
      <c r="P82" s="532">
        <v>1</v>
      </c>
      <c r="Q82" s="562">
        <v>31</v>
      </c>
      <c r="R82" s="534">
        <v>5</v>
      </c>
      <c r="S82" s="534">
        <v>22.5</v>
      </c>
      <c r="T82" s="535">
        <v>5.0999999999999996</v>
      </c>
      <c r="U82" s="533">
        <v>-13.8</v>
      </c>
      <c r="V82" s="534">
        <v>-18.8</v>
      </c>
      <c r="W82" s="534">
        <v>-10</v>
      </c>
      <c r="X82" s="536">
        <v>-15.1</v>
      </c>
      <c r="Y82" s="533">
        <v>-25.7</v>
      </c>
      <c r="Z82" s="535">
        <v>-21.9</v>
      </c>
      <c r="AA82" s="201">
        <v>72</v>
      </c>
      <c r="AB82" s="527"/>
      <c r="AC82" s="528" t="e">
        <f>IF($C$8=$N82,IF(AND($AD$6&gt;=25,$AD$6&lt;=45),VLOOKUP(MATCH($AD$6,$O77:$O87,1)+IF($AD$6&lt;25,1,2),$M77:$Z87,3),""),"")</f>
        <v>#REF!</v>
      </c>
      <c r="AD82" s="528" t="e">
        <f>IF($C$8=$N82,IF(AND($AD$6&gt;=25,$AD$6&lt;=45),VLOOKUP(MATCH($AD$6,$O77:$O87,1)+1+IF($AD$6&lt;25,1,2),$M77:$Z87,5),""),"")</f>
        <v>#REF!</v>
      </c>
      <c r="AE82" s="528" t="e">
        <f>IF($C$8=$N82,IF(AND($AD$6&gt;=25,$AD$6&lt;=45),VLOOKUP(MATCH($AD$6,$O77:$O87,1)+1+IF($AD$6&lt;25,1,2),$M77:$Z87,6),""),"")</f>
        <v>#REF!</v>
      </c>
      <c r="AF82" s="528" t="e">
        <f>IF($C$8=$N82,IF(AND($AD$6&gt;=25,$AD$6&lt;=45),VLOOKUP(MATCH($AD$6,$O77:$O87,1)+1+IF($AD$6&lt;25,1,2),$M77:$Z87,7),""),"")</f>
        <v>#REF!</v>
      </c>
      <c r="AG82" s="528" t="e">
        <f>IF($C$8=$N82,IF(AND($AD$6&gt;=25,$AD$6&lt;=45),VLOOKUP(MATCH($AD$6,$O77:$O87,1)+1+IF($AD$6&lt;25,1,2),$M77:$Z87,8),""),"")</f>
        <v>#REF!</v>
      </c>
      <c r="AH82" s="528" t="e">
        <f>IF($C$8=$N82,IF(AND($AD$6&gt;=25,$AD$6&lt;=45),VLOOKUP(MATCH($AD$6,$O77:$O87,1)+1+IF($AD$6&lt;25,1,2),$M77:$Z87,9),""),"")</f>
        <v>#REF!</v>
      </c>
      <c r="AI82" s="528" t="e">
        <f>IF($C$8=$N82,IF(AND($AD$6&gt;=25,$AD$6&lt;=45),VLOOKUP(MATCH($AD$6,$O77:$O87,1)+1+IF($AD$6&lt;25,1,2),$M77:$Z87,10),""),"")</f>
        <v>#REF!</v>
      </c>
      <c r="AJ82" s="528" t="e">
        <f>IF($C$8=$N82,IF(AND($AD$6&gt;=25,$AD$6&lt;=45),VLOOKUP(MATCH($AD$6,$O77:$O87,1)+1+IF($AD$6&lt;25,1,2),$M77:$Z87,11),""),"")</f>
        <v>#REF!</v>
      </c>
      <c r="AK82" s="528" t="e">
        <f>IF($C$8=$N82,IF(AND($AD$6&gt;=25,$AD$6&lt;=45),VLOOKUP(MATCH($AD$6,$O77:$O87,1)+1+IF($AD$6&lt;25,1,2),$M77:$Z87,12),""),"")</f>
        <v>#REF!</v>
      </c>
      <c r="AL82" s="528" t="e">
        <f>IF($C$8=$N82,IF(AND($AD$6&gt;=25,$AD$6&lt;=45),VLOOKUP(MATCH($AD$6,$O77:$O87,1)+1+IF($AD$6&lt;25,1,2),$M77:$Z87,13),""),"")</f>
        <v>#REF!</v>
      </c>
      <c r="AM82" s="529" t="e">
        <f>IF($C$8=$N82,IF(AND($AD$6&gt;=25,$AD$6&lt;=45),VLOOKUP(MATCH($AD$6,$O77:$O87,1)+1+IF($AD$6&lt;25,1,2),$M77:$Z87,14),""),"")</f>
        <v>#REF!</v>
      </c>
      <c r="AN82" s="19"/>
      <c r="CX82" s="330"/>
      <c r="CY82" s="372"/>
      <c r="CZ82" s="372"/>
      <c r="DA82" s="372">
        <v>2</v>
      </c>
      <c r="DB82" s="373" t="s">
        <v>145</v>
      </c>
      <c r="DC82" s="374" t="s">
        <v>145</v>
      </c>
      <c r="DD82" s="374" t="s">
        <v>145</v>
      </c>
      <c r="DE82" s="375" t="s">
        <v>145</v>
      </c>
      <c r="DF82" s="376">
        <v>-6.6</v>
      </c>
      <c r="DG82" s="377">
        <v>-12.8</v>
      </c>
      <c r="DH82" s="377">
        <v>-1.8</v>
      </c>
      <c r="DI82" s="378">
        <v>-8.1999999999999993</v>
      </c>
      <c r="DJ82" s="373" t="s">
        <v>145</v>
      </c>
      <c r="DK82" s="375" t="s">
        <v>145</v>
      </c>
    </row>
    <row r="83" spans="1:115" x14ac:dyDescent="0.2">
      <c r="A83" s="52"/>
      <c r="B83" s="53" t="s">
        <v>215</v>
      </c>
      <c r="J83" s="57"/>
      <c r="M83" s="200">
        <v>7</v>
      </c>
      <c r="N83" s="28"/>
      <c r="O83" s="563"/>
      <c r="P83" s="537">
        <v>2</v>
      </c>
      <c r="Q83" s="564">
        <v>0</v>
      </c>
      <c r="R83" s="539">
        <v>0</v>
      </c>
      <c r="S83" s="539">
        <v>0</v>
      </c>
      <c r="T83" s="540">
        <v>0</v>
      </c>
      <c r="U83" s="538">
        <v>-5.2</v>
      </c>
      <c r="V83" s="539">
        <v>-10.199999999999999</v>
      </c>
      <c r="W83" s="539">
        <v>-1.4</v>
      </c>
      <c r="X83" s="541">
        <v>-6.5</v>
      </c>
      <c r="Y83" s="538">
        <v>0</v>
      </c>
      <c r="Z83" s="540">
        <v>0</v>
      </c>
      <c r="AA83" s="201">
        <v>73</v>
      </c>
      <c r="AB83" s="527"/>
      <c r="AC83" s="528" t="e">
        <f>IF($C$8=$N82,IF(AND($AD$6&gt;=25,$AD$6&lt;=45),$AD$6,""),"")</f>
        <v>#REF!</v>
      </c>
      <c r="AD83" s="528" t="e">
        <f t="shared" ref="AD83:AM83" si="16">IF($C$8=$N82,IF(AND($AD$6&gt;=25,$AD$6&lt;=45),(AD82-AD81)*($AD$6-$AC81)/($AC82-$AC81)+AD81,""),"")</f>
        <v>#REF!</v>
      </c>
      <c r="AE83" s="528" t="e">
        <f t="shared" si="16"/>
        <v>#REF!</v>
      </c>
      <c r="AF83" s="528" t="e">
        <f t="shared" si="16"/>
        <v>#REF!</v>
      </c>
      <c r="AG83" s="528" t="e">
        <f t="shared" si="16"/>
        <v>#REF!</v>
      </c>
      <c r="AH83" s="528" t="e">
        <f t="shared" si="16"/>
        <v>#REF!</v>
      </c>
      <c r="AI83" s="528" t="e">
        <f t="shared" si="16"/>
        <v>#REF!</v>
      </c>
      <c r="AJ83" s="528" t="e">
        <f t="shared" si="16"/>
        <v>#REF!</v>
      </c>
      <c r="AK83" s="528" t="e">
        <f t="shared" si="16"/>
        <v>#REF!</v>
      </c>
      <c r="AL83" s="528" t="e">
        <f t="shared" si="16"/>
        <v>#REF!</v>
      </c>
      <c r="AM83" s="529" t="e">
        <f t="shared" si="16"/>
        <v>#REF!</v>
      </c>
      <c r="AN83" s="19"/>
      <c r="CX83" s="330"/>
      <c r="CY83" s="367" t="s">
        <v>164</v>
      </c>
      <c r="CZ83" s="367" t="s">
        <v>166</v>
      </c>
      <c r="DA83" s="367">
        <v>1</v>
      </c>
      <c r="DB83" s="368">
        <v>35</v>
      </c>
      <c r="DC83" s="369">
        <v>23.9</v>
      </c>
      <c r="DD83" s="369">
        <v>27.8</v>
      </c>
      <c r="DE83" s="370">
        <v>19.100000000000001</v>
      </c>
      <c r="DF83" s="368">
        <v>2.7</v>
      </c>
      <c r="DG83" s="369">
        <v>-21.2</v>
      </c>
      <c r="DH83" s="369">
        <v>0.9</v>
      </c>
      <c r="DI83" s="371">
        <v>-18.2</v>
      </c>
      <c r="DJ83" s="368">
        <v>-12.3</v>
      </c>
      <c r="DK83" s="370">
        <v>-14</v>
      </c>
    </row>
    <row r="84" spans="1:115" x14ac:dyDescent="0.2">
      <c r="A84" s="52"/>
      <c r="B84" s="53" t="s">
        <v>216</v>
      </c>
      <c r="J84" s="57"/>
      <c r="M84" s="200">
        <v>8</v>
      </c>
      <c r="N84" s="28"/>
      <c r="O84" s="561">
        <v>30</v>
      </c>
      <c r="P84" s="532">
        <v>1</v>
      </c>
      <c r="Q84" s="562">
        <v>27.9</v>
      </c>
      <c r="R84" s="534">
        <v>19.100000000000001</v>
      </c>
      <c r="S84" s="534">
        <v>22.1</v>
      </c>
      <c r="T84" s="535">
        <v>15.2</v>
      </c>
      <c r="U84" s="533">
        <v>2.2000000000000002</v>
      </c>
      <c r="V84" s="534">
        <v>-16.899999999999999</v>
      </c>
      <c r="W84" s="534">
        <v>0.8</v>
      </c>
      <c r="X84" s="536">
        <v>-14.5</v>
      </c>
      <c r="Y84" s="533">
        <v>-9.8000000000000007</v>
      </c>
      <c r="Z84" s="535">
        <v>-11.2</v>
      </c>
      <c r="AA84" s="201">
        <v>74</v>
      </c>
      <c r="AB84" s="542"/>
      <c r="AC84" s="530"/>
      <c r="AD84" s="530"/>
      <c r="AE84" s="530"/>
      <c r="AF84" s="530"/>
      <c r="AG84" s="530"/>
      <c r="AH84" s="530"/>
      <c r="AI84" s="530"/>
      <c r="AJ84" s="530"/>
      <c r="AK84" s="530"/>
      <c r="AL84" s="530"/>
      <c r="AM84" s="531"/>
      <c r="AN84" s="233"/>
      <c r="CX84" s="347"/>
      <c r="CY84" s="178"/>
      <c r="CZ84" s="178"/>
      <c r="DA84" s="178">
        <v>2</v>
      </c>
      <c r="DB84" s="388">
        <v>35</v>
      </c>
      <c r="DC84" s="389">
        <v>23.9</v>
      </c>
      <c r="DD84" s="389">
        <v>27.8</v>
      </c>
      <c r="DE84" s="390">
        <v>19.100000000000001</v>
      </c>
      <c r="DF84" s="388">
        <v>13.4</v>
      </c>
      <c r="DG84" s="389">
        <v>-10.5</v>
      </c>
      <c r="DH84" s="389">
        <v>11.7</v>
      </c>
      <c r="DI84" s="391">
        <v>-7.5</v>
      </c>
      <c r="DJ84" s="388">
        <v>-12.3</v>
      </c>
      <c r="DK84" s="390">
        <v>-14</v>
      </c>
    </row>
    <row r="85" spans="1:115" x14ac:dyDescent="0.2">
      <c r="A85" s="52"/>
      <c r="B85" s="53" t="s">
        <v>236</v>
      </c>
      <c r="J85" s="57"/>
      <c r="M85" s="200">
        <v>9</v>
      </c>
      <c r="N85" s="543"/>
      <c r="O85" s="563"/>
      <c r="P85" s="537">
        <v>2</v>
      </c>
      <c r="Q85" s="564">
        <v>27.9</v>
      </c>
      <c r="R85" s="539">
        <v>19.100000000000001</v>
      </c>
      <c r="S85" s="539">
        <v>22.1</v>
      </c>
      <c r="T85" s="540">
        <v>15.2</v>
      </c>
      <c r="U85" s="538">
        <v>10.7</v>
      </c>
      <c r="V85" s="539">
        <v>-8.4</v>
      </c>
      <c r="W85" s="539">
        <v>9.3000000000000007</v>
      </c>
      <c r="X85" s="541">
        <v>-6</v>
      </c>
      <c r="Y85" s="538">
        <v>-9.8000000000000007</v>
      </c>
      <c r="Z85" s="540">
        <v>-11.2</v>
      </c>
      <c r="AA85" s="201">
        <v>75</v>
      </c>
      <c r="AB85" s="542"/>
      <c r="AC85" s="530"/>
      <c r="AD85" s="530"/>
      <c r="AE85" s="530"/>
      <c r="AF85" s="530"/>
      <c r="AG85" s="530"/>
      <c r="AH85" s="530"/>
      <c r="AI85" s="530"/>
      <c r="AJ85" s="530"/>
      <c r="AK85" s="530"/>
      <c r="AL85" s="530"/>
      <c r="AM85" s="531"/>
      <c r="AN85" s="233"/>
      <c r="CX85" s="395"/>
      <c r="CY85" s="358" t="s">
        <v>163</v>
      </c>
      <c r="CZ85" s="358" t="s">
        <v>165</v>
      </c>
      <c r="DA85" s="396">
        <v>1</v>
      </c>
      <c r="DB85" s="397">
        <v>33.4</v>
      </c>
      <c r="DC85" s="398">
        <v>-17.3</v>
      </c>
      <c r="DD85" s="398">
        <v>22.1</v>
      </c>
      <c r="DE85" s="399">
        <v>-10.3</v>
      </c>
      <c r="DF85" s="397">
        <v>-40</v>
      </c>
      <c r="DG85" s="398">
        <v>-22.7</v>
      </c>
      <c r="DH85" s="398">
        <v>-27.9</v>
      </c>
      <c r="DI85" s="400">
        <v>-17.600000000000001</v>
      </c>
      <c r="DJ85" s="397">
        <v>-56.1</v>
      </c>
      <c r="DK85" s="399">
        <v>-43.9</v>
      </c>
    </row>
    <row r="86" spans="1:115" x14ac:dyDescent="0.2">
      <c r="A86" s="52"/>
      <c r="B86" s="53" t="s">
        <v>237</v>
      </c>
      <c r="J86" s="57"/>
      <c r="M86" s="200">
        <v>10</v>
      </c>
      <c r="N86" s="28"/>
      <c r="O86" s="561">
        <v>45</v>
      </c>
      <c r="P86" s="532">
        <v>1</v>
      </c>
      <c r="Q86" s="562">
        <v>27.9</v>
      </c>
      <c r="R86" s="534">
        <v>19.100000000000001</v>
      </c>
      <c r="S86" s="534">
        <v>22.1</v>
      </c>
      <c r="T86" s="535">
        <v>15.2</v>
      </c>
      <c r="U86" s="533">
        <v>2.2000000000000002</v>
      </c>
      <c r="V86" s="534">
        <v>-16.899999999999999</v>
      </c>
      <c r="W86" s="534">
        <v>0.8</v>
      </c>
      <c r="X86" s="536">
        <v>-14.5</v>
      </c>
      <c r="Y86" s="533">
        <v>-9.8000000000000007</v>
      </c>
      <c r="Z86" s="535">
        <v>-11.2</v>
      </c>
      <c r="AA86" s="201">
        <v>76</v>
      </c>
      <c r="AB86" s="542"/>
      <c r="AC86" s="530"/>
      <c r="AD86" s="530"/>
      <c r="AE86" s="530"/>
      <c r="AF86" s="530"/>
      <c r="AG86" s="530"/>
      <c r="AH86" s="530"/>
      <c r="AI86" s="530"/>
      <c r="AJ86" s="530"/>
      <c r="AK86" s="530"/>
      <c r="AL86" s="530"/>
      <c r="AM86" s="531"/>
      <c r="AN86" s="233"/>
      <c r="CX86" s="330"/>
      <c r="CY86" s="358">
        <v>10</v>
      </c>
      <c r="CZ86" s="358">
        <v>2</v>
      </c>
      <c r="DA86" s="358">
        <v>1</v>
      </c>
      <c r="DB86" s="359">
        <v>37.700000000000003</v>
      </c>
      <c r="DC86" s="360">
        <v>-15.6</v>
      </c>
      <c r="DD86" s="360">
        <v>25</v>
      </c>
      <c r="DE86" s="361">
        <v>-9.1</v>
      </c>
      <c r="DF86" s="359">
        <v>-40</v>
      </c>
      <c r="DG86" s="360">
        <v>-24.5</v>
      </c>
      <c r="DH86" s="360">
        <v>-27.9</v>
      </c>
      <c r="DI86" s="362">
        <v>-18.8</v>
      </c>
      <c r="DJ86" s="359">
        <v>-56.1</v>
      </c>
      <c r="DK86" s="361">
        <v>-43.9</v>
      </c>
    </row>
    <row r="87" spans="1:115" x14ac:dyDescent="0.2">
      <c r="A87" s="52"/>
      <c r="B87" s="53" t="s">
        <v>294</v>
      </c>
      <c r="J87" s="57"/>
      <c r="M87" s="200">
        <v>11</v>
      </c>
      <c r="N87" s="27"/>
      <c r="O87" s="565"/>
      <c r="P87" s="544">
        <v>2</v>
      </c>
      <c r="Q87" s="566">
        <v>27.9</v>
      </c>
      <c r="R87" s="546">
        <v>19.100000000000001</v>
      </c>
      <c r="S87" s="546">
        <v>22.1</v>
      </c>
      <c r="T87" s="547">
        <v>15.2</v>
      </c>
      <c r="U87" s="545">
        <v>10.7</v>
      </c>
      <c r="V87" s="546">
        <v>-8.4</v>
      </c>
      <c r="W87" s="546">
        <v>9.3000000000000007</v>
      </c>
      <c r="X87" s="548">
        <v>-6</v>
      </c>
      <c r="Y87" s="545">
        <v>-9.8000000000000007</v>
      </c>
      <c r="Z87" s="547">
        <v>-11.2</v>
      </c>
      <c r="AA87" s="201">
        <v>77</v>
      </c>
      <c r="AB87" s="549"/>
      <c r="AC87" s="550"/>
      <c r="AD87" s="550"/>
      <c r="AE87" s="550"/>
      <c r="AF87" s="550"/>
      <c r="AG87" s="550"/>
      <c r="AH87" s="550"/>
      <c r="AI87" s="550"/>
      <c r="AJ87" s="550"/>
      <c r="AK87" s="550"/>
      <c r="AL87" s="550"/>
      <c r="AM87" s="551"/>
      <c r="AN87" s="233"/>
      <c r="CX87" s="330"/>
      <c r="CY87" s="358">
        <v>15</v>
      </c>
      <c r="CZ87" s="358">
        <v>3</v>
      </c>
      <c r="DA87" s="358">
        <v>1</v>
      </c>
      <c r="DB87" s="359">
        <v>41.8</v>
      </c>
      <c r="DC87" s="360">
        <v>-13.8</v>
      </c>
      <c r="DD87" s="360">
        <v>27.9</v>
      </c>
      <c r="DE87" s="361">
        <v>-7.9</v>
      </c>
      <c r="DF87" s="359">
        <v>-40</v>
      </c>
      <c r="DG87" s="360">
        <v>-26.2</v>
      </c>
      <c r="DH87" s="360">
        <v>-27.9</v>
      </c>
      <c r="DI87" s="362">
        <v>-20</v>
      </c>
      <c r="DJ87" s="359">
        <v>-56.1</v>
      </c>
      <c r="DK87" s="361">
        <v>-43.9</v>
      </c>
    </row>
    <row r="88" spans="1:115" x14ac:dyDescent="0.2">
      <c r="A88" s="52"/>
      <c r="B88" s="53" t="s">
        <v>295</v>
      </c>
      <c r="J88" s="57"/>
      <c r="M88" s="200">
        <v>1</v>
      </c>
      <c r="N88" s="197"/>
      <c r="O88" s="205">
        <v>0</v>
      </c>
      <c r="P88" s="205">
        <v>1</v>
      </c>
      <c r="Q88" s="206">
        <v>26.8</v>
      </c>
      <c r="R88" s="215">
        <v>-13.9</v>
      </c>
      <c r="S88" s="215">
        <v>17.8</v>
      </c>
      <c r="T88" s="216">
        <v>-8.1999999999999993</v>
      </c>
      <c r="U88" s="206">
        <v>-32.200000000000003</v>
      </c>
      <c r="V88" s="215">
        <v>-18.3</v>
      </c>
      <c r="W88" s="215">
        <v>-22.4</v>
      </c>
      <c r="X88" s="217">
        <v>-14.2</v>
      </c>
      <c r="Y88" s="206">
        <v>-45.1</v>
      </c>
      <c r="Z88" s="216">
        <v>-35.299999999999997</v>
      </c>
      <c r="AA88" s="218">
        <v>78</v>
      </c>
      <c r="AB88" s="219"/>
      <c r="AC88" s="220" t="e">
        <f>IF($C$8=$N93,VLOOKUP(MATCH($AD$6,$O88:$O98,1),$M88:$Z98,3),"")</f>
        <v>#REF!</v>
      </c>
      <c r="AD88" s="220" t="e">
        <f>IF($C$8=$N93,VLOOKUP(MATCH($AD$6,$O88:$O98,1),$M88:$Z98,5),"")</f>
        <v>#REF!</v>
      </c>
      <c r="AE88" s="220" t="e">
        <f>IF($C$8=$N93,VLOOKUP(MATCH($AD$6,$O88:$O98,1),$M88:$Z98,6),"")</f>
        <v>#REF!</v>
      </c>
      <c r="AF88" s="220" t="e">
        <f>IF($C$8=$N93,VLOOKUP(MATCH($AD$6,$O88:$O98,1),$M88:$Z98,7),"")</f>
        <v>#REF!</v>
      </c>
      <c r="AG88" s="220" t="e">
        <f>IF($C$8=$N93,VLOOKUP(MATCH($AD$6,$O88:$O98,1),$M88:$Z98,8),"")</f>
        <v>#REF!</v>
      </c>
      <c r="AH88" s="220" t="e">
        <f>IF($C$8=$N93,VLOOKUP(MATCH($AD$6,$O88:$O98,1),$M88:$Z98,9),"")</f>
        <v>#REF!</v>
      </c>
      <c r="AI88" s="220" t="e">
        <f>IF($C$8=$N93,VLOOKUP(MATCH($AD$6,$O88:$O98,1),$M88:$Z98,10),"")</f>
        <v>#REF!</v>
      </c>
      <c r="AJ88" s="220" t="e">
        <f>IF($C$8=$N93,VLOOKUP(MATCH($AD$6,$O88:$O98,1),$M88:$Z98,11),"")</f>
        <v>#REF!</v>
      </c>
      <c r="AK88" s="220" t="e">
        <f>IF($C$8=$N93,VLOOKUP(MATCH($AD$6,$O88:$O98,1),$M88:$Z98,12),"")</f>
        <v>#REF!</v>
      </c>
      <c r="AL88" s="220" t="e">
        <f>IF($C$8=$N93,VLOOKUP(MATCH($AD$6,$O88:$O98,1),$M88:$Z98,13),"")</f>
        <v>#REF!</v>
      </c>
      <c r="AM88" s="221" t="e">
        <f>IF($C$8=$N93,VLOOKUP(MATCH($AD$6,$O88:$O98,1),$M88:$Z98,14),"")</f>
        <v>#REF!</v>
      </c>
      <c r="AN88" s="19"/>
      <c r="CX88" s="330">
        <v>145</v>
      </c>
      <c r="CY88" s="358">
        <v>20</v>
      </c>
      <c r="CZ88" s="358">
        <v>4</v>
      </c>
      <c r="DA88" s="358">
        <v>1</v>
      </c>
      <c r="DB88" s="359">
        <v>46.1</v>
      </c>
      <c r="DC88" s="360">
        <v>-12.2</v>
      </c>
      <c r="DD88" s="360">
        <v>30.8</v>
      </c>
      <c r="DE88" s="361">
        <v>-6.8</v>
      </c>
      <c r="DF88" s="359">
        <v>-40</v>
      </c>
      <c r="DG88" s="360">
        <v>-27.9</v>
      </c>
      <c r="DH88" s="360">
        <v>-27.9</v>
      </c>
      <c r="DI88" s="362">
        <v>-21.1</v>
      </c>
      <c r="DJ88" s="359">
        <v>-56.1</v>
      </c>
      <c r="DK88" s="361">
        <v>-43.9</v>
      </c>
    </row>
    <row r="89" spans="1:115" x14ac:dyDescent="0.2">
      <c r="A89" s="52"/>
      <c r="B89" s="53" t="s">
        <v>296</v>
      </c>
      <c r="J89" s="57"/>
      <c r="M89" s="200">
        <v>2</v>
      </c>
      <c r="N89" s="21"/>
      <c r="O89" s="223">
        <v>5</v>
      </c>
      <c r="P89" s="223">
        <v>1</v>
      </c>
      <c r="Q89" s="211">
        <v>26.8</v>
      </c>
      <c r="R89" s="226">
        <v>-13.9</v>
      </c>
      <c r="S89" s="226">
        <v>17.8</v>
      </c>
      <c r="T89" s="227">
        <v>-8.1999999999999993</v>
      </c>
      <c r="U89" s="211">
        <v>-32.200000000000003</v>
      </c>
      <c r="V89" s="226">
        <v>-18.3</v>
      </c>
      <c r="W89" s="226">
        <v>-22.4</v>
      </c>
      <c r="X89" s="228">
        <v>-14.2</v>
      </c>
      <c r="Y89" s="211">
        <v>-45.1</v>
      </c>
      <c r="Z89" s="227">
        <v>-35.299999999999997</v>
      </c>
      <c r="AA89" s="218">
        <v>79</v>
      </c>
      <c r="AB89" s="229"/>
      <c r="AC89" s="230" t="e">
        <f>IF($C$8=$N93,VLOOKUP(MATCH($AD$6,$O88:$O98,1)+IF($AD$6&lt;25,1,2),$M88:$Z98,3),"")</f>
        <v>#REF!</v>
      </c>
      <c r="AD89" s="230" t="e">
        <f>IF($C$8=$N93,VLOOKUP(MATCH($AD$6,$O88:$O98,1)+IF($AD$6&lt;25,1,2),$M88:$Z98,5),"")</f>
        <v>#REF!</v>
      </c>
      <c r="AE89" s="230" t="e">
        <f>IF($C$8=$N93,VLOOKUP(MATCH($AD$6,$O88:$O98,1)+IF($AD$6&lt;25,1,2),$M88:$Z98,6),"")</f>
        <v>#REF!</v>
      </c>
      <c r="AF89" s="230" t="e">
        <f>IF($C$8=$N93,VLOOKUP(MATCH($AD$6,$O88:$O98,1)+IF($AD$6&lt;25,1,2),$M88:$Z98,7),"")</f>
        <v>#REF!</v>
      </c>
      <c r="AG89" s="230" t="e">
        <f>IF($C$8=$N93,VLOOKUP(MATCH($AD$6,$O88:$O98,1)+IF($AD$6&lt;25,1,2),$M88:$Z98,8),"")</f>
        <v>#REF!</v>
      </c>
      <c r="AH89" s="230" t="e">
        <f>IF($C$8=$N93,VLOOKUP(MATCH($AD$6,$O88:$O98,1)+IF($AD$6&lt;25,1,2),$M88:$Z98,9),"")</f>
        <v>#REF!</v>
      </c>
      <c r="AI89" s="230" t="e">
        <f>IF($C$8=$N93,VLOOKUP(MATCH($AD$6,$O88:$O98,1)+IF($AD$6&lt;25,1,2),$M88:$Z98,10),"")</f>
        <v>#REF!</v>
      </c>
      <c r="AJ89" s="230" t="e">
        <f>IF($C$8=$N93,VLOOKUP(MATCH($AD$6,$O88:$O98,1)+IF($AD$6&lt;25,1,2),$M88:$Z98,11),"")</f>
        <v>#REF!</v>
      </c>
      <c r="AK89" s="230" t="e">
        <f>IF($C$8=$N93,VLOOKUP(MATCH($AD$6,$O88:$O98,1)+IF($AD$6&lt;25,1,2),$M88:$Z98,12),"")</f>
        <v>#REF!</v>
      </c>
      <c r="AL89" s="230" t="e">
        <f>IF($C$8=$N93,VLOOKUP(MATCH($AD$6,$O88:$O98,1)+IF($AD$6&lt;25,1,2),$M88:$Z98,13),"")</f>
        <v>#REF!</v>
      </c>
      <c r="AM89" s="231" t="e">
        <f>IF($C$8=$N93,VLOOKUP(MATCH($AD$6,$O88:$O98,1)+IF($AD$6&lt;25,1,2),$M88:$Z98,14),"")</f>
        <v>#REF!</v>
      </c>
      <c r="AN89" s="19"/>
      <c r="CX89" s="330"/>
      <c r="CY89" s="367">
        <v>25</v>
      </c>
      <c r="CZ89" s="367">
        <v>6</v>
      </c>
      <c r="DA89" s="367">
        <v>1</v>
      </c>
      <c r="DB89" s="368">
        <v>41.8</v>
      </c>
      <c r="DC89" s="369">
        <v>6.8</v>
      </c>
      <c r="DD89" s="369">
        <v>30.3</v>
      </c>
      <c r="DE89" s="370">
        <v>6.9</v>
      </c>
      <c r="DF89" s="368">
        <v>-18.600000000000001</v>
      </c>
      <c r="DG89" s="369">
        <v>-25.3</v>
      </c>
      <c r="DH89" s="369">
        <v>-13.4</v>
      </c>
      <c r="DI89" s="371">
        <v>-20.399999999999999</v>
      </c>
      <c r="DJ89" s="368">
        <v>-34.6</v>
      </c>
      <c r="DK89" s="370">
        <v>-29.5</v>
      </c>
    </row>
    <row r="90" spans="1:115" x14ac:dyDescent="0.2">
      <c r="A90" s="52"/>
      <c r="B90" s="53" t="s">
        <v>238</v>
      </c>
      <c r="J90" s="57"/>
      <c r="M90" s="200">
        <v>3</v>
      </c>
      <c r="N90" s="21"/>
      <c r="O90" s="223">
        <v>10</v>
      </c>
      <c r="P90" s="223">
        <v>1</v>
      </c>
      <c r="Q90" s="211">
        <v>30.2</v>
      </c>
      <c r="R90" s="226">
        <v>-12.5</v>
      </c>
      <c r="S90" s="226">
        <v>20.100000000000001</v>
      </c>
      <c r="T90" s="227">
        <v>-7.3</v>
      </c>
      <c r="U90" s="211">
        <v>-32.200000000000003</v>
      </c>
      <c r="V90" s="226">
        <v>-19.7</v>
      </c>
      <c r="W90" s="226">
        <v>-22.4</v>
      </c>
      <c r="X90" s="228">
        <v>-15.1</v>
      </c>
      <c r="Y90" s="211">
        <v>-45.1</v>
      </c>
      <c r="Z90" s="227">
        <v>-35.299999999999997</v>
      </c>
      <c r="AA90" s="218">
        <v>80</v>
      </c>
      <c r="AB90" s="229" t="e">
        <f>IF($C$8=$N93,MATCH($AD$6,$O88:$O98,1),0)</f>
        <v>#REF!</v>
      </c>
      <c r="AC90" s="230" t="e">
        <f>IF($C$8=$N93,$AD$6,"")</f>
        <v>#REF!</v>
      </c>
      <c r="AD90" s="230" t="e">
        <f t="shared" ref="AD90:AM90" si="17">IF($C$8=$N93,(AD89-AD88)*($AD$6-$AC88)/($AC89-$AC88)+AD88,"")</f>
        <v>#REF!</v>
      </c>
      <c r="AE90" s="230" t="e">
        <f t="shared" si="17"/>
        <v>#REF!</v>
      </c>
      <c r="AF90" s="230" t="e">
        <f t="shared" si="17"/>
        <v>#REF!</v>
      </c>
      <c r="AG90" s="230" t="e">
        <f t="shared" si="17"/>
        <v>#REF!</v>
      </c>
      <c r="AH90" s="230" t="e">
        <f t="shared" si="17"/>
        <v>#REF!</v>
      </c>
      <c r="AI90" s="230" t="e">
        <f t="shared" si="17"/>
        <v>#REF!</v>
      </c>
      <c r="AJ90" s="230" t="e">
        <f t="shared" si="17"/>
        <v>#REF!</v>
      </c>
      <c r="AK90" s="230" t="e">
        <f t="shared" si="17"/>
        <v>#REF!</v>
      </c>
      <c r="AL90" s="230" t="e">
        <f t="shared" si="17"/>
        <v>#REF!</v>
      </c>
      <c r="AM90" s="231" t="e">
        <f t="shared" si="17"/>
        <v>#REF!</v>
      </c>
      <c r="AN90" s="19"/>
      <c r="CX90" s="330"/>
      <c r="CY90" s="372"/>
      <c r="CZ90" s="372"/>
      <c r="DA90" s="372">
        <v>2</v>
      </c>
      <c r="DB90" s="373" t="s">
        <v>145</v>
      </c>
      <c r="DC90" s="374" t="s">
        <v>145</v>
      </c>
      <c r="DD90" s="374" t="s">
        <v>145</v>
      </c>
      <c r="DE90" s="375" t="s">
        <v>145</v>
      </c>
      <c r="DF90" s="376">
        <v>-7.1</v>
      </c>
      <c r="DG90" s="377">
        <v>-13.7</v>
      </c>
      <c r="DH90" s="377">
        <v>-1.9</v>
      </c>
      <c r="DI90" s="378">
        <v>-8.8000000000000007</v>
      </c>
      <c r="DJ90" s="373" t="s">
        <v>145</v>
      </c>
      <c r="DK90" s="375" t="s">
        <v>145</v>
      </c>
    </row>
    <row r="91" spans="1:115" x14ac:dyDescent="0.2">
      <c r="A91" s="52"/>
      <c r="B91" s="53" t="s">
        <v>297</v>
      </c>
      <c r="J91" s="57"/>
      <c r="M91" s="200">
        <v>4</v>
      </c>
      <c r="N91" s="21"/>
      <c r="O91" s="223">
        <v>15</v>
      </c>
      <c r="P91" s="223">
        <v>1</v>
      </c>
      <c r="Q91" s="211">
        <v>33.700000000000003</v>
      </c>
      <c r="R91" s="226">
        <v>-11.2</v>
      </c>
      <c r="S91" s="226">
        <v>22.4</v>
      </c>
      <c r="T91" s="227">
        <v>-6.4</v>
      </c>
      <c r="U91" s="211">
        <v>-32.200000000000003</v>
      </c>
      <c r="V91" s="226">
        <v>-21</v>
      </c>
      <c r="W91" s="226">
        <v>-22.4</v>
      </c>
      <c r="X91" s="228">
        <v>-16.100000000000001</v>
      </c>
      <c r="Y91" s="211">
        <v>-45.1</v>
      </c>
      <c r="Z91" s="227">
        <v>-35.299999999999997</v>
      </c>
      <c r="AA91" s="218">
        <v>81</v>
      </c>
      <c r="AB91" s="229"/>
      <c r="AC91" s="230"/>
      <c r="AD91" s="552"/>
      <c r="AE91" s="552"/>
      <c r="AF91" s="552"/>
      <c r="AG91" s="552"/>
      <c r="AH91" s="552"/>
      <c r="AI91" s="552"/>
      <c r="AJ91" s="552"/>
      <c r="AK91" s="552"/>
      <c r="AL91" s="552"/>
      <c r="AM91" s="553"/>
      <c r="AN91" s="233"/>
      <c r="CX91" s="330"/>
      <c r="CY91" s="367" t="s">
        <v>164</v>
      </c>
      <c r="CZ91" s="367" t="s">
        <v>166</v>
      </c>
      <c r="DA91" s="367">
        <v>1</v>
      </c>
      <c r="DB91" s="368">
        <v>37.5</v>
      </c>
      <c r="DC91" s="369">
        <v>25.6</v>
      </c>
      <c r="DD91" s="369">
        <v>29.8</v>
      </c>
      <c r="DE91" s="370">
        <v>20.5</v>
      </c>
      <c r="DF91" s="368">
        <v>2.9</v>
      </c>
      <c r="DG91" s="369">
        <v>-22.7</v>
      </c>
      <c r="DH91" s="369">
        <v>1</v>
      </c>
      <c r="DI91" s="371">
        <v>-19.5</v>
      </c>
      <c r="DJ91" s="368">
        <v>-13.2</v>
      </c>
      <c r="DK91" s="370">
        <v>-15</v>
      </c>
    </row>
    <row r="92" spans="1:115" x14ac:dyDescent="0.2">
      <c r="A92" s="52"/>
      <c r="B92" s="53" t="s">
        <v>228</v>
      </c>
      <c r="J92" s="57"/>
      <c r="M92" s="200">
        <v>5</v>
      </c>
      <c r="N92" s="21"/>
      <c r="O92" s="223">
        <v>20</v>
      </c>
      <c r="P92" s="223">
        <v>1</v>
      </c>
      <c r="Q92" s="211">
        <v>37.1</v>
      </c>
      <c r="R92" s="226">
        <v>-9.8000000000000007</v>
      </c>
      <c r="S92" s="226">
        <v>24.7</v>
      </c>
      <c r="T92" s="227">
        <v>-5.4</v>
      </c>
      <c r="U92" s="211">
        <v>-32.200000000000003</v>
      </c>
      <c r="V92" s="226">
        <v>-22.4</v>
      </c>
      <c r="W92" s="226">
        <v>-22.4</v>
      </c>
      <c r="X92" s="228">
        <v>-17</v>
      </c>
      <c r="Y92" s="211">
        <v>-45.1</v>
      </c>
      <c r="Z92" s="227">
        <v>-35.299999999999997</v>
      </c>
      <c r="AA92" s="218">
        <v>82</v>
      </c>
      <c r="AB92" s="229"/>
      <c r="AC92" s="230" t="e">
        <f>IF($C$8=$N93,IF(AND($AD$6&gt;=25,$AD$6&lt;=45),VLOOKUP(MATCH($AD$6,$O88:$O98,1),$M88:$Z98,3),""),"")</f>
        <v>#REF!</v>
      </c>
      <c r="AD92" s="230" t="e">
        <f>IF($C$8=$N93,IF(AND($AD$6&gt;=25,$AD$6&lt;=45),VLOOKUP(MATCH($AD$6,$O88:$O98,1)+1,$M88:$Z98,5),""),"")</f>
        <v>#REF!</v>
      </c>
      <c r="AE92" s="230" t="e">
        <f>IF($C$8=$N93,IF(AND($AD$6&gt;=25,$AD$6&lt;=45),VLOOKUP(MATCH($AD$6,$O88:$O98,1)+1,$M88:$Z98,6),""),"")</f>
        <v>#REF!</v>
      </c>
      <c r="AF92" s="230" t="e">
        <f>IF($C$8=$N93,IF(AND($AD$6&gt;=25,$AD$6&lt;=45),VLOOKUP(MATCH($AD$6,$O88:$O98,1)+1,$M88:$Z98,7),""),"")</f>
        <v>#REF!</v>
      </c>
      <c r="AG92" s="230" t="e">
        <f>IF($C$8=$N93,IF(AND($AD$6&gt;=25,$AD$6&lt;=45),VLOOKUP(MATCH($AD$6,$O88:$O98,1)+1,$M88:$Z98,8),""),"")</f>
        <v>#REF!</v>
      </c>
      <c r="AH92" s="230" t="e">
        <f>IF($C$8=$N93,IF(AND($AD$6&gt;=25,$AD$6&lt;=45),VLOOKUP(MATCH($AD$6,$O88:$O98,1)+1,$M88:$Z98,9),""),"")</f>
        <v>#REF!</v>
      </c>
      <c r="AI92" s="230" t="e">
        <f>IF($C$8=$N93,IF(AND($AD$6&gt;=25,$AD$6&lt;=45),VLOOKUP(MATCH($AD$6,$O88:$O98,1)+1,$M88:$Z98,10),""),"")</f>
        <v>#REF!</v>
      </c>
      <c r="AJ92" s="230" t="e">
        <f>IF($C$8=$N93,IF(AND($AD$6&gt;=25,$AD$6&lt;=45),VLOOKUP(MATCH($AD$6,$O88:$O98,1)+1,$M88:$Z98,11),""),"")</f>
        <v>#REF!</v>
      </c>
      <c r="AK92" s="230" t="e">
        <f>IF($C$8=$N93,IF(AND($AD$6&gt;=25,$AD$6&lt;=45),VLOOKUP(MATCH($AD$6,$O88:$O98,1)+1,$M88:$Z98,12),""),"")</f>
        <v>#REF!</v>
      </c>
      <c r="AL92" s="230" t="e">
        <f>IF($C$8=$N93,IF(AND($AD$6&gt;=25,$AD$6&lt;=45),VLOOKUP(MATCH($AD$6,$O88:$O98,1)+1,$M88:$Z98,13),""),"")</f>
        <v>#REF!</v>
      </c>
      <c r="AM92" s="231" t="e">
        <f>IF($C$8=$N93,IF(AND($AD$6&gt;=25,$AD$6&lt;=45),VLOOKUP(MATCH($AD$6,$O88:$O98,1)+1,$M88:$Z98,14),""),"")</f>
        <v>#REF!</v>
      </c>
      <c r="AN92" s="19"/>
      <c r="CX92" s="347"/>
      <c r="CY92" s="178"/>
      <c r="CZ92" s="178"/>
      <c r="DA92" s="178">
        <v>2</v>
      </c>
      <c r="DB92" s="388">
        <v>35.700000000000003</v>
      </c>
      <c r="DC92" s="389">
        <v>25.6</v>
      </c>
      <c r="DD92" s="389">
        <v>29.8</v>
      </c>
      <c r="DE92" s="390">
        <v>20.5</v>
      </c>
      <c r="DF92" s="388">
        <v>14.4</v>
      </c>
      <c r="DG92" s="389">
        <v>-11.3</v>
      </c>
      <c r="DH92" s="389">
        <v>12.6</v>
      </c>
      <c r="DI92" s="391">
        <v>-8</v>
      </c>
      <c r="DJ92" s="388">
        <v>-13.2</v>
      </c>
      <c r="DK92" s="390">
        <v>-15</v>
      </c>
    </row>
    <row r="93" spans="1:115" x14ac:dyDescent="0.2">
      <c r="A93" s="56" t="str">
        <f>"2."</f>
        <v>2.</v>
      </c>
      <c r="B93" s="53" t="s">
        <v>230</v>
      </c>
      <c r="J93" s="57"/>
      <c r="M93" s="200">
        <v>6</v>
      </c>
      <c r="N93" s="21">
        <v>130</v>
      </c>
      <c r="O93" s="235">
        <v>25</v>
      </c>
      <c r="P93" s="235">
        <v>1</v>
      </c>
      <c r="Q93" s="236">
        <v>33.6</v>
      </c>
      <c r="R93" s="237">
        <v>5.4</v>
      </c>
      <c r="S93" s="237">
        <v>24.3</v>
      </c>
      <c r="T93" s="238">
        <v>5.5</v>
      </c>
      <c r="U93" s="236">
        <v>-14.9</v>
      </c>
      <c r="V93" s="237">
        <v>-20.399999999999999</v>
      </c>
      <c r="W93" s="237">
        <v>-10.8</v>
      </c>
      <c r="X93" s="239">
        <v>-16.399999999999999</v>
      </c>
      <c r="Y93" s="236">
        <v>-27.8</v>
      </c>
      <c r="Z93" s="238">
        <v>-23.7</v>
      </c>
      <c r="AA93" s="218">
        <v>83</v>
      </c>
      <c r="AB93" s="229"/>
      <c r="AC93" s="230" t="e">
        <f>IF($C$8=$N93,IF(AND($AD$6&gt;=25,$AD$6&lt;=45),VLOOKUP(MATCH($AD$6,$O88:$O98,1)+IF($AD$6&lt;25,1,2),$M88:$Z98,3),""),"")</f>
        <v>#REF!</v>
      </c>
      <c r="AD93" s="230" t="e">
        <f>IF($C$8=$N93,IF(AND($AD$6&gt;=25,$AD$6&lt;=45),VLOOKUP(MATCH($AD$6,$O88:$O98,1)+1+IF($AD$6&lt;25,1,2),$M88:$Z98,5),""),"")</f>
        <v>#REF!</v>
      </c>
      <c r="AE93" s="230" t="e">
        <f>IF($C$8=$N93,IF(AND($AD$6&gt;=25,$AD$6&lt;=45),VLOOKUP(MATCH($AD$6,$O88:$O98,1)+1+IF($AD$6&lt;25,1,2),$M88:$Z98,6),""),"")</f>
        <v>#REF!</v>
      </c>
      <c r="AF93" s="230" t="e">
        <f>IF($C$8=$N93,IF(AND($AD$6&gt;=25,$AD$6&lt;=45),VLOOKUP(MATCH($AD$6,$O88:$O98,1)+1+IF($AD$6&lt;25,1,2),$M88:$Z98,7),""),"")</f>
        <v>#REF!</v>
      </c>
      <c r="AG93" s="230" t="e">
        <f>IF($C$8=$N93,IF(AND($AD$6&gt;=25,$AD$6&lt;=45),VLOOKUP(MATCH($AD$6,$O88:$O98,1)+1+IF($AD$6&lt;25,1,2),$M88:$Z98,8),""),"")</f>
        <v>#REF!</v>
      </c>
      <c r="AH93" s="230" t="e">
        <f>IF($C$8=$N93,IF(AND($AD$6&gt;=25,$AD$6&lt;=45),VLOOKUP(MATCH($AD$6,$O88:$O98,1)+1+IF($AD$6&lt;25,1,2),$M88:$Z98,9),""),"")</f>
        <v>#REF!</v>
      </c>
      <c r="AI93" s="230" t="e">
        <f>IF($C$8=$N93,IF(AND($AD$6&gt;=25,$AD$6&lt;=45),VLOOKUP(MATCH($AD$6,$O88:$O98,1)+1+IF($AD$6&lt;25,1,2),$M88:$Z98,10),""),"")</f>
        <v>#REF!</v>
      </c>
      <c r="AJ93" s="230" t="e">
        <f>IF($C$8=$N93,IF(AND($AD$6&gt;=25,$AD$6&lt;=45),VLOOKUP(MATCH($AD$6,$O88:$O98,1)+1+IF($AD$6&lt;25,1,2),$M88:$Z98,11),""),"")</f>
        <v>#REF!</v>
      </c>
      <c r="AK93" s="230" t="e">
        <f>IF($C$8=$N93,IF(AND($AD$6&gt;=25,$AD$6&lt;=45),VLOOKUP(MATCH($AD$6,$O88:$O98,1)+1+IF($AD$6&lt;25,1,2),$M88:$Z98,12),""),"")</f>
        <v>#REF!</v>
      </c>
      <c r="AL93" s="230" t="e">
        <f>IF($C$8=$N93,IF(AND($AD$6&gt;=25,$AD$6&lt;=45),VLOOKUP(MATCH($AD$6,$O88:$O98,1)+1+IF($AD$6&lt;25,1,2),$M88:$Z98,13),""),"")</f>
        <v>#REF!</v>
      </c>
      <c r="AM93" s="231" t="e">
        <f>IF($C$8=$N93,IF(AND($AD$6&gt;=25,$AD$6&lt;=45),VLOOKUP(MATCH($AD$6,$O88:$O98,1)+1+IF($AD$6&lt;25,1,2),$M88:$Z98,14),""),"")</f>
        <v>#REF!</v>
      </c>
      <c r="AN93" s="19"/>
      <c r="CX93" s="395"/>
      <c r="CY93" s="358" t="s">
        <v>163</v>
      </c>
      <c r="CZ93" s="358" t="s">
        <v>165</v>
      </c>
      <c r="DA93" s="396">
        <v>1</v>
      </c>
      <c r="DB93" s="397">
        <v>35.700000000000003</v>
      </c>
      <c r="DC93" s="398">
        <v>-18.5</v>
      </c>
      <c r="DD93" s="398">
        <v>23.7</v>
      </c>
      <c r="DE93" s="399">
        <v>-11</v>
      </c>
      <c r="DF93" s="397">
        <v>-42.9</v>
      </c>
      <c r="DG93" s="398">
        <v>-24.4</v>
      </c>
      <c r="DH93" s="398">
        <v>-29.8</v>
      </c>
      <c r="DI93" s="400">
        <v>-18.899999999999999</v>
      </c>
      <c r="DJ93" s="397">
        <v>-60</v>
      </c>
      <c r="DK93" s="399">
        <v>-47</v>
      </c>
    </row>
    <row r="94" spans="1:115" x14ac:dyDescent="0.2">
      <c r="A94" s="52"/>
      <c r="B94" s="53" t="s">
        <v>239</v>
      </c>
      <c r="J94" s="57"/>
      <c r="M94" s="200">
        <v>7</v>
      </c>
      <c r="N94" s="21"/>
      <c r="O94" s="210"/>
      <c r="P94" s="210">
        <v>2</v>
      </c>
      <c r="Q94" s="240">
        <v>0</v>
      </c>
      <c r="R94" s="241">
        <v>0</v>
      </c>
      <c r="S94" s="241">
        <v>0</v>
      </c>
      <c r="T94" s="242">
        <v>0</v>
      </c>
      <c r="U94" s="240">
        <v>-5.7</v>
      </c>
      <c r="V94" s="241">
        <v>-11.1</v>
      </c>
      <c r="W94" s="241">
        <v>-1.5</v>
      </c>
      <c r="X94" s="243">
        <v>-7.1</v>
      </c>
      <c r="Y94" s="240">
        <v>0</v>
      </c>
      <c r="Z94" s="242">
        <v>0</v>
      </c>
      <c r="AA94" s="218">
        <v>84</v>
      </c>
      <c r="AB94" s="229"/>
      <c r="AC94" s="230" t="e">
        <f>IF($C$8=$N93,IF(AND($AD$6&gt;=25,$AD$6&lt;=45),$AD$6,""),"")</f>
        <v>#REF!</v>
      </c>
      <c r="AD94" s="230" t="e">
        <f t="shared" ref="AD94:AM94" si="18">IF($C$8=$N93,IF(AND($AD$6&gt;=25,$AD$6&lt;=45),(AD93-AD92)*($AD$6-$AC92)/($AC93-$AC92)+AD92,""),"")</f>
        <v>#REF!</v>
      </c>
      <c r="AE94" s="230" t="e">
        <f t="shared" si="18"/>
        <v>#REF!</v>
      </c>
      <c r="AF94" s="230" t="e">
        <f t="shared" si="18"/>
        <v>#REF!</v>
      </c>
      <c r="AG94" s="230" t="e">
        <f t="shared" si="18"/>
        <v>#REF!</v>
      </c>
      <c r="AH94" s="230" t="e">
        <f t="shared" si="18"/>
        <v>#REF!</v>
      </c>
      <c r="AI94" s="230" t="e">
        <f t="shared" si="18"/>
        <v>#REF!</v>
      </c>
      <c r="AJ94" s="230" t="e">
        <f t="shared" si="18"/>
        <v>#REF!</v>
      </c>
      <c r="AK94" s="230" t="e">
        <f t="shared" si="18"/>
        <v>#REF!</v>
      </c>
      <c r="AL94" s="230" t="e">
        <f t="shared" si="18"/>
        <v>#REF!</v>
      </c>
      <c r="AM94" s="231" t="e">
        <f t="shared" si="18"/>
        <v>#REF!</v>
      </c>
      <c r="AN94" s="19"/>
      <c r="CX94" s="330"/>
      <c r="CY94" s="358">
        <v>10</v>
      </c>
      <c r="CZ94" s="358">
        <v>2</v>
      </c>
      <c r="DA94" s="358">
        <v>1</v>
      </c>
      <c r="DB94" s="359">
        <v>40.200000000000003</v>
      </c>
      <c r="DC94" s="360">
        <v>-16.7</v>
      </c>
      <c r="DD94" s="360">
        <v>26.8</v>
      </c>
      <c r="DE94" s="361">
        <v>-9.6999999999999993</v>
      </c>
      <c r="DF94" s="359">
        <v>-42.9</v>
      </c>
      <c r="DG94" s="360">
        <v>-26.2</v>
      </c>
      <c r="DH94" s="360">
        <v>-29.8</v>
      </c>
      <c r="DI94" s="362">
        <v>-20.100000000000001</v>
      </c>
      <c r="DJ94" s="359">
        <v>-60</v>
      </c>
      <c r="DK94" s="361">
        <v>-47</v>
      </c>
    </row>
    <row r="95" spans="1:115" x14ac:dyDescent="0.2">
      <c r="A95" s="52"/>
      <c r="B95" s="53" t="s">
        <v>240</v>
      </c>
      <c r="J95" s="57"/>
      <c r="M95" s="200">
        <v>8</v>
      </c>
      <c r="N95" s="21"/>
      <c r="O95" s="235">
        <v>30</v>
      </c>
      <c r="P95" s="235">
        <v>1</v>
      </c>
      <c r="Q95" s="236">
        <v>30.1</v>
      </c>
      <c r="R95" s="237">
        <v>20.6</v>
      </c>
      <c r="S95" s="237">
        <v>24</v>
      </c>
      <c r="T95" s="238">
        <v>16.5</v>
      </c>
      <c r="U95" s="236">
        <v>2.2999999999999998</v>
      </c>
      <c r="V95" s="237">
        <v>-18.3</v>
      </c>
      <c r="W95" s="237">
        <v>0.8</v>
      </c>
      <c r="X95" s="239">
        <v>-15.7</v>
      </c>
      <c r="Y95" s="236">
        <v>-10.6</v>
      </c>
      <c r="Z95" s="238">
        <v>-12.1</v>
      </c>
      <c r="AA95" s="218">
        <v>85</v>
      </c>
      <c r="AB95" s="270"/>
      <c r="AC95" s="552"/>
      <c r="AD95" s="552"/>
      <c r="AE95" s="552"/>
      <c r="AF95" s="552"/>
      <c r="AG95" s="552"/>
      <c r="AH95" s="552"/>
      <c r="AI95" s="552"/>
      <c r="AJ95" s="552"/>
      <c r="AK95" s="552"/>
      <c r="AL95" s="552"/>
      <c r="AM95" s="553"/>
      <c r="AN95" s="233"/>
      <c r="CX95" s="330"/>
      <c r="CY95" s="358">
        <v>15</v>
      </c>
      <c r="CZ95" s="358">
        <v>3</v>
      </c>
      <c r="DA95" s="358">
        <v>1</v>
      </c>
      <c r="DB95" s="359">
        <v>44.8</v>
      </c>
      <c r="DC95" s="360">
        <v>-14.9</v>
      </c>
      <c r="DD95" s="360">
        <v>29.8</v>
      </c>
      <c r="DE95" s="361">
        <v>-8.5</v>
      </c>
      <c r="DF95" s="359">
        <v>-42.9</v>
      </c>
      <c r="DG95" s="360">
        <v>-28</v>
      </c>
      <c r="DH95" s="360">
        <v>-29.8</v>
      </c>
      <c r="DI95" s="362">
        <v>-21.4</v>
      </c>
      <c r="DJ95" s="359">
        <v>-60</v>
      </c>
      <c r="DK95" s="361">
        <v>-47</v>
      </c>
    </row>
    <row r="96" spans="1:115" x14ac:dyDescent="0.2">
      <c r="A96" s="52"/>
      <c r="B96" s="53" t="s">
        <v>241</v>
      </c>
      <c r="J96" s="57"/>
      <c r="M96" s="200">
        <v>9</v>
      </c>
      <c r="N96" s="249"/>
      <c r="O96" s="210"/>
      <c r="P96" s="210">
        <v>2</v>
      </c>
      <c r="Q96" s="240">
        <v>30.1</v>
      </c>
      <c r="R96" s="241">
        <v>20.6</v>
      </c>
      <c r="S96" s="241">
        <v>24</v>
      </c>
      <c r="T96" s="242">
        <v>16.5</v>
      </c>
      <c r="U96" s="240">
        <v>11.6</v>
      </c>
      <c r="V96" s="241">
        <v>-9</v>
      </c>
      <c r="W96" s="241">
        <v>10</v>
      </c>
      <c r="X96" s="243">
        <v>-6.4</v>
      </c>
      <c r="Y96" s="240">
        <v>-10.6</v>
      </c>
      <c r="Z96" s="242">
        <v>-12.1</v>
      </c>
      <c r="AA96" s="218">
        <v>86</v>
      </c>
      <c r="AB96" s="270"/>
      <c r="AC96" s="552"/>
      <c r="AD96" s="552"/>
      <c r="AE96" s="552"/>
      <c r="AF96" s="552"/>
      <c r="AG96" s="552"/>
      <c r="AH96" s="552"/>
      <c r="AI96" s="552"/>
      <c r="AJ96" s="552"/>
      <c r="AK96" s="552"/>
      <c r="AL96" s="552"/>
      <c r="AM96" s="553"/>
      <c r="AN96" s="233"/>
      <c r="CX96" s="330">
        <v>150</v>
      </c>
      <c r="CY96" s="358">
        <v>20</v>
      </c>
      <c r="CZ96" s="358">
        <v>4</v>
      </c>
      <c r="DA96" s="358">
        <v>1</v>
      </c>
      <c r="DB96" s="359">
        <v>49.4</v>
      </c>
      <c r="DC96" s="360">
        <v>-13</v>
      </c>
      <c r="DD96" s="360">
        <v>32.9</v>
      </c>
      <c r="DE96" s="361">
        <v>-7.2</v>
      </c>
      <c r="DF96" s="359">
        <v>-42.9</v>
      </c>
      <c r="DG96" s="360">
        <v>-29.8</v>
      </c>
      <c r="DH96" s="360">
        <v>-29.8</v>
      </c>
      <c r="DI96" s="362">
        <v>-22.6</v>
      </c>
      <c r="DJ96" s="359">
        <v>-60</v>
      </c>
      <c r="DK96" s="361">
        <v>-47</v>
      </c>
    </row>
    <row r="97" spans="1:115" x14ac:dyDescent="0.2">
      <c r="A97" s="52"/>
      <c r="B97" s="53" t="s">
        <v>242</v>
      </c>
      <c r="J97" s="57"/>
      <c r="M97" s="200">
        <v>10</v>
      </c>
      <c r="N97" s="21"/>
      <c r="O97" s="235">
        <v>45</v>
      </c>
      <c r="P97" s="235">
        <v>1</v>
      </c>
      <c r="Q97" s="236">
        <v>30.1</v>
      </c>
      <c r="R97" s="237">
        <v>20.6</v>
      </c>
      <c r="S97" s="237">
        <v>24</v>
      </c>
      <c r="T97" s="238">
        <v>16.5</v>
      </c>
      <c r="U97" s="236">
        <v>2.2999999999999998</v>
      </c>
      <c r="V97" s="237">
        <v>-18.3</v>
      </c>
      <c r="W97" s="237">
        <v>0.8</v>
      </c>
      <c r="X97" s="239">
        <v>-15.7</v>
      </c>
      <c r="Y97" s="236">
        <v>-10.6</v>
      </c>
      <c r="Z97" s="238">
        <v>-12.1</v>
      </c>
      <c r="AA97" s="218">
        <v>87</v>
      </c>
      <c r="AB97" s="270"/>
      <c r="AC97" s="552"/>
      <c r="AD97" s="552"/>
      <c r="AE97" s="552"/>
      <c r="AF97" s="552"/>
      <c r="AG97" s="552"/>
      <c r="AH97" s="552"/>
      <c r="AI97" s="552"/>
      <c r="AJ97" s="552"/>
      <c r="AK97" s="552"/>
      <c r="AL97" s="552"/>
      <c r="AM97" s="553"/>
      <c r="AN97" s="233"/>
      <c r="CX97" s="330"/>
      <c r="CY97" s="367">
        <v>25</v>
      </c>
      <c r="CZ97" s="367">
        <v>6</v>
      </c>
      <c r="DA97" s="367">
        <v>1</v>
      </c>
      <c r="DB97" s="368">
        <v>44.8</v>
      </c>
      <c r="DC97" s="369">
        <v>7.2</v>
      </c>
      <c r="DD97" s="369">
        <v>32.4</v>
      </c>
      <c r="DE97" s="370">
        <v>7.4</v>
      </c>
      <c r="DF97" s="368">
        <v>-19.899999999999999</v>
      </c>
      <c r="DG97" s="369">
        <v>-27.1</v>
      </c>
      <c r="DH97" s="369">
        <v>-14.4</v>
      </c>
      <c r="DI97" s="371">
        <v>-21.6</v>
      </c>
      <c r="DJ97" s="368">
        <v>-37</v>
      </c>
      <c r="DK97" s="370">
        <v>-31.6</v>
      </c>
    </row>
    <row r="98" spans="1:115" x14ac:dyDescent="0.2">
      <c r="A98" s="52"/>
      <c r="B98" s="53" t="s">
        <v>243</v>
      </c>
      <c r="J98" s="57"/>
      <c r="M98" s="200">
        <v>11</v>
      </c>
      <c r="N98" s="22"/>
      <c r="O98" s="250"/>
      <c r="P98" s="250">
        <v>2</v>
      </c>
      <c r="Q98" s="251">
        <v>30.1</v>
      </c>
      <c r="R98" s="252">
        <v>20.6</v>
      </c>
      <c r="S98" s="252">
        <v>24</v>
      </c>
      <c r="T98" s="253">
        <v>16.5</v>
      </c>
      <c r="U98" s="251">
        <v>11.6</v>
      </c>
      <c r="V98" s="252">
        <v>-9</v>
      </c>
      <c r="W98" s="252">
        <v>10</v>
      </c>
      <c r="X98" s="254">
        <v>-6.4</v>
      </c>
      <c r="Y98" s="251">
        <v>-10.6</v>
      </c>
      <c r="Z98" s="253">
        <v>-12.1</v>
      </c>
      <c r="AA98" s="218">
        <v>88</v>
      </c>
      <c r="AB98" s="271"/>
      <c r="AC98" s="555"/>
      <c r="AD98" s="555"/>
      <c r="AE98" s="555"/>
      <c r="AF98" s="555"/>
      <c r="AG98" s="555"/>
      <c r="AH98" s="555"/>
      <c r="AI98" s="555"/>
      <c r="AJ98" s="555"/>
      <c r="AK98" s="555"/>
      <c r="AL98" s="555"/>
      <c r="AM98" s="556"/>
      <c r="AN98" s="233"/>
      <c r="CX98" s="330"/>
      <c r="CY98" s="372"/>
      <c r="CZ98" s="372"/>
      <c r="DA98" s="372">
        <v>2</v>
      </c>
      <c r="DB98" s="373" t="s">
        <v>145</v>
      </c>
      <c r="DC98" s="374" t="s">
        <v>145</v>
      </c>
      <c r="DD98" s="374" t="s">
        <v>145</v>
      </c>
      <c r="DE98" s="375" t="s">
        <v>145</v>
      </c>
      <c r="DF98" s="376">
        <v>-7.5</v>
      </c>
      <c r="DG98" s="377">
        <v>-14.7</v>
      </c>
      <c r="DH98" s="377">
        <v>-2.1</v>
      </c>
      <c r="DI98" s="378">
        <v>-9.4</v>
      </c>
      <c r="DJ98" s="373" t="s">
        <v>145</v>
      </c>
      <c r="DK98" s="375" t="s">
        <v>145</v>
      </c>
    </row>
    <row r="99" spans="1:115" x14ac:dyDescent="0.2">
      <c r="A99" s="52"/>
      <c r="B99" s="53" t="s">
        <v>229</v>
      </c>
      <c r="J99" s="57"/>
      <c r="M99" s="200">
        <v>1</v>
      </c>
      <c r="N99" s="197"/>
      <c r="O99" s="205">
        <v>0</v>
      </c>
      <c r="P99" s="205">
        <v>1</v>
      </c>
      <c r="Q99" s="206">
        <v>31.1</v>
      </c>
      <c r="R99" s="215">
        <v>-16.100000000000001</v>
      </c>
      <c r="S99" s="215">
        <v>20.6</v>
      </c>
      <c r="T99" s="216">
        <v>-9.6</v>
      </c>
      <c r="U99" s="206">
        <v>-37.299999999999997</v>
      </c>
      <c r="V99" s="215">
        <v>-21.2</v>
      </c>
      <c r="W99" s="215">
        <v>-26</v>
      </c>
      <c r="X99" s="217">
        <v>-16.399999999999999</v>
      </c>
      <c r="Y99" s="206">
        <v>-52.3</v>
      </c>
      <c r="Z99" s="216">
        <v>-40.9</v>
      </c>
      <c r="AA99" s="218">
        <v>89</v>
      </c>
      <c r="AB99" s="219"/>
      <c r="AC99" s="220" t="e">
        <f>IF($C$8=$N104,VLOOKUP(MATCH($AD$6,$O99:$O109,1),$M99:$Z109,3),"")</f>
        <v>#REF!</v>
      </c>
      <c r="AD99" s="220" t="e">
        <f>IF($C$8=$N104,VLOOKUP(MATCH($AD$6,$O99:$O109,1),$M99:$Z109,5),"")</f>
        <v>#REF!</v>
      </c>
      <c r="AE99" s="220" t="e">
        <f>IF($C$8=$N104,VLOOKUP(MATCH($AD$6,$O99:$O109,1),$M99:$Z109,6),"")</f>
        <v>#REF!</v>
      </c>
      <c r="AF99" s="220" t="e">
        <f>IF($C$8=$N104,VLOOKUP(MATCH($AD$6,$O99:$O109,1),$M99:$Z109,7),"")</f>
        <v>#REF!</v>
      </c>
      <c r="AG99" s="220" t="e">
        <f>IF($C$8=$N104,VLOOKUP(MATCH($AD$6,$O99:$O109,1),$M99:$Z109,8),"")</f>
        <v>#REF!</v>
      </c>
      <c r="AH99" s="220" t="e">
        <f>IF($C$8=$N104,VLOOKUP(MATCH($AD$6,$O99:$O109,1),$M99:$Z109,9),"")</f>
        <v>#REF!</v>
      </c>
      <c r="AI99" s="220" t="e">
        <f>IF($C$8=$N104,VLOOKUP(MATCH($AD$6,$O99:$O109,1),$M99:$Z109,10),"")</f>
        <v>#REF!</v>
      </c>
      <c r="AJ99" s="220" t="e">
        <f>IF($C$8=$N104,VLOOKUP(MATCH($AD$6,$O99:$O109,1),$M99:$Z109,11),"")</f>
        <v>#REF!</v>
      </c>
      <c r="AK99" s="220" t="e">
        <f>IF($C$8=$N104,VLOOKUP(MATCH($AD$6,$O99:$O109,1),$M99:$Z109,12),"")</f>
        <v>#REF!</v>
      </c>
      <c r="AL99" s="220" t="e">
        <f>IF($C$8=$N104,VLOOKUP(MATCH($AD$6,$O99:$O109,1),$M99:$Z109,13),"")</f>
        <v>#REF!</v>
      </c>
      <c r="AM99" s="221" t="e">
        <f>IF($C$8=$N104,VLOOKUP(MATCH($AD$6,$O99:$O109,1),$M99:$Z109,14),"")</f>
        <v>#REF!</v>
      </c>
      <c r="AN99" s="19"/>
      <c r="CX99" s="330"/>
      <c r="CY99" s="367" t="s">
        <v>164</v>
      </c>
      <c r="CZ99" s="367" t="s">
        <v>166</v>
      </c>
      <c r="DA99" s="367">
        <v>1</v>
      </c>
      <c r="DB99" s="368">
        <v>40.1</v>
      </c>
      <c r="DC99" s="369">
        <v>27.4</v>
      </c>
      <c r="DD99" s="369">
        <v>31.9</v>
      </c>
      <c r="DE99" s="370">
        <v>22</v>
      </c>
      <c r="DF99" s="368">
        <v>3.1</v>
      </c>
      <c r="DG99" s="369">
        <v>-24.4</v>
      </c>
      <c r="DH99" s="369">
        <v>1</v>
      </c>
      <c r="DI99" s="371">
        <v>-20.9</v>
      </c>
      <c r="DJ99" s="368">
        <v>-14.1</v>
      </c>
      <c r="DK99" s="370">
        <v>-16.100000000000001</v>
      </c>
    </row>
    <row r="100" spans="1:115" x14ac:dyDescent="0.2">
      <c r="A100" s="52"/>
      <c r="B100" s="53" t="s">
        <v>298</v>
      </c>
      <c r="J100" s="57"/>
      <c r="M100" s="200">
        <v>2</v>
      </c>
      <c r="N100" s="21"/>
      <c r="O100" s="223">
        <v>5</v>
      </c>
      <c r="P100" s="223">
        <v>1</v>
      </c>
      <c r="Q100" s="211">
        <v>31.1</v>
      </c>
      <c r="R100" s="226">
        <v>-16.100000000000001</v>
      </c>
      <c r="S100" s="226">
        <v>20.6</v>
      </c>
      <c r="T100" s="227">
        <v>-9.6</v>
      </c>
      <c r="U100" s="211">
        <v>-37.299999999999997</v>
      </c>
      <c r="V100" s="226">
        <v>-21.2</v>
      </c>
      <c r="W100" s="226">
        <v>-26</v>
      </c>
      <c r="X100" s="228">
        <v>-16.399999999999999</v>
      </c>
      <c r="Y100" s="211">
        <v>-52.3</v>
      </c>
      <c r="Z100" s="227">
        <v>-40.9</v>
      </c>
      <c r="AA100" s="218">
        <v>90</v>
      </c>
      <c r="AB100" s="229"/>
      <c r="AC100" s="230" t="e">
        <f>IF($C$8=$N104,VLOOKUP(MATCH($AD$6,$O99:$O109,1)+IF($AD$6&lt;25,1,2),$M99:$Z109,3),"")</f>
        <v>#REF!</v>
      </c>
      <c r="AD100" s="230" t="e">
        <f>IF($C$8=$N104,VLOOKUP(MATCH($AD$6,$O99:$O109,1)+IF($AD$6&lt;25,1,2),$M99:$Z109,5),"")</f>
        <v>#REF!</v>
      </c>
      <c r="AE100" s="230" t="e">
        <f>IF($C$8=$N104,VLOOKUP(MATCH($AD$6,$O99:$O109,1)+IF($AD$6&lt;25,1,2),$M99:$Z109,6),"")</f>
        <v>#REF!</v>
      </c>
      <c r="AF100" s="230" t="e">
        <f>IF($C$8=$N104,VLOOKUP(MATCH($AD$6,$O99:$O109,1)+IF($AD$6&lt;25,1,2),$M99:$Z109,7),"")</f>
        <v>#REF!</v>
      </c>
      <c r="AG100" s="230" t="e">
        <f>IF($C$8=$N104,VLOOKUP(MATCH($AD$6,$O99:$O109,1)+IF($AD$6&lt;25,1,2),$M99:$Z109,8),"")</f>
        <v>#REF!</v>
      </c>
      <c r="AH100" s="230" t="e">
        <f>IF($C$8=$N104,VLOOKUP(MATCH($AD$6,$O99:$O109,1)+IF($AD$6&lt;25,1,2),$M99:$Z109,9),"")</f>
        <v>#REF!</v>
      </c>
      <c r="AI100" s="230" t="e">
        <f>IF($C$8=$N104,VLOOKUP(MATCH($AD$6,$O99:$O109,1)+IF($AD$6&lt;25,1,2),$M99:$Z109,10),"")</f>
        <v>#REF!</v>
      </c>
      <c r="AJ100" s="230" t="e">
        <f>IF($C$8=$N104,VLOOKUP(MATCH($AD$6,$O99:$O109,1)+IF($AD$6&lt;25,1,2),$M99:$Z109,11),"")</f>
        <v>#REF!</v>
      </c>
      <c r="AK100" s="230" t="e">
        <f>IF($C$8=$N104,VLOOKUP(MATCH($AD$6,$O99:$O109,1)+IF($AD$6&lt;25,1,2),$M99:$Z109,12),"")</f>
        <v>#REF!</v>
      </c>
      <c r="AL100" s="230" t="e">
        <f>IF($C$8=$N104,VLOOKUP(MATCH($AD$6,$O99:$O109,1)+IF($AD$6&lt;25,1,2),$M99:$Z109,13),"")</f>
        <v>#REF!</v>
      </c>
      <c r="AM100" s="231" t="e">
        <f>IF($C$8=$N104,VLOOKUP(MATCH($AD$6,$O99:$O109,1)+IF($AD$6&lt;25,1,2),$M99:$Z109,14),"")</f>
        <v>#REF!</v>
      </c>
      <c r="AN100" s="19"/>
      <c r="CX100" s="347"/>
      <c r="CY100" s="178"/>
      <c r="CZ100" s="178"/>
      <c r="DA100" s="178">
        <v>2</v>
      </c>
      <c r="DB100" s="388">
        <v>40.1</v>
      </c>
      <c r="DC100" s="389">
        <v>27.4</v>
      </c>
      <c r="DD100" s="389">
        <v>31.9</v>
      </c>
      <c r="DE100" s="390">
        <v>22</v>
      </c>
      <c r="DF100" s="388">
        <v>15.4</v>
      </c>
      <c r="DG100" s="389">
        <v>-12</v>
      </c>
      <c r="DH100" s="389">
        <v>13.4</v>
      </c>
      <c r="DI100" s="391">
        <v>-8.6</v>
      </c>
      <c r="DJ100" s="388">
        <v>-14.1</v>
      </c>
      <c r="DK100" s="390">
        <v>-16.100000000000001</v>
      </c>
    </row>
    <row r="101" spans="1:115" x14ac:dyDescent="0.2">
      <c r="A101" s="56" t="str">
        <f>"3."</f>
        <v>3.</v>
      </c>
      <c r="B101" s="53" t="s">
        <v>244</v>
      </c>
      <c r="J101" s="57"/>
      <c r="M101" s="200">
        <v>3</v>
      </c>
      <c r="N101" s="21"/>
      <c r="O101" s="223">
        <v>10</v>
      </c>
      <c r="P101" s="223">
        <v>1</v>
      </c>
      <c r="Q101" s="211">
        <v>35.1</v>
      </c>
      <c r="R101" s="226">
        <v>-14.5</v>
      </c>
      <c r="S101" s="226">
        <v>23.3</v>
      </c>
      <c r="T101" s="227">
        <v>-8.5</v>
      </c>
      <c r="U101" s="211">
        <v>-37.299999999999997</v>
      </c>
      <c r="V101" s="226">
        <v>-22.8</v>
      </c>
      <c r="W101" s="226">
        <v>-26</v>
      </c>
      <c r="X101" s="228">
        <v>-17.5</v>
      </c>
      <c r="Y101" s="211">
        <v>-52.3</v>
      </c>
      <c r="Z101" s="227">
        <v>-40.9</v>
      </c>
      <c r="AA101" s="218">
        <v>91</v>
      </c>
      <c r="AB101" s="229" t="e">
        <f>IF($C$8=$N104,MATCH($AD$6,$O99:$O109,1),0)</f>
        <v>#REF!</v>
      </c>
      <c r="AC101" s="230" t="e">
        <f>IF($C$8=$N104,$AD$6,"")</f>
        <v>#REF!</v>
      </c>
      <c r="AD101" s="230" t="e">
        <f t="shared" ref="AD101:AM101" si="19">IF($C$8=$N104,(AD100-AD99)*($AD$6-$AC99)/($AC100-$AC99)+AD99,"")</f>
        <v>#REF!</v>
      </c>
      <c r="AE101" s="230" t="e">
        <f t="shared" si="19"/>
        <v>#REF!</v>
      </c>
      <c r="AF101" s="230" t="e">
        <f t="shared" si="19"/>
        <v>#REF!</v>
      </c>
      <c r="AG101" s="230" t="e">
        <f t="shared" si="19"/>
        <v>#REF!</v>
      </c>
      <c r="AH101" s="230" t="e">
        <f t="shared" si="19"/>
        <v>#REF!</v>
      </c>
      <c r="AI101" s="230" t="e">
        <f t="shared" si="19"/>
        <v>#REF!</v>
      </c>
      <c r="AJ101" s="230" t="e">
        <f t="shared" si="19"/>
        <v>#REF!</v>
      </c>
      <c r="AK101" s="230" t="e">
        <f t="shared" si="19"/>
        <v>#REF!</v>
      </c>
      <c r="AL101" s="230" t="e">
        <f t="shared" si="19"/>
        <v>#REF!</v>
      </c>
      <c r="AM101" s="231" t="e">
        <f t="shared" si="19"/>
        <v>#REF!</v>
      </c>
      <c r="AN101" s="19"/>
      <c r="CX101" s="395"/>
      <c r="CY101" s="358" t="s">
        <v>163</v>
      </c>
      <c r="CZ101" s="358" t="s">
        <v>165</v>
      </c>
      <c r="DA101" s="396">
        <v>1</v>
      </c>
      <c r="DB101" s="397">
        <v>45.8</v>
      </c>
      <c r="DC101" s="398">
        <v>-23.8</v>
      </c>
      <c r="DD101" s="398">
        <v>30.4</v>
      </c>
      <c r="DE101" s="399">
        <v>-14.1</v>
      </c>
      <c r="DF101" s="397">
        <v>-55.1</v>
      </c>
      <c r="DG101" s="398">
        <v>-31.3</v>
      </c>
      <c r="DH101" s="398">
        <v>-38.299999999999997</v>
      </c>
      <c r="DI101" s="400">
        <v>-24.2</v>
      </c>
      <c r="DJ101" s="397">
        <v>-77.099999999999994</v>
      </c>
      <c r="DK101" s="399">
        <v>-60.4</v>
      </c>
    </row>
    <row r="102" spans="1:115" x14ac:dyDescent="0.2">
      <c r="A102" s="56" t="str">
        <f>"4."</f>
        <v>4.</v>
      </c>
      <c r="B102" s="53" t="s">
        <v>247</v>
      </c>
      <c r="J102" s="57"/>
      <c r="M102" s="200">
        <v>4</v>
      </c>
      <c r="N102" s="21"/>
      <c r="O102" s="223">
        <v>15</v>
      </c>
      <c r="P102" s="223">
        <v>1</v>
      </c>
      <c r="Q102" s="211">
        <v>39</v>
      </c>
      <c r="R102" s="226">
        <v>-12.9</v>
      </c>
      <c r="S102" s="226">
        <v>26</v>
      </c>
      <c r="T102" s="227">
        <v>-7.4</v>
      </c>
      <c r="U102" s="211">
        <v>-37.299999999999997</v>
      </c>
      <c r="V102" s="226">
        <v>-24.4</v>
      </c>
      <c r="W102" s="226">
        <v>-26</v>
      </c>
      <c r="X102" s="228">
        <v>-18.600000000000001</v>
      </c>
      <c r="Y102" s="211">
        <v>-52.3</v>
      </c>
      <c r="Z102" s="227">
        <v>-40.9</v>
      </c>
      <c r="AA102" s="218">
        <v>92</v>
      </c>
      <c r="AB102" s="229"/>
      <c r="AC102" s="230"/>
      <c r="AD102" s="552"/>
      <c r="AE102" s="552"/>
      <c r="AF102" s="552"/>
      <c r="AG102" s="552"/>
      <c r="AH102" s="552"/>
      <c r="AI102" s="552"/>
      <c r="AJ102" s="552"/>
      <c r="AK102" s="552"/>
      <c r="AL102" s="552"/>
      <c r="AM102" s="553"/>
      <c r="AN102" s="233"/>
      <c r="CX102" s="330"/>
      <c r="CY102" s="358">
        <v>10</v>
      </c>
      <c r="CZ102" s="358">
        <v>2</v>
      </c>
      <c r="DA102" s="358">
        <v>1</v>
      </c>
      <c r="DB102" s="359">
        <v>51.7</v>
      </c>
      <c r="DC102" s="360">
        <v>-21.4</v>
      </c>
      <c r="DD102" s="360">
        <v>34.4</v>
      </c>
      <c r="DE102" s="361">
        <v>-12.5</v>
      </c>
      <c r="DF102" s="359">
        <v>-55.1</v>
      </c>
      <c r="DG102" s="360">
        <v>-33.6</v>
      </c>
      <c r="DH102" s="360">
        <v>-38.299999999999997</v>
      </c>
      <c r="DI102" s="362">
        <v>-25.8</v>
      </c>
      <c r="DJ102" s="359">
        <v>-77.099999999999994</v>
      </c>
      <c r="DK102" s="361">
        <v>-60.4</v>
      </c>
    </row>
    <row r="103" spans="1:115" x14ac:dyDescent="0.2">
      <c r="A103" s="56" t="str">
        <f>"5."</f>
        <v>5.</v>
      </c>
      <c r="B103" s="53" t="s">
        <v>248</v>
      </c>
      <c r="J103" s="57"/>
      <c r="M103" s="200">
        <v>5</v>
      </c>
      <c r="N103" s="21"/>
      <c r="O103" s="223">
        <v>20</v>
      </c>
      <c r="P103" s="223">
        <v>1</v>
      </c>
      <c r="Q103" s="211">
        <v>43</v>
      </c>
      <c r="R103" s="226">
        <v>-11.4</v>
      </c>
      <c r="S103" s="226">
        <v>28.7</v>
      </c>
      <c r="T103" s="227">
        <v>-6.3</v>
      </c>
      <c r="U103" s="211">
        <v>-37.299999999999997</v>
      </c>
      <c r="V103" s="226">
        <v>-26</v>
      </c>
      <c r="W103" s="226">
        <v>-26</v>
      </c>
      <c r="X103" s="228">
        <v>-19.7</v>
      </c>
      <c r="Y103" s="211">
        <v>-52.3</v>
      </c>
      <c r="Z103" s="227">
        <v>-40.9</v>
      </c>
      <c r="AA103" s="218">
        <v>92</v>
      </c>
      <c r="AB103" s="229"/>
      <c r="AC103" s="230" t="e">
        <f>IF($C$8=$N104,IF(AND($AD$6&gt;=25,$AD$6&lt;=45),VLOOKUP(MATCH($AD$6,$O99:$O109,1),$M99:$Z109,3),""),"")</f>
        <v>#REF!</v>
      </c>
      <c r="AD103" s="230" t="e">
        <f>IF($C$8=$N104,IF(AND($AD$6&gt;=25,$AD$6&lt;=45),VLOOKUP(MATCH($AD$6,$O99:$O109,1)+1,$M99:$Z109,5),""),"")</f>
        <v>#REF!</v>
      </c>
      <c r="AE103" s="230" t="e">
        <f>IF($C$8=$N104,IF(AND($AD$6&gt;=25,$AD$6&lt;=45),VLOOKUP(MATCH($AD$6,$O99:$O109,1)+1,$M99:$Z109,6),""),"")</f>
        <v>#REF!</v>
      </c>
      <c r="AF103" s="230" t="e">
        <f>IF($C$8=$N104,IF(AND($AD$6&gt;=25,$AD$6&lt;=45),VLOOKUP(MATCH($AD$6,$O99:$O109,1)+1,$M99:$Z109,7),""),"")</f>
        <v>#REF!</v>
      </c>
      <c r="AG103" s="230" t="e">
        <f>IF($C$8=$N104,IF(AND($AD$6&gt;=25,$AD$6&lt;=45),VLOOKUP(MATCH($AD$6,$O99:$O109,1)+1,$M99:$Z109,8),""),"")</f>
        <v>#REF!</v>
      </c>
      <c r="AH103" s="230" t="e">
        <f>IF($C$8=$N104,IF(AND($AD$6&gt;=25,$AD$6&lt;=45),VLOOKUP(MATCH($AD$6,$O99:$O109,1)+1,$M99:$Z109,9),""),"")</f>
        <v>#REF!</v>
      </c>
      <c r="AI103" s="230" t="e">
        <f>IF($C$8=$N104,IF(AND($AD$6&gt;=25,$AD$6&lt;=45),VLOOKUP(MATCH($AD$6,$O99:$O109,1)+1,$M99:$Z109,10),""),"")</f>
        <v>#REF!</v>
      </c>
      <c r="AJ103" s="230" t="e">
        <f>IF($C$8=$N104,IF(AND($AD$6&gt;=25,$AD$6&lt;=45),VLOOKUP(MATCH($AD$6,$O99:$O109,1)+1,$M99:$Z109,11),""),"")</f>
        <v>#REF!</v>
      </c>
      <c r="AK103" s="230" t="e">
        <f>IF($C$8=$N104,IF(AND($AD$6&gt;=25,$AD$6&lt;=45),VLOOKUP(MATCH($AD$6,$O99:$O109,1)+1,$M99:$Z109,12),""),"")</f>
        <v>#REF!</v>
      </c>
      <c r="AL103" s="230" t="e">
        <f>IF($C$8=$N104,IF(AND($AD$6&gt;=25,$AD$6&lt;=45),VLOOKUP(MATCH($AD$6,$O99:$O109,1)+1,$M99:$Z109,13),""),"")</f>
        <v>#REF!</v>
      </c>
      <c r="AM103" s="231" t="e">
        <f>IF($C$8=$N104,IF(AND($AD$6&gt;=25,$AD$6&lt;=45),VLOOKUP(MATCH($AD$6,$O99:$O109,1)+1,$M99:$Z109,14),""),"")</f>
        <v>#REF!</v>
      </c>
      <c r="AN103" s="19"/>
      <c r="CX103" s="330"/>
      <c r="CY103" s="358">
        <v>15</v>
      </c>
      <c r="CZ103" s="358">
        <v>3</v>
      </c>
      <c r="DA103" s="358">
        <v>1</v>
      </c>
      <c r="DB103" s="359">
        <v>57.6</v>
      </c>
      <c r="DC103" s="360">
        <v>-19.100000000000001</v>
      </c>
      <c r="DD103" s="360">
        <v>38.299999999999997</v>
      </c>
      <c r="DE103" s="361">
        <v>-10.9</v>
      </c>
      <c r="DF103" s="359">
        <v>-55.1</v>
      </c>
      <c r="DG103" s="360">
        <v>-36</v>
      </c>
      <c r="DH103" s="360">
        <v>-38.299999999999997</v>
      </c>
      <c r="DI103" s="362">
        <v>-27.5</v>
      </c>
      <c r="DJ103" s="359">
        <v>-77.099999999999994</v>
      </c>
      <c r="DK103" s="361">
        <v>-60.4</v>
      </c>
    </row>
    <row r="104" spans="1:115" x14ac:dyDescent="0.2">
      <c r="A104" s="56" t="str">
        <f>"6."</f>
        <v>6.</v>
      </c>
      <c r="B104" s="53" t="s">
        <v>249</v>
      </c>
      <c r="J104" s="57"/>
      <c r="M104" s="200">
        <v>6</v>
      </c>
      <c r="N104" s="21">
        <v>140</v>
      </c>
      <c r="O104" s="235">
        <v>25</v>
      </c>
      <c r="P104" s="235">
        <v>1</v>
      </c>
      <c r="Q104" s="236">
        <v>39</v>
      </c>
      <c r="R104" s="237">
        <v>6.3</v>
      </c>
      <c r="S104" s="237">
        <v>28.2</v>
      </c>
      <c r="T104" s="238">
        <v>6.4</v>
      </c>
      <c r="U104" s="236">
        <v>-17.3</v>
      </c>
      <c r="V104" s="237">
        <v>-23.6</v>
      </c>
      <c r="W104" s="237">
        <v>-12.5</v>
      </c>
      <c r="X104" s="239">
        <v>-19</v>
      </c>
      <c r="Y104" s="236">
        <v>-32.299999999999997</v>
      </c>
      <c r="Z104" s="238">
        <v>-27.5</v>
      </c>
      <c r="AA104" s="218">
        <v>94</v>
      </c>
      <c r="AB104" s="229"/>
      <c r="AC104" s="230" t="e">
        <f>IF($C$8=$N104,IF(AND($AD$6&gt;=25,$AD$6&lt;=45),VLOOKUP(MATCH($AD$6,$O99:$O109,1)+IF($AD$6&lt;25,1,2),$M99:$Z109,3),""),"")</f>
        <v>#REF!</v>
      </c>
      <c r="AD104" s="230" t="e">
        <f>IF($C$8=$N104,IF(AND($AD$6&gt;=25,$AD$6&lt;=45),VLOOKUP(MATCH($AD$6,$O99:$O109,1)+1+IF($AD$6&lt;25,1,2),$M99:$Z109,5),""),"")</f>
        <v>#REF!</v>
      </c>
      <c r="AE104" s="230" t="e">
        <f>IF($C$8=$N104,IF(AND($AD$6&gt;=25,$AD$6&lt;=45),VLOOKUP(MATCH($AD$6,$O99:$O109,1)+1+IF($AD$6&lt;25,1,2),$M99:$Z109,6),""),"")</f>
        <v>#REF!</v>
      </c>
      <c r="AF104" s="230" t="e">
        <f>IF($C$8=$N104,IF(AND($AD$6&gt;=25,$AD$6&lt;=45),VLOOKUP(MATCH($AD$6,$O99:$O109,1)+1+IF($AD$6&lt;25,1,2),$M99:$Z109,7),""),"")</f>
        <v>#REF!</v>
      </c>
      <c r="AG104" s="230" t="e">
        <f>IF($C$8=$N104,IF(AND($AD$6&gt;=25,$AD$6&lt;=45),VLOOKUP(MATCH($AD$6,$O99:$O109,1)+1+IF($AD$6&lt;25,1,2),$M99:$Z109,8),""),"")</f>
        <v>#REF!</v>
      </c>
      <c r="AH104" s="230" t="e">
        <f>IF($C$8=$N104,IF(AND($AD$6&gt;=25,$AD$6&lt;=45),VLOOKUP(MATCH($AD$6,$O99:$O109,1)+1+IF($AD$6&lt;25,1,2),$M99:$Z109,9),""),"")</f>
        <v>#REF!</v>
      </c>
      <c r="AI104" s="230" t="e">
        <f>IF($C$8=$N104,IF(AND($AD$6&gt;=25,$AD$6&lt;=45),VLOOKUP(MATCH($AD$6,$O99:$O109,1)+1+IF($AD$6&lt;25,1,2),$M99:$Z109,10),""),"")</f>
        <v>#REF!</v>
      </c>
      <c r="AJ104" s="230" t="e">
        <f>IF($C$8=$N104,IF(AND($AD$6&gt;=25,$AD$6&lt;=45),VLOOKUP(MATCH($AD$6,$O99:$O109,1)+1+IF($AD$6&lt;25,1,2),$M99:$Z109,11),""),"")</f>
        <v>#REF!</v>
      </c>
      <c r="AK104" s="230" t="e">
        <f>IF($C$8=$N104,IF(AND($AD$6&gt;=25,$AD$6&lt;=45),VLOOKUP(MATCH($AD$6,$O99:$O109,1)+1+IF($AD$6&lt;25,1,2),$M99:$Z109,12),""),"")</f>
        <v>#REF!</v>
      </c>
      <c r="AL104" s="230" t="e">
        <f>IF($C$8=$N104,IF(AND($AD$6&gt;=25,$AD$6&lt;=45),VLOOKUP(MATCH($AD$6,$O99:$O109,1)+1+IF($AD$6&lt;25,1,2),$M99:$Z109,13),""),"")</f>
        <v>#REF!</v>
      </c>
      <c r="AM104" s="231" t="e">
        <f>IF($C$8=$N104,IF(AND($AD$6&gt;=25,$AD$6&lt;=45),VLOOKUP(MATCH($AD$6,$O99:$O109,1)+1+IF($AD$6&lt;25,1,2),$M99:$Z109,14),""),"")</f>
        <v>#REF!</v>
      </c>
      <c r="AN104" s="19"/>
      <c r="CX104" s="330">
        <v>170</v>
      </c>
      <c r="CY104" s="358">
        <v>20</v>
      </c>
      <c r="CZ104" s="358">
        <v>4</v>
      </c>
      <c r="DA104" s="358">
        <v>1</v>
      </c>
      <c r="DB104" s="359">
        <v>63.4</v>
      </c>
      <c r="DC104" s="360">
        <v>-16.7</v>
      </c>
      <c r="DD104" s="360">
        <v>42.3</v>
      </c>
      <c r="DE104" s="361">
        <v>-9.3000000000000007</v>
      </c>
      <c r="DF104" s="359">
        <v>-55.1</v>
      </c>
      <c r="DG104" s="360">
        <v>-38.299999999999997</v>
      </c>
      <c r="DH104" s="360">
        <v>-38.299999999999997</v>
      </c>
      <c r="DI104" s="362">
        <v>-29.1</v>
      </c>
      <c r="DJ104" s="359">
        <v>-77.099999999999994</v>
      </c>
      <c r="DK104" s="361">
        <v>-60.4</v>
      </c>
    </row>
    <row r="105" spans="1:115" x14ac:dyDescent="0.2">
      <c r="A105" s="56" t="str">
        <f>"7."</f>
        <v>7.</v>
      </c>
      <c r="B105" t="s">
        <v>250</v>
      </c>
      <c r="J105" s="57"/>
      <c r="M105" s="200">
        <v>7</v>
      </c>
      <c r="N105" s="21"/>
      <c r="O105" s="210"/>
      <c r="P105" s="210">
        <v>2</v>
      </c>
      <c r="Q105" s="240">
        <v>0</v>
      </c>
      <c r="R105" s="241">
        <v>0</v>
      </c>
      <c r="S105" s="241">
        <v>0</v>
      </c>
      <c r="T105" s="242">
        <v>0</v>
      </c>
      <c r="U105" s="240">
        <v>-6.6</v>
      </c>
      <c r="V105" s="241">
        <v>-12.8</v>
      </c>
      <c r="W105" s="241">
        <v>-1.8</v>
      </c>
      <c r="X105" s="243">
        <v>-8.1999999999999993</v>
      </c>
      <c r="Y105" s="240">
        <v>0</v>
      </c>
      <c r="Z105" s="242">
        <v>0</v>
      </c>
      <c r="AA105" s="218">
        <v>95</v>
      </c>
      <c r="AB105" s="229"/>
      <c r="AC105" s="230" t="e">
        <f>IF($C$8=$N104,IF(AND($AD$6&gt;=25,$AD$6&lt;=45),$AD$6,""),"")</f>
        <v>#REF!</v>
      </c>
      <c r="AD105" s="230" t="e">
        <f t="shared" ref="AD105:AM105" si="20">IF($C$8=$N104,IF(AND($AD$6&gt;=25,$AD$6&lt;=45),(AD104-AD103)*($AD$6-$AC103)/($AC104-$AC103)+AD103,""),"")</f>
        <v>#REF!</v>
      </c>
      <c r="AE105" s="230" t="e">
        <f t="shared" si="20"/>
        <v>#REF!</v>
      </c>
      <c r="AF105" s="230" t="e">
        <f t="shared" si="20"/>
        <v>#REF!</v>
      </c>
      <c r="AG105" s="230" t="e">
        <f t="shared" si="20"/>
        <v>#REF!</v>
      </c>
      <c r="AH105" s="230" t="e">
        <f t="shared" si="20"/>
        <v>#REF!</v>
      </c>
      <c r="AI105" s="230" t="e">
        <f t="shared" si="20"/>
        <v>#REF!</v>
      </c>
      <c r="AJ105" s="230" t="e">
        <f t="shared" si="20"/>
        <v>#REF!</v>
      </c>
      <c r="AK105" s="230" t="e">
        <f t="shared" si="20"/>
        <v>#REF!</v>
      </c>
      <c r="AL105" s="230" t="e">
        <f t="shared" si="20"/>
        <v>#REF!</v>
      </c>
      <c r="AM105" s="231" t="e">
        <f t="shared" si="20"/>
        <v>#REF!</v>
      </c>
      <c r="AN105" s="19"/>
      <c r="CX105" s="330"/>
      <c r="CY105" s="367">
        <v>25</v>
      </c>
      <c r="CZ105" s="367">
        <v>6</v>
      </c>
      <c r="DA105" s="367">
        <v>1</v>
      </c>
      <c r="DB105" s="368">
        <v>57.5</v>
      </c>
      <c r="DC105" s="369">
        <v>9.3000000000000007</v>
      </c>
      <c r="DD105" s="369">
        <v>41.6</v>
      </c>
      <c r="DE105" s="370">
        <v>9.5</v>
      </c>
      <c r="DF105" s="368">
        <v>-25.6</v>
      </c>
      <c r="DG105" s="369">
        <v>-34.799999999999997</v>
      </c>
      <c r="DH105" s="369">
        <v>-18.5</v>
      </c>
      <c r="DI105" s="371">
        <v>-28</v>
      </c>
      <c r="DJ105" s="368">
        <v>-47.6</v>
      </c>
      <c r="DK105" s="370">
        <v>-40.5</v>
      </c>
    </row>
    <row r="106" spans="1:115" x14ac:dyDescent="0.2">
      <c r="A106" s="56" t="str">
        <f>"8."</f>
        <v>8.</v>
      </c>
      <c r="B106" t="s">
        <v>251</v>
      </c>
      <c r="J106" s="57"/>
      <c r="M106" s="200">
        <v>8</v>
      </c>
      <c r="N106" s="21"/>
      <c r="O106" s="235">
        <v>30</v>
      </c>
      <c r="P106" s="235">
        <v>1</v>
      </c>
      <c r="Q106" s="236">
        <v>35</v>
      </c>
      <c r="R106" s="237">
        <v>23.9</v>
      </c>
      <c r="S106" s="237">
        <v>27.8</v>
      </c>
      <c r="T106" s="238">
        <v>19.100000000000001</v>
      </c>
      <c r="U106" s="236">
        <v>2.7</v>
      </c>
      <c r="V106" s="237">
        <v>-21.2</v>
      </c>
      <c r="W106" s="237">
        <v>0.9</v>
      </c>
      <c r="X106" s="239">
        <v>-18.2</v>
      </c>
      <c r="Y106" s="236">
        <v>-12.3</v>
      </c>
      <c r="Z106" s="238">
        <v>-14</v>
      </c>
      <c r="AA106" s="218">
        <v>96</v>
      </c>
      <c r="AB106" s="270"/>
      <c r="AC106" s="552"/>
      <c r="AD106" s="552"/>
      <c r="AE106" s="552"/>
      <c r="AF106" s="552"/>
      <c r="AG106" s="552"/>
      <c r="AH106" s="552"/>
      <c r="AI106" s="552"/>
      <c r="AJ106" s="552"/>
      <c r="AK106" s="552"/>
      <c r="AL106" s="552"/>
      <c r="AM106" s="553"/>
      <c r="AN106" s="233"/>
      <c r="CX106" s="330"/>
      <c r="CY106" s="372"/>
      <c r="CZ106" s="372"/>
      <c r="DA106" s="372">
        <v>2</v>
      </c>
      <c r="DB106" s="373" t="s">
        <v>145</v>
      </c>
      <c r="DC106" s="374" t="s">
        <v>145</v>
      </c>
      <c r="DD106" s="374" t="s">
        <v>145</v>
      </c>
      <c r="DE106" s="375" t="s">
        <v>145</v>
      </c>
      <c r="DF106" s="376">
        <v>-9.6999999999999993</v>
      </c>
      <c r="DG106" s="377">
        <v>-18.899999999999999</v>
      </c>
      <c r="DH106" s="377">
        <v>-2.6</v>
      </c>
      <c r="DI106" s="378">
        <v>-12.1</v>
      </c>
      <c r="DJ106" s="373" t="s">
        <v>145</v>
      </c>
      <c r="DK106" s="375" t="s">
        <v>145</v>
      </c>
    </row>
    <row r="107" spans="1:115" x14ac:dyDescent="0.2">
      <c r="A107" s="56" t="str">
        <f>"9."</f>
        <v>9.</v>
      </c>
      <c r="B107" t="s">
        <v>252</v>
      </c>
      <c r="J107" s="57"/>
      <c r="M107" s="200">
        <v>9</v>
      </c>
      <c r="N107" s="249"/>
      <c r="O107" s="210"/>
      <c r="P107" s="210">
        <v>2</v>
      </c>
      <c r="Q107" s="240">
        <v>35</v>
      </c>
      <c r="R107" s="241">
        <v>23.9</v>
      </c>
      <c r="S107" s="241">
        <v>27.8</v>
      </c>
      <c r="T107" s="242">
        <v>19.100000000000001</v>
      </c>
      <c r="U107" s="240">
        <v>13.4</v>
      </c>
      <c r="V107" s="241">
        <v>-10.5</v>
      </c>
      <c r="W107" s="241">
        <v>11.7</v>
      </c>
      <c r="X107" s="243">
        <v>-7.5</v>
      </c>
      <c r="Y107" s="240">
        <v>-12.3</v>
      </c>
      <c r="Z107" s="242">
        <v>-14</v>
      </c>
      <c r="AA107" s="218">
        <v>97</v>
      </c>
      <c r="AB107" s="270"/>
      <c r="AC107" s="552"/>
      <c r="AD107" s="552"/>
      <c r="AE107" s="552"/>
      <c r="AF107" s="552"/>
      <c r="AG107" s="552"/>
      <c r="AH107" s="552"/>
      <c r="AI107" s="552"/>
      <c r="AJ107" s="552"/>
      <c r="AK107" s="552"/>
      <c r="AL107" s="552"/>
      <c r="AM107" s="553"/>
      <c r="AN107" s="233"/>
      <c r="CX107" s="330"/>
      <c r="CY107" s="367" t="s">
        <v>164</v>
      </c>
      <c r="CZ107" s="367" t="s">
        <v>166</v>
      </c>
      <c r="DA107" s="367">
        <v>1</v>
      </c>
      <c r="DB107" s="368">
        <v>51.5</v>
      </c>
      <c r="DC107" s="369">
        <v>35.200000000000003</v>
      </c>
      <c r="DD107" s="369">
        <v>41</v>
      </c>
      <c r="DE107" s="370">
        <v>28.2</v>
      </c>
      <c r="DF107" s="368">
        <v>4</v>
      </c>
      <c r="DG107" s="369">
        <v>-31.3</v>
      </c>
      <c r="DH107" s="369">
        <v>1.3</v>
      </c>
      <c r="DI107" s="371">
        <v>-26.9</v>
      </c>
      <c r="DJ107" s="368">
        <v>-18.100000000000001</v>
      </c>
      <c r="DK107" s="370">
        <v>-20.7</v>
      </c>
    </row>
    <row r="108" spans="1:115" x14ac:dyDescent="0.2">
      <c r="A108" s="56"/>
      <c r="B108" s="53" t="s">
        <v>253</v>
      </c>
      <c r="J108" s="57"/>
      <c r="M108" s="200">
        <v>10</v>
      </c>
      <c r="N108" s="21"/>
      <c r="O108" s="235">
        <v>45</v>
      </c>
      <c r="P108" s="235">
        <v>1</v>
      </c>
      <c r="Q108" s="236">
        <v>35</v>
      </c>
      <c r="R108" s="237">
        <v>23.9</v>
      </c>
      <c r="S108" s="237">
        <v>27.8</v>
      </c>
      <c r="T108" s="238">
        <v>19.100000000000001</v>
      </c>
      <c r="U108" s="236">
        <v>2.7</v>
      </c>
      <c r="V108" s="237">
        <v>-21.2</v>
      </c>
      <c r="W108" s="237">
        <v>0.9</v>
      </c>
      <c r="X108" s="239">
        <v>-18.2</v>
      </c>
      <c r="Y108" s="236">
        <v>-12.3</v>
      </c>
      <c r="Z108" s="238">
        <v>-14</v>
      </c>
      <c r="AA108" s="218">
        <v>98</v>
      </c>
      <c r="AB108" s="270"/>
      <c r="AC108" s="552"/>
      <c r="AD108" s="552"/>
      <c r="AE108" s="552"/>
      <c r="AF108" s="552"/>
      <c r="AG108" s="552"/>
      <c r="AH108" s="552"/>
      <c r="AI108" s="552"/>
      <c r="AJ108" s="552"/>
      <c r="AK108" s="552"/>
      <c r="AL108" s="552"/>
      <c r="AM108" s="553"/>
      <c r="AN108" s="233"/>
      <c r="CX108" s="347"/>
      <c r="CY108" s="178"/>
      <c r="CZ108" s="178"/>
      <c r="DA108" s="178">
        <v>2</v>
      </c>
      <c r="DB108" s="388">
        <v>51.5</v>
      </c>
      <c r="DC108" s="389">
        <v>35.200000000000003</v>
      </c>
      <c r="DD108" s="389">
        <v>41</v>
      </c>
      <c r="DE108" s="390">
        <v>28.2</v>
      </c>
      <c r="DF108" s="388">
        <v>19.8</v>
      </c>
      <c r="DG108" s="389">
        <v>-15.4</v>
      </c>
      <c r="DH108" s="389">
        <v>17.2</v>
      </c>
      <c r="DI108" s="391">
        <v>-11</v>
      </c>
      <c r="DJ108" s="388">
        <v>-18.100000000000001</v>
      </c>
      <c r="DK108" s="390">
        <v>-20.7</v>
      </c>
    </row>
    <row r="109" spans="1:115" x14ac:dyDescent="0.2">
      <c r="A109" s="56" t="str">
        <f>"10."</f>
        <v>10.</v>
      </c>
      <c r="B109" s="256" t="s">
        <v>220</v>
      </c>
      <c r="J109" s="57"/>
      <c r="M109" s="200">
        <v>11</v>
      </c>
      <c r="N109" s="22"/>
      <c r="O109" s="250"/>
      <c r="P109" s="250">
        <v>2</v>
      </c>
      <c r="Q109" s="251">
        <v>35</v>
      </c>
      <c r="R109" s="252">
        <v>23.9</v>
      </c>
      <c r="S109" s="252">
        <v>27.8</v>
      </c>
      <c r="T109" s="253">
        <v>19.100000000000001</v>
      </c>
      <c r="U109" s="251">
        <v>13.4</v>
      </c>
      <c r="V109" s="252">
        <v>-10.5</v>
      </c>
      <c r="W109" s="252">
        <v>11.7</v>
      </c>
      <c r="X109" s="254">
        <v>-7.5</v>
      </c>
      <c r="Y109" s="251">
        <v>-12.3</v>
      </c>
      <c r="Z109" s="253">
        <v>-14</v>
      </c>
      <c r="AA109" s="218">
        <v>99</v>
      </c>
      <c r="AB109" s="271"/>
      <c r="AC109" s="555"/>
      <c r="AD109" s="555"/>
      <c r="AE109" s="555"/>
      <c r="AF109" s="555"/>
      <c r="AG109" s="555"/>
      <c r="AH109" s="555"/>
      <c r="AI109" s="555"/>
      <c r="AJ109" s="555"/>
      <c r="AK109" s="555"/>
      <c r="AL109" s="555"/>
      <c r="AM109" s="556"/>
      <c r="AN109" s="233"/>
    </row>
    <row r="110" spans="1:115" x14ac:dyDescent="0.2">
      <c r="A110" s="56"/>
      <c r="B110" s="256" t="s">
        <v>254</v>
      </c>
      <c r="J110" s="57"/>
      <c r="M110" s="200">
        <v>1</v>
      </c>
      <c r="N110" s="26"/>
      <c r="O110" s="514">
        <v>0</v>
      </c>
      <c r="P110" s="514">
        <v>1</v>
      </c>
      <c r="Q110" s="515">
        <v>33.4</v>
      </c>
      <c r="R110" s="516">
        <v>-17.3</v>
      </c>
      <c r="S110" s="516">
        <v>22.1</v>
      </c>
      <c r="T110" s="517">
        <v>-10.3</v>
      </c>
      <c r="U110" s="515">
        <v>-40</v>
      </c>
      <c r="V110" s="516">
        <v>-22.7</v>
      </c>
      <c r="W110" s="516">
        <v>-27.9</v>
      </c>
      <c r="X110" s="518">
        <v>-17.600000000000001</v>
      </c>
      <c r="Y110" s="515">
        <v>-56.1</v>
      </c>
      <c r="Z110" s="517">
        <v>-43.9</v>
      </c>
      <c r="AA110" s="201">
        <v>100</v>
      </c>
      <c r="AB110" s="519"/>
      <c r="AC110" s="520" t="e">
        <f>IF($C$8=$N115,VLOOKUP(MATCH($AD$6,$O110:$O120,1),$M110:$Z120,3),"")</f>
        <v>#REF!</v>
      </c>
      <c r="AD110" s="520" t="e">
        <f>IF($C$8=$N115,VLOOKUP(MATCH($AD$6,$O110:$O120,1),$M110:$Z120,5),"")</f>
        <v>#REF!</v>
      </c>
      <c r="AE110" s="520" t="e">
        <f>IF($C$8=$N115,VLOOKUP(MATCH($AD$6,$O110:$O120,1),$M110:$Z120,6),"")</f>
        <v>#REF!</v>
      </c>
      <c r="AF110" s="520" t="e">
        <f>IF($C$8=$N115,VLOOKUP(MATCH($AD$6,$O110:$O120,1),$M110:$Z120,7),"")</f>
        <v>#REF!</v>
      </c>
      <c r="AG110" s="520" t="e">
        <f>IF($C$8=$N115,VLOOKUP(MATCH($AD$6,$O110:$O120,1),$M110:$Z120,8),"")</f>
        <v>#REF!</v>
      </c>
      <c r="AH110" s="520" t="e">
        <f>IF($C$8=$N115,VLOOKUP(MATCH($AD$6,$O110:$O120,1),$M110:$Z120,9),"")</f>
        <v>#REF!</v>
      </c>
      <c r="AI110" s="520" t="e">
        <f>IF($C$8=$N115,VLOOKUP(MATCH($AD$6,$O110:$O120,1),$M110:$Z120,10),"")</f>
        <v>#REF!</v>
      </c>
      <c r="AJ110" s="520" t="e">
        <f>IF($C$8=$N115,VLOOKUP(MATCH($AD$6,$O110:$O120,1),$M110:$Z120,11),"")</f>
        <v>#REF!</v>
      </c>
      <c r="AK110" s="520" t="e">
        <f>IF($C$8=$N115,VLOOKUP(MATCH($AD$6,$O110:$O120,1),$M110:$Z120,12),"")</f>
        <v>#REF!</v>
      </c>
      <c r="AL110" s="520" t="e">
        <f>IF($C$8=$N115,VLOOKUP(MATCH($AD$6,$O110:$O120,1),$M110:$Z120,13),"")</f>
        <v>#REF!</v>
      </c>
      <c r="AM110" s="521" t="e">
        <f>IF($C$8=$N115,VLOOKUP(MATCH($AD$6,$O110:$O120,1),$M110:$Z120,14),"")</f>
        <v>#REF!</v>
      </c>
    </row>
    <row r="111" spans="1:115" x14ac:dyDescent="0.2">
      <c r="A111" s="56" t="str">
        <f>"11."</f>
        <v>11.</v>
      </c>
      <c r="B111" s="53" t="s">
        <v>255</v>
      </c>
      <c r="J111" s="57"/>
      <c r="M111" s="200">
        <v>2</v>
      </c>
      <c r="N111" s="28"/>
      <c r="O111" s="522">
        <v>5</v>
      </c>
      <c r="P111" s="522">
        <v>1</v>
      </c>
      <c r="Q111" s="523">
        <v>33.4</v>
      </c>
      <c r="R111" s="524">
        <v>-17.3</v>
      </c>
      <c r="S111" s="524">
        <v>22.1</v>
      </c>
      <c r="T111" s="525">
        <v>-10.3</v>
      </c>
      <c r="U111" s="523">
        <v>-40</v>
      </c>
      <c r="V111" s="524">
        <v>-22.7</v>
      </c>
      <c r="W111" s="524">
        <v>-27.9</v>
      </c>
      <c r="X111" s="526">
        <v>-17.600000000000001</v>
      </c>
      <c r="Y111" s="523">
        <v>-56.1</v>
      </c>
      <c r="Z111" s="525">
        <v>-43.9</v>
      </c>
      <c r="AA111" s="201">
        <v>101</v>
      </c>
      <c r="AB111" s="527"/>
      <c r="AC111" s="528" t="e">
        <f>IF($C$8=$N115,VLOOKUP(MATCH($AD$6,$O110:$O120,1)+IF($AD$6&lt;25,1,2),$M110:$Z120,3),"")</f>
        <v>#REF!</v>
      </c>
      <c r="AD111" s="528" t="e">
        <f>IF($C$8=$N115,VLOOKUP(MATCH($AD$6,$O110:$O120,1)+IF($AD$6&lt;25,1,2),$M110:$Z120,5),"")</f>
        <v>#REF!</v>
      </c>
      <c r="AE111" s="528" t="e">
        <f>IF($C$8=$N115,VLOOKUP(MATCH($AD$6,$O110:$O120,1)+IF($AD$6&lt;25,1,2),$M110:$Z120,6),"")</f>
        <v>#REF!</v>
      </c>
      <c r="AF111" s="528" t="e">
        <f>IF($C$8=$N115,VLOOKUP(MATCH($AD$6,$O110:$O120,1)+IF($AD$6&lt;25,1,2),$M110:$Z120,7),"")</f>
        <v>#REF!</v>
      </c>
      <c r="AG111" s="528" t="e">
        <f>IF($C$8=$N115,VLOOKUP(MATCH($AD$6,$O110:$O120,1)+IF($AD$6&lt;25,1,2),$M110:$Z120,8),"")</f>
        <v>#REF!</v>
      </c>
      <c r="AH111" s="528" t="e">
        <f>IF($C$8=$N115,VLOOKUP(MATCH($AD$6,$O110:$O120,1)+IF($AD$6&lt;25,1,2),$M110:$Z120,9),"")</f>
        <v>#REF!</v>
      </c>
      <c r="AI111" s="528" t="e">
        <f>IF($C$8=$N115,VLOOKUP(MATCH($AD$6,$O110:$O120,1)+IF($AD$6&lt;25,1,2),$M110:$Z120,10),"")</f>
        <v>#REF!</v>
      </c>
      <c r="AJ111" s="528" t="e">
        <f>IF($C$8=$N115,VLOOKUP(MATCH($AD$6,$O110:$O120,1)+IF($AD$6&lt;25,1,2),$M110:$Z120,11),"")</f>
        <v>#REF!</v>
      </c>
      <c r="AK111" s="528" t="e">
        <f>IF($C$8=$N115,VLOOKUP(MATCH($AD$6,$O110:$O120,1)+IF($AD$6&lt;25,1,2),$M110:$Z120,12),"")</f>
        <v>#REF!</v>
      </c>
      <c r="AL111" s="528" t="e">
        <f>IF($C$8=$N115,VLOOKUP(MATCH($AD$6,$O110:$O120,1)+IF($AD$6&lt;25,1,2),$M110:$Z120,13),"")</f>
        <v>#REF!</v>
      </c>
      <c r="AM111" s="529" t="e">
        <f>IF($C$8=$N115,VLOOKUP(MATCH($AD$6,$O110:$O120,1)+IF($AD$6&lt;25,1,2),$M110:$Z120,14),"")</f>
        <v>#REF!</v>
      </c>
    </row>
    <row r="112" spans="1:115" x14ac:dyDescent="0.2">
      <c r="A112" s="52"/>
      <c r="B112" s="53" t="s">
        <v>227</v>
      </c>
      <c r="J112" s="57"/>
      <c r="M112" s="200">
        <v>3</v>
      </c>
      <c r="N112" s="28"/>
      <c r="O112" s="522">
        <v>10</v>
      </c>
      <c r="P112" s="522">
        <v>1</v>
      </c>
      <c r="Q112" s="523">
        <v>37.700000000000003</v>
      </c>
      <c r="R112" s="524">
        <v>-15.6</v>
      </c>
      <c r="S112" s="524">
        <v>25</v>
      </c>
      <c r="T112" s="525">
        <v>-9.1</v>
      </c>
      <c r="U112" s="523">
        <v>-40</v>
      </c>
      <c r="V112" s="524">
        <v>-24.5</v>
      </c>
      <c r="W112" s="524">
        <v>-27.9</v>
      </c>
      <c r="X112" s="526">
        <v>-18.8</v>
      </c>
      <c r="Y112" s="523">
        <v>-56.1</v>
      </c>
      <c r="Z112" s="525">
        <v>-43.9</v>
      </c>
      <c r="AA112" s="201">
        <v>102</v>
      </c>
      <c r="AB112" s="527" t="e">
        <f>IF($C$8=$N115,MATCH($AD$6,$O110:$O120,1),0)</f>
        <v>#REF!</v>
      </c>
      <c r="AC112" s="528" t="e">
        <f>IF($C$8=$N115,$AD$6,"")</f>
        <v>#REF!</v>
      </c>
      <c r="AD112" s="528" t="e">
        <f t="shared" ref="AD112:AM112" si="21">IF($C$8=$N115,(AD111-AD110)*($AD$6-$AC110)/($AC111-$AC110)+AD110,"")</f>
        <v>#REF!</v>
      </c>
      <c r="AE112" s="528" t="e">
        <f t="shared" si="21"/>
        <v>#REF!</v>
      </c>
      <c r="AF112" s="528" t="e">
        <f t="shared" si="21"/>
        <v>#REF!</v>
      </c>
      <c r="AG112" s="528" t="e">
        <f t="shared" si="21"/>
        <v>#REF!</v>
      </c>
      <c r="AH112" s="528" t="e">
        <f t="shared" si="21"/>
        <v>#REF!</v>
      </c>
      <c r="AI112" s="528" t="e">
        <f t="shared" si="21"/>
        <v>#REF!</v>
      </c>
      <c r="AJ112" s="528" t="e">
        <f t="shared" si="21"/>
        <v>#REF!</v>
      </c>
      <c r="AK112" s="528" t="e">
        <f t="shared" si="21"/>
        <v>#REF!</v>
      </c>
      <c r="AL112" s="528" t="e">
        <f t="shared" si="21"/>
        <v>#REF!</v>
      </c>
      <c r="AM112" s="529" t="e">
        <f t="shared" si="21"/>
        <v>#REF!</v>
      </c>
    </row>
    <row r="113" spans="1:39" x14ac:dyDescent="0.2">
      <c r="A113" s="52"/>
      <c r="B113" s="53" t="s">
        <v>256</v>
      </c>
      <c r="C113" s="77"/>
      <c r="J113" s="57"/>
      <c r="M113" s="200">
        <v>4</v>
      </c>
      <c r="N113" s="28"/>
      <c r="O113" s="522">
        <v>15</v>
      </c>
      <c r="P113" s="522">
        <v>1</v>
      </c>
      <c r="Q113" s="523">
        <v>41.8</v>
      </c>
      <c r="R113" s="524">
        <v>-13.8</v>
      </c>
      <c r="S113" s="524">
        <v>27.9</v>
      </c>
      <c r="T113" s="525">
        <v>-7.9</v>
      </c>
      <c r="U113" s="523">
        <v>-40</v>
      </c>
      <c r="V113" s="524">
        <v>-26.2</v>
      </c>
      <c r="W113" s="524">
        <v>-27.9</v>
      </c>
      <c r="X113" s="526">
        <v>-20</v>
      </c>
      <c r="Y113" s="523">
        <v>-56.1</v>
      </c>
      <c r="Z113" s="525">
        <v>-43.9</v>
      </c>
      <c r="AA113" s="201">
        <v>103</v>
      </c>
      <c r="AB113" s="527"/>
      <c r="AC113" s="528"/>
      <c r="AD113" s="530"/>
      <c r="AE113" s="530"/>
      <c r="AF113" s="530"/>
      <c r="AG113" s="530"/>
      <c r="AH113" s="530"/>
      <c r="AI113" s="530"/>
      <c r="AJ113" s="530"/>
      <c r="AK113" s="530"/>
      <c r="AL113" s="530"/>
      <c r="AM113" s="531"/>
    </row>
    <row r="114" spans="1:39" x14ac:dyDescent="0.2">
      <c r="A114" s="52"/>
      <c r="B114" s="59" t="s">
        <v>263</v>
      </c>
      <c r="J114" s="57"/>
      <c r="M114" s="200">
        <v>5</v>
      </c>
      <c r="N114" s="28"/>
      <c r="O114" s="522">
        <v>20</v>
      </c>
      <c r="P114" s="522">
        <v>1</v>
      </c>
      <c r="Q114" s="523">
        <v>46.1</v>
      </c>
      <c r="R114" s="524">
        <v>-12.2</v>
      </c>
      <c r="S114" s="524">
        <v>30.8</v>
      </c>
      <c r="T114" s="525">
        <v>-6.8</v>
      </c>
      <c r="U114" s="523">
        <v>-40</v>
      </c>
      <c r="V114" s="524">
        <v>-27.9</v>
      </c>
      <c r="W114" s="524">
        <v>-27.9</v>
      </c>
      <c r="X114" s="526">
        <v>-21.1</v>
      </c>
      <c r="Y114" s="523">
        <v>-56.1</v>
      </c>
      <c r="Z114" s="525">
        <v>-43.9</v>
      </c>
      <c r="AA114" s="201">
        <v>104</v>
      </c>
      <c r="AB114" s="527"/>
      <c r="AC114" s="528" t="e">
        <f>IF($C$8=$N115,IF(AND($AD$6&gt;=25,$AD$6&lt;=45),VLOOKUP(MATCH($AD$6,$O110:$O120,1),$M110:$Z120,3),""),"")</f>
        <v>#REF!</v>
      </c>
      <c r="AD114" s="528" t="e">
        <f>IF($C$8=$N115,IF(AND($AD$6&gt;=25,$AD$6&lt;=45),VLOOKUP(MATCH($AD$6,$O110:$O120,1)+1,$M110:$Z120,5),""),"")</f>
        <v>#REF!</v>
      </c>
      <c r="AE114" s="528" t="e">
        <f>IF($C$8=$N115,IF(AND($AD$6&gt;=25,$AD$6&lt;=45),VLOOKUP(MATCH($AD$6,$O110:$O120,1)+1,$M110:$Z120,6),""),"")</f>
        <v>#REF!</v>
      </c>
      <c r="AF114" s="528" t="e">
        <f>IF($C$8=$N115,IF(AND($AD$6&gt;=25,$AD$6&lt;=45),VLOOKUP(MATCH($AD$6,$O110:$O120,1)+1,$M110:$Z120,7),""),"")</f>
        <v>#REF!</v>
      </c>
      <c r="AG114" s="528" t="e">
        <f>IF($C$8=$N115,IF(AND($AD$6&gt;=25,$AD$6&lt;=45),VLOOKUP(MATCH($AD$6,$O110:$O120,1)+1,$M110:$Z120,8),""),"")</f>
        <v>#REF!</v>
      </c>
      <c r="AH114" s="528" t="e">
        <f>IF($C$8=$N115,IF(AND($AD$6&gt;=25,$AD$6&lt;=45),VLOOKUP(MATCH($AD$6,$O110:$O120,1)+1,$M110:$Z120,9),""),"")</f>
        <v>#REF!</v>
      </c>
      <c r="AI114" s="528" t="e">
        <f>IF($C$8=$N115,IF(AND($AD$6&gt;=25,$AD$6&lt;=45),VLOOKUP(MATCH($AD$6,$O110:$O120,1)+1,$M110:$Z120,10),""),"")</f>
        <v>#REF!</v>
      </c>
      <c r="AJ114" s="528" t="e">
        <f>IF($C$8=$N115,IF(AND($AD$6&gt;=25,$AD$6&lt;=45),VLOOKUP(MATCH($AD$6,$O110:$O120,1)+1,$M110:$Z120,11),""),"")</f>
        <v>#REF!</v>
      </c>
      <c r="AK114" s="528" t="e">
        <f>IF($C$8=$N115,IF(AND($AD$6&gt;=25,$AD$6&lt;=45),VLOOKUP(MATCH($AD$6,$O110:$O120,1)+1,$M110:$Z120,12),""),"")</f>
        <v>#REF!</v>
      </c>
      <c r="AL114" s="528" t="e">
        <f>IF($C$8=$N115,IF(AND($AD$6&gt;=25,$AD$6&lt;=45),VLOOKUP(MATCH($AD$6,$O110:$O120,1)+1,$M110:$Z120,13),""),"")</f>
        <v>#REF!</v>
      </c>
      <c r="AM114" s="529" t="e">
        <f>IF($C$8=$N115,IF(AND($AD$6&gt;=25,$AD$6&lt;=45),VLOOKUP(MATCH($AD$6,$O110:$O120,1)+1,$M110:$Z120,14),""),"")</f>
        <v>#REF!</v>
      </c>
    </row>
    <row r="115" spans="1:39" x14ac:dyDescent="0.2">
      <c r="A115" s="52"/>
      <c r="J115" s="57"/>
      <c r="M115" s="200">
        <v>6</v>
      </c>
      <c r="N115" s="28">
        <v>145</v>
      </c>
      <c r="O115" s="532">
        <v>25</v>
      </c>
      <c r="P115" s="532">
        <v>1</v>
      </c>
      <c r="Q115" s="533">
        <v>41.8</v>
      </c>
      <c r="R115" s="534">
        <v>6.8</v>
      </c>
      <c r="S115" s="534">
        <v>30.3</v>
      </c>
      <c r="T115" s="535">
        <v>6.9</v>
      </c>
      <c r="U115" s="533">
        <v>-18.600000000000001</v>
      </c>
      <c r="V115" s="534">
        <v>-25.3</v>
      </c>
      <c r="W115" s="534">
        <v>-13.4</v>
      </c>
      <c r="X115" s="536">
        <v>-20.399999999999999</v>
      </c>
      <c r="Y115" s="533">
        <v>-34.6</v>
      </c>
      <c r="Z115" s="535">
        <v>-29.5</v>
      </c>
      <c r="AA115" s="201">
        <v>105</v>
      </c>
      <c r="AB115" s="527"/>
      <c r="AC115" s="528" t="e">
        <f>IF($C$8=$N115,IF(AND($AD$6&gt;=25,$AD$6&lt;=45),VLOOKUP(MATCH($AD$6,$O110:$O120,1)+IF($AD$6&lt;25,1,2),$M110:$Z120,3),""),"")</f>
        <v>#REF!</v>
      </c>
      <c r="AD115" s="528" t="e">
        <f>IF($C$8=$N115,IF(AND($AD$6&gt;=25,$AD$6&lt;=45),VLOOKUP(MATCH($AD$6,$O110:$O120,1)+1+IF($AD$6&lt;25,1,2),$M110:$Z120,5),""),"")</f>
        <v>#REF!</v>
      </c>
      <c r="AE115" s="528" t="e">
        <f>IF($C$8=$N115,IF(AND($AD$6&gt;=25,$AD$6&lt;=45),VLOOKUP(MATCH($AD$6,$O110:$O120,1)+1+IF($AD$6&lt;25,1,2),$M110:$Z120,6),""),"")</f>
        <v>#REF!</v>
      </c>
      <c r="AF115" s="528" t="e">
        <f>IF($C$8=$N115,IF(AND($AD$6&gt;=25,$AD$6&lt;=45),VLOOKUP(MATCH($AD$6,$O110:$O120,1)+1+IF($AD$6&lt;25,1,2),$M110:$Z120,7),""),"")</f>
        <v>#REF!</v>
      </c>
      <c r="AG115" s="528" t="e">
        <f>IF($C$8=$N115,IF(AND($AD$6&gt;=25,$AD$6&lt;=45),VLOOKUP(MATCH($AD$6,$O110:$O120,1)+1+IF($AD$6&lt;25,1,2),$M110:$Z120,8),""),"")</f>
        <v>#REF!</v>
      </c>
      <c r="AH115" s="528" t="e">
        <f>IF($C$8=$N115,IF(AND($AD$6&gt;=25,$AD$6&lt;=45),VLOOKUP(MATCH($AD$6,$O110:$O120,1)+1+IF($AD$6&lt;25,1,2),$M110:$Z120,9),""),"")</f>
        <v>#REF!</v>
      </c>
      <c r="AI115" s="528" t="e">
        <f>IF($C$8=$N115,IF(AND($AD$6&gt;=25,$AD$6&lt;=45),VLOOKUP(MATCH($AD$6,$O110:$O120,1)+1+IF($AD$6&lt;25,1,2),$M110:$Z120,10),""),"")</f>
        <v>#REF!</v>
      </c>
      <c r="AJ115" s="528" t="e">
        <f>IF($C$8=$N115,IF(AND($AD$6&gt;=25,$AD$6&lt;=45),VLOOKUP(MATCH($AD$6,$O110:$O120,1)+1+IF($AD$6&lt;25,1,2),$M110:$Z120,11),""),"")</f>
        <v>#REF!</v>
      </c>
      <c r="AK115" s="528" t="e">
        <f>IF($C$8=$N115,IF(AND($AD$6&gt;=25,$AD$6&lt;=45),VLOOKUP(MATCH($AD$6,$O110:$O120,1)+1+IF($AD$6&lt;25,1,2),$M110:$Z120,12),""),"")</f>
        <v>#REF!</v>
      </c>
      <c r="AL115" s="528" t="e">
        <f>IF($C$8=$N115,IF(AND($AD$6&gt;=25,$AD$6&lt;=45),VLOOKUP(MATCH($AD$6,$O110:$O120,1)+1+IF($AD$6&lt;25,1,2),$M110:$Z120,13),""),"")</f>
        <v>#REF!</v>
      </c>
      <c r="AM115" s="529" t="e">
        <f>IF($C$8=$N115,IF(AND($AD$6&gt;=25,$AD$6&lt;=45),VLOOKUP(MATCH($AD$6,$O110:$O120,1)+1+IF($AD$6&lt;25,1,2),$M110:$Z120,14),""),"")</f>
        <v>#REF!</v>
      </c>
    </row>
    <row r="116" spans="1:39" x14ac:dyDescent="0.2">
      <c r="A116" s="73"/>
      <c r="B116" s="61"/>
      <c r="C116" s="61"/>
      <c r="D116" s="61"/>
      <c r="E116" s="61"/>
      <c r="F116" s="61"/>
      <c r="G116" s="61"/>
      <c r="H116" s="61"/>
      <c r="I116" s="61"/>
      <c r="J116" s="409" t="s">
        <v>173</v>
      </c>
      <c r="M116" s="200">
        <v>7</v>
      </c>
      <c r="N116" s="28"/>
      <c r="O116" s="537"/>
      <c r="P116" s="537">
        <v>2</v>
      </c>
      <c r="Q116" s="538">
        <v>0</v>
      </c>
      <c r="R116" s="539">
        <v>0</v>
      </c>
      <c r="S116" s="539">
        <v>0</v>
      </c>
      <c r="T116" s="540">
        <v>0</v>
      </c>
      <c r="U116" s="538">
        <v>-7.1</v>
      </c>
      <c r="V116" s="539">
        <v>-13.7</v>
      </c>
      <c r="W116" s="539">
        <v>-1.9</v>
      </c>
      <c r="X116" s="541">
        <v>-8.8000000000000007</v>
      </c>
      <c r="Y116" s="538">
        <v>0</v>
      </c>
      <c r="Z116" s="540">
        <v>0</v>
      </c>
      <c r="AA116" s="201">
        <v>106</v>
      </c>
      <c r="AB116" s="527"/>
      <c r="AC116" s="528" t="e">
        <f>IF($C$8=$N115,IF(AND($AD$6&gt;=25,$AD$6&lt;=45),$AD$6,""),"")</f>
        <v>#REF!</v>
      </c>
      <c r="AD116" s="528" t="e">
        <f t="shared" ref="AD116:AM116" si="22">IF($C$8=$N115,IF(AND($AD$6&gt;=25,$AD$6&lt;=45),(AD115-AD114)*($AD$6-$AC114)/($AC115-$AC114)+AD114,""),"")</f>
        <v>#REF!</v>
      </c>
      <c r="AE116" s="528" t="e">
        <f t="shared" si="22"/>
        <v>#REF!</v>
      </c>
      <c r="AF116" s="528" t="e">
        <f t="shared" si="22"/>
        <v>#REF!</v>
      </c>
      <c r="AG116" s="528" t="e">
        <f t="shared" si="22"/>
        <v>#REF!</v>
      </c>
      <c r="AH116" s="528" t="e">
        <f t="shared" si="22"/>
        <v>#REF!</v>
      </c>
      <c r="AI116" s="528" t="e">
        <f t="shared" si="22"/>
        <v>#REF!</v>
      </c>
      <c r="AJ116" s="528" t="e">
        <f t="shared" si="22"/>
        <v>#REF!</v>
      </c>
      <c r="AK116" s="528" t="e">
        <f t="shared" si="22"/>
        <v>#REF!</v>
      </c>
      <c r="AL116" s="528" t="e">
        <f t="shared" si="22"/>
        <v>#REF!</v>
      </c>
      <c r="AM116" s="529" t="e">
        <f t="shared" si="22"/>
        <v>#REF!</v>
      </c>
    </row>
    <row r="117" spans="1:39" x14ac:dyDescent="0.2">
      <c r="A117" s="97"/>
      <c r="B117" s="98"/>
      <c r="C117" s="98"/>
      <c r="D117" s="98"/>
      <c r="E117" s="98"/>
      <c r="F117" s="98"/>
      <c r="G117" s="98"/>
      <c r="H117" s="98"/>
      <c r="I117" s="98"/>
      <c r="J117" s="288"/>
      <c r="M117" s="200">
        <v>8</v>
      </c>
      <c r="N117" s="28"/>
      <c r="O117" s="532">
        <v>30</v>
      </c>
      <c r="P117" s="532">
        <v>1</v>
      </c>
      <c r="Q117" s="533">
        <v>37.5</v>
      </c>
      <c r="R117" s="534">
        <v>25.6</v>
      </c>
      <c r="S117" s="534">
        <v>29.8</v>
      </c>
      <c r="T117" s="535">
        <v>20.5</v>
      </c>
      <c r="U117" s="533">
        <v>2.9</v>
      </c>
      <c r="V117" s="534">
        <v>-22.7</v>
      </c>
      <c r="W117" s="534">
        <v>1</v>
      </c>
      <c r="X117" s="536">
        <v>-19.5</v>
      </c>
      <c r="Y117" s="533">
        <v>-13.2</v>
      </c>
      <c r="Z117" s="535">
        <v>-15</v>
      </c>
      <c r="AA117" s="201">
        <v>107</v>
      </c>
      <c r="AB117" s="542"/>
      <c r="AC117" s="530"/>
      <c r="AD117" s="530"/>
      <c r="AE117" s="530"/>
      <c r="AF117" s="530"/>
      <c r="AG117" s="530"/>
      <c r="AH117" s="530"/>
      <c r="AI117" s="530"/>
      <c r="AJ117" s="530"/>
      <c r="AK117" s="530"/>
      <c r="AL117" s="530"/>
      <c r="AM117" s="531"/>
    </row>
    <row r="118" spans="1:39" x14ac:dyDescent="0.2">
      <c r="A118" s="52"/>
      <c r="J118" s="57"/>
      <c r="M118" s="200">
        <v>9</v>
      </c>
      <c r="N118" s="543"/>
      <c r="O118" s="537"/>
      <c r="P118" s="537">
        <v>2</v>
      </c>
      <c r="Q118" s="538">
        <v>35.700000000000003</v>
      </c>
      <c r="R118" s="539">
        <v>25.6</v>
      </c>
      <c r="S118" s="539">
        <v>29.8</v>
      </c>
      <c r="T118" s="540">
        <v>20.5</v>
      </c>
      <c r="U118" s="538">
        <v>14.4</v>
      </c>
      <c r="V118" s="539">
        <v>-11.3</v>
      </c>
      <c r="W118" s="539">
        <v>12.6</v>
      </c>
      <c r="X118" s="541">
        <v>-8</v>
      </c>
      <c r="Y118" s="538">
        <v>-13.2</v>
      </c>
      <c r="Z118" s="540">
        <v>-15</v>
      </c>
      <c r="AA118" s="201">
        <v>108</v>
      </c>
      <c r="AB118" s="542"/>
      <c r="AC118" s="530"/>
      <c r="AD118" s="530"/>
      <c r="AE118" s="530"/>
      <c r="AF118" s="530"/>
      <c r="AG118" s="530"/>
      <c r="AH118" s="530"/>
      <c r="AI118" s="530"/>
      <c r="AJ118" s="530"/>
      <c r="AK118" s="530"/>
      <c r="AL118" s="530"/>
      <c r="AM118" s="531"/>
    </row>
    <row r="119" spans="1:39" x14ac:dyDescent="0.2">
      <c r="A119" s="289"/>
      <c r="B119" s="273"/>
      <c r="C119" s="273"/>
      <c r="D119" s="274"/>
      <c r="E119" s="274"/>
      <c r="F119" s="273"/>
      <c r="J119" s="57"/>
      <c r="M119" s="200">
        <v>10</v>
      </c>
      <c r="N119" s="28"/>
      <c r="O119" s="532">
        <v>45</v>
      </c>
      <c r="P119" s="532">
        <v>1</v>
      </c>
      <c r="Q119" s="533">
        <v>37.5</v>
      </c>
      <c r="R119" s="534">
        <v>25.6</v>
      </c>
      <c r="S119" s="534">
        <v>29.8</v>
      </c>
      <c r="T119" s="535">
        <v>20.5</v>
      </c>
      <c r="U119" s="533">
        <v>2.9</v>
      </c>
      <c r="V119" s="534">
        <v>-22.7</v>
      </c>
      <c r="W119" s="534">
        <v>1</v>
      </c>
      <c r="X119" s="536">
        <v>-19.5</v>
      </c>
      <c r="Y119" s="533">
        <v>-13.2</v>
      </c>
      <c r="Z119" s="535">
        <v>-15</v>
      </c>
      <c r="AA119" s="201">
        <v>109</v>
      </c>
      <c r="AB119" s="542"/>
      <c r="AC119" s="530"/>
      <c r="AD119" s="530"/>
      <c r="AE119" s="530"/>
      <c r="AF119" s="530"/>
      <c r="AG119" s="530"/>
      <c r="AH119" s="530"/>
      <c r="AI119" s="530"/>
      <c r="AJ119" s="530"/>
      <c r="AK119" s="530"/>
      <c r="AL119" s="530"/>
      <c r="AM119" s="531"/>
    </row>
    <row r="120" spans="1:39" x14ac:dyDescent="0.2">
      <c r="A120" s="52"/>
      <c r="J120" s="57"/>
      <c r="M120" s="200">
        <v>11</v>
      </c>
      <c r="N120" s="27"/>
      <c r="O120" s="544"/>
      <c r="P120" s="544">
        <v>2</v>
      </c>
      <c r="Q120" s="545">
        <v>35.700000000000003</v>
      </c>
      <c r="R120" s="546">
        <v>25.6</v>
      </c>
      <c r="S120" s="546">
        <v>29.8</v>
      </c>
      <c r="T120" s="547">
        <v>20.5</v>
      </c>
      <c r="U120" s="545">
        <v>14.4</v>
      </c>
      <c r="V120" s="546">
        <v>-11.3</v>
      </c>
      <c r="W120" s="546">
        <v>12.6</v>
      </c>
      <c r="X120" s="548">
        <v>-8</v>
      </c>
      <c r="Y120" s="545">
        <v>-13.2</v>
      </c>
      <c r="Z120" s="547">
        <v>-15</v>
      </c>
      <c r="AA120" s="201">
        <v>110</v>
      </c>
      <c r="AB120" s="549"/>
      <c r="AC120" s="550"/>
      <c r="AD120" s="550"/>
      <c r="AE120" s="550"/>
      <c r="AF120" s="550"/>
      <c r="AG120" s="550"/>
      <c r="AH120" s="550"/>
      <c r="AI120" s="550"/>
      <c r="AJ120" s="550"/>
      <c r="AK120" s="550"/>
      <c r="AL120" s="550"/>
      <c r="AM120" s="551"/>
    </row>
    <row r="121" spans="1:39" x14ac:dyDescent="0.2">
      <c r="A121" s="52"/>
      <c r="J121" s="57"/>
      <c r="M121" s="200">
        <v>1</v>
      </c>
      <c r="N121" s="197"/>
      <c r="O121" s="205">
        <v>0</v>
      </c>
      <c r="P121" s="205">
        <v>1</v>
      </c>
      <c r="Q121" s="206">
        <v>35.700000000000003</v>
      </c>
      <c r="R121" s="215">
        <v>-18.5</v>
      </c>
      <c r="S121" s="215">
        <v>23.7</v>
      </c>
      <c r="T121" s="216">
        <v>-11</v>
      </c>
      <c r="U121" s="206">
        <v>-42.9</v>
      </c>
      <c r="V121" s="215">
        <v>-24.4</v>
      </c>
      <c r="W121" s="215">
        <v>-29.8</v>
      </c>
      <c r="X121" s="217">
        <v>-18.899999999999999</v>
      </c>
      <c r="Y121" s="206">
        <v>-60</v>
      </c>
      <c r="Z121" s="216">
        <v>-47</v>
      </c>
      <c r="AA121" s="218">
        <v>111</v>
      </c>
      <c r="AB121" s="219"/>
      <c r="AC121" s="220" t="e">
        <f>IF($C$8=$N126,VLOOKUP(MATCH($AD$6,$O121:$O131,1),$M121:$Z131,3),"")</f>
        <v>#REF!</v>
      </c>
      <c r="AD121" s="220" t="e">
        <f>IF($C$8=$N126,VLOOKUP(MATCH($AD$6,$O121:$O131,1),$M121:$Z131,5),"")</f>
        <v>#REF!</v>
      </c>
      <c r="AE121" s="220" t="e">
        <f>IF($C$8=$N126,VLOOKUP(MATCH($AD$6,$O121:$O131,1),$M121:$Z131,6),"")</f>
        <v>#REF!</v>
      </c>
      <c r="AF121" s="220" t="e">
        <f>IF($C$8=$N126,VLOOKUP(MATCH($AD$6,$O121:$O131,1),$M121:$Z131,7),"")</f>
        <v>#REF!</v>
      </c>
      <c r="AG121" s="220" t="e">
        <f>IF($C$8=$N126,VLOOKUP(MATCH($AD$6,$O121:$O131,1),$M121:$Z131,8),"")</f>
        <v>#REF!</v>
      </c>
      <c r="AH121" s="220" t="e">
        <f>IF($C$8=$N126,VLOOKUP(MATCH($AD$6,$O121:$O131,1),$M121:$Z131,9),"")</f>
        <v>#REF!</v>
      </c>
      <c r="AI121" s="220" t="e">
        <f>IF($C$8=$N126,VLOOKUP(MATCH($AD$6,$O121:$O131,1),$M121:$Z131,10),"")</f>
        <v>#REF!</v>
      </c>
      <c r="AJ121" s="220" t="e">
        <f>IF($C$8=$N126,VLOOKUP(MATCH($AD$6,$O121:$O131,1),$M121:$Z131,11),"")</f>
        <v>#REF!</v>
      </c>
      <c r="AK121" s="220" t="e">
        <f>IF($C$8=$N126,VLOOKUP(MATCH($AD$6,$O121:$O131,1),$M121:$Z131,12),"")</f>
        <v>#REF!</v>
      </c>
      <c r="AL121" s="220" t="e">
        <f>IF($C$8=$N126,VLOOKUP(MATCH($AD$6,$O121:$O131,1),$M121:$Z131,13),"")</f>
        <v>#REF!</v>
      </c>
      <c r="AM121" s="221" t="e">
        <f>IF($C$8=$N126,VLOOKUP(MATCH($AD$6,$O121:$O131,1),$M121:$Z131,14),"")</f>
        <v>#REF!</v>
      </c>
    </row>
    <row r="122" spans="1:39" x14ac:dyDescent="0.2">
      <c r="A122" s="52"/>
      <c r="J122" s="57"/>
      <c r="M122" s="200">
        <v>2</v>
      </c>
      <c r="N122" s="21"/>
      <c r="O122" s="223">
        <v>5</v>
      </c>
      <c r="P122" s="223">
        <v>1</v>
      </c>
      <c r="Q122" s="211">
        <v>35.700000000000003</v>
      </c>
      <c r="R122" s="226">
        <v>-18.5</v>
      </c>
      <c r="S122" s="226">
        <v>23.7</v>
      </c>
      <c r="T122" s="227">
        <v>-11</v>
      </c>
      <c r="U122" s="211">
        <v>-42.9</v>
      </c>
      <c r="V122" s="226">
        <v>-24.4</v>
      </c>
      <c r="W122" s="226">
        <v>-29.8</v>
      </c>
      <c r="X122" s="228">
        <v>-18.899999999999999</v>
      </c>
      <c r="Y122" s="211">
        <v>-60</v>
      </c>
      <c r="Z122" s="227">
        <v>-47</v>
      </c>
      <c r="AA122" s="218">
        <v>112</v>
      </c>
      <c r="AB122" s="229"/>
      <c r="AC122" s="230" t="e">
        <f>IF($C$8=$N126,VLOOKUP(MATCH($AD$6,$O121:$O131,1)+IF($AD$6&lt;25,1,2),$M121:$Z131,3),"")</f>
        <v>#REF!</v>
      </c>
      <c r="AD122" s="230" t="e">
        <f>IF($C$8=$N126,VLOOKUP(MATCH($AD$6,$O121:$O131,1)+IF($AD$6&lt;25,1,2),$M121:$Z131,5),"")</f>
        <v>#REF!</v>
      </c>
      <c r="AE122" s="230" t="e">
        <f>IF($C$8=$N126,VLOOKUP(MATCH($AD$6,$O121:$O131,1)+IF($AD$6&lt;25,1,2),$M121:$Z131,6),"")</f>
        <v>#REF!</v>
      </c>
      <c r="AF122" s="230" t="e">
        <f>IF($C$8=$N126,VLOOKUP(MATCH($AD$6,$O121:$O131,1)+IF($AD$6&lt;25,1,2),$M121:$Z131,7),"")</f>
        <v>#REF!</v>
      </c>
      <c r="AG122" s="230" t="e">
        <f>IF($C$8=$N126,VLOOKUP(MATCH($AD$6,$O121:$O131,1)+IF($AD$6&lt;25,1,2),$M121:$Z131,8),"")</f>
        <v>#REF!</v>
      </c>
      <c r="AH122" s="230" t="e">
        <f>IF($C$8=$N126,VLOOKUP(MATCH($AD$6,$O121:$O131,1)+IF($AD$6&lt;25,1,2),$M121:$Z131,9),"")</f>
        <v>#REF!</v>
      </c>
      <c r="AI122" s="230" t="e">
        <f>IF($C$8=$N126,VLOOKUP(MATCH($AD$6,$O121:$O131,1)+IF($AD$6&lt;25,1,2),$M121:$Z131,10),"")</f>
        <v>#REF!</v>
      </c>
      <c r="AJ122" s="230" t="e">
        <f>IF($C$8=$N126,VLOOKUP(MATCH($AD$6,$O121:$O131,1)+IF($AD$6&lt;25,1,2),$M121:$Z131,11),"")</f>
        <v>#REF!</v>
      </c>
      <c r="AK122" s="230" t="e">
        <f>IF($C$8=$N126,VLOOKUP(MATCH($AD$6,$O121:$O131,1)+IF($AD$6&lt;25,1,2),$M121:$Z131,12),"")</f>
        <v>#REF!</v>
      </c>
      <c r="AL122" s="230" t="e">
        <f>IF($C$8=$N126,VLOOKUP(MATCH($AD$6,$O121:$O131,1)+IF($AD$6&lt;25,1,2),$M121:$Z131,13),"")</f>
        <v>#REF!</v>
      </c>
      <c r="AM122" s="231" t="e">
        <f>IF($C$8=$N126,VLOOKUP(MATCH($AD$6,$O121:$O131,1)+IF($AD$6&lt;25,1,2),$M121:$Z131,14),"")</f>
        <v>#REF!</v>
      </c>
    </row>
    <row r="123" spans="1:39" x14ac:dyDescent="0.2">
      <c r="A123" s="52"/>
      <c r="J123" s="57"/>
      <c r="M123" s="200">
        <v>3</v>
      </c>
      <c r="N123" s="21"/>
      <c r="O123" s="223">
        <v>10</v>
      </c>
      <c r="P123" s="223">
        <v>1</v>
      </c>
      <c r="Q123" s="211">
        <v>40.200000000000003</v>
      </c>
      <c r="R123" s="226">
        <v>-16.7</v>
      </c>
      <c r="S123" s="226">
        <v>26.8</v>
      </c>
      <c r="T123" s="227">
        <v>-9.6999999999999993</v>
      </c>
      <c r="U123" s="211">
        <v>-42.9</v>
      </c>
      <c r="V123" s="226">
        <v>-26.2</v>
      </c>
      <c r="W123" s="226">
        <v>-29.8</v>
      </c>
      <c r="X123" s="228">
        <v>-20.100000000000001</v>
      </c>
      <c r="Y123" s="211">
        <v>-60</v>
      </c>
      <c r="Z123" s="227">
        <v>-47</v>
      </c>
      <c r="AA123" s="218">
        <v>113</v>
      </c>
      <c r="AB123" s="229" t="e">
        <f>IF($C$8=$N126,MATCH($AD$6,$O121:$O131,1),0)</f>
        <v>#REF!</v>
      </c>
      <c r="AC123" s="230" t="e">
        <f>IF($C$8=$N126,$AD$6,"")</f>
        <v>#REF!</v>
      </c>
      <c r="AD123" s="230" t="e">
        <f t="shared" ref="AD123:AM123" si="23">IF($C$8=$N126,(AD122-AD121)*($AD$6-$AC121)/($AC122-$AC121)+AD121,"")</f>
        <v>#REF!</v>
      </c>
      <c r="AE123" s="230" t="e">
        <f t="shared" si="23"/>
        <v>#REF!</v>
      </c>
      <c r="AF123" s="230" t="e">
        <f t="shared" si="23"/>
        <v>#REF!</v>
      </c>
      <c r="AG123" s="230" t="e">
        <f t="shared" si="23"/>
        <v>#REF!</v>
      </c>
      <c r="AH123" s="230" t="e">
        <f t="shared" si="23"/>
        <v>#REF!</v>
      </c>
      <c r="AI123" s="230" t="e">
        <f t="shared" si="23"/>
        <v>#REF!</v>
      </c>
      <c r="AJ123" s="230" t="e">
        <f t="shared" si="23"/>
        <v>#REF!</v>
      </c>
      <c r="AK123" s="230" t="e">
        <f t="shared" si="23"/>
        <v>#REF!</v>
      </c>
      <c r="AL123" s="230" t="e">
        <f t="shared" si="23"/>
        <v>#REF!</v>
      </c>
      <c r="AM123" s="231" t="e">
        <f t="shared" si="23"/>
        <v>#REF!</v>
      </c>
    </row>
    <row r="124" spans="1:39" x14ac:dyDescent="0.2">
      <c r="A124" s="52"/>
      <c r="J124" s="57"/>
      <c r="M124" s="200">
        <v>4</v>
      </c>
      <c r="N124" s="21"/>
      <c r="O124" s="223">
        <v>15</v>
      </c>
      <c r="P124" s="223">
        <v>1</v>
      </c>
      <c r="Q124" s="211">
        <v>44.8</v>
      </c>
      <c r="R124" s="226">
        <v>-14.9</v>
      </c>
      <c r="S124" s="226">
        <v>29.8</v>
      </c>
      <c r="T124" s="227">
        <v>-8.5</v>
      </c>
      <c r="U124" s="211">
        <v>-42.9</v>
      </c>
      <c r="V124" s="226">
        <v>-28</v>
      </c>
      <c r="W124" s="226">
        <v>-29.8</v>
      </c>
      <c r="X124" s="228">
        <v>-21.4</v>
      </c>
      <c r="Y124" s="211">
        <v>-60</v>
      </c>
      <c r="Z124" s="227">
        <v>-47</v>
      </c>
      <c r="AA124" s="218">
        <v>114</v>
      </c>
      <c r="AB124" s="229"/>
      <c r="AC124" s="230"/>
      <c r="AD124" s="552"/>
      <c r="AE124" s="552"/>
      <c r="AF124" s="552"/>
      <c r="AG124" s="552"/>
      <c r="AH124" s="552"/>
      <c r="AI124" s="552"/>
      <c r="AJ124" s="552"/>
      <c r="AK124" s="552"/>
      <c r="AL124" s="552"/>
      <c r="AM124" s="553"/>
    </row>
    <row r="125" spans="1:39" x14ac:dyDescent="0.2">
      <c r="A125" s="52"/>
      <c r="J125" s="57"/>
      <c r="M125" s="200">
        <v>5</v>
      </c>
      <c r="N125" s="21"/>
      <c r="O125" s="223">
        <v>20</v>
      </c>
      <c r="P125" s="223">
        <v>1</v>
      </c>
      <c r="Q125" s="211">
        <v>49.4</v>
      </c>
      <c r="R125" s="226">
        <v>-13</v>
      </c>
      <c r="S125" s="226">
        <v>32.9</v>
      </c>
      <c r="T125" s="227">
        <v>-7.2</v>
      </c>
      <c r="U125" s="211">
        <v>-42.9</v>
      </c>
      <c r="V125" s="226">
        <v>-29.8</v>
      </c>
      <c r="W125" s="226">
        <v>-29.8</v>
      </c>
      <c r="X125" s="228">
        <v>-22.6</v>
      </c>
      <c r="Y125" s="211">
        <v>-60</v>
      </c>
      <c r="Z125" s="227">
        <v>-47</v>
      </c>
      <c r="AA125" s="218">
        <v>115</v>
      </c>
      <c r="AB125" s="229"/>
      <c r="AC125" s="230" t="e">
        <f>IF($C$8=$N126,IF(AND($AD$6&gt;=25,$AD$6&lt;=45),VLOOKUP(MATCH($AD$6,$O121:$O131,1),$M121:$Z131,3),""),"")</f>
        <v>#REF!</v>
      </c>
      <c r="AD125" s="230" t="e">
        <f>IF($C$8=$N126,IF(AND($AD$6&gt;=25,$AD$6&lt;=45),VLOOKUP(MATCH($AD$6,$O121:$O131,1)+1,$M121:$Z131,5),""),"")</f>
        <v>#REF!</v>
      </c>
      <c r="AE125" s="230" t="e">
        <f>IF($C$8=$N126,IF(AND($AD$6&gt;=25,$AD$6&lt;=45),VLOOKUP(MATCH($AD$6,$O121:$O131,1)+1,$M121:$Z131,6),""),"")</f>
        <v>#REF!</v>
      </c>
      <c r="AF125" s="230" t="e">
        <f>IF($C$8=$N126,IF(AND($AD$6&gt;=25,$AD$6&lt;=45),VLOOKUP(MATCH($AD$6,$O121:$O131,1)+1,$M121:$Z131,7),""),"")</f>
        <v>#REF!</v>
      </c>
      <c r="AG125" s="230" t="e">
        <f>IF($C$8=$N126,IF(AND($AD$6&gt;=25,$AD$6&lt;=45),VLOOKUP(MATCH($AD$6,$O121:$O131,1)+1,$M121:$Z131,8),""),"")</f>
        <v>#REF!</v>
      </c>
      <c r="AH125" s="230" t="e">
        <f>IF($C$8=$N126,IF(AND($AD$6&gt;=25,$AD$6&lt;=45),VLOOKUP(MATCH($AD$6,$O121:$O131,1)+1,$M121:$Z131,9),""),"")</f>
        <v>#REF!</v>
      </c>
      <c r="AI125" s="230" t="e">
        <f>IF($C$8=$N126,IF(AND($AD$6&gt;=25,$AD$6&lt;=45),VLOOKUP(MATCH($AD$6,$O121:$O131,1)+1,$M121:$Z131,10),""),"")</f>
        <v>#REF!</v>
      </c>
      <c r="AJ125" s="230" t="e">
        <f>IF($C$8=$N126,IF(AND($AD$6&gt;=25,$AD$6&lt;=45),VLOOKUP(MATCH($AD$6,$O121:$O131,1)+1,$M121:$Z131,11),""),"")</f>
        <v>#REF!</v>
      </c>
      <c r="AK125" s="230" t="e">
        <f>IF($C$8=$N126,IF(AND($AD$6&gt;=25,$AD$6&lt;=45),VLOOKUP(MATCH($AD$6,$O121:$O131,1)+1,$M121:$Z131,12),""),"")</f>
        <v>#REF!</v>
      </c>
      <c r="AL125" s="230" t="e">
        <f>IF($C$8=$N126,IF(AND($AD$6&gt;=25,$AD$6&lt;=45),VLOOKUP(MATCH($AD$6,$O121:$O131,1)+1,$M121:$Z131,13),""),"")</f>
        <v>#REF!</v>
      </c>
      <c r="AM125" s="231" t="e">
        <f>IF($C$8=$N126,IF(AND($AD$6&gt;=25,$AD$6&lt;=45),VLOOKUP(MATCH($AD$6,$O121:$O131,1)+1,$M121:$Z131,14),""),"")</f>
        <v>#REF!</v>
      </c>
    </row>
    <row r="126" spans="1:39" x14ac:dyDescent="0.2">
      <c r="A126" s="52"/>
      <c r="J126" s="57"/>
      <c r="M126" s="200">
        <v>6</v>
      </c>
      <c r="N126" s="21">
        <v>150</v>
      </c>
      <c r="O126" s="235">
        <v>25</v>
      </c>
      <c r="P126" s="235">
        <v>1</v>
      </c>
      <c r="Q126" s="236">
        <v>44.8</v>
      </c>
      <c r="R126" s="237">
        <v>7.2</v>
      </c>
      <c r="S126" s="237">
        <v>32.4</v>
      </c>
      <c r="T126" s="238">
        <v>7.4</v>
      </c>
      <c r="U126" s="236">
        <v>-19.899999999999999</v>
      </c>
      <c r="V126" s="237">
        <v>-27.1</v>
      </c>
      <c r="W126" s="237">
        <v>-14.4</v>
      </c>
      <c r="X126" s="239">
        <v>-21.6</v>
      </c>
      <c r="Y126" s="236">
        <v>-37</v>
      </c>
      <c r="Z126" s="238">
        <v>-31.6</v>
      </c>
      <c r="AA126" s="218">
        <v>116</v>
      </c>
      <c r="AB126" s="229"/>
      <c r="AC126" s="230" t="e">
        <f>IF($C$8=$N126,IF(AND($AD$6&gt;=25,$AD$6&lt;=45),VLOOKUP(MATCH($AD$6,$O121:$O131,1)+IF($AD$6&lt;25,1,2),$M121:$Z131,3),""),"")</f>
        <v>#REF!</v>
      </c>
      <c r="AD126" s="230" t="e">
        <f>IF($C$8=$N126,IF(AND($AD$6&gt;=25,$AD$6&lt;=45),VLOOKUP(MATCH($AD$6,$O121:$O131,1)+1+IF($AD$6&lt;25,1,2),$M121:$Z131,5),""),"")</f>
        <v>#REF!</v>
      </c>
      <c r="AE126" s="230" t="e">
        <f>IF($C$8=$N126,IF(AND($AD$6&gt;=25,$AD$6&lt;=45),VLOOKUP(MATCH($AD$6,$O121:$O131,1)+1+IF($AD$6&lt;25,1,2),$M121:$Z131,6),""),"")</f>
        <v>#REF!</v>
      </c>
      <c r="AF126" s="230" t="e">
        <f>IF($C$8=$N126,IF(AND($AD$6&gt;=25,$AD$6&lt;=45),VLOOKUP(MATCH($AD$6,$O121:$O131,1)+1+IF($AD$6&lt;25,1,2),$M121:$Z131,7),""),"")</f>
        <v>#REF!</v>
      </c>
      <c r="AG126" s="230" t="e">
        <f>IF($C$8=$N126,IF(AND($AD$6&gt;=25,$AD$6&lt;=45),VLOOKUP(MATCH($AD$6,$O121:$O131,1)+1+IF($AD$6&lt;25,1,2),$M121:$Z131,8),""),"")</f>
        <v>#REF!</v>
      </c>
      <c r="AH126" s="230" t="e">
        <f>IF($C$8=$N126,IF(AND($AD$6&gt;=25,$AD$6&lt;=45),VLOOKUP(MATCH($AD$6,$O121:$O131,1)+1+IF($AD$6&lt;25,1,2),$M121:$Z131,9),""),"")</f>
        <v>#REF!</v>
      </c>
      <c r="AI126" s="230" t="e">
        <f>IF($C$8=$N126,IF(AND($AD$6&gt;=25,$AD$6&lt;=45),VLOOKUP(MATCH($AD$6,$O121:$O131,1)+1+IF($AD$6&lt;25,1,2),$M121:$Z131,10),""),"")</f>
        <v>#REF!</v>
      </c>
      <c r="AJ126" s="230" t="e">
        <f>IF($C$8=$N126,IF(AND($AD$6&gt;=25,$AD$6&lt;=45),VLOOKUP(MATCH($AD$6,$O121:$O131,1)+1+IF($AD$6&lt;25,1,2),$M121:$Z131,11),""),"")</f>
        <v>#REF!</v>
      </c>
      <c r="AK126" s="230" t="e">
        <f>IF($C$8=$N126,IF(AND($AD$6&gt;=25,$AD$6&lt;=45),VLOOKUP(MATCH($AD$6,$O121:$O131,1)+1+IF($AD$6&lt;25,1,2),$M121:$Z131,12),""),"")</f>
        <v>#REF!</v>
      </c>
      <c r="AL126" s="230" t="e">
        <f>IF($C$8=$N126,IF(AND($AD$6&gt;=25,$AD$6&lt;=45),VLOOKUP(MATCH($AD$6,$O121:$O131,1)+1+IF($AD$6&lt;25,1,2),$M121:$Z131,13),""),"")</f>
        <v>#REF!</v>
      </c>
      <c r="AM126" s="231" t="e">
        <f>IF($C$8=$N126,IF(AND($AD$6&gt;=25,$AD$6&lt;=45),VLOOKUP(MATCH($AD$6,$O121:$O131,1)+1+IF($AD$6&lt;25,1,2),$M121:$Z131,14),""),"")</f>
        <v>#REF!</v>
      </c>
    </row>
    <row r="127" spans="1:39" x14ac:dyDescent="0.2">
      <c r="A127" s="52"/>
      <c r="J127" s="57"/>
      <c r="M127" s="200">
        <v>7</v>
      </c>
      <c r="N127" s="21"/>
      <c r="O127" s="210"/>
      <c r="P127" s="210">
        <v>2</v>
      </c>
      <c r="Q127" s="240">
        <v>0</v>
      </c>
      <c r="R127" s="241">
        <v>0</v>
      </c>
      <c r="S127" s="241">
        <v>0</v>
      </c>
      <c r="T127" s="242">
        <v>0</v>
      </c>
      <c r="U127" s="240">
        <v>-7.5</v>
      </c>
      <c r="V127" s="241">
        <v>-14.7</v>
      </c>
      <c r="W127" s="241">
        <v>-2.1</v>
      </c>
      <c r="X127" s="243">
        <v>-9.4</v>
      </c>
      <c r="Y127" s="240">
        <v>0</v>
      </c>
      <c r="Z127" s="242">
        <v>0</v>
      </c>
      <c r="AA127" s="218">
        <v>117</v>
      </c>
      <c r="AB127" s="229"/>
      <c r="AC127" s="230" t="e">
        <f>IF($C$8=$N126,IF(AND($AD$6&gt;=25,$AD$6&lt;=45),$AD$6,""),"")</f>
        <v>#REF!</v>
      </c>
      <c r="AD127" s="230" t="e">
        <f t="shared" ref="AD127:AM127" si="24">IF($C$8=$N126,IF(AND($AD$6&gt;=25,$AD$6&lt;=45),(AD126-AD125)*($AD$6-$AC125)/($AC126-$AC125)+AD125,""),"")</f>
        <v>#REF!</v>
      </c>
      <c r="AE127" s="230" t="e">
        <f t="shared" si="24"/>
        <v>#REF!</v>
      </c>
      <c r="AF127" s="230" t="e">
        <f t="shared" si="24"/>
        <v>#REF!</v>
      </c>
      <c r="AG127" s="230" t="e">
        <f t="shared" si="24"/>
        <v>#REF!</v>
      </c>
      <c r="AH127" s="230" t="e">
        <f t="shared" si="24"/>
        <v>#REF!</v>
      </c>
      <c r="AI127" s="230" t="e">
        <f t="shared" si="24"/>
        <v>#REF!</v>
      </c>
      <c r="AJ127" s="230" t="e">
        <f t="shared" si="24"/>
        <v>#REF!</v>
      </c>
      <c r="AK127" s="230" t="e">
        <f t="shared" si="24"/>
        <v>#REF!</v>
      </c>
      <c r="AL127" s="230" t="e">
        <f t="shared" si="24"/>
        <v>#REF!</v>
      </c>
      <c r="AM127" s="231" t="e">
        <f t="shared" si="24"/>
        <v>#REF!</v>
      </c>
    </row>
    <row r="128" spans="1:39" x14ac:dyDescent="0.2">
      <c r="A128" s="52"/>
      <c r="J128" s="57"/>
      <c r="M128" s="200">
        <v>8</v>
      </c>
      <c r="N128" s="21"/>
      <c r="O128" s="235">
        <v>30</v>
      </c>
      <c r="P128" s="235">
        <v>1</v>
      </c>
      <c r="Q128" s="236">
        <v>40.1</v>
      </c>
      <c r="R128" s="237">
        <v>27.4</v>
      </c>
      <c r="S128" s="237">
        <v>31.9</v>
      </c>
      <c r="T128" s="238">
        <v>22</v>
      </c>
      <c r="U128" s="236">
        <v>3.1</v>
      </c>
      <c r="V128" s="237">
        <v>-24.4</v>
      </c>
      <c r="W128" s="237">
        <v>1</v>
      </c>
      <c r="X128" s="239">
        <v>-20.9</v>
      </c>
      <c r="Y128" s="236">
        <v>-14.1</v>
      </c>
      <c r="Z128" s="238">
        <v>-16.100000000000001</v>
      </c>
      <c r="AA128" s="218">
        <v>118</v>
      </c>
      <c r="AB128" s="270"/>
      <c r="AC128" s="552"/>
      <c r="AD128" s="552"/>
      <c r="AE128" s="552"/>
      <c r="AF128" s="552"/>
      <c r="AG128" s="552"/>
      <c r="AH128" s="552"/>
      <c r="AI128" s="552"/>
      <c r="AJ128" s="552"/>
      <c r="AK128" s="552"/>
      <c r="AL128" s="552"/>
      <c r="AM128" s="553"/>
    </row>
    <row r="129" spans="1:39" x14ac:dyDescent="0.2">
      <c r="A129" s="52"/>
      <c r="J129" s="57"/>
      <c r="M129" s="200">
        <v>9</v>
      </c>
      <c r="N129" s="249"/>
      <c r="O129" s="210"/>
      <c r="P129" s="210">
        <v>2</v>
      </c>
      <c r="Q129" s="240">
        <v>40.1</v>
      </c>
      <c r="R129" s="241">
        <v>27.4</v>
      </c>
      <c r="S129" s="241">
        <v>31.9</v>
      </c>
      <c r="T129" s="242">
        <v>22</v>
      </c>
      <c r="U129" s="240">
        <v>15.4</v>
      </c>
      <c r="V129" s="241">
        <v>-12</v>
      </c>
      <c r="W129" s="241">
        <v>13.4</v>
      </c>
      <c r="X129" s="243">
        <v>-8.6</v>
      </c>
      <c r="Y129" s="240">
        <v>-14.1</v>
      </c>
      <c r="Z129" s="242">
        <v>-16.100000000000001</v>
      </c>
      <c r="AA129" s="218">
        <v>119</v>
      </c>
      <c r="AB129" s="270"/>
      <c r="AC129" s="552"/>
      <c r="AD129" s="552"/>
      <c r="AE129" s="552"/>
      <c r="AF129" s="552"/>
      <c r="AG129" s="552"/>
      <c r="AH129" s="552"/>
      <c r="AI129" s="552"/>
      <c r="AJ129" s="552"/>
      <c r="AK129" s="552"/>
      <c r="AL129" s="552"/>
      <c r="AM129" s="553"/>
    </row>
    <row r="130" spans="1:39" x14ac:dyDescent="0.2">
      <c r="A130" s="52"/>
      <c r="J130" s="57"/>
      <c r="M130" s="200">
        <v>10</v>
      </c>
      <c r="N130" s="21"/>
      <c r="O130" s="235">
        <v>45</v>
      </c>
      <c r="P130" s="235">
        <v>1</v>
      </c>
      <c r="Q130" s="236">
        <v>40.1</v>
      </c>
      <c r="R130" s="237">
        <v>27.4</v>
      </c>
      <c r="S130" s="237">
        <v>31.9</v>
      </c>
      <c r="T130" s="238">
        <v>22</v>
      </c>
      <c r="U130" s="236">
        <v>3.1</v>
      </c>
      <c r="V130" s="237">
        <v>-24.4</v>
      </c>
      <c r="W130" s="237">
        <v>1</v>
      </c>
      <c r="X130" s="239">
        <v>-20.9</v>
      </c>
      <c r="Y130" s="236">
        <v>-14.1</v>
      </c>
      <c r="Z130" s="238">
        <v>-16.100000000000001</v>
      </c>
      <c r="AA130" s="218">
        <v>120</v>
      </c>
      <c r="AB130" s="270"/>
      <c r="AC130" s="552"/>
      <c r="AD130" s="552"/>
      <c r="AE130" s="552"/>
      <c r="AF130" s="552"/>
      <c r="AG130" s="552"/>
      <c r="AH130" s="552"/>
      <c r="AI130" s="552"/>
      <c r="AJ130" s="552"/>
      <c r="AK130" s="552"/>
      <c r="AL130" s="552"/>
      <c r="AM130" s="553"/>
    </row>
    <row r="131" spans="1:39" x14ac:dyDescent="0.2">
      <c r="A131" s="52"/>
      <c r="J131" s="57"/>
      <c r="M131" s="200">
        <v>11</v>
      </c>
      <c r="N131" s="22"/>
      <c r="O131" s="250"/>
      <c r="P131" s="250">
        <v>2</v>
      </c>
      <c r="Q131" s="251">
        <v>40.1</v>
      </c>
      <c r="R131" s="252">
        <v>27.4</v>
      </c>
      <c r="S131" s="252">
        <v>31.9</v>
      </c>
      <c r="T131" s="253">
        <v>22</v>
      </c>
      <c r="U131" s="251">
        <v>15.4</v>
      </c>
      <c r="V131" s="252">
        <v>-12</v>
      </c>
      <c r="W131" s="252">
        <v>13.4</v>
      </c>
      <c r="X131" s="254">
        <v>-8.6</v>
      </c>
      <c r="Y131" s="251">
        <v>-14.1</v>
      </c>
      <c r="Z131" s="253">
        <v>-16.100000000000001</v>
      </c>
      <c r="AA131" s="218">
        <v>121</v>
      </c>
      <c r="AB131" s="271"/>
      <c r="AC131" s="555"/>
      <c r="AD131" s="555"/>
      <c r="AE131" s="555"/>
      <c r="AF131" s="555"/>
      <c r="AG131" s="555"/>
      <c r="AH131" s="555"/>
      <c r="AI131" s="555"/>
      <c r="AJ131" s="555"/>
      <c r="AK131" s="555"/>
      <c r="AL131" s="555"/>
      <c r="AM131" s="556"/>
    </row>
    <row r="132" spans="1:39" x14ac:dyDescent="0.2">
      <c r="A132" s="52"/>
      <c r="J132" s="57"/>
      <c r="M132" s="200">
        <v>1</v>
      </c>
      <c r="N132" s="197"/>
      <c r="O132" s="205">
        <v>0</v>
      </c>
      <c r="P132" s="205">
        <v>1</v>
      </c>
      <c r="Q132" s="206">
        <v>45.8</v>
      </c>
      <c r="R132" s="215">
        <v>-23.8</v>
      </c>
      <c r="S132" s="215">
        <v>30.4</v>
      </c>
      <c r="T132" s="216">
        <v>-14.1</v>
      </c>
      <c r="U132" s="206">
        <v>-55.1</v>
      </c>
      <c r="V132" s="215">
        <v>-31.3</v>
      </c>
      <c r="W132" s="215">
        <v>-38.299999999999997</v>
      </c>
      <c r="X132" s="217">
        <v>-24.2</v>
      </c>
      <c r="Y132" s="206">
        <v>-77.099999999999994</v>
      </c>
      <c r="Z132" s="216">
        <v>-60.4</v>
      </c>
      <c r="AA132" s="218">
        <v>122</v>
      </c>
      <c r="AB132" s="219"/>
      <c r="AC132" s="220" t="e">
        <f>IF($C$8=$N137,VLOOKUP(MATCH($AD$6,$O132:$O142,1),$M132:$Z142,3),"")</f>
        <v>#REF!</v>
      </c>
      <c r="AD132" s="220" t="e">
        <f>IF($C$8=$N137,VLOOKUP(MATCH($AD$6,$O132:$O142,1),$M132:$Z142,5),"")</f>
        <v>#REF!</v>
      </c>
      <c r="AE132" s="220" t="e">
        <f>IF($C$8=$N137,VLOOKUP(MATCH($AD$6,$O132:$O142,1),$M132:$Z142,6),"")</f>
        <v>#REF!</v>
      </c>
      <c r="AF132" s="220" t="e">
        <f>IF($C$8=$N137,VLOOKUP(MATCH($AD$6,$O132:$O142,1),$M132:$Z142,7),"")</f>
        <v>#REF!</v>
      </c>
      <c r="AG132" s="220" t="e">
        <f>IF($C$8=$N137,VLOOKUP(MATCH($AD$6,$O132:$O142,1),$M132:$Z142,8),"")</f>
        <v>#REF!</v>
      </c>
      <c r="AH132" s="220" t="e">
        <f>IF($C$8=$N137,VLOOKUP(MATCH($AD$6,$O132:$O142,1),$M132:$Z142,9),"")</f>
        <v>#REF!</v>
      </c>
      <c r="AI132" s="220" t="e">
        <f>IF($C$8=$N137,VLOOKUP(MATCH($AD$6,$O132:$O142,1),$M132:$Z142,10),"")</f>
        <v>#REF!</v>
      </c>
      <c r="AJ132" s="220" t="e">
        <f>IF($C$8=$N137,VLOOKUP(MATCH($AD$6,$O132:$O142,1),$M132:$Z142,11),"")</f>
        <v>#REF!</v>
      </c>
      <c r="AK132" s="220" t="e">
        <f>IF($C$8=$N137,VLOOKUP(MATCH($AD$6,$O132:$O142,1),$M132:$Z142,12),"")</f>
        <v>#REF!</v>
      </c>
      <c r="AL132" s="220" t="e">
        <f>IF($C$8=$N137,VLOOKUP(MATCH($AD$6,$O132:$O142,1),$M132:$Z142,13),"")</f>
        <v>#REF!</v>
      </c>
      <c r="AM132" s="221" t="e">
        <f>IF($C$8=$N137,VLOOKUP(MATCH($AD$6,$O132:$O142,1),$M132:$Z142,14),"")</f>
        <v>#REF!</v>
      </c>
    </row>
    <row r="133" spans="1:39" x14ac:dyDescent="0.2">
      <c r="A133" s="52"/>
      <c r="J133" s="57"/>
      <c r="M133" s="200">
        <v>2</v>
      </c>
      <c r="N133" s="21"/>
      <c r="O133" s="223">
        <v>5</v>
      </c>
      <c r="P133" s="223">
        <v>1</v>
      </c>
      <c r="Q133" s="211">
        <v>45.8</v>
      </c>
      <c r="R133" s="226">
        <v>-23.8</v>
      </c>
      <c r="S133" s="226">
        <v>30.4</v>
      </c>
      <c r="T133" s="227">
        <v>-14.1</v>
      </c>
      <c r="U133" s="211">
        <v>-55.1</v>
      </c>
      <c r="V133" s="226">
        <v>-31.3</v>
      </c>
      <c r="W133" s="226">
        <v>-38.299999999999997</v>
      </c>
      <c r="X133" s="228">
        <v>-24.2</v>
      </c>
      <c r="Y133" s="211">
        <v>-77.099999999999994</v>
      </c>
      <c r="Z133" s="227">
        <v>-60.4</v>
      </c>
      <c r="AA133" s="218">
        <v>123</v>
      </c>
      <c r="AB133" s="229"/>
      <c r="AC133" s="230" t="e">
        <f>IF($C$8=$N137,VLOOKUP(MATCH($AD$6,$O132:$O142,1)+IF($AD$6&lt;25,1,2),$M132:$Z142,3),"")</f>
        <v>#REF!</v>
      </c>
      <c r="AD133" s="230" t="e">
        <f>IF($C$8=$N137,VLOOKUP(MATCH($AD$6,$O132:$O142,1)+IF($AD$6&lt;25,1,2),$M132:$Z142,5),"")</f>
        <v>#REF!</v>
      </c>
      <c r="AE133" s="230" t="e">
        <f>IF($C$8=$N137,VLOOKUP(MATCH($AD$6,$O132:$O142,1)+IF($AD$6&lt;25,1,2),$M132:$Z142,6),"")</f>
        <v>#REF!</v>
      </c>
      <c r="AF133" s="230" t="e">
        <f>IF($C$8=$N137,VLOOKUP(MATCH($AD$6,$O132:$O142,1)+IF($AD$6&lt;25,1,2),$M132:$Z142,7),"")</f>
        <v>#REF!</v>
      </c>
      <c r="AG133" s="230" t="e">
        <f>IF($C$8=$N137,VLOOKUP(MATCH($AD$6,$O132:$O142,1)+IF($AD$6&lt;25,1,2),$M132:$Z142,8),"")</f>
        <v>#REF!</v>
      </c>
      <c r="AH133" s="230" t="e">
        <f>IF($C$8=$N137,VLOOKUP(MATCH($AD$6,$O132:$O142,1)+IF($AD$6&lt;25,1,2),$M132:$Z142,9),"")</f>
        <v>#REF!</v>
      </c>
      <c r="AI133" s="230" t="e">
        <f>IF($C$8=$N137,VLOOKUP(MATCH($AD$6,$O132:$O142,1)+IF($AD$6&lt;25,1,2),$M132:$Z142,10),"")</f>
        <v>#REF!</v>
      </c>
      <c r="AJ133" s="230" t="e">
        <f>IF($C$8=$N137,VLOOKUP(MATCH($AD$6,$O132:$O142,1)+IF($AD$6&lt;25,1,2),$M132:$Z142,11),"")</f>
        <v>#REF!</v>
      </c>
      <c r="AK133" s="230" t="e">
        <f>IF($C$8=$N137,VLOOKUP(MATCH($AD$6,$O132:$O142,1)+IF($AD$6&lt;25,1,2),$M132:$Z142,12),"")</f>
        <v>#REF!</v>
      </c>
      <c r="AL133" s="230" t="e">
        <f>IF($C$8=$N137,VLOOKUP(MATCH($AD$6,$O132:$O142,1)+IF($AD$6&lt;25,1,2),$M132:$Z142,13),"")</f>
        <v>#REF!</v>
      </c>
      <c r="AM133" s="231" t="e">
        <f>IF($C$8=$N137,VLOOKUP(MATCH($AD$6,$O132:$O142,1)+IF($AD$6&lt;25,1,2),$M132:$Z142,14),"")</f>
        <v>#REF!</v>
      </c>
    </row>
    <row r="134" spans="1:39" x14ac:dyDescent="0.2">
      <c r="A134" s="52"/>
      <c r="J134" s="57"/>
      <c r="M134" s="200">
        <v>3</v>
      </c>
      <c r="N134" s="21"/>
      <c r="O134" s="223">
        <v>10</v>
      </c>
      <c r="P134" s="223">
        <v>1</v>
      </c>
      <c r="Q134" s="211">
        <v>51.7</v>
      </c>
      <c r="R134" s="226">
        <v>-21.4</v>
      </c>
      <c r="S134" s="226">
        <v>34.4</v>
      </c>
      <c r="T134" s="227">
        <v>-12.5</v>
      </c>
      <c r="U134" s="211">
        <v>-55.1</v>
      </c>
      <c r="V134" s="226">
        <v>-33.6</v>
      </c>
      <c r="W134" s="226">
        <v>-38.299999999999997</v>
      </c>
      <c r="X134" s="228">
        <v>-25.8</v>
      </c>
      <c r="Y134" s="211">
        <v>-77.099999999999994</v>
      </c>
      <c r="Z134" s="227">
        <v>-60.4</v>
      </c>
      <c r="AA134" s="218">
        <v>124</v>
      </c>
      <c r="AB134" s="229" t="e">
        <f>IF($C$8=$N137,MATCH($AD$6,$O132:$O142,1),0)</f>
        <v>#REF!</v>
      </c>
      <c r="AC134" s="230" t="e">
        <f>IF($C$8=$N137,$AD$6,"")</f>
        <v>#REF!</v>
      </c>
      <c r="AD134" s="230" t="e">
        <f t="shared" ref="AD134:AM134" si="25">IF($C$8=$N137,(AD133-AD132)*($AD$6-$AC132)/($AC133-$AC132)+AD132,"")</f>
        <v>#REF!</v>
      </c>
      <c r="AE134" s="230" t="e">
        <f t="shared" si="25"/>
        <v>#REF!</v>
      </c>
      <c r="AF134" s="230" t="e">
        <f t="shared" si="25"/>
        <v>#REF!</v>
      </c>
      <c r="AG134" s="230" t="e">
        <f t="shared" si="25"/>
        <v>#REF!</v>
      </c>
      <c r="AH134" s="230" t="e">
        <f t="shared" si="25"/>
        <v>#REF!</v>
      </c>
      <c r="AI134" s="230" t="e">
        <f t="shared" si="25"/>
        <v>#REF!</v>
      </c>
      <c r="AJ134" s="230" t="e">
        <f t="shared" si="25"/>
        <v>#REF!</v>
      </c>
      <c r="AK134" s="230" t="e">
        <f t="shared" si="25"/>
        <v>#REF!</v>
      </c>
      <c r="AL134" s="230" t="e">
        <f t="shared" si="25"/>
        <v>#REF!</v>
      </c>
      <c r="AM134" s="231" t="e">
        <f t="shared" si="25"/>
        <v>#REF!</v>
      </c>
    </row>
    <row r="135" spans="1:39" x14ac:dyDescent="0.2">
      <c r="A135" s="52"/>
      <c r="J135" s="57"/>
      <c r="M135" s="200">
        <v>4</v>
      </c>
      <c r="N135" s="21"/>
      <c r="O135" s="223">
        <v>15</v>
      </c>
      <c r="P135" s="223">
        <v>1</v>
      </c>
      <c r="Q135" s="211">
        <v>57.6</v>
      </c>
      <c r="R135" s="226">
        <v>-19.100000000000001</v>
      </c>
      <c r="S135" s="226">
        <v>38.299999999999997</v>
      </c>
      <c r="T135" s="227">
        <v>-10.9</v>
      </c>
      <c r="U135" s="211">
        <v>-55.1</v>
      </c>
      <c r="V135" s="226">
        <v>-36</v>
      </c>
      <c r="W135" s="226">
        <v>-38.299999999999997</v>
      </c>
      <c r="X135" s="228">
        <v>-27.5</v>
      </c>
      <c r="Y135" s="211">
        <v>-77.099999999999994</v>
      </c>
      <c r="Z135" s="227">
        <v>-60.4</v>
      </c>
      <c r="AA135" s="218">
        <v>125</v>
      </c>
      <c r="AB135" s="229"/>
      <c r="AC135" s="230"/>
      <c r="AD135" s="552"/>
      <c r="AE135" s="552"/>
      <c r="AF135" s="552"/>
      <c r="AG135" s="552"/>
      <c r="AH135" s="552"/>
      <c r="AI135" s="552"/>
      <c r="AJ135" s="552"/>
      <c r="AK135" s="552"/>
      <c r="AL135" s="552"/>
      <c r="AM135" s="553"/>
    </row>
    <row r="136" spans="1:39" x14ac:dyDescent="0.2">
      <c r="A136" s="136"/>
      <c r="B136" s="40"/>
      <c r="C136" s="40"/>
      <c r="D136" s="40"/>
      <c r="E136" s="44"/>
      <c r="F136" s="40"/>
      <c r="G136" s="40"/>
      <c r="H136" s="40"/>
      <c r="J136" s="57"/>
      <c r="M136" s="200">
        <v>5</v>
      </c>
      <c r="N136" s="21"/>
      <c r="O136" s="223">
        <v>20</v>
      </c>
      <c r="P136" s="223">
        <v>1</v>
      </c>
      <c r="Q136" s="211">
        <v>63.4</v>
      </c>
      <c r="R136" s="226">
        <v>-16.7</v>
      </c>
      <c r="S136" s="226">
        <v>42.3</v>
      </c>
      <c r="T136" s="227">
        <v>-9.3000000000000007</v>
      </c>
      <c r="U136" s="211">
        <v>-55.1</v>
      </c>
      <c r="V136" s="226">
        <v>-38.299999999999997</v>
      </c>
      <c r="W136" s="226">
        <v>-38.299999999999997</v>
      </c>
      <c r="X136" s="228">
        <v>-29.1</v>
      </c>
      <c r="Y136" s="211">
        <v>-77.099999999999994</v>
      </c>
      <c r="Z136" s="227">
        <v>-60.4</v>
      </c>
      <c r="AA136" s="218">
        <v>126</v>
      </c>
      <c r="AB136" s="229"/>
      <c r="AC136" s="230" t="e">
        <f>IF($C$8=$N137,IF(AND($AD$6&gt;=25,$AD$6&lt;=45),VLOOKUP(MATCH($AD$6,$O132:$O142,1),$M132:$Z142,3),""),"")</f>
        <v>#REF!</v>
      </c>
      <c r="AD136" s="230" t="e">
        <f>IF($C$8=$N137,IF(AND($AD$6&gt;=25,$AD$6&lt;=45),VLOOKUP(MATCH($AD$6,$O132:$O142,1)+1,$M132:$Z142,5),""),"")</f>
        <v>#REF!</v>
      </c>
      <c r="AE136" s="230" t="e">
        <f>IF($C$8=$N137,IF(AND($AD$6&gt;=25,$AD$6&lt;=45),VLOOKUP(MATCH($AD$6,$O132:$O142,1)+1,$M132:$Z142,6),""),"")</f>
        <v>#REF!</v>
      </c>
      <c r="AF136" s="230" t="e">
        <f>IF($C$8=$N137,IF(AND($AD$6&gt;=25,$AD$6&lt;=45),VLOOKUP(MATCH($AD$6,$O132:$O142,1)+1,$M132:$Z142,7),""),"")</f>
        <v>#REF!</v>
      </c>
      <c r="AG136" s="230" t="e">
        <f>IF($C$8=$N137,IF(AND($AD$6&gt;=25,$AD$6&lt;=45),VLOOKUP(MATCH($AD$6,$O132:$O142,1)+1,$M132:$Z142,8),""),"")</f>
        <v>#REF!</v>
      </c>
      <c r="AH136" s="230" t="e">
        <f>IF($C$8=$N137,IF(AND($AD$6&gt;=25,$AD$6&lt;=45),VLOOKUP(MATCH($AD$6,$O132:$O142,1)+1,$M132:$Z142,9),""),"")</f>
        <v>#REF!</v>
      </c>
      <c r="AI136" s="230" t="e">
        <f>IF($C$8=$N137,IF(AND($AD$6&gt;=25,$AD$6&lt;=45),VLOOKUP(MATCH($AD$6,$O132:$O142,1)+1,$M132:$Z142,10),""),"")</f>
        <v>#REF!</v>
      </c>
      <c r="AJ136" s="230" t="e">
        <f>IF($C$8=$N137,IF(AND($AD$6&gt;=25,$AD$6&lt;=45),VLOOKUP(MATCH($AD$6,$O132:$O142,1)+1,$M132:$Z142,11),""),"")</f>
        <v>#REF!</v>
      </c>
      <c r="AK136" s="230" t="e">
        <f>IF($C$8=$N137,IF(AND($AD$6&gt;=25,$AD$6&lt;=45),VLOOKUP(MATCH($AD$6,$O132:$O142,1)+1,$M132:$Z142,12),""),"")</f>
        <v>#REF!</v>
      </c>
      <c r="AL136" s="230" t="e">
        <f>IF($C$8=$N137,IF(AND($AD$6&gt;=25,$AD$6&lt;=45),VLOOKUP(MATCH($AD$6,$O132:$O142,1)+1,$M132:$Z142,13),""),"")</f>
        <v>#REF!</v>
      </c>
      <c r="AM136" s="231" t="e">
        <f>IF($C$8=$N137,IF(AND($AD$6&gt;=25,$AD$6&lt;=45),VLOOKUP(MATCH($AD$6,$O132:$O142,1)+1,$M132:$Z142,14),""),"")</f>
        <v>#REF!</v>
      </c>
    </row>
    <row r="137" spans="1:39" x14ac:dyDescent="0.2">
      <c r="A137" s="136"/>
      <c r="B137" s="40"/>
      <c r="C137" s="40"/>
      <c r="D137" s="40"/>
      <c r="E137" s="44"/>
      <c r="F137" s="40"/>
      <c r="G137" s="40"/>
      <c r="H137" s="40"/>
      <c r="J137" s="57"/>
      <c r="M137" s="200">
        <v>6</v>
      </c>
      <c r="N137" s="21">
        <v>170</v>
      </c>
      <c r="O137" s="235">
        <v>25</v>
      </c>
      <c r="P137" s="235">
        <v>1</v>
      </c>
      <c r="Q137" s="236">
        <v>57.5</v>
      </c>
      <c r="R137" s="237">
        <v>9.3000000000000007</v>
      </c>
      <c r="S137" s="237">
        <v>41.6</v>
      </c>
      <c r="T137" s="238">
        <v>9.5</v>
      </c>
      <c r="U137" s="236">
        <v>-25.6</v>
      </c>
      <c r="V137" s="237">
        <v>-34.799999999999997</v>
      </c>
      <c r="W137" s="237">
        <v>-18.5</v>
      </c>
      <c r="X137" s="239">
        <v>-28</v>
      </c>
      <c r="Y137" s="236">
        <v>-47.6</v>
      </c>
      <c r="Z137" s="238">
        <v>-40.5</v>
      </c>
      <c r="AA137" s="218">
        <v>127</v>
      </c>
      <c r="AB137" s="229"/>
      <c r="AC137" s="230" t="e">
        <f>IF($C$8=$N137,IF(AND($AD$6&gt;=25,$AD$6&lt;=45),VLOOKUP(MATCH($AD$6,$O132:$O142,1)+IF($AD$6&lt;25,1,2),$M132:$Z142,3),""),"")</f>
        <v>#REF!</v>
      </c>
      <c r="AD137" s="230" t="e">
        <f>IF($C$8=$N137,IF(AND($AD$6&gt;=25,$AD$6&lt;=45),VLOOKUP(MATCH($AD$6,$O132:$O142,1)+1+IF($AD$6&lt;25,1,2),$M132:$Z142,5),""),"")</f>
        <v>#REF!</v>
      </c>
      <c r="AE137" s="230" t="e">
        <f>IF($C$8=$N137,IF(AND($AD$6&gt;=25,$AD$6&lt;=45),VLOOKUP(MATCH($AD$6,$O132:$O142,1)+1+IF($AD$6&lt;25,1,2),$M132:$Z142,6),""),"")</f>
        <v>#REF!</v>
      </c>
      <c r="AF137" s="230" t="e">
        <f>IF($C$8=$N137,IF(AND($AD$6&gt;=25,$AD$6&lt;=45),VLOOKUP(MATCH($AD$6,$O132:$O142,1)+1+IF($AD$6&lt;25,1,2),$M132:$Z142,7),""),"")</f>
        <v>#REF!</v>
      </c>
      <c r="AG137" s="230" t="e">
        <f>IF($C$8=$N137,IF(AND($AD$6&gt;=25,$AD$6&lt;=45),VLOOKUP(MATCH($AD$6,$O132:$O142,1)+1+IF($AD$6&lt;25,1,2),$M132:$Z142,8),""),"")</f>
        <v>#REF!</v>
      </c>
      <c r="AH137" s="230" t="e">
        <f>IF($C$8=$N137,IF(AND($AD$6&gt;=25,$AD$6&lt;=45),VLOOKUP(MATCH($AD$6,$O132:$O142,1)+1+IF($AD$6&lt;25,1,2),$M132:$Z142,9),""),"")</f>
        <v>#REF!</v>
      </c>
      <c r="AI137" s="230" t="e">
        <f>IF($C$8=$N137,IF(AND($AD$6&gt;=25,$AD$6&lt;=45),VLOOKUP(MATCH($AD$6,$O132:$O142,1)+1+IF($AD$6&lt;25,1,2),$M132:$Z142,10),""),"")</f>
        <v>#REF!</v>
      </c>
      <c r="AJ137" s="230" t="e">
        <f>IF($C$8=$N137,IF(AND($AD$6&gt;=25,$AD$6&lt;=45),VLOOKUP(MATCH($AD$6,$O132:$O142,1)+1+IF($AD$6&lt;25,1,2),$M132:$Z142,11),""),"")</f>
        <v>#REF!</v>
      </c>
      <c r="AK137" s="230" t="e">
        <f>IF($C$8=$N137,IF(AND($AD$6&gt;=25,$AD$6&lt;=45),VLOOKUP(MATCH($AD$6,$O132:$O142,1)+1+IF($AD$6&lt;25,1,2),$M132:$Z142,12),""),"")</f>
        <v>#REF!</v>
      </c>
      <c r="AL137" s="230" t="e">
        <f>IF($C$8=$N137,IF(AND($AD$6&gt;=25,$AD$6&lt;=45),VLOOKUP(MATCH($AD$6,$O132:$O142,1)+1+IF($AD$6&lt;25,1,2),$M132:$Z142,13),""),"")</f>
        <v>#REF!</v>
      </c>
      <c r="AM137" s="231" t="e">
        <f>IF($C$8=$N137,IF(AND($AD$6&gt;=25,$AD$6&lt;=45),VLOOKUP(MATCH($AD$6,$O132:$O142,1)+1+IF($AD$6&lt;25,1,2),$M132:$Z142,14),""),"")</f>
        <v>#REF!</v>
      </c>
    </row>
    <row r="138" spans="1:39" x14ac:dyDescent="0.2">
      <c r="A138" s="136"/>
      <c r="B138" s="40"/>
      <c r="C138" s="40"/>
      <c r="D138" s="40"/>
      <c r="E138" s="44"/>
      <c r="F138" s="40"/>
      <c r="G138" s="40"/>
      <c r="H138" s="40"/>
      <c r="J138" s="57"/>
      <c r="M138" s="200">
        <v>7</v>
      </c>
      <c r="N138" s="21"/>
      <c r="O138" s="210"/>
      <c r="P138" s="210">
        <v>2</v>
      </c>
      <c r="Q138" s="240">
        <v>0</v>
      </c>
      <c r="R138" s="241">
        <v>0</v>
      </c>
      <c r="S138" s="241">
        <v>0</v>
      </c>
      <c r="T138" s="242">
        <v>0</v>
      </c>
      <c r="U138" s="240">
        <v>-9.6999999999999993</v>
      </c>
      <c r="V138" s="241">
        <v>-18.899999999999999</v>
      </c>
      <c r="W138" s="241">
        <v>-2.6</v>
      </c>
      <c r="X138" s="243">
        <v>-12.1</v>
      </c>
      <c r="Y138" s="240">
        <v>0</v>
      </c>
      <c r="Z138" s="242">
        <v>0</v>
      </c>
      <c r="AA138" s="218">
        <v>128</v>
      </c>
      <c r="AB138" s="229"/>
      <c r="AC138" s="230" t="e">
        <f>IF($C$8=$N137,IF(AND($AD$6&gt;=25,$AD$6&lt;=45),$AD$6,""),"")</f>
        <v>#REF!</v>
      </c>
      <c r="AD138" s="230" t="e">
        <f t="shared" ref="AD138:AM138" si="26">IF($C$8=$N137,IF(AND($AD$6&gt;=25,$AD$6&lt;=45),(AD137-AD136)*($AD$6-$AC136)/($AC137-$AC136)+AD136,""),"")</f>
        <v>#REF!</v>
      </c>
      <c r="AE138" s="230" t="e">
        <f t="shared" si="26"/>
        <v>#REF!</v>
      </c>
      <c r="AF138" s="230" t="e">
        <f t="shared" si="26"/>
        <v>#REF!</v>
      </c>
      <c r="AG138" s="230" t="e">
        <f t="shared" si="26"/>
        <v>#REF!</v>
      </c>
      <c r="AH138" s="230" t="e">
        <f t="shared" si="26"/>
        <v>#REF!</v>
      </c>
      <c r="AI138" s="230" t="e">
        <f t="shared" si="26"/>
        <v>#REF!</v>
      </c>
      <c r="AJ138" s="230" t="e">
        <f t="shared" si="26"/>
        <v>#REF!</v>
      </c>
      <c r="AK138" s="230" t="e">
        <f t="shared" si="26"/>
        <v>#REF!</v>
      </c>
      <c r="AL138" s="230" t="e">
        <f t="shared" si="26"/>
        <v>#REF!</v>
      </c>
      <c r="AM138" s="231" t="e">
        <f t="shared" si="26"/>
        <v>#REF!</v>
      </c>
    </row>
    <row r="139" spans="1:39" x14ac:dyDescent="0.2">
      <c r="A139" s="136"/>
      <c r="B139" s="40"/>
      <c r="C139" s="40"/>
      <c r="D139" s="40"/>
      <c r="E139" s="44"/>
      <c r="F139" s="40"/>
      <c r="G139" s="40"/>
      <c r="H139" s="40"/>
      <c r="J139" s="57"/>
      <c r="M139" s="200">
        <v>8</v>
      </c>
      <c r="N139" s="21"/>
      <c r="O139" s="235">
        <v>30</v>
      </c>
      <c r="P139" s="235">
        <v>1</v>
      </c>
      <c r="Q139" s="236">
        <v>51.5</v>
      </c>
      <c r="R139" s="237">
        <v>35.200000000000003</v>
      </c>
      <c r="S139" s="237">
        <v>41</v>
      </c>
      <c r="T139" s="238">
        <v>28.2</v>
      </c>
      <c r="U139" s="236">
        <v>4</v>
      </c>
      <c r="V139" s="237">
        <v>-31.3</v>
      </c>
      <c r="W139" s="237">
        <v>1.3</v>
      </c>
      <c r="X139" s="239">
        <v>-26.9</v>
      </c>
      <c r="Y139" s="236">
        <v>-18.100000000000001</v>
      </c>
      <c r="Z139" s="238">
        <v>-20.7</v>
      </c>
      <c r="AA139" s="218">
        <v>129</v>
      </c>
      <c r="AB139" s="270"/>
      <c r="AC139" s="552"/>
      <c r="AD139" s="552"/>
      <c r="AE139" s="552"/>
      <c r="AF139" s="552"/>
      <c r="AG139" s="552"/>
      <c r="AH139" s="552"/>
      <c r="AI139" s="552"/>
      <c r="AJ139" s="552"/>
      <c r="AK139" s="552"/>
      <c r="AL139" s="552"/>
      <c r="AM139" s="553"/>
    </row>
    <row r="140" spans="1:39" x14ac:dyDescent="0.2">
      <c r="A140" s="136"/>
      <c r="D140" s="40"/>
      <c r="E140" s="44"/>
      <c r="F140" s="40"/>
      <c r="G140" s="40"/>
      <c r="H140" s="40"/>
      <c r="J140" s="57"/>
      <c r="M140" s="200">
        <v>9</v>
      </c>
      <c r="N140" s="249"/>
      <c r="O140" s="210"/>
      <c r="P140" s="210">
        <v>2</v>
      </c>
      <c r="Q140" s="240">
        <v>51.5</v>
      </c>
      <c r="R140" s="241">
        <v>35.200000000000003</v>
      </c>
      <c r="S140" s="241">
        <v>41</v>
      </c>
      <c r="T140" s="242">
        <v>28.2</v>
      </c>
      <c r="U140" s="240">
        <v>19.8</v>
      </c>
      <c r="V140" s="241">
        <v>-15.4</v>
      </c>
      <c r="W140" s="241">
        <v>17.2</v>
      </c>
      <c r="X140" s="243">
        <v>-11</v>
      </c>
      <c r="Y140" s="240">
        <v>-18.100000000000001</v>
      </c>
      <c r="Z140" s="242">
        <v>-20.7</v>
      </c>
      <c r="AA140" s="218">
        <v>130</v>
      </c>
      <c r="AB140" s="270"/>
      <c r="AC140" s="552"/>
      <c r="AD140" s="552"/>
      <c r="AE140" s="552"/>
      <c r="AF140" s="552"/>
      <c r="AG140" s="552"/>
      <c r="AH140" s="552"/>
      <c r="AI140" s="552"/>
      <c r="AJ140" s="552"/>
      <c r="AK140" s="552"/>
      <c r="AL140" s="552"/>
      <c r="AM140" s="553"/>
    </row>
    <row r="141" spans="1:39" x14ac:dyDescent="0.2">
      <c r="A141" s="136"/>
      <c r="D141" s="293" t="s">
        <v>159</v>
      </c>
      <c r="E141" s="292"/>
      <c r="F141" s="293"/>
      <c r="G141" s="40"/>
      <c r="H141" s="40"/>
      <c r="J141" s="57"/>
      <c r="M141" s="200">
        <v>10</v>
      </c>
      <c r="N141" s="21"/>
      <c r="O141" s="235">
        <v>45</v>
      </c>
      <c r="P141" s="235">
        <v>1</v>
      </c>
      <c r="Q141" s="236">
        <v>51.5</v>
      </c>
      <c r="R141" s="237">
        <v>35.200000000000003</v>
      </c>
      <c r="S141" s="237">
        <v>41</v>
      </c>
      <c r="T141" s="238">
        <v>28.2</v>
      </c>
      <c r="U141" s="236">
        <v>4</v>
      </c>
      <c r="V141" s="237">
        <v>-31.3</v>
      </c>
      <c r="W141" s="237">
        <v>1.3</v>
      </c>
      <c r="X141" s="239">
        <v>-26.9</v>
      </c>
      <c r="Y141" s="236">
        <v>-18.100000000000001</v>
      </c>
      <c r="Z141" s="238">
        <v>-20.7</v>
      </c>
      <c r="AA141" s="218">
        <v>131</v>
      </c>
      <c r="AB141" s="270"/>
      <c r="AC141" s="552"/>
      <c r="AD141" s="552"/>
      <c r="AE141" s="552"/>
      <c r="AF141" s="552"/>
      <c r="AG141" s="552"/>
      <c r="AH141" s="552"/>
      <c r="AI141" s="552"/>
      <c r="AJ141" s="552"/>
      <c r="AK141" s="552"/>
      <c r="AL141" s="552"/>
      <c r="AM141" s="553"/>
    </row>
    <row r="142" spans="1:39" x14ac:dyDescent="0.2">
      <c r="A142" s="136"/>
      <c r="D142" s="40"/>
      <c r="E142" s="44"/>
      <c r="F142" s="40"/>
      <c r="G142" s="40"/>
      <c r="H142" s="40"/>
      <c r="J142" s="57"/>
      <c r="M142" s="200">
        <v>11</v>
      </c>
      <c r="N142" s="22"/>
      <c r="O142" s="250"/>
      <c r="P142" s="250">
        <v>2</v>
      </c>
      <c r="Q142" s="251">
        <v>51.5</v>
      </c>
      <c r="R142" s="252">
        <v>35.200000000000003</v>
      </c>
      <c r="S142" s="252">
        <v>41</v>
      </c>
      <c r="T142" s="253">
        <v>28.2</v>
      </c>
      <c r="U142" s="251">
        <v>19.8</v>
      </c>
      <c r="V142" s="252">
        <v>-15.4</v>
      </c>
      <c r="W142" s="252">
        <v>17.2</v>
      </c>
      <c r="X142" s="254">
        <v>-11</v>
      </c>
      <c r="Y142" s="251">
        <v>-18.100000000000001</v>
      </c>
      <c r="Z142" s="253">
        <v>-20.7</v>
      </c>
      <c r="AA142" s="218">
        <v>132</v>
      </c>
      <c r="AB142" s="271"/>
      <c r="AC142" s="555"/>
      <c r="AD142" s="555"/>
      <c r="AE142" s="555"/>
      <c r="AF142" s="555"/>
      <c r="AG142" s="555"/>
      <c r="AH142" s="555"/>
      <c r="AI142" s="555"/>
      <c r="AJ142" s="555"/>
      <c r="AK142" s="555"/>
      <c r="AL142" s="555"/>
      <c r="AM142" s="556"/>
    </row>
    <row r="143" spans="1:39" x14ac:dyDescent="0.2">
      <c r="A143" s="290"/>
      <c r="D143" s="38"/>
      <c r="E143" s="38"/>
      <c r="F143" s="38"/>
      <c r="G143" s="38"/>
      <c r="H143" s="38"/>
      <c r="J143" s="57"/>
      <c r="AA143" s="218" t="e">
        <f>MATCH(MAX($AB$11:$AB$142),$AB$11:$AB$142,0)</f>
        <v>#REF!</v>
      </c>
      <c r="AB143" s="200" t="s">
        <v>22</v>
      </c>
      <c r="AC143" s="275" t="e">
        <f>VLOOKUP($AA$143,$AA$11:$AM$142,3)</f>
        <v>#REF!</v>
      </c>
      <c r="AD143" s="275" t="e">
        <f>VLOOKUP($AA$143,$AA$11:$AM$142,4)</f>
        <v>#REF!</v>
      </c>
      <c r="AE143" s="275" t="e">
        <f>VLOOKUP($AA$143,$AA$11:$AM$142,5)</f>
        <v>#REF!</v>
      </c>
      <c r="AF143" s="275" t="e">
        <f>VLOOKUP($AA$143,$AA$11:$AM$142,6)</f>
        <v>#REF!</v>
      </c>
      <c r="AG143" s="275" t="e">
        <f>VLOOKUP($AA$143,$AA$11:$AM$142,7)</f>
        <v>#REF!</v>
      </c>
      <c r="AH143" s="275" t="e">
        <f>VLOOKUP($AA$143,$AA$11:$AM$142,8)</f>
        <v>#REF!</v>
      </c>
      <c r="AI143" s="275" t="e">
        <f>VLOOKUP($AA$143,$AA$11:$AM$142,9)</f>
        <v>#REF!</v>
      </c>
      <c r="AJ143" s="275" t="e">
        <f>VLOOKUP($AA$143,$AA$11:$AM$142,10)</f>
        <v>#REF!</v>
      </c>
      <c r="AK143" s="275" t="e">
        <f>VLOOKUP($AA$143,$AA$11:$AM$142,11)</f>
        <v>#REF!</v>
      </c>
      <c r="AL143" s="275" t="e">
        <f>VLOOKUP($AA$143,$AA$11:$AM$142,12)</f>
        <v>#REF!</v>
      </c>
      <c r="AM143" s="275" t="e">
        <f>VLOOKUP($AA$143,$AA$11:$AM$142,13)</f>
        <v>#REF!</v>
      </c>
    </row>
    <row r="144" spans="1:39" x14ac:dyDescent="0.2">
      <c r="A144" s="96"/>
      <c r="B144" s="38"/>
      <c r="C144" s="38"/>
      <c r="D144" s="38"/>
      <c r="E144" s="38"/>
      <c r="F144" s="38"/>
      <c r="G144" s="38"/>
      <c r="H144" s="38"/>
      <c r="J144" s="57"/>
      <c r="AA144" s="218" t="e">
        <f>IF(AND($AD$6&gt;=25,$AD$6&lt;=45),$AA$143+4,"")</f>
        <v>#REF!</v>
      </c>
      <c r="AB144" s="478"/>
      <c r="AC144" s="477" t="e">
        <f>IF(AND($AD$6&gt;=25,$AD$6&lt;=45),VLOOKUP($AA$144,$AA$11:$AM$142,3),"")</f>
        <v>#REF!</v>
      </c>
      <c r="AD144" s="477" t="e">
        <f>IF(AND($AD$6&gt;=25,$AD$6&lt;=45),VLOOKUP($AA$144,$AA$11:$AM$142,4),"")</f>
        <v>#REF!</v>
      </c>
      <c r="AE144" s="477" t="e">
        <f>IF(AND($AD$6&gt;=25,$AD$6&lt;=45),VLOOKUP($AA$144,$AA$11:$AM$142,5),"")</f>
        <v>#REF!</v>
      </c>
      <c r="AF144" s="477" t="e">
        <f>IF(AND($AD$6&gt;=25,$AD$6&lt;=45),VLOOKUP($AA$144,$AA$11:$AM$142,6),"")</f>
        <v>#REF!</v>
      </c>
      <c r="AG144" s="477" t="e">
        <f>IF(AND($AD$6&gt;=25,$AD$6&lt;=45),VLOOKUP($AA$144,$AA$11:$AM$142,7),"")</f>
        <v>#REF!</v>
      </c>
      <c r="AH144" s="477" t="e">
        <f>IF(AND($AD$6&gt;=25,$AD$6&lt;=45),VLOOKUP($AA$144,$AA$11:$AM$142,8),"")</f>
        <v>#REF!</v>
      </c>
      <c r="AI144" s="477" t="e">
        <f>IF(AND($AD$6&gt;=25,$AD$6&lt;=45),VLOOKUP($AA$144,$AA$11:$AM$142,9),"")</f>
        <v>#REF!</v>
      </c>
      <c r="AJ144" s="477" t="e">
        <f>IF(AND($AD$6&gt;=25,$AD$6&lt;=45),VLOOKUP($AA$144,$AA$11:$AM$142,10),"")</f>
        <v>#REF!</v>
      </c>
      <c r="AK144" s="477" t="e">
        <f>IF(AND($AD$6&gt;=25,$AD$6&lt;=45),VLOOKUP($AA$144,$AA$11:$AM$142,11),"")</f>
        <v>#REF!</v>
      </c>
      <c r="AL144" s="477" t="e">
        <f>IF(AND($AD$6&gt;=25,$AD$6&lt;=45),VLOOKUP($AA$144,$AA$11:$AM$142,12),"")</f>
        <v>#REF!</v>
      </c>
      <c r="AM144" s="477" t="e">
        <f>IF(AND($AD$6&gt;=25,$AD$6&lt;=45),VLOOKUP($AA$144,$AA$11:$AM$142,13),"")</f>
        <v>#REF!</v>
      </c>
    </row>
    <row r="145" spans="1:39" x14ac:dyDescent="0.2">
      <c r="A145" s="96"/>
      <c r="B145" s="38"/>
      <c r="C145" s="38"/>
      <c r="D145" s="76"/>
      <c r="E145" s="42"/>
      <c r="F145" s="77"/>
      <c r="G145" s="77"/>
      <c r="J145" s="57"/>
      <c r="N145" s="13" t="s">
        <v>171</v>
      </c>
    </row>
    <row r="146" spans="1:39" x14ac:dyDescent="0.2">
      <c r="A146" s="52"/>
      <c r="J146" s="57"/>
      <c r="N146" s="23" t="s">
        <v>78</v>
      </c>
      <c r="O146" s="24"/>
      <c r="P146" s="24"/>
      <c r="Q146" s="24"/>
      <c r="R146" s="24"/>
      <c r="S146" s="23" t="s">
        <v>79</v>
      </c>
      <c r="T146" s="24"/>
      <c r="U146" s="24"/>
      <c r="V146" s="24"/>
      <c r="W146" s="24"/>
      <c r="X146" s="24"/>
      <c r="Y146" s="24"/>
      <c r="Z146" s="25"/>
    </row>
    <row r="147" spans="1:39" x14ac:dyDescent="0.2">
      <c r="A147" s="52"/>
      <c r="J147" s="57"/>
      <c r="N147" s="23" t="s">
        <v>81</v>
      </c>
      <c r="O147" s="25"/>
      <c r="P147" s="23" t="s">
        <v>82</v>
      </c>
      <c r="Q147" s="24"/>
      <c r="R147" s="25"/>
      <c r="S147" s="29" t="s">
        <v>83</v>
      </c>
      <c r="T147" s="189"/>
      <c r="U147" s="189"/>
      <c r="V147" s="189"/>
      <c r="W147" s="189"/>
      <c r="X147" s="189"/>
      <c r="Y147" s="189"/>
      <c r="Z147" s="190"/>
      <c r="AB147" s="13" t="s">
        <v>91</v>
      </c>
    </row>
    <row r="148" spans="1:39" x14ac:dyDescent="0.2">
      <c r="A148" s="52"/>
      <c r="J148" s="57"/>
      <c r="N148" s="23" t="s">
        <v>85</v>
      </c>
      <c r="O148" s="24"/>
      <c r="P148" s="24"/>
      <c r="Q148" s="24"/>
      <c r="R148" s="25"/>
      <c r="S148" s="31" t="s">
        <v>86</v>
      </c>
      <c r="T148" s="196"/>
      <c r="U148" s="196"/>
      <c r="V148" s="196"/>
      <c r="W148" s="196"/>
      <c r="X148" s="196"/>
      <c r="Y148" s="196"/>
      <c r="Z148" s="32"/>
      <c r="AC148" s="408" t="s">
        <v>172</v>
      </c>
      <c r="AD148" s="40">
        <f>0</f>
        <v>0</v>
      </c>
      <c r="AE148" s="72" t="s">
        <v>42</v>
      </c>
      <c r="AF148" s="20" t="s">
        <v>189</v>
      </c>
    </row>
    <row r="149" spans="1:39" x14ac:dyDescent="0.2">
      <c r="A149" s="52"/>
      <c r="J149" s="57"/>
      <c r="N149" s="31" t="s">
        <v>87</v>
      </c>
      <c r="O149" s="196"/>
      <c r="P149" s="196"/>
      <c r="Q149" s="196"/>
      <c r="R149" s="196"/>
      <c r="S149" s="196"/>
      <c r="T149" s="196"/>
      <c r="U149" s="196"/>
      <c r="V149" s="196"/>
      <c r="W149" s="196"/>
      <c r="X149" s="196"/>
      <c r="Y149" s="196"/>
      <c r="Z149" s="32"/>
      <c r="AC149" s="408" t="s">
        <v>318</v>
      </c>
      <c r="AD149" s="40" t="e">
        <f>($C$11+$C$12)/2</f>
        <v>#REF!</v>
      </c>
      <c r="AE149" s="13" t="s">
        <v>311</v>
      </c>
      <c r="AF149" s="20" t="s">
        <v>190</v>
      </c>
    </row>
    <row r="150" spans="1:39" x14ac:dyDescent="0.2">
      <c r="A150" s="52"/>
      <c r="J150" s="57"/>
      <c r="N150" s="26" t="s">
        <v>88</v>
      </c>
      <c r="O150" s="26" t="s">
        <v>20</v>
      </c>
      <c r="P150" s="26" t="s">
        <v>89</v>
      </c>
      <c r="Q150" s="23" t="s">
        <v>90</v>
      </c>
      <c r="R150" s="24"/>
      <c r="S150" s="24"/>
      <c r="T150" s="24"/>
      <c r="U150" s="24"/>
      <c r="V150" s="24"/>
      <c r="W150" s="24"/>
      <c r="X150" s="24"/>
      <c r="Y150" s="24"/>
      <c r="Z150" s="25"/>
    </row>
    <row r="151" spans="1:39" x14ac:dyDescent="0.2">
      <c r="A151" s="52"/>
      <c r="J151" s="57"/>
      <c r="N151" s="28" t="s">
        <v>93</v>
      </c>
      <c r="O151" s="28" t="s">
        <v>94</v>
      </c>
      <c r="P151" s="28" t="s">
        <v>95</v>
      </c>
      <c r="Q151" s="24" t="s">
        <v>96</v>
      </c>
      <c r="R151" s="24"/>
      <c r="S151" s="24"/>
      <c r="T151" s="25"/>
      <c r="U151" s="24" t="s">
        <v>97</v>
      </c>
      <c r="V151" s="24"/>
      <c r="W151" s="24"/>
      <c r="X151" s="25"/>
      <c r="Y151" s="23" t="s">
        <v>98</v>
      </c>
      <c r="Z151" s="25"/>
    </row>
    <row r="152" spans="1:39" x14ac:dyDescent="0.2">
      <c r="A152" s="52"/>
      <c r="J152" s="57"/>
      <c r="M152" s="200" t="s">
        <v>99</v>
      </c>
      <c r="N152" s="27" t="s">
        <v>100</v>
      </c>
      <c r="O152" s="27" t="s">
        <v>101</v>
      </c>
      <c r="P152" s="27"/>
      <c r="Q152" s="5" t="s">
        <v>46</v>
      </c>
      <c r="R152" s="5" t="s">
        <v>13</v>
      </c>
      <c r="S152" s="5" t="s">
        <v>319</v>
      </c>
      <c r="T152" s="5" t="s">
        <v>50</v>
      </c>
      <c r="U152" s="5" t="s">
        <v>102</v>
      </c>
      <c r="V152" s="5" t="s">
        <v>103</v>
      </c>
      <c r="W152" s="5" t="s">
        <v>361</v>
      </c>
      <c r="X152" s="5" t="s">
        <v>104</v>
      </c>
      <c r="Y152" s="5" t="s">
        <v>105</v>
      </c>
      <c r="Z152" s="5" t="s">
        <v>106</v>
      </c>
      <c r="AA152" s="201" t="s">
        <v>99</v>
      </c>
      <c r="AB152" s="202"/>
      <c r="AC152" s="203" t="s">
        <v>107</v>
      </c>
      <c r="AD152" s="5" t="s">
        <v>46</v>
      </c>
      <c r="AE152" s="5" t="s">
        <v>13</v>
      </c>
      <c r="AF152" s="198" t="s">
        <v>319</v>
      </c>
      <c r="AG152" s="198" t="s">
        <v>50</v>
      </c>
      <c r="AH152" s="198" t="s">
        <v>102</v>
      </c>
      <c r="AI152" s="198" t="s">
        <v>103</v>
      </c>
      <c r="AJ152" s="198" t="s">
        <v>361</v>
      </c>
      <c r="AK152" s="198" t="s">
        <v>104</v>
      </c>
      <c r="AL152" s="198" t="s">
        <v>105</v>
      </c>
      <c r="AM152" s="198" t="s">
        <v>106</v>
      </c>
    </row>
    <row r="153" spans="1:39" x14ac:dyDescent="0.2">
      <c r="A153" s="52"/>
      <c r="D153" s="77"/>
      <c r="J153" s="57"/>
      <c r="M153" s="200">
        <v>1</v>
      </c>
      <c r="N153" s="197"/>
      <c r="O153" s="205">
        <v>0</v>
      </c>
      <c r="P153" s="205">
        <v>1</v>
      </c>
      <c r="Q153" s="206">
        <v>11.5</v>
      </c>
      <c r="R153" s="215">
        <v>-5.9</v>
      </c>
      <c r="S153" s="215">
        <v>7.6</v>
      </c>
      <c r="T153" s="216">
        <v>-3.5</v>
      </c>
      <c r="U153" s="206">
        <v>-13.8</v>
      </c>
      <c r="V153" s="215">
        <v>-7.8</v>
      </c>
      <c r="W153" s="215">
        <v>-9.6</v>
      </c>
      <c r="X153" s="217">
        <v>-6.1</v>
      </c>
      <c r="Y153" s="206">
        <v>-19.3</v>
      </c>
      <c r="Z153" s="216">
        <v>-15.1</v>
      </c>
      <c r="AA153" s="218">
        <v>1</v>
      </c>
      <c r="AB153" s="219"/>
      <c r="AC153" s="220" t="e">
        <f>IF($C$8=$N158,VLOOKUP(MATCH($AD$148,$O153:$O163,1),$M153:$Z163,3),"")</f>
        <v>#REF!</v>
      </c>
      <c r="AD153" s="220" t="e">
        <f>IF($C$8=$N158,VLOOKUP(MATCH($AD$148,$O153:$O163,1),$M153:$Z163,5),"")</f>
        <v>#REF!</v>
      </c>
      <c r="AE153" s="220" t="e">
        <f>IF($C$8=$N158,VLOOKUP(MATCH($AD$148,$O153:$O163,1),$M153:$Z163,6),"")</f>
        <v>#REF!</v>
      </c>
      <c r="AF153" s="220" t="e">
        <f>IF($C$8=$N158,VLOOKUP(MATCH($AD$148,$O153:$O163,1),$M153:$Z163,7),"")</f>
        <v>#REF!</v>
      </c>
      <c r="AG153" s="220" t="e">
        <f>IF($C$8=$N158,VLOOKUP(MATCH($AD$148,$O153:$O163,1),$M153:$Z163,8),"")</f>
        <v>#REF!</v>
      </c>
      <c r="AH153" s="220" t="e">
        <f>IF($C$8=$N158,VLOOKUP(MATCH($AD$148,$O153:$O163,1),$M153:$Z163,9),"")</f>
        <v>#REF!</v>
      </c>
      <c r="AI153" s="220" t="e">
        <f>IF($C$8=$N158,VLOOKUP(MATCH($AD$148,$O153:$O163,1),$M153:$Z163,10),"")</f>
        <v>#REF!</v>
      </c>
      <c r="AJ153" s="220" t="e">
        <f>IF($C$8=$N158,VLOOKUP(MATCH($AD$148,$O153:$O163,1),$M153:$Z163,11),"")</f>
        <v>#REF!</v>
      </c>
      <c r="AK153" s="220" t="e">
        <f>IF($C$8=$N158,VLOOKUP(MATCH($AD$148,$O153:$O163,1),$M153:$Z163,12),"")</f>
        <v>#REF!</v>
      </c>
      <c r="AL153" s="220" t="e">
        <f>IF($C$8=$N158,VLOOKUP(MATCH($AD$148,$O153:$O163,1),$M153:$Z163,13),"")</f>
        <v>#REF!</v>
      </c>
      <c r="AM153" s="221" t="e">
        <f>IF($C$8=$N158,VLOOKUP(MATCH($AD$148,$O153:$O163,1),$M153:$Z163,14),"")</f>
        <v>#REF!</v>
      </c>
    </row>
    <row r="154" spans="1:39" x14ac:dyDescent="0.2">
      <c r="A154" s="52"/>
      <c r="B154" s="59"/>
      <c r="D154" s="77"/>
      <c r="J154" s="57"/>
      <c r="M154" s="200">
        <v>2</v>
      </c>
      <c r="N154" s="21"/>
      <c r="O154" s="223">
        <v>5</v>
      </c>
      <c r="P154" s="223">
        <v>1</v>
      </c>
      <c r="Q154" s="211">
        <v>11.5</v>
      </c>
      <c r="R154" s="226">
        <v>-5.9</v>
      </c>
      <c r="S154" s="226">
        <v>7.6</v>
      </c>
      <c r="T154" s="227">
        <v>-3.5</v>
      </c>
      <c r="U154" s="211">
        <v>-13.8</v>
      </c>
      <c r="V154" s="226">
        <v>-7.8</v>
      </c>
      <c r="W154" s="226">
        <v>-9.6</v>
      </c>
      <c r="X154" s="228">
        <v>-6.1</v>
      </c>
      <c r="Y154" s="211">
        <v>-19.3</v>
      </c>
      <c r="Z154" s="227">
        <v>-15.1</v>
      </c>
      <c r="AA154" s="218">
        <v>2</v>
      </c>
      <c r="AB154" s="229"/>
      <c r="AC154" s="230" t="e">
        <f>IF($C$8=$N158,VLOOKUP(MATCH($AD$148,$O153:$O163,1)+IF($AD$148&lt;25,1,2),$M153:$Z163,3),"")</f>
        <v>#REF!</v>
      </c>
      <c r="AD154" s="230" t="e">
        <f>IF($C$8=$N158,VLOOKUP(MATCH($AD$148,$O153:$O163,1)+IF($AD$148&lt;25,1,2),$M153:$Z163,5),"")</f>
        <v>#REF!</v>
      </c>
      <c r="AE154" s="230" t="e">
        <f>IF($C$8=$N158,VLOOKUP(MATCH($AD$148,$O153:$O163,1)+IF($AD$148&lt;25,1,2),$M153:$Z163,6),"")</f>
        <v>#REF!</v>
      </c>
      <c r="AF154" s="230" t="e">
        <f>IF($C$8=$N158,VLOOKUP(MATCH($AD$148,$O153:$O163,1)+IF($AD$148&lt;25,1,2),$M153:$Z163,7),"")</f>
        <v>#REF!</v>
      </c>
      <c r="AG154" s="230" t="e">
        <f>IF($C$8=$N158,VLOOKUP(MATCH($AD$148,$O153:$O163,1)+IF($AD$148&lt;25,1,2),$M153:$Z163,8),"")</f>
        <v>#REF!</v>
      </c>
      <c r="AH154" s="230" t="e">
        <f>IF($C$8=$N158,VLOOKUP(MATCH($AD$148,$O153:$O163,1)+IF($AD$148&lt;25,1,2),$M153:$Z163,9),"")</f>
        <v>#REF!</v>
      </c>
      <c r="AI154" s="230" t="e">
        <f>IF($C$8=$N158,VLOOKUP(MATCH($AD$148,$O153:$O163,1)+IF($AD$148&lt;25,1,2),$M153:$Z163,10),"")</f>
        <v>#REF!</v>
      </c>
      <c r="AJ154" s="230" t="e">
        <f>IF($C$8=$N158,VLOOKUP(MATCH($AD$148,$O153:$O163,1)+IF($AD$148&lt;25,1,2),$M153:$Z163,11),"")</f>
        <v>#REF!</v>
      </c>
      <c r="AK154" s="230" t="e">
        <f>IF($C$8=$N158,VLOOKUP(MATCH($AD$148,$O153:$O163,1)+IF($AD$148&lt;25,1,2),$M153:$Z163,12),"")</f>
        <v>#REF!</v>
      </c>
      <c r="AL154" s="230" t="e">
        <f>IF($C$8=$N158,VLOOKUP(MATCH($AD$148,$O153:$O163,1)+IF($AD$148&lt;25,1,2),$M153:$Z163,13),"")</f>
        <v>#REF!</v>
      </c>
      <c r="AM154" s="231" t="e">
        <f>IF($C$8=$N158,VLOOKUP(MATCH($AD$148,$O153:$O163,1)+IF($AD$148&lt;25,1,2),$M153:$Z163,14),"")</f>
        <v>#REF!</v>
      </c>
    </row>
    <row r="155" spans="1:39" x14ac:dyDescent="0.2">
      <c r="A155" s="52"/>
      <c r="J155" s="57"/>
      <c r="M155" s="200">
        <v>3</v>
      </c>
      <c r="N155" s="21"/>
      <c r="O155" s="223">
        <v>10</v>
      </c>
      <c r="P155" s="223">
        <v>1</v>
      </c>
      <c r="Q155" s="211">
        <v>12.9</v>
      </c>
      <c r="R155" s="226">
        <v>-5.4</v>
      </c>
      <c r="S155" s="226">
        <v>8.6</v>
      </c>
      <c r="T155" s="227">
        <v>-3.1</v>
      </c>
      <c r="U155" s="211">
        <v>-13.8</v>
      </c>
      <c r="V155" s="226">
        <v>-8.4</v>
      </c>
      <c r="W155" s="226">
        <v>-9.6</v>
      </c>
      <c r="X155" s="228">
        <v>-6.5</v>
      </c>
      <c r="Y155" s="211">
        <v>-19.3</v>
      </c>
      <c r="Z155" s="227">
        <v>-15.1</v>
      </c>
      <c r="AA155" s="218">
        <v>3</v>
      </c>
      <c r="AB155" s="229" t="e">
        <f>IF($C$8=$N158,MATCH($AD$148,$O153:$O163,1),0)</f>
        <v>#REF!</v>
      </c>
      <c r="AC155" s="230" t="e">
        <f>IF($C$8=$N158,$AD$148,"")</f>
        <v>#REF!</v>
      </c>
      <c r="AD155" s="230" t="e">
        <f t="shared" ref="AD155:AM155" si="27">IF($C$8=$N158,(AD154-AD153)*($AD$148-$AC153)/($AC154-$AC153)+AD153,"")</f>
        <v>#REF!</v>
      </c>
      <c r="AE155" s="230" t="e">
        <f t="shared" si="27"/>
        <v>#REF!</v>
      </c>
      <c r="AF155" s="230" t="e">
        <f t="shared" si="27"/>
        <v>#REF!</v>
      </c>
      <c r="AG155" s="230" t="e">
        <f t="shared" si="27"/>
        <v>#REF!</v>
      </c>
      <c r="AH155" s="230" t="e">
        <f t="shared" si="27"/>
        <v>#REF!</v>
      </c>
      <c r="AI155" s="230" t="e">
        <f t="shared" si="27"/>
        <v>#REF!</v>
      </c>
      <c r="AJ155" s="230" t="e">
        <f t="shared" si="27"/>
        <v>#REF!</v>
      </c>
      <c r="AK155" s="230" t="e">
        <f t="shared" si="27"/>
        <v>#REF!</v>
      </c>
      <c r="AL155" s="230" t="e">
        <f t="shared" si="27"/>
        <v>#REF!</v>
      </c>
      <c r="AM155" s="231" t="e">
        <f t="shared" si="27"/>
        <v>#REF!</v>
      </c>
    </row>
    <row r="156" spans="1:39" x14ac:dyDescent="0.2">
      <c r="A156" s="52"/>
      <c r="H156" s="66"/>
      <c r="J156" s="57"/>
      <c r="M156" s="200">
        <v>4</v>
      </c>
      <c r="N156" s="21"/>
      <c r="O156" s="223">
        <v>15</v>
      </c>
      <c r="P156" s="223">
        <v>1</v>
      </c>
      <c r="Q156" s="211">
        <v>14.4</v>
      </c>
      <c r="R156" s="226">
        <v>-4.8</v>
      </c>
      <c r="S156" s="226">
        <v>9.6</v>
      </c>
      <c r="T156" s="227">
        <v>-2.7</v>
      </c>
      <c r="U156" s="211">
        <v>-13.8</v>
      </c>
      <c r="V156" s="226">
        <v>-9</v>
      </c>
      <c r="W156" s="226">
        <v>-9.6</v>
      </c>
      <c r="X156" s="228">
        <v>-6.9</v>
      </c>
      <c r="Y156" s="211">
        <v>-19.3</v>
      </c>
      <c r="Z156" s="227">
        <v>-15.1</v>
      </c>
      <c r="AA156" s="218">
        <v>4</v>
      </c>
      <c r="AB156" s="229"/>
      <c r="AC156" s="230"/>
      <c r="AD156" s="552"/>
      <c r="AE156" s="552"/>
      <c r="AF156" s="552"/>
      <c r="AG156" s="552"/>
      <c r="AH156" s="552"/>
      <c r="AI156" s="552"/>
      <c r="AJ156" s="552"/>
      <c r="AK156" s="552"/>
      <c r="AL156" s="552"/>
      <c r="AM156" s="553"/>
    </row>
    <row r="157" spans="1:39" x14ac:dyDescent="0.2">
      <c r="A157" s="52"/>
      <c r="G157" s="66"/>
      <c r="H157" s="78"/>
      <c r="J157" s="57"/>
      <c r="M157" s="200">
        <v>5</v>
      </c>
      <c r="N157" s="21"/>
      <c r="O157" s="223">
        <v>20</v>
      </c>
      <c r="P157" s="223">
        <v>1</v>
      </c>
      <c r="Q157" s="211">
        <v>15.9</v>
      </c>
      <c r="R157" s="226">
        <v>-4.2</v>
      </c>
      <c r="S157" s="226">
        <v>10.6</v>
      </c>
      <c r="T157" s="227">
        <v>-2.2999999999999998</v>
      </c>
      <c r="U157" s="211">
        <v>-13.8</v>
      </c>
      <c r="V157" s="226">
        <v>-9.6</v>
      </c>
      <c r="W157" s="226">
        <v>-9.6</v>
      </c>
      <c r="X157" s="228">
        <v>-7.3</v>
      </c>
      <c r="Y157" s="211">
        <v>-19.3</v>
      </c>
      <c r="Z157" s="227">
        <v>-15.1</v>
      </c>
      <c r="AA157" s="218">
        <v>5</v>
      </c>
      <c r="AB157" s="229"/>
      <c r="AC157" s="230" t="e">
        <f>IF($C$8=$N158,IF(AND($AD$148&gt;=25,$AD$148&lt;=45),VLOOKUP(MATCH($AD$148,$O153:$O163,1),$M153:$Z163,3),""),"")</f>
        <v>#REF!</v>
      </c>
      <c r="AD157" s="230" t="e">
        <f>IF($C$8=$N158,IF(AND($AD$148&gt;=25,$AD$148&lt;=45),VLOOKUP(MATCH($AD$148,$O153:$O163,1)+1,$M153:$Z163,5),""),"")</f>
        <v>#REF!</v>
      </c>
      <c r="AE157" s="230" t="e">
        <f>IF($C$8=$N158,IF(AND($AD$148&gt;=25,$AD$148&lt;=45),VLOOKUP(MATCH($AD$148,$O153:$O163,1)+1,$M153:$Z163,6),""),"")</f>
        <v>#REF!</v>
      </c>
      <c r="AF157" s="230" t="e">
        <f>IF($C$8=$N158,IF(AND($AD$148&gt;=25,$AD$148&lt;=45),VLOOKUP(MATCH($AD$148,$O153:$O163,1)+1,$M153:$Z163,7),""),"")</f>
        <v>#REF!</v>
      </c>
      <c r="AG157" s="230" t="e">
        <f>IF($C$8=$N158,IF(AND($AD$148&gt;=25,$AD$148&lt;=45),VLOOKUP(MATCH($AD$148,$O153:$O163,1)+1,$M153:$Z163,8),""),"")</f>
        <v>#REF!</v>
      </c>
      <c r="AH157" s="230" t="e">
        <f>IF($C$8=$N158,IF(AND($AD$148&gt;=25,$AD$148&lt;=45),VLOOKUP(MATCH($AD$148,$O153:$O163,1)+1,$M153:$Z163,9),""),"")</f>
        <v>#REF!</v>
      </c>
      <c r="AI157" s="230" t="e">
        <f>IF($C$8=$N158,IF(AND($AD$148&gt;=25,$AD$148&lt;=45),VLOOKUP(MATCH($AD$148,$O153:$O163,1)+1,$M153:$Z163,10),""),"")</f>
        <v>#REF!</v>
      </c>
      <c r="AJ157" s="230" t="e">
        <f>IF($C$8=$N158,IF(AND($AD$148&gt;=25,$AD$148&lt;=45),VLOOKUP(MATCH($AD$148,$O153:$O163,1)+1,$M153:$Z163,11),""),"")</f>
        <v>#REF!</v>
      </c>
      <c r="AK157" s="230" t="e">
        <f>IF($C$8=$N158,IF(AND($AD$148&gt;=25,$AD$148&lt;=45),VLOOKUP(MATCH($AD$148,$O153:$O163,1)+1,$M153:$Z163,12),""),"")</f>
        <v>#REF!</v>
      </c>
      <c r="AL157" s="230" t="e">
        <f>IF($C$8=$N158,IF(AND($AD$148&gt;=25,$AD$148&lt;=45),VLOOKUP(MATCH($AD$148,$O153:$O163,1)+1,$M153:$Z163,13),""),"")</f>
        <v>#REF!</v>
      </c>
      <c r="AM157" s="231" t="e">
        <f>IF($C$8=$N158,IF(AND($AD$148&gt;=25,$AD$148&lt;=45),VLOOKUP(MATCH($AD$148,$O153:$O163,1)+1,$M153:$Z163,14),""),"")</f>
        <v>#REF!</v>
      </c>
    </row>
    <row r="158" spans="1:39" x14ac:dyDescent="0.2">
      <c r="A158" s="291"/>
      <c r="B158" s="66"/>
      <c r="G158" s="66"/>
      <c r="H158" s="79"/>
      <c r="J158" s="57"/>
      <c r="M158" s="200">
        <v>6</v>
      </c>
      <c r="N158" s="21">
        <v>85</v>
      </c>
      <c r="O158" s="235">
        <v>25</v>
      </c>
      <c r="P158" s="235">
        <v>1</v>
      </c>
      <c r="Q158" s="236">
        <v>14.4</v>
      </c>
      <c r="R158" s="237">
        <v>2.2999999999999998</v>
      </c>
      <c r="S158" s="237">
        <v>10.4</v>
      </c>
      <c r="T158" s="238">
        <v>2.4</v>
      </c>
      <c r="U158" s="236">
        <v>-6.4</v>
      </c>
      <c r="V158" s="237">
        <v>-8.6999999999999993</v>
      </c>
      <c r="W158" s="237">
        <v>-4.5999999999999996</v>
      </c>
      <c r="X158" s="239">
        <v>-7</v>
      </c>
      <c r="Y158" s="236">
        <v>-11.9</v>
      </c>
      <c r="Z158" s="238">
        <v>-10.1</v>
      </c>
      <c r="AA158" s="218">
        <v>6</v>
      </c>
      <c r="AB158" s="229"/>
      <c r="AC158" s="230" t="e">
        <f>IF($C$8=$N158,IF(AND($AD$148&gt;=25,$AD$148&lt;=45),VLOOKUP(MATCH($AD$148,$O153:$O163,1)+IF($AD$148&lt;25,1,2),$M153:$Z163,3),""),"")</f>
        <v>#REF!</v>
      </c>
      <c r="AD158" s="230" t="e">
        <f>IF($C$8=$N158,IF(AND($AD$148&gt;=25,$AD$148&lt;=45),VLOOKUP(MATCH($AD$148,$O153:$O163,1)+1+IF($AD$148&lt;25,1,2),$M153:$Z163,5),""),"")</f>
        <v>#REF!</v>
      </c>
      <c r="AE158" s="230" t="e">
        <f>IF($C$8=$N158,IF(AND($AD$148&gt;=25,$AD$148&lt;=45),VLOOKUP(MATCH($AD$148,$O153:$O163,1)+1+IF($AD$148&lt;25,1,2),$M153:$Z163,6),""),"")</f>
        <v>#REF!</v>
      </c>
      <c r="AF158" s="230" t="e">
        <f>IF($C$8=$N158,IF(AND($AD$148&gt;=25,$AD$148&lt;=45),VLOOKUP(MATCH($AD$148,$O153:$O163,1)+1+IF($AD$148&lt;25,1,2),$M153:$Z163,7),""),"")</f>
        <v>#REF!</v>
      </c>
      <c r="AG158" s="230" t="e">
        <f>IF($C$8=$N158,IF(AND($AD$148&gt;=25,$AD$148&lt;=45),VLOOKUP(MATCH($AD$148,$O153:$O163,1)+1+IF($AD$148&lt;25,1,2),$M153:$Z163,8),""),"")</f>
        <v>#REF!</v>
      </c>
      <c r="AH158" s="230" t="e">
        <f>IF($C$8=$N158,IF(AND($AD$148&gt;=25,$AD$148&lt;=45),VLOOKUP(MATCH($AD$148,$O153:$O163,1)+1+IF($AD$148&lt;25,1,2),$M153:$Z163,9),""),"")</f>
        <v>#REF!</v>
      </c>
      <c r="AI158" s="230" t="e">
        <f>IF($C$8=$N158,IF(AND($AD$148&gt;=25,$AD$148&lt;=45),VLOOKUP(MATCH($AD$148,$O153:$O163,1)+1+IF($AD$148&lt;25,1,2),$M153:$Z163,10),""),"")</f>
        <v>#REF!</v>
      </c>
      <c r="AJ158" s="230" t="e">
        <f>IF($C$8=$N158,IF(AND($AD$148&gt;=25,$AD$148&lt;=45),VLOOKUP(MATCH($AD$148,$O153:$O163,1)+1+IF($AD$148&lt;25,1,2),$M153:$Z163,11),""),"")</f>
        <v>#REF!</v>
      </c>
      <c r="AK158" s="230" t="e">
        <f>IF($C$8=$N158,IF(AND($AD$148&gt;=25,$AD$148&lt;=45),VLOOKUP(MATCH($AD$148,$O153:$O163,1)+1+IF($AD$148&lt;25,1,2),$M153:$Z163,12),""),"")</f>
        <v>#REF!</v>
      </c>
      <c r="AL158" s="230" t="e">
        <f>IF($C$8=$N158,IF(AND($AD$148&gt;=25,$AD$148&lt;=45),VLOOKUP(MATCH($AD$148,$O153:$O163,1)+1+IF($AD$148&lt;25,1,2),$M153:$Z163,13),""),"")</f>
        <v>#REF!</v>
      </c>
      <c r="AM158" s="231" t="e">
        <f>IF($C$8=$N158,IF(AND($AD$148&gt;=25,$AD$148&lt;=45),VLOOKUP(MATCH($AD$148,$O153:$O163,1)+1+IF($AD$148&lt;25,1,2),$M153:$Z163,14),""),"")</f>
        <v>#REF!</v>
      </c>
    </row>
    <row r="159" spans="1:39" x14ac:dyDescent="0.2">
      <c r="A159" s="52"/>
      <c r="J159" s="57"/>
      <c r="M159" s="200">
        <v>7</v>
      </c>
      <c r="N159" s="21"/>
      <c r="O159" s="210"/>
      <c r="P159" s="210">
        <v>2</v>
      </c>
      <c r="Q159" s="240">
        <v>0</v>
      </c>
      <c r="R159" s="241">
        <v>0</v>
      </c>
      <c r="S159" s="241">
        <v>0</v>
      </c>
      <c r="T159" s="242">
        <v>0</v>
      </c>
      <c r="U159" s="240">
        <v>-2.4</v>
      </c>
      <c r="V159" s="241">
        <v>-4.7</v>
      </c>
      <c r="W159" s="241">
        <v>-0.7</v>
      </c>
      <c r="X159" s="243">
        <v>-3</v>
      </c>
      <c r="Y159" s="240">
        <v>0</v>
      </c>
      <c r="Z159" s="242">
        <v>0</v>
      </c>
      <c r="AA159" s="218">
        <v>7</v>
      </c>
      <c r="AB159" s="229"/>
      <c r="AC159" s="230" t="e">
        <f>IF($C$8=$N158,IF(AND($AD$148&gt;=25,$AD$148&lt;=45),$AD$148,""),"")</f>
        <v>#REF!</v>
      </c>
      <c r="AD159" s="230" t="e">
        <f t="shared" ref="AD159:AM159" si="28">IF($C$8=$N158,IF(AND($AD$148&gt;=25,$AD$148&lt;=45),(AD158-AD157)*($AD$148-$AC157)/($AC158-$AC157)+AD157,""),"")</f>
        <v>#REF!</v>
      </c>
      <c r="AE159" s="230" t="e">
        <f t="shared" si="28"/>
        <v>#REF!</v>
      </c>
      <c r="AF159" s="230" t="e">
        <f t="shared" si="28"/>
        <v>#REF!</v>
      </c>
      <c r="AG159" s="230" t="e">
        <f t="shared" si="28"/>
        <v>#REF!</v>
      </c>
      <c r="AH159" s="230" t="e">
        <f t="shared" si="28"/>
        <v>#REF!</v>
      </c>
      <c r="AI159" s="230" t="e">
        <f t="shared" si="28"/>
        <v>#REF!</v>
      </c>
      <c r="AJ159" s="230" t="e">
        <f t="shared" si="28"/>
        <v>#REF!</v>
      </c>
      <c r="AK159" s="230" t="e">
        <f t="shared" si="28"/>
        <v>#REF!</v>
      </c>
      <c r="AL159" s="230" t="e">
        <f t="shared" si="28"/>
        <v>#REF!</v>
      </c>
      <c r="AM159" s="231" t="e">
        <f t="shared" si="28"/>
        <v>#REF!</v>
      </c>
    </row>
    <row r="160" spans="1:39" x14ac:dyDescent="0.2">
      <c r="A160" s="52"/>
      <c r="H160" s="66"/>
      <c r="J160" s="57"/>
      <c r="M160" s="200">
        <v>8</v>
      </c>
      <c r="N160" s="21"/>
      <c r="O160" s="235">
        <v>30</v>
      </c>
      <c r="P160" s="235">
        <v>1</v>
      </c>
      <c r="Q160" s="236">
        <v>12.9</v>
      </c>
      <c r="R160" s="237">
        <v>8.8000000000000007</v>
      </c>
      <c r="S160" s="237">
        <v>10.199999999999999</v>
      </c>
      <c r="T160" s="238">
        <v>7</v>
      </c>
      <c r="U160" s="236">
        <v>1</v>
      </c>
      <c r="V160" s="237">
        <v>-7.8</v>
      </c>
      <c r="W160" s="237">
        <v>0.3</v>
      </c>
      <c r="X160" s="239">
        <v>-6.7</v>
      </c>
      <c r="Y160" s="236">
        <v>-4.5</v>
      </c>
      <c r="Z160" s="238">
        <v>-5.2</v>
      </c>
      <c r="AA160" s="218">
        <v>8</v>
      </c>
      <c r="AB160" s="229"/>
      <c r="AC160" s="552"/>
      <c r="AD160" s="552"/>
      <c r="AE160" s="552"/>
      <c r="AF160" s="552"/>
      <c r="AG160" s="552"/>
      <c r="AH160" s="552"/>
      <c r="AI160" s="552"/>
      <c r="AJ160" s="552"/>
      <c r="AK160" s="552"/>
      <c r="AL160" s="552"/>
      <c r="AM160" s="553"/>
    </row>
    <row r="161" spans="1:39" x14ac:dyDescent="0.2">
      <c r="A161" s="99"/>
      <c r="H161" s="66"/>
      <c r="J161" s="57"/>
      <c r="M161" s="200">
        <v>9</v>
      </c>
      <c r="N161" s="249"/>
      <c r="O161" s="210"/>
      <c r="P161" s="210">
        <v>2</v>
      </c>
      <c r="Q161" s="240">
        <v>12.9</v>
      </c>
      <c r="R161" s="241">
        <v>8.8000000000000007</v>
      </c>
      <c r="S161" s="241">
        <v>10.199999999999999</v>
      </c>
      <c r="T161" s="242">
        <v>7</v>
      </c>
      <c r="U161" s="240">
        <v>5</v>
      </c>
      <c r="V161" s="241">
        <v>-3.9</v>
      </c>
      <c r="W161" s="241">
        <v>4.3</v>
      </c>
      <c r="X161" s="243">
        <v>-2.8</v>
      </c>
      <c r="Y161" s="240">
        <v>-4.5</v>
      </c>
      <c r="Z161" s="242">
        <v>-5.2</v>
      </c>
      <c r="AA161" s="218">
        <v>9</v>
      </c>
      <c r="AB161" s="229"/>
      <c r="AC161" s="230"/>
      <c r="AD161" s="552"/>
      <c r="AE161" s="552"/>
      <c r="AF161" s="552"/>
      <c r="AG161" s="552"/>
      <c r="AH161" s="552"/>
      <c r="AI161" s="552"/>
      <c r="AJ161" s="552"/>
      <c r="AK161" s="552"/>
      <c r="AL161" s="552"/>
      <c r="AM161" s="553"/>
    </row>
    <row r="162" spans="1:39" x14ac:dyDescent="0.2">
      <c r="A162" s="52"/>
      <c r="J162" s="57"/>
      <c r="M162" s="200">
        <v>10</v>
      </c>
      <c r="N162" s="21"/>
      <c r="O162" s="235">
        <v>45</v>
      </c>
      <c r="P162" s="235">
        <v>1</v>
      </c>
      <c r="Q162" s="236">
        <v>12.9</v>
      </c>
      <c r="R162" s="237">
        <v>8.8000000000000007</v>
      </c>
      <c r="S162" s="237">
        <v>10.199999999999999</v>
      </c>
      <c r="T162" s="238">
        <v>7</v>
      </c>
      <c r="U162" s="236">
        <v>1</v>
      </c>
      <c r="V162" s="237">
        <v>-7.8</v>
      </c>
      <c r="W162" s="237">
        <v>0.3</v>
      </c>
      <c r="X162" s="239">
        <v>-6.7</v>
      </c>
      <c r="Y162" s="236">
        <v>-4.5</v>
      </c>
      <c r="Z162" s="238">
        <v>-5.2</v>
      </c>
      <c r="AA162" s="218">
        <v>10</v>
      </c>
      <c r="AB162" s="229"/>
      <c r="AC162" s="230"/>
      <c r="AD162" s="552"/>
      <c r="AE162" s="552"/>
      <c r="AF162" s="552"/>
      <c r="AG162" s="552"/>
      <c r="AH162" s="552"/>
      <c r="AI162" s="552"/>
      <c r="AJ162" s="552"/>
      <c r="AK162" s="552"/>
      <c r="AL162" s="552"/>
      <c r="AM162" s="553"/>
    </row>
    <row r="163" spans="1:39" x14ac:dyDescent="0.2">
      <c r="A163" s="52"/>
      <c r="J163" s="57"/>
      <c r="M163" s="200">
        <v>11</v>
      </c>
      <c r="N163" s="22"/>
      <c r="O163" s="250"/>
      <c r="P163" s="250">
        <v>2</v>
      </c>
      <c r="Q163" s="251">
        <v>12.9</v>
      </c>
      <c r="R163" s="252">
        <v>8.8000000000000007</v>
      </c>
      <c r="S163" s="252">
        <v>10.199999999999999</v>
      </c>
      <c r="T163" s="253">
        <v>7</v>
      </c>
      <c r="U163" s="251">
        <v>5</v>
      </c>
      <c r="V163" s="252">
        <v>-3.9</v>
      </c>
      <c r="W163" s="252">
        <v>4.3</v>
      </c>
      <c r="X163" s="254">
        <v>-2.8</v>
      </c>
      <c r="Y163" s="251">
        <v>-4.5</v>
      </c>
      <c r="Z163" s="253">
        <v>-5.2</v>
      </c>
      <c r="AA163" s="218">
        <v>11</v>
      </c>
      <c r="AB163" s="255"/>
      <c r="AC163" s="554"/>
      <c r="AD163" s="555"/>
      <c r="AE163" s="555"/>
      <c r="AF163" s="555"/>
      <c r="AG163" s="555"/>
      <c r="AH163" s="555"/>
      <c r="AI163" s="555"/>
      <c r="AJ163" s="555"/>
      <c r="AK163" s="555"/>
      <c r="AL163" s="555"/>
      <c r="AM163" s="556"/>
    </row>
    <row r="164" spans="1:39" x14ac:dyDescent="0.2">
      <c r="A164" s="52"/>
      <c r="J164" s="57"/>
      <c r="M164" s="200">
        <v>1</v>
      </c>
      <c r="N164" s="197"/>
      <c r="O164" s="205">
        <v>0</v>
      </c>
      <c r="P164" s="205">
        <v>1</v>
      </c>
      <c r="Q164" s="206">
        <v>12.8</v>
      </c>
      <c r="R164" s="215">
        <v>-6.7</v>
      </c>
      <c r="S164" s="215">
        <v>8.5</v>
      </c>
      <c r="T164" s="216">
        <v>-4</v>
      </c>
      <c r="U164" s="206">
        <v>-15.4</v>
      </c>
      <c r="V164" s="215">
        <v>-8.8000000000000007</v>
      </c>
      <c r="W164" s="215">
        <v>-10.7</v>
      </c>
      <c r="X164" s="217">
        <v>-6.8</v>
      </c>
      <c r="Y164" s="206">
        <v>-21.6</v>
      </c>
      <c r="Z164" s="216">
        <v>-16.899999999999999</v>
      </c>
      <c r="AA164" s="218">
        <v>12</v>
      </c>
      <c r="AB164" s="219"/>
      <c r="AC164" s="220" t="e">
        <f>IF($C$8=$N169,VLOOKUP(MATCH($AD$148,$O164:$O174,1),$M164:$Z174,3),"")</f>
        <v>#REF!</v>
      </c>
      <c r="AD164" s="220" t="e">
        <f>IF($C$8=$N169,VLOOKUP(MATCH($AD$148,$O164:$O174,1),$M164:$Z174,5),"")</f>
        <v>#REF!</v>
      </c>
      <c r="AE164" s="220" t="e">
        <f>IF($C$8=$N169,VLOOKUP(MATCH($AD$148,$O164:$O174,1),$M164:$Z174,6),"")</f>
        <v>#REF!</v>
      </c>
      <c r="AF164" s="220" t="e">
        <f>IF($C$8=$N169,VLOOKUP(MATCH($AD$148,$O164:$O174,1),$M164:$Z174,7),"")</f>
        <v>#REF!</v>
      </c>
      <c r="AG164" s="220" t="e">
        <f>IF($C$8=$N169,VLOOKUP(MATCH($AD$148,$O164:$O174,1),$M164:$Z174,8),"")</f>
        <v>#REF!</v>
      </c>
      <c r="AH164" s="220" t="e">
        <f>IF($C$8=$N169,VLOOKUP(MATCH($AD$148,$O164:$O174,1),$M164:$Z174,9),"")</f>
        <v>#REF!</v>
      </c>
      <c r="AI164" s="220" t="e">
        <f>IF($C$8=$N169,VLOOKUP(MATCH($AD$148,$O164:$O174,1),$M164:$Z174,10),"")</f>
        <v>#REF!</v>
      </c>
      <c r="AJ164" s="220" t="e">
        <f>IF($C$8=$N169,VLOOKUP(MATCH($AD$148,$O164:$O174,1),$M164:$Z174,11),"")</f>
        <v>#REF!</v>
      </c>
      <c r="AK164" s="220" t="e">
        <f>IF($C$8=$N169,VLOOKUP(MATCH($AD$148,$O164:$O174,1),$M164:$Z174,12),"")</f>
        <v>#REF!</v>
      </c>
      <c r="AL164" s="220" t="e">
        <f>IF($C$8=$N169,VLOOKUP(MATCH($AD$148,$O164:$O174,1),$M164:$Z174,13),"")</f>
        <v>#REF!</v>
      </c>
      <c r="AM164" s="221" t="e">
        <f>IF($C$8=$N169,VLOOKUP(MATCH($AD$148,$O164:$O174,1),$M164:$Z174,14),"")</f>
        <v>#REF!</v>
      </c>
    </row>
    <row r="165" spans="1:39" x14ac:dyDescent="0.2">
      <c r="A165" s="52"/>
      <c r="J165" s="57"/>
      <c r="M165" s="200">
        <v>2</v>
      </c>
      <c r="N165" s="21"/>
      <c r="O165" s="223">
        <v>5</v>
      </c>
      <c r="P165" s="223">
        <v>1</v>
      </c>
      <c r="Q165" s="211">
        <v>12.8</v>
      </c>
      <c r="R165" s="226">
        <v>-6.7</v>
      </c>
      <c r="S165" s="226">
        <v>8.5</v>
      </c>
      <c r="T165" s="227">
        <v>-4</v>
      </c>
      <c r="U165" s="211">
        <v>-15.4</v>
      </c>
      <c r="V165" s="226">
        <v>-8.8000000000000007</v>
      </c>
      <c r="W165" s="226">
        <v>-10.7</v>
      </c>
      <c r="X165" s="228">
        <v>-6.8</v>
      </c>
      <c r="Y165" s="211">
        <v>-21.6</v>
      </c>
      <c r="Z165" s="227">
        <v>-16.899999999999999</v>
      </c>
      <c r="AA165" s="218">
        <v>13</v>
      </c>
      <c r="AB165" s="229"/>
      <c r="AC165" s="230" t="e">
        <f>IF($C$8=$N169,VLOOKUP(MATCH($AD$148,$O164:$O174,1)+IF($AD$148&lt;25,1,2),$M164:$Z174,3),"")</f>
        <v>#REF!</v>
      </c>
      <c r="AD165" s="230" t="e">
        <f>IF($C$8=$N169,VLOOKUP(MATCH($AD$148,$O164:$O174,1)+IF($AD$148&lt;25,1,2),$M164:$Z174,5),"")</f>
        <v>#REF!</v>
      </c>
      <c r="AE165" s="230" t="e">
        <f>IF($C$8=$N169,VLOOKUP(MATCH($AD$148,$O164:$O174,1)+IF($AD$148&lt;25,1,2),$M164:$Z174,6),"")</f>
        <v>#REF!</v>
      </c>
      <c r="AF165" s="230" t="e">
        <f>IF($C$8=$N169,VLOOKUP(MATCH($AD$148,$O164:$O174,1)+IF($AD$148&lt;25,1,2),$M164:$Z174,7),"")</f>
        <v>#REF!</v>
      </c>
      <c r="AG165" s="230" t="e">
        <f>IF($C$8=$N169,VLOOKUP(MATCH($AD$148,$O164:$O174,1)+IF($AD$148&lt;25,1,2),$M164:$Z174,8),"")</f>
        <v>#REF!</v>
      </c>
      <c r="AH165" s="230" t="e">
        <f>IF($C$8=$N169,VLOOKUP(MATCH($AD$148,$O164:$O174,1)+IF($AD$148&lt;25,1,2),$M164:$Z174,9),"")</f>
        <v>#REF!</v>
      </c>
      <c r="AI165" s="230" t="e">
        <f>IF($C$8=$N169,VLOOKUP(MATCH($AD$148,$O164:$O174,1)+IF($AD$148&lt;25,1,2),$M164:$Z174,10),"")</f>
        <v>#REF!</v>
      </c>
      <c r="AJ165" s="230" t="e">
        <f>IF($C$8=$N169,VLOOKUP(MATCH($AD$148,$O164:$O174,1)+IF($AD$148&lt;25,1,2),$M164:$Z174,11),"")</f>
        <v>#REF!</v>
      </c>
      <c r="AK165" s="230" t="e">
        <f>IF($C$8=$N169,VLOOKUP(MATCH($AD$148,$O164:$O174,1)+IF($AD$148&lt;25,1,2),$M164:$Z174,12),"")</f>
        <v>#REF!</v>
      </c>
      <c r="AL165" s="230" t="e">
        <f>IF($C$8=$N169,VLOOKUP(MATCH($AD$148,$O164:$O174,1)+IF($AD$148&lt;25,1,2),$M164:$Z174,13),"")</f>
        <v>#REF!</v>
      </c>
      <c r="AM165" s="231" t="e">
        <f>IF($C$8=$N169,VLOOKUP(MATCH($AD$148,$O164:$O174,1)+IF($AD$148&lt;25,1,2),$M164:$Z174,14),"")</f>
        <v>#REF!</v>
      </c>
    </row>
    <row r="166" spans="1:39" x14ac:dyDescent="0.2">
      <c r="A166" s="52"/>
      <c r="J166" s="57"/>
      <c r="M166" s="200">
        <v>3</v>
      </c>
      <c r="N166" s="21"/>
      <c r="O166" s="223">
        <v>10</v>
      </c>
      <c r="P166" s="223">
        <v>1</v>
      </c>
      <c r="Q166" s="211">
        <v>14.5</v>
      </c>
      <c r="R166" s="226">
        <v>-6</v>
      </c>
      <c r="S166" s="226">
        <v>9.6</v>
      </c>
      <c r="T166" s="227">
        <v>-3.5</v>
      </c>
      <c r="U166" s="211">
        <v>-15.4</v>
      </c>
      <c r="V166" s="226">
        <v>-9.4</v>
      </c>
      <c r="W166" s="226">
        <v>-10.7</v>
      </c>
      <c r="X166" s="228">
        <v>-7.2</v>
      </c>
      <c r="Y166" s="211">
        <v>-21.6</v>
      </c>
      <c r="Z166" s="227">
        <v>-16.899999999999999</v>
      </c>
      <c r="AA166" s="218">
        <v>14</v>
      </c>
      <c r="AB166" s="229" t="e">
        <f>IF($C$8=$N169,MATCH($AD$148,$O164:$O174,1),0)</f>
        <v>#REF!</v>
      </c>
      <c r="AC166" s="230" t="e">
        <f>IF($C$8=$N169,$AD$148,"")</f>
        <v>#REF!</v>
      </c>
      <c r="AD166" s="230" t="e">
        <f t="shared" ref="AD166:AM166" si="29">IF($C$8=$N169,(AD165-AD164)*($AD$148-$AC164)/($AC165-$AC164)+AD164,"")</f>
        <v>#REF!</v>
      </c>
      <c r="AE166" s="230" t="e">
        <f t="shared" si="29"/>
        <v>#REF!</v>
      </c>
      <c r="AF166" s="230" t="e">
        <f t="shared" si="29"/>
        <v>#REF!</v>
      </c>
      <c r="AG166" s="230" t="e">
        <f t="shared" si="29"/>
        <v>#REF!</v>
      </c>
      <c r="AH166" s="230" t="e">
        <f t="shared" si="29"/>
        <v>#REF!</v>
      </c>
      <c r="AI166" s="230" t="e">
        <f t="shared" si="29"/>
        <v>#REF!</v>
      </c>
      <c r="AJ166" s="230" t="e">
        <f t="shared" si="29"/>
        <v>#REF!</v>
      </c>
      <c r="AK166" s="230" t="e">
        <f t="shared" si="29"/>
        <v>#REF!</v>
      </c>
      <c r="AL166" s="230" t="e">
        <f t="shared" si="29"/>
        <v>#REF!</v>
      </c>
      <c r="AM166" s="231" t="e">
        <f t="shared" si="29"/>
        <v>#REF!</v>
      </c>
    </row>
    <row r="167" spans="1:39" x14ac:dyDescent="0.2">
      <c r="A167" s="52"/>
      <c r="J167" s="57"/>
      <c r="M167" s="200">
        <v>4</v>
      </c>
      <c r="N167" s="21"/>
      <c r="O167" s="223">
        <v>15</v>
      </c>
      <c r="P167" s="223">
        <v>1</v>
      </c>
      <c r="Q167" s="211">
        <v>16.100000000000001</v>
      </c>
      <c r="R167" s="226">
        <v>-5.4</v>
      </c>
      <c r="S167" s="226">
        <v>10.7</v>
      </c>
      <c r="T167" s="227">
        <v>-3</v>
      </c>
      <c r="U167" s="211">
        <v>-15.4</v>
      </c>
      <c r="V167" s="226">
        <v>-10.1</v>
      </c>
      <c r="W167" s="226">
        <v>-10.7</v>
      </c>
      <c r="X167" s="228">
        <v>-7.7</v>
      </c>
      <c r="Y167" s="211">
        <v>-21.6</v>
      </c>
      <c r="Z167" s="227">
        <v>-16.899999999999999</v>
      </c>
      <c r="AA167" s="218">
        <v>15</v>
      </c>
      <c r="AB167" s="229"/>
      <c r="AC167" s="230"/>
      <c r="AD167" s="552"/>
      <c r="AE167" s="552"/>
      <c r="AF167" s="552"/>
      <c r="AG167" s="552"/>
      <c r="AH167" s="552"/>
      <c r="AI167" s="552"/>
      <c r="AJ167" s="552"/>
      <c r="AK167" s="552"/>
      <c r="AL167" s="552"/>
      <c r="AM167" s="553"/>
    </row>
    <row r="168" spans="1:39" x14ac:dyDescent="0.2">
      <c r="A168" s="52"/>
      <c r="J168" s="57"/>
      <c r="M168" s="200">
        <v>5</v>
      </c>
      <c r="N168" s="21"/>
      <c r="O168" s="223">
        <v>20</v>
      </c>
      <c r="P168" s="223">
        <v>1</v>
      </c>
      <c r="Q168" s="211">
        <v>17.8</v>
      </c>
      <c r="R168" s="226">
        <v>-4.7</v>
      </c>
      <c r="S168" s="226">
        <v>11.9</v>
      </c>
      <c r="T168" s="227">
        <v>-2.6</v>
      </c>
      <c r="U168" s="211">
        <v>-15.4</v>
      </c>
      <c r="V168" s="226">
        <v>-10.7</v>
      </c>
      <c r="W168" s="226">
        <v>-10.7</v>
      </c>
      <c r="X168" s="228">
        <v>-8.1</v>
      </c>
      <c r="Y168" s="211">
        <v>-21.6</v>
      </c>
      <c r="Z168" s="227">
        <v>-16.899999999999999</v>
      </c>
      <c r="AA168" s="218">
        <v>16</v>
      </c>
      <c r="AB168" s="229"/>
      <c r="AC168" s="230" t="e">
        <f>IF($C$8=$N169,IF(AND($AD$148&gt;=25,$AD$148&lt;=45),VLOOKUP(MATCH($AD$148,$O164:$O174,1),$M164:$Z174,3),""),"")</f>
        <v>#REF!</v>
      </c>
      <c r="AD168" s="230" t="e">
        <f>IF($C$8=$N169,IF(AND($AD$148&gt;=25,$AD$148&lt;=45),VLOOKUP(MATCH($AD$148,$O164:$O174,1)+1,$M164:$Z174,5),""),"")</f>
        <v>#REF!</v>
      </c>
      <c r="AE168" s="230" t="e">
        <f>IF($C$8=$N169,IF(AND($AD$148&gt;=25,$AD$148&lt;=45),VLOOKUP(MATCH($AD$148,$O164:$O174,1)+1,$M164:$Z174,6),""),"")</f>
        <v>#REF!</v>
      </c>
      <c r="AF168" s="230" t="e">
        <f>IF($C$8=$N169,IF(AND($AD$148&gt;=25,$AD$148&lt;=45),VLOOKUP(MATCH($AD$148,$O164:$O174,1)+1,$M164:$Z174,7),""),"")</f>
        <v>#REF!</v>
      </c>
      <c r="AG168" s="230" t="e">
        <f>IF($C$8=$N169,IF(AND($AD$148&gt;=25,$AD$148&lt;=45),VLOOKUP(MATCH($AD$148,$O164:$O174,1)+1,$M164:$Z174,8),""),"")</f>
        <v>#REF!</v>
      </c>
      <c r="AH168" s="230" t="e">
        <f>IF($C$8=$N169,IF(AND($AD$148&gt;=25,$AD$148&lt;=45),VLOOKUP(MATCH($AD$148,$O164:$O174,1)+1,$M164:$Z174,9),""),"")</f>
        <v>#REF!</v>
      </c>
      <c r="AI168" s="230" t="e">
        <f>IF($C$8=$N169,IF(AND($AD$148&gt;=25,$AD$148&lt;=45),VLOOKUP(MATCH($AD$148,$O164:$O174,1)+1,$M164:$Z174,10),""),"")</f>
        <v>#REF!</v>
      </c>
      <c r="AJ168" s="230" t="e">
        <f>IF($C$8=$N169,IF(AND($AD$148&gt;=25,$AD$148&lt;=45),VLOOKUP(MATCH($AD$148,$O164:$O174,1)+1,$M164:$Z174,11),""),"")</f>
        <v>#REF!</v>
      </c>
      <c r="AK168" s="230" t="e">
        <f>IF($C$8=$N169,IF(AND($AD$148&gt;=25,$AD$148&lt;=45),VLOOKUP(MATCH($AD$148,$O164:$O174,1)+1,$M164:$Z174,12),""),"")</f>
        <v>#REF!</v>
      </c>
      <c r="AL168" s="230" t="e">
        <f>IF($C$8=$N169,IF(AND($AD$148&gt;=25,$AD$148&lt;=45),VLOOKUP(MATCH($AD$148,$O164:$O174,1)+1,$M164:$Z174,13),""),"")</f>
        <v>#REF!</v>
      </c>
      <c r="AM168" s="231" t="e">
        <f>IF($C$8=$N169,IF(AND($AD$148&gt;=25,$AD$148&lt;=45),VLOOKUP(MATCH($AD$148,$O164:$O174,1)+1,$M164:$Z174,14),""),"")</f>
        <v>#REF!</v>
      </c>
    </row>
    <row r="169" spans="1:39" x14ac:dyDescent="0.2">
      <c r="A169" s="52"/>
      <c r="J169" s="57"/>
      <c r="M169" s="200">
        <v>6</v>
      </c>
      <c r="N169" s="21">
        <v>90</v>
      </c>
      <c r="O169" s="235">
        <v>25</v>
      </c>
      <c r="P169" s="235">
        <v>1</v>
      </c>
      <c r="Q169" s="236">
        <v>16.100000000000001</v>
      </c>
      <c r="R169" s="237">
        <v>2.6</v>
      </c>
      <c r="S169" s="237">
        <v>11.7</v>
      </c>
      <c r="T169" s="238">
        <v>2.7</v>
      </c>
      <c r="U169" s="236">
        <v>-7.2</v>
      </c>
      <c r="V169" s="237">
        <v>-9.8000000000000007</v>
      </c>
      <c r="W169" s="237">
        <v>-5.2</v>
      </c>
      <c r="X169" s="239">
        <v>-7.8</v>
      </c>
      <c r="Y169" s="236">
        <v>-13.3</v>
      </c>
      <c r="Z169" s="238">
        <v>-11.4</v>
      </c>
      <c r="AA169" s="218">
        <v>17</v>
      </c>
      <c r="AB169" s="229"/>
      <c r="AC169" s="230" t="e">
        <f>IF($C$8=$N169,IF(AND($AD$148&gt;=25,$AD$148&lt;=45),VLOOKUP(MATCH($AD$148,$O164:$O174,1)+IF($AD$148&lt;25,1,2),$M164:$Z174,3),""),"")</f>
        <v>#REF!</v>
      </c>
      <c r="AD169" s="230" t="e">
        <f>IF($C$8=$N169,IF(AND($AD$148&gt;=25,$AD$148&lt;=45),VLOOKUP(MATCH($AD$148,$O164:$O174,1)+1+IF($AD$148&lt;25,1,2),$M164:$Z174,5),""),"")</f>
        <v>#REF!</v>
      </c>
      <c r="AE169" s="230" t="e">
        <f>IF($C$8=$N169,IF(AND($AD$148&gt;=25,$AD$148&lt;=45),VLOOKUP(MATCH($AD$148,$O164:$O174,1)+1+IF($AD$148&lt;25,1,2),$M164:$Z174,6),""),"")</f>
        <v>#REF!</v>
      </c>
      <c r="AF169" s="230" t="e">
        <f>IF($C$8=$N169,IF(AND($AD$148&gt;=25,$AD$148&lt;=45),VLOOKUP(MATCH($AD$148,$O164:$O174,1)+1+IF($AD$148&lt;25,1,2),$M164:$Z174,7),""),"")</f>
        <v>#REF!</v>
      </c>
      <c r="AG169" s="230" t="e">
        <f>IF($C$8=$N169,IF(AND($AD$148&gt;=25,$AD$148&lt;=45),VLOOKUP(MATCH($AD$148,$O164:$O174,1)+1+IF($AD$148&lt;25,1,2),$M164:$Z174,8),""),"")</f>
        <v>#REF!</v>
      </c>
      <c r="AH169" s="230" t="e">
        <f>IF($C$8=$N169,IF(AND($AD$148&gt;=25,$AD$148&lt;=45),VLOOKUP(MATCH($AD$148,$O164:$O174,1)+1+IF($AD$148&lt;25,1,2),$M164:$Z174,9),""),"")</f>
        <v>#REF!</v>
      </c>
      <c r="AI169" s="230" t="e">
        <f>IF($C$8=$N169,IF(AND($AD$148&gt;=25,$AD$148&lt;=45),VLOOKUP(MATCH($AD$148,$O164:$O174,1)+1+IF($AD$148&lt;25,1,2),$M164:$Z174,10),""),"")</f>
        <v>#REF!</v>
      </c>
      <c r="AJ169" s="230" t="e">
        <f>IF($C$8=$N169,IF(AND($AD$148&gt;=25,$AD$148&lt;=45),VLOOKUP(MATCH($AD$148,$O164:$O174,1)+1+IF($AD$148&lt;25,1,2),$M164:$Z174,11),""),"")</f>
        <v>#REF!</v>
      </c>
      <c r="AK169" s="230" t="e">
        <f>IF($C$8=$N169,IF(AND($AD$148&gt;=25,$AD$148&lt;=45),VLOOKUP(MATCH($AD$148,$O164:$O174,1)+1+IF($AD$148&lt;25,1,2),$M164:$Z174,12),""),"")</f>
        <v>#REF!</v>
      </c>
      <c r="AL169" s="230" t="e">
        <f>IF($C$8=$N169,IF(AND($AD$148&gt;=25,$AD$148&lt;=45),VLOOKUP(MATCH($AD$148,$O164:$O174,1)+1+IF($AD$148&lt;25,1,2),$M164:$Z174,13),""),"")</f>
        <v>#REF!</v>
      </c>
      <c r="AM169" s="231" t="e">
        <f>IF($C$8=$N169,IF(AND($AD$148&gt;=25,$AD$148&lt;=45),VLOOKUP(MATCH($AD$148,$O164:$O174,1)+1+IF($AD$148&lt;25,1,2),$M164:$Z174,14),""),"")</f>
        <v>#REF!</v>
      </c>
    </row>
    <row r="170" spans="1:39" x14ac:dyDescent="0.2">
      <c r="A170" s="52"/>
      <c r="J170" s="57"/>
      <c r="M170" s="200">
        <v>7</v>
      </c>
      <c r="N170" s="21"/>
      <c r="O170" s="210"/>
      <c r="P170" s="210">
        <v>2</v>
      </c>
      <c r="Q170" s="240">
        <v>0</v>
      </c>
      <c r="R170" s="241">
        <v>0</v>
      </c>
      <c r="S170" s="241">
        <v>0</v>
      </c>
      <c r="T170" s="242">
        <v>0</v>
      </c>
      <c r="U170" s="240">
        <v>-2.7</v>
      </c>
      <c r="V170" s="241">
        <v>-5.3</v>
      </c>
      <c r="W170" s="241">
        <v>-0.7</v>
      </c>
      <c r="X170" s="243">
        <v>-3.4</v>
      </c>
      <c r="Y170" s="240">
        <v>0</v>
      </c>
      <c r="Z170" s="242">
        <v>0</v>
      </c>
      <c r="AA170" s="218">
        <v>18</v>
      </c>
      <c r="AB170" s="229"/>
      <c r="AC170" s="230" t="e">
        <f>IF($C$8=$N169,IF(AND($AD$148&gt;=25,$AD$148&lt;=45),$AD$148,""),"")</f>
        <v>#REF!</v>
      </c>
      <c r="AD170" s="230" t="e">
        <f t="shared" ref="AD170:AM170" si="30">IF($C$8=$N169,IF(AND($AD$148&gt;=25,$AD$148&lt;=45),(AD169-AD168)*($AD$148-$AC168)/($AC169-$AC168)+AD168,""),"")</f>
        <v>#REF!</v>
      </c>
      <c r="AE170" s="230" t="e">
        <f t="shared" si="30"/>
        <v>#REF!</v>
      </c>
      <c r="AF170" s="230" t="e">
        <f t="shared" si="30"/>
        <v>#REF!</v>
      </c>
      <c r="AG170" s="230" t="e">
        <f t="shared" si="30"/>
        <v>#REF!</v>
      </c>
      <c r="AH170" s="230" t="e">
        <f t="shared" si="30"/>
        <v>#REF!</v>
      </c>
      <c r="AI170" s="230" t="e">
        <f t="shared" si="30"/>
        <v>#REF!</v>
      </c>
      <c r="AJ170" s="230" t="e">
        <f t="shared" si="30"/>
        <v>#REF!</v>
      </c>
      <c r="AK170" s="230" t="e">
        <f t="shared" si="30"/>
        <v>#REF!</v>
      </c>
      <c r="AL170" s="230" t="e">
        <f t="shared" si="30"/>
        <v>#REF!</v>
      </c>
      <c r="AM170" s="231" t="e">
        <f t="shared" si="30"/>
        <v>#REF!</v>
      </c>
    </row>
    <row r="171" spans="1:39" x14ac:dyDescent="0.2">
      <c r="A171" s="52"/>
      <c r="J171" s="57"/>
      <c r="M171" s="200">
        <v>8</v>
      </c>
      <c r="N171" s="21"/>
      <c r="O171" s="235">
        <v>30</v>
      </c>
      <c r="P171" s="235">
        <v>1</v>
      </c>
      <c r="Q171" s="236">
        <v>14.4</v>
      </c>
      <c r="R171" s="237">
        <v>9.9</v>
      </c>
      <c r="S171" s="237">
        <v>11.5</v>
      </c>
      <c r="T171" s="238">
        <v>7.9</v>
      </c>
      <c r="U171" s="236">
        <v>1.1000000000000001</v>
      </c>
      <c r="V171" s="237">
        <v>-8.8000000000000007</v>
      </c>
      <c r="W171" s="237">
        <v>0.4</v>
      </c>
      <c r="X171" s="239">
        <v>-7.5</v>
      </c>
      <c r="Y171" s="236">
        <v>-5.0999999999999996</v>
      </c>
      <c r="Z171" s="238">
        <v>-5.8</v>
      </c>
      <c r="AA171" s="218">
        <v>19</v>
      </c>
      <c r="AB171" s="229"/>
      <c r="AC171" s="552"/>
      <c r="AD171" s="552"/>
      <c r="AE171" s="552"/>
      <c r="AF171" s="552"/>
      <c r="AG171" s="552"/>
      <c r="AH171" s="552"/>
      <c r="AI171" s="552"/>
      <c r="AJ171" s="552"/>
      <c r="AK171" s="552"/>
      <c r="AL171" s="552"/>
      <c r="AM171" s="553"/>
    </row>
    <row r="172" spans="1:39" x14ac:dyDescent="0.2">
      <c r="A172" s="52"/>
      <c r="J172" s="57"/>
      <c r="M172" s="200">
        <v>9</v>
      </c>
      <c r="N172" s="249"/>
      <c r="O172" s="210"/>
      <c r="P172" s="210">
        <v>2</v>
      </c>
      <c r="Q172" s="240">
        <v>14.4</v>
      </c>
      <c r="R172" s="241">
        <v>9.9</v>
      </c>
      <c r="S172" s="241">
        <v>11.5</v>
      </c>
      <c r="T172" s="242">
        <v>7.9</v>
      </c>
      <c r="U172" s="240">
        <v>5.6</v>
      </c>
      <c r="V172" s="241">
        <v>-4.3</v>
      </c>
      <c r="W172" s="241">
        <v>4.8</v>
      </c>
      <c r="X172" s="243">
        <v>-3.1</v>
      </c>
      <c r="Y172" s="240">
        <v>-5.0999999999999996</v>
      </c>
      <c r="Z172" s="242">
        <v>-5.8</v>
      </c>
      <c r="AA172" s="218">
        <v>20</v>
      </c>
      <c r="AB172" s="229"/>
      <c r="AC172" s="230"/>
      <c r="AD172" s="230"/>
      <c r="AE172" s="552"/>
      <c r="AF172" s="552"/>
      <c r="AG172" s="552"/>
      <c r="AH172" s="552"/>
      <c r="AI172" s="552"/>
      <c r="AJ172" s="552"/>
      <c r="AK172" s="552"/>
      <c r="AL172" s="552"/>
      <c r="AM172" s="553"/>
    </row>
    <row r="173" spans="1:39" x14ac:dyDescent="0.2">
      <c r="A173" s="52"/>
      <c r="D173" s="294" t="s">
        <v>158</v>
      </c>
      <c r="E173" s="81"/>
      <c r="F173" s="81"/>
      <c r="G173" s="82"/>
      <c r="J173" s="57"/>
      <c r="M173" s="200">
        <v>10</v>
      </c>
      <c r="N173" s="21"/>
      <c r="O173" s="235">
        <v>45</v>
      </c>
      <c r="P173" s="235">
        <v>1</v>
      </c>
      <c r="Q173" s="236">
        <v>14.4</v>
      </c>
      <c r="R173" s="237">
        <v>9.9</v>
      </c>
      <c r="S173" s="237">
        <v>11.5</v>
      </c>
      <c r="T173" s="238">
        <v>7.9</v>
      </c>
      <c r="U173" s="236">
        <v>1.1000000000000001</v>
      </c>
      <c r="V173" s="237">
        <v>-8.8000000000000007</v>
      </c>
      <c r="W173" s="237">
        <v>0.4</v>
      </c>
      <c r="X173" s="239">
        <v>-7.5</v>
      </c>
      <c r="Y173" s="236">
        <v>-5.0999999999999996</v>
      </c>
      <c r="Z173" s="238">
        <v>-5.8</v>
      </c>
      <c r="AA173" s="218">
        <v>21</v>
      </c>
      <c r="AB173" s="229"/>
      <c r="AC173" s="230"/>
      <c r="AD173" s="230"/>
      <c r="AE173" s="552"/>
      <c r="AF173" s="552"/>
      <c r="AG173" s="552"/>
      <c r="AH173" s="552"/>
      <c r="AI173" s="552"/>
      <c r="AJ173" s="552"/>
      <c r="AK173" s="552"/>
      <c r="AL173" s="552"/>
      <c r="AM173" s="553"/>
    </row>
    <row r="174" spans="1:39" x14ac:dyDescent="0.2">
      <c r="A174" s="73"/>
      <c r="B174" s="61"/>
      <c r="C174" s="61"/>
      <c r="D174" s="61"/>
      <c r="E174" s="61"/>
      <c r="F174" s="61"/>
      <c r="G174" s="61"/>
      <c r="H174" s="61"/>
      <c r="I174" s="61"/>
      <c r="J174" s="74"/>
      <c r="M174" s="200">
        <v>11</v>
      </c>
      <c r="N174" s="22"/>
      <c r="O174" s="250"/>
      <c r="P174" s="250">
        <v>2</v>
      </c>
      <c r="Q174" s="251">
        <v>14.4</v>
      </c>
      <c r="R174" s="252">
        <v>9.9</v>
      </c>
      <c r="S174" s="252">
        <v>11.5</v>
      </c>
      <c r="T174" s="253">
        <v>7.9</v>
      </c>
      <c r="U174" s="251">
        <v>5.6</v>
      </c>
      <c r="V174" s="252">
        <v>-4.3</v>
      </c>
      <c r="W174" s="252">
        <v>4.8</v>
      </c>
      <c r="X174" s="254">
        <v>-3.1</v>
      </c>
      <c r="Y174" s="251">
        <v>-5.0999999999999996</v>
      </c>
      <c r="Z174" s="253">
        <v>-5.8</v>
      </c>
      <c r="AA174" s="218">
        <v>22</v>
      </c>
      <c r="AB174" s="255"/>
      <c r="AC174" s="554"/>
      <c r="AD174" s="554"/>
      <c r="AE174" s="555"/>
      <c r="AF174" s="555"/>
      <c r="AG174" s="555"/>
      <c r="AH174" s="555"/>
      <c r="AI174" s="555"/>
      <c r="AJ174" s="555"/>
      <c r="AK174" s="555"/>
      <c r="AL174" s="555"/>
      <c r="AM174" s="556"/>
    </row>
    <row r="175" spans="1:39" x14ac:dyDescent="0.2">
      <c r="M175" s="200">
        <v>1</v>
      </c>
      <c r="N175" s="197"/>
      <c r="O175" s="205">
        <v>0</v>
      </c>
      <c r="P175" s="205">
        <v>1</v>
      </c>
      <c r="Q175" s="206">
        <v>15.9</v>
      </c>
      <c r="R175" s="215">
        <v>-8.1999999999999993</v>
      </c>
      <c r="S175" s="215">
        <v>10.5</v>
      </c>
      <c r="T175" s="216">
        <v>-4.9000000000000004</v>
      </c>
      <c r="U175" s="206">
        <v>-19.100000000000001</v>
      </c>
      <c r="V175" s="215">
        <v>-10.8</v>
      </c>
      <c r="W175" s="215">
        <v>-13.3</v>
      </c>
      <c r="X175" s="217">
        <v>-8.4</v>
      </c>
      <c r="Y175" s="206">
        <v>-26.7</v>
      </c>
      <c r="Z175" s="216">
        <v>-20.9</v>
      </c>
      <c r="AA175" s="218">
        <v>23</v>
      </c>
      <c r="AB175" s="219"/>
      <c r="AC175" s="220" t="e">
        <f>IF($C$8=$N180,VLOOKUP(MATCH($AD$148,$O175:$O185,1),$M175:$Z185,3),"")</f>
        <v>#REF!</v>
      </c>
      <c r="AD175" s="220" t="e">
        <f>IF($C$8=$N180,VLOOKUP(MATCH($AD$148,$O175:$O185,1),$M175:$Z185,5),"")</f>
        <v>#REF!</v>
      </c>
      <c r="AE175" s="220" t="e">
        <f>IF($C$8=$N180,VLOOKUP(MATCH($AD$148,$O175:$O185,1),$M175:$Z185,6),"")</f>
        <v>#REF!</v>
      </c>
      <c r="AF175" s="220" t="e">
        <f>IF($C$8=$N180,VLOOKUP(MATCH($AD$148,$O175:$O185,1),$M175:$Z185,7),"")</f>
        <v>#REF!</v>
      </c>
      <c r="AG175" s="220" t="e">
        <f>IF($C$8=$N180,VLOOKUP(MATCH($AD$148,$O175:$O185,1),$M175:$Z185,8),"")</f>
        <v>#REF!</v>
      </c>
      <c r="AH175" s="220" t="e">
        <f>IF($C$8=$N180,VLOOKUP(MATCH($AD$148,$O175:$O185,1),$M175:$Z185,9),"")</f>
        <v>#REF!</v>
      </c>
      <c r="AI175" s="220" t="e">
        <f>IF($C$8=$N180,VLOOKUP(MATCH($AD$148,$O175:$O185,1),$M175:$Z185,10),"")</f>
        <v>#REF!</v>
      </c>
      <c r="AJ175" s="220" t="e">
        <f>IF($C$8=$N180,VLOOKUP(MATCH($AD$148,$O175:$O185,1),$M175:$Z185,11),"")</f>
        <v>#REF!</v>
      </c>
      <c r="AK175" s="220" t="e">
        <f>IF($C$8=$N180,VLOOKUP(MATCH($AD$148,$O175:$O185,1),$M175:$Z185,12),"")</f>
        <v>#REF!</v>
      </c>
      <c r="AL175" s="220" t="e">
        <f>IF($C$8=$N180,VLOOKUP(MATCH($AD$148,$O175:$O185,1),$M175:$Z185,13),"")</f>
        <v>#REF!</v>
      </c>
      <c r="AM175" s="221" t="e">
        <f>IF($C$8=$N180,VLOOKUP(MATCH($AD$148,$O175:$O185,1),$M175:$Z185,14),"")</f>
        <v>#REF!</v>
      </c>
    </row>
    <row r="176" spans="1:39" x14ac:dyDescent="0.2">
      <c r="M176" s="200">
        <v>2</v>
      </c>
      <c r="N176" s="21"/>
      <c r="O176" s="223">
        <v>5</v>
      </c>
      <c r="P176" s="223">
        <v>1</v>
      </c>
      <c r="Q176" s="211">
        <v>15.9</v>
      </c>
      <c r="R176" s="226">
        <v>-8.1999999999999993</v>
      </c>
      <c r="S176" s="226">
        <v>10.5</v>
      </c>
      <c r="T176" s="227">
        <v>-4.9000000000000004</v>
      </c>
      <c r="U176" s="211">
        <v>-19.100000000000001</v>
      </c>
      <c r="V176" s="226">
        <v>-10.8</v>
      </c>
      <c r="W176" s="226">
        <v>-13.3</v>
      </c>
      <c r="X176" s="228">
        <v>-8.4</v>
      </c>
      <c r="Y176" s="211">
        <v>-26.7</v>
      </c>
      <c r="Z176" s="227">
        <v>-20.9</v>
      </c>
      <c r="AA176" s="218">
        <v>24</v>
      </c>
      <c r="AB176" s="229"/>
      <c r="AC176" s="230" t="e">
        <f>IF($C$8=$N180,VLOOKUP(MATCH($AD$148,$O175:$O185,1)+IF($AD$148&lt;25,1,2),$M175:$Z185,3),"")</f>
        <v>#REF!</v>
      </c>
      <c r="AD176" s="230" t="e">
        <f>IF($C$8=$N180,VLOOKUP(MATCH($AD$148,$O175:$O185,1)+IF($AD$148&lt;25,1,2),$M175:$Z185,5),"")</f>
        <v>#REF!</v>
      </c>
      <c r="AE176" s="230" t="e">
        <f>IF($C$8=$N180,VLOOKUP(MATCH($AD$148,$O175:$O185,1)+IF($AD$148&lt;25,1,2),$M175:$Z185,6),"")</f>
        <v>#REF!</v>
      </c>
      <c r="AF176" s="230" t="e">
        <f>IF($C$8=$N180,VLOOKUP(MATCH($AD$148,$O175:$O185,1)+IF($AD$148&lt;25,1,2),$M175:$Z185,7),"")</f>
        <v>#REF!</v>
      </c>
      <c r="AG176" s="230" t="e">
        <f>IF($C$8=$N180,VLOOKUP(MATCH($AD$148,$O175:$O185,1)+IF($AD$148&lt;25,1,2),$M175:$Z185,8),"")</f>
        <v>#REF!</v>
      </c>
      <c r="AH176" s="230" t="e">
        <f>IF($C$8=$N180,VLOOKUP(MATCH($AD$148,$O175:$O185,1)+IF($AD$148&lt;25,1,2),$M175:$Z185,9),"")</f>
        <v>#REF!</v>
      </c>
      <c r="AI176" s="230" t="e">
        <f>IF($C$8=$N180,VLOOKUP(MATCH($AD$148,$O175:$O185,1)+IF($AD$148&lt;25,1,2),$M175:$Z185,10),"")</f>
        <v>#REF!</v>
      </c>
      <c r="AJ176" s="230" t="e">
        <f>IF($C$8=$N180,VLOOKUP(MATCH($AD$148,$O175:$O185,1)+IF($AD$148&lt;25,1,2),$M175:$Z185,11),"")</f>
        <v>#REF!</v>
      </c>
      <c r="AK176" s="230" t="e">
        <f>IF($C$8=$N180,VLOOKUP(MATCH($AD$148,$O175:$O185,1)+IF($AD$148&lt;25,1,2),$M175:$Z185,12),"")</f>
        <v>#REF!</v>
      </c>
      <c r="AL176" s="230" t="e">
        <f>IF($C$8=$N180,VLOOKUP(MATCH($AD$148,$O175:$O185,1)+IF($AD$148&lt;25,1,2),$M175:$Z185,13),"")</f>
        <v>#REF!</v>
      </c>
      <c r="AM176" s="231" t="e">
        <f>IF($C$8=$N180,VLOOKUP(MATCH($AD$148,$O175:$O185,1)+IF($AD$148&lt;25,1,2),$M175:$Z185,14),"")</f>
        <v>#REF!</v>
      </c>
    </row>
    <row r="177" spans="13:39" x14ac:dyDescent="0.2">
      <c r="M177" s="200">
        <v>3</v>
      </c>
      <c r="N177" s="21"/>
      <c r="O177" s="223">
        <v>10</v>
      </c>
      <c r="P177" s="223">
        <v>1</v>
      </c>
      <c r="Q177" s="211">
        <v>17.899999999999999</v>
      </c>
      <c r="R177" s="226">
        <v>-7.4</v>
      </c>
      <c r="S177" s="226">
        <v>11.9</v>
      </c>
      <c r="T177" s="227">
        <v>-4.3</v>
      </c>
      <c r="U177" s="211">
        <v>-19.100000000000001</v>
      </c>
      <c r="V177" s="226">
        <v>-11.6</v>
      </c>
      <c r="W177" s="226">
        <v>-13.3</v>
      </c>
      <c r="X177" s="228">
        <v>-8.9</v>
      </c>
      <c r="Y177" s="211">
        <v>-26.7</v>
      </c>
      <c r="Z177" s="227">
        <v>-20.9</v>
      </c>
      <c r="AA177" s="218">
        <v>25</v>
      </c>
      <c r="AB177" s="229" t="e">
        <f>IF($C$8=$N180,MATCH($AD$148,$O175:$O185,1),0)</f>
        <v>#REF!</v>
      </c>
      <c r="AC177" s="230" t="e">
        <f>IF($C$8=$N180,$AD$148,"")</f>
        <v>#REF!</v>
      </c>
      <c r="AD177" s="230" t="e">
        <f t="shared" ref="AD177:AM177" si="31">IF($C$8=$N180,(AD176-AD175)*($AD$148-$AC175)/($AC176-$AC175)+AD175,"")</f>
        <v>#REF!</v>
      </c>
      <c r="AE177" s="230" t="e">
        <f t="shared" si="31"/>
        <v>#REF!</v>
      </c>
      <c r="AF177" s="230" t="e">
        <f t="shared" si="31"/>
        <v>#REF!</v>
      </c>
      <c r="AG177" s="230" t="e">
        <f t="shared" si="31"/>
        <v>#REF!</v>
      </c>
      <c r="AH177" s="230" t="e">
        <f t="shared" si="31"/>
        <v>#REF!</v>
      </c>
      <c r="AI177" s="230" t="e">
        <f t="shared" si="31"/>
        <v>#REF!</v>
      </c>
      <c r="AJ177" s="230" t="e">
        <f t="shared" si="31"/>
        <v>#REF!</v>
      </c>
      <c r="AK177" s="230" t="e">
        <f t="shared" si="31"/>
        <v>#REF!</v>
      </c>
      <c r="AL177" s="230" t="e">
        <f t="shared" si="31"/>
        <v>#REF!</v>
      </c>
      <c r="AM177" s="231" t="e">
        <f t="shared" si="31"/>
        <v>#REF!</v>
      </c>
    </row>
    <row r="178" spans="13:39" x14ac:dyDescent="0.2">
      <c r="M178" s="200">
        <v>4</v>
      </c>
      <c r="N178" s="21"/>
      <c r="O178" s="223">
        <v>15</v>
      </c>
      <c r="P178" s="223">
        <v>1</v>
      </c>
      <c r="Q178" s="211">
        <v>19.899999999999999</v>
      </c>
      <c r="R178" s="226">
        <v>-6.6</v>
      </c>
      <c r="S178" s="226">
        <v>13.3</v>
      </c>
      <c r="T178" s="227">
        <v>-3.8</v>
      </c>
      <c r="U178" s="211">
        <v>-19.100000000000001</v>
      </c>
      <c r="V178" s="226">
        <v>-12.4</v>
      </c>
      <c r="W178" s="226">
        <v>-13.3</v>
      </c>
      <c r="X178" s="228">
        <v>-9.5</v>
      </c>
      <c r="Y178" s="211">
        <v>-26.7</v>
      </c>
      <c r="Z178" s="227">
        <v>-20.9</v>
      </c>
      <c r="AA178" s="218">
        <v>26</v>
      </c>
      <c r="AB178" s="229"/>
      <c r="AC178" s="230"/>
      <c r="AD178" s="552"/>
      <c r="AE178" s="552"/>
      <c r="AF178" s="552"/>
      <c r="AG178" s="552"/>
      <c r="AH178" s="552"/>
      <c r="AI178" s="552"/>
      <c r="AJ178" s="552"/>
      <c r="AK178" s="552"/>
      <c r="AL178" s="552"/>
      <c r="AM178" s="553"/>
    </row>
    <row r="179" spans="13:39" x14ac:dyDescent="0.2">
      <c r="M179" s="200">
        <v>5</v>
      </c>
      <c r="N179" s="21"/>
      <c r="O179" s="223">
        <v>20</v>
      </c>
      <c r="P179" s="223">
        <v>1</v>
      </c>
      <c r="Q179" s="211">
        <v>22</v>
      </c>
      <c r="R179" s="226">
        <v>-5.8</v>
      </c>
      <c r="S179" s="226">
        <v>14.6</v>
      </c>
      <c r="T179" s="227">
        <v>-3.2</v>
      </c>
      <c r="U179" s="211">
        <v>-19.100000000000001</v>
      </c>
      <c r="V179" s="226">
        <v>-13.3</v>
      </c>
      <c r="W179" s="226">
        <v>-13.3</v>
      </c>
      <c r="X179" s="228">
        <v>-10.1</v>
      </c>
      <c r="Y179" s="211">
        <v>-26.7</v>
      </c>
      <c r="Z179" s="227">
        <v>-20.9</v>
      </c>
      <c r="AA179" s="218">
        <v>27</v>
      </c>
      <c r="AB179" s="229"/>
      <c r="AC179" s="230" t="e">
        <f>IF($C$8=$N180,IF(AND($AD$148&gt;=25,$AD$148&lt;=45),VLOOKUP(MATCH($AD$148,$O175:$O185,1),$M175:$Z185,3),""),"")</f>
        <v>#REF!</v>
      </c>
      <c r="AD179" s="230" t="e">
        <f>IF($C$8=$N180,IF(AND($AD$148&gt;=25,$AD$148&lt;=45),VLOOKUP(MATCH($AD$148,$O175:$O185,1)+1,$M175:$Z185,5),""),"")</f>
        <v>#REF!</v>
      </c>
      <c r="AE179" s="230" t="e">
        <f>IF($C$8=$N180,IF(AND($AD$148&gt;=25,$AD$148&lt;=45),VLOOKUP(MATCH($AD$148,$O175:$O185,1)+1,$M175:$Z185,6),""),"")</f>
        <v>#REF!</v>
      </c>
      <c r="AF179" s="230" t="e">
        <f>IF($C$8=$N180,IF(AND($AD$148&gt;=25,$AD$148&lt;=45),VLOOKUP(MATCH($AD$148,$O175:$O185,1)+1,$M175:$Z185,7),""),"")</f>
        <v>#REF!</v>
      </c>
      <c r="AG179" s="230" t="e">
        <f>IF($C$8=$N180,IF(AND($AD$148&gt;=25,$AD$148&lt;=45),VLOOKUP(MATCH($AD$148,$O175:$O185,1)+1,$M175:$Z185,8),""),"")</f>
        <v>#REF!</v>
      </c>
      <c r="AH179" s="230" t="e">
        <f>IF($C$8=$N180,IF(AND($AD$148&gt;=25,$AD$148&lt;=45),VLOOKUP(MATCH($AD$148,$O175:$O185,1)+1,$M175:$Z185,9),""),"")</f>
        <v>#REF!</v>
      </c>
      <c r="AI179" s="230" t="e">
        <f>IF($C$8=$N180,IF(AND($AD$148&gt;=25,$AD$148&lt;=45),VLOOKUP(MATCH($AD$148,$O175:$O185,1)+1,$M175:$Z185,10),""),"")</f>
        <v>#REF!</v>
      </c>
      <c r="AJ179" s="230" t="e">
        <f>IF($C$8=$N180,IF(AND($AD$148&gt;=25,$AD$148&lt;=45),VLOOKUP(MATCH($AD$148,$O175:$O185,1)+1,$M175:$Z185,11),""),"")</f>
        <v>#REF!</v>
      </c>
      <c r="AK179" s="230" t="e">
        <f>IF($C$8=$N180,IF(AND($AD$148&gt;=25,$AD$148&lt;=45),VLOOKUP(MATCH($AD$148,$O175:$O185,1)+1,$M175:$Z185,12),""),"")</f>
        <v>#REF!</v>
      </c>
      <c r="AL179" s="230" t="e">
        <f>IF($C$8=$N180,IF(AND($AD$148&gt;=25,$AD$148&lt;=45),VLOOKUP(MATCH($AD$148,$O175:$O185,1)+1,$M175:$Z185,13),""),"")</f>
        <v>#REF!</v>
      </c>
      <c r="AM179" s="231" t="e">
        <f>IF($C$8=$N180,IF(AND($AD$148&gt;=25,$AD$148&lt;=45),VLOOKUP(MATCH($AD$148,$O175:$O185,1)+1,$M175:$Z185,14),""),"")</f>
        <v>#REF!</v>
      </c>
    </row>
    <row r="180" spans="13:39" x14ac:dyDescent="0.2">
      <c r="M180" s="200">
        <v>6</v>
      </c>
      <c r="N180" s="21">
        <v>100</v>
      </c>
      <c r="O180" s="235">
        <v>25</v>
      </c>
      <c r="P180" s="235">
        <v>1</v>
      </c>
      <c r="Q180" s="236">
        <v>19.899999999999999</v>
      </c>
      <c r="R180" s="237">
        <v>3.2</v>
      </c>
      <c r="S180" s="237">
        <v>14.4</v>
      </c>
      <c r="T180" s="238">
        <v>3.3</v>
      </c>
      <c r="U180" s="236">
        <v>-8.8000000000000007</v>
      </c>
      <c r="V180" s="237">
        <v>-12</v>
      </c>
      <c r="W180" s="237">
        <v>-6.4</v>
      </c>
      <c r="X180" s="239">
        <v>-9.6999999999999993</v>
      </c>
      <c r="Y180" s="236">
        <v>-16.5</v>
      </c>
      <c r="Z180" s="238">
        <v>-14</v>
      </c>
      <c r="AA180" s="218">
        <v>28</v>
      </c>
      <c r="AB180" s="229"/>
      <c r="AC180" s="230" t="e">
        <f>IF($C$8=$N180,IF(AND($AD$148&gt;=25,$AD$148&lt;=45),VLOOKUP(MATCH($AD$148,$O175:$O185,1)+IF($AD$148&lt;25,1,2),$M175:$Z185,3),""),"")</f>
        <v>#REF!</v>
      </c>
      <c r="AD180" s="230" t="e">
        <f>IF($C$8=$N180,IF(AND($AD$148&gt;=25,$AD$148&lt;=45),VLOOKUP(MATCH($AD$148,$O175:$O185,1)+1+IF($AD$148&lt;25,1,2),$M175:$Z185,5),""),"")</f>
        <v>#REF!</v>
      </c>
      <c r="AE180" s="230" t="e">
        <f>IF($C$8=$N180,IF(AND($AD$148&gt;=25,$AD$148&lt;=45),VLOOKUP(MATCH($AD$148,$O175:$O185,1)+1+IF($AD$148&lt;25,1,2),$M175:$Z185,6),""),"")</f>
        <v>#REF!</v>
      </c>
      <c r="AF180" s="230" t="e">
        <f>IF($C$8=$N180,IF(AND($AD$148&gt;=25,$AD$148&lt;=45),VLOOKUP(MATCH($AD$148,$O175:$O185,1)+1+IF($AD$148&lt;25,1,2),$M175:$Z185,7),""),"")</f>
        <v>#REF!</v>
      </c>
      <c r="AG180" s="230" t="e">
        <f>IF($C$8=$N180,IF(AND($AD$148&gt;=25,$AD$148&lt;=45),VLOOKUP(MATCH($AD$148,$O175:$O185,1)+1+IF($AD$148&lt;25,1,2),$M175:$Z185,8),""),"")</f>
        <v>#REF!</v>
      </c>
      <c r="AH180" s="230" t="e">
        <f>IF($C$8=$N180,IF(AND($AD$148&gt;=25,$AD$148&lt;=45),VLOOKUP(MATCH($AD$148,$O175:$O185,1)+1+IF($AD$148&lt;25,1,2),$M175:$Z185,9),""),"")</f>
        <v>#REF!</v>
      </c>
      <c r="AI180" s="230" t="e">
        <f>IF($C$8=$N180,IF(AND($AD$148&gt;=25,$AD$148&lt;=45),VLOOKUP(MATCH($AD$148,$O175:$O185,1)+1+IF($AD$148&lt;25,1,2),$M175:$Z185,10),""),"")</f>
        <v>#REF!</v>
      </c>
      <c r="AJ180" s="230" t="e">
        <f>IF($C$8=$N180,IF(AND($AD$148&gt;=25,$AD$148&lt;=45),VLOOKUP(MATCH($AD$148,$O175:$O185,1)+1+IF($AD$148&lt;25,1,2),$M175:$Z185,11),""),"")</f>
        <v>#REF!</v>
      </c>
      <c r="AK180" s="230" t="e">
        <f>IF($C$8=$N180,IF(AND($AD$148&gt;=25,$AD$148&lt;=45),VLOOKUP(MATCH($AD$148,$O175:$O185,1)+1+IF($AD$148&lt;25,1,2),$M175:$Z185,12),""),"")</f>
        <v>#REF!</v>
      </c>
      <c r="AL180" s="230" t="e">
        <f>IF($C$8=$N180,IF(AND($AD$148&gt;=25,$AD$148&lt;=45),VLOOKUP(MATCH($AD$148,$O175:$O185,1)+1+IF($AD$148&lt;25,1,2),$M175:$Z185,13),""),"")</f>
        <v>#REF!</v>
      </c>
      <c r="AM180" s="231" t="e">
        <f>IF($C$8=$N180,IF(AND($AD$148&gt;=25,$AD$148&lt;=45),VLOOKUP(MATCH($AD$148,$O175:$O185,1)+1+IF($AD$148&lt;25,1,2),$M175:$Z185,14),""),"")</f>
        <v>#REF!</v>
      </c>
    </row>
    <row r="181" spans="13:39" x14ac:dyDescent="0.2">
      <c r="M181" s="200">
        <v>7</v>
      </c>
      <c r="N181" s="21"/>
      <c r="O181" s="210"/>
      <c r="P181" s="210">
        <v>2</v>
      </c>
      <c r="Q181" s="240">
        <v>0</v>
      </c>
      <c r="R181" s="241">
        <v>0</v>
      </c>
      <c r="S181" s="241">
        <v>0</v>
      </c>
      <c r="T181" s="242">
        <v>0</v>
      </c>
      <c r="U181" s="240">
        <v>-3.4</v>
      </c>
      <c r="V181" s="241">
        <v>-6.6</v>
      </c>
      <c r="W181" s="241">
        <v>-0.9</v>
      </c>
      <c r="X181" s="243">
        <v>-4.2</v>
      </c>
      <c r="Y181" s="240">
        <v>0</v>
      </c>
      <c r="Z181" s="242">
        <v>0</v>
      </c>
      <c r="AA181" s="218">
        <v>29</v>
      </c>
      <c r="AB181" s="229"/>
      <c r="AC181" s="230" t="e">
        <f>IF($C$8=$N180,IF(AND($AD$148&gt;=25,$AD$148&lt;=45),$AD$148,""),"")</f>
        <v>#REF!</v>
      </c>
      <c r="AD181" s="230" t="e">
        <f t="shared" ref="AD181:AM181" si="32">IF($C$8=$N180,IF(AND($AD$148&gt;=25,$AD$148&lt;=45),(AD180-AD179)*($AD$148-$AC179)/($AC180-$AC179)+AD179,""),"")</f>
        <v>#REF!</v>
      </c>
      <c r="AE181" s="230" t="e">
        <f t="shared" si="32"/>
        <v>#REF!</v>
      </c>
      <c r="AF181" s="230" t="e">
        <f t="shared" si="32"/>
        <v>#REF!</v>
      </c>
      <c r="AG181" s="230" t="e">
        <f t="shared" si="32"/>
        <v>#REF!</v>
      </c>
      <c r="AH181" s="230" t="e">
        <f t="shared" si="32"/>
        <v>#REF!</v>
      </c>
      <c r="AI181" s="230" t="e">
        <f t="shared" si="32"/>
        <v>#REF!</v>
      </c>
      <c r="AJ181" s="230" t="e">
        <f t="shared" si="32"/>
        <v>#REF!</v>
      </c>
      <c r="AK181" s="230" t="e">
        <f t="shared" si="32"/>
        <v>#REF!</v>
      </c>
      <c r="AL181" s="230" t="e">
        <f t="shared" si="32"/>
        <v>#REF!</v>
      </c>
      <c r="AM181" s="231" t="e">
        <f t="shared" si="32"/>
        <v>#REF!</v>
      </c>
    </row>
    <row r="182" spans="13:39" x14ac:dyDescent="0.2">
      <c r="M182" s="200">
        <v>8</v>
      </c>
      <c r="N182" s="21"/>
      <c r="O182" s="235">
        <v>30</v>
      </c>
      <c r="P182" s="235">
        <v>1</v>
      </c>
      <c r="Q182" s="236">
        <v>17.8</v>
      </c>
      <c r="R182" s="237">
        <v>12.2</v>
      </c>
      <c r="S182" s="237">
        <v>14.2</v>
      </c>
      <c r="T182" s="238">
        <v>9.8000000000000007</v>
      </c>
      <c r="U182" s="236">
        <v>1.4</v>
      </c>
      <c r="V182" s="237">
        <v>-10.8</v>
      </c>
      <c r="W182" s="237">
        <v>0.5</v>
      </c>
      <c r="X182" s="239">
        <v>-9.3000000000000007</v>
      </c>
      <c r="Y182" s="236">
        <v>-6.3</v>
      </c>
      <c r="Z182" s="238">
        <v>-7.2</v>
      </c>
      <c r="AA182" s="218">
        <v>30</v>
      </c>
      <c r="AB182" s="229"/>
      <c r="AC182" s="230"/>
      <c r="AD182" s="552"/>
      <c r="AE182" s="552"/>
      <c r="AF182" s="552"/>
      <c r="AG182" s="552"/>
      <c r="AH182" s="552"/>
      <c r="AI182" s="552"/>
      <c r="AJ182" s="552"/>
      <c r="AK182" s="552"/>
      <c r="AL182" s="552"/>
      <c r="AM182" s="553"/>
    </row>
    <row r="183" spans="13:39" x14ac:dyDescent="0.2">
      <c r="M183" s="200">
        <v>9</v>
      </c>
      <c r="N183" s="249"/>
      <c r="O183" s="210"/>
      <c r="P183" s="210">
        <v>2</v>
      </c>
      <c r="Q183" s="240">
        <v>17.8</v>
      </c>
      <c r="R183" s="241">
        <v>12.2</v>
      </c>
      <c r="S183" s="241">
        <v>14.2</v>
      </c>
      <c r="T183" s="242">
        <v>9.8000000000000007</v>
      </c>
      <c r="U183" s="240">
        <v>6.9</v>
      </c>
      <c r="V183" s="241">
        <v>-5.3</v>
      </c>
      <c r="W183" s="241">
        <v>5.9</v>
      </c>
      <c r="X183" s="243">
        <v>-3.8</v>
      </c>
      <c r="Y183" s="240">
        <v>-6.3</v>
      </c>
      <c r="Z183" s="242">
        <v>-7.2</v>
      </c>
      <c r="AA183" s="218">
        <v>31</v>
      </c>
      <c r="AB183" s="229"/>
      <c r="AC183" s="230"/>
      <c r="AD183" s="552"/>
      <c r="AE183" s="552"/>
      <c r="AF183" s="552"/>
      <c r="AG183" s="552"/>
      <c r="AH183" s="552"/>
      <c r="AI183" s="552"/>
      <c r="AJ183" s="552"/>
      <c r="AK183" s="552"/>
      <c r="AL183" s="552"/>
      <c r="AM183" s="553"/>
    </row>
    <row r="184" spans="13:39" x14ac:dyDescent="0.2">
      <c r="M184" s="200">
        <v>10</v>
      </c>
      <c r="N184" s="21"/>
      <c r="O184" s="235">
        <v>45</v>
      </c>
      <c r="P184" s="235">
        <v>1</v>
      </c>
      <c r="Q184" s="236">
        <v>17.8</v>
      </c>
      <c r="R184" s="237">
        <v>12.2</v>
      </c>
      <c r="S184" s="237">
        <v>14.2</v>
      </c>
      <c r="T184" s="238">
        <v>9.8000000000000007</v>
      </c>
      <c r="U184" s="236">
        <v>1.4</v>
      </c>
      <c r="V184" s="237">
        <v>-10.8</v>
      </c>
      <c r="W184" s="237">
        <v>0.5</v>
      </c>
      <c r="X184" s="239">
        <v>-9.3000000000000007</v>
      </c>
      <c r="Y184" s="236">
        <v>-6.3</v>
      </c>
      <c r="Z184" s="238">
        <v>-7.2</v>
      </c>
      <c r="AA184" s="218">
        <v>32</v>
      </c>
      <c r="AB184" s="229"/>
      <c r="AC184" s="230"/>
      <c r="AD184" s="552"/>
      <c r="AE184" s="552"/>
      <c r="AF184" s="552"/>
      <c r="AG184" s="552"/>
      <c r="AH184" s="552"/>
      <c r="AI184" s="552"/>
      <c r="AJ184" s="552"/>
      <c r="AK184" s="552"/>
      <c r="AL184" s="552"/>
      <c r="AM184" s="553"/>
    </row>
    <row r="185" spans="13:39" x14ac:dyDescent="0.2">
      <c r="M185" s="200">
        <v>11</v>
      </c>
      <c r="N185" s="22"/>
      <c r="O185" s="250"/>
      <c r="P185" s="250">
        <v>2</v>
      </c>
      <c r="Q185" s="251">
        <v>17.8</v>
      </c>
      <c r="R185" s="252">
        <v>12.2</v>
      </c>
      <c r="S185" s="252">
        <v>14.2</v>
      </c>
      <c r="T185" s="253">
        <v>9.8000000000000007</v>
      </c>
      <c r="U185" s="251">
        <v>6.9</v>
      </c>
      <c r="V185" s="252">
        <v>-5.3</v>
      </c>
      <c r="W185" s="252">
        <v>5.9</v>
      </c>
      <c r="X185" s="254">
        <v>-3.8</v>
      </c>
      <c r="Y185" s="251">
        <v>-6.3</v>
      </c>
      <c r="Z185" s="253">
        <v>-7.2</v>
      </c>
      <c r="AA185" s="218">
        <v>33</v>
      </c>
      <c r="AB185" s="255"/>
      <c r="AC185" s="554"/>
      <c r="AD185" s="555"/>
      <c r="AE185" s="555"/>
      <c r="AF185" s="555"/>
      <c r="AG185" s="555"/>
      <c r="AH185" s="555"/>
      <c r="AI185" s="555"/>
      <c r="AJ185" s="555"/>
      <c r="AK185" s="555"/>
      <c r="AL185" s="555"/>
      <c r="AM185" s="556"/>
    </row>
    <row r="186" spans="13:39" x14ac:dyDescent="0.2">
      <c r="M186" s="200">
        <v>1</v>
      </c>
      <c r="N186" s="197"/>
      <c r="O186" s="205">
        <v>0</v>
      </c>
      <c r="P186" s="205">
        <v>1</v>
      </c>
      <c r="Q186" s="206">
        <v>17.5</v>
      </c>
      <c r="R186" s="215">
        <v>-9</v>
      </c>
      <c r="S186" s="215">
        <v>11.6</v>
      </c>
      <c r="T186" s="216">
        <v>-5.4</v>
      </c>
      <c r="U186" s="206">
        <v>-21.1</v>
      </c>
      <c r="V186" s="215">
        <v>-11.9</v>
      </c>
      <c r="W186" s="215">
        <v>-14.7</v>
      </c>
      <c r="X186" s="217">
        <v>-9.3000000000000007</v>
      </c>
      <c r="Y186" s="206">
        <v>-29.4</v>
      </c>
      <c r="Z186" s="216">
        <v>-23</v>
      </c>
      <c r="AA186" s="218">
        <v>34</v>
      </c>
      <c r="AB186" s="519"/>
      <c r="AC186" s="520" t="e">
        <f>IF($C$8=$N191,VLOOKUP(MATCH($AD$148,$O186:$O196,1),$M186:$Z196,3),"")</f>
        <v>#REF!</v>
      </c>
      <c r="AD186" s="520" t="e">
        <f>IF($C$8=$N191,VLOOKUP(MATCH($AD$148,$O186:$O196,1),$M186:$Z196,5),"")</f>
        <v>#REF!</v>
      </c>
      <c r="AE186" s="520" t="e">
        <f>IF($C$8=$N191,VLOOKUP(MATCH($AD$148,$O186:$O196,1),$M186:$Z196,6),"")</f>
        <v>#REF!</v>
      </c>
      <c r="AF186" s="520" t="e">
        <f>IF($C$8=$N191,VLOOKUP(MATCH($AD$148,$O186:$O196,1),$M186:$Z196,7),"")</f>
        <v>#REF!</v>
      </c>
      <c r="AG186" s="520" t="e">
        <f>IF($C$8=$N191,VLOOKUP(MATCH($AD$148,$O186:$O196,1),$M186:$Z196,8),"")</f>
        <v>#REF!</v>
      </c>
      <c r="AH186" s="520" t="e">
        <f>IF($C$8=$N191,VLOOKUP(MATCH($AD$148,$O186:$O196,1),$M186:$Z196,9),"")</f>
        <v>#REF!</v>
      </c>
      <c r="AI186" s="520" t="e">
        <f>IF($C$8=$N191,VLOOKUP(MATCH($AD$148,$O186:$O196,1),$M186:$Z196,10),"")</f>
        <v>#REF!</v>
      </c>
      <c r="AJ186" s="520" t="e">
        <f>IF($C$8=$N191,VLOOKUP(MATCH($AD$148,$O186:$O196,1),$M186:$Z196,11),"")</f>
        <v>#REF!</v>
      </c>
      <c r="AK186" s="520" t="e">
        <f>IF($C$8=$N191,VLOOKUP(MATCH($AD$148,$O186:$O196,1),$M186:$Z196,12),"")</f>
        <v>#REF!</v>
      </c>
      <c r="AL186" s="520" t="e">
        <f>IF($C$8=$N191,VLOOKUP(MATCH($AD$148,$O186:$O196,1),$M186:$Z196,13),"")</f>
        <v>#REF!</v>
      </c>
      <c r="AM186" s="521" t="e">
        <f>IF($C$8=$N191,VLOOKUP(MATCH($AD$148,$O186:$O196,1),$M186:$Z196,14),"")</f>
        <v>#REF!</v>
      </c>
    </row>
    <row r="187" spans="13:39" x14ac:dyDescent="0.2">
      <c r="M187" s="200">
        <v>2</v>
      </c>
      <c r="N187" s="21"/>
      <c r="O187" s="223">
        <v>5</v>
      </c>
      <c r="P187" s="223">
        <v>1</v>
      </c>
      <c r="Q187" s="211">
        <v>17.5</v>
      </c>
      <c r="R187" s="226">
        <v>-9</v>
      </c>
      <c r="S187" s="226">
        <v>11.6</v>
      </c>
      <c r="T187" s="227">
        <v>-5.4</v>
      </c>
      <c r="U187" s="211">
        <v>-21.1</v>
      </c>
      <c r="V187" s="226">
        <v>-11.9</v>
      </c>
      <c r="W187" s="226">
        <v>-14.7</v>
      </c>
      <c r="X187" s="228">
        <v>-9.3000000000000007</v>
      </c>
      <c r="Y187" s="211">
        <v>-29.4</v>
      </c>
      <c r="Z187" s="227">
        <v>-23</v>
      </c>
      <c r="AA187" s="218">
        <v>35</v>
      </c>
      <c r="AB187" s="527"/>
      <c r="AC187" s="528" t="e">
        <f>IF($C$8=$N191,VLOOKUP(MATCH($AD$148,$O186:$O196,1)+IF($AD$148&lt;25,1,2),$M186:$Z196,3),"")</f>
        <v>#REF!</v>
      </c>
      <c r="AD187" s="528" t="e">
        <f>IF($C$8=$N191,VLOOKUP(MATCH($AD$148,$O186:$O196,1)+IF($AD$148&lt;25,1,2),$M186:$Z196,5),"")</f>
        <v>#REF!</v>
      </c>
      <c r="AE187" s="528" t="e">
        <f>IF($C$8=$N191,VLOOKUP(MATCH($AD$148,$O186:$O196,1)+IF($AD$148&lt;25,1,2),$M186:$Z196,6),"")</f>
        <v>#REF!</v>
      </c>
      <c r="AF187" s="528" t="e">
        <f>IF($C$8=$N191,VLOOKUP(MATCH($AD$148,$O186:$O196,1)+IF($AD$148&lt;25,1,2),$M186:$Z196,7),"")</f>
        <v>#REF!</v>
      </c>
      <c r="AG187" s="528" t="e">
        <f>IF($C$8=$N191,VLOOKUP(MATCH($AD$148,$O186:$O196,1)+IF($AD$148&lt;25,1,2),$M186:$Z196,8),"")</f>
        <v>#REF!</v>
      </c>
      <c r="AH187" s="528" t="e">
        <f>IF($C$8=$N191,VLOOKUP(MATCH($AD$148,$O186:$O196,1)+IF($AD$148&lt;25,1,2),$M186:$Z196,9),"")</f>
        <v>#REF!</v>
      </c>
      <c r="AI187" s="528" t="e">
        <f>IF($C$8=$N191,VLOOKUP(MATCH($AD$148,$O186:$O196,1)+IF($AD$148&lt;25,1,2),$M186:$Z196,10),"")</f>
        <v>#REF!</v>
      </c>
      <c r="AJ187" s="528" t="e">
        <f>IF($C$8=$N191,VLOOKUP(MATCH($AD$148,$O186:$O196,1)+IF($AD$148&lt;25,1,2),$M186:$Z196,11),"")</f>
        <v>#REF!</v>
      </c>
      <c r="AK187" s="528" t="e">
        <f>IF($C$8=$N191,VLOOKUP(MATCH($AD$148,$O186:$O196,1)+IF($AD$148&lt;25,1,2),$M186:$Z196,12),"")</f>
        <v>#REF!</v>
      </c>
      <c r="AL187" s="528" t="e">
        <f>IF($C$8=$N191,VLOOKUP(MATCH($AD$148,$O186:$O196,1)+IF($AD$148&lt;25,1,2),$M186:$Z196,13),"")</f>
        <v>#REF!</v>
      </c>
      <c r="AM187" s="529" t="e">
        <f>IF($C$8=$N191,VLOOKUP(MATCH($AD$148,$O186:$O196,1)+IF($AD$148&lt;25,1,2),$M186:$Z196,14),"")</f>
        <v>#REF!</v>
      </c>
    </row>
    <row r="188" spans="13:39" x14ac:dyDescent="0.2">
      <c r="M188" s="200">
        <v>3</v>
      </c>
      <c r="N188" s="21"/>
      <c r="O188" s="223">
        <v>10</v>
      </c>
      <c r="P188" s="223">
        <v>1</v>
      </c>
      <c r="Q188" s="211">
        <v>19.7</v>
      </c>
      <c r="R188" s="226">
        <v>-8.1999999999999993</v>
      </c>
      <c r="S188" s="226">
        <v>13.1</v>
      </c>
      <c r="T188" s="227">
        <v>-4.7</v>
      </c>
      <c r="U188" s="211">
        <v>-21.1</v>
      </c>
      <c r="V188" s="226">
        <v>-12.8</v>
      </c>
      <c r="W188" s="226">
        <v>-14.7</v>
      </c>
      <c r="X188" s="228">
        <v>-9.8000000000000007</v>
      </c>
      <c r="Y188" s="211">
        <v>-29.4</v>
      </c>
      <c r="Z188" s="227">
        <v>-23</v>
      </c>
      <c r="AA188" s="218">
        <v>36</v>
      </c>
      <c r="AB188" s="527" t="e">
        <f>IF($C$8=$N191,MATCH($AD$148,$O186:$O196,1),0)</f>
        <v>#REF!</v>
      </c>
      <c r="AC188" s="528" t="e">
        <f>IF($C$8=$N191,$AD$148,"")</f>
        <v>#REF!</v>
      </c>
      <c r="AD188" s="528" t="e">
        <f t="shared" ref="AD188:AM188" si="33">IF($C$8=$N191,(AD187-AD186)*($AD$148-$AC186)/($AC187-$AC186)+AD186,"")</f>
        <v>#REF!</v>
      </c>
      <c r="AE188" s="528" t="e">
        <f t="shared" si="33"/>
        <v>#REF!</v>
      </c>
      <c r="AF188" s="528" t="e">
        <f t="shared" si="33"/>
        <v>#REF!</v>
      </c>
      <c r="AG188" s="528" t="e">
        <f t="shared" si="33"/>
        <v>#REF!</v>
      </c>
      <c r="AH188" s="528" t="e">
        <f t="shared" si="33"/>
        <v>#REF!</v>
      </c>
      <c r="AI188" s="528" t="e">
        <f t="shared" si="33"/>
        <v>#REF!</v>
      </c>
      <c r="AJ188" s="528" t="e">
        <f t="shared" si="33"/>
        <v>#REF!</v>
      </c>
      <c r="AK188" s="528" t="e">
        <f t="shared" si="33"/>
        <v>#REF!</v>
      </c>
      <c r="AL188" s="528" t="e">
        <f t="shared" si="33"/>
        <v>#REF!</v>
      </c>
      <c r="AM188" s="529" t="e">
        <f t="shared" si="33"/>
        <v>#REF!</v>
      </c>
    </row>
    <row r="189" spans="13:39" x14ac:dyDescent="0.2">
      <c r="M189" s="200">
        <v>4</v>
      </c>
      <c r="N189" s="21"/>
      <c r="O189" s="223">
        <v>15</v>
      </c>
      <c r="P189" s="223">
        <v>1</v>
      </c>
      <c r="Q189" s="211">
        <v>21.9</v>
      </c>
      <c r="R189" s="226">
        <v>-7.3</v>
      </c>
      <c r="S189" s="226">
        <v>14.7</v>
      </c>
      <c r="T189" s="227">
        <v>-4.2</v>
      </c>
      <c r="U189" s="211">
        <v>-21.1</v>
      </c>
      <c r="V189" s="226">
        <v>-13.7</v>
      </c>
      <c r="W189" s="226">
        <v>-14.7</v>
      </c>
      <c r="X189" s="228">
        <v>-10.5</v>
      </c>
      <c r="Y189" s="211">
        <v>-29.4</v>
      </c>
      <c r="Z189" s="227">
        <v>-23</v>
      </c>
      <c r="AA189" s="218">
        <v>37</v>
      </c>
      <c r="AB189" s="527"/>
      <c r="AC189" s="528"/>
      <c r="AD189" s="530"/>
      <c r="AE189" s="530"/>
      <c r="AF189" s="530"/>
      <c r="AG189" s="530"/>
      <c r="AH189" s="530"/>
      <c r="AI189" s="530"/>
      <c r="AJ189" s="530"/>
      <c r="AK189" s="530"/>
      <c r="AL189" s="530"/>
      <c r="AM189" s="531"/>
    </row>
    <row r="190" spans="13:39" x14ac:dyDescent="0.2">
      <c r="M190" s="200">
        <v>5</v>
      </c>
      <c r="N190" s="21"/>
      <c r="O190" s="223">
        <v>20</v>
      </c>
      <c r="P190" s="223">
        <v>1</v>
      </c>
      <c r="Q190" s="211">
        <v>24.3</v>
      </c>
      <c r="R190" s="226">
        <v>-8.4</v>
      </c>
      <c r="S190" s="226">
        <v>16.100000000000001</v>
      </c>
      <c r="T190" s="227">
        <v>-3.5</v>
      </c>
      <c r="U190" s="211">
        <v>-21.1</v>
      </c>
      <c r="V190" s="226">
        <v>-14.7</v>
      </c>
      <c r="W190" s="226">
        <v>-14.7</v>
      </c>
      <c r="X190" s="228">
        <v>-11.1</v>
      </c>
      <c r="Y190" s="211">
        <v>-29.4</v>
      </c>
      <c r="Z190" s="227">
        <v>-23</v>
      </c>
      <c r="AA190" s="218">
        <v>38</v>
      </c>
      <c r="AB190" s="527"/>
      <c r="AC190" s="528" t="e">
        <f>IF($C$8=$N191,IF(AND($AD$148&gt;=25,$AD$148&lt;=45),VLOOKUP(MATCH($AD$148,$O186:$O196,1),$M186:$Z196,3),""),"")</f>
        <v>#REF!</v>
      </c>
      <c r="AD190" s="528" t="e">
        <f>IF($C$8=$N191,IF(AND($AD$148&gt;=25,$AD$148&lt;=45),VLOOKUP(MATCH($AD$148,$O186:$O196,1)+1,$M186:$Z196,5),""),"")</f>
        <v>#REF!</v>
      </c>
      <c r="AE190" s="528" t="e">
        <f>IF($C$8=$N191,IF(AND($AD$148&gt;=25,$AD$148&lt;=45),VLOOKUP(MATCH($AD$148,$O186:$O196,1)+1,$M186:$Z196,6),""),"")</f>
        <v>#REF!</v>
      </c>
      <c r="AF190" s="528" t="e">
        <f>IF($C$8=$N191,IF(AND($AD$148&gt;=25,$AD$148&lt;=45),VLOOKUP(MATCH($AD$148,$O186:$O196,1)+1,$M186:$Z196,7),""),"")</f>
        <v>#REF!</v>
      </c>
      <c r="AG190" s="528" t="e">
        <f>IF($C$8=$N191,IF(AND($AD$148&gt;=25,$AD$148&lt;=45),VLOOKUP(MATCH($AD$148,$O186:$O196,1)+1,$M186:$Z196,8),""),"")</f>
        <v>#REF!</v>
      </c>
      <c r="AH190" s="528" t="e">
        <f>IF($C$8=$N191,IF(AND($AD$148&gt;=25,$AD$148&lt;=45),VLOOKUP(MATCH($AD$148,$O186:$O196,1)+1,$M186:$Z196,9),""),"")</f>
        <v>#REF!</v>
      </c>
      <c r="AI190" s="528" t="e">
        <f>IF($C$8=$N191,IF(AND($AD$148&gt;=25,$AD$148&lt;=45),VLOOKUP(MATCH($AD$148,$O186:$O196,1)+1,$M186:$Z196,10),""),"")</f>
        <v>#REF!</v>
      </c>
      <c r="AJ190" s="528" t="e">
        <f>IF($C$8=$N191,IF(AND($AD$148&gt;=25,$AD$148&lt;=45),VLOOKUP(MATCH($AD$148,$O186:$O196,1)+1,$M186:$Z196,11),""),"")</f>
        <v>#REF!</v>
      </c>
      <c r="AK190" s="528" t="e">
        <f>IF($C$8=$N191,IF(AND($AD$148&gt;=25,$AD$148&lt;=45),VLOOKUP(MATCH($AD$148,$O186:$O196,1)+1,$M186:$Z196,12),""),"")</f>
        <v>#REF!</v>
      </c>
      <c r="AL190" s="528" t="e">
        <f>IF($C$8=$N191,IF(AND($AD$148&gt;=25,$AD$148&lt;=45),VLOOKUP(MATCH($AD$148,$O186:$O196,1)+1,$M186:$Z196,13),""),"")</f>
        <v>#REF!</v>
      </c>
      <c r="AM190" s="529" t="e">
        <f>IF($C$8=$N191,IF(AND($AD$148&gt;=25,$AD$148&lt;=45),VLOOKUP(MATCH($AD$148,$O186:$O196,1)+1,$M186:$Z196,14),""),"")</f>
        <v>#REF!</v>
      </c>
    </row>
    <row r="191" spans="13:39" x14ac:dyDescent="0.2">
      <c r="M191" s="200">
        <v>6</v>
      </c>
      <c r="N191" s="21">
        <v>105</v>
      </c>
      <c r="O191" s="235">
        <v>25</v>
      </c>
      <c r="P191" s="235">
        <v>1</v>
      </c>
      <c r="Q191" s="236">
        <v>21.9</v>
      </c>
      <c r="R191" s="237">
        <v>3.5</v>
      </c>
      <c r="S191" s="237">
        <v>15.9</v>
      </c>
      <c r="T191" s="238">
        <v>3.5</v>
      </c>
      <c r="U191" s="236">
        <v>-9.6999999999999993</v>
      </c>
      <c r="V191" s="237">
        <v>-7.1</v>
      </c>
      <c r="W191" s="237">
        <v>-7.1</v>
      </c>
      <c r="X191" s="239">
        <v>-10.7</v>
      </c>
      <c r="Y191" s="236">
        <v>-18.2</v>
      </c>
      <c r="Z191" s="238">
        <v>-15.4</v>
      </c>
      <c r="AA191" s="218">
        <v>39</v>
      </c>
      <c r="AB191" s="527"/>
      <c r="AC191" s="528" t="e">
        <f>IF($C$8=$N191,IF(AND($AD$148&gt;=25,$AD$148&lt;=45),VLOOKUP(MATCH($AD$148,$O186:$O196,1)+IF($AD$148&lt;25,1,2),$M186:$Z196,3),""),"")</f>
        <v>#REF!</v>
      </c>
      <c r="AD191" s="528" t="e">
        <f>IF($C$8=$N191,IF(AND($AD$148&gt;=25,$AD$148&lt;=45),VLOOKUP(MATCH($AD$148,$O186:$O196,1)+1+IF($AD$148&lt;25,1,2),$M186:$Z196,5),""),"")</f>
        <v>#REF!</v>
      </c>
      <c r="AE191" s="528" t="e">
        <f>IF($C$8=$N191,IF(AND($AD$148&gt;=25,$AD$148&lt;=45),VLOOKUP(MATCH($AD$148,$O186:$O196,1)+1+IF($AD$148&lt;25,1,2),$M186:$Z196,6),""),"")</f>
        <v>#REF!</v>
      </c>
      <c r="AF191" s="528" t="e">
        <f>IF($C$8=$N191,IF(AND($AD$148&gt;=25,$AD$148&lt;=45),VLOOKUP(MATCH($AD$148,$O186:$O196,1)+1+IF($AD$148&lt;25,1,2),$M186:$Z196,7),""),"")</f>
        <v>#REF!</v>
      </c>
      <c r="AG191" s="528" t="e">
        <f>IF($C$8=$N191,IF(AND($AD$148&gt;=25,$AD$148&lt;=45),VLOOKUP(MATCH($AD$148,$O186:$O196,1)+1+IF($AD$148&lt;25,1,2),$M186:$Z196,8),""),"")</f>
        <v>#REF!</v>
      </c>
      <c r="AH191" s="528" t="e">
        <f>IF($C$8=$N191,IF(AND($AD$148&gt;=25,$AD$148&lt;=45),VLOOKUP(MATCH($AD$148,$O186:$O196,1)+1+IF($AD$148&lt;25,1,2),$M186:$Z196,9),""),"")</f>
        <v>#REF!</v>
      </c>
      <c r="AI191" s="528" t="e">
        <f>IF($C$8=$N191,IF(AND($AD$148&gt;=25,$AD$148&lt;=45),VLOOKUP(MATCH($AD$148,$O186:$O196,1)+1+IF($AD$148&lt;25,1,2),$M186:$Z196,10),""),"")</f>
        <v>#REF!</v>
      </c>
      <c r="AJ191" s="528" t="e">
        <f>IF($C$8=$N191,IF(AND($AD$148&gt;=25,$AD$148&lt;=45),VLOOKUP(MATCH($AD$148,$O186:$O196,1)+1+IF($AD$148&lt;25,1,2),$M186:$Z196,11),""),"")</f>
        <v>#REF!</v>
      </c>
      <c r="AK191" s="528" t="e">
        <f>IF($C$8=$N191,IF(AND($AD$148&gt;=25,$AD$148&lt;=45),VLOOKUP(MATCH($AD$148,$O186:$O196,1)+1+IF($AD$148&lt;25,1,2),$M186:$Z196,12),""),"")</f>
        <v>#REF!</v>
      </c>
      <c r="AL191" s="528" t="e">
        <f>IF($C$8=$N191,IF(AND($AD$148&gt;=25,$AD$148&lt;=45),VLOOKUP(MATCH($AD$148,$O186:$O196,1)+1+IF($AD$148&lt;25,1,2),$M186:$Z196,13),""),"")</f>
        <v>#REF!</v>
      </c>
      <c r="AM191" s="529" t="e">
        <f>IF($C$8=$N191,IF(AND($AD$148&gt;=25,$AD$148&lt;=45),VLOOKUP(MATCH($AD$148,$O186:$O196,1)+1+IF($AD$148&lt;25,1,2),$M186:$Z196,14),""),"")</f>
        <v>#REF!</v>
      </c>
    </row>
    <row r="192" spans="13:39" x14ac:dyDescent="0.2">
      <c r="M192" s="200">
        <v>7</v>
      </c>
      <c r="N192" s="21"/>
      <c r="O192" s="210"/>
      <c r="P192" s="210">
        <v>2</v>
      </c>
      <c r="Q192" s="240">
        <v>0</v>
      </c>
      <c r="R192" s="241">
        <v>0</v>
      </c>
      <c r="S192" s="241">
        <v>0</v>
      </c>
      <c r="T192" s="242">
        <v>0</v>
      </c>
      <c r="U192" s="240">
        <v>-3.7</v>
      </c>
      <c r="V192" s="241">
        <v>-1</v>
      </c>
      <c r="W192" s="241">
        <v>-1</v>
      </c>
      <c r="X192" s="243">
        <v>-4.5999999999999996</v>
      </c>
      <c r="Y192" s="240">
        <v>0</v>
      </c>
      <c r="Z192" s="242">
        <v>0</v>
      </c>
      <c r="AA192" s="218">
        <v>40</v>
      </c>
      <c r="AB192" s="527"/>
      <c r="AC192" s="528" t="e">
        <f>IF($C$8=$N191,IF(AND($AD$148&gt;=25,$AD$148&lt;=45),$AD$148,""),"")</f>
        <v>#REF!</v>
      </c>
      <c r="AD192" s="528" t="e">
        <f t="shared" ref="AD192:AM192" si="34">IF($C$8=$N191,IF(AND($AD$148&gt;=25,$AD$148&lt;=45),(AD191-AD190)*($AD$148-$AC190)/($AC191-$AC190)+AD190,""),"")</f>
        <v>#REF!</v>
      </c>
      <c r="AE192" s="528" t="e">
        <f t="shared" si="34"/>
        <v>#REF!</v>
      </c>
      <c r="AF192" s="528" t="e">
        <f t="shared" si="34"/>
        <v>#REF!</v>
      </c>
      <c r="AG192" s="528" t="e">
        <f t="shared" si="34"/>
        <v>#REF!</v>
      </c>
      <c r="AH192" s="528" t="e">
        <f t="shared" si="34"/>
        <v>#REF!</v>
      </c>
      <c r="AI192" s="528" t="e">
        <f t="shared" si="34"/>
        <v>#REF!</v>
      </c>
      <c r="AJ192" s="528" t="e">
        <f t="shared" si="34"/>
        <v>#REF!</v>
      </c>
      <c r="AK192" s="528" t="e">
        <f t="shared" si="34"/>
        <v>#REF!</v>
      </c>
      <c r="AL192" s="528" t="e">
        <f t="shared" si="34"/>
        <v>#REF!</v>
      </c>
      <c r="AM192" s="529" t="e">
        <f t="shared" si="34"/>
        <v>#REF!</v>
      </c>
    </row>
    <row r="193" spans="13:39" x14ac:dyDescent="0.2">
      <c r="M193" s="200">
        <v>8</v>
      </c>
      <c r="N193" s="21"/>
      <c r="O193" s="235">
        <v>30</v>
      </c>
      <c r="P193" s="235">
        <v>1</v>
      </c>
      <c r="Q193" s="236">
        <v>19.600000000000001</v>
      </c>
      <c r="R193" s="237">
        <v>13.5</v>
      </c>
      <c r="S193" s="237">
        <v>10.8</v>
      </c>
      <c r="T193" s="238">
        <v>10.8</v>
      </c>
      <c r="U193" s="236">
        <v>1.5</v>
      </c>
      <c r="V193" s="237">
        <v>0.6</v>
      </c>
      <c r="W193" s="237">
        <v>0.6</v>
      </c>
      <c r="X193" s="239">
        <v>-10.3</v>
      </c>
      <c r="Y193" s="236">
        <v>-6.9</v>
      </c>
      <c r="Z193" s="238">
        <v>-7.9</v>
      </c>
      <c r="AA193" s="218">
        <v>41</v>
      </c>
      <c r="AB193" s="527"/>
      <c r="AC193" s="528"/>
      <c r="AD193" s="530"/>
      <c r="AE193" s="530"/>
      <c r="AF193" s="530"/>
      <c r="AG193" s="530"/>
      <c r="AH193" s="530"/>
      <c r="AI193" s="530"/>
      <c r="AJ193" s="530"/>
      <c r="AK193" s="530"/>
      <c r="AL193" s="530"/>
      <c r="AM193" s="531"/>
    </row>
    <row r="194" spans="13:39" x14ac:dyDescent="0.2">
      <c r="M194" s="200">
        <v>9</v>
      </c>
      <c r="N194" s="249"/>
      <c r="O194" s="210"/>
      <c r="P194" s="210">
        <v>2</v>
      </c>
      <c r="Q194" s="240">
        <v>19.600000000000001</v>
      </c>
      <c r="R194" s="241">
        <v>13.5</v>
      </c>
      <c r="S194" s="241">
        <v>10.8</v>
      </c>
      <c r="T194" s="242">
        <v>10.8</v>
      </c>
      <c r="U194" s="240">
        <v>7.6</v>
      </c>
      <c r="V194" s="241">
        <v>6.5</v>
      </c>
      <c r="W194" s="241">
        <v>6.5</v>
      </c>
      <c r="X194" s="243">
        <v>-4.2</v>
      </c>
      <c r="Y194" s="240">
        <v>-6.9</v>
      </c>
      <c r="Z194" s="242">
        <v>-7.9</v>
      </c>
      <c r="AA194" s="218">
        <v>42</v>
      </c>
      <c r="AB194" s="527"/>
      <c r="AC194" s="528"/>
      <c r="AD194" s="530"/>
      <c r="AE194" s="530"/>
      <c r="AF194" s="530"/>
      <c r="AG194" s="530"/>
      <c r="AH194" s="530"/>
      <c r="AI194" s="530"/>
      <c r="AJ194" s="530"/>
      <c r="AK194" s="530"/>
      <c r="AL194" s="530"/>
      <c r="AM194" s="531"/>
    </row>
    <row r="195" spans="13:39" x14ac:dyDescent="0.2">
      <c r="M195" s="200">
        <v>10</v>
      </c>
      <c r="N195" s="21"/>
      <c r="O195" s="235">
        <v>45</v>
      </c>
      <c r="P195" s="235">
        <v>1</v>
      </c>
      <c r="Q195" s="236">
        <v>19.600000000000001</v>
      </c>
      <c r="R195" s="237">
        <v>13.5</v>
      </c>
      <c r="S195" s="237">
        <v>10.8</v>
      </c>
      <c r="T195" s="238">
        <v>10.8</v>
      </c>
      <c r="U195" s="236">
        <v>1.5</v>
      </c>
      <c r="V195" s="237">
        <v>0.6</v>
      </c>
      <c r="W195" s="237">
        <v>0.6</v>
      </c>
      <c r="X195" s="239">
        <v>-10.3</v>
      </c>
      <c r="Y195" s="236">
        <v>-6.9</v>
      </c>
      <c r="Z195" s="238">
        <v>-7.9</v>
      </c>
      <c r="AA195" s="218">
        <v>43</v>
      </c>
      <c r="AB195" s="527"/>
      <c r="AC195" s="528"/>
      <c r="AD195" s="530"/>
      <c r="AE195" s="530"/>
      <c r="AF195" s="530"/>
      <c r="AG195" s="530"/>
      <c r="AH195" s="530"/>
      <c r="AI195" s="530"/>
      <c r="AJ195" s="530"/>
      <c r="AK195" s="530"/>
      <c r="AL195" s="530"/>
      <c r="AM195" s="531"/>
    </row>
    <row r="196" spans="13:39" x14ac:dyDescent="0.2">
      <c r="M196" s="200">
        <v>11</v>
      </c>
      <c r="N196" s="22"/>
      <c r="O196" s="250"/>
      <c r="P196" s="250">
        <v>2</v>
      </c>
      <c r="Q196" s="251">
        <v>19.600000000000001</v>
      </c>
      <c r="R196" s="252">
        <v>13.5</v>
      </c>
      <c r="S196" s="252">
        <v>10.8</v>
      </c>
      <c r="T196" s="253">
        <v>10.8</v>
      </c>
      <c r="U196" s="251">
        <v>7.6</v>
      </c>
      <c r="V196" s="252">
        <v>6.5</v>
      </c>
      <c r="W196" s="252">
        <v>6.5</v>
      </c>
      <c r="X196" s="254">
        <v>-4.2</v>
      </c>
      <c r="Y196" s="251">
        <v>-6.9</v>
      </c>
      <c r="Z196" s="253">
        <v>-7.9</v>
      </c>
      <c r="AA196" s="218">
        <v>44</v>
      </c>
      <c r="AB196" s="567"/>
      <c r="AC196" s="568"/>
      <c r="AD196" s="550"/>
      <c r="AE196" s="550"/>
      <c r="AF196" s="550"/>
      <c r="AG196" s="550"/>
      <c r="AH196" s="550"/>
      <c r="AI196" s="550"/>
      <c r="AJ196" s="550"/>
      <c r="AK196" s="550"/>
      <c r="AL196" s="550"/>
      <c r="AM196" s="551"/>
    </row>
    <row r="197" spans="13:39" x14ac:dyDescent="0.2">
      <c r="M197" s="200">
        <v>1</v>
      </c>
      <c r="N197" s="197"/>
      <c r="O197" s="205">
        <v>0</v>
      </c>
      <c r="P197" s="205">
        <v>1</v>
      </c>
      <c r="Q197" s="206">
        <v>19.2</v>
      </c>
      <c r="R197" s="215">
        <v>-10</v>
      </c>
      <c r="S197" s="215">
        <v>12.7</v>
      </c>
      <c r="T197" s="216">
        <v>-5.9</v>
      </c>
      <c r="U197" s="206">
        <v>-23.1</v>
      </c>
      <c r="V197" s="215">
        <v>-13.1</v>
      </c>
      <c r="W197" s="215">
        <v>-16</v>
      </c>
      <c r="X197" s="217">
        <v>-10.1</v>
      </c>
      <c r="Y197" s="206">
        <v>-32.299999999999997</v>
      </c>
      <c r="Z197" s="216">
        <v>-25.3</v>
      </c>
      <c r="AA197" s="218">
        <v>45</v>
      </c>
      <c r="AB197" s="219"/>
      <c r="AC197" s="220" t="e">
        <f>IF($C$8=$N202,VLOOKUP(MATCH($AD$148,$O197:$O207,1),$M197:$Z207,3),"")</f>
        <v>#REF!</v>
      </c>
      <c r="AD197" s="220" t="e">
        <f>IF($C$8=$N202,VLOOKUP(MATCH($AD$148,$O197:$O207,1),$M197:$Z207,5),"")</f>
        <v>#REF!</v>
      </c>
      <c r="AE197" s="220" t="e">
        <f>IF($C$8=$N202,VLOOKUP(MATCH($AD$148,$O197:$O207,1),$M197:$Z207,6),"")</f>
        <v>#REF!</v>
      </c>
      <c r="AF197" s="220" t="e">
        <f>IF($C$8=$N202,VLOOKUP(MATCH($AD$148,$O197:$O207,1),$M197:$Z207,7),"")</f>
        <v>#REF!</v>
      </c>
      <c r="AG197" s="220" t="e">
        <f>IF($C$8=$N202,VLOOKUP(MATCH($AD$148,$O197:$O207,1),$M197:$Z207,8),"")</f>
        <v>#REF!</v>
      </c>
      <c r="AH197" s="220" t="e">
        <f>IF($C$8=$N202,VLOOKUP(MATCH($AD$148,$O197:$O207,1),$M197:$Z207,9),"")</f>
        <v>#REF!</v>
      </c>
      <c r="AI197" s="220" t="e">
        <f>IF($C$8=$N202,VLOOKUP(MATCH($AD$148,$O197:$O207,1),$M197:$Z207,10),"")</f>
        <v>#REF!</v>
      </c>
      <c r="AJ197" s="220" t="e">
        <f>IF($C$8=$N202,VLOOKUP(MATCH($AD$148,$O197:$O207,1),$M197:$Z207,11),"")</f>
        <v>#REF!</v>
      </c>
      <c r="AK197" s="220" t="e">
        <f>IF($C$8=$N202,VLOOKUP(MATCH($AD$148,$O197:$O207,1),$M197:$Z207,12),"")</f>
        <v>#REF!</v>
      </c>
      <c r="AL197" s="220" t="e">
        <f>IF($C$8=$N202,VLOOKUP(MATCH($AD$148,$O197:$O207,1),$M197:$Z207,13),"")</f>
        <v>#REF!</v>
      </c>
      <c r="AM197" s="221" t="e">
        <f>IF($C$8=$N202,VLOOKUP(MATCH($AD$148,$O197:$O207,1),$M197:$Z207,14),"")</f>
        <v>#REF!</v>
      </c>
    </row>
    <row r="198" spans="13:39" x14ac:dyDescent="0.2">
      <c r="M198" s="200">
        <v>2</v>
      </c>
      <c r="N198" s="21"/>
      <c r="O198" s="223">
        <v>5</v>
      </c>
      <c r="P198" s="223">
        <v>1</v>
      </c>
      <c r="Q198" s="211">
        <v>19.2</v>
      </c>
      <c r="R198" s="226">
        <v>-10</v>
      </c>
      <c r="S198" s="226">
        <v>12.7</v>
      </c>
      <c r="T198" s="227">
        <v>-5.9</v>
      </c>
      <c r="U198" s="211">
        <v>-23.1</v>
      </c>
      <c r="V198" s="226">
        <v>-13.1</v>
      </c>
      <c r="W198" s="226">
        <v>-16</v>
      </c>
      <c r="X198" s="228">
        <v>-10.1</v>
      </c>
      <c r="Y198" s="211">
        <v>-32.299999999999997</v>
      </c>
      <c r="Z198" s="227">
        <v>-25.3</v>
      </c>
      <c r="AA198" s="218">
        <v>46</v>
      </c>
      <c r="AB198" s="229"/>
      <c r="AC198" s="230" t="e">
        <f>IF($C$8=$N202,VLOOKUP(MATCH($AD$148,$O197:$O207,1)+IF($AD$148&lt;25,1,2),$M197:$Z207,3),"")</f>
        <v>#REF!</v>
      </c>
      <c r="AD198" s="230" t="e">
        <f>IF($C$8=$N202,VLOOKUP(MATCH($AD$148,$O197:$O207,1)+IF($AD$148&lt;25,1,2),$M197:$Z207,5),"")</f>
        <v>#REF!</v>
      </c>
      <c r="AE198" s="230" t="e">
        <f>IF($C$8=$N202,VLOOKUP(MATCH($AD$148,$O197:$O207,1)+IF($AD$148&lt;25,1,2),$M197:$Z207,6),"")</f>
        <v>#REF!</v>
      </c>
      <c r="AF198" s="230" t="e">
        <f>IF($C$8=$N202,VLOOKUP(MATCH($AD$148,$O197:$O207,1)+IF($AD$148&lt;25,1,2),$M197:$Z207,7),"")</f>
        <v>#REF!</v>
      </c>
      <c r="AG198" s="230" t="e">
        <f>IF($C$8=$N202,VLOOKUP(MATCH($AD$148,$O197:$O207,1)+IF($AD$148&lt;25,1,2),$M197:$Z207,8),"")</f>
        <v>#REF!</v>
      </c>
      <c r="AH198" s="230" t="e">
        <f>IF($C$8=$N202,VLOOKUP(MATCH($AD$148,$O197:$O207,1)+IF($AD$148&lt;25,1,2),$M197:$Z207,9),"")</f>
        <v>#REF!</v>
      </c>
      <c r="AI198" s="230" t="e">
        <f>IF($C$8=$N202,VLOOKUP(MATCH($AD$148,$O197:$O207,1)+IF($AD$148&lt;25,1,2),$M197:$Z207,10),"")</f>
        <v>#REF!</v>
      </c>
      <c r="AJ198" s="230" t="e">
        <f>IF($C$8=$N202,VLOOKUP(MATCH($AD$148,$O197:$O207,1)+IF($AD$148&lt;25,1,2),$M197:$Z207,11),"")</f>
        <v>#REF!</v>
      </c>
      <c r="AK198" s="230" t="e">
        <f>IF($C$8=$N202,VLOOKUP(MATCH($AD$148,$O197:$O207,1)+IF($AD$148&lt;25,1,2),$M197:$Z207,12),"")</f>
        <v>#REF!</v>
      </c>
      <c r="AL198" s="230" t="e">
        <f>IF($C$8=$N202,VLOOKUP(MATCH($AD$148,$O197:$O207,1)+IF($AD$148&lt;25,1,2),$M197:$Z207,13),"")</f>
        <v>#REF!</v>
      </c>
      <c r="AM198" s="231" t="e">
        <f>IF($C$8=$N202,VLOOKUP(MATCH($AD$148,$O197:$O207,1)+IF($AD$148&lt;25,1,2),$M197:$Z207,14),"")</f>
        <v>#REF!</v>
      </c>
    </row>
    <row r="199" spans="13:39" x14ac:dyDescent="0.2">
      <c r="M199" s="200">
        <v>3</v>
      </c>
      <c r="N199" s="21"/>
      <c r="O199" s="223">
        <v>10</v>
      </c>
      <c r="P199" s="223">
        <v>1</v>
      </c>
      <c r="Q199" s="211">
        <v>21.6</v>
      </c>
      <c r="R199" s="226">
        <v>-9</v>
      </c>
      <c r="S199" s="226">
        <v>14.4</v>
      </c>
      <c r="T199" s="227">
        <v>-5.2</v>
      </c>
      <c r="U199" s="211">
        <v>-23.1</v>
      </c>
      <c r="V199" s="226">
        <v>-14.1</v>
      </c>
      <c r="W199" s="226">
        <v>-16</v>
      </c>
      <c r="X199" s="228">
        <v>-10.8</v>
      </c>
      <c r="Y199" s="211">
        <v>-32.299999999999997</v>
      </c>
      <c r="Z199" s="227">
        <v>-25.3</v>
      </c>
      <c r="AA199" s="218">
        <v>47</v>
      </c>
      <c r="AB199" s="229" t="e">
        <f>IF($C$8=$N202,MATCH($AD$148,$O197:$O207,1),0)</f>
        <v>#REF!</v>
      </c>
      <c r="AC199" s="230" t="e">
        <f>IF($C$8=$N202,$AD$148,"")</f>
        <v>#REF!</v>
      </c>
      <c r="AD199" s="230" t="e">
        <f t="shared" ref="AD199:AM199" si="35">IF($C$8=$N202,(AD198-AD197)*($AD$148-$AC197)/($AC198-$AC197)+AD197,"")</f>
        <v>#REF!</v>
      </c>
      <c r="AE199" s="230" t="e">
        <f t="shared" si="35"/>
        <v>#REF!</v>
      </c>
      <c r="AF199" s="230" t="e">
        <f t="shared" si="35"/>
        <v>#REF!</v>
      </c>
      <c r="AG199" s="230" t="e">
        <f t="shared" si="35"/>
        <v>#REF!</v>
      </c>
      <c r="AH199" s="230" t="e">
        <f t="shared" si="35"/>
        <v>#REF!</v>
      </c>
      <c r="AI199" s="230" t="e">
        <f t="shared" si="35"/>
        <v>#REF!</v>
      </c>
      <c r="AJ199" s="230" t="e">
        <f t="shared" si="35"/>
        <v>#REF!</v>
      </c>
      <c r="AK199" s="230" t="e">
        <f t="shared" si="35"/>
        <v>#REF!</v>
      </c>
      <c r="AL199" s="230" t="e">
        <f t="shared" si="35"/>
        <v>#REF!</v>
      </c>
      <c r="AM199" s="231" t="e">
        <f t="shared" si="35"/>
        <v>#REF!</v>
      </c>
    </row>
    <row r="200" spans="13:39" x14ac:dyDescent="0.2">
      <c r="M200" s="200">
        <v>4</v>
      </c>
      <c r="N200" s="21"/>
      <c r="O200" s="223">
        <v>15</v>
      </c>
      <c r="P200" s="223">
        <v>1</v>
      </c>
      <c r="Q200" s="211">
        <v>24.1</v>
      </c>
      <c r="R200" s="226">
        <v>-8</v>
      </c>
      <c r="S200" s="226">
        <v>16</v>
      </c>
      <c r="T200" s="227">
        <v>-4.5999999999999996</v>
      </c>
      <c r="U200" s="211">
        <v>-23.1</v>
      </c>
      <c r="V200" s="226">
        <v>-15.1</v>
      </c>
      <c r="W200" s="226">
        <v>-16</v>
      </c>
      <c r="X200" s="228">
        <v>-11.5</v>
      </c>
      <c r="Y200" s="211">
        <v>-32.299999999999997</v>
      </c>
      <c r="Z200" s="227">
        <v>-25.3</v>
      </c>
      <c r="AA200" s="218">
        <v>48</v>
      </c>
      <c r="AB200" s="229"/>
      <c r="AC200" s="230"/>
      <c r="AD200" s="552"/>
      <c r="AE200" s="552"/>
      <c r="AF200" s="552"/>
      <c r="AG200" s="552"/>
      <c r="AH200" s="552"/>
      <c r="AI200" s="552"/>
      <c r="AJ200" s="552"/>
      <c r="AK200" s="552"/>
      <c r="AL200" s="552"/>
      <c r="AM200" s="553"/>
    </row>
    <row r="201" spans="13:39" x14ac:dyDescent="0.2">
      <c r="M201" s="200">
        <v>5</v>
      </c>
      <c r="N201" s="21"/>
      <c r="O201" s="223">
        <v>20</v>
      </c>
      <c r="P201" s="223">
        <v>1</v>
      </c>
      <c r="Q201" s="211">
        <v>26.6</v>
      </c>
      <c r="R201" s="226">
        <v>-7</v>
      </c>
      <c r="S201" s="226">
        <v>17.7</v>
      </c>
      <c r="T201" s="227">
        <v>-3.9</v>
      </c>
      <c r="U201" s="211">
        <v>-23.1</v>
      </c>
      <c r="V201" s="226">
        <v>-16</v>
      </c>
      <c r="W201" s="226">
        <v>-16</v>
      </c>
      <c r="X201" s="228">
        <v>-12.2</v>
      </c>
      <c r="Y201" s="211">
        <v>-32.299999999999997</v>
      </c>
      <c r="Z201" s="227">
        <v>-25.3</v>
      </c>
      <c r="AA201" s="218">
        <v>49</v>
      </c>
      <c r="AB201" s="229"/>
      <c r="AC201" s="230" t="e">
        <f>IF($C$8=$N202,IF(AND($AD$148&gt;=25,$AD$148&lt;=45),VLOOKUP(MATCH($AD$148,$O197:$O207,1),$M197:$Z207,3),""),"")</f>
        <v>#REF!</v>
      </c>
      <c r="AD201" s="230" t="e">
        <f>IF($C$8=$N202,IF(AND($AD$148&gt;=25,$AD$148&lt;=45),VLOOKUP(MATCH($AD$148,$O197:$O207,1)+1,$M197:$Z207,5),""),"")</f>
        <v>#REF!</v>
      </c>
      <c r="AE201" s="230" t="e">
        <f>IF($C$8=$N202,IF(AND($AD$148&gt;=25,$AD$148&lt;=45),VLOOKUP(MATCH($AD$148,$O197:$O207,1)+1,$M197:$Z207,6),""),"")</f>
        <v>#REF!</v>
      </c>
      <c r="AF201" s="230" t="e">
        <f>IF($C$8=$N202,IF(AND($AD$148&gt;=25,$AD$148&lt;=45),VLOOKUP(MATCH($AD$148,$O197:$O207,1)+1,$M197:$Z207,7),""),"")</f>
        <v>#REF!</v>
      </c>
      <c r="AG201" s="230" t="e">
        <f>IF($C$8=$N202,IF(AND($AD$148&gt;=25,$AD$148&lt;=45),VLOOKUP(MATCH($AD$148,$O197:$O207,1)+1,$M197:$Z207,8),""),"")</f>
        <v>#REF!</v>
      </c>
      <c r="AH201" s="230" t="e">
        <f>IF($C$8=$N202,IF(AND($AD$148&gt;=25,$AD$148&lt;=45),VLOOKUP(MATCH($AD$148,$O197:$O207,1)+1,$M197:$Z207,9),""),"")</f>
        <v>#REF!</v>
      </c>
      <c r="AI201" s="230" t="e">
        <f>IF($C$8=$N202,IF(AND($AD$148&gt;=25,$AD$148&lt;=45),VLOOKUP(MATCH($AD$148,$O197:$O207,1)+1,$M197:$Z207,10),""),"")</f>
        <v>#REF!</v>
      </c>
      <c r="AJ201" s="230" t="e">
        <f>IF($C$8=$N202,IF(AND($AD$148&gt;=25,$AD$148&lt;=45),VLOOKUP(MATCH($AD$148,$O197:$O207,1)+1,$M197:$Z207,11),""),"")</f>
        <v>#REF!</v>
      </c>
      <c r="AK201" s="230" t="e">
        <f>IF($C$8=$N202,IF(AND($AD$148&gt;=25,$AD$148&lt;=45),VLOOKUP(MATCH($AD$148,$O197:$O207,1)+1,$M197:$Z207,12),""),"")</f>
        <v>#REF!</v>
      </c>
      <c r="AL201" s="230" t="e">
        <f>IF($C$8=$N202,IF(AND($AD$148&gt;=25,$AD$148&lt;=45),VLOOKUP(MATCH($AD$148,$O197:$O207,1)+1,$M197:$Z207,13),""),"")</f>
        <v>#REF!</v>
      </c>
      <c r="AM201" s="231" t="e">
        <f>IF($C$8=$N202,IF(AND($AD$148&gt;=25,$AD$148&lt;=45),VLOOKUP(MATCH($AD$148,$O197:$O207,1)+1,$M197:$Z207,14),""),"")</f>
        <v>#REF!</v>
      </c>
    </row>
    <row r="202" spans="13:39" x14ac:dyDescent="0.2">
      <c r="M202" s="200">
        <v>6</v>
      </c>
      <c r="N202" s="21">
        <v>110</v>
      </c>
      <c r="O202" s="235">
        <v>25</v>
      </c>
      <c r="P202" s="235">
        <v>1</v>
      </c>
      <c r="Q202" s="236">
        <v>24.1</v>
      </c>
      <c r="R202" s="237">
        <v>3.9</v>
      </c>
      <c r="S202" s="237">
        <v>17.399999999999999</v>
      </c>
      <c r="T202" s="238">
        <v>4</v>
      </c>
      <c r="U202" s="236">
        <v>-10.7</v>
      </c>
      <c r="V202" s="237">
        <v>-14.6</v>
      </c>
      <c r="W202" s="237">
        <v>-7.7</v>
      </c>
      <c r="X202" s="239">
        <v>-11.7</v>
      </c>
      <c r="Y202" s="236">
        <v>-19.899999999999999</v>
      </c>
      <c r="Z202" s="238">
        <v>-17</v>
      </c>
      <c r="AA202" s="218">
        <v>50</v>
      </c>
      <c r="AB202" s="229"/>
      <c r="AC202" s="230" t="e">
        <f>IF($C$8=$N202,IF(AND($AD$148&gt;=25,$AD$148&lt;=45),VLOOKUP(MATCH($AD$148,$O197:$O207,1)+IF($AD$148&lt;25,1,2),$M197:$Z207,3),""),"")</f>
        <v>#REF!</v>
      </c>
      <c r="AD202" s="230" t="e">
        <f>IF($C$8=$N202,IF(AND($AD$148&gt;=25,$AD$148&lt;=45),VLOOKUP(MATCH($AD$148,$O197:$O207,1)+1+IF($AD$148&lt;25,1,2),$M197:$Z207,5),""),"")</f>
        <v>#REF!</v>
      </c>
      <c r="AE202" s="230" t="e">
        <f>IF($C$8=$N202,IF(AND($AD$148&gt;=25,$AD$148&lt;=45),VLOOKUP(MATCH($AD$148,$O197:$O207,1)+1+IF($AD$148&lt;25,1,2),$M197:$Z207,6),""),"")</f>
        <v>#REF!</v>
      </c>
      <c r="AF202" s="230" t="e">
        <f>IF($C$8=$N202,IF(AND($AD$148&gt;=25,$AD$148&lt;=45),VLOOKUP(MATCH($AD$148,$O197:$O207,1)+1+IF($AD$148&lt;25,1,2),$M197:$Z207,7),""),"")</f>
        <v>#REF!</v>
      </c>
      <c r="AG202" s="230" t="e">
        <f>IF($C$8=$N202,IF(AND($AD$148&gt;=25,$AD$148&lt;=45),VLOOKUP(MATCH($AD$148,$O197:$O207,1)+1+IF($AD$148&lt;25,1,2),$M197:$Z207,8),""),"")</f>
        <v>#REF!</v>
      </c>
      <c r="AH202" s="230" t="e">
        <f>IF($C$8=$N202,IF(AND($AD$148&gt;=25,$AD$148&lt;=45),VLOOKUP(MATCH($AD$148,$O197:$O207,1)+1+IF($AD$148&lt;25,1,2),$M197:$Z207,9),""),"")</f>
        <v>#REF!</v>
      </c>
      <c r="AI202" s="230" t="e">
        <f>IF($C$8=$N202,IF(AND($AD$148&gt;=25,$AD$148&lt;=45),VLOOKUP(MATCH($AD$148,$O197:$O207,1)+1+IF($AD$148&lt;25,1,2),$M197:$Z207,10),""),"")</f>
        <v>#REF!</v>
      </c>
      <c r="AJ202" s="230" t="e">
        <f>IF($C$8=$N202,IF(AND($AD$148&gt;=25,$AD$148&lt;=45),VLOOKUP(MATCH($AD$148,$O197:$O207,1)+1+IF($AD$148&lt;25,1,2),$M197:$Z207,11),""),"")</f>
        <v>#REF!</v>
      </c>
      <c r="AK202" s="230" t="e">
        <f>IF($C$8=$N202,IF(AND($AD$148&gt;=25,$AD$148&lt;=45),VLOOKUP(MATCH($AD$148,$O197:$O207,1)+1+IF($AD$148&lt;25,1,2),$M197:$Z207,12),""),"")</f>
        <v>#REF!</v>
      </c>
      <c r="AL202" s="230" t="e">
        <f>IF($C$8=$N202,IF(AND($AD$148&gt;=25,$AD$148&lt;=45),VLOOKUP(MATCH($AD$148,$O197:$O207,1)+1+IF($AD$148&lt;25,1,2),$M197:$Z207,13),""),"")</f>
        <v>#REF!</v>
      </c>
      <c r="AM202" s="231" t="e">
        <f>IF($C$8=$N202,IF(AND($AD$148&gt;=25,$AD$148&lt;=45),VLOOKUP(MATCH($AD$148,$O197:$O207,1)+1+IF($AD$148&lt;25,1,2),$M197:$Z207,14),""),"")</f>
        <v>#REF!</v>
      </c>
    </row>
    <row r="203" spans="13:39" x14ac:dyDescent="0.2">
      <c r="M203" s="200">
        <v>7</v>
      </c>
      <c r="N203" s="21"/>
      <c r="O203" s="210"/>
      <c r="P203" s="210">
        <v>2</v>
      </c>
      <c r="Q203" s="240">
        <v>0</v>
      </c>
      <c r="R203" s="241">
        <v>0</v>
      </c>
      <c r="S203" s="241">
        <v>0</v>
      </c>
      <c r="T203" s="242">
        <v>0</v>
      </c>
      <c r="U203" s="240">
        <v>-4.0999999999999996</v>
      </c>
      <c r="V203" s="241">
        <v>-7.9</v>
      </c>
      <c r="W203" s="241">
        <v>-1.1000000000000001</v>
      </c>
      <c r="X203" s="243">
        <v>-5.0999999999999996</v>
      </c>
      <c r="Y203" s="240">
        <v>0</v>
      </c>
      <c r="Z203" s="242">
        <v>0</v>
      </c>
      <c r="AA203" s="218">
        <v>51</v>
      </c>
      <c r="AB203" s="229"/>
      <c r="AC203" s="230" t="e">
        <f>IF($C$8=$N202,IF(AND($AD$148&gt;=25,$AD$148&lt;=45),$AD$148,""),"")</f>
        <v>#REF!</v>
      </c>
      <c r="AD203" s="230" t="e">
        <f t="shared" ref="AD203:AM203" si="36">IF($C$8=$N202,IF(AND($AD$148&gt;=25,$AD$148&lt;=45),(AD202-AD201)*($AD$148-$AC201)/($AC202-$AC201)+AD201,""),"")</f>
        <v>#REF!</v>
      </c>
      <c r="AE203" s="230" t="e">
        <f t="shared" si="36"/>
        <v>#REF!</v>
      </c>
      <c r="AF203" s="230" t="e">
        <f t="shared" si="36"/>
        <v>#REF!</v>
      </c>
      <c r="AG203" s="230" t="e">
        <f t="shared" si="36"/>
        <v>#REF!</v>
      </c>
      <c r="AH203" s="230" t="e">
        <f t="shared" si="36"/>
        <v>#REF!</v>
      </c>
      <c r="AI203" s="230" t="e">
        <f t="shared" si="36"/>
        <v>#REF!</v>
      </c>
      <c r="AJ203" s="230" t="e">
        <f t="shared" si="36"/>
        <v>#REF!</v>
      </c>
      <c r="AK203" s="230" t="e">
        <f t="shared" si="36"/>
        <v>#REF!</v>
      </c>
      <c r="AL203" s="230" t="e">
        <f t="shared" si="36"/>
        <v>#REF!</v>
      </c>
      <c r="AM203" s="231" t="e">
        <f t="shared" si="36"/>
        <v>#REF!</v>
      </c>
    </row>
    <row r="204" spans="13:39" x14ac:dyDescent="0.2">
      <c r="M204" s="200">
        <v>8</v>
      </c>
      <c r="N204" s="21"/>
      <c r="O204" s="235">
        <v>30</v>
      </c>
      <c r="P204" s="235">
        <v>1</v>
      </c>
      <c r="Q204" s="236">
        <v>21.6</v>
      </c>
      <c r="R204" s="237">
        <v>14.8</v>
      </c>
      <c r="S204" s="237">
        <v>17.2</v>
      </c>
      <c r="T204" s="238">
        <v>11.8</v>
      </c>
      <c r="U204" s="236">
        <v>1.7</v>
      </c>
      <c r="V204" s="237">
        <v>-13.1</v>
      </c>
      <c r="W204" s="237">
        <v>0.6</v>
      </c>
      <c r="X204" s="239">
        <v>-11.3</v>
      </c>
      <c r="Y204" s="236">
        <v>-7.6</v>
      </c>
      <c r="Z204" s="238">
        <v>-8.6999999999999993</v>
      </c>
      <c r="AA204" s="218">
        <v>52</v>
      </c>
      <c r="AB204" s="270"/>
      <c r="AC204" s="552"/>
      <c r="AD204" s="552"/>
      <c r="AE204" s="552"/>
      <c r="AF204" s="552"/>
      <c r="AG204" s="552"/>
      <c r="AH204" s="552"/>
      <c r="AI204" s="552"/>
      <c r="AJ204" s="552"/>
      <c r="AK204" s="552"/>
      <c r="AL204" s="552"/>
      <c r="AM204" s="553"/>
    </row>
    <row r="205" spans="13:39" x14ac:dyDescent="0.2">
      <c r="M205" s="200">
        <v>9</v>
      </c>
      <c r="N205" s="249"/>
      <c r="O205" s="210"/>
      <c r="P205" s="210">
        <v>2</v>
      </c>
      <c r="Q205" s="240">
        <v>21.6</v>
      </c>
      <c r="R205" s="241">
        <v>14.8</v>
      </c>
      <c r="S205" s="241">
        <v>17.2</v>
      </c>
      <c r="T205" s="242">
        <v>11.8</v>
      </c>
      <c r="U205" s="240">
        <v>8.3000000000000007</v>
      </c>
      <c r="V205" s="241">
        <v>-6.5</v>
      </c>
      <c r="W205" s="241">
        <v>7.2</v>
      </c>
      <c r="X205" s="243">
        <v>-4.5999999999999996</v>
      </c>
      <c r="Y205" s="240">
        <v>-7.6</v>
      </c>
      <c r="Z205" s="242">
        <v>-8.6999999999999993</v>
      </c>
      <c r="AA205" s="218">
        <v>53</v>
      </c>
      <c r="AB205" s="270"/>
      <c r="AC205" s="552"/>
      <c r="AD205" s="552"/>
      <c r="AE205" s="552"/>
      <c r="AF205" s="552"/>
      <c r="AG205" s="552"/>
      <c r="AH205" s="552"/>
      <c r="AI205" s="552"/>
      <c r="AJ205" s="552"/>
      <c r="AK205" s="552"/>
      <c r="AL205" s="552"/>
      <c r="AM205" s="553"/>
    </row>
    <row r="206" spans="13:39" x14ac:dyDescent="0.2">
      <c r="M206" s="200">
        <v>10</v>
      </c>
      <c r="N206" s="21"/>
      <c r="O206" s="235">
        <v>45</v>
      </c>
      <c r="P206" s="235">
        <v>1</v>
      </c>
      <c r="Q206" s="236">
        <v>21.6</v>
      </c>
      <c r="R206" s="237">
        <v>14.8</v>
      </c>
      <c r="S206" s="237">
        <v>17.2</v>
      </c>
      <c r="T206" s="238">
        <v>11.8</v>
      </c>
      <c r="U206" s="236">
        <v>1.7</v>
      </c>
      <c r="V206" s="237">
        <v>-13.1</v>
      </c>
      <c r="W206" s="237">
        <v>0.6</v>
      </c>
      <c r="X206" s="239">
        <v>-11.3</v>
      </c>
      <c r="Y206" s="236">
        <v>-7.6</v>
      </c>
      <c r="Z206" s="238">
        <v>-8.6999999999999993</v>
      </c>
      <c r="AA206" s="218">
        <v>54</v>
      </c>
      <c r="AB206" s="270"/>
      <c r="AC206" s="552"/>
      <c r="AD206" s="552"/>
      <c r="AE206" s="552"/>
      <c r="AF206" s="552"/>
      <c r="AG206" s="552"/>
      <c r="AH206" s="552"/>
      <c r="AI206" s="552"/>
      <c r="AJ206" s="552"/>
      <c r="AK206" s="552"/>
      <c r="AL206" s="552"/>
      <c r="AM206" s="553"/>
    </row>
    <row r="207" spans="13:39" x14ac:dyDescent="0.2">
      <c r="M207" s="200">
        <v>11</v>
      </c>
      <c r="N207" s="22"/>
      <c r="O207" s="250"/>
      <c r="P207" s="250">
        <v>2</v>
      </c>
      <c r="Q207" s="251">
        <v>21.6</v>
      </c>
      <c r="R207" s="252">
        <v>14.8</v>
      </c>
      <c r="S207" s="252">
        <v>17.2</v>
      </c>
      <c r="T207" s="253">
        <v>11.8</v>
      </c>
      <c r="U207" s="251">
        <v>8.3000000000000007</v>
      </c>
      <c r="V207" s="252">
        <v>-6.5</v>
      </c>
      <c r="W207" s="252">
        <v>7.2</v>
      </c>
      <c r="X207" s="254">
        <v>-4.5999999999999996</v>
      </c>
      <c r="Y207" s="251">
        <v>-7.6</v>
      </c>
      <c r="Z207" s="253">
        <v>-8.6999999999999993</v>
      </c>
      <c r="AA207" s="218">
        <v>55</v>
      </c>
      <c r="AB207" s="271"/>
      <c r="AC207" s="555"/>
      <c r="AD207" s="555"/>
      <c r="AE207" s="555"/>
      <c r="AF207" s="555"/>
      <c r="AG207" s="555"/>
      <c r="AH207" s="555"/>
      <c r="AI207" s="555"/>
      <c r="AJ207" s="555"/>
      <c r="AK207" s="555"/>
      <c r="AL207" s="555"/>
      <c r="AM207" s="556"/>
    </row>
    <row r="208" spans="13:39" x14ac:dyDescent="0.2">
      <c r="M208" s="200">
        <v>1</v>
      </c>
      <c r="N208" s="197"/>
      <c r="O208" s="205">
        <v>0</v>
      </c>
      <c r="P208" s="205">
        <v>1</v>
      </c>
      <c r="Q208" s="206">
        <v>22.8</v>
      </c>
      <c r="R208" s="215">
        <v>-11.9</v>
      </c>
      <c r="S208" s="215">
        <v>15.1</v>
      </c>
      <c r="T208" s="216">
        <v>-7</v>
      </c>
      <c r="U208" s="206">
        <v>-27.4</v>
      </c>
      <c r="V208" s="215">
        <v>-15.6</v>
      </c>
      <c r="W208" s="215">
        <v>-19.100000000000001</v>
      </c>
      <c r="X208" s="217">
        <v>-12.1</v>
      </c>
      <c r="Y208" s="206">
        <v>-38.4</v>
      </c>
      <c r="Z208" s="216">
        <v>-30.1</v>
      </c>
      <c r="AA208" s="218">
        <v>56</v>
      </c>
      <c r="AB208" s="219"/>
      <c r="AC208" s="220" t="e">
        <f>IF($C$8=$N213,VLOOKUP(MATCH($AD$148,$O208:$O218,1),$M208:$Z218,3),"")</f>
        <v>#REF!</v>
      </c>
      <c r="AD208" s="220" t="e">
        <f>IF($C$8=$N213,VLOOKUP(MATCH($AD$148,$O208:$O218,1),$M208:$Z218,5),"")</f>
        <v>#REF!</v>
      </c>
      <c r="AE208" s="220" t="e">
        <f>IF($C$8=$N213,VLOOKUP(MATCH($AD$148,$O208:$O218,1),$M208:$Z218,6),"")</f>
        <v>#REF!</v>
      </c>
      <c r="AF208" s="220" t="e">
        <f>IF($C$8=$N213,VLOOKUP(MATCH($AD$148,$O208:$O218,1),$M208:$Z218,7),"")</f>
        <v>#REF!</v>
      </c>
      <c r="AG208" s="220" t="e">
        <f>IF($C$8=$N213,VLOOKUP(MATCH($AD$148,$O208:$O218,1),$M208:$Z218,8),"")</f>
        <v>#REF!</v>
      </c>
      <c r="AH208" s="220" t="e">
        <f>IF($C$8=$N213,VLOOKUP(MATCH($AD$148,$O208:$O218,1),$M208:$Z218,9),"")</f>
        <v>#REF!</v>
      </c>
      <c r="AI208" s="220" t="e">
        <f>IF($C$8=$N213,VLOOKUP(MATCH($AD$148,$O208:$O218,1),$M208:$Z218,10),"")</f>
        <v>#REF!</v>
      </c>
      <c r="AJ208" s="220" t="e">
        <f>IF($C$8=$N213,VLOOKUP(MATCH($AD$148,$O208:$O218,1),$M208:$Z218,11),"")</f>
        <v>#REF!</v>
      </c>
      <c r="AK208" s="220" t="e">
        <f>IF($C$8=$N213,VLOOKUP(MATCH($AD$148,$O208:$O218,1),$M208:$Z218,12),"")</f>
        <v>#REF!</v>
      </c>
      <c r="AL208" s="220" t="e">
        <f>IF($C$8=$N213,VLOOKUP(MATCH($AD$148,$O208:$O218,1),$M208:$Z218,13),"")</f>
        <v>#REF!</v>
      </c>
      <c r="AM208" s="221" t="e">
        <f>IF($C$8=$N213,VLOOKUP(MATCH($AD$148,$O208:$O218,1),$M208:$Z218,14),"")</f>
        <v>#REF!</v>
      </c>
    </row>
    <row r="209" spans="13:39" x14ac:dyDescent="0.2">
      <c r="M209" s="200">
        <v>2</v>
      </c>
      <c r="N209" s="21"/>
      <c r="O209" s="223">
        <v>5</v>
      </c>
      <c r="P209" s="223">
        <v>1</v>
      </c>
      <c r="Q209" s="211">
        <v>22.8</v>
      </c>
      <c r="R209" s="226">
        <v>-11.9</v>
      </c>
      <c r="S209" s="226">
        <v>15.1</v>
      </c>
      <c r="T209" s="227">
        <v>-7</v>
      </c>
      <c r="U209" s="211">
        <v>-27.4</v>
      </c>
      <c r="V209" s="226">
        <v>-15.6</v>
      </c>
      <c r="W209" s="226">
        <v>-19.100000000000001</v>
      </c>
      <c r="X209" s="228">
        <v>-12.1</v>
      </c>
      <c r="Y209" s="211">
        <v>-38.4</v>
      </c>
      <c r="Z209" s="227">
        <v>-30.1</v>
      </c>
      <c r="AA209" s="218">
        <v>57</v>
      </c>
      <c r="AB209" s="229"/>
      <c r="AC209" s="230" t="e">
        <f>IF($C$8=$N213,VLOOKUP(MATCH($AD$148,$O208:$O218,1)+IF($AD$148&lt;25,1,2),$M208:$Z218,3),"")</f>
        <v>#REF!</v>
      </c>
      <c r="AD209" s="230" t="e">
        <f>IF($C$8=$N213,VLOOKUP(MATCH($AD$148,$O208:$O218,1)+IF($AD$148&lt;25,1,2),$M208:$Z218,5),"")</f>
        <v>#REF!</v>
      </c>
      <c r="AE209" s="230" t="e">
        <f>IF($C$8=$N213,VLOOKUP(MATCH($AD$148,$O208:$O218,1)+IF($AD$148&lt;25,1,2),$M208:$Z218,6),"")</f>
        <v>#REF!</v>
      </c>
      <c r="AF209" s="230" t="e">
        <f>IF($C$8=$N213,VLOOKUP(MATCH($AD$148,$O208:$O218,1)+IF($AD$148&lt;25,1,2),$M208:$Z218,7),"")</f>
        <v>#REF!</v>
      </c>
      <c r="AG209" s="230" t="e">
        <f>IF($C$8=$N213,VLOOKUP(MATCH($AD$148,$O208:$O218,1)+IF($AD$148&lt;25,1,2),$M208:$Z218,8),"")</f>
        <v>#REF!</v>
      </c>
      <c r="AH209" s="230" t="e">
        <f>IF($C$8=$N213,VLOOKUP(MATCH($AD$148,$O208:$O218,1)+IF($AD$148&lt;25,1,2),$M208:$Z218,9),"")</f>
        <v>#REF!</v>
      </c>
      <c r="AI209" s="230" t="e">
        <f>IF($C$8=$N213,VLOOKUP(MATCH($AD$148,$O208:$O218,1)+IF($AD$148&lt;25,1,2),$M208:$Z218,10),"")</f>
        <v>#REF!</v>
      </c>
      <c r="AJ209" s="230" t="e">
        <f>IF($C$8=$N213,VLOOKUP(MATCH($AD$148,$O208:$O218,1)+IF($AD$148&lt;25,1,2),$M208:$Z218,11),"")</f>
        <v>#REF!</v>
      </c>
      <c r="AK209" s="230" t="e">
        <f>IF($C$8=$N213,VLOOKUP(MATCH($AD$148,$O208:$O218,1)+IF($AD$148&lt;25,1,2),$M208:$Z218,12),"")</f>
        <v>#REF!</v>
      </c>
      <c r="AL209" s="230" t="e">
        <f>IF($C$8=$N213,VLOOKUP(MATCH($AD$148,$O208:$O218,1)+IF($AD$148&lt;25,1,2),$M208:$Z218,13),"")</f>
        <v>#REF!</v>
      </c>
      <c r="AM209" s="231" t="e">
        <f>IF($C$8=$N213,VLOOKUP(MATCH($AD$148,$O208:$O218,1)+IF($AD$148&lt;25,1,2),$M208:$Z218,14),"")</f>
        <v>#REF!</v>
      </c>
    </row>
    <row r="210" spans="13:39" x14ac:dyDescent="0.2">
      <c r="M210" s="200">
        <v>3</v>
      </c>
      <c r="N210" s="21"/>
      <c r="O210" s="223">
        <v>10</v>
      </c>
      <c r="P210" s="223">
        <v>1</v>
      </c>
      <c r="Q210" s="211">
        <v>25.8</v>
      </c>
      <c r="R210" s="226">
        <v>-10.7</v>
      </c>
      <c r="S210" s="226">
        <v>17.100000000000001</v>
      </c>
      <c r="T210" s="227">
        <v>-6.2</v>
      </c>
      <c r="U210" s="211">
        <v>-27.4</v>
      </c>
      <c r="V210" s="226">
        <v>-16.8</v>
      </c>
      <c r="W210" s="226">
        <v>-19.100000000000001</v>
      </c>
      <c r="X210" s="228">
        <v>-12.9</v>
      </c>
      <c r="Y210" s="211">
        <v>-38.4</v>
      </c>
      <c r="Z210" s="227">
        <v>-30.1</v>
      </c>
      <c r="AA210" s="218">
        <v>58</v>
      </c>
      <c r="AB210" s="229" t="e">
        <f>IF($C$8=$N213,MATCH($AD$148,$O208:$O218,1),0)</f>
        <v>#REF!</v>
      </c>
      <c r="AC210" s="230" t="e">
        <f>IF($C$8=$N213,$AD$148,"")</f>
        <v>#REF!</v>
      </c>
      <c r="AD210" s="230" t="e">
        <f t="shared" ref="AD210:AM210" si="37">IF($C$8=$N213,(AD209-AD208)*($AD$148-$AC208)/($AC209-$AC208)+AD208,"")</f>
        <v>#REF!</v>
      </c>
      <c r="AE210" s="230" t="e">
        <f t="shared" si="37"/>
        <v>#REF!</v>
      </c>
      <c r="AF210" s="230" t="e">
        <f t="shared" si="37"/>
        <v>#REF!</v>
      </c>
      <c r="AG210" s="230" t="e">
        <f t="shared" si="37"/>
        <v>#REF!</v>
      </c>
      <c r="AH210" s="230" t="e">
        <f t="shared" si="37"/>
        <v>#REF!</v>
      </c>
      <c r="AI210" s="230" t="e">
        <f t="shared" si="37"/>
        <v>#REF!</v>
      </c>
      <c r="AJ210" s="230" t="e">
        <f t="shared" si="37"/>
        <v>#REF!</v>
      </c>
      <c r="AK210" s="230" t="e">
        <f t="shared" si="37"/>
        <v>#REF!</v>
      </c>
      <c r="AL210" s="230" t="e">
        <f t="shared" si="37"/>
        <v>#REF!</v>
      </c>
      <c r="AM210" s="231" t="e">
        <f t="shared" si="37"/>
        <v>#REF!</v>
      </c>
    </row>
    <row r="211" spans="13:39" x14ac:dyDescent="0.2">
      <c r="M211" s="200">
        <v>4</v>
      </c>
      <c r="N211" s="21"/>
      <c r="O211" s="223">
        <v>15</v>
      </c>
      <c r="P211" s="223">
        <v>1</v>
      </c>
      <c r="Q211" s="211">
        <v>29.7</v>
      </c>
      <c r="R211" s="226">
        <v>-9.5</v>
      </c>
      <c r="S211" s="226">
        <v>19.100000000000001</v>
      </c>
      <c r="T211" s="227">
        <v>-5.4</v>
      </c>
      <c r="U211" s="211">
        <v>-27.4</v>
      </c>
      <c r="V211" s="226">
        <v>-17.899999999999999</v>
      </c>
      <c r="W211" s="226">
        <v>-19.100000000000001</v>
      </c>
      <c r="X211" s="228">
        <v>-13.7</v>
      </c>
      <c r="Y211" s="211">
        <v>-38.4</v>
      </c>
      <c r="Z211" s="227">
        <v>-30.1</v>
      </c>
      <c r="AA211" s="218">
        <v>59</v>
      </c>
      <c r="AB211" s="229"/>
      <c r="AC211" s="230"/>
      <c r="AD211" s="552"/>
      <c r="AE211" s="552"/>
      <c r="AF211" s="552"/>
      <c r="AG211" s="552"/>
      <c r="AH211" s="552"/>
      <c r="AI211" s="552"/>
      <c r="AJ211" s="552"/>
      <c r="AK211" s="552"/>
      <c r="AL211" s="552"/>
      <c r="AM211" s="553"/>
    </row>
    <row r="212" spans="13:39" x14ac:dyDescent="0.2">
      <c r="M212" s="200">
        <v>5</v>
      </c>
      <c r="N212" s="21"/>
      <c r="O212" s="223">
        <v>20</v>
      </c>
      <c r="P212" s="223">
        <v>1</v>
      </c>
      <c r="Q212" s="211">
        <v>31.6</v>
      </c>
      <c r="R212" s="226">
        <v>-8.3000000000000007</v>
      </c>
      <c r="S212" s="226">
        <v>21.1</v>
      </c>
      <c r="T212" s="227">
        <v>-4.5999999999999996</v>
      </c>
      <c r="U212" s="211">
        <v>-27.4</v>
      </c>
      <c r="V212" s="226">
        <v>-19.100000000000001</v>
      </c>
      <c r="W212" s="226">
        <v>-19.100000000000001</v>
      </c>
      <c r="X212" s="228">
        <v>-14.5</v>
      </c>
      <c r="Y212" s="211">
        <v>-38.4</v>
      </c>
      <c r="Z212" s="227">
        <v>-30.1</v>
      </c>
      <c r="AA212" s="218">
        <v>60</v>
      </c>
      <c r="AB212" s="229"/>
      <c r="AC212" s="230" t="e">
        <f>IF($C$8=$N213,IF(AND($AD$148&gt;=25,$AD$148&lt;=45),VLOOKUP(MATCH($AD$148,$O208:$O218,1),$M208:$Z218,3),""),"")</f>
        <v>#REF!</v>
      </c>
      <c r="AD212" s="230" t="e">
        <f>IF($C$8=$N213,IF(AND($AD$148&gt;=25,$AD$148&lt;=45),VLOOKUP(MATCH($AD$148,$O208:$O218,1)+1,$M208:$Z218,5),""),"")</f>
        <v>#REF!</v>
      </c>
      <c r="AE212" s="230" t="e">
        <f>IF($C$8=$N213,IF(AND($AD$148&gt;=25,$AD$148&lt;=45),VLOOKUP(MATCH($AD$148,$O208:$O218,1)+1,$M208:$Z218,6),""),"")</f>
        <v>#REF!</v>
      </c>
      <c r="AF212" s="230" t="e">
        <f>IF($C$8=$N213,IF(AND($AD$148&gt;=25,$AD$148&lt;=45),VLOOKUP(MATCH($AD$148,$O208:$O218,1)+1,$M208:$Z218,7),""),"")</f>
        <v>#REF!</v>
      </c>
      <c r="AG212" s="230" t="e">
        <f>IF($C$8=$N213,IF(AND($AD$148&gt;=25,$AD$148&lt;=45),VLOOKUP(MATCH($AD$148,$O208:$O218,1)+1,$M208:$Z218,8),""),"")</f>
        <v>#REF!</v>
      </c>
      <c r="AH212" s="230" t="e">
        <f>IF($C$8=$N213,IF(AND($AD$148&gt;=25,$AD$148&lt;=45),VLOOKUP(MATCH($AD$148,$O208:$O218,1)+1,$M208:$Z218,9),""),"")</f>
        <v>#REF!</v>
      </c>
      <c r="AI212" s="230" t="e">
        <f>IF($C$8=$N213,IF(AND($AD$148&gt;=25,$AD$148&lt;=45),VLOOKUP(MATCH($AD$148,$O208:$O218,1)+1,$M208:$Z218,10),""),"")</f>
        <v>#REF!</v>
      </c>
      <c r="AJ212" s="230" t="e">
        <f>IF($C$8=$N213,IF(AND($AD$148&gt;=25,$AD$148&lt;=45),VLOOKUP(MATCH($AD$148,$O208:$O218,1)+1,$M208:$Z218,11),""),"")</f>
        <v>#REF!</v>
      </c>
      <c r="AK212" s="230" t="e">
        <f>IF($C$8=$N213,IF(AND($AD$148&gt;=25,$AD$148&lt;=45),VLOOKUP(MATCH($AD$148,$O208:$O218,1)+1,$M208:$Z218,12),""),"")</f>
        <v>#REF!</v>
      </c>
      <c r="AL212" s="230" t="e">
        <f>IF($C$8=$N213,IF(AND($AD$148&gt;=25,$AD$148&lt;=45),VLOOKUP(MATCH($AD$148,$O208:$O218,1)+1,$M208:$Z218,13),""),"")</f>
        <v>#REF!</v>
      </c>
      <c r="AM212" s="231" t="e">
        <f>IF($C$8=$N213,IF(AND($AD$148&gt;=25,$AD$148&lt;=45),VLOOKUP(MATCH($AD$148,$O208:$O218,1)+1,$M208:$Z218,14),""),"")</f>
        <v>#REF!</v>
      </c>
    </row>
    <row r="213" spans="13:39" x14ac:dyDescent="0.2">
      <c r="M213" s="200">
        <v>6</v>
      </c>
      <c r="N213" s="21">
        <v>120</v>
      </c>
      <c r="O213" s="235">
        <v>25</v>
      </c>
      <c r="P213" s="235">
        <v>1</v>
      </c>
      <c r="Q213" s="236">
        <v>28.6</v>
      </c>
      <c r="R213" s="237">
        <v>4.5999999999999996</v>
      </c>
      <c r="S213" s="237">
        <v>20.7</v>
      </c>
      <c r="T213" s="238">
        <v>4.7</v>
      </c>
      <c r="U213" s="236">
        <v>-12.7</v>
      </c>
      <c r="V213" s="237">
        <v>-17.3</v>
      </c>
      <c r="W213" s="237">
        <v>-9.1999999999999993</v>
      </c>
      <c r="X213" s="239">
        <v>-13.9</v>
      </c>
      <c r="Y213" s="236">
        <v>-23.7</v>
      </c>
      <c r="Z213" s="238">
        <v>-20.2</v>
      </c>
      <c r="AA213" s="218">
        <v>61</v>
      </c>
      <c r="AB213" s="229"/>
      <c r="AC213" s="230" t="e">
        <f>IF($C$8=$N213,IF(AND($AD$148&gt;=25,$AD$148&lt;=45),VLOOKUP(MATCH($AD$148,$O208:$O218,1)+IF($AD$148&lt;25,1,2),$M208:$Z218,3),""),"")</f>
        <v>#REF!</v>
      </c>
      <c r="AD213" s="230" t="e">
        <f>IF($C$8=$N213,IF(AND($AD$148&gt;=25,$AD$148&lt;=45),VLOOKUP(MATCH($AD$148,$O208:$O218,1)+1+IF($AD$148&lt;25,1,2),$M208:$Z218,5),""),"")</f>
        <v>#REF!</v>
      </c>
      <c r="AE213" s="230" t="e">
        <f>IF($C$8=$N213,IF(AND($AD$148&gt;=25,$AD$148&lt;=45),VLOOKUP(MATCH($AD$148,$O208:$O218,1)+1+IF($AD$148&lt;25,1,2),$M208:$Z218,6),""),"")</f>
        <v>#REF!</v>
      </c>
      <c r="AF213" s="230" t="e">
        <f>IF($C$8=$N213,IF(AND($AD$148&gt;=25,$AD$148&lt;=45),VLOOKUP(MATCH($AD$148,$O208:$O218,1)+1+IF($AD$148&lt;25,1,2),$M208:$Z218,7),""),"")</f>
        <v>#REF!</v>
      </c>
      <c r="AG213" s="230" t="e">
        <f>IF($C$8=$N213,IF(AND($AD$148&gt;=25,$AD$148&lt;=45),VLOOKUP(MATCH($AD$148,$O208:$O218,1)+1+IF($AD$148&lt;25,1,2),$M208:$Z218,8),""),"")</f>
        <v>#REF!</v>
      </c>
      <c r="AH213" s="230" t="e">
        <f>IF($C$8=$N213,IF(AND($AD$148&gt;=25,$AD$148&lt;=45),VLOOKUP(MATCH($AD$148,$O208:$O218,1)+1+IF($AD$148&lt;25,1,2),$M208:$Z218,9),""),"")</f>
        <v>#REF!</v>
      </c>
      <c r="AI213" s="230" t="e">
        <f>IF($C$8=$N213,IF(AND($AD$148&gt;=25,$AD$148&lt;=45),VLOOKUP(MATCH($AD$148,$O208:$O218,1)+1+IF($AD$148&lt;25,1,2),$M208:$Z218,10),""),"")</f>
        <v>#REF!</v>
      </c>
      <c r="AJ213" s="230" t="e">
        <f>IF($C$8=$N213,IF(AND($AD$148&gt;=25,$AD$148&lt;=45),VLOOKUP(MATCH($AD$148,$O208:$O218,1)+1+IF($AD$148&lt;25,1,2),$M208:$Z218,11),""),"")</f>
        <v>#REF!</v>
      </c>
      <c r="AK213" s="230" t="e">
        <f>IF($C$8=$N213,IF(AND($AD$148&gt;=25,$AD$148&lt;=45),VLOOKUP(MATCH($AD$148,$O208:$O218,1)+1+IF($AD$148&lt;25,1,2),$M208:$Z218,12),""),"")</f>
        <v>#REF!</v>
      </c>
      <c r="AL213" s="230" t="e">
        <f>IF($C$8=$N213,IF(AND($AD$148&gt;=25,$AD$148&lt;=45),VLOOKUP(MATCH($AD$148,$O208:$O218,1)+1+IF($AD$148&lt;25,1,2),$M208:$Z218,13),""),"")</f>
        <v>#REF!</v>
      </c>
      <c r="AM213" s="231" t="e">
        <f>IF($C$8=$N213,IF(AND($AD$148&gt;=25,$AD$148&lt;=45),VLOOKUP(MATCH($AD$148,$O208:$O218,1)+1+IF($AD$148&lt;25,1,2),$M208:$Z218,14),""),"")</f>
        <v>#REF!</v>
      </c>
    </row>
    <row r="214" spans="13:39" x14ac:dyDescent="0.2">
      <c r="M214" s="200">
        <v>7</v>
      </c>
      <c r="N214" s="21"/>
      <c r="O214" s="210"/>
      <c r="P214" s="210">
        <v>2</v>
      </c>
      <c r="Q214" s="240">
        <v>0</v>
      </c>
      <c r="R214" s="241">
        <v>0</v>
      </c>
      <c r="S214" s="241">
        <v>0</v>
      </c>
      <c r="T214" s="242">
        <v>0</v>
      </c>
      <c r="U214" s="240">
        <v>-4.8</v>
      </c>
      <c r="V214" s="241">
        <v>-9.4</v>
      </c>
      <c r="W214" s="241">
        <v>-1.3</v>
      </c>
      <c r="X214" s="243">
        <v>-6</v>
      </c>
      <c r="Y214" s="240">
        <v>0</v>
      </c>
      <c r="Z214" s="242">
        <v>0</v>
      </c>
      <c r="AA214" s="218">
        <v>62</v>
      </c>
      <c r="AB214" s="229"/>
      <c r="AC214" s="230" t="e">
        <f>IF($C$8=$N213,IF(AND($AD$148&gt;=25,$AD$148&lt;=45),$AD$148,""),"")</f>
        <v>#REF!</v>
      </c>
      <c r="AD214" s="230" t="e">
        <f t="shared" ref="AD214:AM214" si="38">IF($C$8=$N213,IF(AND($AD$148&gt;=25,$AD$148&lt;=45),(AD213-AD212)*($AD$148-$AC212)/($AC213-$AC212)+AD212,""),"")</f>
        <v>#REF!</v>
      </c>
      <c r="AE214" s="230" t="e">
        <f t="shared" si="38"/>
        <v>#REF!</v>
      </c>
      <c r="AF214" s="230" t="e">
        <f t="shared" si="38"/>
        <v>#REF!</v>
      </c>
      <c r="AG214" s="230" t="e">
        <f t="shared" si="38"/>
        <v>#REF!</v>
      </c>
      <c r="AH214" s="230" t="e">
        <f t="shared" si="38"/>
        <v>#REF!</v>
      </c>
      <c r="AI214" s="230" t="e">
        <f t="shared" si="38"/>
        <v>#REF!</v>
      </c>
      <c r="AJ214" s="230" t="e">
        <f t="shared" si="38"/>
        <v>#REF!</v>
      </c>
      <c r="AK214" s="230" t="e">
        <f t="shared" si="38"/>
        <v>#REF!</v>
      </c>
      <c r="AL214" s="230" t="e">
        <f t="shared" si="38"/>
        <v>#REF!</v>
      </c>
      <c r="AM214" s="231" t="e">
        <f t="shared" si="38"/>
        <v>#REF!</v>
      </c>
    </row>
    <row r="215" spans="13:39" x14ac:dyDescent="0.2">
      <c r="M215" s="200">
        <v>8</v>
      </c>
      <c r="N215" s="21"/>
      <c r="O215" s="235">
        <v>30</v>
      </c>
      <c r="P215" s="235">
        <v>1</v>
      </c>
      <c r="Q215" s="236">
        <v>25.7</v>
      </c>
      <c r="R215" s="237">
        <v>17.600000000000001</v>
      </c>
      <c r="S215" s="237">
        <v>20.399999999999999</v>
      </c>
      <c r="T215" s="238">
        <v>14</v>
      </c>
      <c r="U215" s="236">
        <v>2</v>
      </c>
      <c r="V215" s="237">
        <v>-15.6</v>
      </c>
      <c r="W215" s="237">
        <v>0.7</v>
      </c>
      <c r="X215" s="239">
        <v>-13.4</v>
      </c>
      <c r="Y215" s="236">
        <v>-9</v>
      </c>
      <c r="Z215" s="238">
        <v>-10.3</v>
      </c>
      <c r="AA215" s="218">
        <v>63</v>
      </c>
      <c r="AB215" s="270"/>
      <c r="AC215" s="552"/>
      <c r="AD215" s="552"/>
      <c r="AE215" s="552"/>
      <c r="AF215" s="552"/>
      <c r="AG215" s="552"/>
      <c r="AH215" s="552"/>
      <c r="AI215" s="552"/>
      <c r="AJ215" s="552"/>
      <c r="AK215" s="552"/>
      <c r="AL215" s="552"/>
      <c r="AM215" s="553"/>
    </row>
    <row r="216" spans="13:39" x14ac:dyDescent="0.2">
      <c r="M216" s="200">
        <v>9</v>
      </c>
      <c r="N216" s="249"/>
      <c r="O216" s="210"/>
      <c r="P216" s="210">
        <v>2</v>
      </c>
      <c r="Q216" s="240">
        <v>25.7</v>
      </c>
      <c r="R216" s="241">
        <v>17.600000000000001</v>
      </c>
      <c r="S216" s="241">
        <v>20.399999999999999</v>
      </c>
      <c r="T216" s="242">
        <v>14</v>
      </c>
      <c r="U216" s="240">
        <v>9.9</v>
      </c>
      <c r="V216" s="241">
        <v>-7.7</v>
      </c>
      <c r="W216" s="241">
        <v>8.6</v>
      </c>
      <c r="X216" s="243">
        <v>-5.5</v>
      </c>
      <c r="Y216" s="240">
        <v>-9</v>
      </c>
      <c r="Z216" s="242">
        <v>-10.3</v>
      </c>
      <c r="AA216" s="218">
        <v>64</v>
      </c>
      <c r="AB216" s="270"/>
      <c r="AC216" s="552"/>
      <c r="AD216" s="552"/>
      <c r="AE216" s="552"/>
      <c r="AF216" s="552"/>
      <c r="AG216" s="552"/>
      <c r="AH216" s="552"/>
      <c r="AI216" s="552"/>
      <c r="AJ216" s="552"/>
      <c r="AK216" s="552"/>
      <c r="AL216" s="552"/>
      <c r="AM216" s="553"/>
    </row>
    <row r="217" spans="13:39" x14ac:dyDescent="0.2">
      <c r="M217" s="200">
        <v>10</v>
      </c>
      <c r="N217" s="21"/>
      <c r="O217" s="235">
        <v>45</v>
      </c>
      <c r="P217" s="235">
        <v>1</v>
      </c>
      <c r="Q217" s="236">
        <v>25.7</v>
      </c>
      <c r="R217" s="237">
        <v>17.600000000000001</v>
      </c>
      <c r="S217" s="237">
        <v>20.399999999999999</v>
      </c>
      <c r="T217" s="238">
        <v>14</v>
      </c>
      <c r="U217" s="236">
        <v>2</v>
      </c>
      <c r="V217" s="237">
        <v>-15.6</v>
      </c>
      <c r="W217" s="237">
        <v>0.7</v>
      </c>
      <c r="X217" s="239">
        <v>-13.4</v>
      </c>
      <c r="Y217" s="236">
        <v>-9</v>
      </c>
      <c r="Z217" s="238">
        <v>-10.3</v>
      </c>
      <c r="AA217" s="218">
        <v>65</v>
      </c>
      <c r="AB217" s="270"/>
      <c r="AC217" s="552"/>
      <c r="AD217" s="552"/>
      <c r="AE217" s="552"/>
      <c r="AF217" s="552"/>
      <c r="AG217" s="552"/>
      <c r="AH217" s="552"/>
      <c r="AI217" s="552"/>
      <c r="AJ217" s="552"/>
      <c r="AK217" s="552"/>
      <c r="AL217" s="552"/>
      <c r="AM217" s="553"/>
    </row>
    <row r="218" spans="13:39" x14ac:dyDescent="0.2">
      <c r="M218" s="200">
        <v>11</v>
      </c>
      <c r="N218" s="22"/>
      <c r="O218" s="250"/>
      <c r="P218" s="250">
        <v>2</v>
      </c>
      <c r="Q218" s="251">
        <v>25.7</v>
      </c>
      <c r="R218" s="252">
        <v>17.600000000000001</v>
      </c>
      <c r="S218" s="252">
        <v>20.399999999999999</v>
      </c>
      <c r="T218" s="253">
        <v>14</v>
      </c>
      <c r="U218" s="251">
        <v>9.9</v>
      </c>
      <c r="V218" s="252">
        <v>-7.7</v>
      </c>
      <c r="W218" s="252">
        <v>8.6</v>
      </c>
      <c r="X218" s="254">
        <v>-5.5</v>
      </c>
      <c r="Y218" s="251">
        <v>-9</v>
      </c>
      <c r="Z218" s="253">
        <v>-10.3</v>
      </c>
      <c r="AA218" s="218">
        <v>66</v>
      </c>
      <c r="AB218" s="271"/>
      <c r="AC218" s="555"/>
      <c r="AD218" s="555"/>
      <c r="AE218" s="555"/>
      <c r="AF218" s="555"/>
      <c r="AG218" s="555"/>
      <c r="AH218" s="555"/>
      <c r="AI218" s="555"/>
      <c r="AJ218" s="555"/>
      <c r="AK218" s="555"/>
      <c r="AL218" s="555"/>
      <c r="AM218" s="556"/>
    </row>
    <row r="219" spans="13:39" x14ac:dyDescent="0.2">
      <c r="M219" s="200">
        <v>1</v>
      </c>
      <c r="N219" s="26"/>
      <c r="O219" s="514">
        <v>0</v>
      </c>
      <c r="P219" s="514">
        <v>1</v>
      </c>
      <c r="Q219" s="558">
        <v>24.7</v>
      </c>
      <c r="R219" s="516">
        <v>-12.9</v>
      </c>
      <c r="S219" s="516">
        <v>16.399999999999999</v>
      </c>
      <c r="T219" s="517">
        <v>-7.6</v>
      </c>
      <c r="U219" s="515">
        <v>-29.7</v>
      </c>
      <c r="V219" s="516">
        <v>-16.899999999999999</v>
      </c>
      <c r="W219" s="516">
        <v>-20.7</v>
      </c>
      <c r="X219" s="518">
        <v>-13.1</v>
      </c>
      <c r="Y219" s="515">
        <v>-41.7</v>
      </c>
      <c r="Z219" s="517">
        <v>-32.700000000000003</v>
      </c>
      <c r="AA219" s="201">
        <v>67</v>
      </c>
      <c r="AB219" s="519"/>
      <c r="AC219" s="520" t="e">
        <f>IF($C$8=$N224,VLOOKUP(MATCH($AD$148,$O219:$O229,1),$M219:$Z229,3),"")</f>
        <v>#REF!</v>
      </c>
      <c r="AD219" s="520" t="e">
        <f>IF($C$8=$N224,VLOOKUP(MATCH($AD$148,$O219:$O229,1),$M219:$Z229,5),"")</f>
        <v>#REF!</v>
      </c>
      <c r="AE219" s="520" t="e">
        <f>IF($C$8=$N224,VLOOKUP(MATCH($AD$148,$O219:$O229,1),$M219:$Z229,6),"")</f>
        <v>#REF!</v>
      </c>
      <c r="AF219" s="520" t="e">
        <f>IF($C$8=$N224,VLOOKUP(MATCH($AD$148,$O219:$O229,1),$M219:$Z229,7),"")</f>
        <v>#REF!</v>
      </c>
      <c r="AG219" s="520" t="e">
        <f>IF($C$8=$N224,VLOOKUP(MATCH($AD$148,$O219:$O229,1),$M219:$Z229,8),"")</f>
        <v>#REF!</v>
      </c>
      <c r="AH219" s="520" t="e">
        <f>IF($C$8=$N224,VLOOKUP(MATCH($AD$148,$O219:$O229,1),$M219:$Z229,9),"")</f>
        <v>#REF!</v>
      </c>
      <c r="AI219" s="520" t="e">
        <f>IF($C$8=$N224,VLOOKUP(MATCH($AD$148,$O219:$O229,1),$M219:$Z229,10),"")</f>
        <v>#REF!</v>
      </c>
      <c r="AJ219" s="520" t="e">
        <f>IF($C$8=$N224,VLOOKUP(MATCH($AD$148,$O219:$O229,1),$M219:$Z229,11),"")</f>
        <v>#REF!</v>
      </c>
      <c r="AK219" s="520" t="e">
        <f>IF($C$8=$N224,VLOOKUP(MATCH($AD$148,$O219:$O229,1),$M219:$Z229,12),"")</f>
        <v>#REF!</v>
      </c>
      <c r="AL219" s="520" t="e">
        <f>IF($C$8=$N224,VLOOKUP(MATCH($AD$148,$O219:$O229,1),$M219:$Z229,13),"")</f>
        <v>#REF!</v>
      </c>
      <c r="AM219" s="521" t="e">
        <f>IF($C$8=$N224,VLOOKUP(MATCH($AD$148,$O219:$O229,1),$M219:$Z229,14),"")</f>
        <v>#REF!</v>
      </c>
    </row>
    <row r="220" spans="13:39" x14ac:dyDescent="0.2">
      <c r="M220" s="200">
        <v>2</v>
      </c>
      <c r="N220" s="28"/>
      <c r="O220" s="522">
        <v>5</v>
      </c>
      <c r="P220" s="522">
        <v>1</v>
      </c>
      <c r="Q220" s="560">
        <v>24.7</v>
      </c>
      <c r="R220" s="524">
        <v>-12.9</v>
      </c>
      <c r="S220" s="524">
        <v>16.399999999999999</v>
      </c>
      <c r="T220" s="525">
        <v>-7.6</v>
      </c>
      <c r="U220" s="523">
        <v>-29.7</v>
      </c>
      <c r="V220" s="524">
        <v>-16.899999999999999</v>
      </c>
      <c r="W220" s="524">
        <v>-20.7</v>
      </c>
      <c r="X220" s="526">
        <v>-13.1</v>
      </c>
      <c r="Y220" s="523">
        <v>-41.7</v>
      </c>
      <c r="Z220" s="525">
        <v>-32.700000000000003</v>
      </c>
      <c r="AA220" s="201">
        <v>68</v>
      </c>
      <c r="AB220" s="527"/>
      <c r="AC220" s="528" t="e">
        <f>IF($C$8=$N224,VLOOKUP(MATCH($AD$148,$O219:$O229,1)+IF($AD$148&lt;25,1,2),$M219:$Z229,3),"")</f>
        <v>#REF!</v>
      </c>
      <c r="AD220" s="528" t="e">
        <f>IF($C$8=$N224,VLOOKUP(MATCH($AD$148,$O219:$O229,1)+IF($AD$148&lt;25,1,2),$M219:$Z229,5),"")</f>
        <v>#REF!</v>
      </c>
      <c r="AE220" s="528" t="e">
        <f>IF($C$8=$N224,VLOOKUP(MATCH($AD$148,$O219:$O229,1)+IF($AD$148&lt;25,1,2),$M219:$Z229,6),"")</f>
        <v>#REF!</v>
      </c>
      <c r="AF220" s="528" t="e">
        <f>IF($C$8=$N224,VLOOKUP(MATCH($AD$148,$O219:$O229,1)+IF($AD$148&lt;25,1,2),$M219:$Z229,7),"")</f>
        <v>#REF!</v>
      </c>
      <c r="AG220" s="528" t="e">
        <f>IF($C$8=$N224,VLOOKUP(MATCH($AD$148,$O219:$O229,1)+IF($AD$148&lt;25,1,2),$M219:$Z229,8),"")</f>
        <v>#REF!</v>
      </c>
      <c r="AH220" s="528" t="e">
        <f>IF($C$8=$N224,VLOOKUP(MATCH($AD$148,$O219:$O229,1)+IF($AD$148&lt;25,1,2),$M219:$Z229,9),"")</f>
        <v>#REF!</v>
      </c>
      <c r="AI220" s="528" t="e">
        <f>IF($C$8=$N224,VLOOKUP(MATCH($AD$148,$O219:$O229,1)+IF($AD$148&lt;25,1,2),$M219:$Z229,10),"")</f>
        <v>#REF!</v>
      </c>
      <c r="AJ220" s="528" t="e">
        <f>IF($C$8=$N224,VLOOKUP(MATCH($AD$148,$O219:$O229,1)+IF($AD$148&lt;25,1,2),$M219:$Z229,11),"")</f>
        <v>#REF!</v>
      </c>
      <c r="AK220" s="528" t="e">
        <f>IF($C$8=$N224,VLOOKUP(MATCH($AD$148,$O219:$O229,1)+IF($AD$148&lt;25,1,2),$M219:$Z229,12),"")</f>
        <v>#REF!</v>
      </c>
      <c r="AL220" s="528" t="e">
        <f>IF($C$8=$N224,VLOOKUP(MATCH($AD$148,$O219:$O229,1)+IF($AD$148&lt;25,1,2),$M219:$Z229,13),"")</f>
        <v>#REF!</v>
      </c>
      <c r="AM220" s="529" t="e">
        <f>IF($C$8=$N224,VLOOKUP(MATCH($AD$148,$O219:$O229,1)+IF($AD$148&lt;25,1,2),$M219:$Z229,14),"")</f>
        <v>#REF!</v>
      </c>
    </row>
    <row r="221" spans="13:39" x14ac:dyDescent="0.2">
      <c r="M221" s="200">
        <v>3</v>
      </c>
      <c r="N221" s="28"/>
      <c r="O221" s="522">
        <v>10</v>
      </c>
      <c r="P221" s="522">
        <v>1</v>
      </c>
      <c r="Q221" s="560">
        <v>28</v>
      </c>
      <c r="R221" s="524">
        <v>-11.6</v>
      </c>
      <c r="S221" s="524">
        <v>18.600000000000001</v>
      </c>
      <c r="T221" s="525">
        <v>-6.7</v>
      </c>
      <c r="U221" s="523">
        <v>-29.7</v>
      </c>
      <c r="V221" s="524">
        <v>-18.2</v>
      </c>
      <c r="W221" s="524">
        <v>-20.7</v>
      </c>
      <c r="X221" s="525">
        <v>-14</v>
      </c>
      <c r="Y221" s="523">
        <v>-41.7</v>
      </c>
      <c r="Z221" s="525">
        <v>-32.700000000000003</v>
      </c>
      <c r="AA221" s="201">
        <v>69</v>
      </c>
      <c r="AB221" s="527" t="e">
        <f>IF($C$8=$N224,MATCH($AD$148,$O219:$O229,1),0)</f>
        <v>#REF!</v>
      </c>
      <c r="AC221" s="528" t="e">
        <f>IF($C$8=$N224,$AD$148,"")</f>
        <v>#REF!</v>
      </c>
      <c r="AD221" s="528" t="e">
        <f t="shared" ref="AD221:AM221" si="39">IF($C$8=$N224,(AD220-AD219)*($AD$148-$AC219)/($AC220-$AC219)+AD219,"")</f>
        <v>#REF!</v>
      </c>
      <c r="AE221" s="528" t="e">
        <f t="shared" si="39"/>
        <v>#REF!</v>
      </c>
      <c r="AF221" s="528" t="e">
        <f t="shared" si="39"/>
        <v>#REF!</v>
      </c>
      <c r="AG221" s="528" t="e">
        <f t="shared" si="39"/>
        <v>#REF!</v>
      </c>
      <c r="AH221" s="528" t="e">
        <f t="shared" si="39"/>
        <v>#REF!</v>
      </c>
      <c r="AI221" s="528" t="e">
        <f t="shared" si="39"/>
        <v>#REF!</v>
      </c>
      <c r="AJ221" s="528" t="e">
        <f t="shared" si="39"/>
        <v>#REF!</v>
      </c>
      <c r="AK221" s="528" t="e">
        <f t="shared" si="39"/>
        <v>#REF!</v>
      </c>
      <c r="AL221" s="528" t="e">
        <f t="shared" si="39"/>
        <v>#REF!</v>
      </c>
      <c r="AM221" s="529" t="e">
        <f t="shared" si="39"/>
        <v>#REF!</v>
      </c>
    </row>
    <row r="222" spans="13:39" x14ac:dyDescent="0.2">
      <c r="M222" s="200">
        <v>4</v>
      </c>
      <c r="N222" s="28"/>
      <c r="O222" s="522">
        <v>15</v>
      </c>
      <c r="P222" s="522">
        <v>1</v>
      </c>
      <c r="Q222" s="560">
        <v>31.1</v>
      </c>
      <c r="R222" s="524">
        <v>-10.3</v>
      </c>
      <c r="S222" s="524">
        <v>20.7</v>
      </c>
      <c r="T222" s="525">
        <v>-5.9</v>
      </c>
      <c r="U222" s="523">
        <v>-29.7</v>
      </c>
      <c r="V222" s="524">
        <v>-19.399999999999999</v>
      </c>
      <c r="W222" s="524">
        <v>-20.7</v>
      </c>
      <c r="X222" s="525">
        <v>-14.9</v>
      </c>
      <c r="Y222" s="523">
        <v>-41.7</v>
      </c>
      <c r="Z222" s="525">
        <v>-32.700000000000003</v>
      </c>
      <c r="AA222" s="201">
        <v>70</v>
      </c>
      <c r="AB222" s="527"/>
      <c r="AC222" s="528"/>
      <c r="AD222" s="530"/>
      <c r="AE222" s="530"/>
      <c r="AF222" s="530"/>
      <c r="AG222" s="530"/>
      <c r="AH222" s="530"/>
      <c r="AI222" s="530"/>
      <c r="AJ222" s="530"/>
      <c r="AK222" s="530"/>
      <c r="AL222" s="530"/>
      <c r="AM222" s="531"/>
    </row>
    <row r="223" spans="13:39" x14ac:dyDescent="0.2">
      <c r="M223" s="200">
        <v>5</v>
      </c>
      <c r="N223" s="28"/>
      <c r="O223" s="522">
        <v>20</v>
      </c>
      <c r="P223" s="522">
        <v>1</v>
      </c>
      <c r="Q223" s="560">
        <v>34.299999999999997</v>
      </c>
      <c r="R223" s="524">
        <v>-9</v>
      </c>
      <c r="S223" s="524">
        <v>22.9</v>
      </c>
      <c r="T223" s="525">
        <v>-5</v>
      </c>
      <c r="U223" s="523">
        <v>-29.7</v>
      </c>
      <c r="V223" s="524">
        <v>-20.7</v>
      </c>
      <c r="W223" s="524">
        <v>-20.7</v>
      </c>
      <c r="X223" s="526">
        <v>-15.7</v>
      </c>
      <c r="Y223" s="523">
        <v>-41.7</v>
      </c>
      <c r="Z223" s="525">
        <v>-32.700000000000003</v>
      </c>
      <c r="AA223" s="201">
        <v>71</v>
      </c>
      <c r="AB223" s="527"/>
      <c r="AC223" s="528" t="e">
        <f>IF($C$8=$N224,IF(AND($AD$148&gt;=25,$AD$148&lt;=45),VLOOKUP(MATCH($AD$148,$O219:$O229,1),$M219:$Z229,3),""),"")</f>
        <v>#REF!</v>
      </c>
      <c r="AD223" s="528" t="e">
        <f>IF($C$8=$N224,IF(AND($AD$148&gt;=25,$AD$148&lt;=45),VLOOKUP(MATCH($AD$148,$O219:$O229,1)+1,$M219:$Z229,5),""),"")</f>
        <v>#REF!</v>
      </c>
      <c r="AE223" s="528" t="e">
        <f>IF($C$8=$N224,IF(AND($AD$148&gt;=25,$AD$148&lt;=45),VLOOKUP(MATCH($AD$148,$O219:$O229,1)+1,$M219:$Z229,6),""),"")</f>
        <v>#REF!</v>
      </c>
      <c r="AF223" s="528" t="e">
        <f>IF($C$8=$N224,IF(AND($AD$148&gt;=25,$AD$148&lt;=45),VLOOKUP(MATCH($AD$148,$O219:$O229,1)+1,$M219:$Z229,7),""),"")</f>
        <v>#REF!</v>
      </c>
      <c r="AG223" s="528" t="e">
        <f>IF($C$8=$N224,IF(AND($AD$148&gt;=25,$AD$148&lt;=45),VLOOKUP(MATCH($AD$148,$O219:$O229,1)+1,$M219:$Z229,8),""),"")</f>
        <v>#REF!</v>
      </c>
      <c r="AH223" s="528" t="e">
        <f>IF($C$8=$N224,IF(AND($AD$148&gt;=25,$AD$148&lt;=45),VLOOKUP(MATCH($AD$148,$O219:$O229,1)+1,$M219:$Z229,9),""),"")</f>
        <v>#REF!</v>
      </c>
      <c r="AI223" s="528" t="e">
        <f>IF($C$8=$N224,IF(AND($AD$148&gt;=25,$AD$148&lt;=45),VLOOKUP(MATCH($AD$148,$O219:$O229,1)+1,$M219:$Z229,10),""),"")</f>
        <v>#REF!</v>
      </c>
      <c r="AJ223" s="528" t="e">
        <f>IF($C$8=$N224,IF(AND($AD$148&gt;=25,$AD$148&lt;=45),VLOOKUP(MATCH($AD$148,$O219:$O229,1)+1,$M219:$Z229,11),""),"")</f>
        <v>#REF!</v>
      </c>
      <c r="AK223" s="528" t="e">
        <f>IF($C$8=$N224,IF(AND($AD$148&gt;=25,$AD$148&lt;=45),VLOOKUP(MATCH($AD$148,$O219:$O229,1)+1,$M219:$Z229,12),""),"")</f>
        <v>#REF!</v>
      </c>
      <c r="AL223" s="528" t="e">
        <f>IF($C$8=$N224,IF(AND($AD$148&gt;=25,$AD$148&lt;=45),VLOOKUP(MATCH($AD$148,$O219:$O229,1)+1,$M219:$Z229,13),""),"")</f>
        <v>#REF!</v>
      </c>
      <c r="AM223" s="529" t="e">
        <f>IF($C$8=$N224,IF(AND($AD$148&gt;=25,$AD$148&lt;=45),VLOOKUP(MATCH($AD$148,$O219:$O229,1)+1,$M219:$Z229,14),""),"")</f>
        <v>#REF!</v>
      </c>
    </row>
    <row r="224" spans="13:39" x14ac:dyDescent="0.2">
      <c r="M224" s="200">
        <v>6</v>
      </c>
      <c r="N224" s="28">
        <v>125</v>
      </c>
      <c r="O224" s="532">
        <v>25</v>
      </c>
      <c r="P224" s="532">
        <v>1</v>
      </c>
      <c r="Q224" s="562">
        <v>31</v>
      </c>
      <c r="R224" s="534">
        <v>5</v>
      </c>
      <c r="S224" s="534">
        <v>22.5</v>
      </c>
      <c r="T224" s="535">
        <v>5.0999999999999996</v>
      </c>
      <c r="U224" s="533">
        <v>-13.8</v>
      </c>
      <c r="V224" s="534">
        <v>-18.8</v>
      </c>
      <c r="W224" s="534">
        <v>-10</v>
      </c>
      <c r="X224" s="536">
        <v>-15.1</v>
      </c>
      <c r="Y224" s="533">
        <v>-25.7</v>
      </c>
      <c r="Z224" s="535">
        <v>-21.9</v>
      </c>
      <c r="AA224" s="201">
        <v>72</v>
      </c>
      <c r="AB224" s="527"/>
      <c r="AC224" s="528" t="e">
        <f>IF($C$8=$N224,IF(AND($AD$148&gt;=25,$AD$148&lt;=45),VLOOKUP(MATCH($AD$148,$O219:$O229,1)+IF($AD$148&lt;25,1,2),$M219:$Z229,3),""),"")</f>
        <v>#REF!</v>
      </c>
      <c r="AD224" s="528" t="e">
        <f>IF($C$8=$N224,IF(AND($AD$148&gt;=25,$AD$148&lt;=45),VLOOKUP(MATCH($AD$148,$O219:$O229,1)+1+IF($AD$148&lt;25,1,2),$M219:$Z229,5),""),"")</f>
        <v>#REF!</v>
      </c>
      <c r="AE224" s="528" t="e">
        <f>IF($C$8=$N224,IF(AND($AD$148&gt;=25,$AD$148&lt;=45),VLOOKUP(MATCH($AD$148,$O219:$O229,1)+1+IF($AD$148&lt;25,1,2),$M219:$Z229,6),""),"")</f>
        <v>#REF!</v>
      </c>
      <c r="AF224" s="528" t="e">
        <f>IF($C$8=$N224,IF(AND($AD$148&gt;=25,$AD$148&lt;=45),VLOOKUP(MATCH($AD$148,$O219:$O229,1)+1+IF($AD$148&lt;25,1,2),$M219:$Z229,7),""),"")</f>
        <v>#REF!</v>
      </c>
      <c r="AG224" s="528" t="e">
        <f>IF($C$8=$N224,IF(AND($AD$148&gt;=25,$AD$148&lt;=45),VLOOKUP(MATCH($AD$148,$O219:$O229,1)+1+IF($AD$148&lt;25,1,2),$M219:$Z229,8),""),"")</f>
        <v>#REF!</v>
      </c>
      <c r="AH224" s="528" t="e">
        <f>IF($C$8=$N224,IF(AND($AD$148&gt;=25,$AD$148&lt;=45),VLOOKUP(MATCH($AD$148,$O219:$O229,1)+1+IF($AD$148&lt;25,1,2),$M219:$Z229,9),""),"")</f>
        <v>#REF!</v>
      </c>
      <c r="AI224" s="528" t="e">
        <f>IF($C$8=$N224,IF(AND($AD$148&gt;=25,$AD$148&lt;=45),VLOOKUP(MATCH($AD$148,$O219:$O229,1)+1+IF($AD$148&lt;25,1,2),$M219:$Z229,10),""),"")</f>
        <v>#REF!</v>
      </c>
      <c r="AJ224" s="528" t="e">
        <f>IF($C$8=$N224,IF(AND($AD$148&gt;=25,$AD$148&lt;=45),VLOOKUP(MATCH($AD$148,$O219:$O229,1)+1+IF($AD$148&lt;25,1,2),$M219:$Z229,11),""),"")</f>
        <v>#REF!</v>
      </c>
      <c r="AK224" s="528" t="e">
        <f>IF($C$8=$N224,IF(AND($AD$148&gt;=25,$AD$148&lt;=45),VLOOKUP(MATCH($AD$148,$O219:$O229,1)+1+IF($AD$148&lt;25,1,2),$M219:$Z229,12),""),"")</f>
        <v>#REF!</v>
      </c>
      <c r="AL224" s="528" t="e">
        <f>IF($C$8=$N224,IF(AND($AD$148&gt;=25,$AD$148&lt;=45),VLOOKUP(MATCH($AD$148,$O219:$O229,1)+1+IF($AD$148&lt;25,1,2),$M219:$Z229,13),""),"")</f>
        <v>#REF!</v>
      </c>
      <c r="AM224" s="529" t="e">
        <f>IF($C$8=$N224,IF(AND($AD$148&gt;=25,$AD$148&lt;=45),VLOOKUP(MATCH($AD$148,$O219:$O229,1)+1+IF($AD$148&lt;25,1,2),$M219:$Z229,14),""),"")</f>
        <v>#REF!</v>
      </c>
    </row>
    <row r="225" spans="13:39" x14ac:dyDescent="0.2">
      <c r="M225" s="200">
        <v>7</v>
      </c>
      <c r="N225" s="28"/>
      <c r="O225" s="537"/>
      <c r="P225" s="537">
        <v>2</v>
      </c>
      <c r="Q225" s="564">
        <v>0</v>
      </c>
      <c r="R225" s="539">
        <v>0</v>
      </c>
      <c r="S225" s="539">
        <v>0</v>
      </c>
      <c r="T225" s="540">
        <v>0</v>
      </c>
      <c r="U225" s="538">
        <v>-5.2</v>
      </c>
      <c r="V225" s="539">
        <v>-10.199999999999999</v>
      </c>
      <c r="W225" s="539">
        <v>-1.4</v>
      </c>
      <c r="X225" s="541">
        <v>-6.5</v>
      </c>
      <c r="Y225" s="538">
        <v>0</v>
      </c>
      <c r="Z225" s="540">
        <v>0</v>
      </c>
      <c r="AA225" s="201">
        <v>73</v>
      </c>
      <c r="AB225" s="527"/>
      <c r="AC225" s="528" t="e">
        <f>IF($C$8=$N224,IF(AND($AD$148&gt;=25,$AD$148&lt;=45),$AD$148,""),"")</f>
        <v>#REF!</v>
      </c>
      <c r="AD225" s="528" t="e">
        <f t="shared" ref="AD225:AM225" si="40">IF($C$8=$N224,IF(AND($AD$148&gt;=25,$AD$148&lt;=45),(AD224-AD223)*($AD$148-$AC223)/($AC224-$AC223)+AD223,""),"")</f>
        <v>#REF!</v>
      </c>
      <c r="AE225" s="528" t="e">
        <f t="shared" si="40"/>
        <v>#REF!</v>
      </c>
      <c r="AF225" s="528" t="e">
        <f t="shared" si="40"/>
        <v>#REF!</v>
      </c>
      <c r="AG225" s="528" t="e">
        <f t="shared" si="40"/>
        <v>#REF!</v>
      </c>
      <c r="AH225" s="528" t="e">
        <f t="shared" si="40"/>
        <v>#REF!</v>
      </c>
      <c r="AI225" s="528" t="e">
        <f t="shared" si="40"/>
        <v>#REF!</v>
      </c>
      <c r="AJ225" s="528" t="e">
        <f t="shared" si="40"/>
        <v>#REF!</v>
      </c>
      <c r="AK225" s="528" t="e">
        <f t="shared" si="40"/>
        <v>#REF!</v>
      </c>
      <c r="AL225" s="528" t="e">
        <f t="shared" si="40"/>
        <v>#REF!</v>
      </c>
      <c r="AM225" s="529" t="e">
        <f t="shared" si="40"/>
        <v>#REF!</v>
      </c>
    </row>
    <row r="226" spans="13:39" x14ac:dyDescent="0.2">
      <c r="M226" s="200">
        <v>8</v>
      </c>
      <c r="N226" s="28"/>
      <c r="O226" s="532">
        <v>30</v>
      </c>
      <c r="P226" s="532">
        <v>1</v>
      </c>
      <c r="Q226" s="562">
        <v>27.9</v>
      </c>
      <c r="R226" s="534">
        <v>19.100000000000001</v>
      </c>
      <c r="S226" s="534">
        <v>22.1</v>
      </c>
      <c r="T226" s="535">
        <v>15.2</v>
      </c>
      <c r="U226" s="533">
        <v>2.2000000000000002</v>
      </c>
      <c r="V226" s="534">
        <v>-16.899999999999999</v>
      </c>
      <c r="W226" s="534">
        <v>0.8</v>
      </c>
      <c r="X226" s="536">
        <v>-14.5</v>
      </c>
      <c r="Y226" s="533">
        <v>-9.8000000000000007</v>
      </c>
      <c r="Z226" s="535">
        <v>-11.2</v>
      </c>
      <c r="AA226" s="201">
        <v>74</v>
      </c>
      <c r="AB226" s="542"/>
      <c r="AC226" s="530"/>
      <c r="AD226" s="530"/>
      <c r="AE226" s="530"/>
      <c r="AF226" s="530"/>
      <c r="AG226" s="530"/>
      <c r="AH226" s="530"/>
      <c r="AI226" s="530"/>
      <c r="AJ226" s="530"/>
      <c r="AK226" s="530"/>
      <c r="AL226" s="530"/>
      <c r="AM226" s="531"/>
    </row>
    <row r="227" spans="13:39" x14ac:dyDescent="0.2">
      <c r="M227" s="200">
        <v>9</v>
      </c>
      <c r="N227" s="543"/>
      <c r="O227" s="537"/>
      <c r="P227" s="537">
        <v>2</v>
      </c>
      <c r="Q227" s="564">
        <v>27.9</v>
      </c>
      <c r="R227" s="539">
        <v>19.100000000000001</v>
      </c>
      <c r="S227" s="539">
        <v>22.1</v>
      </c>
      <c r="T227" s="540">
        <v>15.2</v>
      </c>
      <c r="U227" s="538">
        <v>10.7</v>
      </c>
      <c r="V227" s="539">
        <v>-8.4</v>
      </c>
      <c r="W227" s="539">
        <v>9.3000000000000007</v>
      </c>
      <c r="X227" s="541">
        <v>-6</v>
      </c>
      <c r="Y227" s="538">
        <v>-9.8000000000000007</v>
      </c>
      <c r="Z227" s="540">
        <v>-11.2</v>
      </c>
      <c r="AA227" s="201">
        <v>75</v>
      </c>
      <c r="AB227" s="542"/>
      <c r="AC227" s="530"/>
      <c r="AD227" s="530"/>
      <c r="AE227" s="530"/>
      <c r="AF227" s="530"/>
      <c r="AG227" s="530"/>
      <c r="AH227" s="530"/>
      <c r="AI227" s="530"/>
      <c r="AJ227" s="530"/>
      <c r="AK227" s="530"/>
      <c r="AL227" s="530"/>
      <c r="AM227" s="531"/>
    </row>
    <row r="228" spans="13:39" x14ac:dyDescent="0.2">
      <c r="M228" s="200">
        <v>10</v>
      </c>
      <c r="N228" s="28"/>
      <c r="O228" s="532">
        <v>45</v>
      </c>
      <c r="P228" s="532">
        <v>1</v>
      </c>
      <c r="Q228" s="562">
        <v>27.9</v>
      </c>
      <c r="R228" s="534">
        <v>19.100000000000001</v>
      </c>
      <c r="S228" s="534">
        <v>22.1</v>
      </c>
      <c r="T228" s="535">
        <v>15.2</v>
      </c>
      <c r="U228" s="533">
        <v>2.2000000000000002</v>
      </c>
      <c r="V228" s="534">
        <v>-16.899999999999999</v>
      </c>
      <c r="W228" s="534">
        <v>0.8</v>
      </c>
      <c r="X228" s="536">
        <v>-14.5</v>
      </c>
      <c r="Y228" s="533">
        <v>-9.8000000000000007</v>
      </c>
      <c r="Z228" s="535">
        <v>-11.2</v>
      </c>
      <c r="AA228" s="201">
        <v>76</v>
      </c>
      <c r="AB228" s="542"/>
      <c r="AC228" s="530"/>
      <c r="AD228" s="530"/>
      <c r="AE228" s="530"/>
      <c r="AF228" s="530"/>
      <c r="AG228" s="530"/>
      <c r="AH228" s="530"/>
      <c r="AI228" s="530"/>
      <c r="AJ228" s="530"/>
      <c r="AK228" s="530"/>
      <c r="AL228" s="530"/>
      <c r="AM228" s="531"/>
    </row>
    <row r="229" spans="13:39" x14ac:dyDescent="0.2">
      <c r="M229" s="200">
        <v>11</v>
      </c>
      <c r="N229" s="27"/>
      <c r="O229" s="544"/>
      <c r="P229" s="544">
        <v>2</v>
      </c>
      <c r="Q229" s="566">
        <v>27.9</v>
      </c>
      <c r="R229" s="546">
        <v>19.100000000000001</v>
      </c>
      <c r="S229" s="546">
        <v>22.1</v>
      </c>
      <c r="T229" s="547">
        <v>15.2</v>
      </c>
      <c r="U229" s="545">
        <v>10.7</v>
      </c>
      <c r="V229" s="546">
        <v>-8.4</v>
      </c>
      <c r="W229" s="546">
        <v>9.3000000000000007</v>
      </c>
      <c r="X229" s="548">
        <v>-6</v>
      </c>
      <c r="Y229" s="545">
        <v>-9.8000000000000007</v>
      </c>
      <c r="Z229" s="547">
        <v>-11.2</v>
      </c>
      <c r="AA229" s="201">
        <v>77</v>
      </c>
      <c r="AB229" s="549"/>
      <c r="AC229" s="550"/>
      <c r="AD229" s="550"/>
      <c r="AE229" s="550"/>
      <c r="AF229" s="550"/>
      <c r="AG229" s="550"/>
      <c r="AH229" s="550"/>
      <c r="AI229" s="550"/>
      <c r="AJ229" s="550"/>
      <c r="AK229" s="550"/>
      <c r="AL229" s="550"/>
      <c r="AM229" s="551"/>
    </row>
    <row r="230" spans="13:39" x14ac:dyDescent="0.2">
      <c r="M230" s="200">
        <v>1</v>
      </c>
      <c r="N230" s="197"/>
      <c r="O230" s="205">
        <v>0</v>
      </c>
      <c r="P230" s="205">
        <v>1</v>
      </c>
      <c r="Q230" s="206">
        <v>26.8</v>
      </c>
      <c r="R230" s="215">
        <v>-13.9</v>
      </c>
      <c r="S230" s="215">
        <v>17.8</v>
      </c>
      <c r="T230" s="216">
        <v>-8.1999999999999993</v>
      </c>
      <c r="U230" s="206">
        <v>-32.200000000000003</v>
      </c>
      <c r="V230" s="215">
        <v>-18.3</v>
      </c>
      <c r="W230" s="215">
        <v>-22.4</v>
      </c>
      <c r="X230" s="217">
        <v>-14.2</v>
      </c>
      <c r="Y230" s="206">
        <v>-45.1</v>
      </c>
      <c r="Z230" s="216">
        <v>-35.299999999999997</v>
      </c>
      <c r="AA230" s="218">
        <v>78</v>
      </c>
      <c r="AB230" s="219"/>
      <c r="AC230" s="220" t="e">
        <f>IF($C$8=$N235,VLOOKUP(MATCH($AD$148,$O230:$O240,1),$M230:$Z240,3),"")</f>
        <v>#REF!</v>
      </c>
      <c r="AD230" s="220" t="e">
        <f>IF($C$8=$N235,VLOOKUP(MATCH($AD$148,$O230:$O240,1),$M230:$Z240,5),"")</f>
        <v>#REF!</v>
      </c>
      <c r="AE230" s="220" t="e">
        <f>IF($C$8=$N235,VLOOKUP(MATCH($AD$148,$O230:$O240,1),$M230:$Z240,6),"")</f>
        <v>#REF!</v>
      </c>
      <c r="AF230" s="220" t="e">
        <f>IF($C$8=$N235,VLOOKUP(MATCH($AD$148,$O230:$O240,1),$M230:$Z240,7),"")</f>
        <v>#REF!</v>
      </c>
      <c r="AG230" s="220" t="e">
        <f>IF($C$8=$N235,VLOOKUP(MATCH($AD$148,$O230:$O240,1),$M230:$Z240,8),"")</f>
        <v>#REF!</v>
      </c>
      <c r="AH230" s="220" t="e">
        <f>IF($C$8=$N235,VLOOKUP(MATCH($AD$148,$O230:$O240,1),$M230:$Z240,9),"")</f>
        <v>#REF!</v>
      </c>
      <c r="AI230" s="220" t="e">
        <f>IF($C$8=$N235,VLOOKUP(MATCH($AD$148,$O230:$O240,1),$M230:$Z240,10),"")</f>
        <v>#REF!</v>
      </c>
      <c r="AJ230" s="220" t="e">
        <f>IF($C$8=$N235,VLOOKUP(MATCH($AD$148,$O230:$O240,1),$M230:$Z240,11),"")</f>
        <v>#REF!</v>
      </c>
      <c r="AK230" s="220" t="e">
        <f>IF($C$8=$N235,VLOOKUP(MATCH($AD$148,$O230:$O240,1),$M230:$Z240,12),"")</f>
        <v>#REF!</v>
      </c>
      <c r="AL230" s="220" t="e">
        <f>IF($C$8=$N235,VLOOKUP(MATCH($AD$148,$O230:$O240,1),$M230:$Z240,13),"")</f>
        <v>#REF!</v>
      </c>
      <c r="AM230" s="221" t="e">
        <f>IF($C$8=$N235,VLOOKUP(MATCH($AD$148,$O230:$O240,1),$M230:$Z240,14),"")</f>
        <v>#REF!</v>
      </c>
    </row>
    <row r="231" spans="13:39" x14ac:dyDescent="0.2">
      <c r="M231" s="200">
        <v>2</v>
      </c>
      <c r="N231" s="21"/>
      <c r="O231" s="223">
        <v>5</v>
      </c>
      <c r="P231" s="223">
        <v>1</v>
      </c>
      <c r="Q231" s="211">
        <v>26.8</v>
      </c>
      <c r="R231" s="226">
        <v>-13.9</v>
      </c>
      <c r="S231" s="226">
        <v>17.8</v>
      </c>
      <c r="T231" s="227">
        <v>-8.1999999999999993</v>
      </c>
      <c r="U231" s="211">
        <v>-32.200000000000003</v>
      </c>
      <c r="V231" s="226">
        <v>-18.3</v>
      </c>
      <c r="W231" s="226">
        <v>-22.4</v>
      </c>
      <c r="X231" s="228">
        <v>-14.2</v>
      </c>
      <c r="Y231" s="211">
        <v>-45.1</v>
      </c>
      <c r="Z231" s="227">
        <v>-35.299999999999997</v>
      </c>
      <c r="AA231" s="218">
        <v>79</v>
      </c>
      <c r="AB231" s="229"/>
      <c r="AC231" s="230" t="e">
        <f>IF($C$8=$N235,VLOOKUP(MATCH($AD$148,$O230:$O240,1)+IF($AD$148&lt;25,1,2),$M230:$Z240,3),"")</f>
        <v>#REF!</v>
      </c>
      <c r="AD231" s="230" t="e">
        <f>IF($C$8=$N235,VLOOKUP(MATCH($AD$148,$O230:$O240,1)+IF($AD$148&lt;25,1,2),$M230:$Z240,5),"")</f>
        <v>#REF!</v>
      </c>
      <c r="AE231" s="230" t="e">
        <f>IF($C$8=$N235,VLOOKUP(MATCH($AD$148,$O230:$O240,1)+IF($AD$148&lt;25,1,2),$M230:$Z240,6),"")</f>
        <v>#REF!</v>
      </c>
      <c r="AF231" s="230" t="e">
        <f>IF($C$8=$N235,VLOOKUP(MATCH($AD$148,$O230:$O240,1)+IF($AD$148&lt;25,1,2),$M230:$Z240,7),"")</f>
        <v>#REF!</v>
      </c>
      <c r="AG231" s="230" t="e">
        <f>IF($C$8=$N235,VLOOKUP(MATCH($AD$148,$O230:$O240,1)+IF($AD$148&lt;25,1,2),$M230:$Z240,8),"")</f>
        <v>#REF!</v>
      </c>
      <c r="AH231" s="230" t="e">
        <f>IF($C$8=$N235,VLOOKUP(MATCH($AD$148,$O230:$O240,1)+IF($AD$148&lt;25,1,2),$M230:$Z240,9),"")</f>
        <v>#REF!</v>
      </c>
      <c r="AI231" s="230" t="e">
        <f>IF($C$8=$N235,VLOOKUP(MATCH($AD$148,$O230:$O240,1)+IF($AD$148&lt;25,1,2),$M230:$Z240,10),"")</f>
        <v>#REF!</v>
      </c>
      <c r="AJ231" s="230" t="e">
        <f>IF($C$8=$N235,VLOOKUP(MATCH($AD$148,$O230:$O240,1)+IF($AD$148&lt;25,1,2),$M230:$Z240,11),"")</f>
        <v>#REF!</v>
      </c>
      <c r="AK231" s="230" t="e">
        <f>IF($C$8=$N235,VLOOKUP(MATCH($AD$148,$O230:$O240,1)+IF($AD$148&lt;25,1,2),$M230:$Z240,12),"")</f>
        <v>#REF!</v>
      </c>
      <c r="AL231" s="230" t="e">
        <f>IF($C$8=$N235,VLOOKUP(MATCH($AD$148,$O230:$O240,1)+IF($AD$148&lt;25,1,2),$M230:$Z240,13),"")</f>
        <v>#REF!</v>
      </c>
      <c r="AM231" s="231" t="e">
        <f>IF($C$8=$N235,VLOOKUP(MATCH($AD$148,$O230:$O240,1)+IF($AD$148&lt;25,1,2),$M230:$Z240,14),"")</f>
        <v>#REF!</v>
      </c>
    </row>
    <row r="232" spans="13:39" x14ac:dyDescent="0.2">
      <c r="M232" s="200">
        <v>3</v>
      </c>
      <c r="N232" s="21"/>
      <c r="O232" s="223">
        <v>10</v>
      </c>
      <c r="P232" s="223">
        <v>1</v>
      </c>
      <c r="Q232" s="211">
        <v>30.2</v>
      </c>
      <c r="R232" s="226">
        <v>-12.5</v>
      </c>
      <c r="S232" s="226">
        <v>20.100000000000001</v>
      </c>
      <c r="T232" s="227">
        <v>-7.3</v>
      </c>
      <c r="U232" s="211">
        <v>-32.200000000000003</v>
      </c>
      <c r="V232" s="226">
        <v>-19.7</v>
      </c>
      <c r="W232" s="226">
        <v>-22.4</v>
      </c>
      <c r="X232" s="228">
        <v>-15.1</v>
      </c>
      <c r="Y232" s="211">
        <v>-45.1</v>
      </c>
      <c r="Z232" s="227">
        <v>-35.299999999999997</v>
      </c>
      <c r="AA232" s="218">
        <v>80</v>
      </c>
      <c r="AB232" s="229" t="e">
        <f>IF($C$8=$N235,MATCH($AD$148,$O230:$O240,1),0)</f>
        <v>#REF!</v>
      </c>
      <c r="AC232" s="230" t="e">
        <f>IF($C$8=$N235,$AD$148,"")</f>
        <v>#REF!</v>
      </c>
      <c r="AD232" s="230" t="e">
        <f t="shared" ref="AD232:AM232" si="41">IF($C$8=$N235,(AD231-AD230)*($AD$148-$AC230)/($AC231-$AC230)+AD230,"")</f>
        <v>#REF!</v>
      </c>
      <c r="AE232" s="230" t="e">
        <f t="shared" si="41"/>
        <v>#REF!</v>
      </c>
      <c r="AF232" s="230" t="e">
        <f t="shared" si="41"/>
        <v>#REF!</v>
      </c>
      <c r="AG232" s="230" t="e">
        <f t="shared" si="41"/>
        <v>#REF!</v>
      </c>
      <c r="AH232" s="230" t="e">
        <f t="shared" si="41"/>
        <v>#REF!</v>
      </c>
      <c r="AI232" s="230" t="e">
        <f t="shared" si="41"/>
        <v>#REF!</v>
      </c>
      <c r="AJ232" s="230" t="e">
        <f t="shared" si="41"/>
        <v>#REF!</v>
      </c>
      <c r="AK232" s="230" t="e">
        <f t="shared" si="41"/>
        <v>#REF!</v>
      </c>
      <c r="AL232" s="230" t="e">
        <f t="shared" si="41"/>
        <v>#REF!</v>
      </c>
      <c r="AM232" s="231" t="e">
        <f t="shared" si="41"/>
        <v>#REF!</v>
      </c>
    </row>
    <row r="233" spans="13:39" x14ac:dyDescent="0.2">
      <c r="M233" s="200">
        <v>4</v>
      </c>
      <c r="N233" s="21"/>
      <c r="O233" s="223">
        <v>15</v>
      </c>
      <c r="P233" s="223">
        <v>1</v>
      </c>
      <c r="Q233" s="211">
        <v>33.700000000000003</v>
      </c>
      <c r="R233" s="226">
        <v>-11.2</v>
      </c>
      <c r="S233" s="226">
        <v>22.4</v>
      </c>
      <c r="T233" s="227">
        <v>-6.4</v>
      </c>
      <c r="U233" s="211">
        <v>-32.200000000000003</v>
      </c>
      <c r="V233" s="226">
        <v>-21</v>
      </c>
      <c r="W233" s="226">
        <v>-22.4</v>
      </c>
      <c r="X233" s="228">
        <v>-16.100000000000001</v>
      </c>
      <c r="Y233" s="211">
        <v>-45.1</v>
      </c>
      <c r="Z233" s="227">
        <v>-35.299999999999997</v>
      </c>
      <c r="AA233" s="218">
        <v>81</v>
      </c>
      <c r="AB233" s="229"/>
      <c r="AC233" s="230"/>
      <c r="AD233" s="552"/>
      <c r="AE233" s="552"/>
      <c r="AF233" s="552"/>
      <c r="AG233" s="552"/>
      <c r="AH233" s="552"/>
      <c r="AI233" s="552"/>
      <c r="AJ233" s="552"/>
      <c r="AK233" s="552"/>
      <c r="AL233" s="552"/>
      <c r="AM233" s="553"/>
    </row>
    <row r="234" spans="13:39" x14ac:dyDescent="0.2">
      <c r="M234" s="200">
        <v>5</v>
      </c>
      <c r="N234" s="21"/>
      <c r="O234" s="223">
        <v>20</v>
      </c>
      <c r="P234" s="223">
        <v>1</v>
      </c>
      <c r="Q234" s="211">
        <v>37.1</v>
      </c>
      <c r="R234" s="226">
        <v>-9.8000000000000007</v>
      </c>
      <c r="S234" s="226">
        <v>24.7</v>
      </c>
      <c r="T234" s="227">
        <v>-5.4</v>
      </c>
      <c r="U234" s="211">
        <v>-32.200000000000003</v>
      </c>
      <c r="V234" s="226">
        <v>-22.4</v>
      </c>
      <c r="W234" s="226">
        <v>-22.4</v>
      </c>
      <c r="X234" s="228">
        <v>-17</v>
      </c>
      <c r="Y234" s="211">
        <v>-45.1</v>
      </c>
      <c r="Z234" s="227">
        <v>-35.299999999999997</v>
      </c>
      <c r="AA234" s="218">
        <v>82</v>
      </c>
      <c r="AB234" s="229"/>
      <c r="AC234" s="230" t="e">
        <f>IF($C$8=$N235,IF(AND($AD$148&gt;=25,$AD$148&lt;=45),VLOOKUP(MATCH($AD$148,$O230:$O240,1),$M230:$Z240,3),""),"")</f>
        <v>#REF!</v>
      </c>
      <c r="AD234" s="230" t="e">
        <f>IF($C$8=$N235,IF(AND($AD$148&gt;=25,$AD$148&lt;=45),VLOOKUP(MATCH($AD$148,$O230:$O240,1)+1,$M230:$Z240,5),""),"")</f>
        <v>#REF!</v>
      </c>
      <c r="AE234" s="230" t="e">
        <f>IF($C$8=$N235,IF(AND($AD$148&gt;=25,$AD$148&lt;=45),VLOOKUP(MATCH($AD$148,$O230:$O240,1)+1,$M230:$Z240,6),""),"")</f>
        <v>#REF!</v>
      </c>
      <c r="AF234" s="230" t="e">
        <f>IF($C$8=$N235,IF(AND($AD$148&gt;=25,$AD$148&lt;=45),VLOOKUP(MATCH($AD$148,$O230:$O240,1)+1,$M230:$Z240,7),""),"")</f>
        <v>#REF!</v>
      </c>
      <c r="AG234" s="230" t="e">
        <f>IF($C$8=$N235,IF(AND($AD$148&gt;=25,$AD$148&lt;=45),VLOOKUP(MATCH($AD$148,$O230:$O240,1)+1,$M230:$Z240,8),""),"")</f>
        <v>#REF!</v>
      </c>
      <c r="AH234" s="230" t="e">
        <f>IF($C$8=$N235,IF(AND($AD$148&gt;=25,$AD$148&lt;=45),VLOOKUP(MATCH($AD$148,$O230:$O240,1)+1,$M230:$Z240,9),""),"")</f>
        <v>#REF!</v>
      </c>
      <c r="AI234" s="230" t="e">
        <f>IF($C$8=$N235,IF(AND($AD$148&gt;=25,$AD$148&lt;=45),VLOOKUP(MATCH($AD$148,$O230:$O240,1)+1,$M230:$Z240,10),""),"")</f>
        <v>#REF!</v>
      </c>
      <c r="AJ234" s="230" t="e">
        <f>IF($C$8=$N235,IF(AND($AD$148&gt;=25,$AD$148&lt;=45),VLOOKUP(MATCH($AD$148,$O230:$O240,1)+1,$M230:$Z240,11),""),"")</f>
        <v>#REF!</v>
      </c>
      <c r="AK234" s="230" t="e">
        <f>IF($C$8=$N235,IF(AND($AD$148&gt;=25,$AD$148&lt;=45),VLOOKUP(MATCH($AD$148,$O230:$O240,1)+1,$M230:$Z240,12),""),"")</f>
        <v>#REF!</v>
      </c>
      <c r="AL234" s="230" t="e">
        <f>IF($C$8=$N235,IF(AND($AD$148&gt;=25,$AD$148&lt;=45),VLOOKUP(MATCH($AD$148,$O230:$O240,1)+1,$M230:$Z240,13),""),"")</f>
        <v>#REF!</v>
      </c>
      <c r="AM234" s="231" t="e">
        <f>IF($C$8=$N235,IF(AND($AD$148&gt;=25,$AD$148&lt;=45),VLOOKUP(MATCH($AD$148,$O230:$O240,1)+1,$M230:$Z240,14),""),"")</f>
        <v>#REF!</v>
      </c>
    </row>
    <row r="235" spans="13:39" x14ac:dyDescent="0.2">
      <c r="M235" s="200">
        <v>6</v>
      </c>
      <c r="N235" s="21">
        <v>130</v>
      </c>
      <c r="O235" s="235">
        <v>25</v>
      </c>
      <c r="P235" s="235">
        <v>1</v>
      </c>
      <c r="Q235" s="236">
        <v>33.6</v>
      </c>
      <c r="R235" s="237">
        <v>5.4</v>
      </c>
      <c r="S235" s="237">
        <v>24.3</v>
      </c>
      <c r="T235" s="238">
        <v>5.5</v>
      </c>
      <c r="U235" s="236">
        <v>-14.9</v>
      </c>
      <c r="V235" s="237">
        <v>-20.399999999999999</v>
      </c>
      <c r="W235" s="237">
        <v>-10.8</v>
      </c>
      <c r="X235" s="239">
        <v>-16.399999999999999</v>
      </c>
      <c r="Y235" s="236">
        <v>-27.8</v>
      </c>
      <c r="Z235" s="238">
        <v>-23.7</v>
      </c>
      <c r="AA235" s="218">
        <v>83</v>
      </c>
      <c r="AB235" s="229"/>
      <c r="AC235" s="230" t="e">
        <f>IF($C$8=$N235,IF(AND($AD$148&gt;=25,$AD$148&lt;=45),VLOOKUP(MATCH($AD$148,$O230:$O240,1)+IF($AD$148&lt;25,1,2),$M230:$Z240,3),""),"")</f>
        <v>#REF!</v>
      </c>
      <c r="AD235" s="230" t="e">
        <f>IF($C$8=$N235,IF(AND($AD$148&gt;=25,$AD$148&lt;=45),VLOOKUP(MATCH($AD$148,$O230:$O240,1)+1+IF($AD$148&lt;25,1,2),$M230:$Z240,5),""),"")</f>
        <v>#REF!</v>
      </c>
      <c r="AE235" s="230" t="e">
        <f>IF($C$8=$N235,IF(AND($AD$148&gt;=25,$AD$148&lt;=45),VLOOKUP(MATCH($AD$148,$O230:$O240,1)+1+IF($AD$148&lt;25,1,2),$M230:$Z240,6),""),"")</f>
        <v>#REF!</v>
      </c>
      <c r="AF235" s="230" t="e">
        <f>IF($C$8=$N235,IF(AND($AD$148&gt;=25,$AD$148&lt;=45),VLOOKUP(MATCH($AD$148,$O230:$O240,1)+1+IF($AD$148&lt;25,1,2),$M230:$Z240,7),""),"")</f>
        <v>#REF!</v>
      </c>
      <c r="AG235" s="230" t="e">
        <f>IF($C$8=$N235,IF(AND($AD$148&gt;=25,$AD$148&lt;=45),VLOOKUP(MATCH($AD$148,$O230:$O240,1)+1+IF($AD$148&lt;25,1,2),$M230:$Z240,8),""),"")</f>
        <v>#REF!</v>
      </c>
      <c r="AH235" s="230" t="e">
        <f>IF($C$8=$N235,IF(AND($AD$148&gt;=25,$AD$148&lt;=45),VLOOKUP(MATCH($AD$148,$O230:$O240,1)+1+IF($AD$148&lt;25,1,2),$M230:$Z240,9),""),"")</f>
        <v>#REF!</v>
      </c>
      <c r="AI235" s="230" t="e">
        <f>IF($C$8=$N235,IF(AND($AD$148&gt;=25,$AD$148&lt;=45),VLOOKUP(MATCH($AD$148,$O230:$O240,1)+1+IF($AD$148&lt;25,1,2),$M230:$Z240,10),""),"")</f>
        <v>#REF!</v>
      </c>
      <c r="AJ235" s="230" t="e">
        <f>IF($C$8=$N235,IF(AND($AD$148&gt;=25,$AD$148&lt;=45),VLOOKUP(MATCH($AD$148,$O230:$O240,1)+1+IF($AD$148&lt;25,1,2),$M230:$Z240,11),""),"")</f>
        <v>#REF!</v>
      </c>
      <c r="AK235" s="230" t="e">
        <f>IF($C$8=$N235,IF(AND($AD$148&gt;=25,$AD$148&lt;=45),VLOOKUP(MATCH($AD$148,$O230:$O240,1)+1+IF($AD$148&lt;25,1,2),$M230:$Z240,12),""),"")</f>
        <v>#REF!</v>
      </c>
      <c r="AL235" s="230" t="e">
        <f>IF($C$8=$N235,IF(AND($AD$148&gt;=25,$AD$148&lt;=45),VLOOKUP(MATCH($AD$148,$O230:$O240,1)+1+IF($AD$148&lt;25,1,2),$M230:$Z240,13),""),"")</f>
        <v>#REF!</v>
      </c>
      <c r="AM235" s="231" t="e">
        <f>IF($C$8=$N235,IF(AND($AD$148&gt;=25,$AD$148&lt;=45),VLOOKUP(MATCH($AD$148,$O230:$O240,1)+1+IF($AD$148&lt;25,1,2),$M230:$Z240,14),""),"")</f>
        <v>#REF!</v>
      </c>
    </row>
    <row r="236" spans="13:39" x14ac:dyDescent="0.2">
      <c r="M236" s="200">
        <v>7</v>
      </c>
      <c r="N236" s="21"/>
      <c r="O236" s="210"/>
      <c r="P236" s="210">
        <v>2</v>
      </c>
      <c r="Q236" s="240">
        <v>0</v>
      </c>
      <c r="R236" s="241">
        <v>0</v>
      </c>
      <c r="S236" s="241">
        <v>0</v>
      </c>
      <c r="T236" s="242">
        <v>0</v>
      </c>
      <c r="U236" s="240">
        <v>-5.7</v>
      </c>
      <c r="V236" s="241">
        <v>-11.1</v>
      </c>
      <c r="W236" s="241">
        <v>-1.5</v>
      </c>
      <c r="X236" s="243">
        <v>-7.1</v>
      </c>
      <c r="Y236" s="240">
        <v>0</v>
      </c>
      <c r="Z236" s="242">
        <v>0</v>
      </c>
      <c r="AA236" s="218">
        <v>84</v>
      </c>
      <c r="AB236" s="229"/>
      <c r="AC236" s="230" t="e">
        <f>IF($C$8=$N235,IF(AND($AD$148&gt;=25,$AD$148&lt;=45),$AD$148,""),"")</f>
        <v>#REF!</v>
      </c>
      <c r="AD236" s="230" t="e">
        <f t="shared" ref="AD236:AM236" si="42">IF($C$8=$N235,IF(AND($AD$148&gt;=25,$AD$148&lt;=45),(AD235-AD234)*($AD$148-$AC234)/($AC235-$AC234)+AD234,""),"")</f>
        <v>#REF!</v>
      </c>
      <c r="AE236" s="230" t="e">
        <f t="shared" si="42"/>
        <v>#REF!</v>
      </c>
      <c r="AF236" s="230" t="e">
        <f t="shared" si="42"/>
        <v>#REF!</v>
      </c>
      <c r="AG236" s="230" t="e">
        <f t="shared" si="42"/>
        <v>#REF!</v>
      </c>
      <c r="AH236" s="230" t="e">
        <f t="shared" si="42"/>
        <v>#REF!</v>
      </c>
      <c r="AI236" s="230" t="e">
        <f t="shared" si="42"/>
        <v>#REF!</v>
      </c>
      <c r="AJ236" s="230" t="e">
        <f t="shared" si="42"/>
        <v>#REF!</v>
      </c>
      <c r="AK236" s="230" t="e">
        <f t="shared" si="42"/>
        <v>#REF!</v>
      </c>
      <c r="AL236" s="230" t="e">
        <f t="shared" si="42"/>
        <v>#REF!</v>
      </c>
      <c r="AM236" s="231" t="e">
        <f t="shared" si="42"/>
        <v>#REF!</v>
      </c>
    </row>
    <row r="237" spans="13:39" x14ac:dyDescent="0.2">
      <c r="M237" s="200">
        <v>8</v>
      </c>
      <c r="N237" s="21"/>
      <c r="O237" s="235">
        <v>30</v>
      </c>
      <c r="P237" s="235">
        <v>1</v>
      </c>
      <c r="Q237" s="236">
        <v>30.1</v>
      </c>
      <c r="R237" s="237">
        <v>20.6</v>
      </c>
      <c r="S237" s="237">
        <v>24</v>
      </c>
      <c r="T237" s="238">
        <v>16.5</v>
      </c>
      <c r="U237" s="236">
        <v>2.2999999999999998</v>
      </c>
      <c r="V237" s="237">
        <v>-18.3</v>
      </c>
      <c r="W237" s="237">
        <v>0.8</v>
      </c>
      <c r="X237" s="239">
        <v>-15.7</v>
      </c>
      <c r="Y237" s="236">
        <v>-10.6</v>
      </c>
      <c r="Z237" s="238">
        <v>-12.1</v>
      </c>
      <c r="AA237" s="218">
        <v>85</v>
      </c>
      <c r="AB237" s="270"/>
      <c r="AC237" s="552"/>
      <c r="AD237" s="552"/>
      <c r="AE237" s="552"/>
      <c r="AF237" s="552"/>
      <c r="AG237" s="552"/>
      <c r="AH237" s="552"/>
      <c r="AI237" s="552"/>
      <c r="AJ237" s="552"/>
      <c r="AK237" s="552"/>
      <c r="AL237" s="552"/>
      <c r="AM237" s="553"/>
    </row>
    <row r="238" spans="13:39" x14ac:dyDescent="0.2">
      <c r="M238" s="200">
        <v>9</v>
      </c>
      <c r="N238" s="249"/>
      <c r="O238" s="210"/>
      <c r="P238" s="210">
        <v>2</v>
      </c>
      <c r="Q238" s="240">
        <v>30.1</v>
      </c>
      <c r="R238" s="241">
        <v>20.6</v>
      </c>
      <c r="S238" s="241">
        <v>24</v>
      </c>
      <c r="T238" s="242">
        <v>16.5</v>
      </c>
      <c r="U238" s="240">
        <v>11.6</v>
      </c>
      <c r="V238" s="241">
        <v>-9</v>
      </c>
      <c r="W238" s="241">
        <v>10</v>
      </c>
      <c r="X238" s="243">
        <v>-6.4</v>
      </c>
      <c r="Y238" s="240">
        <v>-10.6</v>
      </c>
      <c r="Z238" s="242">
        <v>-12.1</v>
      </c>
      <c r="AA238" s="218">
        <v>86</v>
      </c>
      <c r="AB238" s="270"/>
      <c r="AC238" s="552"/>
      <c r="AD238" s="552"/>
      <c r="AE238" s="552"/>
      <c r="AF238" s="552"/>
      <c r="AG238" s="552"/>
      <c r="AH238" s="552"/>
      <c r="AI238" s="552"/>
      <c r="AJ238" s="552"/>
      <c r="AK238" s="552"/>
      <c r="AL238" s="552"/>
      <c r="AM238" s="553"/>
    </row>
    <row r="239" spans="13:39" x14ac:dyDescent="0.2">
      <c r="M239" s="200">
        <v>10</v>
      </c>
      <c r="N239" s="21"/>
      <c r="O239" s="235">
        <v>45</v>
      </c>
      <c r="P239" s="235">
        <v>1</v>
      </c>
      <c r="Q239" s="236">
        <v>30.1</v>
      </c>
      <c r="R239" s="237">
        <v>20.6</v>
      </c>
      <c r="S239" s="237">
        <v>24</v>
      </c>
      <c r="T239" s="238">
        <v>16.5</v>
      </c>
      <c r="U239" s="236">
        <v>2.2999999999999998</v>
      </c>
      <c r="V239" s="237">
        <v>-18.3</v>
      </c>
      <c r="W239" s="237">
        <v>0.8</v>
      </c>
      <c r="X239" s="239">
        <v>-15.7</v>
      </c>
      <c r="Y239" s="236">
        <v>-10.6</v>
      </c>
      <c r="Z239" s="238">
        <v>-12.1</v>
      </c>
      <c r="AA239" s="218">
        <v>87</v>
      </c>
      <c r="AB239" s="270"/>
      <c r="AC239" s="552"/>
      <c r="AD239" s="552"/>
      <c r="AE239" s="552"/>
      <c r="AF239" s="552"/>
      <c r="AG239" s="552"/>
      <c r="AH239" s="552"/>
      <c r="AI239" s="552"/>
      <c r="AJ239" s="552"/>
      <c r="AK239" s="552"/>
      <c r="AL239" s="552"/>
      <c r="AM239" s="553"/>
    </row>
    <row r="240" spans="13:39" x14ac:dyDescent="0.2">
      <c r="M240" s="200">
        <v>11</v>
      </c>
      <c r="N240" s="22"/>
      <c r="O240" s="250"/>
      <c r="P240" s="250">
        <v>2</v>
      </c>
      <c r="Q240" s="251">
        <v>30.1</v>
      </c>
      <c r="R240" s="252">
        <v>20.6</v>
      </c>
      <c r="S240" s="252">
        <v>24</v>
      </c>
      <c r="T240" s="253">
        <v>16.5</v>
      </c>
      <c r="U240" s="251">
        <v>11.6</v>
      </c>
      <c r="V240" s="252">
        <v>-9</v>
      </c>
      <c r="W240" s="252">
        <v>10</v>
      </c>
      <c r="X240" s="254">
        <v>-6.4</v>
      </c>
      <c r="Y240" s="251">
        <v>-10.6</v>
      </c>
      <c r="Z240" s="253">
        <v>-12.1</v>
      </c>
      <c r="AA240" s="218">
        <v>88</v>
      </c>
      <c r="AB240" s="271"/>
      <c r="AC240" s="555"/>
      <c r="AD240" s="555"/>
      <c r="AE240" s="555"/>
      <c r="AF240" s="555"/>
      <c r="AG240" s="555"/>
      <c r="AH240" s="555"/>
      <c r="AI240" s="555"/>
      <c r="AJ240" s="555"/>
      <c r="AK240" s="555"/>
      <c r="AL240" s="555"/>
      <c r="AM240" s="556"/>
    </row>
    <row r="241" spans="13:39" x14ac:dyDescent="0.2">
      <c r="M241" s="200">
        <v>1</v>
      </c>
      <c r="N241" s="197"/>
      <c r="O241" s="205">
        <v>0</v>
      </c>
      <c r="P241" s="205">
        <v>1</v>
      </c>
      <c r="Q241" s="206">
        <v>31.1</v>
      </c>
      <c r="R241" s="215">
        <v>-16.100000000000001</v>
      </c>
      <c r="S241" s="215">
        <v>20.6</v>
      </c>
      <c r="T241" s="216">
        <v>-9.6</v>
      </c>
      <c r="U241" s="206">
        <v>-37.299999999999997</v>
      </c>
      <c r="V241" s="215">
        <v>-21.2</v>
      </c>
      <c r="W241" s="215">
        <v>-26</v>
      </c>
      <c r="X241" s="217">
        <v>-16.399999999999999</v>
      </c>
      <c r="Y241" s="206">
        <v>-52.3</v>
      </c>
      <c r="Z241" s="216">
        <v>-40.9</v>
      </c>
      <c r="AA241" s="218">
        <v>89</v>
      </c>
      <c r="AB241" s="219"/>
      <c r="AC241" s="220" t="e">
        <f>IF($C$8=$N246,VLOOKUP(MATCH($AD$148,$O241:$O251,1),$M241:$Z251,3),"")</f>
        <v>#REF!</v>
      </c>
      <c r="AD241" s="220" t="e">
        <f>IF($C$8=$N246,VLOOKUP(MATCH($AD$148,$O241:$O251,1),$M241:$Z251,5),"")</f>
        <v>#REF!</v>
      </c>
      <c r="AE241" s="220" t="e">
        <f>IF($C$8=$N246,VLOOKUP(MATCH($AD$148,$O241:$O251,1),$M241:$Z251,6),"")</f>
        <v>#REF!</v>
      </c>
      <c r="AF241" s="220" t="e">
        <f>IF($C$8=$N246,VLOOKUP(MATCH($AD$148,$O241:$O251,1),$M241:$Z251,7),"")</f>
        <v>#REF!</v>
      </c>
      <c r="AG241" s="220" t="e">
        <f>IF($C$8=$N246,VLOOKUP(MATCH($AD$148,$O241:$O251,1),$M241:$Z251,8),"")</f>
        <v>#REF!</v>
      </c>
      <c r="AH241" s="220" t="e">
        <f>IF($C$8=$N246,VLOOKUP(MATCH($AD$148,$O241:$O251,1),$M241:$Z251,9),"")</f>
        <v>#REF!</v>
      </c>
      <c r="AI241" s="220" t="e">
        <f>IF($C$8=$N246,VLOOKUP(MATCH($AD$148,$O241:$O251,1),$M241:$Z251,10),"")</f>
        <v>#REF!</v>
      </c>
      <c r="AJ241" s="220" t="e">
        <f>IF($C$8=$N246,VLOOKUP(MATCH($AD$148,$O241:$O251,1),$M241:$Z251,11),"")</f>
        <v>#REF!</v>
      </c>
      <c r="AK241" s="220" t="e">
        <f>IF($C$8=$N246,VLOOKUP(MATCH($AD$148,$O241:$O251,1),$M241:$Z251,12),"")</f>
        <v>#REF!</v>
      </c>
      <c r="AL241" s="220" t="e">
        <f>IF($C$8=$N246,VLOOKUP(MATCH($AD$148,$O241:$O251,1),$M241:$Z251,13),"")</f>
        <v>#REF!</v>
      </c>
      <c r="AM241" s="221" t="e">
        <f>IF($C$8=$N246,VLOOKUP(MATCH($AD$148,$O241:$O251,1),$M241:$Z251,14),"")</f>
        <v>#REF!</v>
      </c>
    </row>
    <row r="242" spans="13:39" x14ac:dyDescent="0.2">
      <c r="M242" s="200">
        <v>2</v>
      </c>
      <c r="N242" s="21"/>
      <c r="O242" s="223">
        <v>5</v>
      </c>
      <c r="P242" s="223">
        <v>1</v>
      </c>
      <c r="Q242" s="211">
        <v>31.1</v>
      </c>
      <c r="R242" s="226">
        <v>-16.100000000000001</v>
      </c>
      <c r="S242" s="226">
        <v>20.6</v>
      </c>
      <c r="T242" s="227">
        <v>-9.6</v>
      </c>
      <c r="U242" s="211">
        <v>-37.299999999999997</v>
      </c>
      <c r="V242" s="226">
        <v>-21.2</v>
      </c>
      <c r="W242" s="226">
        <v>-26</v>
      </c>
      <c r="X242" s="228">
        <v>-16.399999999999999</v>
      </c>
      <c r="Y242" s="211">
        <v>-52.3</v>
      </c>
      <c r="Z242" s="227">
        <v>-40.9</v>
      </c>
      <c r="AA242" s="218">
        <v>90</v>
      </c>
      <c r="AB242" s="229"/>
      <c r="AC242" s="230" t="e">
        <f>IF($C$8=$N246,VLOOKUP(MATCH($AD$148,$O241:$O251,1)+IF($AD$148&lt;25,1,2),$M241:$Z251,3),"")</f>
        <v>#REF!</v>
      </c>
      <c r="AD242" s="230" t="e">
        <f>IF($C$8=$N246,VLOOKUP(MATCH($AD$148,$O241:$O251,1)+IF($AD$148&lt;25,1,2),$M241:$Z251,5),"")</f>
        <v>#REF!</v>
      </c>
      <c r="AE242" s="230" t="e">
        <f>IF($C$8=$N246,VLOOKUP(MATCH($AD$148,$O241:$O251,1)+IF($AD$148&lt;25,1,2),$M241:$Z251,6),"")</f>
        <v>#REF!</v>
      </c>
      <c r="AF242" s="230" t="e">
        <f>IF($C$8=$N246,VLOOKUP(MATCH($AD$148,$O241:$O251,1)+IF($AD$148&lt;25,1,2),$M241:$Z251,7),"")</f>
        <v>#REF!</v>
      </c>
      <c r="AG242" s="230" t="e">
        <f>IF($C$8=$N246,VLOOKUP(MATCH($AD$148,$O241:$O251,1)+IF($AD$148&lt;25,1,2),$M241:$Z251,8),"")</f>
        <v>#REF!</v>
      </c>
      <c r="AH242" s="230" t="e">
        <f>IF($C$8=$N246,VLOOKUP(MATCH($AD$148,$O241:$O251,1)+IF($AD$148&lt;25,1,2),$M241:$Z251,9),"")</f>
        <v>#REF!</v>
      </c>
      <c r="AI242" s="230" t="e">
        <f>IF($C$8=$N246,VLOOKUP(MATCH($AD$148,$O241:$O251,1)+IF($AD$148&lt;25,1,2),$M241:$Z251,10),"")</f>
        <v>#REF!</v>
      </c>
      <c r="AJ242" s="230" t="e">
        <f>IF($C$8=$N246,VLOOKUP(MATCH($AD$148,$O241:$O251,1)+IF($AD$148&lt;25,1,2),$M241:$Z251,11),"")</f>
        <v>#REF!</v>
      </c>
      <c r="AK242" s="230" t="e">
        <f>IF($C$8=$N246,VLOOKUP(MATCH($AD$148,$O241:$O251,1)+IF($AD$148&lt;25,1,2),$M241:$Z251,12),"")</f>
        <v>#REF!</v>
      </c>
      <c r="AL242" s="230" t="e">
        <f>IF($C$8=$N246,VLOOKUP(MATCH($AD$148,$O241:$O251,1)+IF($AD$148&lt;25,1,2),$M241:$Z251,13),"")</f>
        <v>#REF!</v>
      </c>
      <c r="AM242" s="231" t="e">
        <f>IF($C$8=$N246,VLOOKUP(MATCH($AD$148,$O241:$O251,1)+IF($AD$148&lt;25,1,2),$M241:$Z251,14),"")</f>
        <v>#REF!</v>
      </c>
    </row>
    <row r="243" spans="13:39" x14ac:dyDescent="0.2">
      <c r="M243" s="200">
        <v>3</v>
      </c>
      <c r="N243" s="21"/>
      <c r="O243" s="223">
        <v>10</v>
      </c>
      <c r="P243" s="223">
        <v>1</v>
      </c>
      <c r="Q243" s="211">
        <v>35.1</v>
      </c>
      <c r="R243" s="226">
        <v>-14.5</v>
      </c>
      <c r="S243" s="226">
        <v>23.3</v>
      </c>
      <c r="T243" s="227">
        <v>-8.5</v>
      </c>
      <c r="U243" s="211">
        <v>-37.299999999999997</v>
      </c>
      <c r="V243" s="226">
        <v>-22.8</v>
      </c>
      <c r="W243" s="226">
        <v>-26</v>
      </c>
      <c r="X243" s="228">
        <v>-17.5</v>
      </c>
      <c r="Y243" s="211">
        <v>-52.3</v>
      </c>
      <c r="Z243" s="227">
        <v>-40.9</v>
      </c>
      <c r="AA243" s="218">
        <v>91</v>
      </c>
      <c r="AB243" s="229" t="e">
        <f>IF($C$8=$N246,MATCH($AD$148,$O241:$O251,1),0)</f>
        <v>#REF!</v>
      </c>
      <c r="AC243" s="230" t="e">
        <f>IF($C$8=$N246,$AD$148,"")</f>
        <v>#REF!</v>
      </c>
      <c r="AD243" s="230" t="e">
        <f t="shared" ref="AD243:AM243" si="43">IF($C$8=$N246,(AD242-AD241)*($AD$148-$AC241)/($AC242-$AC241)+AD241,"")</f>
        <v>#REF!</v>
      </c>
      <c r="AE243" s="230" t="e">
        <f t="shared" si="43"/>
        <v>#REF!</v>
      </c>
      <c r="AF243" s="230" t="e">
        <f t="shared" si="43"/>
        <v>#REF!</v>
      </c>
      <c r="AG243" s="230" t="e">
        <f t="shared" si="43"/>
        <v>#REF!</v>
      </c>
      <c r="AH243" s="230" t="e">
        <f t="shared" si="43"/>
        <v>#REF!</v>
      </c>
      <c r="AI243" s="230" t="e">
        <f t="shared" si="43"/>
        <v>#REF!</v>
      </c>
      <c r="AJ243" s="230" t="e">
        <f t="shared" si="43"/>
        <v>#REF!</v>
      </c>
      <c r="AK243" s="230" t="e">
        <f t="shared" si="43"/>
        <v>#REF!</v>
      </c>
      <c r="AL243" s="230" t="e">
        <f t="shared" si="43"/>
        <v>#REF!</v>
      </c>
      <c r="AM243" s="231" t="e">
        <f t="shared" si="43"/>
        <v>#REF!</v>
      </c>
    </row>
    <row r="244" spans="13:39" x14ac:dyDescent="0.2">
      <c r="M244" s="200">
        <v>4</v>
      </c>
      <c r="N244" s="21"/>
      <c r="O244" s="223">
        <v>15</v>
      </c>
      <c r="P244" s="223">
        <v>1</v>
      </c>
      <c r="Q244" s="211">
        <v>39</v>
      </c>
      <c r="R244" s="226">
        <v>-12.9</v>
      </c>
      <c r="S244" s="226">
        <v>26</v>
      </c>
      <c r="T244" s="227">
        <v>-7.4</v>
      </c>
      <c r="U244" s="211">
        <v>-37.299999999999997</v>
      </c>
      <c r="V244" s="226">
        <v>-24.4</v>
      </c>
      <c r="W244" s="226">
        <v>-26</v>
      </c>
      <c r="X244" s="228">
        <v>-18.600000000000001</v>
      </c>
      <c r="Y244" s="211">
        <v>-52.3</v>
      </c>
      <c r="Z244" s="227">
        <v>-40.9</v>
      </c>
      <c r="AA244" s="218">
        <v>92</v>
      </c>
      <c r="AB244" s="229"/>
      <c r="AC244" s="230"/>
      <c r="AD244" s="552"/>
      <c r="AE244" s="552"/>
      <c r="AF244" s="552"/>
      <c r="AG244" s="552"/>
      <c r="AH244" s="552"/>
      <c r="AI244" s="552"/>
      <c r="AJ244" s="552"/>
      <c r="AK244" s="552"/>
      <c r="AL244" s="552"/>
      <c r="AM244" s="553"/>
    </row>
    <row r="245" spans="13:39" x14ac:dyDescent="0.2">
      <c r="M245" s="200">
        <v>5</v>
      </c>
      <c r="N245" s="21"/>
      <c r="O245" s="223">
        <v>20</v>
      </c>
      <c r="P245" s="223">
        <v>1</v>
      </c>
      <c r="Q245" s="211">
        <v>43</v>
      </c>
      <c r="R245" s="226">
        <v>-11.4</v>
      </c>
      <c r="S245" s="226">
        <v>28.7</v>
      </c>
      <c r="T245" s="227">
        <v>-6.3</v>
      </c>
      <c r="U245" s="211">
        <v>-37.299999999999997</v>
      </c>
      <c r="V245" s="226">
        <v>-26</v>
      </c>
      <c r="W245" s="226">
        <v>-26</v>
      </c>
      <c r="X245" s="228">
        <v>-19.7</v>
      </c>
      <c r="Y245" s="211">
        <v>-52.3</v>
      </c>
      <c r="Z245" s="227">
        <v>-40.9</v>
      </c>
      <c r="AA245" s="218">
        <v>92</v>
      </c>
      <c r="AB245" s="229"/>
      <c r="AC245" s="230" t="e">
        <f>IF($C$8=$N246,IF(AND($AD$148&gt;=25,$AD$148&lt;=45),VLOOKUP(MATCH($AD$148,$O241:$O251,1),$M241:$Z251,3),""),"")</f>
        <v>#REF!</v>
      </c>
      <c r="AD245" s="230" t="e">
        <f>IF($C$8=$N246,IF(AND($AD$148&gt;=25,$AD$148&lt;=45),VLOOKUP(MATCH($AD$148,$O241:$O251,1)+1,$M241:$Z251,5),""),"")</f>
        <v>#REF!</v>
      </c>
      <c r="AE245" s="230" t="e">
        <f>IF($C$8=$N246,IF(AND($AD$148&gt;=25,$AD$148&lt;=45),VLOOKUP(MATCH($AD$148,$O241:$O251,1)+1,$M241:$Z251,6),""),"")</f>
        <v>#REF!</v>
      </c>
      <c r="AF245" s="230" t="e">
        <f>IF($C$8=$N246,IF(AND($AD$148&gt;=25,$AD$148&lt;=45),VLOOKUP(MATCH($AD$148,$O241:$O251,1)+1,$M241:$Z251,7),""),"")</f>
        <v>#REF!</v>
      </c>
      <c r="AG245" s="230" t="e">
        <f>IF($C$8=$N246,IF(AND($AD$148&gt;=25,$AD$148&lt;=45),VLOOKUP(MATCH($AD$148,$O241:$O251,1)+1,$M241:$Z251,8),""),"")</f>
        <v>#REF!</v>
      </c>
      <c r="AH245" s="230" t="e">
        <f>IF($C$8=$N246,IF(AND($AD$148&gt;=25,$AD$148&lt;=45),VLOOKUP(MATCH($AD$148,$O241:$O251,1)+1,$M241:$Z251,9),""),"")</f>
        <v>#REF!</v>
      </c>
      <c r="AI245" s="230" t="e">
        <f>IF($C$8=$N246,IF(AND($AD$148&gt;=25,$AD$148&lt;=45),VLOOKUP(MATCH($AD$148,$O241:$O251,1)+1,$M241:$Z251,10),""),"")</f>
        <v>#REF!</v>
      </c>
      <c r="AJ245" s="230" t="e">
        <f>IF($C$8=$N246,IF(AND($AD$148&gt;=25,$AD$148&lt;=45),VLOOKUP(MATCH($AD$148,$O241:$O251,1)+1,$M241:$Z251,11),""),"")</f>
        <v>#REF!</v>
      </c>
      <c r="AK245" s="230" t="e">
        <f>IF($C$8=$N246,IF(AND($AD$148&gt;=25,$AD$148&lt;=45),VLOOKUP(MATCH($AD$148,$O241:$O251,1)+1,$M241:$Z251,12),""),"")</f>
        <v>#REF!</v>
      </c>
      <c r="AL245" s="230" t="e">
        <f>IF($C$8=$N246,IF(AND($AD$148&gt;=25,$AD$148&lt;=45),VLOOKUP(MATCH($AD$148,$O241:$O251,1)+1,$M241:$Z251,13),""),"")</f>
        <v>#REF!</v>
      </c>
      <c r="AM245" s="231" t="e">
        <f>IF($C$8=$N246,IF(AND($AD$148&gt;=25,$AD$148&lt;=45),VLOOKUP(MATCH($AD$148,$O241:$O251,1)+1,$M241:$Z251,14),""),"")</f>
        <v>#REF!</v>
      </c>
    </row>
    <row r="246" spans="13:39" x14ac:dyDescent="0.2">
      <c r="M246" s="200">
        <v>6</v>
      </c>
      <c r="N246" s="21">
        <v>140</v>
      </c>
      <c r="O246" s="235">
        <v>25</v>
      </c>
      <c r="P246" s="235">
        <v>1</v>
      </c>
      <c r="Q246" s="236">
        <v>39</v>
      </c>
      <c r="R246" s="237">
        <v>6.3</v>
      </c>
      <c r="S246" s="237">
        <v>28.2</v>
      </c>
      <c r="T246" s="238">
        <v>6.4</v>
      </c>
      <c r="U246" s="236">
        <v>-17.3</v>
      </c>
      <c r="V246" s="237">
        <v>-23.6</v>
      </c>
      <c r="W246" s="237">
        <v>-12.5</v>
      </c>
      <c r="X246" s="239">
        <v>-19</v>
      </c>
      <c r="Y246" s="236">
        <v>-32.299999999999997</v>
      </c>
      <c r="Z246" s="238">
        <v>-27.5</v>
      </c>
      <c r="AA246" s="218">
        <v>94</v>
      </c>
      <c r="AB246" s="229"/>
      <c r="AC246" s="230" t="e">
        <f>IF($C$8=$N246,IF(AND($AD$148&gt;=25,$AD$148&lt;=45),VLOOKUP(MATCH($AD$148,$O241:$O251,1)+IF($AD$148&lt;25,1,2),$M241:$Z251,3),""),"")</f>
        <v>#REF!</v>
      </c>
      <c r="AD246" s="230" t="e">
        <f>IF($C$8=$N246,IF(AND($AD$148&gt;=25,$AD$148&lt;=45),VLOOKUP(MATCH($AD$148,$O241:$O251,1)+1+IF($AD$148&lt;25,1,2),$M241:$Z251,5),""),"")</f>
        <v>#REF!</v>
      </c>
      <c r="AE246" s="230" t="e">
        <f>IF($C$8=$N246,IF(AND($AD$148&gt;=25,$AD$148&lt;=45),VLOOKUP(MATCH($AD$148,$O241:$O251,1)+1+IF($AD$148&lt;25,1,2),$M241:$Z251,6),""),"")</f>
        <v>#REF!</v>
      </c>
      <c r="AF246" s="230" t="e">
        <f>IF($C$8=$N246,IF(AND($AD$148&gt;=25,$AD$148&lt;=45),VLOOKUP(MATCH($AD$148,$O241:$O251,1)+1+IF($AD$148&lt;25,1,2),$M241:$Z251,7),""),"")</f>
        <v>#REF!</v>
      </c>
      <c r="AG246" s="230" t="e">
        <f>IF($C$8=$N246,IF(AND($AD$148&gt;=25,$AD$148&lt;=45),VLOOKUP(MATCH($AD$148,$O241:$O251,1)+1+IF($AD$148&lt;25,1,2),$M241:$Z251,8),""),"")</f>
        <v>#REF!</v>
      </c>
      <c r="AH246" s="230" t="e">
        <f>IF($C$8=$N246,IF(AND($AD$148&gt;=25,$AD$148&lt;=45),VLOOKUP(MATCH($AD$148,$O241:$O251,1)+1+IF($AD$148&lt;25,1,2),$M241:$Z251,9),""),"")</f>
        <v>#REF!</v>
      </c>
      <c r="AI246" s="230" t="e">
        <f>IF($C$8=$N246,IF(AND($AD$148&gt;=25,$AD$148&lt;=45),VLOOKUP(MATCH($AD$148,$O241:$O251,1)+1+IF($AD$148&lt;25,1,2),$M241:$Z251,10),""),"")</f>
        <v>#REF!</v>
      </c>
      <c r="AJ246" s="230" t="e">
        <f>IF($C$8=$N246,IF(AND($AD$148&gt;=25,$AD$148&lt;=45),VLOOKUP(MATCH($AD$148,$O241:$O251,1)+1+IF($AD$148&lt;25,1,2),$M241:$Z251,11),""),"")</f>
        <v>#REF!</v>
      </c>
      <c r="AK246" s="230" t="e">
        <f>IF($C$8=$N246,IF(AND($AD$148&gt;=25,$AD$148&lt;=45),VLOOKUP(MATCH($AD$148,$O241:$O251,1)+1+IF($AD$148&lt;25,1,2),$M241:$Z251,12),""),"")</f>
        <v>#REF!</v>
      </c>
      <c r="AL246" s="230" t="e">
        <f>IF($C$8=$N246,IF(AND($AD$148&gt;=25,$AD$148&lt;=45),VLOOKUP(MATCH($AD$148,$O241:$O251,1)+1+IF($AD$148&lt;25,1,2),$M241:$Z251,13),""),"")</f>
        <v>#REF!</v>
      </c>
      <c r="AM246" s="231" t="e">
        <f>IF($C$8=$N246,IF(AND($AD$148&gt;=25,$AD$148&lt;=45),VLOOKUP(MATCH($AD$148,$O241:$O251,1)+1+IF($AD$148&lt;25,1,2),$M241:$Z251,14),""),"")</f>
        <v>#REF!</v>
      </c>
    </row>
    <row r="247" spans="13:39" x14ac:dyDescent="0.2">
      <c r="M247" s="200">
        <v>7</v>
      </c>
      <c r="N247" s="21"/>
      <c r="O247" s="210"/>
      <c r="P247" s="210">
        <v>2</v>
      </c>
      <c r="Q247" s="240">
        <v>0</v>
      </c>
      <c r="R247" s="241">
        <v>0</v>
      </c>
      <c r="S247" s="241">
        <v>0</v>
      </c>
      <c r="T247" s="242">
        <v>0</v>
      </c>
      <c r="U247" s="240">
        <v>-6.6</v>
      </c>
      <c r="V247" s="241">
        <v>-12.8</v>
      </c>
      <c r="W247" s="241">
        <v>-1.8</v>
      </c>
      <c r="X247" s="243">
        <v>-8.1999999999999993</v>
      </c>
      <c r="Y247" s="240">
        <v>0</v>
      </c>
      <c r="Z247" s="242">
        <v>0</v>
      </c>
      <c r="AA247" s="218">
        <v>95</v>
      </c>
      <c r="AB247" s="229"/>
      <c r="AC247" s="230" t="e">
        <f>IF($C$8=$N246,IF(AND($AD$148&gt;=25,$AD$148&lt;=45),$AD$148,""),"")</f>
        <v>#REF!</v>
      </c>
      <c r="AD247" s="230" t="e">
        <f t="shared" ref="AD247:AM247" si="44">IF($C$8=$N246,IF(AND($AD$148&gt;=25,$AD$148&lt;=45),(AD246-AD245)*($AD$148-$AC245)/($AC246-$AC245)+AD245,""),"")</f>
        <v>#REF!</v>
      </c>
      <c r="AE247" s="230" t="e">
        <f t="shared" si="44"/>
        <v>#REF!</v>
      </c>
      <c r="AF247" s="230" t="e">
        <f t="shared" si="44"/>
        <v>#REF!</v>
      </c>
      <c r="AG247" s="230" t="e">
        <f t="shared" si="44"/>
        <v>#REF!</v>
      </c>
      <c r="AH247" s="230" t="e">
        <f t="shared" si="44"/>
        <v>#REF!</v>
      </c>
      <c r="AI247" s="230" t="e">
        <f t="shared" si="44"/>
        <v>#REF!</v>
      </c>
      <c r="AJ247" s="230" t="e">
        <f t="shared" si="44"/>
        <v>#REF!</v>
      </c>
      <c r="AK247" s="230" t="e">
        <f t="shared" si="44"/>
        <v>#REF!</v>
      </c>
      <c r="AL247" s="230" t="e">
        <f t="shared" si="44"/>
        <v>#REF!</v>
      </c>
      <c r="AM247" s="231" t="e">
        <f t="shared" si="44"/>
        <v>#REF!</v>
      </c>
    </row>
    <row r="248" spans="13:39" x14ac:dyDescent="0.2">
      <c r="M248" s="200">
        <v>8</v>
      </c>
      <c r="N248" s="21"/>
      <c r="O248" s="235">
        <v>30</v>
      </c>
      <c r="P248" s="235">
        <v>1</v>
      </c>
      <c r="Q248" s="236">
        <v>35</v>
      </c>
      <c r="R248" s="237">
        <v>23.9</v>
      </c>
      <c r="S248" s="237">
        <v>27.8</v>
      </c>
      <c r="T248" s="238">
        <v>19.100000000000001</v>
      </c>
      <c r="U248" s="236">
        <v>2.7</v>
      </c>
      <c r="V248" s="237">
        <v>-21.2</v>
      </c>
      <c r="W248" s="237">
        <v>0.9</v>
      </c>
      <c r="X248" s="239">
        <v>-18.2</v>
      </c>
      <c r="Y248" s="236">
        <v>-12.3</v>
      </c>
      <c r="Z248" s="238">
        <v>-14</v>
      </c>
      <c r="AA248" s="218">
        <v>96</v>
      </c>
      <c r="AB248" s="270"/>
      <c r="AC248" s="552"/>
      <c r="AD248" s="552"/>
      <c r="AE248" s="552"/>
      <c r="AF248" s="552"/>
      <c r="AG248" s="552"/>
      <c r="AH248" s="552"/>
      <c r="AI248" s="552"/>
      <c r="AJ248" s="552"/>
      <c r="AK248" s="552"/>
      <c r="AL248" s="552"/>
      <c r="AM248" s="553"/>
    </row>
    <row r="249" spans="13:39" x14ac:dyDescent="0.2">
      <c r="M249" s="200">
        <v>9</v>
      </c>
      <c r="N249" s="249"/>
      <c r="O249" s="210"/>
      <c r="P249" s="210">
        <v>2</v>
      </c>
      <c r="Q249" s="240">
        <v>35</v>
      </c>
      <c r="R249" s="241">
        <v>23.9</v>
      </c>
      <c r="S249" s="241">
        <v>27.8</v>
      </c>
      <c r="T249" s="242">
        <v>19.100000000000001</v>
      </c>
      <c r="U249" s="240">
        <v>13.4</v>
      </c>
      <c r="V249" s="241">
        <v>-10.5</v>
      </c>
      <c r="W249" s="241">
        <v>11.7</v>
      </c>
      <c r="X249" s="243">
        <v>-7.5</v>
      </c>
      <c r="Y249" s="240">
        <v>-12.3</v>
      </c>
      <c r="Z249" s="242">
        <v>-14</v>
      </c>
      <c r="AA249" s="218">
        <v>97</v>
      </c>
      <c r="AB249" s="270"/>
      <c r="AC249" s="552"/>
      <c r="AD249" s="552"/>
      <c r="AE249" s="552"/>
      <c r="AF249" s="552"/>
      <c r="AG249" s="552"/>
      <c r="AH249" s="552"/>
      <c r="AI249" s="552"/>
      <c r="AJ249" s="552"/>
      <c r="AK249" s="552"/>
      <c r="AL249" s="552"/>
      <c r="AM249" s="553"/>
    </row>
    <row r="250" spans="13:39" x14ac:dyDescent="0.2">
      <c r="M250" s="200">
        <v>10</v>
      </c>
      <c r="N250" s="21"/>
      <c r="O250" s="235">
        <v>45</v>
      </c>
      <c r="P250" s="235">
        <v>1</v>
      </c>
      <c r="Q250" s="236">
        <v>35</v>
      </c>
      <c r="R250" s="237">
        <v>23.9</v>
      </c>
      <c r="S250" s="237">
        <v>27.8</v>
      </c>
      <c r="T250" s="238">
        <v>19.100000000000001</v>
      </c>
      <c r="U250" s="236">
        <v>2.7</v>
      </c>
      <c r="V250" s="237">
        <v>-21.2</v>
      </c>
      <c r="W250" s="237">
        <v>0.9</v>
      </c>
      <c r="X250" s="239">
        <v>-18.2</v>
      </c>
      <c r="Y250" s="236">
        <v>-12.3</v>
      </c>
      <c r="Z250" s="238">
        <v>-14</v>
      </c>
      <c r="AA250" s="218">
        <v>98</v>
      </c>
      <c r="AB250" s="270"/>
      <c r="AC250" s="552"/>
      <c r="AD250" s="552"/>
      <c r="AE250" s="552"/>
      <c r="AF250" s="552"/>
      <c r="AG250" s="552"/>
      <c r="AH250" s="552"/>
      <c r="AI250" s="552"/>
      <c r="AJ250" s="552"/>
      <c r="AK250" s="552"/>
      <c r="AL250" s="552"/>
      <c r="AM250" s="553"/>
    </row>
    <row r="251" spans="13:39" x14ac:dyDescent="0.2">
      <c r="M251" s="200">
        <v>11</v>
      </c>
      <c r="N251" s="22"/>
      <c r="O251" s="250"/>
      <c r="P251" s="250">
        <v>2</v>
      </c>
      <c r="Q251" s="251">
        <v>35</v>
      </c>
      <c r="R251" s="252">
        <v>23.9</v>
      </c>
      <c r="S251" s="252">
        <v>27.8</v>
      </c>
      <c r="T251" s="253">
        <v>19.100000000000001</v>
      </c>
      <c r="U251" s="251">
        <v>13.4</v>
      </c>
      <c r="V251" s="252">
        <v>-10.5</v>
      </c>
      <c r="W251" s="252">
        <v>11.7</v>
      </c>
      <c r="X251" s="254">
        <v>-7.5</v>
      </c>
      <c r="Y251" s="251">
        <v>-12.3</v>
      </c>
      <c r="Z251" s="253">
        <v>-14</v>
      </c>
      <c r="AA251" s="218">
        <v>99</v>
      </c>
      <c r="AB251" s="271"/>
      <c r="AC251" s="555"/>
      <c r="AD251" s="555"/>
      <c r="AE251" s="555"/>
      <c r="AF251" s="555"/>
      <c r="AG251" s="555"/>
      <c r="AH251" s="555"/>
      <c r="AI251" s="555"/>
      <c r="AJ251" s="555"/>
      <c r="AK251" s="555"/>
      <c r="AL251" s="555"/>
      <c r="AM251" s="556"/>
    </row>
    <row r="252" spans="13:39" x14ac:dyDescent="0.2">
      <c r="M252" s="200">
        <v>1</v>
      </c>
      <c r="N252" s="26"/>
      <c r="O252" s="514">
        <v>0</v>
      </c>
      <c r="P252" s="514">
        <v>1</v>
      </c>
      <c r="Q252" s="515">
        <v>33.4</v>
      </c>
      <c r="R252" s="516">
        <v>-17.3</v>
      </c>
      <c r="S252" s="516">
        <v>22.1</v>
      </c>
      <c r="T252" s="517">
        <v>-10.3</v>
      </c>
      <c r="U252" s="515">
        <v>-40</v>
      </c>
      <c r="V252" s="516">
        <v>-22.7</v>
      </c>
      <c r="W252" s="516">
        <v>-27.9</v>
      </c>
      <c r="X252" s="518">
        <v>-17.600000000000001</v>
      </c>
      <c r="Y252" s="515">
        <v>-56.1</v>
      </c>
      <c r="Z252" s="517">
        <v>-43.9</v>
      </c>
      <c r="AA252" s="201">
        <v>100</v>
      </c>
      <c r="AB252" s="519"/>
      <c r="AC252" s="520" t="e">
        <f>IF($C$8=$N257,VLOOKUP(MATCH($AD$148,$O252:$O262,1),$M252:$Z262,3),"")</f>
        <v>#REF!</v>
      </c>
      <c r="AD252" s="520" t="e">
        <f>IF($C$8=$N257,VLOOKUP(MATCH($AD$148,$O252:$O262,1),$M252:$Z262,5),"")</f>
        <v>#REF!</v>
      </c>
      <c r="AE252" s="520" t="e">
        <f>IF($C$8=$N257,VLOOKUP(MATCH($AD$148,$O252:$O262,1),$M252:$Z262,6),"")</f>
        <v>#REF!</v>
      </c>
      <c r="AF252" s="520" t="e">
        <f>IF($C$8=$N257,VLOOKUP(MATCH($AD$148,$O252:$O262,1),$M252:$Z262,7),"")</f>
        <v>#REF!</v>
      </c>
      <c r="AG252" s="520" t="e">
        <f>IF($C$8=$N257,VLOOKUP(MATCH($AD$148,$O252:$O262,1),$M252:$Z262,8),"")</f>
        <v>#REF!</v>
      </c>
      <c r="AH252" s="520" t="e">
        <f>IF($C$8=$N257,VLOOKUP(MATCH($AD$148,$O252:$O262,1),$M252:$Z262,9),"")</f>
        <v>#REF!</v>
      </c>
      <c r="AI252" s="520" t="e">
        <f>IF($C$8=$N257,VLOOKUP(MATCH($AD$148,$O252:$O262,1),$M252:$Z262,10),"")</f>
        <v>#REF!</v>
      </c>
      <c r="AJ252" s="520" t="e">
        <f>IF($C$8=$N257,VLOOKUP(MATCH($AD$148,$O252:$O262,1),$M252:$Z262,11),"")</f>
        <v>#REF!</v>
      </c>
      <c r="AK252" s="520" t="e">
        <f>IF($C$8=$N257,VLOOKUP(MATCH($AD$148,$O252:$O262,1),$M252:$Z262,12),"")</f>
        <v>#REF!</v>
      </c>
      <c r="AL252" s="520" t="e">
        <f>IF($C$8=$N257,VLOOKUP(MATCH($AD$148,$O252:$O262,1),$M252:$Z262,13),"")</f>
        <v>#REF!</v>
      </c>
      <c r="AM252" s="521" t="e">
        <f>IF($C$8=$N257,VLOOKUP(MATCH($AD$148,$O252:$O262,1),$M252:$Z262,14),"")</f>
        <v>#REF!</v>
      </c>
    </row>
    <row r="253" spans="13:39" x14ac:dyDescent="0.2">
      <c r="M253" s="200">
        <v>2</v>
      </c>
      <c r="N253" s="28"/>
      <c r="O253" s="522">
        <v>5</v>
      </c>
      <c r="P253" s="522">
        <v>1</v>
      </c>
      <c r="Q253" s="523">
        <v>33.4</v>
      </c>
      <c r="R253" s="524">
        <v>-17.3</v>
      </c>
      <c r="S253" s="524">
        <v>22.1</v>
      </c>
      <c r="T253" s="525">
        <v>-10.3</v>
      </c>
      <c r="U253" s="523">
        <v>-40</v>
      </c>
      <c r="V253" s="524">
        <v>-22.7</v>
      </c>
      <c r="W253" s="524">
        <v>-27.9</v>
      </c>
      <c r="X253" s="526">
        <v>-17.600000000000001</v>
      </c>
      <c r="Y253" s="523">
        <v>-56.1</v>
      </c>
      <c r="Z253" s="525">
        <v>-43.9</v>
      </c>
      <c r="AA253" s="201">
        <v>101</v>
      </c>
      <c r="AB253" s="527"/>
      <c r="AC253" s="528" t="e">
        <f>IF($C$8=$N257,VLOOKUP(MATCH($AD$148,$O252:$O262,1)+IF($AD$148&lt;25,1,2),$M252:$Z262,3),"")</f>
        <v>#REF!</v>
      </c>
      <c r="AD253" s="528" t="e">
        <f>IF($C$8=$N257,VLOOKUP(MATCH($AD$148,$O252:$O262,1)+IF($AD$148&lt;25,1,2),$M252:$Z262,5),"")</f>
        <v>#REF!</v>
      </c>
      <c r="AE253" s="528" t="e">
        <f>IF($C$8=$N257,VLOOKUP(MATCH($AD$148,$O252:$O262,1)+IF($AD$148&lt;25,1,2),$M252:$Z262,6),"")</f>
        <v>#REF!</v>
      </c>
      <c r="AF253" s="528" t="e">
        <f>IF($C$8=$N257,VLOOKUP(MATCH($AD$148,$O252:$O262,1)+IF($AD$148&lt;25,1,2),$M252:$Z262,7),"")</f>
        <v>#REF!</v>
      </c>
      <c r="AG253" s="528" t="e">
        <f>IF($C$8=$N257,VLOOKUP(MATCH($AD$148,$O252:$O262,1)+IF($AD$148&lt;25,1,2),$M252:$Z262,8),"")</f>
        <v>#REF!</v>
      </c>
      <c r="AH253" s="528" t="e">
        <f>IF($C$8=$N257,VLOOKUP(MATCH($AD$148,$O252:$O262,1)+IF($AD$148&lt;25,1,2),$M252:$Z262,9),"")</f>
        <v>#REF!</v>
      </c>
      <c r="AI253" s="528" t="e">
        <f>IF($C$8=$N257,VLOOKUP(MATCH($AD$148,$O252:$O262,1)+IF($AD$148&lt;25,1,2),$M252:$Z262,10),"")</f>
        <v>#REF!</v>
      </c>
      <c r="AJ253" s="528" t="e">
        <f>IF($C$8=$N257,VLOOKUP(MATCH($AD$148,$O252:$O262,1)+IF($AD$148&lt;25,1,2),$M252:$Z262,11),"")</f>
        <v>#REF!</v>
      </c>
      <c r="AK253" s="528" t="e">
        <f>IF($C$8=$N257,VLOOKUP(MATCH($AD$148,$O252:$O262,1)+IF($AD$148&lt;25,1,2),$M252:$Z262,12),"")</f>
        <v>#REF!</v>
      </c>
      <c r="AL253" s="528" t="e">
        <f>IF($C$8=$N257,VLOOKUP(MATCH($AD$148,$O252:$O262,1)+IF($AD$148&lt;25,1,2),$M252:$Z262,13),"")</f>
        <v>#REF!</v>
      </c>
      <c r="AM253" s="529" t="e">
        <f>IF($C$8=$N257,VLOOKUP(MATCH($AD$148,$O252:$O262,1)+IF($AD$148&lt;25,1,2),$M252:$Z262,14),"")</f>
        <v>#REF!</v>
      </c>
    </row>
    <row r="254" spans="13:39" x14ac:dyDescent="0.2">
      <c r="M254" s="200">
        <v>3</v>
      </c>
      <c r="N254" s="28"/>
      <c r="O254" s="522">
        <v>10</v>
      </c>
      <c r="P254" s="522">
        <v>1</v>
      </c>
      <c r="Q254" s="523">
        <v>37.700000000000003</v>
      </c>
      <c r="R254" s="524">
        <v>-15.6</v>
      </c>
      <c r="S254" s="524">
        <v>25</v>
      </c>
      <c r="T254" s="525">
        <v>-9.1</v>
      </c>
      <c r="U254" s="523">
        <v>-40</v>
      </c>
      <c r="V254" s="524">
        <v>-24.5</v>
      </c>
      <c r="W254" s="524">
        <v>-27.9</v>
      </c>
      <c r="X254" s="526">
        <v>-18.8</v>
      </c>
      <c r="Y254" s="523">
        <v>-56.1</v>
      </c>
      <c r="Z254" s="525">
        <v>-43.9</v>
      </c>
      <c r="AA254" s="201">
        <v>102</v>
      </c>
      <c r="AB254" s="527" t="e">
        <f>IF($C$8=$N257,MATCH($AD$148,$O252:$O262,1),0)</f>
        <v>#REF!</v>
      </c>
      <c r="AC254" s="528" t="e">
        <f>IF($C$8=$N257,$AD$148,"")</f>
        <v>#REF!</v>
      </c>
      <c r="AD254" s="528" t="e">
        <f t="shared" ref="AD254:AM254" si="45">IF($C$8=$N257,(AD253-AD252)*($AD$148-$AC252)/($AC253-$AC252)+AD252,"")</f>
        <v>#REF!</v>
      </c>
      <c r="AE254" s="528" t="e">
        <f t="shared" si="45"/>
        <v>#REF!</v>
      </c>
      <c r="AF254" s="528" t="e">
        <f t="shared" si="45"/>
        <v>#REF!</v>
      </c>
      <c r="AG254" s="528" t="e">
        <f t="shared" si="45"/>
        <v>#REF!</v>
      </c>
      <c r="AH254" s="528" t="e">
        <f t="shared" si="45"/>
        <v>#REF!</v>
      </c>
      <c r="AI254" s="528" t="e">
        <f t="shared" si="45"/>
        <v>#REF!</v>
      </c>
      <c r="AJ254" s="528" t="e">
        <f t="shared" si="45"/>
        <v>#REF!</v>
      </c>
      <c r="AK254" s="528" t="e">
        <f t="shared" si="45"/>
        <v>#REF!</v>
      </c>
      <c r="AL254" s="528" t="e">
        <f t="shared" si="45"/>
        <v>#REF!</v>
      </c>
      <c r="AM254" s="529" t="e">
        <f t="shared" si="45"/>
        <v>#REF!</v>
      </c>
    </row>
    <row r="255" spans="13:39" x14ac:dyDescent="0.2">
      <c r="M255" s="200">
        <v>4</v>
      </c>
      <c r="N255" s="28"/>
      <c r="O255" s="522">
        <v>15</v>
      </c>
      <c r="P255" s="522">
        <v>1</v>
      </c>
      <c r="Q255" s="523">
        <v>41.8</v>
      </c>
      <c r="R255" s="524">
        <v>-13.8</v>
      </c>
      <c r="S255" s="524">
        <v>27.9</v>
      </c>
      <c r="T255" s="525">
        <v>-7.9</v>
      </c>
      <c r="U255" s="523">
        <v>-40</v>
      </c>
      <c r="V255" s="524">
        <v>-26.2</v>
      </c>
      <c r="W255" s="524">
        <v>-27.9</v>
      </c>
      <c r="X255" s="526">
        <v>-20</v>
      </c>
      <c r="Y255" s="523">
        <v>-56.1</v>
      </c>
      <c r="Z255" s="525">
        <v>-43.9</v>
      </c>
      <c r="AA255" s="201">
        <v>103</v>
      </c>
      <c r="AB255" s="527"/>
      <c r="AC255" s="528"/>
      <c r="AD255" s="530"/>
      <c r="AE255" s="530"/>
      <c r="AF255" s="530"/>
      <c r="AG255" s="530"/>
      <c r="AH255" s="530"/>
      <c r="AI255" s="530"/>
      <c r="AJ255" s="530"/>
      <c r="AK255" s="530"/>
      <c r="AL255" s="530"/>
      <c r="AM255" s="531"/>
    </row>
    <row r="256" spans="13:39" x14ac:dyDescent="0.2">
      <c r="M256" s="200">
        <v>5</v>
      </c>
      <c r="N256" s="28"/>
      <c r="O256" s="522">
        <v>20</v>
      </c>
      <c r="P256" s="522">
        <v>1</v>
      </c>
      <c r="Q256" s="523">
        <v>46.1</v>
      </c>
      <c r="R256" s="524">
        <v>-12.2</v>
      </c>
      <c r="S256" s="524">
        <v>30.8</v>
      </c>
      <c r="T256" s="525">
        <v>-6.8</v>
      </c>
      <c r="U256" s="523">
        <v>-40</v>
      </c>
      <c r="V256" s="524">
        <v>-27.9</v>
      </c>
      <c r="W256" s="524">
        <v>-27.9</v>
      </c>
      <c r="X256" s="526">
        <v>-21.1</v>
      </c>
      <c r="Y256" s="523">
        <v>-56.1</v>
      </c>
      <c r="Z256" s="525">
        <v>-43.9</v>
      </c>
      <c r="AA256" s="201">
        <v>104</v>
      </c>
      <c r="AB256" s="527"/>
      <c r="AC256" s="528" t="e">
        <f>IF($C$8=$N257,IF(AND($AD$148&gt;=25,$AD$148&lt;=45),VLOOKUP(MATCH($AD$148,$O252:$O262,1),$M252:$Z262,3),""),"")</f>
        <v>#REF!</v>
      </c>
      <c r="AD256" s="528" t="e">
        <f>IF($C$8=$N257,IF(AND($AD$148&gt;=25,$AD$148&lt;=45),VLOOKUP(MATCH($AD$148,$O252:$O262,1)+1,$M252:$Z262,5),""),"")</f>
        <v>#REF!</v>
      </c>
      <c r="AE256" s="528" t="e">
        <f>IF($C$8=$N257,IF(AND($AD$148&gt;=25,$AD$148&lt;=45),VLOOKUP(MATCH($AD$148,$O252:$O262,1)+1,$M252:$Z262,6),""),"")</f>
        <v>#REF!</v>
      </c>
      <c r="AF256" s="528" t="e">
        <f>IF($C$8=$N257,IF(AND($AD$148&gt;=25,$AD$148&lt;=45),VLOOKUP(MATCH($AD$148,$O252:$O262,1)+1,$M252:$Z262,7),""),"")</f>
        <v>#REF!</v>
      </c>
      <c r="AG256" s="528" t="e">
        <f>IF($C$8=$N257,IF(AND($AD$148&gt;=25,$AD$148&lt;=45),VLOOKUP(MATCH($AD$148,$O252:$O262,1)+1,$M252:$Z262,8),""),"")</f>
        <v>#REF!</v>
      </c>
      <c r="AH256" s="528" t="e">
        <f>IF($C$8=$N257,IF(AND($AD$148&gt;=25,$AD$148&lt;=45),VLOOKUP(MATCH($AD$148,$O252:$O262,1)+1,$M252:$Z262,9),""),"")</f>
        <v>#REF!</v>
      </c>
      <c r="AI256" s="528" t="e">
        <f>IF($C$8=$N257,IF(AND($AD$148&gt;=25,$AD$148&lt;=45),VLOOKUP(MATCH($AD$148,$O252:$O262,1)+1,$M252:$Z262,10),""),"")</f>
        <v>#REF!</v>
      </c>
      <c r="AJ256" s="528" t="e">
        <f>IF($C$8=$N257,IF(AND($AD$148&gt;=25,$AD$148&lt;=45),VLOOKUP(MATCH($AD$148,$O252:$O262,1)+1,$M252:$Z262,11),""),"")</f>
        <v>#REF!</v>
      </c>
      <c r="AK256" s="528" t="e">
        <f>IF($C$8=$N257,IF(AND($AD$148&gt;=25,$AD$148&lt;=45),VLOOKUP(MATCH($AD$148,$O252:$O262,1)+1,$M252:$Z262,12),""),"")</f>
        <v>#REF!</v>
      </c>
      <c r="AL256" s="528" t="e">
        <f>IF($C$8=$N257,IF(AND($AD$148&gt;=25,$AD$148&lt;=45),VLOOKUP(MATCH($AD$148,$O252:$O262,1)+1,$M252:$Z262,13),""),"")</f>
        <v>#REF!</v>
      </c>
      <c r="AM256" s="529" t="e">
        <f>IF($C$8=$N257,IF(AND($AD$148&gt;=25,$AD$148&lt;=45),VLOOKUP(MATCH($AD$148,$O252:$O262,1)+1,$M252:$Z262,14),""),"")</f>
        <v>#REF!</v>
      </c>
    </row>
    <row r="257" spans="13:39" x14ac:dyDescent="0.2">
      <c r="M257" s="200">
        <v>6</v>
      </c>
      <c r="N257" s="28">
        <v>145</v>
      </c>
      <c r="O257" s="532">
        <v>25</v>
      </c>
      <c r="P257" s="532">
        <v>1</v>
      </c>
      <c r="Q257" s="533">
        <v>41.8</v>
      </c>
      <c r="R257" s="534">
        <v>6.8</v>
      </c>
      <c r="S257" s="534">
        <v>30.3</v>
      </c>
      <c r="T257" s="535">
        <v>6.9</v>
      </c>
      <c r="U257" s="533">
        <v>-18.600000000000001</v>
      </c>
      <c r="V257" s="534">
        <v>-25.3</v>
      </c>
      <c r="W257" s="534">
        <v>-13.4</v>
      </c>
      <c r="X257" s="536">
        <v>-20.399999999999999</v>
      </c>
      <c r="Y257" s="533">
        <v>-34.6</v>
      </c>
      <c r="Z257" s="535">
        <v>-29.5</v>
      </c>
      <c r="AA257" s="201">
        <v>105</v>
      </c>
      <c r="AB257" s="527"/>
      <c r="AC257" s="528" t="e">
        <f>IF($C$8=$N257,IF(AND($AD$148&gt;=25,$AD$148&lt;=45),VLOOKUP(MATCH($AD$148,$O252:$O262,1)+IF($AD$148&lt;25,1,2),$M252:$Z262,3),""),"")</f>
        <v>#REF!</v>
      </c>
      <c r="AD257" s="528" t="e">
        <f>IF($C$8=$N257,IF(AND($AD$148&gt;=25,$AD$148&lt;=45),VLOOKUP(MATCH($AD$148,$O252:$O262,1)+1+IF($AD$148&lt;25,1,2),$M252:$Z262,5),""),"")</f>
        <v>#REF!</v>
      </c>
      <c r="AE257" s="528" t="e">
        <f>IF($C$8=$N257,IF(AND($AD$148&gt;=25,$AD$148&lt;=45),VLOOKUP(MATCH($AD$148,$O252:$O262,1)+1+IF($AD$148&lt;25,1,2),$M252:$Z262,6),""),"")</f>
        <v>#REF!</v>
      </c>
      <c r="AF257" s="528" t="e">
        <f>IF($C$8=$N257,IF(AND($AD$148&gt;=25,$AD$148&lt;=45),VLOOKUP(MATCH($AD$148,$O252:$O262,1)+1+IF($AD$148&lt;25,1,2),$M252:$Z262,7),""),"")</f>
        <v>#REF!</v>
      </c>
      <c r="AG257" s="528" t="e">
        <f>IF($C$8=$N257,IF(AND($AD$148&gt;=25,$AD$148&lt;=45),VLOOKUP(MATCH($AD$148,$O252:$O262,1)+1+IF($AD$148&lt;25,1,2),$M252:$Z262,8),""),"")</f>
        <v>#REF!</v>
      </c>
      <c r="AH257" s="528" t="e">
        <f>IF($C$8=$N257,IF(AND($AD$148&gt;=25,$AD$148&lt;=45),VLOOKUP(MATCH($AD$148,$O252:$O262,1)+1+IF($AD$148&lt;25,1,2),$M252:$Z262,9),""),"")</f>
        <v>#REF!</v>
      </c>
      <c r="AI257" s="528" t="e">
        <f>IF($C$8=$N257,IF(AND($AD$148&gt;=25,$AD$148&lt;=45),VLOOKUP(MATCH($AD$148,$O252:$O262,1)+1+IF($AD$148&lt;25,1,2),$M252:$Z262,10),""),"")</f>
        <v>#REF!</v>
      </c>
      <c r="AJ257" s="528" t="e">
        <f>IF($C$8=$N257,IF(AND($AD$148&gt;=25,$AD$148&lt;=45),VLOOKUP(MATCH($AD$148,$O252:$O262,1)+1+IF($AD$148&lt;25,1,2),$M252:$Z262,11),""),"")</f>
        <v>#REF!</v>
      </c>
      <c r="AK257" s="528" t="e">
        <f>IF($C$8=$N257,IF(AND($AD$148&gt;=25,$AD$148&lt;=45),VLOOKUP(MATCH($AD$148,$O252:$O262,1)+1+IF($AD$148&lt;25,1,2),$M252:$Z262,12),""),"")</f>
        <v>#REF!</v>
      </c>
      <c r="AL257" s="528" t="e">
        <f>IF($C$8=$N257,IF(AND($AD$148&gt;=25,$AD$148&lt;=45),VLOOKUP(MATCH($AD$148,$O252:$O262,1)+1+IF($AD$148&lt;25,1,2),$M252:$Z262,13),""),"")</f>
        <v>#REF!</v>
      </c>
      <c r="AM257" s="529" t="e">
        <f>IF($C$8=$N257,IF(AND($AD$148&gt;=25,$AD$148&lt;=45),VLOOKUP(MATCH($AD$148,$O252:$O262,1)+1+IF($AD$148&lt;25,1,2),$M252:$Z262,14),""),"")</f>
        <v>#REF!</v>
      </c>
    </row>
    <row r="258" spans="13:39" x14ac:dyDescent="0.2">
      <c r="M258" s="200">
        <v>7</v>
      </c>
      <c r="N258" s="28"/>
      <c r="O258" s="537"/>
      <c r="P258" s="537">
        <v>2</v>
      </c>
      <c r="Q258" s="538">
        <v>0</v>
      </c>
      <c r="R258" s="539">
        <v>0</v>
      </c>
      <c r="S258" s="539">
        <v>0</v>
      </c>
      <c r="T258" s="540">
        <v>0</v>
      </c>
      <c r="U258" s="538">
        <v>-7.1</v>
      </c>
      <c r="V258" s="539">
        <v>-13.7</v>
      </c>
      <c r="W258" s="539">
        <v>-1.9</v>
      </c>
      <c r="X258" s="541">
        <v>-8.8000000000000007</v>
      </c>
      <c r="Y258" s="538">
        <v>0</v>
      </c>
      <c r="Z258" s="540">
        <v>0</v>
      </c>
      <c r="AA258" s="201">
        <v>106</v>
      </c>
      <c r="AB258" s="527"/>
      <c r="AC258" s="528" t="e">
        <f>IF($C$8=$N257,IF(AND($AD$148&gt;=25,$AD$148&lt;=45),$AD$148,""),"")</f>
        <v>#REF!</v>
      </c>
      <c r="AD258" s="528" t="e">
        <f t="shared" ref="AD258:AM258" si="46">IF($C$8=$N257,IF(AND($AD$148&gt;=25,$AD$148&lt;=45),(AD257-AD256)*($AD$148-$AC256)/($AC257-$AC256)+AD256,""),"")</f>
        <v>#REF!</v>
      </c>
      <c r="AE258" s="528" t="e">
        <f t="shared" si="46"/>
        <v>#REF!</v>
      </c>
      <c r="AF258" s="528" t="e">
        <f t="shared" si="46"/>
        <v>#REF!</v>
      </c>
      <c r="AG258" s="528" t="e">
        <f t="shared" si="46"/>
        <v>#REF!</v>
      </c>
      <c r="AH258" s="528" t="e">
        <f t="shared" si="46"/>
        <v>#REF!</v>
      </c>
      <c r="AI258" s="528" t="e">
        <f t="shared" si="46"/>
        <v>#REF!</v>
      </c>
      <c r="AJ258" s="528" t="e">
        <f t="shared" si="46"/>
        <v>#REF!</v>
      </c>
      <c r="AK258" s="528" t="e">
        <f t="shared" si="46"/>
        <v>#REF!</v>
      </c>
      <c r="AL258" s="528" t="e">
        <f t="shared" si="46"/>
        <v>#REF!</v>
      </c>
      <c r="AM258" s="529" t="e">
        <f t="shared" si="46"/>
        <v>#REF!</v>
      </c>
    </row>
    <row r="259" spans="13:39" x14ac:dyDescent="0.2">
      <c r="M259" s="200">
        <v>8</v>
      </c>
      <c r="N259" s="28"/>
      <c r="O259" s="532">
        <v>30</v>
      </c>
      <c r="P259" s="532">
        <v>1</v>
      </c>
      <c r="Q259" s="533">
        <v>37.5</v>
      </c>
      <c r="R259" s="534">
        <v>25.6</v>
      </c>
      <c r="S259" s="534">
        <v>29.8</v>
      </c>
      <c r="T259" s="535">
        <v>20.5</v>
      </c>
      <c r="U259" s="533">
        <v>2.9</v>
      </c>
      <c r="V259" s="534">
        <v>-22.7</v>
      </c>
      <c r="W259" s="534">
        <v>1</v>
      </c>
      <c r="X259" s="536">
        <v>-19.5</v>
      </c>
      <c r="Y259" s="533">
        <v>-13.2</v>
      </c>
      <c r="Z259" s="535">
        <v>-15</v>
      </c>
      <c r="AA259" s="201">
        <v>107</v>
      </c>
      <c r="AB259" s="542"/>
      <c r="AC259" s="530"/>
      <c r="AD259" s="530"/>
      <c r="AE259" s="530"/>
      <c r="AF259" s="530"/>
      <c r="AG259" s="530"/>
      <c r="AH259" s="530"/>
      <c r="AI259" s="530"/>
      <c r="AJ259" s="530"/>
      <c r="AK259" s="530"/>
      <c r="AL259" s="530"/>
      <c r="AM259" s="531"/>
    </row>
    <row r="260" spans="13:39" x14ac:dyDescent="0.2">
      <c r="M260" s="200">
        <v>9</v>
      </c>
      <c r="N260" s="543"/>
      <c r="O260" s="537"/>
      <c r="P260" s="537">
        <v>2</v>
      </c>
      <c r="Q260" s="538">
        <v>35.700000000000003</v>
      </c>
      <c r="R260" s="539">
        <v>25.6</v>
      </c>
      <c r="S260" s="539">
        <v>29.8</v>
      </c>
      <c r="T260" s="540">
        <v>20.5</v>
      </c>
      <c r="U260" s="538">
        <v>14.4</v>
      </c>
      <c r="V260" s="539">
        <v>-11.3</v>
      </c>
      <c r="W260" s="539">
        <v>12.6</v>
      </c>
      <c r="X260" s="541">
        <v>-8</v>
      </c>
      <c r="Y260" s="538">
        <v>-13.2</v>
      </c>
      <c r="Z260" s="540">
        <v>-15</v>
      </c>
      <c r="AA260" s="201">
        <v>108</v>
      </c>
      <c r="AB260" s="542"/>
      <c r="AC260" s="530"/>
      <c r="AD260" s="530"/>
      <c r="AE260" s="530"/>
      <c r="AF260" s="530"/>
      <c r="AG260" s="530"/>
      <c r="AH260" s="530"/>
      <c r="AI260" s="530"/>
      <c r="AJ260" s="530"/>
      <c r="AK260" s="530"/>
      <c r="AL260" s="530"/>
      <c r="AM260" s="531"/>
    </row>
    <row r="261" spans="13:39" x14ac:dyDescent="0.2">
      <c r="M261" s="200">
        <v>10</v>
      </c>
      <c r="N261" s="28"/>
      <c r="O261" s="532">
        <v>45</v>
      </c>
      <c r="P261" s="532">
        <v>1</v>
      </c>
      <c r="Q261" s="533">
        <v>37.5</v>
      </c>
      <c r="R261" s="534">
        <v>25.6</v>
      </c>
      <c r="S261" s="534">
        <v>29.8</v>
      </c>
      <c r="T261" s="535">
        <v>20.5</v>
      </c>
      <c r="U261" s="533">
        <v>2.9</v>
      </c>
      <c r="V261" s="534">
        <v>-22.7</v>
      </c>
      <c r="W261" s="534">
        <v>1</v>
      </c>
      <c r="X261" s="536">
        <v>-19.5</v>
      </c>
      <c r="Y261" s="533">
        <v>-13.2</v>
      </c>
      <c r="Z261" s="535">
        <v>-15</v>
      </c>
      <c r="AA261" s="201">
        <v>109</v>
      </c>
      <c r="AB261" s="542"/>
      <c r="AC261" s="530"/>
      <c r="AD261" s="530"/>
      <c r="AE261" s="530"/>
      <c r="AF261" s="530"/>
      <c r="AG261" s="530"/>
      <c r="AH261" s="530"/>
      <c r="AI261" s="530"/>
      <c r="AJ261" s="530"/>
      <c r="AK261" s="530"/>
      <c r="AL261" s="530"/>
      <c r="AM261" s="531"/>
    </row>
    <row r="262" spans="13:39" x14ac:dyDescent="0.2">
      <c r="M262" s="200">
        <v>11</v>
      </c>
      <c r="N262" s="27"/>
      <c r="O262" s="544"/>
      <c r="P262" s="544">
        <v>2</v>
      </c>
      <c r="Q262" s="545">
        <v>35.700000000000003</v>
      </c>
      <c r="R262" s="546">
        <v>25.6</v>
      </c>
      <c r="S262" s="546">
        <v>29.8</v>
      </c>
      <c r="T262" s="547">
        <v>20.5</v>
      </c>
      <c r="U262" s="545">
        <v>14.4</v>
      </c>
      <c r="V262" s="546">
        <v>-11.3</v>
      </c>
      <c r="W262" s="546">
        <v>12.6</v>
      </c>
      <c r="X262" s="548">
        <v>-8</v>
      </c>
      <c r="Y262" s="545">
        <v>-13.2</v>
      </c>
      <c r="Z262" s="547">
        <v>-15</v>
      </c>
      <c r="AA262" s="201">
        <v>110</v>
      </c>
      <c r="AB262" s="549"/>
      <c r="AC262" s="550"/>
      <c r="AD262" s="550"/>
      <c r="AE262" s="550"/>
      <c r="AF262" s="550"/>
      <c r="AG262" s="550"/>
      <c r="AH262" s="550"/>
      <c r="AI262" s="550"/>
      <c r="AJ262" s="550"/>
      <c r="AK262" s="550"/>
      <c r="AL262" s="550"/>
      <c r="AM262" s="551"/>
    </row>
    <row r="263" spans="13:39" x14ac:dyDescent="0.2">
      <c r="M263" s="200">
        <v>1</v>
      </c>
      <c r="N263" s="197"/>
      <c r="O263" s="205">
        <v>0</v>
      </c>
      <c r="P263" s="205">
        <v>1</v>
      </c>
      <c r="Q263" s="206">
        <v>35.700000000000003</v>
      </c>
      <c r="R263" s="215">
        <v>-18.5</v>
      </c>
      <c r="S263" s="215">
        <v>23.7</v>
      </c>
      <c r="T263" s="216">
        <v>-11</v>
      </c>
      <c r="U263" s="206">
        <v>-42.9</v>
      </c>
      <c r="V263" s="215">
        <v>-24.4</v>
      </c>
      <c r="W263" s="215">
        <v>-29.8</v>
      </c>
      <c r="X263" s="217">
        <v>-18.899999999999999</v>
      </c>
      <c r="Y263" s="206">
        <v>-60</v>
      </c>
      <c r="Z263" s="216">
        <v>-47</v>
      </c>
      <c r="AA263" s="218">
        <v>111</v>
      </c>
      <c r="AB263" s="219"/>
      <c r="AC263" s="220" t="e">
        <f>IF($C$8=$N268,VLOOKUP(MATCH($AD$148,$O263:$O273,1),$M263:$Z273,3),"")</f>
        <v>#REF!</v>
      </c>
      <c r="AD263" s="220" t="e">
        <f>IF($C$8=$N268,VLOOKUP(MATCH($AD$148,$O263:$O273,1),$M263:$Z273,5),"")</f>
        <v>#REF!</v>
      </c>
      <c r="AE263" s="220" t="e">
        <f>IF($C$8=$N268,VLOOKUP(MATCH($AD$148,$O263:$O273,1),$M263:$Z273,6),"")</f>
        <v>#REF!</v>
      </c>
      <c r="AF263" s="220" t="e">
        <f>IF($C$8=$N268,VLOOKUP(MATCH($AD$148,$O263:$O273,1),$M263:$Z273,7),"")</f>
        <v>#REF!</v>
      </c>
      <c r="AG263" s="220" t="e">
        <f>IF($C$8=$N268,VLOOKUP(MATCH($AD$148,$O263:$O273,1),$M263:$Z273,8),"")</f>
        <v>#REF!</v>
      </c>
      <c r="AH263" s="220" t="e">
        <f>IF($C$8=$N268,VLOOKUP(MATCH($AD$148,$O263:$O273,1),$M263:$Z273,9),"")</f>
        <v>#REF!</v>
      </c>
      <c r="AI263" s="220" t="e">
        <f>IF($C$8=$N268,VLOOKUP(MATCH($AD$148,$O263:$O273,1),$M263:$Z273,10),"")</f>
        <v>#REF!</v>
      </c>
      <c r="AJ263" s="220" t="e">
        <f>IF($C$8=$N268,VLOOKUP(MATCH($AD$148,$O263:$O273,1),$M263:$Z273,11),"")</f>
        <v>#REF!</v>
      </c>
      <c r="AK263" s="220" t="e">
        <f>IF($C$8=$N268,VLOOKUP(MATCH($AD$148,$O263:$O273,1),$M263:$Z273,12),"")</f>
        <v>#REF!</v>
      </c>
      <c r="AL263" s="220" t="e">
        <f>IF($C$8=$N268,VLOOKUP(MATCH($AD$148,$O263:$O273,1),$M263:$Z273,13),"")</f>
        <v>#REF!</v>
      </c>
      <c r="AM263" s="221" t="e">
        <f>IF($C$8=$N268,VLOOKUP(MATCH($AD$148,$O263:$O273,1),$M263:$Z273,14),"")</f>
        <v>#REF!</v>
      </c>
    </row>
    <row r="264" spans="13:39" x14ac:dyDescent="0.2">
      <c r="M264" s="200">
        <v>2</v>
      </c>
      <c r="N264" s="21"/>
      <c r="O264" s="223">
        <v>5</v>
      </c>
      <c r="P264" s="223">
        <v>1</v>
      </c>
      <c r="Q264" s="211">
        <v>35.700000000000003</v>
      </c>
      <c r="R264" s="226">
        <v>-18.5</v>
      </c>
      <c r="S264" s="226">
        <v>23.7</v>
      </c>
      <c r="T264" s="227">
        <v>-11</v>
      </c>
      <c r="U264" s="211">
        <v>-42.9</v>
      </c>
      <c r="V264" s="226">
        <v>-24.4</v>
      </c>
      <c r="W264" s="226">
        <v>-29.8</v>
      </c>
      <c r="X264" s="228">
        <v>-18.899999999999999</v>
      </c>
      <c r="Y264" s="211">
        <v>-60</v>
      </c>
      <c r="Z264" s="227">
        <v>-47</v>
      </c>
      <c r="AA264" s="218">
        <v>112</v>
      </c>
      <c r="AB264" s="229"/>
      <c r="AC264" s="230" t="e">
        <f>IF($C$8=$N268,VLOOKUP(MATCH($AD$148,$O263:$O273,1)+IF($AD$148&lt;25,1,2),$M263:$Z273,3),"")</f>
        <v>#REF!</v>
      </c>
      <c r="AD264" s="230" t="e">
        <f>IF($C$8=$N268,VLOOKUP(MATCH($AD$148,$O263:$O273,1)+IF($AD$148&lt;25,1,2),$M263:$Z273,5),"")</f>
        <v>#REF!</v>
      </c>
      <c r="AE264" s="230" t="e">
        <f>IF($C$8=$N268,VLOOKUP(MATCH($AD$148,$O263:$O273,1)+IF($AD$148&lt;25,1,2),$M263:$Z273,6),"")</f>
        <v>#REF!</v>
      </c>
      <c r="AF264" s="230" t="e">
        <f>IF($C$8=$N268,VLOOKUP(MATCH($AD$148,$O263:$O273,1)+IF($AD$148&lt;25,1,2),$M263:$Z273,7),"")</f>
        <v>#REF!</v>
      </c>
      <c r="AG264" s="230" t="e">
        <f>IF($C$8=$N268,VLOOKUP(MATCH($AD$148,$O263:$O273,1)+IF($AD$148&lt;25,1,2),$M263:$Z273,8),"")</f>
        <v>#REF!</v>
      </c>
      <c r="AH264" s="230" t="e">
        <f>IF($C$8=$N268,VLOOKUP(MATCH($AD$148,$O263:$O273,1)+IF($AD$148&lt;25,1,2),$M263:$Z273,9),"")</f>
        <v>#REF!</v>
      </c>
      <c r="AI264" s="230" t="e">
        <f>IF($C$8=$N268,VLOOKUP(MATCH($AD$148,$O263:$O273,1)+IF($AD$148&lt;25,1,2),$M263:$Z273,10),"")</f>
        <v>#REF!</v>
      </c>
      <c r="AJ264" s="230" t="e">
        <f>IF($C$8=$N268,VLOOKUP(MATCH($AD$148,$O263:$O273,1)+IF($AD$148&lt;25,1,2),$M263:$Z273,11),"")</f>
        <v>#REF!</v>
      </c>
      <c r="AK264" s="230" t="e">
        <f>IF($C$8=$N268,VLOOKUP(MATCH($AD$148,$O263:$O273,1)+IF($AD$148&lt;25,1,2),$M263:$Z273,12),"")</f>
        <v>#REF!</v>
      </c>
      <c r="AL264" s="230" t="e">
        <f>IF($C$8=$N268,VLOOKUP(MATCH($AD$148,$O263:$O273,1)+IF($AD$148&lt;25,1,2),$M263:$Z273,13),"")</f>
        <v>#REF!</v>
      </c>
      <c r="AM264" s="231" t="e">
        <f>IF($C$8=$N268,VLOOKUP(MATCH($AD$148,$O263:$O273,1)+IF($AD$148&lt;25,1,2),$M263:$Z273,14),"")</f>
        <v>#REF!</v>
      </c>
    </row>
    <row r="265" spans="13:39" x14ac:dyDescent="0.2">
      <c r="M265" s="200">
        <v>3</v>
      </c>
      <c r="N265" s="21"/>
      <c r="O265" s="223">
        <v>10</v>
      </c>
      <c r="P265" s="223">
        <v>1</v>
      </c>
      <c r="Q265" s="211">
        <v>40.200000000000003</v>
      </c>
      <c r="R265" s="226">
        <v>-16.7</v>
      </c>
      <c r="S265" s="226">
        <v>26.8</v>
      </c>
      <c r="T265" s="227">
        <v>-9.6999999999999993</v>
      </c>
      <c r="U265" s="211">
        <v>-42.9</v>
      </c>
      <c r="V265" s="226">
        <v>-26.2</v>
      </c>
      <c r="W265" s="226">
        <v>-29.8</v>
      </c>
      <c r="X265" s="228">
        <v>-20.100000000000001</v>
      </c>
      <c r="Y265" s="211">
        <v>-60</v>
      </c>
      <c r="Z265" s="227">
        <v>-47</v>
      </c>
      <c r="AA265" s="218">
        <v>113</v>
      </c>
      <c r="AB265" s="229" t="e">
        <f>IF($C$8=$N268,MATCH($AD$148,$O263:$O273,1),0)</f>
        <v>#REF!</v>
      </c>
      <c r="AC265" s="230" t="e">
        <f>IF($C$8=$N268,$AD$148,"")</f>
        <v>#REF!</v>
      </c>
      <c r="AD265" s="230" t="e">
        <f t="shared" ref="AD265:AM265" si="47">IF($C$8=$N268,(AD264-AD263)*($AD$148-$AC263)/($AC264-$AC263)+AD263,"")</f>
        <v>#REF!</v>
      </c>
      <c r="AE265" s="230" t="e">
        <f t="shared" si="47"/>
        <v>#REF!</v>
      </c>
      <c r="AF265" s="230" t="e">
        <f t="shared" si="47"/>
        <v>#REF!</v>
      </c>
      <c r="AG265" s="230" t="e">
        <f t="shared" si="47"/>
        <v>#REF!</v>
      </c>
      <c r="AH265" s="230" t="e">
        <f t="shared" si="47"/>
        <v>#REF!</v>
      </c>
      <c r="AI265" s="230" t="e">
        <f t="shared" si="47"/>
        <v>#REF!</v>
      </c>
      <c r="AJ265" s="230" t="e">
        <f t="shared" si="47"/>
        <v>#REF!</v>
      </c>
      <c r="AK265" s="230" t="e">
        <f t="shared" si="47"/>
        <v>#REF!</v>
      </c>
      <c r="AL265" s="230" t="e">
        <f t="shared" si="47"/>
        <v>#REF!</v>
      </c>
      <c r="AM265" s="231" t="e">
        <f t="shared" si="47"/>
        <v>#REF!</v>
      </c>
    </row>
    <row r="266" spans="13:39" x14ac:dyDescent="0.2">
      <c r="M266" s="200">
        <v>4</v>
      </c>
      <c r="N266" s="21"/>
      <c r="O266" s="223">
        <v>15</v>
      </c>
      <c r="P266" s="223">
        <v>1</v>
      </c>
      <c r="Q266" s="211">
        <v>44.8</v>
      </c>
      <c r="R266" s="226">
        <v>-14.9</v>
      </c>
      <c r="S266" s="226">
        <v>29.8</v>
      </c>
      <c r="T266" s="227">
        <v>-8.5</v>
      </c>
      <c r="U266" s="211">
        <v>-42.9</v>
      </c>
      <c r="V266" s="226">
        <v>-28</v>
      </c>
      <c r="W266" s="226">
        <v>-29.8</v>
      </c>
      <c r="X266" s="228">
        <v>-21.4</v>
      </c>
      <c r="Y266" s="211">
        <v>-60</v>
      </c>
      <c r="Z266" s="227">
        <v>-47</v>
      </c>
      <c r="AA266" s="218">
        <v>114</v>
      </c>
      <c r="AB266" s="229"/>
      <c r="AC266" s="230"/>
      <c r="AD266" s="552"/>
      <c r="AE266" s="552"/>
      <c r="AF266" s="552"/>
      <c r="AG266" s="552"/>
      <c r="AH266" s="552"/>
      <c r="AI266" s="552"/>
      <c r="AJ266" s="552"/>
      <c r="AK266" s="552"/>
      <c r="AL266" s="552"/>
      <c r="AM266" s="553"/>
    </row>
    <row r="267" spans="13:39" x14ac:dyDescent="0.2">
      <c r="M267" s="200">
        <v>5</v>
      </c>
      <c r="N267" s="21"/>
      <c r="O267" s="223">
        <v>20</v>
      </c>
      <c r="P267" s="223">
        <v>1</v>
      </c>
      <c r="Q267" s="211">
        <v>49.4</v>
      </c>
      <c r="R267" s="226">
        <v>-13</v>
      </c>
      <c r="S267" s="226">
        <v>32.9</v>
      </c>
      <c r="T267" s="227">
        <v>-7.2</v>
      </c>
      <c r="U267" s="211">
        <v>-42.9</v>
      </c>
      <c r="V267" s="226">
        <v>-29.8</v>
      </c>
      <c r="W267" s="226">
        <v>-29.8</v>
      </c>
      <c r="X267" s="228">
        <v>-22.6</v>
      </c>
      <c r="Y267" s="211">
        <v>-60</v>
      </c>
      <c r="Z267" s="227">
        <v>-47</v>
      </c>
      <c r="AA267" s="218">
        <v>115</v>
      </c>
      <c r="AB267" s="229"/>
      <c r="AC267" s="230" t="e">
        <f>IF($C$8=$N268,IF(AND($AD$148&gt;=25,$AD$148&lt;=45),VLOOKUP(MATCH($AD$148,$O263:$O273,1),$M263:$Z273,3),""),"")</f>
        <v>#REF!</v>
      </c>
      <c r="AD267" s="230" t="e">
        <f>IF($C$8=$N268,IF(AND($AD$148&gt;=25,$AD$148&lt;=45),VLOOKUP(MATCH($AD$148,$O263:$O273,1)+1,$M263:$Z273,5),""),"")</f>
        <v>#REF!</v>
      </c>
      <c r="AE267" s="230" t="e">
        <f>IF($C$8=$N268,IF(AND($AD$148&gt;=25,$AD$148&lt;=45),VLOOKUP(MATCH($AD$148,$O263:$O273,1)+1,$M263:$Z273,6),""),"")</f>
        <v>#REF!</v>
      </c>
      <c r="AF267" s="230" t="e">
        <f>IF($C$8=$N268,IF(AND($AD$148&gt;=25,$AD$148&lt;=45),VLOOKUP(MATCH($AD$148,$O263:$O273,1)+1,$M263:$Z273,7),""),"")</f>
        <v>#REF!</v>
      </c>
      <c r="AG267" s="230" t="e">
        <f>IF($C$8=$N268,IF(AND($AD$148&gt;=25,$AD$148&lt;=45),VLOOKUP(MATCH($AD$148,$O263:$O273,1)+1,$M263:$Z273,8),""),"")</f>
        <v>#REF!</v>
      </c>
      <c r="AH267" s="230" t="e">
        <f>IF($C$8=$N268,IF(AND($AD$148&gt;=25,$AD$148&lt;=45),VLOOKUP(MATCH($AD$148,$O263:$O273,1)+1,$M263:$Z273,9),""),"")</f>
        <v>#REF!</v>
      </c>
      <c r="AI267" s="230" t="e">
        <f>IF($C$8=$N268,IF(AND($AD$148&gt;=25,$AD$148&lt;=45),VLOOKUP(MATCH($AD$148,$O263:$O273,1)+1,$M263:$Z273,10),""),"")</f>
        <v>#REF!</v>
      </c>
      <c r="AJ267" s="230" t="e">
        <f>IF($C$8=$N268,IF(AND($AD$148&gt;=25,$AD$148&lt;=45),VLOOKUP(MATCH($AD$148,$O263:$O273,1)+1,$M263:$Z273,11),""),"")</f>
        <v>#REF!</v>
      </c>
      <c r="AK267" s="230" t="e">
        <f>IF($C$8=$N268,IF(AND($AD$148&gt;=25,$AD$148&lt;=45),VLOOKUP(MATCH($AD$148,$O263:$O273,1)+1,$M263:$Z273,12),""),"")</f>
        <v>#REF!</v>
      </c>
      <c r="AL267" s="230" t="e">
        <f>IF($C$8=$N268,IF(AND($AD$148&gt;=25,$AD$148&lt;=45),VLOOKUP(MATCH($AD$148,$O263:$O273,1)+1,$M263:$Z273,13),""),"")</f>
        <v>#REF!</v>
      </c>
      <c r="AM267" s="231" t="e">
        <f>IF($C$8=$N268,IF(AND($AD$148&gt;=25,$AD$148&lt;=45),VLOOKUP(MATCH($AD$148,$O263:$O273,1)+1,$M263:$Z273,14),""),"")</f>
        <v>#REF!</v>
      </c>
    </row>
    <row r="268" spans="13:39" x14ac:dyDescent="0.2">
      <c r="M268" s="200">
        <v>6</v>
      </c>
      <c r="N268" s="21">
        <v>150</v>
      </c>
      <c r="O268" s="235">
        <v>25</v>
      </c>
      <c r="P268" s="235">
        <v>1</v>
      </c>
      <c r="Q268" s="236">
        <v>44.8</v>
      </c>
      <c r="R268" s="237">
        <v>7.2</v>
      </c>
      <c r="S268" s="237">
        <v>32.4</v>
      </c>
      <c r="T268" s="238">
        <v>7.4</v>
      </c>
      <c r="U268" s="236">
        <v>-19.899999999999999</v>
      </c>
      <c r="V268" s="237">
        <v>-27.1</v>
      </c>
      <c r="W268" s="237">
        <v>-14.4</v>
      </c>
      <c r="X268" s="239">
        <v>-21.6</v>
      </c>
      <c r="Y268" s="236">
        <v>-37</v>
      </c>
      <c r="Z268" s="238">
        <v>-31.6</v>
      </c>
      <c r="AA268" s="218">
        <v>116</v>
      </c>
      <c r="AB268" s="229"/>
      <c r="AC268" s="230" t="e">
        <f>IF($C$8=$N268,IF(AND($AD$148&gt;=25,$AD$148&lt;=45),VLOOKUP(MATCH($AD$148,$O263:$O273,1)+IF($AD$148&lt;25,1,2),$M263:$Z273,3),""),"")</f>
        <v>#REF!</v>
      </c>
      <c r="AD268" s="230" t="e">
        <f>IF($C$8=$N268,IF(AND($AD$148&gt;=25,$AD$148&lt;=45),VLOOKUP(MATCH($AD$148,$O263:$O273,1)+1+IF($AD$148&lt;25,1,2),$M263:$Z273,5),""),"")</f>
        <v>#REF!</v>
      </c>
      <c r="AE268" s="230" t="e">
        <f>IF($C$8=$N268,IF(AND($AD$148&gt;=25,$AD$148&lt;=45),VLOOKUP(MATCH($AD$148,$O263:$O273,1)+1+IF($AD$148&lt;25,1,2),$M263:$Z273,6),""),"")</f>
        <v>#REF!</v>
      </c>
      <c r="AF268" s="230" t="e">
        <f>IF($C$8=$N268,IF(AND($AD$148&gt;=25,$AD$148&lt;=45),VLOOKUP(MATCH($AD$148,$O263:$O273,1)+1+IF($AD$148&lt;25,1,2),$M263:$Z273,7),""),"")</f>
        <v>#REF!</v>
      </c>
      <c r="AG268" s="230" t="e">
        <f>IF($C$8=$N268,IF(AND($AD$148&gt;=25,$AD$148&lt;=45),VLOOKUP(MATCH($AD$148,$O263:$O273,1)+1+IF($AD$148&lt;25,1,2),$M263:$Z273,8),""),"")</f>
        <v>#REF!</v>
      </c>
      <c r="AH268" s="230" t="e">
        <f>IF($C$8=$N268,IF(AND($AD$148&gt;=25,$AD$148&lt;=45),VLOOKUP(MATCH($AD$148,$O263:$O273,1)+1+IF($AD$148&lt;25,1,2),$M263:$Z273,9),""),"")</f>
        <v>#REF!</v>
      </c>
      <c r="AI268" s="230" t="e">
        <f>IF($C$8=$N268,IF(AND($AD$148&gt;=25,$AD$148&lt;=45),VLOOKUP(MATCH($AD$148,$O263:$O273,1)+1+IF($AD$148&lt;25,1,2),$M263:$Z273,10),""),"")</f>
        <v>#REF!</v>
      </c>
      <c r="AJ268" s="230" t="e">
        <f>IF($C$8=$N268,IF(AND($AD$148&gt;=25,$AD$148&lt;=45),VLOOKUP(MATCH($AD$148,$O263:$O273,1)+1+IF($AD$148&lt;25,1,2),$M263:$Z273,11),""),"")</f>
        <v>#REF!</v>
      </c>
      <c r="AK268" s="230" t="e">
        <f>IF($C$8=$N268,IF(AND($AD$148&gt;=25,$AD$148&lt;=45),VLOOKUP(MATCH($AD$148,$O263:$O273,1)+1+IF($AD$148&lt;25,1,2),$M263:$Z273,12),""),"")</f>
        <v>#REF!</v>
      </c>
      <c r="AL268" s="230" t="e">
        <f>IF($C$8=$N268,IF(AND($AD$148&gt;=25,$AD$148&lt;=45),VLOOKUP(MATCH($AD$148,$O263:$O273,1)+1+IF($AD$148&lt;25,1,2),$M263:$Z273,13),""),"")</f>
        <v>#REF!</v>
      </c>
      <c r="AM268" s="231" t="e">
        <f>IF($C$8=$N268,IF(AND($AD$148&gt;=25,$AD$148&lt;=45),VLOOKUP(MATCH($AD$148,$O263:$O273,1)+1+IF($AD$148&lt;25,1,2),$M263:$Z273,14),""),"")</f>
        <v>#REF!</v>
      </c>
    </row>
    <row r="269" spans="13:39" x14ac:dyDescent="0.2">
      <c r="M269" s="200">
        <v>7</v>
      </c>
      <c r="N269" s="21"/>
      <c r="O269" s="210"/>
      <c r="P269" s="210">
        <v>2</v>
      </c>
      <c r="Q269" s="240">
        <v>0</v>
      </c>
      <c r="R269" s="241">
        <v>0</v>
      </c>
      <c r="S269" s="241">
        <v>0</v>
      </c>
      <c r="T269" s="242">
        <v>0</v>
      </c>
      <c r="U269" s="240">
        <v>-7.5</v>
      </c>
      <c r="V269" s="241">
        <v>-14.7</v>
      </c>
      <c r="W269" s="241">
        <v>-2.1</v>
      </c>
      <c r="X269" s="243">
        <v>-9.4</v>
      </c>
      <c r="Y269" s="240">
        <v>0</v>
      </c>
      <c r="Z269" s="242">
        <v>0</v>
      </c>
      <c r="AA269" s="218">
        <v>117</v>
      </c>
      <c r="AB269" s="229"/>
      <c r="AC269" s="230" t="e">
        <f>IF($C$8=$N268,IF(AND($AD$148&gt;=25,$AD$148&lt;=45),$AD$148,""),"")</f>
        <v>#REF!</v>
      </c>
      <c r="AD269" s="230" t="e">
        <f t="shared" ref="AD269:AM269" si="48">IF($C$8=$N268,IF(AND($AD$148&gt;=25,$AD$148&lt;=45),(AD268-AD267)*($AD$148-$AC267)/($AC268-$AC267)+AD267,""),"")</f>
        <v>#REF!</v>
      </c>
      <c r="AE269" s="230" t="e">
        <f t="shared" si="48"/>
        <v>#REF!</v>
      </c>
      <c r="AF269" s="230" t="e">
        <f t="shared" si="48"/>
        <v>#REF!</v>
      </c>
      <c r="AG269" s="230" t="e">
        <f t="shared" si="48"/>
        <v>#REF!</v>
      </c>
      <c r="AH269" s="230" t="e">
        <f t="shared" si="48"/>
        <v>#REF!</v>
      </c>
      <c r="AI269" s="230" t="e">
        <f t="shared" si="48"/>
        <v>#REF!</v>
      </c>
      <c r="AJ269" s="230" t="e">
        <f t="shared" si="48"/>
        <v>#REF!</v>
      </c>
      <c r="AK269" s="230" t="e">
        <f t="shared" si="48"/>
        <v>#REF!</v>
      </c>
      <c r="AL269" s="230" t="e">
        <f t="shared" si="48"/>
        <v>#REF!</v>
      </c>
      <c r="AM269" s="231" t="e">
        <f t="shared" si="48"/>
        <v>#REF!</v>
      </c>
    </row>
    <row r="270" spans="13:39" x14ac:dyDescent="0.2">
      <c r="M270" s="200">
        <v>8</v>
      </c>
      <c r="N270" s="21"/>
      <c r="O270" s="235">
        <v>30</v>
      </c>
      <c r="P270" s="235">
        <v>1</v>
      </c>
      <c r="Q270" s="236">
        <v>40.1</v>
      </c>
      <c r="R270" s="237">
        <v>27.4</v>
      </c>
      <c r="S270" s="237">
        <v>31.9</v>
      </c>
      <c r="T270" s="238">
        <v>22</v>
      </c>
      <c r="U270" s="236">
        <v>3.1</v>
      </c>
      <c r="V270" s="237">
        <v>-24.4</v>
      </c>
      <c r="W270" s="237">
        <v>1</v>
      </c>
      <c r="X270" s="239">
        <v>-20.9</v>
      </c>
      <c r="Y270" s="236">
        <v>-14.1</v>
      </c>
      <c r="Z270" s="238">
        <v>-16.100000000000001</v>
      </c>
      <c r="AA270" s="218">
        <v>118</v>
      </c>
      <c r="AB270" s="270"/>
      <c r="AC270" s="552"/>
      <c r="AD270" s="552"/>
      <c r="AE270" s="552"/>
      <c r="AF270" s="552"/>
      <c r="AG270" s="552"/>
      <c r="AH270" s="552"/>
      <c r="AI270" s="552"/>
      <c r="AJ270" s="552"/>
      <c r="AK270" s="552"/>
      <c r="AL270" s="552"/>
      <c r="AM270" s="553"/>
    </row>
    <row r="271" spans="13:39" x14ac:dyDescent="0.2">
      <c r="M271" s="200">
        <v>9</v>
      </c>
      <c r="N271" s="249"/>
      <c r="O271" s="210"/>
      <c r="P271" s="210">
        <v>2</v>
      </c>
      <c r="Q271" s="240">
        <v>40.1</v>
      </c>
      <c r="R271" s="241">
        <v>27.4</v>
      </c>
      <c r="S271" s="241">
        <v>31.9</v>
      </c>
      <c r="T271" s="242">
        <v>22</v>
      </c>
      <c r="U271" s="240">
        <v>15.4</v>
      </c>
      <c r="V271" s="241">
        <v>-12</v>
      </c>
      <c r="W271" s="241">
        <v>13.4</v>
      </c>
      <c r="X271" s="243">
        <v>-8.6</v>
      </c>
      <c r="Y271" s="240">
        <v>-14.1</v>
      </c>
      <c r="Z271" s="242">
        <v>-16.100000000000001</v>
      </c>
      <c r="AA271" s="218">
        <v>119</v>
      </c>
      <c r="AB271" s="270"/>
      <c r="AC271" s="552"/>
      <c r="AD271" s="552"/>
      <c r="AE271" s="552"/>
      <c r="AF271" s="552"/>
      <c r="AG271" s="552"/>
      <c r="AH271" s="552"/>
      <c r="AI271" s="552"/>
      <c r="AJ271" s="552"/>
      <c r="AK271" s="552"/>
      <c r="AL271" s="552"/>
      <c r="AM271" s="553"/>
    </row>
    <row r="272" spans="13:39" x14ac:dyDescent="0.2">
      <c r="M272" s="200">
        <v>10</v>
      </c>
      <c r="N272" s="21"/>
      <c r="O272" s="235">
        <v>45</v>
      </c>
      <c r="P272" s="235">
        <v>1</v>
      </c>
      <c r="Q272" s="236">
        <v>40.1</v>
      </c>
      <c r="R272" s="237">
        <v>27.4</v>
      </c>
      <c r="S272" s="237">
        <v>31.9</v>
      </c>
      <c r="T272" s="238">
        <v>22</v>
      </c>
      <c r="U272" s="236">
        <v>3.1</v>
      </c>
      <c r="V272" s="237">
        <v>-24.4</v>
      </c>
      <c r="W272" s="237">
        <v>1</v>
      </c>
      <c r="X272" s="239">
        <v>-20.9</v>
      </c>
      <c r="Y272" s="236">
        <v>-14.1</v>
      </c>
      <c r="Z272" s="238">
        <v>-16.100000000000001</v>
      </c>
      <c r="AA272" s="218">
        <v>120</v>
      </c>
      <c r="AB272" s="270"/>
      <c r="AC272" s="552"/>
      <c r="AD272" s="552"/>
      <c r="AE272" s="552"/>
      <c r="AF272" s="552"/>
      <c r="AG272" s="552"/>
      <c r="AH272" s="552"/>
      <c r="AI272" s="552"/>
      <c r="AJ272" s="552"/>
      <c r="AK272" s="552"/>
      <c r="AL272" s="552"/>
      <c r="AM272" s="553"/>
    </row>
    <row r="273" spans="13:39" x14ac:dyDescent="0.2">
      <c r="M273" s="200">
        <v>11</v>
      </c>
      <c r="N273" s="22"/>
      <c r="O273" s="250"/>
      <c r="P273" s="250">
        <v>2</v>
      </c>
      <c r="Q273" s="251">
        <v>40.1</v>
      </c>
      <c r="R273" s="252">
        <v>27.4</v>
      </c>
      <c r="S273" s="252">
        <v>31.9</v>
      </c>
      <c r="T273" s="253">
        <v>22</v>
      </c>
      <c r="U273" s="251">
        <v>15.4</v>
      </c>
      <c r="V273" s="252">
        <v>-12</v>
      </c>
      <c r="W273" s="252">
        <v>13.4</v>
      </c>
      <c r="X273" s="254">
        <v>-8.6</v>
      </c>
      <c r="Y273" s="251">
        <v>-14.1</v>
      </c>
      <c r="Z273" s="253">
        <v>-16.100000000000001</v>
      </c>
      <c r="AA273" s="218">
        <v>121</v>
      </c>
      <c r="AB273" s="271"/>
      <c r="AC273" s="555"/>
      <c r="AD273" s="555"/>
      <c r="AE273" s="555"/>
      <c r="AF273" s="555"/>
      <c r="AG273" s="555"/>
      <c r="AH273" s="555"/>
      <c r="AI273" s="555"/>
      <c r="AJ273" s="555"/>
      <c r="AK273" s="555"/>
      <c r="AL273" s="555"/>
      <c r="AM273" s="556"/>
    </row>
    <row r="274" spans="13:39" x14ac:dyDescent="0.2">
      <c r="M274" s="200">
        <v>1</v>
      </c>
      <c r="N274" s="197"/>
      <c r="O274" s="205">
        <v>0</v>
      </c>
      <c r="P274" s="205">
        <v>1</v>
      </c>
      <c r="Q274" s="206">
        <v>45.8</v>
      </c>
      <c r="R274" s="215">
        <v>-23.8</v>
      </c>
      <c r="S274" s="215">
        <v>30.4</v>
      </c>
      <c r="T274" s="216">
        <v>-14.1</v>
      </c>
      <c r="U274" s="206">
        <v>-55.1</v>
      </c>
      <c r="V274" s="215">
        <v>-31.3</v>
      </c>
      <c r="W274" s="215">
        <v>-38.299999999999997</v>
      </c>
      <c r="X274" s="217">
        <v>-24.2</v>
      </c>
      <c r="Y274" s="206">
        <v>-77.099999999999994</v>
      </c>
      <c r="Z274" s="216">
        <v>-60.4</v>
      </c>
      <c r="AA274" s="218">
        <v>122</v>
      </c>
      <c r="AB274" s="219"/>
      <c r="AC274" s="220" t="e">
        <f>IF($C$8=$N279,VLOOKUP(MATCH($AD$148,$O274:$O284,1),$M274:$Z284,3),"")</f>
        <v>#REF!</v>
      </c>
      <c r="AD274" s="220" t="e">
        <f>IF($C$8=$N279,VLOOKUP(MATCH($AD$148,$O274:$O284,1),$M274:$Z284,5),"")</f>
        <v>#REF!</v>
      </c>
      <c r="AE274" s="220" t="e">
        <f>IF($C$8=$N279,VLOOKUP(MATCH($AD$148,$O274:$O284,1),$M274:$Z284,6),"")</f>
        <v>#REF!</v>
      </c>
      <c r="AF274" s="220" t="e">
        <f>IF($C$8=$N279,VLOOKUP(MATCH($AD$148,$O274:$O284,1),$M274:$Z284,7),"")</f>
        <v>#REF!</v>
      </c>
      <c r="AG274" s="220" t="e">
        <f>IF($C$8=$N279,VLOOKUP(MATCH($AD$148,$O274:$O284,1),$M274:$Z284,8),"")</f>
        <v>#REF!</v>
      </c>
      <c r="AH274" s="220" t="e">
        <f>IF($C$8=$N279,VLOOKUP(MATCH($AD$148,$O274:$O284,1),$M274:$Z284,9),"")</f>
        <v>#REF!</v>
      </c>
      <c r="AI274" s="220" t="e">
        <f>IF($C$8=$N279,VLOOKUP(MATCH($AD$148,$O274:$O284,1),$M274:$Z284,10),"")</f>
        <v>#REF!</v>
      </c>
      <c r="AJ274" s="220" t="e">
        <f>IF($C$8=$N279,VLOOKUP(MATCH($AD$148,$O274:$O284,1),$M274:$Z284,11),"")</f>
        <v>#REF!</v>
      </c>
      <c r="AK274" s="220" t="e">
        <f>IF($C$8=$N279,VLOOKUP(MATCH($AD$148,$O274:$O284,1),$M274:$Z284,12),"")</f>
        <v>#REF!</v>
      </c>
      <c r="AL274" s="220" t="e">
        <f>IF($C$8=$N279,VLOOKUP(MATCH($AD$148,$O274:$O284,1),$M274:$Z284,13),"")</f>
        <v>#REF!</v>
      </c>
      <c r="AM274" s="221" t="e">
        <f>IF($C$8=$N279,VLOOKUP(MATCH($AD$148,$O274:$O284,1),$M274:$Z284,14),"")</f>
        <v>#REF!</v>
      </c>
    </row>
    <row r="275" spans="13:39" x14ac:dyDescent="0.2">
      <c r="M275" s="200">
        <v>2</v>
      </c>
      <c r="N275" s="21"/>
      <c r="O275" s="223">
        <v>5</v>
      </c>
      <c r="P275" s="223">
        <v>1</v>
      </c>
      <c r="Q275" s="211">
        <v>45.8</v>
      </c>
      <c r="R275" s="226">
        <v>-23.8</v>
      </c>
      <c r="S275" s="226">
        <v>30.4</v>
      </c>
      <c r="T275" s="227">
        <v>-14.1</v>
      </c>
      <c r="U275" s="211">
        <v>-55.1</v>
      </c>
      <c r="V275" s="226">
        <v>-31.3</v>
      </c>
      <c r="W275" s="226">
        <v>-38.299999999999997</v>
      </c>
      <c r="X275" s="228">
        <v>-24.2</v>
      </c>
      <c r="Y275" s="211">
        <v>-77.099999999999994</v>
      </c>
      <c r="Z275" s="227">
        <v>-60.4</v>
      </c>
      <c r="AA275" s="218">
        <v>123</v>
      </c>
      <c r="AB275" s="229"/>
      <c r="AC275" s="230" t="e">
        <f>IF($C$8=$N279,VLOOKUP(MATCH($AD$148,$O274:$O284,1)+IF($AD$148&lt;25,1,2),$M274:$Z284,3),"")</f>
        <v>#REF!</v>
      </c>
      <c r="AD275" s="230" t="e">
        <f>IF($C$8=$N279,VLOOKUP(MATCH($AD$148,$O274:$O284,1)+IF($AD$148&lt;25,1,2),$M274:$Z284,5),"")</f>
        <v>#REF!</v>
      </c>
      <c r="AE275" s="230" t="e">
        <f>IF($C$8=$N279,VLOOKUP(MATCH($AD$148,$O274:$O284,1)+IF($AD$148&lt;25,1,2),$M274:$Z284,6),"")</f>
        <v>#REF!</v>
      </c>
      <c r="AF275" s="230" t="e">
        <f>IF($C$8=$N279,VLOOKUP(MATCH($AD$148,$O274:$O284,1)+IF($AD$148&lt;25,1,2),$M274:$Z284,7),"")</f>
        <v>#REF!</v>
      </c>
      <c r="AG275" s="230" t="e">
        <f>IF($C$8=$N279,VLOOKUP(MATCH($AD$148,$O274:$O284,1)+IF($AD$148&lt;25,1,2),$M274:$Z284,8),"")</f>
        <v>#REF!</v>
      </c>
      <c r="AH275" s="230" t="e">
        <f>IF($C$8=$N279,VLOOKUP(MATCH($AD$148,$O274:$O284,1)+IF($AD$148&lt;25,1,2),$M274:$Z284,9),"")</f>
        <v>#REF!</v>
      </c>
      <c r="AI275" s="230" t="e">
        <f>IF($C$8=$N279,VLOOKUP(MATCH($AD$148,$O274:$O284,1)+IF($AD$148&lt;25,1,2),$M274:$Z284,10),"")</f>
        <v>#REF!</v>
      </c>
      <c r="AJ275" s="230" t="e">
        <f>IF($C$8=$N279,VLOOKUP(MATCH($AD$148,$O274:$O284,1)+IF($AD$148&lt;25,1,2),$M274:$Z284,11),"")</f>
        <v>#REF!</v>
      </c>
      <c r="AK275" s="230" t="e">
        <f>IF($C$8=$N279,VLOOKUP(MATCH($AD$148,$O274:$O284,1)+IF($AD$148&lt;25,1,2),$M274:$Z284,12),"")</f>
        <v>#REF!</v>
      </c>
      <c r="AL275" s="230" t="e">
        <f>IF($C$8=$N279,VLOOKUP(MATCH($AD$148,$O274:$O284,1)+IF($AD$148&lt;25,1,2),$M274:$Z284,13),"")</f>
        <v>#REF!</v>
      </c>
      <c r="AM275" s="231" t="e">
        <f>IF($C$8=$N279,VLOOKUP(MATCH($AD$148,$O274:$O284,1)+IF($AD$148&lt;25,1,2),$M274:$Z284,14),"")</f>
        <v>#REF!</v>
      </c>
    </row>
    <row r="276" spans="13:39" x14ac:dyDescent="0.2">
      <c r="M276" s="200">
        <v>3</v>
      </c>
      <c r="N276" s="21"/>
      <c r="O276" s="223">
        <v>10</v>
      </c>
      <c r="P276" s="223">
        <v>1</v>
      </c>
      <c r="Q276" s="211">
        <v>51.7</v>
      </c>
      <c r="R276" s="226">
        <v>-21.4</v>
      </c>
      <c r="S276" s="226">
        <v>34.4</v>
      </c>
      <c r="T276" s="227">
        <v>-12.5</v>
      </c>
      <c r="U276" s="211">
        <v>-55.1</v>
      </c>
      <c r="V276" s="226">
        <v>-33.6</v>
      </c>
      <c r="W276" s="226">
        <v>-38.299999999999997</v>
      </c>
      <c r="X276" s="228">
        <v>-25.8</v>
      </c>
      <c r="Y276" s="211">
        <v>-77.099999999999994</v>
      </c>
      <c r="Z276" s="227">
        <v>-60.4</v>
      </c>
      <c r="AA276" s="218">
        <v>124</v>
      </c>
      <c r="AB276" s="229" t="e">
        <f>IF($C$8=$N279,MATCH($AD$148,$O274:$O284,1),0)</f>
        <v>#REF!</v>
      </c>
      <c r="AC276" s="230" t="e">
        <f>IF($C$8=$N279,$AD$148,"")</f>
        <v>#REF!</v>
      </c>
      <c r="AD276" s="230" t="e">
        <f t="shared" ref="AD276:AM276" si="49">IF($C$8=$N279,(AD275-AD274)*($AD$148-$AC274)/($AC275-$AC274)+AD274,"")</f>
        <v>#REF!</v>
      </c>
      <c r="AE276" s="230" t="e">
        <f t="shared" si="49"/>
        <v>#REF!</v>
      </c>
      <c r="AF276" s="230" t="e">
        <f t="shared" si="49"/>
        <v>#REF!</v>
      </c>
      <c r="AG276" s="230" t="e">
        <f t="shared" si="49"/>
        <v>#REF!</v>
      </c>
      <c r="AH276" s="230" t="e">
        <f t="shared" si="49"/>
        <v>#REF!</v>
      </c>
      <c r="AI276" s="230" t="e">
        <f t="shared" si="49"/>
        <v>#REF!</v>
      </c>
      <c r="AJ276" s="230" t="e">
        <f t="shared" si="49"/>
        <v>#REF!</v>
      </c>
      <c r="AK276" s="230" t="e">
        <f t="shared" si="49"/>
        <v>#REF!</v>
      </c>
      <c r="AL276" s="230" t="e">
        <f t="shared" si="49"/>
        <v>#REF!</v>
      </c>
      <c r="AM276" s="231" t="e">
        <f t="shared" si="49"/>
        <v>#REF!</v>
      </c>
    </row>
    <row r="277" spans="13:39" x14ac:dyDescent="0.2">
      <c r="M277" s="200">
        <v>4</v>
      </c>
      <c r="N277" s="21"/>
      <c r="O277" s="223">
        <v>15</v>
      </c>
      <c r="P277" s="223">
        <v>1</v>
      </c>
      <c r="Q277" s="211">
        <v>57.6</v>
      </c>
      <c r="R277" s="226">
        <v>-19.100000000000001</v>
      </c>
      <c r="S277" s="226">
        <v>38.299999999999997</v>
      </c>
      <c r="T277" s="227">
        <v>-10.9</v>
      </c>
      <c r="U277" s="211">
        <v>-55.1</v>
      </c>
      <c r="V277" s="226">
        <v>-36</v>
      </c>
      <c r="W277" s="226">
        <v>-38.299999999999997</v>
      </c>
      <c r="X277" s="228">
        <v>-27.5</v>
      </c>
      <c r="Y277" s="211">
        <v>-77.099999999999994</v>
      </c>
      <c r="Z277" s="227">
        <v>-60.4</v>
      </c>
      <c r="AA277" s="218">
        <v>125</v>
      </c>
      <c r="AB277" s="229"/>
      <c r="AC277" s="230"/>
      <c r="AD277" s="552"/>
      <c r="AE277" s="552"/>
      <c r="AF277" s="552"/>
      <c r="AG277" s="552"/>
      <c r="AH277" s="552"/>
      <c r="AI277" s="552"/>
      <c r="AJ277" s="552"/>
      <c r="AK277" s="552"/>
      <c r="AL277" s="552"/>
      <c r="AM277" s="553"/>
    </row>
    <row r="278" spans="13:39" x14ac:dyDescent="0.2">
      <c r="M278" s="200">
        <v>5</v>
      </c>
      <c r="N278" s="21"/>
      <c r="O278" s="223">
        <v>20</v>
      </c>
      <c r="P278" s="223">
        <v>1</v>
      </c>
      <c r="Q278" s="211">
        <v>63.4</v>
      </c>
      <c r="R278" s="226">
        <v>-16.7</v>
      </c>
      <c r="S278" s="226">
        <v>42.3</v>
      </c>
      <c r="T278" s="227">
        <v>-9.3000000000000007</v>
      </c>
      <c r="U278" s="211">
        <v>-55.1</v>
      </c>
      <c r="V278" s="226">
        <v>-38.299999999999997</v>
      </c>
      <c r="W278" s="226">
        <v>-38.299999999999997</v>
      </c>
      <c r="X278" s="228">
        <v>-29.1</v>
      </c>
      <c r="Y278" s="211">
        <v>-77.099999999999994</v>
      </c>
      <c r="Z278" s="227">
        <v>-60.4</v>
      </c>
      <c r="AA278" s="218">
        <v>126</v>
      </c>
      <c r="AB278" s="229"/>
      <c r="AC278" s="230" t="e">
        <f>IF($C$8=$N279,IF(AND($AD$148&gt;=25,$AD$148&lt;=45),VLOOKUP(MATCH($AD$148,$O274:$O284,1),$M274:$Z284,3),""),"")</f>
        <v>#REF!</v>
      </c>
      <c r="AD278" s="230" t="e">
        <f>IF($C$8=$N279,IF(AND($AD$148&gt;=25,$AD$148&lt;=45),VLOOKUP(MATCH($AD$148,$O274:$O284,1)+1,$M274:$Z284,5),""),"")</f>
        <v>#REF!</v>
      </c>
      <c r="AE278" s="230" t="e">
        <f>IF($C$8=$N279,IF(AND($AD$148&gt;=25,$AD$148&lt;=45),VLOOKUP(MATCH($AD$148,$O274:$O284,1)+1,$M274:$Z284,6),""),"")</f>
        <v>#REF!</v>
      </c>
      <c r="AF278" s="230" t="e">
        <f>IF($C$8=$N279,IF(AND($AD$148&gt;=25,$AD$148&lt;=45),VLOOKUP(MATCH($AD$148,$O274:$O284,1)+1,$M274:$Z284,7),""),"")</f>
        <v>#REF!</v>
      </c>
      <c r="AG278" s="230" t="e">
        <f>IF($C$8=$N279,IF(AND($AD$148&gt;=25,$AD$148&lt;=45),VLOOKUP(MATCH($AD$148,$O274:$O284,1)+1,$M274:$Z284,8),""),"")</f>
        <v>#REF!</v>
      </c>
      <c r="AH278" s="230" t="e">
        <f>IF($C$8=$N279,IF(AND($AD$148&gt;=25,$AD$148&lt;=45),VLOOKUP(MATCH($AD$148,$O274:$O284,1)+1,$M274:$Z284,9),""),"")</f>
        <v>#REF!</v>
      </c>
      <c r="AI278" s="230" t="e">
        <f>IF($C$8=$N279,IF(AND($AD$148&gt;=25,$AD$148&lt;=45),VLOOKUP(MATCH($AD$148,$O274:$O284,1)+1,$M274:$Z284,10),""),"")</f>
        <v>#REF!</v>
      </c>
      <c r="AJ278" s="230" t="e">
        <f>IF($C$8=$N279,IF(AND($AD$148&gt;=25,$AD$148&lt;=45),VLOOKUP(MATCH($AD$148,$O274:$O284,1)+1,$M274:$Z284,11),""),"")</f>
        <v>#REF!</v>
      </c>
      <c r="AK278" s="230" t="e">
        <f>IF($C$8=$N279,IF(AND($AD$148&gt;=25,$AD$148&lt;=45),VLOOKUP(MATCH($AD$148,$O274:$O284,1)+1,$M274:$Z284,12),""),"")</f>
        <v>#REF!</v>
      </c>
      <c r="AL278" s="230" t="e">
        <f>IF($C$8=$N279,IF(AND($AD$148&gt;=25,$AD$148&lt;=45),VLOOKUP(MATCH($AD$148,$O274:$O284,1)+1,$M274:$Z284,13),""),"")</f>
        <v>#REF!</v>
      </c>
      <c r="AM278" s="231" t="e">
        <f>IF($C$8=$N279,IF(AND($AD$148&gt;=25,$AD$148&lt;=45),VLOOKUP(MATCH($AD$148,$O274:$O284,1)+1,$M274:$Z284,14),""),"")</f>
        <v>#REF!</v>
      </c>
    </row>
    <row r="279" spans="13:39" x14ac:dyDescent="0.2">
      <c r="M279" s="200">
        <v>6</v>
      </c>
      <c r="N279" s="21">
        <v>170</v>
      </c>
      <c r="O279" s="235">
        <v>25</v>
      </c>
      <c r="P279" s="235">
        <v>1</v>
      </c>
      <c r="Q279" s="236">
        <v>57.5</v>
      </c>
      <c r="R279" s="237">
        <v>9.3000000000000007</v>
      </c>
      <c r="S279" s="237">
        <v>41.6</v>
      </c>
      <c r="T279" s="238">
        <v>9.5</v>
      </c>
      <c r="U279" s="236">
        <v>-25.6</v>
      </c>
      <c r="V279" s="237">
        <v>-34.799999999999997</v>
      </c>
      <c r="W279" s="237">
        <v>-18.5</v>
      </c>
      <c r="X279" s="239">
        <v>-28</v>
      </c>
      <c r="Y279" s="236">
        <v>-47.6</v>
      </c>
      <c r="Z279" s="238">
        <v>-40.5</v>
      </c>
      <c r="AA279" s="218">
        <v>127</v>
      </c>
      <c r="AB279" s="229"/>
      <c r="AC279" s="230" t="e">
        <f>IF($C$8=$N279,IF(AND($AD$148&gt;=25,$AD$148&lt;=45),VLOOKUP(MATCH($AD$148,$O274:$O284,1)+IF($AD$148&lt;25,1,2),$M274:$Z284,3),""),"")</f>
        <v>#REF!</v>
      </c>
      <c r="AD279" s="230" t="e">
        <f>IF($C$8=$N279,IF(AND($AD$148&gt;=25,$AD$148&lt;=45),VLOOKUP(MATCH($AD$148,$O274:$O284,1)+1+IF($AD$148&lt;25,1,2),$M274:$Z284,5),""),"")</f>
        <v>#REF!</v>
      </c>
      <c r="AE279" s="230" t="e">
        <f>IF($C$8=$N279,IF(AND($AD$148&gt;=25,$AD$148&lt;=45),VLOOKUP(MATCH($AD$148,$O274:$O284,1)+1+IF($AD$148&lt;25,1,2),$M274:$Z284,6),""),"")</f>
        <v>#REF!</v>
      </c>
      <c r="AF279" s="230" t="e">
        <f>IF($C$8=$N279,IF(AND($AD$148&gt;=25,$AD$148&lt;=45),VLOOKUP(MATCH($AD$148,$O274:$O284,1)+1+IF($AD$148&lt;25,1,2),$M274:$Z284,7),""),"")</f>
        <v>#REF!</v>
      </c>
      <c r="AG279" s="230" t="e">
        <f>IF($C$8=$N279,IF(AND($AD$148&gt;=25,$AD$148&lt;=45),VLOOKUP(MATCH($AD$148,$O274:$O284,1)+1+IF($AD$148&lt;25,1,2),$M274:$Z284,8),""),"")</f>
        <v>#REF!</v>
      </c>
      <c r="AH279" s="230" t="e">
        <f>IF($C$8=$N279,IF(AND($AD$148&gt;=25,$AD$148&lt;=45),VLOOKUP(MATCH($AD$148,$O274:$O284,1)+1+IF($AD$148&lt;25,1,2),$M274:$Z284,9),""),"")</f>
        <v>#REF!</v>
      </c>
      <c r="AI279" s="230" t="e">
        <f>IF($C$8=$N279,IF(AND($AD$148&gt;=25,$AD$148&lt;=45),VLOOKUP(MATCH($AD$148,$O274:$O284,1)+1+IF($AD$148&lt;25,1,2),$M274:$Z284,10),""),"")</f>
        <v>#REF!</v>
      </c>
      <c r="AJ279" s="230" t="e">
        <f>IF($C$8=$N279,IF(AND($AD$148&gt;=25,$AD$148&lt;=45),VLOOKUP(MATCH($AD$148,$O274:$O284,1)+1+IF($AD$148&lt;25,1,2),$M274:$Z284,11),""),"")</f>
        <v>#REF!</v>
      </c>
      <c r="AK279" s="230" t="e">
        <f>IF($C$8=$N279,IF(AND($AD$148&gt;=25,$AD$148&lt;=45),VLOOKUP(MATCH($AD$148,$O274:$O284,1)+1+IF($AD$148&lt;25,1,2),$M274:$Z284,12),""),"")</f>
        <v>#REF!</v>
      </c>
      <c r="AL279" s="230" t="e">
        <f>IF($C$8=$N279,IF(AND($AD$148&gt;=25,$AD$148&lt;=45),VLOOKUP(MATCH($AD$148,$O274:$O284,1)+1+IF($AD$148&lt;25,1,2),$M274:$Z284,13),""),"")</f>
        <v>#REF!</v>
      </c>
      <c r="AM279" s="231" t="e">
        <f>IF($C$8=$N279,IF(AND($AD$148&gt;=25,$AD$148&lt;=45),VLOOKUP(MATCH($AD$148,$O274:$O284,1)+1+IF($AD$148&lt;25,1,2),$M274:$Z284,14),""),"")</f>
        <v>#REF!</v>
      </c>
    </row>
    <row r="280" spans="13:39" x14ac:dyDescent="0.2">
      <c r="M280" s="200">
        <v>7</v>
      </c>
      <c r="N280" s="21"/>
      <c r="O280" s="210"/>
      <c r="P280" s="210">
        <v>2</v>
      </c>
      <c r="Q280" s="240">
        <v>0</v>
      </c>
      <c r="R280" s="241">
        <v>0</v>
      </c>
      <c r="S280" s="241">
        <v>0</v>
      </c>
      <c r="T280" s="242">
        <v>0</v>
      </c>
      <c r="U280" s="240">
        <v>-9.6999999999999993</v>
      </c>
      <c r="V280" s="241">
        <v>-18.899999999999999</v>
      </c>
      <c r="W280" s="241">
        <v>-2.6</v>
      </c>
      <c r="X280" s="243">
        <v>-12.1</v>
      </c>
      <c r="Y280" s="240">
        <v>0</v>
      </c>
      <c r="Z280" s="242">
        <v>0</v>
      </c>
      <c r="AA280" s="218">
        <v>128</v>
      </c>
      <c r="AB280" s="229"/>
      <c r="AC280" s="230" t="e">
        <f>IF($C$8=$N279,IF(AND($AD$148&gt;=25,$AD$148&lt;=45),$AD$148,""),"")</f>
        <v>#REF!</v>
      </c>
      <c r="AD280" s="230" t="e">
        <f t="shared" ref="AD280:AM280" si="50">IF($C$8=$N279,IF(AND($AD$148&gt;=25,$AD$148&lt;=45),(AD279-AD278)*($AD$148-$AC278)/($AC279-$AC278)+AD278,""),"")</f>
        <v>#REF!</v>
      </c>
      <c r="AE280" s="230" t="e">
        <f t="shared" si="50"/>
        <v>#REF!</v>
      </c>
      <c r="AF280" s="230" t="e">
        <f t="shared" si="50"/>
        <v>#REF!</v>
      </c>
      <c r="AG280" s="230" t="e">
        <f t="shared" si="50"/>
        <v>#REF!</v>
      </c>
      <c r="AH280" s="230" t="e">
        <f t="shared" si="50"/>
        <v>#REF!</v>
      </c>
      <c r="AI280" s="230" t="e">
        <f t="shared" si="50"/>
        <v>#REF!</v>
      </c>
      <c r="AJ280" s="230" t="e">
        <f t="shared" si="50"/>
        <v>#REF!</v>
      </c>
      <c r="AK280" s="230" t="e">
        <f t="shared" si="50"/>
        <v>#REF!</v>
      </c>
      <c r="AL280" s="230" t="e">
        <f t="shared" si="50"/>
        <v>#REF!</v>
      </c>
      <c r="AM280" s="231" t="e">
        <f t="shared" si="50"/>
        <v>#REF!</v>
      </c>
    </row>
    <row r="281" spans="13:39" x14ac:dyDescent="0.2">
      <c r="M281" s="200">
        <v>8</v>
      </c>
      <c r="N281" s="21"/>
      <c r="O281" s="235">
        <v>30</v>
      </c>
      <c r="P281" s="235">
        <v>1</v>
      </c>
      <c r="Q281" s="236">
        <v>51.5</v>
      </c>
      <c r="R281" s="237">
        <v>35.200000000000003</v>
      </c>
      <c r="S281" s="237">
        <v>41</v>
      </c>
      <c r="T281" s="238">
        <v>28.2</v>
      </c>
      <c r="U281" s="236">
        <v>4</v>
      </c>
      <c r="V281" s="237">
        <v>-31.3</v>
      </c>
      <c r="W281" s="237">
        <v>1.3</v>
      </c>
      <c r="X281" s="239">
        <v>-26.9</v>
      </c>
      <c r="Y281" s="236">
        <v>-18.100000000000001</v>
      </c>
      <c r="Z281" s="238">
        <v>-20.7</v>
      </c>
      <c r="AA281" s="218">
        <v>129</v>
      </c>
      <c r="AB281" s="270"/>
      <c r="AC281" s="552"/>
      <c r="AD281" s="552"/>
      <c r="AE281" s="552"/>
      <c r="AF281" s="552"/>
      <c r="AG281" s="552"/>
      <c r="AH281" s="552"/>
      <c r="AI281" s="552"/>
      <c r="AJ281" s="552"/>
      <c r="AK281" s="552"/>
      <c r="AL281" s="552"/>
      <c r="AM281" s="553"/>
    </row>
    <row r="282" spans="13:39" x14ac:dyDescent="0.2">
      <c r="M282" s="200">
        <v>9</v>
      </c>
      <c r="N282" s="249"/>
      <c r="O282" s="210"/>
      <c r="P282" s="210">
        <v>2</v>
      </c>
      <c r="Q282" s="240">
        <v>51.5</v>
      </c>
      <c r="R282" s="241">
        <v>35.200000000000003</v>
      </c>
      <c r="S282" s="241">
        <v>41</v>
      </c>
      <c r="T282" s="242">
        <v>28.2</v>
      </c>
      <c r="U282" s="240">
        <v>19.8</v>
      </c>
      <c r="V282" s="241">
        <v>-15.4</v>
      </c>
      <c r="W282" s="241">
        <v>17.2</v>
      </c>
      <c r="X282" s="243">
        <v>-11</v>
      </c>
      <c r="Y282" s="240">
        <v>-18.100000000000001</v>
      </c>
      <c r="Z282" s="242">
        <v>-20.7</v>
      </c>
      <c r="AA282" s="218">
        <v>130</v>
      </c>
      <c r="AB282" s="270"/>
      <c r="AC282" s="552"/>
      <c r="AD282" s="552"/>
      <c r="AE282" s="552"/>
      <c r="AF282" s="552"/>
      <c r="AG282" s="552"/>
      <c r="AH282" s="552"/>
      <c r="AI282" s="552"/>
      <c r="AJ282" s="552"/>
      <c r="AK282" s="552"/>
      <c r="AL282" s="552"/>
      <c r="AM282" s="553"/>
    </row>
    <row r="283" spans="13:39" x14ac:dyDescent="0.2">
      <c r="M283" s="200">
        <v>10</v>
      </c>
      <c r="N283" s="21"/>
      <c r="O283" s="235">
        <v>45</v>
      </c>
      <c r="P283" s="235">
        <v>1</v>
      </c>
      <c r="Q283" s="236">
        <v>51.5</v>
      </c>
      <c r="R283" s="237">
        <v>35.200000000000003</v>
      </c>
      <c r="S283" s="237">
        <v>41</v>
      </c>
      <c r="T283" s="238">
        <v>28.2</v>
      </c>
      <c r="U283" s="236">
        <v>4</v>
      </c>
      <c r="V283" s="237">
        <v>-31.3</v>
      </c>
      <c r="W283" s="237">
        <v>1.3</v>
      </c>
      <c r="X283" s="239">
        <v>-26.9</v>
      </c>
      <c r="Y283" s="236">
        <v>-18.100000000000001</v>
      </c>
      <c r="Z283" s="238">
        <v>-20.7</v>
      </c>
      <c r="AA283" s="218">
        <v>131</v>
      </c>
      <c r="AB283" s="270"/>
      <c r="AC283" s="552"/>
      <c r="AD283" s="552"/>
      <c r="AE283" s="552"/>
      <c r="AF283" s="552"/>
      <c r="AG283" s="552"/>
      <c r="AH283" s="552"/>
      <c r="AI283" s="552"/>
      <c r="AJ283" s="552"/>
      <c r="AK283" s="552"/>
      <c r="AL283" s="552"/>
      <c r="AM283" s="553"/>
    </row>
    <row r="284" spans="13:39" x14ac:dyDescent="0.2">
      <c r="M284" s="200">
        <v>11</v>
      </c>
      <c r="N284" s="22"/>
      <c r="O284" s="250"/>
      <c r="P284" s="250">
        <v>2</v>
      </c>
      <c r="Q284" s="251">
        <v>51.5</v>
      </c>
      <c r="R284" s="252">
        <v>35.200000000000003</v>
      </c>
      <c r="S284" s="252">
        <v>41</v>
      </c>
      <c r="T284" s="253">
        <v>28.2</v>
      </c>
      <c r="U284" s="251">
        <v>19.8</v>
      </c>
      <c r="V284" s="252">
        <v>-15.4</v>
      </c>
      <c r="W284" s="252">
        <v>17.2</v>
      </c>
      <c r="X284" s="254">
        <v>-11</v>
      </c>
      <c r="Y284" s="251">
        <v>-18.100000000000001</v>
      </c>
      <c r="Z284" s="253">
        <v>-20.7</v>
      </c>
      <c r="AA284" s="218">
        <v>132</v>
      </c>
      <c r="AB284" s="271"/>
      <c r="AC284" s="555"/>
      <c r="AD284" s="555"/>
      <c r="AE284" s="555"/>
      <c r="AF284" s="555"/>
      <c r="AG284" s="555"/>
      <c r="AH284" s="555"/>
      <c r="AI284" s="555"/>
      <c r="AJ284" s="555"/>
      <c r="AK284" s="555"/>
      <c r="AL284" s="555"/>
      <c r="AM284" s="556"/>
    </row>
    <row r="285" spans="13:39" x14ac:dyDescent="0.2">
      <c r="AA285" s="218" t="e">
        <f>MATCH(MAX($AB$153:$AB$284),$AB$153:$AB$284,0)</f>
        <v>#REF!</v>
      </c>
      <c r="AB285" s="200" t="s">
        <v>22</v>
      </c>
      <c r="AC285" s="275" t="e">
        <f>VLOOKUP($AA$285,$AA$153:$AM$284,3)</f>
        <v>#REF!</v>
      </c>
      <c r="AD285" s="275" t="e">
        <f>VLOOKUP($AA$285,$AA$153:$AM$284,4)</f>
        <v>#REF!</v>
      </c>
      <c r="AE285" s="275" t="e">
        <f>VLOOKUP($AA$285,$AA$153:$AM$284,5)</f>
        <v>#REF!</v>
      </c>
      <c r="AF285" s="275" t="e">
        <f>VLOOKUP($AA$285,$AA$153:$AM$284,6)</f>
        <v>#REF!</v>
      </c>
      <c r="AG285" s="275" t="e">
        <f>VLOOKUP($AA$285,$AA$153:$AM$284,7)</f>
        <v>#REF!</v>
      </c>
      <c r="AH285" s="275" t="e">
        <f>VLOOKUP($AA$285,$AA$153:$AM$284,8)</f>
        <v>#REF!</v>
      </c>
      <c r="AI285" s="275" t="e">
        <f>VLOOKUP($AA$285,$AA$153:$AM$284,9)</f>
        <v>#REF!</v>
      </c>
      <c r="AJ285" s="275" t="e">
        <f>VLOOKUP($AA$285,$AA$153:$AM$284,10)</f>
        <v>#REF!</v>
      </c>
      <c r="AK285" s="275" t="e">
        <f>VLOOKUP($AA$285,$AA$153:$AM$284,11)</f>
        <v>#REF!</v>
      </c>
      <c r="AL285" s="275" t="e">
        <f>VLOOKUP($AA$285,$AA$153:$AM$284,12)</f>
        <v>#REF!</v>
      </c>
      <c r="AM285" s="275" t="e">
        <f>VLOOKUP($AA$285,$AA$153:$AM$284,13)</f>
        <v>#REF!</v>
      </c>
    </row>
    <row r="286" spans="13:39" x14ac:dyDescent="0.2">
      <c r="AA286" s="218" t="str">
        <f>IF(AND($AD$148&gt;=25,$AD$148&lt;=45),$AA$285+4,"")</f>
        <v/>
      </c>
      <c r="AB286" s="477"/>
      <c r="AC286" s="477" t="str">
        <f>IF(AND($AD$148&gt;=25,$AD$148&lt;=45),VLOOKUP($AA$286,$AA$153:$AM$284,3),"")</f>
        <v/>
      </c>
      <c r="AD286" s="477" t="str">
        <f>IF(AND($AD$148&gt;=25,$AD$148&lt;=45),VLOOKUP($AA$286,$AA$153:$AM$284,4),"")</f>
        <v/>
      </c>
      <c r="AE286" s="477" t="str">
        <f>IF(AND($AD$148&gt;=25,$AD$148&lt;=45),VLOOKUP($AA$286,$AA$153:$AM$284,5),"")</f>
        <v/>
      </c>
      <c r="AF286" s="477" t="str">
        <f>IF(AND($AD$148&gt;=25,$AD$148&lt;=45),VLOOKUP($AA$286,$AA$153:$AM$284,6),"")</f>
        <v/>
      </c>
      <c r="AG286" s="477" t="str">
        <f>IF(AND($AD$148&gt;=25,$AD$148&lt;=45),VLOOKUP($AA$286,$AA$153:$AM$284,7),"")</f>
        <v/>
      </c>
      <c r="AH286" s="477" t="str">
        <f>IF(AND($AD$148&gt;=25,$AD$148&lt;=45),VLOOKUP($AA$286,$AA$153:$AM$284,8),"")</f>
        <v/>
      </c>
      <c r="AI286" s="477" t="str">
        <f>IF(AND($AD$148&gt;=25,$AD$148&lt;=45),VLOOKUP($AA$286,$AA$153:$AM$284,9),"")</f>
        <v/>
      </c>
      <c r="AJ286" s="477" t="str">
        <f>IF(AND($AD$148&gt;=25,$AD$148&lt;=45),VLOOKUP($AA$286,$AA$153:$AM$284,10),"")</f>
        <v/>
      </c>
      <c r="AK286" s="477" t="str">
        <f>IF(AND($AD$148&gt;=25,$AD$148&lt;=45),VLOOKUP($AA$286,$AA$153:$AM$284,11),"")</f>
        <v/>
      </c>
      <c r="AL286" s="477" t="str">
        <f>IF(AND($AD$148&gt;=25,$AD$148&lt;=45),VLOOKUP($AA$286,$AA$153:$AM$284,12),"")</f>
        <v/>
      </c>
      <c r="AM286" s="477" t="str">
        <f>IF(AND($AD$148&gt;=25,$AD$148&lt;=45),VLOOKUP($AA$286,$AA$153:$AM$284,13),"")</f>
        <v/>
      </c>
    </row>
    <row r="287" spans="13:39" x14ac:dyDescent="0.2">
      <c r="N287" s="276" t="s">
        <v>148</v>
      </c>
      <c r="O287" s="277"/>
      <c r="P287" s="277"/>
      <c r="Q287" s="30"/>
      <c r="S287" s="3" t="s">
        <v>153</v>
      </c>
      <c r="T287" s="3"/>
      <c r="U287" s="3"/>
      <c r="V287" s="3"/>
      <c r="W287" s="3"/>
    </row>
    <row r="288" spans="13:39" x14ac:dyDescent="0.2">
      <c r="N288" s="191" t="s">
        <v>156</v>
      </c>
      <c r="O288" s="193"/>
      <c r="P288" s="193"/>
      <c r="Q288" s="192"/>
      <c r="S288" s="3"/>
      <c r="T288" s="7" t="s">
        <v>260</v>
      </c>
      <c r="U288" s="4" t="e">
        <f>IF($C$13&lt;=$C$14,$C$13,$C$14)</f>
        <v>#REF!</v>
      </c>
      <c r="V288" s="3" t="s">
        <v>311</v>
      </c>
      <c r="W288" s="3"/>
    </row>
    <row r="289" spans="13:23" x14ac:dyDescent="0.2">
      <c r="M289" s="200" t="s">
        <v>99</v>
      </c>
      <c r="N289" s="22" t="s">
        <v>151</v>
      </c>
      <c r="O289" s="198" t="s">
        <v>13</v>
      </c>
      <c r="P289" s="198" t="s">
        <v>319</v>
      </c>
      <c r="Q289" s="198" t="s">
        <v>50</v>
      </c>
      <c r="S289" s="3"/>
      <c r="T289" s="9" t="s">
        <v>261</v>
      </c>
      <c r="U289" s="4" t="e">
        <f>0.1*$U$288</f>
        <v>#REF!</v>
      </c>
      <c r="V289" s="3" t="s">
        <v>311</v>
      </c>
      <c r="W289" s="3"/>
    </row>
    <row r="290" spans="13:23" x14ac:dyDescent="0.2">
      <c r="M290" s="278">
        <v>1</v>
      </c>
      <c r="N290" s="205">
        <v>15</v>
      </c>
      <c r="O290" s="279">
        <v>1</v>
      </c>
      <c r="P290" s="280">
        <v>1.21</v>
      </c>
      <c r="Q290" s="281">
        <v>1.47</v>
      </c>
      <c r="S290" s="3"/>
      <c r="T290" s="7" t="s">
        <v>310</v>
      </c>
      <c r="U290" s="4" t="e">
        <f>IF($U$289&lt;=0.4*$AD$7,$U$289,0.4*$AD$7)</f>
        <v>#REF!</v>
      </c>
      <c r="V290" s="3" t="s">
        <v>311</v>
      </c>
      <c r="W290" s="3"/>
    </row>
    <row r="291" spans="13:23" x14ac:dyDescent="0.2">
      <c r="M291" s="278">
        <v>2</v>
      </c>
      <c r="N291" s="223">
        <v>20</v>
      </c>
      <c r="O291" s="282">
        <v>1</v>
      </c>
      <c r="P291" s="283">
        <v>1.29</v>
      </c>
      <c r="Q291" s="284">
        <v>1.55</v>
      </c>
      <c r="S291" s="3"/>
      <c r="T291" s="7" t="s">
        <v>262</v>
      </c>
      <c r="U291" s="4" t="e">
        <f>IF($U$290&gt;=0.04*$U$288,$U$290,0.04*$U$288)</f>
        <v>#REF!</v>
      </c>
      <c r="V291" s="3" t="s">
        <v>311</v>
      </c>
      <c r="W291" s="3"/>
    </row>
    <row r="292" spans="13:23" x14ac:dyDescent="0.2">
      <c r="M292" s="278">
        <v>3</v>
      </c>
      <c r="N292" s="223">
        <v>25</v>
      </c>
      <c r="O292" s="282">
        <v>1</v>
      </c>
      <c r="P292" s="283">
        <v>1.35</v>
      </c>
      <c r="Q292" s="284">
        <v>1.61</v>
      </c>
      <c r="S292" s="3"/>
      <c r="T292" s="7" t="s">
        <v>312</v>
      </c>
      <c r="U292" s="4" t="e">
        <f>IF($U$291&gt;=3,$U$291,3)</f>
        <v>#REF!</v>
      </c>
      <c r="V292" s="3" t="s">
        <v>311</v>
      </c>
      <c r="W292" s="3"/>
    </row>
    <row r="293" spans="13:23" x14ac:dyDescent="0.2">
      <c r="M293" s="278">
        <v>4</v>
      </c>
      <c r="N293" s="223">
        <v>30</v>
      </c>
      <c r="O293" s="282">
        <v>1</v>
      </c>
      <c r="P293" s="283">
        <v>1.4</v>
      </c>
      <c r="Q293" s="284">
        <v>1.66</v>
      </c>
      <c r="S293" s="3"/>
      <c r="T293" s="7" t="s">
        <v>309</v>
      </c>
      <c r="U293" s="4" t="e">
        <f>$U$292</f>
        <v>#REF!</v>
      </c>
      <c r="V293" s="3" t="s">
        <v>311</v>
      </c>
      <c r="W293" s="3"/>
    </row>
    <row r="294" spans="13:23" x14ac:dyDescent="0.2">
      <c r="M294" s="278">
        <v>5</v>
      </c>
      <c r="N294" s="223">
        <v>35</v>
      </c>
      <c r="O294" s="282">
        <v>1.05</v>
      </c>
      <c r="P294" s="283">
        <v>1.45</v>
      </c>
      <c r="Q294" s="284">
        <v>1.7</v>
      </c>
    </row>
    <row r="295" spans="13:23" x14ac:dyDescent="0.2">
      <c r="M295" s="278">
        <v>6</v>
      </c>
      <c r="N295" s="223">
        <v>40</v>
      </c>
      <c r="O295" s="282">
        <v>1.0900000000000001</v>
      </c>
      <c r="P295" s="283">
        <v>1.49</v>
      </c>
      <c r="Q295" s="284">
        <v>1.74</v>
      </c>
    </row>
    <row r="296" spans="13:23" x14ac:dyDescent="0.2">
      <c r="M296" s="278">
        <v>7</v>
      </c>
      <c r="N296" s="223">
        <v>45</v>
      </c>
      <c r="O296" s="282">
        <v>1.1200000000000001</v>
      </c>
      <c r="P296" s="283">
        <v>1.53</v>
      </c>
      <c r="Q296" s="284">
        <v>1.78</v>
      </c>
    </row>
    <row r="297" spans="13:23" x14ac:dyDescent="0.2">
      <c r="M297" s="278">
        <v>8</v>
      </c>
      <c r="N297" s="223">
        <v>50</v>
      </c>
      <c r="O297" s="282">
        <v>1.26</v>
      </c>
      <c r="P297" s="283">
        <v>1.56</v>
      </c>
      <c r="Q297" s="284">
        <v>1.81</v>
      </c>
    </row>
    <row r="298" spans="13:23" x14ac:dyDescent="0.2">
      <c r="M298" s="278">
        <v>9</v>
      </c>
      <c r="N298" s="223">
        <v>55</v>
      </c>
      <c r="O298" s="282">
        <v>1.19</v>
      </c>
      <c r="P298" s="283">
        <v>1.59</v>
      </c>
      <c r="Q298" s="284">
        <v>1.84</v>
      </c>
    </row>
    <row r="299" spans="13:23" x14ac:dyDescent="0.2">
      <c r="M299" s="278">
        <v>10</v>
      </c>
      <c r="N299" s="245">
        <v>60</v>
      </c>
      <c r="O299" s="285">
        <v>1.22</v>
      </c>
      <c r="P299" s="286">
        <v>1.62</v>
      </c>
      <c r="Q299" s="287">
        <v>1.87</v>
      </c>
    </row>
    <row r="301" spans="13:23" x14ac:dyDescent="0.2">
      <c r="N301" s="6" t="s">
        <v>152</v>
      </c>
      <c r="O301" s="15" t="s">
        <v>13</v>
      </c>
      <c r="P301" s="15" t="s">
        <v>319</v>
      </c>
      <c r="Q301" s="15" t="s">
        <v>50</v>
      </c>
    </row>
    <row r="302" spans="13:23" x14ac:dyDescent="0.2">
      <c r="N302" s="19" t="e">
        <f>IF($AD$149&lt;15,15,VLOOKUP(MATCH($AD$149,$N$290:$N$299,1),$M$290:$Q$299,2))</f>
        <v>#REF!</v>
      </c>
      <c r="O302" s="19" t="e">
        <f>IF($AD$149&lt;15,1,VLOOKUP(MATCH($AD$149,$N$290:$N$299,1),$M$290:$Q$299,3))</f>
        <v>#REF!</v>
      </c>
      <c r="P302" s="19" t="e">
        <f>IF($AD$149&lt;15,1.21,VLOOKUP(MATCH($AD$149,$N$290:$N$299,1),$M$290:$Q$299,4))</f>
        <v>#REF!</v>
      </c>
      <c r="Q302" s="19" t="e">
        <f>IF($AD$149&lt;15,1.47,VLOOKUP(MATCH($AD$149,$N$290:$N$299,1),$M$290:$Q$299,5))</f>
        <v>#REF!</v>
      </c>
    </row>
    <row r="303" spans="13:23" x14ac:dyDescent="0.2">
      <c r="N303" s="19" t="e">
        <f>IF($AD$149&lt;15,15,VLOOKUP(MATCH($AD$149,$N$290:$N$299,1)+1,$M$290:$Q$299,2))</f>
        <v>#REF!</v>
      </c>
      <c r="O303" s="19" t="e">
        <f>IF($AD$149&lt;15,1,VLOOKUP(MATCH($AD$149,$N$290:$N$299,1)+1,$M$290:$Q$299,3))</f>
        <v>#REF!</v>
      </c>
      <c r="P303" s="19" t="e">
        <f>IF($AD$149&lt;15,1.21,VLOOKUP(MATCH($AD$149,$N$290:$N$299,1)+1,$M$290:$Q$299,4))</f>
        <v>#REF!</v>
      </c>
      <c r="Q303" s="19" t="e">
        <f>IF($AD$149&lt;15,1.47,VLOOKUP(MATCH($AD$149,$N$290:$N$299,1)+1,$M$290:$Q$299,5))</f>
        <v>#REF!</v>
      </c>
    </row>
    <row r="304" spans="13:23" x14ac:dyDescent="0.2">
      <c r="M304" s="18"/>
      <c r="N304" s="19" t="e">
        <f>$AD$149</f>
        <v>#REF!</v>
      </c>
      <c r="O304" s="19" t="e">
        <f>IF($AD$149&lt;15,1,IF($N$304=60,$O$303,($O$303-$O$302)*($N$304-$N$302)/($N$303-$N$302)+$O$302))</f>
        <v>#REF!</v>
      </c>
      <c r="P304" s="19" t="e">
        <f>IF($AD$149&lt;15,1.21,IF($N$304=60,$P$303,($P$303-$P$302)*($N$304-$N$302)/($N$303-$N$302)+$P$302))</f>
        <v>#REF!</v>
      </c>
      <c r="Q304" s="19" t="e">
        <f>IF($AD$149&lt;15,1.47,IF($N$304=60,$Q$303,($Q$303-$Q$302)*($N$304-$N$302)/($N$303-$N$302)+$Q$302))</f>
        <v>#REF!</v>
      </c>
    </row>
    <row r="305" spans="14:15" x14ac:dyDescent="0.2">
      <c r="N305" s="18" t="s">
        <v>157</v>
      </c>
      <c r="O305" s="407" t="e">
        <f>IF($C$10="B",$O$304,IF($C$10="C",$P$304,IF($C$10="D",$Q$304)))</f>
        <v>#REF!</v>
      </c>
    </row>
  </sheetData>
  <sheetProtection sheet="1" objects="1" scenarios="1"/>
  <phoneticPr fontId="36" type="noConversion"/>
  <dataValidations disablePrompts="1" xWindow="115" yWindow="462" count="11">
    <dataValidation type="decimal" operator="greaterThanOrEqual" allowBlank="1" showInputMessage="1" showErrorMessage="1" prompt="For no roof overhangs, input overhang area = 0." sqref="C21" xr:uid="{B536D404-C471-441C-8316-9A4BDD4C5668}">
      <formula1>0</formula1>
    </dataValidation>
    <dataValidation type="decimal" operator="greaterThanOrEqual" allowBlank="1" showInputMessage="1" showErrorMessage="1" sqref="C20" xr:uid="{B007C65E-6687-49A4-BBFB-1228925D5E1C}">
      <formula1>0</formula1>
    </dataValidation>
    <dataValidation type="decimal" allowBlank="1" showInputMessage="1" showErrorMessage="1" error="&quot;he&quot; MUST BE &gt;= 15' and &lt; 60'" sqref="C12" xr:uid="{B0422328-3CFD-40C6-B2DC-3541CB60019E}">
      <formula1>1</formula1>
      <formula2>60</formula2>
    </dataValidation>
    <dataValidation type="decimal" operator="greaterThanOrEqual" allowBlank="1" showInputMessage="1" showErrorMessage="1" error="&quot;hr&quot; MUST BE &gt;= 15' and &gt;= &quot;he&quot;" sqref="C11" xr:uid="{9BEFA09B-E36B-4FBD-BD13-B83F5F91F3A5}">
      <formula1>1</formula1>
    </dataValidation>
    <dataValidation type="list" allowBlank="1" showInputMessage="1" showErrorMessage="1" errorTitle="Warning!" error="Invalid building category_x000a_Must input either I, II, III, or IV" sqref="C9" xr:uid="{31C15EA7-170D-48D7-A8DF-2A5C8D40286B}">
      <formula1>$L$15:$L$18</formula1>
    </dataValidation>
    <dataValidation type="list" allowBlank="1" showInputMessage="1" showErrorMessage="1" errorTitle="Warning!" error="Invalid wind speed" sqref="C8" xr:uid="{056FAD08-A8DE-4573-9FAA-F08588129C3E}">
      <formula1>$L$3:$L$14</formula1>
    </dataValidation>
    <dataValidation type="list" allowBlank="1" showInputMessage="1" showErrorMessage="1" errorTitle="Warning!" error="Invalid reply" sqref="C19" xr:uid="{737561CC-1B67-43AC-B735-3D8CEE936353}">
      <formula1>$L$24:$L$27</formula1>
    </dataValidation>
    <dataValidation type="list" allowBlank="1" showInputMessage="1" showErrorMessage="1" errorTitle="Warning!" error="Invalid reply" sqref="C17" xr:uid="{DBC8F23D-E089-47E1-AF4F-D8B0A10E7167}">
      <formula1>$L$28:$L$31</formula1>
    </dataValidation>
    <dataValidation type="list" allowBlank="1" showInputMessage="1" showErrorMessage="1" errorTitle="Warning!" error="Invalid exposure category_x000a_Must input either B, C, or D" sqref="C10" xr:uid="{71F0A689-A9F6-479A-9F5B-38FB6BFF971A}">
      <formula1>$L$19:$L$21</formula1>
    </dataValidation>
    <dataValidation type="list" allowBlank="1" showInputMessage="1" showErrorMessage="1" errorTitle="Warning!" error="Invalid roof type (must input either G or M)" sqref="C15" xr:uid="{EDB61A1B-BA05-41D4-B610-E6895A70E97F}">
      <formula1>$L$22:$L$23</formula1>
    </dataValidation>
    <dataValidation type="list" allowBlank="1" showInputMessage="1" showErrorMessage="1" prompt="Is location in a hurricane prone or non-hurricane prone region?" sqref="C22" xr:uid="{7A4292CC-393A-4F4C-BE52-23318618EFC8}">
      <formula1>$L$32:$L$33</formula1>
    </dataValidation>
  </dataValidations>
  <pageMargins left="1" right="0.5" top="1" bottom="1" header="0.5" footer="0.5"/>
  <pageSetup scale="90" orientation="portrait" horizontalDpi="4294967292" r:id="rId1"/>
  <headerFooter alignWithMargins="0">
    <oddHeader>&amp;R"ASCE705W.xls" Program
Version 1.1</oddHeader>
    <oddFooter>&amp;C&amp;P of &amp;N&amp;R&amp;D  &amp;T</oddFooter>
  </headerFooter>
  <rowBreaks count="2" manualBreakCount="2">
    <brk id="58" max="9" man="1"/>
    <brk id="116" max="9" man="1"/>
  </rowBreaks>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Input</vt:lpstr>
      <vt:lpstr>Building - Ngang</vt:lpstr>
      <vt:lpstr>Bulding - Doc</vt:lpstr>
      <vt:lpstr>Nhập vào sap2000-nhà cao</vt:lpstr>
      <vt:lpstr>Simplified</vt:lpstr>
      <vt:lpstr>'Building - Ngang'!Print_Area</vt:lpstr>
      <vt:lpstr>'Bulding - Doc'!Print_Area</vt:lpstr>
      <vt:lpstr>Input!Print_Area</vt:lpstr>
      <vt:lpstr>Simplified!Print_Area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"ASCE705W" Program</dc:title>
  <dc:creator>Alex Tomanovich, P.E. - 151 Shadow Lane, Lyman SC 29365 - Home: 864-968-2699 - Email: ATomanovich@bellsouth.net</dc:creator>
  <dc:description>ASCE 7-05 Code Wind Analysis Program</dc:description>
  <cp:lastModifiedBy>toan huynh vu minh</cp:lastModifiedBy>
  <cp:lastPrinted>2024-06-26T02:37:50Z</cp:lastPrinted>
  <dcterms:created xsi:type="dcterms:W3CDTF">2000-02-14T22:01:47Z</dcterms:created>
  <dcterms:modified xsi:type="dcterms:W3CDTF">2025-10-16T08:24:21Z</dcterms:modified>
  <cp:category>Structural Enginnering Analysis/Design</cp:category>
</cp:coreProperties>
</file>