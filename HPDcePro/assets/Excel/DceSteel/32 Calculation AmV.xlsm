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8A88BE12-A76D-4899-894F-70BCA606E337}" xr6:coauthVersionLast="47" xr6:coauthVersionMax="47" xr10:uidLastSave="{00000000-0000-0000-0000-000000000000}"/>
  <bookViews>
    <workbookView xWindow="-120" yWindow="-120" windowWidth="29040" windowHeight="15720" xr2:uid="{0713E3CE-4A1C-4D33-855C-CD664633FFE1}"/>
  </bookViews>
  <sheets>
    <sheet name="AmV" sheetId="5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21" i="5" l="1"/>
  <c r="AQ22" i="5"/>
  <c r="AQ23" i="5"/>
  <c r="AR23" i="5" s="1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Q37" i="5"/>
  <c r="AQ38" i="5"/>
  <c r="AQ39" i="5"/>
  <c r="AQ40" i="5"/>
  <c r="AQ41" i="5"/>
  <c r="AQ42" i="5"/>
  <c r="AQ43" i="5"/>
  <c r="AQ44" i="5"/>
  <c r="AQ45" i="5"/>
  <c r="AQ46" i="5"/>
  <c r="AQ47" i="5"/>
  <c r="AQ48" i="5"/>
  <c r="AQ49" i="5"/>
  <c r="AQ20" i="5"/>
  <c r="AP21" i="5"/>
  <c r="AP22" i="5"/>
  <c r="AP23" i="5"/>
  <c r="AP24" i="5"/>
  <c r="AP25" i="5"/>
  <c r="AP26" i="5"/>
  <c r="AP27" i="5"/>
  <c r="AP28" i="5"/>
  <c r="AP29" i="5"/>
  <c r="AP30" i="5"/>
  <c r="AP31" i="5"/>
  <c r="AR31" i="5" s="1"/>
  <c r="AP32" i="5"/>
  <c r="AP33" i="5"/>
  <c r="AP34" i="5"/>
  <c r="AP35" i="5"/>
  <c r="AP36" i="5"/>
  <c r="AP37" i="5"/>
  <c r="AP38" i="5"/>
  <c r="AP39" i="5"/>
  <c r="AP40" i="5"/>
  <c r="AP41" i="5"/>
  <c r="AP42" i="5"/>
  <c r="AP43" i="5"/>
  <c r="AR43" i="5" s="1"/>
  <c r="AP44" i="5"/>
  <c r="AP45" i="5"/>
  <c r="AP46" i="5"/>
  <c r="AP47" i="5"/>
  <c r="AP48" i="5"/>
  <c r="AR48" i="5" s="1"/>
  <c r="AP49" i="5"/>
  <c r="AP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R49" i="5" s="1"/>
  <c r="AO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20" i="5"/>
  <c r="AR30" i="5"/>
  <c r="AR26" i="5"/>
  <c r="AH29" i="5"/>
  <c r="AI29" i="5" s="1"/>
  <c r="AH30" i="5"/>
  <c r="AI30" i="5" s="1"/>
  <c r="AH41" i="5"/>
  <c r="AI41" i="5" s="1"/>
  <c r="AH42" i="5"/>
  <c r="AI42" i="5" s="1"/>
  <c r="AG21" i="5"/>
  <c r="AG22" i="5"/>
  <c r="AH22" i="5" s="1"/>
  <c r="AI22" i="5" s="1"/>
  <c r="AG23" i="5"/>
  <c r="AG24" i="5"/>
  <c r="AH24" i="5" s="1"/>
  <c r="AI24" i="5" s="1"/>
  <c r="AG25" i="5"/>
  <c r="AH25" i="5" s="1"/>
  <c r="AI25" i="5" s="1"/>
  <c r="AG26" i="5"/>
  <c r="AG27" i="5"/>
  <c r="AH27" i="5" s="1"/>
  <c r="AI27" i="5" s="1"/>
  <c r="AG28" i="5"/>
  <c r="AG29" i="5"/>
  <c r="AG30" i="5"/>
  <c r="AG31" i="5"/>
  <c r="AG32" i="5"/>
  <c r="AH32" i="5" s="1"/>
  <c r="AI32" i="5" s="1"/>
  <c r="AG33" i="5"/>
  <c r="AG34" i="5"/>
  <c r="AH34" i="5" s="1"/>
  <c r="AI34" i="5" s="1"/>
  <c r="AG35" i="5"/>
  <c r="AG36" i="5"/>
  <c r="AH36" i="5" s="1"/>
  <c r="AI36" i="5" s="1"/>
  <c r="AG37" i="5"/>
  <c r="AH37" i="5" s="1"/>
  <c r="AI37" i="5" s="1"/>
  <c r="AG38" i="5"/>
  <c r="AG39" i="5"/>
  <c r="AH39" i="5" s="1"/>
  <c r="AI39" i="5" s="1"/>
  <c r="AG40" i="5"/>
  <c r="AG41" i="5"/>
  <c r="AG42" i="5"/>
  <c r="AG43" i="5"/>
  <c r="AG44" i="5"/>
  <c r="AH44" i="5" s="1"/>
  <c r="AI44" i="5" s="1"/>
  <c r="AG45" i="5"/>
  <c r="AG46" i="5"/>
  <c r="AH46" i="5" s="1"/>
  <c r="AI46" i="5" s="1"/>
  <c r="AG47" i="5"/>
  <c r="AG48" i="5"/>
  <c r="AH48" i="5" s="1"/>
  <c r="AI48" i="5" s="1"/>
  <c r="AG49" i="5"/>
  <c r="AH49" i="5" s="1"/>
  <c r="AI49" i="5" s="1"/>
  <c r="AG20" i="5"/>
  <c r="AF21" i="5"/>
  <c r="AH21" i="5" s="1"/>
  <c r="AI21" i="5" s="1"/>
  <c r="AF22" i="5"/>
  <c r="AF23" i="5"/>
  <c r="AH23" i="5" s="1"/>
  <c r="AI23" i="5" s="1"/>
  <c r="AF24" i="5"/>
  <c r="AF25" i="5"/>
  <c r="AF26" i="5"/>
  <c r="AH26" i="5" s="1"/>
  <c r="AI26" i="5" s="1"/>
  <c r="AF27" i="5"/>
  <c r="AF28" i="5"/>
  <c r="AH28" i="5" s="1"/>
  <c r="AI28" i="5" s="1"/>
  <c r="AF29" i="5"/>
  <c r="AF30" i="5"/>
  <c r="AF31" i="5"/>
  <c r="AH31" i="5" s="1"/>
  <c r="AI31" i="5" s="1"/>
  <c r="AF32" i="5"/>
  <c r="AF33" i="5"/>
  <c r="AH33" i="5" s="1"/>
  <c r="AI33" i="5" s="1"/>
  <c r="AF34" i="5"/>
  <c r="AF35" i="5"/>
  <c r="AH35" i="5" s="1"/>
  <c r="AI35" i="5" s="1"/>
  <c r="AF36" i="5"/>
  <c r="AF37" i="5"/>
  <c r="AF38" i="5"/>
  <c r="AH38" i="5" s="1"/>
  <c r="AI38" i="5" s="1"/>
  <c r="AF39" i="5"/>
  <c r="AF40" i="5"/>
  <c r="AH40" i="5" s="1"/>
  <c r="AI40" i="5" s="1"/>
  <c r="AF41" i="5"/>
  <c r="AF42" i="5"/>
  <c r="AF43" i="5"/>
  <c r="AH43" i="5" s="1"/>
  <c r="AI43" i="5" s="1"/>
  <c r="AF44" i="5"/>
  <c r="AF45" i="5"/>
  <c r="AH45" i="5" s="1"/>
  <c r="AI45" i="5" s="1"/>
  <c r="AF46" i="5"/>
  <c r="AF47" i="5"/>
  <c r="AH47" i="5" s="1"/>
  <c r="AI47" i="5" s="1"/>
  <c r="AF48" i="5"/>
  <c r="AF49" i="5"/>
  <c r="AF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20" i="5"/>
  <c r="AR22" i="5" l="1"/>
  <c r="AR32" i="5"/>
  <c r="AR47" i="5"/>
  <c r="AR36" i="5"/>
  <c r="AR24" i="5"/>
  <c r="AR34" i="5"/>
  <c r="AR44" i="5"/>
  <c r="AR35" i="5"/>
  <c r="AR46" i="5"/>
  <c r="AR20" i="5"/>
  <c r="AR27" i="5"/>
  <c r="AR39" i="5"/>
  <c r="AR21" i="5"/>
  <c r="AR28" i="5"/>
  <c r="AR25" i="5"/>
  <c r="AR29" i="5"/>
  <c r="AR33" i="5"/>
  <c r="AR40" i="5"/>
  <c r="AR37" i="5"/>
  <c r="AR41" i="5"/>
  <c r="AR45" i="5"/>
  <c r="AR38" i="5"/>
  <c r="AR42" i="5"/>
  <c r="AH20" i="5"/>
  <c r="AI20" i="5" s="1"/>
  <c r="U22" i="5"/>
  <c r="R22" i="5"/>
  <c r="P22" i="5"/>
  <c r="O22" i="5"/>
  <c r="S22" i="5" s="1"/>
  <c r="U21" i="5"/>
  <c r="V21" i="5" s="1"/>
  <c r="R21" i="5"/>
  <c r="P21" i="5"/>
  <c r="O21" i="5"/>
  <c r="S21" i="5" s="1"/>
  <c r="U20" i="5"/>
  <c r="W20" i="5" s="1"/>
  <c r="R20" i="5"/>
  <c r="P20" i="5"/>
  <c r="O20" i="5"/>
  <c r="S20" i="5" s="1"/>
  <c r="P51" i="5"/>
  <c r="O51" i="5"/>
  <c r="T21" i="5" l="1"/>
  <c r="X21" i="5" s="1"/>
  <c r="T20" i="5"/>
  <c r="X20" i="5" s="1"/>
  <c r="T22" i="5"/>
  <c r="X22" i="5"/>
  <c r="W21" i="5"/>
  <c r="V20" i="5"/>
  <c r="V22" i="5"/>
  <c r="W2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K18" authorId="0" shapeId="0" xr:uid="{D13A4A04-F502-41A3-822C-26281E8DD5E6}">
      <text>
        <r>
          <rPr>
            <b/>
            <sz val="9"/>
            <color indexed="81"/>
            <rFont val="Tahoma"/>
            <family val="2"/>
          </rPr>
          <t>[HVMT]: Bề rộng cánh trên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8" authorId="0" shapeId="0" xr:uid="{DF18101B-FB04-44F3-9819-830E7070704A}">
      <text>
        <r>
          <rPr>
            <b/>
            <sz val="9"/>
            <color indexed="81"/>
            <rFont val="Tahoma"/>
            <family val="2"/>
          </rPr>
          <t>[HVMT]: Chiều dày cánh trên</t>
        </r>
      </text>
    </comment>
    <comment ref="M18" authorId="0" shapeId="0" xr:uid="{6A865448-1199-402D-921A-326A01A3CF88}">
      <text>
        <r>
          <rPr>
            <b/>
            <sz val="9"/>
            <color indexed="81"/>
            <rFont val="Tahoma"/>
            <family val="2"/>
          </rPr>
          <t>[HVMT]: Bề rộng cánh dưới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8" authorId="0" shapeId="0" xr:uid="{E4666431-58FA-4F5D-9094-3055BA816A46}">
      <text>
        <r>
          <rPr>
            <b/>
            <sz val="9"/>
            <color indexed="81"/>
            <rFont val="Tahoma"/>
            <family val="2"/>
          </rPr>
          <t>[HVMT]: Chiều dày cánh dưới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<sst xmlns="http://schemas.openxmlformats.org/spreadsheetml/2006/main" count="45" uniqueCount="28">
  <si>
    <t>Tiết diện</t>
  </si>
  <si>
    <t>STT</t>
  </si>
  <si>
    <t>Kích thước hình học</t>
  </si>
  <si>
    <t>Số mặt tiếp xúc</t>
  </si>
  <si>
    <t>Chu vi Am
(m)</t>
  </si>
  <si>
    <t>BẢNG KIỂM TRA THÔNG SỐ</t>
  </si>
  <si>
    <t>Hệ số
Am/V
(m-1)</t>
  </si>
  <si>
    <r>
      <t>Diện tích
(m</t>
    </r>
    <r>
      <rPr>
        <b/>
        <vertAlign val="superscript"/>
        <sz val="11"/>
        <color rgb="FF0070C0"/>
        <rFont val="Aptos Narrow"/>
        <family val="2"/>
        <scheme val="minor"/>
      </rPr>
      <t>2</t>
    </r>
    <r>
      <rPr>
        <b/>
        <sz val="11"/>
        <color rgb="FF0070C0"/>
        <rFont val="Aptos Narrow"/>
        <family val="2"/>
        <scheme val="minor"/>
      </rPr>
      <t>)</t>
    </r>
  </si>
  <si>
    <r>
      <t xml:space="preserve">Kết luận
Am/V </t>
    </r>
    <r>
      <rPr>
        <b/>
        <sz val="11"/>
        <color rgb="FF0070C0"/>
        <rFont val="Symbol"/>
        <family val="1"/>
        <charset val="2"/>
      </rPr>
      <t>£</t>
    </r>
    <r>
      <rPr>
        <b/>
        <sz val="11"/>
        <color rgb="FF0070C0"/>
        <rFont val="Aptos Narrow"/>
        <family val="2"/>
        <scheme val="minor"/>
      </rPr>
      <t xml:space="preserve">  250</t>
    </r>
  </si>
  <si>
    <t>500x8+200x12</t>
  </si>
  <si>
    <t>300x8+200x12</t>
  </si>
  <si>
    <t>600x8+200x12</t>
  </si>
  <si>
    <t>h1
(mm)</t>
  </si>
  <si>
    <t>h2
(mm)</t>
  </si>
  <si>
    <t>tw
(mm)</t>
  </si>
  <si>
    <t>bf (top)
(mm)</t>
  </si>
  <si>
    <t>tf (top)
(mm)</t>
  </si>
  <si>
    <t>bf (bot)
(mm)</t>
  </si>
  <si>
    <t>tf (bot)
(mm)</t>
  </si>
  <si>
    <t>hw1
(mm)</t>
  </si>
  <si>
    <t>hw2
(mm)</t>
  </si>
  <si>
    <t>b
(mm)</t>
  </si>
  <si>
    <t>h
(mm)</t>
  </si>
  <si>
    <t>t
(mm)</t>
  </si>
  <si>
    <t>BẢNG KIỂM TRA THÔNG SỐ - THÉP HỘP</t>
  </si>
  <si>
    <t>Kích thước</t>
  </si>
  <si>
    <t>D
(mm)</t>
  </si>
  <si>
    <t>BẢNG KIỂM TRA THÔNG SỐ - THÉP ỐNG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</si>
</sst>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"/>
  </numFmts>
  <fonts count="10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1"/>
      <color indexed="8"/>
      <name val="Arial"/>
      <family val="2"/>
    </font>
    <font>
      <b/>
      <sz val="14"/>
      <color rgb="FF0070C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vertAlign val="superscript"/>
      <sz val="11"/>
      <color rgb="FF0070C0"/>
      <name val="Aptos Narrow"/>
      <family val="2"/>
      <scheme val="minor"/>
    </font>
    <font>
      <sz val="11"/>
      <color rgb="FF0000CC"/>
      <name val="Aptos Narrow"/>
      <family val="2"/>
      <scheme val="minor"/>
    </font>
    <font>
      <b/>
      <sz val="11"/>
      <color rgb="FF0070C0"/>
      <name val="Symbol"/>
      <family val="1"/>
      <charset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9" fontId="2" fillId="0" borderId="0">
      <alignment horizontal="left" vertical="center"/>
    </xf>
  </cellStyleXfs>
  <cellXfs count="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6" fillId="0" borderId="0" xfId="0" applyFont="1"/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/>
    <xf numFmtId="1" fontId="1" fillId="0" borderId="0" xfId="0" applyNumberFormat="1" applyFont="1"/>
    <xf numFmtId="0" fontId="1" fillId="0" borderId="1" xfId="0" applyFont="1" applyBorder="1"/>
    <xf numFmtId="49" fontId="4" fillId="2" borderId="1" xfId="0" applyNumberFormat="1" applyFont="1" applyFill="1" applyBorder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49" fontId="4" fillId="2" borderId="3" xfId="0" applyNumberFormat="1" applyFont="1" applyFill="1" applyBorder="1" applyAlignment="1">
      <alignment horizontal="center" vertical="center" wrapText="1"/>
    </xf>
    <xf numFmtId="49" fontId="4" fillId="2" borderId="4" xfId="0" applyNumberFormat="1" applyFont="1" applyFill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/>
    </xf>
    <xf numFmtId="49" fontId="4" fillId="2" borderId="1" xfId="0" applyNumberFormat="1" applyFont="1" applyFill="1" applyBorder="1" applyAlignment="1">
      <alignment horizontal="center" vertical="center"/>
    </xf>
    <xf numFmtId="2" fontId="4" fillId="2" borderId="2" xfId="0" applyNumberFormat="1" applyFont="1" applyFill="1" applyBorder="1" applyAlignment="1">
      <alignment horizontal="center" vertical="center" wrapText="1"/>
    </xf>
    <xf numFmtId="2" fontId="4" fillId="2" borderId="3" xfId="0" applyNumberFormat="1" applyFont="1" applyFill="1" applyBorder="1" applyAlignment="1">
      <alignment horizontal="center" vertical="center" wrapText="1"/>
    </xf>
    <xf numFmtId="2" fontId="4" fillId="2" borderId="4" xfId="0" applyNumberFormat="1" applyFont="1" applyFill="1" applyBorder="1" applyAlignment="1">
      <alignment horizontal="center" vertical="center" wrapText="1"/>
    </xf>
    <xf numFmtId="1" fontId="4" fillId="2" borderId="2" xfId="0" applyNumberFormat="1" applyFont="1" applyFill="1" applyBorder="1" applyAlignment="1">
      <alignment horizontal="center" vertical="center" wrapText="1"/>
    </xf>
    <xf numFmtId="1" fontId="4" fillId="2" borderId="3" xfId="0" applyNumberFormat="1" applyFont="1" applyFill="1" applyBorder="1" applyAlignment="1">
      <alignment horizontal="center" vertical="center" wrapText="1"/>
    </xf>
    <xf numFmtId="1" fontId="4" fillId="2" borderId="4" xfId="0" applyNumberFormat="1" applyFont="1" applyFill="1" applyBorder="1" applyAlignment="1">
      <alignment horizontal="center" vertical="center" wrapText="1"/>
    </xf>
    <xf numFmtId="49" fontId="3" fillId="2" borderId="5" xfId="0" applyNumberFormat="1" applyFont="1" applyFill="1" applyBorder="1" applyAlignment="1">
      <alignment horizontal="center"/>
    </xf>
    <xf numFmtId="49" fontId="3" fillId="2" borderId="6" xfId="0" applyNumberFormat="1" applyFont="1" applyFill="1" applyBorder="1" applyAlignment="1">
      <alignment horizontal="center"/>
    </xf>
    <xf numFmtId="49" fontId="3" fillId="2" borderId="7" xfId="0" applyNumberFormat="1" applyFont="1" applyFill="1" applyBorder="1" applyAlignment="1">
      <alignment horizontal="center"/>
    </xf>
  </cellXfs>
  <cellStyles count="2">
    <cellStyle name="Normal" xfId="0" builtinId="0"/>
    <cellStyle name="Tieu de phu" xfId="1" xr:uid="{DAD77BA9-135B-4B66-B28C-5E66DF612368}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700294</xdr:colOff>
      <xdr:row>4</xdr:row>
      <xdr:rowOff>143703</xdr:rowOff>
    </xdr:from>
    <xdr:to>
      <xdr:col>17</xdr:col>
      <xdr:colOff>286777</xdr:colOff>
      <xdr:row>14</xdr:row>
      <xdr:rowOff>44312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0A33A3-062E-472F-A71E-485A5543A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3207" y="143703"/>
          <a:ext cx="7115374" cy="21369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CFD8-58A7-4C22-A047-7880A668035E}">
  <sheetPr codeName="Sheet2">
    <tabColor rgb="FF0070C0"/>
  </sheetPr>
  <dimension ref="F1:AR100"/>
  <sheetViews>
    <sheetView showGridLines="0" tabSelected="1" topLeftCell="E5" zoomScale="85" zoomScaleNormal="85" workbookViewId="0">
      <selection activeCell="AK17" sqref="AK17:AK19"/>
    </sheetView>
  </sheetViews>
  <sheetFormatPr defaultRowHeight="15" outlineLevelCol="1" x14ac:dyDescent="0.25"/>
  <cols>
    <col min="1" max="4" width="0" style="1" hidden="1" customWidth="1"/>
    <col min="5" max="5" width="9.28515625" style="1" customWidth="1"/>
    <col min="6" max="6" width="9.140625" style="2"/>
    <col min="7" max="7" width="19.7109375" style="1" bestFit="1" customWidth="1"/>
    <col min="8" max="14" width="9.140625" style="1"/>
    <col min="15" max="16" width="9.140625" style="1" customWidth="1" outlineLevel="1"/>
    <col min="17" max="17" width="10.42578125" style="3" customWidth="1"/>
    <col min="18" max="20" width="9.140625" style="1"/>
    <col min="21" max="21" width="9.140625" style="9" hidden="1" customWidth="1" outlineLevel="1"/>
    <col min="22" max="22" width="9.140625" style="1" hidden="1" customWidth="1" outlineLevel="1"/>
    <col min="23" max="23" width="9.140625" style="10" hidden="1" customWidth="1" outlineLevel="1"/>
    <col min="24" max="24" width="13" style="1" customWidth="1" collapsed="1"/>
    <col min="25" max="25" width="11.28515625" style="1" customWidth="1"/>
    <col min="26" max="27" width="9.140625" style="1"/>
    <col min="28" max="28" width="12.7109375" style="1" bestFit="1" customWidth="1"/>
    <col min="29" max="32" width="9.140625" style="1"/>
    <col min="33" max="33" width="9.140625" style="1" bestFit="1" customWidth="1"/>
    <col min="34" max="37" width="9.140625" style="1"/>
    <col min="38" max="38" width="12.7109375" style="1" bestFit="1" customWidth="1"/>
    <col min="39" max="41" width="9.140625" style="1"/>
    <col min="42" max="42" width="9.140625" style="1" bestFit="1"/>
    <col min="43" max="16384" width="9.140625" style="1"/>
  </cols>
  <sheetData>
    <row r="1" spans="6:44" hidden="1" x14ac:dyDescent="0.25"/>
    <row r="2" spans="6:44" hidden="1" x14ac:dyDescent="0.25"/>
    <row r="3" spans="6:44" hidden="1" x14ac:dyDescent="0.25"/>
    <row r="4" spans="6:44" hidden="1" x14ac:dyDescent="0.25"/>
    <row r="6" spans="6:44" ht="16.5" customHeight="1" x14ac:dyDescent="0.25"/>
    <row r="7" spans="6:44" ht="17.25" customHeight="1" x14ac:dyDescent="0.25"/>
    <row r="8" spans="6:44" ht="17.25" customHeight="1" x14ac:dyDescent="0.25"/>
    <row r="9" spans="6:44" ht="17.25" customHeight="1" x14ac:dyDescent="0.25"/>
    <row r="10" spans="6:44" ht="17.25" customHeight="1" x14ac:dyDescent="0.25"/>
    <row r="11" spans="6:44" ht="17.25" customHeight="1" x14ac:dyDescent="0.25"/>
    <row r="12" spans="6:44" ht="19.5" customHeight="1" x14ac:dyDescent="0.25"/>
    <row r="13" spans="6:44" ht="21.75" customHeight="1" x14ac:dyDescent="0.25"/>
    <row r="14" spans="6:44" ht="18.75" customHeight="1" x14ac:dyDescent="0.25"/>
    <row r="15" spans="6:44" ht="18.75" customHeight="1" x14ac:dyDescent="0.25"/>
    <row r="16" spans="6:44" ht="18.75" x14ac:dyDescent="0.3">
      <c r="F16" s="16" t="s">
        <v>5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AA16" s="16" t="s">
        <v>24</v>
      </c>
      <c r="AB16" s="16"/>
      <c r="AC16" s="16"/>
      <c r="AD16" s="16"/>
      <c r="AE16" s="16"/>
      <c r="AF16" s="16"/>
      <c r="AG16" s="16"/>
      <c r="AH16" s="16"/>
      <c r="AI16" s="16"/>
      <c r="AK16" s="16" t="s">
        <v>27</v>
      </c>
      <c r="AL16" s="16"/>
      <c r="AM16" s="16"/>
      <c r="AN16" s="16"/>
      <c r="AO16" s="16"/>
      <c r="AP16" s="16"/>
      <c r="AQ16" s="16"/>
      <c r="AR16" s="16"/>
    </row>
    <row r="17" spans="6:44" ht="18.75" customHeight="1" x14ac:dyDescent="0.3">
      <c r="F17" s="17" t="s">
        <v>1</v>
      </c>
      <c r="G17" s="17" t="s">
        <v>0</v>
      </c>
      <c r="H17" s="24" t="s">
        <v>2</v>
      </c>
      <c r="I17" s="25"/>
      <c r="J17" s="25"/>
      <c r="K17" s="25"/>
      <c r="L17" s="25"/>
      <c r="M17" s="25"/>
      <c r="N17" s="25"/>
      <c r="O17" s="25"/>
      <c r="P17" s="26"/>
      <c r="Q17" s="13" t="s">
        <v>3</v>
      </c>
      <c r="R17" s="13" t="s">
        <v>4</v>
      </c>
      <c r="S17" s="13" t="s">
        <v>7</v>
      </c>
      <c r="T17" s="13" t="s">
        <v>6</v>
      </c>
      <c r="U17" s="18" t="s">
        <v>4</v>
      </c>
      <c r="V17" s="13" t="s">
        <v>7</v>
      </c>
      <c r="W17" s="21" t="s">
        <v>6</v>
      </c>
      <c r="X17" s="13" t="s">
        <v>8</v>
      </c>
      <c r="AA17" s="17" t="s">
        <v>1</v>
      </c>
      <c r="AB17" s="17" t="s">
        <v>0</v>
      </c>
      <c r="AC17" s="16" t="s">
        <v>2</v>
      </c>
      <c r="AD17" s="16"/>
      <c r="AE17" s="16"/>
      <c r="AF17" s="12" t="s">
        <v>4</v>
      </c>
      <c r="AG17" s="12" t="s">
        <v>7</v>
      </c>
      <c r="AH17" s="12" t="s">
        <v>6</v>
      </c>
      <c r="AI17" s="12" t="s">
        <v>8</v>
      </c>
      <c r="AK17" s="17" t="s">
        <v>1</v>
      </c>
      <c r="AL17" s="17" t="s">
        <v>0</v>
      </c>
      <c r="AM17" s="16" t="s">
        <v>25</v>
      </c>
      <c r="AN17" s="16"/>
      <c r="AO17" s="12" t="s">
        <v>4</v>
      </c>
      <c r="AP17" s="12" t="s">
        <v>7</v>
      </c>
      <c r="AQ17" s="12" t="s">
        <v>6</v>
      </c>
      <c r="AR17" s="12" t="s">
        <v>8</v>
      </c>
    </row>
    <row r="18" spans="6:44" ht="15" customHeight="1" x14ac:dyDescent="0.25">
      <c r="F18" s="17"/>
      <c r="G18" s="17"/>
      <c r="H18" s="12" t="s">
        <v>12</v>
      </c>
      <c r="I18" s="12" t="s">
        <v>13</v>
      </c>
      <c r="J18" s="12" t="s">
        <v>14</v>
      </c>
      <c r="K18" s="12" t="s">
        <v>15</v>
      </c>
      <c r="L18" s="12" t="s">
        <v>16</v>
      </c>
      <c r="M18" s="12" t="s">
        <v>17</v>
      </c>
      <c r="N18" s="12" t="s">
        <v>18</v>
      </c>
      <c r="O18" s="12" t="s">
        <v>19</v>
      </c>
      <c r="P18" s="12" t="s">
        <v>20</v>
      </c>
      <c r="Q18" s="14"/>
      <c r="R18" s="14"/>
      <c r="S18" s="14"/>
      <c r="T18" s="14"/>
      <c r="U18" s="19"/>
      <c r="V18" s="14"/>
      <c r="W18" s="22"/>
      <c r="X18" s="14"/>
      <c r="AA18" s="17"/>
      <c r="AB18" s="17"/>
      <c r="AC18" s="12" t="s">
        <v>21</v>
      </c>
      <c r="AD18" s="12" t="s">
        <v>22</v>
      </c>
      <c r="AE18" s="12" t="s">
        <v>23</v>
      </c>
      <c r="AF18" s="12"/>
      <c r="AG18" s="12"/>
      <c r="AH18" s="12"/>
      <c r="AI18" s="12"/>
      <c r="AK18" s="17"/>
      <c r="AL18" s="17"/>
      <c r="AM18" s="12" t="s">
        <v>26</v>
      </c>
      <c r="AN18" s="12" t="s">
        <v>23</v>
      </c>
      <c r="AO18" s="12"/>
      <c r="AP18" s="12"/>
      <c r="AQ18" s="12"/>
      <c r="AR18" s="12"/>
    </row>
    <row r="19" spans="6:44" x14ac:dyDescent="0.25">
      <c r="F19" s="17"/>
      <c r="G19" s="17"/>
      <c r="H19" s="12"/>
      <c r="I19" s="12"/>
      <c r="J19" s="12"/>
      <c r="K19" s="12"/>
      <c r="L19" s="12"/>
      <c r="M19" s="12"/>
      <c r="N19" s="17"/>
      <c r="O19" s="12"/>
      <c r="P19" s="12"/>
      <c r="Q19" s="15"/>
      <c r="R19" s="15"/>
      <c r="S19" s="15"/>
      <c r="T19" s="15"/>
      <c r="U19" s="20"/>
      <c r="V19" s="15"/>
      <c r="W19" s="23"/>
      <c r="X19" s="15"/>
      <c r="AA19" s="17"/>
      <c r="AB19" s="17"/>
      <c r="AC19" s="12"/>
      <c r="AD19" s="12"/>
      <c r="AE19" s="12"/>
      <c r="AF19" s="12"/>
      <c r="AG19" s="12"/>
      <c r="AH19" s="12"/>
      <c r="AI19" s="12"/>
      <c r="AK19" s="17"/>
      <c r="AL19" s="17"/>
      <c r="AM19" s="12"/>
      <c r="AN19" s="12"/>
      <c r="AO19" s="12"/>
      <c r="AP19" s="12"/>
      <c r="AQ19" s="12"/>
      <c r="AR19" s="12"/>
    </row>
    <row r="20" spans="6:44" x14ac:dyDescent="0.25">
      <c r="F20" s="5">
        <v>1</v>
      </c>
      <c r="G20" s="5" t="s">
        <v>9</v>
      </c>
      <c r="H20" s="5">
        <v>524</v>
      </c>
      <c r="I20" s="5">
        <v>524</v>
      </c>
      <c r="J20" s="5">
        <v>8</v>
      </c>
      <c r="K20" s="5">
        <v>200</v>
      </c>
      <c r="L20" s="5">
        <v>12</v>
      </c>
      <c r="M20" s="5">
        <v>200</v>
      </c>
      <c r="N20" s="5">
        <v>12</v>
      </c>
      <c r="O20" s="4">
        <f t="shared" ref="O20:O22" si="0">IF(H20="","",H20-L20-N20)</f>
        <v>500</v>
      </c>
      <c r="P20" s="4">
        <f t="shared" ref="P20:P22" si="1">IF(I20="","",I20-L20-N20)</f>
        <v>500</v>
      </c>
      <c r="Q20" s="5">
        <v>4</v>
      </c>
      <c r="R20" s="6">
        <f t="shared" ref="R20:R22" si="2">IF(F20="","",IF(Q20=4,2*H20+2*M20-J20+2*K20-J20,IF(Q20=3,2*H20+2*M20-J20+K20-J20,""))/1000)</f>
        <v>1.8320000000000001</v>
      </c>
      <c r="S20" s="7">
        <f t="shared" ref="S20:S22" si="3">IF(F20="","",(O20*J20+K20*L20+M20*N20)/1000000)</f>
        <v>8.8000000000000005E-3</v>
      </c>
      <c r="T20" s="8">
        <f t="shared" ref="T20:T22" si="4">R20/S20</f>
        <v>208.18181818181819</v>
      </c>
      <c r="U20" s="6" t="str">
        <f t="shared" ref="U20:U22" si="5">IF(F20="","",IF(H20=I20,"-",IF(Q20=4,2*I20+2*M20-J20+2*K20-J20,IF(Q20=3,2*I20+2*M20-J20+K20-J20,""))/1000))</f>
        <v>-</v>
      </c>
      <c r="V20" s="4" t="str">
        <f t="shared" ref="V20:V22" si="6">IF(F20="","",IF(U20="-","-",(P20*J20+K20*L20+M20*N20)/1000000))</f>
        <v>-</v>
      </c>
      <c r="W20" s="8" t="str">
        <f t="shared" ref="W20:W22" si="7">IF(U20="-","-",U20/V20)</f>
        <v>-</v>
      </c>
      <c r="X20" s="4" t="str">
        <f t="shared" ref="X20:X22" si="8">IF(U20="-",IF(T20&lt;=250,"OK","CHECK"),IF(AND(T20&lt;=250,W20&lt;=250),"OK","CHECK"))</f>
        <v>OK</v>
      </c>
      <c r="AA20" s="5">
        <v>1</v>
      </c>
      <c r="AB20" s="4" t="str">
        <f>IF(AC20="","",AC20&amp;"x"&amp;AD20&amp;"x"&amp;AE20)</f>
        <v>60x120x5</v>
      </c>
      <c r="AC20" s="5">
        <v>60</v>
      </c>
      <c r="AD20" s="5">
        <v>120</v>
      </c>
      <c r="AE20" s="5">
        <v>5</v>
      </c>
      <c r="AF20" s="6">
        <f>IF(AC20="","",2*(AC20+AD20)/1000)</f>
        <v>0.36</v>
      </c>
      <c r="AG20" s="7">
        <f>IF(AC20="","",(AC20*AD20-(AC20-2*AE20)*(AD20-2*AE20))/1000000)</f>
        <v>1.6999999999999999E-3</v>
      </c>
      <c r="AH20" s="8">
        <f>IFERROR(AF20/AG20,"")</f>
        <v>211.76470588235296</v>
      </c>
      <c r="AI20" s="4" t="str">
        <f>IF(AH20="","",IF(AH20&lt;=250,"OK","CHECK"))</f>
        <v>OK</v>
      </c>
      <c r="AK20" s="5">
        <v>1</v>
      </c>
      <c r="AL20" s="4" t="str">
        <f>IF(AM20="","",AM20&amp;"x"&amp;AN20)</f>
        <v>220x5</v>
      </c>
      <c r="AM20" s="5">
        <v>220</v>
      </c>
      <c r="AN20" s="5">
        <v>5</v>
      </c>
      <c r="AO20" s="6">
        <f>IF(AM20="","",PI()*AM20/1000)</f>
        <v>0.69115038378975457</v>
      </c>
      <c r="AP20" s="7">
        <f>IF(AL20="","",PI()/4*(AM20^2-(AM20-2*AN20)^2)/1000000)</f>
        <v>3.3772121026090277E-3</v>
      </c>
      <c r="AQ20" s="8">
        <f>IFERROR(AO20/AP20,"")</f>
        <v>204.6511627906977</v>
      </c>
      <c r="AR20" s="4" t="str">
        <f>IF(AQ20="","",IF(AQ20&lt;=250,"OK","CHECK"))</f>
        <v>OK</v>
      </c>
    </row>
    <row r="21" spans="6:44" x14ac:dyDescent="0.25">
      <c r="F21" s="5">
        <v>2</v>
      </c>
      <c r="G21" s="5" t="s">
        <v>10</v>
      </c>
      <c r="H21" s="5">
        <v>324</v>
      </c>
      <c r="I21" s="5">
        <v>324</v>
      </c>
      <c r="J21" s="5">
        <v>8</v>
      </c>
      <c r="K21" s="5">
        <v>200</v>
      </c>
      <c r="L21" s="5">
        <v>12</v>
      </c>
      <c r="M21" s="5">
        <v>200</v>
      </c>
      <c r="N21" s="5">
        <v>12</v>
      </c>
      <c r="O21" s="4">
        <f t="shared" si="0"/>
        <v>300</v>
      </c>
      <c r="P21" s="4">
        <f t="shared" si="1"/>
        <v>300</v>
      </c>
      <c r="Q21" s="5">
        <v>4</v>
      </c>
      <c r="R21" s="6">
        <f t="shared" si="2"/>
        <v>1.4319999999999999</v>
      </c>
      <c r="S21" s="7">
        <f t="shared" si="3"/>
        <v>7.1999999999999998E-3</v>
      </c>
      <c r="T21" s="8">
        <f t="shared" si="4"/>
        <v>198.88888888888889</v>
      </c>
      <c r="U21" s="6" t="str">
        <f t="shared" si="5"/>
        <v>-</v>
      </c>
      <c r="V21" s="4" t="str">
        <f t="shared" si="6"/>
        <v>-</v>
      </c>
      <c r="W21" s="8" t="str">
        <f t="shared" si="7"/>
        <v>-</v>
      </c>
      <c r="X21" s="4" t="str">
        <f t="shared" si="8"/>
        <v>OK</v>
      </c>
      <c r="AA21" s="5">
        <v>2</v>
      </c>
      <c r="AB21" s="4" t="str">
        <f t="shared" ref="AB21:AB49" si="9">IF(AC21="","",AC21&amp;"x"&amp;AD21&amp;"x"&amp;AE21)</f>
        <v/>
      </c>
      <c r="AC21" s="5"/>
      <c r="AD21" s="5"/>
      <c r="AE21" s="5"/>
      <c r="AF21" s="6" t="str">
        <f t="shared" ref="AF21:AF49" si="10">IF(AC21="","",2*(AC21+AD21)/1000)</f>
        <v/>
      </c>
      <c r="AG21" s="7" t="str">
        <f t="shared" ref="AG21:AG49" si="11">IF(AC21="","",(AC21*AD21-(AC21-2*AE21)*(AD21-2*AE21))/1000000)</f>
        <v/>
      </c>
      <c r="AH21" s="8" t="str">
        <f t="shared" ref="AH21:AH49" si="12">IFERROR(AF21/AG21,"")</f>
        <v/>
      </c>
      <c r="AI21" s="4" t="str">
        <f t="shared" ref="AI21:AI49" si="13">IF(AH21="","",IF(AH21&lt;=250,"OK","CHECK"))</f>
        <v/>
      </c>
      <c r="AK21" s="5">
        <v>2</v>
      </c>
      <c r="AL21" s="4" t="str">
        <f t="shared" ref="AL21:AL49" si="14">IF(AM21="","",AM21&amp;"x"&amp;AN21)</f>
        <v/>
      </c>
      <c r="AM21" s="5"/>
      <c r="AN21" s="5"/>
      <c r="AO21" s="6" t="str">
        <f t="shared" ref="AO21:AO49" si="15">IF(AM21="","",PI()*AM21/1000)</f>
        <v/>
      </c>
      <c r="AP21" s="7" t="str">
        <f t="shared" ref="AP21:AP49" si="16">IF(AL21="","",PI()/4*(AM21^2-(AM21-2*AN21)^2)/1000000)</f>
        <v/>
      </c>
      <c r="AQ21" s="8" t="str">
        <f t="shared" ref="AQ21:AQ49" si="17">IFERROR(AO21/AP21,"")</f>
        <v/>
      </c>
      <c r="AR21" s="4" t="str">
        <f t="shared" ref="AR21:AR49" si="18">IF(AQ21="","",IF(AQ21&lt;=250,"OK","CHECK"))</f>
        <v/>
      </c>
    </row>
    <row r="22" spans="6:44" x14ac:dyDescent="0.25">
      <c r="F22" s="5">
        <v>3</v>
      </c>
      <c r="G22" s="5" t="s">
        <v>11</v>
      </c>
      <c r="H22" s="5">
        <v>624</v>
      </c>
      <c r="I22" s="5">
        <v>624</v>
      </c>
      <c r="J22" s="5">
        <v>8</v>
      </c>
      <c r="K22" s="5">
        <v>200</v>
      </c>
      <c r="L22" s="5">
        <v>12</v>
      </c>
      <c r="M22" s="5">
        <v>200</v>
      </c>
      <c r="N22" s="5">
        <v>12</v>
      </c>
      <c r="O22" s="4">
        <f t="shared" si="0"/>
        <v>600</v>
      </c>
      <c r="P22" s="4">
        <f t="shared" si="1"/>
        <v>600</v>
      </c>
      <c r="Q22" s="5">
        <v>4</v>
      </c>
      <c r="R22" s="6">
        <f t="shared" si="2"/>
        <v>2.032</v>
      </c>
      <c r="S22" s="7">
        <f t="shared" si="3"/>
        <v>9.5999999999999992E-3</v>
      </c>
      <c r="T22" s="8">
        <f t="shared" si="4"/>
        <v>211.66666666666669</v>
      </c>
      <c r="U22" s="6" t="str">
        <f t="shared" si="5"/>
        <v>-</v>
      </c>
      <c r="V22" s="4" t="str">
        <f t="shared" si="6"/>
        <v>-</v>
      </c>
      <c r="W22" s="8" t="str">
        <f t="shared" si="7"/>
        <v>-</v>
      </c>
      <c r="X22" s="4" t="str">
        <f t="shared" si="8"/>
        <v>OK</v>
      </c>
      <c r="AA22" s="5">
        <v>3</v>
      </c>
      <c r="AB22" s="4" t="str">
        <f t="shared" si="9"/>
        <v/>
      </c>
      <c r="AC22" s="5"/>
      <c r="AD22" s="5"/>
      <c r="AE22" s="5"/>
      <c r="AF22" s="6" t="str">
        <f t="shared" si="10"/>
        <v/>
      </c>
      <c r="AG22" s="7" t="str">
        <f t="shared" si="11"/>
        <v/>
      </c>
      <c r="AH22" s="8" t="str">
        <f t="shared" si="12"/>
        <v/>
      </c>
      <c r="AI22" s="4" t="str">
        <f t="shared" si="13"/>
        <v/>
      </c>
      <c r="AK22" s="5">
        <v>3</v>
      </c>
      <c r="AL22" s="4" t="str">
        <f t="shared" si="14"/>
        <v/>
      </c>
      <c r="AM22" s="5"/>
      <c r="AN22" s="5"/>
      <c r="AO22" s="6" t="str">
        <f t="shared" si="15"/>
        <v/>
      </c>
      <c r="AP22" s="7" t="str">
        <f t="shared" si="16"/>
        <v/>
      </c>
      <c r="AQ22" s="8" t="str">
        <f t="shared" si="17"/>
        <v/>
      </c>
      <c r="AR22" s="4" t="str">
        <f t="shared" si="18"/>
        <v/>
      </c>
    </row>
    <row r="23" spans="6:44" x14ac:dyDescent="0.25">
      <c r="F23" s="5"/>
      <c r="G23" s="5"/>
      <c r="H23" s="5"/>
      <c r="I23" s="5"/>
      <c r="J23" s="5"/>
      <c r="K23" s="5"/>
      <c r="L23" s="5"/>
      <c r="M23" s="5"/>
      <c r="N23" s="5"/>
      <c r="O23" s="4"/>
      <c r="P23" s="4"/>
      <c r="Q23" s="5"/>
      <c r="R23" s="6"/>
      <c r="S23" s="7"/>
      <c r="T23" s="8"/>
      <c r="U23" s="6"/>
      <c r="V23" s="4"/>
      <c r="W23" s="8"/>
      <c r="X23" s="4"/>
      <c r="AA23" s="5">
        <v>4</v>
      </c>
      <c r="AB23" s="4" t="str">
        <f t="shared" si="9"/>
        <v/>
      </c>
      <c r="AC23" s="5"/>
      <c r="AD23" s="5"/>
      <c r="AE23" s="5"/>
      <c r="AF23" s="6" t="str">
        <f t="shared" si="10"/>
        <v/>
      </c>
      <c r="AG23" s="7" t="str">
        <f t="shared" si="11"/>
        <v/>
      </c>
      <c r="AH23" s="8" t="str">
        <f t="shared" si="12"/>
        <v/>
      </c>
      <c r="AI23" s="4" t="str">
        <f t="shared" si="13"/>
        <v/>
      </c>
      <c r="AK23" s="5">
        <v>4</v>
      </c>
      <c r="AL23" s="4" t="str">
        <f t="shared" si="14"/>
        <v/>
      </c>
      <c r="AM23" s="5"/>
      <c r="AN23" s="5"/>
      <c r="AO23" s="6" t="str">
        <f t="shared" si="15"/>
        <v/>
      </c>
      <c r="AP23" s="7" t="str">
        <f t="shared" si="16"/>
        <v/>
      </c>
      <c r="AQ23" s="8" t="str">
        <f t="shared" si="17"/>
        <v/>
      </c>
      <c r="AR23" s="4" t="str">
        <f t="shared" si="18"/>
        <v/>
      </c>
    </row>
    <row r="24" spans="6:44" x14ac:dyDescent="0.25">
      <c r="F24" s="5"/>
      <c r="G24" s="5"/>
      <c r="H24" s="5"/>
      <c r="I24" s="5"/>
      <c r="J24" s="5"/>
      <c r="K24" s="5"/>
      <c r="L24" s="5"/>
      <c r="M24" s="5"/>
      <c r="N24" s="5"/>
      <c r="O24" s="4"/>
      <c r="P24" s="4"/>
      <c r="Q24" s="5"/>
      <c r="R24" s="6"/>
      <c r="S24" s="7"/>
      <c r="T24" s="8"/>
      <c r="U24" s="6"/>
      <c r="V24" s="4"/>
      <c r="W24" s="8"/>
      <c r="X24" s="4"/>
      <c r="AA24" s="5">
        <v>5</v>
      </c>
      <c r="AB24" s="4" t="str">
        <f t="shared" si="9"/>
        <v/>
      </c>
      <c r="AC24" s="5"/>
      <c r="AD24" s="5"/>
      <c r="AE24" s="5"/>
      <c r="AF24" s="6" t="str">
        <f t="shared" si="10"/>
        <v/>
      </c>
      <c r="AG24" s="7" t="str">
        <f t="shared" si="11"/>
        <v/>
      </c>
      <c r="AH24" s="8" t="str">
        <f t="shared" si="12"/>
        <v/>
      </c>
      <c r="AI24" s="4" t="str">
        <f t="shared" si="13"/>
        <v/>
      </c>
      <c r="AK24" s="5">
        <v>5</v>
      </c>
      <c r="AL24" s="4" t="str">
        <f t="shared" si="14"/>
        <v/>
      </c>
      <c r="AM24" s="5"/>
      <c r="AN24" s="5"/>
      <c r="AO24" s="6" t="str">
        <f t="shared" si="15"/>
        <v/>
      </c>
      <c r="AP24" s="7" t="str">
        <f t="shared" si="16"/>
        <v/>
      </c>
      <c r="AQ24" s="8" t="str">
        <f t="shared" si="17"/>
        <v/>
      </c>
      <c r="AR24" s="4" t="str">
        <f t="shared" si="18"/>
        <v/>
      </c>
    </row>
    <row r="25" spans="6:44" x14ac:dyDescent="0.25">
      <c r="F25" s="5"/>
      <c r="G25" s="5"/>
      <c r="H25" s="5"/>
      <c r="I25" s="5"/>
      <c r="J25" s="5"/>
      <c r="K25" s="5"/>
      <c r="L25" s="5"/>
      <c r="M25" s="5"/>
      <c r="N25" s="5"/>
      <c r="O25" s="4"/>
      <c r="P25" s="4"/>
      <c r="Q25" s="5"/>
      <c r="R25" s="6"/>
      <c r="S25" s="7"/>
      <c r="T25" s="8"/>
      <c r="U25" s="6"/>
      <c r="V25" s="4"/>
      <c r="W25" s="8"/>
      <c r="X25" s="4"/>
      <c r="AA25" s="5">
        <v>6</v>
      </c>
      <c r="AB25" s="4" t="str">
        <f t="shared" si="9"/>
        <v/>
      </c>
      <c r="AC25" s="5"/>
      <c r="AD25" s="5"/>
      <c r="AE25" s="5"/>
      <c r="AF25" s="6" t="str">
        <f t="shared" si="10"/>
        <v/>
      </c>
      <c r="AG25" s="7" t="str">
        <f t="shared" si="11"/>
        <v/>
      </c>
      <c r="AH25" s="8" t="str">
        <f t="shared" si="12"/>
        <v/>
      </c>
      <c r="AI25" s="4" t="str">
        <f t="shared" si="13"/>
        <v/>
      </c>
      <c r="AK25" s="5">
        <v>6</v>
      </c>
      <c r="AL25" s="4" t="str">
        <f t="shared" si="14"/>
        <v/>
      </c>
      <c r="AM25" s="5"/>
      <c r="AN25" s="5"/>
      <c r="AO25" s="6" t="str">
        <f t="shared" si="15"/>
        <v/>
      </c>
      <c r="AP25" s="7" t="str">
        <f t="shared" si="16"/>
        <v/>
      </c>
      <c r="AQ25" s="8" t="str">
        <f t="shared" si="17"/>
        <v/>
      </c>
      <c r="AR25" s="4" t="str">
        <f t="shared" si="18"/>
        <v/>
      </c>
    </row>
    <row r="26" spans="6:44" x14ac:dyDescent="0.25">
      <c r="F26" s="5"/>
      <c r="G26" s="5"/>
      <c r="H26" s="5"/>
      <c r="I26" s="5"/>
      <c r="J26" s="5"/>
      <c r="K26" s="5"/>
      <c r="L26" s="5"/>
      <c r="M26" s="5"/>
      <c r="N26" s="5"/>
      <c r="O26" s="4"/>
      <c r="P26" s="4"/>
      <c r="Q26" s="5"/>
      <c r="R26" s="6"/>
      <c r="S26" s="7"/>
      <c r="T26" s="8"/>
      <c r="U26" s="6"/>
      <c r="V26" s="4"/>
      <c r="W26" s="8"/>
      <c r="X26" s="4"/>
      <c r="AA26" s="5">
        <v>7</v>
      </c>
      <c r="AB26" s="4" t="str">
        <f t="shared" si="9"/>
        <v/>
      </c>
      <c r="AC26" s="5"/>
      <c r="AD26" s="5"/>
      <c r="AE26" s="5"/>
      <c r="AF26" s="6" t="str">
        <f t="shared" si="10"/>
        <v/>
      </c>
      <c r="AG26" s="7" t="str">
        <f t="shared" si="11"/>
        <v/>
      </c>
      <c r="AH26" s="8" t="str">
        <f t="shared" si="12"/>
        <v/>
      </c>
      <c r="AI26" s="4" t="str">
        <f t="shared" si="13"/>
        <v/>
      </c>
      <c r="AK26" s="5">
        <v>7</v>
      </c>
      <c r="AL26" s="4" t="str">
        <f t="shared" si="14"/>
        <v/>
      </c>
      <c r="AM26" s="5"/>
      <c r="AN26" s="5"/>
      <c r="AO26" s="6" t="str">
        <f t="shared" si="15"/>
        <v/>
      </c>
      <c r="AP26" s="7" t="str">
        <f t="shared" si="16"/>
        <v/>
      </c>
      <c r="AQ26" s="8" t="str">
        <f t="shared" si="17"/>
        <v/>
      </c>
      <c r="AR26" s="4" t="str">
        <f t="shared" si="18"/>
        <v/>
      </c>
    </row>
    <row r="27" spans="6:44" x14ac:dyDescent="0.25">
      <c r="F27" s="5"/>
      <c r="G27" s="5"/>
      <c r="H27" s="5"/>
      <c r="I27" s="5"/>
      <c r="J27" s="5"/>
      <c r="K27" s="5"/>
      <c r="L27" s="5"/>
      <c r="M27" s="5"/>
      <c r="N27" s="5"/>
      <c r="O27" s="4"/>
      <c r="P27" s="4"/>
      <c r="Q27" s="5"/>
      <c r="R27" s="6"/>
      <c r="S27" s="7"/>
      <c r="T27" s="8"/>
      <c r="U27" s="6"/>
      <c r="V27" s="4"/>
      <c r="W27" s="8"/>
      <c r="X27" s="4"/>
      <c r="AA27" s="5">
        <v>8</v>
      </c>
      <c r="AB27" s="4" t="str">
        <f t="shared" si="9"/>
        <v/>
      </c>
      <c r="AC27" s="5"/>
      <c r="AD27" s="5"/>
      <c r="AE27" s="5"/>
      <c r="AF27" s="6" t="str">
        <f t="shared" si="10"/>
        <v/>
      </c>
      <c r="AG27" s="7" t="str">
        <f t="shared" si="11"/>
        <v/>
      </c>
      <c r="AH27" s="8" t="str">
        <f t="shared" si="12"/>
        <v/>
      </c>
      <c r="AI27" s="4" t="str">
        <f t="shared" si="13"/>
        <v/>
      </c>
      <c r="AK27" s="5">
        <v>8</v>
      </c>
      <c r="AL27" s="4" t="str">
        <f t="shared" si="14"/>
        <v/>
      </c>
      <c r="AM27" s="5"/>
      <c r="AN27" s="5"/>
      <c r="AO27" s="6" t="str">
        <f t="shared" si="15"/>
        <v/>
      </c>
      <c r="AP27" s="7" t="str">
        <f t="shared" si="16"/>
        <v/>
      </c>
      <c r="AQ27" s="8" t="str">
        <f t="shared" si="17"/>
        <v/>
      </c>
      <c r="AR27" s="4" t="str">
        <f t="shared" si="18"/>
        <v/>
      </c>
    </row>
    <row r="28" spans="6:44" x14ac:dyDescent="0.25">
      <c r="F28" s="5"/>
      <c r="G28" s="5"/>
      <c r="H28" s="5"/>
      <c r="I28" s="5"/>
      <c r="J28" s="5"/>
      <c r="K28" s="5"/>
      <c r="L28" s="5"/>
      <c r="M28" s="5"/>
      <c r="N28" s="5"/>
      <c r="O28" s="4"/>
      <c r="P28" s="4"/>
      <c r="Q28" s="5"/>
      <c r="R28" s="6"/>
      <c r="S28" s="7"/>
      <c r="T28" s="8"/>
      <c r="U28" s="6"/>
      <c r="V28" s="4"/>
      <c r="W28" s="8"/>
      <c r="X28" s="4"/>
      <c r="AA28" s="5">
        <v>9</v>
      </c>
      <c r="AB28" s="4" t="str">
        <f t="shared" si="9"/>
        <v/>
      </c>
      <c r="AC28" s="5"/>
      <c r="AD28" s="5"/>
      <c r="AE28" s="5"/>
      <c r="AF28" s="6" t="str">
        <f t="shared" si="10"/>
        <v/>
      </c>
      <c r="AG28" s="7" t="str">
        <f t="shared" si="11"/>
        <v/>
      </c>
      <c r="AH28" s="8" t="str">
        <f t="shared" si="12"/>
        <v/>
      </c>
      <c r="AI28" s="4" t="str">
        <f t="shared" si="13"/>
        <v/>
      </c>
      <c r="AK28" s="5">
        <v>9</v>
      </c>
      <c r="AL28" s="4" t="str">
        <f t="shared" si="14"/>
        <v/>
      </c>
      <c r="AM28" s="5"/>
      <c r="AN28" s="5"/>
      <c r="AO28" s="6" t="str">
        <f t="shared" si="15"/>
        <v/>
      </c>
      <c r="AP28" s="7" t="str">
        <f t="shared" si="16"/>
        <v/>
      </c>
      <c r="AQ28" s="8" t="str">
        <f t="shared" si="17"/>
        <v/>
      </c>
      <c r="AR28" s="4" t="str">
        <f t="shared" si="18"/>
        <v/>
      </c>
    </row>
    <row r="29" spans="6:44" x14ac:dyDescent="0.25">
      <c r="F29" s="5"/>
      <c r="G29" s="5"/>
      <c r="H29" s="5"/>
      <c r="I29" s="5"/>
      <c r="J29" s="5"/>
      <c r="K29" s="5"/>
      <c r="L29" s="5"/>
      <c r="M29" s="5"/>
      <c r="N29" s="5"/>
      <c r="O29" s="4"/>
      <c r="P29" s="4"/>
      <c r="Q29" s="5"/>
      <c r="R29" s="6"/>
      <c r="S29" s="7"/>
      <c r="T29" s="8"/>
      <c r="U29" s="6"/>
      <c r="V29" s="4"/>
      <c r="W29" s="8"/>
      <c r="X29" s="4"/>
      <c r="AA29" s="5">
        <v>10</v>
      </c>
      <c r="AB29" s="4" t="str">
        <f t="shared" si="9"/>
        <v/>
      </c>
      <c r="AC29" s="5"/>
      <c r="AD29" s="5"/>
      <c r="AE29" s="5"/>
      <c r="AF29" s="6" t="str">
        <f t="shared" si="10"/>
        <v/>
      </c>
      <c r="AG29" s="7" t="str">
        <f t="shared" si="11"/>
        <v/>
      </c>
      <c r="AH29" s="8" t="str">
        <f t="shared" si="12"/>
        <v/>
      </c>
      <c r="AI29" s="4" t="str">
        <f t="shared" si="13"/>
        <v/>
      </c>
      <c r="AK29" s="5">
        <v>10</v>
      </c>
      <c r="AL29" s="4" t="str">
        <f t="shared" si="14"/>
        <v/>
      </c>
      <c r="AM29" s="5"/>
      <c r="AN29" s="5"/>
      <c r="AO29" s="6" t="str">
        <f t="shared" si="15"/>
        <v/>
      </c>
      <c r="AP29" s="7" t="str">
        <f t="shared" si="16"/>
        <v/>
      </c>
      <c r="AQ29" s="8" t="str">
        <f t="shared" si="17"/>
        <v/>
      </c>
      <c r="AR29" s="4" t="str">
        <f t="shared" si="18"/>
        <v/>
      </c>
    </row>
    <row r="30" spans="6:44" x14ac:dyDescent="0.25">
      <c r="F30" s="5"/>
      <c r="G30" s="5"/>
      <c r="H30" s="5"/>
      <c r="I30" s="5"/>
      <c r="J30" s="5"/>
      <c r="K30" s="5"/>
      <c r="L30" s="5"/>
      <c r="M30" s="5"/>
      <c r="N30" s="5"/>
      <c r="O30" s="4"/>
      <c r="P30" s="4"/>
      <c r="Q30" s="5"/>
      <c r="R30" s="6"/>
      <c r="S30" s="7"/>
      <c r="T30" s="8"/>
      <c r="U30" s="6"/>
      <c r="V30" s="4"/>
      <c r="W30" s="8"/>
      <c r="X30" s="4"/>
      <c r="AA30" s="5">
        <v>11</v>
      </c>
      <c r="AB30" s="4" t="str">
        <f t="shared" si="9"/>
        <v/>
      </c>
      <c r="AC30" s="5"/>
      <c r="AD30" s="5"/>
      <c r="AE30" s="5"/>
      <c r="AF30" s="6" t="str">
        <f t="shared" si="10"/>
        <v/>
      </c>
      <c r="AG30" s="7" t="str">
        <f t="shared" si="11"/>
        <v/>
      </c>
      <c r="AH30" s="8" t="str">
        <f t="shared" si="12"/>
        <v/>
      </c>
      <c r="AI30" s="4" t="str">
        <f t="shared" si="13"/>
        <v/>
      </c>
      <c r="AK30" s="5">
        <v>11</v>
      </c>
      <c r="AL30" s="4" t="str">
        <f t="shared" si="14"/>
        <v/>
      </c>
      <c r="AM30" s="5"/>
      <c r="AN30" s="5"/>
      <c r="AO30" s="6" t="str">
        <f t="shared" si="15"/>
        <v/>
      </c>
      <c r="AP30" s="7" t="str">
        <f t="shared" si="16"/>
        <v/>
      </c>
      <c r="AQ30" s="8" t="str">
        <f t="shared" si="17"/>
        <v/>
      </c>
      <c r="AR30" s="4" t="str">
        <f t="shared" si="18"/>
        <v/>
      </c>
    </row>
    <row r="31" spans="6:44" x14ac:dyDescent="0.25">
      <c r="F31" s="5"/>
      <c r="G31" s="5"/>
      <c r="H31" s="5"/>
      <c r="I31" s="5"/>
      <c r="J31" s="5"/>
      <c r="K31" s="5"/>
      <c r="L31" s="5"/>
      <c r="M31" s="5"/>
      <c r="N31" s="5"/>
      <c r="O31" s="4"/>
      <c r="P31" s="4"/>
      <c r="Q31" s="5"/>
      <c r="R31" s="6"/>
      <c r="S31" s="7"/>
      <c r="T31" s="8"/>
      <c r="U31" s="6"/>
      <c r="V31" s="4"/>
      <c r="W31" s="8"/>
      <c r="X31" s="4"/>
      <c r="AA31" s="5">
        <v>12</v>
      </c>
      <c r="AB31" s="4" t="str">
        <f t="shared" si="9"/>
        <v/>
      </c>
      <c r="AC31" s="5"/>
      <c r="AD31" s="5"/>
      <c r="AE31" s="5"/>
      <c r="AF31" s="6" t="str">
        <f t="shared" si="10"/>
        <v/>
      </c>
      <c r="AG31" s="7" t="str">
        <f t="shared" si="11"/>
        <v/>
      </c>
      <c r="AH31" s="8" t="str">
        <f t="shared" si="12"/>
        <v/>
      </c>
      <c r="AI31" s="4" t="str">
        <f t="shared" si="13"/>
        <v/>
      </c>
      <c r="AK31" s="5">
        <v>12</v>
      </c>
      <c r="AL31" s="4" t="str">
        <f t="shared" si="14"/>
        <v/>
      </c>
      <c r="AM31" s="5"/>
      <c r="AN31" s="5"/>
      <c r="AO31" s="6" t="str">
        <f t="shared" si="15"/>
        <v/>
      </c>
      <c r="AP31" s="7" t="str">
        <f t="shared" si="16"/>
        <v/>
      </c>
      <c r="AQ31" s="8" t="str">
        <f t="shared" si="17"/>
        <v/>
      </c>
      <c r="AR31" s="4" t="str">
        <f t="shared" si="18"/>
        <v/>
      </c>
    </row>
    <row r="32" spans="6:44" x14ac:dyDescent="0.25">
      <c r="F32" s="5"/>
      <c r="G32" s="5"/>
      <c r="H32" s="5"/>
      <c r="I32" s="5"/>
      <c r="J32" s="5"/>
      <c r="K32" s="5"/>
      <c r="L32" s="5"/>
      <c r="M32" s="5"/>
      <c r="N32" s="5"/>
      <c r="O32" s="4"/>
      <c r="P32" s="4"/>
      <c r="Q32" s="5"/>
      <c r="R32" s="6"/>
      <c r="S32" s="7"/>
      <c r="T32" s="8"/>
      <c r="U32" s="6"/>
      <c r="V32" s="4"/>
      <c r="W32" s="8"/>
      <c r="X32" s="4"/>
      <c r="AA32" s="5">
        <v>13</v>
      </c>
      <c r="AB32" s="4" t="str">
        <f t="shared" si="9"/>
        <v/>
      </c>
      <c r="AC32" s="5"/>
      <c r="AD32" s="5"/>
      <c r="AE32" s="5"/>
      <c r="AF32" s="6" t="str">
        <f t="shared" si="10"/>
        <v/>
      </c>
      <c r="AG32" s="7" t="str">
        <f t="shared" si="11"/>
        <v/>
      </c>
      <c r="AH32" s="8" t="str">
        <f t="shared" si="12"/>
        <v/>
      </c>
      <c r="AI32" s="4" t="str">
        <f t="shared" si="13"/>
        <v/>
      </c>
      <c r="AK32" s="5">
        <v>13</v>
      </c>
      <c r="AL32" s="4" t="str">
        <f t="shared" si="14"/>
        <v/>
      </c>
      <c r="AM32" s="5"/>
      <c r="AN32" s="5"/>
      <c r="AO32" s="6" t="str">
        <f t="shared" si="15"/>
        <v/>
      </c>
      <c r="AP32" s="7" t="str">
        <f t="shared" si="16"/>
        <v/>
      </c>
      <c r="AQ32" s="8" t="str">
        <f t="shared" si="17"/>
        <v/>
      </c>
      <c r="AR32" s="4" t="str">
        <f t="shared" si="18"/>
        <v/>
      </c>
    </row>
    <row r="33" spans="6:44" x14ac:dyDescent="0.25">
      <c r="F33" s="5"/>
      <c r="G33" s="5"/>
      <c r="H33" s="5"/>
      <c r="I33" s="5"/>
      <c r="J33" s="5"/>
      <c r="K33" s="5"/>
      <c r="L33" s="5"/>
      <c r="M33" s="5"/>
      <c r="N33" s="5"/>
      <c r="O33" s="4"/>
      <c r="P33" s="4"/>
      <c r="Q33" s="5"/>
      <c r="R33" s="6"/>
      <c r="S33" s="7"/>
      <c r="T33" s="8"/>
      <c r="U33" s="6"/>
      <c r="V33" s="4"/>
      <c r="W33" s="8"/>
      <c r="X33" s="4"/>
      <c r="AA33" s="5">
        <v>14</v>
      </c>
      <c r="AB33" s="4" t="str">
        <f t="shared" si="9"/>
        <v/>
      </c>
      <c r="AC33" s="5"/>
      <c r="AD33" s="5"/>
      <c r="AE33" s="5"/>
      <c r="AF33" s="6" t="str">
        <f t="shared" si="10"/>
        <v/>
      </c>
      <c r="AG33" s="7" t="str">
        <f t="shared" si="11"/>
        <v/>
      </c>
      <c r="AH33" s="8" t="str">
        <f t="shared" si="12"/>
        <v/>
      </c>
      <c r="AI33" s="4" t="str">
        <f t="shared" si="13"/>
        <v/>
      </c>
      <c r="AK33" s="5">
        <v>14</v>
      </c>
      <c r="AL33" s="4" t="str">
        <f t="shared" si="14"/>
        <v/>
      </c>
      <c r="AM33" s="5"/>
      <c r="AN33" s="5"/>
      <c r="AO33" s="6" t="str">
        <f t="shared" si="15"/>
        <v/>
      </c>
      <c r="AP33" s="7" t="str">
        <f t="shared" si="16"/>
        <v/>
      </c>
      <c r="AQ33" s="8" t="str">
        <f t="shared" si="17"/>
        <v/>
      </c>
      <c r="AR33" s="4" t="str">
        <f t="shared" si="18"/>
        <v/>
      </c>
    </row>
    <row r="34" spans="6:44" x14ac:dyDescent="0.25">
      <c r="F34" s="5"/>
      <c r="G34" s="5"/>
      <c r="H34" s="5"/>
      <c r="I34" s="5"/>
      <c r="J34" s="5"/>
      <c r="K34" s="5"/>
      <c r="L34" s="5"/>
      <c r="M34" s="5"/>
      <c r="N34" s="5"/>
      <c r="O34" s="4"/>
      <c r="P34" s="4"/>
      <c r="Q34" s="5"/>
      <c r="R34" s="6"/>
      <c r="S34" s="7"/>
      <c r="T34" s="8"/>
      <c r="U34" s="6"/>
      <c r="V34" s="4"/>
      <c r="W34" s="8"/>
      <c r="X34" s="4"/>
      <c r="AA34" s="5">
        <v>15</v>
      </c>
      <c r="AB34" s="4" t="str">
        <f t="shared" si="9"/>
        <v/>
      </c>
      <c r="AC34" s="5"/>
      <c r="AD34" s="5"/>
      <c r="AE34" s="5"/>
      <c r="AF34" s="6" t="str">
        <f t="shared" si="10"/>
        <v/>
      </c>
      <c r="AG34" s="7" t="str">
        <f t="shared" si="11"/>
        <v/>
      </c>
      <c r="AH34" s="8" t="str">
        <f t="shared" si="12"/>
        <v/>
      </c>
      <c r="AI34" s="4" t="str">
        <f t="shared" si="13"/>
        <v/>
      </c>
      <c r="AK34" s="5">
        <v>15</v>
      </c>
      <c r="AL34" s="4" t="str">
        <f t="shared" si="14"/>
        <v/>
      </c>
      <c r="AM34" s="5"/>
      <c r="AN34" s="5"/>
      <c r="AO34" s="6" t="str">
        <f t="shared" si="15"/>
        <v/>
      </c>
      <c r="AP34" s="7" t="str">
        <f t="shared" si="16"/>
        <v/>
      </c>
      <c r="AQ34" s="8" t="str">
        <f t="shared" si="17"/>
        <v/>
      </c>
      <c r="AR34" s="4" t="str">
        <f t="shared" si="18"/>
        <v/>
      </c>
    </row>
    <row r="35" spans="6:44" x14ac:dyDescent="0.25">
      <c r="F35" s="5"/>
      <c r="G35" s="5"/>
      <c r="H35" s="5"/>
      <c r="I35" s="5"/>
      <c r="J35" s="5"/>
      <c r="K35" s="5"/>
      <c r="L35" s="5"/>
      <c r="M35" s="5"/>
      <c r="N35" s="5"/>
      <c r="O35" s="4"/>
      <c r="P35" s="4"/>
      <c r="Q35" s="5"/>
      <c r="R35" s="6"/>
      <c r="S35" s="7"/>
      <c r="T35" s="8"/>
      <c r="U35" s="6"/>
      <c r="V35" s="4"/>
      <c r="W35" s="8"/>
      <c r="X35" s="4"/>
      <c r="AA35" s="5">
        <v>16</v>
      </c>
      <c r="AB35" s="4" t="str">
        <f t="shared" si="9"/>
        <v/>
      </c>
      <c r="AC35" s="5"/>
      <c r="AD35" s="5"/>
      <c r="AE35" s="5"/>
      <c r="AF35" s="6" t="str">
        <f t="shared" si="10"/>
        <v/>
      </c>
      <c r="AG35" s="7" t="str">
        <f t="shared" si="11"/>
        <v/>
      </c>
      <c r="AH35" s="8" t="str">
        <f t="shared" si="12"/>
        <v/>
      </c>
      <c r="AI35" s="4" t="str">
        <f t="shared" si="13"/>
        <v/>
      </c>
      <c r="AK35" s="5">
        <v>16</v>
      </c>
      <c r="AL35" s="4" t="str">
        <f t="shared" si="14"/>
        <v/>
      </c>
      <c r="AM35" s="5"/>
      <c r="AN35" s="5"/>
      <c r="AO35" s="6" t="str">
        <f t="shared" si="15"/>
        <v/>
      </c>
      <c r="AP35" s="7" t="str">
        <f t="shared" si="16"/>
        <v/>
      </c>
      <c r="AQ35" s="8" t="str">
        <f t="shared" si="17"/>
        <v/>
      </c>
      <c r="AR35" s="4" t="str">
        <f t="shared" si="18"/>
        <v/>
      </c>
    </row>
    <row r="36" spans="6:44" x14ac:dyDescent="0.25">
      <c r="F36" s="5"/>
      <c r="G36" s="5"/>
      <c r="H36" s="5"/>
      <c r="I36" s="5"/>
      <c r="J36" s="5"/>
      <c r="K36" s="5"/>
      <c r="L36" s="5"/>
      <c r="M36" s="5"/>
      <c r="N36" s="5"/>
      <c r="O36" s="4"/>
      <c r="P36" s="4"/>
      <c r="Q36" s="5"/>
      <c r="R36" s="6"/>
      <c r="S36" s="7"/>
      <c r="T36" s="8"/>
      <c r="U36" s="6"/>
      <c r="V36" s="4"/>
      <c r="W36" s="8"/>
      <c r="X36" s="4"/>
      <c r="AA36" s="5">
        <v>17</v>
      </c>
      <c r="AB36" s="4" t="str">
        <f t="shared" si="9"/>
        <v/>
      </c>
      <c r="AC36" s="5"/>
      <c r="AD36" s="5"/>
      <c r="AE36" s="5"/>
      <c r="AF36" s="6" t="str">
        <f t="shared" si="10"/>
        <v/>
      </c>
      <c r="AG36" s="7" t="str">
        <f t="shared" si="11"/>
        <v/>
      </c>
      <c r="AH36" s="8" t="str">
        <f t="shared" si="12"/>
        <v/>
      </c>
      <c r="AI36" s="4" t="str">
        <f t="shared" si="13"/>
        <v/>
      </c>
      <c r="AK36" s="5">
        <v>17</v>
      </c>
      <c r="AL36" s="4" t="str">
        <f t="shared" si="14"/>
        <v/>
      </c>
      <c r="AM36" s="5"/>
      <c r="AN36" s="5"/>
      <c r="AO36" s="6" t="str">
        <f t="shared" si="15"/>
        <v/>
      </c>
      <c r="AP36" s="7" t="str">
        <f t="shared" si="16"/>
        <v/>
      </c>
      <c r="AQ36" s="8" t="str">
        <f t="shared" si="17"/>
        <v/>
      </c>
      <c r="AR36" s="4" t="str">
        <f t="shared" si="18"/>
        <v/>
      </c>
    </row>
    <row r="37" spans="6:44" x14ac:dyDescent="0.25">
      <c r="F37" s="5"/>
      <c r="G37" s="5"/>
      <c r="H37" s="5"/>
      <c r="I37" s="5"/>
      <c r="J37" s="5"/>
      <c r="K37" s="5"/>
      <c r="L37" s="5"/>
      <c r="M37" s="5"/>
      <c r="N37" s="5"/>
      <c r="O37" s="4"/>
      <c r="P37" s="4"/>
      <c r="Q37" s="5"/>
      <c r="R37" s="6"/>
      <c r="S37" s="7"/>
      <c r="T37" s="8"/>
      <c r="U37" s="6"/>
      <c r="V37" s="4"/>
      <c r="W37" s="8"/>
      <c r="X37" s="4"/>
      <c r="AA37" s="5">
        <v>18</v>
      </c>
      <c r="AB37" s="4" t="str">
        <f t="shared" si="9"/>
        <v/>
      </c>
      <c r="AC37" s="5"/>
      <c r="AD37" s="5"/>
      <c r="AE37" s="5"/>
      <c r="AF37" s="6" t="str">
        <f t="shared" si="10"/>
        <v/>
      </c>
      <c r="AG37" s="7" t="str">
        <f t="shared" si="11"/>
        <v/>
      </c>
      <c r="AH37" s="8" t="str">
        <f t="shared" si="12"/>
        <v/>
      </c>
      <c r="AI37" s="4" t="str">
        <f t="shared" si="13"/>
        <v/>
      </c>
      <c r="AK37" s="5">
        <v>18</v>
      </c>
      <c r="AL37" s="4" t="str">
        <f t="shared" si="14"/>
        <v/>
      </c>
      <c r="AM37" s="5"/>
      <c r="AN37" s="5"/>
      <c r="AO37" s="6" t="str">
        <f t="shared" si="15"/>
        <v/>
      </c>
      <c r="AP37" s="7" t="str">
        <f t="shared" si="16"/>
        <v/>
      </c>
      <c r="AQ37" s="8" t="str">
        <f t="shared" si="17"/>
        <v/>
      </c>
      <c r="AR37" s="4" t="str">
        <f t="shared" si="18"/>
        <v/>
      </c>
    </row>
    <row r="38" spans="6:44" x14ac:dyDescent="0.25">
      <c r="F38" s="5"/>
      <c r="G38" s="5"/>
      <c r="H38" s="5"/>
      <c r="I38" s="5"/>
      <c r="J38" s="5"/>
      <c r="K38" s="5"/>
      <c r="L38" s="5"/>
      <c r="M38" s="5"/>
      <c r="N38" s="5"/>
      <c r="O38" s="4"/>
      <c r="P38" s="4"/>
      <c r="Q38" s="5"/>
      <c r="R38" s="6"/>
      <c r="S38" s="7"/>
      <c r="T38" s="8"/>
      <c r="U38" s="6"/>
      <c r="V38" s="4"/>
      <c r="W38" s="8"/>
      <c r="X38" s="4"/>
      <c r="AA38" s="5">
        <v>19</v>
      </c>
      <c r="AB38" s="4" t="str">
        <f t="shared" si="9"/>
        <v/>
      </c>
      <c r="AC38" s="5"/>
      <c r="AD38" s="5"/>
      <c r="AE38" s="5"/>
      <c r="AF38" s="6" t="str">
        <f t="shared" si="10"/>
        <v/>
      </c>
      <c r="AG38" s="7" t="str">
        <f t="shared" si="11"/>
        <v/>
      </c>
      <c r="AH38" s="8" t="str">
        <f t="shared" si="12"/>
        <v/>
      </c>
      <c r="AI38" s="4" t="str">
        <f t="shared" si="13"/>
        <v/>
      </c>
      <c r="AK38" s="5">
        <v>19</v>
      </c>
      <c r="AL38" s="4" t="str">
        <f t="shared" si="14"/>
        <v/>
      </c>
      <c r="AM38" s="5"/>
      <c r="AN38" s="5"/>
      <c r="AO38" s="6" t="str">
        <f t="shared" si="15"/>
        <v/>
      </c>
      <c r="AP38" s="7" t="str">
        <f t="shared" si="16"/>
        <v/>
      </c>
      <c r="AQ38" s="8" t="str">
        <f t="shared" si="17"/>
        <v/>
      </c>
      <c r="AR38" s="4" t="str">
        <f t="shared" si="18"/>
        <v/>
      </c>
    </row>
    <row r="39" spans="6:44" x14ac:dyDescent="0.25">
      <c r="F39" s="5"/>
      <c r="G39" s="5"/>
      <c r="H39" s="5"/>
      <c r="I39" s="5"/>
      <c r="J39" s="5"/>
      <c r="K39" s="5"/>
      <c r="L39" s="5"/>
      <c r="M39" s="5"/>
      <c r="N39" s="5"/>
      <c r="O39" s="4"/>
      <c r="P39" s="4"/>
      <c r="Q39" s="5"/>
      <c r="R39" s="6"/>
      <c r="S39" s="7"/>
      <c r="T39" s="8"/>
      <c r="U39" s="6"/>
      <c r="V39" s="4"/>
      <c r="W39" s="8"/>
      <c r="X39" s="4"/>
      <c r="AA39" s="5">
        <v>20</v>
      </c>
      <c r="AB39" s="4" t="str">
        <f t="shared" si="9"/>
        <v/>
      </c>
      <c r="AC39" s="5"/>
      <c r="AD39" s="5"/>
      <c r="AE39" s="5"/>
      <c r="AF39" s="6" t="str">
        <f t="shared" si="10"/>
        <v/>
      </c>
      <c r="AG39" s="7" t="str">
        <f t="shared" si="11"/>
        <v/>
      </c>
      <c r="AH39" s="8" t="str">
        <f t="shared" si="12"/>
        <v/>
      </c>
      <c r="AI39" s="4" t="str">
        <f t="shared" si="13"/>
        <v/>
      </c>
      <c r="AK39" s="5">
        <v>20</v>
      </c>
      <c r="AL39" s="4" t="str">
        <f t="shared" si="14"/>
        <v/>
      </c>
      <c r="AM39" s="5"/>
      <c r="AN39" s="5"/>
      <c r="AO39" s="6" t="str">
        <f t="shared" si="15"/>
        <v/>
      </c>
      <c r="AP39" s="7" t="str">
        <f t="shared" si="16"/>
        <v/>
      </c>
      <c r="AQ39" s="8" t="str">
        <f t="shared" si="17"/>
        <v/>
      </c>
      <c r="AR39" s="4" t="str">
        <f t="shared" si="18"/>
        <v/>
      </c>
    </row>
    <row r="40" spans="6:44" x14ac:dyDescent="0.25">
      <c r="F40" s="5"/>
      <c r="G40" s="5"/>
      <c r="H40" s="5"/>
      <c r="I40" s="5"/>
      <c r="J40" s="5"/>
      <c r="K40" s="5"/>
      <c r="L40" s="5"/>
      <c r="M40" s="5"/>
      <c r="N40" s="5"/>
      <c r="O40" s="4"/>
      <c r="P40" s="4"/>
      <c r="Q40" s="5"/>
      <c r="R40" s="6"/>
      <c r="S40" s="7"/>
      <c r="T40" s="8"/>
      <c r="U40" s="6"/>
      <c r="V40" s="4"/>
      <c r="W40" s="8"/>
      <c r="X40" s="4"/>
      <c r="AA40" s="5">
        <v>21</v>
      </c>
      <c r="AB40" s="4" t="str">
        <f t="shared" si="9"/>
        <v/>
      </c>
      <c r="AC40" s="5"/>
      <c r="AD40" s="5"/>
      <c r="AE40" s="5"/>
      <c r="AF40" s="6" t="str">
        <f t="shared" si="10"/>
        <v/>
      </c>
      <c r="AG40" s="7" t="str">
        <f t="shared" si="11"/>
        <v/>
      </c>
      <c r="AH40" s="8" t="str">
        <f t="shared" si="12"/>
        <v/>
      </c>
      <c r="AI40" s="4" t="str">
        <f t="shared" si="13"/>
        <v/>
      </c>
      <c r="AK40" s="5">
        <v>21</v>
      </c>
      <c r="AL40" s="4" t="str">
        <f t="shared" si="14"/>
        <v/>
      </c>
      <c r="AM40" s="5"/>
      <c r="AN40" s="5"/>
      <c r="AO40" s="6" t="str">
        <f t="shared" si="15"/>
        <v/>
      </c>
      <c r="AP40" s="7" t="str">
        <f t="shared" si="16"/>
        <v/>
      </c>
      <c r="AQ40" s="8" t="str">
        <f t="shared" si="17"/>
        <v/>
      </c>
      <c r="AR40" s="4" t="str">
        <f t="shared" si="18"/>
        <v/>
      </c>
    </row>
    <row r="41" spans="6:44" x14ac:dyDescent="0.25">
      <c r="F41" s="5"/>
      <c r="G41" s="5"/>
      <c r="H41" s="5"/>
      <c r="I41" s="5"/>
      <c r="J41" s="5"/>
      <c r="K41" s="5"/>
      <c r="L41" s="5"/>
      <c r="M41" s="5"/>
      <c r="N41" s="5"/>
      <c r="O41" s="4"/>
      <c r="P41" s="4"/>
      <c r="Q41" s="5"/>
      <c r="R41" s="6"/>
      <c r="S41" s="7"/>
      <c r="T41" s="8"/>
      <c r="U41" s="6"/>
      <c r="V41" s="4"/>
      <c r="W41" s="8"/>
      <c r="X41" s="4"/>
      <c r="AA41" s="5">
        <v>22</v>
      </c>
      <c r="AB41" s="4" t="str">
        <f t="shared" si="9"/>
        <v/>
      </c>
      <c r="AC41" s="5"/>
      <c r="AD41" s="5"/>
      <c r="AE41" s="5"/>
      <c r="AF41" s="6" t="str">
        <f t="shared" si="10"/>
        <v/>
      </c>
      <c r="AG41" s="7" t="str">
        <f t="shared" si="11"/>
        <v/>
      </c>
      <c r="AH41" s="8" t="str">
        <f t="shared" si="12"/>
        <v/>
      </c>
      <c r="AI41" s="4" t="str">
        <f t="shared" si="13"/>
        <v/>
      </c>
      <c r="AK41" s="5">
        <v>22</v>
      </c>
      <c r="AL41" s="4" t="str">
        <f t="shared" si="14"/>
        <v/>
      </c>
      <c r="AM41" s="5"/>
      <c r="AN41" s="5"/>
      <c r="AO41" s="6" t="str">
        <f t="shared" si="15"/>
        <v/>
      </c>
      <c r="AP41" s="7" t="str">
        <f t="shared" si="16"/>
        <v/>
      </c>
      <c r="AQ41" s="8" t="str">
        <f t="shared" si="17"/>
        <v/>
      </c>
      <c r="AR41" s="4" t="str">
        <f t="shared" si="18"/>
        <v/>
      </c>
    </row>
    <row r="42" spans="6:44" x14ac:dyDescent="0.25">
      <c r="F42" s="5"/>
      <c r="G42" s="5"/>
      <c r="H42" s="5"/>
      <c r="I42" s="5"/>
      <c r="J42" s="5"/>
      <c r="K42" s="5"/>
      <c r="L42" s="5"/>
      <c r="M42" s="5"/>
      <c r="N42" s="5"/>
      <c r="O42" s="4"/>
      <c r="P42" s="4"/>
      <c r="Q42" s="5"/>
      <c r="R42" s="6"/>
      <c r="S42" s="7"/>
      <c r="T42" s="8"/>
      <c r="U42" s="6"/>
      <c r="V42" s="4"/>
      <c r="W42" s="8"/>
      <c r="X42" s="4"/>
      <c r="AA42" s="5">
        <v>23</v>
      </c>
      <c r="AB42" s="4" t="str">
        <f t="shared" si="9"/>
        <v/>
      </c>
      <c r="AC42" s="5"/>
      <c r="AD42" s="5"/>
      <c r="AE42" s="5"/>
      <c r="AF42" s="6" t="str">
        <f t="shared" si="10"/>
        <v/>
      </c>
      <c r="AG42" s="7" t="str">
        <f t="shared" si="11"/>
        <v/>
      </c>
      <c r="AH42" s="8" t="str">
        <f t="shared" si="12"/>
        <v/>
      </c>
      <c r="AI42" s="4" t="str">
        <f t="shared" si="13"/>
        <v/>
      </c>
      <c r="AK42" s="5">
        <v>23</v>
      </c>
      <c r="AL42" s="4" t="str">
        <f t="shared" si="14"/>
        <v/>
      </c>
      <c r="AM42" s="5"/>
      <c r="AN42" s="5"/>
      <c r="AO42" s="6" t="str">
        <f t="shared" si="15"/>
        <v/>
      </c>
      <c r="AP42" s="7" t="str">
        <f t="shared" si="16"/>
        <v/>
      </c>
      <c r="AQ42" s="8" t="str">
        <f t="shared" si="17"/>
        <v/>
      </c>
      <c r="AR42" s="4" t="str">
        <f t="shared" si="18"/>
        <v/>
      </c>
    </row>
    <row r="43" spans="6:44" x14ac:dyDescent="0.25">
      <c r="F43" s="5"/>
      <c r="G43" s="5"/>
      <c r="H43" s="5"/>
      <c r="I43" s="5"/>
      <c r="J43" s="5"/>
      <c r="K43" s="5"/>
      <c r="L43" s="5"/>
      <c r="M43" s="5"/>
      <c r="N43" s="5"/>
      <c r="O43" s="4"/>
      <c r="P43" s="4"/>
      <c r="Q43" s="5"/>
      <c r="R43" s="6"/>
      <c r="S43" s="7"/>
      <c r="T43" s="8"/>
      <c r="U43" s="6"/>
      <c r="V43" s="4"/>
      <c r="W43" s="8"/>
      <c r="X43" s="4"/>
      <c r="AA43" s="5">
        <v>24</v>
      </c>
      <c r="AB43" s="4" t="str">
        <f t="shared" si="9"/>
        <v/>
      </c>
      <c r="AC43" s="11"/>
      <c r="AD43" s="11"/>
      <c r="AE43" s="11"/>
      <c r="AF43" s="6" t="str">
        <f t="shared" si="10"/>
        <v/>
      </c>
      <c r="AG43" s="7" t="str">
        <f t="shared" si="11"/>
        <v/>
      </c>
      <c r="AH43" s="8" t="str">
        <f t="shared" si="12"/>
        <v/>
      </c>
      <c r="AI43" s="4" t="str">
        <f t="shared" si="13"/>
        <v/>
      </c>
      <c r="AK43" s="5">
        <v>24</v>
      </c>
      <c r="AL43" s="4" t="str">
        <f t="shared" si="14"/>
        <v/>
      </c>
      <c r="AM43" s="11"/>
      <c r="AN43" s="11"/>
      <c r="AO43" s="6" t="str">
        <f t="shared" si="15"/>
        <v/>
      </c>
      <c r="AP43" s="7" t="str">
        <f t="shared" si="16"/>
        <v/>
      </c>
      <c r="AQ43" s="8" t="str">
        <f t="shared" si="17"/>
        <v/>
      </c>
      <c r="AR43" s="4" t="str">
        <f t="shared" si="18"/>
        <v/>
      </c>
    </row>
    <row r="44" spans="6:44" x14ac:dyDescent="0.25">
      <c r="F44" s="5"/>
      <c r="G44" s="5"/>
      <c r="H44" s="5"/>
      <c r="I44" s="5"/>
      <c r="J44" s="5"/>
      <c r="K44" s="5"/>
      <c r="L44" s="5"/>
      <c r="M44" s="5"/>
      <c r="N44" s="5"/>
      <c r="O44" s="4"/>
      <c r="P44" s="4"/>
      <c r="Q44" s="5"/>
      <c r="R44" s="6"/>
      <c r="S44" s="7"/>
      <c r="T44" s="8"/>
      <c r="U44" s="6"/>
      <c r="V44" s="4"/>
      <c r="W44" s="8"/>
      <c r="X44" s="4"/>
      <c r="AA44" s="5">
        <v>25</v>
      </c>
      <c r="AB44" s="4" t="str">
        <f t="shared" si="9"/>
        <v/>
      </c>
      <c r="AC44" s="11"/>
      <c r="AD44" s="11"/>
      <c r="AE44" s="11"/>
      <c r="AF44" s="6" t="str">
        <f t="shared" si="10"/>
        <v/>
      </c>
      <c r="AG44" s="7" t="str">
        <f t="shared" si="11"/>
        <v/>
      </c>
      <c r="AH44" s="8" t="str">
        <f t="shared" si="12"/>
        <v/>
      </c>
      <c r="AI44" s="4" t="str">
        <f t="shared" si="13"/>
        <v/>
      </c>
      <c r="AK44" s="5">
        <v>25</v>
      </c>
      <c r="AL44" s="4" t="str">
        <f t="shared" si="14"/>
        <v/>
      </c>
      <c r="AM44" s="11"/>
      <c r="AN44" s="11"/>
      <c r="AO44" s="6" t="str">
        <f t="shared" si="15"/>
        <v/>
      </c>
      <c r="AP44" s="7" t="str">
        <f t="shared" si="16"/>
        <v/>
      </c>
      <c r="AQ44" s="8" t="str">
        <f t="shared" si="17"/>
        <v/>
      </c>
      <c r="AR44" s="4" t="str">
        <f t="shared" si="18"/>
        <v/>
      </c>
    </row>
    <row r="45" spans="6:44" x14ac:dyDescent="0.25">
      <c r="F45" s="5"/>
      <c r="G45" s="5"/>
      <c r="H45" s="5"/>
      <c r="I45" s="5"/>
      <c r="J45" s="5"/>
      <c r="K45" s="5"/>
      <c r="L45" s="5"/>
      <c r="M45" s="5"/>
      <c r="N45" s="5"/>
      <c r="O45" s="4"/>
      <c r="P45" s="4"/>
      <c r="Q45" s="5"/>
      <c r="R45" s="6"/>
      <c r="S45" s="7"/>
      <c r="T45" s="8"/>
      <c r="U45" s="6"/>
      <c r="V45" s="4"/>
      <c r="W45" s="8"/>
      <c r="X45" s="4"/>
      <c r="AA45" s="5">
        <v>26</v>
      </c>
      <c r="AB45" s="4" t="str">
        <f t="shared" si="9"/>
        <v/>
      </c>
      <c r="AC45" s="11"/>
      <c r="AD45" s="11"/>
      <c r="AE45" s="11"/>
      <c r="AF45" s="6" t="str">
        <f t="shared" si="10"/>
        <v/>
      </c>
      <c r="AG45" s="7" t="str">
        <f t="shared" si="11"/>
        <v/>
      </c>
      <c r="AH45" s="8" t="str">
        <f t="shared" si="12"/>
        <v/>
      </c>
      <c r="AI45" s="4" t="str">
        <f t="shared" si="13"/>
        <v/>
      </c>
      <c r="AK45" s="5">
        <v>26</v>
      </c>
      <c r="AL45" s="4" t="str">
        <f t="shared" si="14"/>
        <v/>
      </c>
      <c r="AM45" s="11"/>
      <c r="AN45" s="11"/>
      <c r="AO45" s="6" t="str">
        <f t="shared" si="15"/>
        <v/>
      </c>
      <c r="AP45" s="7" t="str">
        <f t="shared" si="16"/>
        <v/>
      </c>
      <c r="AQ45" s="8" t="str">
        <f t="shared" si="17"/>
        <v/>
      </c>
      <c r="AR45" s="4" t="str">
        <f t="shared" si="18"/>
        <v/>
      </c>
    </row>
    <row r="46" spans="6:44" x14ac:dyDescent="0.25">
      <c r="F46" s="5"/>
      <c r="G46" s="5"/>
      <c r="H46" s="5"/>
      <c r="I46" s="5"/>
      <c r="J46" s="5"/>
      <c r="K46" s="5"/>
      <c r="L46" s="5"/>
      <c r="M46" s="5"/>
      <c r="N46" s="5"/>
      <c r="O46" s="4"/>
      <c r="P46" s="4"/>
      <c r="Q46" s="5"/>
      <c r="R46" s="6"/>
      <c r="S46" s="7"/>
      <c r="T46" s="8"/>
      <c r="U46" s="6"/>
      <c r="V46" s="4"/>
      <c r="W46" s="8"/>
      <c r="X46" s="4"/>
      <c r="AA46" s="5">
        <v>27</v>
      </c>
      <c r="AB46" s="4" t="str">
        <f t="shared" si="9"/>
        <v/>
      </c>
      <c r="AC46" s="11"/>
      <c r="AD46" s="11"/>
      <c r="AE46" s="11"/>
      <c r="AF46" s="6" t="str">
        <f t="shared" si="10"/>
        <v/>
      </c>
      <c r="AG46" s="7" t="str">
        <f t="shared" si="11"/>
        <v/>
      </c>
      <c r="AH46" s="8" t="str">
        <f t="shared" si="12"/>
        <v/>
      </c>
      <c r="AI46" s="4" t="str">
        <f t="shared" si="13"/>
        <v/>
      </c>
      <c r="AK46" s="5">
        <v>27</v>
      </c>
      <c r="AL46" s="4" t="str">
        <f t="shared" si="14"/>
        <v/>
      </c>
      <c r="AM46" s="11"/>
      <c r="AN46" s="11"/>
      <c r="AO46" s="6" t="str">
        <f t="shared" si="15"/>
        <v/>
      </c>
      <c r="AP46" s="7" t="str">
        <f t="shared" si="16"/>
        <v/>
      </c>
      <c r="AQ46" s="8" t="str">
        <f t="shared" si="17"/>
        <v/>
      </c>
      <c r="AR46" s="4" t="str">
        <f t="shared" si="18"/>
        <v/>
      </c>
    </row>
    <row r="47" spans="6:44" x14ac:dyDescent="0.25">
      <c r="F47" s="5"/>
      <c r="G47" s="5"/>
      <c r="H47" s="5"/>
      <c r="I47" s="5"/>
      <c r="J47" s="5"/>
      <c r="K47" s="5"/>
      <c r="L47" s="5"/>
      <c r="M47" s="5"/>
      <c r="N47" s="5"/>
      <c r="O47" s="4"/>
      <c r="P47" s="4"/>
      <c r="Q47" s="5"/>
      <c r="R47" s="6"/>
      <c r="S47" s="7"/>
      <c r="T47" s="8"/>
      <c r="U47" s="6"/>
      <c r="V47" s="4"/>
      <c r="W47" s="8"/>
      <c r="X47" s="4"/>
      <c r="AA47" s="5">
        <v>28</v>
      </c>
      <c r="AB47" s="4" t="str">
        <f t="shared" si="9"/>
        <v/>
      </c>
      <c r="AC47" s="11"/>
      <c r="AD47" s="11"/>
      <c r="AE47" s="11"/>
      <c r="AF47" s="6" t="str">
        <f t="shared" si="10"/>
        <v/>
      </c>
      <c r="AG47" s="7" t="str">
        <f t="shared" si="11"/>
        <v/>
      </c>
      <c r="AH47" s="8" t="str">
        <f t="shared" si="12"/>
        <v/>
      </c>
      <c r="AI47" s="4" t="str">
        <f t="shared" si="13"/>
        <v/>
      </c>
      <c r="AK47" s="5">
        <v>28</v>
      </c>
      <c r="AL47" s="4" t="str">
        <f t="shared" si="14"/>
        <v/>
      </c>
      <c r="AM47" s="11"/>
      <c r="AN47" s="11"/>
      <c r="AO47" s="6" t="str">
        <f t="shared" si="15"/>
        <v/>
      </c>
      <c r="AP47" s="7" t="str">
        <f t="shared" si="16"/>
        <v/>
      </c>
      <c r="AQ47" s="8" t="str">
        <f t="shared" si="17"/>
        <v/>
      </c>
      <c r="AR47" s="4" t="str">
        <f t="shared" si="18"/>
        <v/>
      </c>
    </row>
    <row r="48" spans="6:44" x14ac:dyDescent="0.25">
      <c r="F48" s="5"/>
      <c r="G48" s="5"/>
      <c r="H48" s="5"/>
      <c r="I48" s="5"/>
      <c r="J48" s="5"/>
      <c r="K48" s="5"/>
      <c r="L48" s="5"/>
      <c r="M48" s="5"/>
      <c r="N48" s="5"/>
      <c r="O48" s="4"/>
      <c r="P48" s="4"/>
      <c r="Q48" s="5"/>
      <c r="R48" s="6"/>
      <c r="S48" s="7"/>
      <c r="T48" s="8"/>
      <c r="U48" s="6"/>
      <c r="V48" s="4"/>
      <c r="W48" s="8"/>
      <c r="X48" s="4"/>
      <c r="AA48" s="5">
        <v>29</v>
      </c>
      <c r="AB48" s="4" t="str">
        <f t="shared" si="9"/>
        <v/>
      </c>
      <c r="AC48" s="11"/>
      <c r="AD48" s="11"/>
      <c r="AE48" s="11"/>
      <c r="AF48" s="6" t="str">
        <f t="shared" si="10"/>
        <v/>
      </c>
      <c r="AG48" s="7" t="str">
        <f t="shared" si="11"/>
        <v/>
      </c>
      <c r="AH48" s="8" t="str">
        <f t="shared" si="12"/>
        <v/>
      </c>
      <c r="AI48" s="4" t="str">
        <f t="shared" si="13"/>
        <v/>
      </c>
      <c r="AK48" s="5">
        <v>29</v>
      </c>
      <c r="AL48" s="4" t="str">
        <f t="shared" si="14"/>
        <v/>
      </c>
      <c r="AM48" s="11"/>
      <c r="AN48" s="11"/>
      <c r="AO48" s="6" t="str">
        <f t="shared" si="15"/>
        <v/>
      </c>
      <c r="AP48" s="7" t="str">
        <f t="shared" si="16"/>
        <v/>
      </c>
      <c r="AQ48" s="8" t="str">
        <f t="shared" si="17"/>
        <v/>
      </c>
      <c r="AR48" s="4" t="str">
        <f t="shared" si="18"/>
        <v/>
      </c>
    </row>
    <row r="49" spans="6:44" x14ac:dyDescent="0.25">
      <c r="F49" s="5"/>
      <c r="G49" s="5"/>
      <c r="H49" s="5"/>
      <c r="I49" s="5"/>
      <c r="J49" s="5"/>
      <c r="K49" s="5"/>
      <c r="L49" s="5"/>
      <c r="M49" s="5"/>
      <c r="N49" s="5"/>
      <c r="O49" s="4"/>
      <c r="P49" s="4"/>
      <c r="Q49" s="5"/>
      <c r="R49" s="6"/>
      <c r="S49" s="7"/>
      <c r="T49" s="8"/>
      <c r="U49" s="6"/>
      <c r="V49" s="4"/>
      <c r="W49" s="8"/>
      <c r="X49" s="4"/>
      <c r="AA49" s="5">
        <v>30</v>
      </c>
      <c r="AB49" s="4" t="str">
        <f t="shared" si="9"/>
        <v/>
      </c>
      <c r="AC49" s="11"/>
      <c r="AD49" s="11"/>
      <c r="AE49" s="11"/>
      <c r="AF49" s="6" t="str">
        <f t="shared" si="10"/>
        <v/>
      </c>
      <c r="AG49" s="7" t="str">
        <f t="shared" si="11"/>
        <v/>
      </c>
      <c r="AH49" s="8" t="str">
        <f t="shared" si="12"/>
        <v/>
      </c>
      <c r="AI49" s="4" t="str">
        <f t="shared" si="13"/>
        <v/>
      </c>
      <c r="AK49" s="5">
        <v>30</v>
      </c>
      <c r="AL49" s="4" t="str">
        <f t="shared" si="14"/>
        <v/>
      </c>
      <c r="AM49" s="11"/>
      <c r="AN49" s="11"/>
      <c r="AO49" s="6" t="str">
        <f t="shared" si="15"/>
        <v/>
      </c>
      <c r="AP49" s="7" t="str">
        <f t="shared" si="16"/>
        <v/>
      </c>
      <c r="AQ49" s="8" t="str">
        <f t="shared" si="17"/>
        <v/>
      </c>
      <c r="AR49" s="4" t="str">
        <f t="shared" si="18"/>
        <v/>
      </c>
    </row>
    <row r="50" spans="6:44" x14ac:dyDescent="0.25">
      <c r="F50" s="5"/>
      <c r="G50" s="5"/>
      <c r="H50" s="5"/>
      <c r="I50" s="5"/>
      <c r="J50" s="5"/>
      <c r="K50" s="5"/>
      <c r="L50" s="5"/>
      <c r="M50" s="5"/>
      <c r="N50" s="5"/>
      <c r="O50" s="4"/>
      <c r="P50" s="4"/>
      <c r="Q50" s="5"/>
      <c r="R50" s="6"/>
      <c r="S50" s="7"/>
      <c r="T50" s="8"/>
      <c r="U50" s="6"/>
      <c r="V50" s="4"/>
      <c r="W50" s="8"/>
      <c r="X50" s="4"/>
    </row>
    <row r="51" spans="6:44" x14ac:dyDescent="0.25">
      <c r="F51" s="5"/>
      <c r="G51" s="5"/>
      <c r="H51" s="5"/>
      <c r="I51" s="5"/>
      <c r="J51" s="5"/>
      <c r="K51" s="5"/>
      <c r="L51" s="5"/>
      <c r="M51" s="5"/>
      <c r="N51" s="5"/>
      <c r="O51" s="4" t="str">
        <f t="shared" ref="O51" si="19">IF(H51="","",H51-L51-N51)</f>
        <v/>
      </c>
      <c r="P51" s="4" t="str">
        <f t="shared" ref="P51" si="20">IF(I51="","",I51-L51-N51)</f>
        <v/>
      </c>
      <c r="Q51" s="5"/>
      <c r="R51" s="4"/>
      <c r="S51" s="4"/>
      <c r="T51" s="4"/>
      <c r="U51" s="6"/>
      <c r="V51" s="4"/>
      <c r="W51" s="8"/>
      <c r="X51" s="4"/>
    </row>
    <row r="52" spans="6:44" x14ac:dyDescent="0.25">
      <c r="F52" s="5"/>
      <c r="G52" s="5"/>
      <c r="H52" s="5"/>
      <c r="I52" s="5"/>
      <c r="J52" s="5"/>
      <c r="K52" s="5"/>
      <c r="L52" s="5"/>
      <c r="M52" s="5"/>
      <c r="N52" s="5"/>
      <c r="O52" s="4"/>
      <c r="P52" s="4"/>
      <c r="Q52" s="5"/>
      <c r="R52" s="4"/>
      <c r="S52" s="4"/>
      <c r="T52" s="4"/>
      <c r="U52" s="6"/>
      <c r="V52" s="4"/>
      <c r="W52" s="8"/>
      <c r="X52" s="4"/>
    </row>
    <row r="53" spans="6:44" x14ac:dyDescent="0.25">
      <c r="F53" s="5"/>
      <c r="G53" s="5"/>
      <c r="H53" s="5"/>
      <c r="I53" s="5"/>
      <c r="J53" s="5"/>
      <c r="K53" s="5"/>
      <c r="L53" s="5"/>
      <c r="M53" s="5"/>
      <c r="N53" s="5"/>
      <c r="O53" s="4"/>
      <c r="P53" s="4"/>
      <c r="Q53" s="5"/>
      <c r="R53" s="4"/>
      <c r="S53" s="4"/>
      <c r="T53" s="4"/>
      <c r="U53" s="6"/>
      <c r="V53" s="4"/>
      <c r="W53" s="8"/>
      <c r="X53" s="4"/>
    </row>
    <row r="54" spans="6:44" x14ac:dyDescent="0.25">
      <c r="F54" s="5"/>
      <c r="G54" s="5"/>
      <c r="H54" s="5"/>
      <c r="I54" s="5"/>
      <c r="J54" s="5"/>
      <c r="K54" s="5"/>
      <c r="L54" s="5"/>
      <c r="M54" s="5"/>
      <c r="N54" s="5"/>
      <c r="O54" s="4"/>
      <c r="P54" s="4"/>
      <c r="Q54" s="5"/>
      <c r="R54" s="4"/>
      <c r="S54" s="4"/>
      <c r="T54" s="4"/>
      <c r="U54" s="6"/>
      <c r="V54" s="4"/>
      <c r="W54" s="8"/>
      <c r="X54" s="4"/>
    </row>
    <row r="55" spans="6:44" x14ac:dyDescent="0.25">
      <c r="F55" s="5"/>
      <c r="G55" s="5"/>
      <c r="H55" s="5"/>
      <c r="I55" s="5"/>
      <c r="J55" s="5"/>
      <c r="K55" s="5"/>
      <c r="L55" s="5"/>
      <c r="M55" s="5"/>
      <c r="N55" s="5"/>
      <c r="O55" s="4"/>
      <c r="P55" s="4"/>
      <c r="Q55" s="5"/>
      <c r="R55" s="4"/>
      <c r="S55" s="4"/>
      <c r="T55" s="4"/>
      <c r="U55" s="6"/>
      <c r="V55" s="4"/>
      <c r="W55" s="8"/>
      <c r="X55" s="4"/>
    </row>
    <row r="56" spans="6:44" x14ac:dyDescent="0.25">
      <c r="F56" s="5"/>
      <c r="G56" s="5"/>
      <c r="H56" s="5"/>
      <c r="I56" s="5"/>
      <c r="J56" s="5"/>
      <c r="K56" s="5"/>
      <c r="L56" s="5"/>
      <c r="M56" s="5"/>
      <c r="N56" s="5"/>
      <c r="O56" s="4"/>
      <c r="P56" s="4"/>
      <c r="Q56" s="5"/>
      <c r="R56" s="4"/>
      <c r="S56" s="4"/>
      <c r="T56" s="4"/>
      <c r="U56" s="6"/>
      <c r="V56" s="4"/>
      <c r="W56" s="8"/>
      <c r="X56" s="4"/>
    </row>
    <row r="57" spans="6:44" x14ac:dyDescent="0.25">
      <c r="F57" s="5"/>
      <c r="G57" s="5"/>
      <c r="H57" s="5"/>
      <c r="I57" s="5"/>
      <c r="J57" s="5"/>
      <c r="K57" s="5"/>
      <c r="L57" s="5"/>
      <c r="M57" s="5"/>
      <c r="N57" s="5"/>
      <c r="O57" s="4"/>
      <c r="P57" s="4"/>
      <c r="Q57" s="5"/>
      <c r="R57" s="4"/>
      <c r="S57" s="4"/>
      <c r="T57" s="4"/>
      <c r="U57" s="6"/>
      <c r="V57" s="4"/>
      <c r="W57" s="8"/>
      <c r="X57" s="4"/>
    </row>
    <row r="58" spans="6:44" x14ac:dyDescent="0.25">
      <c r="F58" s="5"/>
      <c r="G58" s="5"/>
      <c r="H58" s="5"/>
      <c r="I58" s="5"/>
      <c r="J58" s="5"/>
      <c r="K58" s="5"/>
      <c r="L58" s="5"/>
      <c r="M58" s="5"/>
      <c r="N58" s="5"/>
      <c r="O58" s="4"/>
      <c r="P58" s="4"/>
      <c r="Q58" s="5"/>
      <c r="R58" s="4"/>
      <c r="S58" s="4"/>
      <c r="T58" s="4"/>
      <c r="U58" s="6"/>
      <c r="V58" s="4"/>
      <c r="W58" s="8"/>
      <c r="X58" s="4"/>
    </row>
    <row r="59" spans="6:44" x14ac:dyDescent="0.25">
      <c r="F59" s="5"/>
      <c r="G59" s="5"/>
      <c r="H59" s="5"/>
      <c r="I59" s="5"/>
      <c r="J59" s="5"/>
      <c r="K59" s="5"/>
      <c r="L59" s="5"/>
      <c r="M59" s="5"/>
      <c r="N59" s="5"/>
      <c r="O59" s="4"/>
      <c r="P59" s="4"/>
      <c r="Q59" s="5"/>
      <c r="R59" s="4"/>
      <c r="S59" s="4"/>
      <c r="T59" s="4"/>
      <c r="U59" s="6"/>
      <c r="V59" s="4"/>
      <c r="W59" s="8"/>
      <c r="X59" s="4"/>
    </row>
    <row r="60" spans="6:44" x14ac:dyDescent="0.25">
      <c r="F60" s="5"/>
      <c r="G60" s="5"/>
      <c r="H60" s="5"/>
      <c r="I60" s="5"/>
      <c r="J60" s="5"/>
      <c r="K60" s="5"/>
      <c r="L60" s="5"/>
      <c r="M60" s="5"/>
      <c r="N60" s="5"/>
      <c r="O60" s="4"/>
      <c r="P60" s="4"/>
      <c r="Q60" s="5"/>
      <c r="R60" s="4"/>
      <c r="S60" s="4"/>
      <c r="T60" s="4"/>
      <c r="U60" s="6"/>
      <c r="V60" s="4"/>
      <c r="W60" s="8"/>
      <c r="X60" s="4"/>
    </row>
    <row r="61" spans="6:44" x14ac:dyDescent="0.25">
      <c r="F61" s="5"/>
      <c r="G61" s="5"/>
      <c r="H61" s="5"/>
      <c r="I61" s="5"/>
      <c r="J61" s="5"/>
      <c r="K61" s="5"/>
      <c r="L61" s="5"/>
      <c r="M61" s="5"/>
      <c r="N61" s="5"/>
      <c r="O61" s="4"/>
      <c r="P61" s="4"/>
      <c r="Q61" s="5"/>
      <c r="R61" s="4"/>
      <c r="S61" s="4"/>
      <c r="T61" s="4"/>
      <c r="U61" s="6"/>
      <c r="V61" s="4"/>
      <c r="W61" s="8"/>
      <c r="X61" s="4"/>
    </row>
    <row r="62" spans="6:44" x14ac:dyDescent="0.25">
      <c r="F62" s="5"/>
      <c r="G62" s="5"/>
      <c r="H62" s="5"/>
      <c r="I62" s="5"/>
      <c r="J62" s="5"/>
      <c r="K62" s="5"/>
      <c r="L62" s="5"/>
      <c r="M62" s="5"/>
      <c r="N62" s="5"/>
      <c r="O62" s="4"/>
      <c r="P62" s="4"/>
      <c r="Q62" s="5"/>
      <c r="R62" s="4"/>
      <c r="S62" s="4"/>
      <c r="T62" s="4"/>
      <c r="U62" s="6"/>
      <c r="V62" s="4"/>
      <c r="W62" s="8"/>
      <c r="X62" s="4"/>
    </row>
    <row r="63" spans="6:44" x14ac:dyDescent="0.25">
      <c r="F63" s="5"/>
      <c r="G63" s="5"/>
      <c r="H63" s="5"/>
      <c r="I63" s="5"/>
      <c r="J63" s="5"/>
      <c r="K63" s="5"/>
      <c r="L63" s="5"/>
      <c r="M63" s="5"/>
      <c r="N63" s="5"/>
      <c r="O63" s="4"/>
      <c r="P63" s="4"/>
      <c r="Q63" s="5"/>
      <c r="R63" s="4"/>
      <c r="S63" s="4"/>
      <c r="T63" s="4"/>
      <c r="U63" s="6"/>
      <c r="V63" s="4"/>
      <c r="W63" s="8"/>
      <c r="X63" s="4"/>
    </row>
    <row r="64" spans="6:44" x14ac:dyDescent="0.25">
      <c r="F64" s="5"/>
      <c r="G64" s="5"/>
      <c r="H64" s="5"/>
      <c r="I64" s="5"/>
      <c r="J64" s="5"/>
      <c r="K64" s="5"/>
      <c r="L64" s="5"/>
      <c r="M64" s="5"/>
      <c r="N64" s="5"/>
      <c r="O64" s="4"/>
      <c r="P64" s="4"/>
      <c r="Q64" s="5"/>
      <c r="R64" s="4"/>
      <c r="S64" s="4"/>
      <c r="T64" s="4"/>
      <c r="U64" s="6"/>
      <c r="V64" s="4"/>
      <c r="W64" s="8"/>
      <c r="X64" s="4"/>
    </row>
    <row r="65" spans="6:24" x14ac:dyDescent="0.25">
      <c r="F65" s="5"/>
      <c r="G65" s="5"/>
      <c r="H65" s="5"/>
      <c r="I65" s="5"/>
      <c r="J65" s="5"/>
      <c r="K65" s="5"/>
      <c r="L65" s="5"/>
      <c r="M65" s="5"/>
      <c r="N65" s="5"/>
      <c r="O65" s="4"/>
      <c r="P65" s="4"/>
      <c r="Q65" s="5"/>
      <c r="R65" s="4"/>
      <c r="S65" s="4"/>
      <c r="T65" s="4"/>
      <c r="U65" s="6"/>
      <c r="V65" s="4"/>
      <c r="W65" s="8"/>
      <c r="X65" s="4"/>
    </row>
    <row r="66" spans="6:24" x14ac:dyDescent="0.25">
      <c r="F66" s="5"/>
      <c r="G66" s="5"/>
      <c r="H66" s="5"/>
      <c r="I66" s="5"/>
      <c r="J66" s="5"/>
      <c r="K66" s="5"/>
      <c r="L66" s="5"/>
      <c r="M66" s="5"/>
      <c r="N66" s="5"/>
      <c r="O66" s="4"/>
      <c r="P66" s="4"/>
      <c r="Q66" s="5"/>
      <c r="R66" s="4"/>
      <c r="S66" s="4"/>
      <c r="T66" s="4"/>
      <c r="U66" s="6"/>
      <c r="V66" s="4"/>
      <c r="W66" s="8"/>
      <c r="X66" s="4"/>
    </row>
    <row r="67" spans="6:24" x14ac:dyDescent="0.25">
      <c r="F67" s="5"/>
      <c r="G67" s="5"/>
      <c r="H67" s="5"/>
      <c r="I67" s="5"/>
      <c r="J67" s="5"/>
      <c r="K67" s="5"/>
      <c r="L67" s="5"/>
      <c r="M67" s="5"/>
      <c r="N67" s="5"/>
      <c r="O67" s="4"/>
      <c r="P67" s="4"/>
      <c r="Q67" s="5"/>
      <c r="R67" s="4"/>
      <c r="S67" s="4"/>
      <c r="T67" s="4"/>
      <c r="U67" s="6"/>
      <c r="V67" s="4"/>
      <c r="W67" s="8"/>
      <c r="X67" s="4"/>
    </row>
    <row r="68" spans="6:24" x14ac:dyDescent="0.25">
      <c r="F68" s="5"/>
      <c r="G68" s="5"/>
      <c r="H68" s="5"/>
      <c r="I68" s="5"/>
      <c r="J68" s="5"/>
      <c r="K68" s="5"/>
      <c r="L68" s="5"/>
      <c r="M68" s="5"/>
      <c r="N68" s="5"/>
      <c r="O68" s="4"/>
      <c r="P68" s="4"/>
      <c r="Q68" s="5"/>
      <c r="R68" s="4"/>
      <c r="S68" s="4"/>
      <c r="T68" s="4"/>
      <c r="U68" s="6"/>
      <c r="V68" s="4"/>
      <c r="W68" s="8"/>
      <c r="X68" s="4"/>
    </row>
    <row r="69" spans="6:24" x14ac:dyDescent="0.25">
      <c r="F69" s="5"/>
      <c r="G69" s="5"/>
      <c r="H69" s="5"/>
      <c r="I69" s="5"/>
      <c r="J69" s="5"/>
      <c r="K69" s="5"/>
      <c r="L69" s="5"/>
      <c r="M69" s="5"/>
      <c r="N69" s="5"/>
      <c r="O69" s="4"/>
      <c r="P69" s="4"/>
      <c r="Q69" s="5"/>
      <c r="R69" s="4"/>
      <c r="S69" s="4"/>
      <c r="T69" s="4"/>
      <c r="U69" s="6"/>
      <c r="V69" s="4"/>
      <c r="W69" s="8"/>
      <c r="X69" s="4"/>
    </row>
    <row r="70" spans="6:24" x14ac:dyDescent="0.25">
      <c r="F70" s="5"/>
      <c r="G70" s="5"/>
      <c r="H70" s="5"/>
      <c r="I70" s="5"/>
      <c r="J70" s="5"/>
      <c r="K70" s="5"/>
      <c r="L70" s="5"/>
      <c r="M70" s="5"/>
      <c r="N70" s="5"/>
      <c r="O70" s="4"/>
      <c r="P70" s="4"/>
      <c r="Q70" s="5"/>
      <c r="R70" s="4"/>
      <c r="S70" s="4"/>
      <c r="T70" s="4"/>
      <c r="U70" s="6"/>
      <c r="V70" s="4"/>
      <c r="W70" s="8"/>
      <c r="X70" s="4"/>
    </row>
    <row r="71" spans="6:24" x14ac:dyDescent="0.25">
      <c r="F71" s="5"/>
      <c r="G71" s="5"/>
      <c r="H71" s="5"/>
      <c r="I71" s="5"/>
      <c r="J71" s="5"/>
      <c r="K71" s="5"/>
      <c r="L71" s="5"/>
      <c r="M71" s="5"/>
      <c r="N71" s="5"/>
      <c r="O71" s="4"/>
      <c r="P71" s="4"/>
      <c r="Q71" s="5"/>
      <c r="R71" s="4"/>
      <c r="S71" s="4"/>
      <c r="T71" s="4"/>
      <c r="U71" s="6"/>
      <c r="V71" s="4"/>
      <c r="W71" s="8"/>
      <c r="X71" s="4"/>
    </row>
    <row r="72" spans="6:24" x14ac:dyDescent="0.25">
      <c r="F72" s="5"/>
      <c r="G72" s="5"/>
      <c r="H72" s="5"/>
      <c r="I72" s="5"/>
      <c r="J72" s="5"/>
      <c r="K72" s="5"/>
      <c r="L72" s="5"/>
      <c r="M72" s="5"/>
      <c r="N72" s="5"/>
      <c r="O72" s="4"/>
      <c r="P72" s="4"/>
      <c r="Q72" s="5"/>
      <c r="R72" s="4"/>
      <c r="S72" s="4"/>
      <c r="T72" s="4"/>
      <c r="U72" s="6"/>
      <c r="V72" s="4"/>
      <c r="W72" s="8"/>
      <c r="X72" s="4"/>
    </row>
    <row r="73" spans="6:24" x14ac:dyDescent="0.25">
      <c r="F73" s="5"/>
      <c r="G73" s="5"/>
      <c r="H73" s="5"/>
      <c r="I73" s="5"/>
      <c r="J73" s="5"/>
      <c r="K73" s="5"/>
      <c r="L73" s="5"/>
      <c r="M73" s="5"/>
      <c r="N73" s="5"/>
      <c r="O73" s="4"/>
      <c r="P73" s="4"/>
      <c r="Q73" s="5"/>
      <c r="R73" s="4"/>
      <c r="S73" s="4"/>
      <c r="T73" s="4"/>
      <c r="U73" s="6"/>
      <c r="V73" s="4"/>
      <c r="W73" s="8"/>
      <c r="X73" s="4"/>
    </row>
    <row r="74" spans="6:24" x14ac:dyDescent="0.25">
      <c r="F74" s="5"/>
      <c r="G74" s="5"/>
      <c r="H74" s="5"/>
      <c r="I74" s="5"/>
      <c r="J74" s="5"/>
      <c r="K74" s="5"/>
      <c r="L74" s="5"/>
      <c r="M74" s="5"/>
      <c r="N74" s="5"/>
      <c r="O74" s="4"/>
      <c r="P74" s="4"/>
      <c r="Q74" s="5"/>
      <c r="R74" s="4"/>
      <c r="S74" s="4"/>
      <c r="T74" s="4"/>
      <c r="U74" s="6"/>
      <c r="V74" s="4"/>
      <c r="W74" s="8"/>
      <c r="X74" s="4"/>
    </row>
    <row r="75" spans="6:24" x14ac:dyDescent="0.25">
      <c r="F75" s="5"/>
      <c r="G75" s="5"/>
      <c r="H75" s="5"/>
      <c r="I75" s="5"/>
      <c r="J75" s="5"/>
      <c r="K75" s="5"/>
      <c r="L75" s="5"/>
      <c r="M75" s="5"/>
      <c r="N75" s="5"/>
      <c r="O75" s="4"/>
      <c r="P75" s="4"/>
      <c r="Q75" s="5"/>
      <c r="R75" s="4"/>
      <c r="S75" s="4"/>
      <c r="T75" s="4"/>
      <c r="U75" s="6"/>
      <c r="V75" s="4"/>
      <c r="W75" s="8"/>
      <c r="X75" s="4"/>
    </row>
    <row r="76" spans="6:24" x14ac:dyDescent="0.25">
      <c r="F76" s="5"/>
      <c r="G76" s="5"/>
      <c r="H76" s="5"/>
      <c r="I76" s="5"/>
      <c r="J76" s="5"/>
      <c r="K76" s="5"/>
      <c r="L76" s="5"/>
      <c r="M76" s="5"/>
      <c r="N76" s="5"/>
      <c r="O76" s="4"/>
      <c r="P76" s="4"/>
      <c r="Q76" s="5"/>
      <c r="R76" s="4"/>
      <c r="S76" s="4"/>
      <c r="T76" s="4"/>
      <c r="U76" s="6"/>
      <c r="V76" s="4"/>
      <c r="W76" s="8"/>
      <c r="X76" s="4"/>
    </row>
    <row r="77" spans="6:24" x14ac:dyDescent="0.25">
      <c r="F77" s="5"/>
      <c r="G77" s="5"/>
      <c r="H77" s="5"/>
      <c r="I77" s="5"/>
      <c r="J77" s="5"/>
      <c r="K77" s="5"/>
      <c r="L77" s="5"/>
      <c r="M77" s="5"/>
      <c r="N77" s="5"/>
      <c r="O77" s="4"/>
      <c r="P77" s="4"/>
      <c r="Q77" s="5"/>
      <c r="R77" s="4"/>
      <c r="S77" s="4"/>
      <c r="T77" s="4"/>
      <c r="U77" s="6"/>
      <c r="V77" s="4"/>
      <c r="W77" s="8"/>
      <c r="X77" s="4"/>
    </row>
    <row r="78" spans="6:24" x14ac:dyDescent="0.25">
      <c r="F78" s="5"/>
      <c r="G78" s="5"/>
      <c r="H78" s="5"/>
      <c r="I78" s="5"/>
      <c r="J78" s="5"/>
      <c r="K78" s="5"/>
      <c r="L78" s="5"/>
      <c r="M78" s="5"/>
      <c r="N78" s="5"/>
      <c r="O78" s="4"/>
      <c r="P78" s="4"/>
      <c r="Q78" s="5"/>
      <c r="R78" s="4"/>
      <c r="S78" s="4"/>
      <c r="T78" s="4"/>
      <c r="U78" s="6"/>
      <c r="V78" s="4"/>
      <c r="W78" s="8"/>
      <c r="X78" s="4"/>
    </row>
    <row r="79" spans="6:24" x14ac:dyDescent="0.25">
      <c r="F79" s="5"/>
      <c r="G79" s="5"/>
      <c r="H79" s="5"/>
      <c r="I79" s="5"/>
      <c r="J79" s="5"/>
      <c r="K79" s="5"/>
      <c r="L79" s="5"/>
      <c r="M79" s="5"/>
      <c r="N79" s="5"/>
      <c r="O79" s="4"/>
      <c r="P79" s="4"/>
      <c r="Q79" s="5"/>
      <c r="R79" s="4"/>
      <c r="S79" s="4"/>
      <c r="T79" s="4"/>
      <c r="U79" s="6"/>
      <c r="V79" s="4"/>
      <c r="W79" s="8"/>
      <c r="X79" s="4"/>
    </row>
    <row r="80" spans="6:24" x14ac:dyDescent="0.25">
      <c r="F80" s="5"/>
      <c r="G80" s="5"/>
      <c r="H80" s="5"/>
      <c r="I80" s="5"/>
      <c r="J80" s="5"/>
      <c r="K80" s="5"/>
      <c r="L80" s="5"/>
      <c r="M80" s="5"/>
      <c r="N80" s="5"/>
      <c r="O80" s="4"/>
      <c r="P80" s="4"/>
      <c r="Q80" s="5"/>
      <c r="R80" s="4"/>
      <c r="S80" s="4"/>
      <c r="T80" s="4"/>
      <c r="U80" s="6"/>
      <c r="V80" s="4"/>
      <c r="W80" s="8"/>
      <c r="X80" s="4"/>
    </row>
    <row r="81" spans="6:24" x14ac:dyDescent="0.25">
      <c r="F81" s="5"/>
      <c r="G81" s="5"/>
      <c r="H81" s="5"/>
      <c r="I81" s="5"/>
      <c r="J81" s="5"/>
      <c r="K81" s="5"/>
      <c r="L81" s="5"/>
      <c r="M81" s="5"/>
      <c r="N81" s="5"/>
      <c r="O81" s="4"/>
      <c r="P81" s="4"/>
      <c r="Q81" s="5"/>
      <c r="R81" s="4"/>
      <c r="S81" s="4"/>
      <c r="T81" s="4"/>
      <c r="U81" s="6"/>
      <c r="V81" s="4"/>
      <c r="W81" s="8"/>
      <c r="X81" s="4"/>
    </row>
    <row r="82" spans="6:24" x14ac:dyDescent="0.25">
      <c r="F82" s="5"/>
      <c r="G82" s="5"/>
      <c r="H82" s="5"/>
      <c r="I82" s="5"/>
      <c r="J82" s="5"/>
      <c r="K82" s="5"/>
      <c r="L82" s="5"/>
      <c r="M82" s="5"/>
      <c r="N82" s="5"/>
      <c r="O82" s="4"/>
      <c r="P82" s="4"/>
      <c r="Q82" s="5"/>
      <c r="R82" s="4"/>
      <c r="S82" s="4"/>
      <c r="T82" s="4"/>
      <c r="U82" s="6"/>
      <c r="V82" s="4"/>
      <c r="W82" s="8"/>
      <c r="X82" s="4"/>
    </row>
    <row r="83" spans="6:24" x14ac:dyDescent="0.25">
      <c r="F83" s="5"/>
      <c r="G83" s="5"/>
      <c r="H83" s="5"/>
      <c r="I83" s="5"/>
      <c r="J83" s="5"/>
      <c r="K83" s="5"/>
      <c r="L83" s="5"/>
      <c r="M83" s="5"/>
      <c r="N83" s="5"/>
      <c r="O83" s="4"/>
      <c r="P83" s="4"/>
      <c r="Q83" s="5"/>
      <c r="R83" s="4"/>
      <c r="S83" s="4"/>
      <c r="T83" s="4"/>
      <c r="U83" s="6"/>
      <c r="V83" s="4"/>
      <c r="W83" s="8"/>
      <c r="X83" s="4"/>
    </row>
    <row r="84" spans="6:24" x14ac:dyDescent="0.25">
      <c r="F84" s="5"/>
      <c r="G84" s="5"/>
      <c r="H84" s="5"/>
      <c r="I84" s="5"/>
      <c r="J84" s="5"/>
      <c r="K84" s="5"/>
      <c r="L84" s="5"/>
      <c r="M84" s="5"/>
      <c r="N84" s="5"/>
      <c r="O84" s="4"/>
      <c r="P84" s="4"/>
      <c r="Q84" s="5"/>
      <c r="R84" s="4"/>
      <c r="S84" s="4"/>
      <c r="T84" s="4"/>
      <c r="U84" s="6"/>
      <c r="V84" s="4"/>
      <c r="W84" s="8"/>
      <c r="X84" s="4"/>
    </row>
    <row r="85" spans="6:24" x14ac:dyDescent="0.25">
      <c r="F85" s="5"/>
      <c r="G85" s="5"/>
      <c r="H85" s="5"/>
      <c r="I85" s="5"/>
      <c r="J85" s="5"/>
      <c r="K85" s="5"/>
      <c r="L85" s="5"/>
      <c r="M85" s="5"/>
      <c r="N85" s="5"/>
      <c r="O85" s="4"/>
      <c r="P85" s="4"/>
      <c r="Q85" s="5"/>
      <c r="R85" s="4"/>
      <c r="S85" s="4"/>
      <c r="T85" s="4"/>
      <c r="U85" s="6"/>
      <c r="V85" s="4"/>
      <c r="W85" s="8"/>
      <c r="X85" s="4"/>
    </row>
    <row r="86" spans="6:24" x14ac:dyDescent="0.25">
      <c r="F86" s="5"/>
      <c r="G86" s="5"/>
      <c r="H86" s="5"/>
      <c r="I86" s="5"/>
      <c r="J86" s="5"/>
      <c r="K86" s="5"/>
      <c r="L86" s="5"/>
      <c r="M86" s="5"/>
      <c r="N86" s="5"/>
      <c r="O86" s="4"/>
      <c r="P86" s="4"/>
      <c r="Q86" s="5"/>
      <c r="R86" s="4"/>
      <c r="S86" s="4"/>
      <c r="T86" s="4"/>
      <c r="U86" s="6"/>
      <c r="V86" s="4"/>
      <c r="W86" s="8"/>
      <c r="X86" s="4"/>
    </row>
    <row r="87" spans="6:24" x14ac:dyDescent="0.25">
      <c r="F87" s="5"/>
      <c r="G87" s="5"/>
      <c r="H87" s="5"/>
      <c r="I87" s="5"/>
      <c r="J87" s="5"/>
      <c r="K87" s="5"/>
      <c r="L87" s="5"/>
      <c r="M87" s="5"/>
      <c r="N87" s="5"/>
      <c r="O87" s="4"/>
      <c r="P87" s="4"/>
      <c r="Q87" s="5"/>
      <c r="R87" s="4"/>
      <c r="S87" s="4"/>
      <c r="T87" s="4"/>
      <c r="U87" s="6"/>
      <c r="V87" s="4"/>
      <c r="W87" s="8"/>
      <c r="X87" s="4"/>
    </row>
    <row r="88" spans="6:24" x14ac:dyDescent="0.25">
      <c r="F88" s="5"/>
      <c r="G88" s="5"/>
      <c r="H88" s="5"/>
      <c r="I88" s="5"/>
      <c r="J88" s="5"/>
      <c r="K88" s="5"/>
      <c r="L88" s="5"/>
      <c r="M88" s="5"/>
      <c r="N88" s="5"/>
      <c r="O88" s="4"/>
      <c r="P88" s="4"/>
      <c r="Q88" s="5"/>
      <c r="R88" s="4"/>
      <c r="S88" s="4"/>
      <c r="T88" s="4"/>
      <c r="U88" s="6"/>
      <c r="V88" s="4"/>
      <c r="W88" s="8"/>
      <c r="X88" s="4"/>
    </row>
    <row r="89" spans="6:24" x14ac:dyDescent="0.25">
      <c r="F89" s="5"/>
      <c r="G89" s="5"/>
      <c r="H89" s="5"/>
      <c r="I89" s="5"/>
      <c r="J89" s="5"/>
      <c r="K89" s="5"/>
      <c r="L89" s="5"/>
      <c r="M89" s="5"/>
      <c r="N89" s="5"/>
      <c r="O89" s="4"/>
      <c r="P89" s="4"/>
      <c r="Q89" s="5"/>
      <c r="R89" s="4"/>
      <c r="S89" s="4"/>
      <c r="T89" s="4"/>
      <c r="U89" s="6"/>
      <c r="V89" s="4"/>
      <c r="W89" s="8"/>
      <c r="X89" s="4"/>
    </row>
    <row r="90" spans="6:24" x14ac:dyDescent="0.25">
      <c r="F90" s="5"/>
      <c r="G90" s="5"/>
      <c r="H90" s="5"/>
      <c r="I90" s="5"/>
      <c r="J90" s="5"/>
      <c r="K90" s="5"/>
      <c r="L90" s="5"/>
      <c r="M90" s="5"/>
      <c r="N90" s="5"/>
      <c r="O90" s="4"/>
      <c r="P90" s="4"/>
      <c r="Q90" s="5"/>
      <c r="R90" s="4"/>
      <c r="S90" s="4"/>
      <c r="T90" s="4"/>
      <c r="U90" s="6"/>
      <c r="V90" s="4"/>
      <c r="W90" s="8"/>
      <c r="X90" s="4"/>
    </row>
    <row r="91" spans="6:24" x14ac:dyDescent="0.25">
      <c r="F91" s="5"/>
      <c r="G91" s="5"/>
      <c r="H91" s="5"/>
      <c r="I91" s="5"/>
      <c r="J91" s="5"/>
      <c r="K91" s="5"/>
      <c r="L91" s="5"/>
      <c r="M91" s="5"/>
      <c r="N91" s="5"/>
      <c r="O91" s="4"/>
      <c r="P91" s="4"/>
      <c r="Q91" s="5"/>
      <c r="R91" s="4"/>
      <c r="S91" s="4"/>
      <c r="T91" s="4"/>
      <c r="U91" s="6"/>
      <c r="V91" s="4"/>
      <c r="W91" s="8"/>
      <c r="X91" s="4"/>
    </row>
    <row r="92" spans="6:24" x14ac:dyDescent="0.25">
      <c r="F92" s="5"/>
      <c r="G92" s="5"/>
      <c r="H92" s="5"/>
      <c r="I92" s="5"/>
      <c r="J92" s="5"/>
      <c r="K92" s="5"/>
      <c r="L92" s="5"/>
      <c r="M92" s="5"/>
      <c r="N92" s="5"/>
      <c r="O92" s="4"/>
      <c r="P92" s="4"/>
      <c r="Q92" s="5"/>
      <c r="R92" s="4"/>
      <c r="S92" s="4"/>
      <c r="T92" s="4"/>
      <c r="U92" s="6"/>
      <c r="V92" s="4"/>
      <c r="W92" s="8"/>
      <c r="X92" s="4"/>
    </row>
    <row r="93" spans="6:24" x14ac:dyDescent="0.25">
      <c r="F93" s="5"/>
      <c r="G93" s="5"/>
      <c r="H93" s="5"/>
      <c r="I93" s="5"/>
      <c r="J93" s="5"/>
      <c r="K93" s="5"/>
      <c r="L93" s="5"/>
      <c r="M93" s="5"/>
      <c r="N93" s="5"/>
      <c r="O93" s="4"/>
      <c r="P93" s="4"/>
      <c r="Q93" s="5"/>
      <c r="R93" s="4"/>
      <c r="S93" s="4"/>
      <c r="T93" s="4"/>
      <c r="U93" s="6"/>
      <c r="V93" s="4"/>
      <c r="W93" s="8"/>
      <c r="X93" s="4"/>
    </row>
    <row r="94" spans="6:24" x14ac:dyDescent="0.25">
      <c r="F94" s="5"/>
      <c r="G94" s="5"/>
      <c r="H94" s="5"/>
      <c r="I94" s="5"/>
      <c r="J94" s="5"/>
      <c r="K94" s="5"/>
      <c r="L94" s="5"/>
      <c r="M94" s="5"/>
      <c r="N94" s="5"/>
      <c r="O94" s="4"/>
      <c r="P94" s="4"/>
      <c r="Q94" s="5"/>
      <c r="R94" s="4"/>
      <c r="S94" s="4"/>
      <c r="T94" s="4"/>
      <c r="U94" s="6"/>
      <c r="V94" s="4"/>
      <c r="W94" s="8"/>
      <c r="X94" s="4"/>
    </row>
    <row r="95" spans="6:24" x14ac:dyDescent="0.25">
      <c r="F95" s="5"/>
      <c r="G95" s="5"/>
      <c r="H95" s="5"/>
      <c r="I95" s="5"/>
      <c r="J95" s="5"/>
      <c r="K95" s="5"/>
      <c r="L95" s="5"/>
      <c r="M95" s="5"/>
      <c r="N95" s="5"/>
      <c r="O95" s="4"/>
      <c r="P95" s="4"/>
      <c r="Q95" s="5"/>
      <c r="R95" s="4"/>
      <c r="S95" s="4"/>
      <c r="T95" s="4"/>
      <c r="U95" s="6"/>
      <c r="V95" s="4"/>
      <c r="W95" s="8"/>
      <c r="X95" s="4"/>
    </row>
    <row r="96" spans="6:24" x14ac:dyDescent="0.25">
      <c r="F96" s="5"/>
      <c r="G96" s="5"/>
      <c r="H96" s="5"/>
      <c r="I96" s="5"/>
      <c r="J96" s="5"/>
      <c r="K96" s="5"/>
      <c r="L96" s="5"/>
      <c r="M96" s="5"/>
      <c r="N96" s="5"/>
      <c r="O96" s="4"/>
      <c r="P96" s="4"/>
      <c r="Q96" s="5"/>
      <c r="R96" s="4"/>
      <c r="S96" s="4"/>
      <c r="T96" s="4"/>
      <c r="U96" s="6"/>
      <c r="V96" s="4"/>
      <c r="W96" s="8"/>
      <c r="X96" s="4"/>
    </row>
    <row r="97" spans="6:24" x14ac:dyDescent="0.25">
      <c r="F97" s="5"/>
      <c r="G97" s="5"/>
      <c r="H97" s="5"/>
      <c r="I97" s="5"/>
      <c r="J97" s="5"/>
      <c r="K97" s="5"/>
      <c r="L97" s="5"/>
      <c r="M97" s="5"/>
      <c r="N97" s="5"/>
      <c r="O97" s="4"/>
      <c r="P97" s="4"/>
      <c r="Q97" s="5"/>
      <c r="R97" s="4"/>
      <c r="S97" s="4"/>
      <c r="T97" s="4"/>
      <c r="U97" s="6"/>
      <c r="V97" s="4"/>
      <c r="W97" s="8"/>
      <c r="X97" s="4"/>
    </row>
    <row r="98" spans="6:24" x14ac:dyDescent="0.25">
      <c r="F98" s="5"/>
      <c r="G98" s="5"/>
      <c r="H98" s="5"/>
      <c r="I98" s="5"/>
      <c r="J98" s="5"/>
      <c r="K98" s="5"/>
      <c r="L98" s="5"/>
      <c r="M98" s="5"/>
      <c r="N98" s="5"/>
      <c r="O98" s="4"/>
      <c r="P98" s="4"/>
      <c r="Q98" s="5"/>
      <c r="R98" s="4"/>
      <c r="S98" s="4"/>
      <c r="T98" s="4"/>
      <c r="U98" s="6"/>
      <c r="V98" s="4"/>
      <c r="W98" s="8"/>
      <c r="X98" s="4"/>
    </row>
    <row r="99" spans="6:24" x14ac:dyDescent="0.25">
      <c r="F99" s="5"/>
      <c r="G99" s="5"/>
      <c r="H99" s="5"/>
      <c r="I99" s="5"/>
      <c r="J99" s="5"/>
      <c r="K99" s="5"/>
      <c r="L99" s="5"/>
      <c r="M99" s="5"/>
      <c r="N99" s="5"/>
      <c r="O99" s="4"/>
      <c r="P99" s="4"/>
      <c r="Q99" s="5"/>
      <c r="R99" s="4"/>
      <c r="S99" s="4"/>
      <c r="T99" s="4"/>
      <c r="U99" s="6"/>
      <c r="V99" s="4"/>
      <c r="W99" s="8"/>
      <c r="X99" s="4"/>
    </row>
    <row r="100" spans="6:24" x14ac:dyDescent="0.25">
      <c r="F100" s="5"/>
      <c r="G100" s="5"/>
      <c r="H100" s="5"/>
      <c r="I100" s="5"/>
      <c r="J100" s="5"/>
      <c r="K100" s="5"/>
      <c r="L100" s="5"/>
      <c r="M100" s="5"/>
      <c r="N100" s="5"/>
      <c r="O100" s="4"/>
      <c r="P100" s="4"/>
      <c r="Q100" s="5"/>
      <c r="R100" s="4"/>
      <c r="S100" s="4"/>
      <c r="T100" s="4"/>
      <c r="U100" s="6"/>
      <c r="V100" s="4"/>
      <c r="W100" s="8"/>
      <c r="X100" s="4"/>
    </row>
  </sheetData>
  <mergeCells count="42">
    <mergeCell ref="AK16:AR16"/>
    <mergeCell ref="AK17:AK19"/>
    <mergeCell ref="AL17:AL19"/>
    <mergeCell ref="AM17:AN17"/>
    <mergeCell ref="AO17:AO19"/>
    <mergeCell ref="AP17:AP19"/>
    <mergeCell ref="AQ17:AQ19"/>
    <mergeCell ref="AR17:AR19"/>
    <mergeCell ref="AM18:AM19"/>
    <mergeCell ref="AN18:AN19"/>
    <mergeCell ref="AA16:AI16"/>
    <mergeCell ref="AA17:AA19"/>
    <mergeCell ref="AB17:AB19"/>
    <mergeCell ref="AC17:AE17"/>
    <mergeCell ref="AF17:AF19"/>
    <mergeCell ref="AG17:AG19"/>
    <mergeCell ref="AH17:AH19"/>
    <mergeCell ref="AI17:AI19"/>
    <mergeCell ref="AC18:AC19"/>
    <mergeCell ref="AD18:AD19"/>
    <mergeCell ref="AE18:AE19"/>
    <mergeCell ref="S17:S19"/>
    <mergeCell ref="T17:T19"/>
    <mergeCell ref="H17:P17"/>
    <mergeCell ref="O18:O19"/>
    <mergeCell ref="P18:P19"/>
    <mergeCell ref="X17:X19"/>
    <mergeCell ref="F16:X16"/>
    <mergeCell ref="J18:J19"/>
    <mergeCell ref="I18:I19"/>
    <mergeCell ref="H18:H19"/>
    <mergeCell ref="Q17:Q19"/>
    <mergeCell ref="R17:R19"/>
    <mergeCell ref="F17:F19"/>
    <mergeCell ref="G17:G19"/>
    <mergeCell ref="K18:K19"/>
    <mergeCell ref="L18:L19"/>
    <mergeCell ref="M18:M19"/>
    <mergeCell ref="N18:N19"/>
    <mergeCell ref="U17:U19"/>
    <mergeCell ref="V17:V19"/>
    <mergeCell ref="W17:W19"/>
  </mergeCells>
  <conditionalFormatting sqref="X1:X1048576">
    <cfRule type="containsText" dxfId="5" priority="5" operator="containsText" text="OK">
      <formula>NOT(ISERROR(SEARCH("OK",X1)))</formula>
    </cfRule>
    <cfRule type="containsText" dxfId="4" priority="6" operator="containsText" text="CHECK">
      <formula>NOT(ISERROR(SEARCH("CHECK",X1)))</formula>
    </cfRule>
  </conditionalFormatting>
  <conditionalFormatting sqref="AI16:AI49">
    <cfRule type="containsText" dxfId="3" priority="3" operator="containsText" text="OK">
      <formula>NOT(ISERROR(SEARCH("OK",AI16)))</formula>
    </cfRule>
    <cfRule type="containsText" dxfId="2" priority="4" operator="containsText" text="CHECK">
      <formula>NOT(ISERROR(SEARCH("CHECK",AI16)))</formula>
    </cfRule>
  </conditionalFormatting>
  <conditionalFormatting sqref="AR16:AR49">
    <cfRule type="containsText" dxfId="1" priority="1" operator="containsText" text="OK">
      <formula>NOT(ISERROR(SEARCH("OK",AR16)))</formula>
    </cfRule>
    <cfRule type="containsText" dxfId="0" priority="2" operator="containsText" text="CHECK">
      <formula>NOT(ISERROR(SEARCH("CHECK",AR16)))</formula>
    </cfRule>
  </conditionalFormatting>
  <dataValidations disablePrompts="1" count="1">
    <dataValidation type="list" allowBlank="1" showInputMessage="1" showErrorMessage="1" sqref="Q20:Q50" xr:uid="{1CFD1952-3994-4090-8908-99EC33A7914C}">
      <formula1>"3,4"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2024-03-20T13:50:53Z</dcterms:created>
  <dcterms:modified xsi:type="dcterms:W3CDTF">2024-08-03T09:36:53Z</dcterms:modified>
</cp:coreProperties>
</file>