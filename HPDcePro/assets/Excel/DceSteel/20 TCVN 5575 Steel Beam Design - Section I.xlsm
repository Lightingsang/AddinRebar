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D:\09 Send Duy\"/>
    </mc:Choice>
  </mc:AlternateContent>
  <xr:revisionPtr revIDLastSave="0" documentId="13_ncr:1_{A8CF4B73-176D-4DE5-BE8E-E8DF5A93C58B}" xr6:coauthVersionLast="47" xr6:coauthVersionMax="47" xr10:uidLastSave="{00000000-0000-0000-0000-000000000000}"/>
  <bookViews>
    <workbookView xWindow="-120" yWindow="-120" windowWidth="29040" windowHeight="15720" activeTab="1" xr2:uid="{00000000-000D-0000-FFFF-FFFF00000000}"/>
  </bookViews>
  <sheets>
    <sheet name="Data" sheetId="1" r:id="rId1"/>
    <sheet name="Cal" sheetId="6" r:id="rId2"/>
  </sheets>
  <definedNames>
    <definedName name="_xlnm._FilterDatabase" localSheetId="1" hidden="1">Cal!$AA$11:$BS$14166</definedName>
    <definedName name="_xlnm.Print_Area" localSheetId="1">Cal!$B$11:$N$35</definedName>
    <definedName name="_xlnm.Print_Area" localSheetId="0">Data!$B$1:$N$16</definedName>
    <definedName name="SLSLOADCAS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22" i="6" l="1"/>
  <c r="F71" i="6" l="1"/>
  <c r="B70" i="6"/>
  <c r="F69" i="6"/>
  <c r="L68" i="6"/>
  <c r="B68" i="6"/>
  <c r="L65" i="6"/>
  <c r="L64" i="6"/>
  <c r="D29" i="6"/>
  <c r="F29" i="6" s="1"/>
  <c r="L46" i="6" s="1"/>
  <c r="C29" i="6"/>
  <c r="BX23" i="6"/>
  <c r="BV23" i="6"/>
  <c r="BR23" i="6"/>
  <c r="BQ23" i="6"/>
  <c r="BP23" i="6"/>
  <c r="BL23" i="6"/>
  <c r="BM23" i="6" s="1"/>
  <c r="BF23" i="6"/>
  <c r="BG23" i="6" s="1"/>
  <c r="BA23" i="6"/>
  <c r="AS23" i="6"/>
  <c r="AR23" i="6"/>
  <c r="BC23" i="6" s="1"/>
  <c r="AQ23" i="6"/>
  <c r="BB23" i="6" s="1"/>
  <c r="AP23" i="6"/>
  <c r="AO23" i="6"/>
  <c r="AN23" i="6"/>
  <c r="AM23" i="6"/>
  <c r="F21" i="6"/>
  <c r="K29" i="6" s="1"/>
  <c r="M29" i="6" s="1"/>
  <c r="L42" i="6" s="1"/>
  <c r="CX20" i="6"/>
  <c r="CW20" i="6"/>
  <c r="CV20" i="6"/>
  <c r="DG17" i="6"/>
  <c r="DG16" i="6"/>
  <c r="DF15" i="6"/>
  <c r="DJ15" i="6" s="1"/>
  <c r="AJ15" i="6"/>
  <c r="AJ17" i="6" s="1"/>
  <c r="BH15" i="6" s="1"/>
  <c r="AJ14" i="6"/>
  <c r="Z11" i="6"/>
  <c r="D38" i="1"/>
  <c r="D37" i="1"/>
  <c r="D36" i="1"/>
  <c r="D35" i="1"/>
  <c r="D34" i="1"/>
  <c r="D33" i="1"/>
  <c r="D32" i="1"/>
  <c r="D31" i="1"/>
  <c r="D30" i="1"/>
  <c r="D29" i="1"/>
  <c r="D28" i="1"/>
  <c r="D27" i="1"/>
  <c r="D26" i="1"/>
  <c r="D25" i="1"/>
  <c r="D24" i="1"/>
  <c r="D23" i="1"/>
  <c r="D22" i="1"/>
  <c r="D21" i="1"/>
  <c r="D20" i="1"/>
  <c r="CX22" i="6" a="1"/>
  <c r="DJ17" i="6" l="1"/>
  <c r="EH15" i="6" s="1"/>
  <c r="DJ16" i="6"/>
  <c r="BD23" i="6"/>
  <c r="AJ16" i="6"/>
  <c r="BS23" i="6" s="1"/>
  <c r="BT23" i="6" s="1"/>
  <c r="E29" i="6"/>
  <c r="DJ14" i="6"/>
  <c r="I29" i="6"/>
  <c r="L40" i="6" s="1"/>
  <c r="N29" i="6"/>
  <c r="J29" i="6"/>
  <c r="L29" i="6" s="1"/>
  <c r="L59" i="6" s="1"/>
  <c r="L60" i="6" s="1"/>
  <c r="L67" i="6"/>
  <c r="L71" i="6" s="1"/>
  <c r="CX22" i="6"/>
  <c r="CY22" i="6" s="1"/>
  <c r="L41" i="6" l="1"/>
  <c r="EH14" i="6"/>
  <c r="EH16" i="6"/>
  <c r="L57" i="6"/>
  <c r="L61" i="6" s="1"/>
  <c r="N61" i="6" s="1"/>
  <c r="L50" i="6"/>
  <c r="L39" i="6"/>
  <c r="G64" i="6"/>
  <c r="BU23" i="6"/>
  <c r="BH14" i="6"/>
  <c r="BN23" i="6" s="1"/>
  <c r="BO23" i="6" s="1"/>
  <c r="BH16" i="6"/>
  <c r="BH23" i="6"/>
  <c r="BI23" i="6" s="1"/>
  <c r="BE23" i="6"/>
  <c r="BJ23" i="6" s="1"/>
  <c r="BK23" i="6" s="1"/>
  <c r="L43" i="6"/>
  <c r="L69" i="6"/>
  <c r="L47" i="6"/>
  <c r="L44" i="6"/>
  <c r="N44" i="6" s="1"/>
  <c r="BY23" i="6" l="1"/>
  <c r="BW23" i="6"/>
  <c r="N65" i="6"/>
  <c r="N64" i="6"/>
  <c r="L51" i="6"/>
  <c r="L52" i="6" s="1"/>
  <c r="L53" i="6" s="1"/>
  <c r="N53" i="6" s="1"/>
  <c r="L48" i="6"/>
  <c r="N48"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Z11" authorId="0" shapeId="0" xr:uid="{00000000-0006-0000-0100-000001000000}">
      <text>
        <r>
          <rPr>
            <b/>
            <sz val="9"/>
            <color indexed="81"/>
            <rFont val="Tahoma"/>
            <family val="2"/>
          </rPr>
          <t>HVMT:
Cấm xóa</t>
        </r>
      </text>
    </comment>
    <comment ref="F15" authorId="0" shapeId="0" xr:uid="{00000000-0006-0000-0100-000002000000}">
      <text>
        <r>
          <rPr>
            <b/>
            <sz val="9"/>
            <color indexed="81"/>
            <rFont val="Tahoma"/>
            <family val="2"/>
          </rPr>
          <t>HVMT:
- Ô này chỉ để bổ sung thông tin chiều cao tổng thể dầm
- Chiều cao dầm để tính toán ở mục 3 - Nội lực, ô [F34]</t>
        </r>
      </text>
    </comment>
  </commentList>
</comments>
</file>

<file path=xl/sharedStrings.xml><?xml version="1.0" encoding="utf-8"?>
<sst xmlns="http://schemas.openxmlformats.org/spreadsheetml/2006/main" count="424" uniqueCount="215">
  <si>
    <t>(Theo TCVN 5575-20xx)</t>
  </si>
  <si>
    <t>YÊU CẦU CHUNG - TÍNH TOÁN CẤU KIỆN CHỊU UỐN</t>
  </si>
  <si>
    <r>
      <t>Tùy thuộc vào công năng sử dụng và điều kiện sử dụng của kết cấu, việc tính toán cấu kiện chịu uốn (dầm) cần được thực hiện không kể đến hoặc có thể kể đến biến dạng dẻo phù hợp với phân chia cấu kiện thành ba cấp theo mục 4.2.7 TCVN 5575-20xx.
 - Dầm cấp 1: Được sử dụng đối với tất cả các loại tải trọng và được tính toán trong giới hạn biến dạng đàn hồi.
 - Dầm cấp 2 và 3: Được sử dụng đối với tải trọng tĩnh và được tính toán có kể đến sự phát triển biến dạng dẻo.
 - Dầm đỡ cầu trục thuộc các nhóm chế độ làm việc từ A1 đến A8 theo TCVN 8590-1:2010 Khi tính toán độ bền cần được xếp vào cấp 1.
 - Dầm hai loại thép cần được xếp vào cấp 2 và được tính toán có kể đến biến dạng dẻo hạn chế trong ban bụng. Giá trị biến dạng dẻo hạn chế cần được xác định tại thời điểm khi ứng suất đạt tới cường độ tính toán f</t>
    </r>
    <r>
      <rPr>
        <vertAlign val="subscript"/>
        <sz val="10"/>
        <color theme="1"/>
        <rFont val="Calibri"/>
        <family val="2"/>
        <scheme val="minor"/>
      </rPr>
      <t>yf</t>
    </r>
    <r>
      <rPr>
        <sz val="10"/>
        <color theme="1"/>
        <rFont val="Calibri"/>
        <family val="2"/>
        <scheme val="minor"/>
      </rPr>
      <t xml:space="preserve"> trong các bản cánh làm bằng thép có cường độ cao hơn cường độ của thép làm bản bụng. </t>
    </r>
  </si>
  <si>
    <t>A. THÔNG TIN THIẾT KẾ</t>
  </si>
  <si>
    <t>Chiều cao tiết diện</t>
  </si>
  <si>
    <t>Chiều dày bản bụng</t>
  </si>
  <si>
    <t xml:space="preserve">Nhịp tính toán </t>
  </si>
  <si>
    <t>mm</t>
  </si>
  <si>
    <t>Mac Thép</t>
  </si>
  <si>
    <r>
      <t xml:space="preserve">S235 </t>
    </r>
    <r>
      <rPr>
        <sz val="10"/>
        <color theme="1"/>
        <rFont val="Calibri"/>
        <family val="2"/>
      </rPr>
      <t>≤ 40</t>
    </r>
  </si>
  <si>
    <r>
      <t xml:space="preserve">S235 </t>
    </r>
    <r>
      <rPr>
        <sz val="10"/>
        <color theme="1"/>
        <rFont val="Calibri"/>
        <family val="2"/>
      </rPr>
      <t>≤ 16</t>
    </r>
  </si>
  <si>
    <r>
      <t xml:space="preserve">S235 </t>
    </r>
    <r>
      <rPr>
        <sz val="10"/>
        <color theme="1"/>
        <rFont val="Calibri"/>
        <family val="2"/>
      </rPr>
      <t>≤ 63</t>
    </r>
  </si>
  <si>
    <r>
      <t xml:space="preserve">S235 </t>
    </r>
    <r>
      <rPr>
        <sz val="10"/>
        <color theme="1"/>
        <rFont val="Calibri"/>
        <family val="2"/>
      </rPr>
      <t xml:space="preserve">≤ </t>
    </r>
    <r>
      <rPr>
        <sz val="10"/>
        <color theme="1"/>
        <rFont val="Calibri"/>
        <family val="2"/>
        <scheme val="minor"/>
      </rPr>
      <t>80</t>
    </r>
  </si>
  <si>
    <r>
      <t xml:space="preserve">S235 </t>
    </r>
    <r>
      <rPr>
        <sz val="10"/>
        <color theme="1"/>
        <rFont val="Calibri"/>
        <family val="2"/>
      </rPr>
      <t>≤ 100</t>
    </r>
  </si>
  <si>
    <t>S275 ≤ 16</t>
  </si>
  <si>
    <t>S275 ≤ 40</t>
  </si>
  <si>
    <t>S275 ≤ 63</t>
  </si>
  <si>
    <t>S275 ≤ 80</t>
  </si>
  <si>
    <t>S275 ≤ 100</t>
  </si>
  <si>
    <t>S355 ≤ 16</t>
  </si>
  <si>
    <t>S355 ≤ 40</t>
  </si>
  <si>
    <t>S355 ≤ 63</t>
  </si>
  <si>
    <t>S355 ≤ 80</t>
  </si>
  <si>
    <t>S355 ≤ 100</t>
  </si>
  <si>
    <t>E</t>
  </si>
  <si>
    <t>Mpa</t>
  </si>
  <si>
    <r>
      <t>f</t>
    </r>
    <r>
      <rPr>
        <vertAlign val="subscript"/>
        <sz val="10"/>
        <color theme="1"/>
        <rFont val="Calibri"/>
        <family val="2"/>
        <scheme val="minor"/>
      </rPr>
      <t>y</t>
    </r>
  </si>
  <si>
    <t>Mác Thép</t>
  </si>
  <si>
    <r>
      <rPr>
        <sz val="10"/>
        <color theme="1"/>
        <rFont val="Symbol"/>
        <family val="1"/>
        <charset val="2"/>
      </rPr>
      <t xml:space="preserve"> g</t>
    </r>
    <r>
      <rPr>
        <vertAlign val="subscript"/>
        <sz val="10"/>
        <color theme="1"/>
        <rFont val="Calibri"/>
        <family val="2"/>
      </rPr>
      <t>m</t>
    </r>
  </si>
  <si>
    <r>
      <t>f</t>
    </r>
    <r>
      <rPr>
        <vertAlign val="subscript"/>
        <sz val="10"/>
        <color theme="1"/>
        <rFont val="Calibri"/>
        <family val="2"/>
        <scheme val="minor"/>
      </rPr>
      <t>v</t>
    </r>
  </si>
  <si>
    <t>1. Kích Thước</t>
  </si>
  <si>
    <t>A</t>
  </si>
  <si>
    <t>Đặc Trưng Hình Học</t>
  </si>
  <si>
    <r>
      <t>W</t>
    </r>
    <r>
      <rPr>
        <vertAlign val="subscript"/>
        <sz val="10"/>
        <color theme="1"/>
        <rFont val="Calibri"/>
        <family val="2"/>
        <scheme val="minor"/>
      </rPr>
      <t>x</t>
    </r>
  </si>
  <si>
    <r>
      <t>W</t>
    </r>
    <r>
      <rPr>
        <vertAlign val="subscript"/>
        <sz val="10"/>
        <color theme="1"/>
        <rFont val="Calibri"/>
        <family val="2"/>
        <scheme val="minor"/>
      </rPr>
      <t>y</t>
    </r>
  </si>
  <si>
    <r>
      <t>S</t>
    </r>
    <r>
      <rPr>
        <vertAlign val="subscript"/>
        <sz val="10"/>
        <color theme="1"/>
        <rFont val="Calibri"/>
        <family val="2"/>
        <scheme val="minor"/>
      </rPr>
      <t>x</t>
    </r>
  </si>
  <si>
    <t>Chiều cao bản bụng</t>
  </si>
  <si>
    <r>
      <t>cm</t>
    </r>
    <r>
      <rPr>
        <vertAlign val="superscript"/>
        <sz val="10"/>
        <color theme="1"/>
        <rFont val="Calibri"/>
        <family val="2"/>
        <scheme val="minor"/>
      </rPr>
      <t>4</t>
    </r>
  </si>
  <si>
    <r>
      <t>cm</t>
    </r>
    <r>
      <rPr>
        <vertAlign val="superscript"/>
        <sz val="10"/>
        <color theme="1"/>
        <rFont val="Calibri"/>
        <family val="2"/>
        <scheme val="minor"/>
      </rPr>
      <t>3</t>
    </r>
  </si>
  <si>
    <t>kN</t>
  </si>
  <si>
    <t>B. QUY TRÌNH TÍNH TOÁN</t>
  </si>
  <si>
    <t>Ứng suất pháp giới hạn</t>
  </si>
  <si>
    <t>Hệ số</t>
  </si>
  <si>
    <r>
      <rPr>
        <sz val="10"/>
        <color theme="1"/>
        <rFont val="Symbol"/>
        <family val="1"/>
        <charset val="2"/>
      </rPr>
      <t>g</t>
    </r>
    <r>
      <rPr>
        <vertAlign val="subscript"/>
        <sz val="10"/>
        <color theme="1"/>
        <rFont val="Calibri"/>
        <family val="2"/>
      </rPr>
      <t>c</t>
    </r>
  </si>
  <si>
    <t>®</t>
  </si>
  <si>
    <t>Ứng suất tiếp giới hạn</t>
  </si>
  <si>
    <r>
      <t>Ứng suất tiếp của cấu kiện gây ra bởi V</t>
    </r>
    <r>
      <rPr>
        <vertAlign val="subscript"/>
        <sz val="10"/>
        <color theme="1"/>
        <rFont val="Calibri"/>
        <family val="2"/>
        <scheme val="minor"/>
      </rPr>
      <t>y</t>
    </r>
  </si>
  <si>
    <r>
      <t>Ứng suất pháp của cấu kiện khi có tác dụng của M</t>
    </r>
    <r>
      <rPr>
        <vertAlign val="subscript"/>
        <sz val="10"/>
        <color theme="1"/>
        <rFont val="Calibri"/>
        <family val="2"/>
        <scheme val="minor"/>
      </rPr>
      <t>x</t>
    </r>
  </si>
  <si>
    <r>
      <t>Ứng suất pháp của cấu kiện khi có tác dụng của M</t>
    </r>
    <r>
      <rPr>
        <vertAlign val="subscript"/>
        <sz val="10"/>
        <color theme="1"/>
        <rFont val="Calibri"/>
        <family val="2"/>
        <scheme val="minor"/>
      </rPr>
      <t>y</t>
    </r>
  </si>
  <si>
    <t>Ứng suất giới hạn</t>
  </si>
  <si>
    <t>Ứng suất tương đương</t>
  </si>
  <si>
    <t>Ứng suất tiếp trong bản bụng</t>
  </si>
  <si>
    <t>Mác thép</t>
  </si>
  <si>
    <t>E=</t>
  </si>
  <si>
    <t>A. THÔNG SỐ THIẾT KẾ</t>
  </si>
  <si>
    <t>B. TÍNH TOÁN</t>
  </si>
  <si>
    <t>Name</t>
  </si>
  <si>
    <t>Vị trí</t>
  </si>
  <si>
    <t xml:space="preserve"> s</t>
  </si>
  <si>
    <t>Ứng suất pháp tới hạn</t>
  </si>
  <si>
    <t>Ứng suất tiếp tới hạn</t>
  </si>
  <si>
    <t>t</t>
  </si>
  <si>
    <t>FS</t>
  </si>
  <si>
    <t>Kiểm Tra Điều Kiện Bền</t>
  </si>
  <si>
    <t>Thông Số</t>
  </si>
  <si>
    <t>L</t>
  </si>
  <si>
    <t>Bề rộng cánh trên</t>
  </si>
  <si>
    <t>Chiều dày bản cánh trên</t>
  </si>
  <si>
    <t>Bề rộng cánh dưới</t>
  </si>
  <si>
    <t>Chiều dày bản cánh dưới</t>
  </si>
  <si>
    <t>Mx</t>
  </si>
  <si>
    <t>(kNm)</t>
  </si>
  <si>
    <t>Vx</t>
  </si>
  <si>
    <t>(kN)</t>
  </si>
  <si>
    <t>Vy</t>
  </si>
  <si>
    <t>N</t>
  </si>
  <si>
    <t>T</t>
  </si>
  <si>
    <t>2. Vật Liệu - Đặc Trưng Hình Học</t>
  </si>
  <si>
    <t>3. Nội Lực</t>
  </si>
  <si>
    <t>MPa</t>
  </si>
  <si>
    <r>
      <t>cm</t>
    </r>
    <r>
      <rPr>
        <vertAlign val="superscript"/>
        <sz val="10"/>
        <color theme="1"/>
        <rFont val="Calibri"/>
        <family val="2"/>
        <scheme val="minor"/>
      </rPr>
      <t>2</t>
    </r>
  </si>
  <si>
    <t>DẦM</t>
  </si>
  <si>
    <t>h</t>
  </si>
  <si>
    <r>
      <t>f</t>
    </r>
    <r>
      <rPr>
        <b/>
        <vertAlign val="subscript"/>
        <sz val="10"/>
        <color theme="0"/>
        <rFont val="Calibri"/>
        <family val="2"/>
        <scheme val="minor"/>
      </rPr>
      <t>y</t>
    </r>
  </si>
  <si>
    <r>
      <t>f</t>
    </r>
    <r>
      <rPr>
        <b/>
        <vertAlign val="subscript"/>
        <sz val="10"/>
        <color theme="0"/>
        <rFont val="Calibri"/>
        <family val="2"/>
        <scheme val="minor"/>
      </rPr>
      <t>u</t>
    </r>
  </si>
  <si>
    <t>(mm)</t>
  </si>
  <si>
    <r>
      <t xml:space="preserve">Tỉ số </t>
    </r>
    <r>
      <rPr>
        <sz val="10"/>
        <color theme="1"/>
        <rFont val="Symbol"/>
        <family val="1"/>
        <charset val="2"/>
      </rPr>
      <t>s</t>
    </r>
    <r>
      <rPr>
        <vertAlign val="subscript"/>
        <sz val="10"/>
        <color theme="1"/>
        <rFont val="Calibri"/>
        <family val="2"/>
        <scheme val="minor"/>
      </rPr>
      <t>td</t>
    </r>
    <r>
      <rPr>
        <sz val="10"/>
        <color theme="1"/>
        <rFont val="Calibri"/>
        <family val="2"/>
      </rPr>
      <t>/[</t>
    </r>
    <r>
      <rPr>
        <sz val="10"/>
        <color theme="1"/>
        <rFont val="Symbol"/>
        <family val="1"/>
        <charset val="2"/>
      </rPr>
      <t>s</t>
    </r>
    <r>
      <rPr>
        <sz val="10"/>
        <color theme="1"/>
        <rFont val="Calibri"/>
        <family val="2"/>
      </rPr>
      <t>]</t>
    </r>
  </si>
  <si>
    <r>
      <t xml:space="preserve">Tỉ số </t>
    </r>
    <r>
      <rPr>
        <sz val="10"/>
        <color theme="1"/>
        <rFont val="Symbol"/>
        <family val="1"/>
        <charset val="2"/>
      </rPr>
      <t>s</t>
    </r>
    <r>
      <rPr>
        <sz val="10"/>
        <color theme="1"/>
        <rFont val="Calibri"/>
        <family val="2"/>
      </rPr>
      <t>/[</t>
    </r>
    <r>
      <rPr>
        <sz val="10"/>
        <color theme="1"/>
        <rFont val="Symbol"/>
        <family val="1"/>
        <charset val="2"/>
      </rPr>
      <t>s</t>
    </r>
    <r>
      <rPr>
        <sz val="10"/>
        <color theme="1"/>
        <rFont val="Calibri"/>
        <family val="2"/>
      </rPr>
      <t>]</t>
    </r>
  </si>
  <si>
    <r>
      <rPr>
        <sz val="10"/>
        <color theme="1"/>
        <rFont val="Tahoma"/>
        <family val="2"/>
      </rPr>
      <t>I</t>
    </r>
    <r>
      <rPr>
        <vertAlign val="subscript"/>
        <sz val="10"/>
        <color theme="1"/>
        <rFont val="Calibri"/>
        <family val="2"/>
        <scheme val="minor"/>
      </rPr>
      <t>x</t>
    </r>
  </si>
  <si>
    <r>
      <rPr>
        <sz val="10"/>
        <color theme="1"/>
        <rFont val="Tahoma"/>
        <family val="2"/>
      </rPr>
      <t>I</t>
    </r>
    <r>
      <rPr>
        <vertAlign val="subscript"/>
        <sz val="10"/>
        <color theme="1"/>
        <rFont val="Calibri"/>
        <family val="2"/>
        <scheme val="minor"/>
      </rPr>
      <t>y</t>
    </r>
  </si>
  <si>
    <t>My</t>
  </si>
  <si>
    <t>L =</t>
  </si>
  <si>
    <t>h =</t>
  </si>
  <si>
    <r>
      <t>t</t>
    </r>
    <r>
      <rPr>
        <vertAlign val="subscript"/>
        <sz val="10"/>
        <color theme="1"/>
        <rFont val="Calibri"/>
        <family val="2"/>
        <scheme val="minor"/>
      </rPr>
      <t xml:space="preserve">w </t>
    </r>
    <r>
      <rPr>
        <sz val="10"/>
        <color theme="1"/>
        <rFont val="Calibri"/>
        <family val="2"/>
        <scheme val="minor"/>
      </rPr>
      <t>=</t>
    </r>
  </si>
  <si>
    <r>
      <t>h</t>
    </r>
    <r>
      <rPr>
        <vertAlign val="subscript"/>
        <sz val="10"/>
        <color theme="1"/>
        <rFont val="Calibri"/>
        <family val="2"/>
        <scheme val="minor"/>
      </rPr>
      <t xml:space="preserve">w </t>
    </r>
    <r>
      <rPr>
        <sz val="10"/>
        <color theme="1"/>
        <rFont val="Calibri"/>
        <family val="2"/>
        <scheme val="minor"/>
      </rPr>
      <t>=</t>
    </r>
  </si>
  <si>
    <t>(m)</t>
  </si>
  <si>
    <t>kNm</t>
  </si>
  <si>
    <t>Phần tử</t>
  </si>
  <si>
    <t>Tổ hợp</t>
  </si>
  <si>
    <t>THUYẾT MINH CẤU KIỆN CHỊU UỐN THÉP I</t>
  </si>
  <si>
    <r>
      <t>f</t>
    </r>
    <r>
      <rPr>
        <vertAlign val="subscript"/>
        <sz val="10"/>
        <rFont val="Calibri"/>
        <family val="2"/>
        <scheme val="minor"/>
      </rPr>
      <t>y</t>
    </r>
    <r>
      <rPr>
        <sz val="10"/>
        <rFont val="Calibri"/>
        <family val="2"/>
        <scheme val="minor"/>
      </rPr>
      <t>=</t>
    </r>
  </si>
  <si>
    <r>
      <t>f</t>
    </r>
    <r>
      <rPr>
        <vertAlign val="subscript"/>
        <sz val="10"/>
        <rFont val="Calibri"/>
        <family val="2"/>
        <scheme val="minor"/>
      </rPr>
      <t>v</t>
    </r>
    <r>
      <rPr>
        <sz val="10"/>
        <rFont val="Calibri"/>
        <family val="2"/>
        <scheme val="minor"/>
      </rPr>
      <t>=</t>
    </r>
  </si>
  <si>
    <r>
      <rPr>
        <sz val="10"/>
        <rFont val="Symbol"/>
        <family val="1"/>
        <charset val="2"/>
      </rPr>
      <t>g</t>
    </r>
    <r>
      <rPr>
        <vertAlign val="subscript"/>
        <sz val="10"/>
        <rFont val="Calibri"/>
        <family val="2"/>
        <scheme val="minor"/>
      </rPr>
      <t>c</t>
    </r>
    <r>
      <rPr>
        <sz val="10"/>
        <rFont val="Calibri"/>
        <family val="2"/>
        <scheme val="minor"/>
      </rPr>
      <t>=</t>
    </r>
  </si>
  <si>
    <r>
      <rPr>
        <sz val="10"/>
        <rFont val="Symbol"/>
        <family val="1"/>
        <charset val="2"/>
      </rPr>
      <t>g</t>
    </r>
    <r>
      <rPr>
        <vertAlign val="subscript"/>
        <sz val="10"/>
        <rFont val="Calibri"/>
        <family val="2"/>
        <scheme val="minor"/>
      </rPr>
      <t>m</t>
    </r>
    <r>
      <rPr>
        <sz val="10"/>
        <rFont val="Calibri"/>
        <family val="2"/>
        <scheme val="minor"/>
      </rPr>
      <t>=</t>
    </r>
  </si>
  <si>
    <r>
      <t>[</t>
    </r>
    <r>
      <rPr>
        <sz val="10"/>
        <rFont val="Symbol"/>
        <family val="1"/>
        <charset val="2"/>
      </rPr>
      <t>s</t>
    </r>
    <r>
      <rPr>
        <sz val="10"/>
        <rFont val="Calibri"/>
        <family val="2"/>
      </rPr>
      <t>]=f</t>
    </r>
    <r>
      <rPr>
        <vertAlign val="subscript"/>
        <sz val="10"/>
        <rFont val="Calibri"/>
        <family val="2"/>
      </rPr>
      <t>yd</t>
    </r>
    <r>
      <rPr>
        <sz val="10"/>
        <rFont val="Symbol"/>
        <family val="1"/>
        <charset val="2"/>
      </rPr>
      <t>g</t>
    </r>
    <r>
      <rPr>
        <vertAlign val="subscript"/>
        <sz val="10"/>
        <rFont val="Calibri"/>
        <family val="2"/>
      </rPr>
      <t>c</t>
    </r>
    <r>
      <rPr>
        <sz val="10"/>
        <rFont val="Calibri"/>
        <family val="2"/>
      </rPr>
      <t>=</t>
    </r>
  </si>
  <si>
    <r>
      <t>[</t>
    </r>
    <r>
      <rPr>
        <sz val="10"/>
        <rFont val="Symbol"/>
        <family val="1"/>
        <charset val="2"/>
      </rPr>
      <t>t</t>
    </r>
    <r>
      <rPr>
        <sz val="10"/>
        <rFont val="Calibri"/>
        <family val="2"/>
      </rPr>
      <t>]=</t>
    </r>
    <r>
      <rPr>
        <sz val="10"/>
        <rFont val="Calibri"/>
        <family val="2"/>
        <scheme val="minor"/>
      </rPr>
      <t>f</t>
    </r>
    <r>
      <rPr>
        <vertAlign val="subscript"/>
        <sz val="10"/>
        <rFont val="Calibri"/>
        <family val="2"/>
        <scheme val="minor"/>
      </rPr>
      <t>v</t>
    </r>
    <r>
      <rPr>
        <sz val="10"/>
        <rFont val="Symbol"/>
        <family val="1"/>
        <charset val="2"/>
      </rPr>
      <t>g</t>
    </r>
    <r>
      <rPr>
        <vertAlign val="subscript"/>
        <sz val="10"/>
        <rFont val="Calibri"/>
        <family val="2"/>
      </rPr>
      <t>c</t>
    </r>
    <r>
      <rPr>
        <sz val="10"/>
        <rFont val="Calibri"/>
        <family val="2"/>
      </rPr>
      <t>=</t>
    </r>
  </si>
  <si>
    <t>f</t>
  </si>
  <si>
    <t>f=</t>
  </si>
  <si>
    <r>
      <t xml:space="preserve">Tỉ số </t>
    </r>
    <r>
      <rPr>
        <sz val="10"/>
        <color theme="1"/>
        <rFont val="Symbol"/>
        <family val="1"/>
        <charset val="2"/>
      </rPr>
      <t>t</t>
    </r>
    <r>
      <rPr>
        <sz val="10"/>
        <color theme="1"/>
        <rFont val="Calibri"/>
        <family val="2"/>
      </rPr>
      <t>/[</t>
    </r>
    <r>
      <rPr>
        <sz val="10"/>
        <color theme="1"/>
        <rFont val="Symbol"/>
        <family val="1"/>
        <charset val="2"/>
      </rPr>
      <t>t</t>
    </r>
    <r>
      <rPr>
        <sz val="10"/>
        <color theme="1"/>
        <rFont val="Calibri"/>
        <family val="2"/>
      </rPr>
      <t>]</t>
    </r>
  </si>
  <si>
    <r>
      <t>[</t>
    </r>
    <r>
      <rPr>
        <sz val="10"/>
        <rFont val="Symbol"/>
        <family val="1"/>
        <charset val="2"/>
      </rPr>
      <t>s</t>
    </r>
    <r>
      <rPr>
        <vertAlign val="subscript"/>
        <sz val="10"/>
        <rFont val="Calibri"/>
        <family val="2"/>
        <scheme val="minor"/>
      </rPr>
      <t>td</t>
    </r>
    <r>
      <rPr>
        <sz val="10"/>
        <rFont val="Calibri"/>
        <family val="2"/>
      </rPr>
      <t>]=1.15f</t>
    </r>
    <r>
      <rPr>
        <vertAlign val="subscript"/>
        <sz val="10"/>
        <rFont val="Calibri"/>
        <family val="2"/>
      </rPr>
      <t>yd</t>
    </r>
    <r>
      <rPr>
        <sz val="10"/>
        <rFont val="Symbol"/>
        <family val="1"/>
        <charset val="2"/>
      </rPr>
      <t>g</t>
    </r>
    <r>
      <rPr>
        <vertAlign val="subscript"/>
        <sz val="10"/>
        <rFont val="Calibri"/>
        <family val="2"/>
      </rPr>
      <t>c</t>
    </r>
    <r>
      <rPr>
        <sz val="10"/>
        <rFont val="Calibri"/>
        <family val="2"/>
      </rPr>
      <t>=</t>
    </r>
  </si>
  <si>
    <t>Max FS</t>
  </si>
  <si>
    <t>Kết luận</t>
  </si>
  <si>
    <t>Q235</t>
  </si>
  <si>
    <t>Q345</t>
  </si>
  <si>
    <t>A572 gr.50</t>
  </si>
  <si>
    <t>A36</t>
  </si>
  <si>
    <t>(Theo TCVN 5575-2012)</t>
  </si>
  <si>
    <r>
      <t xml:space="preserve">THIẾT KẾ DẦM THÉP </t>
    </r>
    <r>
      <rPr>
        <b/>
        <sz val="14"/>
        <color theme="0"/>
        <rFont val="Adobe Hebrew"/>
        <family val="1"/>
      </rPr>
      <t>I</t>
    </r>
    <r>
      <rPr>
        <b/>
        <sz val="14"/>
        <color theme="0"/>
        <rFont val="Calibri"/>
        <family val="2"/>
        <scheme val="minor"/>
      </rPr>
      <t xml:space="preserve"> THEO TCVN 5575 - 2012</t>
    </r>
  </si>
  <si>
    <t>7</t>
  </si>
  <si>
    <t>1_ULS2</t>
  </si>
  <si>
    <t>1_ULS1</t>
  </si>
  <si>
    <t>Ứng suất pháp của cấu kiện khi có tác dụng của N</t>
  </si>
  <si>
    <r>
      <rPr>
        <sz val="10"/>
        <color theme="1"/>
        <rFont val="Symbol"/>
        <family val="1"/>
        <charset val="2"/>
      </rPr>
      <t>s</t>
    </r>
    <r>
      <rPr>
        <vertAlign val="subscript"/>
        <sz val="10"/>
        <color theme="1"/>
        <rFont val="Calibri"/>
        <family val="2"/>
      </rPr>
      <t xml:space="preserve">y </t>
    </r>
    <r>
      <rPr>
        <sz val="10"/>
        <color theme="1"/>
        <rFont val="Calibri"/>
        <family val="2"/>
      </rPr>
      <t>= M</t>
    </r>
    <r>
      <rPr>
        <vertAlign val="subscript"/>
        <sz val="10"/>
        <color theme="1"/>
        <rFont val="Calibri"/>
        <family val="2"/>
      </rPr>
      <t>y</t>
    </r>
    <r>
      <rPr>
        <sz val="10"/>
        <color theme="1"/>
        <rFont val="Calibri"/>
        <family val="2"/>
      </rPr>
      <t>/W</t>
    </r>
    <r>
      <rPr>
        <vertAlign val="subscript"/>
        <sz val="10"/>
        <color theme="1"/>
        <rFont val="Calibri"/>
        <family val="2"/>
      </rPr>
      <t xml:space="preserve">y </t>
    </r>
    <r>
      <rPr>
        <sz val="10"/>
        <color theme="1"/>
        <rFont val="Calibri"/>
        <family val="1"/>
        <charset val="2"/>
      </rPr>
      <t>=</t>
    </r>
  </si>
  <si>
    <r>
      <rPr>
        <sz val="10"/>
        <color theme="1"/>
        <rFont val="Symbol"/>
        <family val="1"/>
        <charset val="2"/>
      </rPr>
      <t>s</t>
    </r>
    <r>
      <rPr>
        <vertAlign val="subscript"/>
        <sz val="10"/>
        <color theme="1"/>
        <rFont val="Calibri"/>
        <family val="2"/>
      </rPr>
      <t xml:space="preserve">x </t>
    </r>
    <r>
      <rPr>
        <sz val="10"/>
        <color theme="1"/>
        <rFont val="Calibri"/>
        <family val="2"/>
      </rPr>
      <t>= M</t>
    </r>
    <r>
      <rPr>
        <vertAlign val="subscript"/>
        <sz val="10"/>
        <color theme="1"/>
        <rFont val="Calibri"/>
        <family val="2"/>
      </rPr>
      <t>x</t>
    </r>
    <r>
      <rPr>
        <sz val="10"/>
        <color theme="1"/>
        <rFont val="Calibri"/>
        <family val="2"/>
      </rPr>
      <t>/W</t>
    </r>
    <r>
      <rPr>
        <vertAlign val="subscript"/>
        <sz val="10"/>
        <color theme="1"/>
        <rFont val="Calibri"/>
        <family val="2"/>
      </rPr>
      <t xml:space="preserve">x </t>
    </r>
    <r>
      <rPr>
        <sz val="10"/>
        <color theme="1"/>
        <rFont val="Calibri"/>
        <family val="1"/>
        <charset val="2"/>
      </rPr>
      <t>=</t>
    </r>
  </si>
  <si>
    <r>
      <rPr>
        <sz val="10"/>
        <color theme="1"/>
        <rFont val="Symbol"/>
        <family val="1"/>
        <charset val="2"/>
      </rPr>
      <t xml:space="preserve">s </t>
    </r>
    <r>
      <rPr>
        <sz val="10"/>
        <color theme="1"/>
        <rFont val="Calibri"/>
        <family val="2"/>
      </rPr>
      <t xml:space="preserve">= N/A </t>
    </r>
    <r>
      <rPr>
        <sz val="10"/>
        <color theme="1"/>
        <rFont val="Calibri"/>
        <family val="1"/>
        <charset val="2"/>
      </rPr>
      <t>=</t>
    </r>
  </si>
  <si>
    <r>
      <t>[</t>
    </r>
    <r>
      <rPr>
        <sz val="10"/>
        <color theme="1"/>
        <rFont val="Symbol"/>
        <family val="1"/>
        <charset val="2"/>
      </rPr>
      <t>s</t>
    </r>
    <r>
      <rPr>
        <sz val="10"/>
        <color theme="1"/>
        <rFont val="Calibri"/>
        <family val="2"/>
      </rPr>
      <t>] = f</t>
    </r>
    <r>
      <rPr>
        <sz val="10"/>
        <color theme="1"/>
        <rFont val="Symbol"/>
        <family val="1"/>
        <charset val="2"/>
      </rPr>
      <t>g</t>
    </r>
    <r>
      <rPr>
        <vertAlign val="subscript"/>
        <sz val="10"/>
        <color theme="1"/>
        <rFont val="Calibri"/>
        <family val="2"/>
      </rPr>
      <t xml:space="preserve">c </t>
    </r>
    <r>
      <rPr>
        <sz val="10"/>
        <color theme="1"/>
        <rFont val="Calibri"/>
        <family val="2"/>
      </rPr>
      <t>=</t>
    </r>
  </si>
  <si>
    <t>Max
FS</t>
  </si>
  <si>
    <t>Location</t>
  </si>
  <si>
    <t>OK</t>
  </si>
  <si>
    <t>a. Kiểm Tra Điều Kiện Bền Ứng Suất Pháp</t>
  </si>
  <si>
    <t>b. Kiểm Tra Điều Kiện Bền Ứng Suất Tiếp</t>
  </si>
  <si>
    <t>c. Kiểm Tra Điều Kiện Bền Khi Đồng Thời Có Cả Ứng Suất Pháp Và Ứng Suất Tiếp</t>
  </si>
  <si>
    <t>2. Tính toán về ổn định</t>
  </si>
  <si>
    <r>
      <t xml:space="preserve">Hệ số </t>
    </r>
    <r>
      <rPr>
        <sz val="10"/>
        <color theme="1"/>
        <rFont val="Symbol"/>
        <family val="1"/>
        <charset val="2"/>
      </rPr>
      <t>j</t>
    </r>
    <r>
      <rPr>
        <vertAlign val="subscript"/>
        <sz val="10"/>
        <color theme="1"/>
        <rFont val="Calibri"/>
        <family val="2"/>
        <scheme val="minor"/>
      </rPr>
      <t>b</t>
    </r>
    <r>
      <rPr>
        <sz val="10"/>
        <color theme="1"/>
        <rFont val="Calibri"/>
        <family val="2"/>
        <scheme val="minor"/>
      </rPr>
      <t xml:space="preserve"> =</t>
    </r>
  </si>
  <si>
    <r>
      <t xml:space="preserve">Hệ số </t>
    </r>
    <r>
      <rPr>
        <sz val="10"/>
        <color theme="1"/>
        <rFont val="Symbol"/>
        <family val="1"/>
        <charset val="2"/>
      </rPr>
      <t>j</t>
    </r>
    <r>
      <rPr>
        <vertAlign val="subscript"/>
        <sz val="10"/>
        <color theme="1"/>
        <rFont val="Calibri"/>
        <family val="2"/>
        <scheme val="minor"/>
      </rPr>
      <t>b</t>
    </r>
    <r>
      <rPr>
        <sz val="10"/>
        <color theme="1"/>
        <rFont val="Calibri"/>
        <family val="2"/>
        <scheme val="minor"/>
      </rPr>
      <t xml:space="preserve"> để tính ổn định của dầm (Xác định theo phụ lục E)</t>
    </r>
  </si>
  <si>
    <t>Mô đun chống uốn của tiết diện nguyên cho thớ biên của cánh chịu nén</t>
  </si>
  <si>
    <r>
      <t>W</t>
    </r>
    <r>
      <rPr>
        <vertAlign val="subscript"/>
        <sz val="10"/>
        <color theme="1"/>
        <rFont val="Calibri"/>
        <family val="2"/>
        <scheme val="minor"/>
      </rPr>
      <t>c</t>
    </r>
    <r>
      <rPr>
        <sz val="10"/>
        <color theme="1"/>
        <rFont val="Calibri"/>
        <family val="2"/>
        <scheme val="minor"/>
      </rPr>
      <t xml:space="preserve"> =</t>
    </r>
  </si>
  <si>
    <r>
      <t xml:space="preserve"> </t>
    </r>
    <r>
      <rPr>
        <sz val="10"/>
        <color theme="1"/>
        <rFont val="Symbol"/>
        <family val="1"/>
        <charset val="2"/>
      </rPr>
      <t>s</t>
    </r>
    <r>
      <rPr>
        <sz val="10"/>
        <color theme="1"/>
        <rFont val="Calibri"/>
        <family val="2"/>
      </rPr>
      <t>/[</t>
    </r>
    <r>
      <rPr>
        <sz val="10"/>
        <color theme="1"/>
        <rFont val="Symbol"/>
        <family val="1"/>
        <charset val="2"/>
      </rPr>
      <t>s</t>
    </r>
    <r>
      <rPr>
        <sz val="10"/>
        <color theme="1"/>
        <rFont val="Calibri"/>
        <family val="2"/>
      </rPr>
      <t>] =</t>
    </r>
  </si>
  <si>
    <r>
      <t>[</t>
    </r>
    <r>
      <rPr>
        <sz val="10"/>
        <color theme="1"/>
        <rFont val="Symbol"/>
        <family val="1"/>
        <charset val="2"/>
      </rPr>
      <t>t</t>
    </r>
    <r>
      <rPr>
        <sz val="10"/>
        <color theme="1"/>
        <rFont val="Calibri"/>
        <family val="2"/>
      </rPr>
      <t xml:space="preserve">] = </t>
    </r>
    <r>
      <rPr>
        <sz val="10"/>
        <color theme="1"/>
        <rFont val="Calibri"/>
        <family val="2"/>
        <scheme val="minor"/>
      </rPr>
      <t>f</t>
    </r>
    <r>
      <rPr>
        <vertAlign val="subscript"/>
        <sz val="10"/>
        <color theme="1"/>
        <rFont val="Calibri"/>
        <family val="2"/>
        <scheme val="minor"/>
      </rPr>
      <t>v</t>
    </r>
    <r>
      <rPr>
        <sz val="10"/>
        <color theme="1"/>
        <rFont val="Symbol"/>
        <family val="1"/>
        <charset val="2"/>
      </rPr>
      <t>g</t>
    </r>
    <r>
      <rPr>
        <vertAlign val="subscript"/>
        <sz val="10"/>
        <color theme="1"/>
        <rFont val="Calibri"/>
        <family val="2"/>
      </rPr>
      <t xml:space="preserve">c </t>
    </r>
    <r>
      <rPr>
        <sz val="10"/>
        <color theme="1"/>
        <rFont val="Calibri"/>
        <family val="2"/>
      </rPr>
      <t>=</t>
    </r>
  </si>
  <si>
    <r>
      <t xml:space="preserve">t </t>
    </r>
    <r>
      <rPr>
        <sz val="10"/>
        <color theme="1"/>
        <rFont val="Calibri"/>
        <family val="2"/>
        <scheme val="minor"/>
      </rPr>
      <t>= V</t>
    </r>
    <r>
      <rPr>
        <vertAlign val="subscript"/>
        <sz val="10"/>
        <color theme="1"/>
        <rFont val="Calibri"/>
        <family val="2"/>
        <scheme val="minor"/>
      </rPr>
      <t>y</t>
    </r>
    <r>
      <rPr>
        <sz val="10"/>
        <color theme="1"/>
        <rFont val="Calibri"/>
        <family val="2"/>
        <scheme val="minor"/>
      </rPr>
      <t>S</t>
    </r>
    <r>
      <rPr>
        <vertAlign val="subscript"/>
        <sz val="10"/>
        <color theme="1"/>
        <rFont val="Calibri"/>
        <family val="2"/>
        <scheme val="minor"/>
      </rPr>
      <t>x</t>
    </r>
    <r>
      <rPr>
        <sz val="10"/>
        <color theme="1"/>
        <rFont val="Calibri"/>
        <family val="2"/>
        <scheme val="minor"/>
      </rPr>
      <t>/I</t>
    </r>
    <r>
      <rPr>
        <vertAlign val="subscript"/>
        <sz val="10"/>
        <color theme="1"/>
        <rFont val="Calibri"/>
        <family val="2"/>
        <scheme val="minor"/>
      </rPr>
      <t>x</t>
    </r>
    <r>
      <rPr>
        <sz val="10"/>
        <color theme="1"/>
        <rFont val="Calibri"/>
        <family val="2"/>
        <scheme val="minor"/>
      </rPr>
      <t>t</t>
    </r>
    <r>
      <rPr>
        <vertAlign val="subscript"/>
        <sz val="10"/>
        <color theme="1"/>
        <rFont val="Calibri"/>
        <family val="2"/>
        <scheme val="minor"/>
      </rPr>
      <t xml:space="preserve">w </t>
    </r>
    <r>
      <rPr>
        <sz val="10"/>
        <color theme="1"/>
        <rFont val="Symbol"/>
        <family val="1"/>
        <charset val="2"/>
      </rPr>
      <t>=</t>
    </r>
  </si>
  <si>
    <r>
      <rPr>
        <sz val="10"/>
        <color theme="1"/>
        <rFont val="Symbol"/>
        <family val="1"/>
        <charset val="2"/>
      </rPr>
      <t xml:space="preserve"> s </t>
    </r>
    <r>
      <rPr>
        <sz val="10"/>
        <color theme="1"/>
        <rFont val="Calibri"/>
        <family val="2"/>
      </rPr>
      <t>= N/A + M</t>
    </r>
    <r>
      <rPr>
        <vertAlign val="subscript"/>
        <sz val="10"/>
        <color theme="1"/>
        <rFont val="Calibri"/>
        <family val="2"/>
      </rPr>
      <t>x</t>
    </r>
    <r>
      <rPr>
        <sz val="10"/>
        <color theme="1"/>
        <rFont val="Calibri"/>
        <family val="2"/>
      </rPr>
      <t>/W</t>
    </r>
    <r>
      <rPr>
        <vertAlign val="subscript"/>
        <sz val="10"/>
        <color theme="1"/>
        <rFont val="Calibri"/>
        <family val="2"/>
      </rPr>
      <t xml:space="preserve">x </t>
    </r>
    <r>
      <rPr>
        <sz val="10"/>
        <color theme="1"/>
        <rFont val="Calibri"/>
        <family val="2"/>
      </rPr>
      <t>+ M</t>
    </r>
    <r>
      <rPr>
        <vertAlign val="subscript"/>
        <sz val="10"/>
        <color theme="1"/>
        <rFont val="Calibri"/>
        <family val="2"/>
      </rPr>
      <t>y</t>
    </r>
    <r>
      <rPr>
        <sz val="10"/>
        <color theme="1"/>
        <rFont val="Calibri"/>
        <family val="2"/>
      </rPr>
      <t>/W</t>
    </r>
    <r>
      <rPr>
        <vertAlign val="subscript"/>
        <sz val="10"/>
        <color theme="1"/>
        <rFont val="Calibri"/>
        <family val="2"/>
      </rPr>
      <t xml:space="preserve">y </t>
    </r>
    <r>
      <rPr>
        <sz val="10"/>
        <color theme="1"/>
        <rFont val="Calibri"/>
        <family val="2"/>
      </rPr>
      <t>=</t>
    </r>
  </si>
  <si>
    <r>
      <rPr>
        <sz val="10"/>
        <color theme="1"/>
        <rFont val="Symbol"/>
        <family val="1"/>
        <charset val="2"/>
      </rPr>
      <t>t</t>
    </r>
    <r>
      <rPr>
        <sz val="10"/>
        <color theme="1"/>
        <rFont val="Calibri"/>
        <family val="2"/>
      </rPr>
      <t>/[</t>
    </r>
    <r>
      <rPr>
        <sz val="10"/>
        <color theme="1"/>
        <rFont val="Symbol"/>
        <family val="1"/>
        <charset val="2"/>
      </rPr>
      <t>t</t>
    </r>
    <r>
      <rPr>
        <sz val="10"/>
        <color theme="1"/>
        <rFont val="Calibri"/>
        <family val="2"/>
      </rPr>
      <t xml:space="preserve">] </t>
    </r>
    <r>
      <rPr>
        <sz val="10"/>
        <color theme="1"/>
        <rFont val="Calibri"/>
        <family val="2"/>
        <scheme val="minor"/>
      </rPr>
      <t xml:space="preserve">= </t>
    </r>
    <r>
      <rPr>
        <sz val="10"/>
        <color theme="1"/>
        <rFont val="Calibri"/>
        <family val="1"/>
        <charset val="2"/>
        <scheme val="minor"/>
      </rPr>
      <t>V</t>
    </r>
    <r>
      <rPr>
        <vertAlign val="subscript"/>
        <sz val="10"/>
        <color theme="1"/>
        <rFont val="Calibri"/>
        <family val="2"/>
        <scheme val="minor"/>
      </rPr>
      <t>y</t>
    </r>
    <r>
      <rPr>
        <sz val="10"/>
        <color theme="1"/>
        <rFont val="Calibri"/>
        <family val="1"/>
        <charset val="2"/>
        <scheme val="minor"/>
      </rPr>
      <t>S</t>
    </r>
    <r>
      <rPr>
        <vertAlign val="subscript"/>
        <sz val="10"/>
        <color theme="1"/>
        <rFont val="Calibri"/>
        <family val="2"/>
        <scheme val="minor"/>
      </rPr>
      <t>x</t>
    </r>
    <r>
      <rPr>
        <sz val="10"/>
        <color theme="1"/>
        <rFont val="Calibri"/>
        <family val="1"/>
        <charset val="2"/>
        <scheme val="minor"/>
      </rPr>
      <t>/(I</t>
    </r>
    <r>
      <rPr>
        <vertAlign val="subscript"/>
        <sz val="10"/>
        <color theme="1"/>
        <rFont val="Calibri"/>
        <family val="2"/>
        <scheme val="minor"/>
      </rPr>
      <t>x</t>
    </r>
    <r>
      <rPr>
        <sz val="10"/>
        <color theme="1"/>
        <rFont val="Calibri"/>
        <family val="1"/>
        <charset val="2"/>
        <scheme val="minor"/>
      </rPr>
      <t>t</t>
    </r>
    <r>
      <rPr>
        <vertAlign val="subscript"/>
        <sz val="10"/>
        <color theme="1"/>
        <rFont val="Calibri"/>
        <family val="2"/>
        <scheme val="minor"/>
      </rPr>
      <t>w</t>
    </r>
    <r>
      <rPr>
        <sz val="10"/>
        <color theme="1"/>
        <rFont val="Calibri"/>
        <family val="1"/>
        <charset val="2"/>
        <scheme val="minor"/>
      </rPr>
      <t>f</t>
    </r>
    <r>
      <rPr>
        <vertAlign val="subscript"/>
        <sz val="10"/>
        <color theme="1"/>
        <rFont val="Calibri"/>
        <family val="2"/>
        <scheme val="minor"/>
      </rPr>
      <t>v</t>
    </r>
    <r>
      <rPr>
        <sz val="10"/>
        <color theme="1"/>
        <rFont val="Symbol"/>
        <family val="1"/>
        <charset val="2"/>
      </rPr>
      <t>g</t>
    </r>
    <r>
      <rPr>
        <vertAlign val="subscript"/>
        <sz val="10"/>
        <color theme="1"/>
        <rFont val="Calibri"/>
        <family val="2"/>
      </rPr>
      <t>c</t>
    </r>
    <r>
      <rPr>
        <sz val="10"/>
        <color theme="1"/>
        <rFont val="Calibri"/>
        <family val="1"/>
        <charset val="2"/>
      </rPr>
      <t>) =</t>
    </r>
  </si>
  <si>
    <r>
      <t>[</t>
    </r>
    <r>
      <rPr>
        <sz val="10"/>
        <color theme="1"/>
        <rFont val="Symbol"/>
        <family val="1"/>
        <charset val="2"/>
      </rPr>
      <t>s</t>
    </r>
    <r>
      <rPr>
        <sz val="10"/>
        <color theme="1"/>
        <rFont val="Calibri"/>
        <family val="2"/>
      </rPr>
      <t>] = 1.15f</t>
    </r>
    <r>
      <rPr>
        <vertAlign val="subscript"/>
        <sz val="10"/>
        <color theme="1"/>
        <rFont val="Calibri"/>
        <family val="2"/>
      </rPr>
      <t>yd</t>
    </r>
    <r>
      <rPr>
        <sz val="10"/>
        <color theme="1"/>
        <rFont val="Symbol"/>
        <family val="1"/>
        <charset val="2"/>
      </rPr>
      <t>g</t>
    </r>
    <r>
      <rPr>
        <vertAlign val="subscript"/>
        <sz val="10"/>
        <color theme="1"/>
        <rFont val="Calibri"/>
        <family val="2"/>
      </rPr>
      <t xml:space="preserve">c </t>
    </r>
    <r>
      <rPr>
        <sz val="10"/>
        <color theme="1"/>
        <rFont val="Calibri"/>
        <family val="2"/>
      </rPr>
      <t>=</t>
    </r>
  </si>
  <si>
    <r>
      <rPr>
        <sz val="10"/>
        <color theme="1"/>
        <rFont val="Symbol"/>
        <family val="1"/>
        <charset val="2"/>
      </rPr>
      <t>t</t>
    </r>
    <r>
      <rPr>
        <vertAlign val="subscript"/>
        <sz val="10"/>
        <color theme="1"/>
        <rFont val="Calibri"/>
        <family val="2"/>
      </rPr>
      <t xml:space="preserve">xy </t>
    </r>
    <r>
      <rPr>
        <sz val="10"/>
        <color theme="1"/>
        <rFont val="Calibri"/>
        <family val="1"/>
        <charset val="2"/>
      </rPr>
      <t xml:space="preserve">= </t>
    </r>
    <r>
      <rPr>
        <sz val="10"/>
        <color theme="1"/>
        <rFont val="Symbol"/>
        <family val="1"/>
        <charset val="2"/>
      </rPr>
      <t xml:space="preserve">t </t>
    </r>
    <r>
      <rPr>
        <sz val="10"/>
        <color theme="1"/>
        <rFont val="Calibri"/>
        <family val="1"/>
        <charset val="2"/>
      </rPr>
      <t>=</t>
    </r>
  </si>
  <si>
    <r>
      <rPr>
        <sz val="10"/>
        <color theme="1"/>
        <rFont val="Symbol"/>
        <family val="1"/>
        <charset val="2"/>
      </rPr>
      <t>s</t>
    </r>
    <r>
      <rPr>
        <vertAlign val="subscript"/>
        <sz val="10"/>
        <color theme="1"/>
        <rFont val="Calibri"/>
        <family val="2"/>
        <scheme val="minor"/>
      </rPr>
      <t xml:space="preserve">td </t>
    </r>
    <r>
      <rPr>
        <sz val="10"/>
        <color theme="1"/>
        <rFont val="Calibri"/>
        <family val="2"/>
      </rPr>
      <t>= sqrt(</t>
    </r>
    <r>
      <rPr>
        <sz val="10"/>
        <color theme="1"/>
        <rFont val="Symbol"/>
        <family val="1"/>
        <charset val="2"/>
      </rPr>
      <t>s</t>
    </r>
    <r>
      <rPr>
        <vertAlign val="superscript"/>
        <sz val="10"/>
        <color theme="1"/>
        <rFont val="Calibri"/>
        <family val="2"/>
      </rPr>
      <t>2</t>
    </r>
    <r>
      <rPr>
        <sz val="10"/>
        <color theme="1"/>
        <rFont val="Calibri"/>
        <family val="1"/>
        <charset val="2"/>
        <scheme val="minor"/>
      </rPr>
      <t>+3</t>
    </r>
    <r>
      <rPr>
        <sz val="10"/>
        <color theme="1"/>
        <rFont val="Symbol"/>
        <family val="1"/>
        <charset val="2"/>
      </rPr>
      <t>t</t>
    </r>
    <r>
      <rPr>
        <vertAlign val="subscript"/>
        <sz val="10"/>
        <color theme="1"/>
        <rFont val="Calibri"/>
        <family val="2"/>
      </rPr>
      <t>xy</t>
    </r>
    <r>
      <rPr>
        <vertAlign val="superscript"/>
        <sz val="10"/>
        <color theme="1"/>
        <rFont val="Calibri"/>
        <family val="2"/>
      </rPr>
      <t>2</t>
    </r>
    <r>
      <rPr>
        <sz val="10"/>
        <color theme="1"/>
        <rFont val="Calibri"/>
        <family val="1"/>
        <charset val="2"/>
      </rPr>
      <t>) =</t>
    </r>
  </si>
  <si>
    <r>
      <rPr>
        <sz val="10"/>
        <color theme="1"/>
        <rFont val="Symbol"/>
        <family val="1"/>
        <charset val="2"/>
      </rPr>
      <t>s</t>
    </r>
    <r>
      <rPr>
        <vertAlign val="subscript"/>
        <sz val="10"/>
        <color theme="1"/>
        <rFont val="Calibri"/>
        <family val="2"/>
        <scheme val="minor"/>
      </rPr>
      <t>td</t>
    </r>
    <r>
      <rPr>
        <sz val="10"/>
        <color theme="1"/>
        <rFont val="Calibri"/>
        <family val="2"/>
      </rPr>
      <t>/[</t>
    </r>
    <r>
      <rPr>
        <sz val="10"/>
        <color theme="1"/>
        <rFont val="Symbol"/>
        <family val="1"/>
        <charset val="2"/>
      </rPr>
      <t>s</t>
    </r>
    <r>
      <rPr>
        <sz val="10"/>
        <color theme="1"/>
        <rFont val="Calibri"/>
        <family val="2"/>
      </rPr>
      <t xml:space="preserve">] </t>
    </r>
    <r>
      <rPr>
        <sz val="10"/>
        <color theme="1"/>
        <rFont val="Calibri"/>
        <family val="1"/>
        <charset val="2"/>
        <scheme val="minor"/>
      </rPr>
      <t>=</t>
    </r>
  </si>
  <si>
    <t>Ứng suất tổng thể</t>
  </si>
  <si>
    <r>
      <rPr>
        <sz val="10"/>
        <color theme="1"/>
        <rFont val="Symbol"/>
        <family val="1"/>
        <charset val="2"/>
      </rPr>
      <t>s</t>
    </r>
    <r>
      <rPr>
        <vertAlign val="subscript"/>
        <sz val="10"/>
        <color theme="1"/>
        <rFont val="Calibri"/>
        <family val="2"/>
      </rPr>
      <t>tt</t>
    </r>
    <r>
      <rPr>
        <sz val="10"/>
        <color theme="1"/>
        <rFont val="Calibri"/>
        <family val="2"/>
      </rPr>
      <t xml:space="preserve"> = M / (</t>
    </r>
    <r>
      <rPr>
        <sz val="10"/>
        <color theme="1"/>
        <rFont val="Symbol"/>
        <family val="1"/>
        <charset val="2"/>
      </rPr>
      <t>j</t>
    </r>
    <r>
      <rPr>
        <vertAlign val="subscript"/>
        <sz val="10"/>
        <color theme="1"/>
        <rFont val="Calibri"/>
        <family val="2"/>
      </rPr>
      <t>b</t>
    </r>
    <r>
      <rPr>
        <sz val="10"/>
        <color theme="1"/>
        <rFont val="Calibri"/>
        <family val="2"/>
      </rPr>
      <t>W</t>
    </r>
    <r>
      <rPr>
        <vertAlign val="subscript"/>
        <sz val="10"/>
        <color theme="1"/>
        <rFont val="Calibri"/>
        <family val="2"/>
      </rPr>
      <t>c</t>
    </r>
    <r>
      <rPr>
        <sz val="10"/>
        <color theme="1"/>
        <rFont val="Calibri"/>
        <family val="2"/>
      </rPr>
      <t>)</t>
    </r>
    <r>
      <rPr>
        <vertAlign val="subscript"/>
        <sz val="10"/>
        <color theme="1"/>
        <rFont val="Calibri"/>
        <family val="2"/>
      </rPr>
      <t xml:space="preserve"> </t>
    </r>
    <r>
      <rPr>
        <sz val="10"/>
        <color theme="1"/>
        <rFont val="Calibri"/>
        <family val="2"/>
      </rPr>
      <t>=</t>
    </r>
  </si>
  <si>
    <r>
      <t xml:space="preserve">Tỉ số </t>
    </r>
    <r>
      <rPr>
        <sz val="10"/>
        <color theme="1"/>
        <rFont val="Symbol"/>
        <family val="1"/>
        <charset val="2"/>
      </rPr>
      <t>s</t>
    </r>
    <r>
      <rPr>
        <vertAlign val="subscript"/>
        <sz val="10"/>
        <color theme="1"/>
        <rFont val="Calibri"/>
        <family val="2"/>
        <scheme val="minor"/>
      </rPr>
      <t>tt</t>
    </r>
    <r>
      <rPr>
        <sz val="10"/>
        <color theme="1"/>
        <rFont val="Calibri"/>
        <family val="2"/>
      </rPr>
      <t>/[</t>
    </r>
    <r>
      <rPr>
        <sz val="10"/>
        <color theme="1"/>
        <rFont val="Symbol"/>
        <family val="1"/>
        <charset val="2"/>
      </rPr>
      <t>s</t>
    </r>
    <r>
      <rPr>
        <sz val="10"/>
        <color theme="1"/>
        <rFont val="Calibri"/>
        <family val="2"/>
      </rPr>
      <t>]</t>
    </r>
  </si>
  <si>
    <r>
      <rPr>
        <sz val="10"/>
        <color theme="1"/>
        <rFont val="Symbol"/>
        <family val="1"/>
        <charset val="2"/>
      </rPr>
      <t>s</t>
    </r>
    <r>
      <rPr>
        <vertAlign val="subscript"/>
        <sz val="10"/>
        <color theme="1"/>
        <rFont val="Calibri"/>
        <family val="2"/>
        <scheme val="minor"/>
      </rPr>
      <t>tt</t>
    </r>
    <r>
      <rPr>
        <sz val="10"/>
        <color theme="1"/>
        <rFont val="Calibri"/>
        <family val="2"/>
      </rPr>
      <t>/[</t>
    </r>
    <r>
      <rPr>
        <sz val="10"/>
        <color theme="1"/>
        <rFont val="Symbol"/>
        <family val="1"/>
        <charset val="2"/>
      </rPr>
      <t>s</t>
    </r>
    <r>
      <rPr>
        <sz val="10"/>
        <color theme="1"/>
        <rFont val="Calibri"/>
        <family val="2"/>
      </rPr>
      <t xml:space="preserve">] </t>
    </r>
    <r>
      <rPr>
        <sz val="10"/>
        <color theme="1"/>
        <rFont val="Calibri"/>
        <family val="1"/>
        <charset val="2"/>
        <scheme val="minor"/>
      </rPr>
      <t>=</t>
    </r>
  </si>
  <si>
    <t>b. Kiểm tra điều kiện ổn định cục bộ dầm chữ I, chịu uốn trong mặt phẳng bản bụng</t>
  </si>
  <si>
    <r>
      <t>b</t>
    </r>
    <r>
      <rPr>
        <vertAlign val="subscript"/>
        <sz val="10"/>
        <color theme="1"/>
        <rFont val="Calibri"/>
        <family val="2"/>
        <scheme val="minor"/>
      </rPr>
      <t>of</t>
    </r>
    <r>
      <rPr>
        <sz val="10"/>
        <color theme="1"/>
        <rFont val="Calibri"/>
        <family val="2"/>
        <scheme val="minor"/>
      </rPr>
      <t xml:space="preserve"> / t</t>
    </r>
    <r>
      <rPr>
        <vertAlign val="subscript"/>
        <sz val="10"/>
        <color theme="1"/>
        <rFont val="Calibri"/>
        <family val="2"/>
        <scheme val="minor"/>
      </rPr>
      <t>f</t>
    </r>
    <r>
      <rPr>
        <sz val="10"/>
        <color theme="1"/>
        <rFont val="Calibri"/>
        <family val="2"/>
        <scheme val="minor"/>
      </rPr>
      <t xml:space="preserve"> =</t>
    </r>
  </si>
  <si>
    <t>Cánh trên</t>
  </si>
  <si>
    <t>Cánh dưới</t>
  </si>
  <si>
    <r>
      <t>Giá trị giới hạn[b</t>
    </r>
    <r>
      <rPr>
        <vertAlign val="subscript"/>
        <sz val="10"/>
        <color theme="1"/>
        <rFont val="Calibri"/>
        <family val="2"/>
        <scheme val="minor"/>
      </rPr>
      <t>of</t>
    </r>
    <r>
      <rPr>
        <sz val="10"/>
        <color theme="1"/>
        <rFont val="Calibri"/>
        <family val="2"/>
        <scheme val="minor"/>
      </rPr>
      <t xml:space="preserve"> / t</t>
    </r>
    <r>
      <rPr>
        <vertAlign val="subscript"/>
        <sz val="10"/>
        <color theme="1"/>
        <rFont val="Calibri"/>
        <family val="2"/>
        <scheme val="minor"/>
      </rPr>
      <t>f</t>
    </r>
    <r>
      <rPr>
        <sz val="10"/>
        <color theme="1"/>
        <rFont val="Calibri"/>
        <family val="2"/>
        <scheme val="minor"/>
      </rPr>
      <t>]= 0.5 (E/f)</t>
    </r>
    <r>
      <rPr>
        <vertAlign val="superscript"/>
        <sz val="10"/>
        <color theme="1"/>
        <rFont val="Calibri"/>
        <family val="2"/>
        <scheme val="minor"/>
      </rPr>
      <t>0.5</t>
    </r>
    <r>
      <rPr>
        <sz val="10"/>
        <color theme="1"/>
        <rFont val="Calibri"/>
        <family val="2"/>
        <scheme val="minor"/>
      </rPr>
      <t xml:space="preserve"> =</t>
    </r>
  </si>
  <si>
    <t>b.1 Kiểm tra điều kiện ổn định cục bộ bản cánh nén dầm chữ I (Mục 7.6.3)</t>
  </si>
  <si>
    <t>b.2 Kiểm tra điều kiện ổn định bản bụng dầm chữ I (Mục 7.6.1)</t>
  </si>
  <si>
    <t>Độ mảnh quy ước của bản bụng</t>
  </si>
  <si>
    <r>
      <rPr>
        <sz val="10"/>
        <color theme="1"/>
        <rFont val="Symbol"/>
        <family val="1"/>
        <charset val="2"/>
      </rPr>
      <t>l</t>
    </r>
    <r>
      <rPr>
        <vertAlign val="subscript"/>
        <sz val="10"/>
        <color theme="1"/>
        <rFont val="Calibri"/>
        <family val="2"/>
        <scheme val="minor"/>
      </rPr>
      <t>w</t>
    </r>
    <r>
      <rPr>
        <sz val="10"/>
        <color theme="1"/>
        <rFont val="Calibri"/>
        <family val="2"/>
        <scheme val="minor"/>
      </rPr>
      <t xml:space="preserve"> =(h</t>
    </r>
    <r>
      <rPr>
        <vertAlign val="subscript"/>
        <sz val="10"/>
        <color theme="1"/>
        <rFont val="Calibri"/>
        <family val="2"/>
        <scheme val="minor"/>
      </rPr>
      <t>w</t>
    </r>
    <r>
      <rPr>
        <sz val="10"/>
        <color theme="1"/>
        <rFont val="Calibri"/>
        <family val="2"/>
        <scheme val="minor"/>
      </rPr>
      <t xml:space="preserve"> / t</t>
    </r>
    <r>
      <rPr>
        <vertAlign val="subscript"/>
        <sz val="10"/>
        <color theme="1"/>
        <rFont val="Calibri"/>
        <family val="2"/>
        <scheme val="minor"/>
      </rPr>
      <t>w</t>
    </r>
    <r>
      <rPr>
        <sz val="10"/>
        <color theme="1"/>
        <rFont val="Calibri"/>
        <family val="2"/>
        <scheme val="minor"/>
      </rPr>
      <t>) (f/E)</t>
    </r>
    <r>
      <rPr>
        <vertAlign val="superscript"/>
        <sz val="10"/>
        <color theme="1"/>
        <rFont val="Calibri"/>
        <family val="2"/>
        <scheme val="minor"/>
      </rPr>
      <t>0.5</t>
    </r>
    <r>
      <rPr>
        <sz val="10"/>
        <color theme="1"/>
        <rFont val="Calibri"/>
        <family val="2"/>
        <scheme val="minor"/>
      </rPr>
      <t xml:space="preserve"> =</t>
    </r>
  </si>
  <si>
    <t>Tải trọng tĩnh</t>
  </si>
  <si>
    <r>
      <rPr>
        <sz val="10"/>
        <color theme="1"/>
        <rFont val="Symbol"/>
        <family val="1"/>
        <charset val="2"/>
      </rPr>
      <t>l</t>
    </r>
    <r>
      <rPr>
        <vertAlign val="subscript"/>
        <sz val="10"/>
        <color theme="1"/>
        <rFont val="Calibri"/>
        <family val="2"/>
        <scheme val="minor"/>
      </rPr>
      <t>w</t>
    </r>
    <r>
      <rPr>
        <sz val="10"/>
        <color theme="1"/>
        <rFont val="Calibri"/>
        <family val="2"/>
        <scheme val="minor"/>
      </rPr>
      <t xml:space="preserve"> </t>
    </r>
  </si>
  <si>
    <r>
      <rPr>
        <sz val="10"/>
        <color theme="1"/>
        <rFont val="Symbol"/>
        <family val="1"/>
        <charset val="2"/>
      </rPr>
      <t>[ l</t>
    </r>
    <r>
      <rPr>
        <vertAlign val="subscript"/>
        <sz val="10"/>
        <color theme="1"/>
        <rFont val="Calibri"/>
        <family val="2"/>
        <scheme val="minor"/>
      </rPr>
      <t>w</t>
    </r>
    <r>
      <rPr>
        <sz val="10"/>
        <color theme="1"/>
        <rFont val="Calibri"/>
        <family val="2"/>
        <scheme val="minor"/>
      </rPr>
      <t xml:space="preserve"> ]</t>
    </r>
    <r>
      <rPr>
        <sz val="10"/>
        <color theme="1"/>
        <rFont val="Calibri"/>
        <family val="1"/>
        <charset val="2"/>
        <scheme val="minor"/>
      </rPr>
      <t xml:space="preserve"> </t>
    </r>
    <r>
      <rPr>
        <sz val="10"/>
        <color theme="1"/>
        <rFont val="Symbol"/>
        <family val="1"/>
        <charset val="2"/>
      </rPr>
      <t>®</t>
    </r>
  </si>
  <si>
    <r>
      <rPr>
        <sz val="10"/>
        <color theme="1"/>
        <rFont val="Calibri"/>
        <family val="2"/>
        <scheme val="minor"/>
      </rPr>
      <t>Độ mảnh giới hạn khi dầm</t>
    </r>
    <r>
      <rPr>
        <sz val="10"/>
        <color theme="1"/>
        <rFont val="Symbol"/>
        <family val="1"/>
        <charset val="2"/>
      </rPr>
      <t xml:space="preserve"> [ l</t>
    </r>
    <r>
      <rPr>
        <vertAlign val="subscript"/>
        <sz val="10"/>
        <color theme="1"/>
        <rFont val="Calibri"/>
        <family val="2"/>
        <scheme val="minor"/>
      </rPr>
      <t>w</t>
    </r>
    <r>
      <rPr>
        <sz val="10"/>
        <color theme="1"/>
        <rFont val="Calibri"/>
        <family val="2"/>
        <scheme val="minor"/>
      </rPr>
      <t xml:space="preserve"> ] =</t>
    </r>
  </si>
  <si>
    <t>a. Kiểm tra điều kiện ổn định tổng thể dầm chữ I, chịu uốn trong mặt phẳng bản bụng (Mục 7.2.2.1)</t>
  </si>
  <si>
    <r>
      <t>b</t>
    </r>
    <r>
      <rPr>
        <vertAlign val="subscript"/>
        <sz val="10"/>
        <color theme="1"/>
        <rFont val="Calibri"/>
        <family val="2"/>
        <scheme val="minor"/>
      </rPr>
      <t xml:space="preserve">f,T </t>
    </r>
    <r>
      <rPr>
        <sz val="10"/>
        <color theme="1"/>
        <rFont val="Calibri"/>
        <family val="2"/>
        <scheme val="minor"/>
      </rPr>
      <t>=</t>
    </r>
  </si>
  <si>
    <r>
      <t>t</t>
    </r>
    <r>
      <rPr>
        <vertAlign val="subscript"/>
        <sz val="10"/>
        <color theme="1"/>
        <rFont val="Calibri"/>
        <family val="2"/>
        <scheme val="minor"/>
      </rPr>
      <t xml:space="preserve">f,T </t>
    </r>
    <r>
      <rPr>
        <sz val="10"/>
        <color theme="1"/>
        <rFont val="Calibri"/>
        <family val="2"/>
        <scheme val="minor"/>
      </rPr>
      <t>=</t>
    </r>
  </si>
  <si>
    <r>
      <t>b</t>
    </r>
    <r>
      <rPr>
        <vertAlign val="subscript"/>
        <sz val="10"/>
        <color theme="1"/>
        <rFont val="Calibri"/>
        <family val="2"/>
        <scheme val="minor"/>
      </rPr>
      <t xml:space="preserve">f,B </t>
    </r>
    <r>
      <rPr>
        <sz val="10"/>
        <color theme="1"/>
        <rFont val="Calibri"/>
        <family val="2"/>
        <scheme val="minor"/>
      </rPr>
      <t>=</t>
    </r>
  </si>
  <si>
    <r>
      <t>t</t>
    </r>
    <r>
      <rPr>
        <vertAlign val="subscript"/>
        <sz val="10"/>
        <color theme="1"/>
        <rFont val="Calibri"/>
        <family val="2"/>
        <scheme val="minor"/>
      </rPr>
      <t xml:space="preserve">f,B </t>
    </r>
    <r>
      <rPr>
        <sz val="10"/>
        <color theme="1"/>
        <rFont val="Calibri"/>
        <family val="2"/>
        <scheme val="minor"/>
      </rPr>
      <t>=</t>
    </r>
  </si>
  <si>
    <t>1. Tính toán về bền (Mục 7.2.1)</t>
  </si>
  <si>
    <r>
      <t>[</t>
    </r>
    <r>
      <rPr>
        <sz val="10"/>
        <rFont val="Symbol"/>
        <family val="1"/>
        <charset val="2"/>
      </rPr>
      <t>s</t>
    </r>
    <r>
      <rPr>
        <sz val="10"/>
        <rFont val="Calibri"/>
        <family val="2"/>
      </rPr>
      <t>]=f</t>
    </r>
    <r>
      <rPr>
        <sz val="10"/>
        <rFont val="Symbol"/>
        <family val="1"/>
        <charset val="2"/>
      </rPr>
      <t>g</t>
    </r>
    <r>
      <rPr>
        <vertAlign val="subscript"/>
        <sz val="10"/>
        <rFont val="Calibri"/>
        <family val="2"/>
      </rPr>
      <t>c</t>
    </r>
    <r>
      <rPr>
        <sz val="10"/>
        <rFont val="Calibri"/>
        <family val="2"/>
      </rPr>
      <t>=</t>
    </r>
  </si>
  <si>
    <t>Kiểm tra ổn định tổng thể</t>
  </si>
  <si>
    <t>Kiểm tra ổn định cục bộ bản cánh</t>
  </si>
  <si>
    <t>Kiểm tra ổn định cục bộ bản bụng</t>
  </si>
  <si>
    <t>Sườn ngang</t>
  </si>
  <si>
    <t>Sườn dọc</t>
  </si>
  <si>
    <t>BẢNG TỔNG HỢP CHI TIẾT  - THUYẾT MINH CẤU KIỆN CHỊU UỐN THÉP I</t>
  </si>
  <si>
    <t>Kết
luận</t>
  </si>
  <si>
    <r>
      <t>h</t>
    </r>
    <r>
      <rPr>
        <b/>
        <vertAlign val="subscript"/>
        <sz val="10"/>
        <color rgb="FF0070C0"/>
        <rFont val="Calibri"/>
        <family val="2"/>
        <scheme val="minor"/>
      </rPr>
      <t>i</t>
    </r>
  </si>
  <si>
    <r>
      <t>h</t>
    </r>
    <r>
      <rPr>
        <b/>
        <vertAlign val="subscript"/>
        <sz val="10"/>
        <color rgb="FF0070C0"/>
        <rFont val="Calibri"/>
        <family val="2"/>
        <scheme val="minor"/>
      </rPr>
      <t>j</t>
    </r>
  </si>
  <si>
    <r>
      <t>t</t>
    </r>
    <r>
      <rPr>
        <b/>
        <vertAlign val="subscript"/>
        <sz val="10"/>
        <color rgb="FF0070C0"/>
        <rFont val="Calibri"/>
        <family val="2"/>
        <scheme val="minor"/>
      </rPr>
      <t>w</t>
    </r>
  </si>
  <si>
    <r>
      <t>b</t>
    </r>
    <r>
      <rPr>
        <b/>
        <vertAlign val="subscript"/>
        <sz val="10"/>
        <color rgb="FF0070C0"/>
        <rFont val="Calibri"/>
        <family val="2"/>
        <scheme val="minor"/>
      </rPr>
      <t>top</t>
    </r>
  </si>
  <si>
    <r>
      <t>t</t>
    </r>
    <r>
      <rPr>
        <b/>
        <vertAlign val="subscript"/>
        <sz val="10"/>
        <color rgb="FF0070C0"/>
        <rFont val="Calibri"/>
        <family val="2"/>
        <scheme val="minor"/>
      </rPr>
      <t>f,top</t>
    </r>
  </si>
  <si>
    <r>
      <t>b</t>
    </r>
    <r>
      <rPr>
        <b/>
        <vertAlign val="subscript"/>
        <sz val="10"/>
        <color rgb="FF0070C0"/>
        <rFont val="Calibri"/>
        <family val="2"/>
        <scheme val="minor"/>
      </rPr>
      <t>bot</t>
    </r>
  </si>
  <si>
    <r>
      <t>t</t>
    </r>
    <r>
      <rPr>
        <b/>
        <vertAlign val="subscript"/>
        <sz val="10"/>
        <color rgb="FF0070C0"/>
        <rFont val="Calibri"/>
        <family val="2"/>
        <scheme val="minor"/>
      </rPr>
      <t>f,bot</t>
    </r>
  </si>
  <si>
    <r>
      <t>h</t>
    </r>
    <r>
      <rPr>
        <b/>
        <vertAlign val="subscript"/>
        <sz val="10"/>
        <color rgb="FF0070C0"/>
        <rFont val="Calibri"/>
        <family val="2"/>
        <scheme val="minor"/>
      </rPr>
      <t>w</t>
    </r>
  </si>
  <si>
    <r>
      <t>I</t>
    </r>
    <r>
      <rPr>
        <b/>
        <vertAlign val="subscript"/>
        <sz val="10"/>
        <color rgb="FF0070C0"/>
        <rFont val="Calibri"/>
        <family val="2"/>
        <scheme val="minor"/>
      </rPr>
      <t>x</t>
    </r>
  </si>
  <si>
    <r>
      <t>I</t>
    </r>
    <r>
      <rPr>
        <b/>
        <vertAlign val="subscript"/>
        <sz val="10"/>
        <color rgb="FF0070C0"/>
        <rFont val="Calibri"/>
        <family val="2"/>
        <scheme val="minor"/>
      </rPr>
      <t>y</t>
    </r>
  </si>
  <si>
    <r>
      <t>W</t>
    </r>
    <r>
      <rPr>
        <b/>
        <vertAlign val="subscript"/>
        <sz val="10"/>
        <color rgb="FF0070C0"/>
        <rFont val="Calibri"/>
        <family val="2"/>
        <scheme val="minor"/>
      </rPr>
      <t>x</t>
    </r>
  </si>
  <si>
    <r>
      <t>W</t>
    </r>
    <r>
      <rPr>
        <b/>
        <vertAlign val="subscript"/>
        <sz val="10"/>
        <color rgb="FF0070C0"/>
        <rFont val="Calibri"/>
        <family val="2"/>
        <scheme val="minor"/>
      </rPr>
      <t>y</t>
    </r>
  </si>
  <si>
    <r>
      <t>S</t>
    </r>
    <r>
      <rPr>
        <b/>
        <vertAlign val="subscript"/>
        <sz val="10"/>
        <color rgb="FF0070C0"/>
        <rFont val="Calibri"/>
        <family val="2"/>
        <scheme val="minor"/>
      </rPr>
      <t>x</t>
    </r>
  </si>
  <si>
    <r>
      <t>V</t>
    </r>
    <r>
      <rPr>
        <b/>
        <vertAlign val="subscript"/>
        <sz val="10"/>
        <color rgb="FF0070C0"/>
        <rFont val="Calibri"/>
        <family val="2"/>
        <scheme val="minor"/>
      </rPr>
      <t>y</t>
    </r>
  </si>
  <si>
    <r>
      <t>V</t>
    </r>
    <r>
      <rPr>
        <b/>
        <vertAlign val="subscript"/>
        <sz val="10"/>
        <color rgb="FF0070C0"/>
        <rFont val="Calibri"/>
        <family val="2"/>
        <scheme val="minor"/>
      </rPr>
      <t>x</t>
    </r>
  </si>
  <si>
    <r>
      <t>M</t>
    </r>
    <r>
      <rPr>
        <b/>
        <vertAlign val="subscript"/>
        <sz val="10"/>
        <color rgb="FF0070C0"/>
        <rFont val="Calibri"/>
        <family val="2"/>
        <scheme val="minor"/>
      </rPr>
      <t>y</t>
    </r>
  </si>
  <si>
    <r>
      <t>M</t>
    </r>
    <r>
      <rPr>
        <b/>
        <vertAlign val="subscript"/>
        <sz val="10"/>
        <color rgb="FF0070C0"/>
        <rFont val="Calibri"/>
        <family val="2"/>
        <scheme val="minor"/>
      </rPr>
      <t>x</t>
    </r>
  </si>
  <si>
    <r>
      <t xml:space="preserve"> s</t>
    </r>
    <r>
      <rPr>
        <b/>
        <vertAlign val="subscript"/>
        <sz val="10"/>
        <color rgb="FF0070C0"/>
        <rFont val="Calibri"/>
        <family val="2"/>
        <scheme val="minor"/>
      </rPr>
      <t>N</t>
    </r>
  </si>
  <si>
    <r>
      <t xml:space="preserve"> s</t>
    </r>
    <r>
      <rPr>
        <b/>
        <vertAlign val="subscript"/>
        <sz val="10"/>
        <color rgb="FF0070C0"/>
        <rFont val="Calibri"/>
        <family val="2"/>
        <scheme val="minor"/>
      </rPr>
      <t>x</t>
    </r>
  </si>
  <si>
    <r>
      <t xml:space="preserve"> s</t>
    </r>
    <r>
      <rPr>
        <b/>
        <vertAlign val="subscript"/>
        <sz val="10"/>
        <color rgb="FF0070C0"/>
        <rFont val="Calibri"/>
        <family val="2"/>
        <scheme val="minor"/>
      </rPr>
      <t>y</t>
    </r>
  </si>
  <si>
    <r>
      <t>s</t>
    </r>
    <r>
      <rPr>
        <b/>
        <vertAlign val="subscript"/>
        <sz val="10"/>
        <color rgb="FF0070C0"/>
        <rFont val="Calibri"/>
        <family val="2"/>
        <scheme val="minor"/>
      </rPr>
      <t>td</t>
    </r>
  </si>
  <si>
    <r>
      <rPr>
        <sz val="10"/>
        <color rgb="FF0070C0"/>
        <rFont val="Symbol"/>
        <family val="1"/>
        <charset val="2"/>
      </rPr>
      <t>j</t>
    </r>
    <r>
      <rPr>
        <vertAlign val="subscript"/>
        <sz val="10"/>
        <color rgb="FF0070C0"/>
        <rFont val="Calibri"/>
        <family val="2"/>
        <scheme val="minor"/>
      </rPr>
      <t>b</t>
    </r>
  </si>
  <si>
    <r>
      <t>b</t>
    </r>
    <r>
      <rPr>
        <b/>
        <vertAlign val="subscript"/>
        <sz val="10"/>
        <color rgb="FF0070C0"/>
        <rFont val="Calibri"/>
        <family val="2"/>
        <scheme val="minor"/>
      </rPr>
      <t>of</t>
    </r>
    <r>
      <rPr>
        <b/>
        <sz val="10"/>
        <color rgb="FF0070C0"/>
        <rFont val="Calibri"/>
        <family val="2"/>
        <scheme val="minor"/>
      </rPr>
      <t xml:space="preserve"> / t</t>
    </r>
    <r>
      <rPr>
        <b/>
        <vertAlign val="subscript"/>
        <sz val="10"/>
        <color rgb="FF0070C0"/>
        <rFont val="Calibri"/>
        <family val="2"/>
        <scheme val="minor"/>
      </rPr>
      <t>f</t>
    </r>
  </si>
  <si>
    <r>
      <t>[b</t>
    </r>
    <r>
      <rPr>
        <b/>
        <vertAlign val="subscript"/>
        <sz val="10"/>
        <color rgb="FF0070C0"/>
        <rFont val="Calibri"/>
        <family val="2"/>
        <scheme val="minor"/>
      </rPr>
      <t>of</t>
    </r>
    <r>
      <rPr>
        <b/>
        <sz val="10"/>
        <color rgb="FF0070C0"/>
        <rFont val="Calibri"/>
        <family val="2"/>
        <scheme val="minor"/>
      </rPr>
      <t xml:space="preserve"> / t</t>
    </r>
    <r>
      <rPr>
        <b/>
        <vertAlign val="subscript"/>
        <sz val="10"/>
        <color rgb="FF0070C0"/>
        <rFont val="Calibri"/>
        <family val="2"/>
        <scheme val="minor"/>
      </rPr>
      <t>f</t>
    </r>
    <r>
      <rPr>
        <b/>
        <sz val="10"/>
        <color rgb="FF0070C0"/>
        <rFont val="Calibri"/>
        <family val="2"/>
        <scheme val="minor"/>
      </rPr>
      <t>]</t>
    </r>
  </si>
  <si>
    <r>
      <rPr>
        <b/>
        <sz val="10"/>
        <color rgb="FF0070C0"/>
        <rFont val="Symbol"/>
        <family val="1"/>
        <charset val="2"/>
      </rPr>
      <t>l</t>
    </r>
    <r>
      <rPr>
        <b/>
        <vertAlign val="subscript"/>
        <sz val="10"/>
        <color rgb="FF0070C0"/>
        <rFont val="Calibri"/>
        <family val="2"/>
        <scheme val="minor"/>
      </rPr>
      <t>w</t>
    </r>
  </si>
  <si>
    <r>
      <t>cm</t>
    </r>
    <r>
      <rPr>
        <b/>
        <vertAlign val="superscript"/>
        <sz val="10"/>
        <color rgb="FF0070C0"/>
        <rFont val="Calibri"/>
        <family val="2"/>
        <scheme val="minor"/>
      </rPr>
      <t>2</t>
    </r>
  </si>
  <si>
    <r>
      <t>cm</t>
    </r>
    <r>
      <rPr>
        <b/>
        <vertAlign val="superscript"/>
        <sz val="10"/>
        <color rgb="FF0070C0"/>
        <rFont val="Calibri"/>
        <family val="2"/>
        <scheme val="minor"/>
      </rPr>
      <t>4</t>
    </r>
  </si>
  <si>
    <r>
      <t>cm</t>
    </r>
    <r>
      <rPr>
        <b/>
        <vertAlign val="superscript"/>
        <sz val="10"/>
        <color rgb="FF0070C0"/>
        <rFont val="Calibri"/>
        <family val="2"/>
        <scheme val="minor"/>
      </rPr>
      <t>3</t>
    </r>
  </si>
  <si>
    <r>
      <rPr>
        <b/>
        <sz val="10"/>
        <color rgb="FF0070C0"/>
        <rFont val="Symbol"/>
        <family val="1"/>
        <charset val="2"/>
      </rPr>
      <t>[l</t>
    </r>
    <r>
      <rPr>
        <b/>
        <vertAlign val="subscript"/>
        <sz val="10"/>
        <color rgb="FF0070C0"/>
        <rFont val="Calibri"/>
        <family val="2"/>
        <scheme val="minor"/>
      </rPr>
      <t>w</t>
    </r>
    <r>
      <rPr>
        <b/>
        <sz val="10"/>
        <color rgb="FF0070C0"/>
        <rFont val="Calibri"/>
        <family val="2"/>
        <scheme val="minor"/>
      </rPr>
      <t>]</t>
    </r>
  </si>
  <si>
    <t>Kiểm tra ổn định
cục bộ bản cánh</t>
  </si>
  <si>
    <t>Tên</t>
  </si>
  <si>
    <t>(498-294)x5+164x8</t>
  </si>
  <si>
    <t>Gia cường</t>
  </si>
  <si>
    <t>m</t>
  </si>
  <si>
    <t>31</t>
  </si>
  <si>
    <t>514-310</t>
  </si>
  <si>
    <t>Bảng chi tiết</t>
  </si>
  <si>
    <r>
      <t>Ứng suất pháp của cấu kiện khi có tác dụng đồng thời M</t>
    </r>
    <r>
      <rPr>
        <vertAlign val="subscript"/>
        <sz val="10"/>
        <color theme="1"/>
        <rFont val="Calibri"/>
        <family val="2"/>
        <scheme val="minor"/>
      </rPr>
      <t>x</t>
    </r>
    <r>
      <rPr>
        <sz val="10"/>
        <color theme="1"/>
        <rFont val="Calibri"/>
        <family val="2"/>
        <scheme val="minor"/>
      </rPr>
      <t>, M</t>
    </r>
    <r>
      <rPr>
        <vertAlign val="subscript"/>
        <sz val="10"/>
        <color theme="1"/>
        <rFont val="Calibri"/>
        <family val="2"/>
        <scheme val="minor"/>
      </rPr>
      <t>y</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</si>
</sst>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50">
    <font>
      <sz val="11"/>
      <color theme="1"/>
      <name val="Calibri"/>
      <family val="2"/>
      <scheme val="minor"/>
    </font>
    <font>
      <sz val="10"/>
      <color theme="1"/>
      <name val="Calibri"/>
      <family val="2"/>
      <scheme val="minor"/>
    </font>
    <font>
      <b/>
      <sz val="10"/>
      <color theme="1"/>
      <name val="Calibri"/>
      <family val="2"/>
      <scheme val="minor"/>
    </font>
    <font>
      <vertAlign val="subscript"/>
      <sz val="10"/>
      <color theme="1"/>
      <name val="Calibri"/>
      <family val="2"/>
      <scheme val="minor"/>
    </font>
    <font>
      <b/>
      <i/>
      <sz val="10"/>
      <color theme="1"/>
      <name val="Calibri"/>
      <family val="2"/>
      <scheme val="minor"/>
    </font>
    <font>
      <sz val="10"/>
      <color rgb="FF0070C0"/>
      <name val="Calibri"/>
      <family val="2"/>
      <scheme val="minor"/>
    </font>
    <font>
      <sz val="10"/>
      <color theme="1"/>
      <name val="Symbol"/>
      <family val="1"/>
      <charset val="2"/>
    </font>
    <font>
      <sz val="10"/>
      <color theme="1"/>
      <name val="Calibri"/>
      <family val="2"/>
    </font>
    <font>
      <sz val="10"/>
      <color theme="1"/>
      <name val="Calibri"/>
      <family val="1"/>
      <charset val="2"/>
    </font>
    <font>
      <vertAlign val="subscript"/>
      <sz val="10"/>
      <color theme="1"/>
      <name val="Calibri"/>
      <family val="2"/>
    </font>
    <font>
      <sz val="10"/>
      <name val="Calibri"/>
      <family val="2"/>
      <scheme val="minor"/>
    </font>
    <font>
      <vertAlign val="superscript"/>
      <sz val="10"/>
      <color theme="1"/>
      <name val="Calibri"/>
      <family val="2"/>
      <scheme val="minor"/>
    </font>
    <font>
      <b/>
      <u/>
      <sz val="10"/>
      <color rgb="FFFF0000"/>
      <name val="Calibri"/>
      <family val="2"/>
      <scheme val="minor"/>
    </font>
    <font>
      <sz val="10"/>
      <color theme="1"/>
      <name val="Calibri"/>
      <family val="1"/>
      <charset val="2"/>
      <scheme val="minor"/>
    </font>
    <font>
      <i/>
      <sz val="10"/>
      <color rgb="FF7030A0"/>
      <name val="Calibri"/>
      <family val="2"/>
      <scheme val="minor"/>
    </font>
    <font>
      <vertAlign val="superscript"/>
      <sz val="10"/>
      <color theme="1"/>
      <name val="Calibri"/>
      <family val="2"/>
    </font>
    <font>
      <sz val="10"/>
      <color rgb="FF0000CC"/>
      <name val="Calibri"/>
      <family val="2"/>
      <scheme val="minor"/>
    </font>
    <font>
      <b/>
      <sz val="14"/>
      <color theme="0"/>
      <name val="Calibri"/>
      <family val="2"/>
      <scheme val="minor"/>
    </font>
    <font>
      <b/>
      <sz val="14"/>
      <color theme="0"/>
      <name val="Adobe Hebrew"/>
      <family val="1"/>
    </font>
    <font>
      <b/>
      <sz val="14"/>
      <color rgb="FF0070C0"/>
      <name val="Calibri"/>
      <family val="2"/>
      <scheme val="minor"/>
    </font>
    <font>
      <b/>
      <sz val="10"/>
      <color theme="0"/>
      <name val="Calibri"/>
      <family val="2"/>
      <scheme val="minor"/>
    </font>
    <font>
      <b/>
      <vertAlign val="subscript"/>
      <sz val="10"/>
      <color theme="0"/>
      <name val="Calibri"/>
      <family val="2"/>
      <scheme val="minor"/>
    </font>
    <font>
      <b/>
      <sz val="13"/>
      <color theme="0"/>
      <name val="Calibri"/>
      <family val="2"/>
      <scheme val="minor"/>
    </font>
    <font>
      <sz val="11"/>
      <color theme="1"/>
      <name val="Calibri"/>
      <family val="2"/>
      <scheme val="minor"/>
    </font>
    <font>
      <sz val="10"/>
      <color theme="1"/>
      <name val="Tahoma"/>
      <family val="2"/>
    </font>
    <font>
      <b/>
      <sz val="10"/>
      <color rgb="FF0000CC"/>
      <name val="Calibri"/>
      <family val="2"/>
      <scheme val="minor"/>
    </font>
    <font>
      <b/>
      <sz val="10"/>
      <name val="Calibri"/>
      <family val="2"/>
      <scheme val="minor"/>
    </font>
    <font>
      <vertAlign val="subscript"/>
      <sz val="10"/>
      <name val="Calibri"/>
      <family val="2"/>
      <scheme val="minor"/>
    </font>
    <font>
      <sz val="10"/>
      <name val="Calibri"/>
      <family val="1"/>
      <charset val="2"/>
      <scheme val="minor"/>
    </font>
    <font>
      <sz val="10"/>
      <name val="Symbol"/>
      <family val="1"/>
      <charset val="2"/>
    </font>
    <font>
      <sz val="10"/>
      <name val="Calibri"/>
      <family val="2"/>
    </font>
    <font>
      <vertAlign val="subscript"/>
      <sz val="10"/>
      <name val="Calibri"/>
      <family val="2"/>
    </font>
    <font>
      <b/>
      <sz val="10"/>
      <color theme="9" tint="-0.249977111117893"/>
      <name val="Calibri"/>
      <family val="2"/>
      <scheme val="minor"/>
    </font>
    <font>
      <b/>
      <sz val="10"/>
      <color rgb="FF006100"/>
      <name val="Calibri"/>
      <family val="2"/>
      <scheme val="minor"/>
    </font>
    <font>
      <b/>
      <sz val="10"/>
      <color rgb="FF0070C0"/>
      <name val="Calibri"/>
      <family val="2"/>
      <scheme val="minor"/>
    </font>
    <font>
      <sz val="10"/>
      <color theme="1"/>
      <name val="Calibri"/>
      <family val="2"/>
      <charset val="2"/>
      <scheme val="minor"/>
    </font>
    <font>
      <u/>
      <sz val="10"/>
      <color theme="1"/>
      <name val="Calibri"/>
      <family val="2"/>
      <scheme val="minor"/>
    </font>
    <font>
      <b/>
      <vertAlign val="subscript"/>
      <sz val="10"/>
      <color rgb="FF0070C0"/>
      <name val="Calibri"/>
      <family val="2"/>
      <scheme val="minor"/>
    </font>
    <font>
      <b/>
      <sz val="10"/>
      <color rgb="FF0070C0"/>
      <name val="Symbol"/>
      <family val="1"/>
      <charset val="2"/>
    </font>
    <font>
      <sz val="10"/>
      <color rgb="FF0070C0"/>
      <name val="Calibri"/>
      <family val="1"/>
      <charset val="2"/>
      <scheme val="minor"/>
    </font>
    <font>
      <sz val="10"/>
      <color rgb="FF0070C0"/>
      <name val="Symbol"/>
      <family val="1"/>
      <charset val="2"/>
    </font>
    <font>
      <vertAlign val="subscript"/>
      <sz val="10"/>
      <color rgb="FF0070C0"/>
      <name val="Calibri"/>
      <family val="2"/>
      <scheme val="minor"/>
    </font>
    <font>
      <b/>
      <sz val="10"/>
      <color rgb="FF0070C0"/>
      <name val="Calibri"/>
      <family val="1"/>
      <charset val="2"/>
      <scheme val="minor"/>
    </font>
    <font>
      <b/>
      <vertAlign val="superscript"/>
      <sz val="10"/>
      <color rgb="FF0070C0"/>
      <name val="Calibri"/>
      <family val="2"/>
      <scheme val="minor"/>
    </font>
    <font>
      <sz val="10"/>
      <color theme="0"/>
      <name val="Calibri"/>
      <family val="2"/>
      <scheme val="minor"/>
    </font>
    <font>
      <sz val="10"/>
      <color theme="5"/>
      <name val="Calibri"/>
      <family val="2"/>
      <scheme val="minor"/>
    </font>
    <font>
      <b/>
      <sz val="11"/>
      <color rgb="FF0000CC"/>
      <name val="Calibri"/>
      <family val="2"/>
      <scheme val="minor"/>
    </font>
    <font>
      <b/>
      <sz val="9"/>
      <color indexed="81"/>
      <name val="Tahoma"/>
      <family val="2"/>
    </font>
    <font>
      <b/>
      <sz val="11"/>
      <color rgb="FF0000FF"/>
      <name val="Calibri"/>
      <family val="2"/>
    </font>
    <font>
      <b/>
      <sz val="10"/>
      <color theme="4" tint="0.79998168889431442"/>
      <name val="Calibri"/>
      <family val="2"/>
      <scheme val="minor"/>
    </font>
  </fonts>
  <fills count="9">
    <fill>
      <patternFill patternType="none"/>
    </fill>
    <fill>
      <patternFill patternType="gray125"/>
    </fill>
    <fill>
      <patternFill patternType="solid">
        <fgColor theme="0"/>
        <bgColor indexed="64"/>
      </patternFill>
    </fill>
    <fill>
      <patternFill patternType="solid">
        <fgColor rgb="FF0070C0"/>
        <bgColor indexed="64"/>
      </patternFill>
    </fill>
    <fill>
      <patternFill patternType="solid">
        <fgColor theme="4" tint="0.79998168889431442"/>
        <bgColor indexed="64"/>
      </patternFill>
    </fill>
    <fill>
      <patternFill patternType="solid">
        <fgColor theme="4"/>
        <bgColor indexed="64"/>
      </patternFill>
    </fill>
    <fill>
      <patternFill patternType="solid">
        <fgColor theme="5"/>
        <bgColor indexed="64"/>
      </patternFill>
    </fill>
    <fill>
      <patternFill patternType="solid">
        <fgColor theme="5" tint="0.59999389629810485"/>
        <bgColor indexed="64"/>
      </patternFill>
    </fill>
    <fill>
      <patternFill patternType="solid">
        <fgColor theme="5" tint="0.39997558519241921"/>
        <bgColor indexed="64"/>
      </patternFill>
    </fill>
  </fills>
  <borders count="28">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bottom style="thin">
        <color theme="0" tint="-0.499984740745262"/>
      </bottom>
      <diagonal/>
    </border>
    <border>
      <left/>
      <right style="thin">
        <color indexed="64"/>
      </right>
      <top/>
      <bottom style="thin">
        <color theme="0" tint="-0.499984740745262"/>
      </bottom>
      <diagonal/>
    </border>
    <border>
      <left/>
      <right style="thin">
        <color indexed="64"/>
      </right>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theme="0" tint="-0.499984740745262"/>
      </top>
      <bottom style="thin">
        <color indexed="64"/>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0" fontId="23" fillId="0" borderId="0"/>
    <xf numFmtId="9" fontId="23" fillId="0" borderId="0" applyFont="0" applyFill="0" applyBorder="0" applyAlignment="0" applyProtection="0"/>
  </cellStyleXfs>
  <cellXfs count="227">
    <xf numFmtId="0" fontId="0" fillId="0" borderId="0" xfId="0"/>
    <xf numFmtId="0" fontId="1" fillId="0" borderId="0" xfId="0" applyFont="1"/>
    <xf numFmtId="0" fontId="4" fillId="0" borderId="0" xfId="0" applyFont="1"/>
    <xf numFmtId="0" fontId="14" fillId="0" borderId="0" xfId="0" applyFont="1"/>
    <xf numFmtId="0" fontId="1" fillId="2" borderId="0" xfId="0" applyFont="1" applyFill="1"/>
    <xf numFmtId="0" fontId="1" fillId="2" borderId="12" xfId="0" applyFont="1" applyFill="1" applyBorder="1" applyAlignment="1">
      <alignment horizontal="center"/>
    </xf>
    <xf numFmtId="0" fontId="10" fillId="2" borderId="0" xfId="0" applyFont="1" applyFill="1"/>
    <xf numFmtId="0" fontId="1" fillId="2" borderId="16" xfId="0" applyFont="1" applyFill="1" applyBorder="1" applyAlignment="1">
      <alignment horizontal="center" vertical="center"/>
    </xf>
    <xf numFmtId="0" fontId="16" fillId="2" borderId="16" xfId="0" applyFont="1" applyFill="1" applyBorder="1" applyAlignment="1">
      <alignment horizontal="center" vertical="center"/>
    </xf>
    <xf numFmtId="0" fontId="1" fillId="2" borderId="19" xfId="0" applyFont="1" applyFill="1" applyBorder="1" applyAlignment="1">
      <alignment vertical="top"/>
    </xf>
    <xf numFmtId="0" fontId="2" fillId="2" borderId="20" xfId="0" applyFont="1" applyFill="1" applyBorder="1" applyAlignment="1">
      <alignment horizontal="left" indent="1"/>
    </xf>
    <xf numFmtId="0" fontId="1" fillId="2" borderId="20" xfId="0" applyFont="1" applyFill="1" applyBorder="1" applyAlignment="1">
      <alignment horizontal="left" vertical="top" indent="2"/>
    </xf>
    <xf numFmtId="0" fontId="1" fillId="2" borderId="19" xfId="0" applyFont="1" applyFill="1" applyBorder="1"/>
    <xf numFmtId="0" fontId="1" fillId="2" borderId="20" xfId="0" applyFont="1" applyFill="1" applyBorder="1"/>
    <xf numFmtId="0" fontId="1" fillId="2" borderId="5" xfId="0" applyFont="1" applyFill="1" applyBorder="1"/>
    <xf numFmtId="0" fontId="1" fillId="2" borderId="4" xfId="0" applyFont="1" applyFill="1" applyBorder="1"/>
    <xf numFmtId="0" fontId="1" fillId="2" borderId="16" xfId="0" applyFont="1" applyFill="1" applyBorder="1" applyAlignment="1">
      <alignment horizontal="center"/>
    </xf>
    <xf numFmtId="0" fontId="1" fillId="2" borderId="16" xfId="0" applyFont="1" applyFill="1" applyBorder="1" applyAlignment="1">
      <alignment horizontal="center" vertical="top"/>
    </xf>
    <xf numFmtId="1" fontId="1" fillId="2" borderId="16" xfId="0" applyNumberFormat="1" applyFont="1" applyFill="1" applyBorder="1" applyAlignment="1">
      <alignment horizontal="center" vertical="center"/>
    </xf>
    <xf numFmtId="164" fontId="1" fillId="2" borderId="16" xfId="0" applyNumberFormat="1" applyFont="1" applyFill="1" applyBorder="1" applyAlignment="1">
      <alignment horizontal="center" vertical="top"/>
    </xf>
    <xf numFmtId="0" fontId="20" fillId="5" borderId="12" xfId="0" applyFont="1" applyFill="1" applyBorder="1" applyAlignment="1">
      <alignment horizontal="center"/>
    </xf>
    <xf numFmtId="0" fontId="1" fillId="2" borderId="15" xfId="0" applyFont="1" applyFill="1" applyBorder="1"/>
    <xf numFmtId="0" fontId="1" fillId="2" borderId="16" xfId="0" applyFont="1" applyFill="1" applyBorder="1"/>
    <xf numFmtId="164" fontId="1" fillId="2" borderId="16" xfId="0" applyNumberFormat="1" applyFont="1" applyFill="1" applyBorder="1" applyAlignment="1">
      <alignment horizontal="center"/>
    </xf>
    <xf numFmtId="1" fontId="1" fillId="2" borderId="16" xfId="0" applyNumberFormat="1" applyFont="1" applyFill="1" applyBorder="1" applyAlignment="1">
      <alignment horizontal="center" vertical="top"/>
    </xf>
    <xf numFmtId="0" fontId="12" fillId="2" borderId="19" xfId="0" applyFont="1" applyFill="1" applyBorder="1" applyAlignment="1">
      <alignment horizontal="center" vertical="center"/>
    </xf>
    <xf numFmtId="0" fontId="1" fillId="2" borderId="23" xfId="0" applyFont="1" applyFill="1" applyBorder="1"/>
    <xf numFmtId="0" fontId="16" fillId="2" borderId="16" xfId="0" applyFont="1" applyFill="1" applyBorder="1"/>
    <xf numFmtId="164" fontId="16" fillId="2" borderId="16" xfId="0" applyNumberFormat="1" applyFont="1" applyFill="1" applyBorder="1"/>
    <xf numFmtId="164" fontId="10" fillId="2" borderId="16" xfId="0" applyNumberFormat="1" applyFont="1" applyFill="1" applyBorder="1" applyAlignment="1">
      <alignment horizontal="center" vertical="center"/>
    </xf>
    <xf numFmtId="0" fontId="10" fillId="2" borderId="16" xfId="0" applyFont="1" applyFill="1" applyBorder="1" applyAlignment="1">
      <alignment horizontal="center" vertical="center"/>
    </xf>
    <xf numFmtId="2" fontId="10" fillId="2" borderId="16" xfId="0" applyNumberFormat="1" applyFont="1" applyFill="1" applyBorder="1" applyAlignment="1">
      <alignment horizontal="center" vertical="center"/>
    </xf>
    <xf numFmtId="164" fontId="1" fillId="2" borderId="16" xfId="0" applyNumberFormat="1" applyFont="1" applyFill="1" applyBorder="1" applyAlignment="1">
      <alignment horizontal="center" vertical="center"/>
    </xf>
    <xf numFmtId="2" fontId="32" fillId="2" borderId="16" xfId="0" applyNumberFormat="1" applyFont="1" applyFill="1" applyBorder="1" applyAlignment="1">
      <alignment horizontal="center" vertical="center"/>
    </xf>
    <xf numFmtId="0" fontId="1" fillId="2" borderId="12" xfId="0" applyFont="1" applyFill="1" applyBorder="1" applyAlignment="1">
      <alignment horizontal="right" vertical="center"/>
    </xf>
    <xf numFmtId="0" fontId="16" fillId="2" borderId="0" xfId="0" applyFont="1" applyFill="1" applyAlignment="1">
      <alignment horizontal="center" vertical="center"/>
    </xf>
    <xf numFmtId="0" fontId="10" fillId="2" borderId="16" xfId="0" applyFont="1" applyFill="1" applyBorder="1"/>
    <xf numFmtId="2" fontId="10" fillId="2" borderId="16" xfId="0" applyNumberFormat="1" applyFont="1" applyFill="1" applyBorder="1"/>
    <xf numFmtId="0" fontId="32" fillId="2" borderId="16" xfId="0" applyFont="1" applyFill="1" applyBorder="1" applyAlignment="1">
      <alignment horizontal="center" vertical="center"/>
    </xf>
    <xf numFmtId="0" fontId="2" fillId="2" borderId="1" xfId="0" applyFont="1" applyFill="1" applyBorder="1" applyAlignment="1">
      <alignment horizontal="left" indent="1"/>
    </xf>
    <xf numFmtId="0" fontId="25" fillId="2" borderId="2" xfId="0" applyFont="1" applyFill="1" applyBorder="1" applyAlignment="1">
      <alignment horizontal="left" indent="1"/>
    </xf>
    <xf numFmtId="0" fontId="16" fillId="2" borderId="2" xfId="0" applyFont="1" applyFill="1" applyBorder="1"/>
    <xf numFmtId="0" fontId="16" fillId="2" borderId="2"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2" xfId="0" applyFont="1" applyFill="1" applyBorder="1"/>
    <xf numFmtId="164" fontId="16" fillId="2" borderId="2" xfId="0" applyNumberFormat="1" applyFont="1" applyFill="1" applyBorder="1"/>
    <xf numFmtId="164" fontId="10" fillId="2" borderId="2" xfId="0" applyNumberFormat="1" applyFont="1" applyFill="1" applyBorder="1" applyAlignment="1">
      <alignment horizontal="center" vertical="center"/>
    </xf>
    <xf numFmtId="0" fontId="10" fillId="2" borderId="2" xfId="0" applyFont="1" applyFill="1" applyBorder="1" applyAlignment="1">
      <alignment horizontal="center" vertical="center"/>
    </xf>
    <xf numFmtId="2" fontId="10" fillId="2" borderId="2" xfId="0" applyNumberFormat="1" applyFont="1" applyFill="1" applyBorder="1" applyAlignment="1">
      <alignment horizontal="center" vertical="center"/>
    </xf>
    <xf numFmtId="0" fontId="10" fillId="2" borderId="2" xfId="0" applyFont="1" applyFill="1" applyBorder="1"/>
    <xf numFmtId="2" fontId="10" fillId="2" borderId="2" xfId="0" applyNumberFormat="1" applyFont="1" applyFill="1" applyBorder="1"/>
    <xf numFmtId="0" fontId="32" fillId="2" borderId="2" xfId="0" applyFont="1" applyFill="1" applyBorder="1" applyAlignment="1">
      <alignment horizontal="center" vertical="center"/>
    </xf>
    <xf numFmtId="0" fontId="16" fillId="2" borderId="0" xfId="0" applyFont="1" applyFill="1"/>
    <xf numFmtId="0" fontId="10" fillId="2" borderId="0" xfId="0" applyFont="1" applyFill="1" applyAlignment="1">
      <alignment horizontal="right" vertical="center"/>
    </xf>
    <xf numFmtId="0" fontId="10" fillId="2" borderId="0" xfId="0" applyFont="1" applyFill="1" applyAlignment="1">
      <alignment horizontal="center" vertical="center"/>
    </xf>
    <xf numFmtId="0" fontId="1" fillId="2" borderId="0" xfId="0" applyFont="1" applyFill="1" applyAlignment="1">
      <alignment horizontal="center" vertical="center"/>
    </xf>
    <xf numFmtId="164" fontId="10" fillId="2" borderId="0" xfId="0" applyNumberFormat="1" applyFont="1" applyFill="1"/>
    <xf numFmtId="164" fontId="16" fillId="2" borderId="0" xfId="0" applyNumberFormat="1" applyFont="1" applyFill="1"/>
    <xf numFmtId="164" fontId="10" fillId="2" borderId="0" xfId="0" applyNumberFormat="1" applyFont="1" applyFill="1" applyAlignment="1">
      <alignment horizontal="center" vertical="center"/>
    </xf>
    <xf numFmtId="164" fontId="10" fillId="2" borderId="0" xfId="0" applyNumberFormat="1" applyFont="1" applyFill="1" applyAlignment="1">
      <alignment horizontal="right"/>
    </xf>
    <xf numFmtId="0" fontId="10" fillId="2" borderId="0" xfId="0" applyFont="1" applyFill="1" applyAlignment="1">
      <alignment horizontal="right" vertical="top"/>
    </xf>
    <xf numFmtId="1" fontId="10" fillId="2" borderId="0" xfId="0" applyNumberFormat="1" applyFont="1" applyFill="1"/>
    <xf numFmtId="0" fontId="32" fillId="2" borderId="0" xfId="0" applyFont="1" applyFill="1" applyAlignment="1">
      <alignment horizontal="center" vertical="center"/>
    </xf>
    <xf numFmtId="0" fontId="28" fillId="2" borderId="0" xfId="0" applyFont="1" applyFill="1" applyAlignment="1">
      <alignment horizontal="right"/>
    </xf>
    <xf numFmtId="2" fontId="10" fillId="2" borderId="0" xfId="0" applyNumberFormat="1" applyFont="1" applyFill="1" applyAlignment="1">
      <alignment horizontal="center" vertical="center"/>
    </xf>
    <xf numFmtId="2" fontId="10" fillId="2" borderId="0" xfId="0" applyNumberFormat="1" applyFont="1" applyFill="1"/>
    <xf numFmtId="0" fontId="2" fillId="2" borderId="4" xfId="0" applyFont="1" applyFill="1" applyBorder="1" applyAlignment="1">
      <alignment horizontal="left" indent="1"/>
    </xf>
    <xf numFmtId="0" fontId="25" fillId="2" borderId="5" xfId="0" applyFont="1" applyFill="1" applyBorder="1" applyAlignment="1">
      <alignment horizontal="left" indent="1"/>
    </xf>
    <xf numFmtId="0" fontId="16" fillId="2" borderId="5" xfId="0" applyFont="1" applyFill="1" applyBorder="1"/>
    <xf numFmtId="0" fontId="16" fillId="2" borderId="5" xfId="0" applyFont="1" applyFill="1" applyBorder="1" applyAlignment="1">
      <alignment horizontal="center" vertical="center"/>
    </xf>
    <xf numFmtId="0" fontId="10" fillId="2" borderId="5" xfId="0" applyFont="1" applyFill="1" applyBorder="1" applyAlignment="1">
      <alignment horizontal="center" vertical="center"/>
    </xf>
    <xf numFmtId="0" fontId="1" fillId="2" borderId="5" xfId="0" applyFont="1" applyFill="1" applyBorder="1" applyAlignment="1">
      <alignment horizontal="center" vertical="center"/>
    </xf>
    <xf numFmtId="164" fontId="16" fillId="2" borderId="5" xfId="0" applyNumberFormat="1" applyFont="1" applyFill="1" applyBorder="1"/>
    <xf numFmtId="0" fontId="10" fillId="2" borderId="5" xfId="0" applyFont="1" applyFill="1" applyBorder="1"/>
    <xf numFmtId="164" fontId="10" fillId="2" borderId="5" xfId="0" applyNumberFormat="1" applyFont="1" applyFill="1" applyBorder="1" applyAlignment="1">
      <alignment horizontal="center" vertical="center"/>
    </xf>
    <xf numFmtId="2" fontId="10" fillId="2" borderId="5" xfId="0" applyNumberFormat="1" applyFont="1" applyFill="1" applyBorder="1" applyAlignment="1">
      <alignment horizontal="center" vertical="center"/>
    </xf>
    <xf numFmtId="2" fontId="10" fillId="2" borderId="5" xfId="0" applyNumberFormat="1" applyFont="1" applyFill="1" applyBorder="1"/>
    <xf numFmtId="0" fontId="32" fillId="2" borderId="5" xfId="0" applyFont="1" applyFill="1" applyBorder="1" applyAlignment="1">
      <alignment horizontal="center" vertical="center"/>
    </xf>
    <xf numFmtId="0" fontId="10" fillId="2" borderId="20" xfId="0" applyFont="1" applyFill="1" applyBorder="1"/>
    <xf numFmtId="0" fontId="26" fillId="2" borderId="4" xfId="0" applyFont="1" applyFill="1" applyBorder="1" applyAlignment="1">
      <alignment horizontal="left" indent="1"/>
    </xf>
    <xf numFmtId="0" fontId="26" fillId="2" borderId="5" xfId="0" applyFont="1" applyFill="1" applyBorder="1" applyAlignment="1">
      <alignment horizontal="left" indent="1"/>
    </xf>
    <xf numFmtId="164" fontId="10" fillId="2" borderId="5" xfId="0" applyNumberFormat="1" applyFont="1" applyFill="1" applyBorder="1"/>
    <xf numFmtId="164" fontId="10" fillId="2" borderId="16" xfId="0" applyNumberFormat="1" applyFont="1" applyFill="1" applyBorder="1"/>
    <xf numFmtId="0" fontId="1" fillId="0" borderId="0" xfId="0" applyFont="1" applyAlignment="1">
      <alignment horizontal="center" vertical="center"/>
    </xf>
    <xf numFmtId="0" fontId="10" fillId="2" borderId="16" xfId="0" applyFont="1" applyFill="1" applyBorder="1" applyAlignment="1">
      <alignment horizontal="center"/>
    </xf>
    <xf numFmtId="0" fontId="1" fillId="2" borderId="0" xfId="0" applyFont="1" applyFill="1" applyAlignment="1">
      <alignment vertical="top"/>
    </xf>
    <xf numFmtId="164" fontId="1" fillId="2" borderId="0" xfId="0" applyNumberFormat="1" applyFont="1" applyFill="1"/>
    <xf numFmtId="0" fontId="1" fillId="2" borderId="0" xfId="0" applyFont="1" applyFill="1" applyAlignment="1">
      <alignment horizontal="left" vertical="center"/>
    </xf>
    <xf numFmtId="0" fontId="1" fillId="2" borderId="0" xfId="0" applyFont="1" applyFill="1" applyAlignment="1">
      <alignment horizontal="left" vertical="top" indent="2"/>
    </xf>
    <xf numFmtId="0" fontId="1" fillId="2" borderId="0" xfId="0" applyFont="1" applyFill="1" applyAlignment="1">
      <alignment horizontal="right" vertical="center"/>
    </xf>
    <xf numFmtId="2" fontId="1" fillId="2" borderId="0" xfId="0" applyNumberFormat="1" applyFont="1" applyFill="1"/>
    <xf numFmtId="2" fontId="1" fillId="2" borderId="0" xfId="0" applyNumberFormat="1" applyFont="1" applyFill="1" applyAlignment="1">
      <alignment horizontal="center" vertical="center"/>
    </xf>
    <xf numFmtId="0" fontId="1" fillId="2" borderId="20" xfId="0" applyFont="1" applyFill="1" applyBorder="1" applyAlignment="1">
      <alignment horizontal="left" vertical="top" indent="3"/>
    </xf>
    <xf numFmtId="2" fontId="1" fillId="2" borderId="0" xfId="0" applyNumberFormat="1" applyFont="1" applyFill="1" applyAlignment="1">
      <alignment horizontal="center"/>
    </xf>
    <xf numFmtId="0" fontId="13" fillId="2" borderId="0" xfId="0" applyFont="1" applyFill="1" applyAlignment="1">
      <alignment horizontal="right" vertical="center"/>
    </xf>
    <xf numFmtId="0" fontId="1" fillId="2" borderId="0" xfId="0" applyFont="1" applyFill="1" applyAlignment="1">
      <alignment horizontal="right" vertical="top" indent="2"/>
    </xf>
    <xf numFmtId="0" fontId="13" fillId="2" borderId="0" xfId="0" applyFont="1" applyFill="1" applyAlignment="1">
      <alignment horizontal="left" vertical="center"/>
    </xf>
    <xf numFmtId="0" fontId="1" fillId="2" borderId="0" xfId="0" applyFont="1" applyFill="1" applyAlignment="1">
      <alignment horizontal="right" vertical="top"/>
    </xf>
    <xf numFmtId="0" fontId="5" fillId="2" borderId="0" xfId="0" applyFont="1" applyFill="1" applyAlignment="1">
      <alignment vertical="top"/>
    </xf>
    <xf numFmtId="0" fontId="16" fillId="2" borderId="0" xfId="0" applyFont="1" applyFill="1" applyAlignment="1">
      <alignment vertical="top"/>
    </xf>
    <xf numFmtId="1" fontId="10" fillId="2" borderId="0" xfId="0" applyNumberFormat="1" applyFont="1" applyFill="1" applyAlignment="1">
      <alignment vertical="top"/>
    </xf>
    <xf numFmtId="0" fontId="5" fillId="2" borderId="0" xfId="0" applyFont="1" applyFill="1" applyAlignment="1">
      <alignment horizontal="right"/>
    </xf>
    <xf numFmtId="164" fontId="1" fillId="2" borderId="0" xfId="0" applyNumberFormat="1" applyFont="1" applyFill="1" applyAlignment="1">
      <alignment vertical="top"/>
    </xf>
    <xf numFmtId="0" fontId="8" fillId="2" borderId="0" xfId="0" applyFont="1" applyFill="1" applyAlignment="1">
      <alignment horizontal="right" vertical="top"/>
    </xf>
    <xf numFmtId="0" fontId="8" fillId="2" borderId="0" xfId="0" applyFont="1" applyFill="1" applyAlignment="1">
      <alignment horizontal="right"/>
    </xf>
    <xf numFmtId="2" fontId="33" fillId="2" borderId="0" xfId="2" applyNumberFormat="1" applyFont="1" applyFill="1" applyBorder="1"/>
    <xf numFmtId="0" fontId="6" fillId="2" borderId="0" xfId="0" applyFont="1" applyFill="1" applyAlignment="1">
      <alignment horizontal="center"/>
    </xf>
    <xf numFmtId="0" fontId="6" fillId="2" borderId="0" xfId="0" applyFont="1" applyFill="1" applyAlignment="1">
      <alignment horizontal="right"/>
    </xf>
    <xf numFmtId="0" fontId="13" fillId="2" borderId="0" xfId="0" applyFont="1" applyFill="1" applyAlignment="1">
      <alignment horizontal="right" vertical="top"/>
    </xf>
    <xf numFmtId="2" fontId="33" fillId="2" borderId="0" xfId="0" applyNumberFormat="1" applyFont="1" applyFill="1" applyAlignment="1">
      <alignment vertical="top"/>
    </xf>
    <xf numFmtId="0" fontId="8" fillId="2" borderId="0" xfId="0" applyFont="1" applyFill="1" applyAlignment="1">
      <alignment horizontal="right" vertical="center"/>
    </xf>
    <xf numFmtId="0" fontId="36" fillId="2" borderId="20" xfId="0" applyFont="1" applyFill="1" applyBorder="1" applyAlignment="1">
      <alignment horizontal="left" vertical="top" indent="1"/>
    </xf>
    <xf numFmtId="0" fontId="16" fillId="2" borderId="0" xfId="0" applyFont="1" applyFill="1" applyAlignment="1">
      <alignment vertical="center"/>
    </xf>
    <xf numFmtId="0" fontId="16" fillId="2" borderId="19" xfId="0" applyFont="1" applyFill="1" applyBorder="1" applyAlignment="1">
      <alignment vertical="center"/>
    </xf>
    <xf numFmtId="0" fontId="1" fillId="2" borderId="6" xfId="0" applyFont="1" applyFill="1" applyBorder="1"/>
    <xf numFmtId="0" fontId="35" fillId="2" borderId="0" xfId="0" applyFont="1" applyFill="1" applyAlignment="1">
      <alignment horizontal="right" vertical="center"/>
    </xf>
    <xf numFmtId="0" fontId="36" fillId="2" borderId="20" xfId="0" applyFont="1" applyFill="1" applyBorder="1" applyAlignment="1">
      <alignment horizontal="left" vertical="top" indent="3"/>
    </xf>
    <xf numFmtId="0" fontId="16" fillId="0" borderId="0" xfId="0" applyFont="1" applyAlignment="1">
      <alignment horizontal="center" vertical="center"/>
    </xf>
    <xf numFmtId="0" fontId="16" fillId="2" borderId="11" xfId="0" applyFont="1" applyFill="1" applyBorder="1" applyAlignment="1">
      <alignment horizontal="center" vertical="center"/>
    </xf>
    <xf numFmtId="2" fontId="1" fillId="2" borderId="15" xfId="0" applyNumberFormat="1" applyFont="1" applyFill="1" applyBorder="1" applyAlignment="1">
      <alignment horizontal="center" vertical="center"/>
    </xf>
    <xf numFmtId="2" fontId="1" fillId="0" borderId="0" xfId="0" applyNumberFormat="1" applyFont="1"/>
    <xf numFmtId="2" fontId="1" fillId="2" borderId="15" xfId="0" applyNumberFormat="1" applyFont="1" applyFill="1" applyBorder="1"/>
    <xf numFmtId="164" fontId="1" fillId="2" borderId="15" xfId="0" applyNumberFormat="1" applyFont="1" applyFill="1" applyBorder="1"/>
    <xf numFmtId="164" fontId="1" fillId="2" borderId="15"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164" fontId="1" fillId="0" borderId="0" xfId="0" applyNumberFormat="1" applyFont="1"/>
    <xf numFmtId="0" fontId="10" fillId="2" borderId="21" xfId="0" applyFont="1" applyFill="1" applyBorder="1" applyAlignment="1">
      <alignment horizontal="center" vertical="center"/>
    </xf>
    <xf numFmtId="0" fontId="26" fillId="2" borderId="20" xfId="0" applyFont="1" applyFill="1" applyBorder="1" applyAlignment="1">
      <alignment horizontal="left" indent="1"/>
    </xf>
    <xf numFmtId="0" fontId="26" fillId="2" borderId="0" xfId="0" applyFont="1" applyFill="1" applyAlignment="1">
      <alignment horizontal="left" indent="1"/>
    </xf>
    <xf numFmtId="0" fontId="1" fillId="6" borderId="0" xfId="0" applyFont="1" applyFill="1"/>
    <xf numFmtId="0" fontId="34" fillId="4" borderId="16" xfId="0" applyFont="1" applyFill="1" applyBorder="1" applyAlignment="1">
      <alignment horizontal="center" vertical="center"/>
    </xf>
    <xf numFmtId="0" fontId="34" fillId="4" borderId="16" xfId="0" applyFont="1" applyFill="1" applyBorder="1" applyAlignment="1">
      <alignment horizontal="center" vertical="top"/>
    </xf>
    <xf numFmtId="0" fontId="34" fillId="4" borderId="16" xfId="0" applyFont="1" applyFill="1" applyBorder="1" applyAlignment="1">
      <alignment horizontal="center"/>
    </xf>
    <xf numFmtId="164" fontId="34" fillId="4" borderId="16" xfId="0" applyNumberFormat="1" applyFont="1" applyFill="1" applyBorder="1" applyAlignment="1">
      <alignment horizontal="center"/>
    </xf>
    <xf numFmtId="0" fontId="38" fillId="4" borderId="16" xfId="0" applyFont="1" applyFill="1" applyBorder="1" applyAlignment="1">
      <alignment horizontal="center" vertical="center"/>
    </xf>
    <xf numFmtId="0" fontId="38" fillId="4" borderId="16" xfId="0" applyFont="1" applyFill="1" applyBorder="1" applyAlignment="1">
      <alignment horizontal="center"/>
    </xf>
    <xf numFmtId="164" fontId="38" fillId="4" borderId="16" xfId="0" applyNumberFormat="1" applyFont="1" applyFill="1" applyBorder="1" applyAlignment="1">
      <alignment horizontal="center" vertical="center"/>
    </xf>
    <xf numFmtId="0" fontId="42" fillId="4" borderId="16" xfId="0" applyFont="1" applyFill="1" applyBorder="1" applyAlignment="1">
      <alignment horizontal="center" vertical="center"/>
    </xf>
    <xf numFmtId="164" fontId="34" fillId="4" borderId="16" xfId="0" applyNumberFormat="1" applyFont="1" applyFill="1" applyBorder="1" applyAlignment="1">
      <alignment horizontal="center" vertical="center"/>
    </xf>
    <xf numFmtId="0" fontId="34" fillId="4" borderId="16" xfId="0" applyFont="1" applyFill="1" applyBorder="1"/>
    <xf numFmtId="1" fontId="10" fillId="2" borderId="0" xfId="0" applyNumberFormat="1" applyFont="1" applyFill="1" applyAlignment="1">
      <alignment horizontal="center" vertical="center"/>
    </xf>
    <xf numFmtId="2" fontId="34" fillId="4" borderId="16" xfId="0" applyNumberFormat="1" applyFont="1" applyFill="1" applyBorder="1" applyAlignment="1">
      <alignment horizontal="center" vertical="center"/>
    </xf>
    <xf numFmtId="2" fontId="1" fillId="2" borderId="16" xfId="0" applyNumberFormat="1" applyFont="1" applyFill="1" applyBorder="1" applyAlignment="1">
      <alignment horizontal="center" vertical="center"/>
    </xf>
    <xf numFmtId="164" fontId="1" fillId="2" borderId="0" xfId="0" applyNumberFormat="1" applyFont="1" applyFill="1" applyAlignment="1">
      <alignment horizontal="center" vertical="center"/>
    </xf>
    <xf numFmtId="2" fontId="34" fillId="4" borderId="16" xfId="0" applyNumberFormat="1" applyFont="1" applyFill="1" applyBorder="1" applyAlignment="1">
      <alignment horizontal="center"/>
    </xf>
    <xf numFmtId="1" fontId="10" fillId="2" borderId="5" xfId="0" applyNumberFormat="1" applyFont="1" applyFill="1" applyBorder="1" applyAlignment="1">
      <alignment horizontal="center" vertical="center"/>
    </xf>
    <xf numFmtId="1" fontId="38" fillId="4" borderId="16" xfId="0" applyNumberFormat="1" applyFont="1" applyFill="1" applyBorder="1" applyAlignment="1">
      <alignment horizontal="center" vertical="center"/>
    </xf>
    <xf numFmtId="1" fontId="34" fillId="4" borderId="16" xfId="0" applyNumberFormat="1" applyFont="1" applyFill="1" applyBorder="1" applyAlignment="1">
      <alignment horizontal="center" vertical="center"/>
    </xf>
    <xf numFmtId="1" fontId="10" fillId="2" borderId="16" xfId="0" applyNumberFormat="1" applyFont="1" applyFill="1" applyBorder="1" applyAlignment="1">
      <alignment horizontal="center" vertical="center"/>
    </xf>
    <xf numFmtId="1" fontId="1" fillId="2" borderId="0" xfId="0" applyNumberFormat="1" applyFont="1" applyFill="1" applyAlignment="1">
      <alignment horizontal="center" vertical="center"/>
    </xf>
    <xf numFmtId="0" fontId="28" fillId="2" borderId="0" xfId="0" applyFont="1" applyFill="1" applyAlignment="1">
      <alignment horizontal="center" vertical="center"/>
    </xf>
    <xf numFmtId="1" fontId="16" fillId="2" borderId="16" xfId="0" applyNumberFormat="1" applyFont="1" applyFill="1" applyBorder="1" applyAlignment="1">
      <alignment horizontal="center" vertical="center"/>
    </xf>
    <xf numFmtId="0" fontId="44" fillId="6" borderId="8" xfId="0" applyFont="1" applyFill="1" applyBorder="1" applyAlignment="1">
      <alignment vertical="center"/>
    </xf>
    <xf numFmtId="2" fontId="16" fillId="2" borderId="2" xfId="0" applyNumberFormat="1" applyFont="1" applyFill="1" applyBorder="1"/>
    <xf numFmtId="2" fontId="16" fillId="2" borderId="0" xfId="0" applyNumberFormat="1" applyFont="1" applyFill="1"/>
    <xf numFmtId="2" fontId="16" fillId="2" borderId="5" xfId="0" applyNumberFormat="1" applyFont="1" applyFill="1" applyBorder="1"/>
    <xf numFmtId="2" fontId="16" fillId="2" borderId="16" xfId="0" applyNumberFormat="1" applyFont="1" applyFill="1" applyBorder="1"/>
    <xf numFmtId="1" fontId="10" fillId="2" borderId="0" xfId="0" applyNumberFormat="1" applyFont="1" applyFill="1" applyAlignment="1">
      <alignment horizontal="right" vertical="center"/>
    </xf>
    <xf numFmtId="0" fontId="45" fillId="6" borderId="8" xfId="0" applyFont="1" applyFill="1" applyBorder="1" applyAlignment="1">
      <alignment horizontal="center" vertical="center"/>
    </xf>
    <xf numFmtId="2" fontId="16" fillId="2" borderId="0" xfId="0" applyNumberFormat="1" applyFont="1" applyFill="1" applyAlignment="1">
      <alignment vertical="top"/>
    </xf>
    <xf numFmtId="2" fontId="16" fillId="2" borderId="16" xfId="0" applyNumberFormat="1" applyFont="1" applyFill="1" applyBorder="1" applyAlignment="1">
      <alignment horizontal="center" vertical="center"/>
    </xf>
    <xf numFmtId="0" fontId="46" fillId="7" borderId="0" xfId="0" applyFont="1" applyFill="1" applyAlignment="1">
      <alignment horizontal="center" vertical="center"/>
    </xf>
    <xf numFmtId="0" fontId="1" fillId="7" borderId="0" xfId="0" applyFont="1" applyFill="1"/>
    <xf numFmtId="0" fontId="34" fillId="4" borderId="26" xfId="0" applyFont="1" applyFill="1" applyBorder="1" applyAlignment="1">
      <alignment horizontal="center" vertical="top"/>
    </xf>
    <xf numFmtId="0" fontId="49" fillId="4" borderId="27" xfId="0" applyFont="1" applyFill="1" applyBorder="1" applyAlignment="1">
      <alignment horizontal="center" vertical="top"/>
    </xf>
    <xf numFmtId="0" fontId="20" fillId="5" borderId="14" xfId="0" applyFont="1" applyFill="1" applyBorder="1" applyAlignment="1">
      <alignment horizontal="center" vertical="center"/>
    </xf>
    <xf numFmtId="0" fontId="20" fillId="5" borderId="11" xfId="0" applyFont="1" applyFill="1" applyBorder="1" applyAlignment="1">
      <alignment horizontal="center" vertical="center"/>
    </xf>
    <xf numFmtId="0" fontId="22" fillId="5" borderId="1" xfId="0" applyFont="1" applyFill="1" applyBorder="1" applyAlignment="1">
      <alignment horizontal="center"/>
    </xf>
    <xf numFmtId="0" fontId="22" fillId="5" borderId="2" xfId="0" applyFont="1" applyFill="1" applyBorder="1" applyAlignment="1">
      <alignment horizontal="center"/>
    </xf>
    <xf numFmtId="0" fontId="22" fillId="5" borderId="3" xfId="0" applyFont="1" applyFill="1" applyBorder="1" applyAlignment="1">
      <alignment horizontal="center"/>
    </xf>
    <xf numFmtId="0" fontId="20" fillId="5" borderId="4" xfId="0" applyFont="1" applyFill="1" applyBorder="1" applyAlignment="1">
      <alignment horizontal="center"/>
    </xf>
    <xf numFmtId="0" fontId="20" fillId="5" borderId="5" xfId="0" applyFont="1" applyFill="1" applyBorder="1" applyAlignment="1">
      <alignment horizontal="center"/>
    </xf>
    <xf numFmtId="0" fontId="20" fillId="5" borderId="6" xfId="0" applyFont="1" applyFill="1" applyBorder="1" applyAlignment="1">
      <alignment horizontal="center"/>
    </xf>
    <xf numFmtId="0" fontId="1" fillId="2" borderId="7" xfId="0" applyFont="1" applyFill="1" applyBorder="1" applyAlignment="1">
      <alignment horizontal="left" vertical="top" wrapText="1"/>
    </xf>
    <xf numFmtId="0" fontId="1" fillId="2" borderId="0" xfId="0" applyFont="1" applyFill="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6" fillId="2" borderId="0" xfId="0" applyFont="1" applyFill="1" applyAlignment="1">
      <alignment horizontal="left" vertical="center"/>
    </xf>
    <xf numFmtId="0" fontId="16" fillId="2" borderId="19" xfId="0" applyFont="1" applyFill="1" applyBorder="1" applyAlignment="1">
      <alignment horizontal="left" vertical="center"/>
    </xf>
    <xf numFmtId="0" fontId="10" fillId="2" borderId="16" xfId="0" applyFont="1" applyFill="1" applyBorder="1" applyAlignment="1">
      <alignment horizontal="center" vertical="top" wrapText="1"/>
    </xf>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2" fillId="0" borderId="9" xfId="0" applyFont="1" applyBorder="1" applyAlignment="1">
      <alignment horizontal="center" vertical="center"/>
    </xf>
    <xf numFmtId="0" fontId="2" fillId="0" borderId="11" xfId="0" applyFont="1" applyBorder="1" applyAlignment="1">
      <alignment horizontal="center" vertical="center"/>
    </xf>
    <xf numFmtId="0" fontId="1" fillId="2" borderId="16" xfId="0" applyFont="1" applyFill="1" applyBorder="1" applyAlignment="1">
      <alignment horizontal="center" vertical="center"/>
    </xf>
    <xf numFmtId="0" fontId="1" fillId="2" borderId="21" xfId="0" applyFont="1" applyFill="1" applyBorder="1" applyAlignment="1">
      <alignment horizontal="center" vertical="center"/>
    </xf>
    <xf numFmtId="0" fontId="16" fillId="2" borderId="22" xfId="0" applyFont="1" applyFill="1" applyBorder="1" applyAlignment="1">
      <alignment horizontal="center" vertical="center"/>
    </xf>
    <xf numFmtId="0" fontId="16" fillId="2" borderId="16" xfId="0" applyFont="1" applyFill="1" applyBorder="1" applyAlignment="1">
      <alignment horizontal="center" vertical="center"/>
    </xf>
    <xf numFmtId="0" fontId="1" fillId="2" borderId="16" xfId="0" applyFont="1" applyFill="1" applyBorder="1" applyAlignment="1">
      <alignment horizontal="center"/>
    </xf>
    <xf numFmtId="0" fontId="8" fillId="2" borderId="16" xfId="0" applyFont="1" applyFill="1" applyBorder="1" applyAlignment="1">
      <alignment horizontal="center" vertical="center"/>
    </xf>
    <xf numFmtId="0" fontId="34" fillId="4" borderId="24" xfId="0" applyFont="1" applyFill="1" applyBorder="1" applyAlignment="1">
      <alignment horizontal="left" vertical="center"/>
    </xf>
    <xf numFmtId="0" fontId="34" fillId="4" borderId="25" xfId="0" applyFont="1" applyFill="1" applyBorder="1" applyAlignment="1">
      <alignment horizontal="left" vertical="center"/>
    </xf>
    <xf numFmtId="0" fontId="10" fillId="2" borderId="26" xfId="0" applyFont="1" applyFill="1" applyBorder="1" applyAlignment="1">
      <alignment horizontal="center" vertical="top"/>
    </xf>
    <xf numFmtId="0" fontId="10" fillId="2" borderId="27" xfId="0" applyFont="1" applyFill="1" applyBorder="1" applyAlignment="1">
      <alignment horizontal="center" vertical="top"/>
    </xf>
    <xf numFmtId="0" fontId="10" fillId="2" borderId="0" xfId="0" applyFont="1" applyFill="1" applyAlignment="1">
      <alignment horizontal="right"/>
    </xf>
    <xf numFmtId="0" fontId="10" fillId="2" borderId="0" xfId="0" applyFont="1" applyFill="1" applyAlignment="1">
      <alignment horizontal="center" vertical="center"/>
    </xf>
    <xf numFmtId="0" fontId="16" fillId="2" borderId="0" xfId="0" applyFont="1" applyFill="1" applyAlignment="1">
      <alignment horizontal="center" vertical="center"/>
    </xf>
    <xf numFmtId="0" fontId="17"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17" fillId="3" borderId="17" xfId="0" applyFont="1" applyFill="1" applyBorder="1" applyAlignment="1">
      <alignment horizontal="center" vertical="center"/>
    </xf>
    <xf numFmtId="0" fontId="17" fillId="3" borderId="10" xfId="0" applyFont="1" applyFill="1" applyBorder="1" applyAlignment="1">
      <alignment horizontal="center" vertical="center"/>
    </xf>
    <xf numFmtId="0" fontId="22" fillId="8" borderId="7" xfId="0" applyFont="1" applyFill="1" applyBorder="1" applyAlignment="1">
      <alignment horizontal="center"/>
    </xf>
    <xf numFmtId="0" fontId="22" fillId="8" borderId="0" xfId="0" applyFont="1" applyFill="1" applyAlignment="1">
      <alignment horizontal="center"/>
    </xf>
    <xf numFmtId="0" fontId="20" fillId="8" borderId="7" xfId="0" applyFont="1" applyFill="1" applyBorder="1" applyAlignment="1">
      <alignment horizontal="center"/>
    </xf>
    <xf numFmtId="0" fontId="20" fillId="8" borderId="0" xfId="0" applyFont="1" applyFill="1" applyAlignment="1">
      <alignment horizontal="center"/>
    </xf>
    <xf numFmtId="0" fontId="19" fillId="4" borderId="2" xfId="0" applyFont="1" applyFill="1" applyBorder="1" applyAlignment="1">
      <alignment horizontal="center" vertical="center"/>
    </xf>
    <xf numFmtId="0" fontId="19" fillId="4" borderId="10" xfId="0" applyFont="1" applyFill="1" applyBorder="1" applyAlignment="1">
      <alignment horizontal="center" vertical="center"/>
    </xf>
    <xf numFmtId="0" fontId="19" fillId="4" borderId="3" xfId="0" applyFont="1" applyFill="1" applyBorder="1" applyAlignment="1">
      <alignment horizontal="center" vertical="center"/>
    </xf>
    <xf numFmtId="0" fontId="19" fillId="4" borderId="18" xfId="0" applyFont="1" applyFill="1" applyBorder="1" applyAlignment="1">
      <alignment horizontal="center" vertical="center"/>
    </xf>
    <xf numFmtId="0" fontId="34" fillId="4" borderId="16" xfId="0" applyFont="1" applyFill="1" applyBorder="1" applyAlignment="1">
      <alignment horizontal="center" vertical="center" wrapText="1"/>
    </xf>
    <xf numFmtId="0" fontId="10" fillId="2" borderId="5" xfId="0" applyFont="1" applyFill="1" applyBorder="1" applyAlignment="1">
      <alignment horizontal="center" vertical="center"/>
    </xf>
    <xf numFmtId="1" fontId="10" fillId="2" borderId="0" xfId="0" applyNumberFormat="1" applyFont="1" applyFill="1" applyAlignment="1">
      <alignment horizontal="center" vertical="center"/>
    </xf>
    <xf numFmtId="2" fontId="34" fillId="4" borderId="16" xfId="0" applyNumberFormat="1" applyFont="1" applyFill="1" applyBorder="1" applyAlignment="1">
      <alignment horizontal="center" vertical="center"/>
    </xf>
    <xf numFmtId="0" fontId="34" fillId="4" borderId="16" xfId="0" applyFont="1" applyFill="1" applyBorder="1" applyAlignment="1">
      <alignment horizontal="center" vertical="center"/>
    </xf>
    <xf numFmtId="0" fontId="34" fillId="4" borderId="16" xfId="0" applyFont="1" applyFill="1" applyBorder="1" applyAlignment="1">
      <alignment horizontal="center" vertical="top" wrapText="1"/>
    </xf>
    <xf numFmtId="0" fontId="22" fillId="3" borderId="0" xfId="0" applyFont="1" applyFill="1" applyAlignment="1">
      <alignment horizontal="center"/>
    </xf>
    <xf numFmtId="0" fontId="20" fillId="3" borderId="0" xfId="0" applyFont="1" applyFill="1" applyAlignment="1">
      <alignment horizontal="center"/>
    </xf>
    <xf numFmtId="0" fontId="34" fillId="4" borderId="16" xfId="0" applyFont="1" applyFill="1" applyBorder="1" applyAlignment="1">
      <alignment horizontal="center" vertical="top"/>
    </xf>
    <xf numFmtId="2" fontId="34" fillId="4" borderId="16" xfId="0" applyNumberFormat="1" applyFont="1" applyFill="1" applyBorder="1" applyAlignment="1">
      <alignment horizontal="center" vertical="center" wrapText="1"/>
    </xf>
    <xf numFmtId="0" fontId="34" fillId="4" borderId="21" xfId="0" applyFont="1" applyFill="1" applyBorder="1" applyAlignment="1">
      <alignment horizontal="center" vertical="center" wrapText="1"/>
    </xf>
    <xf numFmtId="0" fontId="39" fillId="4" borderId="16" xfId="0" applyFont="1" applyFill="1" applyBorder="1" applyAlignment="1">
      <alignment horizontal="center" vertical="center"/>
    </xf>
    <xf numFmtId="0" fontId="5" fillId="4" borderId="16" xfId="0" applyFont="1" applyFill="1" applyBorder="1" applyAlignment="1">
      <alignment horizontal="center" vertical="center"/>
    </xf>
    <xf numFmtId="0" fontId="42" fillId="4" borderId="16" xfId="0" applyFont="1" applyFill="1" applyBorder="1" applyAlignment="1">
      <alignment horizontal="center" vertical="center"/>
    </xf>
    <xf numFmtId="164" fontId="34" fillId="4" borderId="16" xfId="0" applyNumberFormat="1" applyFont="1" applyFill="1" applyBorder="1" applyAlignment="1">
      <alignment horizontal="center" vertical="center"/>
    </xf>
    <xf numFmtId="2" fontId="42" fillId="4" borderId="16" xfId="0" applyNumberFormat="1" applyFont="1" applyFill="1" applyBorder="1" applyAlignment="1">
      <alignment horizontal="center" vertical="center"/>
    </xf>
  </cellXfs>
  <cellStyles count="3">
    <cellStyle name="Normal" xfId="0" builtinId="0"/>
    <cellStyle name="Normal 6" xfId="1" xr:uid="{00000000-0005-0000-0000-000001000000}"/>
    <cellStyle name="Percent" xfId="2" builtinId="5"/>
  </cellStyles>
  <dxfs count="31">
    <dxf>
      <font>
        <color rgb="FF006100"/>
      </font>
      <fill>
        <patternFill>
          <bgColor theme="0"/>
        </patternFill>
      </fill>
    </dxf>
    <dxf>
      <font>
        <color rgb="FF006100"/>
      </font>
      <fill>
        <patternFill>
          <bgColor theme="0"/>
        </patternFill>
      </fill>
    </dxf>
    <dxf>
      <font>
        <color rgb="FF9C0006"/>
      </font>
      <fill>
        <patternFill>
          <bgColor rgb="FFFFC7CE"/>
        </patternFill>
      </fill>
    </dxf>
    <dxf>
      <font>
        <color rgb="FF9C0006"/>
      </font>
      <fill>
        <patternFill>
          <bgColor rgb="FFFFC7CE"/>
        </patternFill>
      </fill>
    </dxf>
    <dxf>
      <font>
        <color rgb="FF006100"/>
      </font>
      <fill>
        <patternFill>
          <bgColor theme="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theme="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0000CC"/>
      <color rgb="FF006100"/>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7</xdr:col>
      <xdr:colOff>249115</xdr:colOff>
      <xdr:row>12</xdr:row>
      <xdr:rowOff>70890</xdr:rowOff>
    </xdr:from>
    <xdr:to>
      <xdr:col>11</xdr:col>
      <xdr:colOff>468886</xdr:colOff>
      <xdr:row>23</xdr:row>
      <xdr:rowOff>187378</xdr:rowOff>
    </xdr:to>
    <xdr:pic>
      <xdr:nvPicPr>
        <xdr:cNvPr id="3" name="Picture 2">
          <a:extLst>
            <a:ext uri="{FF2B5EF4-FFF2-40B4-BE49-F238E27FC236}">
              <a16:creationId xmlns:a16="http://schemas.microsoft.com/office/drawing/2014/main" id="{C16F946F-B8CF-3B29-8F61-9C9CB7500B1D}"/>
            </a:ext>
          </a:extLst>
        </xdr:cNvPr>
        <xdr:cNvPicPr>
          <a:picLocks noChangeAspect="1"/>
        </xdr:cNvPicPr>
      </xdr:nvPicPr>
      <xdr:blipFill>
        <a:blip xmlns:r="http://schemas.openxmlformats.org/officeDocument/2006/relationships" r:embed="rId1"/>
        <a:stretch>
          <a:fillRect/>
        </a:stretch>
      </xdr:blipFill>
      <xdr:spPr>
        <a:xfrm>
          <a:off x="3487615" y="493303"/>
          <a:ext cx="2273858" cy="2220271"/>
        </a:xfrm>
        <a:prstGeom prst="rect">
          <a:avLst/>
        </a:prstGeom>
      </xdr:spPr>
    </xdr:pic>
    <xdr:clientData/>
  </xdr:twoCellAnchor>
  <xdr:twoCellAnchor editAs="oneCell">
    <xdr:from>
      <xdr:col>0</xdr:col>
      <xdr:colOff>240197</xdr:colOff>
      <xdr:row>72</xdr:row>
      <xdr:rowOff>164682</xdr:rowOff>
    </xdr:from>
    <xdr:to>
      <xdr:col>12</xdr:col>
      <xdr:colOff>231913</xdr:colOff>
      <xdr:row>86</xdr:row>
      <xdr:rowOff>99832</xdr:rowOff>
    </xdr:to>
    <xdr:pic>
      <xdr:nvPicPr>
        <xdr:cNvPr id="2" name="Picture 1">
          <a:extLst>
            <a:ext uri="{FF2B5EF4-FFF2-40B4-BE49-F238E27FC236}">
              <a16:creationId xmlns:a16="http://schemas.microsoft.com/office/drawing/2014/main" id="{EE275C2E-F1C5-01AB-4E89-9D18D242BD62}"/>
            </a:ext>
          </a:extLst>
        </xdr:cNvPr>
        <xdr:cNvPicPr>
          <a:picLocks noChangeAspect="1"/>
        </xdr:cNvPicPr>
      </xdr:nvPicPr>
      <xdr:blipFill>
        <a:blip xmlns:r="http://schemas.openxmlformats.org/officeDocument/2006/relationships" r:embed="rId2"/>
        <a:stretch>
          <a:fillRect/>
        </a:stretch>
      </xdr:blipFill>
      <xdr:spPr>
        <a:xfrm>
          <a:off x="240197" y="12033660"/>
          <a:ext cx="6452151" cy="2602150"/>
        </a:xfrm>
        <a:prstGeom prst="rect">
          <a:avLst/>
        </a:prstGeom>
      </xdr:spPr>
    </xdr:pic>
    <xdr:clientData/>
  </xdr:twoCellAnchor>
  <xdr:twoCellAnchor editAs="oneCell">
    <xdr:from>
      <xdr:col>0</xdr:col>
      <xdr:colOff>165653</xdr:colOff>
      <xdr:row>87</xdr:row>
      <xdr:rowOff>82826</xdr:rowOff>
    </xdr:from>
    <xdr:to>
      <xdr:col>12</xdr:col>
      <xdr:colOff>332199</xdr:colOff>
      <xdr:row>106</xdr:row>
      <xdr:rowOff>65715</xdr:rowOff>
    </xdr:to>
    <xdr:pic>
      <xdr:nvPicPr>
        <xdr:cNvPr id="4" name="Picture 3">
          <a:extLst>
            <a:ext uri="{FF2B5EF4-FFF2-40B4-BE49-F238E27FC236}">
              <a16:creationId xmlns:a16="http://schemas.microsoft.com/office/drawing/2014/main" id="{EC4D9584-C632-D33C-B775-DBF77EFE29E7}"/>
            </a:ext>
          </a:extLst>
        </xdr:cNvPr>
        <xdr:cNvPicPr>
          <a:picLocks noChangeAspect="1"/>
        </xdr:cNvPicPr>
      </xdr:nvPicPr>
      <xdr:blipFill>
        <a:blip xmlns:r="http://schemas.openxmlformats.org/officeDocument/2006/relationships" r:embed="rId3"/>
        <a:stretch>
          <a:fillRect/>
        </a:stretch>
      </xdr:blipFill>
      <xdr:spPr>
        <a:xfrm>
          <a:off x="165653" y="14809304"/>
          <a:ext cx="6626981" cy="36023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142875</xdr:colOff>
          <xdr:row>11</xdr:row>
          <xdr:rowOff>0</xdr:rowOff>
        </xdr:from>
        <xdr:to>
          <xdr:col>0</xdr:col>
          <xdr:colOff>733425</xdr:colOff>
          <xdr:row>12</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FF"/>
                  </a:solidFill>
                  <a:latin typeface="Calibri"/>
                  <a:ea typeface="Calibri"/>
                  <a:cs typeface="Calibri"/>
                </a:rPr>
                <a:t>Hide bảng chi tiết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13</xdr:row>
          <xdr:rowOff>85725</xdr:rowOff>
        </xdr:from>
        <xdr:to>
          <xdr:col>0</xdr:col>
          <xdr:colOff>752475</xdr:colOff>
          <xdr:row>14</xdr:row>
          <xdr:rowOff>180975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FF"/>
                  </a:solidFill>
                  <a:latin typeface="Calibri"/>
                  <a:ea typeface="Calibri"/>
                  <a:cs typeface="Calibri"/>
                </a:rPr>
                <a:t>Unhide bảng chi tiết</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image" Target="../media/image2.p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B1:N38"/>
  <sheetViews>
    <sheetView showGridLines="0" topLeftCell="A12" zoomScale="130" zoomScaleNormal="130" zoomScaleSheetLayoutView="100" workbookViewId="0">
      <selection activeCell="D28" sqref="D28"/>
    </sheetView>
  </sheetViews>
  <sheetFormatPr defaultColWidth="7.28515625" defaultRowHeight="12.75"/>
  <cols>
    <col min="1" max="1" width="7.28515625" style="1"/>
    <col min="2" max="2" width="6" style="1" customWidth="1"/>
    <col min="3" max="3" width="9.85546875" style="1" customWidth="1"/>
    <col min="4" max="16384" width="7.28515625" style="1"/>
  </cols>
  <sheetData>
    <row r="1" spans="2:14" ht="17.25">
      <c r="B1" s="167" t="s">
        <v>1</v>
      </c>
      <c r="C1" s="168"/>
      <c r="D1" s="168"/>
      <c r="E1" s="168"/>
      <c r="F1" s="168"/>
      <c r="G1" s="168"/>
      <c r="H1" s="168"/>
      <c r="I1" s="168"/>
      <c r="J1" s="168"/>
      <c r="K1" s="168"/>
      <c r="L1" s="168"/>
      <c r="M1" s="168"/>
      <c r="N1" s="169"/>
    </row>
    <row r="2" spans="2:14">
      <c r="B2" s="170" t="s">
        <v>0</v>
      </c>
      <c r="C2" s="171"/>
      <c r="D2" s="171"/>
      <c r="E2" s="171"/>
      <c r="F2" s="171"/>
      <c r="G2" s="171"/>
      <c r="H2" s="171"/>
      <c r="I2" s="171"/>
      <c r="J2" s="171"/>
      <c r="K2" s="171"/>
      <c r="L2" s="171"/>
      <c r="M2" s="171"/>
      <c r="N2" s="172"/>
    </row>
    <row r="3" spans="2:14" ht="12.75" customHeight="1">
      <c r="B3" s="173" t="s">
        <v>2</v>
      </c>
      <c r="C3" s="174"/>
      <c r="D3" s="174"/>
      <c r="E3" s="174"/>
      <c r="F3" s="174"/>
      <c r="G3" s="174"/>
      <c r="H3" s="174"/>
      <c r="I3" s="174"/>
      <c r="J3" s="174"/>
      <c r="K3" s="174"/>
      <c r="L3" s="174"/>
      <c r="M3" s="174"/>
      <c r="N3" s="175"/>
    </row>
    <row r="4" spans="2:14">
      <c r="B4" s="173"/>
      <c r="C4" s="174"/>
      <c r="D4" s="174"/>
      <c r="E4" s="174"/>
      <c r="F4" s="174"/>
      <c r="G4" s="174"/>
      <c r="H4" s="174"/>
      <c r="I4" s="174"/>
      <c r="J4" s="174"/>
      <c r="K4" s="174"/>
      <c r="L4" s="174"/>
      <c r="M4" s="174"/>
      <c r="N4" s="175"/>
    </row>
    <row r="5" spans="2:14">
      <c r="B5" s="173"/>
      <c r="C5" s="174"/>
      <c r="D5" s="174"/>
      <c r="E5" s="174"/>
      <c r="F5" s="174"/>
      <c r="G5" s="174"/>
      <c r="H5" s="174"/>
      <c r="I5" s="174"/>
      <c r="J5" s="174"/>
      <c r="K5" s="174"/>
      <c r="L5" s="174"/>
      <c r="M5" s="174"/>
      <c r="N5" s="175"/>
    </row>
    <row r="6" spans="2:14">
      <c r="B6" s="173"/>
      <c r="C6" s="174"/>
      <c r="D6" s="174"/>
      <c r="E6" s="174"/>
      <c r="F6" s="174"/>
      <c r="G6" s="174"/>
      <c r="H6" s="174"/>
      <c r="I6" s="174"/>
      <c r="J6" s="174"/>
      <c r="K6" s="174"/>
      <c r="L6" s="174"/>
      <c r="M6" s="174"/>
      <c r="N6" s="175"/>
    </row>
    <row r="7" spans="2:14">
      <c r="B7" s="173"/>
      <c r="C7" s="174"/>
      <c r="D7" s="174"/>
      <c r="E7" s="174"/>
      <c r="F7" s="174"/>
      <c r="G7" s="174"/>
      <c r="H7" s="174"/>
      <c r="I7" s="174"/>
      <c r="J7" s="174"/>
      <c r="K7" s="174"/>
      <c r="L7" s="174"/>
      <c r="M7" s="174"/>
      <c r="N7" s="175"/>
    </row>
    <row r="8" spans="2:14">
      <c r="B8" s="173"/>
      <c r="C8" s="174"/>
      <c r="D8" s="174"/>
      <c r="E8" s="174"/>
      <c r="F8" s="174"/>
      <c r="G8" s="174"/>
      <c r="H8" s="174"/>
      <c r="I8" s="174"/>
      <c r="J8" s="174"/>
      <c r="K8" s="174"/>
      <c r="L8" s="174"/>
      <c r="M8" s="174"/>
      <c r="N8" s="175"/>
    </row>
    <row r="9" spans="2:14">
      <c r="B9" s="173"/>
      <c r="C9" s="174"/>
      <c r="D9" s="174"/>
      <c r="E9" s="174"/>
      <c r="F9" s="174"/>
      <c r="G9" s="174"/>
      <c r="H9" s="174"/>
      <c r="I9" s="174"/>
      <c r="J9" s="174"/>
      <c r="K9" s="174"/>
      <c r="L9" s="174"/>
      <c r="M9" s="174"/>
      <c r="N9" s="175"/>
    </row>
    <row r="10" spans="2:14">
      <c r="B10" s="173"/>
      <c r="C10" s="174"/>
      <c r="D10" s="174"/>
      <c r="E10" s="174"/>
      <c r="F10" s="174"/>
      <c r="G10" s="174"/>
      <c r="H10" s="174"/>
      <c r="I10" s="174"/>
      <c r="J10" s="174"/>
      <c r="K10" s="174"/>
      <c r="L10" s="174"/>
      <c r="M10" s="174"/>
      <c r="N10" s="175"/>
    </row>
    <row r="11" spans="2:14">
      <c r="B11" s="173"/>
      <c r="C11" s="174"/>
      <c r="D11" s="174"/>
      <c r="E11" s="174"/>
      <c r="F11" s="174"/>
      <c r="G11" s="174"/>
      <c r="H11" s="174"/>
      <c r="I11" s="174"/>
      <c r="J11" s="174"/>
      <c r="K11" s="174"/>
      <c r="L11" s="174"/>
      <c r="M11" s="174"/>
      <c r="N11" s="175"/>
    </row>
    <row r="12" spans="2:14">
      <c r="B12" s="173"/>
      <c r="C12" s="174"/>
      <c r="D12" s="174"/>
      <c r="E12" s="174"/>
      <c r="F12" s="174"/>
      <c r="G12" s="174"/>
      <c r="H12" s="174"/>
      <c r="I12" s="174"/>
      <c r="J12" s="174"/>
      <c r="K12" s="174"/>
      <c r="L12" s="174"/>
      <c r="M12" s="174"/>
      <c r="N12" s="175"/>
    </row>
    <row r="13" spans="2:14">
      <c r="B13" s="173"/>
      <c r="C13" s="174"/>
      <c r="D13" s="174"/>
      <c r="E13" s="174"/>
      <c r="F13" s="174"/>
      <c r="G13" s="174"/>
      <c r="H13" s="174"/>
      <c r="I13" s="174"/>
      <c r="J13" s="174"/>
      <c r="K13" s="174"/>
      <c r="L13" s="174"/>
      <c r="M13" s="174"/>
      <c r="N13" s="175"/>
    </row>
    <row r="14" spans="2:14">
      <c r="B14" s="173"/>
      <c r="C14" s="174"/>
      <c r="D14" s="174"/>
      <c r="E14" s="174"/>
      <c r="F14" s="174"/>
      <c r="G14" s="174"/>
      <c r="H14" s="174"/>
      <c r="I14" s="174"/>
      <c r="J14" s="174"/>
      <c r="K14" s="174"/>
      <c r="L14" s="174"/>
      <c r="M14" s="174"/>
      <c r="N14" s="175"/>
    </row>
    <row r="15" spans="2:14">
      <c r="B15" s="173"/>
      <c r="C15" s="174"/>
      <c r="D15" s="174"/>
      <c r="E15" s="174"/>
      <c r="F15" s="174"/>
      <c r="G15" s="174"/>
      <c r="H15" s="174"/>
      <c r="I15" s="174"/>
      <c r="J15" s="174"/>
      <c r="K15" s="174"/>
      <c r="L15" s="174"/>
      <c r="M15" s="174"/>
      <c r="N15" s="175"/>
    </row>
    <row r="16" spans="2:14">
      <c r="B16" s="176"/>
      <c r="C16" s="177"/>
      <c r="D16" s="177"/>
      <c r="E16" s="177"/>
      <c r="F16" s="177"/>
      <c r="G16" s="177"/>
      <c r="H16" s="177"/>
      <c r="I16" s="177"/>
      <c r="J16" s="177"/>
      <c r="K16" s="177"/>
      <c r="L16" s="177"/>
      <c r="M16" s="177"/>
      <c r="N16" s="178"/>
    </row>
    <row r="18" spans="3:6" ht="14.25">
      <c r="C18" s="165" t="s">
        <v>8</v>
      </c>
      <c r="D18" s="20" t="s">
        <v>24</v>
      </c>
      <c r="E18" s="20" t="s">
        <v>83</v>
      </c>
      <c r="F18" s="20" t="s">
        <v>84</v>
      </c>
    </row>
    <row r="19" spans="3:6">
      <c r="C19" s="166"/>
      <c r="D19" s="20" t="s">
        <v>25</v>
      </c>
      <c r="E19" s="20" t="s">
        <v>25</v>
      </c>
      <c r="F19" s="20" t="s">
        <v>25</v>
      </c>
    </row>
    <row r="20" spans="3:6">
      <c r="C20" s="34" t="s">
        <v>112</v>
      </c>
      <c r="D20" s="5">
        <f>2.06*10^5</f>
        <v>206000</v>
      </c>
      <c r="E20" s="5">
        <v>235</v>
      </c>
      <c r="F20" s="5">
        <v>370</v>
      </c>
    </row>
    <row r="21" spans="3:6">
      <c r="C21" s="34" t="s">
        <v>113</v>
      </c>
      <c r="D21" s="5">
        <f>2.06*10^5</f>
        <v>206000</v>
      </c>
      <c r="E21" s="5">
        <v>345</v>
      </c>
      <c r="F21" s="5">
        <v>510</v>
      </c>
    </row>
    <row r="22" spans="3:6">
      <c r="C22" s="34" t="s">
        <v>115</v>
      </c>
      <c r="D22" s="5">
        <f t="shared" ref="D22:D38" si="0">2.06*10^5</f>
        <v>206000</v>
      </c>
      <c r="E22" s="5">
        <v>250</v>
      </c>
      <c r="F22" s="5">
        <v>400</v>
      </c>
    </row>
    <row r="23" spans="3:6">
      <c r="C23" s="34" t="s">
        <v>114</v>
      </c>
      <c r="D23" s="5">
        <f t="shared" si="0"/>
        <v>206000</v>
      </c>
      <c r="E23" s="5">
        <v>345</v>
      </c>
      <c r="F23" s="5">
        <v>450</v>
      </c>
    </row>
    <row r="24" spans="3:6">
      <c r="C24" s="34" t="s">
        <v>10</v>
      </c>
      <c r="D24" s="5">
        <f t="shared" si="0"/>
        <v>206000</v>
      </c>
      <c r="E24" s="5">
        <v>235</v>
      </c>
      <c r="F24" s="5">
        <v>360</v>
      </c>
    </row>
    <row r="25" spans="3:6">
      <c r="C25" s="34" t="s">
        <v>9</v>
      </c>
      <c r="D25" s="5">
        <f t="shared" si="0"/>
        <v>206000</v>
      </c>
      <c r="E25" s="5">
        <v>225</v>
      </c>
      <c r="F25" s="5">
        <v>360</v>
      </c>
    </row>
    <row r="26" spans="3:6">
      <c r="C26" s="34" t="s">
        <v>11</v>
      </c>
      <c r="D26" s="5">
        <f t="shared" si="0"/>
        <v>206000</v>
      </c>
      <c r="E26" s="5">
        <v>215</v>
      </c>
      <c r="F26" s="5">
        <v>360</v>
      </c>
    </row>
    <row r="27" spans="3:6">
      <c r="C27" s="34" t="s">
        <v>12</v>
      </c>
      <c r="D27" s="5">
        <f t="shared" si="0"/>
        <v>206000</v>
      </c>
      <c r="E27" s="5">
        <v>215</v>
      </c>
      <c r="F27" s="5">
        <v>360</v>
      </c>
    </row>
    <row r="28" spans="3:6">
      <c r="C28" s="34" t="s">
        <v>13</v>
      </c>
      <c r="D28" s="5">
        <f t="shared" si="0"/>
        <v>206000</v>
      </c>
      <c r="E28" s="5">
        <v>215</v>
      </c>
      <c r="F28" s="5">
        <v>360</v>
      </c>
    </row>
    <row r="29" spans="3:6">
      <c r="C29" s="34" t="s">
        <v>14</v>
      </c>
      <c r="D29" s="5">
        <f t="shared" si="0"/>
        <v>206000</v>
      </c>
      <c r="E29" s="5">
        <v>275</v>
      </c>
      <c r="F29" s="5">
        <v>410</v>
      </c>
    </row>
    <row r="30" spans="3:6">
      <c r="C30" s="34" t="s">
        <v>15</v>
      </c>
      <c r="D30" s="5">
        <f t="shared" si="0"/>
        <v>206000</v>
      </c>
      <c r="E30" s="5">
        <v>265</v>
      </c>
      <c r="F30" s="5">
        <v>410</v>
      </c>
    </row>
    <row r="31" spans="3:6">
      <c r="C31" s="34" t="s">
        <v>16</v>
      </c>
      <c r="D31" s="5">
        <f t="shared" si="0"/>
        <v>206000</v>
      </c>
      <c r="E31" s="5">
        <v>255</v>
      </c>
      <c r="F31" s="5">
        <v>410</v>
      </c>
    </row>
    <row r="32" spans="3:6">
      <c r="C32" s="34" t="s">
        <v>17</v>
      </c>
      <c r="D32" s="5">
        <f t="shared" si="0"/>
        <v>206000</v>
      </c>
      <c r="E32" s="5">
        <v>245</v>
      </c>
      <c r="F32" s="5">
        <v>410</v>
      </c>
    </row>
    <row r="33" spans="3:6">
      <c r="C33" s="34" t="s">
        <v>18</v>
      </c>
      <c r="D33" s="5">
        <f t="shared" si="0"/>
        <v>206000</v>
      </c>
      <c r="E33" s="5">
        <v>235</v>
      </c>
      <c r="F33" s="5">
        <v>410</v>
      </c>
    </row>
    <row r="34" spans="3:6">
      <c r="C34" s="34" t="s">
        <v>19</v>
      </c>
      <c r="D34" s="5">
        <f t="shared" si="0"/>
        <v>206000</v>
      </c>
      <c r="E34" s="5">
        <v>355</v>
      </c>
      <c r="F34" s="5">
        <v>470</v>
      </c>
    </row>
    <row r="35" spans="3:6">
      <c r="C35" s="34" t="s">
        <v>20</v>
      </c>
      <c r="D35" s="5">
        <f t="shared" si="0"/>
        <v>206000</v>
      </c>
      <c r="E35" s="5">
        <v>345</v>
      </c>
      <c r="F35" s="5">
        <v>470</v>
      </c>
    </row>
    <row r="36" spans="3:6">
      <c r="C36" s="34" t="s">
        <v>21</v>
      </c>
      <c r="D36" s="5">
        <f t="shared" si="0"/>
        <v>206000</v>
      </c>
      <c r="E36" s="5">
        <v>335</v>
      </c>
      <c r="F36" s="5">
        <v>470</v>
      </c>
    </row>
    <row r="37" spans="3:6">
      <c r="C37" s="34" t="s">
        <v>22</v>
      </c>
      <c r="D37" s="5">
        <f t="shared" si="0"/>
        <v>206000</v>
      </c>
      <c r="E37" s="5">
        <v>325</v>
      </c>
      <c r="F37" s="5">
        <v>470</v>
      </c>
    </row>
    <row r="38" spans="3:6">
      <c r="C38" s="34" t="s">
        <v>23</v>
      </c>
      <c r="D38" s="5">
        <f t="shared" si="0"/>
        <v>206000</v>
      </c>
      <c r="E38" s="5">
        <v>315</v>
      </c>
      <c r="F38" s="5">
        <v>470</v>
      </c>
    </row>
  </sheetData>
  <mergeCells count="4">
    <mergeCell ref="C18:C19"/>
    <mergeCell ref="B1:N1"/>
    <mergeCell ref="B2:N2"/>
    <mergeCell ref="B3:N16"/>
  </mergeCells>
  <pageMargins left="0.59055118110236227" right="0.31496062992125984" top="0.59055118110236227" bottom="0.59055118110236227" header="0.31496062992125984" footer="0.31496062992125984"/>
  <pageSetup orientation="portrait" r:id="rId1"/>
  <picture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C00000"/>
  </sheetPr>
  <dimension ref="A1:EY80"/>
  <sheetViews>
    <sheetView showGridLines="0" tabSelected="1" topLeftCell="A11" zoomScale="145" zoomScaleNormal="145" zoomScaleSheetLayoutView="100" workbookViewId="0">
      <selection activeCell="AB13" sqref="AB13"/>
    </sheetView>
  </sheetViews>
  <sheetFormatPr defaultColWidth="7.28515625" defaultRowHeight="15"/>
  <cols>
    <col min="1" max="1" width="13.85546875" style="1" customWidth="1"/>
    <col min="2" max="7" width="7.28515625" style="1"/>
    <col min="8" max="11" width="7.7109375" style="1" customWidth="1"/>
    <col min="12" max="12" width="8.140625" style="1" customWidth="1"/>
    <col min="13" max="14" width="7.7109375" style="1" customWidth="1"/>
    <col min="15" max="25" width="7.28515625" style="1" hidden="1" customWidth="1"/>
    <col min="26" max="26" width="2.42578125" style="129" customWidth="1"/>
    <col min="27" max="27" width="17.7109375" style="22" customWidth="1"/>
    <col min="28" max="28" width="5.42578125" style="27" customWidth="1"/>
    <col min="29" max="30" width="5.42578125" style="156" customWidth="1"/>
    <col min="31" max="33" width="5.42578125" style="27" customWidth="1"/>
    <col min="34" max="38" width="5.42578125" style="8" customWidth="1"/>
    <col min="39" max="39" width="5.42578125" style="7" customWidth="1"/>
    <col min="40" max="40" width="5.42578125" style="22" customWidth="1"/>
    <col min="41" max="41" width="8.42578125" style="22" customWidth="1"/>
    <col min="42" max="44" width="5.42578125" style="22" customWidth="1"/>
    <col min="45" max="45" width="6" style="22" customWidth="1"/>
    <col min="46" max="46" width="7.7109375" style="27" customWidth="1"/>
    <col min="47" max="51" width="5.42578125" style="28" customWidth="1"/>
    <col min="52" max="53" width="6" style="28" customWidth="1"/>
    <col min="54" max="55" width="6" style="29" customWidth="1"/>
    <col min="56" max="56" width="5.42578125" style="30" customWidth="1"/>
    <col min="57" max="57" width="5.42578125" style="31" customWidth="1"/>
    <col min="58" max="58" width="5.42578125" style="36" customWidth="1"/>
    <col min="59" max="59" width="5.42578125" style="37" customWidth="1"/>
    <col min="60" max="60" width="5.42578125" style="36" customWidth="1"/>
    <col min="61" max="61" width="5.42578125" style="37" customWidth="1"/>
    <col min="62" max="62" width="5.42578125" style="38" customWidth="1"/>
    <col min="63" max="63" width="5.42578125" style="7" customWidth="1"/>
    <col min="64" max="64" width="5.42578125" style="117" customWidth="1"/>
    <col min="65" max="65" width="5.42578125" style="125" customWidth="1"/>
    <col min="66" max="66" width="5.42578125" style="120" customWidth="1"/>
    <col min="67" max="70" width="5.42578125" style="1" customWidth="1"/>
    <col min="71" max="71" width="7.140625" style="1" customWidth="1"/>
    <col min="72" max="72" width="5.42578125" style="1" customWidth="1"/>
    <col min="73" max="73" width="5.42578125" style="4" customWidth="1"/>
    <col min="74" max="74" width="7.28515625" style="4" customWidth="1"/>
    <col min="75" max="75" width="9.140625" style="4" customWidth="1"/>
    <col min="76" max="77" width="7.28515625" style="4" customWidth="1"/>
    <col min="78" max="98" width="7.28515625" style="1" hidden="1" customWidth="1"/>
    <col min="99" max="99" width="3.85546875" style="129" hidden="1" customWidth="1"/>
    <col min="100" max="103" width="7.28515625" style="1" hidden="1" customWidth="1"/>
    <col min="104" max="104" width="7.28515625" hidden="1" customWidth="1"/>
    <col min="105" max="105" width="19.7109375" style="36" bestFit="1" customWidth="1"/>
    <col min="106" max="106" width="5.42578125" style="36" customWidth="1"/>
    <col min="107" max="108" width="5.42578125" style="37" customWidth="1"/>
    <col min="109" max="110" width="5.28515625" style="30" customWidth="1"/>
    <col min="111" max="111" width="5.28515625" style="148" customWidth="1"/>
    <col min="112" max="117" width="5.28515625" style="30" customWidth="1"/>
    <col min="118" max="118" width="5.42578125" style="36" hidden="1" customWidth="1"/>
    <col min="119" max="119" width="8.42578125" style="36" hidden="1" customWidth="1"/>
    <col min="120" max="122" width="5.42578125" style="36" hidden="1" customWidth="1"/>
    <col min="123" max="123" width="6" style="36" hidden="1" customWidth="1"/>
    <col min="124" max="124" width="7.7109375" style="36" customWidth="1"/>
    <col min="125" max="125" width="5.42578125" style="82" customWidth="1"/>
    <col min="126" max="126" width="6" style="82" bestFit="1" customWidth="1"/>
    <col min="127" max="127" width="5.42578125" style="82" customWidth="1"/>
    <col min="128" max="128" width="5.42578125" style="82" hidden="1" customWidth="1"/>
    <col min="129" max="129" width="5.42578125" style="82" customWidth="1"/>
    <col min="130" max="130" width="6" style="82" bestFit="1" customWidth="1"/>
    <col min="131" max="131" width="6" style="82" hidden="1" customWidth="1"/>
    <col min="132" max="133" width="6" style="29" hidden="1" customWidth="1"/>
    <col min="134" max="134" width="5.42578125" style="148" customWidth="1" collapsed="1"/>
    <col min="135" max="135" width="5.42578125" style="31" customWidth="1"/>
    <col min="136" max="136" width="5.42578125" style="148" customWidth="1"/>
    <col min="137" max="137" width="5.42578125" style="31" customWidth="1"/>
    <col min="138" max="138" width="5.42578125" style="148" customWidth="1"/>
    <col min="139" max="140" width="5.42578125" style="31" customWidth="1"/>
    <col min="141" max="141" width="5.42578125" style="126" customWidth="1"/>
    <col min="142" max="142" width="0" style="22" hidden="1" customWidth="1"/>
    <col min="143" max="143" width="5.5703125" style="18" customWidth="1"/>
    <col min="144" max="144" width="5.5703125" style="142" customWidth="1"/>
    <col min="145" max="145" width="5.42578125" style="7" customWidth="1"/>
    <col min="146" max="146" width="0" style="22" hidden="1" customWidth="1"/>
    <col min="147" max="147" width="1" style="22" hidden="1" customWidth="1"/>
    <col min="148" max="148" width="6" style="32" bestFit="1" customWidth="1"/>
    <col min="149" max="149" width="7.140625" style="32" bestFit="1" customWidth="1"/>
    <col min="150" max="150" width="5.42578125" style="22" customWidth="1"/>
    <col min="151" max="151" width="6" style="142" customWidth="1"/>
    <col min="152" max="152" width="7.28515625" style="7"/>
    <col min="153" max="153" width="9.140625" style="7" bestFit="1" customWidth="1"/>
    <col min="154" max="154" width="7.28515625" style="7"/>
    <col min="155" max="155" width="7.28515625" style="7" customWidth="1"/>
    <col min="156" max="16384" width="7.28515625" style="1"/>
  </cols>
  <sheetData>
    <row r="1" spans="1:155" hidden="1">
      <c r="AA1" s="120"/>
      <c r="AB1" s="120"/>
      <c r="AC1" s="120"/>
      <c r="AD1" s="120"/>
      <c r="AE1" s="120"/>
      <c r="AF1" s="120"/>
      <c r="AG1" s="120"/>
      <c r="AH1" s="120"/>
      <c r="AI1" s="120"/>
      <c r="AJ1" s="120"/>
      <c r="AK1" s="120"/>
      <c r="AL1" s="120"/>
      <c r="AM1" s="120"/>
      <c r="AN1" s="120"/>
      <c r="AO1" s="120"/>
      <c r="AP1" s="120"/>
      <c r="AQ1" s="120"/>
      <c r="AR1" s="120"/>
      <c r="AS1" s="120"/>
      <c r="AT1" s="120"/>
      <c r="AU1" s="120"/>
      <c r="AV1" s="120"/>
      <c r="AW1" s="120"/>
      <c r="AX1" s="120"/>
      <c r="AY1" s="120"/>
      <c r="AZ1" s="120"/>
      <c r="BA1" s="120"/>
      <c r="BB1" s="120"/>
      <c r="BC1" s="120"/>
      <c r="BD1" s="120"/>
      <c r="BE1" s="120"/>
      <c r="BF1" s="120"/>
      <c r="BG1" s="120"/>
      <c r="BH1" s="120"/>
      <c r="BI1" s="120"/>
      <c r="BJ1" s="120"/>
      <c r="BK1" s="120"/>
    </row>
    <row r="2" spans="1:155" hidden="1">
      <c r="AA2" s="120"/>
      <c r="AB2" s="120"/>
      <c r="AC2" s="120"/>
      <c r="AD2" s="120"/>
      <c r="AE2" s="120"/>
      <c r="AF2" s="120"/>
      <c r="AG2" s="120"/>
      <c r="AH2" s="120"/>
      <c r="AI2" s="120"/>
      <c r="AJ2" s="120"/>
      <c r="AK2" s="120"/>
      <c r="AL2" s="120"/>
      <c r="AM2" s="120"/>
      <c r="AN2" s="120"/>
      <c r="AO2" s="120"/>
      <c r="AP2" s="120"/>
      <c r="AQ2" s="120"/>
      <c r="AR2" s="120"/>
      <c r="AS2" s="120"/>
      <c r="AT2" s="120"/>
      <c r="AU2" s="120"/>
      <c r="AV2" s="120"/>
      <c r="AW2" s="120"/>
      <c r="AX2" s="120"/>
      <c r="AY2" s="120"/>
      <c r="AZ2" s="120"/>
      <c r="BA2" s="120"/>
      <c r="BB2" s="120"/>
      <c r="BC2" s="120"/>
      <c r="BD2" s="120"/>
      <c r="BE2" s="120"/>
      <c r="BF2" s="120"/>
      <c r="BG2" s="120"/>
      <c r="BH2" s="120"/>
      <c r="BI2" s="120"/>
      <c r="BJ2" s="120"/>
      <c r="BK2" s="120"/>
    </row>
    <row r="3" spans="1:155" hidden="1">
      <c r="AA3" s="120"/>
      <c r="AB3" s="120"/>
      <c r="AC3" s="120"/>
      <c r="AD3" s="120"/>
      <c r="AE3" s="120"/>
      <c r="AF3" s="120"/>
      <c r="AG3" s="120"/>
      <c r="AH3" s="120"/>
      <c r="AI3" s="120"/>
      <c r="AJ3" s="120"/>
      <c r="AK3" s="120"/>
      <c r="AL3" s="120"/>
      <c r="AM3" s="120"/>
      <c r="AN3" s="120"/>
      <c r="AO3" s="120"/>
      <c r="AP3" s="120"/>
      <c r="AQ3" s="120"/>
      <c r="AR3" s="120"/>
      <c r="AS3" s="120"/>
      <c r="AT3" s="120"/>
      <c r="AU3" s="120"/>
      <c r="AV3" s="120"/>
      <c r="AW3" s="120"/>
      <c r="AX3" s="120"/>
      <c r="AY3" s="120"/>
      <c r="AZ3" s="120"/>
      <c r="BA3" s="120"/>
      <c r="BB3" s="120"/>
      <c r="BC3" s="120"/>
      <c r="BD3" s="120"/>
      <c r="BE3" s="120"/>
      <c r="BF3" s="120"/>
      <c r="BG3" s="120"/>
      <c r="BH3" s="120"/>
      <c r="BI3" s="120"/>
      <c r="BJ3" s="120"/>
      <c r="BK3" s="120"/>
    </row>
    <row r="4" spans="1:155" hidden="1">
      <c r="AA4" s="120"/>
      <c r="AB4" s="120"/>
      <c r="AC4" s="120"/>
      <c r="AD4" s="120"/>
      <c r="AE4" s="120"/>
      <c r="AF4" s="120"/>
      <c r="AG4" s="120"/>
      <c r="AH4" s="120"/>
      <c r="AI4" s="120"/>
      <c r="AJ4" s="120"/>
      <c r="AK4" s="120"/>
      <c r="AL4" s="120"/>
      <c r="AM4" s="120"/>
      <c r="AN4" s="120"/>
      <c r="AO4" s="120"/>
      <c r="AP4" s="120"/>
      <c r="AQ4" s="120"/>
      <c r="AR4" s="120"/>
      <c r="AS4" s="120"/>
      <c r="AT4" s="120"/>
      <c r="AU4" s="120"/>
      <c r="AV4" s="120"/>
      <c r="AW4" s="120"/>
      <c r="AX4" s="120"/>
      <c r="AY4" s="120"/>
      <c r="AZ4" s="120"/>
      <c r="BA4" s="120"/>
      <c r="BB4" s="120"/>
      <c r="BC4" s="120"/>
      <c r="BD4" s="120"/>
      <c r="BE4" s="120"/>
      <c r="BF4" s="120"/>
      <c r="BG4" s="120"/>
      <c r="BH4" s="120"/>
      <c r="BI4" s="120"/>
      <c r="BJ4" s="120"/>
      <c r="BK4" s="120"/>
    </row>
    <row r="5" spans="1:155" hidden="1">
      <c r="AA5" s="120"/>
      <c r="AB5" s="120"/>
      <c r="AC5" s="120"/>
      <c r="AD5" s="120"/>
      <c r="AE5" s="120"/>
      <c r="AF5" s="120"/>
      <c r="AG5" s="120"/>
      <c r="AH5" s="120"/>
      <c r="AI5" s="120"/>
      <c r="AJ5" s="120"/>
      <c r="AK5" s="120"/>
      <c r="AL5" s="120"/>
      <c r="AM5" s="120"/>
      <c r="AN5" s="120"/>
      <c r="AO5" s="120"/>
      <c r="AP5" s="120"/>
      <c r="AQ5" s="120"/>
      <c r="AR5" s="120"/>
      <c r="AS5" s="120"/>
      <c r="AT5" s="120"/>
      <c r="AU5" s="120"/>
      <c r="AV5" s="120"/>
      <c r="AW5" s="120"/>
      <c r="AX5" s="120"/>
      <c r="AY5" s="120"/>
      <c r="AZ5" s="120"/>
      <c r="BA5" s="120"/>
      <c r="BB5" s="120"/>
      <c r="BC5" s="120"/>
      <c r="BD5" s="120"/>
      <c r="BE5" s="120"/>
      <c r="BF5" s="120"/>
      <c r="BG5" s="120"/>
      <c r="BH5" s="120"/>
      <c r="BI5" s="120"/>
      <c r="BJ5" s="120"/>
      <c r="BK5" s="120"/>
    </row>
    <row r="6" spans="1:155" hidden="1">
      <c r="AA6" s="120"/>
      <c r="AB6" s="120"/>
      <c r="AC6" s="120"/>
      <c r="AD6" s="120"/>
      <c r="AE6" s="120"/>
      <c r="AF6" s="120"/>
      <c r="AG6" s="120"/>
      <c r="AH6" s="120"/>
      <c r="AI6" s="120"/>
      <c r="AJ6" s="120"/>
      <c r="AK6" s="120"/>
      <c r="AL6" s="120"/>
      <c r="AM6" s="120"/>
      <c r="AN6" s="120"/>
      <c r="AO6" s="120"/>
      <c r="AP6" s="120"/>
      <c r="AQ6" s="120"/>
      <c r="AR6" s="120"/>
      <c r="AS6" s="120"/>
      <c r="AT6" s="120"/>
      <c r="AU6" s="120"/>
      <c r="AV6" s="120"/>
      <c r="AW6" s="120"/>
      <c r="AX6" s="120"/>
      <c r="AY6" s="120"/>
      <c r="AZ6" s="120"/>
      <c r="BA6" s="120"/>
      <c r="BB6" s="120"/>
      <c r="BC6" s="120"/>
      <c r="BD6" s="120"/>
      <c r="BE6" s="120"/>
      <c r="BF6" s="120"/>
      <c r="BG6" s="120"/>
      <c r="BH6" s="120"/>
      <c r="BI6" s="120"/>
      <c r="BJ6" s="120"/>
      <c r="BK6" s="120"/>
    </row>
    <row r="7" spans="1:155" hidden="1">
      <c r="AA7" s="120"/>
      <c r="AB7" s="120"/>
      <c r="AC7" s="120"/>
      <c r="AD7" s="120"/>
      <c r="AE7" s="120"/>
      <c r="AF7" s="120"/>
      <c r="AG7" s="120"/>
      <c r="AH7" s="120"/>
      <c r="AI7" s="120"/>
      <c r="AJ7" s="120"/>
      <c r="AK7" s="120"/>
      <c r="AL7" s="120"/>
      <c r="AM7" s="120"/>
      <c r="AN7" s="120"/>
      <c r="AO7" s="120"/>
      <c r="AP7" s="120"/>
      <c r="AQ7" s="120"/>
      <c r="AR7" s="120"/>
      <c r="AS7" s="120"/>
      <c r="AT7" s="120"/>
      <c r="AU7" s="120"/>
      <c r="AV7" s="120"/>
      <c r="AW7" s="120"/>
      <c r="AX7" s="120"/>
      <c r="AY7" s="120"/>
      <c r="AZ7" s="120"/>
      <c r="BA7" s="120"/>
      <c r="BB7" s="120"/>
      <c r="BC7" s="120"/>
      <c r="BD7" s="120"/>
      <c r="BE7" s="120"/>
      <c r="BF7" s="120"/>
      <c r="BG7" s="120"/>
      <c r="BH7" s="120"/>
      <c r="BI7" s="120"/>
      <c r="BJ7" s="120"/>
      <c r="BK7" s="120"/>
    </row>
    <row r="8" spans="1:155" hidden="1">
      <c r="AA8" s="120"/>
      <c r="AB8" s="120"/>
      <c r="AC8" s="120"/>
      <c r="AD8" s="120"/>
      <c r="AE8" s="120"/>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row>
    <row r="9" spans="1:155" hidden="1">
      <c r="AA9" s="120"/>
      <c r="AB9" s="120"/>
      <c r="AC9" s="120"/>
      <c r="AD9" s="120"/>
      <c r="AE9" s="120"/>
      <c r="AF9" s="120"/>
      <c r="AG9" s="120"/>
      <c r="AH9" s="120"/>
      <c r="AI9" s="120"/>
      <c r="AJ9" s="120"/>
      <c r="AK9" s="120"/>
      <c r="AL9" s="120"/>
      <c r="AM9" s="120"/>
      <c r="AN9" s="120"/>
      <c r="AO9" s="120"/>
      <c r="AP9" s="120"/>
      <c r="AQ9" s="120"/>
      <c r="AR9" s="120"/>
      <c r="AS9" s="120"/>
      <c r="AT9" s="120"/>
      <c r="AU9" s="120"/>
      <c r="AV9" s="120"/>
      <c r="AW9" s="120"/>
      <c r="AX9" s="120"/>
      <c r="AY9" s="120"/>
      <c r="AZ9" s="120"/>
      <c r="BA9" s="120"/>
      <c r="BB9" s="120"/>
      <c r="BC9" s="120"/>
      <c r="BD9" s="120"/>
      <c r="BE9" s="120"/>
      <c r="BF9" s="120"/>
      <c r="BG9" s="120"/>
      <c r="BH9" s="120"/>
      <c r="BI9" s="120"/>
      <c r="BJ9" s="120"/>
      <c r="BK9" s="120"/>
    </row>
    <row r="10" spans="1:155" hidden="1">
      <c r="AA10" s="120"/>
      <c r="AB10" s="120"/>
      <c r="AC10" s="120"/>
      <c r="AD10" s="120"/>
      <c r="AE10" s="120"/>
      <c r="AF10" s="120"/>
      <c r="AG10" s="120"/>
      <c r="AH10" s="120"/>
      <c r="AI10" s="120"/>
      <c r="AJ10" s="120"/>
      <c r="AK10" s="120"/>
      <c r="AL10" s="120"/>
      <c r="AM10" s="120"/>
      <c r="AN10" s="120"/>
      <c r="AO10" s="120"/>
      <c r="AP10" s="120"/>
      <c r="AQ10" s="120"/>
      <c r="AR10" s="120"/>
      <c r="AS10" s="120"/>
      <c r="AT10" s="120"/>
      <c r="AU10" s="120"/>
      <c r="AV10" s="120"/>
      <c r="AW10" s="120"/>
      <c r="AX10" s="120"/>
      <c r="AY10" s="120"/>
      <c r="AZ10" s="120"/>
      <c r="BA10" s="120"/>
      <c r="BB10" s="120"/>
      <c r="BC10" s="120"/>
      <c r="BD10" s="120"/>
      <c r="BE10" s="120"/>
      <c r="BF10" s="120"/>
      <c r="BG10" s="120"/>
      <c r="BH10" s="120"/>
      <c r="BI10" s="120"/>
      <c r="BJ10" s="120"/>
      <c r="BK10" s="120"/>
    </row>
    <row r="11" spans="1:155" ht="20.25" customHeight="1">
      <c r="A11" s="161" t="s">
        <v>213</v>
      </c>
      <c r="B11" s="199" t="s">
        <v>117</v>
      </c>
      <c r="C11" s="200"/>
      <c r="D11" s="200"/>
      <c r="E11" s="200"/>
      <c r="F11" s="200"/>
      <c r="G11" s="200"/>
      <c r="H11" s="200"/>
      <c r="I11" s="200"/>
      <c r="J11" s="200"/>
      <c r="K11" s="207" t="s">
        <v>81</v>
      </c>
      <c r="L11" s="207" t="s">
        <v>208</v>
      </c>
      <c r="M11" s="207"/>
      <c r="N11" s="209"/>
      <c r="O11" s="2"/>
      <c r="Z11" s="158">
        <f>MAX(COUNTA(AB:AB)+21,23)</f>
        <v>23</v>
      </c>
      <c r="AA11" s="203" t="s">
        <v>175</v>
      </c>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204"/>
      <c r="BJ11" s="204"/>
      <c r="BK11" s="204"/>
      <c r="BL11" s="204"/>
      <c r="BM11" s="204"/>
      <c r="BN11" s="204"/>
      <c r="BO11" s="204"/>
      <c r="BP11" s="204"/>
      <c r="BQ11" s="204"/>
      <c r="BR11" s="204"/>
      <c r="BS11" s="204"/>
      <c r="BT11" s="204"/>
      <c r="BU11" s="204"/>
      <c r="BV11" s="204"/>
      <c r="BW11" s="204"/>
      <c r="BX11" s="204"/>
      <c r="BY11" s="204"/>
      <c r="DA11" s="217" t="s">
        <v>99</v>
      </c>
      <c r="DB11" s="217"/>
      <c r="DC11" s="217"/>
      <c r="DD11" s="217"/>
      <c r="DE11" s="217"/>
      <c r="DF11" s="217"/>
      <c r="DG11" s="217"/>
      <c r="DH11" s="217"/>
      <c r="DI11" s="217"/>
      <c r="DJ11" s="217"/>
      <c r="DK11" s="217"/>
      <c r="DL11" s="217"/>
      <c r="DM11" s="217"/>
      <c r="DN11" s="217"/>
      <c r="DO11" s="217"/>
      <c r="DP11" s="217"/>
      <c r="DQ11" s="217"/>
      <c r="DR11" s="217"/>
      <c r="DS11" s="217"/>
      <c r="DT11" s="217"/>
      <c r="DU11" s="217"/>
      <c r="DV11" s="217"/>
      <c r="DW11" s="217"/>
      <c r="DX11" s="217"/>
      <c r="DY11" s="217"/>
      <c r="DZ11" s="217"/>
      <c r="EA11" s="217"/>
      <c r="EB11" s="217"/>
      <c r="EC11" s="217"/>
      <c r="ED11" s="217"/>
      <c r="EE11" s="217"/>
      <c r="EF11" s="217"/>
      <c r="EG11" s="217"/>
      <c r="EH11" s="217"/>
      <c r="EI11" s="217"/>
      <c r="EJ11" s="217"/>
      <c r="EK11" s="217"/>
      <c r="EL11" s="217"/>
      <c r="EM11" s="217"/>
      <c r="EN11" s="217"/>
      <c r="EO11" s="217"/>
      <c r="EP11" s="217"/>
      <c r="EQ11" s="217"/>
      <c r="ER11" s="217"/>
      <c r="ES11" s="217"/>
      <c r="ET11" s="217"/>
      <c r="EU11" s="217"/>
      <c r="EV11" s="217"/>
      <c r="EW11" s="217"/>
      <c r="EX11" s="217"/>
      <c r="EY11" s="217"/>
    </row>
    <row r="12" spans="1:155" ht="12.75" customHeight="1">
      <c r="A12" s="162"/>
      <c r="B12" s="201"/>
      <c r="C12" s="202"/>
      <c r="D12" s="202"/>
      <c r="E12" s="202"/>
      <c r="F12" s="202"/>
      <c r="G12" s="202"/>
      <c r="H12" s="202"/>
      <c r="I12" s="202"/>
      <c r="J12" s="202"/>
      <c r="K12" s="208"/>
      <c r="L12" s="208"/>
      <c r="M12" s="208"/>
      <c r="N12" s="210"/>
      <c r="Z12" s="152"/>
      <c r="AA12" s="205" t="s">
        <v>116</v>
      </c>
      <c r="AB12" s="206"/>
      <c r="AC12" s="206"/>
      <c r="AD12" s="206"/>
      <c r="AE12" s="206"/>
      <c r="AF12" s="206"/>
      <c r="AG12" s="206"/>
      <c r="AH12" s="206"/>
      <c r="AI12" s="206"/>
      <c r="AJ12" s="206"/>
      <c r="AK12" s="206"/>
      <c r="AL12" s="206"/>
      <c r="AM12" s="206"/>
      <c r="AN12" s="206"/>
      <c r="AO12" s="206"/>
      <c r="AP12" s="206"/>
      <c r="AQ12" s="206"/>
      <c r="AR12" s="206"/>
      <c r="AS12" s="206"/>
      <c r="AT12" s="206"/>
      <c r="AU12" s="206"/>
      <c r="AV12" s="206"/>
      <c r="AW12" s="206"/>
      <c r="AX12" s="206"/>
      <c r="AY12" s="206"/>
      <c r="AZ12" s="206"/>
      <c r="BA12" s="206"/>
      <c r="BB12" s="206"/>
      <c r="BC12" s="206"/>
      <c r="BD12" s="206"/>
      <c r="BE12" s="206"/>
      <c r="BF12" s="206"/>
      <c r="BG12" s="206"/>
      <c r="BH12" s="206"/>
      <c r="BI12" s="206"/>
      <c r="BJ12" s="206"/>
      <c r="BK12" s="206"/>
      <c r="BL12" s="206"/>
      <c r="BM12" s="206"/>
      <c r="BN12" s="206"/>
      <c r="BO12" s="206"/>
      <c r="BP12" s="206"/>
      <c r="BQ12" s="206"/>
      <c r="BR12" s="206"/>
      <c r="BS12" s="206"/>
      <c r="BT12" s="206"/>
      <c r="BU12" s="206"/>
      <c r="BV12" s="206"/>
      <c r="BW12" s="206"/>
      <c r="BX12" s="206"/>
      <c r="BY12" s="206"/>
      <c r="DA12" s="218" t="s">
        <v>116</v>
      </c>
      <c r="DB12" s="218"/>
      <c r="DC12" s="218"/>
      <c r="DD12" s="218"/>
      <c r="DE12" s="218"/>
      <c r="DF12" s="218"/>
      <c r="DG12" s="218"/>
      <c r="DH12" s="218"/>
      <c r="DI12" s="218"/>
      <c r="DJ12" s="218"/>
      <c r="DK12" s="218"/>
      <c r="DL12" s="218"/>
      <c r="DM12" s="218"/>
      <c r="DN12" s="218"/>
      <c r="DO12" s="218"/>
      <c r="DP12" s="218"/>
      <c r="DQ12" s="218"/>
      <c r="DR12" s="218"/>
      <c r="DS12" s="218"/>
      <c r="DT12" s="218"/>
      <c r="DU12" s="218"/>
      <c r="DV12" s="218"/>
      <c r="DW12" s="218"/>
      <c r="DX12" s="218"/>
      <c r="DY12" s="218"/>
      <c r="DZ12" s="218"/>
      <c r="EA12" s="218"/>
      <c r="EB12" s="218"/>
      <c r="EC12" s="218"/>
      <c r="ED12" s="218"/>
      <c r="EE12" s="218"/>
      <c r="EF12" s="218"/>
      <c r="EG12" s="218"/>
      <c r="EH12" s="218"/>
      <c r="EI12" s="218"/>
      <c r="EJ12" s="218"/>
      <c r="EK12" s="218"/>
      <c r="EL12" s="218"/>
      <c r="EM12" s="218"/>
      <c r="EN12" s="218"/>
      <c r="EO12" s="218"/>
      <c r="EP12" s="218"/>
      <c r="EQ12" s="218"/>
      <c r="ER12" s="218"/>
      <c r="ES12" s="218"/>
      <c r="ET12" s="218"/>
      <c r="EU12" s="218"/>
      <c r="EV12" s="218"/>
      <c r="EW12" s="218"/>
      <c r="EX12" s="218"/>
      <c r="EY12" s="218"/>
    </row>
    <row r="13" spans="1:155" ht="15" customHeight="1">
      <c r="A13" s="162"/>
      <c r="B13" s="192" t="s">
        <v>3</v>
      </c>
      <c r="C13" s="193"/>
      <c r="D13" s="193"/>
      <c r="E13" s="85"/>
      <c r="F13" s="85"/>
      <c r="G13" s="85"/>
      <c r="H13" s="85"/>
      <c r="I13" s="85"/>
      <c r="J13" s="85"/>
      <c r="K13" s="85"/>
      <c r="L13" s="85"/>
      <c r="M13" s="85"/>
      <c r="N13" s="9"/>
      <c r="AA13" s="39" t="s">
        <v>54</v>
      </c>
      <c r="AB13" s="40"/>
      <c r="AC13" s="153"/>
      <c r="AD13" s="153"/>
      <c r="AE13" s="41"/>
      <c r="AF13" s="41"/>
      <c r="AG13" s="41"/>
      <c r="AH13" s="42"/>
      <c r="AI13" s="42"/>
      <c r="AJ13" s="42"/>
      <c r="AK13" s="42"/>
      <c r="AL13" s="42"/>
      <c r="AM13" s="43"/>
      <c r="AN13" s="44"/>
      <c r="AO13" s="44"/>
      <c r="AP13" s="44"/>
      <c r="AQ13" s="44"/>
      <c r="AR13" s="44"/>
      <c r="AS13" s="44"/>
      <c r="AT13" s="41"/>
      <c r="AU13" s="45"/>
      <c r="AV13" s="45"/>
      <c r="AW13" s="45"/>
      <c r="AX13" s="45"/>
      <c r="AY13" s="45"/>
      <c r="AZ13" s="45"/>
      <c r="BA13" s="45"/>
      <c r="BB13" s="46"/>
      <c r="BC13" s="46"/>
      <c r="BD13" s="47"/>
      <c r="BE13" s="48"/>
      <c r="BF13" s="49"/>
      <c r="BG13" s="50"/>
      <c r="BH13" s="49"/>
      <c r="BI13" s="50"/>
      <c r="BJ13" s="51"/>
      <c r="BK13" s="43"/>
      <c r="BL13" s="35"/>
      <c r="BM13" s="86"/>
      <c r="BN13" s="90"/>
      <c r="BO13" s="4"/>
      <c r="BP13" s="4"/>
      <c r="BQ13" s="4"/>
      <c r="BR13" s="4"/>
      <c r="BS13" s="4"/>
      <c r="BT13" s="4"/>
      <c r="DA13" s="127" t="s">
        <v>54</v>
      </c>
      <c r="DB13" s="128"/>
      <c r="DC13" s="65"/>
      <c r="DD13" s="65"/>
      <c r="DE13" s="54"/>
      <c r="DF13" s="54"/>
      <c r="DG13" s="140"/>
      <c r="DH13" s="54"/>
      <c r="DI13" s="54"/>
      <c r="DJ13" s="54"/>
      <c r="DK13" s="54"/>
      <c r="DL13" s="54"/>
      <c r="DM13" s="54"/>
      <c r="DN13" s="6"/>
      <c r="DO13" s="6"/>
      <c r="DP13" s="6"/>
      <c r="DQ13" s="6"/>
      <c r="DR13" s="6"/>
      <c r="DS13" s="6"/>
      <c r="DT13" s="6"/>
      <c r="DU13" s="56"/>
      <c r="DV13" s="56"/>
      <c r="DW13" s="56"/>
      <c r="DX13" s="56"/>
      <c r="DY13" s="56"/>
      <c r="DZ13" s="56"/>
      <c r="EA13" s="56"/>
      <c r="EB13" s="58"/>
      <c r="EC13" s="58"/>
      <c r="ED13" s="140"/>
      <c r="EE13" s="64"/>
      <c r="EF13" s="140"/>
      <c r="EG13" s="64"/>
      <c r="EH13" s="140"/>
      <c r="EI13" s="64"/>
      <c r="EJ13" s="64"/>
      <c r="EK13" s="54"/>
      <c r="EL13" s="4"/>
      <c r="EM13" s="149"/>
      <c r="EN13" s="91"/>
      <c r="EO13" s="55"/>
      <c r="EP13" s="4"/>
      <c r="EQ13" s="4"/>
      <c r="ER13" s="143"/>
      <c r="ES13" s="143"/>
      <c r="ET13" s="4"/>
      <c r="EU13" s="91"/>
      <c r="EV13" s="55"/>
      <c r="EW13" s="55"/>
      <c r="EX13" s="55"/>
      <c r="EY13" s="55"/>
    </row>
    <row r="14" spans="1:155">
      <c r="A14" s="162"/>
      <c r="B14" s="10" t="s">
        <v>30</v>
      </c>
      <c r="C14" s="85"/>
      <c r="D14" s="85"/>
      <c r="E14" s="85"/>
      <c r="F14" s="85"/>
      <c r="G14" s="85"/>
      <c r="H14" s="97"/>
      <c r="I14" s="98"/>
      <c r="J14" s="85"/>
      <c r="K14" s="4"/>
      <c r="L14" s="4"/>
      <c r="M14" s="4"/>
      <c r="N14" s="9"/>
      <c r="AA14" s="13"/>
      <c r="AB14" s="52"/>
      <c r="AC14" s="154"/>
      <c r="AD14" s="154"/>
      <c r="AE14" s="52"/>
      <c r="AF14" s="196" t="s">
        <v>52</v>
      </c>
      <c r="AG14" s="196"/>
      <c r="AH14" s="35"/>
      <c r="AI14" s="53" t="s">
        <v>53</v>
      </c>
      <c r="AJ14" s="197">
        <f>VLOOKUP(AF15,Data!$C$20:$F$38,2,FALSE)</f>
        <v>206000</v>
      </c>
      <c r="AK14" s="197"/>
      <c r="AL14" s="54" t="s">
        <v>79</v>
      </c>
      <c r="AM14" s="55"/>
      <c r="AN14" s="4"/>
      <c r="AO14" s="4"/>
      <c r="AP14" s="4"/>
      <c r="AQ14" s="4"/>
      <c r="AR14" s="4"/>
      <c r="AS14" s="4"/>
      <c r="AT14" s="56"/>
      <c r="AU14" s="57"/>
      <c r="AV14" s="57"/>
      <c r="AW14" s="57"/>
      <c r="AX14" s="57"/>
      <c r="AY14" s="57"/>
      <c r="AZ14" s="52"/>
      <c r="BA14" s="52"/>
      <c r="BB14" s="58"/>
      <c r="BC14" s="58"/>
      <c r="BD14" s="59" t="s">
        <v>59</v>
      </c>
      <c r="BE14" s="57"/>
      <c r="BF14" s="6"/>
      <c r="BG14" s="60" t="s">
        <v>169</v>
      </c>
      <c r="BH14" s="61">
        <f>AJ16*AG16</f>
        <v>297.95454545454544</v>
      </c>
      <c r="BI14" s="6" t="s">
        <v>79</v>
      </c>
      <c r="BJ14" s="62"/>
      <c r="BK14" s="55"/>
      <c r="BL14" s="35"/>
      <c r="BM14" s="86"/>
      <c r="BN14" s="90"/>
      <c r="BO14" s="4"/>
      <c r="BP14" s="4"/>
      <c r="BQ14" s="4"/>
      <c r="BR14" s="4"/>
      <c r="BS14" s="4"/>
      <c r="BT14" s="4"/>
      <c r="DA14" s="78"/>
      <c r="DB14" s="6"/>
      <c r="DC14" s="65"/>
      <c r="DD14" s="65"/>
      <c r="DE14" s="54"/>
      <c r="DF14" s="197" t="s">
        <v>52</v>
      </c>
      <c r="DG14" s="197"/>
      <c r="DH14" s="54"/>
      <c r="DI14" s="54" t="s">
        <v>53</v>
      </c>
      <c r="DJ14" s="197">
        <f>VLOOKUP(DF15,Data!$C$20:$F$38,2,FALSE)</f>
        <v>206000</v>
      </c>
      <c r="DK14" s="197"/>
      <c r="DL14" s="54" t="s">
        <v>79</v>
      </c>
      <c r="DM14" s="54"/>
      <c r="DN14" s="6"/>
      <c r="DO14" s="6"/>
      <c r="DP14" s="6"/>
      <c r="DQ14" s="6"/>
      <c r="DR14" s="6"/>
      <c r="DS14" s="6"/>
      <c r="DT14" s="56"/>
      <c r="DU14" s="56"/>
      <c r="DV14" s="56"/>
      <c r="DW14" s="56"/>
      <c r="DX14" s="56"/>
      <c r="DY14" s="56"/>
      <c r="DZ14" s="6"/>
      <c r="EA14" s="6"/>
      <c r="EB14" s="58"/>
      <c r="EC14" s="58"/>
      <c r="ED14" s="157" t="s">
        <v>59</v>
      </c>
      <c r="EE14" s="58"/>
      <c r="EF14" s="140"/>
      <c r="EG14" s="53" t="s">
        <v>104</v>
      </c>
      <c r="EH14" s="140">
        <f>DJ16*DG16</f>
        <v>297.95454545454544</v>
      </c>
      <c r="EI14" s="54" t="s">
        <v>79</v>
      </c>
      <c r="EJ14" s="64"/>
      <c r="EK14" s="54"/>
      <c r="EL14" s="4"/>
      <c r="EM14" s="149"/>
      <c r="EN14" s="91"/>
      <c r="EO14" s="55"/>
      <c r="EP14" s="4"/>
      <c r="EQ14" s="4"/>
      <c r="ER14" s="143"/>
      <c r="ES14" s="143"/>
      <c r="ET14" s="4"/>
      <c r="EU14" s="91"/>
      <c r="EV14" s="55"/>
      <c r="EW14" s="55"/>
      <c r="EX14" s="55"/>
      <c r="EY14" s="55"/>
    </row>
    <row r="15" spans="1:155">
      <c r="A15" s="162"/>
      <c r="B15" s="11" t="s">
        <v>4</v>
      </c>
      <c r="C15" s="85"/>
      <c r="D15" s="85"/>
      <c r="E15" s="97" t="s">
        <v>92</v>
      </c>
      <c r="F15" s="35" t="s">
        <v>212</v>
      </c>
      <c r="G15" s="85" t="s">
        <v>7</v>
      </c>
      <c r="H15" s="4"/>
      <c r="I15" s="4"/>
      <c r="J15" s="4"/>
      <c r="K15" s="4"/>
      <c r="L15" s="4"/>
      <c r="M15" s="4"/>
      <c r="N15" s="12"/>
      <c r="AA15" s="13"/>
      <c r="AB15" s="52"/>
      <c r="AC15" s="154"/>
      <c r="AD15" s="154"/>
      <c r="AE15" s="52"/>
      <c r="AF15" s="198" t="s">
        <v>113</v>
      </c>
      <c r="AG15" s="198"/>
      <c r="AH15" s="35"/>
      <c r="AI15" s="53" t="s">
        <v>100</v>
      </c>
      <c r="AJ15" s="197">
        <f>VLOOKUP(AF15,Data!$C$20:$F$38,3,FALSE)</f>
        <v>345</v>
      </c>
      <c r="AK15" s="197"/>
      <c r="AL15" s="54" t="s">
        <v>79</v>
      </c>
      <c r="AM15" s="55"/>
      <c r="AN15" s="4"/>
      <c r="AO15" s="4"/>
      <c r="AP15" s="4"/>
      <c r="AQ15" s="4"/>
      <c r="AR15" s="4"/>
      <c r="AS15" s="4"/>
      <c r="AT15" s="56"/>
      <c r="AU15" s="57"/>
      <c r="AV15" s="57"/>
      <c r="AW15" s="57"/>
      <c r="AX15" s="57"/>
      <c r="AY15" s="57"/>
      <c r="AZ15" s="52"/>
      <c r="BA15" s="52"/>
      <c r="BB15" s="58"/>
      <c r="BC15" s="58"/>
      <c r="BD15" s="59" t="s">
        <v>60</v>
      </c>
      <c r="BE15" s="57"/>
      <c r="BF15" s="6"/>
      <c r="BG15" s="60" t="s">
        <v>105</v>
      </c>
      <c r="BH15" s="61">
        <f>AJ17*AG16</f>
        <v>172.81363636363633</v>
      </c>
      <c r="BI15" s="6" t="s">
        <v>79</v>
      </c>
      <c r="BJ15" s="62"/>
      <c r="BK15" s="55"/>
      <c r="BL15" s="35"/>
      <c r="BM15" s="86"/>
      <c r="BN15" s="90"/>
      <c r="BO15" s="4"/>
      <c r="BP15" s="4"/>
      <c r="BQ15" s="4"/>
      <c r="BR15" s="4"/>
      <c r="BS15" s="4"/>
      <c r="BT15" s="4"/>
      <c r="DA15" s="78"/>
      <c r="DB15" s="6"/>
      <c r="DC15" s="65"/>
      <c r="DD15" s="65"/>
      <c r="DE15" s="54"/>
      <c r="DF15" s="197" t="str">
        <f>AF15</f>
        <v>Q345</v>
      </c>
      <c r="DG15" s="197"/>
      <c r="DH15" s="54"/>
      <c r="DI15" s="54" t="s">
        <v>100</v>
      </c>
      <c r="DJ15" s="197">
        <f>VLOOKUP(DF15,Data!$C$20:$F$38,3,FALSE)</f>
        <v>345</v>
      </c>
      <c r="DK15" s="197"/>
      <c r="DL15" s="54" t="s">
        <v>79</v>
      </c>
      <c r="DM15" s="54"/>
      <c r="DN15" s="6"/>
      <c r="DO15" s="6"/>
      <c r="DP15" s="6"/>
      <c r="DQ15" s="6"/>
      <c r="DR15" s="6"/>
      <c r="DS15" s="6"/>
      <c r="DT15" s="56"/>
      <c r="DU15" s="56"/>
      <c r="DV15" s="56"/>
      <c r="DW15" s="56"/>
      <c r="DX15" s="56"/>
      <c r="DY15" s="56"/>
      <c r="DZ15" s="6"/>
      <c r="EA15" s="6"/>
      <c r="EB15" s="58"/>
      <c r="EC15" s="58"/>
      <c r="ED15" s="157" t="s">
        <v>60</v>
      </c>
      <c r="EE15" s="58"/>
      <c r="EF15" s="140"/>
      <c r="EG15" s="53" t="s">
        <v>105</v>
      </c>
      <c r="EH15" s="140">
        <f>DJ17*DG16</f>
        <v>172.81363636363633</v>
      </c>
      <c r="EI15" s="54" t="s">
        <v>79</v>
      </c>
      <c r="EJ15" s="64"/>
      <c r="EK15" s="54"/>
      <c r="EL15" s="4"/>
      <c r="EM15" s="149"/>
      <c r="EN15" s="91"/>
      <c r="EO15" s="55"/>
      <c r="EP15" s="4"/>
      <c r="EQ15" s="4"/>
      <c r="ER15" s="143"/>
      <c r="ES15" s="143"/>
      <c r="ET15" s="4"/>
      <c r="EU15" s="91"/>
      <c r="EV15" s="55"/>
      <c r="EW15" s="55"/>
      <c r="EX15" s="55"/>
      <c r="EY15" s="55"/>
    </row>
    <row r="16" spans="1:155" ht="15" customHeight="1">
      <c r="A16" s="162"/>
      <c r="B16" s="11" t="s">
        <v>5</v>
      </c>
      <c r="C16" s="85"/>
      <c r="D16" s="85"/>
      <c r="E16" s="97" t="s">
        <v>93</v>
      </c>
      <c r="F16" s="99">
        <v>5</v>
      </c>
      <c r="G16" s="85" t="s">
        <v>7</v>
      </c>
      <c r="H16" s="4"/>
      <c r="I16" s="4"/>
      <c r="J16" s="4"/>
      <c r="K16" s="4"/>
      <c r="L16" s="4"/>
      <c r="M16" s="4"/>
      <c r="N16" s="12"/>
      <c r="AA16" s="13"/>
      <c r="AB16" s="52"/>
      <c r="AC16" s="154"/>
      <c r="AD16" s="154"/>
      <c r="AE16" s="52"/>
      <c r="AF16" s="63" t="s">
        <v>102</v>
      </c>
      <c r="AG16" s="52">
        <v>0.95</v>
      </c>
      <c r="AH16" s="35"/>
      <c r="AI16" s="53" t="s">
        <v>107</v>
      </c>
      <c r="AJ16" s="213">
        <f>AJ15/AG17</f>
        <v>313.63636363636363</v>
      </c>
      <c r="AK16" s="213"/>
      <c r="AL16" s="54" t="s">
        <v>79</v>
      </c>
      <c r="AM16" s="55"/>
      <c r="AN16" s="4"/>
      <c r="AO16" s="4"/>
      <c r="AP16" s="4"/>
      <c r="AQ16" s="4"/>
      <c r="AR16" s="4"/>
      <c r="AS16" s="4"/>
      <c r="AT16" s="52"/>
      <c r="AU16" s="57"/>
      <c r="AV16" s="57"/>
      <c r="AW16" s="57"/>
      <c r="AX16" s="57"/>
      <c r="AY16" s="57"/>
      <c r="AZ16" s="57"/>
      <c r="BA16" s="57"/>
      <c r="BB16" s="58"/>
      <c r="BC16" s="58"/>
      <c r="BD16" s="59" t="s">
        <v>50</v>
      </c>
      <c r="BE16" s="57"/>
      <c r="BF16" s="6"/>
      <c r="BG16" s="60" t="s">
        <v>109</v>
      </c>
      <c r="BH16" s="61">
        <f>1.15*AJ16*AG16</f>
        <v>342.6477272727272</v>
      </c>
      <c r="BI16" s="6" t="s">
        <v>79</v>
      </c>
      <c r="BJ16" s="62"/>
      <c r="BK16" s="55"/>
      <c r="BL16" s="35"/>
      <c r="BM16" s="86"/>
      <c r="BN16" s="90"/>
      <c r="BO16" s="4"/>
      <c r="BP16" s="4"/>
      <c r="BQ16" s="4"/>
      <c r="BR16" s="4"/>
      <c r="BS16" s="4"/>
      <c r="BT16" s="4"/>
      <c r="DA16" s="78"/>
      <c r="DB16" s="6"/>
      <c r="DC16" s="65"/>
      <c r="DD16" s="65"/>
      <c r="DE16" s="54"/>
      <c r="DF16" s="150" t="s">
        <v>102</v>
      </c>
      <c r="DG16" s="64">
        <f>AG16</f>
        <v>0.95</v>
      </c>
      <c r="DH16" s="54"/>
      <c r="DI16" s="54" t="s">
        <v>107</v>
      </c>
      <c r="DJ16" s="213">
        <f>DJ15/DG17</f>
        <v>313.63636363636363</v>
      </c>
      <c r="DK16" s="213"/>
      <c r="DL16" s="54" t="s">
        <v>79</v>
      </c>
      <c r="DM16" s="54"/>
      <c r="DN16" s="6"/>
      <c r="DO16" s="6"/>
      <c r="DP16" s="6"/>
      <c r="DQ16" s="6"/>
      <c r="DR16" s="6"/>
      <c r="DS16" s="6"/>
      <c r="DT16" s="6"/>
      <c r="DU16" s="56"/>
      <c r="DV16" s="56"/>
      <c r="DW16" s="56"/>
      <c r="DX16" s="56"/>
      <c r="DY16" s="56"/>
      <c r="DZ16" s="56"/>
      <c r="EA16" s="56"/>
      <c r="EB16" s="58"/>
      <c r="EC16" s="58"/>
      <c r="ED16" s="157" t="s">
        <v>50</v>
      </c>
      <c r="EE16" s="58"/>
      <c r="EF16" s="140"/>
      <c r="EG16" s="53" t="s">
        <v>109</v>
      </c>
      <c r="EH16" s="140">
        <f>1.15*DJ16*DG16</f>
        <v>342.6477272727272</v>
      </c>
      <c r="EI16" s="54" t="s">
        <v>79</v>
      </c>
      <c r="EJ16" s="64"/>
      <c r="EK16" s="54"/>
      <c r="EL16" s="4"/>
      <c r="EM16" s="149"/>
      <c r="EN16" s="91"/>
      <c r="EO16" s="55"/>
      <c r="EP16" s="4"/>
      <c r="EQ16" s="4"/>
      <c r="ER16" s="143"/>
      <c r="ES16" s="143"/>
      <c r="ET16" s="4"/>
      <c r="EU16" s="91"/>
      <c r="EV16" s="55"/>
      <c r="EW16" s="55"/>
      <c r="EX16" s="55"/>
      <c r="EY16" s="55"/>
    </row>
    <row r="17" spans="2:155">
      <c r="B17" s="11" t="s">
        <v>66</v>
      </c>
      <c r="C17" s="85"/>
      <c r="D17" s="85"/>
      <c r="E17" s="97" t="s">
        <v>164</v>
      </c>
      <c r="F17" s="99">
        <v>164</v>
      </c>
      <c r="G17" s="85" t="s">
        <v>7</v>
      </c>
      <c r="H17" s="4"/>
      <c r="I17" s="4"/>
      <c r="J17" s="4"/>
      <c r="K17" s="4"/>
      <c r="L17" s="4"/>
      <c r="M17" s="4"/>
      <c r="N17" s="12"/>
      <c r="AA17" s="13"/>
      <c r="AB17" s="52"/>
      <c r="AC17" s="154"/>
      <c r="AD17" s="154"/>
      <c r="AE17" s="52"/>
      <c r="AF17" s="63" t="s">
        <v>103</v>
      </c>
      <c r="AG17" s="52">
        <v>1.1000000000000001</v>
      </c>
      <c r="AH17" s="35"/>
      <c r="AI17" s="53" t="s">
        <v>101</v>
      </c>
      <c r="AJ17" s="213">
        <f>0.58*AJ15/AG17</f>
        <v>181.90909090909088</v>
      </c>
      <c r="AK17" s="213"/>
      <c r="AL17" s="54" t="s">
        <v>79</v>
      </c>
      <c r="AM17" s="55"/>
      <c r="AN17" s="4"/>
      <c r="AO17" s="4"/>
      <c r="AP17" s="4"/>
      <c r="AQ17" s="4"/>
      <c r="AR17" s="4"/>
      <c r="AS17" s="4"/>
      <c r="AT17" s="52"/>
      <c r="AU17" s="57"/>
      <c r="AV17" s="57"/>
      <c r="AW17" s="57"/>
      <c r="AX17" s="57"/>
      <c r="AY17" s="57"/>
      <c r="AZ17" s="57"/>
      <c r="BA17" s="57"/>
      <c r="BB17" s="6"/>
      <c r="BC17" s="58"/>
      <c r="BD17" s="54"/>
      <c r="BE17" s="64"/>
      <c r="BF17" s="6"/>
      <c r="BG17" s="65"/>
      <c r="BH17" s="6"/>
      <c r="BI17" s="65"/>
      <c r="BJ17" s="62"/>
      <c r="BK17" s="55"/>
      <c r="BL17" s="35"/>
      <c r="BM17" s="86"/>
      <c r="BN17" s="90"/>
      <c r="BO17" s="4"/>
      <c r="BP17" s="4"/>
      <c r="BQ17" s="4"/>
      <c r="BR17" s="4"/>
      <c r="BS17" s="4"/>
      <c r="BT17" s="4"/>
      <c r="DA17" s="78"/>
      <c r="DB17" s="6"/>
      <c r="DC17" s="65"/>
      <c r="DD17" s="65"/>
      <c r="DE17" s="54"/>
      <c r="DF17" s="150" t="s">
        <v>103</v>
      </c>
      <c r="DG17" s="64">
        <f>AG17</f>
        <v>1.1000000000000001</v>
      </c>
      <c r="DH17" s="54"/>
      <c r="DI17" s="54" t="s">
        <v>101</v>
      </c>
      <c r="DJ17" s="213">
        <f>0.58*DJ15/DG17</f>
        <v>181.90909090909088</v>
      </c>
      <c r="DK17" s="213"/>
      <c r="DL17" s="54" t="s">
        <v>79</v>
      </c>
      <c r="DM17" s="54"/>
      <c r="DN17" s="6"/>
      <c r="DO17" s="6"/>
      <c r="DP17" s="6"/>
      <c r="DQ17" s="6"/>
      <c r="DR17" s="6"/>
      <c r="DS17" s="6"/>
      <c r="DT17" s="6"/>
      <c r="DU17" s="56"/>
      <c r="DV17" s="56"/>
      <c r="DW17" s="56"/>
      <c r="DX17" s="56"/>
      <c r="DY17" s="56"/>
      <c r="DZ17" s="56"/>
      <c r="EA17" s="56"/>
      <c r="EB17" s="6"/>
      <c r="EC17" s="58"/>
      <c r="ED17" s="140"/>
      <c r="EE17" s="64"/>
      <c r="EF17" s="140"/>
      <c r="EG17" s="64"/>
      <c r="EH17" s="140"/>
      <c r="EI17" s="64"/>
      <c r="EJ17" s="64"/>
      <c r="EK17" s="54"/>
      <c r="EL17" s="4"/>
      <c r="EM17" s="149"/>
      <c r="EN17" s="91"/>
      <c r="EO17" s="55"/>
      <c r="EP17" s="4"/>
      <c r="EQ17" s="4"/>
      <c r="ER17" s="143"/>
      <c r="ES17" s="143"/>
      <c r="ET17" s="4"/>
      <c r="EU17" s="91"/>
      <c r="EV17" s="55"/>
      <c r="EW17" s="55"/>
      <c r="EX17" s="55"/>
      <c r="EY17" s="55"/>
    </row>
    <row r="18" spans="2:155">
      <c r="B18" s="11" t="s">
        <v>67</v>
      </c>
      <c r="C18" s="85"/>
      <c r="D18" s="85"/>
      <c r="E18" s="97" t="s">
        <v>165</v>
      </c>
      <c r="F18" s="99">
        <v>8</v>
      </c>
      <c r="G18" s="85" t="s">
        <v>7</v>
      </c>
      <c r="H18" s="4"/>
      <c r="I18" s="4"/>
      <c r="J18" s="4"/>
      <c r="K18" s="4"/>
      <c r="L18" s="4"/>
      <c r="M18" s="4"/>
      <c r="N18" s="12"/>
      <c r="O18" s="3"/>
      <c r="AA18" s="66" t="s">
        <v>55</v>
      </c>
      <c r="AB18" s="67"/>
      <c r="AC18" s="155"/>
      <c r="AD18" s="155"/>
      <c r="AE18" s="68"/>
      <c r="AF18" s="68"/>
      <c r="AG18" s="68"/>
      <c r="AH18" s="69"/>
      <c r="AI18" s="70"/>
      <c r="AJ18" s="212"/>
      <c r="AK18" s="212"/>
      <c r="AL18" s="70"/>
      <c r="AM18" s="71"/>
      <c r="AN18" s="14"/>
      <c r="AO18" s="14"/>
      <c r="AP18" s="14"/>
      <c r="AQ18" s="14"/>
      <c r="AR18" s="14"/>
      <c r="AS18" s="14"/>
      <c r="AT18" s="68"/>
      <c r="AU18" s="72"/>
      <c r="AV18" s="72"/>
      <c r="AW18" s="72"/>
      <c r="AX18" s="72"/>
      <c r="AY18" s="72"/>
      <c r="AZ18" s="72"/>
      <c r="BA18" s="72"/>
      <c r="BB18" s="73"/>
      <c r="BC18" s="74"/>
      <c r="BD18" s="70"/>
      <c r="BE18" s="75"/>
      <c r="BF18" s="73"/>
      <c r="BG18" s="76"/>
      <c r="BH18" s="73"/>
      <c r="BI18" s="76"/>
      <c r="BJ18" s="77"/>
      <c r="BK18" s="71"/>
      <c r="BL18" s="35"/>
      <c r="BM18" s="86"/>
      <c r="BN18" s="90"/>
      <c r="BO18" s="4"/>
      <c r="BP18" s="4"/>
      <c r="BQ18" s="4"/>
      <c r="BR18" s="4"/>
      <c r="BS18" s="4"/>
      <c r="BT18" s="4"/>
      <c r="DA18" s="79" t="s">
        <v>55</v>
      </c>
      <c r="DB18" s="80"/>
      <c r="DC18" s="76"/>
      <c r="DD18" s="76"/>
      <c r="DE18" s="70"/>
      <c r="DF18" s="70"/>
      <c r="DG18" s="145"/>
      <c r="DH18" s="70"/>
      <c r="DI18" s="70"/>
      <c r="DJ18" s="212"/>
      <c r="DK18" s="212"/>
      <c r="DL18" s="70"/>
      <c r="DM18" s="70"/>
      <c r="DN18" s="73"/>
      <c r="DO18" s="73"/>
      <c r="DP18" s="73"/>
      <c r="DQ18" s="73"/>
      <c r="DR18" s="73"/>
      <c r="DS18" s="73"/>
      <c r="DT18" s="73"/>
      <c r="DU18" s="81"/>
      <c r="DV18" s="81"/>
      <c r="DW18" s="81"/>
      <c r="DX18" s="81"/>
      <c r="DY18" s="81"/>
      <c r="DZ18" s="81"/>
      <c r="EA18" s="81"/>
      <c r="EB18" s="73"/>
      <c r="EC18" s="74"/>
      <c r="ED18" s="145"/>
      <c r="EE18" s="75"/>
      <c r="EF18" s="145"/>
      <c r="EG18" s="75"/>
      <c r="EH18" s="145"/>
      <c r="EI18" s="75"/>
      <c r="EJ18" s="75"/>
      <c r="EK18" s="70"/>
      <c r="EL18" s="4"/>
      <c r="EM18" s="149"/>
      <c r="EN18" s="91"/>
      <c r="EO18" s="55"/>
      <c r="EP18" s="4"/>
      <c r="EQ18" s="4"/>
      <c r="ER18" s="143"/>
      <c r="ES18" s="143"/>
      <c r="ET18" s="4"/>
      <c r="EU18" s="91"/>
      <c r="EV18" s="55"/>
      <c r="EW18" s="55"/>
      <c r="EX18" s="55"/>
      <c r="EY18" s="55"/>
    </row>
    <row r="19" spans="2:155" ht="15" customHeight="1">
      <c r="B19" s="11" t="s">
        <v>68</v>
      </c>
      <c r="C19" s="85"/>
      <c r="D19" s="85"/>
      <c r="E19" s="97" t="s">
        <v>166</v>
      </c>
      <c r="F19" s="99">
        <v>200</v>
      </c>
      <c r="G19" s="85" t="s">
        <v>7</v>
      </c>
      <c r="H19" s="4"/>
      <c r="I19" s="4"/>
      <c r="J19" s="4"/>
      <c r="K19" s="4"/>
      <c r="L19" s="4"/>
      <c r="M19" s="4"/>
      <c r="N19" s="9"/>
      <c r="O19" s="3"/>
      <c r="AA19" s="215" t="s">
        <v>64</v>
      </c>
      <c r="AB19" s="215"/>
      <c r="AC19" s="215"/>
      <c r="AD19" s="215"/>
      <c r="AE19" s="215"/>
      <c r="AF19" s="215"/>
      <c r="AG19" s="215"/>
      <c r="AH19" s="215"/>
      <c r="AI19" s="215"/>
      <c r="AJ19" s="215"/>
      <c r="AK19" s="215"/>
      <c r="AL19" s="215"/>
      <c r="AM19" s="215"/>
      <c r="AN19" s="215"/>
      <c r="AO19" s="215"/>
      <c r="AP19" s="215"/>
      <c r="AQ19" s="215"/>
      <c r="AR19" s="215"/>
      <c r="AS19" s="215"/>
      <c r="AT19" s="215"/>
      <c r="AU19" s="215"/>
      <c r="AV19" s="215"/>
      <c r="AW19" s="215"/>
      <c r="AX19" s="215"/>
      <c r="AY19" s="215"/>
      <c r="AZ19" s="215"/>
      <c r="BA19" s="215" t="s">
        <v>63</v>
      </c>
      <c r="BB19" s="215"/>
      <c r="BC19" s="215"/>
      <c r="BD19" s="215"/>
      <c r="BE19" s="215"/>
      <c r="BF19" s="215"/>
      <c r="BG19" s="215"/>
      <c r="BH19" s="215"/>
      <c r="BI19" s="215"/>
      <c r="BJ19" s="215"/>
      <c r="BK19" s="215"/>
      <c r="BL19" s="211" t="s">
        <v>170</v>
      </c>
      <c r="BM19" s="211"/>
      <c r="BN19" s="211"/>
      <c r="BO19" s="211"/>
      <c r="BP19" s="211" t="s">
        <v>171</v>
      </c>
      <c r="BQ19" s="211"/>
      <c r="BR19" s="211"/>
      <c r="BS19" s="211"/>
      <c r="BT19" s="211"/>
      <c r="BU19" s="211" t="s">
        <v>172</v>
      </c>
      <c r="BV19" s="211"/>
      <c r="BW19" s="211"/>
      <c r="BX19" s="211"/>
      <c r="BY19" s="211"/>
      <c r="DA19" s="215" t="s">
        <v>64</v>
      </c>
      <c r="DB19" s="215"/>
      <c r="DC19" s="215"/>
      <c r="DD19" s="215"/>
      <c r="DE19" s="215"/>
      <c r="DF19" s="215"/>
      <c r="DG19" s="215"/>
      <c r="DH19" s="215"/>
      <c r="DI19" s="215"/>
      <c r="DJ19" s="215"/>
      <c r="DK19" s="215"/>
      <c r="DL19" s="215"/>
      <c r="DM19" s="215"/>
      <c r="DN19" s="215"/>
      <c r="DO19" s="215"/>
      <c r="DP19" s="215"/>
      <c r="DQ19" s="215"/>
      <c r="DR19" s="215"/>
      <c r="DS19" s="215"/>
      <c r="DT19" s="215"/>
      <c r="DU19" s="215"/>
      <c r="DV19" s="215"/>
      <c r="DW19" s="215"/>
      <c r="DX19" s="215"/>
      <c r="DY19" s="215"/>
      <c r="DZ19" s="215"/>
      <c r="EA19" s="215" t="s">
        <v>63</v>
      </c>
      <c r="EB19" s="215"/>
      <c r="EC19" s="215"/>
      <c r="ED19" s="215"/>
      <c r="EE19" s="215"/>
      <c r="EF19" s="215"/>
      <c r="EG19" s="215"/>
      <c r="EH19" s="215"/>
      <c r="EI19" s="215"/>
      <c r="EJ19" s="215"/>
      <c r="EK19" s="215"/>
      <c r="EL19" s="211" t="s">
        <v>170</v>
      </c>
      <c r="EM19" s="211"/>
      <c r="EN19" s="211"/>
      <c r="EO19" s="211"/>
      <c r="EP19" s="211" t="s">
        <v>206</v>
      </c>
      <c r="EQ19" s="211"/>
      <c r="ER19" s="211"/>
      <c r="ES19" s="211"/>
      <c r="ET19" s="211"/>
      <c r="EU19" s="211" t="s">
        <v>172</v>
      </c>
      <c r="EV19" s="211"/>
      <c r="EW19" s="211"/>
      <c r="EX19" s="211"/>
      <c r="EY19" s="211"/>
    </row>
    <row r="20" spans="2:155">
      <c r="B20" s="11" t="s">
        <v>69</v>
      </c>
      <c r="C20" s="85"/>
      <c r="D20" s="85"/>
      <c r="E20" s="97" t="s">
        <v>167</v>
      </c>
      <c r="F20" s="99">
        <v>12</v>
      </c>
      <c r="G20" s="85" t="s">
        <v>7</v>
      </c>
      <c r="H20" s="4"/>
      <c r="I20" s="4"/>
      <c r="J20" s="4"/>
      <c r="K20" s="4"/>
      <c r="L20" s="4"/>
      <c r="M20" s="4"/>
      <c r="N20" s="9"/>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1"/>
      <c r="BM20" s="211"/>
      <c r="BN20" s="211"/>
      <c r="BO20" s="211"/>
      <c r="BP20" s="211"/>
      <c r="BQ20" s="211"/>
      <c r="BR20" s="211"/>
      <c r="BS20" s="211"/>
      <c r="BT20" s="211"/>
      <c r="BU20" s="211"/>
      <c r="BV20" s="211"/>
      <c r="BW20" s="211"/>
      <c r="BX20" s="211"/>
      <c r="BY20" s="211"/>
      <c r="CV20" s="1">
        <f>COUNTA($CV$23:$CV$99)</f>
        <v>0</v>
      </c>
      <c r="CW20" s="83">
        <f>COUNTA($CW$23:$CW$99)</f>
        <v>0</v>
      </c>
      <c r="CX20" s="83">
        <f>COUNTA($CX$23:$CX$99)</f>
        <v>0</v>
      </c>
      <c r="DA20" s="215"/>
      <c r="DB20" s="215"/>
      <c r="DC20" s="215"/>
      <c r="DD20" s="215"/>
      <c r="DE20" s="215"/>
      <c r="DF20" s="215"/>
      <c r="DG20" s="215"/>
      <c r="DH20" s="215"/>
      <c r="DI20" s="215"/>
      <c r="DJ20" s="215"/>
      <c r="DK20" s="215"/>
      <c r="DL20" s="215"/>
      <c r="DM20" s="215"/>
      <c r="DN20" s="215"/>
      <c r="DO20" s="215"/>
      <c r="DP20" s="215"/>
      <c r="DQ20" s="215"/>
      <c r="DR20" s="215"/>
      <c r="DS20" s="215"/>
      <c r="DT20" s="215"/>
      <c r="DU20" s="215"/>
      <c r="DV20" s="215"/>
      <c r="DW20" s="215"/>
      <c r="DX20" s="215"/>
      <c r="DY20" s="215"/>
      <c r="DZ20" s="215"/>
      <c r="EA20" s="215"/>
      <c r="EB20" s="215"/>
      <c r="EC20" s="215"/>
      <c r="ED20" s="215"/>
      <c r="EE20" s="215"/>
      <c r="EF20" s="215"/>
      <c r="EG20" s="215"/>
      <c r="EH20" s="215"/>
      <c r="EI20" s="215"/>
      <c r="EJ20" s="215"/>
      <c r="EK20" s="215"/>
      <c r="EL20" s="211"/>
      <c r="EM20" s="211"/>
      <c r="EN20" s="211"/>
      <c r="EO20" s="211"/>
      <c r="EP20" s="211"/>
      <c r="EQ20" s="211"/>
      <c r="ER20" s="211"/>
      <c r="ES20" s="211"/>
      <c r="ET20" s="211"/>
      <c r="EU20" s="211"/>
      <c r="EV20" s="211"/>
      <c r="EW20" s="211"/>
      <c r="EX20" s="211"/>
      <c r="EY20" s="211"/>
    </row>
    <row r="21" spans="2:155" ht="15" customHeight="1">
      <c r="B21" s="11" t="s">
        <v>36</v>
      </c>
      <c r="C21" s="85"/>
      <c r="D21" s="85"/>
      <c r="E21" s="97" t="s">
        <v>94</v>
      </c>
      <c r="F21" s="100">
        <f>F34-F20-F18</f>
        <v>487.63750024963593</v>
      </c>
      <c r="G21" s="85" t="s">
        <v>7</v>
      </c>
      <c r="H21" s="4"/>
      <c r="I21" s="4"/>
      <c r="J21" s="4"/>
      <c r="K21" s="85"/>
      <c r="L21" s="85"/>
      <c r="M21" s="85"/>
      <c r="N21" s="9"/>
      <c r="AA21" s="163" t="s">
        <v>207</v>
      </c>
      <c r="AB21" s="216" t="s">
        <v>97</v>
      </c>
      <c r="AC21" s="144" t="s">
        <v>57</v>
      </c>
      <c r="AD21" s="144" t="s">
        <v>65</v>
      </c>
      <c r="AE21" s="132" t="s">
        <v>177</v>
      </c>
      <c r="AF21" s="132" t="s">
        <v>178</v>
      </c>
      <c r="AG21" s="132" t="s">
        <v>82</v>
      </c>
      <c r="AH21" s="130" t="s">
        <v>179</v>
      </c>
      <c r="AI21" s="130" t="s">
        <v>180</v>
      </c>
      <c r="AJ21" s="130" t="s">
        <v>181</v>
      </c>
      <c r="AK21" s="130" t="s">
        <v>182</v>
      </c>
      <c r="AL21" s="130" t="s">
        <v>183</v>
      </c>
      <c r="AM21" s="132" t="s">
        <v>184</v>
      </c>
      <c r="AN21" s="130" t="s">
        <v>31</v>
      </c>
      <c r="AO21" s="130" t="s">
        <v>185</v>
      </c>
      <c r="AP21" s="130" t="s">
        <v>186</v>
      </c>
      <c r="AQ21" s="130" t="s">
        <v>187</v>
      </c>
      <c r="AR21" s="130" t="s">
        <v>188</v>
      </c>
      <c r="AS21" s="130" t="s">
        <v>189</v>
      </c>
      <c r="AT21" s="216" t="s">
        <v>98</v>
      </c>
      <c r="AU21" s="133" t="s">
        <v>75</v>
      </c>
      <c r="AV21" s="133" t="s">
        <v>190</v>
      </c>
      <c r="AW21" s="133" t="s">
        <v>191</v>
      </c>
      <c r="AX21" s="133" t="s">
        <v>76</v>
      </c>
      <c r="AY21" s="133" t="s">
        <v>192</v>
      </c>
      <c r="AZ21" s="133" t="s">
        <v>193</v>
      </c>
      <c r="BA21" s="134" t="s">
        <v>194</v>
      </c>
      <c r="BB21" s="134" t="s">
        <v>195</v>
      </c>
      <c r="BC21" s="134" t="s">
        <v>196</v>
      </c>
      <c r="BD21" s="134" t="s">
        <v>58</v>
      </c>
      <c r="BE21" s="214" t="s">
        <v>62</v>
      </c>
      <c r="BF21" s="135" t="s">
        <v>61</v>
      </c>
      <c r="BG21" s="214" t="s">
        <v>62</v>
      </c>
      <c r="BH21" s="135" t="s">
        <v>197</v>
      </c>
      <c r="BI21" s="214" t="s">
        <v>62</v>
      </c>
      <c r="BJ21" s="211" t="s">
        <v>110</v>
      </c>
      <c r="BK21" s="211" t="s">
        <v>111</v>
      </c>
      <c r="BL21" s="222" t="s">
        <v>198</v>
      </c>
      <c r="BM21" s="136" t="s">
        <v>58</v>
      </c>
      <c r="BN21" s="214" t="s">
        <v>62</v>
      </c>
      <c r="BO21" s="211" t="s">
        <v>111</v>
      </c>
      <c r="BP21" s="211" t="s">
        <v>152</v>
      </c>
      <c r="BQ21" s="211" t="s">
        <v>153</v>
      </c>
      <c r="BR21" s="215" t="s">
        <v>199</v>
      </c>
      <c r="BS21" s="215" t="s">
        <v>200</v>
      </c>
      <c r="BT21" s="211" t="s">
        <v>111</v>
      </c>
      <c r="BU21" s="224" t="s">
        <v>201</v>
      </c>
      <c r="BV21" s="224" t="s">
        <v>173</v>
      </c>
      <c r="BW21" s="224"/>
      <c r="BX21" s="224" t="s">
        <v>174</v>
      </c>
      <c r="BY21" s="224"/>
      <c r="CV21" s="1" t="s">
        <v>56</v>
      </c>
      <c r="CW21" s="1" t="s">
        <v>97</v>
      </c>
      <c r="CX21" s="1" t="s">
        <v>126</v>
      </c>
      <c r="CY21" s="1" t="s">
        <v>127</v>
      </c>
      <c r="DA21" s="219" t="s">
        <v>56</v>
      </c>
      <c r="DB21" s="216" t="s">
        <v>97</v>
      </c>
      <c r="DC21" s="144" t="s">
        <v>57</v>
      </c>
      <c r="DD21" s="144" t="s">
        <v>65</v>
      </c>
      <c r="DE21" s="130" t="s">
        <v>177</v>
      </c>
      <c r="DF21" s="130" t="s">
        <v>178</v>
      </c>
      <c r="DG21" s="147" t="s">
        <v>82</v>
      </c>
      <c r="DH21" s="130" t="s">
        <v>179</v>
      </c>
      <c r="DI21" s="130" t="s">
        <v>180</v>
      </c>
      <c r="DJ21" s="130" t="s">
        <v>181</v>
      </c>
      <c r="DK21" s="130" t="s">
        <v>182</v>
      </c>
      <c r="DL21" s="130" t="s">
        <v>183</v>
      </c>
      <c r="DM21" s="130" t="s">
        <v>184</v>
      </c>
      <c r="DN21" s="130" t="s">
        <v>31</v>
      </c>
      <c r="DO21" s="130" t="s">
        <v>185</v>
      </c>
      <c r="DP21" s="130" t="s">
        <v>186</v>
      </c>
      <c r="DQ21" s="130" t="s">
        <v>187</v>
      </c>
      <c r="DR21" s="130" t="s">
        <v>188</v>
      </c>
      <c r="DS21" s="130" t="s">
        <v>189</v>
      </c>
      <c r="DT21" s="216" t="s">
        <v>98</v>
      </c>
      <c r="DU21" s="133" t="s">
        <v>75</v>
      </c>
      <c r="DV21" s="133" t="s">
        <v>190</v>
      </c>
      <c r="DW21" s="133" t="s">
        <v>191</v>
      </c>
      <c r="DX21" s="133" t="s">
        <v>76</v>
      </c>
      <c r="DY21" s="133" t="s">
        <v>192</v>
      </c>
      <c r="DZ21" s="133" t="s">
        <v>193</v>
      </c>
      <c r="EA21" s="134" t="s">
        <v>194</v>
      </c>
      <c r="EB21" s="134" t="s">
        <v>195</v>
      </c>
      <c r="EC21" s="134" t="s">
        <v>196</v>
      </c>
      <c r="ED21" s="146" t="s">
        <v>58</v>
      </c>
      <c r="EE21" s="214" t="s">
        <v>62</v>
      </c>
      <c r="EF21" s="146" t="s">
        <v>61</v>
      </c>
      <c r="EG21" s="214" t="s">
        <v>62</v>
      </c>
      <c r="EH21" s="146" t="s">
        <v>197</v>
      </c>
      <c r="EI21" s="214" t="s">
        <v>62</v>
      </c>
      <c r="EJ21" s="220" t="s">
        <v>110</v>
      </c>
      <c r="EK21" s="221" t="s">
        <v>111</v>
      </c>
      <c r="EL21" s="222" t="s">
        <v>198</v>
      </c>
      <c r="EM21" s="146" t="s">
        <v>58</v>
      </c>
      <c r="EN21" s="214" t="s">
        <v>62</v>
      </c>
      <c r="EO21" s="211" t="s">
        <v>176</v>
      </c>
      <c r="EP21" s="211" t="s">
        <v>152</v>
      </c>
      <c r="EQ21" s="211" t="s">
        <v>153</v>
      </c>
      <c r="ER21" s="225" t="s">
        <v>199</v>
      </c>
      <c r="ES21" s="225" t="s">
        <v>200</v>
      </c>
      <c r="ET21" s="211" t="s">
        <v>111</v>
      </c>
      <c r="EU21" s="226" t="s">
        <v>201</v>
      </c>
      <c r="EV21" s="224" t="s">
        <v>173</v>
      </c>
      <c r="EW21" s="224"/>
      <c r="EX21" s="224" t="s">
        <v>174</v>
      </c>
      <c r="EY21" s="224"/>
    </row>
    <row r="22" spans="2:155" ht="15.75">
      <c r="B22" s="11" t="s">
        <v>6</v>
      </c>
      <c r="C22" s="85"/>
      <c r="D22" s="85"/>
      <c r="E22" s="97" t="s">
        <v>91</v>
      </c>
      <c r="F22" s="159">
        <v>6.0931233100067912</v>
      </c>
      <c r="G22" s="85" t="s">
        <v>210</v>
      </c>
      <c r="H22" s="4"/>
      <c r="I22" s="4"/>
      <c r="J22" s="4"/>
      <c r="K22" s="85"/>
      <c r="L22" s="85"/>
      <c r="M22" s="85"/>
      <c r="N22" s="9"/>
      <c r="AA22" s="164">
        <f>23+COUNTA(AA23:AA999999)</f>
        <v>24</v>
      </c>
      <c r="AB22" s="216"/>
      <c r="AC22" s="141" t="s">
        <v>95</v>
      </c>
      <c r="AD22" s="141" t="s">
        <v>95</v>
      </c>
      <c r="AE22" s="130" t="s">
        <v>85</v>
      </c>
      <c r="AF22" s="130" t="s">
        <v>85</v>
      </c>
      <c r="AG22" s="132" t="s">
        <v>7</v>
      </c>
      <c r="AH22" s="130" t="s">
        <v>7</v>
      </c>
      <c r="AI22" s="130" t="s">
        <v>7</v>
      </c>
      <c r="AJ22" s="130" t="s">
        <v>7</v>
      </c>
      <c r="AK22" s="130" t="s">
        <v>7</v>
      </c>
      <c r="AL22" s="130" t="s">
        <v>7</v>
      </c>
      <c r="AM22" s="132" t="s">
        <v>7</v>
      </c>
      <c r="AN22" s="132" t="s">
        <v>202</v>
      </c>
      <c r="AO22" s="131" t="s">
        <v>203</v>
      </c>
      <c r="AP22" s="131" t="s">
        <v>203</v>
      </c>
      <c r="AQ22" s="131" t="s">
        <v>204</v>
      </c>
      <c r="AR22" s="131" t="s">
        <v>204</v>
      </c>
      <c r="AS22" s="131" t="s">
        <v>204</v>
      </c>
      <c r="AT22" s="216"/>
      <c r="AU22" s="133" t="s">
        <v>39</v>
      </c>
      <c r="AV22" s="133" t="s">
        <v>39</v>
      </c>
      <c r="AW22" s="133" t="s">
        <v>39</v>
      </c>
      <c r="AX22" s="133" t="s">
        <v>96</v>
      </c>
      <c r="AY22" s="133" t="s">
        <v>96</v>
      </c>
      <c r="AZ22" s="133" t="s">
        <v>96</v>
      </c>
      <c r="BA22" s="130" t="s">
        <v>79</v>
      </c>
      <c r="BB22" s="130" t="s">
        <v>79</v>
      </c>
      <c r="BC22" s="130" t="s">
        <v>79</v>
      </c>
      <c r="BD22" s="130" t="s">
        <v>79</v>
      </c>
      <c r="BE22" s="214"/>
      <c r="BF22" s="132" t="s">
        <v>79</v>
      </c>
      <c r="BG22" s="214"/>
      <c r="BH22" s="132" t="s">
        <v>79</v>
      </c>
      <c r="BI22" s="214"/>
      <c r="BJ22" s="211"/>
      <c r="BK22" s="211"/>
      <c r="BL22" s="223"/>
      <c r="BM22" s="138" t="s">
        <v>79</v>
      </c>
      <c r="BN22" s="214"/>
      <c r="BO22" s="211"/>
      <c r="BP22" s="211"/>
      <c r="BQ22" s="211"/>
      <c r="BR22" s="215"/>
      <c r="BS22" s="215"/>
      <c r="BT22" s="211"/>
      <c r="BU22" s="215"/>
      <c r="BV22" s="137" t="s">
        <v>205</v>
      </c>
      <c r="BW22" s="139" t="s">
        <v>111</v>
      </c>
      <c r="BX22" s="137" t="s">
        <v>205</v>
      </c>
      <c r="BY22" s="139" t="s">
        <v>111</v>
      </c>
      <c r="CX22" s="1" t="e">
        <f t="array" aca="1" ref="CX22" ca="1">IF(CW22="",FINDCV($AA$23:$AA$99999,$BJ$23:$BJ$99999,CV22),FINDCV($AB$23:$AB$99999,$BJ$23:$BJ$99999,CW22))</f>
        <v>#NAME?</v>
      </c>
      <c r="CY22" s="1" t="str">
        <f ca="1">IFERROR(MATCH(CX22,$BJ$23:$BJ$99999,0),"")</f>
        <v/>
      </c>
      <c r="DA22" s="219"/>
      <c r="DB22" s="216"/>
      <c r="DC22" s="141" t="s">
        <v>95</v>
      </c>
      <c r="DD22" s="141" t="s">
        <v>95</v>
      </c>
      <c r="DE22" s="130" t="s">
        <v>85</v>
      </c>
      <c r="DF22" s="130" t="s">
        <v>85</v>
      </c>
      <c r="DG22" s="147" t="s">
        <v>7</v>
      </c>
      <c r="DH22" s="130" t="s">
        <v>7</v>
      </c>
      <c r="DI22" s="130" t="s">
        <v>7</v>
      </c>
      <c r="DJ22" s="130" t="s">
        <v>7</v>
      </c>
      <c r="DK22" s="130" t="s">
        <v>7</v>
      </c>
      <c r="DL22" s="130" t="s">
        <v>7</v>
      </c>
      <c r="DM22" s="130" t="s">
        <v>7</v>
      </c>
      <c r="DN22" s="132" t="s">
        <v>202</v>
      </c>
      <c r="DO22" s="131" t="s">
        <v>203</v>
      </c>
      <c r="DP22" s="131" t="s">
        <v>203</v>
      </c>
      <c r="DQ22" s="131" t="s">
        <v>204</v>
      </c>
      <c r="DR22" s="131" t="s">
        <v>204</v>
      </c>
      <c r="DS22" s="131" t="s">
        <v>204</v>
      </c>
      <c r="DT22" s="216"/>
      <c r="DU22" s="133" t="s">
        <v>39</v>
      </c>
      <c r="DV22" s="133" t="s">
        <v>39</v>
      </c>
      <c r="DW22" s="133" t="s">
        <v>39</v>
      </c>
      <c r="DX22" s="133" t="s">
        <v>96</v>
      </c>
      <c r="DY22" s="133" t="s">
        <v>96</v>
      </c>
      <c r="DZ22" s="133" t="s">
        <v>96</v>
      </c>
      <c r="EA22" s="130" t="s">
        <v>79</v>
      </c>
      <c r="EB22" s="130" t="s">
        <v>79</v>
      </c>
      <c r="EC22" s="130" t="s">
        <v>79</v>
      </c>
      <c r="ED22" s="147" t="s">
        <v>79</v>
      </c>
      <c r="EE22" s="214"/>
      <c r="EF22" s="147" t="s">
        <v>79</v>
      </c>
      <c r="EG22" s="214"/>
      <c r="EH22" s="147" t="s">
        <v>79</v>
      </c>
      <c r="EI22" s="214"/>
      <c r="EJ22" s="220"/>
      <c r="EK22" s="221"/>
      <c r="EL22" s="223"/>
      <c r="EM22" s="147" t="s">
        <v>79</v>
      </c>
      <c r="EN22" s="214"/>
      <c r="EO22" s="211"/>
      <c r="EP22" s="211"/>
      <c r="EQ22" s="211"/>
      <c r="ER22" s="225"/>
      <c r="ES22" s="225"/>
      <c r="ET22" s="211"/>
      <c r="EU22" s="214"/>
      <c r="EV22" s="137" t="s">
        <v>205</v>
      </c>
      <c r="EW22" s="130" t="s">
        <v>111</v>
      </c>
      <c r="EX22" s="137" t="s">
        <v>205</v>
      </c>
      <c r="EY22" s="130" t="s">
        <v>111</v>
      </c>
    </row>
    <row r="23" spans="2:155">
      <c r="B23" s="11"/>
      <c r="C23" s="85"/>
      <c r="D23" s="85"/>
      <c r="E23" s="97"/>
      <c r="F23" s="99"/>
      <c r="G23" s="85"/>
      <c r="H23" s="4"/>
      <c r="I23" s="4"/>
      <c r="J23" s="4"/>
      <c r="K23" s="4"/>
      <c r="L23" s="4"/>
      <c r="M23" s="4"/>
      <c r="N23" s="12"/>
      <c r="AA23" s="22" t="s">
        <v>208</v>
      </c>
      <c r="AB23" s="27" t="s">
        <v>118</v>
      </c>
      <c r="AC23" s="156">
        <v>0.19003674283752764</v>
      </c>
      <c r="AD23" s="156">
        <v>6.0931233100067912</v>
      </c>
      <c r="AE23" s="27">
        <v>514</v>
      </c>
      <c r="AF23" s="27">
        <v>310</v>
      </c>
      <c r="AG23" s="27">
        <v>507.63750024963593</v>
      </c>
      <c r="AH23" s="8">
        <v>5</v>
      </c>
      <c r="AI23" s="8">
        <v>164</v>
      </c>
      <c r="AJ23" s="8">
        <v>8</v>
      </c>
      <c r="AK23" s="8">
        <v>164</v>
      </c>
      <c r="AL23" s="8">
        <v>8</v>
      </c>
      <c r="AM23" s="7">
        <f>AG23-AJ23-AL23</f>
        <v>491.63750024963593</v>
      </c>
      <c r="AN23" s="32">
        <f>(AM23*AH23+AI23*AJ23+AK23*AL23)/100</f>
        <v>50.821875012481797</v>
      </c>
      <c r="AO23" s="32">
        <f>(AH23*AM23^3/12+AI23*AJ23^3/12+AI23*AJ23*(AM23/2+AJ23/2)^2+AK23*AL23^3/12+AK23*AL23*(AM23/2+AL23/2)^2)/10000</f>
        <v>21328.979665322862</v>
      </c>
      <c r="AP23" s="7">
        <f>(AM23*AH23^3/12+AJ23*AI23^3/12+AL23*AK23^3/12)/10000</f>
        <v>588.63798906275997</v>
      </c>
      <c r="AQ23" s="7">
        <f>AO23/(AG23/20)</f>
        <v>840.32324857143612</v>
      </c>
      <c r="AR23" s="32">
        <f>AP23/(MAX(AI23,AK23)/20)</f>
        <v>71.78512061740976</v>
      </c>
      <c r="AS23" s="32">
        <f>(AH23*AM23^2/8+AI23*AJ23*(AM23/2+AJ23/2))/1000</f>
        <v>478.82934494608037</v>
      </c>
      <c r="AT23" s="27" t="s">
        <v>120</v>
      </c>
      <c r="AU23" s="28">
        <v>-8.0963182256102009</v>
      </c>
      <c r="AV23" s="28">
        <v>-15.191515563160113</v>
      </c>
      <c r="AW23" s="28">
        <v>-1.2342244936336467E-4</v>
      </c>
      <c r="AX23" s="28">
        <v>1.2948385831796626E-5</v>
      </c>
      <c r="AY23" s="28">
        <v>-6.6590509704964905E-5</v>
      </c>
      <c r="AZ23" s="28">
        <v>-38.209034252314616</v>
      </c>
      <c r="BA23" s="29">
        <f>ABS(AU23)/AN23*10</f>
        <v>1.5930774343964591</v>
      </c>
      <c r="BB23" s="29">
        <f>ABS(AZ23)/AQ23*1000</f>
        <v>45.469447997863476</v>
      </c>
      <c r="BC23" s="29">
        <f>ABS(AY23)/AR23*1000</f>
        <v>9.2763666247591388E-4</v>
      </c>
      <c r="BD23" s="29">
        <f>BA23+BB23+BC23</f>
        <v>47.063453068922406</v>
      </c>
      <c r="BE23" s="31">
        <f>BD23/$BH$14</f>
        <v>0.15795514378585707</v>
      </c>
      <c r="BF23" s="30">
        <f>ABS(AV23)*AS23/(AO23*AH23)*100</f>
        <v>6.8209014776947896</v>
      </c>
      <c r="BG23" s="31">
        <f>BF23/$BH$15</f>
        <v>3.9469694760326524E-2</v>
      </c>
      <c r="BH23" s="30">
        <f>SQRT(BD23^2+3*BF23^2)</f>
        <v>48.523630384338709</v>
      </c>
      <c r="BI23" s="31">
        <f>BH23/$BH$16</f>
        <v>0.14161375232387516</v>
      </c>
      <c r="BJ23" s="33">
        <f>MAX(BE23,BG23,BI23)</f>
        <v>0.15795514378585707</v>
      </c>
      <c r="BK23" s="7" t="str">
        <f>IF(BJ23&lt;=1,"OK","Check")</f>
        <v>OK</v>
      </c>
      <c r="BL23" s="118">
        <f>1</f>
        <v>1</v>
      </c>
      <c r="BM23" s="123">
        <f>ABS(AZ23)/(BL23*AQ23)*1000</f>
        <v>45.469447997863476</v>
      </c>
      <c r="BN23" s="121">
        <f>BM23/$BH$14</f>
        <v>0.15260531746041137</v>
      </c>
      <c r="BO23" s="7" t="str">
        <f>IF(BN23&lt;=1,"OK","Check")</f>
        <v>OK</v>
      </c>
      <c r="BP23" s="123">
        <f>((AI23-AH23)/2)/AJ23</f>
        <v>9.9375</v>
      </c>
      <c r="BQ23" s="21">
        <f>((AK23-AH23)/2)/AL23</f>
        <v>9.9375</v>
      </c>
      <c r="BR23" s="122">
        <f>MAX(BP23,BQ23)</f>
        <v>9.9375</v>
      </c>
      <c r="BS23" s="119">
        <f>0.5*SQRT($AJ$14/$AJ$16)</f>
        <v>12.81416788366395</v>
      </c>
      <c r="BT23" s="7" t="str">
        <f>IF(BR23&lt;=BS23,"OK","Check")</f>
        <v>OK</v>
      </c>
      <c r="BU23" s="124">
        <f>(AM23/AH23)*SQRT($AJ$16/$AJ$14)</f>
        <v>3.8366712900366817</v>
      </c>
      <c r="BV23" s="8">
        <f>3.2</f>
        <v>3.2</v>
      </c>
      <c r="BW23" s="7" t="str">
        <f>IF(BU23&lt;=BV23,"OK","Gia cường")</f>
        <v>Gia cường</v>
      </c>
      <c r="BX23" s="7">
        <f>5.5</f>
        <v>5.5</v>
      </c>
      <c r="BY23" s="7" t="str">
        <f>IF(BU23&lt;=BX23,"OK","Gia cường")</f>
        <v>OK</v>
      </c>
      <c r="CX23" s="120"/>
      <c r="DA23" s="36" t="s">
        <v>208</v>
      </c>
      <c r="DB23" s="36" t="s">
        <v>211</v>
      </c>
      <c r="DC23" s="37">
        <v>0.19003674283752764</v>
      </c>
      <c r="DD23" s="37">
        <v>6.0931233100067912</v>
      </c>
      <c r="DE23" s="30">
        <v>514</v>
      </c>
      <c r="DF23" s="30">
        <v>310</v>
      </c>
      <c r="DG23" s="148">
        <v>507.63750024963593</v>
      </c>
      <c r="DH23" s="30">
        <v>5</v>
      </c>
      <c r="DI23" s="30">
        <v>164</v>
      </c>
      <c r="DJ23" s="30">
        <v>8</v>
      </c>
      <c r="DK23" s="30">
        <v>164</v>
      </c>
      <c r="DL23" s="30">
        <v>8</v>
      </c>
      <c r="DM23" s="30">
        <v>491.63750024963593</v>
      </c>
      <c r="DN23" s="29">
        <v>50.821875012481797</v>
      </c>
      <c r="DO23" s="29">
        <v>21328.979665322862</v>
      </c>
      <c r="DP23" s="30">
        <v>588.63798906275997</v>
      </c>
      <c r="DQ23" s="30">
        <v>840.32324857143612</v>
      </c>
      <c r="DR23" s="29">
        <v>71.78512061740976</v>
      </c>
      <c r="DS23" s="29">
        <v>478.82934494608037</v>
      </c>
      <c r="DT23" s="36" t="s">
        <v>119</v>
      </c>
      <c r="DU23" s="82">
        <v>-22.961401177708371</v>
      </c>
      <c r="DV23" s="82">
        <v>-40.510195549684951</v>
      </c>
      <c r="DW23" s="82">
        <v>1.6137720804949838E-5</v>
      </c>
      <c r="DX23" s="82">
        <v>-2.683330305952192E-6</v>
      </c>
      <c r="DY23" s="82">
        <v>-6.6272531467969446E-6</v>
      </c>
      <c r="DZ23" s="82">
        <v>-110.20492745706703</v>
      </c>
      <c r="EA23" s="29">
        <v>4.5180153569834003</v>
      </c>
      <c r="EB23" s="29">
        <v>131.14587469098026</v>
      </c>
      <c r="EC23" s="29">
        <v>9.2320707826318849E-5</v>
      </c>
      <c r="ED23" s="148">
        <v>135.6639823686715</v>
      </c>
      <c r="EE23" s="31">
        <v>0.45531771351804318</v>
      </c>
      <c r="EF23" s="148">
        <v>18.188840444374478</v>
      </c>
      <c r="EG23" s="31">
        <v>0.10525118750525753</v>
      </c>
      <c r="EH23" s="148">
        <v>139.27389512130387</v>
      </c>
      <c r="EI23" s="31">
        <v>0.40646379367475022</v>
      </c>
      <c r="EJ23" s="31">
        <v>0.45531771351804318</v>
      </c>
      <c r="EK23" s="126" t="s">
        <v>128</v>
      </c>
      <c r="EL23" s="22">
        <v>1</v>
      </c>
      <c r="EM23" s="18">
        <v>131.14587469098026</v>
      </c>
      <c r="EN23" s="142">
        <v>0.44015396540069657</v>
      </c>
      <c r="EO23" s="7" t="s">
        <v>128</v>
      </c>
      <c r="EP23" s="22">
        <v>9.9375</v>
      </c>
      <c r="EQ23" s="22">
        <v>9.9375</v>
      </c>
      <c r="ER23" s="32">
        <v>9.9375</v>
      </c>
      <c r="ES23" s="32">
        <v>12.81416788366395</v>
      </c>
      <c r="ET23" s="22" t="s">
        <v>128</v>
      </c>
      <c r="EU23" s="142">
        <v>3.8366712900366817</v>
      </c>
      <c r="EV23" s="7">
        <v>3.2</v>
      </c>
      <c r="EW23" s="7" t="s">
        <v>209</v>
      </c>
      <c r="EX23" s="7">
        <v>5.5</v>
      </c>
      <c r="EY23" s="7" t="s">
        <v>128</v>
      </c>
    </row>
    <row r="24" spans="2:155" ht="15" customHeight="1">
      <c r="B24" s="13"/>
      <c r="C24" s="4"/>
      <c r="D24" s="4"/>
      <c r="E24" s="4"/>
      <c r="F24" s="4"/>
      <c r="G24" s="4"/>
      <c r="H24" s="4"/>
      <c r="I24" s="4"/>
      <c r="J24" s="4"/>
      <c r="K24" s="4"/>
      <c r="L24" s="85"/>
      <c r="M24" s="85"/>
      <c r="N24" s="12"/>
      <c r="AN24" s="32"/>
      <c r="AO24" s="32"/>
      <c r="AR24" s="32"/>
      <c r="AS24" s="32"/>
      <c r="BA24" s="29"/>
      <c r="BD24" s="29"/>
      <c r="BF24" s="30"/>
      <c r="BG24" s="31"/>
      <c r="BH24" s="30"/>
      <c r="BI24" s="31"/>
      <c r="BJ24" s="33"/>
      <c r="BL24" s="118"/>
      <c r="BM24" s="123"/>
      <c r="BN24" s="121"/>
      <c r="BO24" s="7"/>
      <c r="BP24" s="123"/>
      <c r="BQ24" s="21"/>
      <c r="BR24" s="122"/>
      <c r="BS24" s="119"/>
      <c r="BT24" s="7"/>
      <c r="BU24" s="119"/>
      <c r="BV24" s="8"/>
      <c r="BW24" s="7"/>
      <c r="BX24" s="7"/>
      <c r="BY24" s="7"/>
      <c r="CX24" s="120"/>
      <c r="DN24" s="29"/>
      <c r="DO24" s="29"/>
      <c r="DR24" s="29"/>
      <c r="DS24" s="29"/>
      <c r="EA24" s="29"/>
    </row>
    <row r="25" spans="2:155">
      <c r="B25" s="10" t="s">
        <v>77</v>
      </c>
      <c r="C25" s="85"/>
      <c r="D25" s="85"/>
      <c r="E25" s="85"/>
      <c r="F25" s="85"/>
      <c r="G25" s="85"/>
      <c r="H25" s="85"/>
      <c r="I25" s="85"/>
      <c r="J25" s="85"/>
      <c r="K25" s="85"/>
      <c r="L25" s="85"/>
      <c r="M25" s="85"/>
      <c r="N25" s="9"/>
      <c r="AN25" s="32"/>
      <c r="AO25" s="32"/>
      <c r="AR25" s="32"/>
      <c r="AS25" s="32"/>
      <c r="BA25" s="29"/>
      <c r="BD25" s="29"/>
      <c r="BF25" s="30"/>
      <c r="BG25" s="31"/>
      <c r="BH25" s="30"/>
      <c r="BI25" s="31"/>
      <c r="BJ25" s="33"/>
      <c r="BL25" s="118"/>
      <c r="BM25" s="123"/>
      <c r="BN25" s="121"/>
      <c r="BO25" s="7"/>
      <c r="BP25" s="123"/>
      <c r="BQ25" s="21"/>
      <c r="BR25" s="122"/>
      <c r="BS25" s="119"/>
      <c r="BT25" s="7"/>
      <c r="BU25" s="119"/>
      <c r="BV25" s="8"/>
      <c r="BW25" s="7"/>
      <c r="BX25" s="7"/>
      <c r="BY25" s="7"/>
      <c r="CX25" s="120"/>
      <c r="DN25" s="29"/>
      <c r="DO25" s="29"/>
      <c r="DR25" s="29"/>
      <c r="DS25" s="29"/>
      <c r="EA25" s="29"/>
    </row>
    <row r="26" spans="2:155" ht="15" customHeight="1">
      <c r="B26" s="26"/>
      <c r="C26" s="186" t="s">
        <v>27</v>
      </c>
      <c r="D26" s="187"/>
      <c r="E26" s="188" t="s">
        <v>113</v>
      </c>
      <c r="F26" s="189"/>
      <c r="G26" s="190" t="s">
        <v>42</v>
      </c>
      <c r="H26" s="190"/>
      <c r="I26" s="186" t="s">
        <v>32</v>
      </c>
      <c r="J26" s="186"/>
      <c r="K26" s="186"/>
      <c r="L26" s="186"/>
      <c r="M26" s="186"/>
      <c r="N26" s="186"/>
      <c r="AN26" s="32"/>
      <c r="AO26" s="32"/>
      <c r="AR26" s="32"/>
      <c r="AS26" s="32"/>
      <c r="BA26" s="29"/>
      <c r="BD26" s="29"/>
      <c r="BF26" s="30"/>
      <c r="BG26" s="31"/>
      <c r="BH26" s="30"/>
      <c r="BI26" s="31"/>
      <c r="BJ26" s="33"/>
      <c r="BL26" s="118"/>
      <c r="BM26" s="123"/>
      <c r="BN26" s="121"/>
      <c r="BO26" s="7"/>
      <c r="BP26" s="123"/>
      <c r="BQ26" s="21"/>
      <c r="BR26" s="122"/>
      <c r="BS26" s="119"/>
      <c r="BT26" s="7"/>
      <c r="BU26" s="119"/>
      <c r="BV26" s="8"/>
      <c r="BW26" s="7"/>
      <c r="BX26" s="7"/>
      <c r="BY26" s="7"/>
      <c r="CX26" s="120"/>
      <c r="DN26" s="29"/>
      <c r="DO26" s="29"/>
      <c r="DR26" s="29"/>
      <c r="DS26" s="29"/>
      <c r="EA26" s="29"/>
    </row>
    <row r="27" spans="2:155">
      <c r="B27" s="26"/>
      <c r="C27" s="7" t="s">
        <v>24</v>
      </c>
      <c r="D27" s="7" t="s">
        <v>26</v>
      </c>
      <c r="E27" s="7" t="s">
        <v>106</v>
      </c>
      <c r="F27" s="7" t="s">
        <v>29</v>
      </c>
      <c r="G27" s="191" t="s">
        <v>28</v>
      </c>
      <c r="H27" s="191" t="s">
        <v>43</v>
      </c>
      <c r="I27" s="7" t="s">
        <v>31</v>
      </c>
      <c r="J27" s="7" t="s">
        <v>88</v>
      </c>
      <c r="K27" s="7" t="s">
        <v>89</v>
      </c>
      <c r="L27" s="7" t="s">
        <v>33</v>
      </c>
      <c r="M27" s="7" t="s">
        <v>34</v>
      </c>
      <c r="N27" s="7" t="s">
        <v>35</v>
      </c>
      <c r="AN27" s="32"/>
      <c r="AO27" s="32"/>
      <c r="AR27" s="32"/>
      <c r="AS27" s="32"/>
      <c r="BA27" s="29"/>
      <c r="BD27" s="29"/>
      <c r="BF27" s="30"/>
      <c r="BG27" s="31"/>
      <c r="BH27" s="30"/>
      <c r="BI27" s="31"/>
      <c r="BJ27" s="33"/>
      <c r="BL27" s="118"/>
      <c r="BM27" s="123"/>
      <c r="BN27" s="121"/>
      <c r="BO27" s="7"/>
      <c r="BP27" s="123"/>
      <c r="BQ27" s="21"/>
      <c r="BR27" s="122"/>
      <c r="BS27" s="119"/>
      <c r="BT27" s="7"/>
      <c r="BU27" s="119"/>
      <c r="BV27" s="8"/>
      <c r="BW27" s="7"/>
      <c r="BX27" s="7"/>
      <c r="BY27" s="7"/>
      <c r="DN27" s="29"/>
      <c r="DO27" s="29"/>
      <c r="DR27" s="29"/>
      <c r="DS27" s="29"/>
      <c r="EA27" s="29"/>
    </row>
    <row r="28" spans="2:155" ht="15.75">
      <c r="B28" s="26"/>
      <c r="C28" s="7" t="s">
        <v>79</v>
      </c>
      <c r="D28" s="7" t="s">
        <v>79</v>
      </c>
      <c r="E28" s="7" t="s">
        <v>79</v>
      </c>
      <c r="F28" s="7" t="s">
        <v>79</v>
      </c>
      <c r="G28" s="186"/>
      <c r="H28" s="186"/>
      <c r="I28" s="16" t="s">
        <v>80</v>
      </c>
      <c r="J28" s="17" t="s">
        <v>37</v>
      </c>
      <c r="K28" s="17" t="s">
        <v>37</v>
      </c>
      <c r="L28" s="17" t="s">
        <v>38</v>
      </c>
      <c r="M28" s="17" t="s">
        <v>38</v>
      </c>
      <c r="N28" s="17" t="s">
        <v>38</v>
      </c>
      <c r="AN28" s="32"/>
      <c r="AO28" s="32"/>
      <c r="AR28" s="32"/>
      <c r="AS28" s="32"/>
      <c r="BA28" s="29"/>
      <c r="BD28" s="29"/>
      <c r="BF28" s="30"/>
      <c r="BG28" s="31"/>
      <c r="BH28" s="30"/>
      <c r="BI28" s="31"/>
      <c r="BJ28" s="33"/>
      <c r="BL28" s="118"/>
      <c r="BM28" s="123"/>
      <c r="BN28" s="121"/>
      <c r="BO28" s="7"/>
      <c r="BP28" s="123"/>
      <c r="BQ28" s="21"/>
      <c r="BR28" s="122"/>
      <c r="BS28" s="119"/>
      <c r="BT28" s="7"/>
      <c r="BU28" s="119"/>
      <c r="BV28" s="8"/>
      <c r="BW28" s="7"/>
      <c r="BX28" s="7"/>
      <c r="BY28" s="7"/>
      <c r="DN28" s="29"/>
      <c r="DO28" s="29"/>
      <c r="DR28" s="29"/>
      <c r="DS28" s="29"/>
      <c r="EA28" s="29"/>
    </row>
    <row r="29" spans="2:155">
      <c r="B29" s="26"/>
      <c r="C29" s="7">
        <f>VLOOKUP(E26,Data!$C$20:$F$38,2,FALSE)</f>
        <v>206000</v>
      </c>
      <c r="D29" s="7">
        <f>VLOOKUP(E26,Data!$C$20:$F$38,3,FALSE)</f>
        <v>345</v>
      </c>
      <c r="E29" s="18">
        <f>D29/G29</f>
        <v>313.63636363636363</v>
      </c>
      <c r="F29" s="18">
        <f>0.58*D29/G29</f>
        <v>181.90909090909088</v>
      </c>
      <c r="G29" s="8">
        <v>1.1000000000000001</v>
      </c>
      <c r="H29" s="8">
        <v>0.95</v>
      </c>
      <c r="I29" s="23">
        <f>(F21*F16+F19*F20+F17*F18)/100</f>
        <v>61.501875012481797</v>
      </c>
      <c r="J29" s="24">
        <f>(F16*F21^3/12+F17*F18^3/12+F17*F18*(F21/2+F18/2)^2+F19*F20^3/12+F19*F20*(F21/2+F20/2)^2)/10000</f>
        <v>27870.850325467174</v>
      </c>
      <c r="K29" s="19">
        <f>(F21*F16^3/12+F18*F17^3/12+F20*F19^3/12)/10000</f>
        <v>1094.57088906276</v>
      </c>
      <c r="L29" s="19">
        <f>J29/(F34/20)</f>
        <v>1098.0611287291188</v>
      </c>
      <c r="M29" s="19">
        <f>K29/(MAX(F17,F19)/20)</f>
        <v>109.457088906276</v>
      </c>
      <c r="N29" s="19">
        <f>(F16*F21^2/8+F17*F18*(AM23/2+F18/2))/1000</f>
        <v>476.38115744483218</v>
      </c>
      <c r="AN29" s="32"/>
      <c r="AO29" s="32"/>
      <c r="AR29" s="32"/>
      <c r="AS29" s="32"/>
      <c r="BA29" s="29"/>
      <c r="BD29" s="29"/>
      <c r="BF29" s="30"/>
      <c r="BG29" s="31"/>
      <c r="BH29" s="30"/>
      <c r="BI29" s="31"/>
      <c r="BJ29" s="33"/>
      <c r="BL29" s="118"/>
      <c r="BM29" s="123"/>
      <c r="BN29" s="121"/>
      <c r="BO29" s="7"/>
      <c r="BP29" s="123"/>
      <c r="BQ29" s="21"/>
      <c r="BR29" s="122"/>
      <c r="BS29" s="119"/>
      <c r="BT29" s="7"/>
      <c r="BU29" s="119"/>
      <c r="BV29" s="8"/>
      <c r="BW29" s="7"/>
      <c r="BX29" s="7"/>
      <c r="BY29" s="7"/>
      <c r="DN29" s="29"/>
      <c r="DO29" s="29"/>
      <c r="DR29" s="29"/>
      <c r="DS29" s="29"/>
      <c r="EA29" s="29"/>
    </row>
    <row r="30" spans="2:155">
      <c r="B30" s="13"/>
      <c r="C30" s="4"/>
      <c r="D30" s="4"/>
      <c r="E30" s="4"/>
      <c r="F30" s="4"/>
      <c r="G30" s="4"/>
      <c r="H30" s="4"/>
      <c r="I30" s="86"/>
      <c r="J30" s="4"/>
      <c r="K30" s="4"/>
      <c r="L30" s="4"/>
      <c r="M30" s="4"/>
      <c r="N30" s="12"/>
      <c r="AN30" s="32"/>
      <c r="AO30" s="32"/>
      <c r="AR30" s="32"/>
      <c r="AS30" s="32"/>
      <c r="BA30" s="29"/>
      <c r="BD30" s="29"/>
      <c r="BF30" s="30"/>
      <c r="BG30" s="31"/>
      <c r="BH30" s="30"/>
      <c r="BI30" s="31"/>
      <c r="BJ30" s="33"/>
      <c r="BL30" s="118"/>
      <c r="BM30" s="123"/>
      <c r="BN30" s="121"/>
      <c r="BO30" s="7"/>
      <c r="BP30" s="123"/>
      <c r="BQ30" s="21"/>
      <c r="BR30" s="122"/>
      <c r="BS30" s="119"/>
      <c r="BT30" s="7"/>
      <c r="BU30" s="119"/>
      <c r="BV30" s="8"/>
      <c r="BW30" s="7"/>
      <c r="BX30" s="7"/>
      <c r="BY30" s="7"/>
      <c r="DN30" s="29"/>
      <c r="DO30" s="29"/>
      <c r="DR30" s="29"/>
      <c r="DS30" s="29"/>
      <c r="EA30" s="29"/>
    </row>
    <row r="31" spans="2:155">
      <c r="B31" s="10" t="s">
        <v>78</v>
      </c>
      <c r="C31" s="4"/>
      <c r="D31" s="4"/>
      <c r="E31" s="4"/>
      <c r="F31" s="4"/>
      <c r="G31" s="4"/>
      <c r="H31" s="4"/>
      <c r="I31" s="4"/>
      <c r="J31" s="4"/>
      <c r="K31" s="4"/>
      <c r="L31" s="101"/>
      <c r="M31" s="4"/>
      <c r="N31" s="12"/>
      <c r="AN31" s="32"/>
      <c r="AO31" s="32"/>
      <c r="AR31" s="32"/>
      <c r="AS31" s="32"/>
      <c r="BA31" s="29"/>
      <c r="BD31" s="29"/>
      <c r="BF31" s="30"/>
      <c r="BG31" s="31"/>
      <c r="BH31" s="30"/>
      <c r="BI31" s="31"/>
      <c r="BJ31" s="33"/>
      <c r="BL31" s="118"/>
      <c r="BM31" s="123"/>
      <c r="BN31" s="121"/>
      <c r="BO31" s="7"/>
      <c r="BP31" s="123"/>
      <c r="BQ31" s="21"/>
      <c r="BR31" s="122"/>
      <c r="BS31" s="119"/>
      <c r="BT31" s="7"/>
      <c r="BU31" s="119"/>
      <c r="BV31" s="8"/>
      <c r="BW31" s="7"/>
      <c r="BX31" s="7"/>
      <c r="BY31" s="7"/>
      <c r="DN31" s="29"/>
      <c r="DO31" s="29"/>
      <c r="DR31" s="29"/>
      <c r="DS31" s="29"/>
      <c r="EA31" s="29"/>
    </row>
    <row r="32" spans="2:155">
      <c r="B32" s="13"/>
      <c r="C32" s="4"/>
      <c r="D32" s="181" t="s">
        <v>97</v>
      </c>
      <c r="E32" s="84" t="s">
        <v>57</v>
      </c>
      <c r="F32" s="7" t="s">
        <v>82</v>
      </c>
      <c r="G32" s="194" t="s">
        <v>98</v>
      </c>
      <c r="H32" s="7" t="s">
        <v>75</v>
      </c>
      <c r="I32" s="7" t="s">
        <v>74</v>
      </c>
      <c r="J32" s="7" t="s">
        <v>72</v>
      </c>
      <c r="K32" s="7" t="s">
        <v>90</v>
      </c>
      <c r="L32" s="7" t="s">
        <v>70</v>
      </c>
      <c r="M32" s="7" t="s">
        <v>76</v>
      </c>
      <c r="N32" s="4"/>
      <c r="AN32" s="32"/>
      <c r="AO32" s="32"/>
      <c r="AR32" s="32"/>
      <c r="AS32" s="32"/>
      <c r="BA32" s="29"/>
      <c r="BD32" s="29"/>
      <c r="BF32" s="30"/>
      <c r="BG32" s="31"/>
      <c r="BH32" s="30"/>
      <c r="BI32" s="31"/>
      <c r="BJ32" s="33"/>
      <c r="BL32" s="118"/>
      <c r="BM32" s="123"/>
      <c r="BN32" s="121"/>
      <c r="BO32" s="7"/>
      <c r="BP32" s="123"/>
      <c r="BQ32" s="21"/>
      <c r="BR32" s="122"/>
      <c r="BS32" s="119"/>
      <c r="BT32" s="7"/>
      <c r="BU32" s="119"/>
      <c r="BV32" s="8"/>
      <c r="BW32" s="7"/>
      <c r="BX32" s="7"/>
      <c r="BY32" s="7"/>
      <c r="DN32" s="29"/>
      <c r="DO32" s="29"/>
      <c r="DR32" s="29"/>
      <c r="DS32" s="29"/>
      <c r="EA32" s="29"/>
    </row>
    <row r="33" spans="2:77">
      <c r="B33" s="13"/>
      <c r="C33" s="4"/>
      <c r="D33" s="181"/>
      <c r="E33" s="30" t="s">
        <v>95</v>
      </c>
      <c r="F33" s="7" t="s">
        <v>85</v>
      </c>
      <c r="G33" s="195"/>
      <c r="H33" s="7" t="s">
        <v>73</v>
      </c>
      <c r="I33" s="7" t="s">
        <v>73</v>
      </c>
      <c r="J33" s="7" t="s">
        <v>73</v>
      </c>
      <c r="K33" s="7" t="s">
        <v>71</v>
      </c>
      <c r="L33" s="7" t="s">
        <v>71</v>
      </c>
      <c r="M33" s="7" t="s">
        <v>71</v>
      </c>
      <c r="N33" s="4"/>
      <c r="AN33" s="32"/>
      <c r="AO33" s="32"/>
      <c r="AR33" s="32"/>
      <c r="AS33" s="32"/>
      <c r="BA33" s="29"/>
      <c r="BD33" s="29"/>
      <c r="BF33" s="30"/>
      <c r="BG33" s="31"/>
      <c r="BH33" s="30"/>
      <c r="BI33" s="31"/>
      <c r="BJ33" s="33"/>
      <c r="BL33" s="118"/>
      <c r="BM33" s="123"/>
      <c r="BN33" s="121"/>
      <c r="BO33" s="7"/>
      <c r="BP33" s="123"/>
      <c r="BQ33" s="21"/>
      <c r="BR33" s="122"/>
      <c r="BS33" s="119"/>
      <c r="BT33" s="7"/>
      <c r="BU33" s="119"/>
      <c r="BV33" s="8"/>
      <c r="BW33" s="7"/>
      <c r="BX33" s="7"/>
      <c r="BY33" s="7"/>
    </row>
    <row r="34" spans="2:77">
      <c r="B34" s="13"/>
      <c r="C34" s="4"/>
      <c r="D34" s="8">
        <v>31</v>
      </c>
      <c r="E34" s="160">
        <v>0.19003674283752764</v>
      </c>
      <c r="F34" s="151">
        <v>507.63750024963593</v>
      </c>
      <c r="G34" s="8" t="s">
        <v>119</v>
      </c>
      <c r="H34" s="160">
        <v>-22.961401177708371</v>
      </c>
      <c r="I34" s="160">
        <v>-40.510195549684951</v>
      </c>
      <c r="J34" s="160">
        <v>1.6137720804949838E-5</v>
      </c>
      <c r="K34" s="160">
        <v>-6.6272531467969446E-6</v>
      </c>
      <c r="L34" s="160">
        <v>-110.20492745706703</v>
      </c>
      <c r="M34" s="160">
        <v>-2.683330305952192E-6</v>
      </c>
      <c r="N34" s="4"/>
      <c r="AN34" s="32"/>
      <c r="AO34" s="32"/>
      <c r="AR34" s="32"/>
      <c r="AS34" s="32"/>
      <c r="BA34" s="29"/>
      <c r="BD34" s="29"/>
      <c r="BF34" s="30"/>
      <c r="BG34" s="31"/>
      <c r="BH34" s="30"/>
      <c r="BI34" s="31"/>
      <c r="BJ34" s="33"/>
      <c r="BL34" s="118"/>
      <c r="BM34" s="123"/>
      <c r="BN34" s="121"/>
      <c r="BO34" s="7"/>
      <c r="BP34" s="123"/>
      <c r="BQ34" s="21"/>
      <c r="BR34" s="122"/>
      <c r="BS34" s="119"/>
      <c r="BT34" s="7"/>
      <c r="BU34" s="119"/>
      <c r="BV34" s="8"/>
      <c r="BW34" s="7"/>
      <c r="BX34" s="7"/>
      <c r="BY34" s="7"/>
    </row>
    <row r="35" spans="2:77">
      <c r="B35" s="13"/>
      <c r="C35" s="4"/>
      <c r="D35" s="4"/>
      <c r="E35" s="4"/>
      <c r="F35" s="97"/>
      <c r="G35" s="4"/>
      <c r="H35" s="4"/>
      <c r="I35" s="4"/>
      <c r="J35" s="4"/>
      <c r="K35" s="4"/>
      <c r="L35" s="4"/>
      <c r="M35" s="4"/>
      <c r="N35" s="12"/>
      <c r="AN35" s="32"/>
      <c r="AO35" s="32"/>
      <c r="AR35" s="32"/>
      <c r="AS35" s="32"/>
      <c r="BA35" s="29"/>
      <c r="BD35" s="29"/>
      <c r="BF35" s="30"/>
      <c r="BG35" s="31"/>
      <c r="BH35" s="30"/>
      <c r="BI35" s="31"/>
      <c r="BJ35" s="33"/>
      <c r="BL35" s="118"/>
      <c r="BM35" s="123"/>
      <c r="BN35" s="121"/>
      <c r="BO35" s="7"/>
      <c r="BP35" s="123"/>
      <c r="BQ35" s="21"/>
      <c r="BR35" s="122"/>
      <c r="BS35" s="119"/>
      <c r="BT35" s="7"/>
      <c r="BU35" s="119"/>
      <c r="BV35" s="8"/>
      <c r="BW35" s="7"/>
      <c r="BX35" s="7"/>
      <c r="BY35" s="7"/>
    </row>
    <row r="36" spans="2:77">
      <c r="B36" s="192" t="s">
        <v>40</v>
      </c>
      <c r="C36" s="193"/>
      <c r="D36" s="193"/>
      <c r="E36" s="4"/>
      <c r="F36" s="4"/>
      <c r="G36" s="4"/>
      <c r="H36" s="4"/>
      <c r="I36" s="4"/>
      <c r="J36" s="4"/>
      <c r="K36" s="4"/>
      <c r="L36" s="4"/>
      <c r="M36" s="85"/>
      <c r="N36" s="9"/>
      <c r="AN36" s="32"/>
      <c r="AO36" s="32"/>
      <c r="AR36" s="32"/>
      <c r="AS36" s="32"/>
      <c r="BA36" s="29"/>
      <c r="BD36" s="29"/>
      <c r="BF36" s="30"/>
      <c r="BG36" s="31"/>
      <c r="BH36" s="30"/>
      <c r="BI36" s="31"/>
      <c r="BJ36" s="33"/>
      <c r="BL36" s="118"/>
      <c r="BM36" s="123"/>
      <c r="BN36" s="121"/>
      <c r="BO36" s="7"/>
      <c r="BP36" s="123"/>
      <c r="BQ36" s="21"/>
      <c r="BR36" s="122"/>
      <c r="BS36" s="119"/>
      <c r="BT36" s="7"/>
      <c r="BU36" s="119"/>
      <c r="BV36" s="8"/>
      <c r="BW36" s="7"/>
      <c r="BX36" s="7"/>
      <c r="BY36" s="7"/>
    </row>
    <row r="37" spans="2:77">
      <c r="B37" s="10" t="s">
        <v>168</v>
      </c>
      <c r="C37" s="4"/>
      <c r="D37" s="4"/>
      <c r="E37" s="4"/>
      <c r="F37" s="4"/>
      <c r="G37" s="4"/>
      <c r="H37" s="4"/>
      <c r="I37" s="4"/>
      <c r="J37" s="4"/>
      <c r="K37" s="4"/>
      <c r="L37" s="4"/>
      <c r="M37" s="4"/>
      <c r="N37" s="12"/>
      <c r="AN37" s="32"/>
      <c r="AO37" s="32"/>
      <c r="AR37" s="32"/>
      <c r="AS37" s="32"/>
      <c r="BA37" s="29"/>
      <c r="BD37" s="29"/>
      <c r="BF37" s="30"/>
      <c r="BG37" s="31"/>
      <c r="BH37" s="30"/>
      <c r="BI37" s="31"/>
      <c r="BJ37" s="33"/>
      <c r="BL37" s="118"/>
      <c r="BM37" s="123"/>
      <c r="BN37" s="121"/>
      <c r="BO37" s="7"/>
      <c r="BP37" s="123"/>
      <c r="BQ37" s="21"/>
      <c r="BR37" s="122"/>
      <c r="BS37" s="119"/>
      <c r="BT37" s="7"/>
      <c r="BU37" s="119"/>
      <c r="BV37" s="8"/>
      <c r="BW37" s="7"/>
      <c r="BX37" s="7"/>
      <c r="BY37" s="7"/>
    </row>
    <row r="38" spans="2:77">
      <c r="B38" s="10" t="s">
        <v>129</v>
      </c>
      <c r="C38" s="4"/>
      <c r="D38" s="4"/>
      <c r="E38" s="4"/>
      <c r="F38" s="4"/>
      <c r="G38" s="4"/>
      <c r="H38" s="4"/>
      <c r="I38" s="4"/>
      <c r="J38" s="4"/>
      <c r="K38" s="4"/>
      <c r="L38" s="4"/>
      <c r="M38" s="4"/>
      <c r="N38" s="12"/>
      <c r="AN38" s="32"/>
      <c r="AO38" s="32"/>
      <c r="AR38" s="32"/>
      <c r="AS38" s="32"/>
      <c r="BA38" s="29"/>
      <c r="BD38" s="29"/>
      <c r="BF38" s="30"/>
      <c r="BG38" s="31"/>
      <c r="BH38" s="30"/>
      <c r="BI38" s="31"/>
      <c r="BJ38" s="33"/>
      <c r="BL38" s="118"/>
      <c r="BM38" s="123"/>
      <c r="BN38" s="121"/>
      <c r="BO38" s="7"/>
      <c r="BP38" s="123"/>
      <c r="BQ38" s="21"/>
      <c r="BR38" s="122"/>
      <c r="BS38" s="119"/>
      <c r="BT38" s="7"/>
      <c r="BU38" s="119"/>
      <c r="BV38" s="8"/>
      <c r="BW38" s="7"/>
      <c r="BX38" s="7"/>
      <c r="BY38" s="7"/>
    </row>
    <row r="39" spans="2:77">
      <c r="B39" s="11" t="s">
        <v>41</v>
      </c>
      <c r="C39" s="4"/>
      <c r="D39" s="4"/>
      <c r="E39" s="4"/>
      <c r="F39" s="4"/>
      <c r="G39" s="4"/>
      <c r="H39" s="4"/>
      <c r="I39" s="4"/>
      <c r="J39" s="4"/>
      <c r="K39" s="97" t="s">
        <v>125</v>
      </c>
      <c r="L39" s="102">
        <f>E29*H29</f>
        <v>297.95454545454544</v>
      </c>
      <c r="M39" s="85" t="s">
        <v>79</v>
      </c>
      <c r="N39" s="9"/>
      <c r="AN39" s="32"/>
      <c r="AO39" s="32"/>
      <c r="AR39" s="32"/>
      <c r="AS39" s="32"/>
      <c r="BA39" s="29"/>
      <c r="BD39" s="29"/>
      <c r="BF39" s="30"/>
      <c r="BG39" s="31"/>
      <c r="BH39" s="30"/>
      <c r="BI39" s="31"/>
      <c r="BJ39" s="33"/>
      <c r="BL39" s="118"/>
      <c r="BM39" s="123"/>
      <c r="BN39" s="121"/>
      <c r="BO39" s="7"/>
      <c r="BP39" s="123"/>
      <c r="BQ39" s="21"/>
      <c r="BR39" s="122"/>
      <c r="BS39" s="119"/>
      <c r="BT39" s="7"/>
      <c r="BU39" s="119"/>
      <c r="BV39" s="8"/>
      <c r="BW39" s="7"/>
      <c r="BX39" s="7"/>
      <c r="BY39" s="7"/>
    </row>
    <row r="40" spans="2:77">
      <c r="B40" s="11" t="s">
        <v>121</v>
      </c>
      <c r="C40" s="4"/>
      <c r="D40" s="4"/>
      <c r="E40" s="4"/>
      <c r="F40" s="4"/>
      <c r="G40" s="4"/>
      <c r="H40" s="4"/>
      <c r="I40" s="4"/>
      <c r="J40" s="4"/>
      <c r="K40" s="103" t="s">
        <v>124</v>
      </c>
      <c r="L40" s="102">
        <f>ABS(H34)/I29*10</f>
        <v>3.7334473417352494</v>
      </c>
      <c r="M40" s="85"/>
      <c r="N40" s="9"/>
      <c r="P40" s="182"/>
      <c r="Q40" s="183"/>
      <c r="AN40" s="32"/>
      <c r="AO40" s="32"/>
      <c r="AR40" s="32"/>
      <c r="AS40" s="32"/>
      <c r="BA40" s="29"/>
      <c r="BD40" s="29"/>
      <c r="BF40" s="30"/>
      <c r="BG40" s="31"/>
      <c r="BH40" s="30"/>
      <c r="BI40" s="31"/>
      <c r="BJ40" s="33"/>
      <c r="BL40" s="118"/>
      <c r="BM40" s="123"/>
      <c r="BN40" s="121"/>
      <c r="BO40" s="7"/>
      <c r="BP40" s="123"/>
      <c r="BQ40" s="21"/>
      <c r="BR40" s="122"/>
      <c r="BS40" s="119"/>
      <c r="BT40" s="7"/>
      <c r="BU40" s="119"/>
      <c r="BV40" s="8"/>
      <c r="BW40" s="7"/>
      <c r="BX40" s="7"/>
      <c r="BY40" s="7"/>
    </row>
    <row r="41" spans="2:77">
      <c r="B41" s="11" t="s">
        <v>47</v>
      </c>
      <c r="C41" s="4"/>
      <c r="D41" s="4"/>
      <c r="E41" s="4"/>
      <c r="F41" s="4"/>
      <c r="G41" s="4"/>
      <c r="H41" s="4"/>
      <c r="I41" s="4"/>
      <c r="J41" s="4"/>
      <c r="K41" s="103" t="s">
        <v>123</v>
      </c>
      <c r="L41" s="102">
        <f>ABS(L34)/L29*1000</f>
        <v>100.36319889095495</v>
      </c>
      <c r="M41" s="85"/>
      <c r="N41" s="9"/>
      <c r="P41" s="184"/>
      <c r="Q41" s="185"/>
      <c r="AN41" s="32"/>
      <c r="AO41" s="32"/>
      <c r="AR41" s="32"/>
      <c r="AS41" s="32"/>
      <c r="BA41" s="29"/>
      <c r="BD41" s="29"/>
      <c r="BF41" s="30"/>
      <c r="BG41" s="31"/>
      <c r="BH41" s="30"/>
      <c r="BI41" s="31"/>
      <c r="BJ41" s="33"/>
      <c r="BL41" s="118"/>
      <c r="BM41" s="123"/>
      <c r="BN41" s="121"/>
      <c r="BO41" s="7"/>
      <c r="BP41" s="123"/>
      <c r="BQ41" s="21"/>
      <c r="BR41" s="122"/>
      <c r="BS41" s="119"/>
      <c r="BT41" s="7"/>
      <c r="BU41" s="119"/>
      <c r="BV41" s="8"/>
      <c r="BW41" s="7"/>
      <c r="BX41" s="7"/>
      <c r="BY41" s="7"/>
    </row>
    <row r="42" spans="2:77">
      <c r="B42" s="11" t="s">
        <v>48</v>
      </c>
      <c r="C42" s="4"/>
      <c r="D42" s="4"/>
      <c r="E42" s="4"/>
      <c r="F42" s="4"/>
      <c r="G42" s="4"/>
      <c r="H42" s="4"/>
      <c r="I42" s="4"/>
      <c r="J42" s="4"/>
      <c r="K42" s="103" t="s">
        <v>122</v>
      </c>
      <c r="L42" s="102">
        <f>ABS(K34)/M29*1000</f>
        <v>6.0546586913814349E-5</v>
      </c>
      <c r="M42" s="85"/>
      <c r="N42" s="9"/>
      <c r="AN42" s="32"/>
      <c r="AO42" s="32"/>
      <c r="AR42" s="32"/>
      <c r="AS42" s="32"/>
      <c r="BA42" s="29"/>
      <c r="BD42" s="29"/>
      <c r="BF42" s="30"/>
      <c r="BG42" s="31"/>
      <c r="BH42" s="30"/>
      <c r="BI42" s="31"/>
      <c r="BJ42" s="33"/>
      <c r="BL42" s="118"/>
      <c r="BM42" s="123"/>
      <c r="BN42" s="121"/>
      <c r="BO42" s="7"/>
      <c r="BP42" s="123"/>
      <c r="BQ42" s="21"/>
      <c r="BR42" s="122"/>
      <c r="BS42" s="119"/>
      <c r="BT42" s="7"/>
      <c r="BU42" s="119"/>
      <c r="BV42" s="8"/>
      <c r="BW42" s="7"/>
      <c r="BX42" s="7"/>
      <c r="BY42" s="7"/>
    </row>
    <row r="43" spans="2:77">
      <c r="B43" s="11" t="s">
        <v>214</v>
      </c>
      <c r="C43" s="85"/>
      <c r="D43" s="85"/>
      <c r="E43" s="85"/>
      <c r="F43" s="85"/>
      <c r="G43" s="85"/>
      <c r="H43" s="85"/>
      <c r="I43" s="85"/>
      <c r="J43" s="85"/>
      <c r="K43" s="104" t="s">
        <v>140</v>
      </c>
      <c r="L43" s="102">
        <f>L40+L41+L42</f>
        <v>104.0967067792771</v>
      </c>
      <c r="M43" s="85"/>
      <c r="N43" s="9"/>
      <c r="AN43" s="32"/>
      <c r="AO43" s="32"/>
      <c r="AR43" s="32"/>
      <c r="AS43" s="32"/>
      <c r="BA43" s="29"/>
      <c r="BD43" s="29"/>
      <c r="BF43" s="30"/>
      <c r="BG43" s="31"/>
      <c r="BH43" s="30"/>
      <c r="BI43" s="31"/>
      <c r="BJ43" s="33"/>
      <c r="BL43" s="118"/>
      <c r="BM43" s="123"/>
      <c r="BN43" s="121"/>
      <c r="BO43" s="7"/>
      <c r="BP43" s="123"/>
      <c r="BQ43" s="21"/>
      <c r="BR43" s="122"/>
      <c r="BS43" s="119"/>
      <c r="BT43" s="7"/>
      <c r="BU43" s="119"/>
      <c r="BV43" s="8"/>
      <c r="BW43" s="7"/>
      <c r="BX43" s="7"/>
      <c r="BY43" s="7"/>
    </row>
    <row r="44" spans="2:77">
      <c r="B44" s="11" t="s">
        <v>87</v>
      </c>
      <c r="C44" s="4"/>
      <c r="D44" s="4"/>
      <c r="E44" s="4"/>
      <c r="F44" s="4"/>
      <c r="G44" s="4"/>
      <c r="H44" s="4"/>
      <c r="I44" s="4"/>
      <c r="J44" s="4"/>
      <c r="K44" s="97" t="s">
        <v>137</v>
      </c>
      <c r="L44" s="105">
        <f>L43/L39</f>
        <v>0.34937109826759671</v>
      </c>
      <c r="M44" s="106" t="s">
        <v>44</v>
      </c>
      <c r="N44" s="25" t="str">
        <f>IF(L44&lt;=1,"OK","Check")</f>
        <v>OK</v>
      </c>
      <c r="AN44" s="32"/>
      <c r="AO44" s="32"/>
      <c r="AR44" s="32"/>
      <c r="AS44" s="32"/>
      <c r="BA44" s="29"/>
      <c r="BD44" s="29"/>
      <c r="BF44" s="30"/>
      <c r="BG44" s="31"/>
      <c r="BH44" s="30"/>
      <c r="BI44" s="31"/>
      <c r="BJ44" s="33"/>
      <c r="BL44" s="118"/>
      <c r="BM44" s="123"/>
      <c r="BN44" s="121"/>
      <c r="BO44" s="7"/>
      <c r="BP44" s="123"/>
      <c r="BQ44" s="21"/>
      <c r="BR44" s="122"/>
      <c r="BS44" s="119"/>
      <c r="BT44" s="7"/>
      <c r="BU44" s="119"/>
      <c r="BV44" s="8"/>
      <c r="BW44" s="7"/>
      <c r="BX44" s="7"/>
      <c r="BY44" s="7"/>
    </row>
    <row r="45" spans="2:77">
      <c r="B45" s="10" t="s">
        <v>130</v>
      </c>
      <c r="C45" s="4"/>
      <c r="D45" s="4"/>
      <c r="E45" s="4"/>
      <c r="F45" s="4"/>
      <c r="G45" s="4"/>
      <c r="H45" s="4"/>
      <c r="I45" s="4"/>
      <c r="J45" s="4"/>
      <c r="K45" s="4"/>
      <c r="L45" s="4"/>
      <c r="M45" s="4"/>
      <c r="N45" s="12"/>
      <c r="AN45" s="32"/>
      <c r="AO45" s="32"/>
      <c r="AR45" s="32"/>
      <c r="AS45" s="32"/>
      <c r="BA45" s="29"/>
      <c r="BD45" s="29"/>
      <c r="BF45" s="30"/>
      <c r="BG45" s="31"/>
      <c r="BH45" s="30"/>
      <c r="BI45" s="31"/>
      <c r="BJ45" s="33"/>
      <c r="BL45" s="118"/>
      <c r="BM45" s="123"/>
      <c r="BN45" s="121"/>
      <c r="BO45" s="7"/>
      <c r="BP45" s="123"/>
      <c r="BQ45" s="21"/>
      <c r="BR45" s="122"/>
      <c r="BS45" s="119"/>
      <c r="BT45" s="7"/>
      <c r="BU45" s="119"/>
      <c r="BV45" s="8"/>
      <c r="BW45" s="7"/>
      <c r="BX45" s="7"/>
      <c r="BY45" s="7"/>
    </row>
    <row r="46" spans="2:77">
      <c r="B46" s="11" t="s">
        <v>45</v>
      </c>
      <c r="C46" s="85"/>
      <c r="D46" s="85"/>
      <c r="E46" s="85"/>
      <c r="F46" s="85"/>
      <c r="G46" s="85"/>
      <c r="H46" s="85"/>
      <c r="I46" s="85"/>
      <c r="J46" s="85"/>
      <c r="K46" s="97" t="s">
        <v>138</v>
      </c>
      <c r="L46" s="102">
        <f>F29*H29</f>
        <v>172.81363636363633</v>
      </c>
      <c r="M46" s="85" t="s">
        <v>79</v>
      </c>
      <c r="N46" s="9"/>
      <c r="AN46" s="32"/>
      <c r="AO46" s="32"/>
      <c r="AR46" s="32"/>
      <c r="AS46" s="32"/>
      <c r="BA46" s="29"/>
      <c r="BD46" s="29"/>
      <c r="BF46" s="30"/>
      <c r="BG46" s="31"/>
      <c r="BH46" s="30"/>
      <c r="BI46" s="31"/>
      <c r="BJ46" s="33"/>
      <c r="BL46" s="118"/>
      <c r="BM46" s="123"/>
      <c r="BN46" s="121"/>
      <c r="BO46" s="7"/>
      <c r="BP46" s="123"/>
      <c r="BQ46" s="21"/>
      <c r="BR46" s="122"/>
      <c r="BS46" s="119"/>
      <c r="BT46" s="7"/>
      <c r="BU46" s="119"/>
      <c r="BV46" s="8"/>
      <c r="BW46" s="7"/>
      <c r="BX46" s="7"/>
      <c r="BY46" s="7"/>
    </row>
    <row r="47" spans="2:77">
      <c r="B47" s="11" t="s">
        <v>46</v>
      </c>
      <c r="C47" s="4"/>
      <c r="D47" s="4"/>
      <c r="E47" s="4"/>
      <c r="F47" s="4"/>
      <c r="G47" s="4"/>
      <c r="H47" s="4"/>
      <c r="I47" s="4"/>
      <c r="J47" s="4"/>
      <c r="K47" s="107" t="s">
        <v>139</v>
      </c>
      <c r="L47" s="90">
        <f>ABS(I34)*N29/(J29*F16)*100</f>
        <v>13.848371053567362</v>
      </c>
      <c r="M47" s="85" t="s">
        <v>79</v>
      </c>
      <c r="N47" s="12"/>
      <c r="AN47" s="32"/>
      <c r="AO47" s="32"/>
      <c r="AR47" s="32"/>
      <c r="AS47" s="32"/>
      <c r="BA47" s="29"/>
      <c r="BD47" s="29"/>
      <c r="BF47" s="30"/>
      <c r="BG47" s="31"/>
      <c r="BH47" s="30"/>
      <c r="BI47" s="31"/>
      <c r="BJ47" s="33"/>
      <c r="BL47" s="118"/>
      <c r="BM47" s="123"/>
      <c r="BN47" s="121"/>
      <c r="BO47" s="7"/>
      <c r="BP47" s="123"/>
      <c r="BQ47" s="21"/>
      <c r="BR47" s="122"/>
      <c r="BS47" s="119"/>
      <c r="BT47" s="7"/>
      <c r="BU47" s="119"/>
      <c r="BV47" s="8"/>
      <c r="BW47" s="7"/>
      <c r="BX47" s="7"/>
      <c r="BY47" s="7"/>
    </row>
    <row r="48" spans="2:77">
      <c r="B48" s="11" t="s">
        <v>108</v>
      </c>
      <c r="C48" s="4"/>
      <c r="D48" s="4"/>
      <c r="E48" s="4"/>
      <c r="F48" s="4"/>
      <c r="G48" s="4"/>
      <c r="H48" s="4"/>
      <c r="I48" s="4"/>
      <c r="J48" s="4"/>
      <c r="K48" s="108" t="s">
        <v>141</v>
      </c>
      <c r="L48" s="105">
        <f>L47/L46</f>
        <v>8.013471242759726E-2</v>
      </c>
      <c r="M48" s="106" t="s">
        <v>44</v>
      </c>
      <c r="N48" s="25" t="str">
        <f>IF(L48&lt;=1,"OK","Check")</f>
        <v>OK</v>
      </c>
      <c r="AN48" s="32"/>
      <c r="AO48" s="32"/>
      <c r="AR48" s="32"/>
      <c r="AS48" s="32"/>
      <c r="BA48" s="29"/>
      <c r="BD48" s="29"/>
      <c r="BF48" s="30"/>
      <c r="BG48" s="31"/>
      <c r="BH48" s="30"/>
      <c r="BI48" s="31"/>
      <c r="BJ48" s="33"/>
      <c r="BL48" s="118"/>
      <c r="BM48" s="123"/>
      <c r="BN48" s="121"/>
      <c r="BO48" s="7"/>
      <c r="BP48" s="123"/>
      <c r="BQ48" s="21"/>
      <c r="BR48" s="122"/>
      <c r="BS48" s="119"/>
      <c r="BT48" s="7"/>
      <c r="BU48" s="119"/>
      <c r="BV48" s="8"/>
      <c r="BW48" s="7"/>
      <c r="BX48" s="7"/>
      <c r="BY48" s="7"/>
    </row>
    <row r="49" spans="2:77">
      <c r="B49" s="10" t="s">
        <v>131</v>
      </c>
      <c r="C49" s="85"/>
      <c r="D49" s="85"/>
      <c r="E49" s="85"/>
      <c r="F49" s="85"/>
      <c r="G49" s="85"/>
      <c r="H49" s="85"/>
      <c r="I49" s="85"/>
      <c r="J49" s="85"/>
      <c r="K49" s="85"/>
      <c r="L49" s="85"/>
      <c r="M49" s="85"/>
      <c r="N49" s="9"/>
      <c r="AN49" s="32"/>
      <c r="AO49" s="32"/>
      <c r="AR49" s="32"/>
      <c r="AS49" s="32"/>
      <c r="BA49" s="29"/>
      <c r="BD49" s="29"/>
      <c r="BF49" s="30"/>
      <c r="BG49" s="31"/>
      <c r="BH49" s="30"/>
      <c r="BI49" s="31"/>
      <c r="BJ49" s="33"/>
      <c r="BL49" s="118"/>
      <c r="BM49" s="123"/>
      <c r="BN49" s="121"/>
      <c r="BO49" s="7"/>
      <c r="BP49" s="123"/>
      <c r="BQ49" s="21"/>
      <c r="BR49" s="122"/>
      <c r="BS49" s="119"/>
      <c r="BT49" s="7"/>
      <c r="BU49" s="119"/>
      <c r="BV49" s="8"/>
      <c r="BW49" s="7"/>
      <c r="BX49" s="7"/>
      <c r="BY49" s="7"/>
    </row>
    <row r="50" spans="2:77">
      <c r="B50" s="11" t="s">
        <v>49</v>
      </c>
      <c r="C50" s="85"/>
      <c r="D50" s="85"/>
      <c r="E50" s="85"/>
      <c r="F50" s="85"/>
      <c r="G50" s="85"/>
      <c r="H50" s="85"/>
      <c r="I50" s="85"/>
      <c r="J50" s="85"/>
      <c r="K50" s="97" t="s">
        <v>142</v>
      </c>
      <c r="L50" s="102">
        <f>1.15*E29*H29</f>
        <v>342.6477272727272</v>
      </c>
      <c r="M50" s="85" t="s">
        <v>79</v>
      </c>
      <c r="N50" s="9"/>
      <c r="AN50" s="32"/>
      <c r="AO50" s="32"/>
      <c r="AR50" s="32"/>
      <c r="AS50" s="32"/>
      <c r="BA50" s="29"/>
      <c r="BD50" s="29"/>
      <c r="BF50" s="30"/>
      <c r="BG50" s="31"/>
      <c r="BH50" s="30"/>
      <c r="BI50" s="31"/>
      <c r="BJ50" s="33"/>
      <c r="BL50" s="118"/>
      <c r="BM50" s="123"/>
      <c r="BN50" s="121"/>
      <c r="BO50" s="7"/>
      <c r="BP50" s="123"/>
      <c r="BQ50" s="21"/>
      <c r="BR50" s="122"/>
      <c r="BS50" s="119"/>
      <c r="BT50" s="7"/>
      <c r="BU50" s="119"/>
      <c r="BV50" s="8"/>
      <c r="BW50" s="7"/>
      <c r="BX50" s="7"/>
      <c r="BY50" s="7"/>
    </row>
    <row r="51" spans="2:77">
      <c r="B51" s="11" t="s">
        <v>51</v>
      </c>
      <c r="C51" s="4"/>
      <c r="D51" s="4"/>
      <c r="E51" s="4"/>
      <c r="F51" s="4"/>
      <c r="G51" s="4"/>
      <c r="H51" s="4"/>
      <c r="I51" s="4"/>
      <c r="J51" s="4"/>
      <c r="K51" s="104" t="s">
        <v>143</v>
      </c>
      <c r="L51" s="86">
        <f>L47</f>
        <v>13.848371053567362</v>
      </c>
      <c r="M51" s="85" t="s">
        <v>79</v>
      </c>
      <c r="N51" s="12"/>
      <c r="AN51" s="32"/>
      <c r="AO51" s="32"/>
      <c r="AR51" s="32"/>
      <c r="AS51" s="32"/>
      <c r="BA51" s="29"/>
      <c r="BD51" s="29"/>
      <c r="BF51" s="30"/>
      <c r="BG51" s="31"/>
      <c r="BH51" s="30"/>
      <c r="BI51" s="31"/>
      <c r="BJ51" s="33"/>
      <c r="BL51" s="118"/>
      <c r="BM51" s="123"/>
      <c r="BN51" s="121"/>
      <c r="BO51" s="7"/>
      <c r="BP51" s="123"/>
      <c r="BQ51" s="21"/>
      <c r="BR51" s="122"/>
      <c r="BS51" s="119"/>
      <c r="BT51" s="7"/>
      <c r="BU51" s="119"/>
      <c r="BV51" s="8"/>
      <c r="BW51" s="7"/>
      <c r="BX51" s="7"/>
      <c r="BY51" s="7"/>
    </row>
    <row r="52" spans="2:77">
      <c r="B52" s="11" t="s">
        <v>50</v>
      </c>
      <c r="C52" s="4"/>
      <c r="D52" s="4"/>
      <c r="E52" s="4"/>
      <c r="F52" s="4"/>
      <c r="G52" s="4"/>
      <c r="H52" s="89"/>
      <c r="I52" s="89"/>
      <c r="J52" s="89"/>
      <c r="K52" s="94" t="s">
        <v>144</v>
      </c>
      <c r="L52" s="86">
        <f>SQRT(L43^2+3*L51^2)</f>
        <v>106.82441904734442</v>
      </c>
      <c r="M52" s="85" t="s">
        <v>79</v>
      </c>
      <c r="N52" s="9"/>
      <c r="AN52" s="32"/>
      <c r="AO52" s="32"/>
      <c r="AR52" s="32"/>
      <c r="AS52" s="32"/>
      <c r="BA52" s="29"/>
      <c r="BD52" s="29"/>
      <c r="BF52" s="30"/>
      <c r="BG52" s="31"/>
      <c r="BH52" s="30"/>
      <c r="BI52" s="31"/>
      <c r="BJ52" s="33"/>
      <c r="BL52" s="118"/>
      <c r="BM52" s="123"/>
      <c r="BN52" s="121"/>
      <c r="BO52" s="7"/>
      <c r="BP52" s="123"/>
      <c r="BQ52" s="21"/>
      <c r="BR52" s="122"/>
      <c r="BS52" s="119"/>
      <c r="BT52" s="7"/>
      <c r="BU52" s="119"/>
      <c r="BV52" s="8"/>
      <c r="BW52" s="7"/>
      <c r="BX52" s="7"/>
      <c r="BY52" s="7"/>
    </row>
    <row r="53" spans="2:77">
      <c r="B53" s="11" t="s">
        <v>86</v>
      </c>
      <c r="C53" s="85"/>
      <c r="D53" s="85"/>
      <c r="E53" s="85"/>
      <c r="F53" s="85"/>
      <c r="G53" s="85"/>
      <c r="H53" s="85"/>
      <c r="I53" s="85"/>
      <c r="J53" s="85"/>
      <c r="K53" s="108" t="s">
        <v>145</v>
      </c>
      <c r="L53" s="109">
        <f>L52/L50</f>
        <v>0.3117616448169771</v>
      </c>
      <c r="M53" s="106" t="s">
        <v>44</v>
      </c>
      <c r="N53" s="25" t="str">
        <f>IF(L53&lt;=1,"OK","Check")</f>
        <v>OK</v>
      </c>
      <c r="AN53" s="32"/>
      <c r="AO53" s="32"/>
      <c r="AR53" s="32"/>
      <c r="AS53" s="32"/>
      <c r="BA53" s="29"/>
      <c r="BD53" s="29"/>
      <c r="BF53" s="30"/>
      <c r="BG53" s="31"/>
      <c r="BH53" s="30"/>
      <c r="BI53" s="31"/>
      <c r="BJ53" s="33"/>
      <c r="BL53" s="118"/>
      <c r="BM53" s="123"/>
      <c r="BN53" s="121"/>
      <c r="BO53" s="7"/>
      <c r="BP53" s="123"/>
      <c r="BQ53" s="21"/>
      <c r="BR53" s="122"/>
      <c r="BS53" s="119"/>
      <c r="BT53" s="7"/>
      <c r="BU53" s="119"/>
      <c r="BV53" s="8"/>
      <c r="BW53" s="7"/>
      <c r="BX53" s="7"/>
      <c r="BY53" s="7"/>
    </row>
    <row r="54" spans="2:77">
      <c r="B54" s="13"/>
      <c r="C54" s="4"/>
      <c r="D54" s="4"/>
      <c r="E54" s="4"/>
      <c r="F54" s="4"/>
      <c r="G54" s="4"/>
      <c r="H54" s="4"/>
      <c r="I54" s="4"/>
      <c r="J54" s="4"/>
      <c r="K54" s="4"/>
      <c r="L54" s="4"/>
      <c r="M54" s="85"/>
      <c r="N54" s="9"/>
      <c r="AN54" s="32"/>
      <c r="AO54" s="32"/>
      <c r="AR54" s="32"/>
      <c r="AS54" s="32"/>
      <c r="BA54" s="29"/>
      <c r="BD54" s="29"/>
      <c r="BF54" s="30"/>
      <c r="BG54" s="31"/>
      <c r="BH54" s="30"/>
      <c r="BI54" s="31"/>
      <c r="BJ54" s="33"/>
      <c r="BL54" s="118"/>
      <c r="BM54" s="123"/>
      <c r="BN54" s="121"/>
      <c r="BO54" s="7"/>
      <c r="BP54" s="123"/>
      <c r="BQ54" s="21"/>
      <c r="BR54" s="122"/>
      <c r="BS54" s="119"/>
      <c r="BT54" s="7"/>
      <c r="BU54" s="119"/>
      <c r="BV54" s="8"/>
      <c r="BW54" s="7"/>
      <c r="BX54" s="7"/>
      <c r="BY54" s="7"/>
    </row>
    <row r="55" spans="2:77">
      <c r="B55" s="10" t="s">
        <v>132</v>
      </c>
      <c r="C55" s="4"/>
      <c r="D55" s="4"/>
      <c r="E55" s="4"/>
      <c r="F55" s="4"/>
      <c r="G55" s="4"/>
      <c r="H55" s="4"/>
      <c r="I55" s="4"/>
      <c r="J55" s="4"/>
      <c r="K55" s="4"/>
      <c r="L55" s="4"/>
      <c r="M55" s="4"/>
      <c r="N55" s="12"/>
      <c r="AN55" s="32"/>
      <c r="AO55" s="32"/>
      <c r="AR55" s="32"/>
      <c r="AS55" s="32"/>
      <c r="BA55" s="29"/>
      <c r="BD55" s="29"/>
      <c r="BF55" s="30"/>
      <c r="BG55" s="31"/>
      <c r="BH55" s="30"/>
      <c r="BI55" s="31"/>
      <c r="BJ55" s="33"/>
      <c r="BL55" s="118"/>
      <c r="BM55" s="123"/>
      <c r="BN55" s="121"/>
      <c r="BO55" s="7"/>
      <c r="BP55" s="123"/>
      <c r="BQ55" s="21"/>
      <c r="BR55" s="122"/>
      <c r="BS55" s="119"/>
      <c r="BT55" s="7"/>
      <c r="BU55" s="119"/>
      <c r="BV55" s="8"/>
      <c r="BW55" s="7"/>
      <c r="BX55" s="7"/>
      <c r="BY55" s="7"/>
    </row>
    <row r="56" spans="2:77">
      <c r="B56" s="10" t="s">
        <v>163</v>
      </c>
      <c r="C56" s="4"/>
      <c r="D56" s="4"/>
      <c r="E56" s="4"/>
      <c r="F56" s="4"/>
      <c r="G56" s="4"/>
      <c r="H56" s="4"/>
      <c r="I56" s="4"/>
      <c r="J56" s="4"/>
      <c r="K56" s="4"/>
      <c r="L56" s="4"/>
      <c r="M56" s="4"/>
      <c r="N56" s="12"/>
      <c r="AN56" s="32"/>
      <c r="AO56" s="32"/>
      <c r="AR56" s="32"/>
      <c r="AS56" s="32"/>
      <c r="BA56" s="29"/>
      <c r="BD56" s="29"/>
      <c r="BF56" s="30"/>
      <c r="BG56" s="31"/>
      <c r="BH56" s="30"/>
      <c r="BI56" s="31"/>
      <c r="BJ56" s="33"/>
      <c r="BL56" s="118"/>
      <c r="BM56" s="123"/>
      <c r="BN56" s="121"/>
      <c r="BO56" s="7"/>
      <c r="BP56" s="123"/>
      <c r="BQ56" s="21"/>
      <c r="BR56" s="122"/>
      <c r="BS56" s="119"/>
      <c r="BT56" s="7"/>
      <c r="BU56" s="119"/>
      <c r="BV56" s="8"/>
      <c r="BW56" s="7"/>
      <c r="BX56" s="7"/>
      <c r="BY56" s="7"/>
    </row>
    <row r="57" spans="2:77">
      <c r="B57" s="11" t="s">
        <v>49</v>
      </c>
      <c r="C57" s="4"/>
      <c r="D57" s="4"/>
      <c r="E57" s="4"/>
      <c r="F57" s="4"/>
      <c r="G57" s="4"/>
      <c r="H57" s="4"/>
      <c r="I57" s="4"/>
      <c r="J57" s="4"/>
      <c r="K57" s="89" t="s">
        <v>125</v>
      </c>
      <c r="L57" s="102">
        <f>E29*H29</f>
        <v>297.95454545454544</v>
      </c>
      <c r="M57" s="85" t="s">
        <v>79</v>
      </c>
      <c r="N57" s="12"/>
      <c r="AN57" s="32"/>
      <c r="AO57" s="32"/>
      <c r="AR57" s="32"/>
      <c r="AS57" s="32"/>
      <c r="BA57" s="29"/>
      <c r="BD57" s="29"/>
      <c r="BF57" s="30"/>
      <c r="BG57" s="31"/>
      <c r="BH57" s="30"/>
      <c r="BI57" s="31"/>
      <c r="BJ57" s="33"/>
      <c r="BL57" s="118"/>
      <c r="BM57" s="123"/>
      <c r="BN57" s="121"/>
      <c r="BO57" s="7"/>
      <c r="BP57" s="123"/>
      <c r="BQ57" s="21"/>
      <c r="BR57" s="122"/>
      <c r="BS57" s="119"/>
      <c r="BT57" s="7"/>
      <c r="BU57" s="119"/>
      <c r="BV57" s="8"/>
      <c r="BW57" s="7"/>
      <c r="BX57" s="7"/>
      <c r="BY57" s="7"/>
    </row>
    <row r="58" spans="2:77">
      <c r="B58" s="11" t="s">
        <v>134</v>
      </c>
      <c r="C58" s="4"/>
      <c r="D58" s="4"/>
      <c r="E58" s="4"/>
      <c r="F58" s="4"/>
      <c r="G58" s="4"/>
      <c r="H58" s="4"/>
      <c r="I58" s="4"/>
      <c r="J58" s="4"/>
      <c r="K58" s="55" t="s">
        <v>133</v>
      </c>
      <c r="L58" s="52">
        <v>1</v>
      </c>
      <c r="M58" s="4"/>
      <c r="N58" s="12"/>
      <c r="AN58" s="32"/>
      <c r="AO58" s="32"/>
      <c r="AR58" s="32"/>
      <c r="AS58" s="32"/>
      <c r="BA58" s="29"/>
      <c r="BD58" s="29"/>
      <c r="BF58" s="30"/>
      <c r="BG58" s="31"/>
      <c r="BH58" s="30"/>
      <c r="BI58" s="31"/>
      <c r="BJ58" s="33"/>
      <c r="BL58" s="118"/>
      <c r="BM58" s="123"/>
      <c r="BN58" s="121"/>
      <c r="BO58" s="7"/>
      <c r="BP58" s="123"/>
      <c r="BQ58" s="21"/>
      <c r="BR58" s="122"/>
      <c r="BS58" s="119"/>
      <c r="BT58" s="7"/>
      <c r="BU58" s="119"/>
      <c r="BV58" s="8"/>
      <c r="BW58" s="7"/>
      <c r="BX58" s="7"/>
      <c r="BY58" s="7"/>
    </row>
    <row r="59" spans="2:77">
      <c r="B59" s="11" t="s">
        <v>135</v>
      </c>
      <c r="C59" s="4"/>
      <c r="D59" s="4"/>
      <c r="E59" s="4"/>
      <c r="F59" s="4"/>
      <c r="G59" s="4"/>
      <c r="H59" s="4"/>
      <c r="I59" s="4"/>
      <c r="J59" s="4"/>
      <c r="K59" s="89" t="s">
        <v>136</v>
      </c>
      <c r="L59" s="86">
        <f>L29</f>
        <v>1098.0611287291188</v>
      </c>
      <c r="M59" s="87" t="s">
        <v>38</v>
      </c>
      <c r="N59" s="12"/>
      <c r="AN59" s="32"/>
      <c r="AO59" s="32"/>
      <c r="AR59" s="32"/>
      <c r="AS59" s="32"/>
      <c r="BA59" s="29"/>
      <c r="BD59" s="29"/>
      <c r="BF59" s="30"/>
      <c r="BG59" s="31"/>
      <c r="BH59" s="30"/>
      <c r="BI59" s="31"/>
      <c r="BJ59" s="33"/>
      <c r="BL59" s="118"/>
      <c r="BM59" s="123"/>
      <c r="BN59" s="121"/>
      <c r="BO59" s="7"/>
      <c r="BP59" s="123"/>
      <c r="BQ59" s="21"/>
      <c r="BR59" s="122"/>
      <c r="BS59" s="119"/>
      <c r="BT59" s="7"/>
      <c r="BU59" s="119"/>
      <c r="BV59" s="8"/>
      <c r="BW59" s="7"/>
      <c r="BX59" s="7"/>
      <c r="BY59" s="7"/>
    </row>
    <row r="60" spans="2:77">
      <c r="B60" s="11" t="s">
        <v>146</v>
      </c>
      <c r="C60" s="4"/>
      <c r="D60" s="4"/>
      <c r="E60" s="4"/>
      <c r="F60" s="4"/>
      <c r="G60" s="4"/>
      <c r="H60" s="4"/>
      <c r="I60" s="4"/>
      <c r="J60" s="4"/>
      <c r="K60" s="110" t="s">
        <v>147</v>
      </c>
      <c r="L60" s="102">
        <f>ABS(L34)/(L59*L58)*1000</f>
        <v>100.36319889095495</v>
      </c>
      <c r="M60" s="85" t="s">
        <v>79</v>
      </c>
      <c r="N60" s="12"/>
      <c r="AN60" s="32"/>
      <c r="AO60" s="32"/>
      <c r="AR60" s="32"/>
      <c r="AS60" s="32"/>
      <c r="BA60" s="29"/>
      <c r="BD60" s="29"/>
      <c r="BF60" s="30"/>
      <c r="BG60" s="31"/>
      <c r="BH60" s="30"/>
      <c r="BI60" s="31"/>
      <c r="BJ60" s="33"/>
      <c r="BL60" s="118"/>
      <c r="BM60" s="123"/>
      <c r="BN60" s="121"/>
      <c r="BO60" s="7"/>
      <c r="BP60" s="123"/>
      <c r="BQ60" s="21"/>
      <c r="BR60" s="122"/>
      <c r="BS60" s="119"/>
      <c r="BT60" s="7"/>
      <c r="BU60" s="119"/>
      <c r="BV60" s="8"/>
      <c r="BW60" s="7"/>
      <c r="BX60" s="7"/>
      <c r="BY60" s="7"/>
    </row>
    <row r="61" spans="2:77">
      <c r="B61" s="11" t="s">
        <v>148</v>
      </c>
      <c r="C61" s="85"/>
      <c r="D61" s="85"/>
      <c r="E61" s="85"/>
      <c r="F61" s="85"/>
      <c r="G61" s="85"/>
      <c r="H61" s="85"/>
      <c r="I61" s="85"/>
      <c r="J61" s="85"/>
      <c r="K61" s="94" t="s">
        <v>149</v>
      </c>
      <c r="L61" s="109">
        <f>L60/L57</f>
        <v>0.33684063701007</v>
      </c>
      <c r="M61" s="106" t="s">
        <v>44</v>
      </c>
      <c r="N61" s="25" t="str">
        <f>IF(L61&lt;=1,"OK","Check")</f>
        <v>OK</v>
      </c>
      <c r="AN61" s="32"/>
      <c r="AO61" s="32"/>
      <c r="AR61" s="32"/>
      <c r="AS61" s="32"/>
      <c r="BA61" s="29"/>
      <c r="BD61" s="29"/>
      <c r="BF61" s="30"/>
      <c r="BG61" s="31"/>
      <c r="BH61" s="30"/>
      <c r="BI61" s="31"/>
      <c r="BJ61" s="33"/>
      <c r="BL61" s="118"/>
      <c r="BM61" s="123"/>
      <c r="BN61" s="121"/>
      <c r="BO61" s="7"/>
      <c r="BP61" s="123"/>
      <c r="BQ61" s="21"/>
      <c r="BR61" s="122"/>
      <c r="BS61" s="119"/>
      <c r="BT61" s="7"/>
      <c r="BU61" s="119"/>
      <c r="BV61" s="8"/>
      <c r="BW61" s="7"/>
      <c r="BX61" s="7"/>
      <c r="BY61" s="7"/>
    </row>
    <row r="62" spans="2:77">
      <c r="B62" s="10" t="s">
        <v>150</v>
      </c>
      <c r="C62" s="4"/>
      <c r="D62" s="4"/>
      <c r="E62" s="4"/>
      <c r="F62" s="4"/>
      <c r="G62" s="4"/>
      <c r="H62" s="4"/>
      <c r="I62" s="4"/>
      <c r="J62" s="4"/>
      <c r="K62" s="4"/>
      <c r="L62" s="4"/>
      <c r="M62" s="4"/>
      <c r="N62" s="12"/>
      <c r="AN62" s="32"/>
      <c r="AO62" s="32"/>
      <c r="AR62" s="32"/>
      <c r="AS62" s="32"/>
      <c r="BA62" s="29"/>
      <c r="BD62" s="29"/>
      <c r="BF62" s="30"/>
      <c r="BG62" s="31"/>
      <c r="BH62" s="30"/>
      <c r="BI62" s="31"/>
      <c r="BJ62" s="33"/>
      <c r="BL62" s="118"/>
      <c r="BM62" s="123"/>
      <c r="BN62" s="121"/>
      <c r="BO62" s="7"/>
      <c r="BP62" s="123"/>
      <c r="BQ62" s="21"/>
      <c r="BR62" s="122"/>
      <c r="BS62" s="119"/>
      <c r="BT62" s="7"/>
      <c r="BU62" s="119"/>
      <c r="BV62" s="8"/>
      <c r="BW62" s="7"/>
      <c r="BX62" s="7"/>
      <c r="BY62" s="7"/>
    </row>
    <row r="63" spans="2:77">
      <c r="B63" s="111" t="s">
        <v>155</v>
      </c>
      <c r="C63" s="4"/>
      <c r="D63" s="4"/>
      <c r="E63" s="4"/>
      <c r="F63" s="4"/>
      <c r="G63" s="4"/>
      <c r="H63" s="4"/>
      <c r="I63" s="4"/>
      <c r="J63" s="4"/>
      <c r="K63" s="4"/>
      <c r="L63" s="4"/>
      <c r="M63" s="4"/>
      <c r="N63" s="12"/>
      <c r="AN63" s="32"/>
      <c r="AO63" s="32"/>
      <c r="AR63" s="32"/>
      <c r="AS63" s="32"/>
      <c r="BA63" s="29"/>
      <c r="BD63" s="29"/>
      <c r="BF63" s="30"/>
      <c r="BG63" s="31"/>
      <c r="BH63" s="30"/>
      <c r="BI63" s="31"/>
      <c r="BJ63" s="33"/>
      <c r="BL63" s="118"/>
      <c r="BM63" s="123"/>
      <c r="BN63" s="121"/>
      <c r="BO63" s="7"/>
      <c r="BP63" s="123"/>
      <c r="BQ63" s="21"/>
      <c r="BR63" s="122"/>
      <c r="BS63" s="119"/>
      <c r="BT63" s="7"/>
      <c r="BU63" s="119"/>
      <c r="BV63" s="8"/>
      <c r="BW63" s="7"/>
      <c r="BX63" s="7"/>
      <c r="BY63" s="7"/>
    </row>
    <row r="64" spans="2:77">
      <c r="B64" s="13"/>
      <c r="C64" s="4"/>
      <c r="D64" s="89"/>
      <c r="E64" s="4"/>
      <c r="F64" s="89" t="s">
        <v>154</v>
      </c>
      <c r="G64" s="91">
        <f>0.5*SQRT(C29/E29)</f>
        <v>12.81416788366395</v>
      </c>
      <c r="H64" s="4"/>
      <c r="I64" s="4"/>
      <c r="J64" s="89" t="s">
        <v>153</v>
      </c>
      <c r="K64" s="89" t="s">
        <v>151</v>
      </c>
      <c r="L64" s="91">
        <f>((F19-F16)/2)/F20</f>
        <v>8.125</v>
      </c>
      <c r="M64" s="106" t="s">
        <v>44</v>
      </c>
      <c r="N64" s="25" t="str">
        <f>IF(L64&lt;=$G$64,"OK","Check""")</f>
        <v>OK</v>
      </c>
      <c r="AN64" s="32"/>
      <c r="AO64" s="32"/>
      <c r="AR64" s="32"/>
      <c r="AS64" s="32"/>
      <c r="BA64" s="29"/>
      <c r="BD64" s="29"/>
      <c r="BF64" s="30"/>
      <c r="BG64" s="31"/>
      <c r="BH64" s="30"/>
      <c r="BI64" s="31"/>
      <c r="BJ64" s="33"/>
      <c r="BL64" s="118"/>
      <c r="BM64" s="123"/>
      <c r="BN64" s="121"/>
      <c r="BO64" s="7"/>
      <c r="BP64" s="123"/>
      <c r="BQ64" s="21"/>
      <c r="BR64" s="122"/>
      <c r="BS64" s="119"/>
      <c r="BT64" s="7"/>
      <c r="BU64" s="119"/>
      <c r="BV64" s="8"/>
      <c r="BW64" s="7"/>
      <c r="BX64" s="7"/>
      <c r="BY64" s="7"/>
    </row>
    <row r="65" spans="2:77">
      <c r="B65" s="13"/>
      <c r="C65" s="4"/>
      <c r="D65" s="89"/>
      <c r="E65" s="4"/>
      <c r="F65" s="91"/>
      <c r="G65" s="4"/>
      <c r="H65" s="4"/>
      <c r="I65" s="4"/>
      <c r="J65" s="89" t="s">
        <v>152</v>
      </c>
      <c r="K65" s="89" t="s">
        <v>151</v>
      </c>
      <c r="L65" s="91">
        <f>((F17-F16)/2)/F18</f>
        <v>9.9375</v>
      </c>
      <c r="M65" s="106" t="s">
        <v>44</v>
      </c>
      <c r="N65" s="25" t="str">
        <f>IF(L65&lt;=$G$64,"OK","Check""")</f>
        <v>OK</v>
      </c>
      <c r="AN65" s="32"/>
      <c r="AO65" s="32"/>
      <c r="AR65" s="32"/>
      <c r="AS65" s="32"/>
      <c r="BA65" s="29"/>
      <c r="BD65" s="29"/>
      <c r="BF65" s="30"/>
      <c r="BG65" s="31"/>
      <c r="BH65" s="30"/>
      <c r="BI65" s="31"/>
      <c r="BJ65" s="33"/>
      <c r="BL65" s="118"/>
      <c r="BM65" s="123"/>
      <c r="BN65" s="121"/>
      <c r="BO65" s="7"/>
      <c r="BP65" s="123"/>
      <c r="BQ65" s="21"/>
      <c r="BR65" s="122"/>
      <c r="BS65" s="119"/>
      <c r="BT65" s="7"/>
      <c r="BU65" s="119"/>
      <c r="BV65" s="8"/>
      <c r="BW65" s="7"/>
      <c r="BX65" s="7"/>
      <c r="BY65" s="7"/>
    </row>
    <row r="66" spans="2:77">
      <c r="B66" s="111" t="s">
        <v>156</v>
      </c>
      <c r="C66" s="4"/>
      <c r="D66" s="4"/>
      <c r="E66" s="4"/>
      <c r="F66" s="4"/>
      <c r="G66" s="4"/>
      <c r="H66" s="4"/>
      <c r="I66" s="4"/>
      <c r="J66" s="4"/>
      <c r="K66" s="4"/>
      <c r="L66" s="4"/>
      <c r="M66" s="4"/>
      <c r="N66" s="12"/>
      <c r="AN66" s="32"/>
      <c r="AO66" s="32"/>
      <c r="AR66" s="32"/>
      <c r="AS66" s="32"/>
      <c r="BA66" s="29"/>
      <c r="BD66" s="29"/>
      <c r="BF66" s="30"/>
      <c r="BG66" s="31"/>
      <c r="BH66" s="30"/>
      <c r="BI66" s="31"/>
      <c r="BJ66" s="33"/>
      <c r="BL66" s="118"/>
      <c r="BM66" s="123"/>
      <c r="BN66" s="121"/>
      <c r="BO66" s="7"/>
      <c r="BP66" s="123"/>
      <c r="BQ66" s="21"/>
      <c r="BR66" s="122"/>
      <c r="BS66" s="119"/>
      <c r="BT66" s="7"/>
      <c r="BU66" s="119"/>
      <c r="BV66" s="8"/>
      <c r="BW66" s="7"/>
      <c r="BX66" s="7"/>
      <c r="BY66" s="7"/>
    </row>
    <row r="67" spans="2:77">
      <c r="B67" s="11" t="s">
        <v>157</v>
      </c>
      <c r="C67" s="4"/>
      <c r="D67" s="4"/>
      <c r="E67" s="4"/>
      <c r="F67" s="4"/>
      <c r="G67" s="4"/>
      <c r="H67" s="4"/>
      <c r="I67" s="4"/>
      <c r="J67" s="4"/>
      <c r="K67" s="94" t="s">
        <v>158</v>
      </c>
      <c r="L67" s="93">
        <f>(F21/F16)*SQRT(E29/C29)</f>
        <v>3.8054558413527344</v>
      </c>
      <c r="M67" s="4"/>
      <c r="N67" s="12"/>
      <c r="AN67" s="32"/>
      <c r="AO67" s="32"/>
      <c r="AR67" s="32"/>
      <c r="AS67" s="32"/>
      <c r="BA67" s="29"/>
      <c r="BD67" s="29"/>
      <c r="BF67" s="30"/>
      <c r="BG67" s="31"/>
      <c r="BH67" s="30"/>
      <c r="BI67" s="31"/>
      <c r="BJ67" s="33"/>
      <c r="BL67" s="118"/>
      <c r="BM67" s="123"/>
      <c r="BN67" s="121"/>
      <c r="BO67" s="7"/>
      <c r="BP67" s="123"/>
      <c r="BQ67" s="21"/>
      <c r="BR67" s="122"/>
      <c r="BS67" s="119"/>
      <c r="BT67" s="7"/>
      <c r="BU67" s="119"/>
      <c r="BV67" s="8"/>
      <c r="BW67" s="7"/>
      <c r="BX67" s="7"/>
      <c r="BY67" s="7"/>
    </row>
    <row r="68" spans="2:77">
      <c r="B68" s="92" t="str">
        <f>"+ Sườn tăng cứng ngang"</f>
        <v>+ Sườn tăng cứng ngang</v>
      </c>
      <c r="C68" s="4"/>
      <c r="D68" s="88"/>
      <c r="E68" s="88"/>
      <c r="F68" s="4"/>
      <c r="G68" s="4"/>
      <c r="H68" s="4"/>
      <c r="I68" s="4"/>
      <c r="J68" s="95"/>
      <c r="K68" s="115" t="s">
        <v>162</v>
      </c>
      <c r="L68" s="54">
        <f>IF(M68="Tải trọng tĩnh",3.2,2.2)</f>
        <v>3.2</v>
      </c>
      <c r="M68" s="179" t="s">
        <v>159</v>
      </c>
      <c r="N68" s="180"/>
      <c r="AN68" s="32"/>
      <c r="AO68" s="32"/>
      <c r="AR68" s="32"/>
      <c r="AS68" s="32"/>
      <c r="BA68" s="29"/>
      <c r="BD68" s="29"/>
      <c r="BF68" s="30"/>
      <c r="BG68" s="31"/>
      <c r="BH68" s="30"/>
      <c r="BI68" s="31"/>
      <c r="BJ68" s="33"/>
      <c r="BL68" s="118"/>
      <c r="BM68" s="123"/>
      <c r="BN68" s="121"/>
      <c r="BO68" s="7"/>
      <c r="BP68" s="123"/>
      <c r="BQ68" s="21"/>
      <c r="BR68" s="122"/>
      <c r="BS68" s="119"/>
      <c r="BT68" s="7"/>
      <c r="BU68" s="119"/>
      <c r="BV68" s="8"/>
      <c r="BW68" s="7"/>
      <c r="BX68" s="7"/>
      <c r="BY68" s="7"/>
    </row>
    <row r="69" spans="2:77">
      <c r="B69" s="116" t="s">
        <v>111</v>
      </c>
      <c r="C69" s="4"/>
      <c r="D69" s="4"/>
      <c r="E69" s="94" t="s">
        <v>160</v>
      </c>
      <c r="F69" s="55" t="str">
        <f>IF(J67&lt;J68,"&lt;","&gt;")</f>
        <v>&gt;</v>
      </c>
      <c r="G69" s="96" t="s">
        <v>161</v>
      </c>
      <c r="H69" s="4"/>
      <c r="I69" s="55"/>
      <c r="J69" s="94"/>
      <c r="K69" s="4"/>
      <c r="L69" s="89" t="str">
        <f>IF(L67&gt;L68,"Dầm phải được tăng cường bằng các sườn cứng ngang","Không gia cường")</f>
        <v>Dầm phải được tăng cường bằng các sườn cứng ngang</v>
      </c>
      <c r="M69" s="4"/>
      <c r="N69" s="12"/>
      <c r="AN69" s="32"/>
      <c r="AO69" s="32"/>
      <c r="AR69" s="32"/>
      <c r="AS69" s="32"/>
      <c r="BA69" s="29"/>
      <c r="BD69" s="29"/>
      <c r="BF69" s="30"/>
      <c r="BG69" s="31"/>
      <c r="BH69" s="30"/>
      <c r="BI69" s="31"/>
      <c r="BJ69" s="33"/>
      <c r="BL69" s="118"/>
      <c r="BM69" s="123"/>
      <c r="BN69" s="121"/>
      <c r="BO69" s="7"/>
      <c r="BP69" s="123"/>
      <c r="BQ69" s="21"/>
      <c r="BR69" s="122"/>
      <c r="BS69" s="119"/>
      <c r="BT69" s="7"/>
      <c r="BU69" s="119"/>
      <c r="BV69" s="8"/>
      <c r="BW69" s="7"/>
      <c r="BX69" s="7"/>
      <c r="BY69" s="7"/>
    </row>
    <row r="70" spans="2:77">
      <c r="B70" s="92" t="str">
        <f>"+ Sườn tăng cứng dọc"</f>
        <v>+ Sườn tăng cứng dọc</v>
      </c>
      <c r="C70" s="4"/>
      <c r="D70" s="88"/>
      <c r="E70" s="88"/>
      <c r="F70" s="4"/>
      <c r="G70" s="4"/>
      <c r="H70" s="4"/>
      <c r="I70" s="4"/>
      <c r="J70" s="95"/>
      <c r="K70" s="115" t="s">
        <v>162</v>
      </c>
      <c r="L70" s="54">
        <v>5.5</v>
      </c>
      <c r="M70" s="112"/>
      <c r="N70" s="113"/>
      <c r="AN70" s="32"/>
      <c r="AO70" s="32"/>
      <c r="AR70" s="32"/>
      <c r="AS70" s="32"/>
      <c r="BA70" s="29"/>
      <c r="BD70" s="29"/>
      <c r="BF70" s="30"/>
      <c r="BG70" s="31"/>
      <c r="BH70" s="30"/>
      <c r="BI70" s="31"/>
      <c r="BJ70" s="33"/>
      <c r="BL70" s="118"/>
      <c r="BM70" s="123"/>
      <c r="BN70" s="121"/>
      <c r="BO70" s="7"/>
      <c r="BP70" s="123"/>
      <c r="BQ70" s="21"/>
      <c r="BR70" s="122"/>
      <c r="BS70" s="119"/>
      <c r="BT70" s="7"/>
      <c r="BU70" s="119"/>
      <c r="BV70" s="8"/>
      <c r="BW70" s="7"/>
      <c r="BX70" s="7"/>
      <c r="BY70" s="7"/>
    </row>
    <row r="71" spans="2:77">
      <c r="B71" s="116" t="s">
        <v>111</v>
      </c>
      <c r="C71" s="4"/>
      <c r="D71" s="4"/>
      <c r="E71" s="94" t="s">
        <v>160</v>
      </c>
      <c r="F71" s="55" t="str">
        <f>IF(J69&lt;J70,"&lt;","&gt;")</f>
        <v>&gt;</v>
      </c>
      <c r="G71" s="96" t="s">
        <v>161</v>
      </c>
      <c r="H71" s="4"/>
      <c r="I71" s="4"/>
      <c r="J71" s="4"/>
      <c r="K71" s="4"/>
      <c r="L71" s="89" t="str">
        <f>IF(L67&gt;5.5,"Dầm phải được tăng cường bằng các sườn cứng dọc","Không gia cường")</f>
        <v>Không gia cường</v>
      </c>
      <c r="M71" s="4"/>
      <c r="N71" s="12"/>
      <c r="AN71" s="32"/>
      <c r="AO71" s="32"/>
      <c r="AR71" s="32"/>
      <c r="AS71" s="32"/>
      <c r="BA71" s="29"/>
      <c r="BD71" s="29"/>
      <c r="BF71" s="30"/>
      <c r="BG71" s="31"/>
      <c r="BH71" s="30"/>
      <c r="BI71" s="31"/>
      <c r="BJ71" s="33"/>
      <c r="BL71" s="118"/>
      <c r="BM71" s="123"/>
      <c r="BN71" s="121"/>
      <c r="BO71" s="7"/>
      <c r="BP71" s="123"/>
      <c r="BQ71" s="21"/>
      <c r="BR71" s="122"/>
      <c r="BS71" s="119"/>
      <c r="BT71" s="7"/>
      <c r="BU71" s="119"/>
      <c r="BV71" s="8"/>
      <c r="BW71" s="7"/>
      <c r="BX71" s="7"/>
      <c r="BY71" s="7"/>
    </row>
    <row r="72" spans="2:77">
      <c r="B72" s="15"/>
      <c r="C72" s="14"/>
      <c r="D72" s="14"/>
      <c r="E72" s="14"/>
      <c r="F72" s="14"/>
      <c r="G72" s="14"/>
      <c r="H72" s="14"/>
      <c r="I72" s="14"/>
      <c r="J72" s="14"/>
      <c r="K72" s="14"/>
      <c r="L72" s="14"/>
      <c r="M72" s="14"/>
      <c r="N72" s="114"/>
      <c r="AN72" s="32"/>
      <c r="AO72" s="32"/>
      <c r="AR72" s="32"/>
      <c r="AS72" s="32"/>
      <c r="BA72" s="29"/>
      <c r="BD72" s="29"/>
      <c r="BF72" s="30"/>
      <c r="BG72" s="31"/>
      <c r="BH72" s="30"/>
      <c r="BI72" s="31"/>
      <c r="BJ72" s="33"/>
      <c r="BL72" s="118"/>
      <c r="BM72" s="123"/>
      <c r="BN72" s="121"/>
      <c r="BO72" s="7"/>
      <c r="BP72" s="123"/>
      <c r="BQ72" s="21"/>
      <c r="BR72" s="122"/>
      <c r="BS72" s="119"/>
      <c r="BT72" s="7"/>
      <c r="BU72" s="119"/>
      <c r="BV72" s="8"/>
      <c r="BW72" s="7"/>
      <c r="BX72" s="7"/>
      <c r="BY72" s="7"/>
    </row>
    <row r="73" spans="2:77">
      <c r="AN73" s="32"/>
      <c r="AO73" s="32"/>
      <c r="AR73" s="32"/>
      <c r="AS73" s="32"/>
      <c r="BA73" s="29"/>
      <c r="BD73" s="29"/>
      <c r="BF73" s="30"/>
      <c r="BG73" s="31"/>
      <c r="BH73" s="30"/>
      <c r="BI73" s="31"/>
      <c r="BJ73" s="33"/>
      <c r="BL73" s="118"/>
      <c r="BM73" s="123"/>
      <c r="BN73" s="121"/>
      <c r="BO73" s="7"/>
      <c r="BP73" s="123"/>
      <c r="BQ73" s="21"/>
      <c r="BR73" s="122"/>
      <c r="BS73" s="119"/>
      <c r="BT73" s="7"/>
      <c r="BU73" s="119"/>
      <c r="BV73" s="8"/>
      <c r="BW73" s="7"/>
      <c r="BX73" s="7"/>
      <c r="BY73" s="7"/>
    </row>
    <row r="74" spans="2:77">
      <c r="AN74" s="32"/>
      <c r="AO74" s="32"/>
      <c r="AR74" s="32"/>
      <c r="AS74" s="32"/>
      <c r="BA74" s="29"/>
      <c r="BD74" s="29"/>
      <c r="BF74" s="30"/>
      <c r="BG74" s="31"/>
      <c r="BH74" s="30"/>
      <c r="BI74" s="31"/>
      <c r="BJ74" s="33"/>
      <c r="BL74" s="118"/>
      <c r="BM74" s="123"/>
      <c r="BN74" s="121"/>
      <c r="BO74" s="7"/>
      <c r="BP74" s="123"/>
      <c r="BQ74" s="21"/>
      <c r="BR74" s="122"/>
      <c r="BS74" s="119"/>
      <c r="BT74" s="7"/>
      <c r="BU74" s="119"/>
      <c r="BV74" s="8"/>
      <c r="BW74" s="7"/>
      <c r="BX74" s="7"/>
      <c r="BY74" s="7"/>
    </row>
    <row r="75" spans="2:77">
      <c r="AN75" s="32"/>
      <c r="AO75" s="32"/>
      <c r="AR75" s="32"/>
      <c r="AS75" s="32"/>
      <c r="BA75" s="29"/>
      <c r="BD75" s="29"/>
      <c r="BF75" s="30"/>
      <c r="BG75" s="31"/>
      <c r="BH75" s="30"/>
      <c r="BI75" s="31"/>
      <c r="BJ75" s="33"/>
      <c r="BL75" s="118"/>
      <c r="BM75" s="123"/>
      <c r="BN75" s="121"/>
      <c r="BO75" s="7"/>
      <c r="BP75" s="123"/>
      <c r="BQ75" s="21"/>
      <c r="BR75" s="122"/>
      <c r="BS75" s="119"/>
      <c r="BT75" s="7"/>
      <c r="BU75" s="119"/>
      <c r="BV75" s="8"/>
      <c r="BW75" s="7"/>
      <c r="BX75" s="7"/>
      <c r="BY75" s="7"/>
    </row>
    <row r="76" spans="2:77">
      <c r="AN76" s="32"/>
      <c r="AO76" s="32"/>
      <c r="AR76" s="32"/>
      <c r="AS76" s="32"/>
      <c r="BA76" s="29"/>
      <c r="BD76" s="29"/>
      <c r="BF76" s="30"/>
      <c r="BG76" s="31"/>
      <c r="BH76" s="30"/>
      <c r="BI76" s="31"/>
      <c r="BJ76" s="33"/>
      <c r="BL76" s="118"/>
      <c r="BM76" s="123"/>
      <c r="BN76" s="121"/>
      <c r="BO76" s="7"/>
      <c r="BP76" s="123"/>
      <c r="BQ76" s="21"/>
      <c r="BR76" s="122"/>
      <c r="BS76" s="119"/>
      <c r="BT76" s="7"/>
      <c r="BU76" s="119"/>
      <c r="BV76" s="8"/>
      <c r="BW76" s="7"/>
      <c r="BX76" s="7"/>
      <c r="BY76" s="7"/>
    </row>
    <row r="77" spans="2:77">
      <c r="AN77" s="32"/>
      <c r="AO77" s="32"/>
      <c r="AR77" s="32"/>
      <c r="AS77" s="32"/>
      <c r="BA77" s="29"/>
      <c r="BD77" s="29"/>
      <c r="BF77" s="30"/>
      <c r="BG77" s="31"/>
      <c r="BH77" s="30"/>
      <c r="BI77" s="31"/>
      <c r="BJ77" s="33"/>
      <c r="BL77" s="118"/>
      <c r="BM77" s="123"/>
      <c r="BN77" s="121"/>
      <c r="BO77" s="7"/>
      <c r="BP77" s="123"/>
      <c r="BQ77" s="21"/>
      <c r="BR77" s="122"/>
      <c r="BS77" s="119"/>
      <c r="BT77" s="7"/>
      <c r="BU77" s="119"/>
      <c r="BV77" s="8"/>
      <c r="BW77" s="7"/>
      <c r="BX77" s="7"/>
      <c r="BY77" s="7"/>
    </row>
    <row r="78" spans="2:77">
      <c r="AN78" s="32"/>
      <c r="AO78" s="32"/>
      <c r="AR78" s="32"/>
      <c r="AS78" s="32"/>
      <c r="BA78" s="29"/>
      <c r="BD78" s="29"/>
      <c r="BF78" s="30"/>
      <c r="BG78" s="31"/>
      <c r="BH78" s="30"/>
      <c r="BI78" s="31"/>
      <c r="BJ78" s="33"/>
      <c r="BL78" s="118"/>
      <c r="BM78" s="123"/>
      <c r="BN78" s="121"/>
      <c r="BO78" s="7"/>
      <c r="BP78" s="123"/>
      <c r="BQ78" s="21"/>
      <c r="BR78" s="122"/>
      <c r="BS78" s="119"/>
      <c r="BT78" s="7"/>
      <c r="BU78" s="119"/>
      <c r="BV78" s="8"/>
      <c r="BW78" s="7"/>
      <c r="BX78" s="7"/>
      <c r="BY78" s="7"/>
    </row>
    <row r="79" spans="2:77">
      <c r="AN79" s="32"/>
      <c r="AO79" s="32"/>
      <c r="AR79" s="32"/>
      <c r="AS79" s="32"/>
      <c r="BA79" s="29"/>
      <c r="BD79" s="29"/>
      <c r="BF79" s="30"/>
      <c r="BG79" s="31"/>
      <c r="BH79" s="30"/>
      <c r="BI79" s="31"/>
      <c r="BJ79" s="33"/>
      <c r="BL79" s="118"/>
      <c r="BM79" s="123"/>
      <c r="BN79" s="121"/>
      <c r="BO79" s="7"/>
      <c r="BP79" s="123"/>
      <c r="BQ79" s="21"/>
      <c r="BR79" s="122"/>
      <c r="BS79" s="119"/>
      <c r="BT79" s="7"/>
      <c r="BU79" s="119"/>
      <c r="BV79" s="8"/>
      <c r="BW79" s="7"/>
      <c r="BX79" s="7"/>
      <c r="BY79" s="7"/>
    </row>
    <row r="80" spans="2:77">
      <c r="AN80" s="32"/>
      <c r="AO80" s="32"/>
      <c r="AR80" s="32"/>
      <c r="AS80" s="32"/>
      <c r="BA80" s="29"/>
      <c r="BD80" s="29"/>
      <c r="BF80" s="30"/>
      <c r="BG80" s="31"/>
      <c r="BH80" s="30"/>
      <c r="BI80" s="31"/>
      <c r="BJ80" s="33"/>
      <c r="BL80" s="118"/>
      <c r="BM80" s="123"/>
      <c r="BN80" s="121"/>
      <c r="BO80" s="7"/>
      <c r="BP80" s="123"/>
      <c r="BQ80" s="21"/>
      <c r="BR80" s="122"/>
      <c r="BS80" s="119"/>
      <c r="BT80" s="7"/>
      <c r="BU80" s="119"/>
      <c r="BV80" s="8"/>
      <c r="BW80" s="7"/>
      <c r="BX80" s="7"/>
      <c r="BY80" s="7"/>
    </row>
  </sheetData>
  <mergeCells count="80">
    <mergeCell ref="BT21:BT22"/>
    <mergeCell ref="EL19:EO20"/>
    <mergeCell ref="EP19:ET20"/>
    <mergeCell ref="EU19:EY20"/>
    <mergeCell ref="EL21:EL22"/>
    <mergeCell ref="EN21:EN22"/>
    <mergeCell ref="EO21:EO22"/>
    <mergeCell ref="EP21:EP22"/>
    <mergeCell ref="EQ21:EQ22"/>
    <mergeCell ref="ER21:ER22"/>
    <mergeCell ref="ES21:ES22"/>
    <mergeCell ref="ET21:ET22"/>
    <mergeCell ref="EU21:EU22"/>
    <mergeCell ref="EV21:EW21"/>
    <mergeCell ref="EX21:EY21"/>
    <mergeCell ref="EA19:EK20"/>
    <mergeCell ref="BL21:BL22"/>
    <mergeCell ref="BN21:BN22"/>
    <mergeCell ref="BO21:BO22"/>
    <mergeCell ref="BL19:BO20"/>
    <mergeCell ref="DJ17:DK17"/>
    <mergeCell ref="DJ18:DK18"/>
    <mergeCell ref="DA19:DZ20"/>
    <mergeCell ref="BU19:BY20"/>
    <mergeCell ref="BU21:BU22"/>
    <mergeCell ref="BV21:BW21"/>
    <mergeCell ref="BX21:BY21"/>
    <mergeCell ref="BP21:BP22"/>
    <mergeCell ref="BQ21:BQ22"/>
    <mergeCell ref="BP19:BT20"/>
    <mergeCell ref="BR21:BR22"/>
    <mergeCell ref="BS21:BS22"/>
    <mergeCell ref="DA11:EY11"/>
    <mergeCell ref="DA12:EY12"/>
    <mergeCell ref="DA21:DA22"/>
    <mergeCell ref="DB21:DB22"/>
    <mergeCell ref="DT21:DT22"/>
    <mergeCell ref="EE21:EE22"/>
    <mergeCell ref="EG21:EG22"/>
    <mergeCell ref="EI21:EI22"/>
    <mergeCell ref="EJ21:EJ22"/>
    <mergeCell ref="EK21:EK22"/>
    <mergeCell ref="DF14:DG14"/>
    <mergeCell ref="DJ14:DK14"/>
    <mergeCell ref="DF15:DG15"/>
    <mergeCell ref="DJ15:DK15"/>
    <mergeCell ref="DJ16:DK16"/>
    <mergeCell ref="BJ21:BJ22"/>
    <mergeCell ref="BK21:BK22"/>
    <mergeCell ref="AJ18:AK18"/>
    <mergeCell ref="AJ17:AK17"/>
    <mergeCell ref="AJ16:AK16"/>
    <mergeCell ref="BG21:BG22"/>
    <mergeCell ref="BI21:BI22"/>
    <mergeCell ref="AA19:AZ20"/>
    <mergeCell ref="AB21:AB22"/>
    <mergeCell ref="AT21:AT22"/>
    <mergeCell ref="BE21:BE22"/>
    <mergeCell ref="BA19:BK20"/>
    <mergeCell ref="B11:J12"/>
    <mergeCell ref="AA11:BY11"/>
    <mergeCell ref="AA12:BY12"/>
    <mergeCell ref="K11:K12"/>
    <mergeCell ref="L11:N12"/>
    <mergeCell ref="B13:D13"/>
    <mergeCell ref="AF14:AG14"/>
    <mergeCell ref="AJ14:AK14"/>
    <mergeCell ref="AF15:AG15"/>
    <mergeCell ref="AJ15:AK15"/>
    <mergeCell ref="M68:N68"/>
    <mergeCell ref="D32:D33"/>
    <mergeCell ref="P40:Q41"/>
    <mergeCell ref="C26:D26"/>
    <mergeCell ref="E26:F26"/>
    <mergeCell ref="G26:H26"/>
    <mergeCell ref="I26:N26"/>
    <mergeCell ref="G27:G28"/>
    <mergeCell ref="H27:H28"/>
    <mergeCell ref="B36:D36"/>
    <mergeCell ref="G32:G33"/>
  </mergeCells>
  <conditionalFormatting sqref="N44">
    <cfRule type="containsText" dxfId="30" priority="41" operator="containsText" text="Check">
      <formula>NOT(ISERROR(SEARCH("Check",N44)))</formula>
    </cfRule>
    <cfRule type="containsText" dxfId="29" priority="42" operator="containsText" text="OK">
      <formula>NOT(ISERROR(SEARCH("OK",N44)))</formula>
    </cfRule>
  </conditionalFormatting>
  <conditionalFormatting sqref="N48">
    <cfRule type="containsText" dxfId="28" priority="39" operator="containsText" text="Check">
      <formula>NOT(ISERROR(SEARCH("Check",N48)))</formula>
    </cfRule>
    <cfRule type="containsText" dxfId="27" priority="40" operator="containsText" text="OK">
      <formula>NOT(ISERROR(SEARCH("OK",N48)))</formula>
    </cfRule>
  </conditionalFormatting>
  <conditionalFormatting sqref="N53">
    <cfRule type="containsText" dxfId="26" priority="37" operator="containsText" text="Check">
      <formula>NOT(ISERROR(SEARCH("Check",N53)))</formula>
    </cfRule>
    <cfRule type="containsText" dxfId="25" priority="38" operator="containsText" text="OK">
      <formula>NOT(ISERROR(SEARCH("OK",N53)))</formula>
    </cfRule>
  </conditionalFormatting>
  <conditionalFormatting sqref="BE23:BE999999">
    <cfRule type="cellIs" dxfId="24" priority="35" operator="greaterThan">
      <formula>1</formula>
    </cfRule>
  </conditionalFormatting>
  <conditionalFormatting sqref="BG23:BG999999">
    <cfRule type="cellIs" dxfId="23" priority="34" operator="greaterThan">
      <formula>1</formula>
    </cfRule>
  </conditionalFormatting>
  <conditionalFormatting sqref="BI23:BI999999">
    <cfRule type="cellIs" dxfId="22" priority="32" operator="greaterThan">
      <formula>1</formula>
    </cfRule>
  </conditionalFormatting>
  <conditionalFormatting sqref="BK23:BK999999">
    <cfRule type="containsText" dxfId="21" priority="29" operator="containsText" text="Check">
      <formula>NOT(ISERROR(SEARCH("Check",BK23)))</formula>
    </cfRule>
    <cfRule type="cellIs" dxfId="20" priority="30" operator="equal">
      <formula>"OK"</formula>
    </cfRule>
  </conditionalFormatting>
  <conditionalFormatting sqref="EK23:EK999999">
    <cfRule type="containsText" dxfId="19" priority="19" operator="containsText" text="Check">
      <formula>NOT(ISERROR(SEARCH("Check",EK23)))</formula>
    </cfRule>
    <cfRule type="cellIs" dxfId="18" priority="20" operator="equal">
      <formula>"OK"</formula>
    </cfRule>
  </conditionalFormatting>
  <conditionalFormatting sqref="N61">
    <cfRule type="containsText" dxfId="17" priority="17" operator="containsText" text="Check">
      <formula>NOT(ISERROR(SEARCH("Check",N61)))</formula>
    </cfRule>
    <cfRule type="containsText" dxfId="16" priority="18" operator="containsText" text="OK">
      <formula>NOT(ISERROR(SEARCH("OK",N61)))</formula>
    </cfRule>
  </conditionalFormatting>
  <conditionalFormatting sqref="N64:N65">
    <cfRule type="containsText" dxfId="15" priority="15" operator="containsText" text="Check">
      <formula>NOT(ISERROR(SEARCH("Check",N64)))</formula>
    </cfRule>
    <cfRule type="containsText" dxfId="14" priority="16" operator="containsText" text="OK">
      <formula>NOT(ISERROR(SEARCH("OK",N64)))</formula>
    </cfRule>
  </conditionalFormatting>
  <conditionalFormatting sqref="BO23:BO14166">
    <cfRule type="containsText" dxfId="13" priority="13" operator="containsText" text="Check">
      <formula>NOT(ISERROR(SEARCH("Check",BO23)))</formula>
    </cfRule>
    <cfRule type="cellIs" dxfId="12" priority="14" operator="equal">
      <formula>"OK"</formula>
    </cfRule>
  </conditionalFormatting>
  <conditionalFormatting sqref="BT23:BT14166">
    <cfRule type="containsText" dxfId="11" priority="11" operator="containsText" text="Check">
      <formula>NOT(ISERROR(SEARCH("Check",BT23)))</formula>
    </cfRule>
    <cfRule type="cellIs" dxfId="10" priority="12" operator="equal">
      <formula>"OK"</formula>
    </cfRule>
  </conditionalFormatting>
  <conditionalFormatting sqref="BW23:BW14166">
    <cfRule type="containsText" dxfId="9" priority="9" operator="containsText" text="Check">
      <formula>NOT(ISERROR(SEARCH("Check",BW23)))</formula>
    </cfRule>
    <cfRule type="cellIs" dxfId="8" priority="10" operator="equal">
      <formula>"OK"</formula>
    </cfRule>
  </conditionalFormatting>
  <conditionalFormatting sqref="BY23:BY14166">
    <cfRule type="containsText" dxfId="7" priority="7" operator="containsText" text="Check">
      <formula>NOT(ISERROR(SEARCH("Check",BY23)))</formula>
    </cfRule>
    <cfRule type="cellIs" dxfId="6" priority="8" operator="equal">
      <formula>"OK"</formula>
    </cfRule>
  </conditionalFormatting>
  <conditionalFormatting sqref="EJ23:EJ99999">
    <cfRule type="cellIs" dxfId="5" priority="6" operator="greaterThan">
      <formula>1</formula>
    </cfRule>
  </conditionalFormatting>
  <conditionalFormatting sqref="EO1:EO13 EO17:EO1048576 EI14:EI16">
    <cfRule type="containsText" dxfId="4" priority="4" operator="containsText" text="OK">
      <formula>NOT(ISERROR(SEARCH("OK",EI1)))</formula>
    </cfRule>
    <cfRule type="containsText" dxfId="3" priority="5" operator="containsText" text="Check">
      <formula>NOT(ISERROR(SEARCH("Check",EI1)))</formula>
    </cfRule>
  </conditionalFormatting>
  <conditionalFormatting sqref="ET1:ET1048576">
    <cfRule type="containsText" dxfId="2" priority="2" operator="containsText" text="Check">
      <formula>NOT(ISERROR(SEARCH("Check",ET1)))</formula>
    </cfRule>
    <cfRule type="containsText" dxfId="1" priority="3" operator="containsText" text="OK">
      <formula>NOT(ISERROR(SEARCH("OK",ET1)))</formula>
    </cfRule>
  </conditionalFormatting>
  <conditionalFormatting sqref="EW1:EW1048576 EY1:EY1048576">
    <cfRule type="containsText" dxfId="0" priority="1" operator="containsText" text="OK">
      <formula>NOT(ISERROR(SEARCH("OK",EW1)))</formula>
    </cfRule>
  </conditionalFormatting>
  <dataValidations disablePrompts="1" count="1">
    <dataValidation type="list" allowBlank="1" showInputMessage="1" showErrorMessage="1" sqref="M68 M70" xr:uid="{00000000-0002-0000-0100-000000000000}">
      <formula1>"Tải trọng tĩnh,Tải trọng di dộng"</formula1>
    </dataValidation>
  </dataValidations>
  <pageMargins left="0.59055118110236227" right="0.31496062992125984" top="0.59055118110236227" bottom="0.59055118110236227" header="0.31496062992125984" footer="0.31496062992125984"/>
  <pageSetup orientation="portrait" r:id="rId1"/>
  <ignoredErrors>
    <ignoredError sqref="L69" formula="1"/>
  </ignoredErrors>
  <drawing r:id="rId2"/>
  <legacyDrawing r:id="rId3"/>
  <picture r:id="rId4"/>
  <mc:AlternateContent xmlns:mc="http://schemas.openxmlformats.org/markup-compatibility/2006">
    <mc:Choice Requires="x14">
      <controls>
        <mc:AlternateContent xmlns:mc="http://schemas.openxmlformats.org/markup-compatibility/2006">
          <mc:Choice Requires="x14">
            <control shapeId="2051" r:id="rId5" name="Button 3">
              <controlPr defaultSize="0" print="0" autoFill="0" autoPict="0" macro="[0]!HideTable">
                <anchor moveWithCells="1" sizeWithCells="1">
                  <from>
                    <xdr:col>0</xdr:col>
                    <xdr:colOff>142875</xdr:colOff>
                    <xdr:row>11</xdr:row>
                    <xdr:rowOff>0</xdr:rowOff>
                  </from>
                  <to>
                    <xdr:col>0</xdr:col>
                    <xdr:colOff>733425</xdr:colOff>
                    <xdr:row>12</xdr:row>
                    <xdr:rowOff>123825</xdr:rowOff>
                  </to>
                </anchor>
              </controlPr>
            </control>
          </mc:Choice>
        </mc:AlternateContent>
        <mc:AlternateContent xmlns:mc="http://schemas.openxmlformats.org/markup-compatibility/2006">
          <mc:Choice Requires="x14">
            <control shapeId="2052" r:id="rId6" name="Button 4">
              <controlPr defaultSize="0" print="0" autoFill="0" autoPict="0" macro="[0]!UnHideTable">
                <anchor moveWithCells="1" sizeWithCells="1">
                  <from>
                    <xdr:col>0</xdr:col>
                    <xdr:colOff>133350</xdr:colOff>
                    <xdr:row>13</xdr:row>
                    <xdr:rowOff>85725</xdr:rowOff>
                  </from>
                  <to>
                    <xdr:col>0</xdr:col>
                    <xdr:colOff>752475</xdr:colOff>
                    <xdr:row>14</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100-000001000000}">
          <x14:formula1>
            <xm:f>Data!$C$20:$C$38</xm:f>
          </x14:formula1>
          <xm:sqref>E26:F26 AF15:AG15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Data</vt:lpstr>
      <vt:lpstr>Cal</vt:lpstr>
      <vt:lpstr>Cal!Print_Area</vt:lpstr>
      <vt:lpstr>Data!Print_Area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Ven Nguyen</dc:creator>
  <cp:lastModifiedBy>toan huynh vu minh</cp:lastModifiedBy>
  <cp:lastPrinted>2024-02-17T11:01:09Z</cp:lastPrinted>
  <dcterms:created xsi:type="dcterms:W3CDTF">2023-12-24T09:13:35Z</dcterms:created>
  <dcterms:modified xsi:type="dcterms:W3CDTF">2025-08-09T02:34:42Z</dcterms:modified>
</cp:coreProperties>
</file>