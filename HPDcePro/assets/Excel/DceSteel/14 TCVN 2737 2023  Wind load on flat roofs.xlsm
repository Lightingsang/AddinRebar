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897e0139b14c7e2/03 Spreadsheet/01 CALCULATION REPORT/00 UPDATED SEND DUY/"/>
    </mc:Choice>
  </mc:AlternateContent>
  <xr:revisionPtr revIDLastSave="2" documentId="13_ncr:1_{AB231328-1E02-4029-BD77-038A058B4A29}" xr6:coauthVersionLast="47" xr6:coauthVersionMax="47" xr10:uidLastSave="{18DD0C64-DADF-4D50-AB11-5DE57B3D4229}"/>
  <bookViews>
    <workbookView xWindow="-120" yWindow="-120" windowWidth="29040" windowHeight="15720" tabRatio="934" activeTab="1" xr2:uid="{00000000-000D-0000-FFFF-FFFF00000000}"/>
  </bookViews>
  <sheets>
    <sheet name="GustFactor" sheetId="149" r:id="rId1"/>
    <sheet name="TCVN" sheetId="147" r:id="rId2"/>
    <sheet name="Pic" sheetId="148" state="hidden" r:id="rId3"/>
  </sheets>
  <functionGroups builtInGroupCount="19"/>
  <definedNames>
    <definedName name="_Fill" hidden="1">#REF!</definedName>
    <definedName name="_IND1">#REF!</definedName>
    <definedName name="_Key1" hidden="1">#REF!</definedName>
    <definedName name="_Key2" hidden="1">#REF!</definedName>
    <definedName name="_Order1" hidden="1">255</definedName>
    <definedName name="_Order2" hidden="1">255</definedName>
    <definedName name="_Sort" hidden="1">#REF!</definedName>
    <definedName name="_xleta.MODE" hidden="1" xlm="1">#NAME?</definedName>
    <definedName name="AA">#REF!</definedName>
    <definedName name="b">#REF!</definedName>
    <definedName name="Bang8_10">GustFactor!$B$52:$L$54</definedName>
    <definedName name="d">#REF!</definedName>
    <definedName name="h" hidden="1">{"'Sheet1'!$L$16"}</definedName>
    <definedName name="HTML_CodePage" hidden="1">950</definedName>
    <definedName name="HTML_Control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Title" hidden="1">"00Q3961-SUM"</definedName>
    <definedName name="huy" hidden="1">{"'Sheet1'!$L$16"}</definedName>
    <definedName name="ModeGon">OFFSET(#REF!,0,0,COUNTA(#REF!)-1,1)</definedName>
    <definedName name="Period">OFFSET(#REF!,0,0,COUNTA(#REF!)-1,1)</definedName>
    <definedName name="_xlnm.Print_Area" localSheetId="0">GustFactor!$B$1:$N$47</definedName>
    <definedName name="_xlnm.Print_Titles" localSheetId="0">GustFactor!#REF!</definedName>
    <definedName name="Shape">#REF!</definedName>
    <definedName name="Site_terrain_type">#REF!</definedName>
    <definedName name="Structural_type">#REF!</definedName>
    <definedName name="Structure">#REF!</definedName>
    <definedName name="Stype">#REF!</definedName>
    <definedName name="Type_of_surface">#REF!</definedName>
    <definedName name="UX.PhanTramKhoiLuong">OFFSET(#REF!,0,0,COUNTA(#REF!)-1,1)</definedName>
    <definedName name="UY.PhanTramKhoiLuong">OFFSET(#REF!,0,0,COUNTA(#REF!)-1,1)</definedName>
    <definedName name="wrn.chi._.tiÆt." hidden="1">{#N/A,#N/A,FALSE,"Chi tiÆt"}</definedName>
    <definedName name="Wzon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4" i="149" l="1"/>
  <c r="J54" i="149"/>
  <c r="L53" i="149"/>
  <c r="J53" i="149"/>
  <c r="L52" i="149"/>
  <c r="J52" i="149"/>
  <c r="K36" i="149"/>
  <c r="E36" i="149"/>
  <c r="K30" i="149"/>
  <c r="K43" i="149" s="1"/>
  <c r="K46" i="149" s="1"/>
  <c r="K29" i="149"/>
  <c r="B28" i="149"/>
  <c r="H24" i="149"/>
  <c r="H21" i="149"/>
  <c r="H20" i="149"/>
  <c r="H19" i="149"/>
  <c r="H18" i="149"/>
  <c r="H23" i="149" s="1"/>
  <c r="H17" i="149"/>
  <c r="H22" i="149" s="1"/>
  <c r="H16" i="149"/>
  <c r="H15" i="149"/>
  <c r="H14" i="149"/>
  <c r="H13" i="149"/>
  <c r="H12" i="149"/>
  <c r="H25" i="149" s="1"/>
  <c r="H10" i="149"/>
  <c r="H11" i="149" s="1"/>
  <c r="E7" i="149"/>
  <c r="Z25" i="147"/>
  <c r="P21" i="147"/>
  <c r="P29" i="147"/>
  <c r="W26" i="147"/>
  <c r="W25" i="147"/>
  <c r="V22" i="147"/>
  <c r="C30" i="147"/>
  <c r="C28" i="147"/>
  <c r="C26" i="147"/>
  <c r="C29" i="147"/>
  <c r="C27" i="147"/>
  <c r="C25" i="147"/>
  <c r="P22" i="147"/>
  <c r="C22" i="147"/>
  <c r="C21" i="147"/>
  <c r="W19" i="147"/>
  <c r="W18" i="147"/>
  <c r="P18" i="147"/>
  <c r="Q17" i="147"/>
  <c r="J19" i="147"/>
  <c r="J18" i="147"/>
  <c r="J17" i="147"/>
  <c r="J16" i="147"/>
  <c r="J15" i="147"/>
  <c r="J14" i="147"/>
  <c r="J13" i="147"/>
  <c r="C12" i="147"/>
  <c r="J12" i="147"/>
  <c r="J11" i="147"/>
  <c r="M19" i="147"/>
  <c r="C11" i="147"/>
  <c r="G10" i="147"/>
  <c r="C10" i="147"/>
  <c r="C9" i="147"/>
  <c r="K8" i="147"/>
  <c r="J6" i="147"/>
  <c r="I6" i="147"/>
  <c r="K40" i="149" l="1"/>
  <c r="K39" i="149" s="1"/>
  <c r="E40" i="149"/>
  <c r="E39" i="149" s="1"/>
  <c r="E37" i="149"/>
  <c r="K37" i="149"/>
  <c r="K41" i="149"/>
  <c r="K44" i="149" s="1"/>
  <c r="E41" i="149"/>
  <c r="E44" i="149" s="1"/>
  <c r="E43" i="149"/>
  <c r="E46" i="149" s="1"/>
  <c r="E42" i="149"/>
  <c r="E45" i="149" s="1"/>
  <c r="K42" i="149"/>
  <c r="K45" i="149" s="1"/>
  <c r="F105" i="147"/>
  <c r="U100" i="147"/>
  <c r="J100" i="147"/>
  <c r="F100" i="147"/>
  <c r="F60" i="147"/>
  <c r="O60" i="147"/>
  <c r="U66" i="147"/>
  <c r="E38" i="149" l="1"/>
  <c r="E33" i="149" s="1"/>
  <c r="K38" i="149"/>
  <c r="K33" i="149" s="1"/>
  <c r="G26" i="147"/>
  <c r="I26" i="147"/>
  <c r="K26" i="147"/>
  <c r="M26" i="147"/>
  <c r="E26" i="147"/>
  <c r="G25" i="147"/>
  <c r="I25" i="147"/>
  <c r="K25" i="147"/>
  <c r="M25" i="147"/>
  <c r="E25" i="147"/>
  <c r="H72" i="147" l="1"/>
  <c r="H71" i="147"/>
  <c r="M71" i="147" s="1"/>
  <c r="G34" i="147"/>
  <c r="G33" i="147"/>
  <c r="L33" i="147" s="1"/>
  <c r="AQ23" i="147"/>
  <c r="AQ22" i="147"/>
  <c r="AQ21" i="147"/>
  <c r="AS20" i="147"/>
  <c r="AT20" i="147"/>
  <c r="AU20" i="147"/>
  <c r="AR20" i="147"/>
  <c r="AP24" i="147"/>
  <c r="AT21" i="147" a="1"/>
  <c r="AT22" i="147" a="1"/>
  <c r="AS23" i="147" a="1"/>
  <c r="AS21" i="147" a="1"/>
  <c r="AS22" i="147" a="1"/>
  <c r="AR23" i="147" a="1"/>
  <c r="AT23" i="147" a="1"/>
  <c r="AU22" i="147" a="1"/>
  <c r="AU21" i="147" a="1"/>
  <c r="AR21" i="147" a="1"/>
  <c r="AU23" i="147" a="1"/>
  <c r="AR22" i="147" a="1"/>
  <c r="E46" i="147" l="1"/>
  <c r="Y65" i="147" s="1"/>
  <c r="J99" i="147"/>
  <c r="M72" i="147"/>
  <c r="Y110" i="147"/>
  <c r="J92" i="147"/>
  <c r="Y88" i="147"/>
  <c r="F99" i="147"/>
  <c r="U99" i="147"/>
  <c r="F92" i="147"/>
  <c r="Y100" i="147"/>
  <c r="Y82" i="147"/>
  <c r="Y74" i="147"/>
  <c r="U92" i="147"/>
  <c r="Y104" i="147"/>
  <c r="P35" i="147"/>
  <c r="F54" i="147" s="1"/>
  <c r="E40" i="147"/>
  <c r="Y59" i="147" s="1"/>
  <c r="F35" i="147"/>
  <c r="U54" i="147" s="1"/>
  <c r="E36" i="147"/>
  <c r="Y55" i="147" s="1"/>
  <c r="J35" i="147"/>
  <c r="O54" i="147" s="1"/>
  <c r="AS23" i="147"/>
  <c r="AU23" i="147"/>
  <c r="AT23" i="147"/>
  <c r="AR23" i="147"/>
  <c r="AU22" i="147"/>
  <c r="AT22" i="147"/>
  <c r="AS22" i="147"/>
  <c r="AR22" i="147"/>
  <c r="AU21" i="147"/>
  <c r="AT21" i="147"/>
  <c r="AS21" i="147"/>
  <c r="AR21" i="147"/>
  <c r="AR24" i="147" s="1"/>
  <c r="AT24" i="147" l="1"/>
  <c r="I23" i="147" s="1"/>
  <c r="AU24" i="147"/>
  <c r="K23" i="147" s="1"/>
  <c r="AS24" i="147"/>
  <c r="M23" i="147" l="1"/>
  <c r="G23" i="147"/>
  <c r="E23" i="147"/>
  <c r="Y9" i="147"/>
  <c r="S12" i="147"/>
  <c r="AA24" i="147"/>
  <c r="AA23" i="147"/>
  <c r="W24" i="147"/>
  <c r="W23" i="147"/>
  <c r="R23" i="147"/>
  <c r="Z26" i="147" l="1"/>
  <c r="E27" i="147" s="1"/>
  <c r="R24" i="147"/>
  <c r="I27" i="147" l="1"/>
  <c r="E28" i="147"/>
  <c r="K28" i="147"/>
  <c r="G27" i="147"/>
  <c r="K27" i="147"/>
  <c r="M27" i="147"/>
  <c r="G28" i="147"/>
  <c r="I28" i="147"/>
  <c r="M28" i="147"/>
  <c r="M24" i="147"/>
  <c r="G24" i="147"/>
  <c r="I24" i="147"/>
  <c r="K24" i="147"/>
  <c r="E24" i="147"/>
  <c r="I30" i="147" l="1"/>
  <c r="I29" i="147"/>
  <c r="G29" i="147"/>
  <c r="G30" i="147"/>
  <c r="E30" i="147"/>
  <c r="E29" i="147"/>
  <c r="M29" i="147"/>
  <c r="K30" i="147"/>
  <c r="F42" i="147" l="1"/>
  <c r="U61" i="147" s="1"/>
  <c r="J90" i="147" s="1"/>
  <c r="J101" i="147" s="1"/>
  <c r="J42" i="147"/>
  <c r="O61" i="147" s="1"/>
  <c r="F85" i="147" s="1"/>
  <c r="F106" i="147" s="1"/>
  <c r="P42" i="147"/>
  <c r="F61" i="147" s="1"/>
  <c r="F78" i="147" s="1"/>
  <c r="F114" i="147" s="1"/>
  <c r="F37" i="147"/>
  <c r="F48" i="147" s="1"/>
  <c r="F38" i="147"/>
  <c r="F49" i="147" s="1"/>
  <c r="F43" i="147"/>
  <c r="U62" i="147" s="1"/>
  <c r="J91" i="147" s="1"/>
  <c r="J102" i="147" s="1"/>
  <c r="P43" i="147"/>
  <c r="F62" i="147" s="1"/>
  <c r="F79" i="147" s="1"/>
  <c r="F115" i="147" s="1"/>
  <c r="J43" i="147"/>
  <c r="O62" i="147" s="1"/>
  <c r="F86" i="147" s="1"/>
  <c r="F107" i="147" s="1"/>
  <c r="U57" i="147" l="1"/>
  <c r="U68" i="147" s="1"/>
  <c r="U91" i="147" s="1"/>
  <c r="F91" i="147" s="1"/>
  <c r="F102" i="147" s="1"/>
  <c r="U56" i="147"/>
  <c r="U67" i="147" s="1"/>
  <c r="U90" i="147" s="1"/>
  <c r="F90" i="147" s="1"/>
  <c r="F101" i="147" s="1"/>
  <c r="U102" i="147" l="1"/>
  <c r="U101" i="14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<sst xmlns="http://schemas.openxmlformats.org/spreadsheetml/2006/main" count="316" uniqueCount="227">
  <si>
    <t>C</t>
  </si>
  <si>
    <t>B</t>
  </si>
  <si>
    <t>II</t>
  </si>
  <si>
    <t>III</t>
  </si>
  <si>
    <t>IV</t>
  </si>
  <si>
    <t>I</t>
  </si>
  <si>
    <t>Project's code:</t>
  </si>
  <si>
    <t>Rev. No.</t>
  </si>
  <si>
    <t>Project:</t>
  </si>
  <si>
    <t>Date:</t>
  </si>
  <si>
    <t>The owner:</t>
  </si>
  <si>
    <t>V</t>
  </si>
  <si>
    <t>Zone</t>
  </si>
  <si>
    <t>W3s,20</t>
  </si>
  <si>
    <t>kPa</t>
  </si>
  <si>
    <t>A</t>
  </si>
  <si>
    <t xml:space="preserve">Terrain </t>
  </si>
  <si>
    <t>zg</t>
  </si>
  <si>
    <t>zmin</t>
  </si>
  <si>
    <t>a</t>
  </si>
  <si>
    <t>k(ze)max</t>
  </si>
  <si>
    <t>Wind pressure acting on the surfaces:</t>
  </si>
  <si>
    <t>Loại mái</t>
  </si>
  <si>
    <t>Có cạnh sắc</t>
  </si>
  <si>
    <t>Có tường chắn</t>
  </si>
  <si>
    <t>F</t>
  </si>
  <si>
    <t>G</t>
  </si>
  <si>
    <t>H</t>
  </si>
  <si>
    <r>
      <t>I</t>
    </r>
    <r>
      <rPr>
        <vertAlign val="superscript"/>
        <sz val="10"/>
        <color rgb="FF0000FF"/>
        <rFont val="Arial"/>
        <family val="2"/>
      </rPr>
      <t>+</t>
    </r>
  </si>
  <si>
    <t>Vùng</t>
  </si>
  <si>
    <t>BUILDING (STRUCTURE) DATA</t>
  </si>
  <si>
    <t>SITE DATA</t>
  </si>
  <si>
    <t>Structure:</t>
  </si>
  <si>
    <t>Site terrain type:</t>
  </si>
  <si>
    <t>Structural type:</t>
  </si>
  <si>
    <t>Type of roof:</t>
  </si>
  <si>
    <t>With parapets</t>
  </si>
  <si>
    <t>COEFFICIENTS AND FACTORS</t>
  </si>
  <si>
    <r>
      <t>c</t>
    </r>
    <r>
      <rPr>
        <vertAlign val="subscript"/>
        <sz val="11"/>
        <color theme="1"/>
        <rFont val="Calibri"/>
        <family val="2"/>
        <scheme val="minor"/>
      </rPr>
      <t xml:space="preserve">pe </t>
    </r>
    <r>
      <rPr>
        <sz val="11"/>
        <color theme="1"/>
        <rFont val="Calibri"/>
        <family val="2"/>
        <scheme val="minor"/>
      </rPr>
      <t>=</t>
    </r>
  </si>
  <si>
    <t>Zone F</t>
  </si>
  <si>
    <t>Zone H</t>
  </si>
  <si>
    <t>Zone I</t>
  </si>
  <si>
    <t>Zone G</t>
  </si>
  <si>
    <t>Steel building</t>
  </si>
  <si>
    <t>Sharp eaves</t>
  </si>
  <si>
    <t>Curved eaves</t>
  </si>
  <si>
    <t>Mansard eaves</t>
  </si>
  <si>
    <r>
      <t>W</t>
    </r>
    <r>
      <rPr>
        <vertAlign val="subscript"/>
        <sz val="11"/>
        <rFont val="Calibri"/>
        <family val="2"/>
        <scheme val="minor"/>
      </rPr>
      <t>3s,20</t>
    </r>
    <r>
      <rPr>
        <sz val="11"/>
        <rFont val="Calibri"/>
        <family val="2"/>
        <scheme val="minor"/>
      </rPr>
      <t xml:space="preserve"> =</t>
    </r>
  </si>
  <si>
    <r>
      <t>z</t>
    </r>
    <r>
      <rPr>
        <vertAlign val="subscript"/>
        <sz val="11"/>
        <rFont val="Calibri"/>
        <family val="2"/>
        <scheme val="minor"/>
      </rPr>
      <t>g</t>
    </r>
    <r>
      <rPr>
        <sz val="11"/>
        <rFont val="Calibri"/>
        <family val="2"/>
        <scheme val="minor"/>
      </rPr>
      <t xml:space="preserve"> =</t>
    </r>
  </si>
  <si>
    <r>
      <rPr>
        <sz val="11"/>
        <rFont val="Symbol"/>
        <family val="1"/>
        <charset val="2"/>
      </rPr>
      <t>a</t>
    </r>
    <r>
      <rPr>
        <sz val="11"/>
        <rFont val="Calibri"/>
        <family val="2"/>
        <scheme val="minor"/>
      </rPr>
      <t xml:space="preserve"> =</t>
    </r>
  </si>
  <si>
    <r>
      <t>W</t>
    </r>
    <r>
      <rPr>
        <vertAlign val="subscript"/>
        <sz val="11"/>
        <rFont val="Calibri"/>
        <family val="2"/>
        <scheme val="minor"/>
      </rPr>
      <t>3s,10</t>
    </r>
    <r>
      <rPr>
        <sz val="11"/>
        <rFont val="Calibri"/>
        <family val="2"/>
        <scheme val="minor"/>
      </rPr>
      <t xml:space="preserve"> =</t>
    </r>
  </si>
  <si>
    <r>
      <t>z</t>
    </r>
    <r>
      <rPr>
        <vertAlign val="subscript"/>
        <sz val="11"/>
        <rFont val="Calibri"/>
        <family val="2"/>
        <scheme val="minor"/>
      </rPr>
      <t>min</t>
    </r>
    <r>
      <rPr>
        <sz val="11"/>
        <rFont val="Calibri"/>
        <family val="2"/>
        <scheme val="minor"/>
      </rPr>
      <t xml:space="preserve"> =</t>
    </r>
  </si>
  <si>
    <r>
      <t>k(z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>),max =</t>
    </r>
  </si>
  <si>
    <r>
      <t>c</t>
    </r>
    <r>
      <rPr>
        <vertAlign val="subscript"/>
        <sz val="11"/>
        <color theme="1"/>
        <rFont val="Calibri"/>
        <family val="2"/>
        <scheme val="minor"/>
      </rPr>
      <t xml:space="preserve">pi </t>
    </r>
    <r>
      <rPr>
        <sz val="11"/>
        <color theme="1"/>
        <rFont val="Calibri"/>
        <family val="2"/>
        <scheme val="minor"/>
      </rPr>
      <t>=</t>
    </r>
  </si>
  <si>
    <t>Wind X</t>
  </si>
  <si>
    <t>s</t>
  </si>
  <si>
    <t>Wind Y</t>
  </si>
  <si>
    <t>Có cạnh bo tròn</t>
  </si>
  <si>
    <t>Có cạnh vát góc</t>
  </si>
  <si>
    <t>b (m) =</t>
  </si>
  <si>
    <t>e (m) =</t>
  </si>
  <si>
    <t>d (m) =</t>
  </si>
  <si>
    <t>Wind Y +</t>
  </si>
  <si>
    <t>Wind Y -</t>
  </si>
  <si>
    <t>Wind X -</t>
  </si>
  <si>
    <t>Wind X +</t>
  </si>
  <si>
    <r>
      <t>w</t>
    </r>
    <r>
      <rPr>
        <vertAlign val="subscript"/>
        <sz val="11"/>
        <color theme="1"/>
        <rFont val="Calibri"/>
        <family val="2"/>
        <scheme val="minor"/>
      </rPr>
      <t xml:space="preserve">e </t>
    </r>
    <r>
      <rPr>
        <sz val="11"/>
        <color theme="1"/>
        <rFont val="Calibri"/>
        <family val="2"/>
        <scheme val="minor"/>
      </rPr>
      <t>=</t>
    </r>
  </si>
  <si>
    <t>I(-)</t>
  </si>
  <si>
    <t>I(+)</t>
  </si>
  <si>
    <t>Case 1</t>
  </si>
  <si>
    <t>Case 2</t>
  </si>
  <si>
    <r>
      <t>w</t>
    </r>
    <r>
      <rPr>
        <vertAlign val="subscript"/>
        <sz val="11"/>
        <color theme="1"/>
        <rFont val="Calibri"/>
        <family val="2"/>
        <scheme val="minor"/>
      </rPr>
      <t xml:space="preserve">i </t>
    </r>
    <r>
      <rPr>
        <sz val="11"/>
        <color theme="1"/>
        <rFont val="Calibri"/>
        <family val="2"/>
        <scheme val="minor"/>
      </rPr>
      <t>=</t>
    </r>
  </si>
  <si>
    <r>
      <t>w</t>
    </r>
    <r>
      <rPr>
        <vertAlign val="subscript"/>
        <sz val="11"/>
        <color theme="1"/>
        <rFont val="Calibri"/>
        <family val="2"/>
        <scheme val="minor"/>
      </rPr>
      <t xml:space="preserve">k </t>
    </r>
    <r>
      <rPr>
        <sz val="11"/>
        <color theme="1"/>
        <rFont val="Calibri"/>
        <family val="2"/>
        <scheme val="minor"/>
      </rPr>
      <t>=</t>
    </r>
  </si>
  <si>
    <t>d1 =</t>
  </si>
  <si>
    <t>EN</t>
  </si>
  <si>
    <t>VN</t>
  </si>
  <si>
    <t>Mã dự án</t>
  </si>
  <si>
    <t>Dự án</t>
  </si>
  <si>
    <t>Chủ đầu tư</t>
  </si>
  <si>
    <t>Item</t>
  </si>
  <si>
    <t>Hạng mục</t>
  </si>
  <si>
    <t>Hiệu chỉnh</t>
  </si>
  <si>
    <t>Ngày</t>
  </si>
  <si>
    <t>Design</t>
  </si>
  <si>
    <t>Thiết kế</t>
  </si>
  <si>
    <t>Check</t>
  </si>
  <si>
    <t>Kiểm tra</t>
  </si>
  <si>
    <t>Design code:</t>
  </si>
  <si>
    <t>Tiêu chuẩn thiết kế:</t>
  </si>
  <si>
    <t>TCVN 2737:2023 Tải trọng và tác động - Tiêu chuẩn thiết kế</t>
  </si>
  <si>
    <t>TCVN 2737:2023 Loads and Action - Design standard</t>
  </si>
  <si>
    <t>Section F.2.1 Flat roofs are defined as having a angle</t>
  </si>
  <si>
    <t>Mục F.2.1 Mái bằng khi có góc dốc</t>
  </si>
  <si>
    <t>KÍCH THƯỚC HÌNH HỌC</t>
  </si>
  <si>
    <t>DỮ LIỆU CÔNG TRÌNH</t>
  </si>
  <si>
    <t>HỆ SỐ</t>
  </si>
  <si>
    <t>Internal pressure coefficient</t>
  </si>
  <si>
    <t>Hệ số khí động áp lực bên trong</t>
  </si>
  <si>
    <t>Trường hợp 1</t>
  </si>
  <si>
    <t>Trường hợp 2</t>
  </si>
  <si>
    <t>Reference height</t>
  </si>
  <si>
    <t>Chiều cao tham chiếu</t>
  </si>
  <si>
    <t xml:space="preserve">Terrain factor </t>
  </si>
  <si>
    <t>Hệ số địa hình</t>
  </si>
  <si>
    <t>(Section 10.2.2)</t>
  </si>
  <si>
    <t>(Mục 10.2.2)</t>
  </si>
  <si>
    <t>Flat roof</t>
  </si>
  <si>
    <t>Mái bằng</t>
  </si>
  <si>
    <t>/ Nhà BTCT</t>
  </si>
  <si>
    <t>/ Nhà thép</t>
  </si>
  <si>
    <t>RC building</t>
  </si>
  <si>
    <t>/ Có cạnh sắc</t>
  </si>
  <si>
    <t>/ Có tường chắn mái</t>
  </si>
  <si>
    <t>/ Có cạnh bo tròn</t>
  </si>
  <si>
    <t>/ Có cạnh vát góc</t>
  </si>
  <si>
    <t>B [m] =</t>
  </si>
  <si>
    <t>L [m] =</t>
  </si>
  <si>
    <t>h [m] =</t>
  </si>
  <si>
    <r>
      <t>h</t>
    </r>
    <r>
      <rPr>
        <vertAlign val="subscript"/>
        <sz val="11"/>
        <color theme="1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 xml:space="preserve"> [m] =</t>
    </r>
  </si>
  <si>
    <t>r [m] =</t>
  </si>
  <si>
    <r>
      <rPr>
        <sz val="11"/>
        <color theme="1"/>
        <rFont val="Symbol"/>
        <family val="1"/>
        <charset val="2"/>
      </rPr>
      <t>a</t>
    </r>
    <r>
      <rPr>
        <sz val="11"/>
        <color theme="1"/>
        <rFont val="Calibri"/>
        <family val="2"/>
        <scheme val="minor"/>
      </rPr>
      <t xml:space="preserve"> [deg] =</t>
    </r>
  </si>
  <si>
    <r>
      <t>G</t>
    </r>
    <r>
      <rPr>
        <vertAlign val="subscript"/>
        <sz val="10"/>
        <rFont val="Arial"/>
        <family val="2"/>
      </rPr>
      <t>f</t>
    </r>
    <r>
      <rPr>
        <sz val="10"/>
        <rFont val="Arial"/>
        <family val="2"/>
      </rPr>
      <t xml:space="preserve"> =</t>
    </r>
  </si>
  <si>
    <t>Roof / building width</t>
  </si>
  <si>
    <t>Chiều rộng nhà / mái</t>
  </si>
  <si>
    <t>Loại mái:</t>
  </si>
  <si>
    <t>Loại kết cấu:</t>
  </si>
  <si>
    <t>Kết cấu:</t>
  </si>
  <si>
    <t>Roof / building length</t>
  </si>
  <si>
    <t>Chiều dài nhà / mái</t>
  </si>
  <si>
    <t>Building height</t>
  </si>
  <si>
    <t>Chiều cao nhà</t>
  </si>
  <si>
    <t>Parapet height</t>
  </si>
  <si>
    <t>Chiều cao tường chắn</t>
  </si>
  <si>
    <t>Radius of curved eaves</t>
  </si>
  <si>
    <t>Bán kính cong của mái</t>
  </si>
  <si>
    <t>Angle of mansard eaves</t>
  </si>
  <si>
    <t>Góc của cạnh vát góc</t>
  </si>
  <si>
    <t>Gust Effect factor</t>
  </si>
  <si>
    <t>Hệ số hiệu ứng giật</t>
  </si>
  <si>
    <r>
      <t>c</t>
    </r>
    <r>
      <rPr>
        <vertAlign val="subscript"/>
        <sz val="11"/>
        <color theme="1"/>
        <rFont val="Calibri"/>
        <family val="2"/>
        <scheme val="minor"/>
      </rPr>
      <t>pi</t>
    </r>
    <r>
      <rPr>
        <sz val="11"/>
        <color theme="1"/>
        <rFont val="Calibri"/>
        <family val="2"/>
        <scheme val="minor"/>
      </rPr>
      <t xml:space="preserve"> -</t>
    </r>
  </si>
  <si>
    <t>CALCULATIONS: WIND PRESSURES FOR ROOF</t>
  </si>
  <si>
    <t>TH1</t>
  </si>
  <si>
    <t>TH2</t>
  </si>
  <si>
    <r>
      <t>z</t>
    </r>
    <r>
      <rPr>
        <vertAlign val="subscript"/>
        <sz val="10"/>
        <rFont val="Arial"/>
        <family val="2"/>
      </rPr>
      <t>e</t>
    </r>
    <r>
      <rPr>
        <sz val="10"/>
        <rFont val="Arial"/>
        <family val="2"/>
      </rPr>
      <t xml:space="preserve"> [m] =</t>
    </r>
  </si>
  <si>
    <r>
      <t>k(z</t>
    </r>
    <r>
      <rPr>
        <vertAlign val="subscript"/>
        <sz val="10"/>
        <rFont val="Arial"/>
        <family val="2"/>
      </rPr>
      <t>e</t>
    </r>
    <r>
      <rPr>
        <sz val="10"/>
        <rFont val="Arial"/>
        <family val="2"/>
      </rPr>
      <t>) =</t>
    </r>
  </si>
  <si>
    <t>TÍNH TOÁN ÁP LỰC GIÓ</t>
  </si>
  <si>
    <t>Áp lực gió tác dụng lên bề mặt:</t>
  </si>
  <si>
    <t>Địa hình</t>
  </si>
  <si>
    <t>-</t>
  </si>
  <si>
    <t>SƠ ĐỒ: PHÂN VÙNG ÁP LỰC GIÓ</t>
  </si>
  <si>
    <r>
      <t>W</t>
    </r>
    <r>
      <rPr>
        <b/>
        <vertAlign val="subscript"/>
        <sz val="10"/>
        <color rgb="FFCC00CC"/>
        <rFont val="Arial"/>
        <family val="2"/>
      </rPr>
      <t>k</t>
    </r>
    <r>
      <rPr>
        <b/>
        <sz val="10"/>
        <color rgb="FFCC00CC"/>
        <rFont val="Arial"/>
        <family val="2"/>
      </rPr>
      <t xml:space="preserve"> = W</t>
    </r>
    <r>
      <rPr>
        <b/>
        <vertAlign val="subscript"/>
        <sz val="10"/>
        <color rgb="FFCC00CC"/>
        <rFont val="Arial"/>
        <family val="2"/>
      </rPr>
      <t>3s,10</t>
    </r>
    <r>
      <rPr>
        <b/>
        <sz val="10"/>
        <color rgb="FFCC00CC"/>
        <rFont val="Arial"/>
        <family val="2"/>
      </rPr>
      <t xml:space="preserve"> . k(z</t>
    </r>
    <r>
      <rPr>
        <b/>
        <vertAlign val="subscript"/>
        <sz val="10"/>
        <color rgb="FFCC00CC"/>
        <rFont val="Arial"/>
        <family val="2"/>
      </rPr>
      <t>e</t>
    </r>
    <r>
      <rPr>
        <b/>
        <sz val="10"/>
        <color rgb="FFCC00CC"/>
        <rFont val="Arial"/>
        <family val="2"/>
      </rPr>
      <t>).c.G</t>
    </r>
    <r>
      <rPr>
        <b/>
        <vertAlign val="subscript"/>
        <sz val="10"/>
        <color rgb="FFCC00CC"/>
        <rFont val="Arial"/>
        <family val="2"/>
      </rPr>
      <t>f</t>
    </r>
  </si>
  <si>
    <t>TÍNH TOÁN HỆ SỐ HIỆU ỨNG GIẬT Gf</t>
  </si>
  <si>
    <t>1. Dữ liệu tính toán</t>
  </si>
  <si>
    <t>Chiều cao nhà từ mặt đất (m)</t>
  </si>
  <si>
    <t>Chiều cao lan can tầng mái:</t>
  </si>
  <si>
    <t>m</t>
  </si>
  <si>
    <t>Vùng áp lực gió:</t>
  </si>
  <si>
    <t>Dạng địa hình:</t>
  </si>
  <si>
    <t>Kết cấu thép</t>
  </si>
  <si>
    <t>Hệ số độ tin cậy:</t>
  </si>
  <si>
    <t>TCVN 2737-2023 - 10.1.6</t>
  </si>
  <si>
    <r>
      <t>Áp lực gió trung bình W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 xml:space="preserve"> (kN/m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</si>
  <si>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QCVN 02</t>
  </si>
  <si>
    <r>
      <t>Áp lực gió 3s, chu kỳ lặp 10 năm W</t>
    </r>
    <r>
      <rPr>
        <vertAlign val="subscript"/>
        <sz val="10"/>
        <rFont val="Arial"/>
        <family val="2"/>
      </rPr>
      <t>3s,10</t>
    </r>
    <r>
      <rPr>
        <sz val="10"/>
        <rFont val="Arial"/>
        <family val="2"/>
      </rPr>
      <t xml:space="preserve"> (kN/m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</si>
  <si>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TCVN 2737-2023 - 10.2.2</t>
  </si>
  <si>
    <t>Vận tốc gió 3s, CKL 50 năm V3s,50 (m/s)</t>
  </si>
  <si>
    <r>
      <t>Giá trị z</t>
    </r>
    <r>
      <rPr>
        <vertAlign val="subscript"/>
        <sz val="10"/>
        <rFont val="Arial"/>
        <family val="2"/>
      </rPr>
      <t xml:space="preserve">min </t>
    </r>
    <r>
      <rPr>
        <sz val="10"/>
        <rFont val="Arial"/>
        <family val="2"/>
      </rPr>
      <t>(m)</t>
    </r>
  </si>
  <si>
    <t>TCVN 2737-2023 - 10.2.5 - Bảng 8</t>
  </si>
  <si>
    <r>
      <t>Giá trị z</t>
    </r>
    <r>
      <rPr>
        <vertAlign val="subscript"/>
        <sz val="10"/>
        <rFont val="Arial"/>
        <family val="2"/>
      </rPr>
      <t xml:space="preserve">g </t>
    </r>
    <r>
      <rPr>
        <sz val="10"/>
        <rFont val="Arial"/>
        <family val="2"/>
      </rPr>
      <t>(m)</t>
    </r>
  </si>
  <si>
    <t>Giá trị α</t>
  </si>
  <si>
    <r>
      <t>Giá trị max k(z</t>
    </r>
    <r>
      <rPr>
        <vertAlign val="subscript"/>
        <sz val="10"/>
        <rFont val="Arial"/>
        <family val="2"/>
      </rPr>
      <t>e</t>
    </r>
    <r>
      <rPr>
        <sz val="10"/>
        <rFont val="Arial"/>
        <family val="2"/>
      </rPr>
      <t>)</t>
    </r>
  </si>
  <si>
    <r>
      <t>Hệ số phụ thuộc vào các dạng địa hình khác nhau C</t>
    </r>
    <r>
      <rPr>
        <vertAlign val="subscript"/>
        <sz val="10"/>
        <rFont val="Arial"/>
        <family val="2"/>
      </rPr>
      <t>r</t>
    </r>
  </si>
  <si>
    <t>TCVN 2737-2023 - 10.2.7.3 - Bảng 10</t>
  </si>
  <si>
    <t>Hệ số phụ thuộc vào các dạng địa hình khác nhau  ℓ</t>
  </si>
  <si>
    <t>Hệ số phụ thuộc vào các dạng địa hình khác nhau  ꑾ</t>
  </si>
  <si>
    <t>Hệ số phụ thuộc vào các dạng địa hình khác nhau   b͆</t>
  </si>
  <si>
    <t>Hệ số phụ thuộc vào các dạng địa hình khác nhau  ᾱ</t>
  </si>
  <si>
    <r>
      <t>Độ rối I(z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) =</t>
    </r>
  </si>
  <si>
    <t>TCVN 2737-2023 - 10.2.7.3 - (14)</t>
  </si>
  <si>
    <r>
      <t>Thang nguyên kích thước xoáy L(z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) =</t>
    </r>
  </si>
  <si>
    <t>TCVN 2737-2023 - 10.2.7.3 - (17)</t>
  </si>
  <si>
    <t>Độ cản β =</t>
  </si>
  <si>
    <t>TCVN 2737-2023 - 10.2.7.3 - (18)</t>
  </si>
  <si>
    <r>
      <t>Vận tốc gió TB 1h, CKL 50 năm V(Zs)</t>
    </r>
    <r>
      <rPr>
        <vertAlign val="subscript"/>
        <sz val="10"/>
        <rFont val="Arial"/>
        <family val="2"/>
      </rPr>
      <t>3600s,50</t>
    </r>
    <r>
      <rPr>
        <sz val="10"/>
        <rFont val="Arial"/>
        <family val="2"/>
      </rPr>
      <t xml:space="preserve"> (m/s)</t>
    </r>
  </si>
  <si>
    <t>TCVN 2737-2023 - 10.2.7.3 - (21)</t>
  </si>
  <si>
    <t>Gió phương X</t>
  </si>
  <si>
    <t>Gió phương Y</t>
  </si>
  <si>
    <t>Diễn giải</t>
  </si>
  <si>
    <t>Chu kỳ dao động (s)</t>
  </si>
  <si>
    <t>Bề rộng mặt đón gió TB (B)</t>
  </si>
  <si>
    <t>Chiều dài công trình (D)</t>
  </si>
  <si>
    <t>2. Kết quả</t>
  </si>
  <si>
    <r>
      <t>Hệ số hiệu ứng giật G</t>
    </r>
    <r>
      <rPr>
        <vertAlign val="subscript"/>
        <sz val="10"/>
        <rFont val="Arial"/>
        <family val="2"/>
      </rPr>
      <t xml:space="preserve">f </t>
    </r>
    <r>
      <rPr>
        <sz val="10"/>
        <rFont val="Arial"/>
        <family val="2"/>
      </rPr>
      <t>:</t>
    </r>
  </si>
  <si>
    <t>10.2.7.3 - (13)</t>
  </si>
  <si>
    <t>3. Phụ lục tính toán</t>
  </si>
  <si>
    <t>Hệ số đỉnh gR</t>
  </si>
  <si>
    <t>10.2.7.3 - (15)</t>
  </si>
  <si>
    <t>hệ số phản ứng nền kết cấu Q:</t>
  </si>
  <si>
    <t>hệ số phản ứng nền của kết cấu Q:</t>
  </si>
  <si>
    <t>10.2.7.3 - (16)</t>
  </si>
  <si>
    <t>Hệ số phản ứng cộng hưởng R</t>
  </si>
  <si>
    <t>10.2.7.3 - (18)</t>
  </si>
  <si>
    <t>Rn =</t>
  </si>
  <si>
    <t>10.2.7.3 - (19)</t>
  </si>
  <si>
    <t>N1 =</t>
  </si>
  <si>
    <t>10.2.7.3 - (20)</t>
  </si>
  <si>
    <r>
      <t>HS hàm dẫn suất khí động ƞ</t>
    </r>
    <r>
      <rPr>
        <vertAlign val="subscript"/>
        <sz val="10"/>
        <rFont val="Arial"/>
        <family val="2"/>
      </rPr>
      <t>h</t>
    </r>
    <r>
      <rPr>
        <sz val="10"/>
        <rFont val="Arial"/>
        <family val="2"/>
      </rPr>
      <t xml:space="preserve"> =</t>
    </r>
  </si>
  <si>
    <t>10.2.7.3 - (24)</t>
  </si>
  <si>
    <r>
      <t>HS hàm dẫn suất khí động ƞ</t>
    </r>
    <r>
      <rPr>
        <vertAlign val="subscript"/>
        <sz val="10"/>
        <rFont val="Arial"/>
        <family val="2"/>
      </rPr>
      <t>b</t>
    </r>
    <r>
      <rPr>
        <sz val="10"/>
        <rFont val="Arial"/>
        <family val="2"/>
      </rPr>
      <t xml:space="preserve"> =</t>
    </r>
  </si>
  <si>
    <r>
      <t>HS hàm dẫn suất khí động ƞ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</si>
  <si>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t>Hàm số dẫn suất khí động Rh =</t>
  </si>
  <si>
    <t>Hàm số dẫn suất khí động Rb =</t>
  </si>
  <si>
    <t>Hàm số dẫn suất khí động Rd =</t>
  </si>
  <si>
    <t>BẢNG 8</t>
  </si>
  <si>
    <t>BẢNG 10</t>
  </si>
  <si>
    <t xml:space="preserve">Dạng
địa hình </t>
  </si>
  <si>
    <t xml:space="preserve">Mô tả dạng địa hình </t>
  </si>
  <si>
    <r>
      <t xml:space="preserve">Giá trị </t>
    </r>
    <r>
      <rPr>
        <i/>
        <sz val="11"/>
        <color rgb="FF000000"/>
        <rFont val="Arial-BoldItalicMT"/>
      </rPr>
      <t>z</t>
    </r>
    <r>
      <rPr>
        <i/>
        <vertAlign val="subscript"/>
        <sz val="11"/>
        <color rgb="FF000000"/>
        <rFont val="Arial-BoldItalicMT"/>
      </rPr>
      <t>g</t>
    </r>
    <r>
      <rPr>
        <sz val="11"/>
        <color rgb="FF000000"/>
        <rFont val="Arial-BoldMT"/>
      </rPr>
      <t xml:space="preserve">, </t>
    </r>
    <r>
      <rPr>
        <sz val="11"/>
        <color rgb="FF000000"/>
        <rFont val="ArialMT"/>
      </rPr>
      <t xml:space="preserve">m </t>
    </r>
  </si>
  <si>
    <r>
      <rPr>
        <sz val="11"/>
        <color rgb="FF000000"/>
        <rFont val="Arial-BoldMT"/>
      </rPr>
      <t>Giá trị Z</t>
    </r>
    <r>
      <rPr>
        <sz val="7"/>
        <color rgb="FF000000"/>
        <rFont val="Arial-BoldMT"/>
      </rPr>
      <t>min</t>
    </r>
    <r>
      <rPr>
        <sz val="11"/>
        <color rgb="FF000000"/>
        <rFont val="Arial-BoldMT"/>
      </rPr>
      <t xml:space="preserve">, </t>
    </r>
    <r>
      <rPr>
        <sz val="11"/>
        <color rgb="FF000000"/>
        <rFont val="ArialMT"/>
      </rPr>
      <t xml:space="preserve">m </t>
    </r>
  </si>
  <si>
    <r>
      <t xml:space="preserve">Giá trị </t>
    </r>
    <r>
      <rPr>
        <sz val="11"/>
        <color rgb="FF000000"/>
        <rFont val="Symbol"/>
        <family val="1"/>
        <charset val="2"/>
      </rPr>
      <t>a</t>
    </r>
  </si>
  <si>
    <t>Max k(ze)</t>
  </si>
  <si>
    <t>cr</t>
  </si>
  <si>
    <t>l,m</t>
  </si>
  <si>
    <t>Trống trải, không có hoặc có rất ít vật cản cao không quá 1,5 m (bờ biển thoáng, mặt sông, hồ lớn, đồng muối, cánh đồng không có cây cao...), xem Hình D.1, Phụ lục D.</t>
  </si>
  <si>
    <t>Tương đối trống trải, có một số vật cản thưa thớt cao không quá 10 m (vùng ngoại ô ít nhà, thị trấn, làng mạc, rừng thưa hoặc rừng non, vùng trồng cây thưa…), xem Hình D.2, Phụ lục D.</t>
  </si>
  <si>
    <t>Bị che chắn mạnh, có nhiều vật cản sát nhau cao từ 10 m trở lên (trong thành phố, vùng rừng rậm...), xem Hình D.3, Phụ lục D.</t>
  </si>
  <si>
    <r>
      <t xml:space="preserve"> -5</t>
    </r>
    <r>
      <rPr>
        <vertAlign val="superscript"/>
        <sz val="11"/>
        <rFont val="Calibri"/>
        <family val="2"/>
        <scheme val="minor"/>
      </rPr>
      <t>o</t>
    </r>
    <r>
      <rPr>
        <sz val="11"/>
        <rFont val="Calibri"/>
        <family val="2"/>
        <scheme val="minor"/>
      </rPr>
      <t xml:space="preserve"> &lt; </t>
    </r>
    <r>
      <rPr>
        <sz val="11"/>
        <rFont val="Symbol"/>
        <family val="1"/>
        <charset val="2"/>
      </rPr>
      <t>a</t>
    </r>
    <r>
      <rPr>
        <sz val="11"/>
        <rFont val="Calibri"/>
        <family val="2"/>
        <scheme val="minor"/>
      </rPr>
      <t xml:space="preserve"> &lt; 5</t>
    </r>
    <r>
      <rPr>
        <vertAlign val="superscript"/>
        <sz val="11"/>
        <rFont val="Calibri"/>
        <family val="2"/>
        <scheme val="minor"/>
      </rPr>
      <t>o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</si>
</sst>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&quot;$&quot;#,##0\ ;\(&quot;$&quot;#,##0\)"/>
    <numFmt numFmtId="166" formatCode="0.0"/>
  </numFmts>
  <fonts count="72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indexed="12"/>
      <name val="Arial"/>
      <family val="2"/>
    </font>
    <font>
      <sz val="10"/>
      <name val="Arial"/>
      <family val="2"/>
    </font>
    <font>
      <sz val="10"/>
      <color indexed="12"/>
      <name val="Symbol"/>
      <family val="1"/>
      <charset val="2"/>
    </font>
    <font>
      <sz val="10"/>
      <color indexed="12"/>
      <name val="Arial"/>
      <family val="2"/>
    </font>
    <font>
      <sz val="10"/>
      <color indexed="24"/>
      <name val="Aria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b/>
      <i/>
      <sz val="11"/>
      <color indexed="8"/>
      <name val="Arial"/>
      <family val="2"/>
    </font>
    <font>
      <vertAlign val="subscript"/>
      <sz val="10"/>
      <name val="Arial"/>
      <family val="2"/>
    </font>
    <font>
      <vertAlign val="superscript"/>
      <sz val="10"/>
      <color rgb="FF0000FF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00CC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rgb="FF969696"/>
      <name val="Calibri"/>
      <family val="2"/>
      <scheme val="minor"/>
    </font>
    <font>
      <vertAlign val="subscript"/>
      <sz val="11"/>
      <name val="Calibri"/>
      <family val="2"/>
      <scheme val="minor"/>
    </font>
    <font>
      <sz val="11"/>
      <name val="Calibri"/>
      <family val="1"/>
      <charset val="2"/>
      <scheme val="minor"/>
    </font>
    <font>
      <sz val="11"/>
      <name val="Symbol"/>
      <family val="1"/>
      <charset val="2"/>
    </font>
    <font>
      <sz val="10"/>
      <color rgb="FFC00000"/>
      <name val="Arial"/>
      <family val="2"/>
    </font>
    <font>
      <vertAlign val="superscript"/>
      <sz val="11"/>
      <name val="Calibri"/>
      <family val="2"/>
      <scheme val="minor"/>
    </font>
    <font>
      <sz val="11"/>
      <color rgb="FF0000FF"/>
      <name val="Calibri"/>
      <family val="2"/>
      <scheme val="minor"/>
    </font>
    <font>
      <sz val="16"/>
      <color rgb="FFFF0000"/>
      <name val="Arial"/>
      <family val="2"/>
    </font>
    <font>
      <i/>
      <u/>
      <sz val="11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color theme="1"/>
      <name val="Calibri"/>
      <family val="1"/>
      <charset val="2"/>
      <scheme val="minor"/>
    </font>
    <font>
      <sz val="11"/>
      <color rgb="FFCC00CC"/>
      <name val="Calibri"/>
      <family val="2"/>
      <scheme val="minor"/>
    </font>
    <font>
      <b/>
      <sz val="10"/>
      <color rgb="FFCC00CC"/>
      <name val="Arial"/>
      <family val="2"/>
    </font>
    <font>
      <b/>
      <vertAlign val="subscript"/>
      <sz val="10"/>
      <color rgb="FFCC00CC"/>
      <name val="Arial"/>
      <family val="2"/>
    </font>
    <font>
      <sz val="12"/>
      <name val="Calibri"/>
      <family val="2"/>
      <scheme val="minor"/>
    </font>
    <font>
      <i/>
      <sz val="12"/>
      <name val="Arial"/>
      <family val="2"/>
    </font>
    <font>
      <b/>
      <sz val="14"/>
      <color theme="0"/>
      <name val="Arial"/>
      <family val="2"/>
    </font>
    <font>
      <b/>
      <sz val="12"/>
      <name val="Arial"/>
      <family val="2"/>
    </font>
    <font>
      <b/>
      <u/>
      <sz val="10"/>
      <name val="Arial"/>
      <family val="2"/>
    </font>
    <font>
      <b/>
      <sz val="11"/>
      <name val="Arial"/>
      <family val="2"/>
    </font>
    <font>
      <b/>
      <sz val="10"/>
      <color indexed="12"/>
      <name val="Arial"/>
      <family val="2"/>
    </font>
    <font>
      <b/>
      <sz val="10"/>
      <color rgb="FF0000FF"/>
      <name val="Arial"/>
      <family val="2"/>
    </font>
    <font>
      <b/>
      <sz val="12"/>
      <color rgb="FF0000FF"/>
      <name val="Arial"/>
      <family val="2"/>
    </font>
    <font>
      <vertAlign val="superscript"/>
      <sz val="10"/>
      <name val="Arial"/>
      <family val="2"/>
    </font>
    <font>
      <b/>
      <sz val="10"/>
      <color rgb="FF0000CC"/>
      <name val="Arial"/>
      <family val="2"/>
    </font>
    <font>
      <sz val="11"/>
      <color rgb="FF006100"/>
      <name val="Calibri"/>
      <family val="2"/>
      <scheme val="minor"/>
    </font>
    <font>
      <sz val="13"/>
      <color theme="1"/>
      <name val="Arial"/>
      <family val="2"/>
    </font>
    <font>
      <sz val="11"/>
      <color rgb="FF000000"/>
      <name val="Arial-BoldMT"/>
    </font>
    <font>
      <i/>
      <sz val="11"/>
      <color rgb="FF000000"/>
      <name val="Arial-BoldItalicMT"/>
    </font>
    <font>
      <i/>
      <vertAlign val="subscript"/>
      <sz val="11"/>
      <color rgb="FF000000"/>
      <name val="Arial-BoldItalicMT"/>
    </font>
    <font>
      <sz val="11"/>
      <color rgb="FF000000"/>
      <name val="ArialMT"/>
    </font>
    <font>
      <sz val="11"/>
      <color rgb="FF000000"/>
      <name val="Arial-BoldItalicMT"/>
    </font>
    <font>
      <sz val="7"/>
      <color rgb="FF000000"/>
      <name val="Arial-BoldMT"/>
    </font>
    <font>
      <sz val="11"/>
      <color rgb="FF000000"/>
      <name val="Symbol"/>
      <family val="1"/>
      <charset val="2"/>
    </font>
    <font>
      <i/>
      <sz val="11"/>
      <color rgb="FF000000"/>
      <name val="Arial-ItalicMT"/>
    </font>
    <font>
      <sz val="11"/>
      <color theme="1"/>
      <name val="Calibri"/>
      <family val="2"/>
    </font>
  </fonts>
  <fills count="3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6EFCE"/>
      </patternFill>
    </fill>
  </fills>
  <borders count="8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/>
      <top style="medium">
        <color rgb="FFFF0000"/>
      </top>
      <bottom/>
      <diagonal/>
    </border>
    <border>
      <left/>
      <right/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/>
      <top style="medium">
        <color rgb="FFFF0000"/>
      </top>
      <bottom/>
      <diagonal/>
    </border>
    <border>
      <left/>
      <right style="thin">
        <color indexed="64"/>
      </right>
      <top style="medium">
        <color rgb="FFFF0000"/>
      </top>
      <bottom/>
      <diagonal/>
    </border>
    <border>
      <left style="thin">
        <color indexed="64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rgb="FFFF0000"/>
      </right>
      <top style="thin">
        <color indexed="64"/>
      </top>
      <bottom/>
      <diagonal/>
    </border>
    <border>
      <left style="medium">
        <color rgb="FFFF0000"/>
      </left>
      <right style="thin">
        <color indexed="64"/>
      </right>
      <top/>
      <bottom/>
      <diagonal/>
    </border>
    <border>
      <left style="thin">
        <color indexed="64"/>
      </left>
      <right style="medium">
        <color rgb="FFFF0000"/>
      </right>
      <top/>
      <bottom/>
      <diagonal/>
    </border>
    <border>
      <left style="medium">
        <color rgb="FFFF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rgb="FFFF0000"/>
      </right>
      <top/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/>
      <top/>
      <bottom style="medium">
        <color rgb="FFFF0000"/>
      </bottom>
      <diagonal/>
    </border>
    <border>
      <left/>
      <right style="thin">
        <color indexed="64"/>
      </right>
      <top/>
      <bottom style="medium">
        <color rgb="FFFF0000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medium">
        <color rgb="FFFF0000"/>
      </bottom>
      <diagonal/>
    </border>
  </borders>
  <cellStyleXfs count="51">
    <xf numFmtId="0" fontId="0" fillId="0" borderId="0"/>
    <xf numFmtId="0" fontId="15" fillId="2" borderId="0" applyNumberFormat="0" applyBorder="0" applyAlignment="0" applyProtection="0"/>
    <xf numFmtId="0" fontId="15" fillId="3" borderId="0" applyNumberFormat="0" applyBorder="0" applyAlignment="0" applyProtection="0"/>
    <xf numFmtId="0" fontId="15" fillId="4" borderId="0" applyNumberFormat="0" applyBorder="0" applyAlignment="0" applyProtection="0"/>
    <xf numFmtId="0" fontId="15" fillId="5" borderId="0" applyNumberFormat="0" applyBorder="0" applyAlignment="0" applyProtection="0"/>
    <xf numFmtId="0" fontId="15" fillId="6" borderId="0" applyNumberFormat="0" applyBorder="0" applyAlignment="0" applyProtection="0"/>
    <xf numFmtId="0" fontId="15" fillId="7" borderId="0" applyNumberFormat="0" applyBorder="0" applyAlignment="0" applyProtection="0"/>
    <xf numFmtId="0" fontId="15" fillId="8" borderId="0" applyNumberFormat="0" applyBorder="0" applyAlignment="0" applyProtection="0"/>
    <xf numFmtId="0" fontId="15" fillId="9" borderId="0" applyNumberFormat="0" applyBorder="0" applyAlignment="0" applyProtection="0"/>
    <xf numFmtId="0" fontId="15" fillId="10" borderId="0" applyNumberFormat="0" applyBorder="0" applyAlignment="0" applyProtection="0"/>
    <xf numFmtId="0" fontId="15" fillId="5" borderId="0" applyNumberFormat="0" applyBorder="0" applyAlignment="0" applyProtection="0"/>
    <xf numFmtId="0" fontId="15" fillId="8" borderId="0" applyNumberFormat="0" applyBorder="0" applyAlignment="0" applyProtection="0"/>
    <xf numFmtId="0" fontId="15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9" borderId="0" applyNumberFormat="0" applyBorder="0" applyAlignment="0" applyProtection="0"/>
    <xf numFmtId="0" fontId="16" fillId="10" borderId="0" applyNumberFormat="0" applyBorder="0" applyAlignment="0" applyProtection="0"/>
    <xf numFmtId="0" fontId="16" fillId="13" borderId="0" applyNumberFormat="0" applyBorder="0" applyAlignment="0" applyProtection="0"/>
    <xf numFmtId="0" fontId="16" fillId="14" borderId="0" applyNumberFormat="0" applyBorder="0" applyAlignment="0" applyProtection="0"/>
    <xf numFmtId="0" fontId="16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6" fillId="18" borderId="0" applyNumberFormat="0" applyBorder="0" applyAlignment="0" applyProtection="0"/>
    <xf numFmtId="0" fontId="16" fillId="13" borderId="0" applyNumberFormat="0" applyBorder="0" applyAlignment="0" applyProtection="0"/>
    <xf numFmtId="0" fontId="16" fillId="14" borderId="0" applyNumberFormat="0" applyBorder="0" applyAlignment="0" applyProtection="0"/>
    <xf numFmtId="0" fontId="16" fillId="19" borderId="0" applyNumberFormat="0" applyBorder="0" applyAlignment="0" applyProtection="0"/>
    <xf numFmtId="0" fontId="17" fillId="3" borderId="0" applyNumberFormat="0" applyBorder="0" applyAlignment="0" applyProtection="0"/>
    <xf numFmtId="0" fontId="18" fillId="20" borderId="1" applyNumberFormat="0" applyAlignment="0" applyProtection="0"/>
    <xf numFmtId="0" fontId="19" fillId="21" borderId="2" applyNumberFormat="0" applyAlignment="0" applyProtection="0"/>
    <xf numFmtId="3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20" fillId="0" borderId="0" applyNumberFormat="0" applyFill="0" applyBorder="0" applyAlignment="0" applyProtection="0"/>
    <xf numFmtId="2" fontId="12" fillId="0" borderId="0" applyFont="0" applyFill="0" applyBorder="0" applyAlignment="0" applyProtection="0"/>
    <xf numFmtId="0" fontId="21" fillId="4" borderId="0" applyNumberFormat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22" fillId="0" borderId="3" applyNumberFormat="0" applyFill="0" applyAlignment="0" applyProtection="0"/>
    <xf numFmtId="0" fontId="22" fillId="0" borderId="0" applyNumberFormat="0" applyFill="0" applyBorder="0" applyAlignment="0" applyProtection="0"/>
    <xf numFmtId="0" fontId="23" fillId="7" borderId="1" applyNumberFormat="0" applyAlignment="0" applyProtection="0"/>
    <xf numFmtId="0" fontId="24" fillId="0" borderId="4" applyNumberFormat="0" applyFill="0" applyAlignment="0" applyProtection="0"/>
    <xf numFmtId="0" fontId="25" fillId="22" borderId="0" applyNumberFormat="0" applyBorder="0" applyAlignment="0" applyProtection="0"/>
    <xf numFmtId="0" fontId="7" fillId="0" borderId="0"/>
    <xf numFmtId="0" fontId="9" fillId="23" borderId="5" applyNumberFormat="0" applyFont="0" applyAlignment="0" applyProtection="0"/>
    <xf numFmtId="0" fontId="26" fillId="20" borderId="6" applyNumberFormat="0" applyAlignment="0" applyProtection="0"/>
    <xf numFmtId="49" fontId="29" fillId="0" borderId="0">
      <alignment horizontal="left" vertical="center"/>
    </xf>
    <xf numFmtId="0" fontId="27" fillId="0" borderId="0" applyNumberFormat="0" applyFill="0" applyBorder="0" applyAlignment="0" applyProtection="0"/>
    <xf numFmtId="0" fontId="12" fillId="0" borderId="7" applyNumberFormat="0" applyFont="0" applyFill="0" applyAlignment="0" applyProtection="0"/>
    <xf numFmtId="0" fontId="28" fillId="0" borderId="0" applyNumberFormat="0" applyFill="0" applyBorder="0" applyAlignment="0" applyProtection="0"/>
    <xf numFmtId="0" fontId="61" fillId="30" borderId="0" applyNumberFormat="0" applyBorder="0" applyAlignment="0" applyProtection="0"/>
    <xf numFmtId="0" fontId="7" fillId="0" borderId="0"/>
    <xf numFmtId="0" fontId="71" fillId="0" borderId="0"/>
  </cellStyleXfs>
  <cellXfs count="362">
    <xf numFmtId="0" fontId="0" fillId="0" borderId="0" xfId="0"/>
    <xf numFmtId="0" fontId="0" fillId="24" borderId="8" xfId="0" applyFill="1" applyBorder="1" applyProtection="1">
      <protection hidden="1"/>
    </xf>
    <xf numFmtId="0" fontId="0" fillId="24" borderId="0" xfId="0" applyFill="1" applyProtection="1">
      <protection hidden="1"/>
    </xf>
    <xf numFmtId="0" fontId="0" fillId="24" borderId="9" xfId="0" applyFill="1" applyBorder="1" applyProtection="1">
      <protection hidden="1"/>
    </xf>
    <xf numFmtId="0" fontId="0" fillId="24" borderId="14" xfId="0" applyFill="1" applyBorder="1" applyProtection="1">
      <protection hidden="1"/>
    </xf>
    <xf numFmtId="0" fontId="0" fillId="24" borderId="15" xfId="0" applyFill="1" applyBorder="1" applyProtection="1">
      <protection hidden="1"/>
    </xf>
    <xf numFmtId="0" fontId="0" fillId="24" borderId="16" xfId="0" applyFill="1" applyBorder="1" applyProtection="1">
      <protection hidden="1"/>
    </xf>
    <xf numFmtId="0" fontId="11" fillId="0" borderId="10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10" xfId="0" applyFont="1" applyBorder="1" applyAlignment="1">
      <alignment vertical="center"/>
    </xf>
    <xf numFmtId="0" fontId="11" fillId="0" borderId="22" xfId="0" applyFont="1" applyBorder="1" applyAlignment="1">
      <alignment vertical="center"/>
    </xf>
    <xf numFmtId="0" fontId="11" fillId="0" borderId="22" xfId="0" applyFont="1" applyBorder="1" applyAlignment="1">
      <alignment horizontal="center" vertical="center"/>
    </xf>
    <xf numFmtId="0" fontId="8" fillId="0" borderId="27" xfId="0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0" fillId="25" borderId="0" xfId="0" applyFill="1"/>
    <xf numFmtId="0" fontId="0" fillId="25" borderId="0" xfId="0" applyFill="1" applyProtection="1">
      <protection hidden="1"/>
    </xf>
    <xf numFmtId="0" fontId="33" fillId="24" borderId="17" xfId="0" applyFont="1" applyFill="1" applyBorder="1" applyAlignment="1" applyProtection="1">
      <alignment vertical="center"/>
      <protection hidden="1"/>
    </xf>
    <xf numFmtId="0" fontId="33" fillId="24" borderId="12" xfId="0" applyFont="1" applyFill="1" applyBorder="1" applyAlignment="1" applyProtection="1">
      <alignment vertical="center"/>
      <protection hidden="1"/>
    </xf>
    <xf numFmtId="0" fontId="33" fillId="24" borderId="11" xfId="0" applyFont="1" applyFill="1" applyBorder="1" applyAlignment="1" applyProtection="1">
      <alignment vertical="center"/>
      <protection hidden="1"/>
    </xf>
    <xf numFmtId="0" fontId="33" fillId="24" borderId="8" xfId="0" applyFont="1" applyFill="1" applyBorder="1" applyAlignment="1" applyProtection="1">
      <alignment vertical="center"/>
      <protection hidden="1"/>
    </xf>
    <xf numFmtId="0" fontId="33" fillId="24" borderId="9" xfId="0" applyFont="1" applyFill="1" applyBorder="1" applyAlignment="1" applyProtection="1">
      <alignment vertical="center"/>
      <protection hidden="1"/>
    </xf>
    <xf numFmtId="0" fontId="33" fillId="24" borderId="14" xfId="0" applyFont="1" applyFill="1" applyBorder="1" applyAlignment="1" applyProtection="1">
      <alignment vertical="center"/>
      <protection hidden="1"/>
    </xf>
    <xf numFmtId="0" fontId="33" fillId="24" borderId="15" xfId="0" applyFont="1" applyFill="1" applyBorder="1" applyAlignment="1" applyProtection="1">
      <alignment vertical="center"/>
      <protection hidden="1"/>
    </xf>
    <xf numFmtId="0" fontId="33" fillId="24" borderId="16" xfId="0" applyFont="1" applyFill="1" applyBorder="1" applyAlignment="1" applyProtection="1">
      <alignment vertical="center"/>
      <protection hidden="1"/>
    </xf>
    <xf numFmtId="0" fontId="33" fillId="24" borderId="8" xfId="0" applyFont="1" applyFill="1" applyBorder="1" applyAlignment="1">
      <alignment vertical="center" shrinkToFit="1"/>
    </xf>
    <xf numFmtId="0" fontId="32" fillId="24" borderId="17" xfId="0" applyFont="1" applyFill="1" applyBorder="1" applyAlignment="1">
      <alignment vertical="center"/>
    </xf>
    <xf numFmtId="0" fontId="32" fillId="24" borderId="12" xfId="0" applyFont="1" applyFill="1" applyBorder="1" applyAlignment="1">
      <alignment vertical="center"/>
    </xf>
    <xf numFmtId="0" fontId="32" fillId="24" borderId="11" xfId="0" applyFont="1" applyFill="1" applyBorder="1" applyAlignment="1">
      <alignment vertical="center"/>
    </xf>
    <xf numFmtId="0" fontId="33" fillId="24" borderId="8" xfId="0" applyFont="1" applyFill="1" applyBorder="1" applyAlignment="1">
      <alignment vertical="center"/>
    </xf>
    <xf numFmtId="0" fontId="33" fillId="24" borderId="9" xfId="0" applyFont="1" applyFill="1" applyBorder="1" applyAlignment="1">
      <alignment vertical="center"/>
    </xf>
    <xf numFmtId="0" fontId="33" fillId="24" borderId="9" xfId="0" applyFont="1" applyFill="1" applyBorder="1" applyAlignment="1">
      <alignment vertical="center" shrinkToFit="1"/>
    </xf>
    <xf numFmtId="0" fontId="8" fillId="24" borderId="10" xfId="0" applyFont="1" applyFill="1" applyBorder="1" applyAlignment="1">
      <alignment horizontal="center" vertical="center"/>
    </xf>
    <xf numFmtId="0" fontId="10" fillId="24" borderId="10" xfId="0" applyFont="1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4" borderId="12" xfId="0" applyFill="1" applyBorder="1" applyProtection="1">
      <protection hidden="1"/>
    </xf>
    <xf numFmtId="0" fontId="0" fillId="24" borderId="17" xfId="0" applyFill="1" applyBorder="1" applyProtection="1">
      <protection hidden="1"/>
    </xf>
    <xf numFmtId="0" fontId="0" fillId="24" borderId="11" xfId="0" applyFill="1" applyBorder="1" applyProtection="1">
      <protection hidden="1"/>
    </xf>
    <xf numFmtId="0" fontId="7" fillId="25" borderId="0" xfId="0" applyFont="1" applyFill="1" applyProtection="1">
      <protection hidden="1"/>
    </xf>
    <xf numFmtId="0" fontId="11" fillId="0" borderId="20" xfId="0" applyFont="1" applyBorder="1" applyAlignment="1">
      <alignment vertical="center"/>
    </xf>
    <xf numFmtId="0" fontId="11" fillId="0" borderId="20" xfId="0" applyFont="1" applyBorder="1" applyAlignment="1">
      <alignment horizontal="center" vertical="center"/>
    </xf>
    <xf numFmtId="2" fontId="0" fillId="24" borderId="10" xfId="0" applyNumberFormat="1" applyFill="1" applyBorder="1" applyAlignment="1">
      <alignment horizontal="center" vertical="center"/>
    </xf>
    <xf numFmtId="1" fontId="0" fillId="24" borderId="10" xfId="0" applyNumberFormat="1" applyFill="1" applyBorder="1" applyAlignment="1">
      <alignment horizontal="center" vertical="center"/>
    </xf>
    <xf numFmtId="0" fontId="0" fillId="24" borderId="49" xfId="0" applyFill="1" applyBorder="1"/>
    <xf numFmtId="0" fontId="0" fillId="24" borderId="50" xfId="0" applyFill="1" applyBorder="1"/>
    <xf numFmtId="2" fontId="0" fillId="24" borderId="22" xfId="0" applyNumberFormat="1" applyFill="1" applyBorder="1" applyAlignment="1">
      <alignment horizontal="center" vertical="center"/>
    </xf>
    <xf numFmtId="0" fontId="0" fillId="24" borderId="23" xfId="0" applyFill="1" applyBorder="1"/>
    <xf numFmtId="2" fontId="40" fillId="24" borderId="25" xfId="0" applyNumberFormat="1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vertical="center"/>
    </xf>
    <xf numFmtId="0" fontId="33" fillId="26" borderId="8" xfId="0" applyFont="1" applyFill="1" applyBorder="1" applyAlignment="1">
      <alignment vertical="center" shrinkToFit="1"/>
    </xf>
    <xf numFmtId="2" fontId="33" fillId="26" borderId="9" xfId="0" applyNumberFormat="1" applyFont="1" applyFill="1" applyBorder="1" applyAlignment="1" applyProtection="1">
      <alignment vertical="center"/>
      <protection hidden="1"/>
    </xf>
    <xf numFmtId="0" fontId="33" fillId="26" borderId="8" xfId="0" applyFont="1" applyFill="1" applyBorder="1" applyAlignment="1">
      <alignment horizontal="right" vertical="center"/>
    </xf>
    <xf numFmtId="0" fontId="32" fillId="26" borderId="19" xfId="0" applyFont="1" applyFill="1" applyBorder="1" applyAlignment="1">
      <alignment vertical="center"/>
    </xf>
    <xf numFmtId="0" fontId="36" fillId="26" borderId="13" xfId="0" applyFont="1" applyFill="1" applyBorder="1" applyAlignment="1" applyProtection="1">
      <alignment horizontal="left" vertical="center"/>
      <protection hidden="1"/>
    </xf>
    <xf numFmtId="0" fontId="33" fillId="26" borderId="41" xfId="0" applyFont="1" applyFill="1" applyBorder="1" applyProtection="1">
      <protection hidden="1"/>
    </xf>
    <xf numFmtId="0" fontId="33" fillId="26" borderId="30" xfId="0" applyFont="1" applyFill="1" applyBorder="1" applyProtection="1">
      <protection hidden="1"/>
    </xf>
    <xf numFmtId="0" fontId="33" fillId="26" borderId="44" xfId="0" applyFont="1" applyFill="1" applyBorder="1" applyProtection="1">
      <protection hidden="1"/>
    </xf>
    <xf numFmtId="0" fontId="33" fillId="26" borderId="15" xfId="0" applyFont="1" applyFill="1" applyBorder="1" applyProtection="1">
      <protection hidden="1"/>
    </xf>
    <xf numFmtId="0" fontId="33" fillId="26" borderId="45" xfId="0" applyFont="1" applyFill="1" applyBorder="1" applyProtection="1">
      <protection hidden="1"/>
    </xf>
    <xf numFmtId="0" fontId="33" fillId="26" borderId="42" xfId="0" applyFont="1" applyFill="1" applyBorder="1" applyProtection="1">
      <protection hidden="1"/>
    </xf>
    <xf numFmtId="0" fontId="33" fillId="26" borderId="37" xfId="0" applyFont="1" applyFill="1" applyBorder="1" applyProtection="1">
      <protection hidden="1"/>
    </xf>
    <xf numFmtId="0" fontId="33" fillId="26" borderId="43" xfId="0" applyFont="1" applyFill="1" applyBorder="1" applyProtection="1">
      <protection hidden="1"/>
    </xf>
    <xf numFmtId="0" fontId="33" fillId="26" borderId="38" xfId="0" applyFont="1" applyFill="1" applyBorder="1" applyProtection="1">
      <protection hidden="1"/>
    </xf>
    <xf numFmtId="0" fontId="33" fillId="26" borderId="39" xfId="0" applyFont="1" applyFill="1" applyBorder="1" applyProtection="1">
      <protection hidden="1"/>
    </xf>
    <xf numFmtId="0" fontId="33" fillId="26" borderId="40" xfId="0" applyFont="1" applyFill="1" applyBorder="1" applyProtection="1">
      <protection hidden="1"/>
    </xf>
    <xf numFmtId="0" fontId="0" fillId="25" borderId="10" xfId="0" applyFill="1" applyBorder="1" applyAlignment="1">
      <alignment horizontal="center" vertical="center"/>
    </xf>
    <xf numFmtId="0" fontId="4" fillId="26" borderId="35" xfId="0" applyFont="1" applyFill="1" applyBorder="1" applyAlignment="1">
      <alignment horizontal="right" vertical="center"/>
    </xf>
    <xf numFmtId="0" fontId="3" fillId="26" borderId="34" xfId="0" applyFont="1" applyFill="1" applyBorder="1" applyAlignment="1">
      <alignment vertical="center"/>
    </xf>
    <xf numFmtId="0" fontId="3" fillId="26" borderId="35" xfId="0" applyFont="1" applyFill="1" applyBorder="1" applyAlignment="1">
      <alignment horizontal="right" vertical="center"/>
    </xf>
    <xf numFmtId="0" fontId="3" fillId="26" borderId="56" xfId="0" applyFont="1" applyFill="1" applyBorder="1" applyAlignment="1">
      <alignment vertical="center"/>
    </xf>
    <xf numFmtId="0" fontId="4" fillId="26" borderId="57" xfId="0" applyFont="1" applyFill="1" applyBorder="1" applyAlignment="1">
      <alignment horizontal="right" vertical="center"/>
    </xf>
    <xf numFmtId="0" fontId="3" fillId="26" borderId="57" xfId="0" applyFont="1" applyFill="1" applyBorder="1" applyAlignment="1">
      <alignment horizontal="right" vertical="center"/>
    </xf>
    <xf numFmtId="0" fontId="3" fillId="26" borderId="14" xfId="0" applyFont="1" applyFill="1" applyBorder="1" applyAlignment="1">
      <alignment vertical="center"/>
    </xf>
    <xf numFmtId="0" fontId="3" fillId="26" borderId="15" xfId="0" applyFont="1" applyFill="1" applyBorder="1" applyAlignment="1">
      <alignment horizontal="right" vertical="center"/>
    </xf>
    <xf numFmtId="0" fontId="33" fillId="26" borderId="41" xfId="0" applyFont="1" applyFill="1" applyBorder="1" applyAlignment="1" applyProtection="1">
      <alignment vertical="top"/>
      <protection hidden="1"/>
    </xf>
    <xf numFmtId="0" fontId="33" fillId="26" borderId="30" xfId="0" applyFont="1" applyFill="1" applyBorder="1" applyAlignment="1" applyProtection="1">
      <alignment vertical="top"/>
      <protection hidden="1"/>
    </xf>
    <xf numFmtId="0" fontId="33" fillId="26" borderId="42" xfId="0" applyFont="1" applyFill="1" applyBorder="1" applyAlignment="1" applyProtection="1">
      <alignment vertical="top"/>
      <protection hidden="1"/>
    </xf>
    <xf numFmtId="0" fontId="33" fillId="26" borderId="37" xfId="0" applyFont="1" applyFill="1" applyBorder="1" applyAlignment="1" applyProtection="1">
      <alignment vertical="top"/>
      <protection hidden="1"/>
    </xf>
    <xf numFmtId="0" fontId="33" fillId="26" borderId="43" xfId="0" applyFont="1" applyFill="1" applyBorder="1" applyAlignment="1" applyProtection="1">
      <alignment vertical="top"/>
      <protection hidden="1"/>
    </xf>
    <xf numFmtId="0" fontId="0" fillId="24" borderId="0" xfId="0" applyFill="1"/>
    <xf numFmtId="0" fontId="7" fillId="26" borderId="15" xfId="0" applyFont="1" applyFill="1" applyBorder="1" applyAlignment="1" applyProtection="1">
      <alignment horizontal="right" vertical="center"/>
      <protection hidden="1"/>
    </xf>
    <xf numFmtId="0" fontId="4" fillId="26" borderId="15" xfId="0" applyFont="1" applyFill="1" applyBorder="1" applyAlignment="1">
      <alignment horizontal="right" vertical="center"/>
    </xf>
    <xf numFmtId="0" fontId="7" fillId="26" borderId="8" xfId="0" applyFont="1" applyFill="1" applyBorder="1" applyAlignment="1" applyProtection="1">
      <alignment horizontal="right" vertical="center"/>
      <protection hidden="1"/>
    </xf>
    <xf numFmtId="0" fontId="33" fillId="26" borderId="12" xfId="0" applyFont="1" applyFill="1" applyBorder="1" applyAlignment="1">
      <alignment horizontal="right" vertical="center"/>
    </xf>
    <xf numFmtId="0" fontId="0" fillId="25" borderId="10" xfId="0" applyFill="1" applyBorder="1"/>
    <xf numFmtId="0" fontId="7" fillId="0" borderId="10" xfId="0" applyFont="1" applyBorder="1"/>
    <xf numFmtId="0" fontId="44" fillId="24" borderId="12" xfId="0" applyFont="1" applyFill="1" applyBorder="1" applyAlignment="1" applyProtection="1">
      <alignment horizontal="right" vertical="center"/>
      <protection hidden="1"/>
    </xf>
    <xf numFmtId="0" fontId="7" fillId="25" borderId="10" xfId="0" applyFont="1" applyFill="1" applyBorder="1"/>
    <xf numFmtId="0" fontId="0" fillId="0" borderId="10" xfId="0" applyBorder="1"/>
    <xf numFmtId="0" fontId="34" fillId="26" borderId="12" xfId="0" applyFont="1" applyFill="1" applyBorder="1" applyAlignment="1" applyProtection="1">
      <alignment vertical="center"/>
      <protection locked="0"/>
    </xf>
    <xf numFmtId="0" fontId="34" fillId="26" borderId="11" xfId="0" applyFont="1" applyFill="1" applyBorder="1" applyAlignment="1" applyProtection="1">
      <alignment vertical="center"/>
      <protection locked="0"/>
    </xf>
    <xf numFmtId="0" fontId="7" fillId="25" borderId="0" xfId="0" applyFont="1" applyFill="1"/>
    <xf numFmtId="0" fontId="4" fillId="26" borderId="8" xfId="0" applyFont="1" applyFill="1" applyBorder="1" applyAlignment="1">
      <alignment vertical="center"/>
    </xf>
    <xf numFmtId="0" fontId="5" fillId="26" borderId="8" xfId="0" applyFont="1" applyFill="1" applyBorder="1" applyAlignment="1">
      <alignment vertical="center"/>
    </xf>
    <xf numFmtId="0" fontId="7" fillId="26" borderId="14" xfId="0" applyFont="1" applyFill="1" applyBorder="1" applyAlignment="1" applyProtection="1">
      <alignment vertical="center"/>
      <protection hidden="1"/>
    </xf>
    <xf numFmtId="0" fontId="7" fillId="26" borderId="15" xfId="0" applyFont="1" applyFill="1" applyBorder="1" applyAlignment="1" applyProtection="1">
      <alignment vertical="center"/>
      <protection hidden="1"/>
    </xf>
    <xf numFmtId="0" fontId="2" fillId="26" borderId="8" xfId="0" applyFont="1" applyFill="1" applyBorder="1" applyAlignment="1">
      <alignment vertical="center"/>
    </xf>
    <xf numFmtId="0" fontId="2" fillId="26" borderId="17" xfId="0" applyFont="1" applyFill="1" applyBorder="1" applyAlignment="1">
      <alignment vertical="center"/>
    </xf>
    <xf numFmtId="0" fontId="2" fillId="26" borderId="12" xfId="0" applyFont="1" applyFill="1" applyBorder="1" applyAlignment="1">
      <alignment vertical="center"/>
    </xf>
    <xf numFmtId="0" fontId="2" fillId="26" borderId="12" xfId="0" applyFont="1" applyFill="1" applyBorder="1" applyAlignment="1">
      <alignment horizontal="right" vertical="center"/>
    </xf>
    <xf numFmtId="0" fontId="2" fillId="26" borderId="14" xfId="0" applyFont="1" applyFill="1" applyBorder="1" applyAlignment="1">
      <alignment vertical="center"/>
    </xf>
    <xf numFmtId="0" fontId="2" fillId="26" borderId="15" xfId="0" applyFont="1" applyFill="1" applyBorder="1" applyAlignment="1">
      <alignment vertical="center"/>
    </xf>
    <xf numFmtId="0" fontId="2" fillId="26" borderId="15" xfId="0" applyFont="1" applyFill="1" applyBorder="1" applyAlignment="1">
      <alignment horizontal="right" vertical="center"/>
    </xf>
    <xf numFmtId="0" fontId="7" fillId="26" borderId="8" xfId="0" applyFont="1" applyFill="1" applyBorder="1" applyAlignment="1" applyProtection="1">
      <alignment vertical="center"/>
      <protection hidden="1"/>
    </xf>
    <xf numFmtId="0" fontId="33" fillId="24" borderId="8" xfId="0" applyFont="1" applyFill="1" applyBorder="1" applyProtection="1">
      <protection hidden="1"/>
    </xf>
    <xf numFmtId="2" fontId="33" fillId="24" borderId="9" xfId="0" applyNumberFormat="1" applyFont="1" applyFill="1" applyBorder="1" applyProtection="1">
      <protection hidden="1"/>
    </xf>
    <xf numFmtId="0" fontId="33" fillId="24" borderId="14" xfId="0" applyFont="1" applyFill="1" applyBorder="1" applyProtection="1">
      <protection hidden="1"/>
    </xf>
    <xf numFmtId="0" fontId="32" fillId="24" borderId="15" xfId="0" applyFont="1" applyFill="1" applyBorder="1" applyAlignment="1">
      <alignment vertical="center"/>
    </xf>
    <xf numFmtId="2" fontId="33" fillId="24" borderId="16" xfId="0" applyNumberFormat="1" applyFont="1" applyFill="1" applyBorder="1" applyProtection="1">
      <protection hidden="1"/>
    </xf>
    <xf numFmtId="0" fontId="0" fillId="24" borderId="10" xfId="0" applyFill="1" applyBorder="1"/>
    <xf numFmtId="0" fontId="44" fillId="24" borderId="0" xfId="0" applyFont="1" applyFill="1" applyAlignment="1" applyProtection="1">
      <alignment horizontal="right" vertical="center"/>
      <protection hidden="1"/>
    </xf>
    <xf numFmtId="0" fontId="40" fillId="25" borderId="0" xfId="0" applyFont="1" applyFill="1" applyAlignment="1">
      <alignment textRotation="90"/>
    </xf>
    <xf numFmtId="2" fontId="0" fillId="25" borderId="0" xfId="0" applyNumberFormat="1" applyFill="1" applyAlignment="1">
      <alignment vertical="center" textRotation="90"/>
    </xf>
    <xf numFmtId="0" fontId="33" fillId="24" borderId="17" xfId="0" applyFont="1" applyFill="1" applyBorder="1" applyProtection="1">
      <protection hidden="1"/>
    </xf>
    <xf numFmtId="2" fontId="33" fillId="24" borderId="11" xfId="0" applyNumberFormat="1" applyFont="1" applyFill="1" applyBorder="1" applyProtection="1">
      <protection hidden="1"/>
    </xf>
    <xf numFmtId="0" fontId="33" fillId="24" borderId="0" xfId="0" applyFont="1" applyFill="1" applyAlignment="1" applyProtection="1">
      <alignment vertical="center"/>
      <protection hidden="1"/>
    </xf>
    <xf numFmtId="0" fontId="33" fillId="24" borderId="0" xfId="0" applyFont="1" applyFill="1" applyAlignment="1" applyProtection="1">
      <alignment horizontal="right" vertical="center"/>
      <protection hidden="1"/>
    </xf>
    <xf numFmtId="0" fontId="33" fillId="24" borderId="0" xfId="0" applyFont="1" applyFill="1" applyAlignment="1" applyProtection="1">
      <alignment horizontal="center" vertical="center"/>
      <protection hidden="1"/>
    </xf>
    <xf numFmtId="0" fontId="32" fillId="24" borderId="0" xfId="0" applyFont="1" applyFill="1" applyAlignment="1">
      <alignment vertical="center"/>
    </xf>
    <xf numFmtId="0" fontId="33" fillId="24" borderId="0" xfId="0" applyFont="1" applyFill="1" applyAlignment="1">
      <alignment vertical="center"/>
    </xf>
    <xf numFmtId="0" fontId="34" fillId="24" borderId="0" xfId="0" applyFont="1" applyFill="1" applyAlignment="1">
      <alignment vertical="center"/>
    </xf>
    <xf numFmtId="0" fontId="33" fillId="24" borderId="0" xfId="0" applyFont="1" applyFill="1" applyAlignment="1">
      <alignment vertical="center" shrinkToFit="1"/>
    </xf>
    <xf numFmtId="2" fontId="34" fillId="24" borderId="0" xfId="0" applyNumberFormat="1" applyFont="1" applyFill="1" applyAlignment="1">
      <alignment vertical="center"/>
    </xf>
    <xf numFmtId="0" fontId="4" fillId="26" borderId="0" xfId="0" applyFont="1" applyFill="1" applyAlignment="1">
      <alignment vertical="center"/>
    </xf>
    <xf numFmtId="0" fontId="4" fillId="26" borderId="0" xfId="0" applyFont="1" applyFill="1" applyAlignment="1">
      <alignment horizontal="right" vertical="center"/>
    </xf>
    <xf numFmtId="0" fontId="33" fillId="24" borderId="0" xfId="0" applyFont="1" applyFill="1" applyAlignment="1">
      <alignment vertical="center" textRotation="90"/>
    </xf>
    <xf numFmtId="0" fontId="33" fillId="24" borderId="0" xfId="0" applyFont="1" applyFill="1" applyAlignment="1">
      <alignment horizontal="left" vertical="center" indent="1"/>
    </xf>
    <xf numFmtId="0" fontId="36" fillId="24" borderId="0" xfId="0" applyFont="1" applyFill="1" applyAlignment="1" applyProtection="1">
      <alignment horizontal="left" vertical="center"/>
      <protection hidden="1"/>
    </xf>
    <xf numFmtId="0" fontId="5" fillId="26" borderId="0" xfId="0" applyFont="1" applyFill="1" applyAlignment="1">
      <alignment vertical="center"/>
    </xf>
    <xf numFmtId="0" fontId="33" fillId="26" borderId="0" xfId="0" applyFont="1" applyFill="1" applyAlignment="1">
      <alignment horizontal="right" vertical="center"/>
    </xf>
    <xf numFmtId="0" fontId="33" fillId="26" borderId="0" xfId="0" applyFont="1" applyFill="1" applyAlignment="1">
      <alignment vertical="center" shrinkToFit="1"/>
    </xf>
    <xf numFmtId="0" fontId="7" fillId="26" borderId="0" xfId="0" applyFont="1" applyFill="1" applyAlignment="1" applyProtection="1">
      <alignment vertical="center"/>
      <protection hidden="1"/>
    </xf>
    <xf numFmtId="0" fontId="7" fillId="26" borderId="0" xfId="0" applyFont="1" applyFill="1" applyAlignment="1" applyProtection="1">
      <alignment horizontal="right" vertical="center"/>
      <protection hidden="1"/>
    </xf>
    <xf numFmtId="0" fontId="5" fillId="24" borderId="0" xfId="0" applyFont="1" applyFill="1" applyAlignment="1">
      <alignment vertical="center"/>
    </xf>
    <xf numFmtId="2" fontId="33" fillId="24" borderId="0" xfId="0" applyNumberFormat="1" applyFont="1" applyFill="1" applyAlignment="1" applyProtection="1">
      <alignment vertical="center"/>
      <protection hidden="1"/>
    </xf>
    <xf numFmtId="0" fontId="33" fillId="26" borderId="0" xfId="0" applyFont="1" applyFill="1" applyProtection="1">
      <protection hidden="1"/>
    </xf>
    <xf numFmtId="0" fontId="0" fillId="26" borderId="0" xfId="0" applyFill="1" applyProtection="1">
      <protection hidden="1"/>
    </xf>
    <xf numFmtId="0" fontId="33" fillId="26" borderId="0" xfId="0" applyFont="1" applyFill="1" applyAlignment="1" applyProtection="1">
      <alignment vertical="top"/>
      <protection hidden="1"/>
    </xf>
    <xf numFmtId="0" fontId="33" fillId="24" borderId="9" xfId="0" applyFont="1" applyFill="1" applyBorder="1" applyProtection="1">
      <protection hidden="1"/>
    </xf>
    <xf numFmtId="0" fontId="32" fillId="24" borderId="9" xfId="0" applyFont="1" applyFill="1" applyBorder="1" applyProtection="1">
      <protection hidden="1"/>
    </xf>
    <xf numFmtId="0" fontId="6" fillId="24" borderId="9" xfId="0" applyFont="1" applyFill="1" applyBorder="1" applyProtection="1">
      <protection hidden="1"/>
    </xf>
    <xf numFmtId="0" fontId="6" fillId="24" borderId="16" xfId="0" applyFont="1" applyFill="1" applyBorder="1" applyProtection="1">
      <protection hidden="1"/>
    </xf>
    <xf numFmtId="0" fontId="50" fillId="24" borderId="0" xfId="0" applyFont="1" applyFill="1" applyAlignment="1" applyProtection="1">
      <alignment horizontal="right" vertical="center" indent="1"/>
      <protection hidden="1"/>
    </xf>
    <xf numFmtId="0" fontId="50" fillId="24" borderId="0" xfId="0" applyFont="1" applyFill="1" applyAlignment="1" applyProtection="1">
      <alignment horizontal="left" vertical="center"/>
      <protection hidden="1"/>
    </xf>
    <xf numFmtId="0" fontId="7" fillId="24" borderId="0" xfId="0" applyFont="1" applyFill="1" applyAlignment="1">
      <alignment vertical="center"/>
    </xf>
    <xf numFmtId="0" fontId="7" fillId="28" borderId="0" xfId="0" applyFont="1" applyFill="1" applyAlignment="1">
      <alignment vertical="center"/>
    </xf>
    <xf numFmtId="0" fontId="51" fillId="28" borderId="0" xfId="0" applyFont="1" applyFill="1" applyAlignment="1">
      <alignment vertical="center" wrapText="1"/>
    </xf>
    <xf numFmtId="0" fontId="53" fillId="28" borderId="0" xfId="0" applyFont="1" applyFill="1" applyAlignment="1">
      <alignment horizontal="center" vertical="center"/>
    </xf>
    <xf numFmtId="0" fontId="53" fillId="24" borderId="0" xfId="0" applyFont="1" applyFill="1" applyAlignment="1">
      <alignment horizontal="center" vertical="center"/>
    </xf>
    <xf numFmtId="0" fontId="55" fillId="24" borderId="0" xfId="0" applyFont="1" applyFill="1" applyAlignment="1">
      <alignment horizontal="center" vertical="center"/>
    </xf>
    <xf numFmtId="0" fontId="7" fillId="24" borderId="0" xfId="0" applyFont="1" applyFill="1" applyAlignment="1">
      <alignment horizontal="left" vertical="center" indent="1"/>
    </xf>
    <xf numFmtId="2" fontId="56" fillId="24" borderId="0" xfId="0" applyNumberFormat="1" applyFont="1" applyFill="1" applyAlignment="1">
      <alignment horizontal="left" vertical="center"/>
    </xf>
    <xf numFmtId="0" fontId="7" fillId="24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2" fontId="56" fillId="24" borderId="0" xfId="0" applyNumberFormat="1" applyFont="1" applyFill="1" applyAlignment="1" applyProtection="1">
      <alignment horizontal="left" vertical="center"/>
      <protection locked="0"/>
    </xf>
    <xf numFmtId="2" fontId="7" fillId="24" borderId="0" xfId="0" applyNumberFormat="1" applyFont="1" applyFill="1" applyAlignment="1" applyProtection="1">
      <alignment horizontal="left" vertical="center"/>
      <protection locked="0"/>
    </xf>
    <xf numFmtId="0" fontId="8" fillId="24" borderId="0" xfId="0" applyFont="1" applyFill="1" applyAlignment="1">
      <alignment horizontal="left" vertical="center"/>
    </xf>
    <xf numFmtId="0" fontId="57" fillId="24" borderId="0" xfId="0" applyFont="1" applyFill="1" applyAlignment="1">
      <alignment horizontal="left" vertical="center"/>
    </xf>
    <xf numFmtId="2" fontId="8" fillId="24" borderId="0" xfId="0" applyNumberFormat="1" applyFont="1" applyFill="1" applyAlignment="1" applyProtection="1">
      <alignment horizontal="left" vertical="center"/>
      <protection locked="0"/>
    </xf>
    <xf numFmtId="0" fontId="0" fillId="0" borderId="0" xfId="0" applyAlignment="1">
      <alignment horizontal="left" vertical="center" indent="1"/>
    </xf>
    <xf numFmtId="0" fontId="57" fillId="24" borderId="0" xfId="0" applyFont="1" applyFill="1" applyAlignment="1" applyProtection="1">
      <alignment horizontal="left" vertical="center"/>
      <protection locked="0"/>
    </xf>
    <xf numFmtId="0" fontId="0" fillId="28" borderId="0" xfId="0" applyFill="1" applyAlignment="1">
      <alignment horizontal="left" vertical="center"/>
    </xf>
    <xf numFmtId="164" fontId="7" fillId="24" borderId="0" xfId="0" applyNumberFormat="1" applyFont="1" applyFill="1" applyAlignment="1" applyProtection="1">
      <alignment horizontal="right" vertical="center"/>
      <protection locked="0"/>
    </xf>
    <xf numFmtId="164" fontId="7" fillId="24" borderId="0" xfId="0" applyNumberFormat="1" applyFont="1" applyFill="1" applyAlignment="1" applyProtection="1">
      <alignment horizontal="right" vertical="center"/>
      <protection hidden="1"/>
    </xf>
    <xf numFmtId="2" fontId="7" fillId="24" borderId="0" xfId="0" applyNumberFormat="1" applyFont="1" applyFill="1" applyAlignment="1" applyProtection="1">
      <alignment horizontal="right" vertical="center"/>
      <protection hidden="1"/>
    </xf>
    <xf numFmtId="0" fontId="7" fillId="24" borderId="0" xfId="0" applyFont="1" applyFill="1" applyAlignment="1">
      <alignment horizontal="right" vertical="center"/>
    </xf>
    <xf numFmtId="0" fontId="7" fillId="28" borderId="0" xfId="0" applyFont="1" applyFill="1" applyAlignment="1">
      <alignment horizontal="right" vertical="center"/>
    </xf>
    <xf numFmtId="0" fontId="7" fillId="24" borderId="0" xfId="0" applyFont="1" applyFill="1" applyAlignment="1">
      <alignment horizontal="center" vertical="center"/>
    </xf>
    <xf numFmtId="164" fontId="60" fillId="24" borderId="0" xfId="0" applyNumberFormat="1" applyFont="1" applyFill="1" applyAlignment="1">
      <alignment horizontal="right" vertical="center"/>
    </xf>
    <xf numFmtId="166" fontId="56" fillId="24" borderId="0" xfId="0" applyNumberFormat="1" applyFont="1" applyFill="1" applyAlignment="1">
      <alignment horizontal="right" vertical="center"/>
    </xf>
    <xf numFmtId="164" fontId="7" fillId="24" borderId="0" xfId="0" applyNumberFormat="1" applyFont="1" applyFill="1" applyAlignment="1">
      <alignment horizontal="right" vertical="center"/>
    </xf>
    <xf numFmtId="164" fontId="61" fillId="30" borderId="0" xfId="48" applyNumberFormat="1" applyBorder="1" applyAlignment="1" applyProtection="1">
      <alignment horizontal="right" vertical="center"/>
      <protection hidden="1"/>
    </xf>
    <xf numFmtId="0" fontId="7" fillId="28" borderId="0" xfId="0" applyFont="1" applyFill="1" applyAlignment="1">
      <alignment horizontal="left" vertical="center"/>
    </xf>
    <xf numFmtId="0" fontId="62" fillId="28" borderId="0" xfId="0" applyFont="1" applyFill="1" applyAlignment="1">
      <alignment vertical="center"/>
    </xf>
    <xf numFmtId="166" fontId="7" fillId="24" borderId="0" xfId="0" applyNumberFormat="1" applyFont="1" applyFill="1" applyAlignment="1">
      <alignment vertical="center"/>
    </xf>
    <xf numFmtId="0" fontId="63" fillId="0" borderId="10" xfId="49" applyFont="1" applyBorder="1" applyAlignment="1">
      <alignment horizontal="center" vertical="center"/>
    </xf>
    <xf numFmtId="0" fontId="67" fillId="0" borderId="10" xfId="49" applyFont="1" applyBorder="1" applyAlignment="1">
      <alignment horizontal="center" vertical="center"/>
    </xf>
    <xf numFmtId="0" fontId="70" fillId="0" borderId="10" xfId="49" applyFont="1" applyBorder="1" applyAlignment="1">
      <alignment horizontal="center" vertical="center"/>
    </xf>
    <xf numFmtId="0" fontId="7" fillId="0" borderId="10" xfId="49" applyBorder="1" applyAlignment="1">
      <alignment horizontal="center" vertical="center"/>
    </xf>
    <xf numFmtId="0" fontId="66" fillId="0" borderId="10" xfId="49" applyFont="1" applyBorder="1" applyAlignment="1">
      <alignment horizontal="center" vertical="center"/>
    </xf>
    <xf numFmtId="0" fontId="66" fillId="0" borderId="10" xfId="49" applyFont="1" applyBorder="1" applyAlignment="1">
      <alignment horizontal="left" vertical="center"/>
    </xf>
    <xf numFmtId="2" fontId="66" fillId="0" borderId="10" xfId="49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1" fillId="0" borderId="0" xfId="50"/>
    <xf numFmtId="0" fontId="7" fillId="24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7" fillId="0" borderId="15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7" fillId="24" borderId="0" xfId="0" applyFont="1" applyFill="1" applyAlignment="1">
      <alignment horizontal="left" vertical="center" indent="1"/>
    </xf>
    <xf numFmtId="0" fontId="54" fillId="24" borderId="0" xfId="0" applyFont="1" applyFill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7" fillId="24" borderId="0" xfId="0" applyFont="1" applyFill="1" applyAlignment="1">
      <alignment horizontal="center" vertical="center"/>
    </xf>
    <xf numFmtId="0" fontId="56" fillId="24" borderId="0" xfId="0" applyFont="1" applyFill="1" applyAlignment="1" applyProtection="1">
      <alignment horizontal="left" vertical="center"/>
      <protection locked="0"/>
    </xf>
    <xf numFmtId="0" fontId="6" fillId="0" borderId="0" xfId="0" applyFont="1" applyAlignment="1">
      <alignment horizontal="left" vertical="center"/>
    </xf>
    <xf numFmtId="0" fontId="58" fillId="28" borderId="0" xfId="0" applyFont="1" applyFill="1" applyAlignment="1">
      <alignment horizontal="center" vertical="center"/>
    </xf>
    <xf numFmtId="0" fontId="52" fillId="29" borderId="0" xfId="0" applyFont="1" applyFill="1" applyAlignment="1">
      <alignment horizontal="center" vertical="center"/>
    </xf>
    <xf numFmtId="164" fontId="47" fillId="26" borderId="35" xfId="0" applyNumberFormat="1" applyFont="1" applyFill="1" applyBorder="1" applyAlignment="1">
      <alignment horizontal="center" vertical="center"/>
    </xf>
    <xf numFmtId="164" fontId="47" fillId="26" borderId="36" xfId="0" applyNumberFormat="1" applyFont="1" applyFill="1" applyBorder="1" applyAlignment="1">
      <alignment horizontal="center" vertical="center"/>
    </xf>
    <xf numFmtId="0" fontId="4" fillId="26" borderId="32" xfId="0" applyFont="1" applyFill="1" applyBorder="1" applyAlignment="1">
      <alignment horizontal="center" vertical="center"/>
    </xf>
    <xf numFmtId="0" fontId="3" fillId="26" borderId="32" xfId="0" applyFont="1" applyFill="1" applyBorder="1" applyAlignment="1">
      <alignment horizontal="center" vertical="center"/>
    </xf>
    <xf numFmtId="0" fontId="33" fillId="24" borderId="14" xfId="0" applyFont="1" applyFill="1" applyBorder="1" applyAlignment="1" applyProtection="1">
      <alignment horizontal="center" vertical="center"/>
      <protection hidden="1"/>
    </xf>
    <xf numFmtId="0" fontId="33" fillId="24" borderId="15" xfId="0" applyFont="1" applyFill="1" applyBorder="1" applyAlignment="1" applyProtection="1">
      <alignment horizontal="center" vertical="center"/>
      <protection hidden="1"/>
    </xf>
    <xf numFmtId="0" fontId="33" fillId="24" borderId="16" xfId="0" applyFont="1" applyFill="1" applyBorder="1" applyAlignment="1" applyProtection="1">
      <alignment horizontal="center" vertical="center"/>
      <protection hidden="1"/>
    </xf>
    <xf numFmtId="0" fontId="33" fillId="24" borderId="0" xfId="0" applyFont="1" applyFill="1" applyAlignment="1" applyProtection="1">
      <alignment horizontal="right" vertical="center"/>
      <protection hidden="1"/>
    </xf>
    <xf numFmtId="2" fontId="33" fillId="24" borderId="0" xfId="0" applyNumberFormat="1" applyFont="1" applyFill="1" applyAlignment="1" applyProtection="1">
      <alignment horizontal="center" vertical="center"/>
      <protection hidden="1"/>
    </xf>
    <xf numFmtId="0" fontId="33" fillId="24" borderId="0" xfId="0" applyFont="1" applyFill="1" applyAlignment="1" applyProtection="1">
      <alignment horizontal="center" vertical="center"/>
      <protection hidden="1"/>
    </xf>
    <xf numFmtId="2" fontId="5" fillId="24" borderId="0" xfId="0" applyNumberFormat="1" applyFont="1" applyFill="1" applyAlignment="1" applyProtection="1">
      <alignment horizontal="right" vertical="center" textRotation="90" shrinkToFit="1"/>
      <protection hidden="1"/>
    </xf>
    <xf numFmtId="0" fontId="32" fillId="24" borderId="19" xfId="0" applyFont="1" applyFill="1" applyBorder="1" applyAlignment="1">
      <alignment horizontal="center" vertical="center"/>
    </xf>
    <xf numFmtId="0" fontId="32" fillId="24" borderId="18" xfId="0" applyFont="1" applyFill="1" applyBorder="1" applyAlignment="1">
      <alignment horizontal="center" vertical="center"/>
    </xf>
    <xf numFmtId="0" fontId="32" fillId="24" borderId="13" xfId="0" applyFont="1" applyFill="1" applyBorder="1" applyAlignment="1">
      <alignment horizontal="center" vertical="center"/>
    </xf>
    <xf numFmtId="2" fontId="5" fillId="24" borderId="37" xfId="0" applyNumberFormat="1" applyFont="1" applyFill="1" applyBorder="1" applyAlignment="1" applyProtection="1">
      <alignment horizontal="center" vertical="center" shrinkToFit="1"/>
      <protection hidden="1"/>
    </xf>
    <xf numFmtId="2" fontId="33" fillId="24" borderId="0" xfId="0" applyNumberFormat="1" applyFont="1" applyFill="1" applyAlignment="1" applyProtection="1">
      <alignment horizontal="center" vertical="center" shrinkToFit="1"/>
      <protection hidden="1"/>
    </xf>
    <xf numFmtId="164" fontId="42" fillId="26" borderId="15" xfId="0" applyNumberFormat="1" applyFont="1" applyFill="1" applyBorder="1" applyAlignment="1">
      <alignment horizontal="center" vertical="center"/>
    </xf>
    <xf numFmtId="164" fontId="42" fillId="26" borderId="16" xfId="0" applyNumberFormat="1" applyFont="1" applyFill="1" applyBorder="1" applyAlignment="1">
      <alignment horizontal="center" vertical="center"/>
    </xf>
    <xf numFmtId="2" fontId="5" fillId="24" borderId="30" xfId="0" applyNumberFormat="1" applyFont="1" applyFill="1" applyBorder="1" applyAlignment="1" applyProtection="1">
      <alignment horizontal="right" vertical="top" textRotation="90" shrinkToFit="1"/>
      <protection hidden="1"/>
    </xf>
    <xf numFmtId="0" fontId="4" fillId="26" borderId="31" xfId="0" applyFont="1" applyFill="1" applyBorder="1" applyAlignment="1">
      <alignment horizontal="right" vertical="center"/>
    </xf>
    <xf numFmtId="0" fontId="4" fillId="26" borderId="32" xfId="0" applyFont="1" applyFill="1" applyBorder="1" applyAlignment="1">
      <alignment horizontal="right" vertical="center"/>
    </xf>
    <xf numFmtId="0" fontId="0" fillId="26" borderId="0" xfId="0" applyFill="1" applyAlignment="1" applyProtection="1">
      <alignment horizontal="center"/>
      <protection hidden="1"/>
    </xf>
    <xf numFmtId="0" fontId="0" fillId="26" borderId="9" xfId="0" applyFill="1" applyBorder="1" applyAlignment="1" applyProtection="1">
      <alignment horizontal="center"/>
      <protection hidden="1"/>
    </xf>
    <xf numFmtId="166" fontId="34" fillId="26" borderId="0" xfId="0" applyNumberFormat="1" applyFont="1" applyFill="1" applyAlignment="1">
      <alignment horizontal="center" vertical="center"/>
    </xf>
    <xf numFmtId="166" fontId="34" fillId="26" borderId="9" xfId="0" applyNumberFormat="1" applyFont="1" applyFill="1" applyBorder="1" applyAlignment="1">
      <alignment horizontal="center" vertical="center"/>
    </xf>
    <xf numFmtId="0" fontId="33" fillId="26" borderId="8" xfId="0" applyFont="1" applyFill="1" applyBorder="1" applyAlignment="1">
      <alignment horizontal="right" vertical="center" indent="1"/>
    </xf>
    <xf numFmtId="0" fontId="33" fillId="26" borderId="0" xfId="0" applyFont="1" applyFill="1" applyAlignment="1">
      <alignment horizontal="right" vertical="center" indent="1"/>
    </xf>
    <xf numFmtId="0" fontId="32" fillId="26" borderId="18" xfId="0" applyFont="1" applyFill="1" applyBorder="1" applyAlignment="1">
      <alignment horizontal="center" vertical="center"/>
    </xf>
    <xf numFmtId="0" fontId="33" fillId="26" borderId="17" xfId="0" applyFont="1" applyFill="1" applyBorder="1" applyAlignment="1">
      <alignment horizontal="right" vertical="center"/>
    </xf>
    <xf numFmtId="0" fontId="33" fillId="26" borderId="12" xfId="0" applyFont="1" applyFill="1" applyBorder="1" applyAlignment="1">
      <alignment horizontal="right" vertical="center"/>
    </xf>
    <xf numFmtId="2" fontId="34" fillId="26" borderId="12" xfId="0" applyNumberFormat="1" applyFont="1" applyFill="1" applyBorder="1" applyAlignment="1">
      <alignment horizontal="center" vertical="center"/>
    </xf>
    <xf numFmtId="164" fontId="33" fillId="26" borderId="35" xfId="0" applyNumberFormat="1" applyFont="1" applyFill="1" applyBorder="1" applyAlignment="1">
      <alignment horizontal="center" vertical="center" shrinkToFit="1"/>
    </xf>
    <xf numFmtId="2" fontId="34" fillId="26" borderId="15" xfId="0" applyNumberFormat="1" applyFont="1" applyFill="1" applyBorder="1" applyAlignment="1" applyProtection="1">
      <alignment horizontal="center" vertical="center"/>
      <protection locked="0"/>
    </xf>
    <xf numFmtId="2" fontId="34" fillId="26" borderId="16" xfId="0" applyNumberFormat="1" applyFont="1" applyFill="1" applyBorder="1" applyAlignment="1" applyProtection="1">
      <alignment horizontal="center" vertical="center"/>
      <protection locked="0"/>
    </xf>
    <xf numFmtId="0" fontId="34" fillId="26" borderId="12" xfId="0" applyFont="1" applyFill="1" applyBorder="1" applyAlignment="1">
      <alignment horizontal="center" vertical="center"/>
    </xf>
    <xf numFmtId="0" fontId="34" fillId="26" borderId="11" xfId="0" applyFont="1" applyFill="1" applyBorder="1" applyAlignment="1">
      <alignment horizontal="center" vertical="center"/>
    </xf>
    <xf numFmtId="0" fontId="33" fillId="26" borderId="0" xfId="0" applyFont="1" applyFill="1" applyAlignment="1">
      <alignment horizontal="center" vertical="center" shrinkToFit="1"/>
    </xf>
    <xf numFmtId="0" fontId="38" fillId="26" borderId="0" xfId="0" applyFont="1" applyFill="1" applyAlignment="1">
      <alignment horizontal="right" vertical="center" shrinkToFit="1"/>
    </xf>
    <xf numFmtId="0" fontId="4" fillId="26" borderId="53" xfId="0" applyFont="1" applyFill="1" applyBorder="1" applyAlignment="1">
      <alignment horizontal="right" vertical="center"/>
    </xf>
    <xf numFmtId="0" fontId="4" fillId="26" borderId="54" xfId="0" applyFont="1" applyFill="1" applyBorder="1" applyAlignment="1">
      <alignment horizontal="right" vertical="center"/>
    </xf>
    <xf numFmtId="0" fontId="4" fillId="26" borderId="33" xfId="0" applyFont="1" applyFill="1" applyBorder="1" applyAlignment="1">
      <alignment horizontal="center" vertical="center"/>
    </xf>
    <xf numFmtId="164" fontId="4" fillId="26" borderId="54" xfId="0" applyNumberFormat="1" applyFont="1" applyFill="1" applyBorder="1" applyAlignment="1">
      <alignment horizontal="center" vertical="center"/>
    </xf>
    <xf numFmtId="166" fontId="34" fillId="26" borderId="0" xfId="0" applyNumberFormat="1" applyFont="1" applyFill="1" applyAlignment="1" applyProtection="1">
      <alignment horizontal="center" vertical="center"/>
      <protection locked="0"/>
    </xf>
    <xf numFmtId="166" fontId="34" fillId="26" borderId="9" xfId="0" applyNumberFormat="1" applyFont="1" applyFill="1" applyBorder="1" applyAlignment="1" applyProtection="1">
      <alignment horizontal="center" vertical="center"/>
      <protection locked="0"/>
    </xf>
    <xf numFmtId="164" fontId="38" fillId="26" borderId="35" xfId="0" applyNumberFormat="1" applyFont="1" applyFill="1" applyBorder="1" applyAlignment="1">
      <alignment horizontal="center" vertical="center" shrinkToFit="1"/>
    </xf>
    <xf numFmtId="164" fontId="38" fillId="26" borderId="36" xfId="0" applyNumberFormat="1" applyFont="1" applyFill="1" applyBorder="1" applyAlignment="1">
      <alignment horizontal="center" vertical="center" shrinkToFit="1"/>
    </xf>
    <xf numFmtId="0" fontId="34" fillId="26" borderId="0" xfId="0" applyFont="1" applyFill="1" applyAlignment="1" applyProtection="1">
      <alignment horizontal="left" vertical="center"/>
      <protection locked="0"/>
    </xf>
    <xf numFmtId="0" fontId="2" fillId="26" borderId="0" xfId="0" applyFont="1" applyFill="1" applyAlignment="1">
      <alignment horizontal="right" vertical="center"/>
    </xf>
    <xf numFmtId="2" fontId="5" fillId="24" borderId="30" xfId="0" applyNumberFormat="1" applyFont="1" applyFill="1" applyBorder="1" applyAlignment="1" applyProtection="1">
      <alignment horizontal="right" vertical="center" textRotation="90" shrinkToFit="1"/>
      <protection hidden="1"/>
    </xf>
    <xf numFmtId="2" fontId="5" fillId="24" borderId="30" xfId="0" applyNumberFormat="1" applyFont="1" applyFill="1" applyBorder="1" applyAlignment="1" applyProtection="1">
      <alignment horizontal="right" textRotation="90" shrinkToFit="1"/>
      <protection hidden="1"/>
    </xf>
    <xf numFmtId="0" fontId="33" fillId="26" borderId="38" xfId="0" applyFont="1" applyFill="1" applyBorder="1" applyAlignment="1" applyProtection="1">
      <alignment horizontal="center"/>
      <protection hidden="1"/>
    </xf>
    <xf numFmtId="0" fontId="33" fillId="26" borderId="39" xfId="0" applyFont="1" applyFill="1" applyBorder="1" applyAlignment="1" applyProtection="1">
      <alignment horizontal="center"/>
      <protection hidden="1"/>
    </xf>
    <xf numFmtId="0" fontId="33" fillId="26" borderId="40" xfId="0" applyFont="1" applyFill="1" applyBorder="1" applyAlignment="1" applyProtection="1">
      <alignment horizontal="center"/>
      <protection hidden="1"/>
    </xf>
    <xf numFmtId="0" fontId="47" fillId="26" borderId="41" xfId="0" applyFont="1" applyFill="1" applyBorder="1" applyAlignment="1" applyProtection="1">
      <alignment horizontal="center"/>
      <protection hidden="1"/>
    </xf>
    <xf numFmtId="0" fontId="47" fillId="26" borderId="0" xfId="0" applyFont="1" applyFill="1" applyAlignment="1" applyProtection="1">
      <alignment horizontal="center"/>
      <protection hidden="1"/>
    </xf>
    <xf numFmtId="0" fontId="47" fillId="26" borderId="30" xfId="0" applyFont="1" applyFill="1" applyBorder="1" applyAlignment="1" applyProtection="1">
      <alignment horizontal="center"/>
      <protection hidden="1"/>
    </xf>
    <xf numFmtId="0" fontId="42" fillId="26" borderId="42" xfId="0" applyFont="1" applyFill="1" applyBorder="1" applyAlignment="1" applyProtection="1">
      <alignment horizontal="center" vertical="top"/>
      <protection hidden="1"/>
    </xf>
    <xf numFmtId="0" fontId="42" fillId="26" borderId="37" xfId="0" applyFont="1" applyFill="1" applyBorder="1" applyAlignment="1" applyProtection="1">
      <alignment horizontal="center" vertical="top"/>
      <protection hidden="1"/>
    </xf>
    <xf numFmtId="0" fontId="42" fillId="26" borderId="43" xfId="0" applyFont="1" applyFill="1" applyBorder="1" applyAlignment="1" applyProtection="1">
      <alignment horizontal="center" vertical="top"/>
      <protection hidden="1"/>
    </xf>
    <xf numFmtId="0" fontId="47" fillId="26" borderId="41" xfId="0" applyFont="1" applyFill="1" applyBorder="1" applyAlignment="1" applyProtection="1">
      <alignment horizontal="center" vertical="top"/>
      <protection hidden="1"/>
    </xf>
    <xf numFmtId="0" fontId="47" fillId="26" borderId="0" xfId="0" applyFont="1" applyFill="1" applyAlignment="1" applyProtection="1">
      <alignment horizontal="center" vertical="top"/>
      <protection hidden="1"/>
    </xf>
    <xf numFmtId="0" fontId="47" fillId="26" borderId="30" xfId="0" applyFont="1" applyFill="1" applyBorder="1" applyAlignment="1" applyProtection="1">
      <alignment horizontal="center" vertical="top"/>
      <protection hidden="1"/>
    </xf>
    <xf numFmtId="0" fontId="33" fillId="26" borderId="41" xfId="0" applyFont="1" applyFill="1" applyBorder="1" applyAlignment="1" applyProtection="1">
      <alignment horizontal="center"/>
      <protection hidden="1"/>
    </xf>
    <xf numFmtId="0" fontId="33" fillId="26" borderId="0" xfId="0" applyFont="1" applyFill="1" applyAlignment="1" applyProtection="1">
      <alignment horizontal="center"/>
      <protection hidden="1"/>
    </xf>
    <xf numFmtId="0" fontId="33" fillId="26" borderId="30" xfId="0" applyFont="1" applyFill="1" applyBorder="1" applyAlignment="1" applyProtection="1">
      <alignment horizontal="center"/>
      <protection hidden="1"/>
    </xf>
    <xf numFmtId="0" fontId="42" fillId="26" borderId="41" xfId="0" applyFont="1" applyFill="1" applyBorder="1" applyAlignment="1" applyProtection="1">
      <alignment horizontal="center" vertical="top"/>
      <protection hidden="1"/>
    </xf>
    <xf numFmtId="0" fontId="42" fillId="26" borderId="0" xfId="0" applyFont="1" applyFill="1" applyAlignment="1" applyProtection="1">
      <alignment horizontal="center" vertical="top"/>
      <protection hidden="1"/>
    </xf>
    <xf numFmtId="0" fontId="42" fillId="26" borderId="30" xfId="0" applyFont="1" applyFill="1" applyBorder="1" applyAlignment="1" applyProtection="1">
      <alignment horizontal="center" vertical="top"/>
      <protection hidden="1"/>
    </xf>
    <xf numFmtId="0" fontId="8" fillId="0" borderId="21" xfId="0" applyFont="1" applyBorder="1" applyAlignment="1">
      <alignment horizontal="center" vertical="center"/>
    </xf>
    <xf numFmtId="0" fontId="11" fillId="0" borderId="22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horizontal="center" vertical="center"/>
    </xf>
    <xf numFmtId="0" fontId="8" fillId="0" borderId="28" xfId="0" applyFont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8" fillId="0" borderId="26" xfId="0" applyFont="1" applyBorder="1" applyAlignment="1">
      <alignment horizontal="center" vertical="center"/>
    </xf>
    <xf numFmtId="0" fontId="8" fillId="0" borderId="27" xfId="0" applyFont="1" applyBorder="1" applyAlignment="1">
      <alignment horizontal="center" vertical="center"/>
    </xf>
    <xf numFmtId="0" fontId="8" fillId="0" borderId="46" xfId="0" applyFont="1" applyBorder="1" applyAlignment="1">
      <alignment horizontal="center" vertical="center" wrapText="1"/>
    </xf>
    <xf numFmtId="0" fontId="8" fillId="0" borderId="47" xfId="0" applyFont="1" applyBorder="1" applyAlignment="1">
      <alignment horizontal="center" vertical="center" wrapText="1"/>
    </xf>
    <xf numFmtId="0" fontId="8" fillId="0" borderId="48" xfId="0" applyFont="1" applyBorder="1" applyAlignment="1">
      <alignment horizontal="center" vertical="center" wrapText="1"/>
    </xf>
    <xf numFmtId="0" fontId="40" fillId="24" borderId="51" xfId="0" applyFont="1" applyFill="1" applyBorder="1" applyAlignment="1">
      <alignment horizontal="center" vertical="center"/>
    </xf>
    <xf numFmtId="0" fontId="40" fillId="24" borderId="52" xfId="0" applyFont="1" applyFill="1" applyBorder="1" applyAlignment="1">
      <alignment horizontal="center" vertical="center"/>
    </xf>
    <xf numFmtId="2" fontId="33" fillId="24" borderId="12" xfId="0" applyNumberFormat="1" applyFont="1" applyFill="1" applyBorder="1" applyAlignment="1" applyProtection="1">
      <alignment horizontal="center" vertical="center"/>
      <protection hidden="1"/>
    </xf>
    <xf numFmtId="0" fontId="33" fillId="24" borderId="12" xfId="0" applyFont="1" applyFill="1" applyBorder="1" applyAlignment="1" applyProtection="1">
      <alignment horizontal="center" vertical="center"/>
      <protection hidden="1"/>
    </xf>
    <xf numFmtId="0" fontId="33" fillId="24" borderId="12" xfId="0" applyFont="1" applyFill="1" applyBorder="1" applyAlignment="1" applyProtection="1">
      <alignment horizontal="right" vertical="center"/>
      <protection hidden="1"/>
    </xf>
    <xf numFmtId="2" fontId="0" fillId="26" borderId="15" xfId="0" applyNumberFormat="1" applyFill="1" applyBorder="1" applyAlignment="1" applyProtection="1">
      <alignment horizontal="center"/>
      <protection hidden="1"/>
    </xf>
    <xf numFmtId="2" fontId="0" fillId="26" borderId="16" xfId="0" applyNumberFormat="1" applyFill="1" applyBorder="1" applyAlignment="1" applyProtection="1">
      <alignment horizontal="center"/>
      <protection hidden="1"/>
    </xf>
    <xf numFmtId="0" fontId="33" fillId="24" borderId="0" xfId="0" applyFont="1" applyFill="1" applyAlignment="1">
      <alignment horizontal="center" vertical="top" shrinkToFit="1"/>
    </xf>
    <xf numFmtId="0" fontId="33" fillId="24" borderId="8" xfId="0" applyFont="1" applyFill="1" applyBorder="1" applyAlignment="1">
      <alignment horizontal="center" vertical="center" textRotation="90"/>
    </xf>
    <xf numFmtId="0" fontId="33" fillId="26" borderId="0" xfId="0" applyFont="1" applyFill="1" applyAlignment="1">
      <alignment horizontal="right" vertical="center" shrinkToFit="1"/>
    </xf>
    <xf numFmtId="0" fontId="32" fillId="26" borderId="19" xfId="0" applyFont="1" applyFill="1" applyBorder="1" applyAlignment="1">
      <alignment horizontal="center" vertical="center"/>
    </xf>
    <xf numFmtId="0" fontId="32" fillId="26" borderId="13" xfId="0" applyFont="1" applyFill="1" applyBorder="1" applyAlignment="1">
      <alignment horizontal="center" vertical="center"/>
    </xf>
    <xf numFmtId="164" fontId="4" fillId="26" borderId="35" xfId="0" applyNumberFormat="1" applyFont="1" applyFill="1" applyBorder="1" applyAlignment="1">
      <alignment horizontal="center" vertical="center"/>
    </xf>
    <xf numFmtId="164" fontId="4" fillId="26" borderId="36" xfId="0" applyNumberFormat="1" applyFont="1" applyFill="1" applyBorder="1" applyAlignment="1">
      <alignment horizontal="center" vertical="center"/>
    </xf>
    <xf numFmtId="2" fontId="7" fillId="26" borderId="15" xfId="0" applyNumberFormat="1" applyFont="1" applyFill="1" applyBorder="1" applyAlignment="1" applyProtection="1">
      <alignment horizontal="center"/>
      <protection locked="0"/>
    </xf>
    <xf numFmtId="2" fontId="7" fillId="26" borderId="16" xfId="0" applyNumberFormat="1" applyFont="1" applyFill="1" applyBorder="1" applyAlignment="1" applyProtection="1">
      <alignment horizontal="center"/>
      <protection locked="0"/>
    </xf>
    <xf numFmtId="2" fontId="33" fillId="26" borderId="0" xfId="0" applyNumberFormat="1" applyFont="1" applyFill="1" applyAlignment="1">
      <alignment horizontal="center" vertical="center" shrinkToFit="1"/>
    </xf>
    <xf numFmtId="2" fontId="5" fillId="24" borderId="41" xfId="0" applyNumberFormat="1" applyFont="1" applyFill="1" applyBorder="1" applyAlignment="1" applyProtection="1">
      <alignment horizontal="center" vertical="center" textRotation="90" shrinkToFit="1"/>
      <protection hidden="1"/>
    </xf>
    <xf numFmtId="0" fontId="42" fillId="26" borderId="41" xfId="0" applyFont="1" applyFill="1" applyBorder="1" applyAlignment="1" applyProtection="1">
      <alignment horizontal="center"/>
      <protection hidden="1"/>
    </xf>
    <xf numFmtId="0" fontId="42" fillId="26" borderId="0" xfId="0" applyFont="1" applyFill="1" applyAlignment="1" applyProtection="1">
      <alignment horizontal="center"/>
      <protection hidden="1"/>
    </xf>
    <xf numFmtId="0" fontId="42" fillId="26" borderId="30" xfId="0" applyFont="1" applyFill="1" applyBorder="1" applyAlignment="1" applyProtection="1">
      <alignment horizontal="center"/>
      <protection hidden="1"/>
    </xf>
    <xf numFmtId="0" fontId="0" fillId="24" borderId="41" xfId="0" applyFill="1" applyBorder="1" applyAlignment="1" applyProtection="1">
      <alignment horizontal="center" vertical="center" textRotation="90"/>
      <protection hidden="1"/>
    </xf>
    <xf numFmtId="0" fontId="0" fillId="24" borderId="37" xfId="0" applyFill="1" applyBorder="1" applyAlignment="1" applyProtection="1">
      <alignment horizontal="center"/>
      <protection hidden="1"/>
    </xf>
    <xf numFmtId="0" fontId="42" fillId="26" borderId="42" xfId="0" applyFont="1" applyFill="1" applyBorder="1" applyAlignment="1" applyProtection="1">
      <alignment horizontal="center"/>
      <protection hidden="1"/>
    </xf>
    <xf numFmtId="0" fontId="42" fillId="26" borderId="37" xfId="0" applyFont="1" applyFill="1" applyBorder="1" applyAlignment="1" applyProtection="1">
      <alignment horizontal="center"/>
      <protection hidden="1"/>
    </xf>
    <xf numFmtId="0" fontId="42" fillId="26" borderId="43" xfId="0" applyFont="1" applyFill="1" applyBorder="1" applyAlignment="1" applyProtection="1">
      <alignment horizontal="center"/>
      <protection hidden="1"/>
    </xf>
    <xf numFmtId="0" fontId="3" fillId="26" borderId="53" xfId="0" applyFont="1" applyFill="1" applyBorder="1" applyAlignment="1">
      <alignment horizontal="right" vertical="center"/>
    </xf>
    <xf numFmtId="0" fontId="3" fillId="26" borderId="54" xfId="0" applyFont="1" applyFill="1" applyBorder="1" applyAlignment="1">
      <alignment horizontal="right" vertical="center"/>
    </xf>
    <xf numFmtId="164" fontId="4" fillId="26" borderId="55" xfId="0" applyNumberFormat="1" applyFont="1" applyFill="1" applyBorder="1" applyAlignment="1">
      <alignment horizontal="center" vertical="center"/>
    </xf>
    <xf numFmtId="164" fontId="4" fillId="26" borderId="57" xfId="0" applyNumberFormat="1" applyFont="1" applyFill="1" applyBorder="1" applyAlignment="1">
      <alignment horizontal="center" vertical="center"/>
    </xf>
    <xf numFmtId="164" fontId="4" fillId="26" borderId="58" xfId="0" applyNumberFormat="1" applyFont="1" applyFill="1" applyBorder="1" applyAlignment="1">
      <alignment horizontal="center" vertical="center"/>
    </xf>
    <xf numFmtId="0" fontId="33" fillId="24" borderId="39" xfId="0" applyFont="1" applyFill="1" applyBorder="1" applyAlignment="1" applyProtection="1">
      <alignment horizontal="center" vertical="center"/>
      <protection hidden="1"/>
    </xf>
    <xf numFmtId="0" fontId="46" fillId="26" borderId="0" xfId="0" applyFont="1" applyFill="1" applyAlignment="1">
      <alignment horizontal="right" vertical="center"/>
    </xf>
    <xf numFmtId="0" fontId="7" fillId="26" borderId="15" xfId="0" applyFont="1" applyFill="1" applyBorder="1" applyAlignment="1" applyProtection="1">
      <alignment horizontal="right" vertical="center"/>
      <protection hidden="1"/>
    </xf>
    <xf numFmtId="0" fontId="40" fillId="25" borderId="0" xfId="0" applyFont="1" applyFill="1" applyAlignment="1">
      <alignment horizontal="right" textRotation="90"/>
    </xf>
    <xf numFmtId="0" fontId="2" fillId="26" borderId="12" xfId="0" applyFont="1" applyFill="1" applyBorder="1" applyAlignment="1">
      <alignment horizontal="left" vertical="center"/>
    </xf>
    <xf numFmtId="0" fontId="2" fillId="26" borderId="15" xfId="0" applyFont="1" applyFill="1" applyBorder="1" applyAlignment="1">
      <alignment horizontal="left" vertical="center"/>
    </xf>
    <xf numFmtId="0" fontId="40" fillId="25" borderId="0" xfId="0" applyFont="1" applyFill="1" applyAlignment="1">
      <alignment horizontal="left" textRotation="90"/>
    </xf>
    <xf numFmtId="0" fontId="7" fillId="26" borderId="17" xfId="0" applyFont="1" applyFill="1" applyBorder="1" applyAlignment="1" applyProtection="1">
      <alignment horizontal="center"/>
      <protection hidden="1"/>
    </xf>
    <xf numFmtId="0" fontId="0" fillId="26" borderId="12" xfId="0" applyFill="1" applyBorder="1" applyAlignment="1" applyProtection="1">
      <alignment horizontal="center"/>
      <protection hidden="1"/>
    </xf>
    <xf numFmtId="0" fontId="0" fillId="26" borderId="11" xfId="0" applyFill="1" applyBorder="1" applyAlignment="1" applyProtection="1">
      <alignment horizontal="center"/>
      <protection hidden="1"/>
    </xf>
    <xf numFmtId="0" fontId="48" fillId="26" borderId="14" xfId="0" applyFont="1" applyFill="1" applyBorder="1" applyAlignment="1" applyProtection="1">
      <alignment horizontal="center"/>
      <protection hidden="1"/>
    </xf>
    <xf numFmtId="0" fontId="48" fillId="26" borderId="15" xfId="0" applyFont="1" applyFill="1" applyBorder="1" applyAlignment="1" applyProtection="1">
      <alignment horizontal="center"/>
      <protection hidden="1"/>
    </xf>
    <xf numFmtId="0" fontId="48" fillId="26" borderId="16" xfId="0" applyFont="1" applyFill="1" applyBorder="1" applyAlignment="1" applyProtection="1">
      <alignment horizontal="center"/>
      <protection hidden="1"/>
    </xf>
    <xf numFmtId="0" fontId="33" fillId="26" borderId="17" xfId="0" applyFont="1" applyFill="1" applyBorder="1" applyAlignment="1">
      <alignment horizontal="right" vertical="center" indent="1"/>
    </xf>
    <xf numFmtId="0" fontId="33" fillId="26" borderId="12" xfId="0" applyFont="1" applyFill="1" applyBorder="1" applyAlignment="1">
      <alignment horizontal="right" vertical="center" indent="1"/>
    </xf>
    <xf numFmtId="2" fontId="34" fillId="26" borderId="0" xfId="0" applyNumberFormat="1" applyFont="1" applyFill="1" applyAlignment="1" applyProtection="1">
      <alignment horizontal="center" vertical="center"/>
      <protection locked="0"/>
    </xf>
    <xf numFmtId="2" fontId="34" fillId="26" borderId="9" xfId="0" applyNumberFormat="1" applyFont="1" applyFill="1" applyBorder="1" applyAlignment="1" applyProtection="1">
      <alignment horizontal="center" vertical="center"/>
      <protection locked="0"/>
    </xf>
    <xf numFmtId="0" fontId="33" fillId="26" borderId="0" xfId="0" applyFont="1" applyFill="1" applyAlignment="1" applyProtection="1">
      <alignment horizontal="left" vertical="center"/>
      <protection locked="0"/>
    </xf>
    <xf numFmtId="0" fontId="33" fillId="26" borderId="9" xfId="0" applyFont="1" applyFill="1" applyBorder="1" applyAlignment="1" applyProtection="1">
      <alignment horizontal="left" vertical="center"/>
      <protection locked="0"/>
    </xf>
    <xf numFmtId="2" fontId="34" fillId="26" borderId="0" xfId="0" applyNumberFormat="1" applyFont="1" applyFill="1" applyAlignment="1">
      <alignment horizontal="center" vertical="center"/>
    </xf>
    <xf numFmtId="2" fontId="34" fillId="26" borderId="9" xfId="0" applyNumberFormat="1" applyFont="1" applyFill="1" applyBorder="1" applyAlignment="1">
      <alignment horizontal="center" vertical="center"/>
    </xf>
    <xf numFmtId="0" fontId="43" fillId="27" borderId="0" xfId="0" applyFont="1" applyFill="1" applyAlignment="1">
      <alignment horizontal="center" vertical="center"/>
    </xf>
    <xf numFmtId="0" fontId="0" fillId="24" borderId="0" xfId="0" applyFill="1" applyAlignment="1">
      <alignment horizontal="center"/>
    </xf>
    <xf numFmtId="0" fontId="0" fillId="24" borderId="0" xfId="0" applyFill="1" applyAlignment="1">
      <alignment horizontal="center" vertical="center"/>
    </xf>
    <xf numFmtId="0" fontId="0" fillId="26" borderId="68" xfId="0" applyFill="1" applyBorder="1" applyAlignment="1">
      <alignment horizontal="center" vertical="center"/>
    </xf>
    <xf numFmtId="0" fontId="0" fillId="26" borderId="69" xfId="0" applyFill="1" applyBorder="1" applyAlignment="1">
      <alignment horizontal="center" vertical="center"/>
    </xf>
    <xf numFmtId="0" fontId="0" fillId="26" borderId="76" xfId="0" applyFill="1" applyBorder="1" applyAlignment="1">
      <alignment horizontal="center" vertical="center"/>
    </xf>
    <xf numFmtId="0" fontId="0" fillId="26" borderId="80" xfId="0" applyFill="1" applyBorder="1" applyAlignment="1">
      <alignment horizontal="center" vertical="center"/>
    </xf>
    <xf numFmtId="0" fontId="0" fillId="26" borderId="17" xfId="0" applyFill="1" applyBorder="1" applyAlignment="1">
      <alignment horizontal="center" vertical="center"/>
    </xf>
    <xf numFmtId="0" fontId="0" fillId="26" borderId="12" xfId="0" applyFill="1" applyBorder="1" applyAlignment="1">
      <alignment horizontal="center" vertical="center"/>
    </xf>
    <xf numFmtId="0" fontId="0" fillId="26" borderId="11" xfId="0" applyFill="1" applyBorder="1" applyAlignment="1">
      <alignment horizontal="center" vertical="center"/>
    </xf>
    <xf numFmtId="0" fontId="0" fillId="26" borderId="14" xfId="0" applyFill="1" applyBorder="1" applyAlignment="1">
      <alignment horizontal="center" vertical="center"/>
    </xf>
    <xf numFmtId="0" fontId="0" fillId="26" borderId="15" xfId="0" applyFill="1" applyBorder="1" applyAlignment="1">
      <alignment horizontal="center" vertical="center"/>
    </xf>
    <xf numFmtId="0" fontId="0" fillId="26" borderId="16" xfId="0" applyFill="1" applyBorder="1" applyAlignment="1">
      <alignment horizontal="center" vertical="center"/>
    </xf>
    <xf numFmtId="0" fontId="0" fillId="26" borderId="78" xfId="0" applyFill="1" applyBorder="1" applyAlignment="1">
      <alignment horizontal="center" vertical="center"/>
    </xf>
    <xf numFmtId="0" fontId="0" fillId="26" borderId="60" xfId="0" applyFill="1" applyBorder="1" applyAlignment="1">
      <alignment horizontal="center" vertical="center"/>
    </xf>
    <xf numFmtId="0" fontId="0" fillId="26" borderId="79" xfId="0" applyFill="1" applyBorder="1" applyAlignment="1">
      <alignment horizontal="center" vertical="center"/>
    </xf>
    <xf numFmtId="0" fontId="0" fillId="26" borderId="10" xfId="0" applyFill="1" applyBorder="1" applyAlignment="1">
      <alignment horizontal="center" vertical="center"/>
    </xf>
    <xf numFmtId="0" fontId="0" fillId="26" borderId="77" xfId="0" applyFill="1" applyBorder="1" applyAlignment="1">
      <alignment horizontal="center" vertical="center"/>
    </xf>
    <xf numFmtId="0" fontId="0" fillId="26" borderId="63" xfId="0" applyFill="1" applyBorder="1" applyAlignment="1">
      <alignment horizontal="center" vertical="center"/>
    </xf>
    <xf numFmtId="0" fontId="0" fillId="26" borderId="67" xfId="0" applyFill="1" applyBorder="1" applyAlignment="1">
      <alignment horizontal="center" vertical="center"/>
    </xf>
    <xf numFmtId="0" fontId="0" fillId="26" borderId="71" xfId="0" applyFill="1" applyBorder="1" applyAlignment="1">
      <alignment horizontal="center" vertical="center"/>
    </xf>
    <xf numFmtId="0" fontId="0" fillId="26" borderId="73" xfId="0" applyFill="1" applyBorder="1" applyAlignment="1">
      <alignment horizontal="center" vertical="center"/>
    </xf>
    <xf numFmtId="0" fontId="0" fillId="26" borderId="75" xfId="0" applyFill="1" applyBorder="1" applyAlignment="1">
      <alignment horizontal="center" vertical="center"/>
    </xf>
    <xf numFmtId="0" fontId="0" fillId="26" borderId="70" xfId="0" applyFill="1" applyBorder="1" applyAlignment="1">
      <alignment horizontal="center" vertical="center"/>
    </xf>
    <xf numFmtId="0" fontId="0" fillId="26" borderId="72" xfId="0" applyFill="1" applyBorder="1" applyAlignment="1">
      <alignment horizontal="center" vertical="center"/>
    </xf>
    <xf numFmtId="0" fontId="0" fillId="26" borderId="74" xfId="0" applyFill="1" applyBorder="1" applyAlignment="1">
      <alignment horizontal="center" vertical="center"/>
    </xf>
    <xf numFmtId="0" fontId="0" fillId="26" borderId="20" xfId="0" applyFill="1" applyBorder="1" applyAlignment="1">
      <alignment horizontal="center" vertical="center"/>
    </xf>
    <xf numFmtId="0" fontId="0" fillId="26" borderId="61" xfId="0" applyFill="1" applyBorder="1" applyAlignment="1">
      <alignment horizontal="center" vertical="center"/>
    </xf>
    <xf numFmtId="0" fontId="0" fillId="26" borderId="62" xfId="0" applyFill="1" applyBorder="1" applyAlignment="1">
      <alignment horizontal="center" vertical="center"/>
    </xf>
    <xf numFmtId="0" fontId="0" fillId="26" borderId="8" xfId="0" applyFill="1" applyBorder="1" applyAlignment="1">
      <alignment horizontal="center" vertical="center"/>
    </xf>
    <xf numFmtId="0" fontId="0" fillId="26" borderId="0" xfId="0" applyFill="1" applyAlignment="1">
      <alignment horizontal="center" vertical="center"/>
    </xf>
    <xf numFmtId="0" fontId="0" fillId="26" borderId="9" xfId="0" applyFill="1" applyBorder="1" applyAlignment="1">
      <alignment horizontal="center" vertical="center"/>
    </xf>
    <xf numFmtId="0" fontId="0" fillId="26" borderId="64" xfId="0" applyFill="1" applyBorder="1" applyAlignment="1">
      <alignment horizontal="center" vertical="center"/>
    </xf>
    <xf numFmtId="0" fontId="0" fillId="26" borderId="65" xfId="0" applyFill="1" applyBorder="1" applyAlignment="1">
      <alignment horizontal="center" vertical="center"/>
    </xf>
    <xf numFmtId="0" fontId="0" fillId="26" borderId="59" xfId="0" applyFill="1" applyBorder="1" applyAlignment="1">
      <alignment horizontal="center" vertical="center"/>
    </xf>
    <xf numFmtId="0" fontId="0" fillId="26" borderId="66" xfId="0" applyFill="1" applyBorder="1" applyAlignment="1">
      <alignment horizontal="center" vertical="center"/>
    </xf>
  </cellXfs>
  <cellStyles count="51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omma0" xfId="28" xr:uid="{00000000-0005-0000-0000-00001B000000}"/>
    <cellStyle name="Currency0" xfId="29" xr:uid="{00000000-0005-0000-0000-00001C000000}"/>
    <cellStyle name="Date" xfId="30" xr:uid="{00000000-0005-0000-0000-00001D000000}"/>
    <cellStyle name="Explanatory Text" xfId="31" builtinId="53" customBuiltin="1"/>
    <cellStyle name="Fixed" xfId="32" xr:uid="{00000000-0005-0000-0000-00001F000000}"/>
    <cellStyle name="Good" xfId="33" builtinId="26" customBuiltin="1"/>
    <cellStyle name="Good 2" xfId="48" xr:uid="{E9558B97-71A6-4613-B51C-8E2E21F3BF2B}"/>
    <cellStyle name="Heading 1" xfId="34" builtinId="16" customBuiltin="1"/>
    <cellStyle name="Heading 2" xfId="35" builtinId="17" customBuiltin="1"/>
    <cellStyle name="Heading 3" xfId="36" builtinId="18" customBuiltin="1"/>
    <cellStyle name="Heading 4" xfId="37" builtinId="19" customBuiltin="1"/>
    <cellStyle name="Input" xfId="38" builtinId="20" customBuiltin="1"/>
    <cellStyle name="Linked Cell" xfId="39" builtinId="24" customBuiltin="1"/>
    <cellStyle name="Neutral" xfId="40" builtinId="28" customBuiltin="1"/>
    <cellStyle name="Normal" xfId="0" builtinId="0"/>
    <cellStyle name="Normal 2" xfId="41" xr:uid="{00000000-0005-0000-0000-000029000000}"/>
    <cellStyle name="Normal 7" xfId="49" xr:uid="{B1BD3D0E-17D2-41EE-85E1-C5488C576963}"/>
    <cellStyle name="Normal 8" xfId="50" xr:uid="{A0610A68-8FCC-4ADA-8372-C5967EA88E28}"/>
    <cellStyle name="Note" xfId="42" builtinId="10" customBuiltin="1"/>
    <cellStyle name="Output" xfId="43" builtinId="21" customBuiltin="1"/>
    <cellStyle name="Tieu de phu" xfId="44" xr:uid="{00000000-0005-0000-0000-00002C000000}"/>
    <cellStyle name="Title" xfId="45" builtinId="15" customBuiltin="1"/>
    <cellStyle name="Total" xfId="46" builtinId="25" customBuiltin="1"/>
    <cellStyle name="Warning Text" xfId="47" builtinId="11" customBuiltin="1"/>
  </cellStyles>
  <dxfs count="6"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right/>
        <top/>
        <bottom/>
        <vertical/>
        <horizontal/>
      </border>
    </dxf>
    <dxf>
      <fill>
        <patternFill>
          <bgColor rgb="FFFFFFCC"/>
        </patternFill>
      </fill>
      <border>
        <right/>
        <top/>
        <bottom/>
        <vertical/>
        <horizontal/>
      </border>
    </dxf>
    <dxf>
      <fill>
        <patternFill>
          <bgColor rgb="FFFFFFCC"/>
        </patternFill>
      </fill>
      <border>
        <right/>
        <top/>
        <bottom/>
        <vertical/>
        <horizontal/>
      </border>
    </dxf>
    <dxf>
      <fill>
        <patternFill>
          <bgColor rgb="FFFFFFCC"/>
        </patternFill>
      </fill>
      <border>
        <right/>
        <top/>
        <bottom/>
        <vertical/>
        <horizontal/>
      </border>
    </dxf>
    <dxf>
      <numFmt numFmtId="167" formatCode="&quot;-&quot;"/>
    </dxf>
  </dxfs>
  <tableStyles count="0" defaultTableStyle="TableStyleMedium9" defaultPivotStyle="PivotStyleLight16"/>
  <colors>
    <mruColors>
      <color rgb="FFCC00CC"/>
      <color rgb="FF0000FF"/>
      <color rgb="FFFFFFCC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44870</xdr:colOff>
      <xdr:row>50</xdr:row>
      <xdr:rowOff>19050</xdr:rowOff>
    </xdr:from>
    <xdr:ext cx="202819" cy="209550"/>
    <xdr:pic>
      <xdr:nvPicPr>
        <xdr:cNvPr id="2" name="Picture 1">
          <a:extLst>
            <a:ext uri="{FF2B5EF4-FFF2-40B4-BE49-F238E27FC236}">
              <a16:creationId xmlns:a16="http://schemas.microsoft.com/office/drawing/2014/main" id="{7AA63482-44E0-4479-AC57-D8BFE1C84B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21620" y="8886825"/>
          <a:ext cx="202819" cy="209550"/>
        </a:xfrm>
        <a:prstGeom prst="rect">
          <a:avLst/>
        </a:prstGeom>
      </xdr:spPr>
    </xdr:pic>
    <xdr:clientData/>
  </xdr:oneCellAnchor>
  <xdr:oneCellAnchor>
    <xdr:from>
      <xdr:col>10</xdr:col>
      <xdr:colOff>95250</xdr:colOff>
      <xdr:row>50</xdr:row>
      <xdr:rowOff>16357</xdr:rowOff>
    </xdr:from>
    <xdr:ext cx="171450" cy="193193"/>
    <xdr:pic>
      <xdr:nvPicPr>
        <xdr:cNvPr id="3" name="Picture 2">
          <a:extLst>
            <a:ext uri="{FF2B5EF4-FFF2-40B4-BE49-F238E27FC236}">
              <a16:creationId xmlns:a16="http://schemas.microsoft.com/office/drawing/2014/main" id="{9995189B-2C33-4933-83D8-77A5ABF6B9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10150" y="8884132"/>
          <a:ext cx="171450" cy="193193"/>
        </a:xfrm>
        <a:prstGeom prst="rect">
          <a:avLst/>
        </a:prstGeom>
      </xdr:spPr>
    </xdr:pic>
    <xdr:clientData/>
  </xdr:oneCellAnchor>
  <xdr:oneCellAnchor>
    <xdr:from>
      <xdr:col>11</xdr:col>
      <xdr:colOff>57150</xdr:colOff>
      <xdr:row>50</xdr:row>
      <xdr:rowOff>41098</xdr:rowOff>
    </xdr:from>
    <xdr:ext cx="219075" cy="158927"/>
    <xdr:pic>
      <xdr:nvPicPr>
        <xdr:cNvPr id="4" name="Picture 3">
          <a:extLst>
            <a:ext uri="{FF2B5EF4-FFF2-40B4-BE49-F238E27FC236}">
              <a16:creationId xmlns:a16="http://schemas.microsoft.com/office/drawing/2014/main" id="{59577533-2D8C-44E5-A486-F5B65BE21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476875" y="8908873"/>
          <a:ext cx="219075" cy="15892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295275</xdr:colOff>
      <xdr:row>13</xdr:row>
      <xdr:rowOff>0</xdr:rowOff>
    </xdr:from>
    <xdr:to>
      <xdr:col>26</xdr:col>
      <xdr:colOff>200025</xdr:colOff>
      <xdr:row>13</xdr:row>
      <xdr:rowOff>161925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71F95D3B-ECD4-46F8-9411-133F831B7214}"/>
            </a:ext>
          </a:extLst>
        </xdr:cNvPr>
        <xdr:cNvSpPr txBox="1"/>
      </xdr:nvSpPr>
      <xdr:spPr>
        <a:xfrm>
          <a:off x="7924800" y="2771775"/>
          <a:ext cx="219075" cy="161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l-PL" sz="1100">
              <a:solidFill>
                <a:srgbClr val="969696"/>
              </a:solidFill>
              <a:latin typeface="+mn-lt"/>
            </a:rPr>
            <a:t>    </a:t>
          </a:r>
          <a:endParaRPr lang="en-GB" sz="1100">
            <a:solidFill>
              <a:srgbClr val="969696"/>
            </a:solidFill>
            <a:latin typeface="+mn-lt"/>
          </a:endParaRPr>
        </a:p>
      </xdr:txBody>
    </xdr:sp>
    <xdr:clientData fPrintsWithSheet="0"/>
  </xdr:twoCellAnchor>
  <xdr:twoCellAnchor>
    <xdr:from>
      <xdr:col>2</xdr:col>
      <xdr:colOff>62507</xdr:colOff>
      <xdr:row>41</xdr:row>
      <xdr:rowOff>107705</xdr:rowOff>
    </xdr:from>
    <xdr:to>
      <xdr:col>3</xdr:col>
      <xdr:colOff>263264</xdr:colOff>
      <xdr:row>41</xdr:row>
      <xdr:rowOff>107705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C2CA0576-36D8-4ADA-87FC-0A186932C2FB}"/>
            </a:ext>
          </a:extLst>
        </xdr:cNvPr>
        <xdr:cNvCxnSpPr/>
      </xdr:nvCxnSpPr>
      <xdr:spPr>
        <a:xfrm>
          <a:off x="802526" y="10805013"/>
          <a:ext cx="611065" cy="0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58615</xdr:colOff>
      <xdr:row>60</xdr:row>
      <xdr:rowOff>139212</xdr:rowOff>
    </xdr:from>
    <xdr:to>
      <xdr:col>26</xdr:col>
      <xdr:colOff>241789</xdr:colOff>
      <xdr:row>60</xdr:row>
      <xdr:rowOff>139212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4E4AD083-9BCA-4549-B63D-928916D0947B}"/>
            </a:ext>
          </a:extLst>
        </xdr:cNvPr>
        <xdr:cNvCxnSpPr/>
      </xdr:nvCxnSpPr>
      <xdr:spPr>
        <a:xfrm flipH="1">
          <a:off x="8191500" y="14485327"/>
          <a:ext cx="498231" cy="0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161925</xdr:colOff>
      <xdr:row>92</xdr:row>
      <xdr:rowOff>17586</xdr:rowOff>
    </xdr:from>
    <xdr:to>
      <xdr:col>14</xdr:col>
      <xdr:colOff>162659</xdr:colOff>
      <xdr:row>93</xdr:row>
      <xdr:rowOff>180975</xdr:rowOff>
    </xdr:to>
    <xdr:cxnSp macro="">
      <xdr:nvCxnSpPr>
        <xdr:cNvPr id="39" name="Straight Arrow Connector 38">
          <a:extLst>
            <a:ext uri="{FF2B5EF4-FFF2-40B4-BE49-F238E27FC236}">
              <a16:creationId xmlns:a16="http://schemas.microsoft.com/office/drawing/2014/main" id="{5DAFE162-A218-453B-B801-2CE35945B004}"/>
            </a:ext>
          </a:extLst>
        </xdr:cNvPr>
        <xdr:cNvCxnSpPr/>
      </xdr:nvCxnSpPr>
      <xdr:spPr>
        <a:xfrm flipV="1">
          <a:off x="4791075" y="16895886"/>
          <a:ext cx="734" cy="353889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161925</xdr:colOff>
      <xdr:row>95</xdr:row>
      <xdr:rowOff>85725</xdr:rowOff>
    </xdr:from>
    <xdr:to>
      <xdr:col>14</xdr:col>
      <xdr:colOff>171450</xdr:colOff>
      <xdr:row>97</xdr:row>
      <xdr:rowOff>117232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C6A386A9-C94D-4FF1-8CCA-7D573FEB8DCA}"/>
            </a:ext>
          </a:extLst>
        </xdr:cNvPr>
        <xdr:cNvCxnSpPr/>
      </xdr:nvCxnSpPr>
      <xdr:spPr>
        <a:xfrm flipH="1">
          <a:off x="4791075" y="17535525"/>
          <a:ext cx="9525" cy="412507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40</xdr:col>
      <xdr:colOff>9422</xdr:colOff>
      <xdr:row>32</xdr:row>
      <xdr:rowOff>73930</xdr:rowOff>
    </xdr:from>
    <xdr:to>
      <xdr:col>50</xdr:col>
      <xdr:colOff>32736</xdr:colOff>
      <xdr:row>58</xdr:row>
      <xdr:rowOff>157224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BB0E771E-2B97-A26F-B350-1A51A453F7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15331" y="6360430"/>
          <a:ext cx="6084678" cy="5167512"/>
        </a:xfrm>
        <a:prstGeom prst="rect">
          <a:avLst/>
        </a:prstGeom>
      </xdr:spPr>
    </xdr:pic>
    <xdr:clientData/>
  </xdr:twoCellAnchor>
  <xdr:twoCellAnchor>
    <xdr:from>
      <xdr:col>15</xdr:col>
      <xdr:colOff>111672</xdr:colOff>
      <xdr:row>10</xdr:row>
      <xdr:rowOff>42041</xdr:rowOff>
    </xdr:from>
    <xdr:to>
      <xdr:col>16</xdr:col>
      <xdr:colOff>249621</xdr:colOff>
      <xdr:row>10</xdr:row>
      <xdr:rowOff>179989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9387B22F-D0E7-E308-4E57-D811EB205CD2}"/>
            </a:ext>
          </a:extLst>
        </xdr:cNvPr>
        <xdr:cNvSpPr/>
      </xdr:nvSpPr>
      <xdr:spPr bwMode="auto">
        <a:xfrm>
          <a:off x="5083722" y="1670816"/>
          <a:ext cx="452274" cy="137948"/>
        </a:xfrm>
        <a:prstGeom prst="rightArrow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249622</xdr:colOff>
      <xdr:row>12</xdr:row>
      <xdr:rowOff>65688</xdr:rowOff>
    </xdr:from>
    <xdr:to>
      <xdr:col>21</xdr:col>
      <xdr:colOff>72260</xdr:colOff>
      <xdr:row>14</xdr:row>
      <xdr:rowOff>137947</xdr:rowOff>
    </xdr:to>
    <xdr:sp macro="" textlink="">
      <xdr:nvSpPr>
        <xdr:cNvPr id="5" name="Arrow: Right 4">
          <a:extLst>
            <a:ext uri="{FF2B5EF4-FFF2-40B4-BE49-F238E27FC236}">
              <a16:creationId xmlns:a16="http://schemas.microsoft.com/office/drawing/2014/main" id="{A7EAA34C-AE0C-4F4B-B142-D8516E6D58C1}"/>
            </a:ext>
          </a:extLst>
        </xdr:cNvPr>
        <xdr:cNvSpPr/>
      </xdr:nvSpPr>
      <xdr:spPr bwMode="auto">
        <a:xfrm rot="16200000">
          <a:off x="6647794" y="2220310"/>
          <a:ext cx="453259" cy="137948"/>
        </a:xfrm>
        <a:prstGeom prst="rightArrow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589360</xdr:colOff>
      <xdr:row>23</xdr:row>
      <xdr:rowOff>41670</xdr:rowOff>
    </xdr:from>
    <xdr:to>
      <xdr:col>1</xdr:col>
      <xdr:colOff>601266</xdr:colOff>
      <xdr:row>23</xdr:row>
      <xdr:rowOff>41670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A4F7A6C0-B1A7-988D-3FCE-A059D470A60B}"/>
            </a:ext>
          </a:extLst>
        </xdr:cNvPr>
        <xdr:cNvCxnSpPr/>
      </xdr:nvCxnSpPr>
      <xdr:spPr bwMode="auto">
        <a:xfrm>
          <a:off x="589360" y="3833811"/>
          <a:ext cx="619125" cy="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/>
          <a:tailEnd type="triangle"/>
        </a:ln>
        <a:effectLst/>
      </xdr:spPr>
    </xdr:cxnSp>
    <xdr:clientData/>
  </xdr:twoCellAnchor>
  <xdr:twoCellAnchor>
    <xdr:from>
      <xdr:col>2</xdr:col>
      <xdr:colOff>5953</xdr:colOff>
      <xdr:row>23</xdr:row>
      <xdr:rowOff>41671</xdr:rowOff>
    </xdr:from>
    <xdr:to>
      <xdr:col>3</xdr:col>
      <xdr:colOff>17860</xdr:colOff>
      <xdr:row>23</xdr:row>
      <xdr:rowOff>41671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3FFF97E6-EBA9-47EF-B63B-9270DE1D0AC3}"/>
            </a:ext>
          </a:extLst>
        </xdr:cNvPr>
        <xdr:cNvCxnSpPr/>
      </xdr:nvCxnSpPr>
      <xdr:spPr bwMode="auto">
        <a:xfrm>
          <a:off x="1220391" y="3833812"/>
          <a:ext cx="619125" cy="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/>
          <a:tailEnd type="triangle"/>
        </a:ln>
        <a:effectLst/>
      </xdr:spPr>
    </xdr:cxnSp>
    <xdr:clientData/>
  </xdr:twoCellAnchor>
  <xdr:twoCellAnchor>
    <xdr:from>
      <xdr:col>7</xdr:col>
      <xdr:colOff>589360</xdr:colOff>
      <xdr:row>23</xdr:row>
      <xdr:rowOff>29765</xdr:rowOff>
    </xdr:from>
    <xdr:to>
      <xdr:col>8</xdr:col>
      <xdr:colOff>601266</xdr:colOff>
      <xdr:row>23</xdr:row>
      <xdr:rowOff>29765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81BE757A-9130-41EC-8BBE-67AC6F5D6AD7}"/>
            </a:ext>
          </a:extLst>
        </xdr:cNvPr>
        <xdr:cNvCxnSpPr/>
      </xdr:nvCxnSpPr>
      <xdr:spPr bwMode="auto">
        <a:xfrm>
          <a:off x="4839891" y="3821906"/>
          <a:ext cx="619125" cy="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/>
          <a:tailEnd type="triangle"/>
        </a:ln>
        <a:effectLst/>
      </xdr:spPr>
    </xdr:cxnSp>
    <xdr:clientData/>
  </xdr:twoCellAnchor>
  <xdr:twoCellAnchor>
    <xdr:from>
      <xdr:col>9</xdr:col>
      <xdr:colOff>5953</xdr:colOff>
      <xdr:row>23</xdr:row>
      <xdr:rowOff>29766</xdr:rowOff>
    </xdr:from>
    <xdr:to>
      <xdr:col>10</xdr:col>
      <xdr:colOff>17859</xdr:colOff>
      <xdr:row>23</xdr:row>
      <xdr:rowOff>29766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3A2D1236-996D-417F-B801-8BB1D740B0F9}"/>
            </a:ext>
          </a:extLst>
        </xdr:cNvPr>
        <xdr:cNvCxnSpPr/>
      </xdr:nvCxnSpPr>
      <xdr:spPr bwMode="auto">
        <a:xfrm>
          <a:off x="5470922" y="3821907"/>
          <a:ext cx="619125" cy="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/>
          <a:tailEnd type="triangle"/>
        </a:ln>
        <a:effectLst/>
      </xdr:spPr>
    </xdr:cxnSp>
    <xdr:clientData/>
  </xdr:twoCellAnchor>
  <xdr:twoCellAnchor>
    <xdr:from>
      <xdr:col>0</xdr:col>
      <xdr:colOff>339328</xdr:colOff>
      <xdr:row>19</xdr:row>
      <xdr:rowOff>148829</xdr:rowOff>
    </xdr:from>
    <xdr:to>
      <xdr:col>0</xdr:col>
      <xdr:colOff>339328</xdr:colOff>
      <xdr:row>22</xdr:row>
      <xdr:rowOff>23813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1FC1E9B9-F630-4802-BB94-B5EC4DFEB619}"/>
            </a:ext>
          </a:extLst>
        </xdr:cNvPr>
        <xdr:cNvCxnSpPr/>
      </xdr:nvCxnSpPr>
      <xdr:spPr bwMode="auto">
        <a:xfrm flipV="1">
          <a:off x="339328" y="3256360"/>
          <a:ext cx="0" cy="39885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/>
          <a:tailEnd type="triangle"/>
        </a:ln>
        <a:effectLst/>
      </xdr:spPr>
    </xdr:cxnSp>
    <xdr:clientData/>
  </xdr:twoCellAnchor>
  <xdr:twoCellAnchor>
    <xdr:from>
      <xdr:col>0</xdr:col>
      <xdr:colOff>339328</xdr:colOff>
      <xdr:row>17</xdr:row>
      <xdr:rowOff>113109</xdr:rowOff>
    </xdr:from>
    <xdr:to>
      <xdr:col>0</xdr:col>
      <xdr:colOff>339328</xdr:colOff>
      <xdr:row>19</xdr:row>
      <xdr:rowOff>157400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id="{9F6607E4-B93D-4F46-AC4F-BBFC449662AE}"/>
            </a:ext>
          </a:extLst>
        </xdr:cNvPr>
        <xdr:cNvCxnSpPr/>
      </xdr:nvCxnSpPr>
      <xdr:spPr bwMode="auto">
        <a:xfrm flipV="1">
          <a:off x="339328" y="2922984"/>
          <a:ext cx="0" cy="36576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/>
          <a:tailEnd type="triangle"/>
        </a:ln>
        <a:effectLst/>
      </xdr:spPr>
    </xdr:cxnSp>
    <xdr:clientData/>
  </xdr:twoCellAnchor>
  <xdr:twoCellAnchor>
    <xdr:from>
      <xdr:col>0</xdr:col>
      <xdr:colOff>327422</xdr:colOff>
      <xdr:row>4</xdr:row>
      <xdr:rowOff>0</xdr:rowOff>
    </xdr:from>
    <xdr:to>
      <xdr:col>0</xdr:col>
      <xdr:colOff>327422</xdr:colOff>
      <xdr:row>6</xdr:row>
      <xdr:rowOff>2619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082BCE02-B78C-40E1-A4AD-BCBBCA3D0908}"/>
            </a:ext>
          </a:extLst>
        </xdr:cNvPr>
        <xdr:cNvCxnSpPr/>
      </xdr:nvCxnSpPr>
      <xdr:spPr bwMode="auto">
        <a:xfrm flipV="1">
          <a:off x="327422" y="678656"/>
          <a:ext cx="0" cy="36576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/>
          <a:tailEnd type="triangle"/>
        </a:ln>
        <a:effectLst/>
      </xdr:spPr>
    </xdr:cxnSp>
    <xdr:clientData/>
  </xdr:twoCellAnchor>
  <xdr:twoCellAnchor>
    <xdr:from>
      <xdr:col>0</xdr:col>
      <xdr:colOff>327422</xdr:colOff>
      <xdr:row>1</xdr:row>
      <xdr:rowOff>154782</xdr:rowOff>
    </xdr:from>
    <xdr:to>
      <xdr:col>0</xdr:col>
      <xdr:colOff>327422</xdr:colOff>
      <xdr:row>4</xdr:row>
      <xdr:rowOff>5952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777966DD-2360-465F-B673-B8A4EE7C6665}"/>
            </a:ext>
          </a:extLst>
        </xdr:cNvPr>
        <xdr:cNvCxnSpPr/>
      </xdr:nvCxnSpPr>
      <xdr:spPr bwMode="auto">
        <a:xfrm flipV="1">
          <a:off x="327422" y="315516"/>
          <a:ext cx="0" cy="36909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/>
          <a:tailEnd type="triangle"/>
        </a:ln>
        <a:effectLst/>
      </xdr:spPr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8D020-9144-412C-AFD1-FDF090896273}">
  <sheetPr>
    <tabColor rgb="FFFF0000"/>
  </sheetPr>
  <dimension ref="A1:AA61"/>
  <sheetViews>
    <sheetView showGridLines="0" view="pageBreakPreview" zoomScaleNormal="100" zoomScaleSheetLayoutView="100" workbookViewId="0">
      <selection activeCell="I13" sqref="I13"/>
    </sheetView>
  </sheetViews>
  <sheetFormatPr defaultRowHeight="12.75"/>
  <cols>
    <col min="1" max="1" width="3" style="144" customWidth="1"/>
    <col min="2" max="2" width="11.85546875" style="143" customWidth="1"/>
    <col min="3" max="3" width="7.5703125" style="143" customWidth="1"/>
    <col min="4" max="4" width="7.7109375" style="143" customWidth="1"/>
    <col min="5" max="5" width="7.5703125" style="143" bestFit="1" customWidth="1"/>
    <col min="6" max="6" width="5.28515625" style="143" customWidth="1"/>
    <col min="7" max="7" width="7.28515625" style="143" bestFit="1" customWidth="1"/>
    <col min="8" max="8" width="8.5703125" style="143" bestFit="1" customWidth="1"/>
    <col min="9" max="9" width="8.28515625" style="143" customWidth="1"/>
    <col min="10" max="10" width="6.5703125" style="143" bestFit="1" customWidth="1"/>
    <col min="11" max="11" width="7.5703125" style="143" bestFit="1" customWidth="1"/>
    <col min="12" max="12" width="7.28515625" style="143" bestFit="1" customWidth="1"/>
    <col min="13" max="13" width="6.85546875" style="143" customWidth="1"/>
    <col min="14" max="14" width="8.85546875" style="143" customWidth="1"/>
    <col min="15" max="15" width="8.85546875" style="144" customWidth="1"/>
    <col min="16" max="16" width="12.85546875" style="144" bestFit="1" customWidth="1"/>
    <col min="17" max="16384" width="9.140625" style="144"/>
  </cols>
  <sheetData>
    <row r="1" spans="1:27" ht="14.25" customHeight="1">
      <c r="A1" s="143"/>
      <c r="P1" s="145"/>
      <c r="Q1" s="145"/>
      <c r="R1" s="145"/>
    </row>
    <row r="2" spans="1:27" ht="24" customHeight="1">
      <c r="A2" s="143"/>
      <c r="B2" s="194" t="s">
        <v>151</v>
      </c>
      <c r="C2" s="194"/>
      <c r="D2" s="194"/>
      <c r="E2" s="194"/>
      <c r="F2" s="194"/>
      <c r="G2" s="194"/>
      <c r="H2" s="194"/>
      <c r="I2" s="194"/>
      <c r="J2" s="194"/>
      <c r="K2" s="194"/>
      <c r="L2" s="194"/>
      <c r="M2" s="194"/>
      <c r="N2" s="194"/>
      <c r="O2" s="146"/>
      <c r="P2" s="145"/>
      <c r="Q2" s="145"/>
      <c r="R2" s="145"/>
    </row>
    <row r="3" spans="1:27" ht="12.75" customHeight="1">
      <c r="A3" s="143"/>
      <c r="B3" s="147"/>
      <c r="C3" s="147"/>
      <c r="D3" s="147"/>
      <c r="E3" s="147"/>
      <c r="F3" s="147"/>
      <c r="G3" s="147"/>
      <c r="H3" s="147"/>
      <c r="I3" s="147"/>
      <c r="J3" s="147"/>
      <c r="K3" s="147"/>
      <c r="L3" s="147"/>
      <c r="M3" s="147"/>
      <c r="N3" s="147"/>
      <c r="O3" s="146"/>
      <c r="P3" s="145"/>
      <c r="Q3" s="145"/>
      <c r="R3" s="145"/>
    </row>
    <row r="4" spans="1:27" ht="12.75" customHeight="1">
      <c r="A4" s="143"/>
      <c r="B4" s="188" t="s">
        <v>152</v>
      </c>
      <c r="C4" s="188"/>
      <c r="D4" s="148"/>
      <c r="E4" s="147"/>
      <c r="F4" s="147"/>
      <c r="G4" s="147"/>
      <c r="H4" s="147"/>
      <c r="I4" s="147"/>
      <c r="J4" s="147"/>
      <c r="K4" s="147"/>
      <c r="L4" s="147"/>
      <c r="M4" s="147"/>
      <c r="N4" s="147"/>
      <c r="O4" s="146"/>
      <c r="P4" s="145"/>
      <c r="Q4" s="145"/>
      <c r="R4" s="145"/>
    </row>
    <row r="5" spans="1:27">
      <c r="A5" s="143"/>
      <c r="B5" s="187" t="s">
        <v>153</v>
      </c>
      <c r="C5" s="187"/>
      <c r="D5" s="187"/>
      <c r="E5" s="150">
        <v>13.5</v>
      </c>
      <c r="F5" s="183" t="s">
        <v>154</v>
      </c>
      <c r="G5" s="184"/>
      <c r="H5" s="184"/>
      <c r="I5" s="184"/>
      <c r="J5" s="153">
        <v>0</v>
      </c>
      <c r="K5" s="154" t="s">
        <v>155</v>
      </c>
      <c r="M5" s="155"/>
    </row>
    <row r="6" spans="1:27">
      <c r="A6" s="143"/>
      <c r="B6" s="187" t="s">
        <v>156</v>
      </c>
      <c r="C6" s="187"/>
      <c r="D6" s="156" t="s">
        <v>2</v>
      </c>
      <c r="H6" s="151"/>
      <c r="I6" s="155"/>
      <c r="J6" s="155"/>
      <c r="K6" s="157"/>
      <c r="L6" s="151"/>
      <c r="M6" s="155"/>
    </row>
    <row r="7" spans="1:27">
      <c r="A7" s="143"/>
      <c r="B7" s="187" t="s">
        <v>157</v>
      </c>
      <c r="C7" s="189"/>
      <c r="D7" s="159" t="s">
        <v>1</v>
      </c>
      <c r="E7" s="183" t="str">
        <f>IF($D$7="A","Trống trải, không có hoặc có rất ít vật cản cao không quá 1,5 m",IF($D$7="B","Tương đối trống trải, có một số vật cản thưa thớt cao không quá 10 m ","Bị che chắn mạnh, có nhiều vật cản sát nhau cao từ 10 m trở lên"))</f>
        <v xml:space="preserve">Tương đối trống trải, có một số vật cản thưa thớt cao không quá 10 m </v>
      </c>
      <c r="F7" s="184"/>
      <c r="G7" s="184"/>
      <c r="H7" s="184"/>
      <c r="I7" s="184"/>
      <c r="J7" s="184"/>
      <c r="K7" s="184"/>
      <c r="L7" s="184"/>
      <c r="M7" s="184"/>
      <c r="N7" s="184"/>
      <c r="O7" s="160"/>
    </row>
    <row r="8" spans="1:27">
      <c r="A8" s="143"/>
      <c r="B8" s="187" t="s">
        <v>125</v>
      </c>
      <c r="C8" s="187"/>
      <c r="D8" s="187"/>
      <c r="E8" s="189"/>
      <c r="F8" s="189"/>
      <c r="G8" s="189"/>
      <c r="H8" s="191" t="s">
        <v>158</v>
      </c>
      <c r="I8" s="192"/>
      <c r="J8" s="192"/>
    </row>
    <row r="9" spans="1:27">
      <c r="A9" s="143"/>
      <c r="B9" s="187" t="s">
        <v>159</v>
      </c>
      <c r="C9" s="189"/>
      <c r="D9" s="189"/>
      <c r="E9" s="189"/>
      <c r="F9" s="189"/>
      <c r="G9" s="189"/>
      <c r="H9" s="161">
        <v>1</v>
      </c>
      <c r="J9" s="183" t="s">
        <v>160</v>
      </c>
      <c r="K9" s="184"/>
      <c r="L9" s="184"/>
      <c r="M9" s="184"/>
      <c r="N9" s="184"/>
      <c r="O9" s="160"/>
      <c r="R9" s="193"/>
      <c r="S9" s="193"/>
      <c r="T9" s="193"/>
      <c r="U9" s="193"/>
      <c r="V9" s="193"/>
      <c r="W9" s="193"/>
      <c r="X9" s="193"/>
      <c r="Y9" s="193"/>
      <c r="Z9" s="193"/>
      <c r="AA9" s="193"/>
    </row>
    <row r="10" spans="1:27" ht="15.75">
      <c r="A10" s="143"/>
      <c r="B10" s="187" t="s">
        <v>161</v>
      </c>
      <c r="C10" s="189"/>
      <c r="D10" s="189"/>
      <c r="E10" s="189"/>
      <c r="F10" s="189"/>
      <c r="G10" s="189"/>
      <c r="H10" s="162">
        <f>VLOOKUP(D6,GustFactor!$F$57:$H$61,2,FALSE)</f>
        <v>0.95</v>
      </c>
      <c r="J10" s="183" t="s">
        <v>162</v>
      </c>
      <c r="K10" s="184"/>
      <c r="L10" s="184"/>
      <c r="M10" s="184"/>
      <c r="N10" s="184"/>
      <c r="O10" s="160"/>
      <c r="R10" s="193"/>
      <c r="S10" s="193"/>
      <c r="T10" s="193"/>
      <c r="U10" s="193"/>
      <c r="V10" s="193"/>
      <c r="W10" s="193"/>
      <c r="X10" s="193"/>
      <c r="Y10" s="193"/>
      <c r="Z10" s="193"/>
      <c r="AA10" s="193"/>
    </row>
    <row r="11" spans="1:27" ht="15.75">
      <c r="A11" s="143"/>
      <c r="B11" s="187" t="s">
        <v>163</v>
      </c>
      <c r="C11" s="189"/>
      <c r="D11" s="189"/>
      <c r="E11" s="189"/>
      <c r="F11" s="189"/>
      <c r="G11" s="189"/>
      <c r="H11" s="162">
        <f>H10*0.852</f>
        <v>0.8093999999999999</v>
      </c>
      <c r="J11" s="183" t="s">
        <v>164</v>
      </c>
      <c r="K11" s="184"/>
      <c r="L11" s="184"/>
      <c r="M11" s="184"/>
      <c r="N11" s="184"/>
      <c r="O11" s="160"/>
    </row>
    <row r="12" spans="1:27">
      <c r="A12" s="143"/>
      <c r="B12" s="187" t="s">
        <v>165</v>
      </c>
      <c r="C12" s="189"/>
      <c r="D12" s="189"/>
      <c r="E12" s="189"/>
      <c r="F12" s="189"/>
      <c r="G12" s="189"/>
      <c r="H12" s="163">
        <f>VLOOKUP(D6,GustFactor!$F$57:$H$61,3,FALSE)</f>
        <v>44</v>
      </c>
      <c r="J12" s="183" t="s">
        <v>162</v>
      </c>
      <c r="K12" s="184"/>
      <c r="L12" s="184"/>
      <c r="M12" s="184"/>
      <c r="N12" s="184"/>
      <c r="O12" s="160"/>
    </row>
    <row r="13" spans="1:27" ht="15.75">
      <c r="A13" s="143"/>
      <c r="B13" s="187" t="s">
        <v>166</v>
      </c>
      <c r="C13" s="189"/>
      <c r="D13" s="189"/>
      <c r="E13" s="189"/>
      <c r="F13" s="189"/>
      <c r="G13" s="189"/>
      <c r="H13" s="162">
        <f>VLOOKUP($D$7,Bang8_10,4)</f>
        <v>4.57</v>
      </c>
      <c r="J13" s="183" t="s">
        <v>167</v>
      </c>
      <c r="K13" s="184"/>
      <c r="L13" s="184"/>
      <c r="M13" s="184"/>
      <c r="N13" s="184"/>
      <c r="O13" s="160"/>
    </row>
    <row r="14" spans="1:27" ht="15.75">
      <c r="A14" s="143"/>
      <c r="B14" s="187" t="s">
        <v>168</v>
      </c>
      <c r="C14" s="189"/>
      <c r="D14" s="189"/>
      <c r="E14" s="189"/>
      <c r="F14" s="189"/>
      <c r="G14" s="189"/>
      <c r="H14" s="162">
        <f>VLOOKUP($D$7,Bang8_10,3)</f>
        <v>274.32</v>
      </c>
      <c r="J14" s="183" t="s">
        <v>167</v>
      </c>
      <c r="K14" s="184"/>
      <c r="L14" s="184"/>
      <c r="M14" s="184"/>
      <c r="N14" s="184"/>
      <c r="O14" s="160"/>
    </row>
    <row r="15" spans="1:27">
      <c r="A15" s="143"/>
      <c r="B15" s="187" t="s">
        <v>169</v>
      </c>
      <c r="C15" s="189"/>
      <c r="D15" s="189"/>
      <c r="E15" s="189"/>
      <c r="F15" s="189"/>
      <c r="G15" s="189"/>
      <c r="H15" s="162">
        <f>VLOOKUP($D$7,Bang8_10,5)</f>
        <v>9.5</v>
      </c>
      <c r="J15" s="183" t="s">
        <v>167</v>
      </c>
      <c r="K15" s="184"/>
      <c r="L15" s="184"/>
      <c r="M15" s="184"/>
      <c r="N15" s="184"/>
      <c r="O15" s="160"/>
    </row>
    <row r="16" spans="1:27" ht="15.75">
      <c r="A16" s="143"/>
      <c r="B16" s="187" t="s">
        <v>170</v>
      </c>
      <c r="C16" s="189"/>
      <c r="D16" s="189"/>
      <c r="E16" s="189"/>
      <c r="F16" s="189"/>
      <c r="G16" s="189"/>
      <c r="H16" s="162">
        <f>VLOOKUP(D7,Bang8_10,6)</f>
        <v>1.97</v>
      </c>
      <c r="J16" s="183" t="s">
        <v>167</v>
      </c>
      <c r="K16" s="184"/>
      <c r="L16" s="184"/>
      <c r="M16" s="184"/>
      <c r="N16" s="184"/>
      <c r="O16" s="160"/>
    </row>
    <row r="17" spans="1:15" ht="15.75">
      <c r="A17" s="143"/>
      <c r="B17" s="187" t="s">
        <v>171</v>
      </c>
      <c r="C17" s="189"/>
      <c r="D17" s="189"/>
      <c r="E17" s="189"/>
      <c r="F17" s="189"/>
      <c r="G17" s="189"/>
      <c r="H17" s="162">
        <f>VLOOKUP(D7,Bang8_10,7)</f>
        <v>0.2</v>
      </c>
      <c r="J17" s="183" t="s">
        <v>172</v>
      </c>
      <c r="K17" s="184"/>
      <c r="L17" s="184"/>
      <c r="M17" s="184"/>
      <c r="N17" s="184"/>
      <c r="O17" s="160"/>
    </row>
    <row r="18" spans="1:15">
      <c r="A18" s="143"/>
      <c r="B18" s="187" t="s">
        <v>173</v>
      </c>
      <c r="C18" s="189"/>
      <c r="D18" s="189"/>
      <c r="E18" s="189"/>
      <c r="F18" s="189"/>
      <c r="G18" s="189"/>
      <c r="H18" s="162">
        <f>VLOOKUP(D7,Bang8_10,8)</f>
        <v>152.4</v>
      </c>
      <c r="J18" s="183" t="s">
        <v>172</v>
      </c>
      <c r="K18" s="184"/>
      <c r="L18" s="184"/>
      <c r="M18" s="184"/>
      <c r="N18" s="184"/>
      <c r="O18" s="160"/>
    </row>
    <row r="19" spans="1:15">
      <c r="A19" s="143"/>
      <c r="B19" s="187" t="s">
        <v>174</v>
      </c>
      <c r="C19" s="189"/>
      <c r="D19" s="189"/>
      <c r="E19" s="189"/>
      <c r="F19" s="189"/>
      <c r="G19" s="189"/>
      <c r="H19" s="162">
        <f>VLOOKUP(D7,Bang8_10,9)</f>
        <v>0.2</v>
      </c>
      <c r="J19" s="183" t="s">
        <v>172</v>
      </c>
      <c r="K19" s="184"/>
      <c r="L19" s="184"/>
      <c r="M19" s="184"/>
      <c r="N19" s="184"/>
      <c r="O19" s="160"/>
    </row>
    <row r="20" spans="1:15">
      <c r="A20" s="143"/>
      <c r="B20" s="187" t="s">
        <v>175</v>
      </c>
      <c r="C20" s="189"/>
      <c r="D20" s="189"/>
      <c r="E20" s="189"/>
      <c r="F20" s="189"/>
      <c r="G20" s="189"/>
      <c r="H20" s="162">
        <f>VLOOKUP(D7,Bang8_10,10)</f>
        <v>0.65</v>
      </c>
      <c r="J20" s="183" t="s">
        <v>172</v>
      </c>
      <c r="K20" s="184"/>
      <c r="L20" s="184"/>
      <c r="M20" s="184"/>
      <c r="N20" s="184"/>
      <c r="O20" s="160"/>
    </row>
    <row r="21" spans="1:15">
      <c r="A21" s="143"/>
      <c r="B21" s="187" t="s">
        <v>176</v>
      </c>
      <c r="C21" s="189"/>
      <c r="D21" s="189"/>
      <c r="E21" s="189"/>
      <c r="F21" s="189"/>
      <c r="G21" s="189"/>
      <c r="H21" s="162">
        <f>VLOOKUP(D7,Bang8_10,11)</f>
        <v>0.15384615384615385</v>
      </c>
      <c r="J21" s="183" t="s">
        <v>172</v>
      </c>
      <c r="K21" s="184"/>
      <c r="L21" s="184"/>
      <c r="M21" s="184"/>
      <c r="N21" s="184"/>
      <c r="O21" s="160"/>
    </row>
    <row r="22" spans="1:15" ht="15.75">
      <c r="A22" s="143"/>
      <c r="B22" s="187" t="s">
        <v>177</v>
      </c>
      <c r="C22" s="189"/>
      <c r="D22" s="189"/>
      <c r="E22" s="189"/>
      <c r="F22" s="189"/>
      <c r="G22" s="189"/>
      <c r="H22" s="162">
        <f>$H$17*(10/(0.6*$E$5))^(1/6)</f>
        <v>0.20714883373025728</v>
      </c>
      <c r="J22" s="183" t="s">
        <v>178</v>
      </c>
      <c r="K22" s="184"/>
      <c r="L22" s="184"/>
      <c r="M22" s="184"/>
      <c r="N22" s="184"/>
      <c r="O22" s="160"/>
    </row>
    <row r="23" spans="1:15" ht="15.75">
      <c r="A23" s="143"/>
      <c r="B23" s="187" t="s">
        <v>179</v>
      </c>
      <c r="C23" s="189"/>
      <c r="D23" s="189"/>
      <c r="E23" s="189"/>
      <c r="F23" s="189"/>
      <c r="G23" s="189"/>
      <c r="H23" s="162">
        <f>H18*(0.6*E5/10)^H19</f>
        <v>146.11068296436144</v>
      </c>
      <c r="J23" s="183" t="s">
        <v>180</v>
      </c>
      <c r="K23" s="184"/>
      <c r="L23" s="184"/>
      <c r="M23" s="184"/>
      <c r="N23" s="184"/>
      <c r="O23" s="160"/>
    </row>
    <row r="24" spans="1:15">
      <c r="A24" s="143"/>
      <c r="B24" s="187" t="s">
        <v>181</v>
      </c>
      <c r="C24" s="189"/>
      <c r="D24" s="189"/>
      <c r="E24" s="189"/>
      <c r="F24" s="189"/>
      <c r="G24" s="189"/>
      <c r="H24" s="162">
        <f>IF(H8="Kết cấu BT và BTCT",0.02,IF(H8="Kết cấu thép",0.01,0.015))</f>
        <v>0.01</v>
      </c>
      <c r="J24" s="183" t="s">
        <v>182</v>
      </c>
      <c r="K24" s="184"/>
      <c r="L24" s="184"/>
      <c r="M24" s="184"/>
      <c r="N24" s="184"/>
      <c r="O24" s="160"/>
    </row>
    <row r="25" spans="1:15" ht="15.75">
      <c r="A25" s="143"/>
      <c r="B25" s="187" t="s">
        <v>183</v>
      </c>
      <c r="C25" s="189"/>
      <c r="D25" s="189"/>
      <c r="E25" s="189"/>
      <c r="F25" s="189"/>
      <c r="G25" s="189"/>
      <c r="H25" s="162">
        <f>H12*H20*(0.6*E5/10)^H21</f>
        <v>27.68769519252514</v>
      </c>
      <c r="J25" s="183" t="s">
        <v>184</v>
      </c>
      <c r="K25" s="184"/>
      <c r="L25" s="184"/>
      <c r="M25" s="184"/>
      <c r="N25" s="184"/>
      <c r="O25" s="160"/>
    </row>
    <row r="26" spans="1:15">
      <c r="A26" s="143"/>
      <c r="M26" s="151"/>
      <c r="N26" s="164"/>
      <c r="O26" s="165"/>
    </row>
    <row r="27" spans="1:15">
      <c r="A27" s="143"/>
      <c r="B27" s="190" t="s">
        <v>185</v>
      </c>
      <c r="C27" s="190"/>
      <c r="D27" s="190"/>
      <c r="E27" s="190"/>
      <c r="F27" s="190"/>
      <c r="G27" s="190" t="s">
        <v>186</v>
      </c>
      <c r="H27" s="190"/>
      <c r="I27" s="190"/>
      <c r="J27" s="190"/>
      <c r="K27" s="190"/>
      <c r="L27" s="190"/>
      <c r="M27" s="183" t="s">
        <v>187</v>
      </c>
      <c r="N27" s="184"/>
      <c r="O27" s="160"/>
    </row>
    <row r="28" spans="1:15">
      <c r="A28" s="143"/>
      <c r="B28" s="187" t="str">
        <f>"Chu kỳ dao động (s)"</f>
        <v>Chu kỳ dao động (s)</v>
      </c>
      <c r="C28" s="187"/>
      <c r="D28" s="187"/>
      <c r="E28" s="167">
        <v>1.45</v>
      </c>
      <c r="F28" s="166"/>
      <c r="G28" s="183" t="s">
        <v>188</v>
      </c>
      <c r="H28" s="183"/>
      <c r="I28" s="183"/>
      <c r="J28" s="183"/>
      <c r="K28" s="167">
        <v>1.5</v>
      </c>
      <c r="L28" s="166"/>
      <c r="M28" s="151"/>
      <c r="N28" s="152"/>
      <c r="O28" s="160"/>
    </row>
    <row r="29" spans="1:15">
      <c r="A29" s="143"/>
      <c r="B29" s="187" t="s">
        <v>189</v>
      </c>
      <c r="C29" s="187"/>
      <c r="D29" s="187"/>
      <c r="E29" s="168">
        <v>50</v>
      </c>
      <c r="F29" s="166"/>
      <c r="G29" s="183" t="s">
        <v>189</v>
      </c>
      <c r="H29" s="183"/>
      <c r="I29" s="183"/>
      <c r="J29" s="183"/>
      <c r="K29" s="169">
        <f>E30</f>
        <v>100</v>
      </c>
      <c r="L29" s="166"/>
      <c r="M29" s="151"/>
      <c r="N29" s="152"/>
      <c r="O29" s="160"/>
    </row>
    <row r="30" spans="1:15">
      <c r="A30" s="143"/>
      <c r="B30" s="187" t="s">
        <v>190</v>
      </c>
      <c r="C30" s="189"/>
      <c r="D30" s="189"/>
      <c r="E30" s="168">
        <v>100</v>
      </c>
      <c r="F30" s="166"/>
      <c r="G30" s="183" t="s">
        <v>190</v>
      </c>
      <c r="H30" s="184"/>
      <c r="I30" s="184"/>
      <c r="J30" s="184"/>
      <c r="K30" s="169">
        <f>E29</f>
        <v>50</v>
      </c>
      <c r="L30" s="166"/>
      <c r="M30" s="151"/>
      <c r="N30" s="152"/>
      <c r="O30" s="160"/>
    </row>
    <row r="31" spans="1:15">
      <c r="A31" s="143"/>
      <c r="B31" s="149"/>
      <c r="C31" s="158"/>
      <c r="D31" s="158"/>
      <c r="E31" s="168"/>
      <c r="F31" s="166"/>
      <c r="G31" s="151"/>
      <c r="H31" s="152"/>
      <c r="I31" s="152"/>
      <c r="J31" s="152"/>
      <c r="K31" s="169"/>
      <c r="L31" s="166"/>
      <c r="M31" s="151"/>
      <c r="N31" s="152"/>
      <c r="O31" s="160"/>
    </row>
    <row r="32" spans="1:15">
      <c r="A32" s="143"/>
      <c r="B32" s="188" t="s">
        <v>191</v>
      </c>
      <c r="C32" s="188"/>
      <c r="D32" s="152"/>
      <c r="E32" s="168"/>
      <c r="F32" s="166"/>
      <c r="G32" s="151"/>
      <c r="H32" s="152"/>
      <c r="I32" s="152"/>
      <c r="J32" s="152"/>
      <c r="K32" s="169"/>
      <c r="L32" s="166"/>
      <c r="M32" s="151"/>
      <c r="N32" s="152"/>
      <c r="O32" s="160"/>
    </row>
    <row r="33" spans="1:22" ht="15.75">
      <c r="A33" s="166"/>
      <c r="B33" s="187" t="s">
        <v>192</v>
      </c>
      <c r="C33" s="189"/>
      <c r="D33" s="189"/>
      <c r="E33" s="170">
        <f>IF($E$28&lt;=1,0.85,0.925*((1+1.7*H22*SQRT(3.4^2*E37^2+E36^2*E38^2))/(1+1.7*H22*3.4)))</f>
        <v>0.9438934308721264</v>
      </c>
      <c r="G33" s="183" t="s">
        <v>192</v>
      </c>
      <c r="H33" s="184"/>
      <c r="I33" s="184"/>
      <c r="J33" s="184"/>
      <c r="K33" s="170">
        <f>IF($K$28&lt;=1,0.85,0.925*((1+1.7*H22*SQRT(3.4^2*K37^2+K36^2*K38^2))/(1+1.7*H22*3.4)))</f>
        <v>0.88580526599160792</v>
      </c>
      <c r="M33" s="183" t="s">
        <v>193</v>
      </c>
      <c r="N33" s="184"/>
      <c r="O33" s="160"/>
    </row>
    <row r="34" spans="1:22">
      <c r="A34" s="166"/>
      <c r="B34" s="149"/>
      <c r="C34" s="158"/>
      <c r="D34" s="158"/>
      <c r="E34" s="158"/>
      <c r="G34" s="151"/>
      <c r="H34" s="152"/>
      <c r="I34" s="152"/>
      <c r="J34" s="152"/>
      <c r="K34" s="158"/>
      <c r="M34" s="151"/>
      <c r="N34" s="152"/>
      <c r="O34" s="160"/>
    </row>
    <row r="35" spans="1:22">
      <c r="A35" s="166"/>
      <c r="B35" s="188" t="s">
        <v>194</v>
      </c>
      <c r="C35" s="188"/>
      <c r="D35" s="152"/>
      <c r="E35" s="151"/>
      <c r="G35" s="151"/>
      <c r="H35" s="152"/>
      <c r="I35" s="152"/>
      <c r="J35" s="152"/>
      <c r="K35" s="151"/>
      <c r="M35" s="151"/>
      <c r="N35" s="152"/>
      <c r="O35" s="160"/>
    </row>
    <row r="36" spans="1:22">
      <c r="A36" s="166"/>
      <c r="B36" s="187" t="s">
        <v>195</v>
      </c>
      <c r="C36" s="187"/>
      <c r="D36" s="187"/>
      <c r="E36" s="162">
        <f>SQRT(2*LN(3600/$E$28))+0.577/SQRT(2*LN(3600/$E$28))</f>
        <v>4.0999446318121446</v>
      </c>
      <c r="F36" s="166"/>
      <c r="G36" s="183" t="s">
        <v>195</v>
      </c>
      <c r="H36" s="183"/>
      <c r="I36" s="183"/>
      <c r="J36" s="183"/>
      <c r="K36" s="169">
        <f>SQRT(2*LN(3600/$K$28))+0.577/SQRT(2*LN(3600/$K$28))</f>
        <v>4.0916788284258532</v>
      </c>
      <c r="L36" s="166"/>
      <c r="M36" s="183" t="s">
        <v>196</v>
      </c>
      <c r="N36" s="183"/>
      <c r="O36" s="171"/>
    </row>
    <row r="37" spans="1:22">
      <c r="A37" s="166"/>
      <c r="B37" s="187" t="s">
        <v>197</v>
      </c>
      <c r="C37" s="189"/>
      <c r="D37" s="189"/>
      <c r="E37" s="162">
        <f>SQRT(1/(1+0.63*((E5+E29)/H23)^0.63))</f>
        <v>0.85352262757816644</v>
      </c>
      <c r="G37" s="183" t="s">
        <v>198</v>
      </c>
      <c r="H37" s="184"/>
      <c r="I37" s="184"/>
      <c r="J37" s="184"/>
      <c r="K37" s="162">
        <f>SQRT(1/(1+0.63*((E5+K29)/H23)^0.63))</f>
        <v>0.8065233328361785</v>
      </c>
      <c r="M37" s="183" t="s">
        <v>199</v>
      </c>
      <c r="N37" s="184"/>
      <c r="O37" s="160"/>
    </row>
    <row r="38" spans="1:22">
      <c r="A38" s="166"/>
      <c r="B38" s="187" t="s">
        <v>200</v>
      </c>
      <c r="C38" s="187"/>
      <c r="D38" s="187"/>
      <c r="E38" s="162">
        <f>SQRT(E39*E44*E45*(0.53+0.47*E46)/H24)</f>
        <v>0.48911554289282133</v>
      </c>
      <c r="F38" s="166"/>
      <c r="G38" s="183" t="s">
        <v>200</v>
      </c>
      <c r="H38" s="183"/>
      <c r="I38" s="183"/>
      <c r="J38" s="184"/>
      <c r="K38" s="169">
        <f>SQRT(K39*K44*K45*(0.53+0.47*K46)/H24)</f>
        <v>0.37165376209058926</v>
      </c>
      <c r="L38" s="166"/>
      <c r="M38" s="183" t="s">
        <v>201</v>
      </c>
      <c r="N38" s="183"/>
      <c r="O38" s="171"/>
    </row>
    <row r="39" spans="1:22" ht="16.5">
      <c r="A39" s="166"/>
      <c r="B39" s="187" t="s">
        <v>202</v>
      </c>
      <c r="C39" s="187"/>
      <c r="D39" s="187"/>
      <c r="E39" s="162">
        <f>7.47*E40/(1+10.3*E40)^(5/3)</f>
        <v>6.1970374863139013E-2</v>
      </c>
      <c r="F39" s="166"/>
      <c r="G39" s="183" t="s">
        <v>202</v>
      </c>
      <c r="H39" s="183"/>
      <c r="I39" s="183"/>
      <c r="J39" s="184"/>
      <c r="K39" s="169">
        <f>7.47*K40/(1+10.3*K40)^(5/3)</f>
        <v>6.3292372875814254E-2</v>
      </c>
      <c r="L39" s="166"/>
      <c r="M39" s="183" t="s">
        <v>203</v>
      </c>
      <c r="N39" s="183"/>
      <c r="O39" s="171"/>
      <c r="T39" s="172"/>
      <c r="U39" s="172"/>
      <c r="V39" s="172"/>
    </row>
    <row r="40" spans="1:22" ht="16.5">
      <c r="A40" s="166"/>
      <c r="B40" s="149" t="s">
        <v>204</v>
      </c>
      <c r="C40" s="151"/>
      <c r="D40" s="151"/>
      <c r="E40" s="162">
        <f>H23/E28/H25</f>
        <v>3.6393779818295457</v>
      </c>
      <c r="F40" s="166"/>
      <c r="G40" s="183" t="s">
        <v>204</v>
      </c>
      <c r="H40" s="184"/>
      <c r="I40" s="184"/>
      <c r="J40" s="184"/>
      <c r="K40" s="169">
        <f>H23/K28/H25</f>
        <v>3.518065382435227</v>
      </c>
      <c r="L40" s="166"/>
      <c r="M40" s="183" t="s">
        <v>205</v>
      </c>
      <c r="N40" s="183"/>
      <c r="O40" s="171"/>
      <c r="T40" s="172"/>
      <c r="U40" s="172"/>
      <c r="V40" s="172"/>
    </row>
    <row r="41" spans="1:22" ht="16.5">
      <c r="A41" s="166"/>
      <c r="B41" s="149" t="s">
        <v>206</v>
      </c>
      <c r="C41" s="151"/>
      <c r="D41" s="151"/>
      <c r="E41" s="162">
        <f>4.6*E5/E28/H25</f>
        <v>1.5468093645605696</v>
      </c>
      <c r="F41" s="166"/>
      <c r="G41" s="183" t="s">
        <v>206</v>
      </c>
      <c r="H41" s="184"/>
      <c r="I41" s="184"/>
      <c r="J41" s="184"/>
      <c r="K41" s="169">
        <f>4.6*E5/K28/H25</f>
        <v>1.4952490524085507</v>
      </c>
      <c r="L41" s="166"/>
      <c r="M41" s="183" t="s">
        <v>207</v>
      </c>
      <c r="N41" s="183"/>
      <c r="O41" s="171"/>
      <c r="T41" s="172"/>
      <c r="U41" s="172"/>
      <c r="V41" s="172"/>
    </row>
    <row r="42" spans="1:22" ht="16.5">
      <c r="A42" s="166"/>
      <c r="B42" s="149" t="s">
        <v>208</v>
      </c>
      <c r="C42" s="151"/>
      <c r="D42" s="151"/>
      <c r="E42" s="162">
        <f>4.6*E29/E28/H25</f>
        <v>5.7289235724465541</v>
      </c>
      <c r="F42" s="166"/>
      <c r="G42" s="183" t="s">
        <v>208</v>
      </c>
      <c r="H42" s="184"/>
      <c r="I42" s="184"/>
      <c r="J42" s="184"/>
      <c r="K42" s="169">
        <f>4.6*K29/K28/H25</f>
        <v>11.075918906730003</v>
      </c>
      <c r="L42" s="166"/>
      <c r="M42" s="183" t="s">
        <v>207</v>
      </c>
      <c r="N42" s="183"/>
      <c r="O42" s="171"/>
      <c r="T42" s="172"/>
      <c r="U42" s="172"/>
      <c r="V42" s="172"/>
    </row>
    <row r="43" spans="1:22" ht="15.75">
      <c r="A43" s="166"/>
      <c r="B43" s="149" t="s">
        <v>209</v>
      </c>
      <c r="C43" s="151"/>
      <c r="D43" s="151"/>
      <c r="E43" s="162">
        <f>15.4*E30/E28/H25</f>
        <v>38.358879572033452</v>
      </c>
      <c r="F43" s="166"/>
      <c r="G43" s="183" t="s">
        <v>209</v>
      </c>
      <c r="H43" s="184"/>
      <c r="I43" s="184"/>
      <c r="J43" s="184"/>
      <c r="K43" s="169">
        <f>15.4*K30/K28/H25</f>
        <v>18.540125126482835</v>
      </c>
      <c r="L43" s="166"/>
      <c r="M43" s="183" t="s">
        <v>207</v>
      </c>
      <c r="N43" s="183"/>
      <c r="O43" s="171"/>
    </row>
    <row r="44" spans="1:22">
      <c r="A44" s="166"/>
      <c r="B44" s="149" t="s">
        <v>210</v>
      </c>
      <c r="C44" s="151"/>
      <c r="D44" s="151"/>
      <c r="E44" s="162">
        <f>IF(E41=0,1,(1/E41-(1-EXP(-2*E41))/(2*E41^2)))</f>
        <v>0.44699054338583177</v>
      </c>
      <c r="F44" s="166"/>
      <c r="G44" s="183" t="s">
        <v>210</v>
      </c>
      <c r="H44" s="184"/>
      <c r="I44" s="184"/>
      <c r="J44" s="184"/>
      <c r="K44" s="169">
        <f>IF(K41=0,1,(1/K41-(1-EXP(-2*K41))/(2*K41^2)))</f>
        <v>0.45638879378781028</v>
      </c>
      <c r="L44" s="166"/>
      <c r="M44" s="183" t="s">
        <v>207</v>
      </c>
      <c r="N44" s="183"/>
      <c r="O44" s="171"/>
    </row>
    <row r="45" spans="1:22">
      <c r="A45" s="166"/>
      <c r="B45" s="149" t="s">
        <v>211</v>
      </c>
      <c r="C45" s="151"/>
      <c r="D45" s="151"/>
      <c r="E45" s="162">
        <f>IF(E42=0,1,(1/E42-(1-EXP(-2*E42))/(2*E42^2)))</f>
        <v>0.15931867132505645</v>
      </c>
      <c r="F45" s="166"/>
      <c r="G45" s="183" t="s">
        <v>211</v>
      </c>
      <c r="H45" s="184"/>
      <c r="I45" s="184"/>
      <c r="J45" s="184"/>
      <c r="K45" s="169">
        <f>IF(K42=0,1,(1/K42-(1-EXP(-2*K42))/(2*K42^2)))</f>
        <v>8.6210185065409173E-2</v>
      </c>
      <c r="L45" s="166"/>
      <c r="M45" s="183" t="s">
        <v>207</v>
      </c>
      <c r="N45" s="183"/>
      <c r="O45" s="171"/>
    </row>
    <row r="46" spans="1:22">
      <c r="A46" s="166"/>
      <c r="B46" s="149" t="s">
        <v>212</v>
      </c>
      <c r="C46" s="151"/>
      <c r="D46" s="151"/>
      <c r="E46" s="162">
        <f>IF(E43=0,1,(1/E43-(1-EXP(-2*E43))/(2*E43^2)))</f>
        <v>2.5729771553381429E-2</v>
      </c>
      <c r="F46" s="166"/>
      <c r="G46" s="183" t="s">
        <v>212</v>
      </c>
      <c r="H46" s="184"/>
      <c r="I46" s="184"/>
      <c r="J46" s="184"/>
      <c r="K46" s="169">
        <f>IF(K43=0,1,(1/K43-(1-EXP(-2*K43))/(2*K43^2)))</f>
        <v>5.2482464874613062E-2</v>
      </c>
      <c r="L46" s="166"/>
      <c r="M46" s="183" t="s">
        <v>207</v>
      </c>
      <c r="N46" s="183"/>
      <c r="O46" s="171"/>
    </row>
    <row r="47" spans="1:22">
      <c r="A47" s="143"/>
      <c r="M47" s="173"/>
    </row>
    <row r="48" spans="1:22">
      <c r="M48" s="173"/>
    </row>
    <row r="49" spans="2:13">
      <c r="M49" s="173"/>
    </row>
    <row r="50" spans="2:13">
      <c r="B50" s="185" t="s">
        <v>213</v>
      </c>
      <c r="C50" s="185"/>
      <c r="D50" s="185"/>
      <c r="E50" s="185"/>
      <c r="F50" s="185"/>
      <c r="G50" s="185"/>
      <c r="H50" s="185" t="s">
        <v>214</v>
      </c>
      <c r="I50" s="186"/>
      <c r="J50" s="186"/>
      <c r="K50" s="186"/>
      <c r="L50" s="186"/>
      <c r="M50" s="173"/>
    </row>
    <row r="51" spans="2:13" ht="18.75">
      <c r="B51" s="174" t="s">
        <v>215</v>
      </c>
      <c r="C51" s="174" t="s">
        <v>216</v>
      </c>
      <c r="D51" s="174" t="s">
        <v>217</v>
      </c>
      <c r="E51" s="175" t="s">
        <v>218</v>
      </c>
      <c r="F51" s="174" t="s">
        <v>219</v>
      </c>
      <c r="G51" s="174" t="s">
        <v>220</v>
      </c>
      <c r="H51" s="176" t="s">
        <v>221</v>
      </c>
      <c r="I51" s="174" t="s">
        <v>222</v>
      </c>
      <c r="J51" s="177"/>
      <c r="K51" s="177"/>
      <c r="L51" s="177"/>
      <c r="M51" s="173"/>
    </row>
    <row r="52" spans="2:13" ht="14.25">
      <c r="B52" s="178" t="s">
        <v>15</v>
      </c>
      <c r="C52" s="179" t="s">
        <v>223</v>
      </c>
      <c r="D52" s="178">
        <v>213.36</v>
      </c>
      <c r="E52" s="178">
        <v>2.13</v>
      </c>
      <c r="F52" s="178">
        <v>11.5</v>
      </c>
      <c r="G52" s="178">
        <v>1.99</v>
      </c>
      <c r="H52" s="178">
        <v>0.15</v>
      </c>
      <c r="I52" s="178">
        <v>198.12</v>
      </c>
      <c r="J52" s="180">
        <f>1/8</f>
        <v>0.125</v>
      </c>
      <c r="K52" s="178">
        <v>0.8</v>
      </c>
      <c r="L52" s="180">
        <f>1/9</f>
        <v>0.1111111111111111</v>
      </c>
      <c r="M52" s="173"/>
    </row>
    <row r="53" spans="2:13" ht="14.25">
      <c r="B53" s="178" t="s">
        <v>1</v>
      </c>
      <c r="C53" s="179" t="s">
        <v>224</v>
      </c>
      <c r="D53" s="178">
        <v>274.32</v>
      </c>
      <c r="E53" s="178">
        <v>4.57</v>
      </c>
      <c r="F53" s="178">
        <v>9.5</v>
      </c>
      <c r="G53" s="178">
        <v>1.97</v>
      </c>
      <c r="H53" s="178">
        <v>0.2</v>
      </c>
      <c r="I53" s="178">
        <v>152.4</v>
      </c>
      <c r="J53" s="180">
        <f>1/5</f>
        <v>0.2</v>
      </c>
      <c r="K53" s="178">
        <v>0.65</v>
      </c>
      <c r="L53" s="180">
        <f>1/6.5</f>
        <v>0.15384615384615385</v>
      </c>
    </row>
    <row r="54" spans="2:13" ht="14.25">
      <c r="B54" s="178" t="s">
        <v>0</v>
      </c>
      <c r="C54" s="179" t="s">
        <v>225</v>
      </c>
      <c r="D54" s="178">
        <v>365.76</v>
      </c>
      <c r="E54" s="178">
        <v>9.14</v>
      </c>
      <c r="F54" s="178">
        <v>7</v>
      </c>
      <c r="G54" s="178">
        <v>1.98</v>
      </c>
      <c r="H54" s="178">
        <v>0.3</v>
      </c>
      <c r="I54" s="178">
        <v>97.54</v>
      </c>
      <c r="J54" s="180">
        <f>1/3</f>
        <v>0.33333333333333331</v>
      </c>
      <c r="K54" s="178">
        <v>0.45</v>
      </c>
      <c r="L54" s="180">
        <f>1/4</f>
        <v>0.25</v>
      </c>
    </row>
    <row r="55" spans="2:13">
      <c r="B55" s="181"/>
      <c r="C55" s="181"/>
      <c r="D55" s="181"/>
      <c r="E55" s="181"/>
      <c r="F55" s="181"/>
      <c r="G55" s="181"/>
      <c r="H55" s="181"/>
      <c r="I55" s="181"/>
      <c r="J55" s="181"/>
      <c r="K55" s="181"/>
      <c r="L55" s="181"/>
    </row>
    <row r="56" spans="2:13">
      <c r="B56" s="181"/>
      <c r="C56" s="181"/>
      <c r="D56" s="181"/>
      <c r="E56" s="181"/>
      <c r="F56" s="181"/>
      <c r="G56" s="181"/>
      <c r="H56" s="181"/>
      <c r="I56" s="181"/>
      <c r="J56" s="181"/>
      <c r="K56" s="181"/>
      <c r="L56" s="181"/>
    </row>
    <row r="57" spans="2:13" ht="15">
      <c r="B57" s="181"/>
      <c r="C57" s="181"/>
      <c r="D57" s="181"/>
      <c r="E57" s="181"/>
      <c r="F57" s="182" t="s">
        <v>5</v>
      </c>
      <c r="G57" s="182">
        <v>0.65</v>
      </c>
      <c r="H57" s="182">
        <v>36</v>
      </c>
      <c r="I57" s="181"/>
      <c r="J57" s="181"/>
      <c r="K57" s="181"/>
      <c r="L57" s="181"/>
    </row>
    <row r="58" spans="2:13" ht="15">
      <c r="B58" s="181"/>
      <c r="C58" s="181"/>
      <c r="D58" s="181"/>
      <c r="E58" s="181"/>
      <c r="F58" s="182" t="s">
        <v>2</v>
      </c>
      <c r="G58" s="182">
        <v>0.95</v>
      </c>
      <c r="H58" s="182">
        <v>44</v>
      </c>
      <c r="I58" s="181"/>
      <c r="J58" s="181"/>
      <c r="K58" s="181"/>
      <c r="L58" s="181"/>
    </row>
    <row r="59" spans="2:13" ht="15">
      <c r="B59" s="181"/>
      <c r="C59" s="181"/>
      <c r="D59" s="181"/>
      <c r="E59" s="181"/>
      <c r="F59" s="182" t="s">
        <v>3</v>
      </c>
      <c r="G59" s="182">
        <v>1.25</v>
      </c>
      <c r="H59" s="182">
        <v>50</v>
      </c>
      <c r="I59" s="181"/>
      <c r="J59" s="181"/>
      <c r="K59" s="181"/>
      <c r="L59" s="181"/>
    </row>
    <row r="60" spans="2:13" ht="15">
      <c r="B60" s="181"/>
      <c r="C60" s="181"/>
      <c r="D60" s="181"/>
      <c r="E60" s="181"/>
      <c r="F60" s="182" t="s">
        <v>4</v>
      </c>
      <c r="G60" s="182">
        <v>1.55</v>
      </c>
      <c r="H60" s="182">
        <v>56</v>
      </c>
      <c r="I60" s="181"/>
      <c r="J60" s="181"/>
      <c r="K60" s="181"/>
      <c r="L60" s="181"/>
    </row>
    <row r="61" spans="2:13" ht="15">
      <c r="B61" s="181"/>
      <c r="C61" s="181"/>
      <c r="D61" s="181"/>
      <c r="E61" s="181"/>
      <c r="F61" s="182" t="s">
        <v>11</v>
      </c>
      <c r="G61" s="182">
        <v>1.85</v>
      </c>
      <c r="H61" s="182">
        <v>61</v>
      </c>
      <c r="I61" s="181"/>
      <c r="J61" s="181"/>
      <c r="K61" s="181"/>
      <c r="L61" s="181"/>
    </row>
  </sheetData>
  <dataConsolidate/>
  <mergeCells count="86">
    <mergeCell ref="B7:C7"/>
    <mergeCell ref="E7:N7"/>
    <mergeCell ref="B2:N2"/>
    <mergeCell ref="B4:C4"/>
    <mergeCell ref="B5:D5"/>
    <mergeCell ref="F5:I5"/>
    <mergeCell ref="B6:C6"/>
    <mergeCell ref="B8:G8"/>
    <mergeCell ref="H8:J8"/>
    <mergeCell ref="B9:G9"/>
    <mergeCell ref="J9:N9"/>
    <mergeCell ref="R9:AA10"/>
    <mergeCell ref="B10:G10"/>
    <mergeCell ref="J10:N10"/>
    <mergeCell ref="B11:G11"/>
    <mergeCell ref="J11:N11"/>
    <mergeCell ref="B12:G12"/>
    <mergeCell ref="J12:N12"/>
    <mergeCell ref="B13:G13"/>
    <mergeCell ref="J13:N13"/>
    <mergeCell ref="B14:G14"/>
    <mergeCell ref="J14:N14"/>
    <mergeCell ref="B15:G15"/>
    <mergeCell ref="J15:N15"/>
    <mergeCell ref="B16:G16"/>
    <mergeCell ref="J16:N16"/>
    <mergeCell ref="B17:G17"/>
    <mergeCell ref="J17:N17"/>
    <mergeCell ref="B18:G18"/>
    <mergeCell ref="J18:N18"/>
    <mergeCell ref="B19:G19"/>
    <mergeCell ref="J19:N19"/>
    <mergeCell ref="B20:G20"/>
    <mergeCell ref="J20:N20"/>
    <mergeCell ref="B21:G21"/>
    <mergeCell ref="J21:N21"/>
    <mergeCell ref="B22:G22"/>
    <mergeCell ref="J22:N22"/>
    <mergeCell ref="B23:G23"/>
    <mergeCell ref="J23:N23"/>
    <mergeCell ref="B24:G24"/>
    <mergeCell ref="J24:N24"/>
    <mergeCell ref="B25:G25"/>
    <mergeCell ref="J25:N25"/>
    <mergeCell ref="M33:N33"/>
    <mergeCell ref="B27:F27"/>
    <mergeCell ref="G27:L27"/>
    <mergeCell ref="M27:N27"/>
    <mergeCell ref="B28:D28"/>
    <mergeCell ref="G28:J28"/>
    <mergeCell ref="B29:D29"/>
    <mergeCell ref="G29:J29"/>
    <mergeCell ref="B30:D30"/>
    <mergeCell ref="G30:J30"/>
    <mergeCell ref="B32:C32"/>
    <mergeCell ref="B33:D33"/>
    <mergeCell ref="G33:J33"/>
    <mergeCell ref="B35:C35"/>
    <mergeCell ref="B36:D36"/>
    <mergeCell ref="G36:J36"/>
    <mergeCell ref="M36:N36"/>
    <mergeCell ref="B37:D37"/>
    <mergeCell ref="G37:J37"/>
    <mergeCell ref="M37:N37"/>
    <mergeCell ref="B38:D38"/>
    <mergeCell ref="G38:J38"/>
    <mergeCell ref="M38:N38"/>
    <mergeCell ref="B39:D39"/>
    <mergeCell ref="G39:J39"/>
    <mergeCell ref="M39:N39"/>
    <mergeCell ref="G40:J40"/>
    <mergeCell ref="M40:N40"/>
    <mergeCell ref="G41:J41"/>
    <mergeCell ref="M41:N41"/>
    <mergeCell ref="G42:J42"/>
    <mergeCell ref="M42:N42"/>
    <mergeCell ref="G46:J46"/>
    <mergeCell ref="M46:N46"/>
    <mergeCell ref="B50:G50"/>
    <mergeCell ref="H50:L50"/>
    <mergeCell ref="G43:J43"/>
    <mergeCell ref="M43:N43"/>
    <mergeCell ref="G44:J44"/>
    <mergeCell ref="M44:N44"/>
    <mergeCell ref="G45:J45"/>
    <mergeCell ref="M45:N45"/>
  </mergeCells>
  <dataValidations count="3">
    <dataValidation type="list" allowBlank="1" showInputMessage="1" showErrorMessage="1" sqref="D6" xr:uid="{2F59CF8B-2B19-4F48-BC65-CD8B377E4E47}">
      <formula1>"I,II,III,IV,V"</formula1>
    </dataValidation>
    <dataValidation type="list" allowBlank="1" showInputMessage="1" showErrorMessage="1" sqref="D7" xr:uid="{2490B29C-A3F1-455F-8863-96A700226ED5}">
      <formula1>"A,B,C"</formula1>
    </dataValidation>
    <dataValidation type="list" allowBlank="1" showInputMessage="1" showErrorMessage="1" sqref="H8" xr:uid="{0C147952-DC0E-49F3-BB57-669E891A905E}">
      <formula1>"Kết cấu thép,KC liên hợp thép-BT,Kết cấu BT và BTCT"</formula1>
    </dataValidation>
  </dataValidations>
  <pageMargins left="0.7" right="0.7" top="0.75" bottom="0.75" header="0.3" footer="0.3"/>
  <pageSetup scale="85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38B98-CB22-48A2-973E-B46E1B829F7A}">
  <sheetPr codeName="Sheet1"/>
  <dimension ref="B1:BC180"/>
  <sheetViews>
    <sheetView tabSelected="1" zoomScale="130" zoomScaleNormal="130" workbookViewId="0">
      <selection activeCell="C9" sqref="C9:N9"/>
    </sheetView>
  </sheetViews>
  <sheetFormatPr defaultRowHeight="12.75"/>
  <cols>
    <col min="1" max="1" width="9.140625" style="14"/>
    <col min="2" max="2" width="2" style="15" customWidth="1"/>
    <col min="3" max="3" width="6.140625" style="15" customWidth="1"/>
    <col min="4" max="13" width="4.7109375" style="15" customWidth="1"/>
    <col min="14" max="14" width="5" style="15" customWidth="1"/>
    <col min="15" max="15" width="5.140625" style="15" customWidth="1"/>
    <col min="16" max="27" width="4.7109375" style="15" customWidth="1"/>
    <col min="28" max="28" width="2" style="15" customWidth="1"/>
    <col min="29" max="29" width="9.140625" style="14"/>
    <col min="30" max="30" width="9.140625" style="14" customWidth="1"/>
    <col min="31" max="53" width="9.140625" style="14"/>
    <col min="54" max="55" width="37.140625" style="14" customWidth="1"/>
    <col min="56" max="16384" width="9.140625" style="14"/>
  </cols>
  <sheetData>
    <row r="1" spans="2:55"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</row>
    <row r="2" spans="2:55"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BA2" s="8"/>
      <c r="BB2" s="8" t="s">
        <v>74</v>
      </c>
      <c r="BC2" s="8" t="s">
        <v>75</v>
      </c>
    </row>
    <row r="3" spans="2:55"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BA3" s="64">
        <v>1</v>
      </c>
      <c r="BB3" s="84" t="s">
        <v>6</v>
      </c>
      <c r="BC3" s="84" t="s">
        <v>76</v>
      </c>
    </row>
    <row r="4" spans="2:55"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BA4" s="64">
        <v>2</v>
      </c>
      <c r="BB4" s="84" t="s">
        <v>8</v>
      </c>
      <c r="BC4" s="84" t="s">
        <v>77</v>
      </c>
    </row>
    <row r="5" spans="2:55"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BA5" s="64">
        <v>3</v>
      </c>
      <c r="BB5" s="84" t="s">
        <v>10</v>
      </c>
      <c r="BC5" s="84" t="s">
        <v>78</v>
      </c>
    </row>
    <row r="6" spans="2:55" ht="15">
      <c r="B6" s="112"/>
      <c r="C6" s="17"/>
      <c r="D6" s="17"/>
      <c r="E6" s="17"/>
      <c r="F6" s="17"/>
      <c r="G6" s="17"/>
      <c r="H6" s="17"/>
      <c r="I6" s="85" t="str">
        <f>VLOOKUP(9,BA3:$BC$101,1+MATCH($AC$6,$BB$2:$BC$2,0))</f>
        <v>Tiêu chuẩn thiết kế:</v>
      </c>
      <c r="J6" s="17" t="str">
        <f>VLOOKUP(10,BA3:$BC$101,1+MATCH($AC$6,$BB$2:$BC$2,0))</f>
        <v>TCVN 2737:2023 Tải trọng và tác động - Tiêu chuẩn thiết kế</v>
      </c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13"/>
      <c r="AC6" s="326" t="s">
        <v>75</v>
      </c>
      <c r="AD6" s="14" t="s">
        <v>44</v>
      </c>
      <c r="AE6" s="90" t="s">
        <v>111</v>
      </c>
      <c r="BA6" s="64">
        <v>4</v>
      </c>
      <c r="BB6" s="84" t="s">
        <v>79</v>
      </c>
      <c r="BC6" s="84" t="s">
        <v>80</v>
      </c>
    </row>
    <row r="7" spans="2:55" ht="15.75" thickBot="1">
      <c r="B7" s="103"/>
      <c r="C7" s="114"/>
      <c r="D7" s="114"/>
      <c r="E7" s="114"/>
      <c r="F7" s="114"/>
      <c r="G7" s="114"/>
      <c r="H7" s="114"/>
      <c r="I7" s="109"/>
      <c r="J7" s="114"/>
      <c r="K7" s="114"/>
      <c r="L7" s="114"/>
      <c r="M7" s="114"/>
      <c r="N7" s="114"/>
      <c r="O7" s="114"/>
      <c r="P7" s="114"/>
      <c r="Q7" s="114"/>
      <c r="R7" s="114"/>
      <c r="S7" s="114"/>
      <c r="T7" s="114"/>
      <c r="U7" s="114"/>
      <c r="V7" s="114"/>
      <c r="W7" s="114"/>
      <c r="X7" s="114"/>
      <c r="Y7" s="114"/>
      <c r="Z7" s="114"/>
      <c r="AA7" s="114"/>
      <c r="AB7" s="104"/>
      <c r="AC7" s="326"/>
      <c r="AD7" s="90" t="s">
        <v>36</v>
      </c>
      <c r="AE7" s="90" t="s">
        <v>112</v>
      </c>
      <c r="BA7" s="64"/>
      <c r="BB7" s="84"/>
      <c r="BC7" s="84"/>
    </row>
    <row r="8" spans="2:55" ht="17.25">
      <c r="B8" s="103"/>
      <c r="C8" s="114"/>
      <c r="D8" s="114"/>
      <c r="E8" s="114"/>
      <c r="F8" s="114"/>
      <c r="G8" s="114"/>
      <c r="H8" s="114"/>
      <c r="I8" s="114"/>
      <c r="J8" s="114"/>
      <c r="K8" s="115" t="str">
        <f>VLOOKUP(11,BA3:$BC$101,1+MATCH($AC$6,$BB$2:$BC$2,0))</f>
        <v>Mục F.2.1 Mái bằng khi có góc dốc</v>
      </c>
      <c r="L8" s="204" t="s">
        <v>226</v>
      </c>
      <c r="M8" s="204"/>
      <c r="N8" s="204"/>
      <c r="O8" s="2"/>
      <c r="P8" s="2"/>
      <c r="Q8" s="2"/>
      <c r="R8" s="114"/>
      <c r="S8" s="114"/>
      <c r="T8" s="114"/>
      <c r="U8" s="114"/>
      <c r="V8" s="114"/>
      <c r="W8" s="114"/>
      <c r="X8" s="114"/>
      <c r="Y8" s="114"/>
      <c r="Z8" s="114"/>
      <c r="AA8" s="114"/>
      <c r="AB8" s="104"/>
      <c r="AC8" s="326"/>
      <c r="AD8" s="90" t="s">
        <v>45</v>
      </c>
      <c r="AE8" s="90" t="s">
        <v>113</v>
      </c>
      <c r="AP8" s="263" t="s">
        <v>22</v>
      </c>
      <c r="AQ8" s="264"/>
      <c r="AR8" s="267" t="s">
        <v>29</v>
      </c>
      <c r="AS8" s="268"/>
      <c r="AT8" s="268"/>
      <c r="AU8" s="268"/>
      <c r="BA8" s="64">
        <v>5</v>
      </c>
      <c r="BB8" s="84" t="s">
        <v>7</v>
      </c>
      <c r="BC8" s="84" t="s">
        <v>81</v>
      </c>
    </row>
    <row r="9" spans="2:55" ht="15" customHeight="1" thickBot="1">
      <c r="B9" s="103"/>
      <c r="C9" s="284" t="str">
        <f>VLOOKUP(12,BA3:$BC$101,1+MATCH($AC$6,$BB$2:$BC$2,0))</f>
        <v>KÍCH THƯỚC HÌNH HỌC</v>
      </c>
      <c r="D9" s="222"/>
      <c r="E9" s="222"/>
      <c r="F9" s="222"/>
      <c r="G9" s="222"/>
      <c r="H9" s="222"/>
      <c r="I9" s="222"/>
      <c r="J9" s="222"/>
      <c r="K9" s="222"/>
      <c r="L9" s="222"/>
      <c r="M9" s="222"/>
      <c r="N9" s="285"/>
      <c r="O9" s="114"/>
      <c r="P9" s="117"/>
      <c r="Q9" s="117"/>
      <c r="R9" s="117"/>
      <c r="S9" s="25"/>
      <c r="T9" s="26"/>
      <c r="U9" s="26"/>
      <c r="V9" s="26"/>
      <c r="W9" s="26"/>
      <c r="X9" s="27"/>
      <c r="Y9" s="282" t="str">
        <f>"B = "&amp;M13&amp;" m"</f>
        <v>B = 71.5 m</v>
      </c>
      <c r="Z9" s="117"/>
      <c r="AA9" s="117"/>
      <c r="AB9" s="104"/>
      <c r="AC9" s="326"/>
      <c r="AD9" s="90" t="s">
        <v>46</v>
      </c>
      <c r="AE9" s="90" t="s">
        <v>114</v>
      </c>
      <c r="AP9" s="265"/>
      <c r="AQ9" s="266"/>
      <c r="AR9" s="13" t="s">
        <v>25</v>
      </c>
      <c r="AS9" s="13" t="s">
        <v>26</v>
      </c>
      <c r="AT9" s="13" t="s">
        <v>27</v>
      </c>
      <c r="AU9" s="13" t="s">
        <v>28</v>
      </c>
      <c r="BA9" s="64">
        <v>6</v>
      </c>
      <c r="BB9" s="84" t="s">
        <v>9</v>
      </c>
      <c r="BC9" s="84" t="s">
        <v>82</v>
      </c>
    </row>
    <row r="10" spans="2:55" ht="15.75" thickBot="1">
      <c r="B10" s="103"/>
      <c r="C10" s="318" t="str">
        <f>VLOOKUP(13,BA3:$BC$101,1+MATCH($AC$6,$BB$2:$BC$2,0))</f>
        <v>Kết cấu:</v>
      </c>
      <c r="D10" s="319"/>
      <c r="E10" s="319"/>
      <c r="F10" s="319"/>
      <c r="G10" s="88" t="str">
        <f>VLOOKUP(14,BA3:$BC$101,1+MATCH($AC$6,$BB$2:$BC$2,0))</f>
        <v>Mái bằng</v>
      </c>
      <c r="H10" s="88"/>
      <c r="I10" s="88"/>
      <c r="J10" s="88"/>
      <c r="K10" s="88"/>
      <c r="L10" s="88"/>
      <c r="M10" s="88"/>
      <c r="N10" s="89"/>
      <c r="O10" s="114"/>
      <c r="P10" s="281" t="s">
        <v>54</v>
      </c>
      <c r="Q10" s="281"/>
      <c r="R10" s="118"/>
      <c r="S10" s="28"/>
      <c r="T10" s="118"/>
      <c r="U10" s="118"/>
      <c r="V10" s="118"/>
      <c r="W10" s="118"/>
      <c r="X10" s="29"/>
      <c r="Y10" s="282"/>
      <c r="Z10" s="119"/>
      <c r="AA10" s="119"/>
      <c r="AB10" s="104"/>
      <c r="AP10" s="269" t="s">
        <v>23</v>
      </c>
      <c r="AQ10" s="270"/>
      <c r="AR10" s="12">
        <v>-1.8</v>
      </c>
      <c r="AS10" s="12">
        <v>-1.2</v>
      </c>
      <c r="AT10" s="12">
        <v>-0.7</v>
      </c>
      <c r="AU10" s="12">
        <v>0.2</v>
      </c>
      <c r="BA10" s="64">
        <v>7</v>
      </c>
      <c r="BB10" s="84" t="s">
        <v>83</v>
      </c>
      <c r="BC10" s="84" t="s">
        <v>84</v>
      </c>
    </row>
    <row r="11" spans="2:55" ht="15">
      <c r="B11" s="103"/>
      <c r="C11" s="220" t="str">
        <f>VLOOKUP(15,BA3:$BC$101,1+MATCH($AC$6,$BB$2:$BC$2,0))</f>
        <v>Loại kết cấu:</v>
      </c>
      <c r="D11" s="221"/>
      <c r="E11" s="221"/>
      <c r="F11" s="221"/>
      <c r="G11" s="241" t="s">
        <v>110</v>
      </c>
      <c r="H11" s="241"/>
      <c r="I11" s="241"/>
      <c r="J11" s="322" t="str">
        <f>IF(AC6="VN",VLOOKUP(G11,$AD$23:$AE$24,2,FALSE),"")</f>
        <v>/ Nhà BTCT</v>
      </c>
      <c r="K11" s="322"/>
      <c r="L11" s="322"/>
      <c r="M11" s="322"/>
      <c r="N11" s="323"/>
      <c r="O11" s="114"/>
      <c r="P11" s="281"/>
      <c r="Q11" s="281"/>
      <c r="R11" s="120"/>
      <c r="S11" s="24"/>
      <c r="T11" s="120"/>
      <c r="U11" s="120"/>
      <c r="V11" s="120"/>
      <c r="W11" s="120"/>
      <c r="X11" s="30"/>
      <c r="Y11" s="282"/>
      <c r="Z11" s="121"/>
      <c r="AA11" s="121"/>
      <c r="AB11" s="104"/>
      <c r="AD11" s="31" t="s">
        <v>16</v>
      </c>
      <c r="AE11" s="31" t="s">
        <v>17</v>
      </c>
      <c r="AF11" s="31" t="s">
        <v>18</v>
      </c>
      <c r="AG11" s="32" t="s">
        <v>19</v>
      </c>
      <c r="AH11" s="31" t="s">
        <v>20</v>
      </c>
      <c r="AP11" s="271" t="s">
        <v>24</v>
      </c>
      <c r="AQ11" s="10">
        <v>2.5000000000000001E-2</v>
      </c>
      <c r="AR11" s="11">
        <v>-1.6</v>
      </c>
      <c r="AS11" s="11">
        <v>-1.1000000000000001</v>
      </c>
      <c r="AT11" s="11">
        <v>-0.7</v>
      </c>
      <c r="AU11" s="11">
        <v>0.2</v>
      </c>
      <c r="BA11" s="64">
        <v>8</v>
      </c>
      <c r="BB11" s="84" t="s">
        <v>85</v>
      </c>
      <c r="BC11" s="84" t="s">
        <v>86</v>
      </c>
    </row>
    <row r="12" spans="2:55" ht="15">
      <c r="B12" s="103"/>
      <c r="C12" s="220" t="str">
        <f>VLOOKUP(16,BA3:$BC$101,1+MATCH($AC$6,$BB$2:$BC$2,0))</f>
        <v>Loại mái:</v>
      </c>
      <c r="D12" s="221"/>
      <c r="E12" s="221"/>
      <c r="F12" s="221"/>
      <c r="G12" s="241" t="s">
        <v>36</v>
      </c>
      <c r="H12" s="241"/>
      <c r="I12" s="241"/>
      <c r="J12" s="322" t="str">
        <f>IF(AC6="VN",VLOOKUP(G12,$AD$6:$AE$9,2,FALSE),"")</f>
        <v>/ Có tường chắn mái</v>
      </c>
      <c r="K12" s="322"/>
      <c r="L12" s="322"/>
      <c r="M12" s="322"/>
      <c r="N12" s="323"/>
      <c r="O12" s="114"/>
      <c r="P12" s="120"/>
      <c r="Q12" s="120"/>
      <c r="R12" s="120"/>
      <c r="S12" s="199" t="str">
        <f>"L = "&amp;M14&amp;"m"</f>
        <v>L = 108.5m</v>
      </c>
      <c r="T12" s="200"/>
      <c r="U12" s="200"/>
      <c r="V12" s="200"/>
      <c r="W12" s="200"/>
      <c r="X12" s="201"/>
      <c r="Y12" s="282"/>
      <c r="Z12" s="121"/>
      <c r="AA12" s="121"/>
      <c r="AB12" s="104"/>
      <c r="AD12" s="31" t="s">
        <v>15</v>
      </c>
      <c r="AE12" s="31">
        <v>213.36</v>
      </c>
      <c r="AF12" s="31">
        <v>2.13</v>
      </c>
      <c r="AG12" s="31">
        <v>11.5</v>
      </c>
      <c r="AH12" s="31">
        <v>1.99</v>
      </c>
      <c r="AP12" s="272"/>
      <c r="AQ12" s="9">
        <v>0.05</v>
      </c>
      <c r="AR12" s="7">
        <v>-1.4</v>
      </c>
      <c r="AS12" s="7">
        <v>-0.9</v>
      </c>
      <c r="AT12" s="7">
        <v>-0.7</v>
      </c>
      <c r="AU12" s="7">
        <v>0.2</v>
      </c>
      <c r="BA12" s="64">
        <v>9</v>
      </c>
      <c r="BB12" s="84" t="s">
        <v>87</v>
      </c>
      <c r="BC12" s="84" t="s">
        <v>88</v>
      </c>
    </row>
    <row r="13" spans="2:55" ht="15.75" thickBot="1">
      <c r="B13" s="103"/>
      <c r="C13" s="95"/>
      <c r="D13" s="122"/>
      <c r="E13" s="122"/>
      <c r="F13" s="122"/>
      <c r="G13" s="122"/>
      <c r="H13" s="122"/>
      <c r="I13" s="122"/>
      <c r="J13" s="123" t="str">
        <f>VLOOKUP(17,BA3:$BC$101,1+MATCH($AC$6,$BB$2:$BC$2,0))</f>
        <v>Chiều rộng nhà / mái</v>
      </c>
      <c r="K13" s="242" t="s">
        <v>115</v>
      </c>
      <c r="L13" s="242"/>
      <c r="M13" s="320">
        <v>71.5</v>
      </c>
      <c r="N13" s="321"/>
      <c r="O13" s="114"/>
      <c r="P13" s="114"/>
      <c r="Q13" s="114"/>
      <c r="R13" s="114"/>
      <c r="S13" s="2"/>
      <c r="T13" s="2"/>
      <c r="U13" s="2"/>
      <c r="V13" s="2"/>
      <c r="W13" s="2"/>
      <c r="X13" s="34"/>
      <c r="Y13" s="124"/>
      <c r="Z13" s="114"/>
      <c r="AA13" s="114"/>
      <c r="AB13" s="104"/>
      <c r="AD13" s="31" t="s">
        <v>1</v>
      </c>
      <c r="AE13" s="31">
        <v>274.32</v>
      </c>
      <c r="AF13" s="31">
        <v>4.57</v>
      </c>
      <c r="AG13" s="31">
        <v>9.5</v>
      </c>
      <c r="AH13" s="31">
        <v>1.97</v>
      </c>
      <c r="AP13" s="273"/>
      <c r="AQ13" s="9">
        <v>0.1</v>
      </c>
      <c r="AR13" s="7">
        <v>-1.2</v>
      </c>
      <c r="AS13" s="7">
        <v>-0.8</v>
      </c>
      <c r="AT13" s="7">
        <v>-0.7</v>
      </c>
      <c r="AU13" s="7">
        <v>0.2</v>
      </c>
      <c r="BA13" s="64">
        <v>10</v>
      </c>
      <c r="BB13" s="84" t="s">
        <v>90</v>
      </c>
      <c r="BC13" s="84" t="s">
        <v>89</v>
      </c>
    </row>
    <row r="14" spans="2:55" ht="15">
      <c r="B14" s="103"/>
      <c r="C14" s="91"/>
      <c r="D14" s="122"/>
      <c r="E14" s="122"/>
      <c r="F14" s="122"/>
      <c r="G14" s="122"/>
      <c r="H14" s="122"/>
      <c r="I14" s="122"/>
      <c r="J14" s="123" t="str">
        <f>VLOOKUP(18,BA3:$BC$101,1+MATCH($AC$6,$BB$2:$BC$2,0))</f>
        <v>Chiều dài nhà / mái</v>
      </c>
      <c r="K14" s="242" t="s">
        <v>116</v>
      </c>
      <c r="L14" s="242"/>
      <c r="M14" s="237">
        <v>108.5</v>
      </c>
      <c r="N14" s="238"/>
      <c r="O14" s="114"/>
      <c r="P14" s="117"/>
      <c r="Q14" s="117"/>
      <c r="R14" s="117"/>
      <c r="S14" s="117"/>
      <c r="T14" s="117"/>
      <c r="U14" s="117"/>
      <c r="V14" s="125" t="s">
        <v>56</v>
      </c>
      <c r="W14" s="117"/>
      <c r="X14" s="117"/>
      <c r="Y14" s="117"/>
      <c r="Z14" s="117"/>
      <c r="AA14" s="126"/>
      <c r="AB14" s="104"/>
      <c r="AD14" s="31" t="s">
        <v>0</v>
      </c>
      <c r="AE14" s="31">
        <v>365.76</v>
      </c>
      <c r="AF14" s="31">
        <v>9.14</v>
      </c>
      <c r="AG14" s="31">
        <v>7</v>
      </c>
      <c r="AH14" s="31">
        <v>1.98</v>
      </c>
      <c r="AP14" s="271" t="s">
        <v>57</v>
      </c>
      <c r="AQ14" s="10">
        <v>0.05</v>
      </c>
      <c r="AR14" s="11">
        <v>-1</v>
      </c>
      <c r="AS14" s="11">
        <v>-1.2</v>
      </c>
      <c r="AT14" s="11">
        <v>-0.4</v>
      </c>
      <c r="AU14" s="11">
        <v>0.2</v>
      </c>
      <c r="BA14" s="64">
        <v>11</v>
      </c>
      <c r="BB14" s="86" t="s">
        <v>91</v>
      </c>
      <c r="BC14" s="86" t="s">
        <v>92</v>
      </c>
    </row>
    <row r="15" spans="2:55" ht="15">
      <c r="B15" s="103"/>
      <c r="C15" s="92"/>
      <c r="D15" s="127"/>
      <c r="E15" s="127"/>
      <c r="F15" s="127"/>
      <c r="G15" s="127"/>
      <c r="H15" s="127"/>
      <c r="I15" s="127"/>
      <c r="J15" s="123" t="str">
        <f>VLOOKUP(19,BA4:$BC$101,1+MATCH($AC$6,$BB$2:$BC$2,0))</f>
        <v>Chiều cao nhà</v>
      </c>
      <c r="K15" s="242" t="s">
        <v>117</v>
      </c>
      <c r="L15" s="242"/>
      <c r="M15" s="218">
        <v>20</v>
      </c>
      <c r="N15" s="219"/>
      <c r="O15" s="114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104"/>
      <c r="AP15" s="272"/>
      <c r="AQ15" s="9">
        <v>0.1</v>
      </c>
      <c r="AR15" s="7">
        <v>-0.7</v>
      </c>
      <c r="AS15" s="7">
        <v>-0.8</v>
      </c>
      <c r="AT15" s="7">
        <v>-0.3</v>
      </c>
      <c r="AU15" s="7">
        <v>0.2</v>
      </c>
      <c r="BA15" s="64">
        <v>12</v>
      </c>
      <c r="BB15" s="84" t="s">
        <v>30</v>
      </c>
      <c r="BC15" s="84" t="s">
        <v>93</v>
      </c>
    </row>
    <row r="16" spans="2:55" ht="18.75" thickBot="1">
      <c r="B16" s="103"/>
      <c r="C16" s="95"/>
      <c r="D16" s="127"/>
      <c r="E16" s="127"/>
      <c r="F16" s="127"/>
      <c r="G16" s="127"/>
      <c r="H16" s="127"/>
      <c r="I16" s="127"/>
      <c r="J16" s="123" t="str">
        <f>VLOOKUP(20,BA5:$BC$101,1+MATCH($AC$6,$BB$2:$BC$2,0))</f>
        <v>Chiều cao tường chắn</v>
      </c>
      <c r="K16" s="242" t="s">
        <v>118</v>
      </c>
      <c r="L16" s="242"/>
      <c r="M16" s="324"/>
      <c r="N16" s="325"/>
      <c r="O16" s="114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104"/>
      <c r="AD16" s="31" t="s">
        <v>12</v>
      </c>
      <c r="AE16" s="31" t="s">
        <v>13</v>
      </c>
      <c r="AP16" s="273"/>
      <c r="AQ16" s="9">
        <v>0.2</v>
      </c>
      <c r="AR16" s="7">
        <v>-0.5</v>
      </c>
      <c r="AS16" s="7">
        <v>-0.5</v>
      </c>
      <c r="AT16" s="7">
        <v>-0.3</v>
      </c>
      <c r="AU16" s="7">
        <v>0.2</v>
      </c>
      <c r="BA16" s="64">
        <v>13</v>
      </c>
      <c r="BB16" s="84" t="s">
        <v>32</v>
      </c>
      <c r="BC16" s="84" t="s">
        <v>126</v>
      </c>
    </row>
    <row r="17" spans="2:55" ht="15">
      <c r="B17" s="103"/>
      <c r="C17" s="95"/>
      <c r="D17" s="127"/>
      <c r="E17" s="127"/>
      <c r="F17" s="127"/>
      <c r="G17" s="127"/>
      <c r="H17" s="127"/>
      <c r="I17" s="127"/>
      <c r="J17" s="123" t="str">
        <f>VLOOKUP(21,BA6:$BC$101,1+MATCH($AC$6,$BB$2:$BC$2,0))</f>
        <v>Bán kính cong của mái</v>
      </c>
      <c r="K17" s="242" t="s">
        <v>119</v>
      </c>
      <c r="L17" s="242"/>
      <c r="M17" s="324"/>
      <c r="N17" s="325"/>
      <c r="O17" s="114"/>
      <c r="P17" s="51"/>
      <c r="Q17" s="222" t="str">
        <f>VLOOKUP(27,BA3:$BC$101,1+MATCH($AC$6,$BB$2:$BC$2,0))</f>
        <v>HỆ SỐ</v>
      </c>
      <c r="R17" s="222"/>
      <c r="S17" s="222"/>
      <c r="T17" s="222"/>
      <c r="U17" s="222"/>
      <c r="V17" s="222"/>
      <c r="W17" s="222"/>
      <c r="X17" s="222"/>
      <c r="Y17" s="222"/>
      <c r="Z17" s="222"/>
      <c r="AA17" s="52"/>
      <c r="AB17" s="104"/>
      <c r="AD17" s="33" t="s">
        <v>5</v>
      </c>
      <c r="AE17" s="33">
        <v>0.65</v>
      </c>
      <c r="AP17" s="271" t="s">
        <v>58</v>
      </c>
      <c r="AQ17" s="10">
        <v>30</v>
      </c>
      <c r="AR17" s="11">
        <v>-1</v>
      </c>
      <c r="AS17" s="11">
        <v>-1</v>
      </c>
      <c r="AT17" s="11">
        <v>-0.3</v>
      </c>
      <c r="AU17" s="11">
        <v>0.2</v>
      </c>
      <c r="BA17" s="64">
        <v>14</v>
      </c>
      <c r="BB17" s="84" t="s">
        <v>106</v>
      </c>
      <c r="BC17" s="84" t="s">
        <v>107</v>
      </c>
    </row>
    <row r="18" spans="2:55" ht="18">
      <c r="B18" s="103"/>
      <c r="C18" s="95"/>
      <c r="D18" s="127"/>
      <c r="E18" s="127"/>
      <c r="F18" s="127"/>
      <c r="G18" s="127"/>
      <c r="H18" s="127"/>
      <c r="I18" s="127"/>
      <c r="J18" s="123" t="str">
        <f>VLOOKUP(22,BA7:$BC$101,1+MATCH($AC$6,$BB$2:$BC$2,0))</f>
        <v>Góc của cạnh vát góc</v>
      </c>
      <c r="K18" s="306" t="s">
        <v>120</v>
      </c>
      <c r="L18" s="242"/>
      <c r="M18" s="324"/>
      <c r="N18" s="325"/>
      <c r="O18" s="114"/>
      <c r="P18" s="96" t="str">
        <f>VLOOKUP(28,BA3:$BC$101,1+MATCH($AC$6,$BB$2:$BC$2,0))</f>
        <v>Hệ số khí động áp lực bên trong</v>
      </c>
      <c r="Q18" s="97"/>
      <c r="R18" s="97"/>
      <c r="S18" s="97"/>
      <c r="T18" s="97"/>
      <c r="U18" s="97"/>
      <c r="V18" s="98" t="s">
        <v>139</v>
      </c>
      <c r="W18" s="309" t="str">
        <f>VLOOKUP(29,BA3:$BC$101,1+MATCH($AC$6,$BB$2:$BC$2,0))</f>
        <v>Trường hợp 1</v>
      </c>
      <c r="X18" s="309"/>
      <c r="Y18" s="309"/>
      <c r="Z18" s="320">
        <v>0.2</v>
      </c>
      <c r="AA18" s="321"/>
      <c r="AB18" s="104"/>
      <c r="AD18" s="33" t="s">
        <v>2</v>
      </c>
      <c r="AE18" s="33">
        <v>0.95</v>
      </c>
      <c r="AP18" s="272"/>
      <c r="AQ18" s="9">
        <v>45</v>
      </c>
      <c r="AR18" s="7">
        <v>-1.2</v>
      </c>
      <c r="AS18" s="7">
        <v>-1.3</v>
      </c>
      <c r="AT18" s="7">
        <v>-0.4</v>
      </c>
      <c r="AU18" s="7">
        <v>0.2</v>
      </c>
      <c r="BA18" s="64">
        <v>15</v>
      </c>
      <c r="BB18" s="84" t="s">
        <v>34</v>
      </c>
      <c r="BC18" s="84" t="s">
        <v>125</v>
      </c>
    </row>
    <row r="19" spans="2:55" ht="18.75" thickBot="1">
      <c r="B19" s="103"/>
      <c r="C19" s="93"/>
      <c r="D19" s="94"/>
      <c r="E19" s="94"/>
      <c r="F19" s="94"/>
      <c r="G19" s="94"/>
      <c r="H19" s="94"/>
      <c r="I19" s="94"/>
      <c r="J19" s="80" t="str">
        <f>VLOOKUP(23,BA8:$BC$101,1+MATCH($AC$6,$BB$2:$BC$2,0))</f>
        <v>Hệ số hiệu ứng giật</v>
      </c>
      <c r="K19" s="307" t="s">
        <v>121</v>
      </c>
      <c r="L19" s="307"/>
      <c r="M19" s="288">
        <f>IF(G11="RC building",0.85+M15/2840,0.85+M15/1010)</f>
        <v>0.85704225352112673</v>
      </c>
      <c r="N19" s="289"/>
      <c r="O19" s="114"/>
      <c r="P19" s="99"/>
      <c r="Q19" s="100"/>
      <c r="R19" s="100"/>
      <c r="S19" s="100"/>
      <c r="T19" s="100"/>
      <c r="U19" s="100"/>
      <c r="V19" s="101" t="s">
        <v>139</v>
      </c>
      <c r="W19" s="310" t="str">
        <f>VLOOKUP(30,BA3:$BC$101,1+MATCH($AC$6,$BB$2:$BC$2,0))</f>
        <v>Trường hợp 2</v>
      </c>
      <c r="X19" s="310"/>
      <c r="Y19" s="310"/>
      <c r="Z19" s="227">
        <v>-0.2</v>
      </c>
      <c r="AA19" s="228"/>
      <c r="AB19" s="104"/>
      <c r="AD19" s="33" t="s">
        <v>3</v>
      </c>
      <c r="AE19" s="33">
        <v>1.25</v>
      </c>
      <c r="AP19" s="272"/>
      <c r="AQ19" s="38">
        <v>60</v>
      </c>
      <c r="AR19" s="39">
        <v>-1.3</v>
      </c>
      <c r="AS19" s="39">
        <v>-1.3</v>
      </c>
      <c r="AT19" s="39">
        <v>-0.5</v>
      </c>
      <c r="AU19" s="39">
        <v>0.2</v>
      </c>
      <c r="BA19" s="64">
        <v>16</v>
      </c>
      <c r="BB19" s="90" t="s">
        <v>35</v>
      </c>
      <c r="BC19" s="90" t="s">
        <v>124</v>
      </c>
    </row>
    <row r="20" spans="2:55" ht="15">
      <c r="B20" s="103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114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104"/>
      <c r="AD20" s="33" t="s">
        <v>4</v>
      </c>
      <c r="AE20" s="33">
        <v>1.55</v>
      </c>
      <c r="AP20" s="42" t="s">
        <v>44</v>
      </c>
      <c r="AQ20" s="43"/>
      <c r="AR20" s="44">
        <f>AR10</f>
        <v>-1.8</v>
      </c>
      <c r="AS20" s="44">
        <f t="shared" ref="AS20:AU20" si="0">AS10</f>
        <v>-1.2</v>
      </c>
      <c r="AT20" s="44">
        <f t="shared" si="0"/>
        <v>-0.7</v>
      </c>
      <c r="AU20" s="44">
        <f t="shared" si="0"/>
        <v>0.2</v>
      </c>
      <c r="BA20" s="64">
        <v>17</v>
      </c>
      <c r="BB20" s="84" t="s">
        <v>122</v>
      </c>
      <c r="BC20" s="84" t="s">
        <v>123</v>
      </c>
    </row>
    <row r="21" spans="2:55" ht="15">
      <c r="B21" s="103"/>
      <c r="C21" s="284" t="str">
        <f>VLOOKUP(31,BA8:$BC$101,1+MATCH($AC$6,$BB$2:$BC$2,0))</f>
        <v>TÍNH TOÁN ÁP LỰC GIÓ</v>
      </c>
      <c r="D21" s="222"/>
      <c r="E21" s="222"/>
      <c r="F21" s="222"/>
      <c r="G21" s="222"/>
      <c r="H21" s="222"/>
      <c r="I21" s="222"/>
      <c r="J21" s="222"/>
      <c r="K21" s="222"/>
      <c r="L21" s="222"/>
      <c r="M21" s="222"/>
      <c r="N21" s="285"/>
      <c r="O21" s="114"/>
      <c r="P21" s="284" t="str">
        <f>VLOOKUP(24,BA3:$BC$101,1+MATCH($AC$6,$BB$2:$BC$2,0))</f>
        <v>DỮ LIỆU CÔNG TRÌNH</v>
      </c>
      <c r="Q21" s="222"/>
      <c r="R21" s="222"/>
      <c r="S21" s="222"/>
      <c r="T21" s="222"/>
      <c r="U21" s="222"/>
      <c r="V21" s="222"/>
      <c r="W21" s="222"/>
      <c r="X21" s="222"/>
      <c r="Y21" s="222"/>
      <c r="Z21" s="222"/>
      <c r="AA21" s="285"/>
      <c r="AB21" s="104"/>
      <c r="AD21" s="33" t="s">
        <v>11</v>
      </c>
      <c r="AE21" s="33">
        <v>1.85</v>
      </c>
      <c r="AP21" s="45" t="s">
        <v>36</v>
      </c>
      <c r="AQ21" s="33">
        <f>M16/M15</f>
        <v>0</v>
      </c>
      <c r="AR21" s="40" cm="1">
        <f t="array" ref="AR21">noisuy1chieu($AQ$21,$AQ$11:$AQ$13,$AR$11:$AR$13)</f>
        <v>-1.6</v>
      </c>
      <c r="AS21" s="40" cm="1">
        <f t="array" ref="AS21">noisuy1chieu($AQ$21,$AQ$11:$AQ$13,$AS$11:$AS$13)</f>
        <v>-1.1000000000000001</v>
      </c>
      <c r="AT21" s="40" cm="1">
        <f t="array" ref="AT21">noisuy1chieu($AQ$21,$AQ$11:$AQ$13,$AT$11:$AT$13)</f>
        <v>-0.7</v>
      </c>
      <c r="AU21" s="40" cm="1">
        <f t="array" ref="AU21">noisuy1chieu($AQ$21,$AQ$11:$AQ$13,$AU$11:$AU$13)</f>
        <v>0.2</v>
      </c>
      <c r="BA21" s="64">
        <v>18</v>
      </c>
      <c r="BB21" s="84" t="s">
        <v>127</v>
      </c>
      <c r="BC21" s="84" t="s">
        <v>128</v>
      </c>
    </row>
    <row r="22" spans="2:55" ht="15">
      <c r="B22" s="103"/>
      <c r="C22" s="214" t="str">
        <f>VLOOKUP(25,BA8:$BC$101,1+MATCH($AC$6,$BB$2:$BC$2,0))</f>
        <v>Vùng</v>
      </c>
      <c r="D22" s="215"/>
      <c r="E22" s="197" t="s">
        <v>25</v>
      </c>
      <c r="F22" s="197"/>
      <c r="G22" s="197" t="s">
        <v>26</v>
      </c>
      <c r="H22" s="197"/>
      <c r="I22" s="197" t="s">
        <v>27</v>
      </c>
      <c r="J22" s="197"/>
      <c r="K22" s="198" t="s">
        <v>68</v>
      </c>
      <c r="L22" s="197"/>
      <c r="M22" s="198" t="s">
        <v>67</v>
      </c>
      <c r="N22" s="235"/>
      <c r="O22" s="114"/>
      <c r="P22" s="223" t="str">
        <f>VLOOKUP(25,BA8:$BC$101,1+MATCH($AC$6,$BB$2:$BC$2,0))</f>
        <v>Vùng</v>
      </c>
      <c r="Q22" s="224"/>
      <c r="R22" s="225" t="s">
        <v>5</v>
      </c>
      <c r="S22" s="225"/>
      <c r="T22" s="47"/>
      <c r="U22" s="47"/>
      <c r="V22" s="47" t="str">
        <f>VLOOKUP(26,BA3:$BC$101,1+MATCH($AC$6,$BB$2:$BC$2,0))</f>
        <v>Địa hình</v>
      </c>
      <c r="W22" s="47"/>
      <c r="X22" s="47"/>
      <c r="Y22" s="82"/>
      <c r="Z22" s="229" t="s">
        <v>1</v>
      </c>
      <c r="AA22" s="230"/>
      <c r="AB22" s="104"/>
      <c r="AP22" s="45" t="s">
        <v>45</v>
      </c>
      <c r="AQ22" s="33">
        <f>M17/M15</f>
        <v>0</v>
      </c>
      <c r="AR22" s="40" cm="1">
        <f t="array" ref="AR22">noisuy1chieu($AQ$22,$AQ$14:$AQ$16,$AR$14:$AR$16)</f>
        <v>-1</v>
      </c>
      <c r="AS22" s="40" cm="1">
        <f t="array" ref="AS22">noisuy1chieu($AQ$22,$AQ$14:$AQ$16,$AS$14:$AS$16)</f>
        <v>-1.2</v>
      </c>
      <c r="AT22" s="40" cm="1">
        <f t="array" ref="AT22">noisuy1chieu($AQ$22,$AQ$14:$AQ$16,$AT$14:$AT$16)</f>
        <v>-0.4</v>
      </c>
      <c r="AU22" s="40" cm="1">
        <f t="array" ref="AU22">noisuy1chieu($AQ$22,$AQ$14:$AQ$16,$AU$14:$AU$16)</f>
        <v>0.2</v>
      </c>
      <c r="BA22" s="64">
        <v>19</v>
      </c>
      <c r="BB22" s="84" t="s">
        <v>129</v>
      </c>
      <c r="BC22" s="84" t="s">
        <v>130</v>
      </c>
    </row>
    <row r="23" spans="2:55" ht="18">
      <c r="B23" s="103"/>
      <c r="C23" s="233" t="s">
        <v>38</v>
      </c>
      <c r="D23" s="234"/>
      <c r="E23" s="236">
        <f>AR24</f>
        <v>-1.6</v>
      </c>
      <c r="F23" s="236"/>
      <c r="G23" s="226">
        <f>AS24</f>
        <v>-1.1000000000000001</v>
      </c>
      <c r="H23" s="226"/>
      <c r="I23" s="226">
        <f>AT24</f>
        <v>-0.7</v>
      </c>
      <c r="J23" s="226"/>
      <c r="K23" s="226">
        <f>AU24</f>
        <v>0.2</v>
      </c>
      <c r="L23" s="226"/>
      <c r="M23" s="239">
        <f>-AU24</f>
        <v>-0.2</v>
      </c>
      <c r="N23" s="240"/>
      <c r="O23" s="114"/>
      <c r="P23" s="48"/>
      <c r="Q23" s="128" t="s">
        <v>47</v>
      </c>
      <c r="R23" s="231">
        <f>VLOOKUP(R22,$AD$17:$AE$21,2,FALSE)</f>
        <v>0.65</v>
      </c>
      <c r="S23" s="231"/>
      <c r="T23" s="129" t="s">
        <v>14</v>
      </c>
      <c r="U23" s="283" t="s">
        <v>48</v>
      </c>
      <c r="V23" s="283"/>
      <c r="W23" s="231">
        <f>VLOOKUP(Z22,$AD$12:$AH$14,2,FALSE)</f>
        <v>274.32</v>
      </c>
      <c r="X23" s="231"/>
      <c r="Y23" s="232" t="s">
        <v>49</v>
      </c>
      <c r="Z23" s="232"/>
      <c r="AA23" s="49">
        <f>VLOOKUP(Z22,$AD$12:$AH$14,4,FALSE)</f>
        <v>9.5</v>
      </c>
      <c r="AB23" s="104"/>
      <c r="AD23" s="90" t="s">
        <v>110</v>
      </c>
      <c r="AE23" s="90" t="s">
        <v>108</v>
      </c>
      <c r="AP23" s="45" t="s">
        <v>46</v>
      </c>
      <c r="AQ23" s="41">
        <f>M18</f>
        <v>0</v>
      </c>
      <c r="AR23" s="40" cm="1">
        <f t="array" ref="AR23">noisuy1chieu($AQ$23,$AQ$17:$AQ$19,$AR$17:$AR$19)</f>
        <v>-1</v>
      </c>
      <c r="AS23" s="40" cm="1">
        <f t="array" ref="AS23">noisuy1chieu($AQ$23,$AQ$17:$AQ$19,$AS$17:$AS$19)</f>
        <v>-1</v>
      </c>
      <c r="AT23" s="40" cm="1">
        <f t="array" ref="AT23">noisuy1chieu($AQ$23,$AQ$17:$AQ$19,$AT$17:$AT$19)</f>
        <v>-0.3</v>
      </c>
      <c r="AU23" s="40" cm="1">
        <f t="array" ref="AU23">noisuy1chieu($AQ$23,$AQ$17:$AQ$19,$AU$17:$AU$19)</f>
        <v>0.2</v>
      </c>
      <c r="BA23" s="64">
        <v>20</v>
      </c>
      <c r="BB23" s="86" t="s">
        <v>131</v>
      </c>
      <c r="BC23" s="90" t="s">
        <v>132</v>
      </c>
    </row>
    <row r="24" spans="2:55" ht="18.75" thickBot="1">
      <c r="B24" s="103"/>
      <c r="C24" s="300" t="s">
        <v>66</v>
      </c>
      <c r="D24" s="301"/>
      <c r="E24" s="236">
        <f>$R$24*$Z$26*E23*$M$19</f>
        <v>-0.87953862139145855</v>
      </c>
      <c r="F24" s="236"/>
      <c r="G24" s="236">
        <f>$R$24*$Z$26*G23*$M$19</f>
        <v>-0.60468280220662785</v>
      </c>
      <c r="H24" s="236"/>
      <c r="I24" s="236">
        <f>$R$24*$Z$26*I23*$M$19</f>
        <v>-0.38479814685876307</v>
      </c>
      <c r="J24" s="236"/>
      <c r="K24" s="236">
        <f>$R$24*$Z$26*K23*$M$19</f>
        <v>0.10994232767393232</v>
      </c>
      <c r="L24" s="236"/>
      <c r="M24" s="236">
        <f>$R$24*$Z$26*M23*$M$19</f>
        <v>-0.10994232767393232</v>
      </c>
      <c r="N24" s="302"/>
      <c r="O24" s="114"/>
      <c r="P24" s="48"/>
      <c r="Q24" s="50" t="s">
        <v>50</v>
      </c>
      <c r="R24" s="290">
        <f>0.852*R23</f>
        <v>0.55379999999999996</v>
      </c>
      <c r="S24" s="290"/>
      <c r="T24" s="129" t="s">
        <v>14</v>
      </c>
      <c r="U24" s="283" t="s">
        <v>51</v>
      </c>
      <c r="V24" s="283"/>
      <c r="W24" s="231">
        <f>VLOOKUP(Z22,$AD$12:$AH$14,3,FALSE)</f>
        <v>4.57</v>
      </c>
      <c r="X24" s="231"/>
      <c r="Y24" s="231" t="s">
        <v>52</v>
      </c>
      <c r="Z24" s="231"/>
      <c r="AA24" s="49">
        <f>VLOOKUP(Z22,$AD$12:$AH$14,5,FALSE)</f>
        <v>1.97</v>
      </c>
      <c r="AB24" s="104"/>
      <c r="AD24" s="90" t="s">
        <v>43</v>
      </c>
      <c r="AE24" s="90" t="s">
        <v>109</v>
      </c>
      <c r="AP24" s="274" t="str">
        <f>G12</f>
        <v>With parapets</v>
      </c>
      <c r="AQ24" s="275"/>
      <c r="AR24" s="46">
        <f>INDEX(AR20:AR23,MATCH($AP$24,$AP$20:$AP$23,0))</f>
        <v>-1.6</v>
      </c>
      <c r="AS24" s="46">
        <f>INDEX(AS20:AS23,MATCH($AP$24,$AP$20:$AP$23,0))</f>
        <v>-1.1000000000000001</v>
      </c>
      <c r="AT24" s="46">
        <f>INDEX(AT20:AT23,MATCH($AP$24,$AP$20:$AP$23,0))</f>
        <v>-0.7</v>
      </c>
      <c r="AU24" s="46">
        <f>INDEX(AU20:AU23,MATCH($AP$24,$AP$20:$AP$23,0))</f>
        <v>0.2</v>
      </c>
      <c r="BA24" s="64">
        <v>21</v>
      </c>
      <c r="BB24" s="90" t="s">
        <v>133</v>
      </c>
      <c r="BC24" s="86" t="s">
        <v>134</v>
      </c>
    </row>
    <row r="25" spans="2:55" ht="18">
      <c r="B25" s="103"/>
      <c r="C25" s="66" t="str">
        <f>VLOOKUP(35,BA8:$BC$101,1+MATCH($AC$6,$BB$2:$BC$2,0))</f>
        <v>TH1</v>
      </c>
      <c r="D25" s="65" t="s">
        <v>53</v>
      </c>
      <c r="E25" s="286">
        <f>$Z$18</f>
        <v>0.2</v>
      </c>
      <c r="F25" s="286"/>
      <c r="G25" s="286">
        <f>$Z$18</f>
        <v>0.2</v>
      </c>
      <c r="H25" s="286"/>
      <c r="I25" s="286">
        <f>$Z$18</f>
        <v>0.2</v>
      </c>
      <c r="J25" s="286"/>
      <c r="K25" s="286">
        <f>$Z$18</f>
        <v>0.2</v>
      </c>
      <c r="L25" s="286"/>
      <c r="M25" s="286">
        <f>$Z$18</f>
        <v>0.2</v>
      </c>
      <c r="N25" s="287"/>
      <c r="O25" s="117"/>
      <c r="P25" s="102"/>
      <c r="Q25" s="130"/>
      <c r="R25" s="130"/>
      <c r="S25" s="130"/>
      <c r="T25" s="130"/>
      <c r="U25" s="130"/>
      <c r="V25" s="130"/>
      <c r="W25" s="131" t="str">
        <f>VLOOKUP(32,BA3:$BC$101,1+MATCH($AC$6,$BB$2:$BC$2,0))</f>
        <v>Chiều cao tham chiếu</v>
      </c>
      <c r="X25" s="130"/>
      <c r="Y25" s="81" t="s">
        <v>143</v>
      </c>
      <c r="Z25" s="216">
        <f>MAX(IF(G12="With parapets",M15+M16,M15),W24)</f>
        <v>20</v>
      </c>
      <c r="AA25" s="217"/>
      <c r="AB25" s="104"/>
      <c r="BA25" s="64">
        <v>22</v>
      </c>
      <c r="BB25" s="86" t="s">
        <v>135</v>
      </c>
      <c r="BC25" s="86" t="s">
        <v>136</v>
      </c>
    </row>
    <row r="26" spans="2:55" ht="18">
      <c r="B26" s="103"/>
      <c r="C26" s="68" t="str">
        <f>VLOOKUP(36,BA8:$BC$101,1+MATCH($AC$6,$BB$2:$BC$2,0))</f>
        <v>TH2</v>
      </c>
      <c r="D26" s="69" t="s">
        <v>53</v>
      </c>
      <c r="E26" s="303">
        <f>$Z$19</f>
        <v>-0.2</v>
      </c>
      <c r="F26" s="303"/>
      <c r="G26" s="303">
        <f>$Z$19</f>
        <v>-0.2</v>
      </c>
      <c r="H26" s="303"/>
      <c r="I26" s="303">
        <f>$Z$19</f>
        <v>-0.2</v>
      </c>
      <c r="J26" s="303"/>
      <c r="K26" s="303">
        <f>$Z$19</f>
        <v>-0.2</v>
      </c>
      <c r="L26" s="303"/>
      <c r="M26" s="303">
        <f>$Z$19</f>
        <v>-0.2</v>
      </c>
      <c r="N26" s="304"/>
      <c r="O26" s="117"/>
      <c r="P26" s="93"/>
      <c r="Q26" s="94"/>
      <c r="R26" s="94"/>
      <c r="S26" s="94"/>
      <c r="T26" s="94"/>
      <c r="U26" s="94"/>
      <c r="V26" s="94"/>
      <c r="W26" s="79" t="str">
        <f>VLOOKUP(33,BA3:$BC$101,1+MATCH($AC$6,$BB$2:$BC$2,0))</f>
        <v>Hệ số địa hình</v>
      </c>
      <c r="X26" s="94"/>
      <c r="Y26" s="79" t="s">
        <v>144</v>
      </c>
      <c r="Z26" s="279">
        <f>MIN(2.01*(Z25/W23)^(2/AA23),AA24)</f>
        <v>1.1581898286447583</v>
      </c>
      <c r="AA26" s="280"/>
      <c r="AB26" s="104"/>
      <c r="BA26" s="64">
        <v>23</v>
      </c>
      <c r="BB26" s="84" t="s">
        <v>137</v>
      </c>
      <c r="BC26" s="84" t="s">
        <v>138</v>
      </c>
    </row>
    <row r="27" spans="2:55" ht="18">
      <c r="B27" s="103"/>
      <c r="C27" s="66" t="str">
        <f>VLOOKUP(35,BA8:$BC$101,1+MATCH($AC$6,$BB$2:$BC$2,0))</f>
        <v>TH1</v>
      </c>
      <c r="D27" s="67" t="s">
        <v>71</v>
      </c>
      <c r="E27" s="286">
        <f>$R$24*$Z$26*E25*$M$19</f>
        <v>0.10994232767393232</v>
      </c>
      <c r="F27" s="286"/>
      <c r="G27" s="286">
        <f>$R$24*$Z$26*G25*$M$19</f>
        <v>0.10994232767393232</v>
      </c>
      <c r="H27" s="286"/>
      <c r="I27" s="286">
        <f>$R$24*$Z$26*I25*$M$19</f>
        <v>0.10994232767393232</v>
      </c>
      <c r="J27" s="286"/>
      <c r="K27" s="286">
        <f>$R$24*$Z$26*K25*$M$19</f>
        <v>0.10994232767393232</v>
      </c>
      <c r="L27" s="286"/>
      <c r="M27" s="286">
        <f>$R$24*$Z$26*M25*$M$19</f>
        <v>0.10994232767393232</v>
      </c>
      <c r="N27" s="287"/>
      <c r="O27" s="117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104"/>
      <c r="AC27" s="308"/>
      <c r="AD27" s="110"/>
      <c r="AE27" s="308"/>
      <c r="AK27" s="311"/>
      <c r="AL27" s="311"/>
      <c r="AM27" s="311"/>
      <c r="BA27" s="64">
        <v>24</v>
      </c>
      <c r="BB27" s="84" t="s">
        <v>31</v>
      </c>
      <c r="BC27" s="84" t="s">
        <v>94</v>
      </c>
    </row>
    <row r="28" spans="2:55" ht="18">
      <c r="B28" s="103"/>
      <c r="C28" s="68" t="str">
        <f>VLOOKUP(36,BA8:$BC$101,1+MATCH($AC$6,$BB$2:$BC$2,0))</f>
        <v>TH2</v>
      </c>
      <c r="D28" s="70" t="s">
        <v>71</v>
      </c>
      <c r="E28" s="303">
        <f>$R$24*$Z$26*E26*$M$19</f>
        <v>-0.10994232767393232</v>
      </c>
      <c r="F28" s="303"/>
      <c r="G28" s="303">
        <f>$R$24*$Z$26*G26*$M$19</f>
        <v>-0.10994232767393232</v>
      </c>
      <c r="H28" s="303"/>
      <c r="I28" s="303">
        <f>$R$24*$Z$26*I26*$M$19</f>
        <v>-0.10994232767393232</v>
      </c>
      <c r="J28" s="303"/>
      <c r="K28" s="303">
        <f>$R$24*$Z$26*K26*$M$19</f>
        <v>-0.10994232767393232</v>
      </c>
      <c r="L28" s="303"/>
      <c r="M28" s="303">
        <f>$R$24*$Z$26*M26*$M$19</f>
        <v>-0.10994232767393232</v>
      </c>
      <c r="N28" s="304"/>
      <c r="O28" s="117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104"/>
      <c r="AC28" s="308"/>
      <c r="AD28" s="110"/>
      <c r="AE28" s="308"/>
      <c r="AK28" s="311"/>
      <c r="AL28" s="311"/>
      <c r="AM28" s="311"/>
      <c r="BA28" s="64">
        <v>25</v>
      </c>
      <c r="BB28" s="84" t="s">
        <v>12</v>
      </c>
      <c r="BC28" s="84" t="s">
        <v>29</v>
      </c>
    </row>
    <row r="29" spans="2:55" ht="17.25" customHeight="1">
      <c r="B29" s="103"/>
      <c r="C29" s="66" t="str">
        <f>VLOOKUP(35,BA8:$BC$101,1+MATCH($AC$6,$BB$2:$BC$2,0))</f>
        <v>TH1</v>
      </c>
      <c r="D29" s="67" t="s">
        <v>72</v>
      </c>
      <c r="E29" s="195">
        <f>E24-E27</f>
        <v>-0.98948094906539086</v>
      </c>
      <c r="F29" s="195"/>
      <c r="G29" s="195">
        <f t="shared" ref="G29" si="1">G24-G27</f>
        <v>-0.71462512988056015</v>
      </c>
      <c r="H29" s="195"/>
      <c r="I29" s="195">
        <f t="shared" ref="I29" si="2">I24-I27</f>
        <v>-0.49474047453269537</v>
      </c>
      <c r="J29" s="195"/>
      <c r="K29" s="195" t="s">
        <v>148</v>
      </c>
      <c r="L29" s="195"/>
      <c r="M29" s="195">
        <f t="shared" ref="M29" si="3">M24-M27</f>
        <v>-0.21988465534786464</v>
      </c>
      <c r="N29" s="196"/>
      <c r="O29" s="117"/>
      <c r="P29" s="312" t="str">
        <f>VLOOKUP(37,BA3:$BC$101,1+MATCH($AC$6,$BB$2:$BC$2,0))</f>
        <v>Áp lực gió tác dụng lên bề mặt:</v>
      </c>
      <c r="Q29" s="313"/>
      <c r="R29" s="313"/>
      <c r="S29" s="313"/>
      <c r="T29" s="313"/>
      <c r="U29" s="313"/>
      <c r="V29" s="313"/>
      <c r="W29" s="313"/>
      <c r="X29" s="313"/>
      <c r="Y29" s="313"/>
      <c r="Z29" s="313"/>
      <c r="AA29" s="314"/>
      <c r="AB29" s="104"/>
      <c r="AC29" s="308"/>
      <c r="AD29" s="110"/>
      <c r="AE29" s="308"/>
      <c r="AK29" s="311"/>
      <c r="AL29" s="311"/>
      <c r="AM29" s="311"/>
      <c r="BA29" s="64">
        <v>26</v>
      </c>
      <c r="BB29" s="84" t="s">
        <v>33</v>
      </c>
      <c r="BC29" s="84" t="s">
        <v>147</v>
      </c>
    </row>
    <row r="30" spans="2:55" ht="18">
      <c r="B30" s="105"/>
      <c r="C30" s="71" t="str">
        <f>VLOOKUP(36,BA8:$BC$101,1+MATCH($AC$6,$BB$2:$BC$2,0))</f>
        <v>TH2</v>
      </c>
      <c r="D30" s="72" t="s">
        <v>72</v>
      </c>
      <c r="E30" s="211">
        <f>E24-E28</f>
        <v>-0.76959629371752625</v>
      </c>
      <c r="F30" s="211"/>
      <c r="G30" s="211">
        <f t="shared" ref="G30" si="4">G24-G28</f>
        <v>-0.49474047453269554</v>
      </c>
      <c r="H30" s="211"/>
      <c r="I30" s="211">
        <f t="shared" ref="I30" si="5">I24-I28</f>
        <v>-0.27485581918483076</v>
      </c>
      <c r="J30" s="211"/>
      <c r="K30" s="211">
        <f t="shared" ref="K30" si="6">K24-K28</f>
        <v>0.21988465534786464</v>
      </c>
      <c r="L30" s="211"/>
      <c r="M30" s="211" t="s">
        <v>148</v>
      </c>
      <c r="N30" s="212"/>
      <c r="O30" s="106"/>
      <c r="P30" s="315" t="s">
        <v>150</v>
      </c>
      <c r="Q30" s="316"/>
      <c r="R30" s="316"/>
      <c r="S30" s="316"/>
      <c r="T30" s="316"/>
      <c r="U30" s="316"/>
      <c r="V30" s="316"/>
      <c r="W30" s="316"/>
      <c r="X30" s="316"/>
      <c r="Y30" s="316"/>
      <c r="Z30" s="316"/>
      <c r="AA30" s="317"/>
      <c r="AB30" s="107"/>
      <c r="AC30" s="308"/>
      <c r="AD30" s="110"/>
      <c r="AE30" s="308"/>
      <c r="AK30" s="311"/>
      <c r="AL30" s="311"/>
      <c r="AM30" s="311"/>
      <c r="BA30" s="64">
        <v>27</v>
      </c>
      <c r="BB30" s="84" t="s">
        <v>37</v>
      </c>
      <c r="BC30" s="84" t="s">
        <v>95</v>
      </c>
    </row>
    <row r="31" spans="2:55" ht="15.75" customHeight="1">
      <c r="B31" s="103"/>
      <c r="C31" s="114"/>
      <c r="D31" s="114"/>
      <c r="E31" s="114"/>
      <c r="F31" s="114"/>
      <c r="G31" s="114"/>
      <c r="H31" s="114"/>
      <c r="I31" s="114"/>
      <c r="J31" s="114"/>
      <c r="K31" s="114"/>
      <c r="L31" s="114"/>
      <c r="M31" s="114"/>
      <c r="N31" s="114"/>
      <c r="O31" s="114"/>
      <c r="P31" s="114"/>
      <c r="Q31" s="114"/>
      <c r="R31" s="114"/>
      <c r="S31" s="114"/>
      <c r="T31" s="132"/>
      <c r="U31" s="132"/>
      <c r="V31" s="132"/>
      <c r="W31" s="132"/>
      <c r="X31" s="132"/>
      <c r="Y31" s="132"/>
      <c r="Z31" s="133"/>
      <c r="AA31" s="133"/>
      <c r="AB31" s="104"/>
      <c r="AC31" s="308"/>
      <c r="AD31" s="110"/>
      <c r="AE31" s="308"/>
      <c r="AK31" s="311"/>
      <c r="AL31" s="311"/>
      <c r="AM31" s="311"/>
      <c r="BA31" s="64">
        <v>28</v>
      </c>
      <c r="BB31" s="87" t="s">
        <v>96</v>
      </c>
      <c r="BC31" s="84" t="s">
        <v>97</v>
      </c>
    </row>
    <row r="32" spans="2:55" ht="15">
      <c r="B32" s="103"/>
      <c r="C32" s="206" t="s">
        <v>149</v>
      </c>
      <c r="D32" s="207"/>
      <c r="E32" s="207"/>
      <c r="F32" s="207"/>
      <c r="G32" s="207"/>
      <c r="H32" s="207"/>
      <c r="I32" s="207"/>
      <c r="J32" s="207"/>
      <c r="K32" s="207"/>
      <c r="L32" s="207"/>
      <c r="M32" s="207"/>
      <c r="N32" s="207"/>
      <c r="O32" s="207"/>
      <c r="P32" s="207"/>
      <c r="Q32" s="207"/>
      <c r="R32" s="207"/>
      <c r="S32" s="207"/>
      <c r="T32" s="207"/>
      <c r="U32" s="207"/>
      <c r="V32" s="207"/>
      <c r="W32" s="207"/>
      <c r="X32" s="207"/>
      <c r="Y32" s="207"/>
      <c r="Z32" s="207"/>
      <c r="AA32" s="208"/>
      <c r="AB32" s="104"/>
      <c r="AD32" s="110"/>
      <c r="BA32" s="64">
        <v>29</v>
      </c>
      <c r="BB32" s="84" t="s">
        <v>69</v>
      </c>
      <c r="BC32" s="84" t="s">
        <v>98</v>
      </c>
    </row>
    <row r="33" spans="2:55" ht="15">
      <c r="B33" s="103"/>
      <c r="C33" s="16"/>
      <c r="D33" s="17"/>
      <c r="E33" s="278" t="s">
        <v>59</v>
      </c>
      <c r="F33" s="278"/>
      <c r="G33" s="276">
        <f>M13</f>
        <v>71.5</v>
      </c>
      <c r="H33" s="277"/>
      <c r="I33" s="17"/>
      <c r="J33" s="278" t="s">
        <v>60</v>
      </c>
      <c r="K33" s="278"/>
      <c r="L33" s="277">
        <f>MIN(G33,2*M15)</f>
        <v>40</v>
      </c>
      <c r="M33" s="27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8"/>
      <c r="AB33" s="104"/>
      <c r="AD33" s="110"/>
      <c r="BA33" s="64">
        <v>30</v>
      </c>
      <c r="BB33" s="84" t="s">
        <v>70</v>
      </c>
      <c r="BC33" s="84" t="s">
        <v>99</v>
      </c>
    </row>
    <row r="34" spans="2:55" ht="15">
      <c r="B34" s="103"/>
      <c r="C34" s="19"/>
      <c r="D34" s="114"/>
      <c r="E34" s="202" t="s">
        <v>61</v>
      </c>
      <c r="F34" s="202"/>
      <c r="G34" s="203">
        <f>M14</f>
        <v>108.5</v>
      </c>
      <c r="H34" s="204"/>
      <c r="I34" s="114"/>
      <c r="J34" s="114"/>
      <c r="K34" s="114"/>
      <c r="L34" s="114"/>
      <c r="M34" s="114"/>
      <c r="N34" s="114"/>
      <c r="O34" s="114"/>
      <c r="P34" s="114"/>
      <c r="Q34" s="114"/>
      <c r="R34" s="114"/>
      <c r="S34" s="114"/>
      <c r="T34" s="114"/>
      <c r="U34" s="114"/>
      <c r="V34" s="114"/>
      <c r="W34" s="114"/>
      <c r="X34" s="114"/>
      <c r="Y34" s="114"/>
      <c r="Z34" s="114"/>
      <c r="AA34" s="20"/>
      <c r="AB34" s="104"/>
      <c r="BA34" s="64">
        <v>31</v>
      </c>
      <c r="BB34" s="84" t="s">
        <v>140</v>
      </c>
      <c r="BC34" s="84" t="s">
        <v>145</v>
      </c>
    </row>
    <row r="35" spans="2:55" ht="15.75" customHeight="1" thickBot="1">
      <c r="B35" s="103"/>
      <c r="C35" s="19"/>
      <c r="D35" s="114"/>
      <c r="E35" s="114"/>
      <c r="F35" s="209" t="str">
        <f>"d1 = " &amp;ROUND(L33/10,0)&amp;" m"</f>
        <v>d1 = 4 m</v>
      </c>
      <c r="G35" s="209"/>
      <c r="H35" s="209"/>
      <c r="I35" s="209"/>
      <c r="J35" s="209" t="str">
        <f>"d2 = " &amp;ROUND(2*L33/5,0)&amp;" m"</f>
        <v>d2 = 16 m</v>
      </c>
      <c r="K35" s="209"/>
      <c r="L35" s="209"/>
      <c r="M35" s="209"/>
      <c r="N35" s="209"/>
      <c r="O35" s="209"/>
      <c r="P35" s="210" t="str">
        <f>"d3 = " &amp;ROUND(G34-L33/2,1)&amp;" m"</f>
        <v>d3 = 88.5 m</v>
      </c>
      <c r="Q35" s="210"/>
      <c r="R35" s="210"/>
      <c r="S35" s="210"/>
      <c r="T35" s="210"/>
      <c r="U35" s="210"/>
      <c r="V35" s="210"/>
      <c r="W35" s="210"/>
      <c r="X35" s="210"/>
      <c r="Y35" s="114"/>
      <c r="Z35" s="114"/>
      <c r="AA35" s="20"/>
      <c r="AB35" s="104"/>
      <c r="BA35" s="64">
        <v>32</v>
      </c>
      <c r="BB35" s="84" t="s">
        <v>100</v>
      </c>
      <c r="BC35" s="84" t="s">
        <v>101</v>
      </c>
    </row>
    <row r="36" spans="2:55" ht="15">
      <c r="B36" s="103"/>
      <c r="C36" s="19"/>
      <c r="D36" s="114"/>
      <c r="E36" s="213" t="str">
        <f>"b3 = "&amp;ROUND(L33/4,1)&amp;" m"</f>
        <v>b3 = 10 m</v>
      </c>
      <c r="F36" s="245" t="s">
        <v>39</v>
      </c>
      <c r="G36" s="246"/>
      <c r="H36" s="246"/>
      <c r="I36" s="247"/>
      <c r="J36" s="61"/>
      <c r="K36" s="62"/>
      <c r="L36" s="62"/>
      <c r="M36" s="62"/>
      <c r="N36" s="62"/>
      <c r="O36" s="62"/>
      <c r="P36" s="61"/>
      <c r="Q36" s="62"/>
      <c r="R36" s="62"/>
      <c r="S36" s="62"/>
      <c r="T36" s="62"/>
      <c r="U36" s="62"/>
      <c r="V36" s="62"/>
      <c r="W36" s="62"/>
      <c r="X36" s="63"/>
      <c r="Y36" s="114"/>
      <c r="Z36" s="114"/>
      <c r="AA36" s="20"/>
      <c r="AB36" s="104"/>
      <c r="BA36" s="64">
        <v>33</v>
      </c>
      <c r="BB36" s="84" t="s">
        <v>102</v>
      </c>
      <c r="BC36" s="84" t="s">
        <v>103</v>
      </c>
    </row>
    <row r="37" spans="2:55" ht="15">
      <c r="B37" s="103"/>
      <c r="C37" s="19"/>
      <c r="D37" s="114"/>
      <c r="E37" s="213"/>
      <c r="F37" s="248" t="str">
        <f>ROUND(E29,2)&amp;" kN/m2"</f>
        <v>-0.99 kN/m2</v>
      </c>
      <c r="G37" s="249"/>
      <c r="H37" s="249"/>
      <c r="I37" s="250"/>
      <c r="J37" s="53"/>
      <c r="K37" s="134"/>
      <c r="L37" s="134"/>
      <c r="M37" s="134"/>
      <c r="N37" s="134"/>
      <c r="O37" s="134"/>
      <c r="P37" s="53"/>
      <c r="Q37" s="134"/>
      <c r="R37" s="134"/>
      <c r="S37" s="134"/>
      <c r="T37" s="134"/>
      <c r="U37" s="134"/>
      <c r="V37" s="134"/>
      <c r="W37" s="134"/>
      <c r="X37" s="54"/>
      <c r="Y37" s="114"/>
      <c r="Z37" s="114"/>
      <c r="AA37" s="20"/>
      <c r="AB37" s="104"/>
      <c r="BA37" s="64">
        <v>34</v>
      </c>
      <c r="BB37" s="84" t="s">
        <v>104</v>
      </c>
      <c r="BC37" s="84" t="s">
        <v>105</v>
      </c>
    </row>
    <row r="38" spans="2:55" ht="15.75" thickBot="1">
      <c r="B38" s="103"/>
      <c r="C38" s="19"/>
      <c r="D38" s="114"/>
      <c r="E38" s="213"/>
      <c r="F38" s="251" t="str">
        <f>ROUND(E30,2)&amp;" kN/m2"</f>
        <v>-0.77 kN/m2</v>
      </c>
      <c r="G38" s="252"/>
      <c r="H38" s="252"/>
      <c r="I38" s="253"/>
      <c r="J38" s="53"/>
      <c r="K38" s="134"/>
      <c r="L38" s="134"/>
      <c r="M38" s="134"/>
      <c r="N38" s="134"/>
      <c r="O38" s="134"/>
      <c r="P38" s="53"/>
      <c r="Q38" s="134"/>
      <c r="R38" s="134"/>
      <c r="S38" s="134"/>
      <c r="T38" s="134"/>
      <c r="U38" s="134"/>
      <c r="V38" s="134"/>
      <c r="W38" s="134"/>
      <c r="X38" s="54"/>
      <c r="Y38" s="114"/>
      <c r="Z38" s="114"/>
      <c r="AA38" s="20"/>
      <c r="AB38" s="104"/>
      <c r="BA38" s="64">
        <v>35</v>
      </c>
      <c r="BB38" s="84" t="s">
        <v>69</v>
      </c>
      <c r="BC38" s="84" t="s">
        <v>141</v>
      </c>
    </row>
    <row r="39" spans="2:55" ht="15">
      <c r="B39" s="103"/>
      <c r="C39" s="19"/>
      <c r="D39" s="114"/>
      <c r="E39" s="213"/>
      <c r="F39" s="135"/>
      <c r="G39" s="135"/>
      <c r="H39" s="135"/>
      <c r="I39" s="135"/>
      <c r="J39" s="53"/>
      <c r="K39" s="134"/>
      <c r="L39" s="134"/>
      <c r="M39" s="134"/>
      <c r="N39" s="134"/>
      <c r="O39" s="134"/>
      <c r="P39" s="53"/>
      <c r="Q39" s="134"/>
      <c r="R39" s="134"/>
      <c r="S39" s="134"/>
      <c r="T39" s="134"/>
      <c r="U39" s="134"/>
      <c r="V39" s="134"/>
      <c r="W39" s="134"/>
      <c r="X39" s="54"/>
      <c r="Y39" s="114"/>
      <c r="Z39" s="114"/>
      <c r="AA39" s="20"/>
      <c r="AB39" s="104"/>
      <c r="BA39" s="64">
        <v>36</v>
      </c>
      <c r="BB39" s="84" t="s">
        <v>70</v>
      </c>
      <c r="BC39" s="84" t="s">
        <v>142</v>
      </c>
    </row>
    <row r="40" spans="2:55" ht="15">
      <c r="B40" s="103"/>
      <c r="C40" s="19"/>
      <c r="D40" s="114"/>
      <c r="E40" s="243" t="str">
        <f>"b2 = " &amp;ROUND(G33-L33/2,1)&amp;" m"</f>
        <v>b2 = 51.5 m</v>
      </c>
      <c r="F40" s="135"/>
      <c r="G40" s="135"/>
      <c r="H40" s="135"/>
      <c r="I40" s="135"/>
      <c r="J40" s="53"/>
      <c r="K40" s="134"/>
      <c r="L40" s="134"/>
      <c r="M40" s="134"/>
      <c r="N40" s="134"/>
      <c r="O40" s="134"/>
      <c r="P40" s="53"/>
      <c r="Q40" s="134"/>
      <c r="R40" s="134"/>
      <c r="S40" s="134"/>
      <c r="T40" s="134"/>
      <c r="U40" s="134"/>
      <c r="V40" s="134"/>
      <c r="W40" s="134"/>
      <c r="X40" s="54"/>
      <c r="Y40" s="114"/>
      <c r="Z40" s="114"/>
      <c r="AA40" s="20"/>
      <c r="AB40" s="104"/>
      <c r="BA40" s="64">
        <v>37</v>
      </c>
      <c r="BB40" s="90" t="s">
        <v>21</v>
      </c>
      <c r="BC40" s="90" t="s">
        <v>146</v>
      </c>
    </row>
    <row r="41" spans="2:55" ht="15.75">
      <c r="B41" s="103"/>
      <c r="C41" s="19"/>
      <c r="D41" s="141" t="s">
        <v>65</v>
      </c>
      <c r="E41" s="243"/>
      <c r="F41" s="257" t="s">
        <v>42</v>
      </c>
      <c r="G41" s="258"/>
      <c r="H41" s="258"/>
      <c r="I41" s="259"/>
      <c r="J41" s="257" t="s">
        <v>40</v>
      </c>
      <c r="K41" s="258"/>
      <c r="L41" s="258"/>
      <c r="M41" s="258"/>
      <c r="N41" s="258"/>
      <c r="O41" s="259"/>
      <c r="P41" s="257" t="s">
        <v>41</v>
      </c>
      <c r="Q41" s="258"/>
      <c r="R41" s="258"/>
      <c r="S41" s="258"/>
      <c r="T41" s="258"/>
      <c r="U41" s="258"/>
      <c r="V41" s="258"/>
      <c r="W41" s="258"/>
      <c r="X41" s="259"/>
      <c r="Y41" s="114"/>
      <c r="Z41" s="114"/>
      <c r="AA41" s="20"/>
      <c r="AB41" s="104"/>
      <c r="BA41" s="64">
        <v>38</v>
      </c>
      <c r="BB41" s="83"/>
      <c r="BC41" s="83"/>
    </row>
    <row r="42" spans="2:55" ht="15">
      <c r="B42" s="103"/>
      <c r="C42" s="19"/>
      <c r="D42" s="114"/>
      <c r="E42" s="243"/>
      <c r="F42" s="248" t="str">
        <f>ROUND(G29,2)&amp;" kN/m2"</f>
        <v>-0.71 kN/m2</v>
      </c>
      <c r="G42" s="249"/>
      <c r="H42" s="249"/>
      <c r="I42" s="250"/>
      <c r="J42" s="248" t="str">
        <f>ROUND(I29,2)&amp;" kN/m2"</f>
        <v>-0.49 kN/m2</v>
      </c>
      <c r="K42" s="249"/>
      <c r="L42" s="249"/>
      <c r="M42" s="249"/>
      <c r="N42" s="249"/>
      <c r="O42" s="250"/>
      <c r="P42" s="248" t="str">
        <f>ROUND(M29,2)&amp;" kN/m2"</f>
        <v>-0.22 kN/m2</v>
      </c>
      <c r="Q42" s="249"/>
      <c r="R42" s="249"/>
      <c r="S42" s="249"/>
      <c r="T42" s="249"/>
      <c r="U42" s="249"/>
      <c r="V42" s="249"/>
      <c r="W42" s="249"/>
      <c r="X42" s="250"/>
      <c r="Y42" s="114"/>
      <c r="Z42" s="114"/>
      <c r="AA42" s="20"/>
      <c r="AB42" s="104"/>
      <c r="BA42" s="64">
        <v>39</v>
      </c>
      <c r="BB42" s="83"/>
      <c r="BC42" s="83"/>
    </row>
    <row r="43" spans="2:55" ht="15">
      <c r="B43" s="103"/>
      <c r="C43" s="19"/>
      <c r="D43" s="114"/>
      <c r="E43" s="243"/>
      <c r="F43" s="260" t="str">
        <f>ROUND(G30,2)&amp;" kN/m2"</f>
        <v>-0.49 kN/m2</v>
      </c>
      <c r="G43" s="261"/>
      <c r="H43" s="261"/>
      <c r="I43" s="262"/>
      <c r="J43" s="260" t="str">
        <f>ROUND(I30,2)&amp;" kN/m2"</f>
        <v>-0.27 kN/m2</v>
      </c>
      <c r="K43" s="261"/>
      <c r="L43" s="261"/>
      <c r="M43" s="261"/>
      <c r="N43" s="261"/>
      <c r="O43" s="262"/>
      <c r="P43" s="260" t="str">
        <f>ROUND(K30,2)&amp;" kN/m2"</f>
        <v>0.22 kN/m2</v>
      </c>
      <c r="Q43" s="261"/>
      <c r="R43" s="261"/>
      <c r="S43" s="261"/>
      <c r="T43" s="261"/>
      <c r="U43" s="261"/>
      <c r="V43" s="261"/>
      <c r="W43" s="261"/>
      <c r="X43" s="262"/>
      <c r="Y43" s="114"/>
      <c r="Z43" s="114"/>
      <c r="AA43" s="20"/>
      <c r="AB43" s="104"/>
      <c r="BA43" s="64">
        <v>40</v>
      </c>
      <c r="BB43" s="83"/>
      <c r="BC43" s="83"/>
    </row>
    <row r="44" spans="2:55" ht="15">
      <c r="B44" s="103"/>
      <c r="C44" s="19"/>
      <c r="D44" s="114"/>
      <c r="E44" s="243"/>
      <c r="F44" s="73"/>
      <c r="G44" s="136"/>
      <c r="H44" s="136"/>
      <c r="I44" s="74"/>
      <c r="J44" s="73"/>
      <c r="K44" s="136"/>
      <c r="L44" s="136"/>
      <c r="M44" s="136"/>
      <c r="N44" s="136"/>
      <c r="O44" s="136"/>
      <c r="P44" s="73"/>
      <c r="Q44" s="136"/>
      <c r="R44" s="136"/>
      <c r="S44" s="136"/>
      <c r="T44" s="136"/>
      <c r="U44" s="136"/>
      <c r="V44" s="136"/>
      <c r="W44" s="136"/>
      <c r="X44" s="74"/>
      <c r="Y44" s="114"/>
      <c r="Z44" s="114"/>
      <c r="AA44" s="20"/>
      <c r="AB44" s="104"/>
      <c r="BA44" s="64">
        <v>41</v>
      </c>
      <c r="BB44" s="83"/>
      <c r="BC44" s="83"/>
    </row>
    <row r="45" spans="2:55" ht="15">
      <c r="B45" s="103"/>
      <c r="C45" s="19"/>
      <c r="D45" s="114"/>
      <c r="E45" s="243"/>
      <c r="F45" s="73"/>
      <c r="G45" s="136"/>
      <c r="H45" s="136"/>
      <c r="I45" s="74"/>
      <c r="J45" s="73"/>
      <c r="K45" s="136"/>
      <c r="L45" s="136"/>
      <c r="M45" s="136"/>
      <c r="N45" s="136"/>
      <c r="O45" s="136"/>
      <c r="P45" s="73"/>
      <c r="Q45" s="136"/>
      <c r="R45" s="136"/>
      <c r="S45" s="136"/>
      <c r="T45" s="136"/>
      <c r="U45" s="136"/>
      <c r="V45" s="136"/>
      <c r="W45" s="136"/>
      <c r="X45" s="74"/>
      <c r="Y45" s="114"/>
      <c r="Z45" s="114"/>
      <c r="AA45" s="20"/>
      <c r="AB45" s="104"/>
      <c r="BA45" s="64">
        <v>42</v>
      </c>
      <c r="BB45" s="83"/>
      <c r="BC45" s="83"/>
    </row>
    <row r="46" spans="2:55" ht="15.75" thickBot="1">
      <c r="B46" s="103"/>
      <c r="C46" s="19"/>
      <c r="D46" s="114"/>
      <c r="E46" s="244" t="str">
        <f>"b1 = "&amp;ROUND(L33/4,1)&amp;" m"</f>
        <v>b1 = 10 m</v>
      </c>
      <c r="F46" s="135"/>
      <c r="G46" s="135"/>
      <c r="H46" s="135"/>
      <c r="I46" s="135"/>
      <c r="J46" s="73"/>
      <c r="K46" s="136"/>
      <c r="L46" s="136"/>
      <c r="M46" s="136"/>
      <c r="N46" s="136"/>
      <c r="O46" s="136"/>
      <c r="P46" s="73"/>
      <c r="Q46" s="136"/>
      <c r="R46" s="136"/>
      <c r="S46" s="136"/>
      <c r="T46" s="136"/>
      <c r="U46" s="136"/>
      <c r="V46" s="136"/>
      <c r="W46" s="136"/>
      <c r="X46" s="74"/>
      <c r="Y46" s="114"/>
      <c r="Z46" s="114"/>
      <c r="AA46" s="20"/>
      <c r="AB46" s="104"/>
      <c r="BA46" s="64">
        <v>43</v>
      </c>
      <c r="BB46" s="83"/>
      <c r="BC46" s="83"/>
    </row>
    <row r="47" spans="2:55" ht="15">
      <c r="B47" s="103"/>
      <c r="C47" s="19"/>
      <c r="D47" s="114"/>
      <c r="E47" s="244"/>
      <c r="F47" s="245" t="s">
        <v>39</v>
      </c>
      <c r="G47" s="246"/>
      <c r="H47" s="246"/>
      <c r="I47" s="247"/>
      <c r="J47" s="73"/>
      <c r="K47" s="136"/>
      <c r="L47" s="136"/>
      <c r="M47" s="136"/>
      <c r="N47" s="136"/>
      <c r="O47" s="136"/>
      <c r="P47" s="73"/>
      <c r="Q47" s="136"/>
      <c r="R47" s="136"/>
      <c r="S47" s="136"/>
      <c r="T47" s="136"/>
      <c r="U47" s="136"/>
      <c r="V47" s="136"/>
      <c r="W47" s="136"/>
      <c r="X47" s="74"/>
      <c r="Y47" s="114"/>
      <c r="Z47" s="114"/>
      <c r="AA47" s="20"/>
      <c r="AB47" s="104"/>
      <c r="BA47" s="64">
        <v>44</v>
      </c>
      <c r="BB47" s="83"/>
      <c r="BC47" s="83"/>
    </row>
    <row r="48" spans="2:55" ht="15">
      <c r="B48" s="103"/>
      <c r="C48" s="19"/>
      <c r="D48" s="114"/>
      <c r="E48" s="244"/>
      <c r="F48" s="254" t="str">
        <f>F37</f>
        <v>-0.99 kN/m2</v>
      </c>
      <c r="G48" s="255"/>
      <c r="H48" s="255"/>
      <c r="I48" s="256"/>
      <c r="J48" s="73"/>
      <c r="K48" s="136"/>
      <c r="L48" s="136"/>
      <c r="M48" s="136"/>
      <c r="N48" s="136"/>
      <c r="O48" s="136"/>
      <c r="P48" s="73"/>
      <c r="Q48" s="136"/>
      <c r="R48" s="136"/>
      <c r="S48" s="136"/>
      <c r="T48" s="136"/>
      <c r="U48" s="136"/>
      <c r="V48" s="136"/>
      <c r="W48" s="136"/>
      <c r="X48" s="74"/>
      <c r="Y48" s="114"/>
      <c r="Z48" s="114"/>
      <c r="AA48" s="20"/>
      <c r="AB48" s="104"/>
      <c r="BA48" s="64">
        <v>45</v>
      </c>
      <c r="BB48" s="83"/>
      <c r="BC48" s="83"/>
    </row>
    <row r="49" spans="2:55" ht="15.75" thickBot="1">
      <c r="B49" s="103"/>
      <c r="C49" s="19"/>
      <c r="D49" s="114"/>
      <c r="E49" s="244"/>
      <c r="F49" s="251" t="str">
        <f>F38</f>
        <v>-0.77 kN/m2</v>
      </c>
      <c r="G49" s="252"/>
      <c r="H49" s="252"/>
      <c r="I49" s="253"/>
      <c r="J49" s="75"/>
      <c r="K49" s="76"/>
      <c r="L49" s="76"/>
      <c r="M49" s="76"/>
      <c r="N49" s="76"/>
      <c r="O49" s="76"/>
      <c r="P49" s="75"/>
      <c r="Q49" s="76"/>
      <c r="R49" s="76"/>
      <c r="S49" s="76"/>
      <c r="T49" s="76"/>
      <c r="U49" s="76"/>
      <c r="V49" s="76"/>
      <c r="W49" s="76"/>
      <c r="X49" s="77"/>
      <c r="Y49" s="114"/>
      <c r="Z49" s="114"/>
      <c r="AA49" s="20"/>
      <c r="AB49" s="104"/>
      <c r="BA49" s="64">
        <v>46</v>
      </c>
      <c r="BB49" s="83"/>
      <c r="BC49" s="83"/>
    </row>
    <row r="50" spans="2:55" ht="15" customHeight="1">
      <c r="B50" s="103"/>
      <c r="C50" s="19"/>
      <c r="D50" s="114"/>
      <c r="E50" s="114"/>
      <c r="F50" s="114"/>
      <c r="G50" s="114"/>
      <c r="H50" s="114"/>
      <c r="I50" s="114"/>
      <c r="J50" s="114"/>
      <c r="K50" s="114"/>
      <c r="L50" s="114"/>
      <c r="M50" s="114"/>
      <c r="N50" s="114"/>
      <c r="O50" s="114"/>
      <c r="P50" s="114"/>
      <c r="Q50" s="114"/>
      <c r="R50" s="114"/>
      <c r="S50" s="114"/>
      <c r="T50" s="114"/>
      <c r="U50" s="114"/>
      <c r="V50" s="114"/>
      <c r="W50" s="114"/>
      <c r="X50" s="114"/>
      <c r="Y50" s="114"/>
      <c r="Z50" s="114"/>
      <c r="AA50" s="20"/>
      <c r="AB50" s="104"/>
      <c r="BA50" s="64">
        <v>47</v>
      </c>
      <c r="BB50" s="83"/>
      <c r="BC50" s="83"/>
    </row>
    <row r="51" spans="2:55" ht="15">
      <c r="B51" s="103"/>
      <c r="C51" s="21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3"/>
      <c r="AB51" s="104"/>
      <c r="BA51" s="64">
        <v>48</v>
      </c>
      <c r="BB51" s="83"/>
      <c r="BC51" s="83"/>
    </row>
    <row r="52" spans="2:55" ht="15">
      <c r="B52" s="103"/>
      <c r="C52" s="16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8"/>
      <c r="AB52" s="104"/>
      <c r="AC52" s="111"/>
      <c r="BA52" s="64">
        <v>49</v>
      </c>
      <c r="BB52" s="83"/>
      <c r="BC52" s="83"/>
    </row>
    <row r="53" spans="2:55" ht="15">
      <c r="B53" s="103"/>
      <c r="C53" s="19"/>
      <c r="D53" s="114"/>
      <c r="E53" s="114"/>
      <c r="F53" s="114"/>
      <c r="G53" s="114"/>
      <c r="H53" s="114"/>
      <c r="I53" s="114"/>
      <c r="J53" s="114"/>
      <c r="K53" s="114"/>
      <c r="L53" s="114"/>
      <c r="M53" s="114"/>
      <c r="N53" s="114"/>
      <c r="O53" s="114"/>
      <c r="P53" s="114"/>
      <c r="Q53" s="114"/>
      <c r="R53" s="114"/>
      <c r="S53" s="114"/>
      <c r="T53" s="114"/>
      <c r="U53" s="114"/>
      <c r="V53" s="114"/>
      <c r="W53" s="114"/>
      <c r="X53" s="114"/>
      <c r="Y53" s="114"/>
      <c r="Z53" s="114"/>
      <c r="AA53" s="20"/>
      <c r="AB53" s="104"/>
      <c r="AC53" s="111"/>
      <c r="BA53" s="64">
        <v>50</v>
      </c>
      <c r="BB53" s="83"/>
      <c r="BC53" s="83"/>
    </row>
    <row r="54" spans="2:55" ht="15.75" thickBot="1">
      <c r="B54" s="103"/>
      <c r="C54" s="19"/>
      <c r="D54" s="2"/>
      <c r="E54" s="114"/>
      <c r="F54" s="210" t="str">
        <f>P35</f>
        <v>d3 = 88.5 m</v>
      </c>
      <c r="G54" s="210"/>
      <c r="H54" s="210"/>
      <c r="I54" s="210"/>
      <c r="J54" s="210"/>
      <c r="K54" s="210"/>
      <c r="L54" s="210"/>
      <c r="M54" s="210"/>
      <c r="N54" s="210"/>
      <c r="O54" s="209" t="str">
        <f>J35</f>
        <v>d2 = 16 m</v>
      </c>
      <c r="P54" s="209"/>
      <c r="Q54" s="209"/>
      <c r="R54" s="209"/>
      <c r="S54" s="209"/>
      <c r="T54" s="209"/>
      <c r="U54" s="209" t="str">
        <f>F35</f>
        <v>d1 = 4 m</v>
      </c>
      <c r="V54" s="209"/>
      <c r="W54" s="209"/>
      <c r="X54" s="209"/>
      <c r="Y54" s="2"/>
      <c r="Z54" s="2"/>
      <c r="AA54" s="20"/>
      <c r="AB54" s="104"/>
      <c r="BA54" s="64">
        <v>51</v>
      </c>
      <c r="BB54" s="83"/>
      <c r="BC54" s="83"/>
    </row>
    <row r="55" spans="2:55" ht="15">
      <c r="B55" s="103"/>
      <c r="C55" s="19"/>
      <c r="D55" s="2"/>
      <c r="E55" s="2"/>
      <c r="F55" s="61"/>
      <c r="G55" s="62"/>
      <c r="H55" s="62"/>
      <c r="I55" s="62"/>
      <c r="J55" s="62"/>
      <c r="K55" s="62"/>
      <c r="L55" s="62"/>
      <c r="M55" s="62"/>
      <c r="N55" s="63"/>
      <c r="O55" s="61"/>
      <c r="P55" s="62"/>
      <c r="Q55" s="62"/>
      <c r="R55" s="62"/>
      <c r="S55" s="62"/>
      <c r="T55" s="62"/>
      <c r="U55" s="245" t="s">
        <v>39</v>
      </c>
      <c r="V55" s="246"/>
      <c r="W55" s="246"/>
      <c r="X55" s="247"/>
      <c r="Y55" s="205" t="str">
        <f>E36</f>
        <v>b3 = 10 m</v>
      </c>
      <c r="Z55" s="2"/>
      <c r="AA55" s="20"/>
      <c r="AB55" s="104"/>
      <c r="BA55" s="64">
        <v>52</v>
      </c>
      <c r="BB55" s="83"/>
      <c r="BC55" s="83"/>
    </row>
    <row r="56" spans="2:55" ht="15">
      <c r="B56" s="103"/>
      <c r="C56" s="19"/>
      <c r="D56" s="2"/>
      <c r="E56" s="2"/>
      <c r="F56" s="53"/>
      <c r="G56" s="134"/>
      <c r="H56" s="134"/>
      <c r="I56" s="134"/>
      <c r="J56" s="134"/>
      <c r="K56" s="134"/>
      <c r="L56" s="134"/>
      <c r="M56" s="134"/>
      <c r="N56" s="54"/>
      <c r="O56" s="53"/>
      <c r="P56" s="134"/>
      <c r="Q56" s="134"/>
      <c r="R56" s="134"/>
      <c r="S56" s="134"/>
      <c r="T56" s="134"/>
      <c r="U56" s="248" t="str">
        <f>F37</f>
        <v>-0.99 kN/m2</v>
      </c>
      <c r="V56" s="249"/>
      <c r="W56" s="249"/>
      <c r="X56" s="250"/>
      <c r="Y56" s="205"/>
      <c r="Z56" s="2"/>
      <c r="AA56" s="20"/>
      <c r="AB56" s="104"/>
      <c r="BA56" s="64">
        <v>53</v>
      </c>
      <c r="BB56" s="83"/>
      <c r="BC56" s="83"/>
    </row>
    <row r="57" spans="2:55" ht="15.75" thickBot="1">
      <c r="B57" s="103"/>
      <c r="C57" s="19"/>
      <c r="D57" s="2"/>
      <c r="E57" s="2"/>
      <c r="F57" s="53"/>
      <c r="G57" s="134"/>
      <c r="H57" s="134"/>
      <c r="I57" s="134"/>
      <c r="J57" s="134"/>
      <c r="K57" s="134"/>
      <c r="L57" s="134"/>
      <c r="M57" s="134"/>
      <c r="N57" s="54"/>
      <c r="O57" s="53"/>
      <c r="P57" s="134"/>
      <c r="Q57" s="134"/>
      <c r="R57" s="134"/>
      <c r="S57" s="134"/>
      <c r="T57" s="134"/>
      <c r="U57" s="251" t="str">
        <f>F38</f>
        <v>-0.77 kN/m2</v>
      </c>
      <c r="V57" s="252"/>
      <c r="W57" s="252"/>
      <c r="X57" s="253"/>
      <c r="Y57" s="205"/>
      <c r="Z57" s="2"/>
      <c r="AA57" s="20"/>
      <c r="AB57" s="104"/>
      <c r="BA57" s="64">
        <v>54</v>
      </c>
      <c r="BB57" s="83"/>
      <c r="BC57" s="83"/>
    </row>
    <row r="58" spans="2:55" ht="15">
      <c r="B58" s="103"/>
      <c r="C58" s="19"/>
      <c r="D58" s="2"/>
      <c r="E58" s="2"/>
      <c r="F58" s="53"/>
      <c r="G58" s="134"/>
      <c r="H58" s="134"/>
      <c r="I58" s="134"/>
      <c r="J58" s="134"/>
      <c r="K58" s="134"/>
      <c r="L58" s="134"/>
      <c r="M58" s="134"/>
      <c r="N58" s="54"/>
      <c r="O58" s="53"/>
      <c r="P58" s="134"/>
      <c r="Q58" s="134"/>
      <c r="R58" s="134"/>
      <c r="S58" s="134"/>
      <c r="T58" s="134"/>
      <c r="U58" s="73"/>
      <c r="V58" s="136"/>
      <c r="W58" s="136"/>
      <c r="X58" s="74"/>
      <c r="Y58" s="205"/>
      <c r="Z58" s="2"/>
      <c r="AA58" s="20"/>
      <c r="AB58" s="104"/>
      <c r="BA58" s="64">
        <v>55</v>
      </c>
      <c r="BB58" s="83"/>
      <c r="BC58" s="83"/>
    </row>
    <row r="59" spans="2:55" ht="15">
      <c r="B59" s="103"/>
      <c r="C59" s="19"/>
      <c r="D59" s="2"/>
      <c r="E59" s="2"/>
      <c r="F59" s="53"/>
      <c r="G59" s="134"/>
      <c r="H59" s="134"/>
      <c r="I59" s="134"/>
      <c r="J59" s="134"/>
      <c r="K59" s="134"/>
      <c r="L59" s="134"/>
      <c r="M59" s="134"/>
      <c r="N59" s="54"/>
      <c r="O59" s="53"/>
      <c r="P59" s="134"/>
      <c r="Q59" s="134"/>
      <c r="R59" s="134"/>
      <c r="S59" s="134"/>
      <c r="T59" s="134"/>
      <c r="U59" s="53"/>
      <c r="V59" s="134"/>
      <c r="W59" s="134"/>
      <c r="X59" s="54"/>
      <c r="Y59" s="205" t="str">
        <f>E40</f>
        <v>b2 = 51.5 m</v>
      </c>
      <c r="Z59" s="2"/>
      <c r="AA59" s="20"/>
      <c r="AB59" s="104"/>
      <c r="BA59" s="64">
        <v>56</v>
      </c>
      <c r="BB59" s="83"/>
      <c r="BC59" s="83"/>
    </row>
    <row r="60" spans="2:55" ht="15.75">
      <c r="B60" s="103"/>
      <c r="C60" s="19"/>
      <c r="D60" s="2"/>
      <c r="E60" s="2"/>
      <c r="F60" s="257" t="str">
        <f>P41</f>
        <v>Zone I</v>
      </c>
      <c r="G60" s="258"/>
      <c r="H60" s="258"/>
      <c r="I60" s="258"/>
      <c r="J60" s="258"/>
      <c r="K60" s="258"/>
      <c r="L60" s="258"/>
      <c r="M60" s="258"/>
      <c r="N60" s="259"/>
      <c r="O60" s="257" t="str">
        <f>J41</f>
        <v>Zone H</v>
      </c>
      <c r="P60" s="258"/>
      <c r="Q60" s="258"/>
      <c r="R60" s="258"/>
      <c r="S60" s="258"/>
      <c r="T60" s="259"/>
      <c r="U60" s="257" t="s">
        <v>42</v>
      </c>
      <c r="V60" s="258"/>
      <c r="W60" s="258"/>
      <c r="X60" s="259"/>
      <c r="Y60" s="205"/>
      <c r="Z60" s="142" t="s">
        <v>64</v>
      </c>
      <c r="AA60" s="20"/>
      <c r="AB60" s="104"/>
      <c r="BA60" s="64">
        <v>57</v>
      </c>
      <c r="BB60" s="83"/>
      <c r="BC60" s="83"/>
    </row>
    <row r="61" spans="2:55" ht="15">
      <c r="B61" s="103"/>
      <c r="C61" s="19"/>
      <c r="D61" s="2"/>
      <c r="E61" s="2"/>
      <c r="F61" s="248" t="str">
        <f>P42</f>
        <v>-0.22 kN/m2</v>
      </c>
      <c r="G61" s="249"/>
      <c r="H61" s="249"/>
      <c r="I61" s="249"/>
      <c r="J61" s="249"/>
      <c r="K61" s="249"/>
      <c r="L61" s="249"/>
      <c r="M61" s="249"/>
      <c r="N61" s="250"/>
      <c r="O61" s="248" t="str">
        <f>J42</f>
        <v>-0.49 kN/m2</v>
      </c>
      <c r="P61" s="249"/>
      <c r="Q61" s="249"/>
      <c r="R61" s="249"/>
      <c r="S61" s="249"/>
      <c r="T61" s="250"/>
      <c r="U61" s="248" t="str">
        <f>F42</f>
        <v>-0.71 kN/m2</v>
      </c>
      <c r="V61" s="249"/>
      <c r="W61" s="249"/>
      <c r="X61" s="250"/>
      <c r="Y61" s="205"/>
      <c r="Z61" s="2"/>
      <c r="AA61" s="20"/>
      <c r="AB61" s="104"/>
      <c r="BA61" s="64">
        <v>58</v>
      </c>
      <c r="BB61" s="83"/>
      <c r="BC61" s="83"/>
    </row>
    <row r="62" spans="2:55" ht="15">
      <c r="B62" s="103"/>
      <c r="C62" s="19"/>
      <c r="D62" s="2"/>
      <c r="E62" s="2"/>
      <c r="F62" s="260" t="str">
        <f>P43</f>
        <v>0.22 kN/m2</v>
      </c>
      <c r="G62" s="261"/>
      <c r="H62" s="261"/>
      <c r="I62" s="261"/>
      <c r="J62" s="261"/>
      <c r="K62" s="261"/>
      <c r="L62" s="261"/>
      <c r="M62" s="261"/>
      <c r="N62" s="262"/>
      <c r="O62" s="260" t="str">
        <f>J43</f>
        <v>-0.27 kN/m2</v>
      </c>
      <c r="P62" s="261"/>
      <c r="Q62" s="261"/>
      <c r="R62" s="261"/>
      <c r="S62" s="261"/>
      <c r="T62" s="262"/>
      <c r="U62" s="260" t="str">
        <f>F43</f>
        <v>-0.49 kN/m2</v>
      </c>
      <c r="V62" s="261"/>
      <c r="W62" s="261"/>
      <c r="X62" s="262"/>
      <c r="Y62" s="205"/>
      <c r="Z62" s="2"/>
      <c r="AA62" s="20"/>
      <c r="AB62" s="104"/>
      <c r="BA62" s="64">
        <v>59</v>
      </c>
      <c r="BB62" s="83"/>
      <c r="BC62" s="83"/>
    </row>
    <row r="63" spans="2:55" ht="15">
      <c r="B63" s="103"/>
      <c r="C63" s="19"/>
      <c r="D63" s="2"/>
      <c r="E63" s="2"/>
      <c r="F63" s="73"/>
      <c r="G63" s="136"/>
      <c r="H63" s="136"/>
      <c r="I63" s="136"/>
      <c r="J63" s="136"/>
      <c r="K63" s="136"/>
      <c r="L63" s="136"/>
      <c r="M63" s="136"/>
      <c r="N63" s="74"/>
      <c r="O63" s="73"/>
      <c r="P63" s="136"/>
      <c r="Q63" s="136"/>
      <c r="R63" s="136"/>
      <c r="S63" s="136"/>
      <c r="T63" s="136"/>
      <c r="U63" s="73"/>
      <c r="V63" s="136"/>
      <c r="W63" s="136"/>
      <c r="X63" s="74"/>
      <c r="Y63" s="205"/>
      <c r="Z63" s="2"/>
      <c r="AA63" s="20"/>
      <c r="AB63" s="104"/>
      <c r="BA63" s="64">
        <v>60</v>
      </c>
      <c r="BB63" s="83"/>
      <c r="BC63" s="83"/>
    </row>
    <row r="64" spans="2:55" ht="15">
      <c r="B64" s="103"/>
      <c r="C64" s="19"/>
      <c r="D64" s="2"/>
      <c r="E64" s="2"/>
      <c r="F64" s="73"/>
      <c r="G64" s="136"/>
      <c r="H64" s="136"/>
      <c r="I64" s="136"/>
      <c r="J64" s="136"/>
      <c r="K64" s="136"/>
      <c r="L64" s="136"/>
      <c r="M64" s="136"/>
      <c r="N64" s="74"/>
      <c r="O64" s="73"/>
      <c r="P64" s="136"/>
      <c r="Q64" s="136"/>
      <c r="R64" s="136"/>
      <c r="S64" s="136"/>
      <c r="T64" s="136"/>
      <c r="U64" s="73"/>
      <c r="V64" s="136"/>
      <c r="W64" s="136"/>
      <c r="X64" s="74"/>
      <c r="Y64" s="205"/>
      <c r="Z64" s="2"/>
      <c r="AA64" s="20"/>
      <c r="AB64" s="104"/>
      <c r="BA64" s="64">
        <v>61</v>
      </c>
      <c r="BB64" s="83"/>
      <c r="BC64" s="83"/>
    </row>
    <row r="65" spans="2:55" ht="15.75" thickBot="1">
      <c r="B65" s="103"/>
      <c r="C65" s="19"/>
      <c r="D65" s="2"/>
      <c r="E65" s="2"/>
      <c r="F65" s="73"/>
      <c r="G65" s="136"/>
      <c r="H65" s="136"/>
      <c r="I65" s="136"/>
      <c r="J65" s="136"/>
      <c r="K65" s="136"/>
      <c r="L65" s="136"/>
      <c r="M65" s="136"/>
      <c r="N65" s="74"/>
      <c r="O65" s="73"/>
      <c r="P65" s="136"/>
      <c r="Q65" s="136"/>
      <c r="R65" s="136"/>
      <c r="S65" s="136"/>
      <c r="T65" s="136"/>
      <c r="U65" s="53"/>
      <c r="V65" s="134"/>
      <c r="W65" s="134"/>
      <c r="X65" s="54"/>
      <c r="Y65" s="205" t="str">
        <f>E46</f>
        <v>b1 = 10 m</v>
      </c>
      <c r="Z65" s="2"/>
      <c r="AA65" s="20"/>
      <c r="AB65" s="104"/>
      <c r="BA65" s="64">
        <v>62</v>
      </c>
      <c r="BB65" s="83"/>
      <c r="BC65" s="83"/>
    </row>
    <row r="66" spans="2:55" ht="15">
      <c r="B66" s="103"/>
      <c r="C66" s="19"/>
      <c r="D66" s="2"/>
      <c r="E66" s="2"/>
      <c r="F66" s="73"/>
      <c r="G66" s="136"/>
      <c r="H66" s="136"/>
      <c r="I66" s="136"/>
      <c r="J66" s="136"/>
      <c r="K66" s="136"/>
      <c r="L66" s="136"/>
      <c r="M66" s="136"/>
      <c r="N66" s="74"/>
      <c r="O66" s="73"/>
      <c r="P66" s="136"/>
      <c r="Q66" s="136"/>
      <c r="R66" s="136"/>
      <c r="S66" s="136"/>
      <c r="T66" s="136"/>
      <c r="U66" s="245" t="str">
        <f>U55</f>
        <v>Zone F</v>
      </c>
      <c r="V66" s="246"/>
      <c r="W66" s="246"/>
      <c r="X66" s="247"/>
      <c r="Y66" s="205"/>
      <c r="Z66" s="2"/>
      <c r="AA66" s="20"/>
      <c r="AB66" s="104"/>
      <c r="BA66" s="64">
        <v>63</v>
      </c>
      <c r="BB66" s="83"/>
      <c r="BC66" s="83"/>
    </row>
    <row r="67" spans="2:55" ht="15">
      <c r="B67" s="103"/>
      <c r="C67" s="19"/>
      <c r="D67" s="2"/>
      <c r="E67" s="2"/>
      <c r="F67" s="73"/>
      <c r="G67" s="136"/>
      <c r="H67" s="136"/>
      <c r="I67" s="136"/>
      <c r="J67" s="136"/>
      <c r="K67" s="136"/>
      <c r="L67" s="136"/>
      <c r="M67" s="136"/>
      <c r="N67" s="74"/>
      <c r="O67" s="73"/>
      <c r="P67" s="136"/>
      <c r="Q67" s="136"/>
      <c r="R67" s="136"/>
      <c r="S67" s="136"/>
      <c r="T67" s="136"/>
      <c r="U67" s="254" t="str">
        <f>U56</f>
        <v>-0.99 kN/m2</v>
      </c>
      <c r="V67" s="255"/>
      <c r="W67" s="255"/>
      <c r="X67" s="256"/>
      <c r="Y67" s="205"/>
      <c r="Z67" s="2"/>
      <c r="AA67" s="20"/>
      <c r="AB67" s="104"/>
      <c r="BA67" s="64">
        <v>64</v>
      </c>
      <c r="BB67" s="83"/>
      <c r="BC67" s="83"/>
    </row>
    <row r="68" spans="2:55" ht="15.75" thickBot="1">
      <c r="B68" s="103"/>
      <c r="C68" s="19"/>
      <c r="D68" s="2"/>
      <c r="E68" s="2"/>
      <c r="F68" s="75"/>
      <c r="G68" s="76"/>
      <c r="H68" s="76"/>
      <c r="I68" s="76"/>
      <c r="J68" s="76"/>
      <c r="K68" s="76"/>
      <c r="L68" s="76"/>
      <c r="M68" s="76"/>
      <c r="N68" s="77"/>
      <c r="O68" s="75"/>
      <c r="P68" s="76"/>
      <c r="Q68" s="76"/>
      <c r="R68" s="76"/>
      <c r="S68" s="76"/>
      <c r="T68" s="76"/>
      <c r="U68" s="251" t="str">
        <f>U57</f>
        <v>-0.77 kN/m2</v>
      </c>
      <c r="V68" s="252"/>
      <c r="W68" s="252"/>
      <c r="X68" s="253"/>
      <c r="Y68" s="205"/>
      <c r="Z68" s="2"/>
      <c r="AA68" s="20"/>
      <c r="AB68" s="104"/>
      <c r="BA68" s="64">
        <v>65</v>
      </c>
      <c r="BB68" s="83"/>
      <c r="BC68" s="83"/>
    </row>
    <row r="69" spans="2:55" ht="15">
      <c r="B69" s="103"/>
      <c r="C69" s="19"/>
      <c r="D69" s="114"/>
      <c r="E69" s="114"/>
      <c r="F69" s="114"/>
      <c r="G69" s="114"/>
      <c r="H69" s="114"/>
      <c r="I69" s="114"/>
      <c r="J69" s="114"/>
      <c r="K69" s="114"/>
      <c r="L69" s="114"/>
      <c r="M69" s="114"/>
      <c r="N69" s="114"/>
      <c r="O69" s="114"/>
      <c r="P69" s="114"/>
      <c r="Q69" s="114"/>
      <c r="R69" s="114"/>
      <c r="S69" s="114"/>
      <c r="T69" s="114"/>
      <c r="U69" s="114"/>
      <c r="V69" s="114"/>
      <c r="W69" s="114"/>
      <c r="X69" s="114"/>
      <c r="Y69" s="114"/>
      <c r="Z69" s="114"/>
      <c r="AA69" s="20"/>
      <c r="AB69" s="104"/>
      <c r="BA69" s="64">
        <v>66</v>
      </c>
      <c r="BB69" s="83"/>
      <c r="BC69" s="83"/>
    </row>
    <row r="70" spans="2:55" ht="15">
      <c r="B70" s="103"/>
      <c r="C70" s="21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3"/>
      <c r="AB70" s="104"/>
      <c r="BA70" s="64">
        <v>67</v>
      </c>
      <c r="BB70" s="83"/>
      <c r="BC70" s="83"/>
    </row>
    <row r="71" spans="2:55" ht="15">
      <c r="B71" s="103"/>
      <c r="C71" s="19"/>
      <c r="D71" s="114"/>
      <c r="E71" s="114"/>
      <c r="F71" s="278" t="s">
        <v>59</v>
      </c>
      <c r="G71" s="278"/>
      <c r="H71" s="276">
        <f>M14</f>
        <v>108.5</v>
      </c>
      <c r="I71" s="277"/>
      <c r="J71" s="17"/>
      <c r="K71" s="278" t="s">
        <v>60</v>
      </c>
      <c r="L71" s="278"/>
      <c r="M71" s="277">
        <f>MIN(H71,2*M15)</f>
        <v>40</v>
      </c>
      <c r="N71" s="277"/>
      <c r="O71" s="114"/>
      <c r="P71" s="114"/>
      <c r="Q71" s="114"/>
      <c r="R71" s="114"/>
      <c r="S71" s="114"/>
      <c r="T71" s="114"/>
      <c r="U71" s="114"/>
      <c r="V71" s="114"/>
      <c r="W71" s="114"/>
      <c r="X71" s="114"/>
      <c r="Y71" s="114"/>
      <c r="Z71" s="114"/>
      <c r="AA71" s="20"/>
      <c r="AB71" s="104"/>
      <c r="BA71" s="64">
        <v>68</v>
      </c>
      <c r="BB71" s="83"/>
      <c r="BC71" s="83"/>
    </row>
    <row r="72" spans="2:55" ht="15">
      <c r="B72" s="103"/>
      <c r="C72" s="19"/>
      <c r="D72" s="114"/>
      <c r="E72" s="114"/>
      <c r="F72" s="202" t="s">
        <v>61</v>
      </c>
      <c r="G72" s="202"/>
      <c r="H72" s="203">
        <f>M13</f>
        <v>71.5</v>
      </c>
      <c r="I72" s="204"/>
      <c r="J72" s="114"/>
      <c r="K72" s="114"/>
      <c r="L72" s="114" t="s">
        <v>73</v>
      </c>
      <c r="M72" s="204" t="str">
        <f>M71/10&amp;" m"</f>
        <v>4 m</v>
      </c>
      <c r="N72" s="204"/>
      <c r="O72" s="114"/>
      <c r="P72" s="114"/>
      <c r="Q72" s="114"/>
      <c r="R72" s="114"/>
      <c r="S72" s="114"/>
      <c r="T72" s="114"/>
      <c r="U72" s="114"/>
      <c r="V72" s="114"/>
      <c r="W72" s="114"/>
      <c r="X72" s="114"/>
      <c r="Y72" s="114"/>
      <c r="Z72" s="114"/>
      <c r="AA72" s="20"/>
      <c r="AB72" s="104"/>
      <c r="BA72" s="64">
        <v>69</v>
      </c>
      <c r="BB72" s="83"/>
      <c r="BC72" s="83"/>
    </row>
    <row r="73" spans="2:55" ht="15.75" thickBot="1">
      <c r="B73" s="103"/>
      <c r="C73" s="19"/>
      <c r="D73" s="114"/>
      <c r="E73" s="114"/>
      <c r="F73" s="114"/>
      <c r="G73" s="114"/>
      <c r="H73" s="114"/>
      <c r="I73" s="114"/>
      <c r="J73" s="114"/>
      <c r="K73" s="114"/>
      <c r="L73" s="114"/>
      <c r="M73" s="114"/>
      <c r="N73" s="114"/>
      <c r="O73" s="114"/>
      <c r="P73" s="114"/>
      <c r="Q73" s="114"/>
      <c r="R73" s="114"/>
      <c r="S73" s="114"/>
      <c r="T73" s="114"/>
      <c r="U73" s="114"/>
      <c r="V73" s="114"/>
      <c r="W73" s="114"/>
      <c r="X73" s="114"/>
      <c r="Y73" s="114"/>
      <c r="Z73" s="114"/>
      <c r="AA73" s="20"/>
      <c r="AB73" s="104"/>
      <c r="BA73" s="64">
        <v>70</v>
      </c>
      <c r="BB73" s="83"/>
      <c r="BC73" s="83"/>
    </row>
    <row r="74" spans="2:55" ht="15">
      <c r="B74" s="103"/>
      <c r="C74" s="19"/>
      <c r="D74" s="2"/>
      <c r="E74" s="2"/>
      <c r="F74" s="61"/>
      <c r="G74" s="62"/>
      <c r="H74" s="62"/>
      <c r="I74" s="62"/>
      <c r="J74" s="62"/>
      <c r="K74" s="62"/>
      <c r="L74" s="62"/>
      <c r="M74" s="62"/>
      <c r="N74" s="62"/>
      <c r="O74" s="62"/>
      <c r="P74" s="62"/>
      <c r="Q74" s="62"/>
      <c r="R74" s="62"/>
      <c r="S74" s="62"/>
      <c r="T74" s="62"/>
      <c r="U74" s="62"/>
      <c r="V74" s="62"/>
      <c r="W74" s="62"/>
      <c r="X74" s="63"/>
      <c r="Y74" s="291" t="str">
        <f>"d3 = " &amp;ROUND(H72-M71/2,1)&amp;" m"</f>
        <v>d3 = 51.5 m</v>
      </c>
      <c r="Z74" s="2"/>
      <c r="AA74" s="20"/>
      <c r="AB74" s="137"/>
      <c r="BA74" s="64">
        <v>71</v>
      </c>
      <c r="BB74" s="83"/>
      <c r="BC74" s="83"/>
    </row>
    <row r="75" spans="2:55" ht="15">
      <c r="B75" s="103"/>
      <c r="C75" s="19"/>
      <c r="D75" s="2"/>
      <c r="E75" s="2"/>
      <c r="F75" s="53"/>
      <c r="G75" s="134"/>
      <c r="H75" s="134"/>
      <c r="I75" s="134"/>
      <c r="J75" s="134"/>
      <c r="K75" s="134"/>
      <c r="L75" s="134"/>
      <c r="M75" s="134"/>
      <c r="N75" s="134"/>
      <c r="O75" s="134"/>
      <c r="P75" s="134"/>
      <c r="Q75" s="134"/>
      <c r="R75" s="134"/>
      <c r="S75" s="134"/>
      <c r="T75" s="134"/>
      <c r="U75" s="134"/>
      <c r="V75" s="134"/>
      <c r="W75" s="134"/>
      <c r="X75" s="54"/>
      <c r="Y75" s="291"/>
      <c r="Z75" s="2"/>
      <c r="AA75" s="20"/>
      <c r="AB75" s="137"/>
      <c r="BA75" s="64">
        <v>72</v>
      </c>
      <c r="BB75" s="83"/>
      <c r="BC75" s="83"/>
    </row>
    <row r="76" spans="2:55" ht="15">
      <c r="B76" s="103"/>
      <c r="C76" s="19"/>
      <c r="D76" s="2"/>
      <c r="E76" s="2"/>
      <c r="F76" s="53"/>
      <c r="G76" s="134"/>
      <c r="H76" s="134"/>
      <c r="I76" s="134"/>
      <c r="J76" s="134"/>
      <c r="K76" s="134"/>
      <c r="L76" s="134"/>
      <c r="M76" s="134"/>
      <c r="N76" s="134"/>
      <c r="O76" s="134"/>
      <c r="P76" s="134"/>
      <c r="Q76" s="134"/>
      <c r="R76" s="134"/>
      <c r="S76" s="134"/>
      <c r="T76" s="134"/>
      <c r="U76" s="134"/>
      <c r="V76" s="134"/>
      <c r="W76" s="134"/>
      <c r="X76" s="54"/>
      <c r="Y76" s="291"/>
      <c r="Z76" s="2"/>
      <c r="AA76" s="20"/>
      <c r="AB76" s="137"/>
      <c r="BA76" s="64">
        <v>73</v>
      </c>
      <c r="BB76" s="83"/>
      <c r="BC76" s="83"/>
    </row>
    <row r="77" spans="2:55" ht="15">
      <c r="B77" s="103"/>
      <c r="C77" s="19"/>
      <c r="D77" s="2"/>
      <c r="E77" s="2"/>
      <c r="F77" s="257" t="s">
        <v>41</v>
      </c>
      <c r="G77" s="258"/>
      <c r="H77" s="258"/>
      <c r="I77" s="258"/>
      <c r="J77" s="258"/>
      <c r="K77" s="258"/>
      <c r="L77" s="258"/>
      <c r="M77" s="258"/>
      <c r="N77" s="258"/>
      <c r="O77" s="258"/>
      <c r="P77" s="258"/>
      <c r="Q77" s="258"/>
      <c r="R77" s="258"/>
      <c r="S77" s="258"/>
      <c r="T77" s="258"/>
      <c r="U77" s="258"/>
      <c r="V77" s="258"/>
      <c r="W77" s="258"/>
      <c r="X77" s="259"/>
      <c r="Y77" s="291"/>
      <c r="Z77" s="2"/>
      <c r="AA77" s="20"/>
      <c r="AB77" s="137"/>
      <c r="BA77" s="64">
        <v>74</v>
      </c>
      <c r="BB77" s="83"/>
      <c r="BC77" s="83"/>
    </row>
    <row r="78" spans="2:55" ht="15">
      <c r="B78" s="103"/>
      <c r="C78" s="19"/>
      <c r="D78" s="2"/>
      <c r="E78" s="2"/>
      <c r="F78" s="248" t="str">
        <f>F61</f>
        <v>-0.22 kN/m2</v>
      </c>
      <c r="G78" s="249"/>
      <c r="H78" s="249"/>
      <c r="I78" s="249"/>
      <c r="J78" s="249"/>
      <c r="K78" s="249"/>
      <c r="L78" s="249"/>
      <c r="M78" s="249"/>
      <c r="N78" s="249"/>
      <c r="O78" s="249"/>
      <c r="P78" s="249"/>
      <c r="Q78" s="249"/>
      <c r="R78" s="249"/>
      <c r="S78" s="249"/>
      <c r="T78" s="249"/>
      <c r="U78" s="249"/>
      <c r="V78" s="249"/>
      <c r="W78" s="249"/>
      <c r="X78" s="250"/>
      <c r="Y78" s="291"/>
      <c r="Z78" s="2"/>
      <c r="AA78" s="20"/>
      <c r="AB78" s="137"/>
      <c r="BA78" s="64">
        <v>75</v>
      </c>
      <c r="BB78" s="83"/>
      <c r="BC78" s="83"/>
    </row>
    <row r="79" spans="2:55" ht="15">
      <c r="B79" s="103"/>
      <c r="C79" s="19"/>
      <c r="D79" s="2"/>
      <c r="E79" s="2"/>
      <c r="F79" s="292" t="str">
        <f>F62</f>
        <v>0.22 kN/m2</v>
      </c>
      <c r="G79" s="293"/>
      <c r="H79" s="293"/>
      <c r="I79" s="293"/>
      <c r="J79" s="293"/>
      <c r="K79" s="293"/>
      <c r="L79" s="293"/>
      <c r="M79" s="293"/>
      <c r="N79" s="293"/>
      <c r="O79" s="293"/>
      <c r="P79" s="293"/>
      <c r="Q79" s="293"/>
      <c r="R79" s="293"/>
      <c r="S79" s="293"/>
      <c r="T79" s="293"/>
      <c r="U79" s="293"/>
      <c r="V79" s="293"/>
      <c r="W79" s="293"/>
      <c r="X79" s="294"/>
      <c r="Y79" s="291"/>
      <c r="Z79" s="2"/>
      <c r="AA79" s="20"/>
      <c r="AB79" s="137"/>
      <c r="BA79" s="64">
        <v>76</v>
      </c>
      <c r="BB79" s="83"/>
      <c r="BC79" s="83"/>
    </row>
    <row r="80" spans="2:55" ht="15">
      <c r="B80" s="103"/>
      <c r="C80" s="19"/>
      <c r="D80" s="2"/>
      <c r="E80" s="2"/>
      <c r="F80" s="53"/>
      <c r="G80" s="134"/>
      <c r="H80" s="134"/>
      <c r="I80" s="134"/>
      <c r="J80" s="134"/>
      <c r="K80" s="134"/>
      <c r="L80" s="134"/>
      <c r="M80" s="134"/>
      <c r="N80" s="134"/>
      <c r="O80" s="134"/>
      <c r="P80" s="134"/>
      <c r="Q80" s="134"/>
      <c r="R80" s="134"/>
      <c r="S80" s="134"/>
      <c r="T80" s="134"/>
      <c r="U80" s="134"/>
      <c r="V80" s="134"/>
      <c r="W80" s="134"/>
      <c r="X80" s="54"/>
      <c r="Y80" s="291"/>
      <c r="Z80" s="2"/>
      <c r="AA80" s="20"/>
      <c r="AB80" s="137"/>
      <c r="BA80" s="64">
        <v>77</v>
      </c>
      <c r="BB80" s="83"/>
      <c r="BC80" s="83"/>
    </row>
    <row r="81" spans="2:55" ht="15.75" thickBot="1">
      <c r="B81" s="103"/>
      <c r="C81" s="19"/>
      <c r="D81" s="2"/>
      <c r="E81" s="2"/>
      <c r="F81" s="58"/>
      <c r="G81" s="59"/>
      <c r="H81" s="59"/>
      <c r="I81" s="59"/>
      <c r="J81" s="59"/>
      <c r="K81" s="59"/>
      <c r="L81" s="59"/>
      <c r="M81" s="59"/>
      <c r="N81" s="59"/>
      <c r="O81" s="59"/>
      <c r="P81" s="59"/>
      <c r="Q81" s="59"/>
      <c r="R81" s="59"/>
      <c r="S81" s="59"/>
      <c r="T81" s="59"/>
      <c r="U81" s="59"/>
      <c r="V81" s="59"/>
      <c r="W81" s="59"/>
      <c r="X81" s="60"/>
      <c r="Y81" s="291"/>
      <c r="Z81" s="2"/>
      <c r="AA81" s="20"/>
      <c r="AB81" s="137"/>
      <c r="BA81" s="64">
        <v>78</v>
      </c>
      <c r="BB81" s="83"/>
      <c r="BC81" s="83"/>
    </row>
    <row r="82" spans="2:55" ht="15">
      <c r="B82" s="103"/>
      <c r="C82" s="19"/>
      <c r="D82" s="2"/>
      <c r="E82" s="2"/>
      <c r="F82" s="53"/>
      <c r="G82" s="134"/>
      <c r="H82" s="134"/>
      <c r="I82" s="134"/>
      <c r="J82" s="134"/>
      <c r="K82" s="134"/>
      <c r="L82" s="134"/>
      <c r="M82" s="134"/>
      <c r="N82" s="134"/>
      <c r="O82" s="134"/>
      <c r="P82" s="134"/>
      <c r="Q82" s="134"/>
      <c r="R82" s="134"/>
      <c r="S82" s="134"/>
      <c r="T82" s="134"/>
      <c r="U82" s="134"/>
      <c r="V82" s="134"/>
      <c r="W82" s="134"/>
      <c r="X82" s="54"/>
      <c r="Y82" s="291" t="str">
        <f>"d2 = " &amp;ROUND(2*M71/5,0)&amp;" m"</f>
        <v>d2 = 16 m</v>
      </c>
      <c r="Z82" s="2"/>
      <c r="AA82" s="20"/>
      <c r="AB82" s="137"/>
      <c r="BA82" s="64">
        <v>79</v>
      </c>
      <c r="BB82" s="83"/>
      <c r="BC82" s="83"/>
    </row>
    <row r="83" spans="2:55" ht="15">
      <c r="B83" s="103"/>
      <c r="C83" s="19"/>
      <c r="D83" s="2"/>
      <c r="E83" s="2"/>
      <c r="F83" s="53"/>
      <c r="G83" s="134"/>
      <c r="H83" s="134"/>
      <c r="I83" s="134"/>
      <c r="J83" s="134"/>
      <c r="K83" s="134"/>
      <c r="L83" s="134"/>
      <c r="M83" s="134"/>
      <c r="N83" s="134"/>
      <c r="O83" s="134"/>
      <c r="P83" s="134"/>
      <c r="Q83" s="134"/>
      <c r="R83" s="134"/>
      <c r="S83" s="134"/>
      <c r="T83" s="134"/>
      <c r="U83" s="134"/>
      <c r="V83" s="134"/>
      <c r="W83" s="134"/>
      <c r="X83" s="54"/>
      <c r="Y83" s="291"/>
      <c r="Z83" s="2"/>
      <c r="AA83" s="20"/>
      <c r="AB83" s="137"/>
      <c r="BA83" s="64">
        <v>80</v>
      </c>
      <c r="BB83" s="83"/>
      <c r="BC83" s="83"/>
    </row>
    <row r="84" spans="2:55" ht="15">
      <c r="B84" s="103"/>
      <c r="C84" s="19"/>
      <c r="D84" s="2"/>
      <c r="E84" s="2"/>
      <c r="F84" s="257" t="s">
        <v>40</v>
      </c>
      <c r="G84" s="258"/>
      <c r="H84" s="258"/>
      <c r="I84" s="258"/>
      <c r="J84" s="258"/>
      <c r="K84" s="258"/>
      <c r="L84" s="258"/>
      <c r="M84" s="258"/>
      <c r="N84" s="258"/>
      <c r="O84" s="258"/>
      <c r="P84" s="258"/>
      <c r="Q84" s="258"/>
      <c r="R84" s="258"/>
      <c r="S84" s="258"/>
      <c r="T84" s="258"/>
      <c r="U84" s="258"/>
      <c r="V84" s="258"/>
      <c r="W84" s="258"/>
      <c r="X84" s="259"/>
      <c r="Y84" s="291"/>
      <c r="Z84" s="2"/>
      <c r="AA84" s="20"/>
      <c r="AB84" s="137"/>
      <c r="BA84" s="64">
        <v>81</v>
      </c>
      <c r="BB84" s="83"/>
      <c r="BC84" s="83"/>
    </row>
    <row r="85" spans="2:55" ht="15">
      <c r="B85" s="103"/>
      <c r="C85" s="19"/>
      <c r="D85" s="2"/>
      <c r="E85" s="2"/>
      <c r="F85" s="248" t="str">
        <f>O61</f>
        <v>-0.49 kN/m2</v>
      </c>
      <c r="G85" s="249"/>
      <c r="H85" s="249"/>
      <c r="I85" s="249"/>
      <c r="J85" s="249"/>
      <c r="K85" s="249"/>
      <c r="L85" s="249"/>
      <c r="M85" s="249"/>
      <c r="N85" s="249"/>
      <c r="O85" s="249"/>
      <c r="P85" s="249"/>
      <c r="Q85" s="249"/>
      <c r="R85" s="249"/>
      <c r="S85" s="249"/>
      <c r="T85" s="249"/>
      <c r="U85" s="249"/>
      <c r="V85" s="249"/>
      <c r="W85" s="249"/>
      <c r="X85" s="250"/>
      <c r="Y85" s="291"/>
      <c r="Z85" s="2"/>
      <c r="AA85" s="20"/>
      <c r="AB85" s="137"/>
      <c r="BA85" s="64">
        <v>82</v>
      </c>
      <c r="BB85" s="83"/>
      <c r="BC85" s="83"/>
    </row>
    <row r="86" spans="2:55" ht="15">
      <c r="B86" s="103"/>
      <c r="C86" s="19"/>
      <c r="D86" s="2"/>
      <c r="E86" s="2"/>
      <c r="F86" s="292" t="str">
        <f>O62</f>
        <v>-0.27 kN/m2</v>
      </c>
      <c r="G86" s="293"/>
      <c r="H86" s="293"/>
      <c r="I86" s="293"/>
      <c r="J86" s="293"/>
      <c r="K86" s="293"/>
      <c r="L86" s="293"/>
      <c r="M86" s="293"/>
      <c r="N86" s="293"/>
      <c r="O86" s="293"/>
      <c r="P86" s="293"/>
      <c r="Q86" s="293"/>
      <c r="R86" s="293"/>
      <c r="S86" s="293"/>
      <c r="T86" s="293"/>
      <c r="U86" s="293"/>
      <c r="V86" s="293"/>
      <c r="W86" s="293"/>
      <c r="X86" s="294"/>
      <c r="Y86" s="291"/>
      <c r="Z86" s="2"/>
      <c r="AA86" s="20"/>
      <c r="AB86" s="137"/>
      <c r="BA86" s="64">
        <v>83</v>
      </c>
      <c r="BB86" s="83"/>
      <c r="BC86" s="83"/>
    </row>
    <row r="87" spans="2:55" ht="15">
      <c r="B87" s="103"/>
      <c r="C87" s="19"/>
      <c r="D87" s="2"/>
      <c r="E87" s="2"/>
      <c r="F87" s="53"/>
      <c r="G87" s="134"/>
      <c r="H87" s="134"/>
      <c r="I87" s="134"/>
      <c r="J87" s="134"/>
      <c r="K87" s="134"/>
      <c r="L87" s="134"/>
      <c r="M87" s="134"/>
      <c r="N87" s="134"/>
      <c r="O87" s="134"/>
      <c r="P87" s="134"/>
      <c r="Q87" s="134"/>
      <c r="R87" s="134"/>
      <c r="S87" s="134"/>
      <c r="T87" s="134"/>
      <c r="U87" s="134"/>
      <c r="V87" s="134"/>
      <c r="W87" s="134"/>
      <c r="X87" s="54"/>
      <c r="Y87" s="291"/>
      <c r="Z87" s="2"/>
      <c r="AA87" s="20"/>
      <c r="AB87" s="137"/>
      <c r="BA87" s="64">
        <v>84</v>
      </c>
      <c r="BB87" s="83"/>
      <c r="BC87" s="83"/>
    </row>
    <row r="88" spans="2:55" ht="15.75" thickBot="1">
      <c r="B88" s="103"/>
      <c r="C88" s="19"/>
      <c r="D88" s="2"/>
      <c r="E88" s="2"/>
      <c r="F88" s="58"/>
      <c r="G88" s="59"/>
      <c r="H88" s="59"/>
      <c r="I88" s="59"/>
      <c r="J88" s="59"/>
      <c r="K88" s="59"/>
      <c r="L88" s="59"/>
      <c r="M88" s="59"/>
      <c r="N88" s="59"/>
      <c r="O88" s="59"/>
      <c r="P88" s="59"/>
      <c r="Q88" s="59"/>
      <c r="R88" s="59"/>
      <c r="S88" s="59"/>
      <c r="T88" s="59"/>
      <c r="U88" s="59"/>
      <c r="V88" s="59"/>
      <c r="W88" s="59"/>
      <c r="X88" s="60"/>
      <c r="Y88" s="291" t="str">
        <f>"d1 = " &amp;ROUND(M71/10,0)&amp;" m"</f>
        <v>d1 = 4 m</v>
      </c>
      <c r="Z88" s="2"/>
      <c r="AA88" s="20"/>
      <c r="AB88" s="137"/>
      <c r="BA88" s="64">
        <v>85</v>
      </c>
      <c r="BB88" s="83"/>
      <c r="BC88" s="83"/>
    </row>
    <row r="89" spans="2:55" ht="15">
      <c r="B89" s="103"/>
      <c r="C89" s="19"/>
      <c r="D89" s="2"/>
      <c r="E89" s="2"/>
      <c r="F89" s="245" t="s">
        <v>39</v>
      </c>
      <c r="G89" s="246"/>
      <c r="H89" s="246"/>
      <c r="I89" s="247"/>
      <c r="J89" s="245" t="s">
        <v>42</v>
      </c>
      <c r="K89" s="246"/>
      <c r="L89" s="246"/>
      <c r="M89" s="246"/>
      <c r="N89" s="246"/>
      <c r="O89" s="246"/>
      <c r="P89" s="246"/>
      <c r="Q89" s="246"/>
      <c r="R89" s="246"/>
      <c r="S89" s="246"/>
      <c r="T89" s="247"/>
      <c r="U89" s="245" t="s">
        <v>39</v>
      </c>
      <c r="V89" s="246"/>
      <c r="W89" s="246"/>
      <c r="X89" s="247"/>
      <c r="Y89" s="291"/>
      <c r="Z89" s="2"/>
      <c r="AA89" s="20"/>
      <c r="AB89" s="137"/>
      <c r="BA89" s="64">
        <v>86</v>
      </c>
      <c r="BB89" s="83"/>
      <c r="BC89" s="83"/>
    </row>
    <row r="90" spans="2:55" ht="15">
      <c r="B90" s="103"/>
      <c r="C90" s="19"/>
      <c r="D90" s="2"/>
      <c r="E90" s="2"/>
      <c r="F90" s="248" t="str">
        <f>U90</f>
        <v>-0.99 kN/m2</v>
      </c>
      <c r="G90" s="249"/>
      <c r="H90" s="249"/>
      <c r="I90" s="250"/>
      <c r="J90" s="248" t="str">
        <f>U61</f>
        <v>-0.71 kN/m2</v>
      </c>
      <c r="K90" s="249"/>
      <c r="L90" s="249"/>
      <c r="M90" s="249"/>
      <c r="N90" s="249"/>
      <c r="O90" s="249"/>
      <c r="P90" s="249"/>
      <c r="Q90" s="249"/>
      <c r="R90" s="249"/>
      <c r="S90" s="249"/>
      <c r="T90" s="250"/>
      <c r="U90" s="248" t="str">
        <f>U67</f>
        <v>-0.99 kN/m2</v>
      </c>
      <c r="V90" s="249"/>
      <c r="W90" s="249"/>
      <c r="X90" s="250"/>
      <c r="Y90" s="291"/>
      <c r="Z90" s="2"/>
      <c r="AA90" s="20"/>
      <c r="AB90" s="137"/>
      <c r="BA90" s="64">
        <v>87</v>
      </c>
      <c r="BB90" s="83"/>
      <c r="BC90" s="83"/>
    </row>
    <row r="91" spans="2:55" ht="15.75" thickBot="1">
      <c r="B91" s="103"/>
      <c r="C91" s="19"/>
      <c r="D91" s="2"/>
      <c r="E91" s="2"/>
      <c r="F91" s="297" t="str">
        <f>U91</f>
        <v>-0.77 kN/m2</v>
      </c>
      <c r="G91" s="298"/>
      <c r="H91" s="298"/>
      <c r="I91" s="299"/>
      <c r="J91" s="297" t="str">
        <f>U62</f>
        <v>-0.49 kN/m2</v>
      </c>
      <c r="K91" s="298"/>
      <c r="L91" s="298"/>
      <c r="M91" s="298"/>
      <c r="N91" s="298"/>
      <c r="O91" s="298"/>
      <c r="P91" s="298"/>
      <c r="Q91" s="298"/>
      <c r="R91" s="298"/>
      <c r="S91" s="298"/>
      <c r="T91" s="299"/>
      <c r="U91" s="297" t="str">
        <f>U68</f>
        <v>-0.77 kN/m2</v>
      </c>
      <c r="V91" s="298"/>
      <c r="W91" s="298"/>
      <c r="X91" s="299"/>
      <c r="Y91" s="291"/>
      <c r="Z91" s="2"/>
      <c r="AA91" s="20"/>
      <c r="AB91" s="137"/>
      <c r="BA91" s="64">
        <v>88</v>
      </c>
      <c r="BB91" s="83"/>
      <c r="BC91" s="83"/>
    </row>
    <row r="92" spans="2:55" ht="15">
      <c r="B92" s="103"/>
      <c r="C92" s="19"/>
      <c r="D92" s="114"/>
      <c r="E92" s="114"/>
      <c r="F92" s="305" t="str">
        <f>"b1 = "&amp;ROUND(M71/4,1)&amp;" m"</f>
        <v>b1 = 10 m</v>
      </c>
      <c r="G92" s="305"/>
      <c r="H92" s="305"/>
      <c r="I92" s="305"/>
      <c r="J92" s="305" t="str">
        <f>"b2 = " &amp;ROUND(H71-M71/2,1)&amp;" m"</f>
        <v>b2 = 88.5 m</v>
      </c>
      <c r="K92" s="305"/>
      <c r="L92" s="305"/>
      <c r="M92" s="305"/>
      <c r="N92" s="305"/>
      <c r="O92" s="305"/>
      <c r="P92" s="305"/>
      <c r="Q92" s="305"/>
      <c r="R92" s="305"/>
      <c r="S92" s="305"/>
      <c r="T92" s="305"/>
      <c r="U92" s="305" t="str">
        <f>"b3 = "&amp;ROUND(M71/4,1)&amp;" m"</f>
        <v>b3 = 10 m</v>
      </c>
      <c r="V92" s="305"/>
      <c r="W92" s="305"/>
      <c r="X92" s="305"/>
      <c r="Y92" s="114"/>
      <c r="Z92" s="114"/>
      <c r="AA92" s="20"/>
      <c r="AB92" s="137"/>
      <c r="BA92" s="64">
        <v>89</v>
      </c>
      <c r="BB92" s="83"/>
      <c r="BC92" s="83"/>
    </row>
    <row r="93" spans="2:55" ht="15">
      <c r="B93" s="103"/>
      <c r="C93" s="19"/>
      <c r="D93" s="114"/>
      <c r="E93" s="114"/>
      <c r="F93" s="116"/>
      <c r="G93" s="116"/>
      <c r="H93" s="116"/>
      <c r="I93" s="116"/>
      <c r="J93" s="116"/>
      <c r="K93" s="116"/>
      <c r="L93" s="116"/>
      <c r="M93" s="116"/>
      <c r="N93" s="116"/>
      <c r="O93" s="116"/>
      <c r="P93" s="116"/>
      <c r="Q93" s="116"/>
      <c r="R93" s="116"/>
      <c r="S93" s="116"/>
      <c r="T93" s="116"/>
      <c r="U93" s="116"/>
      <c r="V93" s="116"/>
      <c r="W93" s="116"/>
      <c r="X93" s="116"/>
      <c r="Y93" s="114"/>
      <c r="Z93" s="114"/>
      <c r="AA93" s="20"/>
      <c r="AB93" s="137"/>
      <c r="BA93" s="64">
        <v>90</v>
      </c>
      <c r="BB93" s="83"/>
      <c r="BC93" s="83"/>
    </row>
    <row r="94" spans="2:55" ht="15.75">
      <c r="B94" s="103"/>
      <c r="C94" s="19"/>
      <c r="D94" s="114"/>
      <c r="E94" s="114"/>
      <c r="F94" s="116"/>
      <c r="G94" s="116"/>
      <c r="H94" s="116"/>
      <c r="I94" s="116"/>
      <c r="J94" s="116"/>
      <c r="K94" s="116"/>
      <c r="L94" s="116"/>
      <c r="M94" s="116"/>
      <c r="N94" s="116"/>
      <c r="O94" s="116"/>
      <c r="P94" s="142" t="s">
        <v>62</v>
      </c>
      <c r="Q94" s="116"/>
      <c r="R94" s="116"/>
      <c r="S94" s="116"/>
      <c r="T94" s="116"/>
      <c r="U94" s="116"/>
      <c r="V94" s="116"/>
      <c r="W94" s="116"/>
      <c r="X94" s="116"/>
      <c r="Y94" s="114"/>
      <c r="Z94" s="114"/>
      <c r="AA94" s="20"/>
      <c r="AB94" s="137"/>
      <c r="BA94" s="64">
        <v>91</v>
      </c>
      <c r="BB94" s="83"/>
      <c r="BC94" s="83"/>
    </row>
    <row r="95" spans="2:55" ht="15">
      <c r="B95" s="103"/>
      <c r="C95" s="21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3"/>
      <c r="AB95" s="137"/>
      <c r="BA95" s="64">
        <v>92</v>
      </c>
      <c r="BB95" s="83"/>
      <c r="BC95" s="83"/>
    </row>
    <row r="96" spans="2:55" ht="15">
      <c r="B96" s="103"/>
      <c r="C96" s="35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6"/>
      <c r="AB96" s="137"/>
      <c r="BA96" s="64">
        <v>93</v>
      </c>
      <c r="BB96" s="83"/>
      <c r="BC96" s="83"/>
    </row>
    <row r="97" spans="2:55" ht="15.75">
      <c r="B97" s="103"/>
      <c r="C97" s="1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142" t="s">
        <v>63</v>
      </c>
      <c r="Q97" s="2"/>
      <c r="R97" s="2"/>
      <c r="S97" s="2"/>
      <c r="T97" s="2"/>
      <c r="U97" s="2"/>
      <c r="V97" s="2"/>
      <c r="W97" s="2"/>
      <c r="X97" s="2"/>
      <c r="Y97" s="2"/>
      <c r="Z97" s="2"/>
      <c r="AA97" s="3"/>
      <c r="AB97" s="137"/>
      <c r="BA97" s="64">
        <v>94</v>
      </c>
      <c r="BB97" s="83"/>
      <c r="BC97" s="83"/>
    </row>
    <row r="98" spans="2:55" ht="15">
      <c r="B98" s="103"/>
      <c r="C98" s="1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3"/>
      <c r="AB98" s="137"/>
      <c r="BA98" s="64">
        <v>95</v>
      </c>
      <c r="BB98" s="83"/>
      <c r="BC98" s="83"/>
    </row>
    <row r="99" spans="2:55" ht="15.75" thickBot="1">
      <c r="B99" s="103"/>
      <c r="C99" s="1"/>
      <c r="D99" s="2"/>
      <c r="E99" s="2"/>
      <c r="F99" s="296" t="str">
        <f>"b1 = "&amp;ROUND(M71/4,1)&amp;" m"</f>
        <v>b1 = 10 m</v>
      </c>
      <c r="G99" s="296"/>
      <c r="H99" s="296"/>
      <c r="I99" s="296"/>
      <c r="J99" s="296" t="str">
        <f>"b2 = " &amp;ROUND(H71-M71/2,1)&amp;" m"</f>
        <v>b2 = 88.5 m</v>
      </c>
      <c r="K99" s="296"/>
      <c r="L99" s="296"/>
      <c r="M99" s="296"/>
      <c r="N99" s="296"/>
      <c r="O99" s="296"/>
      <c r="P99" s="296"/>
      <c r="Q99" s="296"/>
      <c r="R99" s="296"/>
      <c r="S99" s="296"/>
      <c r="T99" s="296"/>
      <c r="U99" s="296" t="str">
        <f>"b1 = "&amp;ROUND(M71/4,1)&amp;" m"</f>
        <v>b1 = 10 m</v>
      </c>
      <c r="V99" s="296"/>
      <c r="W99" s="296"/>
      <c r="X99" s="296"/>
      <c r="Y99" s="2"/>
      <c r="Z99" s="2"/>
      <c r="AA99" s="3"/>
      <c r="AB99" s="137"/>
      <c r="BA99" s="64">
        <v>96</v>
      </c>
      <c r="BB99" s="83"/>
      <c r="BC99" s="83"/>
    </row>
    <row r="100" spans="2:55" ht="15">
      <c r="B100" s="103"/>
      <c r="C100" s="1"/>
      <c r="D100" s="2"/>
      <c r="E100" s="2"/>
      <c r="F100" s="245" t="str">
        <f>F89</f>
        <v>Zone F</v>
      </c>
      <c r="G100" s="246"/>
      <c r="H100" s="246"/>
      <c r="I100" s="247"/>
      <c r="J100" s="245" t="str">
        <f>J89</f>
        <v>Zone G</v>
      </c>
      <c r="K100" s="246"/>
      <c r="L100" s="246"/>
      <c r="M100" s="246"/>
      <c r="N100" s="246"/>
      <c r="O100" s="246"/>
      <c r="P100" s="246"/>
      <c r="Q100" s="246"/>
      <c r="R100" s="246"/>
      <c r="S100" s="246"/>
      <c r="T100" s="247"/>
      <c r="U100" s="245" t="str">
        <f>U89</f>
        <v>Zone F</v>
      </c>
      <c r="V100" s="246"/>
      <c r="W100" s="246"/>
      <c r="X100" s="247"/>
      <c r="Y100" s="295" t="str">
        <f>"d1 = " &amp;ROUND(M71/10,0)&amp;" m"</f>
        <v>d1 = 4 m</v>
      </c>
      <c r="Z100" s="2"/>
      <c r="AA100" s="3"/>
      <c r="AB100" s="137"/>
      <c r="BA100" s="64">
        <v>97</v>
      </c>
      <c r="BB100" s="83"/>
      <c r="BC100" s="83"/>
    </row>
    <row r="101" spans="2:55" ht="15">
      <c r="B101" s="103"/>
      <c r="C101" s="1"/>
      <c r="D101" s="2"/>
      <c r="E101" s="2"/>
      <c r="F101" s="248" t="str">
        <f>F90</f>
        <v>-0.99 kN/m2</v>
      </c>
      <c r="G101" s="249"/>
      <c r="H101" s="249"/>
      <c r="I101" s="250"/>
      <c r="J101" s="248" t="str">
        <f>J90</f>
        <v>-0.71 kN/m2</v>
      </c>
      <c r="K101" s="249"/>
      <c r="L101" s="249"/>
      <c r="M101" s="249"/>
      <c r="N101" s="249"/>
      <c r="O101" s="249"/>
      <c r="P101" s="249"/>
      <c r="Q101" s="249"/>
      <c r="R101" s="249"/>
      <c r="S101" s="249"/>
      <c r="T101" s="250"/>
      <c r="U101" s="248" t="str">
        <f>U90</f>
        <v>-0.99 kN/m2</v>
      </c>
      <c r="V101" s="249"/>
      <c r="W101" s="249"/>
      <c r="X101" s="250"/>
      <c r="Y101" s="295"/>
      <c r="Z101" s="2"/>
      <c r="AA101" s="3"/>
      <c r="AB101" s="137"/>
      <c r="BA101" s="64">
        <v>98</v>
      </c>
      <c r="BB101" s="83"/>
      <c r="BC101" s="83"/>
    </row>
    <row r="102" spans="2:55" ht="15.75" thickBot="1">
      <c r="B102" s="103"/>
      <c r="C102" s="1"/>
      <c r="D102" s="2"/>
      <c r="E102" s="2"/>
      <c r="F102" s="297" t="str">
        <f>F91</f>
        <v>-0.77 kN/m2</v>
      </c>
      <c r="G102" s="298"/>
      <c r="H102" s="298"/>
      <c r="I102" s="299"/>
      <c r="J102" s="297" t="str">
        <f>J91</f>
        <v>-0.49 kN/m2</v>
      </c>
      <c r="K102" s="298"/>
      <c r="L102" s="298"/>
      <c r="M102" s="298"/>
      <c r="N102" s="298"/>
      <c r="O102" s="298"/>
      <c r="P102" s="298"/>
      <c r="Q102" s="298"/>
      <c r="R102" s="298"/>
      <c r="S102" s="298"/>
      <c r="T102" s="299"/>
      <c r="U102" s="297" t="str">
        <f>U91</f>
        <v>-0.77 kN/m2</v>
      </c>
      <c r="V102" s="298"/>
      <c r="W102" s="298"/>
      <c r="X102" s="299"/>
      <c r="Y102" s="295"/>
      <c r="Z102" s="2"/>
      <c r="AA102" s="3"/>
      <c r="AB102" s="137"/>
      <c r="BA102" s="64">
        <v>99</v>
      </c>
      <c r="BB102" s="83"/>
      <c r="BC102" s="83"/>
    </row>
    <row r="103" spans="2:55" ht="15">
      <c r="B103" s="1"/>
      <c r="C103" s="1"/>
      <c r="D103" s="2"/>
      <c r="E103" s="2"/>
      <c r="F103" s="61"/>
      <c r="G103" s="62"/>
      <c r="H103" s="62"/>
      <c r="I103" s="62"/>
      <c r="J103" s="62"/>
      <c r="K103" s="62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3"/>
      <c r="Y103" s="295"/>
      <c r="Z103" s="2"/>
      <c r="AA103" s="3"/>
      <c r="AB103" s="137"/>
      <c r="BA103" s="64">
        <v>100</v>
      </c>
      <c r="BB103" s="83"/>
      <c r="BC103" s="83"/>
    </row>
    <row r="104" spans="2:55" ht="15">
      <c r="B104" s="1"/>
      <c r="C104" s="1"/>
      <c r="D104" s="2"/>
      <c r="E104" s="2"/>
      <c r="F104" s="53"/>
      <c r="G104" s="134"/>
      <c r="H104" s="134"/>
      <c r="I104" s="134"/>
      <c r="J104" s="134"/>
      <c r="K104" s="134"/>
      <c r="L104" s="134"/>
      <c r="M104" s="134"/>
      <c r="N104" s="134"/>
      <c r="O104" s="134"/>
      <c r="P104" s="134"/>
      <c r="Q104" s="134"/>
      <c r="R104" s="134"/>
      <c r="S104" s="134"/>
      <c r="T104" s="134"/>
      <c r="U104" s="134"/>
      <c r="V104" s="134"/>
      <c r="W104" s="134"/>
      <c r="X104" s="54"/>
      <c r="Y104" s="295" t="str">
        <f>"d2 = " &amp;ROUND(2*M71/5,0)&amp;" m"</f>
        <v>d2 = 16 m</v>
      </c>
      <c r="Z104" s="2"/>
      <c r="AA104" s="3"/>
      <c r="AB104" s="137"/>
    </row>
    <row r="105" spans="2:55" ht="15">
      <c r="B105" s="1"/>
      <c r="C105" s="1"/>
      <c r="D105" s="2"/>
      <c r="E105" s="2"/>
      <c r="F105" s="257" t="str">
        <f>F84</f>
        <v>Zone H</v>
      </c>
      <c r="G105" s="258"/>
      <c r="H105" s="258"/>
      <c r="I105" s="258"/>
      <c r="J105" s="258"/>
      <c r="K105" s="258"/>
      <c r="L105" s="258"/>
      <c r="M105" s="258"/>
      <c r="N105" s="258"/>
      <c r="O105" s="258"/>
      <c r="P105" s="258"/>
      <c r="Q105" s="258"/>
      <c r="R105" s="258"/>
      <c r="S105" s="258"/>
      <c r="T105" s="258"/>
      <c r="U105" s="258"/>
      <c r="V105" s="258"/>
      <c r="W105" s="258"/>
      <c r="X105" s="259"/>
      <c r="Y105" s="295"/>
      <c r="Z105" s="2"/>
      <c r="AA105" s="3"/>
      <c r="AB105" s="137"/>
    </row>
    <row r="106" spans="2:55" ht="15">
      <c r="B106" s="1"/>
      <c r="C106" s="1"/>
      <c r="D106" s="2"/>
      <c r="E106" s="2"/>
      <c r="F106" s="248" t="str">
        <f>F85</f>
        <v>-0.49 kN/m2</v>
      </c>
      <c r="G106" s="249"/>
      <c r="H106" s="249"/>
      <c r="I106" s="249"/>
      <c r="J106" s="249"/>
      <c r="K106" s="249"/>
      <c r="L106" s="249"/>
      <c r="M106" s="249"/>
      <c r="N106" s="249"/>
      <c r="O106" s="249"/>
      <c r="P106" s="249"/>
      <c r="Q106" s="249"/>
      <c r="R106" s="249"/>
      <c r="S106" s="249"/>
      <c r="T106" s="249"/>
      <c r="U106" s="249"/>
      <c r="V106" s="249"/>
      <c r="W106" s="249"/>
      <c r="X106" s="250"/>
      <c r="Y106" s="295"/>
      <c r="Z106" s="2"/>
      <c r="AA106" s="3"/>
      <c r="AB106" s="138"/>
    </row>
    <row r="107" spans="2:55" ht="15">
      <c r="B107" s="1"/>
      <c r="C107" s="1"/>
      <c r="D107" s="2"/>
      <c r="E107" s="2"/>
      <c r="F107" s="292" t="str">
        <f>F86</f>
        <v>-0.27 kN/m2</v>
      </c>
      <c r="G107" s="293"/>
      <c r="H107" s="293"/>
      <c r="I107" s="293"/>
      <c r="J107" s="293"/>
      <c r="K107" s="293"/>
      <c r="L107" s="293"/>
      <c r="M107" s="293"/>
      <c r="N107" s="293"/>
      <c r="O107" s="293"/>
      <c r="P107" s="293"/>
      <c r="Q107" s="293"/>
      <c r="R107" s="293"/>
      <c r="S107" s="293"/>
      <c r="T107" s="293"/>
      <c r="U107" s="293"/>
      <c r="V107" s="293"/>
      <c r="W107" s="293"/>
      <c r="X107" s="294"/>
      <c r="Y107" s="295"/>
      <c r="Z107" s="2"/>
      <c r="AA107" s="3"/>
      <c r="AB107" s="139"/>
    </row>
    <row r="108" spans="2:55" ht="15">
      <c r="B108" s="1"/>
      <c r="C108" s="1"/>
      <c r="D108" s="2"/>
      <c r="E108" s="2"/>
      <c r="F108" s="53"/>
      <c r="G108" s="134"/>
      <c r="H108" s="134"/>
      <c r="I108" s="134"/>
      <c r="J108" s="134"/>
      <c r="K108" s="134"/>
      <c r="L108" s="134"/>
      <c r="M108" s="134"/>
      <c r="N108" s="134"/>
      <c r="O108" s="134"/>
      <c r="P108" s="134"/>
      <c r="Q108" s="134"/>
      <c r="R108" s="134"/>
      <c r="S108" s="134"/>
      <c r="T108" s="134"/>
      <c r="U108" s="134"/>
      <c r="V108" s="134"/>
      <c r="W108" s="134"/>
      <c r="X108" s="54"/>
      <c r="Y108" s="295"/>
      <c r="Z108" s="2"/>
      <c r="AA108" s="3"/>
      <c r="AB108" s="139"/>
    </row>
    <row r="109" spans="2:55" ht="15.75" thickBot="1">
      <c r="B109" s="1"/>
      <c r="C109" s="1"/>
      <c r="D109" s="2"/>
      <c r="E109" s="2"/>
      <c r="F109" s="55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7"/>
      <c r="Y109" s="295"/>
      <c r="Z109" s="2"/>
      <c r="AA109" s="3"/>
      <c r="AB109" s="139"/>
    </row>
    <row r="110" spans="2:55" ht="15">
      <c r="B110" s="1"/>
      <c r="C110" s="1"/>
      <c r="D110" s="2"/>
      <c r="E110" s="2"/>
      <c r="F110" s="61"/>
      <c r="G110" s="62"/>
      <c r="H110" s="62"/>
      <c r="I110" s="62"/>
      <c r="J110" s="62"/>
      <c r="K110" s="62"/>
      <c r="L110" s="62"/>
      <c r="M110" s="62"/>
      <c r="N110" s="62"/>
      <c r="O110" s="62"/>
      <c r="P110" s="62"/>
      <c r="Q110" s="62"/>
      <c r="R110" s="62"/>
      <c r="S110" s="62"/>
      <c r="T110" s="62"/>
      <c r="U110" s="62"/>
      <c r="V110" s="62"/>
      <c r="W110" s="62"/>
      <c r="X110" s="63"/>
      <c r="Y110" s="295" t="str">
        <f>"d3 = " &amp;ROUND(H72-M71/2,1)&amp;" m"</f>
        <v>d3 = 51.5 m</v>
      </c>
      <c r="Z110" s="2"/>
      <c r="AA110" s="3"/>
      <c r="AB110" s="139"/>
    </row>
    <row r="111" spans="2:55" ht="15">
      <c r="B111" s="1"/>
      <c r="C111" s="1"/>
      <c r="D111" s="2"/>
      <c r="E111" s="2"/>
      <c r="F111" s="53"/>
      <c r="G111" s="134"/>
      <c r="H111" s="134"/>
      <c r="I111" s="134"/>
      <c r="J111" s="134"/>
      <c r="K111" s="134"/>
      <c r="L111" s="134"/>
      <c r="M111" s="134"/>
      <c r="N111" s="134"/>
      <c r="O111" s="134"/>
      <c r="P111" s="134"/>
      <c r="Q111" s="134"/>
      <c r="R111" s="134"/>
      <c r="S111" s="134"/>
      <c r="T111" s="134"/>
      <c r="U111" s="134"/>
      <c r="V111" s="134"/>
      <c r="W111" s="134"/>
      <c r="X111" s="54"/>
      <c r="Y111" s="295"/>
      <c r="Z111" s="2"/>
      <c r="AA111" s="3"/>
      <c r="AB111" s="139"/>
    </row>
    <row r="112" spans="2:55" ht="15">
      <c r="B112" s="1"/>
      <c r="C112" s="1"/>
      <c r="D112" s="2"/>
      <c r="E112" s="2"/>
      <c r="F112" s="53"/>
      <c r="G112" s="134"/>
      <c r="H112" s="134"/>
      <c r="I112" s="134"/>
      <c r="J112" s="134"/>
      <c r="K112" s="134"/>
      <c r="L112" s="134"/>
      <c r="M112" s="134"/>
      <c r="N112" s="134"/>
      <c r="O112" s="134"/>
      <c r="P112" s="134"/>
      <c r="Q112" s="134"/>
      <c r="R112" s="134"/>
      <c r="S112" s="134"/>
      <c r="T112" s="134"/>
      <c r="U112" s="134"/>
      <c r="V112" s="134"/>
      <c r="W112" s="134"/>
      <c r="X112" s="54"/>
      <c r="Y112" s="295"/>
      <c r="Z112" s="2"/>
      <c r="AA112" s="3"/>
      <c r="AB112" s="139"/>
    </row>
    <row r="113" spans="2:28" ht="15">
      <c r="B113" s="1"/>
      <c r="C113" s="1"/>
      <c r="D113" s="2"/>
      <c r="E113" s="2"/>
      <c r="F113" s="257" t="s">
        <v>41</v>
      </c>
      <c r="G113" s="258"/>
      <c r="H113" s="258"/>
      <c r="I113" s="258"/>
      <c r="J113" s="258"/>
      <c r="K113" s="258"/>
      <c r="L113" s="258"/>
      <c r="M113" s="258"/>
      <c r="N113" s="258"/>
      <c r="O113" s="258"/>
      <c r="P113" s="258"/>
      <c r="Q113" s="258"/>
      <c r="R113" s="258"/>
      <c r="S113" s="258"/>
      <c r="T113" s="258"/>
      <c r="U113" s="258"/>
      <c r="V113" s="258"/>
      <c r="W113" s="258"/>
      <c r="X113" s="259"/>
      <c r="Y113" s="295"/>
      <c r="Z113" s="2"/>
      <c r="AA113" s="3"/>
      <c r="AB113" s="139"/>
    </row>
    <row r="114" spans="2:28" ht="15">
      <c r="B114" s="1"/>
      <c r="C114" s="1"/>
      <c r="D114" s="2"/>
      <c r="E114" s="2"/>
      <c r="F114" s="248" t="str">
        <f>F78</f>
        <v>-0.22 kN/m2</v>
      </c>
      <c r="G114" s="249"/>
      <c r="H114" s="249"/>
      <c r="I114" s="249"/>
      <c r="J114" s="249"/>
      <c r="K114" s="249"/>
      <c r="L114" s="249"/>
      <c r="M114" s="249"/>
      <c r="N114" s="249"/>
      <c r="O114" s="249"/>
      <c r="P114" s="249"/>
      <c r="Q114" s="249"/>
      <c r="R114" s="249"/>
      <c r="S114" s="249"/>
      <c r="T114" s="249"/>
      <c r="U114" s="249"/>
      <c r="V114" s="249"/>
      <c r="W114" s="249"/>
      <c r="X114" s="250"/>
      <c r="Y114" s="295"/>
      <c r="Z114" s="2"/>
      <c r="AA114" s="3"/>
      <c r="AB114" s="139"/>
    </row>
    <row r="115" spans="2:28" ht="15">
      <c r="B115" s="1"/>
      <c r="C115" s="1"/>
      <c r="D115" s="2"/>
      <c r="E115" s="2"/>
      <c r="F115" s="292" t="str">
        <f>F79</f>
        <v>0.22 kN/m2</v>
      </c>
      <c r="G115" s="293"/>
      <c r="H115" s="293"/>
      <c r="I115" s="293"/>
      <c r="J115" s="293"/>
      <c r="K115" s="293"/>
      <c r="L115" s="293"/>
      <c r="M115" s="293"/>
      <c r="N115" s="293"/>
      <c r="O115" s="293"/>
      <c r="P115" s="293"/>
      <c r="Q115" s="293"/>
      <c r="R115" s="293"/>
      <c r="S115" s="293"/>
      <c r="T115" s="293"/>
      <c r="U115" s="293"/>
      <c r="V115" s="293"/>
      <c r="W115" s="293"/>
      <c r="X115" s="294"/>
      <c r="Y115" s="295"/>
      <c r="Z115" s="2"/>
      <c r="AA115" s="3"/>
      <c r="AB115" s="139"/>
    </row>
    <row r="116" spans="2:28" ht="15">
      <c r="B116" s="1"/>
      <c r="C116" s="1"/>
      <c r="D116" s="2"/>
      <c r="E116" s="2"/>
      <c r="F116" s="53"/>
      <c r="G116" s="134"/>
      <c r="H116" s="134"/>
      <c r="I116" s="134"/>
      <c r="J116" s="134"/>
      <c r="K116" s="134"/>
      <c r="L116" s="134"/>
      <c r="M116" s="134"/>
      <c r="N116" s="134"/>
      <c r="O116" s="134"/>
      <c r="P116" s="134"/>
      <c r="Q116" s="134"/>
      <c r="R116" s="134"/>
      <c r="S116" s="134"/>
      <c r="T116" s="134"/>
      <c r="U116" s="134"/>
      <c r="V116" s="134"/>
      <c r="W116" s="134"/>
      <c r="X116" s="54"/>
      <c r="Y116" s="295"/>
      <c r="Z116" s="2"/>
      <c r="AA116" s="3"/>
      <c r="AB116" s="139"/>
    </row>
    <row r="117" spans="2:28" ht="15.75" thickBot="1">
      <c r="B117" s="1"/>
      <c r="C117" s="1"/>
      <c r="D117" s="2"/>
      <c r="E117" s="2"/>
      <c r="F117" s="58"/>
      <c r="G117" s="59"/>
      <c r="H117" s="59"/>
      <c r="I117" s="59"/>
      <c r="J117" s="59"/>
      <c r="K117" s="59"/>
      <c r="L117" s="59"/>
      <c r="M117" s="59"/>
      <c r="N117" s="59"/>
      <c r="O117" s="59"/>
      <c r="P117" s="59"/>
      <c r="Q117" s="59"/>
      <c r="R117" s="59"/>
      <c r="S117" s="59"/>
      <c r="T117" s="59"/>
      <c r="U117" s="59"/>
      <c r="V117" s="59"/>
      <c r="W117" s="59"/>
      <c r="X117" s="60"/>
      <c r="Y117" s="295"/>
      <c r="Z117" s="2"/>
      <c r="AA117" s="3"/>
      <c r="AB117" s="139"/>
    </row>
    <row r="118" spans="2:28">
      <c r="B118" s="4"/>
      <c r="C118" s="4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6"/>
      <c r="AB118" s="140"/>
    </row>
    <row r="180" spans="26:26">
      <c r="Z180" s="37" t="s">
        <v>55</v>
      </c>
    </row>
  </sheetData>
  <mergeCells count="208">
    <mergeCell ref="C10:F10"/>
    <mergeCell ref="M13:N13"/>
    <mergeCell ref="J12:N12"/>
    <mergeCell ref="Z18:AA18"/>
    <mergeCell ref="M18:N18"/>
    <mergeCell ref="M17:N17"/>
    <mergeCell ref="M16:N16"/>
    <mergeCell ref="AC6:AC9"/>
    <mergeCell ref="L8:N8"/>
    <mergeCell ref="M11:N11"/>
    <mergeCell ref="J11:L11"/>
    <mergeCell ref="C9:N9"/>
    <mergeCell ref="G11:I11"/>
    <mergeCell ref="C11:F11"/>
    <mergeCell ref="AC27:AC31"/>
    <mergeCell ref="W18:Y18"/>
    <mergeCell ref="W19:Y19"/>
    <mergeCell ref="AE27:AE31"/>
    <mergeCell ref="AM27:AM31"/>
    <mergeCell ref="AL27:AL31"/>
    <mergeCell ref="AK27:AK31"/>
    <mergeCell ref="P29:AA29"/>
    <mergeCell ref="P30:AA30"/>
    <mergeCell ref="W24:X24"/>
    <mergeCell ref="Y24:Z24"/>
    <mergeCell ref="F92:I92"/>
    <mergeCell ref="U92:X92"/>
    <mergeCell ref="J92:T92"/>
    <mergeCell ref="O60:T60"/>
    <mergeCell ref="O61:T61"/>
    <mergeCell ref="O62:T62"/>
    <mergeCell ref="F60:N60"/>
    <mergeCell ref="F61:N61"/>
    <mergeCell ref="K14:L14"/>
    <mergeCell ref="K15:L15"/>
    <mergeCell ref="K16:L16"/>
    <mergeCell ref="K17:L17"/>
    <mergeCell ref="K18:L18"/>
    <mergeCell ref="K19:L19"/>
    <mergeCell ref="F62:N62"/>
    <mergeCell ref="U91:X91"/>
    <mergeCell ref="J91:T91"/>
    <mergeCell ref="F91:I91"/>
    <mergeCell ref="F86:X86"/>
    <mergeCell ref="F79:X79"/>
    <mergeCell ref="M72:N72"/>
    <mergeCell ref="F71:G71"/>
    <mergeCell ref="H71:I71"/>
    <mergeCell ref="K71:L71"/>
    <mergeCell ref="M71:N71"/>
    <mergeCell ref="F72:G72"/>
    <mergeCell ref="H72:I72"/>
    <mergeCell ref="U55:X55"/>
    <mergeCell ref="U56:X56"/>
    <mergeCell ref="U57:X57"/>
    <mergeCell ref="U66:X66"/>
    <mergeCell ref="U67:X67"/>
    <mergeCell ref="U68:X68"/>
    <mergeCell ref="U60:X60"/>
    <mergeCell ref="U61:X61"/>
    <mergeCell ref="U62:X62"/>
    <mergeCell ref="F106:X106"/>
    <mergeCell ref="F107:X107"/>
    <mergeCell ref="F113:X113"/>
    <mergeCell ref="F114:X114"/>
    <mergeCell ref="Y100:Y103"/>
    <mergeCell ref="Y104:Y109"/>
    <mergeCell ref="Y110:Y117"/>
    <mergeCell ref="J99:T99"/>
    <mergeCell ref="F99:I99"/>
    <mergeCell ref="U99:X99"/>
    <mergeCell ref="F101:I101"/>
    <mergeCell ref="F102:I102"/>
    <mergeCell ref="U101:X101"/>
    <mergeCell ref="U102:X102"/>
    <mergeCell ref="J101:T101"/>
    <mergeCell ref="J102:T102"/>
    <mergeCell ref="F105:X105"/>
    <mergeCell ref="F115:X115"/>
    <mergeCell ref="F100:I100"/>
    <mergeCell ref="J100:T100"/>
    <mergeCell ref="U100:X100"/>
    <mergeCell ref="Y74:Y81"/>
    <mergeCell ref="Y82:Y87"/>
    <mergeCell ref="Y88:Y91"/>
    <mergeCell ref="F90:I90"/>
    <mergeCell ref="F89:I89"/>
    <mergeCell ref="U89:X89"/>
    <mergeCell ref="U90:X90"/>
    <mergeCell ref="J89:T89"/>
    <mergeCell ref="J90:T90"/>
    <mergeCell ref="F84:X84"/>
    <mergeCell ref="F85:X85"/>
    <mergeCell ref="F78:X78"/>
    <mergeCell ref="F77:X77"/>
    <mergeCell ref="AR8:AU8"/>
    <mergeCell ref="AP10:AQ10"/>
    <mergeCell ref="AP11:AP13"/>
    <mergeCell ref="AP14:AP16"/>
    <mergeCell ref="AP17:AP19"/>
    <mergeCell ref="AP24:AQ24"/>
    <mergeCell ref="G33:H33"/>
    <mergeCell ref="E33:F33"/>
    <mergeCell ref="J33:K33"/>
    <mergeCell ref="L33:M33"/>
    <mergeCell ref="Z26:AA26"/>
    <mergeCell ref="P10:Q11"/>
    <mergeCell ref="Y9:Y12"/>
    <mergeCell ref="U24:V24"/>
    <mergeCell ref="U23:V23"/>
    <mergeCell ref="C21:N21"/>
    <mergeCell ref="G25:H25"/>
    <mergeCell ref="I25:J25"/>
    <mergeCell ref="K25:L25"/>
    <mergeCell ref="M25:N25"/>
    <mergeCell ref="M19:N19"/>
    <mergeCell ref="P21:AA21"/>
    <mergeCell ref="R24:S24"/>
    <mergeCell ref="E29:F29"/>
    <mergeCell ref="F42:I42"/>
    <mergeCell ref="F43:I43"/>
    <mergeCell ref="J41:O41"/>
    <mergeCell ref="J42:O42"/>
    <mergeCell ref="J43:O43"/>
    <mergeCell ref="P41:X41"/>
    <mergeCell ref="P42:X42"/>
    <mergeCell ref="P43:X43"/>
    <mergeCell ref="AP8:AQ9"/>
    <mergeCell ref="E30:F30"/>
    <mergeCell ref="E24:F24"/>
    <mergeCell ref="G24:H24"/>
    <mergeCell ref="I24:J24"/>
    <mergeCell ref="K24:L24"/>
    <mergeCell ref="M24:N24"/>
    <mergeCell ref="E25:F25"/>
    <mergeCell ref="E26:F26"/>
    <mergeCell ref="G26:H26"/>
    <mergeCell ref="I26:J26"/>
    <mergeCell ref="K26:L26"/>
    <mergeCell ref="M26:N26"/>
    <mergeCell ref="E27:F27"/>
    <mergeCell ref="G27:H27"/>
    <mergeCell ref="I27:J27"/>
    <mergeCell ref="C22:D22"/>
    <mergeCell ref="E22:F22"/>
    <mergeCell ref="Z25:AA25"/>
    <mergeCell ref="M15:N15"/>
    <mergeCell ref="C12:F12"/>
    <mergeCell ref="Q17:Z17"/>
    <mergeCell ref="P22:Q22"/>
    <mergeCell ref="R22:S22"/>
    <mergeCell ref="G23:H23"/>
    <mergeCell ref="I23:J23"/>
    <mergeCell ref="Z19:AA19"/>
    <mergeCell ref="Z22:AA22"/>
    <mergeCell ref="R23:S23"/>
    <mergeCell ref="W23:X23"/>
    <mergeCell ref="Y23:Z23"/>
    <mergeCell ref="C23:D23"/>
    <mergeCell ref="M22:N22"/>
    <mergeCell ref="E23:F23"/>
    <mergeCell ref="M14:N14"/>
    <mergeCell ref="K23:L23"/>
    <mergeCell ref="M23:N23"/>
    <mergeCell ref="G12:I12"/>
    <mergeCell ref="K13:L13"/>
    <mergeCell ref="C24:D24"/>
    <mergeCell ref="Y65:Y68"/>
    <mergeCell ref="C32:AA32"/>
    <mergeCell ref="U54:X54"/>
    <mergeCell ref="O54:T54"/>
    <mergeCell ref="F54:N54"/>
    <mergeCell ref="Y55:Y58"/>
    <mergeCell ref="Y59:Y64"/>
    <mergeCell ref="G30:H30"/>
    <mergeCell ref="I30:J30"/>
    <mergeCell ref="K30:L30"/>
    <mergeCell ref="M30:N30"/>
    <mergeCell ref="E36:E39"/>
    <mergeCell ref="E40:E45"/>
    <mergeCell ref="E46:E49"/>
    <mergeCell ref="F35:I35"/>
    <mergeCell ref="J35:O35"/>
    <mergeCell ref="P35:X35"/>
    <mergeCell ref="F36:I36"/>
    <mergeCell ref="F37:I37"/>
    <mergeCell ref="F47:I47"/>
    <mergeCell ref="F38:I38"/>
    <mergeCell ref="F48:I48"/>
    <mergeCell ref="F49:I49"/>
    <mergeCell ref="F41:I41"/>
    <mergeCell ref="G29:H29"/>
    <mergeCell ref="I29:J29"/>
    <mergeCell ref="K29:L29"/>
    <mergeCell ref="M29:N29"/>
    <mergeCell ref="G22:H22"/>
    <mergeCell ref="I22:J22"/>
    <mergeCell ref="K22:L22"/>
    <mergeCell ref="S12:X12"/>
    <mergeCell ref="E34:F34"/>
    <mergeCell ref="G34:H34"/>
    <mergeCell ref="K27:L27"/>
    <mergeCell ref="M27:N27"/>
    <mergeCell ref="E28:F28"/>
    <mergeCell ref="G28:H28"/>
    <mergeCell ref="I28:J28"/>
    <mergeCell ref="K28:L28"/>
    <mergeCell ref="M28:N28"/>
  </mergeCells>
  <conditionalFormatting sqref="Z12:AA12">
    <cfRule type="expression" dxfId="5" priority="6">
      <formula>$Y$10=INDEX(Site_terrain_type,1)</formula>
    </cfRule>
  </conditionalFormatting>
  <conditionalFormatting sqref="F55:N59 F63:N68 F60:F62">
    <cfRule type="expression" dxfId="4" priority="19">
      <formula>$M$14&lt;=#REF!</formula>
    </cfRule>
  </conditionalFormatting>
  <conditionalFormatting sqref="P36:X40 P44:X49 P41:P43">
    <cfRule type="expression" dxfId="3" priority="4">
      <formula>$M$14&lt;=#REF!</formula>
    </cfRule>
  </conditionalFormatting>
  <conditionalFormatting sqref="F74:F76">
    <cfRule type="expression" dxfId="2" priority="3">
      <formula>$M$14&lt;=#REF!</formula>
    </cfRule>
  </conditionalFormatting>
  <conditionalFormatting sqref="F110:F112">
    <cfRule type="expression" dxfId="1" priority="2">
      <formula>$M$14&lt;=#REF!</formula>
    </cfRule>
  </conditionalFormatting>
  <conditionalFormatting sqref="O16:O18">
    <cfRule type="containsText" dxfId="0" priority="1" operator="containsText" text="Clear">
      <formula>NOT(ISERROR(SEARCH("Clear",O16)))</formula>
    </cfRule>
  </conditionalFormatting>
  <dataValidations count="6">
    <dataValidation type="list" allowBlank="1" showInputMessage="1" showErrorMessage="1" sqref="Z22:AA22 Z10:AA10" xr:uid="{CC022615-ADCB-4B83-92AD-23CCBC9D0E9C}">
      <formula1>"A,B,C"</formula1>
    </dataValidation>
    <dataValidation type="list" allowBlank="1" showInputMessage="1" showErrorMessage="1" sqref="H10:N10" xr:uid="{8DF9812B-1A54-4FE5-ACBE-10099D5FFF09}">
      <formula1>"Flat roofs"</formula1>
    </dataValidation>
    <dataValidation type="list" allowBlank="1" showInputMessage="1" showErrorMessage="1" sqref="R22:S22" xr:uid="{556CF21A-B04A-4707-AEEA-F00AA9FE3B9D}">
      <formula1>"I,II,III,IV,V"</formula1>
    </dataValidation>
    <dataValidation type="list" allowBlank="1" showInputMessage="1" showErrorMessage="1" sqref="G12" xr:uid="{31F28971-D4D9-4219-A37C-A9F5445AA265}">
      <formula1>$AP$20:$AP$23</formula1>
    </dataValidation>
    <dataValidation type="list" allowBlank="1" showInputMessage="1" showErrorMessage="1" sqref="AC6:AC9" xr:uid="{72F658D1-28B7-40F2-886D-386B91232F3A}">
      <formula1>$BB$2:$BC$2</formula1>
    </dataValidation>
    <dataValidation type="list" allowBlank="1" showInputMessage="1" showErrorMessage="1" sqref="G11" xr:uid="{3E6F9B29-9852-463A-9A52-D8520D68CB8F}">
      <formula1>"RC building,Steel building"</formula1>
    </dataValidation>
  </dataValidations>
  <pageMargins left="0.7" right="0.7" top="0.75" bottom="0.75" header="0.3" footer="0.3"/>
  <pageSetup orientation="portrait" r:id="rId1"/>
  <ignoredErrors>
    <ignoredError sqref="G10 J11:J12 M19" unlocked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02D9F-FAB9-457F-BDD6-3DE08335EE14}">
  <sheetPr codeName="Sheet2"/>
  <dimension ref="A1:BD112"/>
  <sheetViews>
    <sheetView view="pageBreakPreview" zoomScale="115" zoomScaleNormal="160" zoomScaleSheetLayoutView="115" workbookViewId="0">
      <selection activeCell="N20" sqref="N20"/>
    </sheetView>
  </sheetViews>
  <sheetFormatPr defaultRowHeight="12.75"/>
  <cols>
    <col min="1" max="1" width="9.140625" style="78"/>
    <col min="2" max="2" width="9.140625" style="14" customWidth="1"/>
    <col min="3" max="10" width="9.140625" style="14"/>
    <col min="11" max="11" width="9.140625" style="78"/>
    <col min="12" max="25" width="9.140625" style="14"/>
    <col min="26" max="27" width="37.140625" style="14" customWidth="1"/>
    <col min="28" max="16384" width="9.140625" style="14"/>
  </cols>
  <sheetData>
    <row r="1" spans="2:27" s="78" customFormat="1"/>
    <row r="2" spans="2:27" s="78" customFormat="1" ht="13.5" thickBot="1"/>
    <row r="3" spans="2:27" ht="13.5" customHeight="1">
      <c r="B3" s="344"/>
      <c r="C3" s="358"/>
      <c r="D3" s="359"/>
      <c r="E3" s="360"/>
      <c r="F3" s="360"/>
      <c r="G3" s="360"/>
      <c r="H3" s="361"/>
      <c r="I3" s="358"/>
      <c r="J3" s="345"/>
      <c r="Y3" s="64">
        <v>29</v>
      </c>
      <c r="Z3" s="84" t="s">
        <v>69</v>
      </c>
      <c r="AA3" s="84" t="s">
        <v>98</v>
      </c>
    </row>
    <row r="4" spans="2:27" ht="13.5" customHeight="1">
      <c r="B4" s="329"/>
      <c r="C4" s="342"/>
      <c r="D4" s="336"/>
      <c r="E4" s="337"/>
      <c r="F4" s="337"/>
      <c r="G4" s="337"/>
      <c r="H4" s="338"/>
      <c r="I4" s="342"/>
      <c r="J4" s="330"/>
      <c r="Y4" s="64">
        <v>30</v>
      </c>
      <c r="Z4" s="84" t="s">
        <v>70</v>
      </c>
      <c r="AA4" s="84" t="s">
        <v>99</v>
      </c>
    </row>
    <row r="5" spans="2:27">
      <c r="B5" s="329"/>
      <c r="C5" s="342"/>
      <c r="D5" s="333"/>
      <c r="E5" s="334"/>
      <c r="F5" s="334"/>
      <c r="G5" s="334"/>
      <c r="H5" s="335"/>
      <c r="I5" s="342"/>
      <c r="J5" s="330"/>
      <c r="Y5" s="64">
        <v>31</v>
      </c>
      <c r="Z5" s="84" t="s">
        <v>140</v>
      </c>
      <c r="AA5" s="84" t="s">
        <v>145</v>
      </c>
    </row>
    <row r="6" spans="2:27" ht="15.75" customHeight="1">
      <c r="B6" s="329"/>
      <c r="C6" s="342"/>
      <c r="D6" s="336"/>
      <c r="E6" s="337"/>
      <c r="F6" s="337"/>
      <c r="G6" s="337"/>
      <c r="H6" s="338"/>
      <c r="I6" s="342"/>
      <c r="J6" s="330"/>
      <c r="Y6" s="64">
        <v>32</v>
      </c>
      <c r="Z6" s="84" t="s">
        <v>100</v>
      </c>
      <c r="AA6" s="84" t="s">
        <v>101</v>
      </c>
    </row>
    <row r="7" spans="2:27">
      <c r="B7" s="349"/>
      <c r="C7" s="352"/>
      <c r="D7" s="333"/>
      <c r="E7" s="334"/>
      <c r="F7" s="334"/>
      <c r="G7" s="334"/>
      <c r="H7" s="335"/>
      <c r="I7" s="352"/>
      <c r="J7" s="346"/>
      <c r="Y7" s="64">
        <v>33</v>
      </c>
      <c r="Z7" s="84" t="s">
        <v>102</v>
      </c>
      <c r="AA7" s="84" t="s">
        <v>103</v>
      </c>
    </row>
    <row r="8" spans="2:27">
      <c r="B8" s="350"/>
      <c r="C8" s="353"/>
      <c r="D8" s="355"/>
      <c r="E8" s="356"/>
      <c r="F8" s="356"/>
      <c r="G8" s="356"/>
      <c r="H8" s="357"/>
      <c r="I8" s="353"/>
      <c r="J8" s="347"/>
      <c r="Y8" s="64">
        <v>34</v>
      </c>
      <c r="Z8" s="84" t="s">
        <v>104</v>
      </c>
      <c r="AA8" s="84" t="s">
        <v>105</v>
      </c>
    </row>
    <row r="9" spans="2:27">
      <c r="B9" s="350"/>
      <c r="C9" s="353"/>
      <c r="D9" s="355"/>
      <c r="E9" s="356"/>
      <c r="F9" s="356"/>
      <c r="G9" s="356"/>
      <c r="H9" s="357"/>
      <c r="I9" s="353"/>
      <c r="J9" s="347"/>
      <c r="Y9" s="64">
        <v>35</v>
      </c>
      <c r="Z9" s="84" t="s">
        <v>69</v>
      </c>
      <c r="AA9" s="84" t="s">
        <v>141</v>
      </c>
    </row>
    <row r="10" spans="2:27">
      <c r="B10" s="350"/>
      <c r="C10" s="353"/>
      <c r="D10" s="355"/>
      <c r="E10" s="356"/>
      <c r="F10" s="356"/>
      <c r="G10" s="356"/>
      <c r="H10" s="357"/>
      <c r="I10" s="353"/>
      <c r="J10" s="347"/>
      <c r="Y10" s="64">
        <v>36</v>
      </c>
      <c r="Z10" s="84" t="s">
        <v>70</v>
      </c>
      <c r="AA10" s="84" t="s">
        <v>142</v>
      </c>
    </row>
    <row r="11" spans="2:27">
      <c r="B11" s="350"/>
      <c r="C11" s="353"/>
      <c r="D11" s="355"/>
      <c r="E11" s="356"/>
      <c r="F11" s="356"/>
      <c r="G11" s="356"/>
      <c r="H11" s="357"/>
      <c r="I11" s="353"/>
      <c r="J11" s="347"/>
      <c r="Y11" s="64">
        <v>37</v>
      </c>
      <c r="Z11" s="90" t="s">
        <v>21</v>
      </c>
      <c r="AA11" s="90" t="s">
        <v>146</v>
      </c>
    </row>
    <row r="12" spans="2:27">
      <c r="B12" s="350"/>
      <c r="C12" s="353"/>
      <c r="D12" s="355"/>
      <c r="E12" s="356"/>
      <c r="F12" s="356"/>
      <c r="G12" s="356"/>
      <c r="H12" s="357"/>
      <c r="I12" s="353"/>
      <c r="J12" s="347"/>
      <c r="Y12" s="64">
        <v>38</v>
      </c>
      <c r="Z12" s="83"/>
      <c r="AA12" s="83"/>
    </row>
    <row r="13" spans="2:27">
      <c r="B13" s="350"/>
      <c r="C13" s="353"/>
      <c r="D13" s="355"/>
      <c r="E13" s="356"/>
      <c r="F13" s="356"/>
      <c r="G13" s="356"/>
      <c r="H13" s="357"/>
      <c r="I13" s="353"/>
      <c r="J13" s="347"/>
      <c r="Y13" s="64">
        <v>39</v>
      </c>
      <c r="Z13" s="83"/>
      <c r="AA13" s="83"/>
    </row>
    <row r="14" spans="2:27">
      <c r="B14" s="350"/>
      <c r="C14" s="353"/>
      <c r="D14" s="355"/>
      <c r="E14" s="356"/>
      <c r="F14" s="356"/>
      <c r="G14" s="356"/>
      <c r="H14" s="357"/>
      <c r="I14" s="353"/>
      <c r="J14" s="347"/>
      <c r="Y14" s="64">
        <v>40</v>
      </c>
      <c r="Z14" s="83"/>
      <c r="AA14" s="83"/>
    </row>
    <row r="15" spans="2:27">
      <c r="B15" s="350"/>
      <c r="C15" s="353"/>
      <c r="D15" s="355"/>
      <c r="E15" s="356"/>
      <c r="F15" s="356"/>
      <c r="G15" s="356"/>
      <c r="H15" s="357"/>
      <c r="I15" s="353"/>
      <c r="J15" s="347"/>
      <c r="Y15" s="64">
        <v>41</v>
      </c>
      <c r="Z15" s="83"/>
      <c r="AA15" s="83"/>
    </row>
    <row r="16" spans="2:27">
      <c r="B16" s="350"/>
      <c r="C16" s="353"/>
      <c r="D16" s="355"/>
      <c r="E16" s="356"/>
      <c r="F16" s="356"/>
      <c r="G16" s="356"/>
      <c r="H16" s="357"/>
      <c r="I16" s="353"/>
      <c r="J16" s="347"/>
      <c r="Y16" s="64">
        <v>42</v>
      </c>
      <c r="Z16" s="83"/>
      <c r="AA16" s="83"/>
    </row>
    <row r="17" spans="2:27">
      <c r="B17" s="350"/>
      <c r="C17" s="353"/>
      <c r="D17" s="355"/>
      <c r="E17" s="356"/>
      <c r="F17" s="356"/>
      <c r="G17" s="356"/>
      <c r="H17" s="357"/>
      <c r="I17" s="353"/>
      <c r="J17" s="347"/>
      <c r="Y17" s="64">
        <v>43</v>
      </c>
      <c r="Z17" s="83"/>
      <c r="AA17" s="83"/>
    </row>
    <row r="18" spans="2:27">
      <c r="B18" s="351"/>
      <c r="C18" s="354"/>
      <c r="D18" s="336"/>
      <c r="E18" s="337"/>
      <c r="F18" s="337"/>
      <c r="G18" s="337"/>
      <c r="H18" s="338"/>
      <c r="I18" s="354"/>
      <c r="J18" s="348"/>
      <c r="Y18" s="64">
        <v>44</v>
      </c>
      <c r="Z18" s="83"/>
      <c r="AA18" s="83"/>
    </row>
    <row r="19" spans="2:27">
      <c r="B19" s="329"/>
      <c r="C19" s="342"/>
      <c r="D19" s="333"/>
      <c r="E19" s="334"/>
      <c r="F19" s="334"/>
      <c r="G19" s="334"/>
      <c r="H19" s="335"/>
      <c r="I19" s="342"/>
      <c r="J19" s="330"/>
      <c r="Y19" s="64">
        <v>45</v>
      </c>
      <c r="Z19" s="83"/>
      <c r="AA19" s="83"/>
    </row>
    <row r="20" spans="2:27">
      <c r="B20" s="329"/>
      <c r="C20" s="342"/>
      <c r="D20" s="336"/>
      <c r="E20" s="337"/>
      <c r="F20" s="337"/>
      <c r="G20" s="337"/>
      <c r="H20" s="338"/>
      <c r="I20" s="342"/>
      <c r="J20" s="330"/>
      <c r="Y20" s="64">
        <v>46</v>
      </c>
      <c r="Z20" s="83"/>
      <c r="AA20" s="83"/>
    </row>
    <row r="21" spans="2:27" ht="15" customHeight="1">
      <c r="B21" s="329"/>
      <c r="C21" s="342"/>
      <c r="D21" s="333"/>
      <c r="E21" s="334"/>
      <c r="F21" s="334"/>
      <c r="G21" s="334"/>
      <c r="H21" s="335"/>
      <c r="I21" s="342"/>
      <c r="J21" s="330"/>
      <c r="Y21" s="64">
        <v>47</v>
      </c>
      <c r="Z21" s="83"/>
      <c r="AA21" s="83"/>
    </row>
    <row r="22" spans="2:27" ht="13.5" thickBot="1">
      <c r="B22" s="331"/>
      <c r="C22" s="343"/>
      <c r="D22" s="339"/>
      <c r="E22" s="340"/>
      <c r="F22" s="340"/>
      <c r="G22" s="340"/>
      <c r="H22" s="341"/>
      <c r="I22" s="343"/>
      <c r="J22" s="332"/>
      <c r="Y22" s="64">
        <v>48</v>
      </c>
      <c r="Z22" s="83"/>
      <c r="AA22" s="83"/>
    </row>
    <row r="23" spans="2:27">
      <c r="B23" s="78"/>
      <c r="C23" s="78"/>
      <c r="D23" s="78"/>
      <c r="E23" s="78"/>
      <c r="F23" s="78"/>
      <c r="G23" s="78"/>
      <c r="H23" s="78"/>
      <c r="I23" s="78"/>
      <c r="J23" s="78"/>
      <c r="Y23" s="64">
        <v>49</v>
      </c>
      <c r="Z23" s="83"/>
      <c r="AA23" s="83"/>
    </row>
    <row r="24" spans="2:27">
      <c r="B24" s="327"/>
      <c r="C24" s="327"/>
      <c r="D24" s="78"/>
      <c r="E24" s="78"/>
      <c r="F24" s="78"/>
      <c r="G24" s="78"/>
      <c r="H24" s="78"/>
      <c r="I24" s="328"/>
      <c r="J24" s="328"/>
      <c r="Y24" s="64">
        <v>50</v>
      </c>
      <c r="Z24" s="83"/>
      <c r="AA24" s="83"/>
    </row>
    <row r="25" spans="2:27" s="78" customFormat="1">
      <c r="Y25" s="33">
        <v>90</v>
      </c>
      <c r="Z25" s="108"/>
      <c r="AA25" s="108"/>
    </row>
    <row r="26" spans="2:27" s="78" customFormat="1">
      <c r="Y26" s="33">
        <v>91</v>
      </c>
      <c r="Z26" s="108"/>
      <c r="AA26" s="108"/>
    </row>
    <row r="27" spans="2:27">
      <c r="Y27" s="64">
        <v>92</v>
      </c>
      <c r="Z27" s="83"/>
      <c r="AA27" s="83"/>
    </row>
    <row r="28" spans="2:27">
      <c r="Y28" s="64">
        <v>93</v>
      </c>
      <c r="Z28" s="83"/>
      <c r="AA28" s="83"/>
    </row>
    <row r="29" spans="2:27">
      <c r="Y29" s="64">
        <v>94</v>
      </c>
      <c r="Z29" s="83"/>
      <c r="AA29" s="83"/>
    </row>
    <row r="30" spans="2:27">
      <c r="Y30" s="64">
        <v>95</v>
      </c>
      <c r="Z30" s="83"/>
      <c r="AA30" s="83"/>
    </row>
    <row r="31" spans="2:27">
      <c r="Y31" s="64">
        <v>96</v>
      </c>
      <c r="Z31" s="83"/>
      <c r="AA31" s="83"/>
    </row>
    <row r="32" spans="2:27">
      <c r="Y32" s="64">
        <v>97</v>
      </c>
      <c r="Z32" s="83"/>
      <c r="AA32" s="83"/>
    </row>
    <row r="33" spans="25:27">
      <c r="Y33" s="64">
        <v>98</v>
      </c>
      <c r="Z33" s="83"/>
      <c r="AA33" s="83"/>
    </row>
    <row r="34" spans="25:27">
      <c r="Y34" s="64">
        <v>99</v>
      </c>
      <c r="Z34" s="83"/>
      <c r="AA34" s="83"/>
    </row>
    <row r="35" spans="25:27">
      <c r="Y35" s="64">
        <v>100</v>
      </c>
      <c r="Z35" s="83"/>
      <c r="AA35" s="83"/>
    </row>
    <row r="112" spans="1:56" s="15" customFormat="1">
      <c r="A112" s="2"/>
      <c r="B112" s="14"/>
      <c r="C112" s="14"/>
      <c r="D112" s="14"/>
      <c r="E112" s="14"/>
      <c r="F112" s="14"/>
      <c r="G112" s="14"/>
      <c r="H112" s="14"/>
      <c r="I112" s="14"/>
      <c r="J112" s="14"/>
      <c r="K112" s="78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  <c r="AN112" s="14"/>
      <c r="AO112" s="14"/>
      <c r="AP112" s="14"/>
      <c r="AQ112" s="14"/>
      <c r="AR112" s="14"/>
      <c r="AS112" s="14"/>
      <c r="AT112" s="14"/>
      <c r="AU112" s="14"/>
      <c r="AV112" s="14"/>
      <c r="AW112" s="14"/>
      <c r="AX112" s="14"/>
      <c r="AY112" s="14"/>
      <c r="AZ112" s="14"/>
      <c r="BA112" s="14"/>
      <c r="BB112" s="14"/>
      <c r="BC112" s="14"/>
      <c r="BD112" s="14"/>
    </row>
  </sheetData>
  <mergeCells count="27">
    <mergeCell ref="B3:B4"/>
    <mergeCell ref="J3:J4"/>
    <mergeCell ref="J7:J18"/>
    <mergeCell ref="J5:J6"/>
    <mergeCell ref="B7:B18"/>
    <mergeCell ref="C7:C18"/>
    <mergeCell ref="D7:H18"/>
    <mergeCell ref="I7:I18"/>
    <mergeCell ref="B5:B6"/>
    <mergeCell ref="D5:H6"/>
    <mergeCell ref="C3:C4"/>
    <mergeCell ref="I3:I4"/>
    <mergeCell ref="C5:C6"/>
    <mergeCell ref="I5:I6"/>
    <mergeCell ref="D3:H4"/>
    <mergeCell ref="B24:C24"/>
    <mergeCell ref="I24:J24"/>
    <mergeCell ref="B19:B20"/>
    <mergeCell ref="J19:J20"/>
    <mergeCell ref="B21:B22"/>
    <mergeCell ref="J21:J22"/>
    <mergeCell ref="D19:H20"/>
    <mergeCell ref="D21:H22"/>
    <mergeCell ref="C21:C22"/>
    <mergeCell ref="C19:C20"/>
    <mergeCell ref="I19:I20"/>
    <mergeCell ref="I21:I22"/>
  </mergeCells>
  <pageMargins left="0.7" right="0.7" top="0.75" bottom="0.75" header="0.3" footer="0.3"/>
  <pageSetup scale="125" orientation="landscape" r:id="rId1"/>
  <colBreaks count="1" manualBreakCount="1">
    <brk id="11" max="1048575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GustFactor</vt:lpstr>
      <vt:lpstr>TCVN</vt:lpstr>
      <vt:lpstr>Pic</vt:lpstr>
      <vt:lpstr>Bang8_10</vt:lpstr>
      <vt:lpstr>GustFactor!Print_Area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"ASCE705W" Program</dc:title>
  <dc:creator>Alex Tomanovich, P.E. - 151 Shadow Lane, Lyman SC 29365 - Home: 864-968-2699 - Email: ATomanovich@bellsouth.net</dc:creator>
  <dc:description>ASCE 7-05 Code Wind Analysis Program</dc:description>
  <cp:lastModifiedBy>toan huynh vu minh</cp:lastModifiedBy>
  <cp:lastPrinted>2023-09-06T08:49:51Z</cp:lastPrinted>
  <dcterms:created xsi:type="dcterms:W3CDTF">2000-02-14T22:01:47Z</dcterms:created>
  <dcterms:modified xsi:type="dcterms:W3CDTF">2024-12-25T11:46:27Z</dcterms:modified>
  <cp:category>Structural Enginnering Analysis/Design</cp:category>
</cp:coreProperties>
</file>