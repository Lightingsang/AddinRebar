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2025.05.31 Send Duy/"/>
    </mc:Choice>
  </mc:AlternateContent>
  <xr:revisionPtr revIDLastSave="206" documentId="11_3DDF6BE804A5CBC0545E71AF2A5CA66BF543EE1D" xr6:coauthVersionLast="47" xr6:coauthVersionMax="47" xr10:uidLastSave="{E64C1F7A-44E3-48A6-9878-BE57BD4441AA}"/>
  <bookViews>
    <workbookView xWindow="-120" yWindow="-120" windowWidth="29040" windowHeight="15720" xr2:uid="{00000000-000D-0000-FFFF-FFFF00000000}"/>
  </bookViews>
  <sheets>
    <sheet name="Cal" sheetId="1" r:id="rId1"/>
  </sheets>
  <functionGroups builtInGroupCount="19"/>
  <externalReferences>
    <externalReference r:id="rId2"/>
    <externalReference r:id="rId3"/>
    <externalReference r:id="rId4"/>
  </externalReferences>
  <definedNames>
    <definedName name="_xlnm._FilterDatabase" localSheetId="0" hidden="1">Cal!$H$11:$J$12</definedName>
    <definedName name="B">'[1]1'!$G$30</definedName>
    <definedName name="bfb">'[2]2 (2)'!$H$11</definedName>
    <definedName name="bft">'[2]2 (2)'!$F$11</definedName>
    <definedName name="BL_CAST">[3]BT!$B$35:$F$42</definedName>
    <definedName name="BL_CHEM">[3]BT!$B$49:$H$54</definedName>
    <definedName name="BL_EX">[3]BT!$B$61:$H$63</definedName>
    <definedName name="BT_1">[2]BT!$I$43:$K$50</definedName>
    <definedName name="BT_2">[2]BT!$I$51:$K$58</definedName>
    <definedName name="CoT">'[2]2 (2)'!$B$20</definedName>
    <definedName name="Decking">#REF!</definedName>
    <definedName name="Ec">'[2]2'!$J$26</definedName>
    <definedName name="Es">'[2]2'!$J$23</definedName>
    <definedName name="fc">'[2]2'!$J$25</definedName>
    <definedName name="Fy">'[2]2'!$J$22</definedName>
    <definedName name="Fyyy">'[2]2 (2)'!$F$15</definedName>
    <definedName name="goc">'[1]1'!$J$37</definedName>
    <definedName name="h">'[1]1'!$L$36</definedName>
    <definedName name="h_1">'[1]1'!$L$34</definedName>
    <definedName name="h_2">'[1]1'!$L$35</definedName>
    <definedName name="i">'[1]1'!$K$36</definedName>
    <definedName name="i_1">'[1]1'!$K$34</definedName>
    <definedName name="i_2">'[1]1'!$K$35</definedName>
    <definedName name="LANG">'[2]DESIGN SHEET OF BMB'!$O$4</definedName>
    <definedName name="Lm">'[1]1'!$G$40</definedName>
    <definedName name="nn">'[1]DESIGN SHEET OF BMB'!$Q$4</definedName>
    <definedName name="_xlnm.Print_Area" localSheetId="0">Cal!$A$4:$N$45</definedName>
    <definedName name="QC_XAGO">#REF!</definedName>
    <definedName name="Sym">[1]Autoload!$AN$7</definedName>
    <definedName name="tfb">'[2]2 (2)'!$I$11</definedName>
    <definedName name="tft">'[2]2 (2)'!$G$11</definedName>
    <definedName name="tw">'[2]2 (2)'!$E$11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1" l="1"/>
  <c r="H33" i="1"/>
  <c r="I33" i="1"/>
  <c r="J33" i="1"/>
  <c r="K33" i="1"/>
  <c r="L33" i="1"/>
  <c r="M33" i="1"/>
  <c r="G33" i="1"/>
  <c r="H32" i="1"/>
  <c r="I32" i="1"/>
  <c r="J32" i="1"/>
  <c r="K32" i="1"/>
  <c r="L32" i="1"/>
  <c r="M32" i="1"/>
  <c r="G32" i="1"/>
  <c r="W12" i="1" l="1"/>
  <c r="W11" i="1"/>
  <c r="W10" i="1"/>
  <c r="L23" i="1"/>
  <c r="I23" i="1"/>
  <c r="L12" i="1" l="1"/>
  <c r="U11" i="1"/>
  <c r="R12" i="1"/>
  <c r="Q10" i="1"/>
  <c r="L24" i="1" l="1"/>
  <c r="U10" i="1"/>
  <c r="T10" i="1"/>
  <c r="S10" i="1"/>
  <c r="R10" i="1"/>
  <c r="Q12" i="1"/>
  <c r="T11" i="1"/>
  <c r="S11" i="1"/>
  <c r="R11" i="1"/>
  <c r="L15" i="1" s="1"/>
  <c r="U12" i="1"/>
  <c r="T12" i="1"/>
  <c r="Q11" i="1"/>
  <c r="S12" i="1"/>
  <c r="I25" i="1" l="1"/>
  <c r="L16" i="1"/>
  <c r="L2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Tomanovich</author>
    <author>Huynh Vu Minh Toan</author>
    <author>toan.hvm</author>
    <author>Bob Dalpiaz</author>
    <author>4892</author>
  </authors>
  <commentList>
    <comment ref="L1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L14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L17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L19" authorId="3" shapeId="0" xr:uid="{00000000-0006-0000-0000-000005000000}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L20" authorId="4" shapeId="0" xr:uid="{00000000-0006-0000-0000-000006000000}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I23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L23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L26" authorId="1" shapeId="0" xr:uid="{267FD6CF-8D2F-4F2D-93AF-9C78195D2AC0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27.4.5 Parapets (ASCE7.10)</t>
        </r>
      </text>
    </comment>
    <comment ref="L27" authorId="1" shapeId="0" xr:uid="{52337781-E322-4970-A0F9-EAD25E498607}">
      <text>
        <r>
          <rPr>
            <b/>
            <sz val="9"/>
            <color indexed="81"/>
            <rFont val="Tahoma"/>
            <family val="2"/>
          </rPr>
          <t>Huynh Vu Minh Toan:
27.4.5 Parapets (ASCE7.10)</t>
        </r>
      </text>
    </comment>
  </commentList>
</comments>
</file>

<file path=xl/sharedStrings.xml><?xml version="1.0" encoding="utf-8"?>
<sst xmlns="http://schemas.openxmlformats.org/spreadsheetml/2006/main" count="89" uniqueCount="70">
  <si>
    <t>Velocity pressure exposure coefficient</t>
  </si>
  <si>
    <t>Item
Hạng mục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</si>
  <si>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</si>
  <si>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</si>
  <si>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</si>
  <si>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</si>
  <si>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</si>
  <si>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</si>
  <si>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</si>
  <si>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</si>
  <si>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</si>
  <si>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</si>
  <si>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</si>
  <si>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</si>
  <si>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</si>
  <si>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</si>
  <si>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</si>
  <si>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</si>
  <si>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</si>
  <si>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</si>
  <si>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</si>
  <si>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</si>
  <si>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</si>
  <si>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</si>
  <si>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Return period wind speed / Chu kỳ lặp</t>
  </si>
  <si>
    <t>Exposure / Dạng địa hình</t>
  </si>
  <si>
    <t>B</t>
  </si>
  <si>
    <t>C</t>
  </si>
  <si>
    <t xml:space="preserve">Building classification / Cấp công trình </t>
  </si>
  <si>
    <t>m</t>
  </si>
  <si>
    <t>a</t>
  </si>
  <si>
    <t>h =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</si>
  <si>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</si>
  <si>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</si>
  <si>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</si>
  <si>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</si>
  <si>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</si>
  <si>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</si>
  <si>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</si>
  <si>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</si>
  <si>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</si>
  <si>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</si>
  <si>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</si>
  <si>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</si>
  <si>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Y</t>
  </si>
  <si>
    <t>Velocity pressure at height z</t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</si>
  <si>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</si>
  <si>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km/h</t>
  </si>
  <si>
    <t>II/ Main wind force resisting system / Tải trọng gió tác dụng lên hệ khung</t>
  </si>
  <si>
    <t>Design wind speed / Tốc độ gió thiết kế</t>
  </si>
  <si>
    <t>Factory
Nhà xưởng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</si>
  <si>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</t>
    </r>
  </si>
  <si>
    <t>ASCE 7 Minimum Design Loads For Buildings And Other Structures</t>
  </si>
  <si>
    <r>
      <t>z</t>
    </r>
    <r>
      <rPr>
        <vertAlign val="subscript"/>
        <sz val="11"/>
        <color theme="1"/>
        <rFont val="Calibri"/>
        <family val="2"/>
        <scheme val="minor"/>
      </rPr>
      <t>min</t>
    </r>
    <r>
      <rPr>
        <sz val="11"/>
        <color theme="1"/>
        <rFont val="Calibri"/>
        <family val="2"/>
        <scheme val="minor"/>
      </rPr>
      <t xml:space="preserve"> (m)</t>
    </r>
  </si>
  <si>
    <t>Net Pressure Coefficient / Hệ số áp lực thực</t>
  </si>
  <si>
    <t>Wind load applies on windward parapet / Tải trọng gió mặt dựng đón gió</t>
  </si>
  <si>
    <t>Wind load applies on leeward parapet / Tải trọng gió mặt dựng khuất gió</t>
  </si>
  <si>
    <r>
      <t>W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</si>
  <si>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</si>
  <si>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t>Elevation at the top of the parapet / Chiều cao đỉnh của parapet</t>
  </si>
  <si>
    <t>PARAPETS
TƯỜNG CHẮN MÁI</t>
  </si>
  <si>
    <t>years</t>
  </si>
  <si>
    <r>
      <t>GC</t>
    </r>
    <r>
      <rPr>
        <vertAlign val="subscript"/>
        <sz val="11"/>
        <color theme="1"/>
        <rFont val="Calibri"/>
        <family val="2"/>
        <scheme val="minor"/>
      </rPr>
      <t>pn</t>
    </r>
    <r>
      <rPr>
        <sz val="11"/>
        <color theme="1"/>
        <rFont val="Calibri"/>
        <family val="2"/>
        <scheme val="minor"/>
      </rPr>
      <t xml:space="preserve"> =</t>
    </r>
  </si>
  <si>
    <t>Windward parapet</t>
  </si>
  <si>
    <t>Leeward parapet</t>
  </si>
  <si>
    <t>Bề rộng truyền tải (m)</t>
  </si>
  <si>
    <t>Giá trị mặt đón gió (kN/m)</t>
  </si>
  <si>
    <t>Giá trị mặt khuất gió (kN/m)</t>
  </si>
  <si>
    <r>
      <t>W</t>
    </r>
    <r>
      <rPr>
        <vertAlign val="subscript"/>
        <sz val="11"/>
        <color theme="1"/>
        <rFont val="Calibri"/>
        <family val="2"/>
        <scheme val="minor"/>
      </rPr>
      <t>1</t>
    </r>
  </si>
  <si>
    <r>
      <t>W</t>
    </r>
    <r>
      <rPr>
        <vertAlign val="sub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</si>
</sst>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rgb="FF0000CC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8"/>
      <color rgb="FF0000CC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0" fillId="0" borderId="1" xfId="0" applyBorder="1"/>
    <xf numFmtId="0" fontId="0" fillId="0" borderId="7" xfId="0" applyBorder="1"/>
    <xf numFmtId="0" fontId="0" fillId="0" borderId="1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21" fillId="0" borderId="0" xfId="0" applyFont="1" applyAlignment="1">
      <alignment vertical="center"/>
    </xf>
    <xf numFmtId="0" fontId="5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vertical="center"/>
    </xf>
    <xf numFmtId="0" fontId="17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3" fillId="3" borderId="9" xfId="0" applyFont="1" applyFill="1" applyBorder="1" applyAlignment="1" applyProtection="1">
      <alignment horizontal="center" vertical="center" wrapText="1"/>
      <protection hidden="1"/>
    </xf>
    <xf numFmtId="0" fontId="3" fillId="3" borderId="10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0" xfId="0" applyFont="1" applyFill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0" fontId="4" fillId="2" borderId="11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0" fontId="9" fillId="4" borderId="3" xfId="0" applyFont="1" applyFill="1" applyBorder="1" applyAlignment="1">
      <alignment horizontal="center"/>
    </xf>
    <xf numFmtId="0" fontId="6" fillId="4" borderId="4" xfId="1" applyFont="1" applyFill="1" applyBorder="1" applyAlignment="1" applyProtection="1">
      <alignment horizontal="left" vertical="center" indent="1"/>
      <protection hidden="1"/>
    </xf>
    <xf numFmtId="0" fontId="6" fillId="4" borderId="2" xfId="1" applyFont="1" applyFill="1" applyBorder="1" applyAlignment="1" applyProtection="1">
      <alignment horizontal="left" vertical="center" indent="1"/>
      <protection hidden="1"/>
    </xf>
    <xf numFmtId="0" fontId="0" fillId="0" borderId="3" xfId="0" applyBorder="1" applyAlignment="1">
      <alignment horizontal="left" vertical="center" indent="1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538371</xdr:colOff>
      <xdr:row>34</xdr:row>
      <xdr:rowOff>41412</xdr:rowOff>
    </xdr:from>
    <xdr:to>
      <xdr:col>9</xdr:col>
      <xdr:colOff>248479</xdr:colOff>
      <xdr:row>42</xdr:row>
      <xdr:rowOff>145655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B6339F-0563-4E9C-B8F3-A94EF876F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7414" y="6642651"/>
          <a:ext cx="2559326" cy="1628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463827</xdr:colOff>
      <xdr:row>34</xdr:row>
      <xdr:rowOff>182217</xdr:rowOff>
    </xdr:from>
    <xdr:ext cx="434734" cy="264560"/>
    <xdr:sp macro="" textlink="G32">
      <xdr:nvSpPr>
        <xdr:cNvPr id="6" name="TextBox 5">
          <a:extLst>
            <a:ext uri="{FF2B5EF4-FFF2-40B4-BE49-F238E27FC236}">
              <a16:creationId xmlns:a16="http://schemas.microsoft.com/office/drawing/2014/main" id="{8DEF5C3A-2CC1-79B5-6AE2-43F3220CDEB1}"/>
            </a:ext>
          </a:extLst>
        </xdr:cNvPr>
        <xdr:cNvSpPr txBox="1"/>
      </xdr:nvSpPr>
      <xdr:spPr>
        <a:xfrm>
          <a:off x="2252870" y="6783456"/>
          <a:ext cx="4347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3B4BED1D-B212-40A5-9151-D1A82C5864C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12.4</a:t>
          </a:fld>
          <a:endParaRPr lang="en-US" sz="1100"/>
        </a:p>
      </xdr:txBody>
    </xdr:sp>
    <xdr:clientData/>
  </xdr:oneCellAnchor>
  <xdr:oneCellAnchor>
    <xdr:from>
      <xdr:col>9</xdr:col>
      <xdr:colOff>298173</xdr:colOff>
      <xdr:row>34</xdr:row>
      <xdr:rowOff>124239</xdr:rowOff>
    </xdr:from>
    <xdr:ext cx="406458" cy="264560"/>
    <xdr:sp macro="" textlink="G33">
      <xdr:nvSpPr>
        <xdr:cNvPr id="7" name="TextBox 6">
          <a:extLst>
            <a:ext uri="{FF2B5EF4-FFF2-40B4-BE49-F238E27FC236}">
              <a16:creationId xmlns:a16="http://schemas.microsoft.com/office/drawing/2014/main" id="{7E96D3A7-D4BD-4823-A15A-9D949740F687}"/>
            </a:ext>
          </a:extLst>
        </xdr:cNvPr>
        <xdr:cNvSpPr txBox="1"/>
      </xdr:nvSpPr>
      <xdr:spPr>
        <a:xfrm>
          <a:off x="4936434" y="6725478"/>
          <a:ext cx="4064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0F8E47C-EDD9-4E5B-B762-88A91F562BF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-8.2</a:t>
          </a:fld>
          <a:endParaRPr 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an.hvm/Downloads/1A%20-%20LOAD%20APPLICATION%20AND%20PURLIN%20-%20Under%2018m%20-%20R22.2%20(Uncrack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2.1-FILE%20TINH%20HIEN%20HANH\2%20-%20COMPOSITE%20BEAM%20&amp;%20DECKING%20-%20R22.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4.%20NGHIEN%20CUU\14.2.%20FILE%20TINH\7.COMPOSITE%20BEAM-DECKING\THAM%20KHAO\4%20-%20BASE%20PLATE%20CONNECTION%20-%20R20.1%20-%20NO%20P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2">
          <cell r="E2" t="str">
            <v>#1A</v>
          </cell>
        </row>
        <row r="4">
          <cell r="Q4">
            <v>2</v>
          </cell>
        </row>
      </sheetData>
      <sheetData sheetId="1"/>
      <sheetData sheetId="2">
        <row r="30">
          <cell r="G30">
            <v>10</v>
          </cell>
        </row>
        <row r="34">
          <cell r="K34">
            <v>8.5307656099481335</v>
          </cell>
          <cell r="L34">
            <v>13</v>
          </cell>
        </row>
        <row r="35">
          <cell r="K35">
            <v>14.036243467926477</v>
          </cell>
          <cell r="L35">
            <v>16.5</v>
          </cell>
        </row>
        <row r="36">
          <cell r="K36">
            <v>5.710593137499643</v>
          </cell>
          <cell r="L36">
            <v>13</v>
          </cell>
        </row>
        <row r="37">
          <cell r="J37">
            <v>9.9668652491162038E-2</v>
          </cell>
        </row>
        <row r="40">
          <cell r="G40">
            <v>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7">
          <cell r="AN7" t="b">
            <v>0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IGN SHEET OF BMB"/>
      <sheetName val="INPUT"/>
      <sheetName val="1"/>
      <sheetName val="2"/>
      <sheetName val="ControlPanel"/>
      <sheetName val="3"/>
      <sheetName val="2 (2)"/>
      <sheetName val="2-1"/>
      <sheetName val="2-2"/>
      <sheetName val="2-3"/>
      <sheetName val="2-4"/>
      <sheetName val="NL1"/>
      <sheetName val="NL2"/>
      <sheetName val="NL3"/>
      <sheetName val="NL4"/>
      <sheetName val="NL5"/>
      <sheetName val="BT"/>
    </sheetNames>
    <sheetDataSet>
      <sheetData sheetId="0">
        <row r="4">
          <cell r="O4">
            <v>1</v>
          </cell>
        </row>
      </sheetData>
      <sheetData sheetId="1" refreshError="1"/>
      <sheetData sheetId="2" refreshError="1"/>
      <sheetData sheetId="3">
        <row r="22">
          <cell r="J22">
            <v>0.23499999999999999</v>
          </cell>
        </row>
        <row r="23">
          <cell r="J23">
            <v>200</v>
          </cell>
        </row>
        <row r="25">
          <cell r="J25">
            <v>0.02</v>
          </cell>
        </row>
        <row r="26">
          <cell r="J26">
            <v>21.02</v>
          </cell>
        </row>
      </sheetData>
      <sheetData sheetId="4" refreshError="1"/>
      <sheetData sheetId="5" refreshError="1"/>
      <sheetData sheetId="6">
        <row r="11">
          <cell r="D11">
            <v>746</v>
          </cell>
          <cell r="E11">
            <v>8</v>
          </cell>
          <cell r="F11">
            <v>184</v>
          </cell>
          <cell r="G11">
            <v>12</v>
          </cell>
          <cell r="H11">
            <v>184</v>
          </cell>
          <cell r="I11">
            <v>12</v>
          </cell>
        </row>
        <row r="15">
          <cell r="F15">
            <v>34.5</v>
          </cell>
        </row>
        <row r="20">
          <cell r="B20" t="str">
            <v>Nén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3">
          <cell r="I43">
            <v>0.75</v>
          </cell>
          <cell r="J43">
            <v>0.95</v>
          </cell>
          <cell r="K43">
            <v>1.1499999999999999</v>
          </cell>
        </row>
        <row r="44">
          <cell r="I44">
            <v>22307.955468750002</v>
          </cell>
          <cell r="J44">
            <v>28222.320343749998</v>
          </cell>
          <cell r="K44">
            <v>34122.214218749999</v>
          </cell>
        </row>
        <row r="45">
          <cell r="I45">
            <v>912.81</v>
          </cell>
          <cell r="J45">
            <v>1156.2259999999999</v>
          </cell>
          <cell r="K45">
            <v>1399.6419999999998</v>
          </cell>
        </row>
        <row r="46">
          <cell r="I46">
            <v>24.438771999375557</v>
          </cell>
          <cell r="J46">
            <v>24.408999921944325</v>
          </cell>
          <cell r="K46">
            <v>24.379244277286624</v>
          </cell>
        </row>
        <row r="47">
          <cell r="I47">
            <v>465733.8478670076</v>
          </cell>
          <cell r="J47">
            <v>587915.08345706481</v>
          </cell>
          <cell r="K47">
            <v>709261.11303491704</v>
          </cell>
        </row>
        <row r="48">
          <cell r="I48">
            <v>18220.323681461236</v>
          </cell>
          <cell r="J48">
            <v>22973.509501928493</v>
          </cell>
          <cell r="K48">
            <v>27683.067615610616</v>
          </cell>
        </row>
        <row r="49">
          <cell r="I49">
            <v>250.65000000000003</v>
          </cell>
          <cell r="J49">
            <v>317.49</v>
          </cell>
          <cell r="K49">
            <v>384.33000000000004</v>
          </cell>
        </row>
        <row r="50">
          <cell r="I50">
            <v>320.25</v>
          </cell>
          <cell r="J50">
            <v>405.65</v>
          </cell>
          <cell r="K50">
            <v>491.04999999999995</v>
          </cell>
        </row>
        <row r="51">
          <cell r="I51">
            <v>0.75</v>
          </cell>
          <cell r="J51">
            <v>0.95</v>
          </cell>
          <cell r="K51">
            <v>1.1499999999999999</v>
          </cell>
        </row>
        <row r="52">
          <cell r="I52">
            <v>32371.837500000001</v>
          </cell>
          <cell r="J52">
            <v>40957.131500000003</v>
          </cell>
          <cell r="K52">
            <v>49522.553499999995</v>
          </cell>
        </row>
        <row r="53">
          <cell r="I53">
            <v>900</v>
          </cell>
          <cell r="J53">
            <v>1140</v>
          </cell>
          <cell r="K53">
            <v>1380</v>
          </cell>
        </row>
        <row r="54">
          <cell r="I54">
            <v>35.968708333333332</v>
          </cell>
          <cell r="J54">
            <v>35.927308333333336</v>
          </cell>
          <cell r="K54">
            <v>35.885908333333326</v>
          </cell>
        </row>
        <row r="55">
          <cell r="I55">
            <v>922823.3059765622</v>
          </cell>
          <cell r="J55">
            <v>1168943.8944601126</v>
          </cell>
          <cell r="K55">
            <v>1415088.5847612484</v>
          </cell>
        </row>
        <row r="56">
          <cell r="I56">
            <v>23643.165946380086</v>
          </cell>
          <cell r="J56">
            <v>29917.158112179695</v>
          </cell>
          <cell r="K56">
            <v>36178.485156212839</v>
          </cell>
        </row>
        <row r="57">
          <cell r="I57">
            <v>379.34999999999997</v>
          </cell>
          <cell r="J57">
            <v>480.50999999999993</v>
          </cell>
          <cell r="K57">
            <v>581.66999999999996</v>
          </cell>
        </row>
        <row r="58">
          <cell r="I58">
            <v>243</v>
          </cell>
          <cell r="J58">
            <v>307.8</v>
          </cell>
          <cell r="K58">
            <v>372.59999999999997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IGN SHEET"/>
      <sheetName val="ControlPanel"/>
      <sheetName val="PINNED"/>
      <sheetName val="FIXED"/>
      <sheetName val="PARTIALLY FIXED"/>
      <sheetName val="B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5">
          <cell r="B35" t="str">
            <v>M16</v>
          </cell>
          <cell r="C35">
            <v>400</v>
          </cell>
          <cell r="D35">
            <v>275</v>
          </cell>
          <cell r="E35">
            <v>24</v>
          </cell>
          <cell r="F35">
            <v>297.76870275008986</v>
          </cell>
        </row>
        <row r="36">
          <cell r="B36" t="str">
            <v>M20</v>
          </cell>
          <cell r="C36">
            <v>500</v>
          </cell>
          <cell r="D36">
            <v>375</v>
          </cell>
          <cell r="E36">
            <v>30</v>
          </cell>
          <cell r="F36">
            <v>465.26359804701536</v>
          </cell>
        </row>
        <row r="37">
          <cell r="B37" t="str">
            <v>M24</v>
          </cell>
          <cell r="C37">
            <v>600</v>
          </cell>
          <cell r="D37">
            <v>460</v>
          </cell>
          <cell r="E37">
            <v>36</v>
          </cell>
          <cell r="F37">
            <v>669.97958118770225</v>
          </cell>
        </row>
        <row r="38">
          <cell r="B38" t="str">
            <v>M27</v>
          </cell>
          <cell r="C38">
            <v>700</v>
          </cell>
          <cell r="D38">
            <v>560</v>
          </cell>
          <cell r="E38">
            <v>41</v>
          </cell>
          <cell r="F38">
            <v>883.23344264490152</v>
          </cell>
        </row>
        <row r="39">
          <cell r="B39" t="str">
            <v>M30</v>
          </cell>
          <cell r="C39">
            <v>800</v>
          </cell>
          <cell r="D39">
            <v>650</v>
          </cell>
          <cell r="E39">
            <v>46</v>
          </cell>
          <cell r="F39">
            <v>1125.6514073501687</v>
          </cell>
        </row>
        <row r="40">
          <cell r="B40" t="str">
            <v>M36</v>
          </cell>
          <cell r="C40">
            <v>900</v>
          </cell>
          <cell r="D40">
            <v>750</v>
          </cell>
          <cell r="E40">
            <v>55</v>
          </cell>
          <cell r="F40">
            <v>1601.8508266848337</v>
          </cell>
        </row>
        <row r="41">
          <cell r="B41" t="str">
            <v>M42</v>
          </cell>
          <cell r="C41">
            <v>1000</v>
          </cell>
          <cell r="D41">
            <v>830</v>
          </cell>
          <cell r="E41">
            <v>65</v>
          </cell>
          <cell r="F41">
            <v>2273.5149707561541</v>
          </cell>
        </row>
        <row r="42">
          <cell r="B42" t="str">
            <v>M48</v>
          </cell>
          <cell r="C42">
            <v>1200</v>
          </cell>
          <cell r="D42">
            <v>1030</v>
          </cell>
          <cell r="E42">
            <v>75</v>
          </cell>
          <cell r="F42">
            <v>3061.8355278197459</v>
          </cell>
        </row>
        <row r="49">
          <cell r="B49" t="str">
            <v>M12</v>
          </cell>
          <cell r="C49">
            <v>120</v>
          </cell>
          <cell r="D49">
            <v>110</v>
          </cell>
          <cell r="E49">
            <v>46.012499999999996</v>
          </cell>
          <cell r="F49">
            <v>28.912499999999998</v>
          </cell>
          <cell r="G49">
            <v>22.387499999999999</v>
          </cell>
          <cell r="H49">
            <v>16.143750000000001</v>
          </cell>
        </row>
        <row r="50">
          <cell r="B50" t="str">
            <v>M16</v>
          </cell>
          <cell r="C50">
            <v>190</v>
          </cell>
          <cell r="D50">
            <v>125</v>
          </cell>
          <cell r="E50">
            <v>81.8</v>
          </cell>
          <cell r="F50">
            <v>51.4</v>
          </cell>
          <cell r="G50">
            <v>39.799999999999997</v>
          </cell>
          <cell r="H50">
            <v>28.7</v>
          </cell>
        </row>
        <row r="51">
          <cell r="B51" t="str">
            <v>M20</v>
          </cell>
          <cell r="C51">
            <v>260</v>
          </cell>
          <cell r="D51">
            <v>170</v>
          </cell>
          <cell r="E51">
            <v>131.69999999999999</v>
          </cell>
          <cell r="F51">
            <v>80.3</v>
          </cell>
          <cell r="G51">
            <v>64.099999999999994</v>
          </cell>
          <cell r="H51">
            <v>44.8</v>
          </cell>
        </row>
        <row r="52">
          <cell r="B52" t="str">
            <v>M24</v>
          </cell>
          <cell r="C52">
            <v>300</v>
          </cell>
          <cell r="D52">
            <v>210</v>
          </cell>
          <cell r="E52">
            <v>184.4</v>
          </cell>
          <cell r="F52">
            <v>115.6</v>
          </cell>
          <cell r="G52">
            <v>89.7</v>
          </cell>
          <cell r="H52">
            <v>64.599999999999994</v>
          </cell>
        </row>
        <row r="53">
          <cell r="B53" t="str">
            <v>M27</v>
          </cell>
          <cell r="C53">
            <v>340</v>
          </cell>
          <cell r="D53">
            <v>250</v>
          </cell>
          <cell r="E53">
            <v>246.9</v>
          </cell>
          <cell r="F53">
            <v>150.4</v>
          </cell>
          <cell r="G53">
            <v>120.2</v>
          </cell>
          <cell r="H53">
            <v>84.1</v>
          </cell>
        </row>
        <row r="54">
          <cell r="B54" t="str">
            <v>M30</v>
          </cell>
          <cell r="C54">
            <v>380</v>
          </cell>
          <cell r="D54">
            <v>280</v>
          </cell>
          <cell r="E54">
            <v>289.2</v>
          </cell>
          <cell r="F54">
            <v>183.8</v>
          </cell>
          <cell r="G54">
            <v>140.69999999999999</v>
          </cell>
          <cell r="H54">
            <v>102.6</v>
          </cell>
        </row>
        <row r="61">
          <cell r="B61" t="str">
            <v>M12</v>
          </cell>
          <cell r="C61">
            <v>106</v>
          </cell>
          <cell r="D61">
            <v>50</v>
          </cell>
          <cell r="E61">
            <v>22</v>
          </cell>
          <cell r="F61">
            <v>32.9</v>
          </cell>
          <cell r="G61">
            <v>22</v>
          </cell>
          <cell r="H61">
            <v>32.9</v>
          </cell>
        </row>
        <row r="62">
          <cell r="B62" t="str">
            <v>M16</v>
          </cell>
          <cell r="C62">
            <v>145</v>
          </cell>
          <cell r="D62">
            <v>65</v>
          </cell>
          <cell r="E62">
            <v>35.4</v>
          </cell>
          <cell r="F62">
            <v>57.9</v>
          </cell>
          <cell r="G62">
            <v>35.4</v>
          </cell>
          <cell r="H62">
            <v>57.9</v>
          </cell>
        </row>
        <row r="63">
          <cell r="B63" t="str">
            <v>M20</v>
          </cell>
          <cell r="C63">
            <v>184</v>
          </cell>
          <cell r="D63">
            <v>105</v>
          </cell>
          <cell r="E63">
            <v>48.3</v>
          </cell>
          <cell r="F63">
            <v>70.400000000000006</v>
          </cell>
          <cell r="G63">
            <v>48.3</v>
          </cell>
          <cell r="H63">
            <v>70.400000000000006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44"/>
  <sheetViews>
    <sheetView showGridLines="0" tabSelected="1" view="pageBreakPreview" zoomScale="115" zoomScaleNormal="145" zoomScaleSheetLayoutView="115" workbookViewId="0">
      <selection activeCell="J21" sqref="J21"/>
    </sheetView>
  </sheetViews>
  <sheetFormatPr defaultRowHeight="15"/>
  <cols>
    <col min="1" max="1" width="2.7109375" customWidth="1"/>
    <col min="2" max="2" width="8.7109375" customWidth="1"/>
    <col min="3" max="4" width="7.7109375" customWidth="1"/>
    <col min="5" max="6" width="9.28515625" customWidth="1"/>
    <col min="7" max="7" width="8.7109375" customWidth="1"/>
    <col min="8" max="9" width="7.7109375" customWidth="1"/>
    <col min="10" max="11" width="9.28515625" customWidth="1"/>
    <col min="12" max="13" width="8.7109375" customWidth="1"/>
    <col min="14" max="14" width="4.5703125" customWidth="1"/>
    <col min="18" max="18" width="10.85546875" bestFit="1" customWidth="1"/>
    <col min="22" max="22" width="11.5703125" customWidth="1"/>
  </cols>
  <sheetData>
    <row r="2" spans="2:23" hidden="1"/>
    <row r="3" spans="2:23" hidden="1"/>
    <row r="5" spans="2:23" ht="15" customHeight="1">
      <c r="B5" s="29" t="s">
        <v>60</v>
      </c>
      <c r="C5" s="30"/>
      <c r="D5" s="30"/>
      <c r="E5" s="30"/>
      <c r="F5" s="30"/>
      <c r="G5" s="30"/>
      <c r="H5" s="30"/>
      <c r="I5" s="30"/>
      <c r="J5" s="33" t="s">
        <v>1</v>
      </c>
      <c r="K5" s="33"/>
      <c r="L5" s="33" t="s">
        <v>50</v>
      </c>
      <c r="M5" s="35"/>
    </row>
    <row r="6" spans="2:23" ht="15" customHeight="1">
      <c r="B6" s="31"/>
      <c r="C6" s="32"/>
      <c r="D6" s="32"/>
      <c r="E6" s="32"/>
      <c r="F6" s="32"/>
      <c r="G6" s="32"/>
      <c r="H6" s="32"/>
      <c r="I6" s="32"/>
      <c r="J6" s="34"/>
      <c r="K6" s="34"/>
      <c r="L6" s="34"/>
      <c r="M6" s="36"/>
    </row>
    <row r="7" spans="2:23" ht="15" customHeight="1">
      <c r="B7" s="31"/>
      <c r="C7" s="32"/>
      <c r="D7" s="32"/>
      <c r="E7" s="32"/>
      <c r="F7" s="32"/>
      <c r="G7" s="32"/>
      <c r="H7" s="32"/>
      <c r="I7" s="32"/>
      <c r="J7" s="34"/>
      <c r="K7" s="34"/>
      <c r="L7" s="34"/>
      <c r="M7" s="36"/>
      <c r="P7" s="37" t="s">
        <v>17</v>
      </c>
      <c r="Q7" s="37"/>
      <c r="R7" s="37"/>
      <c r="S7" s="37"/>
      <c r="T7" s="37"/>
      <c r="U7" s="37"/>
      <c r="V7" s="37"/>
      <c r="W7" s="37"/>
    </row>
    <row r="8" spans="2:23">
      <c r="B8" s="8"/>
      <c r="D8" s="15" t="s">
        <v>3</v>
      </c>
      <c r="E8" s="16" t="s">
        <v>52</v>
      </c>
      <c r="M8" s="9"/>
      <c r="P8" s="2" t="s">
        <v>4</v>
      </c>
      <c r="Q8" s="2" t="s">
        <v>5</v>
      </c>
      <c r="R8" s="2" t="s">
        <v>6</v>
      </c>
      <c r="S8" s="2" t="s">
        <v>7</v>
      </c>
      <c r="T8" s="2" t="s">
        <v>8</v>
      </c>
      <c r="U8" s="2" t="s">
        <v>9</v>
      </c>
      <c r="V8" s="3" t="s">
        <v>10</v>
      </c>
      <c r="W8" s="2" t="s">
        <v>11</v>
      </c>
    </row>
    <row r="9" spans="2:23" ht="15" customHeight="1">
      <c r="B9" s="8"/>
      <c r="M9" s="9"/>
      <c r="P9" s="2" t="s">
        <v>13</v>
      </c>
      <c r="Q9" s="1">
        <v>36</v>
      </c>
      <c r="R9" s="1">
        <v>44</v>
      </c>
      <c r="S9" s="1">
        <v>50</v>
      </c>
      <c r="T9" s="1">
        <v>55</v>
      </c>
      <c r="U9" s="1">
        <v>61</v>
      </c>
      <c r="V9" s="3">
        <v>50</v>
      </c>
      <c r="W9" s="5" t="s">
        <v>12</v>
      </c>
    </row>
    <row r="10" spans="2:23" ht="18">
      <c r="B10" s="38" t="s">
        <v>2</v>
      </c>
      <c r="C10" s="39"/>
      <c r="D10" s="39"/>
      <c r="E10" s="39"/>
      <c r="M10" s="9"/>
      <c r="P10" s="2" t="s">
        <v>14</v>
      </c>
      <c r="Q10" s="1">
        <f>Q9*$W$10</f>
        <v>42.452315172444344</v>
      </c>
      <c r="R10" s="1">
        <f>R9*$W$10</f>
        <v>51.886162988543084</v>
      </c>
      <c r="S10" s="1">
        <f>S9*$W$10</f>
        <v>58.961548850617142</v>
      </c>
      <c r="T10" s="1">
        <f>T9*$W$10</f>
        <v>64.857703735678854</v>
      </c>
      <c r="U10" s="1">
        <f>U9*$W$10</f>
        <v>71.933089597752911</v>
      </c>
      <c r="V10" s="2">
        <v>300</v>
      </c>
      <c r="W10" s="4">
        <f>(0.36+0.1*LN(12*V10))/(0.36+0.1*LN(12*$V$9))</f>
        <v>1.1792309770123428</v>
      </c>
    </row>
    <row r="11" spans="2:23" ht="18">
      <c r="B11" s="10" t="s">
        <v>18</v>
      </c>
      <c r="K11" s="17" t="s">
        <v>19</v>
      </c>
      <c r="L11" s="18" t="s">
        <v>6</v>
      </c>
      <c r="M11" s="9"/>
      <c r="P11" s="2" t="s">
        <v>15</v>
      </c>
      <c r="Q11" s="1">
        <f>Q9*$W$11</f>
        <v>45.503524296240059</v>
      </c>
      <c r="R11" s="1">
        <f>R9*$W$11</f>
        <v>55.615418584293401</v>
      </c>
      <c r="S11" s="1">
        <f>S9*$W$11</f>
        <v>63.199339300333413</v>
      </c>
      <c r="T11" s="1">
        <f>T9*$W$11</f>
        <v>69.51927323036675</v>
      </c>
      <c r="U11" s="1">
        <f>U9*$W$11</f>
        <v>77.103193946406762</v>
      </c>
      <c r="V11" s="2">
        <v>700</v>
      </c>
      <c r="W11" s="4">
        <f>(0.36+0.1*LN(12*V11))/(0.36+0.1*LN(12*$V$9))</f>
        <v>1.2639867860066683</v>
      </c>
    </row>
    <row r="12" spans="2:23" ht="18">
      <c r="B12" s="10" t="s">
        <v>20</v>
      </c>
      <c r="K12" s="17" t="s">
        <v>21</v>
      </c>
      <c r="L12" s="19">
        <f>HLOOKUP($L$11,$Q$8:$U$12,2,FALSE)</f>
        <v>44</v>
      </c>
      <c r="M12" s="20" t="s">
        <v>22</v>
      </c>
      <c r="P12" s="2" t="s">
        <v>16</v>
      </c>
      <c r="Q12" s="1">
        <f>Q9*$W$12</f>
        <v>48.698796857087316</v>
      </c>
      <c r="R12" s="1">
        <f>R9*$W$12</f>
        <v>59.520751714217823</v>
      </c>
      <c r="S12" s="1">
        <f>S9*$W$12</f>
        <v>67.637217857065707</v>
      </c>
      <c r="T12" s="1">
        <f>T9*$W$12</f>
        <v>74.400939642772286</v>
      </c>
      <c r="U12" s="1">
        <f>U9*$W$12</f>
        <v>82.51740578562017</v>
      </c>
      <c r="V12" s="2">
        <v>1700</v>
      </c>
      <c r="W12" s="4">
        <f>(0.36+0.1*LN(12*V12))/(0.36+0.1*LN(12*$V$9))</f>
        <v>1.3527443571413142</v>
      </c>
    </row>
    <row r="13" spans="2:23">
      <c r="B13" s="10" t="s">
        <v>28</v>
      </c>
      <c r="L13" s="21" t="s">
        <v>6</v>
      </c>
      <c r="M13" s="9"/>
    </row>
    <row r="14" spans="2:23" ht="18">
      <c r="B14" s="10" t="s">
        <v>24</v>
      </c>
      <c r="L14" s="18">
        <v>700</v>
      </c>
      <c r="M14" s="9" t="s">
        <v>61</v>
      </c>
      <c r="P14" s="2" t="s">
        <v>39</v>
      </c>
      <c r="Q14" s="7" t="s">
        <v>30</v>
      </c>
      <c r="R14" s="6" t="s">
        <v>40</v>
      </c>
      <c r="S14" s="6" t="s">
        <v>53</v>
      </c>
      <c r="T14" s="6"/>
      <c r="U14" s="6" t="s">
        <v>32</v>
      </c>
      <c r="V14" s="6" t="s">
        <v>44</v>
      </c>
    </row>
    <row r="15" spans="2:23">
      <c r="B15" s="10" t="s">
        <v>49</v>
      </c>
      <c r="K15" s="17" t="s">
        <v>23</v>
      </c>
      <c r="L15" s="26">
        <f>HLOOKUP($L$11,$Q$8:$U$12,MATCH($L$14,$V$9:$V$12,0)+1,FALSE)</f>
        <v>55.615418584293401</v>
      </c>
      <c r="M15" s="9" t="s">
        <v>22</v>
      </c>
      <c r="P15" s="2" t="s">
        <v>26</v>
      </c>
      <c r="Q15" s="6">
        <v>7</v>
      </c>
      <c r="R15" s="6">
        <v>365.76</v>
      </c>
      <c r="S15" s="6">
        <v>365.76</v>
      </c>
      <c r="T15" s="6" t="s">
        <v>5</v>
      </c>
      <c r="U15" s="6">
        <v>0.87</v>
      </c>
      <c r="V15" s="6">
        <v>0.77</v>
      </c>
    </row>
    <row r="16" spans="2:23">
      <c r="B16" s="10"/>
      <c r="I16" s="17"/>
      <c r="L16" s="22">
        <f>L15*3.6</f>
        <v>200.21550690345626</v>
      </c>
      <c r="M16" s="20" t="s">
        <v>47</v>
      </c>
      <c r="P16" s="2" t="s">
        <v>27</v>
      </c>
      <c r="Q16" s="6">
        <v>9.5</v>
      </c>
      <c r="R16" s="6">
        <v>274.32</v>
      </c>
      <c r="S16" s="6">
        <v>274.32</v>
      </c>
      <c r="T16" s="6" t="s">
        <v>6</v>
      </c>
      <c r="U16" s="6">
        <v>1</v>
      </c>
      <c r="V16" s="6">
        <v>1</v>
      </c>
    </row>
    <row r="17" spans="2:22">
      <c r="B17" s="10" t="s">
        <v>25</v>
      </c>
      <c r="L17" s="18" t="s">
        <v>27</v>
      </c>
      <c r="M17" s="9"/>
      <c r="P17" s="2" t="s">
        <v>38</v>
      </c>
      <c r="Q17" s="6">
        <v>11.5</v>
      </c>
      <c r="R17" s="6">
        <v>213.36</v>
      </c>
      <c r="S17" s="6">
        <v>213.36</v>
      </c>
      <c r="T17" s="6" t="s">
        <v>7</v>
      </c>
      <c r="U17" s="6">
        <v>1.1499999999999999</v>
      </c>
      <c r="V17" s="6">
        <v>1.1499999999999999</v>
      </c>
    </row>
    <row r="18" spans="2:22">
      <c r="B18" s="10" t="s">
        <v>59</v>
      </c>
      <c r="K18" s="17" t="s">
        <v>31</v>
      </c>
      <c r="L18" s="18">
        <v>31.95</v>
      </c>
      <c r="M18" s="9" t="s">
        <v>29</v>
      </c>
      <c r="T18" s="6" t="s">
        <v>8</v>
      </c>
      <c r="U18" s="6">
        <v>1.1499999999999999</v>
      </c>
      <c r="V18" s="6">
        <v>1.1499999999999999</v>
      </c>
    </row>
    <row r="19" spans="2:22" ht="18" customHeight="1">
      <c r="B19" s="10" t="s">
        <v>36</v>
      </c>
      <c r="K19" s="17" t="s">
        <v>33</v>
      </c>
      <c r="L19" s="23">
        <v>1</v>
      </c>
      <c r="M19" s="9"/>
      <c r="O19" s="14"/>
      <c r="P19" s="14"/>
      <c r="Q19" s="14"/>
      <c r="R19" s="14"/>
      <c r="S19" s="14"/>
      <c r="T19" s="14"/>
      <c r="U19" s="14"/>
    </row>
    <row r="20" spans="2:22" ht="18.75" customHeight="1">
      <c r="B20" s="10" t="s">
        <v>34</v>
      </c>
      <c r="K20" s="17" t="s">
        <v>35</v>
      </c>
      <c r="L20" s="23">
        <v>0.85</v>
      </c>
      <c r="M20" s="9"/>
      <c r="O20" s="14"/>
      <c r="P20" s="14"/>
      <c r="Q20" s="14"/>
      <c r="R20" s="14"/>
      <c r="S20" s="14"/>
      <c r="T20" s="14"/>
      <c r="U20" s="14"/>
    </row>
    <row r="21" spans="2:22">
      <c r="B21" s="8"/>
      <c r="M21" s="9"/>
    </row>
    <row r="22" spans="2:22" ht="15" customHeight="1">
      <c r="B22" s="38" t="s">
        <v>48</v>
      </c>
      <c r="C22" s="39"/>
      <c r="D22" s="39"/>
      <c r="E22" s="39"/>
      <c r="F22" s="39"/>
      <c r="G22" s="39"/>
      <c r="H22" s="39"/>
      <c r="I22" s="39"/>
      <c r="M22" s="9"/>
    </row>
    <row r="23" spans="2:22" ht="15" customHeight="1">
      <c r="B23" s="10" t="s">
        <v>37</v>
      </c>
      <c r="H23" s="24" t="s">
        <v>41</v>
      </c>
      <c r="I23" s="19">
        <f>VLOOKUP(L17,$P$15:$R$17,2,FALSE)</f>
        <v>9.5</v>
      </c>
      <c r="K23" s="17" t="s">
        <v>42</v>
      </c>
      <c r="L23" s="19">
        <f>VLOOKUP(L17,$P$15:$R$17,3,FALSE)</f>
        <v>274.32</v>
      </c>
      <c r="M23" s="9" t="s">
        <v>29</v>
      </c>
    </row>
    <row r="24" spans="2:22" ht="15" customHeight="1">
      <c r="B24" s="10" t="s">
        <v>0</v>
      </c>
      <c r="H24" s="17"/>
      <c r="I24" s="25"/>
      <c r="K24" s="17" t="s">
        <v>43</v>
      </c>
      <c r="L24" s="23">
        <f>IF($L$17="B",IF($L$18&lt;9.1,2.01*(9.1/$L$23)^(2/$I$23),2.01*($L$18/$L$23)^(2/$I$23)),IF(OR($L$17="C",$L$17="D"),IF($L$18&lt;4.6,2.01*(4.6/$L$23)^(2/$I$23),2.01*($L$18/$L$23)^(2/$I$23))))</f>
        <v>1.2782311671730626</v>
      </c>
      <c r="M24" s="9"/>
    </row>
    <row r="25" spans="2:22" ht="18">
      <c r="B25" s="10" t="s">
        <v>45</v>
      </c>
      <c r="H25" s="17" t="s">
        <v>51</v>
      </c>
      <c r="I25" s="25">
        <f>0.613*L24*L19*L20*1*L15^2/1000</f>
        <v>2.0600569355038481</v>
      </c>
      <c r="J25" t="s">
        <v>46</v>
      </c>
      <c r="M25" s="9"/>
    </row>
    <row r="26" spans="2:22" ht="18">
      <c r="B26" s="10" t="s">
        <v>54</v>
      </c>
      <c r="I26" s="17" t="s">
        <v>63</v>
      </c>
      <c r="K26" s="17" t="s">
        <v>62</v>
      </c>
      <c r="L26" s="26">
        <v>1.5</v>
      </c>
      <c r="M26" s="9"/>
    </row>
    <row r="27" spans="2:22" ht="18">
      <c r="B27" s="8"/>
      <c r="I27" s="17" t="s">
        <v>64</v>
      </c>
      <c r="K27" s="17" t="s">
        <v>62</v>
      </c>
      <c r="L27" s="26">
        <v>-1</v>
      </c>
      <c r="M27" s="9"/>
    </row>
    <row r="28" spans="2:22" ht="15" customHeight="1">
      <c r="B28" s="10" t="s">
        <v>55</v>
      </c>
      <c r="K28" s="17" t="s">
        <v>57</v>
      </c>
      <c r="L28" s="23">
        <f>I25*L26</f>
        <v>3.0900854032557721</v>
      </c>
      <c r="M28" s="9" t="s">
        <v>46</v>
      </c>
    </row>
    <row r="29" spans="2:22" ht="18">
      <c r="B29" s="10" t="s">
        <v>56</v>
      </c>
      <c r="K29" s="17" t="s">
        <v>58</v>
      </c>
      <c r="L29" s="23">
        <f>I25*L27</f>
        <v>-2.0600569355038481</v>
      </c>
      <c r="M29" s="9" t="s">
        <v>46</v>
      </c>
    </row>
    <row r="30" spans="2:22"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3"/>
    </row>
    <row r="31" spans="2:22">
      <c r="B31" s="40" t="s">
        <v>65</v>
      </c>
      <c r="C31" s="40"/>
      <c r="D31" s="40"/>
      <c r="E31" s="40"/>
      <c r="F31" s="6" t="s">
        <v>26</v>
      </c>
      <c r="G31" s="27">
        <v>4</v>
      </c>
      <c r="H31" s="27" t="s">
        <v>12</v>
      </c>
      <c r="I31" s="27" t="s">
        <v>12</v>
      </c>
      <c r="J31" s="27" t="s">
        <v>12</v>
      </c>
      <c r="K31" s="27" t="s">
        <v>12</v>
      </c>
      <c r="L31" s="27" t="s">
        <v>12</v>
      </c>
      <c r="M31" s="27" t="s">
        <v>12</v>
      </c>
    </row>
    <row r="32" spans="2:22" ht="18">
      <c r="B32" s="40" t="s">
        <v>66</v>
      </c>
      <c r="C32" s="40"/>
      <c r="D32" s="40"/>
      <c r="E32" s="40"/>
      <c r="F32" s="6" t="s">
        <v>68</v>
      </c>
      <c r="G32" s="28">
        <f>IF(OR(G31="",G31="-"),"-",$L$28*G$31)</f>
        <v>12.360341613023088</v>
      </c>
      <c r="H32" s="28" t="str">
        <f t="shared" ref="H32:M32" si="0">IF(OR(H31="",H31="-"),"-",$L$28*H$31)</f>
        <v>-</v>
      </c>
      <c r="I32" s="28" t="str">
        <f t="shared" si="0"/>
        <v>-</v>
      </c>
      <c r="J32" s="28" t="str">
        <f t="shared" si="0"/>
        <v>-</v>
      </c>
      <c r="K32" s="28" t="str">
        <f t="shared" si="0"/>
        <v>-</v>
      </c>
      <c r="L32" s="28" t="str">
        <f t="shared" si="0"/>
        <v>-</v>
      </c>
      <c r="M32" s="28" t="str">
        <f t="shared" si="0"/>
        <v>-</v>
      </c>
    </row>
    <row r="33" spans="2:13" ht="18">
      <c r="B33" s="40" t="s">
        <v>67</v>
      </c>
      <c r="C33" s="40"/>
      <c r="D33" s="40"/>
      <c r="E33" s="40"/>
      <c r="F33" s="6" t="s">
        <v>69</v>
      </c>
      <c r="G33" s="28">
        <f>IF(OR(G31="",G31="-"),"-",$L$29*G$31)</f>
        <v>-8.2402277420153922</v>
      </c>
      <c r="H33" s="28" t="str">
        <f t="shared" ref="H33:M33" si="1">IF(OR(H31="",H31="-"),"-",$L$29*H$31)</f>
        <v>-</v>
      </c>
      <c r="I33" s="28" t="str">
        <f t="shared" si="1"/>
        <v>-</v>
      </c>
      <c r="J33" s="28" t="str">
        <f t="shared" si="1"/>
        <v>-</v>
      </c>
      <c r="K33" s="28" t="str">
        <f t="shared" si="1"/>
        <v>-</v>
      </c>
      <c r="L33" s="28" t="str">
        <f t="shared" si="1"/>
        <v>-</v>
      </c>
      <c r="M33" s="28" t="str">
        <f t="shared" si="1"/>
        <v>-</v>
      </c>
    </row>
    <row r="34" spans="2:13">
      <c r="B34" s="8"/>
      <c r="M34" s="9"/>
    </row>
    <row r="35" spans="2:13">
      <c r="B35" s="8"/>
      <c r="M35" s="9"/>
    </row>
    <row r="36" spans="2:13">
      <c r="B36" s="8"/>
      <c r="M36" s="9"/>
    </row>
    <row r="37" spans="2:13">
      <c r="B37" s="8"/>
      <c r="M37" s="9"/>
    </row>
    <row r="38" spans="2:13">
      <c r="B38" s="8"/>
      <c r="M38" s="9"/>
    </row>
    <row r="39" spans="2:13">
      <c r="B39" s="8"/>
      <c r="M39" s="9"/>
    </row>
    <row r="40" spans="2:13">
      <c r="B40" s="8"/>
      <c r="M40" s="9"/>
    </row>
    <row r="41" spans="2:13">
      <c r="B41" s="8"/>
      <c r="M41" s="9"/>
    </row>
    <row r="42" spans="2:13">
      <c r="B42" s="8"/>
      <c r="M42" s="9"/>
    </row>
    <row r="43" spans="2:13">
      <c r="B43" s="8"/>
      <c r="M43" s="9"/>
    </row>
    <row r="44" spans="2:13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3"/>
    </row>
  </sheetData>
  <mergeCells count="9">
    <mergeCell ref="B22:I22"/>
    <mergeCell ref="B33:E33"/>
    <mergeCell ref="B32:E32"/>
    <mergeCell ref="B31:E31"/>
    <mergeCell ref="B5:I7"/>
    <mergeCell ref="J5:K7"/>
    <mergeCell ref="L5:M7"/>
    <mergeCell ref="P7:W7"/>
    <mergeCell ref="B10:E10"/>
  </mergeCells>
  <dataValidations count="4">
    <dataValidation type="list" allowBlank="1" showInputMessage="1" showErrorMessage="1" sqref="L17" xr:uid="{00000000-0002-0000-0000-000002000000}">
      <formula1>"B,C,D"</formula1>
    </dataValidation>
    <dataValidation type="list" allowBlank="1" showInputMessage="1" showErrorMessage="1" sqref="L11" xr:uid="{00000000-0002-0000-0000-000000000000}">
      <formula1>$Q$8:$U$8</formula1>
    </dataValidation>
    <dataValidation type="list" allowBlank="1" showInputMessage="1" showErrorMessage="1" sqref="L14" xr:uid="{00000000-0002-0000-0000-000001000000}">
      <formula1>$V$9:$V$12</formula1>
    </dataValidation>
    <dataValidation type="list" allowBlank="1" showInputMessage="1" showErrorMessage="1" errorTitle="Warning!" error="Invalid building category_x000a_Must input either I, II, III, or IV" sqref="L13" xr:uid="{00000000-0002-0000-0000-000003000000}">
      <formula1>$T$15:$T$18</formula1>
    </dataValidation>
  </dataValidations>
  <pageMargins left="0.7" right="0.7" top="0.75" bottom="0.75" header="0.3" footer="0.3"/>
  <pageSetup paperSize="9" scale="71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dcterms:created xsi:type="dcterms:W3CDTF">2015-06-05T18:17:20Z</dcterms:created>
  <dcterms:modified xsi:type="dcterms:W3CDTF">2025-06-09T08:26:30Z</dcterms:modified>
</cp:coreProperties>
</file>