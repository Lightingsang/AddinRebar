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77DB3B54-FA5A-4D79-8A57-E22B80A90E9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ustFactor" sheetId="3" r:id="rId1"/>
    <sheet name="TCVN" sheetId="2" r:id="rId2"/>
  </sheets>
  <functionGroups builtInGroupCount="19"/>
  <definedNames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Bang8_10">GustFactor!$B$52:$L$54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_xlnm.Print_Area" localSheetId="0">GustFactor!$A$1:$N$47</definedName>
    <definedName name="_xlnm.Print_Area" localSheetId="1">TCVN!$C$7:$AA$175</definedName>
    <definedName name="wrn.chi._.tiÆt." hidden="1">{#N/A,#N/A,FALSE,"Chi tiÆt"}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2" l="1"/>
  <c r="G36" i="2"/>
  <c r="AE38" i="2"/>
  <c r="AE35" i="2"/>
  <c r="AE39" i="2"/>
  <c r="AE36" i="2"/>
  <c r="AF39" i="2"/>
  <c r="AF38" i="2"/>
  <c r="H13" i="3" l="1"/>
  <c r="W57" i="2"/>
  <c r="W56" i="2"/>
  <c r="U57" i="2"/>
  <c r="U56" i="2"/>
  <c r="S57" i="2"/>
  <c r="S56" i="2"/>
  <c r="Q57" i="2"/>
  <c r="Q56" i="2"/>
  <c r="O57" i="2"/>
  <c r="O56" i="2"/>
  <c r="M57" i="2"/>
  <c r="M56" i="2"/>
  <c r="K57" i="2"/>
  <c r="K56" i="2"/>
  <c r="I57" i="2"/>
  <c r="I56" i="2"/>
  <c r="G57" i="2"/>
  <c r="G56" i="2"/>
  <c r="E57" i="2"/>
  <c r="E56" i="2"/>
  <c r="C171" i="2" l="1"/>
  <c r="C172" i="2"/>
  <c r="AH67" i="2"/>
  <c r="AG67" i="2"/>
  <c r="AF67" i="2"/>
  <c r="AG66" i="2"/>
  <c r="O74" i="2"/>
  <c r="K74" i="2"/>
  <c r="AE66" i="2" s="1"/>
  <c r="K75" i="2"/>
  <c r="AE67" i="2" s="1"/>
  <c r="C76" i="2"/>
  <c r="L54" i="3"/>
  <c r="J54" i="3"/>
  <c r="L53" i="3"/>
  <c r="J53" i="3"/>
  <c r="H19" i="3" s="1"/>
  <c r="L52" i="3"/>
  <c r="J52" i="3"/>
  <c r="K36" i="3"/>
  <c r="E36" i="3"/>
  <c r="K30" i="3"/>
  <c r="K29" i="3"/>
  <c r="B28" i="3"/>
  <c r="H24" i="3"/>
  <c r="H21" i="3"/>
  <c r="H20" i="3"/>
  <c r="H18" i="3"/>
  <c r="H17" i="3"/>
  <c r="H22" i="3" s="1"/>
  <c r="H16" i="3"/>
  <c r="H15" i="3"/>
  <c r="H14" i="3"/>
  <c r="H12" i="3"/>
  <c r="H11" i="3"/>
  <c r="H10" i="3"/>
  <c r="E7" i="3"/>
  <c r="C71" i="2"/>
  <c r="C30" i="2"/>
  <c r="C32" i="2"/>
  <c r="S32" i="2"/>
  <c r="W61" i="2" s="1"/>
  <c r="Q32" i="2"/>
  <c r="M61" i="2" s="1"/>
  <c r="O32" i="2"/>
  <c r="M47" i="2" s="1"/>
  <c r="S31" i="2"/>
  <c r="O60" i="2" s="1"/>
  <c r="Q31" i="2"/>
  <c r="I60" i="2" s="1"/>
  <c r="O31" i="2"/>
  <c r="Q46" i="2" s="1"/>
  <c r="M31" i="2"/>
  <c r="I46" i="2" s="1"/>
  <c r="M32" i="2"/>
  <c r="E47" i="2" s="1"/>
  <c r="E76" i="2" a="1"/>
  <c r="E71" i="2" a="1"/>
  <c r="H25" i="3" l="1"/>
  <c r="H23" i="3"/>
  <c r="AE72" i="2"/>
  <c r="E76" i="2"/>
  <c r="E40" i="3"/>
  <c r="E39" i="3" s="1"/>
  <c r="E37" i="3"/>
  <c r="K37" i="3"/>
  <c r="K41" i="3"/>
  <c r="K44" i="3" s="1"/>
  <c r="E41" i="3"/>
  <c r="E44" i="3" s="1"/>
  <c r="E43" i="3"/>
  <c r="E46" i="3" s="1"/>
  <c r="E42" i="3"/>
  <c r="E45" i="3" s="1"/>
  <c r="K43" i="3"/>
  <c r="K46" i="3" s="1"/>
  <c r="K42" i="3"/>
  <c r="K45" i="3" s="1"/>
  <c r="E71" i="2"/>
  <c r="K46" i="2"/>
  <c r="G47" i="2"/>
  <c r="S46" i="2"/>
  <c r="K60" i="2"/>
  <c r="AF72" i="2" s="1"/>
  <c r="M60" i="2"/>
  <c r="I47" i="2"/>
  <c r="Q47" i="2"/>
  <c r="G61" i="2"/>
  <c r="U60" i="2"/>
  <c r="AH72" i="2" s="1"/>
  <c r="S60" i="2"/>
  <c r="AG72" i="2" s="1"/>
  <c r="K47" i="2"/>
  <c r="S47" i="2"/>
  <c r="I61" i="2"/>
  <c r="AE73" i="2" s="1"/>
  <c r="W60" i="2"/>
  <c r="E46" i="2"/>
  <c r="M46" i="2"/>
  <c r="E60" i="2"/>
  <c r="K61" i="2"/>
  <c r="AF73" i="2" s="1"/>
  <c r="Q61" i="2"/>
  <c r="O47" i="2"/>
  <c r="E61" i="2"/>
  <c r="S61" i="2"/>
  <c r="AG73" i="2" s="1"/>
  <c r="Q60" i="2"/>
  <c r="G46" i="2"/>
  <c r="O46" i="2"/>
  <c r="G60" i="2"/>
  <c r="U61" i="2"/>
  <c r="AH73" i="2" s="1"/>
  <c r="O61" i="2"/>
  <c r="K40" i="3" l="1"/>
  <c r="K39" i="3" s="1"/>
  <c r="E38" i="3"/>
  <c r="E33" i="3" s="1"/>
  <c r="K38" i="3"/>
  <c r="K33" i="3" s="1"/>
  <c r="I36" i="2"/>
  <c r="O39" i="2"/>
  <c r="M39" i="2"/>
  <c r="O36" i="2"/>
  <c r="M36" i="2"/>
  <c r="I39" i="2"/>
  <c r="BE9" i="2"/>
  <c r="BE10" i="2" s="1"/>
  <c r="BE11" i="2" s="1"/>
  <c r="BE12" i="2" s="1"/>
  <c r="BE13" i="2" s="1"/>
  <c r="BE14" i="2" s="1"/>
  <c r="BE15" i="2" s="1"/>
  <c r="BE16" i="2" s="1"/>
  <c r="BE17" i="2" s="1"/>
  <c r="BE18" i="2" s="1"/>
  <c r="BE19" i="2" s="1"/>
  <c r="BE20" i="2" s="1"/>
  <c r="BE21" i="2" s="1"/>
  <c r="BE22" i="2" s="1"/>
  <c r="BE23" i="2" s="1"/>
  <c r="BE24" i="2" s="1"/>
  <c r="BE25" i="2" s="1"/>
  <c r="BE26" i="2" s="1"/>
  <c r="BE27" i="2" s="1"/>
  <c r="BE28" i="2" s="1"/>
  <c r="BE29" i="2" s="1"/>
  <c r="BE30" i="2" s="1"/>
  <c r="BE31" i="2" s="1"/>
  <c r="BE32" i="2" s="1"/>
  <c r="BE33" i="2" s="1"/>
  <c r="BE34" i="2" s="1"/>
  <c r="BE35" i="2" s="1"/>
  <c r="BE36" i="2" s="1"/>
  <c r="BE37" i="2" s="1"/>
  <c r="BE38" i="2" s="1"/>
  <c r="BE39" i="2" s="1"/>
  <c r="K36" i="2" a="1"/>
  <c r="K39" i="2" a="1"/>
  <c r="K36" i="2" l="1"/>
  <c r="AC76" i="2"/>
  <c r="AC75" i="2"/>
  <c r="AC70" i="2"/>
  <c r="AC74" i="2"/>
  <c r="AC73" i="2"/>
  <c r="AC72" i="2"/>
  <c r="AC71" i="2"/>
  <c r="AC69" i="2"/>
  <c r="AC68" i="2"/>
  <c r="AC77" i="2"/>
  <c r="C141" i="2"/>
  <c r="C99" i="2"/>
  <c r="C119" i="2"/>
  <c r="BE40" i="2"/>
  <c r="BE41" i="2" s="1"/>
  <c r="BE42" i="2" s="1"/>
  <c r="BE43" i="2" s="1"/>
  <c r="C79" i="2"/>
  <c r="C29" i="2"/>
  <c r="L29" i="2"/>
  <c r="C31" i="2"/>
  <c r="C38" i="2"/>
  <c r="C35" i="2"/>
  <c r="C34" i="2"/>
  <c r="K39" i="2"/>
  <c r="BE44" i="2" l="1"/>
  <c r="BE45" i="2" s="1"/>
  <c r="M23" i="2"/>
  <c r="AC51" i="2" s="1"/>
  <c r="V21" i="2"/>
  <c r="P15" i="2"/>
  <c r="R15" i="2"/>
  <c r="F152" i="2"/>
  <c r="F130" i="2"/>
  <c r="O109" i="2"/>
  <c r="F109" i="2"/>
  <c r="P89" i="2"/>
  <c r="J89" i="2"/>
  <c r="F157" i="2"/>
  <c r="F153" i="2"/>
  <c r="F127" i="2"/>
  <c r="F123" i="2"/>
  <c r="F113" i="2"/>
  <c r="F105" i="2"/>
  <c r="P92" i="2"/>
  <c r="P85" i="2"/>
  <c r="F148" i="2"/>
  <c r="F132" i="2"/>
  <c r="O113" i="2"/>
  <c r="O105" i="2"/>
  <c r="J92" i="2"/>
  <c r="J85" i="2"/>
  <c r="J144" i="2"/>
  <c r="J136" i="2"/>
  <c r="U111" i="2"/>
  <c r="U106" i="2"/>
  <c r="F91" i="2"/>
  <c r="F86" i="2"/>
  <c r="U144" i="2"/>
  <c r="F144" i="2"/>
  <c r="U136" i="2"/>
  <c r="F136" i="2"/>
  <c r="U115" i="2"/>
  <c r="U102" i="2"/>
  <c r="F95" i="2"/>
  <c r="F82" i="2"/>
  <c r="J14" i="2"/>
  <c r="G14" i="2"/>
  <c r="E26" i="2"/>
  <c r="J16" i="2"/>
  <c r="J15" i="2"/>
  <c r="N27" i="2"/>
  <c r="AD51" i="2"/>
  <c r="BE46" i="2" l="1"/>
  <c r="C41" i="2"/>
  <c r="C53" i="2"/>
  <c r="P24" i="2"/>
  <c r="AD125" i="2"/>
  <c r="AI124" i="2"/>
  <c r="AD124" i="2"/>
  <c r="AD83" i="2"/>
  <c r="AI82" i="2"/>
  <c r="AD82" i="2"/>
  <c r="C65" i="2"/>
  <c r="I77" i="2" s="1"/>
  <c r="C64" i="2"/>
  <c r="I76" i="2" s="1"/>
  <c r="C63" i="2"/>
  <c r="C51" i="2"/>
  <c r="C169" i="2" s="1"/>
  <c r="C175" i="2" s="1"/>
  <c r="C62" i="2"/>
  <c r="C50" i="2"/>
  <c r="C168" i="2" s="1"/>
  <c r="C174" i="2" s="1"/>
  <c r="C61" i="2"/>
  <c r="C49" i="2"/>
  <c r="C60" i="2"/>
  <c r="C48" i="2"/>
  <c r="C59" i="2"/>
  <c r="C47" i="2"/>
  <c r="K32" i="2" s="1"/>
  <c r="C58" i="2"/>
  <c r="C46" i="2"/>
  <c r="K31" i="2" s="1"/>
  <c r="C57" i="2"/>
  <c r="C56" i="2"/>
  <c r="C54" i="2"/>
  <c r="I74" i="2" s="1"/>
  <c r="C42" i="2"/>
  <c r="AJ63" i="2"/>
  <c r="J27" i="2"/>
  <c r="N26" i="2"/>
  <c r="J26" i="2"/>
  <c r="G76" i="2" s="1"/>
  <c r="E27" i="2"/>
  <c r="L25" i="2"/>
  <c r="C25" i="2"/>
  <c r="C24" i="2"/>
  <c r="J22" i="2"/>
  <c r="J23" i="2"/>
  <c r="J21" i="2"/>
  <c r="AC63" i="2"/>
  <c r="R19" i="2"/>
  <c r="J20" i="2"/>
  <c r="J18" i="2"/>
  <c r="J19" i="2"/>
  <c r="C16" i="2"/>
  <c r="C15" i="2"/>
  <c r="C14" i="2"/>
  <c r="Z13" i="2"/>
  <c r="C13" i="2"/>
  <c r="J12" i="2"/>
  <c r="I12" i="2"/>
  <c r="J11" i="2"/>
  <c r="I11" i="2"/>
  <c r="AG51" i="2"/>
  <c r="AD63" i="2"/>
  <c r="AL63" i="2"/>
  <c r="AE51" i="2"/>
  <c r="AO63" i="2"/>
  <c r="AG63" i="2"/>
  <c r="AN63" i="2"/>
  <c r="AE63" i="2"/>
  <c r="AH63" i="2"/>
  <c r="AF63" i="2"/>
  <c r="AF51" i="2"/>
  <c r="AM63" i="2"/>
  <c r="AK63" i="2"/>
  <c r="AE75" i="2" l="1"/>
  <c r="AF75" i="2"/>
  <c r="AF74" i="2"/>
  <c r="AE74" i="2"/>
  <c r="AG75" i="2"/>
  <c r="AH75" i="2"/>
  <c r="AG74" i="2"/>
  <c r="AH74" i="2"/>
  <c r="G71" i="2"/>
  <c r="U71" i="2" s="1"/>
  <c r="AH68" i="2"/>
  <c r="AH70" i="2" s="1"/>
  <c r="AG68" i="2"/>
  <c r="AG70" i="2" s="1"/>
  <c r="AH69" i="2"/>
  <c r="AH71" i="2" s="1"/>
  <c r="AG69" i="2"/>
  <c r="AG71" i="2" s="1"/>
  <c r="AE69" i="2"/>
  <c r="AE71" i="2" s="1"/>
  <c r="O44" i="2"/>
  <c r="E44" i="2"/>
  <c r="M44" i="2"/>
  <c r="Q44" i="2"/>
  <c r="S44" i="2"/>
  <c r="Q39" i="2"/>
  <c r="I62" i="2" s="1"/>
  <c r="Q36" i="2"/>
  <c r="M49" i="2" s="1"/>
  <c r="G44" i="2"/>
  <c r="I44" i="2"/>
  <c r="AE68" i="2"/>
  <c r="AE70" i="2" s="1"/>
  <c r="K44" i="2"/>
  <c r="AF68" i="2"/>
  <c r="AF70" i="2" s="1"/>
  <c r="AF76" i="2" s="1"/>
  <c r="M76" i="2" s="1"/>
  <c r="AF69" i="2"/>
  <c r="AF71" i="2" s="1"/>
  <c r="AI125" i="2"/>
  <c r="AI83" i="2"/>
  <c r="Y114" i="2" s="1"/>
  <c r="AF77" i="2" l="1"/>
  <c r="M77" i="2" s="1"/>
  <c r="AE77" i="2"/>
  <c r="K77" i="2" s="1"/>
  <c r="AE76" i="2"/>
  <c r="K76" i="2" s="1"/>
  <c r="AG77" i="2"/>
  <c r="O77" i="2" s="1"/>
  <c r="AH77" i="2"/>
  <c r="Q77" i="2" s="1"/>
  <c r="AH76" i="2"/>
  <c r="Q76" i="2" s="1"/>
  <c r="AG76" i="2"/>
  <c r="O76" i="2" s="1"/>
  <c r="Y127" i="2"/>
  <c r="Y136" i="2"/>
  <c r="Y144" i="2"/>
  <c r="Y153" i="2"/>
  <c r="O71" i="2"/>
  <c r="K71" i="2"/>
  <c r="E59" i="2"/>
  <c r="G58" i="2"/>
  <c r="W58" i="2"/>
  <c r="E63" i="2"/>
  <c r="G48" i="2"/>
  <c r="S48" i="2"/>
  <c r="S49" i="2"/>
  <c r="K59" i="2"/>
  <c r="G45" i="2"/>
  <c r="O45" i="2"/>
  <c r="S58" i="2"/>
  <c r="K48" i="2"/>
  <c r="Q62" i="2"/>
  <c r="M48" i="2"/>
  <c r="K63" i="2"/>
  <c r="M59" i="2"/>
  <c r="M58" i="2"/>
  <c r="I59" i="2"/>
  <c r="U58" i="2"/>
  <c r="G49" i="2"/>
  <c r="U62" i="2"/>
  <c r="O48" i="2"/>
  <c r="S63" i="2"/>
  <c r="O63" i="2"/>
  <c r="Q63" i="2"/>
  <c r="Q59" i="2"/>
  <c r="O58" i="2"/>
  <c r="I48" i="2"/>
  <c r="E62" i="2"/>
  <c r="M62" i="2"/>
  <c r="I63" i="2"/>
  <c r="S59" i="2"/>
  <c r="E58" i="2"/>
  <c r="W63" i="2"/>
  <c r="Q48" i="2"/>
  <c r="G62" i="2"/>
  <c r="E49" i="2"/>
  <c r="K58" i="2"/>
  <c r="K45" i="2"/>
  <c r="S45" i="2"/>
  <c r="O59" i="2"/>
  <c r="Q58" i="2"/>
  <c r="K62" i="2"/>
  <c r="O62" i="2"/>
  <c r="I49" i="2"/>
  <c r="O49" i="2"/>
  <c r="E45" i="2"/>
  <c r="G59" i="2"/>
  <c r="I58" i="2"/>
  <c r="Q45" i="2"/>
  <c r="U59" i="2"/>
  <c r="G63" i="2"/>
  <c r="Q49" i="2"/>
  <c r="S62" i="2"/>
  <c r="E48" i="2"/>
  <c r="I45" i="2"/>
  <c r="M45" i="2"/>
  <c r="M51" i="2" s="1"/>
  <c r="W59" i="2"/>
  <c r="U63" i="2"/>
  <c r="K49" i="2"/>
  <c r="W62" i="2"/>
  <c r="M63" i="2"/>
  <c r="J139" i="2"/>
  <c r="U143" i="2"/>
  <c r="E86" i="2"/>
  <c r="U101" i="2"/>
  <c r="F143" i="2"/>
  <c r="O101" i="2"/>
  <c r="E94" i="2"/>
  <c r="F81" i="2"/>
  <c r="Y102" i="2"/>
  <c r="F139" i="2"/>
  <c r="J81" i="2"/>
  <c r="U139" i="2"/>
  <c r="E82" i="2"/>
  <c r="E90" i="2"/>
  <c r="J143" i="2"/>
  <c r="Y106" i="2"/>
  <c r="Y110" i="2"/>
  <c r="U104" i="2" l="1"/>
  <c r="U117" i="2" s="1"/>
  <c r="M169" i="2"/>
  <c r="Q71" i="2"/>
  <c r="W71" i="2"/>
  <c r="S50" i="2"/>
  <c r="M50" i="2"/>
  <c r="Q50" i="2"/>
  <c r="S51" i="2"/>
  <c r="S65" i="2"/>
  <c r="U65" i="2" s="1"/>
  <c r="O51" i="2"/>
  <c r="Q51" i="2"/>
  <c r="O50" i="2"/>
  <c r="E50" i="2"/>
  <c r="E168" i="2" s="1"/>
  <c r="O64" i="2"/>
  <c r="U64" i="2"/>
  <c r="S64" i="2"/>
  <c r="W64" i="2"/>
  <c r="W65" i="2"/>
  <c r="Q64" i="2"/>
  <c r="Q65" i="2"/>
  <c r="O65" i="2"/>
  <c r="E64" i="2"/>
  <c r="E174" i="2" s="1"/>
  <c r="K50" i="2"/>
  <c r="G50" i="2"/>
  <c r="M65" i="2"/>
  <c r="I50" i="2"/>
  <c r="M64" i="2"/>
  <c r="M174" i="2" s="1"/>
  <c r="K64" i="2"/>
  <c r="K174" i="2" s="1"/>
  <c r="G51" i="2"/>
  <c r="I64" i="2"/>
  <c r="I174" i="2" s="1"/>
  <c r="I51" i="2"/>
  <c r="I169" i="2" s="1"/>
  <c r="G64" i="2"/>
  <c r="E65" i="2"/>
  <c r="E175" i="2" s="1"/>
  <c r="G65" i="2"/>
  <c r="K51" i="2"/>
  <c r="I65" i="2"/>
  <c r="I175" i="2" s="1"/>
  <c r="E51" i="2"/>
  <c r="F159" i="2" l="1"/>
  <c r="U175" i="2"/>
  <c r="K65" i="2"/>
  <c r="K175" i="2" s="1"/>
  <c r="J145" i="2"/>
  <c r="Q174" i="2"/>
  <c r="F155" i="2"/>
  <c r="W175" i="2"/>
  <c r="F149" i="2"/>
  <c r="S174" i="2"/>
  <c r="F145" i="2"/>
  <c r="U145" i="2" s="1"/>
  <c r="O174" i="2"/>
  <c r="J137" i="2"/>
  <c r="G174" i="2"/>
  <c r="F150" i="2"/>
  <c r="S175" i="2"/>
  <c r="F154" i="2"/>
  <c r="W174" i="2"/>
  <c r="F158" i="2"/>
  <c r="U174" i="2"/>
  <c r="F129" i="2"/>
  <c r="M175" i="2"/>
  <c r="F146" i="2"/>
  <c r="U146" i="2" s="1"/>
  <c r="O175" i="2"/>
  <c r="J138" i="2"/>
  <c r="G175" i="2"/>
  <c r="J146" i="2"/>
  <c r="Q175" i="2"/>
  <c r="J86" i="2"/>
  <c r="I168" i="2"/>
  <c r="U107" i="2"/>
  <c r="U112" i="2" s="1"/>
  <c r="O168" i="2"/>
  <c r="U108" i="2"/>
  <c r="U113" i="2" s="1"/>
  <c r="O169" i="2"/>
  <c r="F107" i="2"/>
  <c r="F115" i="2" s="1"/>
  <c r="S169" i="2"/>
  <c r="O106" i="2"/>
  <c r="O114" i="2" s="1"/>
  <c r="Q168" i="2"/>
  <c r="U103" i="2"/>
  <c r="U116" i="2" s="1"/>
  <c r="M168" i="2"/>
  <c r="P86" i="2"/>
  <c r="K168" i="2"/>
  <c r="F106" i="2"/>
  <c r="F114" i="2" s="1"/>
  <c r="S168" i="2"/>
  <c r="F93" i="2"/>
  <c r="G169" i="2"/>
  <c r="O107" i="2"/>
  <c r="O115" i="2" s="1"/>
  <c r="Q169" i="2"/>
  <c r="F84" i="2"/>
  <c r="E169" i="2"/>
  <c r="F87" i="2"/>
  <c r="G168" i="2"/>
  <c r="P87" i="2"/>
  <c r="K169" i="2"/>
  <c r="J93" i="2"/>
  <c r="F92" i="2"/>
  <c r="P93" i="2"/>
  <c r="F96" i="2"/>
  <c r="F83" i="2"/>
  <c r="F124" i="2"/>
  <c r="F128" i="2"/>
  <c r="U138" i="2"/>
  <c r="F133" i="2"/>
  <c r="U137" i="2"/>
  <c r="F88" i="2"/>
  <c r="F138" i="2"/>
  <c r="J94" i="2"/>
  <c r="J87" i="2"/>
  <c r="F137" i="2"/>
  <c r="F97" i="2"/>
  <c r="F134" i="2"/>
  <c r="P94" i="2"/>
  <c r="F1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PC</author>
  </authors>
  <commentList>
    <comment ref="C17" authorId="0" shapeId="0" xr:uid="{67A7E4A2-126F-48A8-83CB-1D8AD34F5C0A}">
      <text>
        <r>
          <rPr>
            <sz val="9"/>
            <color indexed="81"/>
            <rFont val="Tahoma"/>
            <family val="2"/>
          </rPr>
          <t>HVMT:
- Nhà 1 mái: Chọn mái đơn
- Nhà nhiều mái:
  + Nếu nhà chỉ có 2 mái: Chọn Biên dưới hoặc biên trên
  + Nếu nhà có từ 3 mái: Nhìn hình bên phải</t>
        </r>
      </text>
    </comment>
    <comment ref="M20" authorId="0" shapeId="0" xr:uid="{D8A84FD6-F8C3-4243-8D8F-686D970BBD2F}">
      <text>
        <r>
          <rPr>
            <b/>
            <sz val="9"/>
            <color indexed="81"/>
            <rFont val="Tahoma"/>
            <family val="2"/>
          </rPr>
          <t>[HVMT]:
Phụ lục [F.4.2]: h là chiều cao nhà tính tới đỉnh mái
Phụ lục [F.10]: Nhà có mái răng cưa thì h tính tới đỉnh cột.
Liên quan đến cao độ z, z để tính Gf</t>
        </r>
      </text>
    </comment>
    <comment ref="K65" authorId="1" shapeId="0" xr:uid="{7AFA66FB-A54C-4374-909E-80C8D7E0F2C5}">
      <text>
        <r>
          <rPr>
            <b/>
            <sz val="9"/>
            <color indexed="81"/>
            <rFont val="Tahoma"/>
            <family val="2"/>
          </rPr>
          <t>[TOAN]:</t>
        </r>
        <r>
          <rPr>
            <sz val="9"/>
            <color indexed="81"/>
            <rFont val="Tahoma"/>
            <family val="2"/>
          </rPr>
          <t xml:space="preserve">
[Chú thích 1]: Không được xét đồng thời giá trị âm và dương trên cùng 1 mặt (Theo European, giá trị trong chú thích là áp lực gió, k phải hệ số Ce)
Vì vậy giá trị ô [X45] tối thiểu = 0, để đồng bộ với giá trị vùng J</t>
        </r>
      </text>
    </comment>
    <comment ref="U65" authorId="1" shapeId="0" xr:uid="{646EEED5-CBDE-44EE-BC1D-3A94D71977B6}">
      <text>
        <r>
          <rPr>
            <b/>
            <sz val="9"/>
            <color indexed="81"/>
            <rFont val="Tahoma"/>
            <family val="2"/>
          </rPr>
          <t>[TOAN]:</t>
        </r>
        <r>
          <rPr>
            <sz val="9"/>
            <color indexed="81"/>
            <rFont val="Tahoma"/>
            <family val="2"/>
          </rPr>
          <t xml:space="preserve">
[Chú thích 1]: Không được xét đồng thời giá trị âm và dương trên cùng 1 mặt (Theo European, giá trị trong chú thích là áp lực gió, k phải hệ số Ce)
Vì vậy giá trị ô [X45] tối thiểu = 0, để đồng bộ với giá trị vùng J</t>
        </r>
      </text>
    </comment>
    <comment ref="I71" authorId="0" shapeId="0" xr:uid="{27AFF19D-47DD-4467-AF04-BF5AB277ECDC}">
      <text>
        <r>
          <rPr>
            <sz val="9"/>
            <color indexed="81"/>
            <rFont val="Tahoma"/>
            <family val="2"/>
          </rPr>
          <t xml:space="preserve">[HVMT]:
Mục F.10.2
</t>
        </r>
      </text>
    </comment>
    <comment ref="C76" authorId="0" shapeId="0" xr:uid="{F5849315-61CA-48A3-B176-A63FC612D22E}">
      <text>
        <r>
          <rPr>
            <sz val="9"/>
            <color indexed="81"/>
            <rFont val="Tahoma"/>
            <family val="2"/>
          </rPr>
          <t xml:space="preserve">Toàn:
Chiều cao tính tới chân mái
</t>
        </r>
      </text>
    </comment>
    <comment ref="I76" authorId="0" shapeId="0" xr:uid="{5C5DD4EC-6942-40BE-8997-BA94DCD67893}">
      <text>
        <r>
          <rPr>
            <sz val="9"/>
            <color indexed="81"/>
            <rFont val="Tahoma"/>
            <family val="2"/>
          </rPr>
          <t xml:space="preserve">[HVMT]:
Mục F.10.2
</t>
        </r>
      </text>
    </comment>
    <comment ref="K175" authorId="1" shapeId="0" xr:uid="{922BE28E-A839-4A9A-A053-D1098717BB42}">
      <text>
        <r>
          <rPr>
            <b/>
            <sz val="9"/>
            <color indexed="81"/>
            <rFont val="Tahoma"/>
            <family val="2"/>
          </rPr>
          <t>[TOAN]:</t>
        </r>
        <r>
          <rPr>
            <sz val="9"/>
            <color indexed="81"/>
            <rFont val="Tahoma"/>
            <family val="2"/>
          </rPr>
          <t xml:space="preserve">
[Chú thích 1]: Không được xét đồng thời giá trị âm và dương trên cùng 1 mặt (Theo European, giá trị trong chú thích là áp lực gió, k phải hệ số Ce)
Vì vậy giá trị ô [X45] tối thiểu = 0, để đồng bộ với giá trị vùng J</t>
        </r>
      </text>
    </comment>
    <comment ref="U175" authorId="1" shapeId="0" xr:uid="{B7F888B7-7736-4054-9783-F983E75D5ECA}">
      <text>
        <r>
          <rPr>
            <b/>
            <sz val="9"/>
            <color indexed="81"/>
            <rFont val="Tahoma"/>
            <family val="2"/>
          </rPr>
          <t>[TOAN]:</t>
        </r>
        <r>
          <rPr>
            <sz val="9"/>
            <color indexed="81"/>
            <rFont val="Tahoma"/>
            <family val="2"/>
          </rPr>
          <t xml:space="preserve">
[Chú thích 1]: Không được xét đồng thời giá trị âm và dương trên cùng 1 mặt (Theo European, giá trị trong chú thích là áp lực gió, k phải hệ số Ce)
Vì vậy giá trị ô [X45] tối thiểu = 0, để đồng bộ với giá trị vùng J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<sst xmlns="http://schemas.openxmlformats.org/spreadsheetml/2006/main" count="536" uniqueCount="339">
  <si>
    <t>Hệ số ce khi góc hướng gió 90</t>
  </si>
  <si>
    <t>VN</t>
  </si>
  <si>
    <t>RC building</t>
  </si>
  <si>
    <t>/ Nhà BTCT</t>
  </si>
  <si>
    <t>Sharp eaves</t>
  </si>
  <si>
    <t>/ Có cạnh sắc</t>
  </si>
  <si>
    <r>
      <rPr>
        <b/>
        <sz val="11"/>
        <rFont val="Arial"/>
        <family val="2"/>
      </rPr>
      <t xml:space="preserve">Góc dốc </t>
    </r>
    <r>
      <rPr>
        <b/>
        <i/>
        <sz val="11"/>
        <rFont val="Arial"/>
        <family val="2"/>
      </rPr>
      <t xml:space="preserve">α, </t>
    </r>
    <r>
      <rPr>
        <sz val="11"/>
        <rFont val="Symbol"/>
        <family val="1"/>
      </rPr>
      <t></t>
    </r>
  </si>
  <si>
    <r>
      <rPr>
        <b/>
        <sz val="11"/>
        <rFont val="Arial"/>
        <family val="2"/>
      </rPr>
      <t>Vùng</t>
    </r>
  </si>
  <si>
    <t>EN</t>
  </si>
  <si>
    <t>ENVN</t>
  </si>
  <si>
    <t>Steel building</t>
  </si>
  <si>
    <t>/ Nhà thép</t>
  </si>
  <si>
    <t>With parapets</t>
  </si>
  <si>
    <t>/ Có tường chắn mái</t>
  </si>
  <si>
    <r>
      <rPr>
        <b/>
        <sz val="11"/>
        <rFont val="Arial"/>
        <family val="2"/>
      </rPr>
      <t>F</t>
    </r>
  </si>
  <si>
    <r>
      <rPr>
        <b/>
        <sz val="11"/>
        <rFont val="Arial"/>
        <family val="2"/>
      </rPr>
      <t>G</t>
    </r>
  </si>
  <si>
    <r>
      <rPr>
        <b/>
        <sz val="11"/>
        <rFont val="Arial"/>
        <family val="2"/>
      </rPr>
      <t>H</t>
    </r>
  </si>
  <si>
    <r>
      <rPr>
        <b/>
        <sz val="11"/>
        <rFont val="Arial"/>
        <family val="2"/>
      </rPr>
      <t>I</t>
    </r>
  </si>
  <si>
    <r>
      <rPr>
        <b/>
        <sz val="11"/>
        <rFont val="Arial"/>
        <family val="2"/>
      </rPr>
      <t>J</t>
    </r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</si>
  <si>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</si>
  <si>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</si>
  <si>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</si>
  <si>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</si>
  <si>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</si>
  <si>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</si>
  <si>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</si>
  <si>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</si>
  <si>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I</t>
  </si>
  <si>
    <t>II</t>
  </si>
  <si>
    <t>III</t>
  </si>
  <si>
    <t>IV</t>
  </si>
  <si>
    <t>V</t>
  </si>
  <si>
    <t>Rev. No.</t>
  </si>
  <si>
    <t>Hiệu chỉnh</t>
  </si>
  <si>
    <t>Zone</t>
  </si>
  <si>
    <t>W3s,20</t>
  </si>
  <si>
    <t>Date:</t>
  </si>
  <si>
    <t>Ngày</t>
  </si>
  <si>
    <t>Design</t>
  </si>
  <si>
    <t>Thiết kế</t>
  </si>
  <si>
    <t>Wind X</t>
  </si>
  <si>
    <t xml:space="preserve">Terrain </t>
  </si>
  <si>
    <t>zg</t>
  </si>
  <si>
    <t>zmin</t>
  </si>
  <si>
    <t>a</t>
  </si>
  <si>
    <t>k(ze)max</t>
  </si>
  <si>
    <t>Check</t>
  </si>
  <si>
    <t>Kiểm tra</t>
  </si>
  <si>
    <t>A</t>
  </si>
  <si>
    <t>Design code:</t>
  </si>
  <si>
    <t>Tiêu chuẩn thiết kế:</t>
  </si>
  <si>
    <t>B [m] =</t>
  </si>
  <si>
    <t>B</t>
  </si>
  <si>
    <t>TCVN 2737:2023 Loads and Action - Design standard</t>
  </si>
  <si>
    <t>TCVN 2737:2023 Tải trọng và tác động - Tiêu chuẩn thiết kế</t>
  </si>
  <si>
    <t>L [m] =</t>
  </si>
  <si>
    <t>C</t>
  </si>
  <si>
    <t>Section F.2.1 Flat roofs are defined as having a angle</t>
  </si>
  <si>
    <t>Mục F.2.1 Mái bằng khi có góc dốc</t>
  </si>
  <si>
    <t>h [m] =</t>
  </si>
  <si>
    <t>BUILDING (STRUCTURE) DATA</t>
  </si>
  <si>
    <t>DỮ LIỆU CÔNG TRÌNH</t>
  </si>
  <si>
    <t>BUILDING (STRUCTURE) DATA / DỮ LIỆU CÔNG TRÌNH</t>
  </si>
  <si>
    <t>Structure:</t>
  </si>
  <si>
    <t>Kết cấu:</t>
  </si>
  <si>
    <t>Structure / Kết cấu:</t>
  </si>
  <si>
    <t>Wind Y</t>
  </si>
  <si>
    <t>F</t>
  </si>
  <si>
    <t>G</t>
  </si>
  <si>
    <t>H</t>
  </si>
  <si>
    <t>Flat roof</t>
  </si>
  <si>
    <t>Mái bằng</t>
  </si>
  <si>
    <t>i =</t>
  </si>
  <si>
    <t>Structural type:</t>
  </si>
  <si>
    <t>Loại kết cấu:</t>
  </si>
  <si>
    <t>Structural type / Loại:</t>
  </si>
  <si>
    <t>Type of roof:</t>
  </si>
  <si>
    <t>Loại mái:</t>
  </si>
  <si>
    <t>Roof type / Loại mái:</t>
  </si>
  <si>
    <t>Roof / building width</t>
  </si>
  <si>
    <t>Chiều rộng nhà / mái</t>
  </si>
  <si>
    <t>Roof width / Chiều rộng mái</t>
  </si>
  <si>
    <t>Roof / building length</t>
  </si>
  <si>
    <t>Chiều dài nhà / mái</t>
  </si>
  <si>
    <t>Roof length / Chiều dài mái</t>
  </si>
  <si>
    <t>Building height</t>
  </si>
  <si>
    <t>Chiều cao nhà</t>
  </si>
  <si>
    <t>Building height / Chiều cao nhà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</si>
  <si>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</si>
  <si>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</si>
  <si>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</si>
  <si>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t>J</t>
  </si>
  <si>
    <t>Parapet height</t>
  </si>
  <si>
    <t>Chiều cao tường chắn</t>
  </si>
  <si>
    <t>Parapet height / Chiều cao tường chắn</t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</si>
  <si>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</si>
  <si>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</si>
  <si>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</si>
  <si>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</si>
  <si>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</si>
  <si>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</si>
  <si>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</si>
  <si>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</si>
  <si>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</si>
  <si>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Gust Effect factor / Hệ số hiệu ứng giật</t>
  </si>
  <si>
    <t>SITE DATA</t>
  </si>
  <si>
    <t>DỮ LIỆU ĐỊA ĐIỂM</t>
  </si>
  <si>
    <t>SITE DATA / DỮ LIỆU ĐỊA ĐIỂM</t>
  </si>
  <si>
    <t>Vùng</t>
  </si>
  <si>
    <t>Zone / Vùng</t>
  </si>
  <si>
    <t>Site terrain type:</t>
  </si>
  <si>
    <t>Dạng địa hình</t>
  </si>
  <si>
    <t>Site terrain type / Dạng địa hình:</t>
  </si>
  <si>
    <t>COEFFICIENTS AND FACTORS</t>
  </si>
  <si>
    <t>HỆ SỐ</t>
  </si>
  <si>
    <t>FACTORS / HỆ SỐ</t>
  </si>
  <si>
    <t>Internal pressure coefficient</t>
  </si>
  <si>
    <t>Hệ số khí động áp lực bên trong</t>
  </si>
  <si>
    <t>Case 1</t>
  </si>
  <si>
    <t>Trường hợp 1</t>
  </si>
  <si>
    <t>Case 1 / TH1</t>
  </si>
  <si>
    <t>Case 2</t>
  </si>
  <si>
    <t>Trường hợp 2</t>
  </si>
  <si>
    <t>Case 2 / TH2</t>
  </si>
  <si>
    <t>CALCULATIONS: WIND PRESSURES FOR ROOF</t>
  </si>
  <si>
    <t>TÍNH TOÁN ÁP LỰC GIÓ</t>
  </si>
  <si>
    <t>Reference height</t>
  </si>
  <si>
    <t>Chiều cao tham chiếu</t>
  </si>
  <si>
    <t>Reference height / Chiều cao tham chiếu</t>
  </si>
  <si>
    <t xml:space="preserve">Terrain factor </t>
  </si>
  <si>
    <t>Hệ số thay đổi theo độ cao và địa hình</t>
  </si>
  <si>
    <t>Terrain factor  / Hệ số địa hình</t>
  </si>
  <si>
    <t>(Section 10.2.2)</t>
  </si>
  <si>
    <t>(Mục 10.2.2)</t>
  </si>
  <si>
    <t>TH1</t>
  </si>
  <si>
    <t>TH2</t>
  </si>
  <si>
    <t>Roof pitch angle</t>
  </si>
  <si>
    <t>Góc nghiêng mái</t>
  </si>
  <si>
    <t>Roof pitch angle / Góc nghiêng mái</t>
  </si>
  <si>
    <t>Roof slope</t>
  </si>
  <si>
    <t>Độ dốc mái</t>
  </si>
  <si>
    <t>Roof slope / Độ dốc mái</t>
  </si>
  <si>
    <t>CALCULATIONS: WIND PRESSURES FOR ROOF (WIND X)</t>
  </si>
  <si>
    <t>TÍNH TOÁN ÁP LỰC GIÓ LÊN MÁI (PHƯƠNG X)</t>
  </si>
  <si>
    <t>CALCULATIONS: WIND PRESSURES FOR ROOF (WIND X)
TÍNH TOÁN ÁP LỰC GIÓ LÊN MÁI (PHƯƠNG X)</t>
  </si>
  <si>
    <t>b =</t>
  </si>
  <si>
    <t>(m)</t>
  </si>
  <si>
    <t>h =</t>
  </si>
  <si>
    <t>CALCULATIONS: WIND PRESSURES FOR ROOF (WIND Y)</t>
  </si>
  <si>
    <t>TÍNH TOÁN ÁP LỰC GIÓ LÊN MÁI (PHƯƠNG Y)</t>
  </si>
  <si>
    <t>CALCULATIONS: WIND PRESSURES FOR ROOF (WIND Y)
TÍNH TOÁN ÁP LỰC GIÓ LÊN MÁI (PHƯƠNG Y)</t>
  </si>
  <si>
    <t>d =</t>
  </si>
  <si>
    <t>e =</t>
  </si>
  <si>
    <t>Ridge or trough</t>
  </si>
  <si>
    <t>Đường nóc</t>
  </si>
  <si>
    <t>Ridge or trough / Đường nóc</t>
  </si>
  <si>
    <t>Zone F</t>
  </si>
  <si>
    <t/>
  </si>
  <si>
    <t>Zone H</t>
  </si>
  <si>
    <t>Zone I</t>
  </si>
  <si>
    <t>Zone G</t>
  </si>
  <si>
    <t>Zone J</t>
  </si>
  <si>
    <t>TÍNH TOÁN TẢI TRỌNG GIÓ TÁC DỤNG LÊN NHÀ MÁI DỐC HAI PHÍA</t>
  </si>
  <si>
    <t>HẠNG MỤC</t>
  </si>
  <si>
    <t>NHÀ XƯỞNG</t>
  </si>
  <si>
    <t>DIAGRAM: ZONES OF DUOPITCH ROOF / SƠ ĐỒ PHÂN CHIA VÙNG ÁP LỰC GIÓ</t>
  </si>
  <si>
    <t>DIAGRAM: ZONES OF DUOPITCH ROOF</t>
  </si>
  <si>
    <t>SƠ ĐỒ PHÂN CHIA VÙNG ÁP LỰC GIÓ</t>
  </si>
  <si>
    <t>Gió X</t>
  </si>
  <si>
    <t>Wind/Gió X</t>
  </si>
  <si>
    <t>Gió Y</t>
  </si>
  <si>
    <t>Wind/Gió Y</t>
  </si>
  <si>
    <t>Vùng F</t>
  </si>
  <si>
    <t>Zone / Vùng F</t>
  </si>
  <si>
    <t>Vùng G</t>
  </si>
  <si>
    <t>Zone / Vùng G</t>
  </si>
  <si>
    <t>Vùng H</t>
  </si>
  <si>
    <t>Zone / Vùng H</t>
  </si>
  <si>
    <t>Vùng I</t>
  </si>
  <si>
    <t>Zone / Vùng I</t>
  </si>
  <si>
    <t>Vùng J</t>
  </si>
  <si>
    <t>Zone / Vùng J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</si>
  <si>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</si>
  <si>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Hệ số áp lực trong (phụ lục F12)</t>
  </si>
  <si>
    <t>Độ hở của tường chắn</t>
  </si>
  <si>
    <t>Open ratio for each wind direction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</si>
  <si>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[m] =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</si>
  <si>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</si>
  <si>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</si>
  <si>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</si>
  <si>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</si>
  <si>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t>Hệ số ce khi góc hướng gió = 0 (bảng giá trị TH1)</t>
  </si>
  <si>
    <t>Hệ số ce khi góc hướng gió = 0 (bảng giá trị TH2)</t>
  </si>
  <si>
    <t>PHỤ LỤC F.10 TRƯỜNG HỢP NHÀ CÓ MÁI RĂNG CƯA</t>
  </si>
  <si>
    <t>Đối với các vùng còn lại của mái</t>
  </si>
  <si>
    <r>
      <t>W</t>
    </r>
    <r>
      <rPr>
        <vertAlign val="subscript"/>
        <sz val="11"/>
        <rFont val="Calibri"/>
        <family val="2"/>
        <scheme val="minor"/>
      </rPr>
      <t>e</t>
    </r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</si>
  <si>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</si>
  <si>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</si>
  <si>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</si>
  <si>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</si>
  <si>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b (m)</t>
  </si>
  <si>
    <t>d (m)</t>
  </si>
  <si>
    <t>CALCULATION WIND PRESSURES / TÍNH TOÁN ÁP LỰC GIÓ</t>
  </si>
  <si>
    <t>CALCULATION WIND PRESSURES</t>
  </si>
  <si>
    <t>DIRECTION X</t>
  </si>
  <si>
    <t>DIRECTION Y</t>
  </si>
  <si>
    <t>PHƯƠNG X</t>
  </si>
  <si>
    <t>PHƯƠNG Y</t>
  </si>
  <si>
    <t>DIRECTION X / PHƯƠNG X</t>
  </si>
  <si>
    <t>DIRECTION Y / PHƯƠNG Y</t>
  </si>
  <si>
    <t>GIÓ Y+</t>
  </si>
  <si>
    <t>GIÓ Y-</t>
  </si>
  <si>
    <t>GIÓ X+</t>
  </si>
  <si>
    <t>GIÓ X-</t>
  </si>
  <si>
    <t>Load</t>
  </si>
  <si>
    <t>Wx+</t>
  </si>
  <si>
    <t>Wx-</t>
  </si>
  <si>
    <t>Wy+</t>
  </si>
  <si>
    <t>Wy-</t>
  </si>
  <si>
    <t>m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</si>
  <si>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</si>
  <si>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</si>
  <si>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</si>
  <si>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WIND PRESSURE ACTING ON THE SURFACES:</t>
  </si>
  <si>
    <t>ÁP LỰC GIÓ TÁC DỤNG LÊN BỀ MẶT:</t>
  </si>
  <si>
    <t>WIND PRESSURE ACTING ON THE SURFACES / ÁP LỰC GIÓ TÁC DỤNG LÊN BỀ MẶT:</t>
  </si>
  <si>
    <t>Tải trọng</t>
  </si>
  <si>
    <t>Load / Tải trọng</t>
  </si>
  <si>
    <t>DIAGRAM: ZONES OF DUOPITCH ROOF (WIND X+) / SƠ ĐỒ PHÂN CHIA VÙNG ÁP LỰC GIÓ (GIÓ X+)</t>
  </si>
  <si>
    <t>SƠ ĐỒ PHÂN CHIA VÙNG ÁP LỰC GIÓ (GIÓ X+)</t>
  </si>
  <si>
    <t>DIAGRAM: ZONES OF DUOPITCH ROOF (WIND X+)</t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</si>
  <si>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</si>
  <si>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</si>
  <si>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-</t>
    </r>
  </si>
  <si>
    <r>
      <t>c</t>
    </r>
    <r>
      <rPr>
        <vertAlign val="subscript"/>
        <sz val="11"/>
        <rFont val="Calibri"/>
        <family val="2"/>
        <scheme val="minor"/>
      </rPr>
      <t>e</t>
    </r>
  </si>
  <si>
    <r>
      <t>c</t>
    </r>
    <r>
      <rPr>
        <vertAlign val="subscript"/>
        <sz val="10"/>
        <rFont val="Arial"/>
        <family val="2"/>
      </rPr>
      <t>i</t>
    </r>
  </si>
  <si>
    <r>
      <t>W</t>
    </r>
    <r>
      <rPr>
        <vertAlign val="subscript"/>
        <sz val="10"/>
        <rFont val="Calibri"/>
        <family val="2"/>
        <scheme val="minor"/>
      </rPr>
      <t>i</t>
    </r>
  </si>
  <si>
    <r>
      <t>W</t>
    </r>
    <r>
      <rPr>
        <vertAlign val="subscript"/>
        <sz val="10"/>
        <rFont val="Calibri"/>
        <family val="2"/>
        <scheme val="minor"/>
      </rPr>
      <t>k</t>
    </r>
  </si>
  <si>
    <t>DIAGRAM: ZONES OF DUOPITCH ROOF (WIND X-) / SƠ ĐỒ PHÂN CHIA VÙNG ÁP LỰC GIÓ (GIÓ X-)</t>
  </si>
  <si>
    <t>DIAGRAM: ZONES OF DUOPITCH ROOF (WIND Y+) / SƠ ĐỒ PHÂN CHIA VÙNG ÁP LỰC GIÓ (GIÓ Y+)</t>
  </si>
  <si>
    <t>DIAGRAM: ZONES OF DUOPITCH ROOF (WIND Y-) / SƠ ĐỒ PHÂN CHIA VÙNG ÁP LỰC GIÓ (GIÓ Y-)</t>
  </si>
  <si>
    <t>SƠ ĐỒ PHÂN CHIA VÙNG ÁP LỰC GIÓ (GIÓ X-)</t>
  </si>
  <si>
    <t>SƠ ĐỒ PHÂN CHIA VÙNG ÁP LỰC GIÓ (GIÓ Y+)</t>
  </si>
  <si>
    <t>SƠ ĐỒ PHÂN CHIA VÙNG ÁP LỰC GIÓ (GIÓ Y-)</t>
  </si>
  <si>
    <t>DIAGRAM: ZONES OF DUOPITCH ROOF (WIND X-)</t>
  </si>
  <si>
    <t>DIAGRAM: ZONES OF DUOPITCH ROOF (WIND Y+)</t>
  </si>
  <si>
    <t>DIAGRAM: ZONES OF DUOPITCH ROOF (WIND Y-)</t>
  </si>
  <si>
    <t>LƯU Ý: SHEET NÀY TÍNH TOÁN CHO KÈO // OY</t>
  </si>
  <si>
    <t>TÍNH TOÁN HỆ SỐ HIỆU ỨNG GIẬT Gf</t>
  </si>
  <si>
    <t>1. Dữ liệu tính toán</t>
  </si>
  <si>
    <t>Chiều cao nhà từ mặt đất (m)</t>
  </si>
  <si>
    <t>Chiều cao lan can tầng mái: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</si>
  <si>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</si>
  <si>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</si>
  <si>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</si>
  <si>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</si>
  <si>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</si>
  <si>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</si>
  <si>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</si>
  <si>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</si>
  <si>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</si>
  <si>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</si>
  <si>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</si>
  <si>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</si>
  <si>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</si>
  <si>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</si>
  <si>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</si>
  <si>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</si>
  <si>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</si>
  <si>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</si>
  <si>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</si>
  <si>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</si>
  <si>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</si>
  <si>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</si>
  <si>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</si>
  <si>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</si>
  <si>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</si>
  <si>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</si>
  <si>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</si>
  <si>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</si>
  <si>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</si>
  <si>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</si>
  <si>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</si>
  <si>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</si>
  <si>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</si>
  <si>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</si>
  <si>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</si>
  <si>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</si>
  <si>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</si>
  <si>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</si>
  <si>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</si>
  <si>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</si>
  <si>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</si>
  <si>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</si>
  <si>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</si>
  <si>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</si>
  <si>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</si>
  <si>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</si>
  <si>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</si>
  <si>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</si>
  <si>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</si>
  <si>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</si>
  <si>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</si>
  <si>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</si>
  <si>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</si>
  <si>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</si>
  <si>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</si>
  <si>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</si>
  <si>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</si>
  <si>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</si>
  <si>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</si>
  <si>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</si>
  <si>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</si>
  <si>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</si>
  <si>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</si>
  <si>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</si>
  <si>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</si>
  <si>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</si>
  <si>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</si>
  <si>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</si>
  <si>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</si>
  <si>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</si>
  <si>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PHỤ LỤC F.8 NHÀ CÓ CỬA TRỜI DỌC NHÀ</t>
  </si>
  <si>
    <t>Mục F.8.1 Hệ số Ce sẽ theo gió mái chính.</t>
  </si>
  <si>
    <t>Bề rộng truyền tải của khung</t>
  </si>
  <si>
    <t>B =</t>
  </si>
  <si>
    <r>
      <t>q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</si>
  <si>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t>Tải trọng gió tác dụng lên khung (kN/m)</t>
  </si>
  <si>
    <t>Mái đơn</t>
  </si>
  <si>
    <t>Mái răng cửa - Mái giữa</t>
  </si>
  <si>
    <t>Mái răng cửa - Mái biên trên</t>
  </si>
  <si>
    <t>Mái răng cửa - Mái biên dưới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</si>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</sst>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7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name val="Arial CE"/>
      <charset val="238"/>
    </font>
    <font>
      <sz val="10"/>
      <name val="Arial"/>
      <family val="2"/>
    </font>
    <font>
      <sz val="10"/>
      <color theme="1"/>
      <name val="Arial"/>
      <family val="2"/>
    </font>
    <font>
      <b/>
      <i/>
      <sz val="11"/>
      <color indexed="8"/>
      <name val="Arial"/>
      <family val="2"/>
    </font>
    <font>
      <sz val="16"/>
      <color rgb="FFFF0000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11"/>
      <name val="Symbol"/>
      <family val="1"/>
    </font>
    <font>
      <sz val="11"/>
      <color rgb="FF000000"/>
      <name val="Arial"/>
      <family val="2"/>
    </font>
    <font>
      <sz val="11"/>
      <name val="Calibri"/>
      <family val="2"/>
      <scheme val="minor"/>
    </font>
    <font>
      <i/>
      <u/>
      <sz val="11"/>
      <name val="Calibri"/>
      <family val="2"/>
      <scheme val="minor"/>
    </font>
    <font>
      <sz val="10"/>
      <color rgb="FFFF0000"/>
      <name val="Arial"/>
      <family val="2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0"/>
      <name val="Symbol"/>
      <family val="1"/>
      <charset val="2"/>
    </font>
    <font>
      <b/>
      <sz val="10"/>
      <color rgb="FFC00000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sz val="10"/>
      <color rgb="FFC00000"/>
      <name val="Arial"/>
      <family val="2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indexed="12"/>
      <name val="Arial"/>
      <family val="2"/>
    </font>
    <font>
      <sz val="10"/>
      <color rgb="FFFFFFFF"/>
      <name val="Arial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0"/>
      <color rgb="FF0000FF"/>
      <name val="Arial"/>
      <family val="2"/>
    </font>
    <font>
      <sz val="11"/>
      <color rgb="FF0000CC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rgb="FF0070C0"/>
      <name val="Arial"/>
      <family val="2"/>
    </font>
    <font>
      <sz val="11"/>
      <color rgb="FFFF00FF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10"/>
      <name val="Arial"/>
      <family val="2"/>
    </font>
    <font>
      <b/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20"/>
      <color theme="0"/>
      <name val="Arial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rgb="FFC00000"/>
      <name val="Arial"/>
      <family val="2"/>
    </font>
    <font>
      <b/>
      <sz val="11"/>
      <color rgb="FFFA7D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rgb="FF0000FF"/>
      </bottom>
      <diagonal/>
    </border>
    <border>
      <left/>
      <right/>
      <top/>
      <bottom style="hair">
        <color rgb="FF0000FF"/>
      </bottom>
      <diagonal/>
    </border>
    <border>
      <left/>
      <right style="medium">
        <color indexed="64"/>
      </right>
      <top/>
      <bottom style="hair">
        <color rgb="FF0000FF"/>
      </bottom>
      <diagonal/>
    </border>
    <border>
      <left style="medium">
        <color indexed="64"/>
      </left>
      <right/>
      <top style="hair">
        <color rgb="FF0000FF"/>
      </top>
      <bottom/>
      <diagonal/>
    </border>
    <border>
      <left/>
      <right/>
      <top style="hair">
        <color rgb="FF0000FF"/>
      </top>
      <bottom/>
      <diagonal/>
    </border>
    <border>
      <left/>
      <right style="medium">
        <color indexed="64"/>
      </right>
      <top style="hair">
        <color rgb="FF0000F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hair">
        <color rgb="FF0000FF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ck">
        <color indexed="64"/>
      </left>
      <right/>
      <top/>
      <bottom style="thick">
        <color rgb="FFFF00FF"/>
      </bottom>
      <diagonal/>
    </border>
    <border>
      <left/>
      <right/>
      <top/>
      <bottom style="thick">
        <color rgb="FFFF00FF"/>
      </bottom>
      <diagonal/>
    </border>
    <border>
      <left/>
      <right style="thick">
        <color indexed="64"/>
      </right>
      <top/>
      <bottom style="thick">
        <color rgb="FFFF00FF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medium">
        <color indexed="64"/>
      </right>
      <top/>
      <bottom style="thick">
        <color theme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rgb="FF0000FF"/>
      </bottom>
      <diagonal/>
    </border>
    <border>
      <left/>
      <right style="thin">
        <color indexed="64"/>
      </right>
      <top/>
      <bottom style="hair">
        <color rgb="FF0000FF"/>
      </bottom>
      <diagonal/>
    </border>
    <border>
      <left style="thin">
        <color indexed="64"/>
      </left>
      <right/>
      <top style="hair">
        <color rgb="FF0000FF"/>
      </top>
      <bottom/>
      <diagonal/>
    </border>
    <border>
      <left/>
      <right style="thin">
        <color indexed="64"/>
      </right>
      <top style="hair">
        <color rgb="FF0000FF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3" fillId="0" borderId="0"/>
    <xf numFmtId="49" fontId="7" fillId="0" borderId="0">
      <alignment horizontal="left" vertical="center"/>
    </xf>
    <xf numFmtId="9" fontId="5" fillId="0" borderId="0" applyFont="0" applyFill="0" applyBorder="0" applyAlignment="0" applyProtection="0"/>
    <xf numFmtId="0" fontId="5" fillId="0" borderId="0"/>
    <xf numFmtId="0" fontId="51" fillId="12" borderId="0" applyNumberFormat="0" applyBorder="0" applyAlignment="0" applyProtection="0"/>
    <xf numFmtId="0" fontId="53" fillId="0" borderId="0"/>
    <xf numFmtId="0" fontId="3" fillId="0" borderId="0"/>
    <xf numFmtId="0" fontId="52" fillId="0" borderId="0"/>
    <xf numFmtId="0" fontId="73" fillId="14" borderId="87" applyNumberFormat="0" applyAlignment="0" applyProtection="0"/>
  </cellStyleXfs>
  <cellXfs count="579">
    <xf numFmtId="0" fontId="0" fillId="0" borderId="0" xfId="0"/>
    <xf numFmtId="0" fontId="4" fillId="0" borderId="0" xfId="1" applyFont="1" applyProtection="1">
      <protection hidden="1"/>
    </xf>
    <xf numFmtId="0" fontId="3" fillId="0" borderId="0" xfId="1" applyProtection="1">
      <protection hidden="1"/>
    </xf>
    <xf numFmtId="0" fontId="3" fillId="0" borderId="0" xfId="1"/>
    <xf numFmtId="0" fontId="5" fillId="4" borderId="0" xfId="1" applyFont="1" applyFill="1"/>
    <xf numFmtId="0" fontId="3" fillId="4" borderId="0" xfId="1" applyFill="1"/>
    <xf numFmtId="0" fontId="3" fillId="5" borderId="1" xfId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top" wrapText="1"/>
    </xf>
    <xf numFmtId="0" fontId="9" fillId="0" borderId="15" xfId="1" applyFont="1" applyBorder="1" applyAlignment="1">
      <alignment horizontal="center" vertical="top" wrapText="1"/>
    </xf>
    <xf numFmtId="0" fontId="5" fillId="5" borderId="1" xfId="1" applyFont="1" applyFill="1" applyBorder="1"/>
    <xf numFmtId="0" fontId="3" fillId="2" borderId="0" xfId="1" applyFill="1"/>
    <xf numFmtId="164" fontId="12" fillId="0" borderId="14" xfId="1" applyNumberFormat="1" applyFont="1" applyBorder="1" applyAlignment="1">
      <alignment horizontal="center" vertical="center" shrinkToFit="1"/>
    </xf>
    <xf numFmtId="164" fontId="12" fillId="0" borderId="1" xfId="1" applyNumberFormat="1" applyFont="1" applyBorder="1" applyAlignment="1">
      <alignment horizontal="center" vertical="top" shrinkToFit="1"/>
    </xf>
    <xf numFmtId="0" fontId="13" fillId="0" borderId="0" xfId="1" applyFont="1" applyAlignment="1" applyProtection="1">
      <alignment vertical="center"/>
      <protection hidden="1"/>
    </xf>
    <xf numFmtId="0" fontId="14" fillId="2" borderId="6" xfId="1" applyFont="1" applyFill="1" applyBorder="1" applyAlignment="1" applyProtection="1">
      <alignment horizontal="right" vertical="center"/>
      <protection hidden="1"/>
    </xf>
    <xf numFmtId="2" fontId="13" fillId="0" borderId="12" xfId="1" applyNumberFormat="1" applyFont="1" applyBorder="1" applyProtection="1">
      <protection hidden="1"/>
    </xf>
    <xf numFmtId="0" fontId="13" fillId="0" borderId="19" xfId="1" applyFont="1" applyBorder="1" applyAlignment="1" applyProtection="1">
      <alignment vertical="center"/>
      <protection hidden="1"/>
    </xf>
    <xf numFmtId="1" fontId="12" fillId="0" borderId="15" xfId="1" applyNumberFormat="1" applyFont="1" applyBorder="1" applyAlignment="1">
      <alignment horizontal="center" vertical="center" shrinkToFit="1"/>
    </xf>
    <xf numFmtId="164" fontId="12" fillId="0" borderId="15" xfId="1" applyNumberFormat="1" applyFont="1" applyBorder="1" applyAlignment="1">
      <alignment horizontal="center" vertical="center" shrinkToFit="1"/>
    </xf>
    <xf numFmtId="0" fontId="13" fillId="0" borderId="20" xfId="1" applyFont="1" applyBorder="1" applyAlignment="1" applyProtection="1">
      <alignment vertical="center"/>
      <protection hidden="1"/>
    </xf>
    <xf numFmtId="0" fontId="13" fillId="7" borderId="20" xfId="1" applyFont="1" applyFill="1" applyBorder="1" applyAlignment="1" applyProtection="1">
      <alignment vertical="center"/>
      <protection hidden="1"/>
    </xf>
    <xf numFmtId="0" fontId="3" fillId="0" borderId="1" xfId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19" fillId="6" borderId="6" xfId="1" applyFont="1" applyFill="1" applyBorder="1" applyAlignment="1" applyProtection="1">
      <alignment vertical="center"/>
      <protection locked="0"/>
    </xf>
    <xf numFmtId="0" fontId="20" fillId="2" borderId="1" xfId="1" applyFont="1" applyFill="1" applyBorder="1" applyAlignment="1">
      <alignment horizontal="center" vertical="center"/>
    </xf>
    <xf numFmtId="0" fontId="2" fillId="7" borderId="20" xfId="1" applyFont="1" applyFill="1" applyBorder="1" applyAlignment="1" applyProtection="1">
      <alignment horizontal="center" vertical="center"/>
      <protection hidden="1"/>
    </xf>
    <xf numFmtId="0" fontId="1" fillId="6" borderId="8" xfId="1" applyFont="1" applyFill="1" applyBorder="1" applyAlignment="1">
      <alignment vertical="center"/>
    </xf>
    <xf numFmtId="0" fontId="13" fillId="7" borderId="19" xfId="1" applyFont="1" applyFill="1" applyBorder="1" applyAlignment="1" applyProtection="1">
      <alignment vertical="center"/>
      <protection hidden="1"/>
    </xf>
    <xf numFmtId="0" fontId="13" fillId="7" borderId="21" xfId="1" applyFont="1" applyFill="1" applyBorder="1" applyAlignment="1" applyProtection="1">
      <alignment vertical="center"/>
      <protection hidden="1"/>
    </xf>
    <xf numFmtId="0" fontId="5" fillId="0" borderId="0" xfId="1" applyFont="1"/>
    <xf numFmtId="2" fontId="21" fillId="0" borderId="1" xfId="1" applyNumberFormat="1" applyFont="1" applyBorder="1" applyAlignment="1">
      <alignment horizontal="center" vertical="center"/>
    </xf>
    <xf numFmtId="0" fontId="1" fillId="6" borderId="17" xfId="1" applyFont="1" applyFill="1" applyBorder="1" applyAlignment="1">
      <alignment horizontal="right" vertical="center"/>
    </xf>
    <xf numFmtId="0" fontId="5" fillId="5" borderId="0" xfId="1" applyFont="1" applyFill="1"/>
    <xf numFmtId="164" fontId="12" fillId="0" borderId="14" xfId="1" applyNumberFormat="1" applyFont="1" applyBorder="1" applyAlignment="1">
      <alignment horizontal="center" vertical="top" shrinkToFit="1"/>
    </xf>
    <xf numFmtId="0" fontId="13" fillId="6" borderId="6" xfId="1" applyFont="1" applyFill="1" applyBorder="1" applyAlignment="1">
      <alignment horizontal="right" vertical="center"/>
    </xf>
    <xf numFmtId="0" fontId="13" fillId="6" borderId="6" xfId="1" applyFont="1" applyFill="1" applyBorder="1" applyAlignment="1">
      <alignment vertical="center"/>
    </xf>
    <xf numFmtId="0" fontId="13" fillId="6" borderId="8" xfId="1" applyFont="1" applyFill="1" applyBorder="1" applyAlignment="1">
      <alignment vertical="center" shrinkToFit="1"/>
    </xf>
    <xf numFmtId="2" fontId="13" fillId="6" borderId="12" xfId="1" applyNumberFormat="1" applyFont="1" applyFill="1" applyBorder="1" applyAlignment="1" applyProtection="1">
      <alignment vertical="center"/>
      <protection hidden="1"/>
    </xf>
    <xf numFmtId="1" fontId="12" fillId="0" borderId="1" xfId="1" applyNumberFormat="1" applyFont="1" applyBorder="1" applyAlignment="1">
      <alignment horizontal="center" vertical="center" shrinkToFit="1"/>
    </xf>
    <xf numFmtId="164" fontId="12" fillId="0" borderId="24" xfId="1" applyNumberFormat="1" applyFont="1" applyBorder="1" applyAlignment="1">
      <alignment horizontal="center" vertical="top" shrinkToFit="1"/>
    </xf>
    <xf numFmtId="1" fontId="12" fillId="0" borderId="13" xfId="1" applyNumberFormat="1" applyFont="1" applyBorder="1" applyAlignment="1">
      <alignment horizontal="center" vertical="top" shrinkToFit="1"/>
    </xf>
    <xf numFmtId="0" fontId="1" fillId="6" borderId="16" xfId="1" applyFont="1" applyFill="1" applyBorder="1" applyAlignment="1">
      <alignment vertical="center"/>
    </xf>
    <xf numFmtId="0" fontId="1" fillId="6" borderId="17" xfId="1" applyFont="1" applyFill="1" applyBorder="1" applyAlignment="1">
      <alignment vertical="center"/>
    </xf>
    <xf numFmtId="1" fontId="12" fillId="0" borderId="14" xfId="1" applyNumberFormat="1" applyFont="1" applyBorder="1" applyAlignment="1">
      <alignment horizontal="center" vertical="top" shrinkToFit="1"/>
    </xf>
    <xf numFmtId="2" fontId="21" fillId="0" borderId="0" xfId="1" applyNumberFormat="1" applyFont="1" applyAlignment="1">
      <alignment horizontal="center" vertical="center"/>
    </xf>
    <xf numFmtId="0" fontId="3" fillId="5" borderId="1" xfId="1" applyFill="1" applyBorder="1"/>
    <xf numFmtId="0" fontId="1" fillId="6" borderId="26" xfId="1" applyFont="1" applyFill="1" applyBorder="1" applyAlignment="1">
      <alignment vertical="center"/>
    </xf>
    <xf numFmtId="0" fontId="1" fillId="6" borderId="27" xfId="1" applyFont="1" applyFill="1" applyBorder="1" applyAlignment="1">
      <alignment horizontal="right" vertical="center"/>
    </xf>
    <xf numFmtId="0" fontId="1" fillId="6" borderId="29" xfId="1" applyFont="1" applyFill="1" applyBorder="1" applyAlignment="1">
      <alignment vertical="center"/>
    </xf>
    <xf numFmtId="0" fontId="1" fillId="6" borderId="25" xfId="1" applyFont="1" applyFill="1" applyBorder="1" applyAlignment="1">
      <alignment horizontal="right" vertical="center"/>
    </xf>
    <xf numFmtId="0" fontId="13" fillId="0" borderId="17" xfId="1" applyFont="1" applyBorder="1" applyAlignment="1" applyProtection="1">
      <alignment vertical="center"/>
      <protection hidden="1"/>
    </xf>
    <xf numFmtId="0" fontId="13" fillId="0" borderId="5" xfId="1" applyFont="1" applyBorder="1" applyAlignment="1" applyProtection="1">
      <alignment vertical="center"/>
      <protection hidden="1"/>
    </xf>
    <xf numFmtId="0" fontId="13" fillId="0" borderId="6" xfId="1" applyFont="1" applyBorder="1" applyAlignment="1" applyProtection="1">
      <alignment vertical="center"/>
      <protection hidden="1"/>
    </xf>
    <xf numFmtId="0" fontId="13" fillId="0" borderId="8" xfId="1" applyFont="1" applyBorder="1" applyAlignment="1" applyProtection="1">
      <alignment vertical="center"/>
      <protection hidden="1"/>
    </xf>
    <xf numFmtId="0" fontId="33" fillId="6" borderId="33" xfId="1" applyFont="1" applyFill="1" applyBorder="1" applyProtection="1">
      <protection hidden="1"/>
    </xf>
    <xf numFmtId="0" fontId="33" fillId="6" borderId="34" xfId="1" applyFont="1" applyFill="1" applyBorder="1" applyProtection="1">
      <protection hidden="1"/>
    </xf>
    <xf numFmtId="0" fontId="33" fillId="6" borderId="35" xfId="1" applyFont="1" applyFill="1" applyBorder="1" applyProtection="1">
      <protection hidden="1"/>
    </xf>
    <xf numFmtId="0" fontId="33" fillId="6" borderId="36" xfId="1" applyFont="1" applyFill="1" applyBorder="1" applyProtection="1">
      <protection hidden="1"/>
    </xf>
    <xf numFmtId="0" fontId="33" fillId="6" borderId="32" xfId="1" applyFont="1" applyFill="1" applyBorder="1" applyProtection="1">
      <protection hidden="1"/>
    </xf>
    <xf numFmtId="0" fontId="25" fillId="0" borderId="0" xfId="1" applyFont="1"/>
    <xf numFmtId="0" fontId="13" fillId="6" borderId="32" xfId="1" applyFont="1" applyFill="1" applyBorder="1" applyAlignment="1" applyProtection="1">
      <alignment vertical="top"/>
      <protection hidden="1"/>
    </xf>
    <xf numFmtId="0" fontId="32" fillId="6" borderId="36" xfId="1" applyFont="1" applyFill="1" applyBorder="1" applyAlignment="1" applyProtection="1">
      <alignment vertical="top"/>
      <protection hidden="1"/>
    </xf>
    <xf numFmtId="0" fontId="32" fillId="6" borderId="32" xfId="1" applyFont="1" applyFill="1" applyBorder="1" applyAlignment="1" applyProtection="1">
      <alignment vertical="top"/>
      <protection hidden="1"/>
    </xf>
    <xf numFmtId="0" fontId="29" fillId="0" borderId="0" xfId="1" applyFont="1"/>
    <xf numFmtId="0" fontId="13" fillId="6" borderId="32" xfId="1" applyFont="1" applyFill="1" applyBorder="1" applyProtection="1">
      <protection hidden="1"/>
    </xf>
    <xf numFmtId="0" fontId="17" fillId="0" borderId="8" xfId="1" applyFont="1" applyBorder="1" applyAlignment="1" applyProtection="1">
      <alignment vertical="center"/>
      <protection hidden="1"/>
    </xf>
    <xf numFmtId="0" fontId="31" fillId="6" borderId="32" xfId="1" applyFont="1" applyFill="1" applyBorder="1" applyAlignment="1" applyProtection="1">
      <alignment vertical="top"/>
      <protection hidden="1"/>
    </xf>
    <xf numFmtId="0" fontId="34" fillId="6" borderId="36" xfId="1" applyFont="1" applyFill="1" applyBorder="1" applyProtection="1">
      <protection hidden="1"/>
    </xf>
    <xf numFmtId="0" fontId="34" fillId="6" borderId="32" xfId="1" applyFont="1" applyFill="1" applyBorder="1" applyProtection="1">
      <protection hidden="1"/>
    </xf>
    <xf numFmtId="0" fontId="3" fillId="0" borderId="0" xfId="1" applyAlignment="1">
      <alignment vertical="center"/>
    </xf>
    <xf numFmtId="0" fontId="31" fillId="6" borderId="36" xfId="1" applyFont="1" applyFill="1" applyBorder="1" applyAlignment="1" applyProtection="1">
      <alignment vertical="top"/>
      <protection hidden="1"/>
    </xf>
    <xf numFmtId="0" fontId="31" fillId="6" borderId="43" xfId="1" applyFont="1" applyFill="1" applyBorder="1" applyAlignment="1" applyProtection="1">
      <alignment vertical="top"/>
      <protection hidden="1"/>
    </xf>
    <xf numFmtId="0" fontId="31" fillId="6" borderId="31" xfId="1" applyFont="1" applyFill="1" applyBorder="1" applyAlignment="1" applyProtection="1">
      <alignment vertical="top"/>
      <protection hidden="1"/>
    </xf>
    <xf numFmtId="0" fontId="31" fillId="6" borderId="44" xfId="1" applyFont="1" applyFill="1" applyBorder="1" applyAlignment="1" applyProtection="1">
      <alignment vertical="top"/>
      <protection hidden="1"/>
    </xf>
    <xf numFmtId="0" fontId="13" fillId="0" borderId="16" xfId="1" applyFont="1" applyBorder="1" applyAlignment="1" applyProtection="1">
      <alignment vertical="center"/>
      <protection hidden="1"/>
    </xf>
    <xf numFmtId="0" fontId="13" fillId="0" borderId="3" xfId="1" applyFont="1" applyBorder="1" applyAlignment="1" applyProtection="1">
      <alignment vertical="center"/>
      <protection hidden="1"/>
    </xf>
    <xf numFmtId="0" fontId="3" fillId="0" borderId="12" xfId="1" applyBorder="1" applyProtection="1">
      <protection hidden="1"/>
    </xf>
    <xf numFmtId="0" fontId="13" fillId="6" borderId="36" xfId="1" applyFont="1" applyFill="1" applyBorder="1" applyProtection="1">
      <protection hidden="1"/>
    </xf>
    <xf numFmtId="0" fontId="32" fillId="6" borderId="47" xfId="1" applyFont="1" applyFill="1" applyBorder="1" applyAlignment="1" applyProtection="1">
      <alignment vertical="top"/>
      <protection hidden="1"/>
    </xf>
    <xf numFmtId="0" fontId="32" fillId="6" borderId="41" xfId="1" applyFont="1" applyFill="1" applyBorder="1" applyAlignment="1" applyProtection="1">
      <alignment vertical="top"/>
      <protection hidden="1"/>
    </xf>
    <xf numFmtId="0" fontId="32" fillId="6" borderId="42" xfId="1" applyFont="1" applyFill="1" applyBorder="1" applyAlignment="1" applyProtection="1">
      <alignment vertical="top"/>
      <protection hidden="1"/>
    </xf>
    <xf numFmtId="0" fontId="25" fillId="0" borderId="0" xfId="1" applyFont="1" applyAlignment="1">
      <alignment vertical="center" textRotation="90"/>
    </xf>
    <xf numFmtId="0" fontId="31" fillId="6" borderId="20" xfId="1" applyFont="1" applyFill="1" applyBorder="1" applyAlignment="1" applyProtection="1">
      <alignment vertical="top"/>
      <protection hidden="1"/>
    </xf>
    <xf numFmtId="0" fontId="32" fillId="0" borderId="0" xfId="1" applyFont="1" applyAlignment="1">
      <alignment horizontal="center" vertical="center"/>
    </xf>
    <xf numFmtId="0" fontId="31" fillId="6" borderId="48" xfId="1" applyFont="1" applyFill="1" applyBorder="1" applyAlignment="1" applyProtection="1">
      <alignment vertical="top"/>
      <protection hidden="1"/>
    </xf>
    <xf numFmtId="0" fontId="3" fillId="0" borderId="0" xfId="1" applyAlignment="1">
      <alignment horizontal="center" vertical="center"/>
    </xf>
    <xf numFmtId="2" fontId="3" fillId="0" borderId="0" xfId="1" applyNumberFormat="1" applyAlignment="1">
      <alignment horizontal="center" vertical="center"/>
    </xf>
    <xf numFmtId="2" fontId="5" fillId="0" borderId="0" xfId="4" applyNumberFormat="1" applyAlignment="1">
      <alignment horizontal="center" vertical="center"/>
    </xf>
    <xf numFmtId="0" fontId="1" fillId="6" borderId="36" xfId="1" applyFont="1" applyFill="1" applyBorder="1" applyAlignment="1" applyProtection="1">
      <alignment horizontal="center"/>
      <protection hidden="1"/>
    </xf>
    <xf numFmtId="0" fontId="1" fillId="6" borderId="32" xfId="1" applyFont="1" applyFill="1" applyBorder="1" applyAlignment="1" applyProtection="1">
      <alignment horizontal="center"/>
      <protection hidden="1"/>
    </xf>
    <xf numFmtId="0" fontId="34" fillId="6" borderId="43" xfId="1" applyFont="1" applyFill="1" applyBorder="1" applyProtection="1">
      <protection hidden="1"/>
    </xf>
    <xf numFmtId="0" fontId="34" fillId="6" borderId="31" xfId="1" applyFont="1" applyFill="1" applyBorder="1" applyProtection="1">
      <protection hidden="1"/>
    </xf>
    <xf numFmtId="0" fontId="34" fillId="6" borderId="44" xfId="1" applyFont="1" applyFill="1" applyBorder="1" applyProtection="1">
      <protection hidden="1"/>
    </xf>
    <xf numFmtId="0" fontId="13" fillId="6" borderId="6" xfId="1" applyFont="1" applyFill="1" applyBorder="1" applyAlignment="1" applyProtection="1">
      <alignment vertical="center"/>
      <protection locked="0"/>
    </xf>
    <xf numFmtId="0" fontId="9" fillId="0" borderId="51" xfId="1" applyFont="1" applyBorder="1" applyAlignment="1">
      <alignment horizontal="center" vertical="top" wrapText="1"/>
    </xf>
    <xf numFmtId="164" fontId="12" fillId="0" borderId="51" xfId="1" applyNumberFormat="1" applyFont="1" applyBorder="1" applyAlignment="1">
      <alignment horizontal="center" vertical="center" shrinkToFit="1"/>
    </xf>
    <xf numFmtId="164" fontId="12" fillId="0" borderId="52" xfId="1" applyNumberFormat="1" applyFont="1" applyBorder="1" applyAlignment="1">
      <alignment horizontal="center" vertical="center" shrinkToFit="1"/>
    </xf>
    <xf numFmtId="0" fontId="13" fillId="0" borderId="8" xfId="0" applyFont="1" applyBorder="1" applyProtection="1">
      <protection hidden="1"/>
    </xf>
    <xf numFmtId="0" fontId="3" fillId="10" borderId="1" xfId="0" applyFont="1" applyFill="1" applyBorder="1"/>
    <xf numFmtId="0" fontId="13" fillId="2" borderId="0" xfId="1" applyFont="1" applyFill="1" applyAlignment="1" applyProtection="1">
      <alignment vertical="center"/>
      <protection hidden="1"/>
    </xf>
    <xf numFmtId="0" fontId="13" fillId="2" borderId="0" xfId="1" applyFont="1" applyFill="1" applyAlignment="1" applyProtection="1">
      <alignment horizontal="right" vertical="center"/>
      <protection hidden="1"/>
    </xf>
    <xf numFmtId="0" fontId="13" fillId="6" borderId="0" xfId="1" applyFont="1" applyFill="1" applyAlignment="1">
      <alignment horizontal="right" vertical="center"/>
    </xf>
    <xf numFmtId="0" fontId="13" fillId="6" borderId="0" xfId="1" applyFont="1" applyFill="1" applyAlignment="1">
      <alignment horizontal="right" vertical="center" shrinkToFit="1"/>
    </xf>
    <xf numFmtId="0" fontId="13" fillId="6" borderId="16" xfId="1" applyFont="1" applyFill="1" applyBorder="1" applyAlignment="1">
      <alignment vertical="center" shrinkToFit="1"/>
    </xf>
    <xf numFmtId="0" fontId="13" fillId="6" borderId="16" xfId="1" applyFont="1" applyFill="1" applyBorder="1" applyAlignment="1">
      <alignment horizontal="right" vertical="center"/>
    </xf>
    <xf numFmtId="0" fontId="13" fillId="6" borderId="17" xfId="1" applyFont="1" applyFill="1" applyBorder="1" applyAlignment="1">
      <alignment vertical="center" shrinkToFit="1"/>
    </xf>
    <xf numFmtId="2" fontId="13" fillId="6" borderId="18" xfId="1" applyNumberFormat="1" applyFont="1" applyFill="1" applyBorder="1" applyAlignment="1" applyProtection="1">
      <alignment vertical="center"/>
      <protection hidden="1"/>
    </xf>
    <xf numFmtId="0" fontId="1" fillId="6" borderId="0" xfId="1" applyFont="1" applyFill="1" applyAlignment="1">
      <alignment vertical="center"/>
    </xf>
    <xf numFmtId="0" fontId="1" fillId="6" borderId="0" xfId="1" applyFont="1" applyFill="1" applyAlignment="1">
      <alignment horizontal="right" vertical="center"/>
    </xf>
    <xf numFmtId="0" fontId="13" fillId="6" borderId="6" xfId="0" applyFont="1" applyFill="1" applyBorder="1" applyAlignment="1">
      <alignment wrapText="1"/>
    </xf>
    <xf numFmtId="0" fontId="13" fillId="6" borderId="0" xfId="0" applyFont="1" applyFill="1" applyAlignment="1">
      <alignment wrapText="1"/>
    </xf>
    <xf numFmtId="0" fontId="13" fillId="6" borderId="5" xfId="0" applyFont="1" applyFill="1" applyBorder="1" applyAlignment="1">
      <alignment horizontal="left" vertical="center"/>
    </xf>
    <xf numFmtId="0" fontId="13" fillId="6" borderId="74" xfId="0" applyFont="1" applyFill="1" applyBorder="1" applyAlignment="1">
      <alignment horizontal="right" vertical="center"/>
    </xf>
    <xf numFmtId="0" fontId="13" fillId="6" borderId="8" xfId="0" applyFont="1" applyFill="1" applyBorder="1"/>
    <xf numFmtId="0" fontId="1" fillId="6" borderId="26" xfId="0" applyFont="1" applyFill="1" applyBorder="1" applyAlignment="1">
      <alignment vertical="center"/>
    </xf>
    <xf numFmtId="0" fontId="1" fillId="6" borderId="27" xfId="0" applyFont="1" applyFill="1" applyBorder="1" applyAlignment="1">
      <alignment vertical="center"/>
    </xf>
    <xf numFmtId="0" fontId="3" fillId="0" borderId="1" xfId="0" applyFont="1" applyBorder="1"/>
    <xf numFmtId="0" fontId="45" fillId="2" borderId="8" xfId="0" applyFont="1" applyFill="1" applyBorder="1" applyAlignment="1">
      <alignment horizontal="center" vertical="center"/>
    </xf>
    <xf numFmtId="0" fontId="45" fillId="2" borderId="0" xfId="0" applyFont="1" applyFill="1" applyAlignment="1">
      <alignment horizontal="center" vertical="center"/>
    </xf>
    <xf numFmtId="0" fontId="45" fillId="2" borderId="12" xfId="0" applyFont="1" applyFill="1" applyBorder="1" applyAlignment="1">
      <alignment horizontal="center" vertical="center"/>
    </xf>
    <xf numFmtId="0" fontId="16" fillId="0" borderId="0" xfId="1" applyFont="1" applyAlignment="1" applyProtection="1">
      <alignment horizontal="right" vertical="center"/>
      <protection hidden="1"/>
    </xf>
    <xf numFmtId="0" fontId="13" fillId="7" borderId="0" xfId="1" applyFont="1" applyFill="1" applyAlignment="1" applyProtection="1">
      <alignment vertical="center"/>
      <protection hidden="1"/>
    </xf>
    <xf numFmtId="0" fontId="18" fillId="0" borderId="0" xfId="1" applyFont="1" applyAlignment="1" applyProtection="1">
      <alignment horizontal="center" vertical="center" textRotation="90"/>
      <protection hidden="1"/>
    </xf>
    <xf numFmtId="0" fontId="13" fillId="0" borderId="0" xfId="1" applyFont="1" applyAlignment="1" applyProtection="1">
      <alignment horizontal="center" vertical="center"/>
      <protection hidden="1"/>
    </xf>
    <xf numFmtId="0" fontId="2" fillId="7" borderId="0" xfId="1" applyFont="1" applyFill="1" applyAlignment="1" applyProtection="1">
      <alignment horizontal="center" vertical="center"/>
      <protection hidden="1"/>
    </xf>
    <xf numFmtId="0" fontId="13" fillId="0" borderId="0" xfId="0" applyFont="1" applyProtection="1"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right" vertical="center"/>
      <protection hidden="1"/>
    </xf>
    <xf numFmtId="2" fontId="13" fillId="0" borderId="0" xfId="0" applyNumberFormat="1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/>
      <protection hidden="1"/>
    </xf>
    <xf numFmtId="2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right"/>
      <protection hidden="1"/>
    </xf>
    <xf numFmtId="0" fontId="13" fillId="0" borderId="0" xfId="0" applyFont="1" applyAlignment="1">
      <alignment horizontal="center" vertical="center"/>
    </xf>
    <xf numFmtId="0" fontId="33" fillId="6" borderId="0" xfId="1" applyFont="1" applyFill="1" applyProtection="1">
      <protection hidden="1"/>
    </xf>
    <xf numFmtId="0" fontId="13" fillId="6" borderId="0" xfId="1" applyFont="1" applyFill="1" applyProtection="1">
      <protection hidden="1"/>
    </xf>
    <xf numFmtId="0" fontId="33" fillId="6" borderId="0" xfId="1" applyFont="1" applyFill="1" applyAlignment="1" applyProtection="1">
      <alignment horizontal="center"/>
      <protection hidden="1"/>
    </xf>
    <xf numFmtId="0" fontId="13" fillId="6" borderId="0" xfId="1" applyFont="1" applyFill="1" applyAlignment="1" applyProtection="1">
      <alignment vertical="top"/>
      <protection hidden="1"/>
    </xf>
    <xf numFmtId="0" fontId="32" fillId="6" borderId="0" xfId="1" applyFont="1" applyFill="1" applyAlignment="1" applyProtection="1">
      <alignment vertical="top"/>
      <protection hidden="1"/>
    </xf>
    <xf numFmtId="0" fontId="17" fillId="0" borderId="0" xfId="1" applyFont="1" applyAlignment="1" applyProtection="1">
      <alignment vertical="center"/>
      <protection hidden="1"/>
    </xf>
    <xf numFmtId="0" fontId="31" fillId="6" borderId="0" xfId="1" applyFont="1" applyFill="1" applyAlignment="1" applyProtection="1">
      <alignment vertical="top"/>
      <protection hidden="1"/>
    </xf>
    <xf numFmtId="0" fontId="34" fillId="6" borderId="0" xfId="1" applyFont="1" applyFill="1" applyProtection="1">
      <protection hidden="1"/>
    </xf>
    <xf numFmtId="0" fontId="34" fillId="6" borderId="0" xfId="1" applyFont="1" applyFill="1" applyAlignment="1" applyProtection="1">
      <alignment horizontal="center"/>
      <protection hidden="1"/>
    </xf>
    <xf numFmtId="0" fontId="1" fillId="6" borderId="0" xfId="1" applyFont="1" applyFill="1" applyAlignment="1" applyProtection="1">
      <alignment horizontal="center"/>
      <protection hidden="1"/>
    </xf>
    <xf numFmtId="0" fontId="0" fillId="6" borderId="0" xfId="1" applyFont="1" applyFill="1" applyAlignment="1">
      <alignment horizontal="right" vertical="center"/>
    </xf>
    <xf numFmtId="0" fontId="0" fillId="6" borderId="27" xfId="1" applyFont="1" applyFill="1" applyBorder="1" applyAlignment="1">
      <alignment horizontal="right" vertical="center"/>
    </xf>
    <xf numFmtId="0" fontId="0" fillId="6" borderId="25" xfId="1" applyFont="1" applyFill="1" applyBorder="1" applyAlignment="1">
      <alignment horizontal="right" vertical="center"/>
    </xf>
    <xf numFmtId="0" fontId="8" fillId="0" borderId="0" xfId="1" applyFont="1" applyAlignment="1">
      <alignment vertical="center"/>
    </xf>
    <xf numFmtId="0" fontId="13" fillId="2" borderId="5" xfId="1" applyFont="1" applyFill="1" applyBorder="1" applyAlignment="1" applyProtection="1">
      <alignment vertical="center"/>
      <protection hidden="1"/>
    </xf>
    <xf numFmtId="9" fontId="3" fillId="0" borderId="4" xfId="1" applyNumberFormat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top" shrinkToFit="1"/>
    </xf>
    <xf numFmtId="2" fontId="21" fillId="0" borderId="4" xfId="1" applyNumberFormat="1" applyFont="1" applyBorder="1" applyAlignment="1">
      <alignment horizontal="center" vertical="center"/>
    </xf>
    <xf numFmtId="1" fontId="12" fillId="0" borderId="86" xfId="1" applyNumberFormat="1" applyFont="1" applyBorder="1" applyAlignment="1">
      <alignment horizontal="center" vertical="center" shrinkToFit="1"/>
    </xf>
    <xf numFmtId="1" fontId="12" fillId="0" borderId="24" xfId="1" applyNumberFormat="1" applyFont="1" applyBorder="1" applyAlignment="1">
      <alignment horizontal="center" vertical="center" shrinkToFit="1"/>
    </xf>
    <xf numFmtId="0" fontId="37" fillId="0" borderId="0" xfId="2" applyNumberFormat="1" applyFont="1" applyAlignment="1">
      <alignment vertical="center"/>
    </xf>
    <xf numFmtId="0" fontId="37" fillId="0" borderId="12" xfId="2" applyNumberFormat="1" applyFont="1" applyBorder="1" applyAlignment="1">
      <alignment vertical="center"/>
    </xf>
    <xf numFmtId="0" fontId="13" fillId="0" borderId="0" xfId="1" applyFont="1" applyProtection="1">
      <protection hidden="1"/>
    </xf>
    <xf numFmtId="0" fontId="13" fillId="2" borderId="0" xfId="0" applyFont="1" applyFill="1" applyProtection="1">
      <protection hidden="1"/>
    </xf>
    <xf numFmtId="0" fontId="47" fillId="0" borderId="0" xfId="1" applyFont="1" applyProtection="1">
      <protection hidden="1"/>
    </xf>
    <xf numFmtId="0" fontId="47" fillId="0" borderId="8" xfId="1" applyFont="1" applyBorder="1" applyProtection="1">
      <protection hidden="1"/>
    </xf>
    <xf numFmtId="0" fontId="47" fillId="6" borderId="46" xfId="1" applyFont="1" applyFill="1" applyBorder="1" applyProtection="1">
      <protection hidden="1"/>
    </xf>
    <xf numFmtId="0" fontId="47" fillId="6" borderId="0" xfId="1" applyFont="1" applyFill="1" applyProtection="1">
      <protection hidden="1"/>
    </xf>
    <xf numFmtId="0" fontId="47" fillId="6" borderId="32" xfId="1" applyFont="1" applyFill="1" applyBorder="1" applyProtection="1">
      <protection hidden="1"/>
    </xf>
    <xf numFmtId="0" fontId="47" fillId="0" borderId="16" xfId="1" applyFont="1" applyBorder="1" applyProtection="1">
      <protection hidden="1"/>
    </xf>
    <xf numFmtId="0" fontId="47" fillId="0" borderId="17" xfId="1" applyFont="1" applyBorder="1" applyProtection="1">
      <protection hidden="1"/>
    </xf>
    <xf numFmtId="0" fontId="47" fillId="0" borderId="12" xfId="1" applyFont="1" applyBorder="1" applyProtection="1">
      <protection hidden="1"/>
    </xf>
    <xf numFmtId="0" fontId="47" fillId="0" borderId="18" xfId="1" applyFont="1" applyBorder="1" applyProtection="1">
      <protection hidden="1"/>
    </xf>
    <xf numFmtId="0" fontId="3" fillId="2" borderId="0" xfId="6" applyFont="1" applyFill="1" applyAlignment="1">
      <alignment vertical="center"/>
    </xf>
    <xf numFmtId="0" fontId="3" fillId="13" borderId="0" xfId="6" applyFont="1" applyFill="1" applyAlignment="1">
      <alignment vertical="center"/>
    </xf>
    <xf numFmtId="0" fontId="54" fillId="13" borderId="0" xfId="6" applyFont="1" applyFill="1" applyAlignment="1">
      <alignment vertical="center" wrapText="1"/>
    </xf>
    <xf numFmtId="0" fontId="56" fillId="13" borderId="0" xfId="6" applyFont="1" applyFill="1" applyAlignment="1">
      <alignment horizontal="center" vertical="center"/>
    </xf>
    <xf numFmtId="0" fontId="56" fillId="2" borderId="0" xfId="6" applyFont="1" applyFill="1" applyAlignment="1">
      <alignment horizontal="center" vertical="center"/>
    </xf>
    <xf numFmtId="0" fontId="9" fillId="2" borderId="0" xfId="6" applyFont="1" applyFill="1" applyAlignment="1">
      <alignment horizontal="center" vertical="center"/>
    </xf>
    <xf numFmtId="0" fontId="3" fillId="2" borderId="0" xfId="6" applyFont="1" applyFill="1" applyAlignment="1">
      <alignment horizontal="left" vertical="center" indent="1"/>
    </xf>
    <xf numFmtId="2" fontId="58" fillId="2" borderId="0" xfId="6" applyNumberFormat="1" applyFont="1" applyFill="1" applyAlignment="1">
      <alignment horizontal="left" vertical="center"/>
    </xf>
    <xf numFmtId="0" fontId="3" fillId="2" borderId="0" xfId="6" applyFont="1" applyFill="1" applyAlignment="1">
      <alignment horizontal="left" vertical="center"/>
    </xf>
    <xf numFmtId="0" fontId="53" fillId="0" borderId="0" xfId="6" applyAlignment="1">
      <alignment horizontal="left" vertical="center"/>
    </xf>
    <xf numFmtId="2" fontId="58" fillId="2" borderId="0" xfId="6" applyNumberFormat="1" applyFont="1" applyFill="1" applyAlignment="1" applyProtection="1">
      <alignment horizontal="left" vertical="center"/>
      <protection locked="0"/>
    </xf>
    <xf numFmtId="2" fontId="3" fillId="2" borderId="0" xfId="6" applyNumberFormat="1" applyFont="1" applyFill="1" applyAlignment="1" applyProtection="1">
      <alignment horizontal="left" vertical="center"/>
      <protection locked="0"/>
    </xf>
    <xf numFmtId="0" fontId="29" fillId="2" borderId="0" xfId="6" applyFont="1" applyFill="1" applyAlignment="1">
      <alignment horizontal="left" vertical="center"/>
    </xf>
    <xf numFmtId="0" fontId="59" fillId="2" borderId="0" xfId="6" applyFont="1" applyFill="1" applyAlignment="1">
      <alignment horizontal="left" vertical="center"/>
    </xf>
    <xf numFmtId="2" fontId="29" fillId="2" borderId="0" xfId="6" applyNumberFormat="1" applyFont="1" applyFill="1" applyAlignment="1" applyProtection="1">
      <alignment horizontal="left" vertical="center"/>
      <protection locked="0"/>
    </xf>
    <xf numFmtId="0" fontId="53" fillId="0" borderId="0" xfId="6" applyAlignment="1">
      <alignment horizontal="left" vertical="center" indent="1"/>
    </xf>
    <xf numFmtId="0" fontId="59" fillId="2" borderId="0" xfId="6" applyFont="1" applyFill="1" applyAlignment="1" applyProtection="1">
      <alignment horizontal="left" vertical="center"/>
      <protection locked="0"/>
    </xf>
    <xf numFmtId="0" fontId="53" fillId="13" borderId="0" xfId="6" applyFill="1" applyAlignment="1">
      <alignment horizontal="left" vertical="center"/>
    </xf>
    <xf numFmtId="165" fontId="3" fillId="2" borderId="0" xfId="6" applyNumberFormat="1" applyFont="1" applyFill="1" applyAlignment="1" applyProtection="1">
      <alignment horizontal="right" vertical="center"/>
      <protection locked="0"/>
    </xf>
    <xf numFmtId="165" fontId="3" fillId="2" borderId="0" xfId="6" applyNumberFormat="1" applyFont="1" applyFill="1" applyAlignment="1" applyProtection="1">
      <alignment horizontal="right" vertical="center"/>
      <protection hidden="1"/>
    </xf>
    <xf numFmtId="2" fontId="3" fillId="2" borderId="0" xfId="6" applyNumberFormat="1" applyFont="1" applyFill="1" applyAlignment="1" applyProtection="1">
      <alignment horizontal="right" vertical="center"/>
      <protection hidden="1"/>
    </xf>
    <xf numFmtId="0" fontId="3" fillId="2" borderId="0" xfId="6" applyFont="1" applyFill="1" applyAlignment="1">
      <alignment horizontal="right" vertical="center"/>
    </xf>
    <xf numFmtId="0" fontId="3" fillId="13" borderId="0" xfId="6" applyFont="1" applyFill="1" applyAlignment="1">
      <alignment horizontal="right" vertical="center"/>
    </xf>
    <xf numFmtId="0" fontId="3" fillId="2" borderId="0" xfId="6" applyFont="1" applyFill="1" applyAlignment="1">
      <alignment horizontal="center" vertical="center"/>
    </xf>
    <xf numFmtId="165" fontId="62" fillId="2" borderId="0" xfId="6" applyNumberFormat="1" applyFont="1" applyFill="1" applyAlignment="1">
      <alignment horizontal="right" vertical="center"/>
    </xf>
    <xf numFmtId="164" fontId="58" fillId="2" borderId="0" xfId="6" applyNumberFormat="1" applyFont="1" applyFill="1" applyAlignment="1">
      <alignment horizontal="right" vertical="center"/>
    </xf>
    <xf numFmtId="165" fontId="3" fillId="2" borderId="0" xfId="6" applyNumberFormat="1" applyFont="1" applyFill="1" applyAlignment="1">
      <alignment horizontal="right" vertical="center"/>
    </xf>
    <xf numFmtId="165" fontId="51" fillId="12" borderId="0" xfId="5" applyNumberFormat="1" applyBorder="1" applyAlignment="1" applyProtection="1">
      <alignment horizontal="right" vertical="center"/>
      <protection hidden="1"/>
    </xf>
    <xf numFmtId="0" fontId="3" fillId="13" borderId="0" xfId="6" applyFont="1" applyFill="1" applyAlignment="1">
      <alignment horizontal="left" vertical="center"/>
    </xf>
    <xf numFmtId="0" fontId="63" fillId="13" borderId="0" xfId="6" applyFont="1" applyFill="1" applyAlignment="1">
      <alignment vertical="center"/>
    </xf>
    <xf numFmtId="164" fontId="3" fillId="2" borderId="0" xfId="6" applyNumberFormat="1" applyFont="1" applyFill="1" applyAlignment="1">
      <alignment vertical="center"/>
    </xf>
    <xf numFmtId="0" fontId="64" fillId="0" borderId="1" xfId="7" applyFont="1" applyBorder="1" applyAlignment="1">
      <alignment horizontal="center" vertical="center"/>
    </xf>
    <xf numFmtId="0" fontId="68" fillId="0" borderId="1" xfId="7" applyFont="1" applyBorder="1" applyAlignment="1">
      <alignment horizontal="center" vertical="center"/>
    </xf>
    <xf numFmtId="0" fontId="71" fillId="0" borderId="1" xfId="7" applyFont="1" applyBorder="1" applyAlignment="1">
      <alignment horizontal="center" vertical="center"/>
    </xf>
    <xf numFmtId="0" fontId="3" fillId="0" borderId="1" xfId="7" applyBorder="1" applyAlignment="1">
      <alignment horizontal="center" vertical="center"/>
    </xf>
    <xf numFmtId="0" fontId="67" fillId="0" borderId="1" xfId="7" applyFont="1" applyBorder="1" applyAlignment="1">
      <alignment horizontal="center" vertical="center"/>
    </xf>
    <xf numFmtId="0" fontId="67" fillId="0" borderId="1" xfId="7" applyFont="1" applyBorder="1" applyAlignment="1">
      <alignment horizontal="left" vertical="center"/>
    </xf>
    <xf numFmtId="2" fontId="67" fillId="0" borderId="1" xfId="7" applyNumberFormat="1" applyFont="1" applyBorder="1" applyAlignment="1">
      <alignment horizontal="center" vertical="center"/>
    </xf>
    <xf numFmtId="0" fontId="53" fillId="0" borderId="0" xfId="6" applyAlignment="1">
      <alignment horizontal="center" vertical="center"/>
    </xf>
    <xf numFmtId="0" fontId="52" fillId="0" borderId="0" xfId="8"/>
    <xf numFmtId="0" fontId="1" fillId="6" borderId="1" xfId="1" applyFont="1" applyFill="1" applyBorder="1" applyAlignment="1">
      <alignment vertical="center"/>
    </xf>
    <xf numFmtId="0" fontId="0" fillId="6" borderId="1" xfId="1" applyFont="1" applyFill="1" applyBorder="1" applyAlignment="1">
      <alignment horizontal="right" vertical="center"/>
    </xf>
    <xf numFmtId="0" fontId="1" fillId="6" borderId="1" xfId="1" applyFont="1" applyFill="1" applyBorder="1" applyAlignment="1">
      <alignment horizontal="right" vertical="center"/>
    </xf>
    <xf numFmtId="2" fontId="3" fillId="0" borderId="1" xfId="1" applyNumberFormat="1" applyBorder="1" applyAlignment="1">
      <alignment horizontal="center" vertical="center"/>
    </xf>
    <xf numFmtId="164" fontId="72" fillId="3" borderId="15" xfId="1" applyNumberFormat="1" applyFont="1" applyFill="1" applyBorder="1" applyAlignment="1">
      <alignment horizontal="center" vertical="center" shrinkToFit="1"/>
    </xf>
    <xf numFmtId="0" fontId="1" fillId="2" borderId="26" xfId="1" applyFont="1" applyFill="1" applyBorder="1" applyAlignment="1">
      <alignment vertical="center"/>
    </xf>
    <xf numFmtId="0" fontId="0" fillId="2" borderId="27" xfId="1" applyFont="1" applyFill="1" applyBorder="1" applyAlignment="1">
      <alignment horizontal="right" vertical="center"/>
    </xf>
    <xf numFmtId="0" fontId="1" fillId="2" borderId="16" xfId="1" applyFont="1" applyFill="1" applyBorder="1" applyAlignment="1">
      <alignment vertical="center"/>
    </xf>
    <xf numFmtId="0" fontId="0" fillId="2" borderId="17" xfId="1" applyFont="1" applyFill="1" applyBorder="1" applyAlignment="1">
      <alignment horizontal="right" vertical="center"/>
    </xf>
    <xf numFmtId="0" fontId="1" fillId="2" borderId="27" xfId="1" applyFont="1" applyFill="1" applyBorder="1" applyAlignment="1">
      <alignment horizontal="right" vertical="center"/>
    </xf>
    <xf numFmtId="0" fontId="1" fillId="2" borderId="17" xfId="1" applyFont="1" applyFill="1" applyBorder="1" applyAlignment="1">
      <alignment horizontal="right" vertical="center"/>
    </xf>
    <xf numFmtId="0" fontId="0" fillId="0" borderId="1" xfId="0" applyBorder="1"/>
    <xf numFmtId="2" fontId="13" fillId="15" borderId="1" xfId="0" applyNumberFormat="1" applyFont="1" applyFill="1" applyBorder="1" applyAlignment="1" applyProtection="1">
      <alignment horizontal="center" vertical="center"/>
      <protection hidden="1"/>
    </xf>
    <xf numFmtId="0" fontId="3" fillId="2" borderId="0" xfId="6" applyFont="1" applyFill="1" applyAlignment="1">
      <alignment horizontal="left" vertical="center" indent="1"/>
    </xf>
    <xf numFmtId="0" fontId="53" fillId="0" borderId="0" xfId="6" applyAlignment="1">
      <alignment horizontal="left" vertical="center" indent="1"/>
    </xf>
    <xf numFmtId="0" fontId="3" fillId="2" borderId="0" xfId="6" applyFont="1" applyFill="1" applyAlignment="1">
      <alignment horizontal="left" vertical="center"/>
    </xf>
    <xf numFmtId="0" fontId="53" fillId="0" borderId="0" xfId="6" applyAlignment="1">
      <alignment horizontal="left" vertical="center"/>
    </xf>
    <xf numFmtId="0" fontId="55" fillId="9" borderId="0" xfId="6" applyFont="1" applyFill="1" applyAlignment="1">
      <alignment horizontal="center" vertical="center"/>
    </xf>
    <xf numFmtId="0" fontId="57" fillId="2" borderId="0" xfId="6" applyFont="1" applyFill="1" applyAlignment="1">
      <alignment horizontal="left" vertical="center" indent="1"/>
    </xf>
    <xf numFmtId="0" fontId="58" fillId="2" borderId="0" xfId="6" applyFont="1" applyFill="1" applyAlignment="1" applyProtection="1">
      <alignment horizontal="left" vertical="center"/>
      <protection locked="0"/>
    </xf>
    <xf numFmtId="0" fontId="40" fillId="0" borderId="0" xfId="6" applyFont="1" applyAlignment="1">
      <alignment horizontal="left" vertical="center"/>
    </xf>
    <xf numFmtId="0" fontId="60" fillId="13" borderId="0" xfId="6" applyFont="1" applyFill="1" applyAlignment="1">
      <alignment horizontal="center" vertical="center"/>
    </xf>
    <xf numFmtId="0" fontId="3" fillId="2" borderId="0" xfId="6" applyFont="1" applyFill="1" applyAlignment="1">
      <alignment horizontal="center" vertical="center"/>
    </xf>
    <xf numFmtId="0" fontId="3" fillId="0" borderId="17" xfId="6" applyFont="1" applyBorder="1" applyAlignment="1">
      <alignment horizontal="center" vertical="center"/>
    </xf>
    <xf numFmtId="0" fontId="53" fillId="0" borderId="17" xfId="6" applyBorder="1" applyAlignment="1">
      <alignment horizontal="center" vertical="center"/>
    </xf>
    <xf numFmtId="0" fontId="1" fillId="6" borderId="0" xfId="1" applyFont="1" applyFill="1" applyAlignment="1">
      <alignment horizontal="right" vertical="center"/>
    </xf>
    <xf numFmtId="2" fontId="36" fillId="6" borderId="0" xfId="1" applyNumberFormat="1" applyFont="1" applyFill="1" applyAlignment="1" applyProtection="1">
      <alignment horizontal="center" vertical="center"/>
      <protection locked="0"/>
    </xf>
    <xf numFmtId="2" fontId="36" fillId="6" borderId="12" xfId="1" applyNumberFormat="1" applyFont="1" applyFill="1" applyBorder="1" applyAlignment="1" applyProtection="1">
      <alignment horizontal="center" vertical="center"/>
      <protection locked="0"/>
    </xf>
    <xf numFmtId="0" fontId="36" fillId="6" borderId="8" xfId="1" applyFont="1" applyFill="1" applyBorder="1" applyAlignment="1">
      <alignment horizontal="right" vertical="center"/>
    </xf>
    <xf numFmtId="0" fontId="36" fillId="6" borderId="0" xfId="1" applyFont="1" applyFill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40" fillId="0" borderId="4" xfId="1" applyFont="1" applyBorder="1" applyAlignment="1">
      <alignment horizontal="center" vertical="center"/>
    </xf>
    <xf numFmtId="0" fontId="40" fillId="0" borderId="1" xfId="1" applyFont="1" applyBorder="1" applyAlignment="1">
      <alignment horizontal="center" vertical="center"/>
    </xf>
    <xf numFmtId="0" fontId="13" fillId="6" borderId="16" xfId="0" applyFont="1" applyFill="1" applyBorder="1" applyAlignment="1" applyProtection="1">
      <alignment horizontal="center" vertical="center"/>
      <protection hidden="1"/>
    </xf>
    <xf numFmtId="0" fontId="13" fillId="6" borderId="18" xfId="0" applyFont="1" applyFill="1" applyBorder="1" applyAlignment="1" applyProtection="1">
      <alignment horizontal="center" vertical="center"/>
      <protection hidden="1"/>
    </xf>
    <xf numFmtId="2" fontId="18" fillId="6" borderId="1" xfId="0" applyNumberFormat="1" applyFont="1" applyFill="1" applyBorder="1" applyAlignment="1" applyProtection="1">
      <alignment horizontal="center" vertical="center"/>
      <protection hidden="1"/>
    </xf>
    <xf numFmtId="0" fontId="18" fillId="6" borderId="1" xfId="0" applyFont="1" applyFill="1" applyBorder="1" applyAlignment="1" applyProtection="1">
      <alignment horizontal="center" vertical="center"/>
      <protection hidden="1"/>
    </xf>
    <xf numFmtId="2" fontId="13" fillId="6" borderId="2" xfId="0" applyNumberFormat="1" applyFont="1" applyFill="1" applyBorder="1" applyAlignment="1" applyProtection="1">
      <alignment horizontal="center" vertical="center"/>
      <protection hidden="1"/>
    </xf>
    <xf numFmtId="2" fontId="13" fillId="6" borderId="4" xfId="0" applyNumberFormat="1" applyFont="1" applyFill="1" applyBorder="1" applyAlignment="1" applyProtection="1">
      <alignment horizontal="center" vertical="center"/>
      <protection hidden="1"/>
    </xf>
    <xf numFmtId="0" fontId="1" fillId="6" borderId="27" xfId="0" applyFont="1" applyFill="1" applyBorder="1" applyAlignment="1">
      <alignment horizontal="center" vertical="center"/>
    </xf>
    <xf numFmtId="2" fontId="13" fillId="6" borderId="76" xfId="0" applyNumberFormat="1" applyFont="1" applyFill="1" applyBorder="1" applyAlignment="1" applyProtection="1">
      <alignment horizontal="center" vertical="center"/>
      <protection locked="0"/>
    </xf>
    <xf numFmtId="2" fontId="13" fillId="6" borderId="27" xfId="0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 textRotation="90"/>
      <protection hidden="1"/>
    </xf>
    <xf numFmtId="0" fontId="13" fillId="6" borderId="5" xfId="1" applyFont="1" applyFill="1" applyBorder="1" applyAlignment="1">
      <alignment horizontal="right" vertical="center"/>
    </xf>
    <xf numFmtId="0" fontId="13" fillId="6" borderId="6" xfId="1" applyFont="1" applyFill="1" applyBorder="1" applyAlignment="1">
      <alignment horizontal="right" vertical="center"/>
    </xf>
    <xf numFmtId="2" fontId="36" fillId="6" borderId="6" xfId="1" applyNumberFormat="1" applyFont="1" applyFill="1" applyBorder="1" applyAlignment="1">
      <alignment horizontal="center" vertical="center"/>
    </xf>
    <xf numFmtId="0" fontId="36" fillId="6" borderId="6" xfId="1" applyFont="1" applyFill="1" applyBorder="1" applyAlignment="1">
      <alignment horizontal="center" vertical="center"/>
    </xf>
    <xf numFmtId="0" fontId="36" fillId="6" borderId="7" xfId="1" applyFont="1" applyFill="1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3" fillId="0" borderId="5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16" xfId="1" applyBorder="1" applyAlignment="1">
      <alignment horizontal="center"/>
    </xf>
    <xf numFmtId="0" fontId="3" fillId="0" borderId="18" xfId="1" applyBorder="1" applyAlignment="1">
      <alignment horizontal="center"/>
    </xf>
    <xf numFmtId="0" fontId="3" fillId="0" borderId="8" xfId="1" applyBorder="1" applyAlignment="1">
      <alignment horizontal="center" vertical="top" wrapText="1"/>
    </xf>
    <xf numFmtId="0" fontId="3" fillId="0" borderId="0" xfId="1" applyAlignment="1">
      <alignment horizontal="center" vertical="top" wrapText="1"/>
    </xf>
    <xf numFmtId="2" fontId="13" fillId="6" borderId="1" xfId="0" applyNumberFormat="1" applyFont="1" applyFill="1" applyBorder="1" applyAlignment="1" applyProtection="1">
      <alignment horizontal="center" vertical="center"/>
      <protection hidden="1"/>
    </xf>
    <xf numFmtId="0" fontId="13" fillId="6" borderId="1" xfId="1" applyFont="1" applyFill="1" applyBorder="1" applyAlignment="1" applyProtection="1">
      <alignment horizontal="center" vertical="center"/>
      <protection hidden="1"/>
    </xf>
    <xf numFmtId="0" fontId="36" fillId="6" borderId="2" xfId="1" applyFont="1" applyFill="1" applyBorder="1" applyAlignment="1" applyProtection="1">
      <alignment horizontal="center" vertical="center"/>
      <protection hidden="1"/>
    </xf>
    <xf numFmtId="0" fontId="36" fillId="6" borderId="4" xfId="1" applyFont="1" applyFill="1" applyBorder="1" applyAlignment="1" applyProtection="1">
      <alignment horizontal="center" vertical="center"/>
      <protection hidden="1"/>
    </xf>
    <xf numFmtId="0" fontId="13" fillId="6" borderId="2" xfId="1" applyFont="1" applyFill="1" applyBorder="1" applyAlignment="1" applyProtection="1">
      <alignment horizontal="center" vertical="center"/>
      <protection hidden="1"/>
    </xf>
    <xf numFmtId="0" fontId="13" fillId="6" borderId="3" xfId="1" applyFont="1" applyFill="1" applyBorder="1" applyAlignment="1" applyProtection="1">
      <alignment horizontal="center" vertical="center"/>
      <protection hidden="1"/>
    </xf>
    <xf numFmtId="0" fontId="13" fillId="6" borderId="4" xfId="1" applyFont="1" applyFill="1" applyBorder="1" applyAlignment="1" applyProtection="1">
      <alignment horizontal="center" vertical="center"/>
      <protection hidden="1"/>
    </xf>
    <xf numFmtId="2" fontId="13" fillId="6" borderId="2" xfId="1" applyNumberFormat="1" applyFont="1" applyFill="1" applyBorder="1" applyAlignment="1" applyProtection="1">
      <alignment horizontal="center" vertical="center"/>
      <protection hidden="1"/>
    </xf>
    <xf numFmtId="2" fontId="13" fillId="6" borderId="4" xfId="1" applyNumberFormat="1" applyFont="1" applyFill="1" applyBorder="1" applyAlignment="1" applyProtection="1">
      <alignment horizontal="center" vertical="center"/>
      <protection hidden="1"/>
    </xf>
    <xf numFmtId="2" fontId="13" fillId="6" borderId="2" xfId="1" applyNumberFormat="1" applyFont="1" applyFill="1" applyBorder="1" applyAlignment="1">
      <alignment horizontal="center" vertical="center" shrinkToFit="1"/>
    </xf>
    <xf numFmtId="2" fontId="13" fillId="6" borderId="4" xfId="1" applyNumberFormat="1" applyFont="1" applyFill="1" applyBorder="1" applyAlignment="1">
      <alignment horizontal="center" vertical="center" shrinkToFit="1"/>
    </xf>
    <xf numFmtId="2" fontId="13" fillId="6" borderId="1" xfId="1" applyNumberFormat="1" applyFont="1" applyFill="1" applyBorder="1" applyAlignment="1" applyProtection="1">
      <alignment horizontal="center" vertical="center"/>
      <protection hidden="1"/>
    </xf>
    <xf numFmtId="2" fontId="13" fillId="6" borderId="1" xfId="1" applyNumberFormat="1" applyFont="1" applyFill="1" applyBorder="1" applyAlignment="1">
      <alignment horizontal="center" vertical="center" shrinkToFit="1"/>
    </xf>
    <xf numFmtId="0" fontId="13" fillId="6" borderId="1" xfId="0" applyFont="1" applyFill="1" applyBorder="1" applyAlignment="1" applyProtection="1">
      <alignment horizontal="center" vertical="center"/>
      <protection hidden="1"/>
    </xf>
    <xf numFmtId="0" fontId="13" fillId="6" borderId="1" xfId="1" applyFont="1" applyFill="1" applyBorder="1" applyAlignment="1" applyProtection="1">
      <alignment horizontal="center" vertical="center" wrapText="1"/>
      <protection hidden="1"/>
    </xf>
    <xf numFmtId="0" fontId="17" fillId="6" borderId="2" xfId="1" applyFont="1" applyFill="1" applyBorder="1" applyAlignment="1">
      <alignment horizontal="center" vertical="center"/>
    </xf>
    <xf numFmtId="0" fontId="17" fillId="6" borderId="3" xfId="1" applyFont="1" applyFill="1" applyBorder="1" applyAlignment="1">
      <alignment horizontal="center" vertical="center"/>
    </xf>
    <xf numFmtId="0" fontId="17" fillId="6" borderId="4" xfId="1" applyFont="1" applyFill="1" applyBorder="1" applyAlignment="1">
      <alignment horizontal="center" vertical="center"/>
    </xf>
    <xf numFmtId="0" fontId="17" fillId="6" borderId="65" xfId="0" applyFont="1" applyFill="1" applyBorder="1" applyAlignment="1">
      <alignment horizontal="center" vertical="center" wrapText="1"/>
    </xf>
    <xf numFmtId="0" fontId="17" fillId="6" borderId="66" xfId="0" applyFont="1" applyFill="1" applyBorder="1" applyAlignment="1">
      <alignment horizontal="center" vertical="center" wrapText="1"/>
    </xf>
    <xf numFmtId="0" fontId="17" fillId="6" borderId="67" xfId="0" applyFont="1" applyFill="1" applyBorder="1" applyAlignment="1">
      <alignment horizontal="center" vertical="center" wrapText="1"/>
    </xf>
    <xf numFmtId="0" fontId="1" fillId="6" borderId="1" xfId="1" applyFont="1" applyFill="1" applyBorder="1" applyAlignment="1">
      <alignment horizontal="center" vertical="center" wrapText="1"/>
    </xf>
    <xf numFmtId="0" fontId="1" fillId="6" borderId="5" xfId="1" applyFont="1" applyFill="1" applyBorder="1" applyAlignment="1">
      <alignment horizontal="center" vertical="center" wrapText="1"/>
    </xf>
    <xf numFmtId="0" fontId="1" fillId="6" borderId="7" xfId="1" applyFont="1" applyFill="1" applyBorder="1" applyAlignment="1">
      <alignment horizontal="center" vertical="center" wrapText="1"/>
    </xf>
    <xf numFmtId="0" fontId="1" fillId="6" borderId="16" xfId="1" applyFont="1" applyFill="1" applyBorder="1" applyAlignment="1">
      <alignment horizontal="center" vertical="center" wrapText="1"/>
    </xf>
    <xf numFmtId="0" fontId="1" fillId="6" borderId="18" xfId="1" applyFont="1" applyFill="1" applyBorder="1" applyAlignment="1">
      <alignment horizontal="center" vertical="center" wrapText="1"/>
    </xf>
    <xf numFmtId="2" fontId="13" fillId="6" borderId="27" xfId="1" applyNumberFormat="1" applyFont="1" applyFill="1" applyBorder="1" applyAlignment="1">
      <alignment horizontal="center" vertical="center" shrinkToFit="1"/>
    </xf>
    <xf numFmtId="2" fontId="13" fillId="6" borderId="28" xfId="1" applyNumberFormat="1" applyFont="1" applyFill="1" applyBorder="1" applyAlignment="1">
      <alignment horizontal="center" vertical="center" shrinkToFit="1"/>
    </xf>
    <xf numFmtId="2" fontId="13" fillId="6" borderId="25" xfId="1" applyNumberFormat="1" applyFont="1" applyFill="1" applyBorder="1" applyAlignment="1">
      <alignment horizontal="center" vertical="center" shrinkToFit="1"/>
    </xf>
    <xf numFmtId="2" fontId="13" fillId="6" borderId="30" xfId="1" applyNumberFormat="1" applyFont="1" applyFill="1" applyBorder="1" applyAlignment="1">
      <alignment horizontal="center" vertical="center" shrinkToFit="1"/>
    </xf>
    <xf numFmtId="2" fontId="39" fillId="6" borderId="27" xfId="1" applyNumberFormat="1" applyFont="1" applyFill="1" applyBorder="1" applyAlignment="1">
      <alignment horizontal="center" vertical="center" shrinkToFit="1"/>
    </xf>
    <xf numFmtId="2" fontId="39" fillId="6" borderId="28" xfId="1" applyNumberFormat="1" applyFont="1" applyFill="1" applyBorder="1" applyAlignment="1">
      <alignment horizontal="center" vertical="center" shrinkToFit="1"/>
    </xf>
    <xf numFmtId="0" fontId="1" fillId="6" borderId="68" xfId="1" applyFont="1" applyFill="1" applyBorder="1" applyAlignment="1">
      <alignment horizontal="center" vertical="center"/>
    </xf>
    <xf numFmtId="0" fontId="1" fillId="6" borderId="69" xfId="1" applyFont="1" applyFill="1" applyBorder="1" applyAlignment="1">
      <alignment horizontal="center" vertical="center"/>
    </xf>
    <xf numFmtId="0" fontId="1" fillId="6" borderId="70" xfId="1" applyFont="1" applyFill="1" applyBorder="1" applyAlignment="1">
      <alignment horizontal="center" vertical="center"/>
    </xf>
    <xf numFmtId="2" fontId="13" fillId="6" borderId="8" xfId="1" applyNumberFormat="1" applyFont="1" applyFill="1" applyBorder="1" applyAlignment="1">
      <alignment horizontal="center" vertical="center" shrinkToFit="1"/>
    </xf>
    <xf numFmtId="2" fontId="13" fillId="6" borderId="0" xfId="1" applyNumberFormat="1" applyFont="1" applyFill="1" applyAlignment="1">
      <alignment horizontal="center" vertical="center" shrinkToFit="1"/>
    </xf>
    <xf numFmtId="2" fontId="13" fillId="6" borderId="12" xfId="1" applyNumberFormat="1" applyFont="1" applyFill="1" applyBorder="1" applyAlignment="1">
      <alignment horizontal="center" vertical="center" shrinkToFit="1"/>
    </xf>
    <xf numFmtId="2" fontId="13" fillId="6" borderId="26" xfId="1" applyNumberFormat="1" applyFont="1" applyFill="1" applyBorder="1" applyAlignment="1">
      <alignment horizontal="center" vertical="center" shrinkToFit="1"/>
    </xf>
    <xf numFmtId="2" fontId="13" fillId="6" borderId="29" xfId="1" applyNumberFormat="1" applyFont="1" applyFill="1" applyBorder="1" applyAlignment="1">
      <alignment horizontal="center" vertical="center" shrinkToFit="1"/>
    </xf>
    <xf numFmtId="2" fontId="32" fillId="6" borderId="17" xfId="1" applyNumberFormat="1" applyFont="1" applyFill="1" applyBorder="1" applyAlignment="1">
      <alignment horizontal="center" vertical="center" shrinkToFit="1"/>
    </xf>
    <xf numFmtId="2" fontId="32" fillId="6" borderId="18" xfId="1" applyNumberFormat="1" applyFont="1" applyFill="1" applyBorder="1" applyAlignment="1">
      <alignment horizontal="center" vertical="center" shrinkToFit="1"/>
    </xf>
    <xf numFmtId="2" fontId="32" fillId="6" borderId="16" xfId="1" applyNumberFormat="1" applyFont="1" applyFill="1" applyBorder="1" applyAlignment="1">
      <alignment horizontal="center" vertical="center" shrinkToFit="1"/>
    </xf>
    <xf numFmtId="2" fontId="39" fillId="6" borderId="26" xfId="1" applyNumberFormat="1" applyFont="1" applyFill="1" applyBorder="1" applyAlignment="1">
      <alignment horizontal="center" vertical="center" shrinkToFit="1"/>
    </xf>
    <xf numFmtId="0" fontId="47" fillId="6" borderId="1" xfId="1" applyFont="1" applyFill="1" applyBorder="1" applyAlignment="1" applyProtection="1">
      <alignment horizontal="center"/>
      <protection hidden="1"/>
    </xf>
    <xf numFmtId="2" fontId="39" fillId="6" borderId="1" xfId="1" applyNumberFormat="1" applyFont="1" applyFill="1" applyBorder="1" applyAlignment="1">
      <alignment horizontal="center" vertical="center" shrinkToFit="1"/>
    </xf>
    <xf numFmtId="0" fontId="17" fillId="6" borderId="1" xfId="0" applyFont="1" applyFill="1" applyBorder="1" applyAlignment="1" applyProtection="1">
      <alignment horizontal="center" vertical="center" wrapText="1"/>
      <protection hidden="1"/>
    </xf>
    <xf numFmtId="2" fontId="32" fillId="6" borderId="17" xfId="1" applyNumberFormat="1" applyFont="1" applyFill="1" applyBorder="1" applyAlignment="1" applyProtection="1">
      <alignment horizontal="center"/>
      <protection hidden="1"/>
    </xf>
    <xf numFmtId="0" fontId="47" fillId="0" borderId="36" xfId="1" applyFont="1" applyBorder="1" applyAlignment="1" applyProtection="1">
      <alignment horizontal="center" vertical="center" textRotation="90"/>
      <protection hidden="1"/>
    </xf>
    <xf numFmtId="0" fontId="13" fillId="6" borderId="36" xfId="1" applyFont="1" applyFill="1" applyBorder="1" applyAlignment="1" applyProtection="1">
      <alignment horizontal="center"/>
      <protection hidden="1"/>
    </xf>
    <xf numFmtId="0" fontId="13" fillId="6" borderId="0" xfId="1" applyFont="1" applyFill="1" applyAlignment="1" applyProtection="1">
      <alignment horizontal="center"/>
      <protection hidden="1"/>
    </xf>
    <xf numFmtId="0" fontId="13" fillId="6" borderId="32" xfId="1" applyFont="1" applyFill="1" applyBorder="1" applyAlignment="1" applyProtection="1">
      <alignment horizontal="center"/>
      <protection hidden="1"/>
    </xf>
    <xf numFmtId="0" fontId="39" fillId="6" borderId="36" xfId="1" applyFont="1" applyFill="1" applyBorder="1" applyAlignment="1" applyProtection="1">
      <alignment horizontal="center"/>
      <protection hidden="1"/>
    </xf>
    <xf numFmtId="0" fontId="39" fillId="6" borderId="0" xfId="1" applyFont="1" applyFill="1" applyAlignment="1" applyProtection="1">
      <alignment horizontal="center"/>
      <protection hidden="1"/>
    </xf>
    <xf numFmtId="0" fontId="39" fillId="6" borderId="32" xfId="1" applyFont="1" applyFill="1" applyBorder="1" applyAlignment="1" applyProtection="1">
      <alignment horizontal="center"/>
      <protection hidden="1"/>
    </xf>
    <xf numFmtId="0" fontId="32" fillId="6" borderId="36" xfId="1" applyFont="1" applyFill="1" applyBorder="1" applyAlignment="1" applyProtection="1">
      <alignment horizontal="center"/>
      <protection hidden="1"/>
    </xf>
    <xf numFmtId="0" fontId="32" fillId="6" borderId="0" xfId="1" applyFont="1" applyFill="1" applyAlignment="1" applyProtection="1">
      <alignment horizontal="center"/>
      <protection hidden="1"/>
    </xf>
    <xf numFmtId="0" fontId="32" fillId="6" borderId="32" xfId="1" applyFont="1" applyFill="1" applyBorder="1" applyAlignment="1" applyProtection="1">
      <alignment horizontal="center"/>
      <protection hidden="1"/>
    </xf>
    <xf numFmtId="0" fontId="1" fillId="6" borderId="36" xfId="1" applyFont="1" applyFill="1" applyBorder="1" applyAlignment="1" applyProtection="1">
      <alignment horizontal="center"/>
      <protection hidden="1"/>
    </xf>
    <xf numFmtId="0" fontId="1" fillId="6" borderId="0" xfId="1" applyFont="1" applyFill="1" applyAlignment="1" applyProtection="1">
      <alignment horizontal="center"/>
      <protection hidden="1"/>
    </xf>
    <xf numFmtId="0" fontId="1" fillId="6" borderId="32" xfId="1" applyFont="1" applyFill="1" applyBorder="1" applyAlignment="1" applyProtection="1">
      <alignment horizontal="center"/>
      <protection hidden="1"/>
    </xf>
    <xf numFmtId="0" fontId="13" fillId="6" borderId="56" xfId="1" applyFont="1" applyFill="1" applyBorder="1" applyAlignment="1" applyProtection="1">
      <alignment horizontal="center"/>
      <protection hidden="1"/>
    </xf>
    <xf numFmtId="0" fontId="13" fillId="6" borderId="57" xfId="1" applyFont="1" applyFill="1" applyBorder="1" applyAlignment="1" applyProtection="1">
      <alignment horizontal="center"/>
      <protection hidden="1"/>
    </xf>
    <xf numFmtId="0" fontId="13" fillId="6" borderId="58" xfId="1" applyFont="1" applyFill="1" applyBorder="1" applyAlignment="1" applyProtection="1">
      <alignment horizontal="center"/>
      <protection hidden="1"/>
    </xf>
    <xf numFmtId="0" fontId="47" fillId="0" borderId="36" xfId="1" applyFont="1" applyBorder="1" applyAlignment="1" applyProtection="1">
      <alignment horizontal="center" textRotation="90"/>
      <protection hidden="1"/>
    </xf>
    <xf numFmtId="0" fontId="32" fillId="6" borderId="37" xfId="1" applyFont="1" applyFill="1" applyBorder="1" applyAlignment="1" applyProtection="1">
      <alignment horizontal="center"/>
      <protection hidden="1"/>
    </xf>
    <xf numFmtId="0" fontId="32" fillId="6" borderId="38" xfId="1" applyFont="1" applyFill="1" applyBorder="1" applyAlignment="1" applyProtection="1">
      <alignment horizontal="center"/>
      <protection hidden="1"/>
    </xf>
    <xf numFmtId="0" fontId="32" fillId="6" borderId="39" xfId="1" applyFont="1" applyFill="1" applyBorder="1" applyAlignment="1" applyProtection="1">
      <alignment horizontal="center"/>
      <protection hidden="1"/>
    </xf>
    <xf numFmtId="0" fontId="1" fillId="6" borderId="33" xfId="1" applyFont="1" applyFill="1" applyBorder="1" applyAlignment="1" applyProtection="1">
      <alignment horizontal="center"/>
      <protection hidden="1"/>
    </xf>
    <xf numFmtId="0" fontId="1" fillId="6" borderId="34" xfId="1" applyFont="1" applyFill="1" applyBorder="1" applyAlignment="1" applyProtection="1">
      <alignment horizontal="center"/>
      <protection hidden="1"/>
    </xf>
    <xf numFmtId="0" fontId="1" fillId="6" borderId="77" xfId="1" applyFont="1" applyFill="1" applyBorder="1" applyAlignment="1" applyProtection="1">
      <alignment horizontal="center"/>
      <protection hidden="1"/>
    </xf>
    <xf numFmtId="0" fontId="1" fillId="6" borderId="78" xfId="1" applyFont="1" applyFill="1" applyBorder="1" applyAlignment="1" applyProtection="1">
      <alignment horizontal="center"/>
      <protection hidden="1"/>
    </xf>
    <xf numFmtId="0" fontId="1" fillId="6" borderId="35" xfId="1" applyFont="1" applyFill="1" applyBorder="1" applyAlignment="1" applyProtection="1">
      <alignment horizontal="center"/>
      <protection hidden="1"/>
    </xf>
    <xf numFmtId="0" fontId="39" fillId="6" borderId="8" xfId="1" applyFont="1" applyFill="1" applyBorder="1" applyAlignment="1" applyProtection="1">
      <alignment horizontal="center"/>
      <protection hidden="1"/>
    </xf>
    <xf numFmtId="0" fontId="39" fillId="6" borderId="12" xfId="1" applyFont="1" applyFill="1" applyBorder="1" applyAlignment="1" applyProtection="1">
      <alignment horizontal="center"/>
      <protection hidden="1"/>
    </xf>
    <xf numFmtId="0" fontId="32" fillId="6" borderId="79" xfId="1" applyFont="1" applyFill="1" applyBorder="1" applyAlignment="1" applyProtection="1">
      <alignment horizontal="center"/>
      <protection hidden="1"/>
    </xf>
    <xf numFmtId="0" fontId="32" fillId="6" borderId="80" xfId="1" applyFont="1" applyFill="1" applyBorder="1" applyAlignment="1" applyProtection="1">
      <alignment horizontal="center"/>
      <protection hidden="1"/>
    </xf>
    <xf numFmtId="0" fontId="47" fillId="0" borderId="34" xfId="1" applyFont="1" applyBorder="1" applyAlignment="1" applyProtection="1">
      <alignment horizontal="center"/>
      <protection hidden="1"/>
    </xf>
    <xf numFmtId="0" fontId="47" fillId="0" borderId="31" xfId="1" applyFont="1" applyBorder="1" applyAlignment="1" applyProtection="1">
      <alignment horizontal="center"/>
      <protection hidden="1"/>
    </xf>
    <xf numFmtId="0" fontId="1" fillId="6" borderId="40" xfId="1" applyFont="1" applyFill="1" applyBorder="1" applyAlignment="1" applyProtection="1">
      <alignment horizontal="center"/>
      <protection hidden="1"/>
    </xf>
    <xf numFmtId="0" fontId="1" fillId="6" borderId="41" xfId="1" applyFont="1" applyFill="1" applyBorder="1" applyAlignment="1" applyProtection="1">
      <alignment horizontal="center"/>
      <protection hidden="1"/>
    </xf>
    <xf numFmtId="0" fontId="1" fillId="6" borderId="81" xfId="1" applyFont="1" applyFill="1" applyBorder="1" applyAlignment="1" applyProtection="1">
      <alignment horizontal="center"/>
      <protection hidden="1"/>
    </xf>
    <xf numFmtId="0" fontId="1" fillId="6" borderId="82" xfId="1" applyFont="1" applyFill="1" applyBorder="1" applyAlignment="1" applyProtection="1">
      <alignment horizontal="center"/>
      <protection hidden="1"/>
    </xf>
    <xf numFmtId="0" fontId="1" fillId="6" borderId="42" xfId="1" applyFont="1" applyFill="1" applyBorder="1" applyAlignment="1" applyProtection="1">
      <alignment horizontal="center"/>
      <protection hidden="1"/>
    </xf>
    <xf numFmtId="2" fontId="13" fillId="0" borderId="0" xfId="1" applyNumberFormat="1" applyFont="1" applyAlignment="1" applyProtection="1">
      <alignment horizontal="center" vertical="center"/>
      <protection hidden="1"/>
    </xf>
    <xf numFmtId="0" fontId="47" fillId="0" borderId="0" xfId="1" applyFont="1" applyAlignment="1" applyProtection="1">
      <alignment horizontal="center" vertical="center" textRotation="90"/>
      <protection hidden="1"/>
    </xf>
    <xf numFmtId="0" fontId="47" fillId="0" borderId="0" xfId="1" applyFont="1" applyAlignment="1" applyProtection="1">
      <alignment horizontal="center" textRotation="90"/>
      <protection hidden="1"/>
    </xf>
    <xf numFmtId="0" fontId="32" fillId="6" borderId="43" xfId="1" applyFont="1" applyFill="1" applyBorder="1" applyAlignment="1" applyProtection="1">
      <alignment horizontal="center"/>
      <protection hidden="1"/>
    </xf>
    <xf numFmtId="0" fontId="32" fillId="6" borderId="31" xfId="1" applyFont="1" applyFill="1" applyBorder="1" applyAlignment="1" applyProtection="1">
      <alignment horizontal="center"/>
      <protection hidden="1"/>
    </xf>
    <xf numFmtId="0" fontId="32" fillId="6" borderId="83" xfId="1" applyFont="1" applyFill="1" applyBorder="1" applyAlignment="1" applyProtection="1">
      <alignment horizontal="center"/>
      <protection hidden="1"/>
    </xf>
    <xf numFmtId="0" fontId="32" fillId="6" borderId="84" xfId="1" applyFont="1" applyFill="1" applyBorder="1" applyAlignment="1" applyProtection="1">
      <alignment horizontal="center"/>
      <protection hidden="1"/>
    </xf>
    <xf numFmtId="0" fontId="32" fillId="6" borderId="44" xfId="1" applyFont="1" applyFill="1" applyBorder="1" applyAlignment="1" applyProtection="1">
      <alignment horizontal="center"/>
      <protection hidden="1"/>
    </xf>
    <xf numFmtId="0" fontId="13" fillId="6" borderId="40" xfId="1" applyFont="1" applyFill="1" applyBorder="1" applyAlignment="1" applyProtection="1">
      <alignment horizontal="center"/>
      <protection hidden="1"/>
    </xf>
    <xf numFmtId="0" fontId="13" fillId="6" borderId="41" xfId="1" applyFont="1" applyFill="1" applyBorder="1" applyAlignment="1" applyProtection="1">
      <alignment horizontal="center"/>
      <protection hidden="1"/>
    </xf>
    <xf numFmtId="0" fontId="13" fillId="6" borderId="42" xfId="1" applyFont="1" applyFill="1" applyBorder="1" applyAlignment="1" applyProtection="1">
      <alignment horizontal="center"/>
      <protection hidden="1"/>
    </xf>
    <xf numFmtId="0" fontId="49" fillId="6" borderId="62" xfId="1" applyFont="1" applyFill="1" applyBorder="1" applyAlignment="1" applyProtection="1">
      <alignment horizontal="center"/>
      <protection hidden="1"/>
    </xf>
    <xf numFmtId="0" fontId="49" fillId="6" borderId="63" xfId="1" applyFont="1" applyFill="1" applyBorder="1" applyAlignment="1" applyProtection="1">
      <alignment horizontal="center"/>
      <protection hidden="1"/>
    </xf>
    <xf numFmtId="0" fontId="49" fillId="6" borderId="64" xfId="1" applyFont="1" applyFill="1" applyBorder="1" applyAlignment="1" applyProtection="1">
      <alignment horizontal="center"/>
      <protection hidden="1"/>
    </xf>
    <xf numFmtId="0" fontId="47" fillId="0" borderId="0" xfId="1" applyFont="1" applyAlignment="1" applyProtection="1">
      <alignment horizontal="center" wrapText="1"/>
      <protection hidden="1"/>
    </xf>
    <xf numFmtId="0" fontId="35" fillId="0" borderId="0" xfId="1" applyFont="1" applyAlignment="1">
      <alignment horizontal="center"/>
    </xf>
    <xf numFmtId="0" fontId="32" fillId="6" borderId="36" xfId="1" applyFont="1" applyFill="1" applyBorder="1" applyAlignment="1" applyProtection="1">
      <alignment horizontal="center" vertical="top"/>
      <protection hidden="1"/>
    </xf>
    <xf numFmtId="0" fontId="32" fillId="6" borderId="0" xfId="1" applyFont="1" applyFill="1" applyAlignment="1" applyProtection="1">
      <alignment horizontal="center" vertical="top"/>
      <protection hidden="1"/>
    </xf>
    <xf numFmtId="0" fontId="32" fillId="6" borderId="20" xfId="1" applyFont="1" applyFill="1" applyBorder="1" applyAlignment="1" applyProtection="1">
      <alignment horizontal="center" vertical="top"/>
      <protection hidden="1"/>
    </xf>
    <xf numFmtId="0" fontId="13" fillId="6" borderId="47" xfId="1" applyFont="1" applyFill="1" applyBorder="1" applyAlignment="1" applyProtection="1">
      <alignment horizontal="center"/>
      <protection hidden="1"/>
    </xf>
    <xf numFmtId="0" fontId="39" fillId="6" borderId="36" xfId="1" applyFont="1" applyFill="1" applyBorder="1" applyAlignment="1" applyProtection="1">
      <alignment horizontal="center" vertical="center"/>
      <protection hidden="1"/>
    </xf>
    <xf numFmtId="0" fontId="39" fillId="6" borderId="0" xfId="1" applyFont="1" applyFill="1" applyAlignment="1" applyProtection="1">
      <alignment horizontal="center" vertical="center"/>
      <protection hidden="1"/>
    </xf>
    <xf numFmtId="0" fontId="39" fillId="6" borderId="32" xfId="1" applyFont="1" applyFill="1" applyBorder="1" applyAlignment="1" applyProtection="1">
      <alignment horizontal="center" vertical="center"/>
      <protection hidden="1"/>
    </xf>
    <xf numFmtId="0" fontId="25" fillId="0" borderId="0" xfId="1" applyFont="1" applyAlignment="1">
      <alignment horizontal="right" vertical="center" textRotation="90"/>
    </xf>
    <xf numFmtId="0" fontId="13" fillId="6" borderId="36" xfId="1" applyFont="1" applyFill="1" applyBorder="1" applyAlignment="1" applyProtection="1">
      <alignment horizontal="center" vertical="top"/>
      <protection hidden="1"/>
    </xf>
    <xf numFmtId="0" fontId="13" fillId="6" borderId="0" xfId="1" applyFont="1" applyFill="1" applyAlignment="1" applyProtection="1">
      <alignment horizontal="center" vertical="top"/>
      <protection hidden="1"/>
    </xf>
    <xf numFmtId="0" fontId="13" fillId="6" borderId="32" xfId="1" applyFont="1" applyFill="1" applyBorder="1" applyAlignment="1" applyProtection="1">
      <alignment horizontal="center" vertical="top"/>
      <protection hidden="1"/>
    </xf>
    <xf numFmtId="0" fontId="13" fillId="6" borderId="20" xfId="1" applyFont="1" applyFill="1" applyBorder="1" applyAlignment="1" applyProtection="1">
      <alignment horizontal="center"/>
      <protection hidden="1"/>
    </xf>
    <xf numFmtId="0" fontId="32" fillId="6" borderId="32" xfId="1" applyFont="1" applyFill="1" applyBorder="1" applyAlignment="1" applyProtection="1">
      <alignment horizontal="center" vertical="top"/>
      <protection hidden="1"/>
    </xf>
    <xf numFmtId="0" fontId="39" fillId="6" borderId="36" xfId="1" applyFont="1" applyFill="1" applyBorder="1" applyAlignment="1" applyProtection="1">
      <alignment horizontal="center" vertical="top"/>
      <protection hidden="1"/>
    </xf>
    <xf numFmtId="0" fontId="39" fillId="6" borderId="0" xfId="1" applyFont="1" applyFill="1" applyAlignment="1" applyProtection="1">
      <alignment horizontal="center" vertical="top"/>
      <protection hidden="1"/>
    </xf>
    <xf numFmtId="0" fontId="39" fillId="6" borderId="32" xfId="1" applyFont="1" applyFill="1" applyBorder="1" applyAlignment="1" applyProtection="1">
      <alignment horizontal="center" vertical="top"/>
      <protection hidden="1"/>
    </xf>
    <xf numFmtId="0" fontId="39" fillId="6" borderId="20" xfId="1" applyFont="1" applyFill="1" applyBorder="1" applyAlignment="1" applyProtection="1">
      <alignment horizontal="center" vertical="top"/>
      <protection hidden="1"/>
    </xf>
    <xf numFmtId="0" fontId="32" fillId="6" borderId="49" xfId="1" applyFont="1" applyFill="1" applyBorder="1" applyAlignment="1" applyProtection="1">
      <alignment horizontal="center" vertical="top"/>
      <protection hidden="1"/>
    </xf>
    <xf numFmtId="0" fontId="32" fillId="6" borderId="31" xfId="1" applyFont="1" applyFill="1" applyBorder="1" applyAlignment="1" applyProtection="1">
      <alignment horizontal="center" vertical="top"/>
      <protection hidden="1"/>
    </xf>
    <xf numFmtId="0" fontId="32" fillId="6" borderId="44" xfId="1" applyFont="1" applyFill="1" applyBorder="1" applyAlignment="1" applyProtection="1">
      <alignment horizontal="center" vertical="top"/>
      <protection hidden="1"/>
    </xf>
    <xf numFmtId="0" fontId="13" fillId="6" borderId="56" xfId="1" applyFont="1" applyFill="1" applyBorder="1" applyAlignment="1" applyProtection="1">
      <alignment horizontal="center" vertical="top"/>
      <protection hidden="1"/>
    </xf>
    <xf numFmtId="0" fontId="13" fillId="6" borderId="57" xfId="1" applyFont="1" applyFill="1" applyBorder="1" applyAlignment="1" applyProtection="1">
      <alignment horizontal="center" vertical="top"/>
      <protection hidden="1"/>
    </xf>
    <xf numFmtId="0" fontId="13" fillId="6" borderId="61" xfId="1" applyFont="1" applyFill="1" applyBorder="1" applyAlignment="1" applyProtection="1">
      <alignment horizontal="center" vertical="top"/>
      <protection hidden="1"/>
    </xf>
    <xf numFmtId="0" fontId="31" fillId="6" borderId="36" xfId="1" applyFont="1" applyFill="1" applyBorder="1" applyAlignment="1" applyProtection="1">
      <alignment horizontal="center" vertical="top"/>
      <protection hidden="1"/>
    </xf>
    <xf numFmtId="0" fontId="31" fillId="6" borderId="0" xfId="1" applyFont="1" applyFill="1" applyAlignment="1" applyProtection="1">
      <alignment horizontal="center" vertical="top"/>
      <protection hidden="1"/>
    </xf>
    <xf numFmtId="0" fontId="31" fillId="6" borderId="20" xfId="1" applyFont="1" applyFill="1" applyBorder="1" applyAlignment="1" applyProtection="1">
      <alignment horizontal="center" vertical="top"/>
      <protection hidden="1"/>
    </xf>
    <xf numFmtId="0" fontId="13" fillId="6" borderId="36" xfId="1" applyFont="1" applyFill="1" applyBorder="1" applyAlignment="1" applyProtection="1">
      <alignment horizontal="center" vertical="center"/>
      <protection hidden="1"/>
    </xf>
    <xf numFmtId="0" fontId="13" fillId="6" borderId="0" xfId="1" applyFont="1" applyFill="1" applyAlignment="1" applyProtection="1">
      <alignment horizontal="center" vertical="center"/>
      <protection hidden="1"/>
    </xf>
    <xf numFmtId="0" fontId="13" fillId="6" borderId="32" xfId="1" applyFont="1" applyFill="1" applyBorder="1" applyAlignment="1" applyProtection="1">
      <alignment horizontal="center" vertical="center"/>
      <protection hidden="1"/>
    </xf>
    <xf numFmtId="0" fontId="34" fillId="6" borderId="36" xfId="1" applyFont="1" applyFill="1" applyBorder="1" applyAlignment="1" applyProtection="1">
      <alignment horizontal="center"/>
      <protection hidden="1"/>
    </xf>
    <xf numFmtId="0" fontId="34" fillId="6" borderId="0" xfId="1" applyFont="1" applyFill="1" applyAlignment="1" applyProtection="1">
      <alignment horizontal="center"/>
      <protection hidden="1"/>
    </xf>
    <xf numFmtId="0" fontId="34" fillId="6" borderId="20" xfId="1" applyFont="1" applyFill="1" applyBorder="1" applyAlignment="1" applyProtection="1">
      <alignment horizontal="center"/>
      <protection hidden="1"/>
    </xf>
    <xf numFmtId="0" fontId="47" fillId="6" borderId="46" xfId="1" applyFont="1" applyFill="1" applyBorder="1" applyAlignment="1" applyProtection="1">
      <alignment horizontal="center"/>
      <protection hidden="1"/>
    </xf>
    <xf numFmtId="0" fontId="47" fillId="6" borderId="0" xfId="1" applyFont="1" applyFill="1" applyAlignment="1" applyProtection="1">
      <alignment horizontal="center"/>
      <protection hidden="1"/>
    </xf>
    <xf numFmtId="0" fontId="47" fillId="6" borderId="32" xfId="1" applyFont="1" applyFill="1" applyBorder="1" applyAlignment="1" applyProtection="1">
      <alignment horizontal="center"/>
      <protection hidden="1"/>
    </xf>
    <xf numFmtId="0" fontId="13" fillId="6" borderId="20" xfId="1" applyFont="1" applyFill="1" applyBorder="1" applyAlignment="1" applyProtection="1">
      <alignment horizontal="center" vertical="top"/>
      <protection hidden="1"/>
    </xf>
    <xf numFmtId="0" fontId="32" fillId="6" borderId="56" xfId="1" applyFont="1" applyFill="1" applyBorder="1" applyAlignment="1" applyProtection="1">
      <alignment horizontal="center" vertical="top"/>
      <protection hidden="1"/>
    </xf>
    <xf numFmtId="0" fontId="32" fillId="6" borderId="57" xfId="1" applyFont="1" applyFill="1" applyBorder="1" applyAlignment="1" applyProtection="1">
      <alignment horizontal="center" vertical="top"/>
      <protection hidden="1"/>
    </xf>
    <xf numFmtId="0" fontId="32" fillId="6" borderId="58" xfId="1" applyFont="1" applyFill="1" applyBorder="1" applyAlignment="1" applyProtection="1">
      <alignment horizontal="center" vertical="top"/>
      <protection hidden="1"/>
    </xf>
    <xf numFmtId="0" fontId="32" fillId="6" borderId="46" xfId="1" applyFont="1" applyFill="1" applyBorder="1" applyAlignment="1" applyProtection="1">
      <alignment horizontal="center" vertical="top"/>
      <protection hidden="1"/>
    </xf>
    <xf numFmtId="0" fontId="13" fillId="6" borderId="33" xfId="1" applyFont="1" applyFill="1" applyBorder="1" applyAlignment="1" applyProtection="1">
      <alignment horizontal="center"/>
      <protection hidden="1"/>
    </xf>
    <xf numFmtId="0" fontId="13" fillId="6" borderId="34" xfId="1" applyFont="1" applyFill="1" applyBorder="1" applyAlignment="1" applyProtection="1">
      <alignment horizontal="center"/>
      <protection hidden="1"/>
    </xf>
    <xf numFmtId="0" fontId="13" fillId="6" borderId="34" xfId="1" applyFont="1" applyFill="1" applyBorder="1" applyAlignment="1" applyProtection="1">
      <alignment horizontal="center" vertical="top"/>
      <protection hidden="1"/>
    </xf>
    <xf numFmtId="0" fontId="13" fillId="6" borderId="35" xfId="1" applyFont="1" applyFill="1" applyBorder="1" applyAlignment="1" applyProtection="1">
      <alignment horizontal="center" vertical="top"/>
      <protection hidden="1"/>
    </xf>
    <xf numFmtId="0" fontId="33" fillId="6" borderId="33" xfId="1" applyFont="1" applyFill="1" applyBorder="1" applyAlignment="1" applyProtection="1">
      <alignment horizontal="center"/>
      <protection hidden="1"/>
    </xf>
    <xf numFmtId="0" fontId="33" fillId="6" borderId="34" xfId="1" applyFont="1" applyFill="1" applyBorder="1" applyAlignment="1" applyProtection="1">
      <alignment horizontal="center"/>
      <protection hidden="1"/>
    </xf>
    <xf numFmtId="0" fontId="33" fillId="6" borderId="45" xfId="1" applyFont="1" applyFill="1" applyBorder="1" applyAlignment="1" applyProtection="1">
      <alignment horizontal="center"/>
      <protection hidden="1"/>
    </xf>
    <xf numFmtId="0" fontId="33" fillId="6" borderId="36" xfId="1" applyFont="1" applyFill="1" applyBorder="1" applyAlignment="1" applyProtection="1">
      <alignment horizontal="center"/>
      <protection hidden="1"/>
    </xf>
    <xf numFmtId="0" fontId="33" fillId="6" borderId="0" xfId="1" applyFont="1" applyFill="1" applyAlignment="1" applyProtection="1">
      <alignment horizontal="center"/>
      <protection hidden="1"/>
    </xf>
    <xf numFmtId="0" fontId="33" fillId="6" borderId="20" xfId="1" applyFont="1" applyFill="1" applyBorder="1" applyAlignment="1" applyProtection="1">
      <alignment horizontal="center"/>
      <protection hidden="1"/>
    </xf>
    <xf numFmtId="0" fontId="13" fillId="6" borderId="35" xfId="1" applyFont="1" applyFill="1" applyBorder="1" applyAlignment="1" applyProtection="1">
      <alignment horizontal="center"/>
      <protection hidden="1"/>
    </xf>
    <xf numFmtId="0" fontId="32" fillId="6" borderId="43" xfId="1" applyFont="1" applyFill="1" applyBorder="1" applyAlignment="1" applyProtection="1">
      <alignment horizontal="center" vertical="top"/>
      <protection hidden="1"/>
    </xf>
    <xf numFmtId="0" fontId="31" fillId="6" borderId="32" xfId="1" applyFont="1" applyFill="1" applyBorder="1" applyAlignment="1" applyProtection="1">
      <alignment horizontal="center" vertical="top"/>
      <protection hidden="1"/>
    </xf>
    <xf numFmtId="0" fontId="47" fillId="6" borderId="36" xfId="1" applyFont="1" applyFill="1" applyBorder="1" applyAlignment="1" applyProtection="1">
      <alignment horizontal="center"/>
      <protection hidden="1"/>
    </xf>
    <xf numFmtId="0" fontId="13" fillId="6" borderId="59" xfId="1" applyFont="1" applyFill="1" applyBorder="1" applyAlignment="1" applyProtection="1">
      <alignment horizontal="center" vertical="top"/>
      <protection hidden="1"/>
    </xf>
    <xf numFmtId="0" fontId="13" fillId="6" borderId="19" xfId="1" applyFont="1" applyFill="1" applyBorder="1" applyAlignment="1" applyProtection="1">
      <alignment horizontal="center" vertical="top"/>
      <protection hidden="1"/>
    </xf>
    <xf numFmtId="0" fontId="13" fillId="6" borderId="60" xfId="1" applyFont="1" applyFill="1" applyBorder="1" applyAlignment="1" applyProtection="1">
      <alignment horizontal="center" vertical="top"/>
      <protection hidden="1"/>
    </xf>
    <xf numFmtId="0" fontId="13" fillId="0" borderId="32" xfId="1" applyFont="1" applyBorder="1" applyAlignment="1" applyProtection="1">
      <alignment horizontal="center" vertical="center" textRotation="90"/>
      <protection hidden="1"/>
    </xf>
    <xf numFmtId="0" fontId="13" fillId="0" borderId="8" xfId="1" applyFont="1" applyBorder="1" applyAlignment="1" applyProtection="1">
      <alignment horizontal="center" vertical="center"/>
      <protection hidden="1"/>
    </xf>
    <xf numFmtId="0" fontId="13" fillId="0" borderId="0" xfId="1" applyFont="1" applyAlignment="1" applyProtection="1">
      <alignment horizontal="center" vertical="center"/>
      <protection hidden="1"/>
    </xf>
    <xf numFmtId="0" fontId="25" fillId="0" borderId="0" xfId="1" applyFont="1" applyAlignment="1">
      <alignment horizontal="right" textRotation="90"/>
    </xf>
    <xf numFmtId="0" fontId="32" fillId="6" borderId="37" xfId="1" applyFont="1" applyFill="1" applyBorder="1" applyAlignment="1" applyProtection="1">
      <alignment horizontal="center" vertical="top"/>
      <protection hidden="1"/>
    </xf>
    <xf numFmtId="0" fontId="32" fillId="6" borderId="38" xfId="1" applyFont="1" applyFill="1" applyBorder="1" applyAlignment="1" applyProtection="1">
      <alignment horizontal="center" vertical="top"/>
      <protection hidden="1"/>
    </xf>
    <xf numFmtId="0" fontId="32" fillId="6" borderId="39" xfId="1" applyFont="1" applyFill="1" applyBorder="1" applyAlignment="1" applyProtection="1">
      <alignment horizontal="center" vertical="top"/>
      <protection hidden="1"/>
    </xf>
    <xf numFmtId="0" fontId="13" fillId="6" borderId="59" xfId="1" applyFont="1" applyFill="1" applyBorder="1" applyAlignment="1" applyProtection="1">
      <alignment horizontal="center"/>
      <protection hidden="1"/>
    </xf>
    <xf numFmtId="0" fontId="13" fillId="6" borderId="19" xfId="1" applyFont="1" applyFill="1" applyBorder="1" applyAlignment="1" applyProtection="1">
      <alignment horizontal="center"/>
      <protection hidden="1"/>
    </xf>
    <xf numFmtId="0" fontId="13" fillId="6" borderId="60" xfId="1" applyFont="1" applyFill="1" applyBorder="1" applyAlignment="1" applyProtection="1">
      <alignment horizontal="center"/>
      <protection hidden="1"/>
    </xf>
    <xf numFmtId="2" fontId="13" fillId="0" borderId="6" xfId="1" applyNumberFormat="1" applyFont="1" applyBorder="1" applyAlignment="1" applyProtection="1">
      <alignment horizontal="center" vertical="center"/>
      <protection hidden="1"/>
    </xf>
    <xf numFmtId="0" fontId="3" fillId="6" borderId="1" xfId="1" applyFill="1" applyBorder="1" applyAlignment="1" applyProtection="1">
      <alignment horizontal="center"/>
      <protection hidden="1"/>
    </xf>
    <xf numFmtId="165" fontId="13" fillId="6" borderId="1" xfId="1" applyNumberFormat="1" applyFont="1" applyFill="1" applyBorder="1" applyAlignment="1" applyProtection="1">
      <alignment horizontal="center" vertical="center"/>
      <protection hidden="1"/>
    </xf>
    <xf numFmtId="0" fontId="13" fillId="0" borderId="31" xfId="1" applyFont="1" applyBorder="1" applyAlignment="1" applyProtection="1">
      <alignment horizontal="center" vertical="center"/>
      <protection hidden="1"/>
    </xf>
    <xf numFmtId="2" fontId="32" fillId="6" borderId="16" xfId="1" applyNumberFormat="1" applyFont="1" applyFill="1" applyBorder="1" applyAlignment="1" applyProtection="1">
      <alignment horizontal="center"/>
      <protection hidden="1"/>
    </xf>
    <xf numFmtId="2" fontId="32" fillId="6" borderId="18" xfId="1" applyNumberFormat="1" applyFont="1" applyFill="1" applyBorder="1" applyAlignment="1" applyProtection="1">
      <alignment horizontal="center"/>
      <protection hidden="1"/>
    </xf>
    <xf numFmtId="2" fontId="39" fillId="6" borderId="26" xfId="1" applyNumberFormat="1" applyFont="1" applyFill="1" applyBorder="1" applyAlignment="1" applyProtection="1">
      <alignment horizontal="center"/>
      <protection hidden="1"/>
    </xf>
    <xf numFmtId="2" fontId="39" fillId="6" borderId="27" xfId="1" applyNumberFormat="1" applyFont="1" applyFill="1" applyBorder="1" applyAlignment="1" applyProtection="1">
      <alignment horizontal="center"/>
      <protection hidden="1"/>
    </xf>
    <xf numFmtId="2" fontId="39" fillId="6" borderId="28" xfId="1" applyNumberFormat="1" applyFont="1" applyFill="1" applyBorder="1" applyAlignment="1" applyProtection="1">
      <alignment horizontal="center"/>
      <protection hidden="1"/>
    </xf>
    <xf numFmtId="165" fontId="30" fillId="2" borderId="0" xfId="1" applyNumberFormat="1" applyFont="1" applyFill="1" applyAlignment="1" applyProtection="1">
      <alignment horizontal="center"/>
      <protection hidden="1"/>
    </xf>
    <xf numFmtId="2" fontId="32" fillId="6" borderId="1" xfId="1" applyNumberFormat="1" applyFont="1" applyFill="1" applyBorder="1" applyAlignment="1">
      <alignment horizontal="center" vertical="center" shrinkToFit="1"/>
    </xf>
    <xf numFmtId="0" fontId="3" fillId="0" borderId="15" xfId="1" applyBorder="1" applyAlignment="1">
      <alignment horizontal="left" vertical="center" wrapText="1"/>
    </xf>
    <xf numFmtId="0" fontId="3" fillId="0" borderId="13" xfId="1" applyBorder="1" applyAlignment="1">
      <alignment horizontal="left" vertical="center" wrapText="1"/>
    </xf>
    <xf numFmtId="0" fontId="9" fillId="0" borderId="22" xfId="1" applyFont="1" applyBorder="1" applyAlignment="1">
      <alignment horizontal="center" vertical="top" wrapText="1"/>
    </xf>
    <xf numFmtId="0" fontId="9" fillId="0" borderId="23" xfId="1" applyFont="1" applyBorder="1" applyAlignment="1">
      <alignment horizontal="center" vertical="top" wrapText="1"/>
    </xf>
    <xf numFmtId="0" fontId="9" fillId="0" borderId="24" xfId="1" applyFont="1" applyBorder="1" applyAlignment="1">
      <alignment horizontal="center" vertical="top" wrapText="1"/>
    </xf>
    <xf numFmtId="2" fontId="13" fillId="2" borderId="0" xfId="1" applyNumberFormat="1" applyFont="1" applyFill="1" applyAlignment="1" applyProtection="1">
      <alignment horizontal="center"/>
      <protection hidden="1"/>
    </xf>
    <xf numFmtId="0" fontId="13" fillId="2" borderId="0" xfId="1" applyFont="1" applyFill="1" applyAlignment="1" applyProtection="1">
      <alignment horizontal="center"/>
      <protection hidden="1"/>
    </xf>
    <xf numFmtId="0" fontId="13" fillId="6" borderId="0" xfId="1" applyFont="1" applyFill="1" applyAlignment="1">
      <alignment horizontal="center" vertical="center" shrinkToFit="1"/>
    </xf>
    <xf numFmtId="0" fontId="27" fillId="6" borderId="0" xfId="1" applyFont="1" applyFill="1" applyAlignment="1">
      <alignment horizontal="right" vertical="center" shrinkToFit="1"/>
    </xf>
    <xf numFmtId="0" fontId="13" fillId="6" borderId="0" xfId="1" applyFont="1" applyFill="1" applyAlignment="1">
      <alignment horizontal="right" vertical="center" shrinkToFit="1"/>
    </xf>
    <xf numFmtId="2" fontId="13" fillId="6" borderId="17" xfId="1" applyNumberFormat="1" applyFont="1" applyFill="1" applyBorder="1" applyAlignment="1">
      <alignment horizontal="center" vertical="center" shrinkToFit="1"/>
    </xf>
    <xf numFmtId="0" fontId="13" fillId="6" borderId="17" xfId="1" applyFont="1" applyFill="1" applyBorder="1" applyAlignment="1">
      <alignment horizontal="center" vertical="center" shrinkToFit="1"/>
    </xf>
    <xf numFmtId="0" fontId="13" fillId="6" borderId="0" xfId="1" applyFont="1" applyFill="1" applyAlignment="1">
      <alignment horizontal="left" vertical="center" shrinkToFit="1"/>
    </xf>
    <xf numFmtId="0" fontId="13" fillId="6" borderId="17" xfId="1" applyFont="1" applyFill="1" applyBorder="1" applyAlignment="1">
      <alignment horizontal="left" vertical="center" shrinkToFit="1"/>
    </xf>
    <xf numFmtId="0" fontId="13" fillId="6" borderId="8" xfId="1" applyFont="1" applyFill="1" applyBorder="1" applyAlignment="1" applyProtection="1">
      <alignment horizontal="center"/>
      <protection hidden="1"/>
    </xf>
    <xf numFmtId="0" fontId="13" fillId="6" borderId="12" xfId="1" applyFont="1" applyFill="1" applyBorder="1" applyAlignment="1" applyProtection="1">
      <alignment horizontal="center"/>
      <protection hidden="1"/>
    </xf>
    <xf numFmtId="0" fontId="13" fillId="6" borderId="16" xfId="1" applyFont="1" applyFill="1" applyBorder="1" applyAlignment="1" applyProtection="1">
      <alignment horizontal="center"/>
      <protection hidden="1"/>
    </xf>
    <xf numFmtId="0" fontId="13" fillId="6" borderId="17" xfId="1" applyFont="1" applyFill="1" applyBorder="1" applyAlignment="1" applyProtection="1">
      <alignment horizontal="center"/>
      <protection hidden="1"/>
    </xf>
    <xf numFmtId="0" fontId="13" fillId="6" borderId="18" xfId="1" applyFont="1" applyFill="1" applyBorder="1" applyAlignment="1" applyProtection="1">
      <alignment horizontal="center"/>
      <protection hidden="1"/>
    </xf>
    <xf numFmtId="0" fontId="17" fillId="6" borderId="8" xfId="0" applyFont="1" applyFill="1" applyBorder="1" applyAlignment="1" applyProtection="1">
      <alignment horizontal="center" vertical="center" wrapText="1"/>
      <protection hidden="1"/>
    </xf>
    <xf numFmtId="0" fontId="17" fillId="6" borderId="0" xfId="0" applyFont="1" applyFill="1" applyAlignment="1" applyProtection="1">
      <alignment horizontal="center" vertical="center" wrapText="1"/>
      <protection hidden="1"/>
    </xf>
    <xf numFmtId="0" fontId="17" fillId="6" borderId="12" xfId="0" applyFont="1" applyFill="1" applyBorder="1" applyAlignment="1" applyProtection="1">
      <alignment horizontal="center" vertical="center" wrapText="1"/>
      <protection hidden="1"/>
    </xf>
    <xf numFmtId="0" fontId="17" fillId="6" borderId="16" xfId="0" applyFont="1" applyFill="1" applyBorder="1" applyAlignment="1" applyProtection="1">
      <alignment horizontal="center" vertical="center" wrapText="1"/>
      <protection hidden="1"/>
    </xf>
    <xf numFmtId="0" fontId="17" fillId="6" borderId="17" xfId="0" applyFont="1" applyFill="1" applyBorder="1" applyAlignment="1" applyProtection="1">
      <alignment horizontal="center" vertical="center" wrapText="1"/>
      <protection hidden="1"/>
    </xf>
    <xf numFmtId="0" fontId="17" fillId="6" borderId="18" xfId="0" applyFont="1" applyFill="1" applyBorder="1" applyAlignment="1" applyProtection="1">
      <alignment horizontal="center" vertical="center" wrapText="1"/>
      <protection hidden="1"/>
    </xf>
    <xf numFmtId="2" fontId="13" fillId="6" borderId="28" xfId="0" applyNumberFormat="1" applyFont="1" applyFill="1" applyBorder="1" applyAlignment="1" applyProtection="1">
      <alignment horizontal="center" vertical="center"/>
      <protection locked="0"/>
    </xf>
    <xf numFmtId="0" fontId="1" fillId="6" borderId="16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center" vertical="center"/>
    </xf>
    <xf numFmtId="2" fontId="13" fillId="6" borderId="73" xfId="0" applyNumberFormat="1" applyFont="1" applyFill="1" applyBorder="1" applyAlignment="1" applyProtection="1">
      <alignment horizontal="center" vertical="center"/>
      <protection locked="0"/>
    </xf>
    <xf numFmtId="2" fontId="13" fillId="6" borderId="17" xfId="0" applyNumberFormat="1" applyFont="1" applyFill="1" applyBorder="1" applyAlignment="1" applyProtection="1">
      <alignment horizontal="center" vertical="center"/>
      <protection locked="0"/>
    </xf>
    <xf numFmtId="0" fontId="0" fillId="6" borderId="27" xfId="0" applyFill="1" applyBorder="1" applyAlignment="1">
      <alignment horizontal="right" vertical="center"/>
    </xf>
    <xf numFmtId="0" fontId="1" fillId="6" borderId="27" xfId="0" applyFont="1" applyFill="1" applyBorder="1" applyAlignment="1">
      <alignment horizontal="right" vertical="center"/>
    </xf>
    <xf numFmtId="0" fontId="23" fillId="6" borderId="17" xfId="1" applyFont="1" applyFill="1" applyBorder="1" applyAlignment="1">
      <alignment horizontal="right" vertical="center"/>
    </xf>
    <xf numFmtId="0" fontId="1" fillId="6" borderId="17" xfId="1" applyFont="1" applyFill="1" applyBorder="1" applyAlignment="1">
      <alignment horizontal="right" vertical="center"/>
    </xf>
    <xf numFmtId="2" fontId="13" fillId="6" borderId="17" xfId="1" applyNumberFormat="1" applyFont="1" applyFill="1" applyBorder="1" applyAlignment="1" applyProtection="1">
      <alignment horizontal="center" vertical="center"/>
      <protection locked="0"/>
    </xf>
    <xf numFmtId="2" fontId="13" fillId="6" borderId="18" xfId="1" applyNumberFormat="1" applyFont="1" applyFill="1" applyBorder="1" applyAlignment="1" applyProtection="1">
      <alignment horizontal="center" vertical="center"/>
      <protection locked="0"/>
    </xf>
    <xf numFmtId="9" fontId="36" fillId="6" borderId="0" xfId="3" applyFont="1" applyFill="1" applyBorder="1" applyAlignment="1" applyProtection="1">
      <alignment horizontal="center" vertical="center"/>
      <protection locked="0"/>
    </xf>
    <xf numFmtId="9" fontId="36" fillId="6" borderId="12" xfId="3" applyFont="1" applyFill="1" applyBorder="1" applyAlignment="1" applyProtection="1">
      <alignment horizontal="center" vertical="center"/>
      <protection locked="0"/>
    </xf>
    <xf numFmtId="0" fontId="17" fillId="6" borderId="2" xfId="1" applyFont="1" applyFill="1" applyBorder="1" applyAlignment="1" applyProtection="1">
      <alignment horizontal="center" vertical="center" wrapText="1"/>
      <protection hidden="1"/>
    </xf>
    <xf numFmtId="0" fontId="17" fillId="6" borderId="3" xfId="1" applyFont="1" applyFill="1" applyBorder="1" applyAlignment="1" applyProtection="1">
      <alignment horizontal="center" vertical="center" wrapText="1"/>
      <protection hidden="1"/>
    </xf>
    <xf numFmtId="0" fontId="17" fillId="6" borderId="4" xfId="1" applyFont="1" applyFill="1" applyBorder="1" applyAlignment="1" applyProtection="1">
      <alignment horizontal="center" vertical="center" wrapText="1"/>
      <protection hidden="1"/>
    </xf>
    <xf numFmtId="2" fontId="36" fillId="6" borderId="0" xfId="1" applyNumberFormat="1" applyFont="1" applyFill="1" applyAlignment="1">
      <alignment horizontal="center" vertical="center"/>
    </xf>
    <xf numFmtId="2" fontId="36" fillId="6" borderId="12" xfId="1" applyNumberFormat="1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17" fillId="6" borderId="4" xfId="0" applyFont="1" applyFill="1" applyBorder="1" applyAlignment="1">
      <alignment horizontal="center" vertical="center" wrapText="1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right"/>
    </xf>
    <xf numFmtId="0" fontId="3" fillId="0" borderId="4" xfId="1" applyBorder="1" applyAlignment="1">
      <alignment horizontal="center"/>
    </xf>
    <xf numFmtId="0" fontId="6" fillId="0" borderId="3" xfId="1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3" fillId="0" borderId="85" xfId="1" applyBorder="1" applyAlignment="1">
      <alignment horizontal="left" vertical="center" wrapText="1"/>
    </xf>
    <xf numFmtId="0" fontId="3" fillId="0" borderId="11" xfId="1" applyBorder="1" applyAlignment="1">
      <alignment horizontal="left" vertical="center" wrapText="1"/>
    </xf>
    <xf numFmtId="0" fontId="9" fillId="0" borderId="9" xfId="1" applyFont="1" applyBorder="1" applyAlignment="1">
      <alignment horizontal="center" vertical="top" wrapText="1"/>
    </xf>
    <xf numFmtId="0" fontId="9" fillId="0" borderId="10" xfId="1" applyFont="1" applyBorder="1" applyAlignment="1">
      <alignment horizontal="center" vertical="top" wrapText="1"/>
    </xf>
    <xf numFmtId="0" fontId="9" fillId="0" borderId="50" xfId="1" applyFont="1" applyBorder="1" applyAlignment="1">
      <alignment horizontal="center" vertical="top" wrapText="1"/>
    </xf>
    <xf numFmtId="0" fontId="3" fillId="0" borderId="85" xfId="1" applyBorder="1" applyAlignment="1">
      <alignment horizontal="left" vertical="center" wrapText="1" indent="1"/>
    </xf>
    <xf numFmtId="0" fontId="9" fillId="0" borderId="11" xfId="1" applyFont="1" applyBorder="1" applyAlignment="1">
      <alignment horizontal="center" vertical="top" wrapText="1"/>
    </xf>
    <xf numFmtId="0" fontId="38" fillId="8" borderId="6" xfId="2" applyNumberFormat="1" applyFont="1" applyFill="1" applyBorder="1" applyAlignment="1">
      <alignment horizontal="center" vertical="center"/>
    </xf>
    <xf numFmtId="0" fontId="38" fillId="8" borderId="0" xfId="2" applyNumberFormat="1" applyFont="1" applyFill="1" applyAlignment="1">
      <alignment horizontal="center" vertical="center"/>
    </xf>
    <xf numFmtId="0" fontId="38" fillId="8" borderId="17" xfId="2" applyNumberFormat="1" applyFont="1" applyFill="1" applyBorder="1" applyAlignment="1">
      <alignment horizontal="center" vertical="center"/>
    </xf>
    <xf numFmtId="0" fontId="38" fillId="8" borderId="7" xfId="2" applyNumberFormat="1" applyFont="1" applyFill="1" applyBorder="1" applyAlignment="1">
      <alignment horizontal="center" vertical="center"/>
    </xf>
    <xf numFmtId="0" fontId="38" fillId="8" borderId="12" xfId="2" applyNumberFormat="1" applyFont="1" applyFill="1" applyBorder="1" applyAlignment="1">
      <alignment horizontal="center" vertical="center"/>
    </xf>
    <xf numFmtId="0" fontId="38" fillId="8" borderId="18" xfId="2" applyNumberFormat="1" applyFont="1" applyFill="1" applyBorder="1" applyAlignment="1">
      <alignment horizontal="center" vertical="center"/>
    </xf>
    <xf numFmtId="0" fontId="15" fillId="0" borderId="0" xfId="1" applyFont="1" applyAlignment="1">
      <alignment horizontal="center"/>
    </xf>
    <xf numFmtId="0" fontId="13" fillId="6" borderId="71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166" fontId="36" fillId="6" borderId="72" xfId="1" applyNumberFormat="1" applyFont="1" applyFill="1" applyBorder="1" applyAlignment="1">
      <alignment horizontal="center" vertical="center"/>
    </xf>
    <xf numFmtId="166" fontId="36" fillId="6" borderId="0" xfId="1" applyNumberFormat="1" applyFont="1" applyFill="1" applyAlignment="1">
      <alignment horizontal="center" vertical="center"/>
    </xf>
    <xf numFmtId="166" fontId="36" fillId="6" borderId="12" xfId="1" applyNumberFormat="1" applyFont="1" applyFill="1" applyBorder="1" applyAlignment="1">
      <alignment horizontal="center" vertical="center"/>
    </xf>
    <xf numFmtId="0" fontId="50" fillId="11" borderId="0" xfId="1" applyFont="1" applyFill="1" applyAlignment="1" applyProtection="1">
      <alignment horizontal="center" vertical="center"/>
      <protection hidden="1"/>
    </xf>
    <xf numFmtId="0" fontId="45" fillId="8" borderId="2" xfId="0" applyFont="1" applyFill="1" applyBorder="1" applyAlignment="1">
      <alignment horizontal="center" vertical="center"/>
    </xf>
    <xf numFmtId="0" fontId="45" fillId="8" borderId="3" xfId="0" applyFont="1" applyFill="1" applyBorder="1" applyAlignment="1">
      <alignment horizontal="center" vertical="center"/>
    </xf>
    <xf numFmtId="0" fontId="45" fillId="8" borderId="4" xfId="0" applyFont="1" applyFill="1" applyBorder="1" applyAlignment="1">
      <alignment horizontal="center" vertical="center"/>
    </xf>
    <xf numFmtId="0" fontId="46" fillId="3" borderId="0" xfId="1" applyFont="1" applyFill="1" applyAlignment="1">
      <alignment horizontal="center" vertical="center"/>
    </xf>
    <xf numFmtId="0" fontId="37" fillId="9" borderId="5" xfId="2" applyNumberFormat="1" applyFont="1" applyFill="1" applyBorder="1" applyAlignment="1">
      <alignment horizontal="center" vertical="center"/>
    </xf>
    <xf numFmtId="0" fontId="37" fillId="9" borderId="6" xfId="2" applyNumberFormat="1" applyFont="1" applyFill="1" applyBorder="1" applyAlignment="1">
      <alignment horizontal="center" vertical="center"/>
    </xf>
    <xf numFmtId="0" fontId="37" fillId="9" borderId="8" xfId="2" applyNumberFormat="1" applyFont="1" applyFill="1" applyBorder="1" applyAlignment="1">
      <alignment horizontal="center" vertical="center"/>
    </xf>
    <xf numFmtId="0" fontId="37" fillId="9" borderId="0" xfId="2" applyNumberFormat="1" applyFont="1" applyFill="1" applyAlignment="1">
      <alignment horizontal="center" vertical="center"/>
    </xf>
    <xf numFmtId="0" fontId="37" fillId="9" borderId="16" xfId="2" applyNumberFormat="1" applyFont="1" applyFill="1" applyBorder="1" applyAlignment="1">
      <alignment horizontal="center" vertical="center"/>
    </xf>
    <xf numFmtId="0" fontId="37" fillId="9" borderId="17" xfId="2" applyNumberFormat="1" applyFont="1" applyFill="1" applyBorder="1" applyAlignment="1">
      <alignment horizontal="center" vertical="center"/>
    </xf>
    <xf numFmtId="0" fontId="38" fillId="8" borderId="2" xfId="0" applyFont="1" applyFill="1" applyBorder="1" applyAlignment="1" applyProtection="1">
      <alignment horizontal="center"/>
      <protection hidden="1"/>
    </xf>
    <xf numFmtId="0" fontId="38" fillId="8" borderId="3" xfId="0" applyFont="1" applyFill="1" applyBorder="1" applyAlignment="1" applyProtection="1">
      <alignment horizontal="center"/>
      <protection hidden="1"/>
    </xf>
    <xf numFmtId="0" fontId="38" fillId="8" borderId="4" xfId="0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>
      <alignment horizontal="right" vertical="center"/>
    </xf>
    <xf numFmtId="0" fontId="1" fillId="6" borderId="17" xfId="0" applyFont="1" applyFill="1" applyBorder="1" applyAlignment="1">
      <alignment horizontal="right" vertical="center"/>
    </xf>
    <xf numFmtId="0" fontId="17" fillId="6" borderId="1" xfId="1" applyFont="1" applyFill="1" applyBorder="1" applyAlignment="1">
      <alignment horizontal="center" vertical="center"/>
    </xf>
    <xf numFmtId="0" fontId="13" fillId="6" borderId="5" xfId="1" applyFont="1" applyFill="1" applyBorder="1" applyAlignment="1">
      <alignment horizontal="right" vertical="center" indent="1"/>
    </xf>
    <xf numFmtId="0" fontId="13" fillId="6" borderId="6" xfId="1" applyFont="1" applyFill="1" applyBorder="1" applyAlignment="1">
      <alignment horizontal="right" vertical="center" indent="1"/>
    </xf>
    <xf numFmtId="0" fontId="13" fillId="6" borderId="6" xfId="1" applyFont="1" applyFill="1" applyBorder="1" applyAlignment="1" applyProtection="1">
      <alignment horizontal="left" vertical="center"/>
      <protection locked="0"/>
    </xf>
    <xf numFmtId="0" fontId="13" fillId="6" borderId="7" xfId="1" applyFont="1" applyFill="1" applyBorder="1" applyAlignment="1" applyProtection="1">
      <alignment horizontal="left" vertical="center"/>
      <protection locked="0"/>
    </xf>
    <xf numFmtId="0" fontId="13" fillId="6" borderId="8" xfId="1" applyFont="1" applyFill="1" applyBorder="1" applyAlignment="1">
      <alignment horizontal="right" vertical="center" indent="1"/>
    </xf>
    <xf numFmtId="0" fontId="13" fillId="6" borderId="0" xfId="1" applyFont="1" applyFill="1" applyAlignment="1">
      <alignment horizontal="right" vertical="center" indent="1"/>
    </xf>
    <xf numFmtId="0" fontId="36" fillId="6" borderId="0" xfId="1" applyFont="1" applyFill="1" applyAlignment="1" applyProtection="1">
      <alignment horizontal="left" vertical="center"/>
      <protection locked="0"/>
    </xf>
    <xf numFmtId="0" fontId="13" fillId="6" borderId="0" xfId="1" applyFont="1" applyFill="1" applyAlignment="1" applyProtection="1">
      <alignment horizontal="left" vertical="center"/>
      <protection locked="0"/>
    </xf>
    <xf numFmtId="0" fontId="13" fillId="6" borderId="12" xfId="1" applyFont="1" applyFill="1" applyBorder="1" applyAlignment="1" applyProtection="1">
      <alignment horizontal="left" vertical="center"/>
      <protection locked="0"/>
    </xf>
    <xf numFmtId="0" fontId="13" fillId="7" borderId="53" xfId="1" applyFont="1" applyFill="1" applyBorder="1" applyAlignment="1" applyProtection="1">
      <alignment horizontal="center" vertical="center"/>
      <protection hidden="1"/>
    </xf>
    <xf numFmtId="0" fontId="13" fillId="7" borderId="54" xfId="1" applyFont="1" applyFill="1" applyBorder="1" applyAlignment="1" applyProtection="1">
      <alignment horizontal="center" vertical="center"/>
      <protection hidden="1"/>
    </xf>
    <xf numFmtId="0" fontId="13" fillId="7" borderId="55" xfId="1" applyFont="1" applyFill="1" applyBorder="1" applyAlignment="1" applyProtection="1">
      <alignment horizontal="center" vertical="center"/>
      <protection hidden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0" fillId="2" borderId="1" xfId="1" applyFont="1" applyFill="1" applyBorder="1" applyAlignment="1">
      <alignment horizontal="center" vertical="center" wrapText="1"/>
    </xf>
    <xf numFmtId="0" fontId="1" fillId="2" borderId="1" xfId="1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66" xfId="0" applyFont="1" applyFill="1" applyBorder="1" applyAlignment="1">
      <alignment horizontal="center" vertical="center" wrapText="1"/>
    </xf>
    <xf numFmtId="0" fontId="17" fillId="2" borderId="67" xfId="0" applyFont="1" applyFill="1" applyBorder="1" applyAlignment="1">
      <alignment horizontal="center" vertical="center" wrapText="1"/>
    </xf>
    <xf numFmtId="0" fontId="1" fillId="2" borderId="68" xfId="1" applyFont="1" applyFill="1" applyBorder="1" applyAlignment="1">
      <alignment horizontal="center" vertical="center"/>
    </xf>
    <xf numFmtId="0" fontId="1" fillId="2" borderId="69" xfId="1" applyFont="1" applyFill="1" applyBorder="1" applyAlignment="1">
      <alignment horizontal="center" vertical="center"/>
    </xf>
    <xf numFmtId="0" fontId="1" fillId="2" borderId="70" xfId="1" applyFont="1" applyFill="1" applyBorder="1" applyAlignment="1">
      <alignment horizontal="center" vertical="center"/>
    </xf>
    <xf numFmtId="0" fontId="3" fillId="0" borderId="0" xfId="1" applyAlignment="1" applyProtection="1">
      <alignment horizontal="right" vertical="center"/>
      <protection hidden="1"/>
    </xf>
    <xf numFmtId="0" fontId="73" fillId="14" borderId="87" xfId="9" applyAlignment="1">
      <alignment horizontal="center" vertical="center"/>
    </xf>
    <xf numFmtId="0" fontId="3" fillId="0" borderId="0" xfId="1" applyAlignment="1" applyProtection="1">
      <alignment horizontal="center"/>
      <protection hidden="1"/>
    </xf>
    <xf numFmtId="0" fontId="13" fillId="6" borderId="75" xfId="0" applyFont="1" applyFill="1" applyBorder="1" applyAlignment="1" applyProtection="1">
      <alignment horizontal="center" vertical="center"/>
      <protection hidden="1"/>
    </xf>
    <xf numFmtId="2" fontId="13" fillId="6" borderId="18" xfId="0" applyNumberFormat="1" applyFont="1" applyFill="1" applyBorder="1" applyAlignment="1" applyProtection="1">
      <alignment horizontal="center" vertical="center"/>
      <protection locked="0"/>
    </xf>
    <xf numFmtId="164" fontId="39" fillId="2" borderId="27" xfId="1" applyNumberFormat="1" applyFont="1" applyFill="1" applyBorder="1" applyAlignment="1" applyProtection="1">
      <alignment horizontal="center"/>
      <protection hidden="1"/>
    </xf>
    <xf numFmtId="164" fontId="39" fillId="2" borderId="28" xfId="1" applyNumberFormat="1" applyFont="1" applyFill="1" applyBorder="1" applyAlignment="1" applyProtection="1">
      <alignment horizontal="center"/>
      <protection hidden="1"/>
    </xf>
    <xf numFmtId="164" fontId="32" fillId="2" borderId="16" xfId="1" applyNumberFormat="1" applyFont="1" applyFill="1" applyBorder="1" applyAlignment="1" applyProtection="1">
      <alignment horizontal="center"/>
      <protection hidden="1"/>
    </xf>
    <xf numFmtId="164" fontId="32" fillId="2" borderId="17" xfId="1" applyNumberFormat="1" applyFont="1" applyFill="1" applyBorder="1" applyAlignment="1" applyProtection="1">
      <alignment horizontal="center"/>
      <protection hidden="1"/>
    </xf>
    <xf numFmtId="164" fontId="32" fillId="2" borderId="18" xfId="1" applyNumberFormat="1" applyFont="1" applyFill="1" applyBorder="1" applyAlignment="1" applyProtection="1">
      <alignment horizontal="center"/>
      <protection hidden="1"/>
    </xf>
    <xf numFmtId="164" fontId="39" fillId="2" borderId="26" xfId="1" applyNumberFormat="1" applyFont="1" applyFill="1" applyBorder="1" applyAlignment="1" applyProtection="1">
      <alignment horizontal="center"/>
      <protection hidden="1"/>
    </xf>
    <xf numFmtId="0" fontId="1" fillId="2" borderId="5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16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164" fontId="39" fillId="2" borderId="27" xfId="1" applyNumberFormat="1" applyFont="1" applyFill="1" applyBorder="1" applyAlignment="1">
      <alignment horizontal="center" vertical="center" shrinkToFit="1"/>
    </xf>
    <xf numFmtId="164" fontId="39" fillId="2" borderId="28" xfId="1" applyNumberFormat="1" applyFont="1" applyFill="1" applyBorder="1" applyAlignment="1">
      <alignment horizontal="center" vertical="center" shrinkToFit="1"/>
    </xf>
    <xf numFmtId="164" fontId="32" fillId="2" borderId="16" xfId="1" applyNumberFormat="1" applyFont="1" applyFill="1" applyBorder="1" applyAlignment="1">
      <alignment horizontal="center" vertical="center" shrinkToFit="1"/>
    </xf>
    <xf numFmtId="164" fontId="32" fillId="2" borderId="17" xfId="1" applyNumberFormat="1" applyFont="1" applyFill="1" applyBorder="1" applyAlignment="1">
      <alignment horizontal="center" vertical="center" shrinkToFit="1"/>
    </xf>
    <xf numFmtId="164" fontId="32" fillId="2" borderId="18" xfId="1" applyNumberFormat="1" applyFont="1" applyFill="1" applyBorder="1" applyAlignment="1">
      <alignment horizontal="center" vertical="center" shrinkToFit="1"/>
    </xf>
    <xf numFmtId="164" fontId="39" fillId="2" borderId="26" xfId="1" applyNumberFormat="1" applyFont="1" applyFill="1" applyBorder="1" applyAlignment="1">
      <alignment horizontal="center" vertical="center" shrinkToFit="1"/>
    </xf>
  </cellXfs>
  <cellStyles count="10">
    <cellStyle name="Calculation" xfId="9" builtinId="22"/>
    <cellStyle name="Good" xfId="5" builtinId="26"/>
    <cellStyle name="Normal" xfId="0" builtinId="0"/>
    <cellStyle name="Normal 2" xfId="1" xr:uid="{00000000-0005-0000-0000-000002000000}"/>
    <cellStyle name="Normal 2 2" xfId="4" xr:uid="{00000000-0005-0000-0000-000003000000}"/>
    <cellStyle name="Normal 3" xfId="6" xr:uid="{2FD931C9-AD14-4BAB-922F-0750D86BB83A}"/>
    <cellStyle name="Normal 7" xfId="7" xr:uid="{FAF9EC6A-4453-4020-9FBD-BD7284015933}"/>
    <cellStyle name="Normal 8" xfId="8" xr:uid="{67F9459B-20B6-4760-8FAF-97B80B12D94F}"/>
    <cellStyle name="Percent 2" xfId="3" xr:uid="{00000000-0005-0000-0000-000004000000}"/>
    <cellStyle name="Tieu de phu" xfId="2" xr:uid="{00000000-0005-0000-0000-000005000000}"/>
  </cellStyles>
  <dxfs count="18"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bottom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border>
        <bottom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bottom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000CC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08E44742-0E9C-4D13-865B-A45A93AFF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FD1A53BB-2C65-4F2E-8D97-09C63244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37EA1690-8920-40C7-8E50-00FDFD6AC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271096</xdr:colOff>
      <xdr:row>14</xdr:row>
      <xdr:rowOff>175846</xdr:rowOff>
    </xdr:from>
    <xdr:to>
      <xdr:col>16</xdr:col>
      <xdr:colOff>58615</xdr:colOff>
      <xdr:row>16</xdr:row>
      <xdr:rowOff>15610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33EDCFBE-9420-4F23-9748-BF33E1F640FC}"/>
            </a:ext>
          </a:extLst>
        </xdr:cNvPr>
        <xdr:cNvSpPr/>
      </xdr:nvSpPr>
      <xdr:spPr bwMode="auto">
        <a:xfrm>
          <a:off x="4471621" y="1785571"/>
          <a:ext cx="587619" cy="239814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oneCellAnchor>
    <xdr:from>
      <xdr:col>34</xdr:col>
      <xdr:colOff>534120</xdr:colOff>
      <xdr:row>111</xdr:row>
      <xdr:rowOff>88805</xdr:rowOff>
    </xdr:from>
    <xdr:ext cx="248851" cy="220317"/>
    <xdr:sp macro="" textlink="AC104">
      <xdr:nvSpPr>
        <xdr:cNvPr id="9" name="TextBox 8">
          <a:extLst>
            <a:ext uri="{FF2B5EF4-FFF2-40B4-BE49-F238E27FC236}">
              <a16:creationId xmlns:a16="http://schemas.microsoft.com/office/drawing/2014/main" id="{C8079993-1ACB-4D48-8198-355709794E0A}"/>
            </a:ext>
          </a:extLst>
        </xdr:cNvPr>
        <xdr:cNvSpPr txBox="1"/>
      </xdr:nvSpPr>
      <xdr:spPr>
        <a:xfrm rot="16200000">
          <a:off x="12968987" y="1495258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34</xdr:col>
      <xdr:colOff>505242</xdr:colOff>
      <xdr:row>92</xdr:row>
      <xdr:rowOff>83318</xdr:rowOff>
    </xdr:from>
    <xdr:ext cx="248851" cy="220317"/>
    <xdr:sp macro="" textlink="AC104">
      <xdr:nvSpPr>
        <xdr:cNvPr id="10" name="TextBox 9">
          <a:extLst>
            <a:ext uri="{FF2B5EF4-FFF2-40B4-BE49-F238E27FC236}">
              <a16:creationId xmlns:a16="http://schemas.microsoft.com/office/drawing/2014/main" id="{B31C595B-9ABF-46C1-BCAC-20D2DB5A1C30}"/>
            </a:ext>
          </a:extLst>
        </xdr:cNvPr>
        <xdr:cNvSpPr txBox="1"/>
      </xdr:nvSpPr>
      <xdr:spPr>
        <a:xfrm rot="16200000">
          <a:off x="12940109" y="115085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49</xdr:col>
      <xdr:colOff>534120</xdr:colOff>
      <xdr:row>111</xdr:row>
      <xdr:rowOff>88805</xdr:rowOff>
    </xdr:from>
    <xdr:ext cx="248851" cy="220317"/>
    <xdr:sp macro="" textlink="AC104">
      <xdr:nvSpPr>
        <xdr:cNvPr id="11" name="TextBox 10">
          <a:extLst>
            <a:ext uri="{FF2B5EF4-FFF2-40B4-BE49-F238E27FC236}">
              <a16:creationId xmlns:a16="http://schemas.microsoft.com/office/drawing/2014/main" id="{5290382B-731C-419D-B3A7-0AC7F3605B16}"/>
            </a:ext>
          </a:extLst>
        </xdr:cNvPr>
        <xdr:cNvSpPr txBox="1"/>
      </xdr:nvSpPr>
      <xdr:spPr>
        <a:xfrm rot="16200000">
          <a:off x="22112987" y="1495258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49</xdr:col>
      <xdr:colOff>505242</xdr:colOff>
      <xdr:row>92</xdr:row>
      <xdr:rowOff>83318</xdr:rowOff>
    </xdr:from>
    <xdr:ext cx="248851" cy="220317"/>
    <xdr:sp macro="" textlink="AC104">
      <xdr:nvSpPr>
        <xdr:cNvPr id="12" name="TextBox 11">
          <a:extLst>
            <a:ext uri="{FF2B5EF4-FFF2-40B4-BE49-F238E27FC236}">
              <a16:creationId xmlns:a16="http://schemas.microsoft.com/office/drawing/2014/main" id="{9C95B154-9741-4205-A15A-60370C9EF46E}"/>
            </a:ext>
          </a:extLst>
        </xdr:cNvPr>
        <xdr:cNvSpPr txBox="1"/>
      </xdr:nvSpPr>
      <xdr:spPr>
        <a:xfrm rot="16200000">
          <a:off x="22084109" y="115085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oneCell">
    <xdr:from>
      <xdr:col>32</xdr:col>
      <xdr:colOff>281144</xdr:colOff>
      <xdr:row>82</xdr:row>
      <xdr:rowOff>74002</xdr:rowOff>
    </xdr:from>
    <xdr:to>
      <xdr:col>42</xdr:col>
      <xdr:colOff>141655</xdr:colOff>
      <xdr:row>91</xdr:row>
      <xdr:rowOff>158116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2DAD903-B31C-E942-18A5-30435B393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0823" y="15341216"/>
          <a:ext cx="5067824" cy="1812221"/>
        </a:xfrm>
        <a:prstGeom prst="rect">
          <a:avLst/>
        </a:prstGeom>
      </xdr:spPr>
    </xdr:pic>
    <xdr:clientData/>
  </xdr:twoCellAnchor>
  <xdr:twoCellAnchor editAs="oneCell">
    <xdr:from>
      <xdr:col>32</xdr:col>
      <xdr:colOff>420459</xdr:colOff>
      <xdr:row>93</xdr:row>
      <xdr:rowOff>176893</xdr:rowOff>
    </xdr:from>
    <xdr:to>
      <xdr:col>42</xdr:col>
      <xdr:colOff>264118</xdr:colOff>
      <xdr:row>111</xdr:row>
      <xdr:rowOff>106179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E529AFF-72DC-E56A-800B-130B26C8E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00138" y="17553214"/>
          <a:ext cx="5050972" cy="3371894"/>
        </a:xfrm>
        <a:prstGeom prst="rect">
          <a:avLst/>
        </a:prstGeom>
      </xdr:spPr>
    </xdr:pic>
    <xdr:clientData/>
  </xdr:twoCellAnchor>
  <xdr:twoCellAnchor editAs="oneCell">
    <xdr:from>
      <xdr:col>42</xdr:col>
      <xdr:colOff>136071</xdr:colOff>
      <xdr:row>83</xdr:row>
      <xdr:rowOff>79995</xdr:rowOff>
    </xdr:from>
    <xdr:to>
      <xdr:col>52</xdr:col>
      <xdr:colOff>170759</xdr:colOff>
      <xdr:row>110</xdr:row>
      <xdr:rowOff>145772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B10609-0632-7130-B7F9-EBDF87235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38964" y="15537709"/>
          <a:ext cx="6157902" cy="5236492"/>
        </a:xfrm>
        <a:prstGeom prst="rect">
          <a:avLst/>
        </a:prstGeom>
      </xdr:spPr>
    </xdr:pic>
    <xdr:clientData/>
  </xdr:twoCellAnchor>
  <xdr:twoCellAnchor>
    <xdr:from>
      <xdr:col>20</xdr:col>
      <xdr:colOff>86988</xdr:colOff>
      <xdr:row>19</xdr:row>
      <xdr:rowOff>79699</xdr:rowOff>
    </xdr:from>
    <xdr:to>
      <xdr:col>21</xdr:col>
      <xdr:colOff>16048</xdr:colOff>
      <xdr:row>21</xdr:row>
      <xdr:rowOff>81530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E4A4E878-A50D-459B-9483-E6418B7F732E}"/>
            </a:ext>
          </a:extLst>
        </xdr:cNvPr>
        <xdr:cNvSpPr/>
      </xdr:nvSpPr>
      <xdr:spPr bwMode="auto">
        <a:xfrm rot="16200000">
          <a:off x="6107907" y="2583655"/>
          <a:ext cx="418550" cy="24457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208359</xdr:colOff>
      <xdr:row>88</xdr:row>
      <xdr:rowOff>89296</xdr:rowOff>
    </xdr:from>
    <xdr:to>
      <xdr:col>3</xdr:col>
      <xdr:colOff>115696</xdr:colOff>
      <xdr:row>89</xdr:row>
      <xdr:rowOff>85672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13F31780-B028-4CA9-B7E4-F72600BA6965}"/>
            </a:ext>
          </a:extLst>
        </xdr:cNvPr>
        <xdr:cNvSpPr/>
      </xdr:nvSpPr>
      <xdr:spPr bwMode="auto">
        <a:xfrm>
          <a:off x="511968" y="16222265"/>
          <a:ext cx="347869" cy="198782"/>
        </a:xfrm>
        <a:prstGeom prst="rightArrow">
          <a:avLst/>
        </a:prstGeom>
        <a:solidFill>
          <a:sysClr val="window" lastClr="FFFFFF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2</xdr:col>
      <xdr:colOff>202406</xdr:colOff>
      <xdr:row>108</xdr:row>
      <xdr:rowOff>130969</xdr:rowOff>
    </xdr:from>
    <xdr:to>
      <xdr:col>3</xdr:col>
      <xdr:colOff>109743</xdr:colOff>
      <xdr:row>109</xdr:row>
      <xdr:rowOff>127345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F05796EB-A4A6-4017-85D1-C6AF1466246F}"/>
            </a:ext>
          </a:extLst>
        </xdr:cNvPr>
        <xdr:cNvSpPr/>
      </xdr:nvSpPr>
      <xdr:spPr bwMode="auto">
        <a:xfrm rot="10800000">
          <a:off x="506015" y="19889391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3</xdr:col>
      <xdr:colOff>0</xdr:colOff>
      <xdr:row>127</xdr:row>
      <xdr:rowOff>148828</xdr:rowOff>
    </xdr:from>
    <xdr:to>
      <xdr:col>3</xdr:col>
      <xdr:colOff>198782</xdr:colOff>
      <xdr:row>129</xdr:row>
      <xdr:rowOff>163322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AD1C01D7-CC2D-4595-BBAA-55A7AFEC37F6}"/>
            </a:ext>
          </a:extLst>
        </xdr:cNvPr>
        <xdr:cNvSpPr/>
      </xdr:nvSpPr>
      <xdr:spPr bwMode="auto">
        <a:xfrm rot="16200000">
          <a:off x="669597" y="23589388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2</xdr:col>
      <xdr:colOff>369095</xdr:colOff>
      <xdr:row>151</xdr:row>
      <xdr:rowOff>65485</xdr:rowOff>
    </xdr:from>
    <xdr:to>
      <xdr:col>3</xdr:col>
      <xdr:colOff>127345</xdr:colOff>
      <xdr:row>153</xdr:row>
      <xdr:rowOff>20448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A9A4BD20-4215-4312-9D76-5C25FB2562E8}"/>
            </a:ext>
          </a:extLst>
        </xdr:cNvPr>
        <xdr:cNvSpPr/>
      </xdr:nvSpPr>
      <xdr:spPr bwMode="auto">
        <a:xfrm rot="5400000">
          <a:off x="598160" y="27708951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16</xdr:col>
      <xdr:colOff>247650</xdr:colOff>
      <xdr:row>19</xdr:row>
      <xdr:rowOff>28576</xdr:rowOff>
    </xdr:from>
    <xdr:to>
      <xdr:col>18</xdr:col>
      <xdr:colOff>133350</xdr:colOff>
      <xdr:row>21</xdr:row>
      <xdr:rowOff>137854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1992E16-4005-DDC3-391A-E6A406E0E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76825" y="3095626"/>
          <a:ext cx="514350" cy="528378"/>
        </a:xfrm>
        <a:prstGeom prst="rect">
          <a:avLst/>
        </a:prstGeom>
      </xdr:spPr>
    </xdr:pic>
    <xdr:clientData/>
  </xdr:twoCellAnchor>
  <xdr:twoCellAnchor editAs="oneCell">
    <xdr:from>
      <xdr:col>34</xdr:col>
      <xdr:colOff>171450</xdr:colOff>
      <xdr:row>9</xdr:row>
      <xdr:rowOff>76200</xdr:rowOff>
    </xdr:from>
    <xdr:to>
      <xdr:col>43</xdr:col>
      <xdr:colOff>542061</xdr:colOff>
      <xdr:row>19</xdr:row>
      <xdr:rowOff>55419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30F7CF-8340-45C0-9E1E-FB284631F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87175" y="1219200"/>
          <a:ext cx="5123586" cy="1903269"/>
        </a:xfrm>
        <a:prstGeom prst="rect">
          <a:avLst/>
        </a:prstGeom>
      </xdr:spPr>
    </xdr:pic>
    <xdr:clientData/>
  </xdr:twoCellAnchor>
  <xdr:twoCellAnchor editAs="oneCell">
    <xdr:from>
      <xdr:col>37</xdr:col>
      <xdr:colOff>228600</xdr:colOff>
      <xdr:row>19</xdr:row>
      <xdr:rowOff>114343</xdr:rowOff>
    </xdr:from>
    <xdr:to>
      <xdr:col>43</xdr:col>
      <xdr:colOff>591407</xdr:colOff>
      <xdr:row>36</xdr:row>
      <xdr:rowOff>86572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DE104E9-F876-708B-B54B-25FE91794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44525" y="3181393"/>
          <a:ext cx="3515582" cy="3477429"/>
        </a:xfrm>
        <a:prstGeom prst="rect">
          <a:avLst/>
        </a:prstGeom>
      </xdr:spPr>
    </xdr:pic>
    <xdr:clientData/>
  </xdr:twoCellAnchor>
  <xdr:twoCellAnchor editAs="oneCell">
    <xdr:from>
      <xdr:col>44</xdr:col>
      <xdr:colOff>294409</xdr:colOff>
      <xdr:row>11</xdr:row>
      <xdr:rowOff>50203</xdr:rowOff>
    </xdr:from>
    <xdr:to>
      <xdr:col>55</xdr:col>
      <xdr:colOff>572856</xdr:colOff>
      <xdr:row>35</xdr:row>
      <xdr:rowOff>55507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6E7C2B-68D7-B567-F91B-A364974A4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62318" y="1522248"/>
          <a:ext cx="6945947" cy="4906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37D7-5262-4C94-AB4C-CB769338DA34}">
  <sheetPr codeName="Sheet2">
    <tabColor rgb="FFFF0000"/>
  </sheetPr>
  <dimension ref="A1:AA61"/>
  <sheetViews>
    <sheetView showGridLines="0" view="pageBreakPreview" topLeftCell="A11" zoomScaleNormal="100" zoomScaleSheetLayoutView="100" workbookViewId="0">
      <selection activeCell="Q22" sqref="Q22"/>
    </sheetView>
  </sheetViews>
  <sheetFormatPr defaultRowHeight="12.75"/>
  <cols>
    <col min="1" max="1" width="3" style="167" customWidth="1"/>
    <col min="2" max="2" width="11.85546875" style="166" customWidth="1"/>
    <col min="3" max="3" width="7.5703125" style="166" customWidth="1"/>
    <col min="4" max="4" width="7.7109375" style="166" customWidth="1"/>
    <col min="5" max="5" width="7.5703125" style="166" bestFit="1" customWidth="1"/>
    <col min="6" max="6" width="5.28515625" style="166" customWidth="1"/>
    <col min="7" max="7" width="7.28515625" style="166" bestFit="1" customWidth="1"/>
    <col min="8" max="8" width="8.5703125" style="166" bestFit="1" customWidth="1"/>
    <col min="9" max="9" width="8.28515625" style="166" customWidth="1"/>
    <col min="10" max="10" width="6.5703125" style="166" bestFit="1" customWidth="1"/>
    <col min="11" max="11" width="7.5703125" style="166" bestFit="1" customWidth="1"/>
    <col min="12" max="12" width="7.28515625" style="166" bestFit="1" customWidth="1"/>
    <col min="13" max="13" width="6.85546875" style="166" customWidth="1"/>
    <col min="14" max="14" width="8.85546875" style="166" customWidth="1"/>
    <col min="15" max="15" width="8.85546875" style="167" customWidth="1"/>
    <col min="16" max="16" width="12.85546875" style="167" bestFit="1" customWidth="1"/>
    <col min="17" max="16384" width="9.140625" style="167"/>
  </cols>
  <sheetData>
    <row r="1" spans="1:27" ht="14.25" customHeight="1">
      <c r="A1" s="166"/>
      <c r="P1" s="168"/>
      <c r="Q1" s="168"/>
      <c r="R1" s="168"/>
    </row>
    <row r="2" spans="1:27" ht="24" customHeight="1">
      <c r="A2" s="166"/>
      <c r="B2" s="223" t="s">
        <v>248</v>
      </c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169"/>
      <c r="P2" s="168"/>
      <c r="Q2" s="168"/>
      <c r="R2" s="168"/>
    </row>
    <row r="3" spans="1:27" ht="12.75" customHeight="1">
      <c r="A3" s="166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69"/>
      <c r="P3" s="168"/>
      <c r="Q3" s="168"/>
      <c r="R3" s="168"/>
    </row>
    <row r="4" spans="1:27" ht="12.75" customHeight="1">
      <c r="A4" s="166"/>
      <c r="B4" s="224" t="s">
        <v>249</v>
      </c>
      <c r="C4" s="224"/>
      <c r="D4" s="171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69"/>
      <c r="P4" s="168"/>
      <c r="Q4" s="168"/>
      <c r="R4" s="168"/>
    </row>
    <row r="5" spans="1:27">
      <c r="A5" s="166"/>
      <c r="B5" s="219" t="s">
        <v>250</v>
      </c>
      <c r="C5" s="219"/>
      <c r="D5" s="219"/>
      <c r="E5" s="173">
        <v>13.5</v>
      </c>
      <c r="F5" s="221" t="s">
        <v>251</v>
      </c>
      <c r="G5" s="222"/>
      <c r="H5" s="222"/>
      <c r="I5" s="222"/>
      <c r="J5" s="176">
        <v>0</v>
      </c>
      <c r="K5" s="177" t="s">
        <v>219</v>
      </c>
      <c r="M5" s="178"/>
    </row>
    <row r="6" spans="1:27">
      <c r="A6" s="166"/>
      <c r="B6" s="219" t="s">
        <v>252</v>
      </c>
      <c r="C6" s="219"/>
      <c r="D6" s="179" t="s">
        <v>28</v>
      </c>
      <c r="H6" s="174"/>
      <c r="I6" s="178"/>
      <c r="J6" s="178"/>
      <c r="K6" s="180"/>
      <c r="L6" s="174"/>
      <c r="M6" s="178"/>
    </row>
    <row r="7" spans="1:27">
      <c r="A7" s="166"/>
      <c r="B7" s="219" t="s">
        <v>253</v>
      </c>
      <c r="C7" s="220"/>
      <c r="D7" s="182" t="s">
        <v>52</v>
      </c>
      <c r="E7" s="221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222"/>
      <c r="G7" s="222"/>
      <c r="H7" s="222"/>
      <c r="I7" s="222"/>
      <c r="J7" s="222"/>
      <c r="K7" s="222"/>
      <c r="L7" s="222"/>
      <c r="M7" s="222"/>
      <c r="N7" s="222"/>
      <c r="O7" s="183"/>
    </row>
    <row r="8" spans="1:27">
      <c r="A8" s="166"/>
      <c r="B8" s="219" t="s">
        <v>74</v>
      </c>
      <c r="C8" s="219"/>
      <c r="D8" s="219"/>
      <c r="E8" s="220"/>
      <c r="F8" s="220"/>
      <c r="G8" s="220"/>
      <c r="H8" s="225" t="s">
        <v>254</v>
      </c>
      <c r="I8" s="226"/>
      <c r="J8" s="226"/>
    </row>
    <row r="9" spans="1:27">
      <c r="A9" s="166"/>
      <c r="B9" s="219" t="s">
        <v>255</v>
      </c>
      <c r="C9" s="220"/>
      <c r="D9" s="220"/>
      <c r="E9" s="220"/>
      <c r="F9" s="220"/>
      <c r="G9" s="220"/>
      <c r="H9" s="184">
        <v>1</v>
      </c>
      <c r="J9" s="221" t="s">
        <v>256</v>
      </c>
      <c r="K9" s="222"/>
      <c r="L9" s="222"/>
      <c r="M9" s="222"/>
      <c r="N9" s="222"/>
      <c r="O9" s="183"/>
      <c r="R9" s="227"/>
      <c r="S9" s="227"/>
      <c r="T9" s="227"/>
      <c r="U9" s="227"/>
      <c r="V9" s="227"/>
      <c r="W9" s="227"/>
      <c r="X9" s="227"/>
      <c r="Y9" s="227"/>
      <c r="Z9" s="227"/>
      <c r="AA9" s="227"/>
    </row>
    <row r="10" spans="1:27" ht="15.75">
      <c r="A10" s="166"/>
      <c r="B10" s="219" t="s">
        <v>257</v>
      </c>
      <c r="C10" s="220"/>
      <c r="D10" s="220"/>
      <c r="E10" s="220"/>
      <c r="F10" s="220"/>
      <c r="G10" s="220"/>
      <c r="H10" s="185">
        <f>VLOOKUP(D6,GustFactor!$F$57:$H$61,2,FALSE)</f>
        <v>0.95</v>
      </c>
      <c r="J10" s="221" t="s">
        <v>258</v>
      </c>
      <c r="K10" s="222"/>
      <c r="L10" s="222"/>
      <c r="M10" s="222"/>
      <c r="N10" s="222"/>
      <c r="O10" s="183"/>
      <c r="R10" s="227"/>
      <c r="S10" s="227"/>
      <c r="T10" s="227"/>
      <c r="U10" s="227"/>
      <c r="V10" s="227"/>
      <c r="W10" s="227"/>
      <c r="X10" s="227"/>
      <c r="Y10" s="227"/>
      <c r="Z10" s="227"/>
      <c r="AA10" s="227"/>
    </row>
    <row r="11" spans="1:27" ht="15.75">
      <c r="A11" s="166"/>
      <c r="B11" s="219" t="s">
        <v>259</v>
      </c>
      <c r="C11" s="220"/>
      <c r="D11" s="220"/>
      <c r="E11" s="220"/>
      <c r="F11" s="220"/>
      <c r="G11" s="220"/>
      <c r="H11" s="185">
        <f>H10*0.852</f>
        <v>0.8093999999999999</v>
      </c>
      <c r="J11" s="221" t="s">
        <v>260</v>
      </c>
      <c r="K11" s="222"/>
      <c r="L11" s="222"/>
      <c r="M11" s="222"/>
      <c r="N11" s="222"/>
      <c r="O11" s="183"/>
    </row>
    <row r="12" spans="1:27">
      <c r="A12" s="166"/>
      <c r="B12" s="219" t="s">
        <v>261</v>
      </c>
      <c r="C12" s="220"/>
      <c r="D12" s="220"/>
      <c r="E12" s="220"/>
      <c r="F12" s="220"/>
      <c r="G12" s="220"/>
      <c r="H12" s="186">
        <f>VLOOKUP(D6,GustFactor!$F$57:$H$61,3,FALSE)</f>
        <v>44</v>
      </c>
      <c r="J12" s="221" t="s">
        <v>258</v>
      </c>
      <c r="K12" s="222"/>
      <c r="L12" s="222"/>
      <c r="M12" s="222"/>
      <c r="N12" s="222"/>
      <c r="O12" s="183"/>
    </row>
    <row r="13" spans="1:27" ht="15.75">
      <c r="A13" s="166"/>
      <c r="B13" s="219" t="s">
        <v>262</v>
      </c>
      <c r="C13" s="220"/>
      <c r="D13" s="220"/>
      <c r="E13" s="220"/>
      <c r="F13" s="220"/>
      <c r="G13" s="220"/>
      <c r="H13" s="185">
        <f>VLOOKUP($D$7,Bang8_10,4)</f>
        <v>4.57</v>
      </c>
      <c r="J13" s="221" t="s">
        <v>263</v>
      </c>
      <c r="K13" s="222"/>
      <c r="L13" s="222"/>
      <c r="M13" s="222"/>
      <c r="N13" s="222"/>
      <c r="O13" s="183"/>
    </row>
    <row r="14" spans="1:27" ht="15.75">
      <c r="A14" s="166"/>
      <c r="B14" s="219" t="s">
        <v>264</v>
      </c>
      <c r="C14" s="220"/>
      <c r="D14" s="220"/>
      <c r="E14" s="220"/>
      <c r="F14" s="220"/>
      <c r="G14" s="220"/>
      <c r="H14" s="185">
        <f>VLOOKUP($D$7,Bang8_10,3)</f>
        <v>274.32</v>
      </c>
      <c r="J14" s="221" t="s">
        <v>263</v>
      </c>
      <c r="K14" s="222"/>
      <c r="L14" s="222"/>
      <c r="M14" s="222"/>
      <c r="N14" s="222"/>
      <c r="O14" s="183"/>
    </row>
    <row r="15" spans="1:27">
      <c r="A15" s="166"/>
      <c r="B15" s="219" t="s">
        <v>265</v>
      </c>
      <c r="C15" s="220"/>
      <c r="D15" s="220"/>
      <c r="E15" s="220"/>
      <c r="F15" s="220"/>
      <c r="G15" s="220"/>
      <c r="H15" s="185">
        <f>VLOOKUP($D$7,Bang8_10,5)</f>
        <v>9.5</v>
      </c>
      <c r="J15" s="221" t="s">
        <v>263</v>
      </c>
      <c r="K15" s="222"/>
      <c r="L15" s="222"/>
      <c r="M15" s="222"/>
      <c r="N15" s="222"/>
      <c r="O15" s="183"/>
    </row>
    <row r="16" spans="1:27" ht="15.75">
      <c r="A16" s="166"/>
      <c r="B16" s="219" t="s">
        <v>266</v>
      </c>
      <c r="C16" s="220"/>
      <c r="D16" s="220"/>
      <c r="E16" s="220"/>
      <c r="F16" s="220"/>
      <c r="G16" s="220"/>
      <c r="H16" s="185">
        <f>VLOOKUP(D7,Bang8_10,6)</f>
        <v>1.97</v>
      </c>
      <c r="J16" s="221" t="s">
        <v>263</v>
      </c>
      <c r="K16" s="222"/>
      <c r="L16" s="222"/>
      <c r="M16" s="222"/>
      <c r="N16" s="222"/>
      <c r="O16" s="183"/>
    </row>
    <row r="17" spans="1:15" ht="15.75">
      <c r="A17" s="166"/>
      <c r="B17" s="219" t="s">
        <v>267</v>
      </c>
      <c r="C17" s="220"/>
      <c r="D17" s="220"/>
      <c r="E17" s="220"/>
      <c r="F17" s="220"/>
      <c r="G17" s="220"/>
      <c r="H17" s="185">
        <f>VLOOKUP(D7,Bang8_10,7)</f>
        <v>0.2</v>
      </c>
      <c r="J17" s="221" t="s">
        <v>268</v>
      </c>
      <c r="K17" s="222"/>
      <c r="L17" s="222"/>
      <c r="M17" s="222"/>
      <c r="N17" s="222"/>
      <c r="O17" s="183"/>
    </row>
    <row r="18" spans="1:15">
      <c r="A18" s="166"/>
      <c r="B18" s="219" t="s">
        <v>269</v>
      </c>
      <c r="C18" s="220"/>
      <c r="D18" s="220"/>
      <c r="E18" s="220"/>
      <c r="F18" s="220"/>
      <c r="G18" s="220"/>
      <c r="H18" s="185">
        <f>VLOOKUP(D7,Bang8_10,8)</f>
        <v>152.4</v>
      </c>
      <c r="J18" s="221" t="s">
        <v>268</v>
      </c>
      <c r="K18" s="222"/>
      <c r="L18" s="222"/>
      <c r="M18" s="222"/>
      <c r="N18" s="222"/>
      <c r="O18" s="183"/>
    </row>
    <row r="19" spans="1:15">
      <c r="A19" s="166"/>
      <c r="B19" s="219" t="s">
        <v>270</v>
      </c>
      <c r="C19" s="220"/>
      <c r="D19" s="220"/>
      <c r="E19" s="220"/>
      <c r="F19" s="220"/>
      <c r="G19" s="220"/>
      <c r="H19" s="185">
        <f>VLOOKUP(D7,Bang8_10,9)</f>
        <v>0.2</v>
      </c>
      <c r="J19" s="221" t="s">
        <v>268</v>
      </c>
      <c r="K19" s="222"/>
      <c r="L19" s="222"/>
      <c r="M19" s="222"/>
      <c r="N19" s="222"/>
      <c r="O19" s="183"/>
    </row>
    <row r="20" spans="1:15">
      <c r="A20" s="166"/>
      <c r="B20" s="219" t="s">
        <v>271</v>
      </c>
      <c r="C20" s="220"/>
      <c r="D20" s="220"/>
      <c r="E20" s="220"/>
      <c r="F20" s="220"/>
      <c r="G20" s="220"/>
      <c r="H20" s="185">
        <f>VLOOKUP(D7,Bang8_10,10)</f>
        <v>0.65</v>
      </c>
      <c r="J20" s="221" t="s">
        <v>268</v>
      </c>
      <c r="K20" s="222"/>
      <c r="L20" s="222"/>
      <c r="M20" s="222"/>
      <c r="N20" s="222"/>
      <c r="O20" s="183"/>
    </row>
    <row r="21" spans="1:15">
      <c r="A21" s="166"/>
      <c r="B21" s="219" t="s">
        <v>272</v>
      </c>
      <c r="C21" s="220"/>
      <c r="D21" s="220"/>
      <c r="E21" s="220"/>
      <c r="F21" s="220"/>
      <c r="G21" s="220"/>
      <c r="H21" s="185">
        <f>VLOOKUP(D7,Bang8_10,11)</f>
        <v>0.15384615384615385</v>
      </c>
      <c r="J21" s="221" t="s">
        <v>268</v>
      </c>
      <c r="K21" s="222"/>
      <c r="L21" s="222"/>
      <c r="M21" s="222"/>
      <c r="N21" s="222"/>
      <c r="O21" s="183"/>
    </row>
    <row r="22" spans="1:15" ht="15.75">
      <c r="A22" s="166"/>
      <c r="B22" s="219" t="s">
        <v>273</v>
      </c>
      <c r="C22" s="220"/>
      <c r="D22" s="220"/>
      <c r="E22" s="220"/>
      <c r="F22" s="220"/>
      <c r="G22" s="220"/>
      <c r="H22" s="185">
        <f>$H$17*(10/(0.6*$E$5))^(1/6)</f>
        <v>0.20714883373025728</v>
      </c>
      <c r="J22" s="221" t="s">
        <v>274</v>
      </c>
      <c r="K22" s="222"/>
      <c r="L22" s="222"/>
      <c r="M22" s="222"/>
      <c r="N22" s="222"/>
      <c r="O22" s="183"/>
    </row>
    <row r="23" spans="1:15" ht="15.75">
      <c r="A23" s="166"/>
      <c r="B23" s="219" t="s">
        <v>275</v>
      </c>
      <c r="C23" s="220"/>
      <c r="D23" s="220"/>
      <c r="E23" s="220"/>
      <c r="F23" s="220"/>
      <c r="G23" s="220"/>
      <c r="H23" s="185">
        <f>H18*(0.6*E5/10)^H19</f>
        <v>146.11068296436144</v>
      </c>
      <c r="J23" s="221" t="s">
        <v>276</v>
      </c>
      <c r="K23" s="222"/>
      <c r="L23" s="222"/>
      <c r="M23" s="222"/>
      <c r="N23" s="222"/>
      <c r="O23" s="183"/>
    </row>
    <row r="24" spans="1:15">
      <c r="A24" s="166"/>
      <c r="B24" s="219" t="s">
        <v>277</v>
      </c>
      <c r="C24" s="220"/>
      <c r="D24" s="220"/>
      <c r="E24" s="220"/>
      <c r="F24" s="220"/>
      <c r="G24" s="220"/>
      <c r="H24" s="185">
        <f>IF(H8="Kết cấu BT và BTCT",0.02,IF(H8="Kết cấu thép",0.01,0.015))</f>
        <v>0.01</v>
      </c>
      <c r="J24" s="221" t="s">
        <v>278</v>
      </c>
      <c r="K24" s="222"/>
      <c r="L24" s="222"/>
      <c r="M24" s="222"/>
      <c r="N24" s="222"/>
      <c r="O24" s="183"/>
    </row>
    <row r="25" spans="1:15" ht="15.75">
      <c r="A25" s="166"/>
      <c r="B25" s="219" t="s">
        <v>279</v>
      </c>
      <c r="C25" s="220"/>
      <c r="D25" s="220"/>
      <c r="E25" s="220"/>
      <c r="F25" s="220"/>
      <c r="G25" s="220"/>
      <c r="H25" s="185">
        <f>H12*H20*(0.6*E5/10)^H21</f>
        <v>27.68769519252514</v>
      </c>
      <c r="J25" s="221" t="s">
        <v>280</v>
      </c>
      <c r="K25" s="222"/>
      <c r="L25" s="222"/>
      <c r="M25" s="222"/>
      <c r="N25" s="222"/>
      <c r="O25" s="183"/>
    </row>
    <row r="26" spans="1:15">
      <c r="A26" s="166"/>
      <c r="M26" s="174"/>
      <c r="N26" s="187"/>
      <c r="O26" s="188"/>
    </row>
    <row r="27" spans="1:15">
      <c r="A27" s="166"/>
      <c r="B27" s="228" t="s">
        <v>281</v>
      </c>
      <c r="C27" s="228"/>
      <c r="D27" s="228"/>
      <c r="E27" s="228"/>
      <c r="F27" s="228"/>
      <c r="G27" s="228" t="s">
        <v>282</v>
      </c>
      <c r="H27" s="228"/>
      <c r="I27" s="228"/>
      <c r="J27" s="228"/>
      <c r="K27" s="228"/>
      <c r="L27" s="228"/>
      <c r="M27" s="221" t="s">
        <v>283</v>
      </c>
      <c r="N27" s="222"/>
      <c r="O27" s="183"/>
    </row>
    <row r="28" spans="1:15">
      <c r="A28" s="166"/>
      <c r="B28" s="219" t="str">
        <f>"Chu kỳ dao động (s)"</f>
        <v>Chu kỳ dao động (s)</v>
      </c>
      <c r="C28" s="219"/>
      <c r="D28" s="219"/>
      <c r="E28" s="190">
        <v>1.45</v>
      </c>
      <c r="F28" s="189"/>
      <c r="G28" s="221" t="s">
        <v>284</v>
      </c>
      <c r="H28" s="221"/>
      <c r="I28" s="221"/>
      <c r="J28" s="221"/>
      <c r="K28" s="190">
        <v>1.5</v>
      </c>
      <c r="L28" s="189"/>
      <c r="M28" s="174"/>
      <c r="N28" s="175"/>
      <c r="O28" s="183"/>
    </row>
    <row r="29" spans="1:15">
      <c r="A29" s="166"/>
      <c r="B29" s="219" t="s">
        <v>285</v>
      </c>
      <c r="C29" s="219"/>
      <c r="D29" s="219"/>
      <c r="E29" s="191">
        <v>50</v>
      </c>
      <c r="F29" s="189"/>
      <c r="G29" s="221" t="s">
        <v>285</v>
      </c>
      <c r="H29" s="221"/>
      <c r="I29" s="221"/>
      <c r="J29" s="221"/>
      <c r="K29" s="192">
        <f>E30</f>
        <v>100</v>
      </c>
      <c r="L29" s="189"/>
      <c r="M29" s="174"/>
      <c r="N29" s="175"/>
      <c r="O29" s="183"/>
    </row>
    <row r="30" spans="1:15">
      <c r="A30" s="166"/>
      <c r="B30" s="219" t="s">
        <v>286</v>
      </c>
      <c r="C30" s="220"/>
      <c r="D30" s="220"/>
      <c r="E30" s="191">
        <v>100</v>
      </c>
      <c r="F30" s="189"/>
      <c r="G30" s="221" t="s">
        <v>286</v>
      </c>
      <c r="H30" s="222"/>
      <c r="I30" s="222"/>
      <c r="J30" s="222"/>
      <c r="K30" s="192">
        <f>E29</f>
        <v>50</v>
      </c>
      <c r="L30" s="189"/>
      <c r="M30" s="174"/>
      <c r="N30" s="175"/>
      <c r="O30" s="183"/>
    </row>
    <row r="31" spans="1:15">
      <c r="A31" s="166"/>
      <c r="B31" s="172"/>
      <c r="C31" s="181"/>
      <c r="D31" s="181"/>
      <c r="E31" s="191"/>
      <c r="F31" s="189"/>
      <c r="G31" s="174"/>
      <c r="H31" s="175"/>
      <c r="I31" s="175"/>
      <c r="J31" s="175"/>
      <c r="K31" s="192"/>
      <c r="L31" s="189"/>
      <c r="M31" s="174"/>
      <c r="N31" s="175"/>
      <c r="O31" s="183"/>
    </row>
    <row r="32" spans="1:15">
      <c r="A32" s="166"/>
      <c r="B32" s="224" t="s">
        <v>287</v>
      </c>
      <c r="C32" s="224"/>
      <c r="D32" s="175"/>
      <c r="E32" s="191"/>
      <c r="F32" s="189"/>
      <c r="G32" s="174"/>
      <c r="H32" s="175"/>
      <c r="I32" s="175"/>
      <c r="J32" s="175"/>
      <c r="K32" s="192"/>
      <c r="L32" s="189"/>
      <c r="M32" s="174"/>
      <c r="N32" s="175"/>
      <c r="O32" s="183"/>
    </row>
    <row r="33" spans="1:22" ht="15.75">
      <c r="A33" s="189"/>
      <c r="B33" s="219" t="s">
        <v>288</v>
      </c>
      <c r="C33" s="220"/>
      <c r="D33" s="220"/>
      <c r="E33" s="193">
        <f>IF($E$28&lt;=1,0.85,0.925*((1+1.7*H22*SQRT(3.4^2*E37^2+E36^2*E38^2))/(1+1.7*H22*3.4)))</f>
        <v>0.9438934308721264</v>
      </c>
      <c r="G33" s="221" t="s">
        <v>288</v>
      </c>
      <c r="H33" s="222"/>
      <c r="I33" s="222"/>
      <c r="J33" s="222"/>
      <c r="K33" s="193">
        <f>IF($K$28&lt;=1,0.85,0.925*((1+1.7*H22*SQRT(3.4^2*K37^2+K36^2*K38^2))/(1+1.7*H22*3.4)))</f>
        <v>0.88580526599160792</v>
      </c>
      <c r="M33" s="221" t="s">
        <v>289</v>
      </c>
      <c r="N33" s="222"/>
      <c r="O33" s="183"/>
    </row>
    <row r="34" spans="1:22">
      <c r="A34" s="189"/>
      <c r="B34" s="172"/>
      <c r="C34" s="181"/>
      <c r="D34" s="181"/>
      <c r="E34" s="181"/>
      <c r="G34" s="174"/>
      <c r="H34" s="175"/>
      <c r="I34" s="175"/>
      <c r="J34" s="175"/>
      <c r="K34" s="181"/>
      <c r="M34" s="174"/>
      <c r="N34" s="175"/>
      <c r="O34" s="183"/>
    </row>
    <row r="35" spans="1:22">
      <c r="A35" s="189"/>
      <c r="B35" s="224" t="s">
        <v>290</v>
      </c>
      <c r="C35" s="224"/>
      <c r="D35" s="175"/>
      <c r="E35" s="174"/>
      <c r="G35" s="174"/>
      <c r="H35" s="175"/>
      <c r="I35" s="175"/>
      <c r="J35" s="175"/>
      <c r="K35" s="174"/>
      <c r="M35" s="174"/>
      <c r="N35" s="175"/>
      <c r="O35" s="183"/>
    </row>
    <row r="36" spans="1:22">
      <c r="A36" s="189"/>
      <c r="B36" s="219" t="s">
        <v>291</v>
      </c>
      <c r="C36" s="219"/>
      <c r="D36" s="219"/>
      <c r="E36" s="185">
        <f>SQRT(2*LN(3600/$E$28))+0.577/SQRT(2*LN(3600/$E$28))</f>
        <v>4.0999446318121446</v>
      </c>
      <c r="F36" s="189"/>
      <c r="G36" s="221" t="s">
        <v>291</v>
      </c>
      <c r="H36" s="221"/>
      <c r="I36" s="221"/>
      <c r="J36" s="221"/>
      <c r="K36" s="192">
        <f>SQRT(2*LN(3600/$K$28))+0.577/SQRT(2*LN(3600/$K$28))</f>
        <v>4.0916788284258532</v>
      </c>
      <c r="L36" s="189"/>
      <c r="M36" s="221" t="s">
        <v>292</v>
      </c>
      <c r="N36" s="221"/>
      <c r="O36" s="194"/>
    </row>
    <row r="37" spans="1:22">
      <c r="A37" s="189"/>
      <c r="B37" s="219" t="s">
        <v>293</v>
      </c>
      <c r="C37" s="220"/>
      <c r="D37" s="220"/>
      <c r="E37" s="185">
        <f>SQRT(1/(1+0.63*((E5+E29)/H23)^0.63))</f>
        <v>0.85352262757816644</v>
      </c>
      <c r="G37" s="221" t="s">
        <v>294</v>
      </c>
      <c r="H37" s="222"/>
      <c r="I37" s="222"/>
      <c r="J37" s="222"/>
      <c r="K37" s="185">
        <f>SQRT(1/(1+0.63*((E5+K29)/H23)^0.63))</f>
        <v>0.8065233328361785</v>
      </c>
      <c r="M37" s="221" t="s">
        <v>295</v>
      </c>
      <c r="N37" s="222"/>
      <c r="O37" s="183"/>
    </row>
    <row r="38" spans="1:22">
      <c r="A38" s="189"/>
      <c r="B38" s="219" t="s">
        <v>296</v>
      </c>
      <c r="C38" s="219"/>
      <c r="D38" s="219"/>
      <c r="E38" s="185">
        <f>SQRT(E39*E44*E45*(0.53+0.47*E46)/H24)</f>
        <v>0.48911554289282133</v>
      </c>
      <c r="F38" s="189"/>
      <c r="G38" s="221" t="s">
        <v>296</v>
      </c>
      <c r="H38" s="221"/>
      <c r="I38" s="221"/>
      <c r="J38" s="222"/>
      <c r="K38" s="192">
        <f>SQRT(K39*K44*K45*(0.53+0.47*K46)/H24)</f>
        <v>0.37165376209058926</v>
      </c>
      <c r="L38" s="189"/>
      <c r="M38" s="221" t="s">
        <v>297</v>
      </c>
      <c r="N38" s="221"/>
      <c r="O38" s="194"/>
    </row>
    <row r="39" spans="1:22" ht="16.5">
      <c r="A39" s="189"/>
      <c r="B39" s="219" t="s">
        <v>298</v>
      </c>
      <c r="C39" s="219"/>
      <c r="D39" s="219"/>
      <c r="E39" s="185">
        <f>7.47*E40/(1+10.3*E40)^(5/3)</f>
        <v>6.1970374863139013E-2</v>
      </c>
      <c r="F39" s="189"/>
      <c r="G39" s="221" t="s">
        <v>298</v>
      </c>
      <c r="H39" s="221"/>
      <c r="I39" s="221"/>
      <c r="J39" s="222"/>
      <c r="K39" s="192">
        <f>7.47*K40/(1+10.3*K40)^(5/3)</f>
        <v>6.3292372875814254E-2</v>
      </c>
      <c r="L39" s="189"/>
      <c r="M39" s="221" t="s">
        <v>299</v>
      </c>
      <c r="N39" s="221"/>
      <c r="O39" s="194"/>
      <c r="T39" s="195"/>
      <c r="U39" s="195"/>
      <c r="V39" s="195"/>
    </row>
    <row r="40" spans="1:22" ht="16.5">
      <c r="A40" s="189"/>
      <c r="B40" s="172" t="s">
        <v>300</v>
      </c>
      <c r="C40" s="174"/>
      <c r="D40" s="174"/>
      <c r="E40" s="185">
        <f>H23/E28/H25</f>
        <v>3.6393779818295457</v>
      </c>
      <c r="F40" s="189"/>
      <c r="G40" s="221" t="s">
        <v>300</v>
      </c>
      <c r="H40" s="222"/>
      <c r="I40" s="222"/>
      <c r="J40" s="222"/>
      <c r="K40" s="192">
        <f>H23/K28/H25</f>
        <v>3.518065382435227</v>
      </c>
      <c r="L40" s="189"/>
      <c r="M40" s="221" t="s">
        <v>301</v>
      </c>
      <c r="N40" s="221"/>
      <c r="O40" s="194"/>
      <c r="T40" s="195"/>
      <c r="U40" s="195"/>
      <c r="V40" s="195"/>
    </row>
    <row r="41" spans="1:22" ht="16.5">
      <c r="A41" s="189"/>
      <c r="B41" s="172" t="s">
        <v>302</v>
      </c>
      <c r="C41" s="174"/>
      <c r="D41" s="174"/>
      <c r="E41" s="185">
        <f>4.6*E5/E28/H25</f>
        <v>1.5468093645605696</v>
      </c>
      <c r="F41" s="189"/>
      <c r="G41" s="221" t="s">
        <v>302</v>
      </c>
      <c r="H41" s="222"/>
      <c r="I41" s="222"/>
      <c r="J41" s="222"/>
      <c r="K41" s="192">
        <f>4.6*E5/K28/H25</f>
        <v>1.4952490524085507</v>
      </c>
      <c r="L41" s="189"/>
      <c r="M41" s="221" t="s">
        <v>303</v>
      </c>
      <c r="N41" s="221"/>
      <c r="O41" s="194"/>
      <c r="T41" s="195"/>
      <c r="U41" s="195"/>
      <c r="V41" s="195"/>
    </row>
    <row r="42" spans="1:22" ht="16.5">
      <c r="A42" s="189"/>
      <c r="B42" s="172" t="s">
        <v>304</v>
      </c>
      <c r="C42" s="174"/>
      <c r="D42" s="174"/>
      <c r="E42" s="185">
        <f>4.6*E29/E28/H25</f>
        <v>5.7289235724465541</v>
      </c>
      <c r="F42" s="189"/>
      <c r="G42" s="221" t="s">
        <v>304</v>
      </c>
      <c r="H42" s="222"/>
      <c r="I42" s="222"/>
      <c r="J42" s="222"/>
      <c r="K42" s="192">
        <f>4.6*K29/K28/H25</f>
        <v>11.075918906730003</v>
      </c>
      <c r="L42" s="189"/>
      <c r="M42" s="221" t="s">
        <v>303</v>
      </c>
      <c r="N42" s="221"/>
      <c r="O42" s="194"/>
      <c r="T42" s="195"/>
      <c r="U42" s="195"/>
      <c r="V42" s="195"/>
    </row>
    <row r="43" spans="1:22" ht="15.75">
      <c r="A43" s="189"/>
      <c r="B43" s="172" t="s">
        <v>305</v>
      </c>
      <c r="C43" s="174"/>
      <c r="D43" s="174"/>
      <c r="E43" s="185">
        <f>15.4*E30/E28/H25</f>
        <v>38.358879572033452</v>
      </c>
      <c r="F43" s="189"/>
      <c r="G43" s="221" t="s">
        <v>305</v>
      </c>
      <c r="H43" s="222"/>
      <c r="I43" s="222"/>
      <c r="J43" s="222"/>
      <c r="K43" s="192">
        <f>15.4*K30/K28/H25</f>
        <v>18.540125126482835</v>
      </c>
      <c r="L43" s="189"/>
      <c r="M43" s="221" t="s">
        <v>303</v>
      </c>
      <c r="N43" s="221"/>
      <c r="O43" s="194"/>
    </row>
    <row r="44" spans="1:22">
      <c r="A44" s="189"/>
      <c r="B44" s="172" t="s">
        <v>306</v>
      </c>
      <c r="C44" s="174"/>
      <c r="D44" s="174"/>
      <c r="E44" s="185">
        <f>IF(E41=0,1,(1/E41-(1-EXP(-2*E41))/(2*E41^2)))</f>
        <v>0.44699054338583177</v>
      </c>
      <c r="F44" s="189"/>
      <c r="G44" s="221" t="s">
        <v>306</v>
      </c>
      <c r="H44" s="222"/>
      <c r="I44" s="222"/>
      <c r="J44" s="222"/>
      <c r="K44" s="192">
        <f>IF(K41=0,1,(1/K41-(1-EXP(-2*K41))/(2*K41^2)))</f>
        <v>0.45638879378781028</v>
      </c>
      <c r="L44" s="189"/>
      <c r="M44" s="221" t="s">
        <v>303</v>
      </c>
      <c r="N44" s="221"/>
      <c r="O44" s="194"/>
    </row>
    <row r="45" spans="1:22">
      <c r="A45" s="189"/>
      <c r="B45" s="172" t="s">
        <v>307</v>
      </c>
      <c r="C45" s="174"/>
      <c r="D45" s="174"/>
      <c r="E45" s="185">
        <f>IF(E42=0,1,(1/E42-(1-EXP(-2*E42))/(2*E42^2)))</f>
        <v>0.15931867132505645</v>
      </c>
      <c r="F45" s="189"/>
      <c r="G45" s="221" t="s">
        <v>307</v>
      </c>
      <c r="H45" s="222"/>
      <c r="I45" s="222"/>
      <c r="J45" s="222"/>
      <c r="K45" s="192">
        <f>IF(K42=0,1,(1/K42-(1-EXP(-2*K42))/(2*K42^2)))</f>
        <v>8.6210185065409173E-2</v>
      </c>
      <c r="L45" s="189"/>
      <c r="M45" s="221" t="s">
        <v>303</v>
      </c>
      <c r="N45" s="221"/>
      <c r="O45" s="194"/>
    </row>
    <row r="46" spans="1:22">
      <c r="A46" s="189"/>
      <c r="B46" s="172" t="s">
        <v>308</v>
      </c>
      <c r="C46" s="174"/>
      <c r="D46" s="174"/>
      <c r="E46" s="185">
        <f>IF(E43=0,1,(1/E43-(1-EXP(-2*E43))/(2*E43^2)))</f>
        <v>2.5729771553381429E-2</v>
      </c>
      <c r="F46" s="189"/>
      <c r="G46" s="221" t="s">
        <v>308</v>
      </c>
      <c r="H46" s="222"/>
      <c r="I46" s="222"/>
      <c r="J46" s="222"/>
      <c r="K46" s="192">
        <f>IF(K43=0,1,(1/K43-(1-EXP(-2*K43))/(2*K43^2)))</f>
        <v>5.2482464874613062E-2</v>
      </c>
      <c r="L46" s="189"/>
      <c r="M46" s="221" t="s">
        <v>303</v>
      </c>
      <c r="N46" s="221"/>
      <c r="O46" s="194"/>
    </row>
    <row r="47" spans="1:22">
      <c r="A47" s="166"/>
      <c r="M47" s="196"/>
    </row>
    <row r="48" spans="1:22">
      <c r="M48" s="196"/>
    </row>
    <row r="49" spans="2:13">
      <c r="M49" s="196"/>
    </row>
    <row r="50" spans="2:13">
      <c r="B50" s="229" t="s">
        <v>309</v>
      </c>
      <c r="C50" s="229"/>
      <c r="D50" s="229"/>
      <c r="E50" s="229"/>
      <c r="F50" s="229"/>
      <c r="G50" s="229"/>
      <c r="H50" s="229" t="s">
        <v>310</v>
      </c>
      <c r="I50" s="230"/>
      <c r="J50" s="230"/>
      <c r="K50" s="230"/>
      <c r="L50" s="230"/>
      <c r="M50" s="196"/>
    </row>
    <row r="51" spans="2:13" ht="18.75">
      <c r="B51" s="197" t="s">
        <v>311</v>
      </c>
      <c r="C51" s="197" t="s">
        <v>312</v>
      </c>
      <c r="D51" s="197" t="s">
        <v>313</v>
      </c>
      <c r="E51" s="198" t="s">
        <v>314</v>
      </c>
      <c r="F51" s="197" t="s">
        <v>315</v>
      </c>
      <c r="G51" s="197" t="s">
        <v>316</v>
      </c>
      <c r="H51" s="199" t="s">
        <v>317</v>
      </c>
      <c r="I51" s="197" t="s">
        <v>318</v>
      </c>
      <c r="J51" s="200"/>
      <c r="K51" s="200"/>
      <c r="L51" s="200"/>
      <c r="M51" s="196"/>
    </row>
    <row r="52" spans="2:13" ht="14.25">
      <c r="B52" s="201" t="s">
        <v>48</v>
      </c>
      <c r="C52" s="202" t="s">
        <v>319</v>
      </c>
      <c r="D52" s="201">
        <v>213.36</v>
      </c>
      <c r="E52" s="201">
        <v>2.13</v>
      </c>
      <c r="F52" s="201">
        <v>11.5</v>
      </c>
      <c r="G52" s="201">
        <v>1.99</v>
      </c>
      <c r="H52" s="201">
        <v>0.15</v>
      </c>
      <c r="I52" s="201">
        <v>198.12</v>
      </c>
      <c r="J52" s="203">
        <f>1/8</f>
        <v>0.125</v>
      </c>
      <c r="K52" s="201">
        <v>0.8</v>
      </c>
      <c r="L52" s="203">
        <f>1/9</f>
        <v>0.1111111111111111</v>
      </c>
      <c r="M52" s="196"/>
    </row>
    <row r="53" spans="2:13" ht="14.25">
      <c r="B53" s="201" t="s">
        <v>52</v>
      </c>
      <c r="C53" s="202" t="s">
        <v>320</v>
      </c>
      <c r="D53" s="201">
        <v>274.32</v>
      </c>
      <c r="E53" s="201">
        <v>4.57</v>
      </c>
      <c r="F53" s="201">
        <v>9.5</v>
      </c>
      <c r="G53" s="201">
        <v>1.97</v>
      </c>
      <c r="H53" s="201">
        <v>0.2</v>
      </c>
      <c r="I53" s="201">
        <v>152.4</v>
      </c>
      <c r="J53" s="203">
        <f>1/5</f>
        <v>0.2</v>
      </c>
      <c r="K53" s="201">
        <v>0.65</v>
      </c>
      <c r="L53" s="203">
        <f>1/6.5</f>
        <v>0.15384615384615385</v>
      </c>
    </row>
    <row r="54" spans="2:13" ht="14.25">
      <c r="B54" s="201" t="s">
        <v>56</v>
      </c>
      <c r="C54" s="202" t="s">
        <v>321</v>
      </c>
      <c r="D54" s="201">
        <v>365.76</v>
      </c>
      <c r="E54" s="201">
        <v>9.14</v>
      </c>
      <c r="F54" s="201">
        <v>7</v>
      </c>
      <c r="G54" s="201">
        <v>1.98</v>
      </c>
      <c r="H54" s="201">
        <v>0.3</v>
      </c>
      <c r="I54" s="201">
        <v>97.54</v>
      </c>
      <c r="J54" s="203">
        <f>1/3</f>
        <v>0.33333333333333331</v>
      </c>
      <c r="K54" s="201">
        <v>0.45</v>
      </c>
      <c r="L54" s="203">
        <f>1/4</f>
        <v>0.25</v>
      </c>
    </row>
    <row r="55" spans="2:13"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</row>
    <row r="56" spans="2:13"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</row>
    <row r="57" spans="2:13" ht="15">
      <c r="B57" s="204"/>
      <c r="C57" s="204"/>
      <c r="D57" s="204"/>
      <c r="E57" s="204"/>
      <c r="F57" s="205" t="s">
        <v>27</v>
      </c>
      <c r="G57" s="205">
        <v>0.65</v>
      </c>
      <c r="H57" s="205">
        <v>36</v>
      </c>
      <c r="I57" s="204"/>
      <c r="J57" s="204"/>
      <c r="K57" s="204"/>
      <c r="L57" s="204"/>
    </row>
    <row r="58" spans="2:13" ht="15">
      <c r="B58" s="204"/>
      <c r="C58" s="204"/>
      <c r="D58" s="204"/>
      <c r="E58" s="204"/>
      <c r="F58" s="205" t="s">
        <v>28</v>
      </c>
      <c r="G58" s="205">
        <v>0.95</v>
      </c>
      <c r="H58" s="205">
        <v>44</v>
      </c>
      <c r="I58" s="204"/>
      <c r="J58" s="204"/>
      <c r="K58" s="204"/>
      <c r="L58" s="204"/>
    </row>
    <row r="59" spans="2:13" ht="15">
      <c r="B59" s="204"/>
      <c r="C59" s="204"/>
      <c r="D59" s="204"/>
      <c r="E59" s="204"/>
      <c r="F59" s="205" t="s">
        <v>29</v>
      </c>
      <c r="G59" s="205">
        <v>1.25</v>
      </c>
      <c r="H59" s="205">
        <v>50</v>
      </c>
      <c r="I59" s="204"/>
      <c r="J59" s="204"/>
      <c r="K59" s="204"/>
      <c r="L59" s="204"/>
    </row>
    <row r="60" spans="2:13" ht="15">
      <c r="B60" s="204"/>
      <c r="C60" s="204"/>
      <c r="D60" s="204"/>
      <c r="E60" s="204"/>
      <c r="F60" s="205" t="s">
        <v>30</v>
      </c>
      <c r="G60" s="205">
        <v>1.55</v>
      </c>
      <c r="H60" s="205">
        <v>56</v>
      </c>
      <c r="I60" s="204"/>
      <c r="J60" s="204"/>
      <c r="K60" s="204"/>
      <c r="L60" s="204"/>
    </row>
    <row r="61" spans="2:13" ht="15">
      <c r="B61" s="204"/>
      <c r="C61" s="204"/>
      <c r="D61" s="204"/>
      <c r="E61" s="204"/>
      <c r="F61" s="205" t="s">
        <v>31</v>
      </c>
      <c r="G61" s="205">
        <v>1.85</v>
      </c>
      <c r="H61" s="205">
        <v>61</v>
      </c>
      <c r="I61" s="204"/>
      <c r="J61" s="204"/>
      <c r="K61" s="204"/>
      <c r="L61" s="204"/>
    </row>
  </sheetData>
  <dataConsolidate/>
  <mergeCells count="86"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  <mergeCell ref="G40:J40"/>
    <mergeCell ref="M40:N40"/>
    <mergeCell ref="G41:J41"/>
    <mergeCell ref="M41:N41"/>
    <mergeCell ref="G42:J42"/>
    <mergeCell ref="M42:N42"/>
    <mergeCell ref="B38:D38"/>
    <mergeCell ref="G38:J38"/>
    <mergeCell ref="M38:N38"/>
    <mergeCell ref="B39:D39"/>
    <mergeCell ref="G39:J39"/>
    <mergeCell ref="M39:N39"/>
    <mergeCell ref="B35:C35"/>
    <mergeCell ref="B36:D36"/>
    <mergeCell ref="G36:J36"/>
    <mergeCell ref="M36:N36"/>
    <mergeCell ref="B37:D37"/>
    <mergeCell ref="G37:J37"/>
    <mergeCell ref="M37:N37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23:G23"/>
    <mergeCell ref="J23:N23"/>
    <mergeCell ref="B24:G24"/>
    <mergeCell ref="J24:N24"/>
    <mergeCell ref="B25:G25"/>
    <mergeCell ref="J25:N25"/>
    <mergeCell ref="B20:G20"/>
    <mergeCell ref="J20:N20"/>
    <mergeCell ref="B21:G21"/>
    <mergeCell ref="J21:N21"/>
    <mergeCell ref="B22:G22"/>
    <mergeCell ref="J22:N22"/>
    <mergeCell ref="B17:G17"/>
    <mergeCell ref="J17:N17"/>
    <mergeCell ref="B18:G18"/>
    <mergeCell ref="J18:N18"/>
    <mergeCell ref="B19:G19"/>
    <mergeCell ref="J19:N19"/>
    <mergeCell ref="B14:G14"/>
    <mergeCell ref="J14:N14"/>
    <mergeCell ref="B15:G15"/>
    <mergeCell ref="J15:N15"/>
    <mergeCell ref="B16:G16"/>
    <mergeCell ref="J16:N16"/>
    <mergeCell ref="B11:G11"/>
    <mergeCell ref="J11:N11"/>
    <mergeCell ref="B12:G12"/>
    <mergeCell ref="J12:N12"/>
    <mergeCell ref="B13:G13"/>
    <mergeCell ref="J13:N13"/>
    <mergeCell ref="B8:G8"/>
    <mergeCell ref="H8:J8"/>
    <mergeCell ref="B9:G9"/>
    <mergeCell ref="J9:N9"/>
    <mergeCell ref="R9:AA10"/>
    <mergeCell ref="B10:G10"/>
    <mergeCell ref="J10:N10"/>
    <mergeCell ref="B7:C7"/>
    <mergeCell ref="E7:N7"/>
    <mergeCell ref="B2:N2"/>
    <mergeCell ref="B4:C4"/>
    <mergeCell ref="B5:D5"/>
    <mergeCell ref="F5:I5"/>
    <mergeCell ref="B6:C6"/>
  </mergeCells>
  <dataValidations count="3">
    <dataValidation type="list" allowBlank="1" showInputMessage="1" showErrorMessage="1" sqref="D6" xr:uid="{62A4381F-32B4-4497-8EB1-267E4C3144CE}">
      <formula1>"I,II,III,IV,V"</formula1>
    </dataValidation>
    <dataValidation type="list" allowBlank="1" showInputMessage="1" showErrorMessage="1" sqref="D7" xr:uid="{DA764955-7887-4E6E-9CE0-09484E79002D}">
      <formula1>"A,B,C"</formula1>
    </dataValidation>
    <dataValidation type="list" allowBlank="1" showInputMessage="1" showErrorMessage="1" sqref="H8" xr:uid="{3A8BCADE-42A5-470B-84E0-ECB511D34486}">
      <formula1>"Kết cấu thép,KC liên hợp thép-BT,Kết cấu BT và BTCT"</formula1>
    </dataValidation>
  </dataValidations>
  <pageMargins left="0.7" right="0.7" top="0.75" bottom="0.75" header="0.3" footer="0.3"/>
  <pageSetup scale="8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  <pageSetUpPr fitToPage="1"/>
  </sheetPr>
  <dimension ref="A1:BH175"/>
  <sheetViews>
    <sheetView showGridLines="0" tabSelected="1" view="pageBreakPreview" topLeftCell="A5" zoomScale="85" zoomScaleNormal="130" zoomScaleSheetLayoutView="85" workbookViewId="0">
      <selection activeCell="C17" sqref="C17:I17"/>
    </sheetView>
  </sheetViews>
  <sheetFormatPr defaultRowHeight="12.75"/>
  <cols>
    <col min="1" max="1" width="2.5703125" style="2" customWidth="1"/>
    <col min="2" max="2" width="2" style="2" customWidth="1"/>
    <col min="3" max="3" width="6.5703125" style="2" customWidth="1"/>
    <col min="4" max="25" width="4.7109375" style="2" customWidth="1"/>
    <col min="26" max="26" width="5.28515625" style="2" customWidth="1"/>
    <col min="27" max="27" width="2" style="2" customWidth="1"/>
    <col min="28" max="28" width="2.5703125" style="2" customWidth="1"/>
    <col min="29" max="41" width="8" style="3" customWidth="1"/>
    <col min="42" max="42" width="6.140625" style="3" customWidth="1"/>
    <col min="43" max="53" width="9.140625" style="3" customWidth="1"/>
    <col min="54" max="55" width="9.140625" style="3"/>
    <col min="56" max="57" width="9.140625" style="3" customWidth="1"/>
    <col min="58" max="60" width="32" style="3" customWidth="1"/>
    <col min="61" max="66" width="9.140625" style="3" customWidth="1"/>
    <col min="67" max="16384" width="9.140625" style="3"/>
  </cols>
  <sheetData>
    <row r="1" spans="1:60" hidden="1"/>
    <row r="2" spans="1:60" hidden="1"/>
    <row r="3" spans="1:60" hidden="1"/>
    <row r="4" spans="1:60" hidden="1"/>
    <row r="5" spans="1:60" ht="37.5" customHeight="1">
      <c r="B5" s="518" t="s">
        <v>247</v>
      </c>
      <c r="C5" s="518"/>
      <c r="D5" s="518"/>
      <c r="E5" s="518"/>
      <c r="F5" s="518"/>
      <c r="G5" s="518"/>
      <c r="H5" s="518"/>
      <c r="I5" s="518"/>
      <c r="J5" s="518"/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518"/>
      <c r="Z5" s="518"/>
      <c r="AA5" s="518"/>
      <c r="AB5" s="518"/>
    </row>
    <row r="6" spans="1:60" ht="14.25" customHeight="1">
      <c r="A6" s="1"/>
      <c r="B6" s="491"/>
      <c r="C6" s="491"/>
      <c r="D6" s="491"/>
      <c r="E6" s="491"/>
      <c r="F6" s="491"/>
      <c r="G6" s="491"/>
      <c r="H6" s="491"/>
      <c r="I6" s="491"/>
      <c r="J6" s="491"/>
      <c r="K6" s="491"/>
      <c r="L6" s="491"/>
      <c r="M6" s="491"/>
      <c r="N6" s="491"/>
      <c r="O6" s="491"/>
      <c r="P6" s="491"/>
      <c r="Q6" s="491"/>
      <c r="R6" s="491"/>
      <c r="S6" s="492"/>
      <c r="T6" s="492"/>
      <c r="U6" s="492"/>
      <c r="V6" s="492"/>
      <c r="W6" s="492"/>
      <c r="X6" s="492"/>
      <c r="Y6" s="492"/>
      <c r="Z6" s="492"/>
      <c r="AA6" s="492"/>
    </row>
    <row r="7" spans="1:60" ht="12.75" customHeight="1">
      <c r="A7" s="1"/>
      <c r="C7" s="523" t="s">
        <v>162</v>
      </c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524"/>
      <c r="P7" s="524"/>
      <c r="Q7" s="524"/>
      <c r="R7" s="524"/>
      <c r="S7" s="524"/>
      <c r="T7" s="524"/>
      <c r="U7" s="524"/>
      <c r="V7" s="503" t="s">
        <v>163</v>
      </c>
      <c r="W7" s="503"/>
      <c r="X7" s="503"/>
      <c r="Y7" s="503" t="s">
        <v>164</v>
      </c>
      <c r="Z7" s="503"/>
      <c r="AA7" s="506"/>
      <c r="AC7" s="522" t="s">
        <v>9</v>
      </c>
      <c r="AD7" s="4" t="s">
        <v>2</v>
      </c>
      <c r="AE7" s="4" t="s">
        <v>3</v>
      </c>
      <c r="AF7" s="5" t="s">
        <v>4</v>
      </c>
      <c r="AG7" s="4" t="s">
        <v>5</v>
      </c>
      <c r="BE7" s="6"/>
      <c r="BF7" s="6" t="s">
        <v>8</v>
      </c>
      <c r="BG7" s="6" t="s">
        <v>1</v>
      </c>
      <c r="BH7" s="6" t="s">
        <v>9</v>
      </c>
    </row>
    <row r="8" spans="1:60" ht="12.75" customHeight="1">
      <c r="A8" s="1"/>
      <c r="B8" s="153"/>
      <c r="C8" s="525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526"/>
      <c r="O8" s="526"/>
      <c r="P8" s="526"/>
      <c r="Q8" s="526"/>
      <c r="R8" s="526"/>
      <c r="S8" s="526"/>
      <c r="T8" s="526"/>
      <c r="U8" s="526"/>
      <c r="V8" s="504"/>
      <c r="W8" s="504"/>
      <c r="X8" s="504"/>
      <c r="Y8" s="504"/>
      <c r="Z8" s="504"/>
      <c r="AA8" s="507"/>
      <c r="AB8" s="146"/>
      <c r="AC8" s="522"/>
      <c r="AD8" s="4" t="s">
        <v>10</v>
      </c>
      <c r="AE8" s="4" t="s">
        <v>11</v>
      </c>
      <c r="AF8" s="4" t="s">
        <v>12</v>
      </c>
      <c r="AG8" s="4" t="s">
        <v>13</v>
      </c>
      <c r="BE8" s="6">
        <v>1</v>
      </c>
      <c r="BF8" s="9" t="s">
        <v>19</v>
      </c>
      <c r="BG8" s="9" t="s">
        <v>20</v>
      </c>
      <c r="BH8" s="9" t="s">
        <v>19</v>
      </c>
    </row>
    <row r="9" spans="1:60" ht="12.75" customHeight="1">
      <c r="A9" s="1"/>
      <c r="B9" s="153"/>
      <c r="C9" s="525"/>
      <c r="D9" s="526"/>
      <c r="E9" s="526"/>
      <c r="F9" s="526"/>
      <c r="G9" s="526"/>
      <c r="H9" s="526"/>
      <c r="I9" s="526"/>
      <c r="J9" s="526"/>
      <c r="K9" s="526"/>
      <c r="L9" s="526"/>
      <c r="M9" s="526"/>
      <c r="N9" s="526"/>
      <c r="O9" s="526"/>
      <c r="P9" s="526"/>
      <c r="Q9" s="526"/>
      <c r="R9" s="526"/>
      <c r="S9" s="526"/>
      <c r="T9" s="526"/>
      <c r="U9" s="526"/>
      <c r="V9" s="504"/>
      <c r="W9" s="504"/>
      <c r="X9" s="504"/>
      <c r="Y9" s="504"/>
      <c r="Z9" s="504"/>
      <c r="AA9" s="507"/>
      <c r="AB9" s="146"/>
      <c r="AC9" s="522"/>
      <c r="AD9" s="10"/>
      <c r="AE9" s="10"/>
      <c r="AF9" s="29"/>
      <c r="AG9" s="29"/>
      <c r="BE9" s="6">
        <f>BE8+1</f>
        <v>2</v>
      </c>
      <c r="BF9" s="9" t="s">
        <v>21</v>
      </c>
      <c r="BG9" s="9" t="s">
        <v>22</v>
      </c>
      <c r="BH9" s="9" t="s">
        <v>21</v>
      </c>
    </row>
    <row r="10" spans="1:60" ht="12.75" customHeight="1">
      <c r="A10" s="1"/>
      <c r="B10" s="154"/>
      <c r="C10" s="527"/>
      <c r="D10" s="528"/>
      <c r="E10" s="528"/>
      <c r="F10" s="528"/>
      <c r="G10" s="528"/>
      <c r="H10" s="528"/>
      <c r="I10" s="528"/>
      <c r="J10" s="528"/>
      <c r="K10" s="528"/>
      <c r="L10" s="528"/>
      <c r="M10" s="528"/>
      <c r="N10" s="528"/>
      <c r="O10" s="528"/>
      <c r="P10" s="528"/>
      <c r="Q10" s="528"/>
      <c r="R10" s="528"/>
      <c r="S10" s="528"/>
      <c r="T10" s="528"/>
      <c r="U10" s="528"/>
      <c r="V10" s="505"/>
      <c r="W10" s="505"/>
      <c r="X10" s="505"/>
      <c r="Y10" s="505"/>
      <c r="Z10" s="505"/>
      <c r="AA10" s="508"/>
      <c r="AB10" s="146"/>
      <c r="AC10" s="522"/>
      <c r="AD10" s="10"/>
      <c r="AE10" s="10"/>
      <c r="AF10" s="29"/>
      <c r="AG10" s="29"/>
      <c r="BE10" s="6">
        <f t="shared" ref="BE10:BE22" si="0">BE9+1</f>
        <v>3</v>
      </c>
      <c r="BF10" s="9" t="s">
        <v>23</v>
      </c>
      <c r="BG10" s="9" t="s">
        <v>24</v>
      </c>
      <c r="BH10" s="9" t="s">
        <v>23</v>
      </c>
    </row>
    <row r="11" spans="1:60" ht="15">
      <c r="A11" s="1"/>
      <c r="B11" s="155"/>
      <c r="C11" s="53"/>
      <c r="D11" s="13"/>
      <c r="E11" s="13"/>
      <c r="F11" s="13"/>
      <c r="G11" s="13"/>
      <c r="H11" s="13"/>
      <c r="I11" s="14" t="str">
        <f>VLOOKUP(9,$BE$8:$BH$136,1+MATCH($AC$7,$BF$7:$BH$7,0))</f>
        <v>Design code:</v>
      </c>
      <c r="J11" s="99" t="str">
        <f>VLOOKUP(10,$BE$8:$BH$136,1+MATCH($AC$7,$BF$7:$BH$7,0))</f>
        <v>TCVN 2737:2023 Loads and Action - Design standard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5"/>
      <c r="AC11" s="10"/>
      <c r="AD11" s="509"/>
      <c r="AE11" s="509"/>
      <c r="AF11" s="509"/>
      <c r="AG11" s="509"/>
      <c r="AH11" s="509"/>
      <c r="BE11" s="6">
        <f t="shared" si="0"/>
        <v>4</v>
      </c>
      <c r="BF11" s="9" t="s">
        <v>25</v>
      </c>
      <c r="BG11" s="9" t="s">
        <v>26</v>
      </c>
      <c r="BH11" s="9" t="s">
        <v>25</v>
      </c>
    </row>
    <row r="12" spans="1:60" ht="15.75" thickBot="1">
      <c r="B12" s="155"/>
      <c r="C12" s="53"/>
      <c r="D12" s="13"/>
      <c r="E12" s="13"/>
      <c r="F12" s="13"/>
      <c r="G12" s="13"/>
      <c r="H12" s="13"/>
      <c r="I12" s="120" t="str">
        <f>IF(AC7=BH7,BG16,"")</f>
        <v>Tiêu chuẩn thiết kế:</v>
      </c>
      <c r="J12" s="13" t="str">
        <f>IF(AC7=BH7,BG17,"")</f>
        <v>TCVN 2737:2023 Tải trọng và tác động - Tiêu chuẩn thiết kế</v>
      </c>
      <c r="K12" s="13"/>
      <c r="L12" s="13"/>
      <c r="M12" s="13"/>
      <c r="N12" s="13"/>
      <c r="O12" s="13"/>
      <c r="P12" s="13"/>
      <c r="Q12" s="13"/>
      <c r="R12" s="16"/>
      <c r="S12" s="16"/>
      <c r="T12" s="16"/>
      <c r="U12" s="16"/>
      <c r="V12" s="16"/>
      <c r="W12" s="16"/>
      <c r="X12" s="16"/>
      <c r="Y12" s="16"/>
      <c r="Z12" s="13"/>
      <c r="AA12" s="15"/>
      <c r="AC12" s="10"/>
      <c r="AD12" s="22" t="s">
        <v>34</v>
      </c>
      <c r="AE12" s="22" t="s">
        <v>27</v>
      </c>
      <c r="AF12" s="22" t="s">
        <v>28</v>
      </c>
      <c r="AG12" s="22" t="s">
        <v>29</v>
      </c>
      <c r="AH12" s="22" t="s">
        <v>30</v>
      </c>
      <c r="AI12" s="22" t="s">
        <v>31</v>
      </c>
      <c r="BE12" s="6">
        <f t="shared" si="0"/>
        <v>5</v>
      </c>
      <c r="BF12" s="9" t="s">
        <v>32</v>
      </c>
      <c r="BG12" s="9" t="s">
        <v>33</v>
      </c>
      <c r="BH12" s="9" t="s">
        <v>32</v>
      </c>
    </row>
    <row r="13" spans="1:60" ht="15" customHeight="1" thickTop="1">
      <c r="B13" s="155"/>
      <c r="C13" s="281" t="str">
        <f>VLOOKUP(12,$BE$8:$BH$136,1+MATCH($AC$7,$BF$7:$BH$7,0))</f>
        <v>BUILDING (STRUCTURE) DATA / DỮ LIỆU CÔNG TRÌNH</v>
      </c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3"/>
      <c r="O13" s="13"/>
      <c r="P13" s="13"/>
      <c r="Q13" s="19"/>
      <c r="R13" s="121"/>
      <c r="S13" s="121"/>
      <c r="T13" s="121"/>
      <c r="U13" s="121"/>
      <c r="V13" s="121"/>
      <c r="W13" s="121"/>
      <c r="X13" s="121"/>
      <c r="Y13" s="20"/>
      <c r="Z13" s="253" t="str">
        <f>"B = "&amp;M19&amp;"m"</f>
        <v>B = 20m</v>
      </c>
      <c r="AA13" s="15"/>
      <c r="AD13" s="22" t="s">
        <v>35</v>
      </c>
      <c r="AE13" s="22">
        <v>0.65</v>
      </c>
      <c r="AF13" s="22">
        <v>0.95</v>
      </c>
      <c r="AG13" s="22">
        <v>1.25</v>
      </c>
      <c r="AH13" s="22">
        <v>1.55</v>
      </c>
      <c r="AI13" s="22">
        <v>1.85</v>
      </c>
      <c r="BE13" s="6">
        <f t="shared" si="0"/>
        <v>6</v>
      </c>
      <c r="BF13" s="9" t="s">
        <v>36</v>
      </c>
      <c r="BG13" s="9" t="s">
        <v>37</v>
      </c>
      <c r="BH13" s="9" t="s">
        <v>36</v>
      </c>
    </row>
    <row r="14" spans="1:60" ht="15">
      <c r="B14" s="155"/>
      <c r="C14" s="535" t="str">
        <f>VLOOKUP(13,$BE$8:$BH$136,1+MATCH($AC$7,$BF$7:$BH$7,0))</f>
        <v>Structure / Kết cấu:</v>
      </c>
      <c r="D14" s="536"/>
      <c r="E14" s="536"/>
      <c r="F14" s="536"/>
      <c r="G14" s="93" t="str">
        <f>IF(AC7="VN","Mái dốc 2 phía","Duopitch roofs")</f>
        <v>Duopitch roofs</v>
      </c>
      <c r="H14" s="23"/>
      <c r="I14" s="23"/>
      <c r="J14" s="537" t="str">
        <f>IF(AC7="ENVN"," / Mái dốc 2 phía","")</f>
        <v xml:space="preserve"> / Mái dốc 2 phía</v>
      </c>
      <c r="K14" s="537"/>
      <c r="L14" s="537"/>
      <c r="M14" s="537"/>
      <c r="N14" s="538"/>
      <c r="O14" s="13"/>
      <c r="P14" s="13"/>
      <c r="Q14" s="19"/>
      <c r="R14" s="121"/>
      <c r="S14" s="121"/>
      <c r="T14" s="121"/>
      <c r="U14" s="121"/>
      <c r="V14" s="121"/>
      <c r="W14" s="121"/>
      <c r="X14" s="121"/>
      <c r="Y14" s="20"/>
      <c r="Z14" s="253"/>
      <c r="AA14" s="15"/>
      <c r="BE14" s="6">
        <f t="shared" si="0"/>
        <v>7</v>
      </c>
      <c r="BF14" s="9" t="s">
        <v>38</v>
      </c>
      <c r="BG14" s="9" t="s">
        <v>39</v>
      </c>
      <c r="BH14" s="9" t="s">
        <v>38</v>
      </c>
    </row>
    <row r="15" spans="1:60" ht="15.75" thickBot="1">
      <c r="B15" s="155"/>
      <c r="C15" s="539" t="str">
        <f>VLOOKUP(15,$BE$8:$BH$136,1+MATCH($AC$7,$BF$7:$BH$7,0))</f>
        <v>Structural type / Loại:</v>
      </c>
      <c r="D15" s="540"/>
      <c r="E15" s="540"/>
      <c r="F15" s="540"/>
      <c r="G15" s="541" t="s">
        <v>10</v>
      </c>
      <c r="H15" s="541"/>
      <c r="I15" s="541"/>
      <c r="J15" s="542" t="str">
        <f>IF(AC7&lt;&gt;"EN",VLOOKUP(G15,$AD$7:$AE$8,2,FALSE),"")</f>
        <v>/ Nhà thép</v>
      </c>
      <c r="K15" s="542"/>
      <c r="L15" s="542"/>
      <c r="M15" s="542"/>
      <c r="N15" s="543"/>
      <c r="O15" s="13"/>
      <c r="P15" s="123" t="str">
        <f>VLOOKUP(46,$BE$8:$BH$136,1+MATCH($AC$7,$BF$7:$BH$7,0))</f>
        <v>Wind/Gió X</v>
      </c>
      <c r="Q15" s="19"/>
      <c r="R15" s="544" t="str">
        <f>VLOOKUP(53,$BE$8:$BH$136,1+MATCH($AC$7,$BF$7:$BH$7,0))</f>
        <v>Ridge or trough / Đường nóc</v>
      </c>
      <c r="S15" s="545"/>
      <c r="T15" s="545"/>
      <c r="U15" s="545"/>
      <c r="V15" s="545"/>
      <c r="W15" s="545"/>
      <c r="X15" s="545"/>
      <c r="Y15" s="546"/>
      <c r="Z15" s="253"/>
      <c r="AA15" s="15"/>
      <c r="AD15" s="22" t="s">
        <v>41</v>
      </c>
      <c r="AE15" s="22" t="s">
        <v>42</v>
      </c>
      <c r="AF15" s="22" t="s">
        <v>43</v>
      </c>
      <c r="AG15" s="24" t="s">
        <v>44</v>
      </c>
      <c r="AH15" s="22" t="s">
        <v>45</v>
      </c>
      <c r="BE15" s="6">
        <f t="shared" si="0"/>
        <v>8</v>
      </c>
      <c r="BF15" s="9" t="s">
        <v>46</v>
      </c>
      <c r="BG15" s="9" t="s">
        <v>47</v>
      </c>
      <c r="BH15" s="9" t="s">
        <v>46</v>
      </c>
    </row>
    <row r="16" spans="1:60" ht="15.75" thickTop="1">
      <c r="B16" s="155"/>
      <c r="C16" s="539" t="str">
        <f>VLOOKUP(16,$BE$8:$BH$136,1+MATCH($AC$7,$BF$7:$BH$7,0))</f>
        <v>Roof type / Loại mái:</v>
      </c>
      <c r="D16" s="540"/>
      <c r="E16" s="540"/>
      <c r="F16" s="540"/>
      <c r="G16" s="541" t="s">
        <v>4</v>
      </c>
      <c r="H16" s="541"/>
      <c r="I16" s="541"/>
      <c r="J16" s="542" t="str">
        <f>IF(AC7&lt;&gt;"EN",VLOOKUP(G16,$AF$7:$AG$10,2,FALSE),"")</f>
        <v>/ Có cạnh sắc</v>
      </c>
      <c r="K16" s="542"/>
      <c r="L16" s="542"/>
      <c r="M16" s="542"/>
      <c r="N16" s="543"/>
      <c r="O16" s="13"/>
      <c r="P16" s="123"/>
      <c r="Q16" s="19"/>
      <c r="R16" s="124"/>
      <c r="S16" s="124"/>
      <c r="T16" s="124"/>
      <c r="U16" s="124"/>
      <c r="V16" s="124"/>
      <c r="W16" s="124"/>
      <c r="X16" s="124"/>
      <c r="Y16" s="25"/>
      <c r="Z16" s="253"/>
      <c r="AA16" s="15"/>
      <c r="AD16" s="22" t="s">
        <v>48</v>
      </c>
      <c r="AE16" s="22">
        <v>213.36</v>
      </c>
      <c r="AF16" s="22">
        <v>2.13</v>
      </c>
      <c r="AG16" s="22">
        <v>11.5</v>
      </c>
      <c r="AH16" s="22">
        <v>1.99</v>
      </c>
      <c r="BE16" s="6">
        <f t="shared" si="0"/>
        <v>9</v>
      </c>
      <c r="BF16" s="9" t="s">
        <v>49</v>
      </c>
      <c r="BG16" s="9" t="s">
        <v>50</v>
      </c>
      <c r="BH16" s="9" t="s">
        <v>49</v>
      </c>
    </row>
    <row r="17" spans="2:60" ht="15">
      <c r="B17" s="155"/>
      <c r="C17" s="234" t="s">
        <v>328</v>
      </c>
      <c r="D17" s="235"/>
      <c r="E17" s="235"/>
      <c r="F17" s="235"/>
      <c r="G17" s="235"/>
      <c r="H17" s="235"/>
      <c r="I17" s="235"/>
      <c r="J17" s="108"/>
      <c r="K17" s="231"/>
      <c r="L17" s="231"/>
      <c r="M17" s="232"/>
      <c r="N17" s="233"/>
      <c r="O17" s="13"/>
      <c r="P17" s="13"/>
      <c r="Q17" s="19"/>
      <c r="R17" s="121"/>
      <c r="S17" s="121"/>
      <c r="T17" s="121"/>
      <c r="U17" s="121"/>
      <c r="V17" s="121"/>
      <c r="W17" s="121"/>
      <c r="X17" s="121"/>
      <c r="Y17" s="20"/>
      <c r="Z17" s="253"/>
      <c r="AA17" s="15"/>
      <c r="AD17" s="22" t="s">
        <v>52</v>
      </c>
      <c r="AE17" s="22">
        <v>274.32</v>
      </c>
      <c r="AF17" s="22">
        <v>4.57</v>
      </c>
      <c r="AG17" s="22">
        <v>9.5</v>
      </c>
      <c r="AH17" s="22">
        <v>1.97</v>
      </c>
      <c r="BE17" s="6">
        <f t="shared" si="0"/>
        <v>10</v>
      </c>
      <c r="BF17" s="9" t="s">
        <v>53</v>
      </c>
      <c r="BG17" s="9" t="s">
        <v>54</v>
      </c>
      <c r="BH17" s="9" t="s">
        <v>53</v>
      </c>
    </row>
    <row r="18" spans="2:60" ht="15.75" thickBot="1">
      <c r="B18" s="155"/>
      <c r="C18" s="26"/>
      <c r="D18" s="107"/>
      <c r="E18" s="107"/>
      <c r="F18" s="107"/>
      <c r="G18" s="107"/>
      <c r="H18" s="107"/>
      <c r="I18" s="107"/>
      <c r="J18" s="108" t="str">
        <f>VLOOKUP(18,$BE$8:$BH$136,1+MATCH($AC$7,$BF$7:$BH$7,0))</f>
        <v>Roof length / Chiều dài mái</v>
      </c>
      <c r="K18" s="231" t="s">
        <v>55</v>
      </c>
      <c r="L18" s="231"/>
      <c r="M18" s="232">
        <v>120</v>
      </c>
      <c r="N18" s="233"/>
      <c r="O18" s="13"/>
      <c r="P18" s="13"/>
      <c r="Q18" s="19"/>
      <c r="R18" s="27"/>
      <c r="S18" s="27"/>
      <c r="T18" s="27"/>
      <c r="U18" s="27"/>
      <c r="V18" s="27"/>
      <c r="W18" s="27"/>
      <c r="X18" s="27"/>
      <c r="Y18" s="28"/>
      <c r="Z18" s="253"/>
      <c r="AA18" s="15"/>
      <c r="AD18" s="22" t="s">
        <v>56</v>
      </c>
      <c r="AE18" s="22">
        <v>365.76</v>
      </c>
      <c r="AF18" s="22">
        <v>9.14</v>
      </c>
      <c r="AG18" s="22">
        <v>7</v>
      </c>
      <c r="AH18" s="22">
        <v>1.98</v>
      </c>
      <c r="BE18" s="6">
        <f t="shared" si="0"/>
        <v>11</v>
      </c>
      <c r="BF18" s="9" t="s">
        <v>57</v>
      </c>
      <c r="BG18" s="9" t="s">
        <v>58</v>
      </c>
      <c r="BH18" s="9" t="s">
        <v>57</v>
      </c>
    </row>
    <row r="19" spans="2:60" ht="15.75" thickTop="1">
      <c r="B19" s="155"/>
      <c r="C19" s="26"/>
      <c r="D19" s="107"/>
      <c r="E19" s="107"/>
      <c r="F19" s="107"/>
      <c r="G19" s="107"/>
      <c r="H19" s="107"/>
      <c r="I19" s="107"/>
      <c r="J19" s="108" t="str">
        <f>VLOOKUP(17,$BE$8:$BH$136,1+MATCH($AC$7,$BF$7:$BH$7,0))</f>
        <v>Roof width / Chiều rộng mái</v>
      </c>
      <c r="K19" s="231" t="s">
        <v>51</v>
      </c>
      <c r="L19" s="231"/>
      <c r="M19" s="232">
        <v>20</v>
      </c>
      <c r="N19" s="233"/>
      <c r="O19" s="13"/>
      <c r="P19" s="13"/>
      <c r="Q19" s="13"/>
      <c r="R19" s="425" t="str">
        <f>"L = "&amp;M18&amp;" m"</f>
        <v>L = 120 m</v>
      </c>
      <c r="S19" s="425"/>
      <c r="T19" s="425"/>
      <c r="U19" s="425"/>
      <c r="V19" s="425"/>
      <c r="W19" s="425"/>
      <c r="X19" s="425"/>
      <c r="Y19" s="425"/>
      <c r="Z19" s="122"/>
      <c r="AA19" s="15"/>
      <c r="AC19" s="29"/>
      <c r="AD19" s="29"/>
      <c r="AE19" s="29"/>
      <c r="AF19" s="29"/>
      <c r="AG19" s="29"/>
      <c r="AH19" s="29"/>
      <c r="BE19" s="6">
        <f t="shared" si="0"/>
        <v>12</v>
      </c>
      <c r="BF19" s="9" t="s">
        <v>60</v>
      </c>
      <c r="BG19" s="9" t="s">
        <v>61</v>
      </c>
      <c r="BH19" s="9" t="s">
        <v>62</v>
      </c>
    </row>
    <row r="20" spans="2:60" ht="15">
      <c r="B20" s="155"/>
      <c r="C20" s="26"/>
      <c r="D20" s="107"/>
      <c r="E20" s="107"/>
      <c r="F20" s="107"/>
      <c r="G20" s="107"/>
      <c r="H20" s="107"/>
      <c r="I20" s="107"/>
      <c r="J20" s="108" t="str">
        <f>VLOOKUP(19,$BE$8:$BH$136,1+MATCH($AC$7,$BF$7:$BH$7,0))</f>
        <v>Building height / Chiều cao nhà</v>
      </c>
      <c r="K20" s="231" t="s">
        <v>59</v>
      </c>
      <c r="L20" s="231"/>
      <c r="M20" s="486">
        <v>10</v>
      </c>
      <c r="N20" s="487"/>
      <c r="O20" s="13"/>
      <c r="P20" s="13"/>
      <c r="Q20" s="13"/>
      <c r="Z20" s="122"/>
      <c r="AA20" s="15"/>
      <c r="AC20" s="29"/>
      <c r="AI20" s="10"/>
      <c r="BE20" s="6">
        <f t="shared" si="0"/>
        <v>13</v>
      </c>
      <c r="BF20" s="9" t="s">
        <v>63</v>
      </c>
      <c r="BG20" s="9" t="s">
        <v>64</v>
      </c>
      <c r="BH20" s="9" t="s">
        <v>65</v>
      </c>
    </row>
    <row r="21" spans="2:60" ht="18">
      <c r="B21" s="155"/>
      <c r="C21" s="26"/>
      <c r="D21" s="107"/>
      <c r="E21" s="107"/>
      <c r="F21" s="107"/>
      <c r="G21" s="107"/>
      <c r="H21" s="107"/>
      <c r="I21" s="107"/>
      <c r="J21" s="108" t="str">
        <f>VLOOKUP(20,$BE$8:$BH$136,1+MATCH($AC$7,$BF$7:$BH$7,0))</f>
        <v>Parapet height / Chiều cao tường chắn</v>
      </c>
      <c r="K21" s="231" t="s">
        <v>186</v>
      </c>
      <c r="L21" s="231"/>
      <c r="M21" s="486">
        <v>0</v>
      </c>
      <c r="N21" s="487"/>
      <c r="O21" s="13"/>
      <c r="P21" s="13"/>
      <c r="Q21" s="13"/>
      <c r="V21" s="13" t="str">
        <f>VLOOKUP(47,$BE$8:$BH$136,1+MATCH($AC$7,$BF$7:$BH$7,0))</f>
        <v>Wind/Gió Y</v>
      </c>
      <c r="Z21" s="13"/>
      <c r="AA21" s="15"/>
      <c r="AC21" s="3" t="s">
        <v>328</v>
      </c>
      <c r="BE21" s="6">
        <f t="shared" si="0"/>
        <v>14</v>
      </c>
      <c r="BF21" s="9" t="s">
        <v>70</v>
      </c>
      <c r="BG21" s="9" t="s">
        <v>71</v>
      </c>
      <c r="BH21" s="9" t="s">
        <v>70</v>
      </c>
    </row>
    <row r="22" spans="2:60" ht="15">
      <c r="B22" s="155"/>
      <c r="C22" s="26"/>
      <c r="D22" s="107"/>
      <c r="E22" s="107"/>
      <c r="F22" s="107"/>
      <c r="G22" s="107"/>
      <c r="H22" s="107"/>
      <c r="I22" s="107"/>
      <c r="J22" s="108" t="str">
        <f>VLOOKUP(39,$BE$8:$BH$136,1+MATCH($AC$7,$BF$7:$BH$7,0))</f>
        <v>Roof slope / Độ dốc mái</v>
      </c>
      <c r="K22" s="231" t="s">
        <v>72</v>
      </c>
      <c r="L22" s="231"/>
      <c r="M22" s="481">
        <v>0.15</v>
      </c>
      <c r="N22" s="482"/>
      <c r="O22" s="13"/>
      <c r="P22" s="13"/>
      <c r="Q22" s="13"/>
      <c r="R22" s="13"/>
      <c r="S22" s="13"/>
      <c r="T22" s="13"/>
      <c r="U22" s="13"/>
      <c r="W22" s="13"/>
      <c r="X22" s="13"/>
      <c r="Y22" s="13"/>
      <c r="Z22" s="13"/>
      <c r="AA22" s="15"/>
      <c r="AC22" s="3" t="s">
        <v>330</v>
      </c>
      <c r="BE22" s="6">
        <f t="shared" si="0"/>
        <v>15</v>
      </c>
      <c r="BF22" s="9" t="s">
        <v>73</v>
      </c>
      <c r="BG22" s="9" t="s">
        <v>74</v>
      </c>
      <c r="BH22" s="9" t="s">
        <v>75</v>
      </c>
    </row>
    <row r="23" spans="2:60" ht="15">
      <c r="B23" s="155"/>
      <c r="C23" s="41"/>
      <c r="D23" s="42"/>
      <c r="E23" s="42"/>
      <c r="F23" s="42"/>
      <c r="G23" s="42"/>
      <c r="H23" s="42"/>
      <c r="I23" s="42"/>
      <c r="J23" s="31" t="str">
        <f>VLOOKUP(38,$BE$8:$BH$136,1+MATCH($AC$7,$BF$7:$BH$7,0))</f>
        <v>Roof pitch angle / Góc nghiêng mái</v>
      </c>
      <c r="K23" s="477" t="s">
        <v>187</v>
      </c>
      <c r="L23" s="478"/>
      <c r="M23" s="479">
        <f>DEGREES(ATAN(M22))</f>
        <v>8.5307656099481335</v>
      </c>
      <c r="N23" s="480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5"/>
      <c r="AC23" s="3" t="s">
        <v>329</v>
      </c>
      <c r="BE23" s="6">
        <f t="shared" ref="BE23:BE46" si="1">BE22+1</f>
        <v>16</v>
      </c>
      <c r="BF23" s="32" t="s">
        <v>76</v>
      </c>
      <c r="BG23" s="32" t="s">
        <v>77</v>
      </c>
      <c r="BH23" s="32" t="s">
        <v>78</v>
      </c>
    </row>
    <row r="24" spans="2:60" ht="15">
      <c r="B24" s="155"/>
      <c r="C24" s="281" t="str">
        <f>VLOOKUP(24,$BE$8:$BH$136,1+MATCH($AC$7,$BF$7:$BH$7,0))</f>
        <v>SITE DATA / DỮ LIỆU ĐỊA ĐIỂM</v>
      </c>
      <c r="D24" s="282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13"/>
      <c r="P24" s="483" t="str">
        <f>VLOOKUP(37,$BE$8:$BH$136,1+MATCH($AC$7,$BF$7:$BH$7,0))</f>
        <v>WIND PRESSURE ACTING ON THE SURFACES / ÁP LỰC GIÓ TÁC DỤNG LÊN BỀ MẶT:</v>
      </c>
      <c r="Q24" s="484"/>
      <c r="R24" s="484"/>
      <c r="S24" s="484"/>
      <c r="T24" s="484"/>
      <c r="U24" s="484"/>
      <c r="V24" s="484"/>
      <c r="W24" s="484"/>
      <c r="X24" s="484"/>
      <c r="Y24" s="484"/>
      <c r="Z24" s="485"/>
      <c r="AA24" s="15"/>
      <c r="AC24" s="3" t="s">
        <v>331</v>
      </c>
      <c r="BE24" s="6">
        <f t="shared" si="1"/>
        <v>17</v>
      </c>
      <c r="BF24" s="9" t="s">
        <v>79</v>
      </c>
      <c r="BG24" s="9" t="s">
        <v>80</v>
      </c>
      <c r="BH24" s="9" t="s">
        <v>81</v>
      </c>
    </row>
    <row r="25" spans="2:60" ht="18">
      <c r="B25" s="155"/>
      <c r="C25" s="254" t="str">
        <f>VLOOKUP(25,$BE$8:$BH$136,1+MATCH($AC$7,$BF$7:$BH$7,0))</f>
        <v>Zone / Vùng</v>
      </c>
      <c r="D25" s="255"/>
      <c r="E25" s="256" t="s">
        <v>30</v>
      </c>
      <c r="F25" s="256"/>
      <c r="G25" s="35"/>
      <c r="H25" s="35"/>
      <c r="I25" s="35"/>
      <c r="J25" s="35"/>
      <c r="K25" s="35"/>
      <c r="L25" s="34" t="str">
        <f>VLOOKUP(26,$BE$8:$BH$136,1+MATCH($AC$7,$BF$7:$BH$7,0))</f>
        <v>Site terrain type / Dạng địa hình:</v>
      </c>
      <c r="M25" s="257" t="s">
        <v>52</v>
      </c>
      <c r="N25" s="258"/>
      <c r="O25" s="13"/>
      <c r="P25" s="458" t="s">
        <v>220</v>
      </c>
      <c r="Q25" s="316"/>
      <c r="R25" s="316"/>
      <c r="S25" s="316"/>
      <c r="T25" s="316"/>
      <c r="U25" s="316"/>
      <c r="V25" s="316"/>
      <c r="W25" s="316"/>
      <c r="X25" s="316"/>
      <c r="Y25" s="316"/>
      <c r="Z25" s="459"/>
      <c r="AA25" s="15"/>
      <c r="BE25" s="6">
        <f t="shared" si="1"/>
        <v>18</v>
      </c>
      <c r="BF25" s="9" t="s">
        <v>82</v>
      </c>
      <c r="BG25" s="9" t="s">
        <v>83</v>
      </c>
      <c r="BH25" s="9" t="s">
        <v>84</v>
      </c>
    </row>
    <row r="26" spans="2:60" ht="18">
      <c r="B26" s="155"/>
      <c r="C26" s="36"/>
      <c r="D26" s="101" t="s">
        <v>88</v>
      </c>
      <c r="E26" s="451">
        <f>HLOOKUP(E25,$AE$12:$AI$13,2,FALSE)</f>
        <v>1.55</v>
      </c>
      <c r="F26" s="451"/>
      <c r="G26" s="456" t="s">
        <v>182</v>
      </c>
      <c r="H26" s="456"/>
      <c r="I26" s="102" t="s">
        <v>89</v>
      </c>
      <c r="J26" s="451">
        <f>VLOOKUP(M25,$AD$16:$AH$18,2,FALSE)</f>
        <v>274.32</v>
      </c>
      <c r="K26" s="451"/>
      <c r="L26" s="452" t="s">
        <v>90</v>
      </c>
      <c r="M26" s="453"/>
      <c r="N26" s="37">
        <f>VLOOKUP(M25,$AD$16:$AH$18,4,FALSE)</f>
        <v>9.5</v>
      </c>
      <c r="O26" s="13"/>
      <c r="P26" s="458" t="s">
        <v>221</v>
      </c>
      <c r="Q26" s="316"/>
      <c r="R26" s="316"/>
      <c r="S26" s="316"/>
      <c r="T26" s="316"/>
      <c r="U26" s="316"/>
      <c r="V26" s="316"/>
      <c r="W26" s="316"/>
      <c r="X26" s="316"/>
      <c r="Y26" s="316"/>
      <c r="Z26" s="459"/>
      <c r="AA26" s="15"/>
      <c r="BE26" s="6">
        <f t="shared" si="1"/>
        <v>19</v>
      </c>
      <c r="BF26" s="9" t="s">
        <v>85</v>
      </c>
      <c r="BG26" s="9" t="s">
        <v>86</v>
      </c>
      <c r="BH26" s="9" t="s">
        <v>87</v>
      </c>
    </row>
    <row r="27" spans="2:60" ht="18">
      <c r="B27" s="155"/>
      <c r="C27" s="103"/>
      <c r="D27" s="104" t="s">
        <v>95</v>
      </c>
      <c r="E27" s="454">
        <f>0.852*E26</f>
        <v>1.3206</v>
      </c>
      <c r="F27" s="454"/>
      <c r="G27" s="457" t="s">
        <v>182</v>
      </c>
      <c r="H27" s="457"/>
      <c r="I27" s="105" t="s">
        <v>96</v>
      </c>
      <c r="J27" s="455">
        <f>VLOOKUP(M25,$AD$16:$AH$18,3,FALSE)</f>
        <v>4.57</v>
      </c>
      <c r="K27" s="455"/>
      <c r="L27" s="455" t="s">
        <v>97</v>
      </c>
      <c r="M27" s="455"/>
      <c r="N27" s="106">
        <f>VLOOKUP(M25,$AD$16:$AH$18,5,FALSE)</f>
        <v>1.97</v>
      </c>
      <c r="O27" s="13"/>
      <c r="P27" s="460" t="s">
        <v>222</v>
      </c>
      <c r="Q27" s="461"/>
      <c r="R27" s="461"/>
      <c r="S27" s="461"/>
      <c r="T27" s="461"/>
      <c r="U27" s="461"/>
      <c r="V27" s="461"/>
      <c r="W27" s="461"/>
      <c r="X27" s="461"/>
      <c r="Y27" s="461"/>
      <c r="Z27" s="462"/>
      <c r="AA27" s="15"/>
      <c r="BE27" s="6">
        <f t="shared" si="1"/>
        <v>20</v>
      </c>
      <c r="BF27" s="9" t="s">
        <v>92</v>
      </c>
      <c r="BG27" s="32" t="s">
        <v>93</v>
      </c>
      <c r="BH27" s="9" t="s">
        <v>94</v>
      </c>
    </row>
    <row r="28" spans="2:60" ht="15">
      <c r="B28" s="155"/>
      <c r="C28" s="147"/>
      <c r="D28" s="99"/>
      <c r="E28" s="99"/>
      <c r="F28" s="99"/>
      <c r="G28" s="99"/>
      <c r="H28" s="99"/>
      <c r="I28" s="99"/>
      <c r="J28" s="100"/>
      <c r="K28" s="99"/>
      <c r="L28" s="100"/>
      <c r="M28" s="449"/>
      <c r="N28" s="450"/>
      <c r="O28" s="13"/>
      <c r="AA28" s="15"/>
      <c r="BE28" s="6">
        <f t="shared" si="1"/>
        <v>21</v>
      </c>
      <c r="BF28" s="32" t="s">
        <v>98</v>
      </c>
      <c r="BG28" s="9" t="s">
        <v>99</v>
      </c>
      <c r="BH28" s="32" t="s">
        <v>98</v>
      </c>
    </row>
    <row r="29" spans="2:60" ht="15" customHeight="1">
      <c r="B29" s="155"/>
      <c r="C29" s="111" t="str">
        <f>VLOOKUP(54,$BE$8:$BH$136,1+MATCH($AC$7,$BF$7:$BH$7,0))</f>
        <v>Open ratio for each wind direction</v>
      </c>
      <c r="D29" s="109"/>
      <c r="E29" s="109"/>
      <c r="F29" s="109"/>
      <c r="G29" s="109"/>
      <c r="H29" s="109"/>
      <c r="I29" s="109"/>
      <c r="J29" s="109"/>
      <c r="K29" s="109"/>
      <c r="L29" s="112" t="str">
        <f>VLOOKUP(58,$BE$8:$BH$136,1+MATCH($AC$7,$BF$7:$BH$7,0))</f>
        <v>Load / Tải trọng</v>
      </c>
      <c r="M29" s="510" t="s">
        <v>215</v>
      </c>
      <c r="N29" s="511"/>
      <c r="O29" s="511" t="s">
        <v>216</v>
      </c>
      <c r="P29" s="511"/>
      <c r="Q29" s="511" t="s">
        <v>217</v>
      </c>
      <c r="R29" s="511"/>
      <c r="S29" s="511" t="s">
        <v>218</v>
      </c>
      <c r="T29" s="512"/>
      <c r="AA29" s="15"/>
      <c r="AC29" s="242" t="s">
        <v>183</v>
      </c>
      <c r="AD29" s="243"/>
      <c r="AE29" s="243"/>
      <c r="BE29" s="6">
        <f t="shared" si="1"/>
        <v>22</v>
      </c>
      <c r="BF29" s="9" t="s">
        <v>100</v>
      </c>
      <c r="BG29" s="9" t="s">
        <v>101</v>
      </c>
      <c r="BH29" s="9" t="s">
        <v>100</v>
      </c>
    </row>
    <row r="30" spans="2:60" ht="15">
      <c r="B30" s="155"/>
      <c r="C30" s="113" t="str">
        <f>IF(AC7=BH7,BG61,"")</f>
        <v>Độ hở của tường chắn</v>
      </c>
      <c r="D30" s="110"/>
      <c r="E30" s="110"/>
      <c r="F30" s="110"/>
      <c r="G30" s="110"/>
      <c r="H30" s="110"/>
      <c r="I30" s="110"/>
      <c r="J30" s="110"/>
      <c r="K30" s="513" t="s">
        <v>219</v>
      </c>
      <c r="L30" s="514"/>
      <c r="M30" s="515">
        <v>0.05</v>
      </c>
      <c r="N30" s="516"/>
      <c r="O30" s="516">
        <v>0.05</v>
      </c>
      <c r="P30" s="516"/>
      <c r="Q30" s="516">
        <v>0.05</v>
      </c>
      <c r="R30" s="516"/>
      <c r="S30" s="516">
        <v>0.05</v>
      </c>
      <c r="T30" s="517"/>
      <c r="AA30" s="15"/>
      <c r="AC30" s="148">
        <v>0.05</v>
      </c>
      <c r="AD30" s="21">
        <v>0.2</v>
      </c>
      <c r="AE30" s="21">
        <v>-0.2</v>
      </c>
      <c r="AY30" s="44"/>
      <c r="AZ30" s="44"/>
      <c r="BA30" s="44"/>
      <c r="BB30" s="44"/>
      <c r="BC30" s="44"/>
      <c r="BE30" s="6">
        <f t="shared" si="1"/>
        <v>23</v>
      </c>
      <c r="BF30" s="9" t="s">
        <v>102</v>
      </c>
      <c r="BG30" s="9" t="s">
        <v>103</v>
      </c>
      <c r="BH30" s="9" t="s">
        <v>104</v>
      </c>
    </row>
    <row r="31" spans="2:60" ht="18">
      <c r="B31" s="155"/>
      <c r="C31" s="114" t="str">
        <f>VLOOKUP(28,$BE$8:$BH$136,1+MATCH($AC$7,$BF$7:$BH$7,0))</f>
        <v>Internal pressure coefficient</v>
      </c>
      <c r="D31" s="115"/>
      <c r="E31" s="115"/>
      <c r="F31" s="115"/>
      <c r="G31" s="115"/>
      <c r="H31" s="115"/>
      <c r="I31" s="475" t="s">
        <v>233</v>
      </c>
      <c r="J31" s="476"/>
      <c r="K31" s="250" t="str">
        <f>C46</f>
        <v>Case 1</v>
      </c>
      <c r="L31" s="250"/>
      <c r="M31" s="251">
        <f>MIN(MAX(2.4*M30+0.08,$AD$30),$AD$31)</f>
        <v>0.2</v>
      </c>
      <c r="N31" s="252"/>
      <c r="O31" s="252">
        <f t="shared" ref="O31" si="2">MIN(MAX(2.4*O30+0.08,$AD$30),$AD$31)</f>
        <v>0.2</v>
      </c>
      <c r="P31" s="252"/>
      <c r="Q31" s="252">
        <f t="shared" ref="Q31" si="3">MIN(MAX(2.4*Q30+0.08,$AD$30),$AD$31)</f>
        <v>0.2</v>
      </c>
      <c r="R31" s="252"/>
      <c r="S31" s="252">
        <f t="shared" ref="S31" si="4">MIN(MAX(2.4*S30+0.08,$AD$30),$AD$31)</f>
        <v>0.2</v>
      </c>
      <c r="T31" s="469"/>
      <c r="AA31" s="15"/>
      <c r="AC31" s="148">
        <v>0.3</v>
      </c>
      <c r="AD31" s="21">
        <v>0.8</v>
      </c>
      <c r="AE31" s="21">
        <v>-0.5</v>
      </c>
      <c r="AY31" s="44"/>
      <c r="AZ31" s="44"/>
      <c r="BA31" s="44"/>
      <c r="BB31" s="44"/>
      <c r="BC31" s="44"/>
      <c r="BE31" s="6">
        <f t="shared" si="1"/>
        <v>24</v>
      </c>
      <c r="BF31" s="9" t="s">
        <v>105</v>
      </c>
      <c r="BG31" s="9" t="s">
        <v>106</v>
      </c>
      <c r="BH31" s="9" t="s">
        <v>107</v>
      </c>
    </row>
    <row r="32" spans="2:60" ht="18">
      <c r="B32" s="155"/>
      <c r="C32" s="470" t="str">
        <f>IF(AC7=BH7,BG35,"")</f>
        <v>Hệ số khí động áp lực bên trong</v>
      </c>
      <c r="D32" s="471"/>
      <c r="E32" s="471"/>
      <c r="F32" s="471"/>
      <c r="G32" s="471"/>
      <c r="H32" s="471"/>
      <c r="I32" s="532" t="s">
        <v>233</v>
      </c>
      <c r="J32" s="533"/>
      <c r="K32" s="472" t="str">
        <f>C47</f>
        <v>Case 2</v>
      </c>
      <c r="L32" s="472"/>
      <c r="M32" s="473">
        <f>MIN(MAX(-1.2*M30-0.14,$AE$31),$AE$30)</f>
        <v>-0.2</v>
      </c>
      <c r="N32" s="474"/>
      <c r="O32" s="474">
        <f>MIN(MAX(-1.2*O30-0.14,$AE$31),$AE$30)</f>
        <v>-0.2</v>
      </c>
      <c r="P32" s="474"/>
      <c r="Q32" s="474">
        <f>MIN(MAX(-1.2*Q30-0.14,$AE$31),$AE$30)</f>
        <v>-0.2</v>
      </c>
      <c r="R32" s="474"/>
      <c r="S32" s="474">
        <f t="shared" ref="S32" si="5">MIN(MAX(-1.2*S30-0.14,$AE$31),$AE$30)</f>
        <v>-0.2</v>
      </c>
      <c r="T32" s="562"/>
      <c r="AA32" s="15"/>
      <c r="AY32" s="44"/>
      <c r="AZ32" s="44"/>
      <c r="BA32" s="44"/>
      <c r="BB32" s="44"/>
      <c r="BC32" s="44"/>
      <c r="BE32" s="6">
        <f t="shared" si="1"/>
        <v>25</v>
      </c>
      <c r="BF32" s="9" t="s">
        <v>34</v>
      </c>
      <c r="BG32" s="9" t="s">
        <v>108</v>
      </c>
      <c r="BH32" s="9" t="s">
        <v>109</v>
      </c>
    </row>
    <row r="33" spans="2:60" ht="15">
      <c r="B33" s="155"/>
      <c r="C33" s="5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5"/>
      <c r="BE33" s="6">
        <f t="shared" si="1"/>
        <v>26</v>
      </c>
      <c r="BF33" s="9" t="s">
        <v>110</v>
      </c>
      <c r="BG33" s="9" t="s">
        <v>111</v>
      </c>
      <c r="BH33" s="9" t="s">
        <v>112</v>
      </c>
    </row>
    <row r="34" spans="2:60" ht="15">
      <c r="B34" s="155"/>
      <c r="C34" s="529" t="str">
        <f>VLOOKUP(55,$BE$8:$BH$136,1+MATCH($AC$7,$BF$7:$BH$7,0))</f>
        <v>CALCULATION WIND PRESSURES / TÍNH TOÁN ÁP LỰC GIÓ</v>
      </c>
      <c r="D34" s="530"/>
      <c r="E34" s="530"/>
      <c r="F34" s="530"/>
      <c r="G34" s="530"/>
      <c r="H34" s="530"/>
      <c r="I34" s="530"/>
      <c r="J34" s="530"/>
      <c r="K34" s="530"/>
      <c r="L34" s="530"/>
      <c r="M34" s="530"/>
      <c r="N34" s="530"/>
      <c r="O34" s="530"/>
      <c r="P34" s="530"/>
      <c r="Q34" s="530"/>
      <c r="R34" s="530"/>
      <c r="S34" s="530"/>
      <c r="T34" s="530"/>
      <c r="U34" s="530"/>
      <c r="V34" s="530"/>
      <c r="W34" s="530"/>
      <c r="X34" s="530"/>
      <c r="Y34" s="530"/>
      <c r="Z34" s="530"/>
      <c r="AA34" s="531"/>
      <c r="AC34" s="236" t="s">
        <v>332</v>
      </c>
      <c r="AD34" s="236"/>
      <c r="AE34" s="236"/>
      <c r="AF34" s="237" t="s">
        <v>333</v>
      </c>
      <c r="AG34" s="237"/>
      <c r="AH34" s="237"/>
      <c r="AI34" s="237"/>
      <c r="BE34" s="6">
        <f t="shared" si="1"/>
        <v>27</v>
      </c>
      <c r="BF34" s="9" t="s">
        <v>113</v>
      </c>
      <c r="BG34" s="9" t="s">
        <v>114</v>
      </c>
      <c r="BH34" s="9" t="s">
        <v>115</v>
      </c>
    </row>
    <row r="35" spans="2:60" ht="18">
      <c r="B35" s="155"/>
      <c r="C35" s="463" t="str">
        <f>VLOOKUP(56,$BE$8:$BH$136,1+MATCH($AC$7,$BF$7:$BH$7,0))</f>
        <v>DIRECTION X / PHƯƠNG X</v>
      </c>
      <c r="D35" s="464"/>
      <c r="E35" s="464"/>
      <c r="F35" s="465"/>
      <c r="G35" s="561" t="s">
        <v>196</v>
      </c>
      <c r="H35" s="561"/>
      <c r="I35" s="561" t="s">
        <v>197</v>
      </c>
      <c r="J35" s="561"/>
      <c r="K35" s="244" t="s">
        <v>198</v>
      </c>
      <c r="L35" s="245"/>
      <c r="M35" s="244" t="s">
        <v>200</v>
      </c>
      <c r="N35" s="245"/>
      <c r="O35" s="244" t="s">
        <v>201</v>
      </c>
      <c r="P35" s="245"/>
      <c r="Q35" s="244" t="s">
        <v>199</v>
      </c>
      <c r="R35" s="245"/>
      <c r="U35" s="156"/>
      <c r="V35" s="156"/>
      <c r="W35" s="156"/>
      <c r="X35" s="156"/>
      <c r="Y35" s="156"/>
      <c r="Z35" s="156"/>
      <c r="AA35" s="15"/>
      <c r="AC35" s="238" t="s">
        <v>334</v>
      </c>
      <c r="AD35" s="217" t="s">
        <v>335</v>
      </c>
      <c r="AE35" s="218">
        <f>IF(G15="RC building",0.85+M20/2840,0.85+M20/1010)</f>
        <v>0.85990099009900989</v>
      </c>
      <c r="AF35" s="116" t="s">
        <v>333</v>
      </c>
      <c r="AG35" s="217"/>
      <c r="AH35" s="217"/>
      <c r="AI35" s="217"/>
      <c r="BE35" s="6">
        <f t="shared" si="1"/>
        <v>28</v>
      </c>
      <c r="BF35" s="45" t="s">
        <v>116</v>
      </c>
      <c r="BG35" s="9" t="s">
        <v>117</v>
      </c>
      <c r="BH35" s="45" t="s">
        <v>116</v>
      </c>
    </row>
    <row r="36" spans="2:60" ht="15">
      <c r="B36" s="155"/>
      <c r="C36" s="466"/>
      <c r="D36" s="467"/>
      <c r="E36" s="467"/>
      <c r="F36" s="468"/>
      <c r="G36" s="246">
        <f>IF(AF34=AF35,AE35,AE36)</f>
        <v>0.85990099009900989</v>
      </c>
      <c r="H36" s="247"/>
      <c r="I36" s="246">
        <f>M20+IF(G16="With parapets",M21,0)</f>
        <v>10</v>
      </c>
      <c r="J36" s="247"/>
      <c r="K36" s="248" cm="1">
        <f t="array" ref="K36">ze(I36, M36, M20, M25)</f>
        <v>10</v>
      </c>
      <c r="L36" s="249"/>
      <c r="M36" s="248">
        <f>M19</f>
        <v>20</v>
      </c>
      <c r="N36" s="249"/>
      <c r="O36" s="248">
        <f>M18</f>
        <v>120</v>
      </c>
      <c r="P36" s="249"/>
      <c r="Q36" s="248">
        <f>MIN(2.01*(K36/J26)^(2/N26),N27)</f>
        <v>1.0009330064908715</v>
      </c>
      <c r="R36" s="249"/>
      <c r="U36" s="156"/>
      <c r="V36" s="156"/>
      <c r="W36" s="156"/>
      <c r="X36" s="156"/>
      <c r="Y36" s="156"/>
      <c r="Z36" s="156"/>
      <c r="AA36" s="15"/>
      <c r="AC36" s="239"/>
      <c r="AD36" s="217" t="s">
        <v>336</v>
      </c>
      <c r="AE36" s="218">
        <f>GustFactor!E33</f>
        <v>0.9438934308721264</v>
      </c>
      <c r="AF36" s="116" t="s">
        <v>337</v>
      </c>
      <c r="AG36" s="217"/>
      <c r="AH36" s="217"/>
      <c r="AI36" s="217"/>
      <c r="BE36" s="6">
        <f t="shared" si="1"/>
        <v>29</v>
      </c>
      <c r="BF36" s="9" t="s">
        <v>118</v>
      </c>
      <c r="BG36" s="9" t="s">
        <v>119</v>
      </c>
      <c r="BH36" s="9" t="s">
        <v>120</v>
      </c>
    </row>
    <row r="37" spans="2:60" ht="15">
      <c r="B37" s="155"/>
      <c r="C37" s="97"/>
      <c r="D37" s="125"/>
      <c r="E37" s="126"/>
      <c r="F37" s="127"/>
      <c r="G37" s="128"/>
      <c r="H37" s="126"/>
      <c r="I37" s="129"/>
      <c r="J37" s="130"/>
      <c r="K37" s="129"/>
      <c r="L37" s="131"/>
      <c r="M37" s="125"/>
      <c r="N37" s="125"/>
      <c r="O37" s="125"/>
      <c r="P37" s="125"/>
      <c r="Q37" s="125"/>
      <c r="R37" s="125"/>
      <c r="U37" s="125"/>
      <c r="V37" s="132"/>
      <c r="W37" s="132"/>
      <c r="X37" s="132"/>
      <c r="Y37" s="132"/>
      <c r="Z37" s="132"/>
      <c r="AA37" s="15"/>
      <c r="AC37"/>
      <c r="AD37"/>
      <c r="AE37"/>
      <c r="AF37"/>
      <c r="AG37"/>
      <c r="AH37"/>
      <c r="AI37"/>
      <c r="BE37" s="6">
        <f t="shared" si="1"/>
        <v>30</v>
      </c>
      <c r="BF37" s="9" t="s">
        <v>121</v>
      </c>
      <c r="BG37" s="9" t="s">
        <v>122</v>
      </c>
      <c r="BH37" s="9" t="s">
        <v>123</v>
      </c>
    </row>
    <row r="38" spans="2:60" ht="18">
      <c r="B38" s="155"/>
      <c r="C38" s="312" t="str">
        <f>VLOOKUP(57,$BE$8:$BH$136,1+MATCH($AC$7,$BF$7:$BH$7,0))</f>
        <v>DIRECTION Y / PHƯƠNG Y</v>
      </c>
      <c r="D38" s="312"/>
      <c r="E38" s="312"/>
      <c r="F38" s="312"/>
      <c r="G38" s="279" t="s">
        <v>196</v>
      </c>
      <c r="H38" s="279"/>
      <c r="I38" s="279" t="s">
        <v>197</v>
      </c>
      <c r="J38" s="279"/>
      <c r="K38" s="279" t="s">
        <v>198</v>
      </c>
      <c r="L38" s="279"/>
      <c r="M38" s="279" t="s">
        <v>200</v>
      </c>
      <c r="N38" s="279"/>
      <c r="O38" s="279" t="s">
        <v>201</v>
      </c>
      <c r="P38" s="279"/>
      <c r="Q38" s="279" t="s">
        <v>199</v>
      </c>
      <c r="R38" s="279"/>
      <c r="U38" s="156"/>
      <c r="V38" s="156"/>
      <c r="W38" s="156"/>
      <c r="X38" s="156"/>
      <c r="Y38" s="156"/>
      <c r="Z38" s="156"/>
      <c r="AA38" s="15"/>
      <c r="AC38" s="238" t="s">
        <v>338</v>
      </c>
      <c r="AD38" s="217" t="s">
        <v>335</v>
      </c>
      <c r="AE38" s="218">
        <f>IF(G15="RC building",0.85+M20/2840,0.85+M20/1010)</f>
        <v>0.85990099009900989</v>
      </c>
      <c r="AF38" s="240" t="str">
        <f>AF35</f>
        <v>Công thức tính toán sơ bộ theo phụ lục</v>
      </c>
      <c r="AG38" s="241"/>
      <c r="AH38" s="241"/>
      <c r="AI38" s="241"/>
      <c r="BE38" s="6">
        <f t="shared" si="1"/>
        <v>31</v>
      </c>
      <c r="BF38" s="9" t="s">
        <v>124</v>
      </c>
      <c r="BG38" s="9" t="s">
        <v>125</v>
      </c>
      <c r="BH38" s="9" t="s">
        <v>124</v>
      </c>
    </row>
    <row r="39" spans="2:60" ht="15">
      <c r="B39" s="155"/>
      <c r="C39" s="312"/>
      <c r="D39" s="312"/>
      <c r="E39" s="312"/>
      <c r="F39" s="312"/>
      <c r="G39" s="246">
        <f>IF(AF34=AF38,AE38,AE39)</f>
        <v>0.85990099009900989</v>
      </c>
      <c r="H39" s="247"/>
      <c r="I39" s="246">
        <f>M20+IF(G16="With parapets",M21,0)</f>
        <v>10</v>
      </c>
      <c r="J39" s="247"/>
      <c r="K39" s="248" cm="1">
        <f t="array" ref="K39">ze(I39, M39, M20, M25)</f>
        <v>10</v>
      </c>
      <c r="L39" s="249"/>
      <c r="M39" s="266">
        <f>M18</f>
        <v>120</v>
      </c>
      <c r="N39" s="279"/>
      <c r="O39" s="266">
        <f>M19</f>
        <v>20</v>
      </c>
      <c r="P39" s="279"/>
      <c r="Q39" s="248">
        <f>MIN(2.01*(K39/J26)^(2/N26),N27)</f>
        <v>1.0009330064908715</v>
      </c>
      <c r="R39" s="249"/>
      <c r="U39" s="156"/>
      <c r="V39" s="156"/>
      <c r="W39" s="156"/>
      <c r="X39" s="156"/>
      <c r="Y39" s="156"/>
      <c r="Z39" s="156"/>
      <c r="AA39" s="15"/>
      <c r="AC39" s="239"/>
      <c r="AD39" s="217" t="s">
        <v>336</v>
      </c>
      <c r="AE39" s="218">
        <f>GustFactor!K33</f>
        <v>0.88580526599160792</v>
      </c>
      <c r="AF39" s="240" t="str">
        <f>AF36</f>
        <v>Công thức tính toán theo sheet bên cạnh</v>
      </c>
      <c r="AG39" s="241"/>
      <c r="AH39" s="241"/>
      <c r="AI39" s="241"/>
      <c r="BE39" s="6">
        <f t="shared" si="1"/>
        <v>32</v>
      </c>
      <c r="BF39" s="9" t="s">
        <v>126</v>
      </c>
      <c r="BG39" s="9" t="s">
        <v>127</v>
      </c>
      <c r="BH39" s="9" t="s">
        <v>128</v>
      </c>
    </row>
    <row r="40" spans="2:60" ht="15">
      <c r="B40" s="155"/>
      <c r="C40" s="5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5"/>
      <c r="BE40" s="6">
        <f t="shared" si="1"/>
        <v>33</v>
      </c>
      <c r="BF40" s="9" t="s">
        <v>129</v>
      </c>
      <c r="BG40" s="9" t="s">
        <v>130</v>
      </c>
      <c r="BH40" s="9" t="s">
        <v>131</v>
      </c>
    </row>
    <row r="41" spans="2:60" ht="15" customHeight="1">
      <c r="B41" s="155"/>
      <c r="C41" s="488" t="str">
        <f>VLOOKUP(40,$BE$8:$BH$136,1+MATCH($AC$7,$BF$7:$BH$7,0))</f>
        <v>CALCULATIONS: WIND PRESSURES FOR ROOF (WIND X)
TÍNH TOÁN ÁP LỰC GIÓ LÊN MÁI (PHƯƠNG X)</v>
      </c>
      <c r="D41" s="489"/>
      <c r="E41" s="489"/>
      <c r="F41" s="489"/>
      <c r="G41" s="489"/>
      <c r="H41" s="489"/>
      <c r="I41" s="489"/>
      <c r="J41" s="489"/>
      <c r="K41" s="489"/>
      <c r="L41" s="489"/>
      <c r="M41" s="489"/>
      <c r="N41" s="489"/>
      <c r="O41" s="489"/>
      <c r="P41" s="489"/>
      <c r="Q41" s="489"/>
      <c r="R41" s="489"/>
      <c r="S41" s="489"/>
      <c r="T41" s="490"/>
      <c r="U41" s="13"/>
      <c r="V41" s="13"/>
      <c r="W41" s="13"/>
      <c r="X41" s="13"/>
      <c r="Y41" s="13"/>
      <c r="Z41" s="13"/>
      <c r="AA41" s="15"/>
      <c r="AC41" s="494" t="s">
        <v>0</v>
      </c>
      <c r="AD41" s="494"/>
      <c r="AE41" s="494"/>
      <c r="AF41" s="494"/>
      <c r="AG41" s="495"/>
      <c r="BE41" s="6">
        <f t="shared" si="1"/>
        <v>34</v>
      </c>
      <c r="BF41" s="9" t="s">
        <v>132</v>
      </c>
      <c r="BG41" s="9" t="s">
        <v>133</v>
      </c>
      <c r="BH41" s="9" t="s">
        <v>132</v>
      </c>
    </row>
    <row r="42" spans="2:60" ht="15">
      <c r="B42" s="155"/>
      <c r="C42" s="287" t="str">
        <f>VLOOKUP(25,$BE$8:$BH$136,1+MATCH($AC$7,$BF$7:$BH$7,0))</f>
        <v>Zone / Vùng</v>
      </c>
      <c r="D42" s="287"/>
      <c r="E42" s="284" t="s">
        <v>212</v>
      </c>
      <c r="F42" s="285"/>
      <c r="G42" s="285"/>
      <c r="H42" s="285"/>
      <c r="I42" s="285"/>
      <c r="J42" s="285"/>
      <c r="K42" s="285"/>
      <c r="L42" s="286"/>
      <c r="M42" s="284" t="s">
        <v>213</v>
      </c>
      <c r="N42" s="285"/>
      <c r="O42" s="285"/>
      <c r="P42" s="285"/>
      <c r="Q42" s="285"/>
      <c r="R42" s="285"/>
      <c r="S42" s="285"/>
      <c r="T42" s="286"/>
      <c r="U42" s="13"/>
      <c r="V42" s="13"/>
      <c r="W42" s="13"/>
      <c r="X42" s="13"/>
      <c r="Y42" s="13"/>
      <c r="Z42" s="13"/>
      <c r="AA42" s="15"/>
      <c r="AC42" s="501" t="s">
        <v>6</v>
      </c>
      <c r="AD42" s="498" t="s">
        <v>7</v>
      </c>
      <c r="AE42" s="499"/>
      <c r="AF42" s="499"/>
      <c r="AG42" s="502"/>
      <c r="BE42" s="6">
        <f t="shared" si="1"/>
        <v>35</v>
      </c>
      <c r="BF42" s="9" t="s">
        <v>118</v>
      </c>
      <c r="BG42" s="9" t="s">
        <v>134</v>
      </c>
      <c r="BH42" s="9" t="s">
        <v>118</v>
      </c>
    </row>
    <row r="43" spans="2:60" ht="15">
      <c r="B43" s="155"/>
      <c r="C43" s="287"/>
      <c r="D43" s="287"/>
      <c r="E43" s="298" t="s">
        <v>67</v>
      </c>
      <c r="F43" s="299"/>
      <c r="G43" s="299" t="s">
        <v>68</v>
      </c>
      <c r="H43" s="299"/>
      <c r="I43" s="299" t="s">
        <v>69</v>
      </c>
      <c r="J43" s="299"/>
      <c r="K43" s="299" t="s">
        <v>27</v>
      </c>
      <c r="L43" s="300"/>
      <c r="M43" s="298" t="s">
        <v>67</v>
      </c>
      <c r="N43" s="299"/>
      <c r="O43" s="299" t="s">
        <v>68</v>
      </c>
      <c r="P43" s="299"/>
      <c r="Q43" s="299" t="s">
        <v>69</v>
      </c>
      <c r="R43" s="299"/>
      <c r="S43" s="299" t="s">
        <v>27</v>
      </c>
      <c r="T43" s="300"/>
      <c r="U43" s="13"/>
      <c r="V43" s="13"/>
      <c r="W43" s="13"/>
      <c r="X43" s="13"/>
      <c r="Y43" s="13"/>
      <c r="Z43" s="13"/>
      <c r="AA43" s="15"/>
      <c r="AC43" s="501"/>
      <c r="AD43" s="8" t="s">
        <v>14</v>
      </c>
      <c r="AE43" s="8" t="s">
        <v>15</v>
      </c>
      <c r="AF43" s="8" t="s">
        <v>16</v>
      </c>
      <c r="AG43" s="8" t="s">
        <v>17</v>
      </c>
      <c r="BE43" s="6">
        <f t="shared" si="1"/>
        <v>36</v>
      </c>
      <c r="BF43" s="9" t="s">
        <v>121</v>
      </c>
      <c r="BG43" s="9" t="s">
        <v>135</v>
      </c>
      <c r="BH43" s="9" t="s">
        <v>121</v>
      </c>
    </row>
    <row r="44" spans="2:60" ht="18">
      <c r="B44" s="155"/>
      <c r="C44" s="26"/>
      <c r="D44" s="143" t="s">
        <v>231</v>
      </c>
      <c r="E44" s="301">
        <f>AD51</f>
        <v>-1.4940770864486694</v>
      </c>
      <c r="F44" s="302"/>
      <c r="G44" s="302">
        <f>AE51</f>
        <v>-1.2999999523162842</v>
      </c>
      <c r="H44" s="302"/>
      <c r="I44" s="302">
        <f>AF51</f>
        <v>-0.66469234228134155</v>
      </c>
      <c r="J44" s="302"/>
      <c r="K44" s="302">
        <f>AG51</f>
        <v>-0.56469237804412842</v>
      </c>
      <c r="L44" s="303"/>
      <c r="M44" s="301">
        <f>AD51</f>
        <v>-1.4940770864486694</v>
      </c>
      <c r="N44" s="302"/>
      <c r="O44" s="302">
        <f>AE51</f>
        <v>-1.2999999523162842</v>
      </c>
      <c r="P44" s="302"/>
      <c r="Q44" s="302">
        <f>AF51</f>
        <v>-0.66469234228134155</v>
      </c>
      <c r="R44" s="302"/>
      <c r="S44" s="302">
        <f>AG51</f>
        <v>-0.56469237804412842</v>
      </c>
      <c r="T44" s="303"/>
      <c r="U44" s="13"/>
      <c r="V44" s="13"/>
      <c r="W44" s="13"/>
      <c r="X44" s="13"/>
      <c r="Y44" s="13"/>
      <c r="Z44" s="13"/>
      <c r="AA44" s="15"/>
      <c r="AC44" s="149">
        <v>-5</v>
      </c>
      <c r="AD44" s="12">
        <v>-1.8</v>
      </c>
      <c r="AE44" s="12">
        <v>-1.2</v>
      </c>
      <c r="AF44" s="12">
        <v>-0.7</v>
      </c>
      <c r="AG44" s="12">
        <v>-0.6</v>
      </c>
      <c r="BE44" s="6">
        <f t="shared" si="1"/>
        <v>37</v>
      </c>
      <c r="BF44" s="32" t="s">
        <v>223</v>
      </c>
      <c r="BG44" s="32" t="s">
        <v>224</v>
      </c>
      <c r="BH44" s="32" t="s">
        <v>225</v>
      </c>
    </row>
    <row r="45" spans="2:60" ht="18">
      <c r="B45" s="155"/>
      <c r="C45" s="48"/>
      <c r="D45" s="49" t="s">
        <v>188</v>
      </c>
      <c r="E45" s="305">
        <f>$E$27*$Q$36*E44*$G$36</f>
        <v>-1.69823488526949</v>
      </c>
      <c r="F45" s="294"/>
      <c r="G45" s="294">
        <f>$E$27*$Q$36*G44*$G$36</f>
        <v>-1.4776381285116746</v>
      </c>
      <c r="H45" s="294"/>
      <c r="I45" s="294">
        <f>$E$27*$Q$36*I44*$G$36</f>
        <v>-0.75551906516199951</v>
      </c>
      <c r="J45" s="294"/>
      <c r="K45" s="294">
        <f>$E$27*$Q$36*K44*$G$36</f>
        <v>-0.6418546302184206</v>
      </c>
      <c r="L45" s="295"/>
      <c r="M45" s="305">
        <f>$E$27*$Q$36*M44*$G$36</f>
        <v>-1.69823488526949</v>
      </c>
      <c r="N45" s="294"/>
      <c r="O45" s="294">
        <f>$E$27*$Q$36*O44*$G$36</f>
        <v>-1.4776381285116746</v>
      </c>
      <c r="P45" s="294"/>
      <c r="Q45" s="294">
        <f>$E$27*$Q$36*Q44*$G$36</f>
        <v>-0.75551906516199951</v>
      </c>
      <c r="R45" s="294"/>
      <c r="S45" s="294">
        <f>$E$27*$Q$36*S44*$G$36</f>
        <v>-0.6418546302184206</v>
      </c>
      <c r="T45" s="295"/>
      <c r="U45" s="13"/>
      <c r="V45" s="13"/>
      <c r="W45" s="13"/>
      <c r="X45" s="13"/>
      <c r="Y45" s="13"/>
      <c r="Z45" s="13"/>
      <c r="AA45" s="15"/>
      <c r="AC45" s="149">
        <v>5</v>
      </c>
      <c r="AD45" s="12">
        <v>-1.6</v>
      </c>
      <c r="AE45" s="12">
        <v>-1.3</v>
      </c>
      <c r="AF45" s="12">
        <v>-0.7</v>
      </c>
      <c r="AG45" s="12">
        <v>-0.6</v>
      </c>
      <c r="BE45" s="6">
        <f t="shared" si="1"/>
        <v>38</v>
      </c>
      <c r="BF45" s="9" t="s">
        <v>136</v>
      </c>
      <c r="BG45" s="9" t="s">
        <v>137</v>
      </c>
      <c r="BH45" s="9" t="s">
        <v>138</v>
      </c>
    </row>
    <row r="46" spans="2:60" ht="18">
      <c r="B46" s="155"/>
      <c r="C46" s="46" t="str">
        <f>VLOOKUP(43,$BE$8:$BH$136,1+MATCH($AC$7,$BF$7:$BH$7,0))</f>
        <v>Case 1</v>
      </c>
      <c r="D46" s="144" t="s">
        <v>232</v>
      </c>
      <c r="E46" s="304">
        <f>$M$31</f>
        <v>0.2</v>
      </c>
      <c r="F46" s="292"/>
      <c r="G46" s="292">
        <f>$M$31</f>
        <v>0.2</v>
      </c>
      <c r="H46" s="292"/>
      <c r="I46" s="292">
        <f>$M$31</f>
        <v>0.2</v>
      </c>
      <c r="J46" s="292"/>
      <c r="K46" s="292">
        <f>$M$31</f>
        <v>0.2</v>
      </c>
      <c r="L46" s="293"/>
      <c r="M46" s="304">
        <f>$O$31</f>
        <v>0.2</v>
      </c>
      <c r="N46" s="292"/>
      <c r="O46" s="292">
        <f>$O$31</f>
        <v>0.2</v>
      </c>
      <c r="P46" s="292"/>
      <c r="Q46" s="292">
        <f>$O$31</f>
        <v>0.2</v>
      </c>
      <c r="R46" s="292"/>
      <c r="S46" s="292">
        <f>$O$31</f>
        <v>0.2</v>
      </c>
      <c r="T46" s="293"/>
      <c r="U46" s="13"/>
      <c r="V46" s="13"/>
      <c r="W46" s="13"/>
      <c r="X46" s="13"/>
      <c r="Y46" s="13"/>
      <c r="Z46" s="13"/>
      <c r="AA46" s="15"/>
      <c r="AC46" s="149">
        <v>15</v>
      </c>
      <c r="AD46" s="12">
        <v>-1.3</v>
      </c>
      <c r="AE46" s="12">
        <v>-1.3</v>
      </c>
      <c r="AF46" s="12">
        <v>-0.6</v>
      </c>
      <c r="AG46" s="12">
        <v>-0.5</v>
      </c>
      <c r="BE46" s="6">
        <f t="shared" si="1"/>
        <v>39</v>
      </c>
      <c r="BF46" s="9" t="s">
        <v>139</v>
      </c>
      <c r="BG46" s="9" t="s">
        <v>140</v>
      </c>
      <c r="BH46" s="9" t="s">
        <v>141</v>
      </c>
    </row>
    <row r="47" spans="2:60" ht="18">
      <c r="B47" s="155"/>
      <c r="C47" s="48" t="str">
        <f>VLOOKUP(44,$BE$8:$BH$136,1+MATCH($AC$7,$BF$7:$BH$7,0))</f>
        <v>Case 2</v>
      </c>
      <c r="D47" s="145" t="s">
        <v>232</v>
      </c>
      <c r="E47" s="305">
        <f>$M$32</f>
        <v>-0.2</v>
      </c>
      <c r="F47" s="294"/>
      <c r="G47" s="294">
        <f>$M$32</f>
        <v>-0.2</v>
      </c>
      <c r="H47" s="294"/>
      <c r="I47" s="294">
        <f>$M$32</f>
        <v>-0.2</v>
      </c>
      <c r="J47" s="294"/>
      <c r="K47" s="294">
        <f>$M$32</f>
        <v>-0.2</v>
      </c>
      <c r="L47" s="295"/>
      <c r="M47" s="305">
        <f>$O$32</f>
        <v>-0.2</v>
      </c>
      <c r="N47" s="294"/>
      <c r="O47" s="294">
        <f>$O$32</f>
        <v>-0.2</v>
      </c>
      <c r="P47" s="294"/>
      <c r="Q47" s="294">
        <f>$O$32</f>
        <v>-0.2</v>
      </c>
      <c r="R47" s="294"/>
      <c r="S47" s="294">
        <f>$O$32</f>
        <v>-0.2</v>
      </c>
      <c r="T47" s="295"/>
      <c r="U47" s="13"/>
      <c r="V47" s="13"/>
      <c r="W47" s="13"/>
      <c r="X47" s="13"/>
      <c r="Y47" s="13"/>
      <c r="Z47" s="13"/>
      <c r="AA47" s="15"/>
      <c r="AC47" s="149">
        <v>30</v>
      </c>
      <c r="AD47" s="12">
        <v>-1.1000000000000001</v>
      </c>
      <c r="AE47" s="12">
        <v>-1.4</v>
      </c>
      <c r="AF47" s="12">
        <v>-0.8</v>
      </c>
      <c r="AG47" s="12">
        <v>-0.5</v>
      </c>
      <c r="BE47" s="6">
        <v>40</v>
      </c>
      <c r="BF47" s="9" t="s">
        <v>142</v>
      </c>
      <c r="BG47" s="9" t="s">
        <v>143</v>
      </c>
      <c r="BH47" s="9" t="s">
        <v>144</v>
      </c>
    </row>
    <row r="48" spans="2:60" ht="18">
      <c r="B48" s="155"/>
      <c r="C48" s="46" t="str">
        <f>VLOOKUP(43,$BE$8:$BH$136,1+MATCH($AC$7,$BF$7:$BH$7,0))</f>
        <v>Case 1</v>
      </c>
      <c r="D48" s="47" t="s">
        <v>189</v>
      </c>
      <c r="E48" s="304">
        <f>$E$27*$Q$36*E46*$G$36</f>
        <v>0.22732895118632618</v>
      </c>
      <c r="F48" s="292"/>
      <c r="G48" s="292">
        <f>$E$27*$Q$36*G46*$G$36</f>
        <v>0.22732895118632618</v>
      </c>
      <c r="H48" s="292"/>
      <c r="I48" s="292">
        <f>$E$27*$Q$36*I46*$G$36</f>
        <v>0.22732895118632618</v>
      </c>
      <c r="J48" s="292"/>
      <c r="K48" s="292">
        <f>$E$27*$Q$36*K46*$G$36</f>
        <v>0.22732895118632618</v>
      </c>
      <c r="L48" s="293"/>
      <c r="M48" s="304">
        <f>$E$27*$Q$36*M46*$G$36</f>
        <v>0.22732895118632618</v>
      </c>
      <c r="N48" s="292"/>
      <c r="O48" s="292">
        <f>$E$27*$Q$36*O46*$G$36</f>
        <v>0.22732895118632618</v>
      </c>
      <c r="P48" s="292"/>
      <c r="Q48" s="292">
        <f>$E$27*$Q$36*Q46*$G$36</f>
        <v>0.22732895118632618</v>
      </c>
      <c r="R48" s="292"/>
      <c r="S48" s="292">
        <f>$E$27*$Q$36*S46*$G$36</f>
        <v>0.22732895118632618</v>
      </c>
      <c r="T48" s="293"/>
      <c r="U48" s="13"/>
      <c r="V48" s="13"/>
      <c r="W48" s="13"/>
      <c r="X48" s="13"/>
      <c r="Y48" s="13"/>
      <c r="Z48" s="13"/>
      <c r="AA48" s="15"/>
      <c r="AC48" s="149">
        <v>45</v>
      </c>
      <c r="AD48" s="12">
        <v>-1.1000000000000001</v>
      </c>
      <c r="AE48" s="12">
        <v>-1.4</v>
      </c>
      <c r="AF48" s="12">
        <v>-0.9</v>
      </c>
      <c r="AG48" s="12">
        <v>-0.5</v>
      </c>
      <c r="BE48" s="6">
        <v>41</v>
      </c>
      <c r="BF48" s="9" t="s">
        <v>148</v>
      </c>
      <c r="BG48" s="9" t="s">
        <v>149</v>
      </c>
      <c r="BH48" s="9" t="s">
        <v>150</v>
      </c>
    </row>
    <row r="49" spans="2:60" ht="18">
      <c r="B49" s="155"/>
      <c r="C49" s="48" t="str">
        <f>VLOOKUP(44,$BE$8:$BH$136,1+MATCH($AC$7,$BF$7:$BH$7,0))</f>
        <v>Case 2</v>
      </c>
      <c r="D49" s="49" t="s">
        <v>189</v>
      </c>
      <c r="E49" s="305">
        <f>$E$27*$Q$36*E47*$G$36</f>
        <v>-0.22732895118632618</v>
      </c>
      <c r="F49" s="294"/>
      <c r="G49" s="294">
        <f>$E$27*$Q$36*G47*$G$36</f>
        <v>-0.22732895118632618</v>
      </c>
      <c r="H49" s="294"/>
      <c r="I49" s="294">
        <f>$E$27*$Q$36*I47*$G$36</f>
        <v>-0.22732895118632618</v>
      </c>
      <c r="J49" s="294"/>
      <c r="K49" s="294">
        <f>$E$27*$Q$36*K47*$G$36</f>
        <v>-0.22732895118632618</v>
      </c>
      <c r="L49" s="295"/>
      <c r="M49" s="305">
        <f>$E$27*$Q$36*M47*$G$36</f>
        <v>-0.22732895118632618</v>
      </c>
      <c r="N49" s="294"/>
      <c r="O49" s="294">
        <f>$E$27*$Q$36*O47*$G$36</f>
        <v>-0.22732895118632618</v>
      </c>
      <c r="P49" s="294"/>
      <c r="Q49" s="294">
        <f>$E$27*$Q$36*Q47*$G$36</f>
        <v>-0.22732895118632618</v>
      </c>
      <c r="R49" s="294"/>
      <c r="S49" s="294">
        <f>$E$27*$Q$36*S47*$G$36</f>
        <v>-0.22732895118632618</v>
      </c>
      <c r="T49" s="295"/>
      <c r="U49" s="13"/>
      <c r="V49" s="13"/>
      <c r="W49" s="13"/>
      <c r="X49" s="13"/>
      <c r="Y49" s="13"/>
      <c r="Z49" s="13"/>
      <c r="AA49" s="15"/>
      <c r="AC49" s="149">
        <v>60</v>
      </c>
      <c r="AD49" s="12">
        <v>-1.1000000000000001</v>
      </c>
      <c r="AE49" s="12">
        <v>-1.2</v>
      </c>
      <c r="AF49" s="12">
        <v>-0.8</v>
      </c>
      <c r="AG49" s="12">
        <v>-0.5</v>
      </c>
      <c r="BE49" s="6">
        <v>42</v>
      </c>
      <c r="BF49" s="9" t="s">
        <v>153</v>
      </c>
      <c r="BG49" s="9" t="s">
        <v>154</v>
      </c>
      <c r="BH49" s="9" t="s">
        <v>155</v>
      </c>
    </row>
    <row r="50" spans="2:60" ht="18">
      <c r="B50" s="155"/>
      <c r="C50" s="46" t="str">
        <f>VLOOKUP(43,$BE$8:$BH$136,1+MATCH($AC$7,$BF$7:$BH$7,0))</f>
        <v>Case 1</v>
      </c>
      <c r="D50" s="47" t="s">
        <v>190</v>
      </c>
      <c r="E50" s="439">
        <f>E45-E48</f>
        <v>-1.9255638364558161</v>
      </c>
      <c r="F50" s="440"/>
      <c r="G50" s="440">
        <f>G45-G48</f>
        <v>-1.7049670796980008</v>
      </c>
      <c r="H50" s="440"/>
      <c r="I50" s="440">
        <f t="shared" ref="I50" si="6">I45-I48</f>
        <v>-0.98284801634832575</v>
      </c>
      <c r="J50" s="440"/>
      <c r="K50" s="440">
        <f t="shared" ref="K50" si="7">K45-K48</f>
        <v>-0.86918358140474683</v>
      </c>
      <c r="L50" s="441"/>
      <c r="M50" s="439">
        <f>M45-M48</f>
        <v>-1.9255638364558161</v>
      </c>
      <c r="N50" s="440"/>
      <c r="O50" s="440">
        <f>O45-O48</f>
        <v>-1.7049670796980008</v>
      </c>
      <c r="P50" s="440"/>
      <c r="Q50" s="440">
        <f t="shared" ref="Q50" si="8">Q45-Q48</f>
        <v>-0.98284801634832575</v>
      </c>
      <c r="R50" s="440"/>
      <c r="S50" s="440">
        <f t="shared" ref="S50" si="9">S45-S48</f>
        <v>-0.86918358140474683</v>
      </c>
      <c r="T50" s="441"/>
      <c r="U50" s="13"/>
      <c r="V50" s="13"/>
      <c r="W50" s="13"/>
      <c r="X50" s="13"/>
      <c r="Y50" s="13"/>
      <c r="Z50" s="13"/>
      <c r="AA50" s="15"/>
      <c r="AC50" s="149">
        <v>75</v>
      </c>
      <c r="AD50" s="12">
        <v>-1.1000000000000001</v>
      </c>
      <c r="AE50" s="12">
        <v>-1.2</v>
      </c>
      <c r="AF50" s="12">
        <v>-0.8</v>
      </c>
      <c r="AG50" s="12">
        <v>-0.5</v>
      </c>
      <c r="BE50" s="6">
        <v>43</v>
      </c>
      <c r="BF50" s="9" t="s">
        <v>118</v>
      </c>
      <c r="BG50" s="9" t="s">
        <v>134</v>
      </c>
      <c r="BH50" s="9" t="s">
        <v>118</v>
      </c>
    </row>
    <row r="51" spans="2:60" ht="18">
      <c r="B51" s="155"/>
      <c r="C51" s="41" t="str">
        <f>VLOOKUP(44,$BE$8:$BH$136,1+MATCH($AC$7,$BF$7:$BH$7,0))</f>
        <v>Case 2</v>
      </c>
      <c r="D51" s="31" t="s">
        <v>190</v>
      </c>
      <c r="E51" s="437">
        <f>E45-E49</f>
        <v>-1.4709059340831638</v>
      </c>
      <c r="F51" s="313"/>
      <c r="G51" s="313">
        <f t="shared" ref="G51" si="10">G45-G49</f>
        <v>-1.2503091773253485</v>
      </c>
      <c r="H51" s="313"/>
      <c r="I51" s="313">
        <f t="shared" ref="I51" si="11">I45-I49</f>
        <v>-0.52819011397567328</v>
      </c>
      <c r="J51" s="313"/>
      <c r="K51" s="313">
        <f t="shared" ref="K51" si="12">K45-K49</f>
        <v>-0.41452567903209442</v>
      </c>
      <c r="L51" s="438"/>
      <c r="M51" s="437">
        <f>M45-M49</f>
        <v>-1.4709059340831638</v>
      </c>
      <c r="N51" s="313"/>
      <c r="O51" s="313">
        <f t="shared" ref="O51" si="13">O45-O49</f>
        <v>-1.2503091773253485</v>
      </c>
      <c r="P51" s="313"/>
      <c r="Q51" s="313">
        <f t="shared" ref="Q51" si="14">Q45-Q49</f>
        <v>-0.52819011397567328</v>
      </c>
      <c r="R51" s="313"/>
      <c r="S51" s="313">
        <f t="shared" ref="S51" si="15">S45-S49</f>
        <v>-0.41452567903209442</v>
      </c>
      <c r="T51" s="438"/>
      <c r="U51" s="13"/>
      <c r="V51" s="13"/>
      <c r="W51" s="13"/>
      <c r="X51" s="13"/>
      <c r="Y51" s="13"/>
      <c r="Z51" s="13"/>
      <c r="AA51" s="15"/>
      <c r="AC51" s="150">
        <f>M23</f>
        <v>8.5307656099481335</v>
      </c>
      <c r="AD51" s="30">
        <f>noisuy1chieu($AC$51,$AC$44:$AC$50,AD44:AD50)</f>
        <v>-1.4940770864486694</v>
      </c>
      <c r="AE51" s="30">
        <f>noisuy1chieu($AC$51,$AC$44:$AC$50,AE44:AE50)</f>
        <v>-1.2999999523162842</v>
      </c>
      <c r="AF51" s="30">
        <f>noisuy1chieu($AC$51,$AC$44:$AC$50,AF44:AF50)</f>
        <v>-0.66469234228134155</v>
      </c>
      <c r="AG51" s="30">
        <f>noisuy1chieu($AC$51,$AC$44:$AC$50,AG44:AG50)</f>
        <v>-0.56469237804412842</v>
      </c>
      <c r="BE51" s="6">
        <v>44</v>
      </c>
      <c r="BF51" s="9" t="s">
        <v>121</v>
      </c>
      <c r="BG51" s="9" t="s">
        <v>135</v>
      </c>
      <c r="BH51" s="9" t="s">
        <v>121</v>
      </c>
    </row>
    <row r="52" spans="2:60" ht="15">
      <c r="B52" s="155"/>
      <c r="C52" s="5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5"/>
      <c r="BE52" s="6">
        <v>45</v>
      </c>
      <c r="BF52" s="45" t="s">
        <v>166</v>
      </c>
      <c r="BG52" s="45" t="s">
        <v>167</v>
      </c>
      <c r="BH52" s="45" t="s">
        <v>165</v>
      </c>
    </row>
    <row r="53" spans="2:60" ht="15" customHeight="1">
      <c r="B53" s="155"/>
      <c r="C53" s="488" t="str">
        <f>VLOOKUP(41,$BE$8:$BH$136,1+MATCH($AC$7,$BF$7:$BH$7,0))</f>
        <v>CALCULATIONS: WIND PRESSURES FOR ROOF (WIND Y)
TÍNH TOÁN ÁP LỰC GIÓ LÊN MÁI (PHƯƠNG Y)</v>
      </c>
      <c r="D53" s="489"/>
      <c r="E53" s="489"/>
      <c r="F53" s="489"/>
      <c r="G53" s="489"/>
      <c r="H53" s="489"/>
      <c r="I53" s="489"/>
      <c r="J53" s="489"/>
      <c r="K53" s="489"/>
      <c r="L53" s="489"/>
      <c r="M53" s="489"/>
      <c r="N53" s="489"/>
      <c r="O53" s="489"/>
      <c r="P53" s="489"/>
      <c r="Q53" s="489"/>
      <c r="R53" s="489"/>
      <c r="S53" s="489"/>
      <c r="T53" s="489"/>
      <c r="U53" s="489"/>
      <c r="V53" s="489"/>
      <c r="W53" s="489"/>
      <c r="X53" s="490"/>
      <c r="Y53" s="13"/>
      <c r="Z53" s="13"/>
      <c r="AA53" s="15"/>
      <c r="AC53" s="493" t="s">
        <v>191</v>
      </c>
      <c r="AD53" s="259"/>
      <c r="AE53" s="259"/>
      <c r="AF53" s="259"/>
      <c r="AG53" s="259"/>
      <c r="AH53" s="259"/>
      <c r="AJ53" s="259" t="s">
        <v>192</v>
      </c>
      <c r="AK53" s="259"/>
      <c r="AL53" s="259"/>
      <c r="AM53" s="259"/>
      <c r="AN53" s="259"/>
      <c r="AO53" s="259"/>
      <c r="BE53" s="6">
        <v>46</v>
      </c>
      <c r="BF53" s="45" t="s">
        <v>40</v>
      </c>
      <c r="BG53" s="45" t="s">
        <v>168</v>
      </c>
      <c r="BH53" s="45" t="s">
        <v>169</v>
      </c>
    </row>
    <row r="54" spans="2:60" ht="15">
      <c r="B54" s="155"/>
      <c r="C54" s="288" t="str">
        <f>VLOOKUP(25,$BE$8:$BH$136,1+MATCH($AC$7,$BF$7:$BH$7,0))</f>
        <v>Zone / Vùng</v>
      </c>
      <c r="D54" s="289"/>
      <c r="E54" s="284" t="s">
        <v>210</v>
      </c>
      <c r="F54" s="285"/>
      <c r="G54" s="285"/>
      <c r="H54" s="285"/>
      <c r="I54" s="285"/>
      <c r="J54" s="285"/>
      <c r="K54" s="285"/>
      <c r="L54" s="285"/>
      <c r="M54" s="285"/>
      <c r="N54" s="286"/>
      <c r="O54" s="284" t="s">
        <v>211</v>
      </c>
      <c r="P54" s="285"/>
      <c r="Q54" s="285"/>
      <c r="R54" s="285"/>
      <c r="S54" s="285"/>
      <c r="T54" s="285"/>
      <c r="U54" s="285"/>
      <c r="V54" s="285"/>
      <c r="W54" s="285"/>
      <c r="X54" s="286"/>
      <c r="Y54" s="13"/>
      <c r="Z54" s="13"/>
      <c r="AA54" s="15"/>
      <c r="AC54" s="496" t="s">
        <v>6</v>
      </c>
      <c r="AD54" s="498" t="s">
        <v>7</v>
      </c>
      <c r="AE54" s="499"/>
      <c r="AF54" s="499"/>
      <c r="AG54" s="499"/>
      <c r="AH54" s="500"/>
      <c r="AJ54" s="444" t="s">
        <v>6</v>
      </c>
      <c r="AK54" s="446" t="s">
        <v>7</v>
      </c>
      <c r="AL54" s="447"/>
      <c r="AM54" s="447"/>
      <c r="AN54" s="447"/>
      <c r="AO54" s="448"/>
      <c r="BE54" s="6">
        <v>47</v>
      </c>
      <c r="BF54" s="45" t="s">
        <v>66</v>
      </c>
      <c r="BG54" s="45" t="s">
        <v>170</v>
      </c>
      <c r="BH54" s="45" t="s">
        <v>171</v>
      </c>
    </row>
    <row r="55" spans="2:60" ht="15">
      <c r="B55" s="155"/>
      <c r="C55" s="290"/>
      <c r="D55" s="291"/>
      <c r="E55" s="298" t="s">
        <v>67</v>
      </c>
      <c r="F55" s="299"/>
      <c r="G55" s="299" t="s">
        <v>68</v>
      </c>
      <c r="H55" s="299"/>
      <c r="I55" s="299" t="s">
        <v>69</v>
      </c>
      <c r="J55" s="299"/>
      <c r="K55" s="299" t="s">
        <v>27</v>
      </c>
      <c r="L55" s="299"/>
      <c r="M55" s="299" t="s">
        <v>91</v>
      </c>
      <c r="N55" s="300"/>
      <c r="O55" s="298" t="s">
        <v>67</v>
      </c>
      <c r="P55" s="299"/>
      <c r="Q55" s="299" t="s">
        <v>68</v>
      </c>
      <c r="R55" s="299"/>
      <c r="S55" s="299" t="s">
        <v>69</v>
      </c>
      <c r="T55" s="299"/>
      <c r="U55" s="299" t="s">
        <v>27</v>
      </c>
      <c r="V55" s="299"/>
      <c r="W55" s="299" t="s">
        <v>91</v>
      </c>
      <c r="X55" s="300"/>
      <c r="Y55" s="13"/>
      <c r="Z55" s="13"/>
      <c r="AA55" s="15"/>
      <c r="AC55" s="497"/>
      <c r="AD55" s="7" t="s">
        <v>14</v>
      </c>
      <c r="AE55" s="7" t="s">
        <v>15</v>
      </c>
      <c r="AF55" s="7" t="s">
        <v>16</v>
      </c>
      <c r="AG55" s="7" t="s">
        <v>17</v>
      </c>
      <c r="AH55" s="94" t="s">
        <v>18</v>
      </c>
      <c r="AJ55" s="445"/>
      <c r="AK55" s="7" t="s">
        <v>14</v>
      </c>
      <c r="AL55" s="7" t="s">
        <v>15</v>
      </c>
      <c r="AM55" s="7" t="s">
        <v>16</v>
      </c>
      <c r="AN55" s="7" t="s">
        <v>17</v>
      </c>
      <c r="AO55" s="7" t="s">
        <v>18</v>
      </c>
      <c r="BE55" s="6">
        <v>48</v>
      </c>
      <c r="BF55" s="9" t="s">
        <v>156</v>
      </c>
      <c r="BG55" s="9" t="s">
        <v>172</v>
      </c>
      <c r="BH55" s="9" t="s">
        <v>173</v>
      </c>
    </row>
    <row r="56" spans="2:60" ht="18">
      <c r="B56" s="155"/>
      <c r="C56" s="26" t="str">
        <f>VLOOKUP(43,$BE$8:$BH$136,1+MATCH($AC$7,$BF$7:$BH$7,0))</f>
        <v>Case 1</v>
      </c>
      <c r="D56" s="143" t="s">
        <v>231</v>
      </c>
      <c r="E56" s="301">
        <f>IF(OR($C$17=$AC$23,$C$17=$AC$22),-0.5,AD63)</f>
        <v>-1.4175387620925903</v>
      </c>
      <c r="F56" s="302"/>
      <c r="G56" s="302">
        <f>IF(OR($C$17=$AC$23,$C$17=$AC$22),-0.5,AE63)</f>
        <v>-1.0587694644927979</v>
      </c>
      <c r="H56" s="302"/>
      <c r="I56" s="302">
        <f>IF(OR($C$17=$AC$23,$C$17=$AC$22),-0.5,AF63)</f>
        <v>-0.49407705664634705</v>
      </c>
      <c r="J56" s="302"/>
      <c r="K56" s="302">
        <f>IF(OR($C$17=$AC$23,$C$17=$AC$22),-0.5,AG63)</f>
        <v>-0.52938473224639893</v>
      </c>
      <c r="L56" s="302"/>
      <c r="M56" s="302">
        <f>IF(OR($C$17=$AC$23,$C$17=$AC$22),-0.5,AH63)</f>
        <v>-0.74123060703277588</v>
      </c>
      <c r="N56" s="303"/>
      <c r="O56" s="301">
        <f>IF(OR($C$17=$AC$23,$C$17=$AC$24),-0.5,AD63)</f>
        <v>-1.4175387620925903</v>
      </c>
      <c r="P56" s="302"/>
      <c r="Q56" s="302">
        <f>IF(OR($C$17=$AC$23,$C$17=$AC$24),-0.5,AE63)</f>
        <v>-1.0587694644927979</v>
      </c>
      <c r="R56" s="302"/>
      <c r="S56" s="302">
        <f>IF(OR($C$17=$AC$23,$C$17=$AC$24),-0.5,AF63)</f>
        <v>-0.49407705664634705</v>
      </c>
      <c r="T56" s="302"/>
      <c r="U56" s="302">
        <f>IF(OR($C$17=$AC$23,$C$17=$AC$24),-0.5,AG63)</f>
        <v>-0.52938473224639893</v>
      </c>
      <c r="V56" s="302"/>
      <c r="W56" s="302">
        <f>IF(OR($C$17=$AC$23,$C$17=$AC$24),-0.5,AH63)</f>
        <v>-0.74123060703277588</v>
      </c>
      <c r="X56" s="303"/>
      <c r="Y56" s="13"/>
      <c r="Z56" s="13"/>
      <c r="AA56" s="15"/>
      <c r="AC56" s="151">
        <v>-5</v>
      </c>
      <c r="AD56" s="18">
        <v>-2.2999999999999998</v>
      </c>
      <c r="AE56" s="18">
        <v>-1.2</v>
      </c>
      <c r="AF56" s="18">
        <v>-0.8</v>
      </c>
      <c r="AG56" s="11">
        <v>-0.6</v>
      </c>
      <c r="AH56" s="95">
        <v>-0.6</v>
      </c>
      <c r="AJ56" s="17">
        <v>-5</v>
      </c>
      <c r="AK56" s="18">
        <v>-2.2999999999999998</v>
      </c>
      <c r="AL56" s="18">
        <v>-1.2</v>
      </c>
      <c r="AM56" s="18">
        <v>-0.8</v>
      </c>
      <c r="AN56" s="33">
        <v>0.2</v>
      </c>
      <c r="AO56" s="33">
        <v>0.2</v>
      </c>
      <c r="BE56" s="6">
        <v>49</v>
      </c>
      <c r="BF56" s="9" t="s">
        <v>160</v>
      </c>
      <c r="BG56" s="9" t="s">
        <v>174</v>
      </c>
      <c r="BH56" s="9" t="s">
        <v>175</v>
      </c>
    </row>
    <row r="57" spans="2:60" ht="15" customHeight="1">
      <c r="B57" s="155"/>
      <c r="C57" s="48" t="str">
        <f>VLOOKUP(44,$BE$8:$BH$136,1+MATCH($AC$7,$BF$7:$BH$7,0))</f>
        <v>Case 2</v>
      </c>
      <c r="D57" s="145" t="s">
        <v>231</v>
      </c>
      <c r="E57" s="305">
        <f>IF(OR($C$17=$AC$23,$C$17=$AC$22),-0.5,AK63)</f>
        <v>7.0615313947200775E-2</v>
      </c>
      <c r="F57" s="294"/>
      <c r="G57" s="294">
        <f>IF(OR($C$17=$AC$23,$C$17=$AC$22),-0.5,AL63)</f>
        <v>7.0615313947200775E-2</v>
      </c>
      <c r="H57" s="294"/>
      <c r="I57" s="294">
        <f>IF(OR($C$17=$AC$23,$C$17=$AC$22),-0.5,AM63)</f>
        <v>7.0615313947200775E-2</v>
      </c>
      <c r="J57" s="294"/>
      <c r="K57" s="294">
        <f>IF(OR($C$17=$AC$23,$C$17=$AC$22),-0.5,AN63)</f>
        <v>-0.38815408945083618</v>
      </c>
      <c r="L57" s="294"/>
      <c r="M57" s="294">
        <f>IF(OR($C$17=$AC$23,$C$17=$AC$22),-0.5,AO63)</f>
        <v>0.12938469648361206</v>
      </c>
      <c r="N57" s="295"/>
      <c r="O57" s="305">
        <f>IF(OR($C$17=$AC$23,$C$17=$AC$24),-0.5,AK63)</f>
        <v>7.0615313947200775E-2</v>
      </c>
      <c r="P57" s="294"/>
      <c r="Q57" s="294">
        <f>IF(OR($C$17=$AC$23,$C$17=$AC$24),-0.5,AL63)</f>
        <v>7.0615313947200775E-2</v>
      </c>
      <c r="R57" s="294"/>
      <c r="S57" s="294">
        <f>IF(OR($C$17=$AC$23,$C$17=$AC$24),-0.5,AM63)</f>
        <v>7.0615313947200775E-2</v>
      </c>
      <c r="T57" s="294"/>
      <c r="U57" s="294">
        <f>IF(OR($C$17=$AC$23,$C$17=$AC$24),-0.5,AN63)</f>
        <v>-0.38815408945083618</v>
      </c>
      <c r="V57" s="294"/>
      <c r="W57" s="294">
        <f>IF(OR($C$17=$AC$23,$C$17=$AC$24),-0.5,AO63)</f>
        <v>0.12938469648361206</v>
      </c>
      <c r="X57" s="295"/>
      <c r="AA57" s="15"/>
      <c r="AC57" s="151">
        <v>5</v>
      </c>
      <c r="AD57" s="11">
        <v>-1.7</v>
      </c>
      <c r="AE57" s="11">
        <v>-1.2</v>
      </c>
      <c r="AF57" s="11">
        <v>-0.6</v>
      </c>
      <c r="AG57" s="18">
        <v>-0.6</v>
      </c>
      <c r="AH57" s="95">
        <v>-0.6</v>
      </c>
      <c r="AJ57" s="17">
        <v>5</v>
      </c>
      <c r="AK57" s="33">
        <v>0</v>
      </c>
      <c r="AL57" s="18">
        <v>0</v>
      </c>
      <c r="AM57" s="18">
        <v>0</v>
      </c>
      <c r="AN57" s="210">
        <v>-0.6</v>
      </c>
      <c r="AO57" s="33">
        <v>0.2</v>
      </c>
      <c r="BE57" s="6">
        <v>50</v>
      </c>
      <c r="BF57" s="9" t="s">
        <v>158</v>
      </c>
      <c r="BG57" s="9" t="s">
        <v>176</v>
      </c>
      <c r="BH57" s="9" t="s">
        <v>177</v>
      </c>
    </row>
    <row r="58" spans="2:60" ht="18">
      <c r="B58" s="155"/>
      <c r="C58" s="46" t="str">
        <f>VLOOKUP(43,$BE$8:$BH$136,1+MATCH($AC$7,$BF$7:$BH$7,0))</f>
        <v>Case 1</v>
      </c>
      <c r="D58" s="47" t="s">
        <v>188</v>
      </c>
      <c r="E58" s="304">
        <f>$E$27*$Q$39*E56*$G$39</f>
        <v>-1.6112380002623585</v>
      </c>
      <c r="F58" s="292"/>
      <c r="G58" s="292">
        <f>$E$27*$Q$39*G56*$G$39</f>
        <v>-1.2034447595562798</v>
      </c>
      <c r="H58" s="292"/>
      <c r="I58" s="292">
        <f>$E$27*$Q$39*I56*$G$39</f>
        <v>-0.56159009546320571</v>
      </c>
      <c r="J58" s="292"/>
      <c r="K58" s="292">
        <f>$E$27*$Q$39*K56*$G$39</f>
        <v>-0.60172237977813992</v>
      </c>
      <c r="L58" s="292"/>
      <c r="M58" s="292">
        <f>$E$27*$Q$39*M56*$G$39</f>
        <v>-0.84251588241982422</v>
      </c>
      <c r="N58" s="293"/>
      <c r="O58" s="304">
        <f>$E$27*$Q$39*O56*$G$39</f>
        <v>-1.6112380002623585</v>
      </c>
      <c r="P58" s="292"/>
      <c r="Q58" s="292">
        <f>$E$27*$Q$39*Q56*$G$39</f>
        <v>-1.2034447595562798</v>
      </c>
      <c r="R58" s="292"/>
      <c r="S58" s="292">
        <f>$E$27*$Q$39*S56*$G$39</f>
        <v>-0.56159009546320571</v>
      </c>
      <c r="T58" s="292"/>
      <c r="U58" s="292">
        <f>$E$27*$Q$39*U56*$G$39</f>
        <v>-0.60172237977813992</v>
      </c>
      <c r="V58" s="292"/>
      <c r="W58" s="292">
        <f>$E$27*$Q$39*W56*$G$39</f>
        <v>-0.84251588241982422</v>
      </c>
      <c r="X58" s="293"/>
      <c r="AA58" s="15"/>
      <c r="AC58" s="151">
        <v>15</v>
      </c>
      <c r="AD58" s="11">
        <v>-0.9</v>
      </c>
      <c r="AE58" s="11">
        <v>-0.8</v>
      </c>
      <c r="AF58" s="11">
        <v>-0.3</v>
      </c>
      <c r="AG58" s="18">
        <v>-0.4</v>
      </c>
      <c r="AH58" s="96">
        <v>-1</v>
      </c>
      <c r="AJ58" s="17">
        <v>15</v>
      </c>
      <c r="AK58" s="33">
        <v>0.2</v>
      </c>
      <c r="AL58" s="33">
        <v>0.2</v>
      </c>
      <c r="AM58" s="33">
        <v>0.2</v>
      </c>
      <c r="AN58" s="18">
        <v>0</v>
      </c>
      <c r="AO58" s="18">
        <v>0</v>
      </c>
      <c r="BE58" s="6">
        <v>51</v>
      </c>
      <c r="BF58" s="9" t="s">
        <v>159</v>
      </c>
      <c r="BG58" s="9" t="s">
        <v>178</v>
      </c>
      <c r="BH58" s="9" t="s">
        <v>179</v>
      </c>
    </row>
    <row r="59" spans="2:60" ht="18">
      <c r="B59" s="155"/>
      <c r="C59" s="48" t="str">
        <f>VLOOKUP(44,$BE$8:$BH$136,1+MATCH($AC$7,$BF$7:$BH$7,0))</f>
        <v>Case 2</v>
      </c>
      <c r="D59" s="49" t="s">
        <v>188</v>
      </c>
      <c r="E59" s="305">
        <f>$E$27*$Q$39*E57*$G$39</f>
        <v>8.0264526286551521E-2</v>
      </c>
      <c r="F59" s="294"/>
      <c r="G59" s="294">
        <f>$E$27*$Q$39*G57*$G$39</f>
        <v>8.0264526286551521E-2</v>
      </c>
      <c r="H59" s="294"/>
      <c r="I59" s="294">
        <f>$E$27*$Q$39*I57*$G$39</f>
        <v>8.0264526286551521E-2</v>
      </c>
      <c r="J59" s="294"/>
      <c r="K59" s="294">
        <f>$E$27*$Q$39*K57*$G$39</f>
        <v>-0.44119331026771014</v>
      </c>
      <c r="L59" s="294"/>
      <c r="M59" s="294">
        <f>$E$27*$Q$39*M57*$G$39</f>
        <v>0.14706443675590339</v>
      </c>
      <c r="N59" s="295"/>
      <c r="O59" s="305">
        <f>$E$27*$Q$39*O57*$G$39</f>
        <v>8.0264526286551521E-2</v>
      </c>
      <c r="P59" s="294"/>
      <c r="Q59" s="294">
        <f>$E$27*$Q$39*Q57*$G$39</f>
        <v>8.0264526286551521E-2</v>
      </c>
      <c r="R59" s="294"/>
      <c r="S59" s="294">
        <f>$E$27*$Q$39*S57*$G$39</f>
        <v>8.0264526286551521E-2</v>
      </c>
      <c r="T59" s="294"/>
      <c r="U59" s="294">
        <f>$E$27*$Q$39*U57*$G$39</f>
        <v>-0.44119331026771014</v>
      </c>
      <c r="V59" s="294"/>
      <c r="W59" s="294">
        <f>$E$27*$Q$39*W57*$G$39</f>
        <v>0.14706443675590339</v>
      </c>
      <c r="X59" s="295"/>
      <c r="AA59" s="15"/>
      <c r="AC59" s="151">
        <v>30</v>
      </c>
      <c r="AD59" s="11">
        <v>-0.5</v>
      </c>
      <c r="AE59" s="11">
        <v>-0.5</v>
      </c>
      <c r="AF59" s="11">
        <v>-0.2</v>
      </c>
      <c r="AG59" s="18">
        <v>-0.4</v>
      </c>
      <c r="AH59" s="96">
        <v>-0.5</v>
      </c>
      <c r="AJ59" s="38">
        <v>30</v>
      </c>
      <c r="AK59" s="39">
        <v>0.7</v>
      </c>
      <c r="AL59" s="33">
        <v>0.7</v>
      </c>
      <c r="AM59" s="33">
        <v>0.4</v>
      </c>
      <c r="AN59" s="18">
        <v>0</v>
      </c>
      <c r="AO59" s="18">
        <v>0</v>
      </c>
      <c r="BE59" s="6">
        <v>52</v>
      </c>
      <c r="BF59" s="9" t="s">
        <v>161</v>
      </c>
      <c r="BG59" s="9" t="s">
        <v>180</v>
      </c>
      <c r="BH59" s="9" t="s">
        <v>181</v>
      </c>
    </row>
    <row r="60" spans="2:60" ht="18">
      <c r="B60" s="155"/>
      <c r="C60" s="46" t="str">
        <f>VLOOKUP(43,$BE$8:$BH$136,1+MATCH($AC$7,$BF$7:$BH$7,0))</f>
        <v>Case 1</v>
      </c>
      <c r="D60" s="144" t="s">
        <v>232</v>
      </c>
      <c r="E60" s="304">
        <f>$Q$31</f>
        <v>0.2</v>
      </c>
      <c r="F60" s="292"/>
      <c r="G60" s="292">
        <f>$Q$31</f>
        <v>0.2</v>
      </c>
      <c r="H60" s="292"/>
      <c r="I60" s="292">
        <f>$Q$31</f>
        <v>0.2</v>
      </c>
      <c r="J60" s="292"/>
      <c r="K60" s="292">
        <f>$Q$31</f>
        <v>0.2</v>
      </c>
      <c r="L60" s="292"/>
      <c r="M60" s="292">
        <f>$Q$31</f>
        <v>0.2</v>
      </c>
      <c r="N60" s="293"/>
      <c r="O60" s="304">
        <f>$S$31</f>
        <v>0.2</v>
      </c>
      <c r="P60" s="292"/>
      <c r="Q60" s="292">
        <f>$S$31</f>
        <v>0.2</v>
      </c>
      <c r="R60" s="292"/>
      <c r="S60" s="292">
        <f>$S$31</f>
        <v>0.2</v>
      </c>
      <c r="T60" s="292"/>
      <c r="U60" s="292">
        <f>$S$31</f>
        <v>0.2</v>
      </c>
      <c r="V60" s="292"/>
      <c r="W60" s="292">
        <f>$S$31</f>
        <v>0.2</v>
      </c>
      <c r="X60" s="293"/>
      <c r="AA60" s="15"/>
      <c r="AC60" s="151">
        <v>45</v>
      </c>
      <c r="AD60" s="11">
        <v>0</v>
      </c>
      <c r="AE60" s="11">
        <v>0</v>
      </c>
      <c r="AF60" s="11">
        <v>0</v>
      </c>
      <c r="AG60" s="11">
        <v>-0.2</v>
      </c>
      <c r="AH60" s="95">
        <v>-0.3</v>
      </c>
      <c r="AJ60" s="38">
        <v>45</v>
      </c>
      <c r="AK60" s="39">
        <v>0.7</v>
      </c>
      <c r="AL60" s="33">
        <v>0.7</v>
      </c>
      <c r="AM60" s="33">
        <v>0.6</v>
      </c>
      <c r="AN60" s="33">
        <v>0</v>
      </c>
      <c r="AO60" s="33">
        <v>0</v>
      </c>
      <c r="BE60" s="6">
        <v>53</v>
      </c>
      <c r="BF60" s="9" t="s">
        <v>153</v>
      </c>
      <c r="BG60" s="9" t="s">
        <v>154</v>
      </c>
      <c r="BH60" s="9" t="s">
        <v>155</v>
      </c>
    </row>
    <row r="61" spans="2:60" ht="18">
      <c r="B61" s="155"/>
      <c r="C61" s="48" t="str">
        <f>VLOOKUP(44,$BE$8:$BH$136,1+MATCH($AC$7,$BF$7:$BH$7,0))</f>
        <v>Case 2</v>
      </c>
      <c r="D61" s="145" t="s">
        <v>232</v>
      </c>
      <c r="E61" s="305">
        <f>$Q$32</f>
        <v>-0.2</v>
      </c>
      <c r="F61" s="294"/>
      <c r="G61" s="294">
        <f>$Q$32</f>
        <v>-0.2</v>
      </c>
      <c r="H61" s="294"/>
      <c r="I61" s="294">
        <f>$Q$32</f>
        <v>-0.2</v>
      </c>
      <c r="J61" s="294"/>
      <c r="K61" s="294">
        <f>$Q$32</f>
        <v>-0.2</v>
      </c>
      <c r="L61" s="294"/>
      <c r="M61" s="294">
        <f>$Q$32</f>
        <v>-0.2</v>
      </c>
      <c r="N61" s="295"/>
      <c r="O61" s="305">
        <f>$S$32</f>
        <v>-0.2</v>
      </c>
      <c r="P61" s="294"/>
      <c r="Q61" s="294">
        <f>$S$32</f>
        <v>-0.2</v>
      </c>
      <c r="R61" s="294"/>
      <c r="S61" s="294">
        <f>$S$32</f>
        <v>-0.2</v>
      </c>
      <c r="T61" s="294"/>
      <c r="U61" s="294">
        <f>$S$32</f>
        <v>-0.2</v>
      </c>
      <c r="V61" s="294"/>
      <c r="W61" s="294">
        <f>$S$32</f>
        <v>-0.2</v>
      </c>
      <c r="X61" s="295"/>
      <c r="AA61" s="15"/>
      <c r="AC61" s="152">
        <v>60</v>
      </c>
      <c r="AD61" s="11">
        <v>0.7</v>
      </c>
      <c r="AE61" s="11">
        <v>0.7</v>
      </c>
      <c r="AF61" s="11">
        <v>0.7</v>
      </c>
      <c r="AG61" s="11">
        <v>-0.2</v>
      </c>
      <c r="AH61" s="95">
        <v>-0.3</v>
      </c>
      <c r="AJ61" s="40">
        <v>60</v>
      </c>
      <c r="AK61" s="33">
        <v>0.7</v>
      </c>
      <c r="AL61" s="33">
        <v>0.7</v>
      </c>
      <c r="AM61" s="33">
        <v>0.7</v>
      </c>
      <c r="AN61" s="33">
        <v>-0.2</v>
      </c>
      <c r="AO61" s="33">
        <v>-0.3</v>
      </c>
      <c r="BE61" s="6">
        <v>54</v>
      </c>
      <c r="BF61" s="45" t="s">
        <v>185</v>
      </c>
      <c r="BG61" s="45" t="s">
        <v>184</v>
      </c>
      <c r="BH61" s="45" t="s">
        <v>185</v>
      </c>
    </row>
    <row r="62" spans="2:60" ht="18">
      <c r="B62" s="155"/>
      <c r="C62" s="46" t="str">
        <f>VLOOKUP(43,$BE$8:$BH$136,1+MATCH($AC$7,$BF$7:$BH$7,0))</f>
        <v>Case 1</v>
      </c>
      <c r="D62" s="47" t="s">
        <v>189</v>
      </c>
      <c r="E62" s="304">
        <f>$E$27*$Q$39*E60*$G$39</f>
        <v>0.22732895118632618</v>
      </c>
      <c r="F62" s="292"/>
      <c r="G62" s="292">
        <f>$E$27*$Q$39*G60*$G$39</f>
        <v>0.22732895118632618</v>
      </c>
      <c r="H62" s="292"/>
      <c r="I62" s="292">
        <f>$E$27*$Q$39*I60*$G$39</f>
        <v>0.22732895118632618</v>
      </c>
      <c r="J62" s="292"/>
      <c r="K62" s="292">
        <f>$E$27*$Q$39*K60*$G$39</f>
        <v>0.22732895118632618</v>
      </c>
      <c r="L62" s="292"/>
      <c r="M62" s="292">
        <f>$E$27*$Q$39*M60*$G$39</f>
        <v>0.22732895118632618</v>
      </c>
      <c r="N62" s="293"/>
      <c r="O62" s="304">
        <f>$E$27*$Q$39*O60*$G$39</f>
        <v>0.22732895118632618</v>
      </c>
      <c r="P62" s="292"/>
      <c r="Q62" s="292">
        <f>$E$27*$Q$39*Q60*$G$39</f>
        <v>0.22732895118632618</v>
      </c>
      <c r="R62" s="292"/>
      <c r="S62" s="292">
        <f>$E$27*$Q$39*S60*$G$39</f>
        <v>0.22732895118632618</v>
      </c>
      <c r="T62" s="292"/>
      <c r="U62" s="292">
        <f>$E$27*$Q$39*U60*$G$39</f>
        <v>0.22732895118632618</v>
      </c>
      <c r="V62" s="292"/>
      <c r="W62" s="292">
        <f>$E$27*$Q$39*W60*$G$39</f>
        <v>0.22732895118632618</v>
      </c>
      <c r="X62" s="293"/>
      <c r="AA62" s="15"/>
      <c r="AC62" s="151">
        <v>75</v>
      </c>
      <c r="AD62" s="18">
        <v>0.8</v>
      </c>
      <c r="AE62" s="18">
        <v>0.8</v>
      </c>
      <c r="AF62" s="18">
        <v>0.8</v>
      </c>
      <c r="AG62" s="18">
        <v>-0.2</v>
      </c>
      <c r="AH62" s="96">
        <v>-0.3</v>
      </c>
      <c r="AJ62" s="43">
        <v>75</v>
      </c>
      <c r="AK62" s="33">
        <v>0.8</v>
      </c>
      <c r="AL62" s="33">
        <v>0.8</v>
      </c>
      <c r="AM62" s="33">
        <v>0.8</v>
      </c>
      <c r="AN62" s="33">
        <v>-0.2</v>
      </c>
      <c r="AO62" s="33">
        <v>-0.3</v>
      </c>
      <c r="BE62" s="6">
        <v>55</v>
      </c>
      <c r="BF62" s="98" t="s">
        <v>203</v>
      </c>
      <c r="BG62" s="98" t="s">
        <v>125</v>
      </c>
      <c r="BH62" s="98" t="s">
        <v>202</v>
      </c>
    </row>
    <row r="63" spans="2:60" ht="18">
      <c r="B63" s="155"/>
      <c r="C63" s="48" t="str">
        <f>VLOOKUP(44,$BE$8:$BH$136,1+MATCH($AC$7,$BF$7:$BH$7,0))</f>
        <v>Case 2</v>
      </c>
      <c r="D63" s="49" t="s">
        <v>189</v>
      </c>
      <c r="E63" s="305">
        <f>$E$27*$Q$39*E61*$G$39</f>
        <v>-0.22732895118632618</v>
      </c>
      <c r="F63" s="294"/>
      <c r="G63" s="294">
        <f>$E$27*$Q$39*G61*$G$39</f>
        <v>-0.22732895118632618</v>
      </c>
      <c r="H63" s="294"/>
      <c r="I63" s="294">
        <f>$E$27*$Q$39*I61*$G$39</f>
        <v>-0.22732895118632618</v>
      </c>
      <c r="J63" s="294"/>
      <c r="K63" s="294">
        <f>$E$27*$Q$39*K61*$G$39</f>
        <v>-0.22732895118632618</v>
      </c>
      <c r="L63" s="294"/>
      <c r="M63" s="294">
        <f>$E$27*$Q$39*M61*$G$39</f>
        <v>-0.22732895118632618</v>
      </c>
      <c r="N63" s="295"/>
      <c r="O63" s="305">
        <f>$E$27*$Q$39*O61*$G$39</f>
        <v>-0.22732895118632618</v>
      </c>
      <c r="P63" s="294"/>
      <c r="Q63" s="294">
        <f>$E$27*$Q$39*Q61*$G$39</f>
        <v>-0.22732895118632618</v>
      </c>
      <c r="R63" s="294"/>
      <c r="S63" s="294">
        <f>$E$27*$Q$39*S61*$G$39</f>
        <v>-0.22732895118632618</v>
      </c>
      <c r="T63" s="294"/>
      <c r="U63" s="294">
        <f>$E$27*$Q$39*U61*$G$39</f>
        <v>-0.22732895118632618</v>
      </c>
      <c r="V63" s="294"/>
      <c r="W63" s="294">
        <f>$E$27*$Q$39*W61*$G$39</f>
        <v>-0.22732895118632618</v>
      </c>
      <c r="X63" s="295"/>
      <c r="AA63" s="15"/>
      <c r="AC63" s="150">
        <f>M23</f>
        <v>8.5307656099481335</v>
      </c>
      <c r="AD63" s="30">
        <f>noisuy1chieu($AC$63,$AC$56:$AC$62,AD56:AD62)</f>
        <v>-1.4175387620925903</v>
      </c>
      <c r="AE63" s="30">
        <f>noisuy1chieu($AC$63,$AC$56:$AC$62,AE56:AE62)</f>
        <v>-1.0587694644927979</v>
      </c>
      <c r="AF63" s="30">
        <f>noisuy1chieu($AC$63,$AC$56:$AC$62,AF56:AF62)</f>
        <v>-0.49407705664634705</v>
      </c>
      <c r="AG63" s="30">
        <f>noisuy1chieu($AC$63,$AC$56:$AC$62,AG56:AG62)</f>
        <v>-0.52938473224639893</v>
      </c>
      <c r="AH63" s="30">
        <f>noisuy1chieu($AC$63,$AC$56:$AC$62,AH56:AH62)</f>
        <v>-0.74123060703277588</v>
      </c>
      <c r="AJ63" s="30">
        <f>M23</f>
        <v>8.5307656099481335</v>
      </c>
      <c r="AK63" s="30">
        <f>noisuy1chieu($AJ$63,$AJ$56:$AJ$62,AK56:AK62)</f>
        <v>7.0615313947200775E-2</v>
      </c>
      <c r="AL63" s="30">
        <f>noisuy1chieu($AJ$63,$AJ$56:$AJ$62,AL56:AL62)</f>
        <v>7.0615313947200775E-2</v>
      </c>
      <c r="AM63" s="30">
        <f>noisuy1chieu($AJ$63,$AJ$56:$AJ$62,AM56:AM62)</f>
        <v>7.0615313947200775E-2</v>
      </c>
      <c r="AN63" s="30">
        <f>noisuy1chieu($AJ$63,$AJ$56:$AJ$62,AN56:AN62)</f>
        <v>-0.38815408945083618</v>
      </c>
      <c r="AO63" s="30">
        <f>noisuy1chieu($AJ$63,$AJ$56:$AJ$62,AO56:AO62)</f>
        <v>0.12938469648361206</v>
      </c>
      <c r="BE63" s="6">
        <v>56</v>
      </c>
      <c r="BF63" s="98" t="s">
        <v>204</v>
      </c>
      <c r="BG63" s="98" t="s">
        <v>206</v>
      </c>
      <c r="BH63" s="98" t="s">
        <v>208</v>
      </c>
    </row>
    <row r="64" spans="2:60" ht="18">
      <c r="B64" s="155"/>
      <c r="C64" s="46" t="str">
        <f>VLOOKUP(43,$BE$8:$BH$136,1+MATCH($AC$7,$BF$7:$BH$7,0))</f>
        <v>Case 1</v>
      </c>
      <c r="D64" s="47" t="s">
        <v>190</v>
      </c>
      <c r="E64" s="309">
        <f>MIN(E58-E62,E58-E63)</f>
        <v>-1.8385669514486846</v>
      </c>
      <c r="F64" s="296"/>
      <c r="G64" s="296">
        <f t="shared" ref="G64" si="16">MIN(G58-G62,G58-G63)</f>
        <v>-1.430773710742606</v>
      </c>
      <c r="H64" s="296"/>
      <c r="I64" s="296">
        <f t="shared" ref="I64" si="17">MIN(I58-I62,I58-I63)</f>
        <v>-0.78891904664953194</v>
      </c>
      <c r="J64" s="296"/>
      <c r="K64" s="296">
        <f t="shared" ref="K64" si="18">MIN(K58-K62,K58-K63)</f>
        <v>-0.82905133096446604</v>
      </c>
      <c r="L64" s="296"/>
      <c r="M64" s="296">
        <f t="shared" ref="M64" si="19">MIN(M58-M62,M58-M63)</f>
        <v>-1.0698448336061503</v>
      </c>
      <c r="N64" s="297"/>
      <c r="O64" s="309">
        <f>MIN(O58-O62,O58-O63)</f>
        <v>-1.8385669514486846</v>
      </c>
      <c r="P64" s="296"/>
      <c r="Q64" s="296">
        <f t="shared" ref="Q64" si="20">MIN(Q58-Q62,Q58-Q63)</f>
        <v>-1.430773710742606</v>
      </c>
      <c r="R64" s="296"/>
      <c r="S64" s="296">
        <f t="shared" ref="S64" si="21">MIN(S58-S62,S58-S63)</f>
        <v>-0.78891904664953194</v>
      </c>
      <c r="T64" s="296"/>
      <c r="U64" s="296">
        <f t="shared" ref="U64" si="22">MIN(U58-U62,U58-U63)</f>
        <v>-0.82905133096446604</v>
      </c>
      <c r="V64" s="296"/>
      <c r="W64" s="296">
        <f t="shared" ref="W64" si="23">MIN(W58-W62,W58-W63)</f>
        <v>-1.0698448336061503</v>
      </c>
      <c r="X64" s="297"/>
      <c r="AA64" s="15"/>
      <c r="BE64" s="6">
        <v>57</v>
      </c>
      <c r="BF64" s="98" t="s">
        <v>205</v>
      </c>
      <c r="BG64" s="98" t="s">
        <v>207</v>
      </c>
      <c r="BH64" s="98" t="s">
        <v>209</v>
      </c>
    </row>
    <row r="65" spans="2:60" ht="18">
      <c r="B65" s="155"/>
      <c r="C65" s="41" t="str">
        <f>VLOOKUP(44,$BE$8:$BH$136,1+MATCH($AC$7,$BF$7:$BH$7,0))</f>
        <v>Case 2</v>
      </c>
      <c r="D65" s="31" t="s">
        <v>190</v>
      </c>
      <c r="E65" s="308">
        <f>MAX(E59-E62,E59-E63)</f>
        <v>0.30759347747287769</v>
      </c>
      <c r="F65" s="306"/>
      <c r="G65" s="306">
        <f t="shared" ref="G65" si="24">MAX(G59-G62,G59-G63)</f>
        <v>0.30759347747287769</v>
      </c>
      <c r="H65" s="306"/>
      <c r="I65" s="306">
        <f t="shared" ref="I65" si="25">MAX(I59-I62,I59-I63)</f>
        <v>0.30759347747287769</v>
      </c>
      <c r="J65" s="306"/>
      <c r="K65" s="306">
        <f>IF(K57=-0.5,I65,MAX(K59-K62,K59-K63,0))</f>
        <v>0</v>
      </c>
      <c r="L65" s="306"/>
      <c r="M65" s="306">
        <f>MAX(M59-M62,M59-M63)</f>
        <v>0.37439338794222954</v>
      </c>
      <c r="N65" s="307"/>
      <c r="O65" s="308">
        <f>MAX(O59-O62,O59-O63)</f>
        <v>0.30759347747287769</v>
      </c>
      <c r="P65" s="306"/>
      <c r="Q65" s="306">
        <f t="shared" ref="Q65" si="26">MAX(Q59-Q62,Q59-Q63)</f>
        <v>0.30759347747287769</v>
      </c>
      <c r="R65" s="306"/>
      <c r="S65" s="306">
        <f t="shared" ref="S65" si="27">MAX(S59-S62,S59-S63)</f>
        <v>0.30759347747287769</v>
      </c>
      <c r="T65" s="306"/>
      <c r="U65" s="306">
        <f>IF(U57=-0.5,S65,MAX(U59-U62,U59-U63,0))</f>
        <v>0</v>
      </c>
      <c r="V65" s="306"/>
      <c r="W65" s="306">
        <f>MAX(W59-W62,W59-W63)</f>
        <v>0.37439338794222954</v>
      </c>
      <c r="X65" s="307"/>
      <c r="AA65" s="15"/>
      <c r="BE65" s="6">
        <v>58</v>
      </c>
      <c r="BF65" s="98" t="s">
        <v>214</v>
      </c>
      <c r="BG65" s="98" t="s">
        <v>226</v>
      </c>
      <c r="BH65" s="98" t="s">
        <v>227</v>
      </c>
    </row>
    <row r="66" spans="2:60" ht="15">
      <c r="B66" s="155"/>
      <c r="C66" s="53"/>
      <c r="D66" s="13"/>
      <c r="E66" s="13"/>
      <c r="F66" s="13"/>
      <c r="G66" s="13"/>
      <c r="H66" s="13"/>
      <c r="I66" s="13"/>
      <c r="J66" s="13"/>
      <c r="K66" s="13"/>
      <c r="L66" s="13"/>
      <c r="M66" s="442"/>
      <c r="N66" s="442"/>
      <c r="O66" s="13"/>
      <c r="AA66" s="15"/>
      <c r="AC66" s="260"/>
      <c r="AD66" s="261"/>
      <c r="AE66" s="259" t="str">
        <f>K74</f>
        <v>GIÓ Y+</v>
      </c>
      <c r="AF66" s="259"/>
      <c r="AG66" s="259" t="str">
        <f>O54</f>
        <v>GIÓ Y-</v>
      </c>
      <c r="AH66" s="259"/>
      <c r="AI66" s="264" t="s">
        <v>323</v>
      </c>
      <c r="AJ66" s="265"/>
      <c r="AK66" s="265"/>
      <c r="BE66" s="6">
        <v>59</v>
      </c>
      <c r="BF66" s="116" t="s">
        <v>228</v>
      </c>
      <c r="BG66" s="116" t="s">
        <v>229</v>
      </c>
      <c r="BH66" s="116" t="s">
        <v>230</v>
      </c>
    </row>
    <row r="67" spans="2:60" ht="15" customHeight="1">
      <c r="B67" s="155"/>
      <c r="C67" s="534" t="s">
        <v>193</v>
      </c>
      <c r="D67" s="534"/>
      <c r="E67" s="534"/>
      <c r="F67" s="534"/>
      <c r="G67" s="534"/>
      <c r="H67" s="534"/>
      <c r="I67" s="534"/>
      <c r="J67" s="534"/>
      <c r="K67" s="534"/>
      <c r="L67" s="534"/>
      <c r="M67" s="534"/>
      <c r="N67" s="534"/>
      <c r="O67" s="534"/>
      <c r="P67" s="534"/>
      <c r="Q67" s="534"/>
      <c r="R67" s="534"/>
      <c r="S67" s="534"/>
      <c r="T67" s="534"/>
      <c r="U67" s="534"/>
      <c r="V67" s="534"/>
      <c r="W67" s="534"/>
      <c r="X67" s="534"/>
      <c r="AA67" s="15"/>
      <c r="AC67" s="262"/>
      <c r="AD67" s="263"/>
      <c r="AE67" s="21" t="str">
        <f>K75</f>
        <v>H</v>
      </c>
      <c r="AF67" s="21" t="str">
        <f>M75</f>
        <v>I</v>
      </c>
      <c r="AG67" s="21" t="str">
        <f>O75</f>
        <v>H</v>
      </c>
      <c r="AH67" s="21" t="str">
        <f>Q75</f>
        <v>I</v>
      </c>
      <c r="AI67" s="264"/>
      <c r="AJ67" s="265"/>
      <c r="AK67" s="265"/>
      <c r="BE67" s="6">
        <v>60</v>
      </c>
      <c r="BF67" s="116" t="s">
        <v>238</v>
      </c>
      <c r="BG67" s="116" t="s">
        <v>241</v>
      </c>
      <c r="BH67" s="116" t="s">
        <v>244</v>
      </c>
    </row>
    <row r="68" spans="2:60" ht="18">
      <c r="B68" s="155"/>
      <c r="C68" s="267" t="s">
        <v>194</v>
      </c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AA68" s="15"/>
      <c r="AC68" s="206" t="str">
        <f>VLOOKUP(43,$BE$8:$BH$136,1+MATCH($AC$7,$BF$7:$BH$7,0))</f>
        <v>Case 1</v>
      </c>
      <c r="AD68" s="207" t="s">
        <v>231</v>
      </c>
      <c r="AE68" s="209">
        <f>HLOOKUP(AE67,$E$55:$N$65,2,FALSE)</f>
        <v>-0.49407705664634705</v>
      </c>
      <c r="AF68" s="209">
        <f>HLOOKUP(AF67,$E$55:$N$65,2,FALSE)</f>
        <v>-0.52938473224639893</v>
      </c>
      <c r="AG68" s="209">
        <f>HLOOKUP(AG67,$O$55:$X$65,2,FALSE)</f>
        <v>-0.49407705664634705</v>
      </c>
      <c r="AH68" s="209">
        <f>HLOOKUP(AH67,$O$55:$X$65,2,FALSE)</f>
        <v>-0.52938473224639893</v>
      </c>
      <c r="AI68" s="264"/>
      <c r="AJ68" s="265"/>
      <c r="AK68" s="265"/>
      <c r="BE68" s="6">
        <v>61</v>
      </c>
      <c r="BF68" s="116" t="s">
        <v>239</v>
      </c>
      <c r="BG68" s="116" t="s">
        <v>242</v>
      </c>
      <c r="BH68" s="116" t="s">
        <v>245</v>
      </c>
    </row>
    <row r="69" spans="2:60" ht="18" customHeight="1">
      <c r="B69" s="155"/>
      <c r="C69" s="279" t="s">
        <v>197</v>
      </c>
      <c r="D69" s="279"/>
      <c r="E69" s="279" t="s">
        <v>198</v>
      </c>
      <c r="F69" s="279"/>
      <c r="G69" s="279" t="s">
        <v>199</v>
      </c>
      <c r="H69" s="279"/>
      <c r="I69" s="267" t="s">
        <v>234</v>
      </c>
      <c r="J69" s="267"/>
      <c r="K69" s="267" t="s">
        <v>195</v>
      </c>
      <c r="L69" s="267"/>
      <c r="M69" s="267" t="s">
        <v>119</v>
      </c>
      <c r="N69" s="267"/>
      <c r="O69" s="267"/>
      <c r="P69" s="267"/>
      <c r="Q69" s="267"/>
      <c r="R69" s="267"/>
      <c r="S69" s="267" t="s">
        <v>122</v>
      </c>
      <c r="T69" s="267"/>
      <c r="U69" s="267"/>
      <c r="V69" s="267"/>
      <c r="W69" s="267"/>
      <c r="X69" s="267"/>
      <c r="AA69" s="76"/>
      <c r="AC69" s="206" t="str">
        <f>VLOOKUP(44,$BE$8:$BH$136,1+MATCH($AC$7,$BF$7:$BH$7,0))</f>
        <v>Case 2</v>
      </c>
      <c r="AD69" s="207" t="s">
        <v>231</v>
      </c>
      <c r="AE69" s="209">
        <f>HLOOKUP(AE67,$E$55:$N$65,3,FALSE)</f>
        <v>7.0615313947200775E-2</v>
      </c>
      <c r="AF69" s="209">
        <f>HLOOKUP(AF67,$E$55:$N$65,3,FALSE)</f>
        <v>-0.38815408945083618</v>
      </c>
      <c r="AG69" s="209">
        <f>HLOOKUP(AG67,$O$55:$X$65,3,FALSE)</f>
        <v>7.0615313947200775E-2</v>
      </c>
      <c r="AH69" s="209">
        <f>HLOOKUP(AH67,$O$55:$X$65,3,FALSE)</f>
        <v>-0.38815408945083618</v>
      </c>
      <c r="AI69" s="264"/>
      <c r="AJ69" s="265"/>
      <c r="AK69" s="265"/>
      <c r="BE69" s="6">
        <v>62</v>
      </c>
      <c r="BF69" s="116" t="s">
        <v>240</v>
      </c>
      <c r="BG69" s="116" t="s">
        <v>243</v>
      </c>
      <c r="BH69" s="116" t="s">
        <v>246</v>
      </c>
    </row>
    <row r="70" spans="2:60" ht="18">
      <c r="B70" s="155"/>
      <c r="C70" s="279"/>
      <c r="D70" s="279"/>
      <c r="E70" s="279"/>
      <c r="F70" s="279"/>
      <c r="G70" s="279"/>
      <c r="H70" s="279"/>
      <c r="I70" s="267"/>
      <c r="J70" s="267"/>
      <c r="K70" s="267"/>
      <c r="L70" s="267"/>
      <c r="M70" s="434" t="s">
        <v>235</v>
      </c>
      <c r="N70" s="434"/>
      <c r="O70" s="310" t="s">
        <v>236</v>
      </c>
      <c r="P70" s="310"/>
      <c r="Q70" s="310" t="s">
        <v>237</v>
      </c>
      <c r="R70" s="310"/>
      <c r="S70" s="434" t="s">
        <v>235</v>
      </c>
      <c r="T70" s="434"/>
      <c r="U70" s="310" t="s">
        <v>236</v>
      </c>
      <c r="V70" s="310"/>
      <c r="W70" s="310" t="s">
        <v>237</v>
      </c>
      <c r="X70" s="310"/>
      <c r="AA70" s="76"/>
      <c r="AC70" s="206" t="str">
        <f>VLOOKUP(43,$BE$8:$BH$136,1+MATCH($AC$7,$BF$7:$BH$7,0))</f>
        <v>Case 1</v>
      </c>
      <c r="AD70" s="208" t="s">
        <v>188</v>
      </c>
      <c r="AE70" s="209">
        <f>$E$27*$G$76*AE68*$G$39</f>
        <v>-0.56159009546320571</v>
      </c>
      <c r="AF70" s="209">
        <f>$E$27*$G$76*AF68*$G$39</f>
        <v>-0.60172237977813992</v>
      </c>
      <c r="AG70" s="209">
        <f>$E$27*$G$76*AG68*$G$39</f>
        <v>-0.56159009546320571</v>
      </c>
      <c r="AH70" s="209">
        <f>$E$27*$G$76*AH68*$G$39</f>
        <v>-0.60172237977813992</v>
      </c>
      <c r="AI70" s="264"/>
      <c r="AJ70" s="265"/>
      <c r="AK70" s="265"/>
    </row>
    <row r="71" spans="2:60" ht="18">
      <c r="B71" s="155"/>
      <c r="C71" s="246">
        <f>M20</f>
        <v>10</v>
      </c>
      <c r="D71" s="247"/>
      <c r="E71" s="266" cm="1">
        <f t="array" ref="E71">ze(C71, M18, M20, M25)</f>
        <v>10</v>
      </c>
      <c r="F71" s="266"/>
      <c r="G71" s="266">
        <f>MIN(2.01*(E71/J26)^(2/N26),N27)</f>
        <v>1.0009330064908715</v>
      </c>
      <c r="H71" s="266"/>
      <c r="I71" s="267">
        <v>-0.5</v>
      </c>
      <c r="J71" s="267"/>
      <c r="K71" s="435">
        <f>$E$27*$G$71*I71*$G$39</f>
        <v>-0.56832237796581542</v>
      </c>
      <c r="L71" s="435"/>
      <c r="M71" s="246">
        <v>0.2</v>
      </c>
      <c r="N71" s="247"/>
      <c r="O71" s="435">
        <f>$E$27*$G$71*M71*$G$39</f>
        <v>0.22732895118632618</v>
      </c>
      <c r="P71" s="435"/>
      <c r="Q71" s="311">
        <f>K71-O71</f>
        <v>-0.79565132915214165</v>
      </c>
      <c r="R71" s="311"/>
      <c r="S71" s="246">
        <v>-0.2</v>
      </c>
      <c r="T71" s="247"/>
      <c r="U71" s="435">
        <f>$E$27*$G$71*S71*$G$39</f>
        <v>-0.22732895118632618</v>
      </c>
      <c r="V71" s="435"/>
      <c r="W71" s="443">
        <f>K71-U71</f>
        <v>-0.34099342677948924</v>
      </c>
      <c r="X71" s="443"/>
      <c r="AA71" s="76"/>
      <c r="AC71" s="206" t="str">
        <f>VLOOKUP(44,$BE$8:$BH$136,1+MATCH($AC$7,$BF$7:$BH$7,0))</f>
        <v>Case 2</v>
      </c>
      <c r="AD71" s="208" t="s">
        <v>188</v>
      </c>
      <c r="AE71" s="209">
        <f>$E$27*$G$76*AE69*$G$39</f>
        <v>8.0264526286551521E-2</v>
      </c>
      <c r="AF71" s="209">
        <f t="shared" ref="AF71:AH71" si="28">$E$27*$G$76*AF69*$G$39</f>
        <v>-0.44119331026771014</v>
      </c>
      <c r="AG71" s="209">
        <f t="shared" si="28"/>
        <v>8.0264526286551521E-2</v>
      </c>
      <c r="AH71" s="209">
        <f t="shared" si="28"/>
        <v>-0.44119331026771014</v>
      </c>
      <c r="AI71" s="264"/>
      <c r="AJ71" s="265"/>
      <c r="AK71" s="265"/>
    </row>
    <row r="72" spans="2:60" ht="18">
      <c r="B72" s="155"/>
      <c r="C72" s="5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5"/>
      <c r="AC72" s="206" t="str">
        <f>VLOOKUP(43,$BE$8:$BH$136,1+MATCH($AC$7,$BF$7:$BH$7,0))</f>
        <v>Case 1</v>
      </c>
      <c r="AD72" s="207" t="s">
        <v>232</v>
      </c>
      <c r="AE72" s="209">
        <f>HLOOKUP(AE67,$E$55:$N$65,6,FALSE)</f>
        <v>0.2</v>
      </c>
      <c r="AF72" s="209">
        <f>HLOOKUP(AF67,$E$55:$N$65,6,FALSE)</f>
        <v>0.2</v>
      </c>
      <c r="AG72" s="209">
        <f>HLOOKUP(AG67,$O$55:$X$65,6,FALSE)</f>
        <v>0.2</v>
      </c>
      <c r="AH72" s="209">
        <f>HLOOKUP(AH67,$O$55:$X$65,6,FALSE)</f>
        <v>0.2</v>
      </c>
      <c r="AI72" s="264"/>
      <c r="AJ72" s="265"/>
      <c r="AK72" s="265"/>
    </row>
    <row r="73" spans="2:60" ht="18">
      <c r="B73" s="155"/>
      <c r="C73" s="281" t="s">
        <v>322</v>
      </c>
      <c r="D73" s="282"/>
      <c r="E73" s="282"/>
      <c r="F73" s="282"/>
      <c r="G73" s="282"/>
      <c r="H73" s="282"/>
      <c r="I73" s="282"/>
      <c r="J73" s="282"/>
      <c r="K73" s="282"/>
      <c r="L73" s="282"/>
      <c r="M73" s="282"/>
      <c r="N73" s="282"/>
      <c r="O73" s="282"/>
      <c r="P73" s="282"/>
      <c r="Q73" s="282"/>
      <c r="R73" s="283"/>
      <c r="S73" s="13"/>
      <c r="T73" s="13"/>
      <c r="U73" s="13"/>
      <c r="V73" s="13"/>
      <c r="W73" s="13"/>
      <c r="X73" s="13"/>
      <c r="Y73" s="13"/>
      <c r="Z73" s="13"/>
      <c r="AA73" s="15"/>
      <c r="AC73" s="206" t="str">
        <f>VLOOKUP(44,$BE$8:$BH$136,1+MATCH($AC$7,$BF$7:$BH$7,0))</f>
        <v>Case 2</v>
      </c>
      <c r="AD73" s="207" t="s">
        <v>232</v>
      </c>
      <c r="AE73" s="209">
        <f>HLOOKUP(AE67,$E$55:$N$65,7,FALSE)</f>
        <v>-0.2</v>
      </c>
      <c r="AF73" s="209">
        <f>HLOOKUP(AF67,$E$55:$N$65,7,FALSE)</f>
        <v>-0.2</v>
      </c>
      <c r="AG73" s="209">
        <f>HLOOKUP(AG67,$O$55:$X$65,7,FALSE)</f>
        <v>-0.2</v>
      </c>
      <c r="AH73" s="209">
        <f>HLOOKUP(AH67,$O$55:$X$65,7,FALSE)</f>
        <v>-0.2</v>
      </c>
      <c r="AI73" s="264"/>
      <c r="AJ73" s="265"/>
      <c r="AK73" s="265"/>
    </row>
    <row r="74" spans="2:60" ht="18">
      <c r="B74" s="155"/>
      <c r="C74" s="279" t="s">
        <v>197</v>
      </c>
      <c r="D74" s="279"/>
      <c r="E74" s="279" t="s">
        <v>198</v>
      </c>
      <c r="F74" s="279"/>
      <c r="G74" s="279" t="s">
        <v>199</v>
      </c>
      <c r="H74" s="279"/>
      <c r="I74" s="280" t="str">
        <f>C54</f>
        <v>Zone / Vùng</v>
      </c>
      <c r="J74" s="280"/>
      <c r="K74" s="270" t="str">
        <f>E54</f>
        <v>GIÓ Y+</v>
      </c>
      <c r="L74" s="271"/>
      <c r="M74" s="271"/>
      <c r="N74" s="272"/>
      <c r="O74" s="270" t="str">
        <f>O54</f>
        <v>GIÓ Y-</v>
      </c>
      <c r="P74" s="271"/>
      <c r="Q74" s="271"/>
      <c r="R74" s="272"/>
      <c r="S74" s="13"/>
      <c r="T74" s="13"/>
      <c r="U74" s="13"/>
      <c r="V74" s="13"/>
      <c r="W74" s="13"/>
      <c r="X74" s="13"/>
      <c r="Y74" s="13"/>
      <c r="Z74" s="13"/>
      <c r="AA74" s="15"/>
      <c r="AC74" s="206" t="str">
        <f>VLOOKUP(43,$BE$8:$BH$136,1+MATCH($AC$7,$BF$7:$BH$7,0))</f>
        <v>Case 1</v>
      </c>
      <c r="AD74" s="208" t="s">
        <v>189</v>
      </c>
      <c r="AE74" s="209">
        <f>$E$27*$G$76*AE72*$G$39</f>
        <v>0.22732895118632618</v>
      </c>
      <c r="AF74" s="209">
        <f t="shared" ref="AF74:AH75" si="29">$E$27*$G$76*AF72*$G$39</f>
        <v>0.22732895118632618</v>
      </c>
      <c r="AG74" s="209">
        <f t="shared" si="29"/>
        <v>0.22732895118632618</v>
      </c>
      <c r="AH74" s="209">
        <f t="shared" si="29"/>
        <v>0.22732895118632618</v>
      </c>
      <c r="AI74" s="264"/>
      <c r="AJ74" s="265"/>
      <c r="AK74" s="265"/>
    </row>
    <row r="75" spans="2:60" ht="18">
      <c r="B75" s="155"/>
      <c r="C75" s="279"/>
      <c r="D75" s="279"/>
      <c r="E75" s="279"/>
      <c r="F75" s="279"/>
      <c r="G75" s="279"/>
      <c r="H75" s="279"/>
      <c r="I75" s="280"/>
      <c r="J75" s="280"/>
      <c r="K75" s="268" t="str">
        <f>I55</f>
        <v>H</v>
      </c>
      <c r="L75" s="269"/>
      <c r="M75" s="268" t="s">
        <v>27</v>
      </c>
      <c r="N75" s="269"/>
      <c r="O75" s="268" t="s">
        <v>69</v>
      </c>
      <c r="P75" s="269"/>
      <c r="Q75" s="268" t="s">
        <v>27</v>
      </c>
      <c r="R75" s="269"/>
      <c r="S75" s="13"/>
      <c r="T75" s="13"/>
      <c r="U75" s="13"/>
      <c r="V75" s="13"/>
      <c r="W75" s="13"/>
      <c r="X75" s="13"/>
      <c r="Y75" s="13"/>
      <c r="Z75" s="13"/>
      <c r="AA75" s="15"/>
      <c r="AC75" s="206" t="str">
        <f>VLOOKUP(44,$BE$8:$BH$136,1+MATCH($AC$7,$BF$7:$BH$7,0))</f>
        <v>Case 2</v>
      </c>
      <c r="AD75" s="208" t="s">
        <v>189</v>
      </c>
      <c r="AE75" s="209">
        <f>$E$27*$G$76*AE73*$G$39</f>
        <v>-0.22732895118632618</v>
      </c>
      <c r="AF75" s="209">
        <f t="shared" si="29"/>
        <v>-0.22732895118632618</v>
      </c>
      <c r="AG75" s="209">
        <f t="shared" si="29"/>
        <v>-0.22732895118632618</v>
      </c>
      <c r="AH75" s="209">
        <f t="shared" si="29"/>
        <v>-0.22732895118632618</v>
      </c>
      <c r="AI75" s="264"/>
      <c r="AJ75" s="265"/>
      <c r="AK75" s="265"/>
    </row>
    <row r="76" spans="2:60" ht="18">
      <c r="B76" s="155"/>
      <c r="C76" s="246">
        <f>M20</f>
        <v>10</v>
      </c>
      <c r="D76" s="246"/>
      <c r="E76" s="266" cm="1">
        <f t="array" ref="E76">ze(C76, M18, M20, M25)</f>
        <v>10</v>
      </c>
      <c r="F76" s="266"/>
      <c r="G76" s="266">
        <f>MIN(2.01*(E76/J26)^(2/N26),N27)</f>
        <v>1.0009330064908715</v>
      </c>
      <c r="H76" s="266"/>
      <c r="I76" s="267" t="str">
        <f>C64</f>
        <v>Case 1</v>
      </c>
      <c r="J76" s="267"/>
      <c r="K76" s="277">
        <f>AE76</f>
        <v>-0.78891904664953194</v>
      </c>
      <c r="L76" s="277"/>
      <c r="M76" s="266">
        <f>AF76</f>
        <v>-0.82905133096446604</v>
      </c>
      <c r="N76" s="266"/>
      <c r="O76" s="277">
        <f>AG76</f>
        <v>-0.78891904664953194</v>
      </c>
      <c r="P76" s="277"/>
      <c r="Q76" s="278">
        <f>AH76</f>
        <v>-0.82905133096446604</v>
      </c>
      <c r="R76" s="278"/>
      <c r="S76" s="13"/>
      <c r="T76" s="13"/>
      <c r="U76" s="13"/>
      <c r="V76" s="13"/>
      <c r="W76" s="13"/>
      <c r="X76" s="13"/>
      <c r="Y76" s="13"/>
      <c r="Z76" s="13"/>
      <c r="AA76" s="15"/>
      <c r="AC76" s="206" t="str">
        <f>VLOOKUP(43,$BE$8:$BH$136,1+MATCH($AC$7,$BF$7:$BH$7,0))</f>
        <v>Case 1</v>
      </c>
      <c r="AD76" s="208" t="s">
        <v>190</v>
      </c>
      <c r="AE76" s="209">
        <f>MIN(AE70-AE74,AE70-AE75)</f>
        <v>-0.78891904664953194</v>
      </c>
      <c r="AF76" s="209">
        <f t="shared" ref="AF76:AH76" si="30">MIN(AF70-AF74,AF70-AF75)</f>
        <v>-0.82905133096446604</v>
      </c>
      <c r="AG76" s="209">
        <f t="shared" si="30"/>
        <v>-0.78891904664953194</v>
      </c>
      <c r="AH76" s="209">
        <f t="shared" si="30"/>
        <v>-0.82905133096446604</v>
      </c>
      <c r="AI76" s="264"/>
      <c r="AJ76" s="265"/>
      <c r="AK76" s="265"/>
    </row>
    <row r="77" spans="2:60" ht="18">
      <c r="B77" s="155"/>
      <c r="C77" s="246"/>
      <c r="D77" s="246"/>
      <c r="E77" s="266"/>
      <c r="F77" s="266"/>
      <c r="G77" s="266"/>
      <c r="H77" s="266"/>
      <c r="I77" s="267" t="str">
        <f>C65</f>
        <v>Case 2</v>
      </c>
      <c r="J77" s="267"/>
      <c r="K77" s="273">
        <f>AE77</f>
        <v>0.30759347747287769</v>
      </c>
      <c r="L77" s="274"/>
      <c r="M77" s="248">
        <f>AF77</f>
        <v>0</v>
      </c>
      <c r="N77" s="249"/>
      <c r="O77" s="273">
        <f>AG77</f>
        <v>0.30759347747287769</v>
      </c>
      <c r="P77" s="274"/>
      <c r="Q77" s="275">
        <f>AH77</f>
        <v>0</v>
      </c>
      <c r="R77" s="276"/>
      <c r="S77" s="13"/>
      <c r="T77" s="13"/>
      <c r="U77" s="13"/>
      <c r="V77" s="13"/>
      <c r="W77" s="13"/>
      <c r="X77" s="13"/>
      <c r="Y77" s="13"/>
      <c r="Z77" s="13"/>
      <c r="AA77" s="15"/>
      <c r="AC77" s="206" t="str">
        <f>VLOOKUP(44,$BE$8:$BH$136,1+MATCH($AC$7,$BF$7:$BH$7,0))</f>
        <v>Case 2</v>
      </c>
      <c r="AD77" s="208" t="s">
        <v>190</v>
      </c>
      <c r="AE77" s="209">
        <f>MAX(AE71-AE74,AE71-AE75,0)</f>
        <v>0.30759347747287769</v>
      </c>
      <c r="AF77" s="209">
        <f t="shared" ref="AF77:AH77" si="31">MAX(AF71-AF74,AF71-AF75,0)</f>
        <v>0</v>
      </c>
      <c r="AG77" s="209">
        <f t="shared" si="31"/>
        <v>0.30759347747287769</v>
      </c>
      <c r="AH77" s="209">
        <f t="shared" si="31"/>
        <v>0</v>
      </c>
      <c r="AI77" s="264"/>
      <c r="AJ77" s="265"/>
      <c r="AK77" s="265"/>
    </row>
    <row r="78" spans="2:60" ht="15">
      <c r="B78" s="155"/>
      <c r="C78" s="5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5"/>
    </row>
    <row r="79" spans="2:60" ht="15">
      <c r="B79" s="155"/>
      <c r="C79" s="519" t="str">
        <f>VLOOKUP(59,$BE$8:$BH$136,1+MATCH($AC$7,$BF$7:$BH$7,0))</f>
        <v>DIAGRAM: ZONES OF DUOPITCH ROOF (WIND X+)</v>
      </c>
      <c r="D79" s="520"/>
      <c r="E79" s="520"/>
      <c r="F79" s="520"/>
      <c r="G79" s="520"/>
      <c r="H79" s="520"/>
      <c r="I79" s="520"/>
      <c r="J79" s="520"/>
      <c r="K79" s="520"/>
      <c r="L79" s="520"/>
      <c r="M79" s="520"/>
      <c r="N79" s="520"/>
      <c r="O79" s="520"/>
      <c r="P79" s="520"/>
      <c r="Q79" s="520"/>
      <c r="R79" s="520"/>
      <c r="S79" s="520"/>
      <c r="T79" s="520"/>
      <c r="U79" s="520"/>
      <c r="V79" s="520"/>
      <c r="W79" s="520"/>
      <c r="X79" s="520"/>
      <c r="Y79" s="520"/>
      <c r="Z79" s="520"/>
      <c r="AA79" s="521"/>
    </row>
    <row r="80" spans="2:60" ht="15">
      <c r="B80" s="155"/>
      <c r="C80" s="51"/>
      <c r="D80" s="52"/>
      <c r="E80" s="52"/>
      <c r="F80" s="157"/>
      <c r="G80" s="157"/>
      <c r="H80" s="157"/>
      <c r="I80" s="157"/>
      <c r="J80" s="157"/>
      <c r="K80" s="157"/>
      <c r="L80" s="157"/>
      <c r="M80" s="157"/>
      <c r="N80" s="157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15"/>
    </row>
    <row r="81" spans="2:43" ht="15.75" thickBot="1">
      <c r="B81" s="155"/>
      <c r="C81" s="53"/>
      <c r="D81" s="13"/>
      <c r="E81" s="13"/>
      <c r="F81" s="436" t="str">
        <f>"d1 = "&amp;ROUND(AI83/10,1)&amp;" m"</f>
        <v>d1 = 2 m</v>
      </c>
      <c r="G81" s="436"/>
      <c r="H81" s="436"/>
      <c r="I81" s="436"/>
      <c r="J81" s="436" t="str">
        <f>"d2 = "&amp;ROUND(AI83/2-AI83/10,1)&amp;" m"</f>
        <v>d2 = 8 m</v>
      </c>
      <c r="K81" s="436"/>
      <c r="L81" s="436"/>
      <c r="M81" s="436"/>
      <c r="N81" s="436"/>
      <c r="O81" s="436"/>
      <c r="P81" s="436"/>
      <c r="Q81" s="436"/>
      <c r="R81" s="436"/>
      <c r="S81" s="436"/>
      <c r="T81" s="436"/>
      <c r="U81" s="436"/>
      <c r="V81" s="436"/>
      <c r="W81" s="436"/>
      <c r="X81" s="436"/>
      <c r="Y81" s="13"/>
      <c r="Z81" s="13"/>
      <c r="AA81" s="15"/>
    </row>
    <row r="82" spans="2:43" ht="15">
      <c r="B82" s="155"/>
      <c r="C82" s="53"/>
      <c r="D82" s="13"/>
      <c r="E82" s="423" t="str">
        <f>"b4 = "&amp;ROUND(AI83/4,1)&amp;"m "</f>
        <v xml:space="preserve">b4 = 5m </v>
      </c>
      <c r="F82" s="406" t="str">
        <f>VLOOKUP(48,$BE$8:$BH$136,1+MATCH($AC$7,$BF$7:$BH$7,0))</f>
        <v>Zone / Vùng F</v>
      </c>
      <c r="G82" s="407"/>
      <c r="H82" s="407"/>
      <c r="I82" s="416"/>
      <c r="J82" s="54" t="s">
        <v>157</v>
      </c>
      <c r="K82" s="55"/>
      <c r="L82" s="55"/>
      <c r="M82" s="55"/>
      <c r="N82" s="55"/>
      <c r="O82" s="56"/>
      <c r="P82" s="407"/>
      <c r="Q82" s="407"/>
      <c r="R82" s="407"/>
      <c r="S82" s="407"/>
      <c r="T82" s="408"/>
      <c r="U82" s="408"/>
      <c r="V82" s="408"/>
      <c r="W82" s="408"/>
      <c r="X82" s="409"/>
      <c r="Y82" s="157"/>
      <c r="Z82" s="157"/>
      <c r="AA82" s="15"/>
      <c r="AC82" s="52" t="s">
        <v>145</v>
      </c>
      <c r="AD82" s="433">
        <f>M19</f>
        <v>20</v>
      </c>
      <c r="AE82" s="433"/>
      <c r="AF82" s="52" t="s">
        <v>146</v>
      </c>
      <c r="AG82" s="52"/>
      <c r="AH82" s="52" t="s">
        <v>147</v>
      </c>
      <c r="AI82" s="433">
        <f>M20</f>
        <v>10</v>
      </c>
      <c r="AJ82" s="433"/>
      <c r="AK82" s="52" t="s">
        <v>146</v>
      </c>
    </row>
    <row r="83" spans="2:43" ht="15">
      <c r="B83" s="155"/>
      <c r="C83" s="53"/>
      <c r="D83" s="13"/>
      <c r="E83" s="423"/>
      <c r="F83" s="370" t="str">
        <f>ROUND(E50,2)&amp;" kN/m2"</f>
        <v>-1.93 kN/m2</v>
      </c>
      <c r="G83" s="371"/>
      <c r="H83" s="371"/>
      <c r="I83" s="372"/>
      <c r="J83" s="57"/>
      <c r="K83" s="133"/>
      <c r="L83" s="133"/>
      <c r="M83" s="133"/>
      <c r="N83" s="133"/>
      <c r="O83" s="58"/>
      <c r="P83" s="316"/>
      <c r="Q83" s="316"/>
      <c r="R83" s="316"/>
      <c r="S83" s="316"/>
      <c r="T83" s="375"/>
      <c r="U83" s="375"/>
      <c r="V83" s="375"/>
      <c r="W83" s="375"/>
      <c r="X83" s="376"/>
      <c r="Y83" s="157"/>
      <c r="Z83" s="157"/>
      <c r="AA83" s="15"/>
      <c r="AC83" s="13" t="s">
        <v>151</v>
      </c>
      <c r="AD83" s="350">
        <f>M18</f>
        <v>120</v>
      </c>
      <c r="AE83" s="350"/>
      <c r="AF83" s="13" t="s">
        <v>146</v>
      </c>
      <c r="AG83" s="13"/>
      <c r="AH83" s="13" t="s">
        <v>152</v>
      </c>
      <c r="AI83" s="350">
        <f>MIN(AD82,2*AI82)</f>
        <v>20</v>
      </c>
      <c r="AJ83" s="350"/>
      <c r="AK83" s="13" t="s">
        <v>146</v>
      </c>
    </row>
    <row r="84" spans="2:43" ht="15">
      <c r="B84" s="155"/>
      <c r="C84" s="53"/>
      <c r="D84" s="13"/>
      <c r="E84" s="423"/>
      <c r="F84" s="427" t="str">
        <f>ROUND(E51,2)&amp;" kN/m2"</f>
        <v>-1.47 kN/m2</v>
      </c>
      <c r="G84" s="428"/>
      <c r="H84" s="428"/>
      <c r="I84" s="429"/>
      <c r="J84" s="57"/>
      <c r="K84" s="133"/>
      <c r="L84" s="133"/>
      <c r="M84" s="133"/>
      <c r="N84" s="133"/>
      <c r="O84" s="58"/>
      <c r="P84" s="134"/>
      <c r="Q84" s="134"/>
      <c r="R84" s="134"/>
      <c r="S84" s="134"/>
      <c r="T84" s="135" t="s">
        <v>157</v>
      </c>
      <c r="U84" s="136"/>
      <c r="V84" s="136"/>
      <c r="W84" s="136"/>
      <c r="X84" s="60"/>
      <c r="Y84" s="157"/>
      <c r="Z84" s="157"/>
      <c r="AA84" s="15"/>
      <c r="AE84" s="59"/>
      <c r="AF84" s="59"/>
      <c r="AG84" s="59"/>
    </row>
    <row r="85" spans="2:43" ht="15">
      <c r="B85" s="155"/>
      <c r="C85" s="53"/>
      <c r="D85" s="13"/>
      <c r="E85" s="423"/>
      <c r="F85" s="61"/>
      <c r="G85" s="137"/>
      <c r="H85" s="137"/>
      <c r="I85" s="62"/>
      <c r="J85" s="315" t="str">
        <f>VLOOKUP(50,$BE$8:$BH$136,1+MATCH($AC$7,$BF$7:$BH$7,0))</f>
        <v>Zone / Vùng H</v>
      </c>
      <c r="K85" s="316"/>
      <c r="L85" s="316"/>
      <c r="M85" s="316"/>
      <c r="N85" s="316"/>
      <c r="O85" s="317"/>
      <c r="P85" s="375" t="str">
        <f>VLOOKUP(51,$BE$8:$BH$136,1+MATCH($AC$7,$BF$7:$BH$7,0))</f>
        <v>Zone / Vùng I</v>
      </c>
      <c r="Q85" s="375"/>
      <c r="R85" s="375"/>
      <c r="S85" s="375"/>
      <c r="T85" s="375"/>
      <c r="U85" s="375"/>
      <c r="V85" s="375"/>
      <c r="W85" s="375"/>
      <c r="X85" s="376"/>
      <c r="Y85" s="157"/>
      <c r="Z85" s="157"/>
      <c r="AA85" s="15"/>
      <c r="AE85" s="59"/>
      <c r="AF85" s="59"/>
      <c r="AG85" s="59"/>
    </row>
    <row r="86" spans="2:43" ht="15">
      <c r="B86" s="155"/>
      <c r="C86" s="53"/>
      <c r="D86" s="13"/>
      <c r="E86" s="423" t="str">
        <f>"b2 = "&amp;ROUND(AD82/2-AI83/4,1)&amp;"m "</f>
        <v xml:space="preserve">b2 = 5m </v>
      </c>
      <c r="F86" s="315" t="str">
        <f>VLOOKUP(49,$BE$8:$BH$136,1+MATCH($AC$7,$BF$7:$BH$7,0))</f>
        <v>Zone / Vùng G</v>
      </c>
      <c r="G86" s="316"/>
      <c r="H86" s="316"/>
      <c r="I86" s="317"/>
      <c r="J86" s="379" t="str">
        <f>ROUND(I50,2)&amp;" kN/m2"</f>
        <v>-0.98 kN/m2</v>
      </c>
      <c r="K86" s="380"/>
      <c r="L86" s="380"/>
      <c r="M86" s="380"/>
      <c r="N86" s="380"/>
      <c r="O86" s="381"/>
      <c r="P86" s="380" t="str">
        <f>ROUND(K50,2)&amp;" kN/m2"</f>
        <v>-0.87 kN/m2</v>
      </c>
      <c r="Q86" s="380"/>
      <c r="R86" s="380"/>
      <c r="S86" s="380"/>
      <c r="T86" s="380"/>
      <c r="U86" s="380"/>
      <c r="V86" s="380"/>
      <c r="W86" s="380"/>
      <c r="X86" s="381"/>
      <c r="Y86" s="157"/>
      <c r="Z86" s="157"/>
      <c r="AA86" s="15"/>
      <c r="AE86" s="59"/>
      <c r="AF86" s="59"/>
      <c r="AG86" s="59"/>
      <c r="AH86" s="29"/>
    </row>
    <row r="87" spans="2:43" ht="15">
      <c r="B87" s="155"/>
      <c r="C87" s="424"/>
      <c r="D87" s="425"/>
      <c r="E87" s="423"/>
      <c r="F87" s="370" t="str">
        <f>ROUND(G50,2)&amp;" kN/m2"</f>
        <v>-1.7 kN/m2</v>
      </c>
      <c r="G87" s="371"/>
      <c r="H87" s="371"/>
      <c r="I87" s="372"/>
      <c r="J87" s="366" t="str">
        <f>ROUND(I51,2)&amp;" kN/m2"</f>
        <v>-0.53 kN/m2</v>
      </c>
      <c r="K87" s="367"/>
      <c r="L87" s="367"/>
      <c r="M87" s="367"/>
      <c r="N87" s="367"/>
      <c r="O87" s="378"/>
      <c r="P87" s="322" t="str">
        <f>ROUND(K51,2)&amp;" kN/m2"</f>
        <v>-0.41 kN/m2</v>
      </c>
      <c r="Q87" s="322"/>
      <c r="R87" s="322"/>
      <c r="S87" s="322"/>
      <c r="T87" s="322"/>
      <c r="U87" s="322"/>
      <c r="V87" s="322"/>
      <c r="W87" s="322"/>
      <c r="X87" s="323"/>
      <c r="Y87" s="157"/>
      <c r="Z87" s="157"/>
      <c r="AA87" s="15"/>
      <c r="AE87" s="59"/>
      <c r="AF87" s="59"/>
      <c r="AG87" s="59"/>
      <c r="AH87" s="29"/>
      <c r="AJ87" s="63"/>
      <c r="AK87" s="63"/>
      <c r="AL87" s="63"/>
      <c r="AM87" s="63"/>
    </row>
    <row r="88" spans="2:43" ht="15">
      <c r="B88" s="155"/>
      <c r="C88" s="424"/>
      <c r="D88" s="425"/>
      <c r="E88" s="423"/>
      <c r="F88" s="366" t="str">
        <f>ROUND(G51,2)&amp;" kN/m2"</f>
        <v>-1.25 kN/m2</v>
      </c>
      <c r="G88" s="367"/>
      <c r="H88" s="367"/>
      <c r="I88" s="378"/>
      <c r="J88" s="374"/>
      <c r="K88" s="375"/>
      <c r="L88" s="375"/>
      <c r="M88" s="375"/>
      <c r="N88" s="375"/>
      <c r="O88" s="376"/>
      <c r="P88" s="134"/>
      <c r="Q88" s="134"/>
      <c r="R88" s="134"/>
      <c r="S88" s="134"/>
      <c r="T88" s="134"/>
      <c r="U88" s="134"/>
      <c r="V88" s="134"/>
      <c r="W88" s="134"/>
      <c r="X88" s="64"/>
      <c r="Y88" s="157"/>
      <c r="Z88" s="157"/>
      <c r="AA88" s="15"/>
      <c r="AC88" s="426"/>
      <c r="AD88" s="426"/>
      <c r="AE88" s="59"/>
      <c r="AF88" s="59"/>
      <c r="AG88" s="59"/>
      <c r="AH88" s="59"/>
      <c r="AI88" s="59"/>
      <c r="AJ88" s="426"/>
      <c r="AK88" s="426"/>
      <c r="AL88" s="426"/>
      <c r="AM88" s="63"/>
    </row>
    <row r="89" spans="2:43" ht="15.75" thickBot="1">
      <c r="B89" s="155"/>
      <c r="C89" s="65"/>
      <c r="D89" s="138"/>
      <c r="E89" s="423"/>
      <c r="F89" s="402"/>
      <c r="G89" s="403"/>
      <c r="H89" s="403"/>
      <c r="I89" s="404"/>
      <c r="J89" s="420" t="str">
        <f>VLOOKUP(53,$BE$8:$BH$136,1+MATCH($AC$7,$BF$7:$BH$7,0))</f>
        <v>Ridge or trough / Đường nóc</v>
      </c>
      <c r="K89" s="421"/>
      <c r="L89" s="421"/>
      <c r="M89" s="421"/>
      <c r="N89" s="421"/>
      <c r="O89" s="422"/>
      <c r="P89" s="430" t="str">
        <f>VLOOKUP(53,$BE$8:$BH$136,1+MATCH($AC$7,$BF$7:$BH$7,0))</f>
        <v>Ridge or trough / Đường nóc</v>
      </c>
      <c r="Q89" s="431"/>
      <c r="R89" s="431"/>
      <c r="S89" s="431"/>
      <c r="T89" s="431"/>
      <c r="U89" s="431"/>
      <c r="V89" s="431"/>
      <c r="W89" s="431"/>
      <c r="X89" s="432"/>
      <c r="Y89" s="157"/>
      <c r="Z89" s="157"/>
      <c r="AA89" s="15"/>
      <c r="AC89" s="426"/>
      <c r="AD89" s="426"/>
      <c r="AE89" s="59"/>
      <c r="AF89" s="59"/>
      <c r="AG89" s="59"/>
      <c r="AH89" s="59"/>
      <c r="AI89" s="59"/>
      <c r="AJ89" s="426"/>
      <c r="AK89" s="426"/>
      <c r="AL89" s="426"/>
      <c r="AM89" s="63"/>
    </row>
    <row r="90" spans="2:43" ht="15">
      <c r="B90" s="155"/>
      <c r="C90" s="53"/>
      <c r="D90" s="13"/>
      <c r="E90" s="423" t="str">
        <f>"b2 = "&amp;ROUND(AD82/2-AI83/4,1)&amp;"m "</f>
        <v xml:space="preserve">b2 = 5m </v>
      </c>
      <c r="F90" s="392"/>
      <c r="G90" s="393"/>
      <c r="H90" s="393"/>
      <c r="I90" s="394"/>
      <c r="J90" s="389"/>
      <c r="K90" s="390"/>
      <c r="L90" s="390"/>
      <c r="M90" s="390"/>
      <c r="N90" s="390"/>
      <c r="O90" s="418"/>
      <c r="P90" s="139"/>
      <c r="Q90" s="139"/>
      <c r="R90" s="139"/>
      <c r="S90" s="139"/>
      <c r="T90" s="139"/>
      <c r="U90" s="139"/>
      <c r="V90" s="139"/>
      <c r="W90" s="139"/>
      <c r="X90" s="66"/>
      <c r="Y90" s="157"/>
      <c r="Z90" s="157"/>
      <c r="AA90" s="15"/>
      <c r="AC90" s="426"/>
      <c r="AD90" s="426"/>
      <c r="AE90" s="59"/>
      <c r="AF90" s="59"/>
      <c r="AG90" s="59"/>
      <c r="AH90" s="59"/>
      <c r="AI90" s="59"/>
      <c r="AJ90" s="426"/>
      <c r="AK90" s="426"/>
      <c r="AL90" s="426"/>
    </row>
    <row r="91" spans="2:43" ht="15">
      <c r="B91" s="155"/>
      <c r="C91" s="53"/>
      <c r="D91" s="13"/>
      <c r="E91" s="423"/>
      <c r="F91" s="419" t="str">
        <f>VLOOKUP(49,$BE$8:$BH$136,1+MATCH($AC$7,$BF$7:$BH$7,0))</f>
        <v>Zone / Vùng G</v>
      </c>
      <c r="G91" s="399"/>
      <c r="H91" s="399"/>
      <c r="I91" s="400"/>
      <c r="J91" s="67" t="s">
        <v>157</v>
      </c>
      <c r="K91" s="140"/>
      <c r="L91" s="140"/>
      <c r="M91" s="140"/>
      <c r="N91" s="140"/>
      <c r="O91" s="68"/>
      <c r="P91" s="139"/>
      <c r="Q91" s="139"/>
      <c r="R91" s="139"/>
      <c r="S91" s="139"/>
      <c r="T91" s="139"/>
      <c r="U91" s="139"/>
      <c r="V91" s="139"/>
      <c r="W91" s="139"/>
      <c r="X91" s="66"/>
      <c r="Y91" s="157"/>
      <c r="Z91" s="157"/>
      <c r="AA91" s="15"/>
      <c r="AC91" s="426"/>
      <c r="AD91" s="426"/>
      <c r="AE91" s="59"/>
      <c r="AF91" s="59"/>
      <c r="AG91" s="59"/>
      <c r="AH91" s="59"/>
      <c r="AI91" s="59"/>
      <c r="AJ91" s="426"/>
      <c r="AK91" s="426"/>
      <c r="AL91" s="426"/>
    </row>
    <row r="92" spans="2:43" ht="15">
      <c r="B92" s="155"/>
      <c r="C92" s="53"/>
      <c r="D92" s="13"/>
      <c r="E92" s="423"/>
      <c r="F92" s="318" t="str">
        <f>ROUND(G50,2)&amp;" kN/m2"</f>
        <v>-1.7 kN/m2</v>
      </c>
      <c r="G92" s="319"/>
      <c r="H92" s="319"/>
      <c r="I92" s="320"/>
      <c r="J92" s="315" t="str">
        <f>VLOOKUP(50,$BE$8:$BH$136,1+MATCH($AC$7,$BF$7:$BH$7,0))</f>
        <v>Zone / Vùng H</v>
      </c>
      <c r="K92" s="316"/>
      <c r="L92" s="316"/>
      <c r="M92" s="316"/>
      <c r="N92" s="316"/>
      <c r="O92" s="317"/>
      <c r="P92" s="375" t="str">
        <f>VLOOKUP(51,$BE$8:$BH$136,1+MATCH($AC$7,$BF$7:$BH$7,0))</f>
        <v>Zone / Vùng I</v>
      </c>
      <c r="Q92" s="375"/>
      <c r="R92" s="375"/>
      <c r="S92" s="375"/>
      <c r="T92" s="375"/>
      <c r="U92" s="375"/>
      <c r="V92" s="375"/>
      <c r="W92" s="375"/>
      <c r="X92" s="376"/>
      <c r="Y92" s="157"/>
      <c r="Z92" s="157"/>
      <c r="AA92" s="15"/>
      <c r="AC92" s="426"/>
      <c r="AD92" s="426"/>
      <c r="AE92" s="59"/>
      <c r="AF92" s="59"/>
      <c r="AG92" s="59"/>
      <c r="AH92" s="59"/>
      <c r="AI92" s="59"/>
      <c r="AJ92" s="426"/>
      <c r="AK92" s="426"/>
      <c r="AL92" s="426"/>
    </row>
    <row r="93" spans="2:43" ht="15">
      <c r="B93" s="155"/>
      <c r="C93" s="53"/>
      <c r="D93" s="13"/>
      <c r="E93" s="423"/>
      <c r="F93" s="366" t="str">
        <f>ROUND(G51,2)&amp;" kN/m2"</f>
        <v>-1.25 kN/m2</v>
      </c>
      <c r="G93" s="367"/>
      <c r="H93" s="367"/>
      <c r="I93" s="378"/>
      <c r="J93" s="318" t="str">
        <f>ROUND(I50,2)&amp;" kN/m2"</f>
        <v>-0.98 kN/m2</v>
      </c>
      <c r="K93" s="319"/>
      <c r="L93" s="319"/>
      <c r="M93" s="319"/>
      <c r="N93" s="319"/>
      <c r="O93" s="320"/>
      <c r="P93" s="380" t="str">
        <f>ROUND(K50,2)&amp;" kN/m2"</f>
        <v>-0.87 kN/m2</v>
      </c>
      <c r="Q93" s="380"/>
      <c r="R93" s="380"/>
      <c r="S93" s="380"/>
      <c r="T93" s="380"/>
      <c r="U93" s="380"/>
      <c r="V93" s="380"/>
      <c r="W93" s="380"/>
      <c r="X93" s="381"/>
      <c r="Y93" s="157"/>
      <c r="Z93" s="157"/>
      <c r="AA93" s="15"/>
      <c r="AC93" s="373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</row>
    <row r="94" spans="2:43" ht="15">
      <c r="B94" s="155"/>
      <c r="C94" s="53"/>
      <c r="D94" s="13"/>
      <c r="E94" s="423" t="str">
        <f>"b1 = "&amp;ROUND(AI83/4,1)&amp;"m "</f>
        <v xml:space="preserve">b1 = 5m </v>
      </c>
      <c r="F94" s="70"/>
      <c r="G94" s="139"/>
      <c r="H94" s="139"/>
      <c r="I94" s="66"/>
      <c r="J94" s="366" t="str">
        <f>ROUND(I51,2)&amp;" kN/m2"</f>
        <v>-0.53 kN/m2</v>
      </c>
      <c r="K94" s="367"/>
      <c r="L94" s="367"/>
      <c r="M94" s="367"/>
      <c r="N94" s="367"/>
      <c r="O94" s="378"/>
      <c r="P94" s="322" t="str">
        <f>ROUND(K51,2)&amp;" kN/m2"</f>
        <v>-0.41 kN/m2</v>
      </c>
      <c r="Q94" s="322"/>
      <c r="R94" s="322"/>
      <c r="S94" s="322"/>
      <c r="T94" s="322"/>
      <c r="U94" s="322"/>
      <c r="V94" s="322"/>
      <c r="W94" s="322"/>
      <c r="X94" s="323"/>
      <c r="Y94" s="157"/>
      <c r="Z94" s="157"/>
      <c r="AA94" s="15"/>
      <c r="AC94" s="373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</row>
    <row r="95" spans="2:43" ht="15">
      <c r="B95" s="155"/>
      <c r="C95" s="53"/>
      <c r="D95" s="13"/>
      <c r="E95" s="423"/>
      <c r="F95" s="358" t="str">
        <f>VLOOKUP(48,$BE$8:$BH$136,1+MATCH($AC$7,$BF$7:$BH$7,0))</f>
        <v>Zone / Vùng F</v>
      </c>
      <c r="G95" s="359"/>
      <c r="H95" s="359"/>
      <c r="I95" s="360"/>
      <c r="J95" s="70"/>
      <c r="K95" s="139"/>
      <c r="L95" s="139"/>
      <c r="M95" s="139"/>
      <c r="N95" s="139"/>
      <c r="O95" s="66"/>
      <c r="P95" s="139"/>
      <c r="Q95" s="139"/>
      <c r="R95" s="139"/>
      <c r="S95" s="139"/>
      <c r="T95" s="139"/>
      <c r="U95" s="139"/>
      <c r="V95" s="139"/>
      <c r="W95" s="139"/>
      <c r="X95" s="66"/>
      <c r="Y95" s="157"/>
      <c r="Z95" s="157"/>
      <c r="AA95" s="15"/>
      <c r="AC95" s="373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2:43" ht="15">
      <c r="B96" s="155"/>
      <c r="C96" s="53"/>
      <c r="D96" s="13"/>
      <c r="E96" s="423"/>
      <c r="F96" s="370" t="str">
        <f>ROUND(E50,2)&amp;" kN/m2"</f>
        <v>-1.93 kN/m2</v>
      </c>
      <c r="G96" s="371"/>
      <c r="H96" s="371"/>
      <c r="I96" s="372"/>
      <c r="J96" s="70"/>
      <c r="K96" s="139"/>
      <c r="L96" s="139"/>
      <c r="M96" s="139"/>
      <c r="N96" s="139"/>
      <c r="O96" s="66"/>
      <c r="P96" s="139"/>
      <c r="Q96" s="139"/>
      <c r="R96" s="139"/>
      <c r="S96" s="139"/>
      <c r="T96" s="139"/>
      <c r="U96" s="139"/>
      <c r="V96" s="139"/>
      <c r="W96" s="139"/>
      <c r="X96" s="66"/>
      <c r="Y96" s="157"/>
      <c r="Z96" s="157"/>
      <c r="AA96" s="15"/>
      <c r="AC96" s="5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2:43" ht="15.75" thickBot="1">
      <c r="B97" s="155"/>
      <c r="C97" s="53"/>
      <c r="D97" s="13"/>
      <c r="E97" s="423"/>
      <c r="F97" s="417" t="str">
        <f>ROUND(E51,2)&amp;" kN/m2"</f>
        <v>-1.47 kN/m2</v>
      </c>
      <c r="G97" s="384"/>
      <c r="H97" s="384"/>
      <c r="I97" s="385"/>
      <c r="J97" s="71"/>
      <c r="K97" s="72"/>
      <c r="L97" s="72"/>
      <c r="M97" s="72"/>
      <c r="N97" s="72"/>
      <c r="O97" s="73"/>
      <c r="P97" s="72"/>
      <c r="Q97" s="72"/>
      <c r="R97" s="72"/>
      <c r="S97" s="72"/>
      <c r="T97" s="72"/>
      <c r="U97" s="72"/>
      <c r="V97" s="72"/>
      <c r="W97" s="72"/>
      <c r="X97" s="73"/>
      <c r="Y97" s="157"/>
      <c r="Z97" s="157"/>
      <c r="AA97" s="15"/>
      <c r="AC97" s="5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2:43" ht="15">
      <c r="B98" s="155"/>
      <c r="C98" s="74"/>
      <c r="D98" s="50"/>
      <c r="E98" s="50"/>
      <c r="F98" s="50"/>
      <c r="G98" s="75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15"/>
      <c r="AC98" s="5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2:43" ht="15">
      <c r="B99" s="155"/>
      <c r="C99" s="519" t="str">
        <f>VLOOKUP(60,$BE$8:$BH$136,1+MATCH($AC$7,$BF$7:$BH$7,0))</f>
        <v>DIAGRAM: ZONES OF DUOPITCH ROOF (WIND X-)</v>
      </c>
      <c r="D99" s="520"/>
      <c r="E99" s="520"/>
      <c r="F99" s="520"/>
      <c r="G99" s="520"/>
      <c r="H99" s="520"/>
      <c r="I99" s="520"/>
      <c r="J99" s="520"/>
      <c r="K99" s="520"/>
      <c r="L99" s="520"/>
      <c r="M99" s="520"/>
      <c r="N99" s="520"/>
      <c r="O99" s="520"/>
      <c r="P99" s="520"/>
      <c r="Q99" s="520"/>
      <c r="R99" s="520"/>
      <c r="S99" s="520"/>
      <c r="T99" s="520"/>
      <c r="U99" s="520"/>
      <c r="V99" s="520"/>
      <c r="W99" s="520"/>
      <c r="X99" s="520"/>
      <c r="Y99" s="520"/>
      <c r="Z99" s="520"/>
      <c r="AA99" s="521"/>
      <c r="AC99" s="5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2:43" ht="15">
      <c r="B100" s="155"/>
      <c r="C100" s="117"/>
      <c r="D100" s="118"/>
      <c r="E100" s="118"/>
      <c r="F100" s="118"/>
      <c r="G100" s="118"/>
      <c r="H100" s="118"/>
      <c r="I100" s="118"/>
      <c r="J100" s="118"/>
      <c r="K100" s="118"/>
      <c r="L100" s="118"/>
      <c r="M100" s="118"/>
      <c r="N100" s="118"/>
      <c r="O100" s="118"/>
      <c r="P100" s="118"/>
      <c r="Q100" s="118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9"/>
      <c r="AC100" s="5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2:43" ht="13.5" thickBot="1">
      <c r="C101" s="158"/>
      <c r="D101" s="157"/>
      <c r="E101" s="157"/>
      <c r="F101" s="344"/>
      <c r="G101" s="344"/>
      <c r="H101" s="344"/>
      <c r="I101" s="344"/>
      <c r="J101" s="344"/>
      <c r="K101" s="344"/>
      <c r="L101" s="344"/>
      <c r="M101" s="344"/>
      <c r="N101" s="344"/>
      <c r="O101" s="344" t="str">
        <f>"d2 = "&amp;ROUND(AI83/2-AI83/10,1)&amp;" m"</f>
        <v>d2 = 8 m</v>
      </c>
      <c r="P101" s="344"/>
      <c r="Q101" s="344"/>
      <c r="R101" s="344"/>
      <c r="S101" s="344"/>
      <c r="T101" s="344"/>
      <c r="U101" s="344" t="str">
        <f>"d3 = "&amp;ROUND(AI83/10,1)&amp;" m"</f>
        <v>d3 = 2 m</v>
      </c>
      <c r="V101" s="344"/>
      <c r="W101" s="344"/>
      <c r="X101" s="344"/>
      <c r="Y101" s="157"/>
      <c r="Z101" s="157"/>
      <c r="AA101" s="76"/>
      <c r="AC101" s="5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2:43" ht="15">
      <c r="C102" s="158"/>
      <c r="D102" s="157"/>
      <c r="E102" s="157"/>
      <c r="F102" s="406"/>
      <c r="G102" s="407"/>
      <c r="H102" s="407"/>
      <c r="I102" s="407"/>
      <c r="J102" s="408"/>
      <c r="K102" s="408"/>
      <c r="L102" s="408"/>
      <c r="M102" s="408"/>
      <c r="N102" s="409"/>
      <c r="O102" s="410" t="s">
        <v>157</v>
      </c>
      <c r="P102" s="411"/>
      <c r="Q102" s="411"/>
      <c r="R102" s="411"/>
      <c r="S102" s="411"/>
      <c r="T102" s="412"/>
      <c r="U102" s="406" t="str">
        <f>VLOOKUP(48,$BE$8:$BH$136,1+MATCH($AC$7,$BF$7:$BH$7,0))</f>
        <v>Zone / Vùng F</v>
      </c>
      <c r="V102" s="407"/>
      <c r="W102" s="407"/>
      <c r="X102" s="416"/>
      <c r="Y102" s="253" t="str">
        <f>"b4 = "&amp;ROUND(AI83/4,1)&amp;"m "</f>
        <v xml:space="preserve">b4 = 5m </v>
      </c>
      <c r="Z102" s="157"/>
      <c r="AA102" s="76"/>
      <c r="AC102" s="373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2:43" ht="15">
      <c r="C103" s="158"/>
      <c r="D103" s="157"/>
      <c r="E103" s="157"/>
      <c r="F103" s="315"/>
      <c r="G103" s="316"/>
      <c r="H103" s="316"/>
      <c r="I103" s="316"/>
      <c r="J103" s="375"/>
      <c r="K103" s="375"/>
      <c r="L103" s="375"/>
      <c r="M103" s="375"/>
      <c r="N103" s="376"/>
      <c r="O103" s="413"/>
      <c r="P103" s="414"/>
      <c r="Q103" s="414"/>
      <c r="R103" s="414"/>
      <c r="S103" s="414"/>
      <c r="T103" s="415"/>
      <c r="U103" s="370" t="str">
        <f>ROUND(M50,2)&amp;" kN/m2"</f>
        <v>-1.93 kN/m2</v>
      </c>
      <c r="V103" s="371"/>
      <c r="W103" s="371"/>
      <c r="X103" s="372"/>
      <c r="Y103" s="253"/>
      <c r="Z103" s="157"/>
      <c r="AA103" s="76"/>
      <c r="AC103" s="373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2:43" ht="15">
      <c r="C104" s="158"/>
      <c r="D104" s="157"/>
      <c r="E104" s="157"/>
      <c r="F104" s="77"/>
      <c r="G104" s="134"/>
      <c r="H104" s="134"/>
      <c r="I104" s="134"/>
      <c r="J104" s="135" t="s">
        <v>157</v>
      </c>
      <c r="K104" s="136"/>
      <c r="L104" s="136"/>
      <c r="M104" s="136"/>
      <c r="N104" s="60"/>
      <c r="O104" s="413"/>
      <c r="P104" s="414"/>
      <c r="Q104" s="414"/>
      <c r="R104" s="414"/>
      <c r="S104" s="414"/>
      <c r="T104" s="415"/>
      <c r="U104" s="405" t="str">
        <f>ROUND(M51,2)&amp;" kN/m2"</f>
        <v>-1.47 kN/m2</v>
      </c>
      <c r="V104" s="367"/>
      <c r="W104" s="367"/>
      <c r="X104" s="378"/>
      <c r="Y104" s="253"/>
      <c r="Z104" s="157"/>
      <c r="AA104" s="76"/>
      <c r="AC104" s="373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2:43" ht="15">
      <c r="C105" s="158"/>
      <c r="D105" s="157"/>
      <c r="E105" s="157"/>
      <c r="F105" s="374" t="str">
        <f>VLOOKUP(51,$BE$8:$BH$136,1+MATCH($AC$7,$BF$7:$BH$7,0))</f>
        <v>Zone / Vùng I</v>
      </c>
      <c r="G105" s="375"/>
      <c r="H105" s="375"/>
      <c r="I105" s="375"/>
      <c r="J105" s="375"/>
      <c r="K105" s="375"/>
      <c r="L105" s="375"/>
      <c r="M105" s="375"/>
      <c r="N105" s="376"/>
      <c r="O105" s="315" t="str">
        <f>VLOOKUP(50,$BE$8:$BH$136,1+MATCH($AC$7,$BF$7:$BH$7,0))</f>
        <v>Zone / Vùng H</v>
      </c>
      <c r="P105" s="316"/>
      <c r="Q105" s="316"/>
      <c r="R105" s="316"/>
      <c r="S105" s="316"/>
      <c r="T105" s="377"/>
      <c r="U105" s="78"/>
      <c r="V105" s="79"/>
      <c r="W105" s="79"/>
      <c r="X105" s="80"/>
      <c r="Y105" s="253"/>
      <c r="Z105" s="157"/>
      <c r="AA105" s="76"/>
      <c r="AC105" s="373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</row>
    <row r="106" spans="2:43" ht="15">
      <c r="C106" s="158"/>
      <c r="D106" s="157"/>
      <c r="E106" s="157"/>
      <c r="F106" s="379" t="str">
        <f>ROUND(S50,2)&amp;" kN/m2"</f>
        <v>-0.87 kN/m2</v>
      </c>
      <c r="G106" s="380"/>
      <c r="H106" s="380"/>
      <c r="I106" s="380"/>
      <c r="J106" s="380"/>
      <c r="K106" s="380"/>
      <c r="L106" s="380"/>
      <c r="M106" s="380"/>
      <c r="N106" s="381"/>
      <c r="O106" s="379" t="str">
        <f>ROUND(Q50,2)&amp;" kN/m2"</f>
        <v>-0.98 kN/m2</v>
      </c>
      <c r="P106" s="380"/>
      <c r="Q106" s="380"/>
      <c r="R106" s="380"/>
      <c r="S106" s="380"/>
      <c r="T106" s="382"/>
      <c r="U106" s="315" t="str">
        <f>VLOOKUP(49,$BE$8:$BH$136,1+MATCH($AC$7,$BF$7:$BH$7,0))</f>
        <v>Zone / Vùng G</v>
      </c>
      <c r="V106" s="316"/>
      <c r="W106" s="316"/>
      <c r="X106" s="317"/>
      <c r="Y106" s="253" t="str">
        <f>"b3 = "&amp;ROUND(AD82/2-AI83/4,1)&amp;"m "</f>
        <v xml:space="preserve">b3 = 5m </v>
      </c>
      <c r="Z106" s="157"/>
      <c r="AA106" s="76"/>
      <c r="AC106" s="81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</row>
    <row r="107" spans="2:43" ht="15">
      <c r="C107" s="158"/>
      <c r="D107" s="157"/>
      <c r="E107" s="157"/>
      <c r="F107" s="321" t="str">
        <f>ROUND(S51,2)&amp;" kN/m2"</f>
        <v>-0.41 kN/m2</v>
      </c>
      <c r="G107" s="322"/>
      <c r="H107" s="322"/>
      <c r="I107" s="322"/>
      <c r="J107" s="322"/>
      <c r="K107" s="322"/>
      <c r="L107" s="322"/>
      <c r="M107" s="322"/>
      <c r="N107" s="323"/>
      <c r="O107" s="366" t="str">
        <f>ROUND(Q51,2)&amp;" kN/m2"</f>
        <v>-0.53 kN/m2</v>
      </c>
      <c r="P107" s="367"/>
      <c r="Q107" s="367"/>
      <c r="R107" s="367"/>
      <c r="S107" s="367"/>
      <c r="T107" s="368"/>
      <c r="U107" s="370" t="str">
        <f>ROUND(O50,2)&amp;" kN/m2"</f>
        <v>-1.7 kN/m2</v>
      </c>
      <c r="V107" s="371"/>
      <c r="W107" s="371"/>
      <c r="X107" s="372"/>
      <c r="Y107" s="253"/>
      <c r="Z107" s="364"/>
      <c r="AA107" s="76"/>
      <c r="AC107" s="5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</row>
    <row r="108" spans="2:43" ht="15">
      <c r="C108" s="158"/>
      <c r="D108" s="157"/>
      <c r="E108" s="157"/>
      <c r="F108" s="77"/>
      <c r="G108" s="134"/>
      <c r="H108" s="134"/>
      <c r="I108" s="134"/>
      <c r="J108" s="134"/>
      <c r="K108" s="134"/>
      <c r="L108" s="134"/>
      <c r="M108" s="134"/>
      <c r="N108" s="64"/>
      <c r="O108" s="374"/>
      <c r="P108" s="375"/>
      <c r="Q108" s="375"/>
      <c r="R108" s="375"/>
      <c r="S108" s="375"/>
      <c r="T108" s="401"/>
      <c r="U108" s="366" t="str">
        <f>ROUND(O51,2)&amp;" kN/m2"</f>
        <v>-1.25 kN/m2</v>
      </c>
      <c r="V108" s="367"/>
      <c r="W108" s="367"/>
      <c r="X108" s="378"/>
      <c r="Y108" s="253"/>
      <c r="Z108" s="364"/>
      <c r="AA108" s="76"/>
      <c r="AC108" s="5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</row>
    <row r="109" spans="2:43" ht="15.75" thickBot="1">
      <c r="C109" s="158"/>
      <c r="D109" s="157"/>
      <c r="E109" s="157"/>
      <c r="F109" s="327" t="str">
        <f>VLOOKUP(53,$BE$8:$BH$136,1+MATCH($AC$7,$BF$7:$BH$7,0))</f>
        <v>Ridge or trough / Đường nóc</v>
      </c>
      <c r="G109" s="328"/>
      <c r="H109" s="328"/>
      <c r="I109" s="328"/>
      <c r="J109" s="328"/>
      <c r="K109" s="328"/>
      <c r="L109" s="328"/>
      <c r="M109" s="328"/>
      <c r="N109" s="329"/>
      <c r="O109" s="386" t="str">
        <f>VLOOKUP(53,$BE$8:$BH$136,1+MATCH($AC$7,$BF$7:$BH$7,0))</f>
        <v>Ridge or trough / Đường nóc</v>
      </c>
      <c r="P109" s="387"/>
      <c r="Q109" s="387"/>
      <c r="R109" s="387"/>
      <c r="S109" s="387"/>
      <c r="T109" s="388"/>
      <c r="U109" s="402"/>
      <c r="V109" s="403"/>
      <c r="W109" s="403"/>
      <c r="X109" s="404"/>
      <c r="Y109" s="253"/>
      <c r="Z109" s="157"/>
      <c r="AA109" s="76"/>
      <c r="AC109" s="59"/>
      <c r="AD109" s="69"/>
      <c r="AE109" s="69"/>
      <c r="AF109" s="69"/>
      <c r="AG109" s="69"/>
      <c r="AH109" s="69"/>
      <c r="AI109" s="69"/>
      <c r="AJ109" s="69"/>
      <c r="AK109" s="69"/>
      <c r="AL109" s="69"/>
      <c r="AM109" s="69"/>
      <c r="AN109" s="69"/>
      <c r="AO109" s="69"/>
      <c r="AP109" s="69"/>
      <c r="AQ109" s="69"/>
    </row>
    <row r="110" spans="2:43" ht="15">
      <c r="C110" s="158"/>
      <c r="D110" s="157"/>
      <c r="E110" s="157"/>
      <c r="F110" s="70"/>
      <c r="G110" s="139"/>
      <c r="H110" s="139"/>
      <c r="I110" s="139"/>
      <c r="J110" s="139"/>
      <c r="K110" s="139"/>
      <c r="L110" s="139"/>
      <c r="M110" s="139"/>
      <c r="N110" s="66"/>
      <c r="O110" s="389"/>
      <c r="P110" s="390"/>
      <c r="Q110" s="390"/>
      <c r="R110" s="390"/>
      <c r="S110" s="390"/>
      <c r="T110" s="391"/>
      <c r="U110" s="392"/>
      <c r="V110" s="393"/>
      <c r="W110" s="393"/>
      <c r="X110" s="394"/>
      <c r="Y110" s="253" t="str">
        <f>"b2 = "&amp;ROUND(AD82/2-AI83/4,1)&amp;"m "</f>
        <v xml:space="preserve">b2 = 5m </v>
      </c>
      <c r="Z110" s="157"/>
      <c r="AA110" s="76"/>
      <c r="AC110" s="59"/>
      <c r="AD110" s="69"/>
      <c r="AE110" s="69"/>
      <c r="AF110" s="69"/>
      <c r="AG110" s="69"/>
      <c r="AH110" s="69"/>
      <c r="AI110" s="69"/>
      <c r="AJ110" s="69"/>
      <c r="AK110" s="69"/>
      <c r="AL110" s="69"/>
      <c r="AM110" s="69"/>
      <c r="AN110" s="69"/>
      <c r="AO110" s="69"/>
      <c r="AP110" s="69"/>
      <c r="AQ110" s="69"/>
    </row>
    <row r="111" spans="2:43" ht="15">
      <c r="C111" s="158"/>
      <c r="D111" s="157"/>
      <c r="E111" s="157"/>
      <c r="F111" s="70"/>
      <c r="G111" s="139"/>
      <c r="H111" s="139"/>
      <c r="I111" s="139"/>
      <c r="J111" s="139"/>
      <c r="K111" s="139"/>
      <c r="L111" s="139"/>
      <c r="M111" s="139"/>
      <c r="N111" s="66"/>
      <c r="O111" s="395" t="s">
        <v>157</v>
      </c>
      <c r="P111" s="396"/>
      <c r="Q111" s="396"/>
      <c r="R111" s="396"/>
      <c r="S111" s="396"/>
      <c r="T111" s="397"/>
      <c r="U111" s="398" t="str">
        <f>VLOOKUP(49,$BE$8:$BH$136,1+MATCH($AC$7,$BF$7:$BH$7,0))</f>
        <v>Zone / Vùng G</v>
      </c>
      <c r="V111" s="399"/>
      <c r="W111" s="399"/>
      <c r="X111" s="400"/>
      <c r="Y111" s="253"/>
      <c r="Z111" s="157"/>
      <c r="AA111" s="76"/>
      <c r="AC111" s="373"/>
      <c r="AD111" s="69"/>
      <c r="AE111" s="69"/>
      <c r="AF111" s="69"/>
      <c r="AG111" s="69"/>
      <c r="AH111" s="69"/>
      <c r="AI111" s="69"/>
      <c r="AJ111" s="69"/>
      <c r="AK111" s="69"/>
      <c r="AL111" s="69"/>
      <c r="AM111" s="69"/>
      <c r="AN111" s="69"/>
      <c r="AO111" s="69"/>
      <c r="AP111" s="69"/>
      <c r="AQ111" s="69"/>
    </row>
    <row r="112" spans="2:43" ht="15">
      <c r="C112" s="158"/>
      <c r="D112" s="157"/>
      <c r="E112" s="157"/>
      <c r="F112" s="70"/>
      <c r="G112" s="139"/>
      <c r="H112" s="139"/>
      <c r="I112" s="139"/>
      <c r="J112" s="141" t="s">
        <v>157</v>
      </c>
      <c r="K112" s="139"/>
      <c r="L112" s="139"/>
      <c r="M112" s="139"/>
      <c r="N112" s="66"/>
      <c r="O112" s="395"/>
      <c r="P112" s="396"/>
      <c r="Q112" s="396"/>
      <c r="R112" s="396"/>
      <c r="S112" s="396"/>
      <c r="T112" s="397"/>
      <c r="U112" s="318" t="str">
        <f>U107</f>
        <v>-1.7 kN/m2</v>
      </c>
      <c r="V112" s="319"/>
      <c r="W112" s="319"/>
      <c r="X112" s="320"/>
      <c r="Y112" s="253"/>
      <c r="Z112" s="157"/>
      <c r="AA112" s="76"/>
      <c r="AC112" s="373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</row>
    <row r="113" spans="3:43" ht="15">
      <c r="C113" s="158"/>
      <c r="D113" s="157"/>
      <c r="E113" s="157"/>
      <c r="F113" s="374" t="str">
        <f>VLOOKUP(51,$BE$8:$BH$136,1+MATCH($AC$7,$BF$7:$BH$7,0))</f>
        <v>Zone / Vùng I</v>
      </c>
      <c r="G113" s="375"/>
      <c r="H113" s="375"/>
      <c r="I113" s="375"/>
      <c r="J113" s="375"/>
      <c r="K113" s="375"/>
      <c r="L113" s="375"/>
      <c r="M113" s="375"/>
      <c r="N113" s="376"/>
      <c r="O113" s="315" t="str">
        <f>VLOOKUP(50,$BE$8:$BH$136,1+MATCH($AC$7,$BF$7:$BH$7,0))</f>
        <v>Zone / Vùng H</v>
      </c>
      <c r="P113" s="316"/>
      <c r="Q113" s="316"/>
      <c r="R113" s="316"/>
      <c r="S113" s="316"/>
      <c r="T113" s="377"/>
      <c r="U113" s="366" t="str">
        <f>U108</f>
        <v>-1.25 kN/m2</v>
      </c>
      <c r="V113" s="367"/>
      <c r="W113" s="367"/>
      <c r="X113" s="378"/>
      <c r="Y113" s="253"/>
      <c r="Z113" s="157"/>
      <c r="AA113" s="76"/>
      <c r="AC113" s="373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</row>
    <row r="114" spans="3:43" ht="15">
      <c r="C114" s="158"/>
      <c r="D114" s="157"/>
      <c r="E114" s="157"/>
      <c r="F114" s="379" t="str">
        <f>F106</f>
        <v>-0.87 kN/m2</v>
      </c>
      <c r="G114" s="380"/>
      <c r="H114" s="380"/>
      <c r="I114" s="380"/>
      <c r="J114" s="380"/>
      <c r="K114" s="380"/>
      <c r="L114" s="380"/>
      <c r="M114" s="380"/>
      <c r="N114" s="381"/>
      <c r="O114" s="379" t="str">
        <f>O106</f>
        <v>-0.98 kN/m2</v>
      </c>
      <c r="P114" s="380"/>
      <c r="Q114" s="380"/>
      <c r="R114" s="380"/>
      <c r="S114" s="380"/>
      <c r="T114" s="382"/>
      <c r="U114" s="159"/>
      <c r="V114" s="160"/>
      <c r="W114" s="160"/>
      <c r="X114" s="161"/>
      <c r="Y114" s="253" t="str">
        <f>"b1 = "&amp;ROUND(AI83/4,1)&amp;"m "</f>
        <v xml:space="preserve">b1 = 5m </v>
      </c>
      <c r="Z114" s="157"/>
      <c r="AA114" s="76"/>
      <c r="AD114" s="365"/>
      <c r="AE114" s="365"/>
      <c r="AF114" s="365"/>
      <c r="AG114" s="365"/>
      <c r="AH114" s="365"/>
      <c r="AI114" s="365"/>
      <c r="AJ114" s="365"/>
      <c r="AK114" s="365"/>
      <c r="AL114" s="365"/>
    </row>
    <row r="115" spans="3:43" ht="15">
      <c r="C115" s="158"/>
      <c r="D115" s="157"/>
      <c r="E115" s="157"/>
      <c r="F115" s="321" t="str">
        <f>F107</f>
        <v>-0.41 kN/m2</v>
      </c>
      <c r="G115" s="322"/>
      <c r="H115" s="322"/>
      <c r="I115" s="322"/>
      <c r="J115" s="322"/>
      <c r="K115" s="322"/>
      <c r="L115" s="322"/>
      <c r="M115" s="322"/>
      <c r="N115" s="323"/>
      <c r="O115" s="366" t="str">
        <f>O107</f>
        <v>-0.53 kN/m2</v>
      </c>
      <c r="P115" s="367"/>
      <c r="Q115" s="367"/>
      <c r="R115" s="367"/>
      <c r="S115" s="367"/>
      <c r="T115" s="368"/>
      <c r="U115" s="369" t="str">
        <f>VLOOKUP(48,$BE$8:$BH$136,1+MATCH($AC$7,$BF$7:$BH$7,0))</f>
        <v>Zone / Vùng F</v>
      </c>
      <c r="V115" s="359"/>
      <c r="W115" s="359"/>
      <c r="X115" s="360"/>
      <c r="Y115" s="253"/>
      <c r="Z115" s="157"/>
      <c r="AA115" s="76"/>
      <c r="AD115" s="365"/>
      <c r="AE115" s="365"/>
      <c r="AF115" s="365"/>
      <c r="AG115" s="365"/>
      <c r="AH115" s="365"/>
      <c r="AI115" s="365"/>
      <c r="AJ115" s="365"/>
      <c r="AK115" s="365"/>
      <c r="AL115" s="365"/>
    </row>
    <row r="116" spans="3:43" ht="15">
      <c r="C116" s="158"/>
      <c r="D116" s="157"/>
      <c r="E116" s="157"/>
      <c r="F116" s="70"/>
      <c r="G116" s="139"/>
      <c r="H116" s="139"/>
      <c r="I116" s="139"/>
      <c r="J116" s="139"/>
      <c r="K116" s="139"/>
      <c r="L116" s="139"/>
      <c r="M116" s="139"/>
      <c r="N116" s="66"/>
      <c r="O116" s="70"/>
      <c r="P116" s="139"/>
      <c r="Q116" s="139"/>
      <c r="R116" s="139"/>
      <c r="S116" s="139"/>
      <c r="T116" s="82"/>
      <c r="U116" s="370" t="str">
        <f>U103</f>
        <v>-1.93 kN/m2</v>
      </c>
      <c r="V116" s="371"/>
      <c r="W116" s="371"/>
      <c r="X116" s="372"/>
      <c r="Y116" s="253"/>
      <c r="Z116" s="157"/>
      <c r="AA116" s="76"/>
      <c r="AD116" s="83"/>
      <c r="AE116" s="83"/>
      <c r="AF116" s="83"/>
      <c r="AG116" s="83"/>
      <c r="AH116" s="83"/>
      <c r="AI116" s="83"/>
      <c r="AJ116" s="83"/>
      <c r="AK116" s="83"/>
    </row>
    <row r="117" spans="3:43" ht="15.75" thickBot="1">
      <c r="C117" s="158"/>
      <c r="D117" s="157"/>
      <c r="E117" s="157"/>
      <c r="F117" s="71"/>
      <c r="G117" s="72"/>
      <c r="H117" s="72"/>
      <c r="I117" s="72"/>
      <c r="J117" s="72"/>
      <c r="K117" s="72"/>
      <c r="L117" s="72"/>
      <c r="M117" s="72"/>
      <c r="N117" s="73"/>
      <c r="O117" s="71"/>
      <c r="P117" s="72"/>
      <c r="Q117" s="72"/>
      <c r="R117" s="72"/>
      <c r="S117" s="72"/>
      <c r="T117" s="84"/>
      <c r="U117" s="383" t="str">
        <f>U104</f>
        <v>-1.47 kN/m2</v>
      </c>
      <c r="V117" s="384"/>
      <c r="W117" s="384"/>
      <c r="X117" s="385"/>
      <c r="Y117" s="253"/>
      <c r="Z117" s="157"/>
      <c r="AA117" s="76"/>
      <c r="AC117" s="85"/>
      <c r="AD117" s="86"/>
      <c r="AE117" s="86"/>
      <c r="AF117" s="86"/>
      <c r="AG117" s="86"/>
      <c r="AH117" s="86"/>
      <c r="AI117" s="86"/>
      <c r="AJ117" s="86"/>
      <c r="AK117" s="86"/>
    </row>
    <row r="118" spans="3:43">
      <c r="C118" s="162"/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76"/>
      <c r="AC118" s="85"/>
      <c r="AD118" s="86"/>
      <c r="AE118" s="86"/>
      <c r="AF118" s="86"/>
      <c r="AG118" s="86"/>
      <c r="AH118" s="86"/>
      <c r="AI118" s="86"/>
      <c r="AJ118" s="86"/>
      <c r="AK118" s="86"/>
    </row>
    <row r="119" spans="3:43" ht="15">
      <c r="C119" s="519" t="str">
        <f>VLOOKUP(61,$BE$8:$BH$136,1+MATCH($AC$7,$BF$7:$BH$7,0))</f>
        <v>DIAGRAM: ZONES OF DUOPITCH ROOF (WIND Y+)</v>
      </c>
      <c r="D119" s="520"/>
      <c r="E119" s="520"/>
      <c r="F119" s="520"/>
      <c r="G119" s="520"/>
      <c r="H119" s="520"/>
      <c r="I119" s="520"/>
      <c r="J119" s="520"/>
      <c r="K119" s="520"/>
      <c r="L119" s="520"/>
      <c r="M119" s="520"/>
      <c r="N119" s="520"/>
      <c r="O119" s="520"/>
      <c r="P119" s="520"/>
      <c r="Q119" s="520"/>
      <c r="R119" s="520"/>
      <c r="S119" s="520"/>
      <c r="T119" s="520"/>
      <c r="U119" s="520"/>
      <c r="V119" s="520"/>
      <c r="W119" s="520"/>
      <c r="X119" s="520"/>
      <c r="Y119" s="520"/>
      <c r="Z119" s="520"/>
      <c r="AA119" s="521"/>
      <c r="AC119" s="85"/>
      <c r="AD119" s="86"/>
      <c r="AE119" s="86"/>
      <c r="AF119" s="86"/>
      <c r="AG119" s="86"/>
      <c r="AH119" s="87"/>
      <c r="AI119" s="86"/>
      <c r="AJ119" s="86"/>
      <c r="AK119" s="86"/>
    </row>
    <row r="120" spans="3:43" ht="13.5" thickBot="1">
      <c r="C120" s="158"/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  <c r="Y120" s="157"/>
      <c r="Z120" s="157"/>
      <c r="AA120" s="164"/>
      <c r="AC120" s="85"/>
      <c r="AD120" s="86"/>
      <c r="AE120" s="86"/>
      <c r="AF120" s="86"/>
      <c r="AG120" s="86"/>
      <c r="AH120" s="86"/>
      <c r="AI120" s="86"/>
      <c r="AJ120" s="86"/>
      <c r="AK120" s="86"/>
    </row>
    <row r="121" spans="3:43" ht="15" customHeight="1">
      <c r="C121" s="158"/>
      <c r="D121" s="157"/>
      <c r="E121" s="157"/>
      <c r="F121" s="54" t="s">
        <v>157</v>
      </c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6"/>
      <c r="Y121" s="351"/>
      <c r="Z121" s="157"/>
      <c r="AA121" s="164"/>
      <c r="AC121" s="85"/>
      <c r="AD121" s="86"/>
      <c r="AE121" s="86"/>
      <c r="AF121" s="86"/>
      <c r="AG121" s="86"/>
      <c r="AH121" s="86"/>
      <c r="AI121" s="86"/>
      <c r="AJ121" s="86"/>
      <c r="AK121" s="86"/>
    </row>
    <row r="122" spans="3:43" ht="12.75" customHeight="1">
      <c r="C122" s="158"/>
      <c r="D122" s="157"/>
      <c r="E122" s="157"/>
      <c r="F122" s="57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58"/>
      <c r="Y122" s="351"/>
      <c r="Z122" s="157"/>
      <c r="AA122" s="164"/>
      <c r="AC122" s="85"/>
      <c r="AD122" s="86"/>
      <c r="AE122" s="86"/>
      <c r="AF122" s="86"/>
      <c r="AG122" s="86"/>
      <c r="AH122" s="86"/>
      <c r="AI122" s="86"/>
      <c r="AJ122" s="86"/>
      <c r="AK122" s="86"/>
    </row>
    <row r="123" spans="3:43" ht="12.75" customHeight="1">
      <c r="C123" s="158"/>
      <c r="D123" s="157"/>
      <c r="E123" s="157"/>
      <c r="F123" s="315" t="str">
        <f>VLOOKUP(51,$BE$8:$BH$136,1+MATCH($AC$7,$BF$7:$BH$7,0))</f>
        <v>Zone / Vùng I</v>
      </c>
      <c r="G123" s="316"/>
      <c r="H123" s="316"/>
      <c r="I123" s="316"/>
      <c r="J123" s="316"/>
      <c r="K123" s="316"/>
      <c r="L123" s="316"/>
      <c r="M123" s="316"/>
      <c r="N123" s="316"/>
      <c r="O123" s="316"/>
      <c r="P123" s="316"/>
      <c r="Q123" s="316"/>
      <c r="R123" s="316"/>
      <c r="S123" s="316"/>
      <c r="T123" s="316"/>
      <c r="U123" s="316"/>
      <c r="V123" s="316"/>
      <c r="W123" s="316"/>
      <c r="X123" s="317"/>
      <c r="Y123" s="351"/>
      <c r="Z123" s="157"/>
      <c r="AA123" s="164"/>
      <c r="AC123" s="85"/>
      <c r="AD123" s="86"/>
      <c r="AE123" s="86"/>
      <c r="AF123" s="86"/>
      <c r="AG123" s="86"/>
      <c r="AH123" s="86"/>
      <c r="AI123" s="86"/>
      <c r="AJ123" s="86"/>
      <c r="AK123" s="86"/>
    </row>
    <row r="124" spans="3:43" ht="12.75" customHeight="1">
      <c r="C124" s="158"/>
      <c r="D124" s="157"/>
      <c r="E124" s="157"/>
      <c r="F124" s="318" t="str">
        <f>ROUND(K64,2)&amp;" kN/m2"</f>
        <v>-0.83 kN/m2</v>
      </c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20"/>
      <c r="Y124" s="351"/>
      <c r="Z124" s="157"/>
      <c r="AA124" s="164"/>
      <c r="AC124" s="13" t="s">
        <v>145</v>
      </c>
      <c r="AD124" s="350">
        <f>M18</f>
        <v>120</v>
      </c>
      <c r="AE124" s="350"/>
      <c r="AF124" s="13" t="s">
        <v>146</v>
      </c>
      <c r="AG124" s="13"/>
      <c r="AH124" s="13" t="s">
        <v>147</v>
      </c>
      <c r="AI124" s="350">
        <f>M20</f>
        <v>10</v>
      </c>
      <c r="AJ124" s="350"/>
      <c r="AK124" s="13" t="s">
        <v>146</v>
      </c>
    </row>
    <row r="125" spans="3:43" ht="12.75" customHeight="1">
      <c r="C125" s="158"/>
      <c r="D125" s="157"/>
      <c r="E125" s="157"/>
      <c r="F125" s="321" t="str">
        <f>ROUND(K65,2)&amp;" kN/m2"</f>
        <v>0 kN/m2</v>
      </c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3"/>
      <c r="Y125" s="351"/>
      <c r="Z125" s="157"/>
      <c r="AA125" s="164"/>
      <c r="AC125" s="13" t="s">
        <v>151</v>
      </c>
      <c r="AD125" s="350">
        <f>M19</f>
        <v>20</v>
      </c>
      <c r="AE125" s="350"/>
      <c r="AF125" s="13" t="s">
        <v>146</v>
      </c>
      <c r="AG125" s="13"/>
      <c r="AH125" s="13" t="s">
        <v>152</v>
      </c>
      <c r="AI125" s="350">
        <f>MIN(AD124,2*AI124)</f>
        <v>20</v>
      </c>
      <c r="AJ125" s="350"/>
      <c r="AK125" s="13" t="s">
        <v>146</v>
      </c>
    </row>
    <row r="126" spans="3:43" ht="12.75" customHeight="1">
      <c r="C126" s="158"/>
      <c r="D126" s="157"/>
      <c r="E126" s="157"/>
      <c r="F126" s="57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58"/>
      <c r="Y126" s="351"/>
      <c r="Z126" s="157"/>
      <c r="AA126" s="164"/>
      <c r="AC126" s="85"/>
      <c r="AD126" s="86"/>
      <c r="AE126" s="86"/>
      <c r="AF126" s="86"/>
      <c r="AG126" s="86"/>
      <c r="AH126" s="86"/>
      <c r="AI126" s="86"/>
      <c r="AJ126" s="86"/>
      <c r="AK126" s="86"/>
    </row>
    <row r="127" spans="3:43" ht="12.75" customHeight="1">
      <c r="C127" s="158"/>
      <c r="D127" s="157"/>
      <c r="E127" s="157"/>
      <c r="F127" s="358" t="str">
        <f>VLOOKUP(52,$BE$8:$BH$136,1+MATCH($AC$7,$BF$7:$BH$7,0))</f>
        <v>Zone / Vùng J</v>
      </c>
      <c r="G127" s="359"/>
      <c r="H127" s="359"/>
      <c r="I127" s="359"/>
      <c r="J127" s="359"/>
      <c r="K127" s="359"/>
      <c r="L127" s="359"/>
      <c r="M127" s="359"/>
      <c r="N127" s="359"/>
      <c r="O127" s="359"/>
      <c r="P127" s="359"/>
      <c r="Q127" s="359"/>
      <c r="R127" s="359"/>
      <c r="S127" s="359"/>
      <c r="T127" s="359"/>
      <c r="U127" s="359"/>
      <c r="V127" s="359"/>
      <c r="W127" s="359"/>
      <c r="X127" s="360"/>
      <c r="Y127" s="351" t="str">
        <f>"d = "&amp;ROUND(AI125/10,1)&amp;"m"</f>
        <v>d = 2m</v>
      </c>
      <c r="Z127" s="157"/>
      <c r="AA127" s="164"/>
      <c r="AC127" s="85"/>
      <c r="AD127" s="86"/>
      <c r="AE127" s="86"/>
      <c r="AF127" s="86"/>
      <c r="AG127" s="86"/>
      <c r="AH127" s="86"/>
      <c r="AI127" s="86"/>
      <c r="AJ127" s="86"/>
      <c r="AK127" s="86"/>
    </row>
    <row r="128" spans="3:43" ht="12.75" customHeight="1">
      <c r="C128" s="158"/>
      <c r="D128" s="157"/>
      <c r="E128" s="157"/>
      <c r="F128" s="318" t="str">
        <f>ROUND(M64,2)&amp;" kNm2"</f>
        <v>-1.07 kNm2</v>
      </c>
      <c r="G128" s="319"/>
      <c r="H128" s="319"/>
      <c r="I128" s="319"/>
      <c r="J128" s="319"/>
      <c r="K128" s="319"/>
      <c r="L128" s="319"/>
      <c r="M128" s="319"/>
      <c r="N128" s="319"/>
      <c r="O128" s="319"/>
      <c r="P128" s="319"/>
      <c r="Q128" s="319"/>
      <c r="R128" s="319"/>
      <c r="S128" s="319"/>
      <c r="T128" s="319"/>
      <c r="U128" s="319"/>
      <c r="V128" s="319"/>
      <c r="W128" s="319"/>
      <c r="X128" s="320"/>
      <c r="Y128" s="351"/>
      <c r="Z128" s="157"/>
      <c r="AA128" s="164"/>
      <c r="AC128" s="85"/>
      <c r="AD128" s="86"/>
      <c r="AE128" s="86"/>
      <c r="AF128" s="86"/>
      <c r="AG128" s="86"/>
      <c r="AH128" s="86"/>
      <c r="AI128" s="86"/>
      <c r="AJ128" s="86"/>
      <c r="AK128" s="86"/>
    </row>
    <row r="129" spans="3:37" ht="13.5" customHeight="1" thickBot="1">
      <c r="C129" s="158"/>
      <c r="D129" s="157"/>
      <c r="E129" s="157"/>
      <c r="F129" s="361" t="str">
        <f>IF(M65=0,"",ROUND(M65,2)&amp;" kNm2")</f>
        <v>0.37 kNm2</v>
      </c>
      <c r="G129" s="362"/>
      <c r="H129" s="362"/>
      <c r="I129" s="362"/>
      <c r="J129" s="362"/>
      <c r="K129" s="362"/>
      <c r="L129" s="362"/>
      <c r="M129" s="362"/>
      <c r="N129" s="362"/>
      <c r="O129" s="362"/>
      <c r="P129" s="362"/>
      <c r="Q129" s="362"/>
      <c r="R129" s="362"/>
      <c r="S129" s="362"/>
      <c r="T129" s="362"/>
      <c r="U129" s="362"/>
      <c r="V129" s="362"/>
      <c r="W129" s="362"/>
      <c r="X129" s="363"/>
      <c r="Y129" s="351"/>
      <c r="Z129" s="157"/>
      <c r="AA129" s="164"/>
      <c r="AC129" s="85"/>
      <c r="AD129" s="86"/>
      <c r="AE129" s="86"/>
      <c r="AF129" s="86"/>
      <c r="AG129" s="86"/>
      <c r="AH129" s="86"/>
      <c r="AI129" s="86"/>
      <c r="AJ129" s="86"/>
      <c r="AK129" s="86"/>
    </row>
    <row r="130" spans="3:37" ht="15.75" customHeight="1" thickTop="1">
      <c r="C130" s="158"/>
      <c r="D130" s="157"/>
      <c r="E130" s="157"/>
      <c r="F130" s="315" t="str">
        <f>VLOOKUP(53,$BE$8:$BH$136,1+MATCH($AC$7,$BF$7:$BH$7,0))</f>
        <v>Ridge or trough / Đường nóc</v>
      </c>
      <c r="G130" s="316"/>
      <c r="H130" s="316"/>
      <c r="I130" s="316"/>
      <c r="J130" s="316"/>
      <c r="K130" s="316"/>
      <c r="L130" s="316"/>
      <c r="M130" s="316"/>
      <c r="N130" s="316"/>
      <c r="O130" s="316"/>
      <c r="P130" s="316"/>
      <c r="Q130" s="316"/>
      <c r="R130" s="316"/>
      <c r="S130" s="316"/>
      <c r="T130" s="316"/>
      <c r="U130" s="316"/>
      <c r="V130" s="316"/>
      <c r="W130" s="316"/>
      <c r="X130" s="317"/>
      <c r="Y130" s="351"/>
      <c r="Z130" s="157"/>
      <c r="AA130" s="164"/>
      <c r="AC130" s="85"/>
      <c r="AD130" s="86"/>
      <c r="AE130" s="86"/>
      <c r="AF130" s="86"/>
      <c r="AG130" s="86"/>
      <c r="AH130" s="86"/>
      <c r="AI130" s="86"/>
      <c r="AJ130" s="86"/>
      <c r="AK130" s="86"/>
    </row>
    <row r="131" spans="3:37" ht="12.75" customHeight="1">
      <c r="C131" s="158"/>
      <c r="D131" s="157"/>
      <c r="E131" s="157"/>
      <c r="F131" s="67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68"/>
      <c r="Y131" s="351"/>
      <c r="Z131" s="157"/>
      <c r="AA131" s="164"/>
      <c r="AC131" s="85"/>
      <c r="AD131" s="86"/>
      <c r="AE131" s="86"/>
      <c r="AF131" s="86"/>
      <c r="AG131" s="86"/>
      <c r="AH131" s="86"/>
      <c r="AI131" s="86"/>
      <c r="AJ131" s="86"/>
      <c r="AK131" s="86"/>
    </row>
    <row r="132" spans="3:37" ht="12.75" customHeight="1">
      <c r="C132" s="158"/>
      <c r="D132" s="157"/>
      <c r="E132" s="157"/>
      <c r="F132" s="324" t="str">
        <f>VLOOKUP(50,$BE$8:$BH$136,1+MATCH($AC$7,$BF$7:$BH$7,0))</f>
        <v>Zone / Vùng H</v>
      </c>
      <c r="G132" s="325"/>
      <c r="H132" s="325"/>
      <c r="I132" s="325"/>
      <c r="J132" s="325"/>
      <c r="K132" s="325"/>
      <c r="L132" s="325"/>
      <c r="M132" s="325"/>
      <c r="N132" s="325"/>
      <c r="O132" s="325"/>
      <c r="P132" s="325"/>
      <c r="Q132" s="325"/>
      <c r="R132" s="325"/>
      <c r="S132" s="325"/>
      <c r="T132" s="325"/>
      <c r="U132" s="325"/>
      <c r="V132" s="325"/>
      <c r="W132" s="325"/>
      <c r="X132" s="326"/>
      <c r="Y132" s="351"/>
      <c r="Z132" s="157"/>
      <c r="AA132" s="164"/>
      <c r="AC132" s="85"/>
      <c r="AD132" s="86"/>
      <c r="AE132" s="86"/>
      <c r="AF132" s="86"/>
      <c r="AG132" s="86"/>
      <c r="AH132" s="86"/>
      <c r="AI132" s="86"/>
      <c r="AJ132" s="86"/>
      <c r="AK132" s="86"/>
    </row>
    <row r="133" spans="3:37" ht="12.75" customHeight="1">
      <c r="C133" s="158"/>
      <c r="D133" s="157"/>
      <c r="E133" s="157"/>
      <c r="F133" s="318" t="str">
        <f>ROUND(I64,2)&amp;" kN/m2"</f>
        <v>-0.79 kN/m2</v>
      </c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20"/>
      <c r="Y133" s="351"/>
      <c r="Z133" s="157"/>
      <c r="AA133" s="164"/>
      <c r="AC133" s="85"/>
      <c r="AD133" s="86"/>
      <c r="AE133" s="86"/>
      <c r="AF133" s="86"/>
      <c r="AG133" s="86"/>
      <c r="AH133" s="86"/>
      <c r="AI133" s="86"/>
      <c r="AJ133" s="86"/>
      <c r="AK133" s="86"/>
    </row>
    <row r="134" spans="3:37" ht="12.75" customHeight="1">
      <c r="C134" s="158"/>
      <c r="D134" s="157"/>
      <c r="E134" s="157"/>
      <c r="F134" s="321" t="str">
        <f>IF(I65&lt;&gt;0,ROUND(I65,2)&amp;" kN/m2","")</f>
        <v>0.31 kN/m2</v>
      </c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3"/>
      <c r="Y134" s="351"/>
      <c r="Z134" s="157"/>
      <c r="AA134" s="164"/>
      <c r="AC134" s="85"/>
      <c r="AD134" s="86"/>
      <c r="AE134" s="86"/>
      <c r="AF134" s="86"/>
      <c r="AG134" s="86"/>
      <c r="AH134" s="86"/>
      <c r="AI134" s="86"/>
      <c r="AJ134" s="86"/>
      <c r="AK134" s="86"/>
    </row>
    <row r="135" spans="3:37" ht="12.75" customHeight="1">
      <c r="C135" s="158"/>
      <c r="D135" s="157"/>
      <c r="E135" s="157"/>
      <c r="F135" s="324"/>
      <c r="G135" s="325"/>
      <c r="H135" s="325"/>
      <c r="I135" s="325"/>
      <c r="J135" s="325"/>
      <c r="K135" s="325"/>
      <c r="L135" s="325"/>
      <c r="M135" s="325"/>
      <c r="N135" s="325"/>
      <c r="O135" s="325"/>
      <c r="P135" s="325"/>
      <c r="Q135" s="325"/>
      <c r="R135" s="325"/>
      <c r="S135" s="325"/>
      <c r="T135" s="325"/>
      <c r="U135" s="325"/>
      <c r="V135" s="325"/>
      <c r="W135" s="325"/>
      <c r="X135" s="326"/>
      <c r="Y135" s="351"/>
      <c r="Z135" s="157"/>
      <c r="AA135" s="164"/>
      <c r="AC135" s="85"/>
      <c r="AD135" s="86"/>
      <c r="AE135" s="86"/>
      <c r="AF135" s="86"/>
      <c r="AG135" s="86"/>
      <c r="AH135" s="86"/>
      <c r="AI135" s="86"/>
      <c r="AJ135" s="86"/>
      <c r="AK135" s="86"/>
    </row>
    <row r="136" spans="3:37" ht="12.75" customHeight="1">
      <c r="C136" s="158"/>
      <c r="D136" s="157"/>
      <c r="E136" s="157"/>
      <c r="F136" s="345" t="str">
        <f>VLOOKUP(48,$BE$8:$BH$136,1+MATCH($AC$7,$BF$7:$BH$7,0))</f>
        <v>Zone / Vùng F</v>
      </c>
      <c r="G136" s="346"/>
      <c r="H136" s="346"/>
      <c r="I136" s="346"/>
      <c r="J136" s="347" t="str">
        <f>VLOOKUP(49,$BE$8:$BH$136,1+MATCH($AC$7,$BF$7:$BH$7,0))</f>
        <v>Zone / Vùng G</v>
      </c>
      <c r="K136" s="346"/>
      <c r="L136" s="346"/>
      <c r="M136" s="346"/>
      <c r="N136" s="346"/>
      <c r="O136" s="346"/>
      <c r="P136" s="346"/>
      <c r="Q136" s="346"/>
      <c r="R136" s="346"/>
      <c r="S136" s="346"/>
      <c r="T136" s="348"/>
      <c r="U136" s="346" t="str">
        <f>VLOOKUP(48,$BE$8:$BH$136,1+MATCH($AC$7,$BF$7:$BH$7,0))</f>
        <v>Zone / Vùng F</v>
      </c>
      <c r="V136" s="346"/>
      <c r="W136" s="346"/>
      <c r="X136" s="349"/>
      <c r="Y136" s="352" t="str">
        <f>"d = "&amp;ROUND(AI125/10,1)&amp;"m"</f>
        <v>d = 2m</v>
      </c>
      <c r="Z136" s="157"/>
      <c r="AA136" s="164"/>
      <c r="AC136" s="85"/>
      <c r="AD136" s="86"/>
      <c r="AE136" s="86"/>
      <c r="AF136" s="86"/>
      <c r="AG136" s="86"/>
      <c r="AH136" s="86"/>
      <c r="AI136" s="86"/>
      <c r="AJ136" s="86"/>
      <c r="AK136" s="86"/>
    </row>
    <row r="137" spans="3:37" ht="12.75" customHeight="1">
      <c r="C137" s="158"/>
      <c r="D137" s="157"/>
      <c r="E137" s="157"/>
      <c r="F137" s="318" t="str">
        <f>ROUND(E64,2)&amp;" kN/m2"</f>
        <v>-1.84 kN/m2</v>
      </c>
      <c r="G137" s="319"/>
      <c r="H137" s="319"/>
      <c r="I137" s="319"/>
      <c r="J137" s="339" t="str">
        <f>ROUND(G64,2)&amp;" kN/m2"</f>
        <v>-1.43 kN/m2</v>
      </c>
      <c r="K137" s="319"/>
      <c r="L137" s="319"/>
      <c r="M137" s="319"/>
      <c r="N137" s="319"/>
      <c r="O137" s="319"/>
      <c r="P137" s="319"/>
      <c r="Q137" s="319"/>
      <c r="R137" s="319"/>
      <c r="S137" s="319"/>
      <c r="T137" s="340"/>
      <c r="U137" s="319" t="str">
        <f>ROUND(E64,2)&amp;" kN/m2"</f>
        <v>-1.84 kN/m2</v>
      </c>
      <c r="V137" s="319"/>
      <c r="W137" s="319"/>
      <c r="X137" s="320"/>
      <c r="Y137" s="352"/>
      <c r="Z137" s="157"/>
      <c r="AA137" s="164"/>
      <c r="AC137" s="85"/>
      <c r="AD137" s="86"/>
      <c r="AE137" s="86"/>
      <c r="AF137" s="86"/>
      <c r="AG137" s="86"/>
      <c r="AH137" s="86"/>
      <c r="AI137" s="86"/>
      <c r="AJ137" s="86"/>
      <c r="AK137" s="86"/>
    </row>
    <row r="138" spans="3:37" ht="13.5" customHeight="1" thickBot="1">
      <c r="C138" s="158"/>
      <c r="D138" s="157"/>
      <c r="E138" s="157"/>
      <c r="F138" s="353" t="str">
        <f>IF(E65&lt;&gt;0,ROUND(E65,2)&amp;" kN/m2","")</f>
        <v>0.31 kN/m2</v>
      </c>
      <c r="G138" s="354"/>
      <c r="H138" s="354"/>
      <c r="I138" s="354"/>
      <c r="J138" s="355" t="str">
        <f>IF(G65&lt;&gt;0,ROUND(G65,2)&amp;" kN/m2","")</f>
        <v>0.31 kN/m2</v>
      </c>
      <c r="K138" s="354"/>
      <c r="L138" s="354"/>
      <c r="M138" s="354"/>
      <c r="N138" s="354"/>
      <c r="O138" s="354"/>
      <c r="P138" s="354"/>
      <c r="Q138" s="354"/>
      <c r="R138" s="354"/>
      <c r="S138" s="354"/>
      <c r="T138" s="356"/>
      <c r="U138" s="354" t="str">
        <f>IF(E65&lt;&gt;0,ROUND(E65,2)&amp;" kN/m2","")</f>
        <v>0.31 kN/m2</v>
      </c>
      <c r="V138" s="354"/>
      <c r="W138" s="354"/>
      <c r="X138" s="357"/>
      <c r="Y138" s="352"/>
      <c r="Z138" s="157"/>
      <c r="AA138" s="164"/>
      <c r="AC138" s="85"/>
      <c r="AD138" s="86"/>
      <c r="AE138" s="86"/>
      <c r="AF138" s="86"/>
      <c r="AG138" s="86"/>
      <c r="AH138" s="86"/>
      <c r="AI138" s="86"/>
      <c r="AJ138" s="86"/>
      <c r="AK138" s="86"/>
    </row>
    <row r="139" spans="3:37">
      <c r="C139" s="158"/>
      <c r="D139" s="157"/>
      <c r="E139" s="157"/>
      <c r="F139" s="343" t="str">
        <f>"b1 = "&amp;ROUND(AI125/4,1)&amp;"m"</f>
        <v>b1 = 5m</v>
      </c>
      <c r="G139" s="343"/>
      <c r="H139" s="343"/>
      <c r="I139" s="343"/>
      <c r="J139" s="343" t="str">
        <f>"b2 = "&amp;ROUND(AD124-AI125/2,1)&amp;"m"</f>
        <v>b2 = 110m</v>
      </c>
      <c r="K139" s="343"/>
      <c r="L139" s="343"/>
      <c r="M139" s="343"/>
      <c r="N139" s="343"/>
      <c r="O139" s="343"/>
      <c r="P139" s="343"/>
      <c r="Q139" s="343"/>
      <c r="R139" s="343"/>
      <c r="S139" s="343"/>
      <c r="T139" s="343"/>
      <c r="U139" s="343" t="str">
        <f>"b3 = "&amp;ROUND(AI125/4,1)&amp;"m"</f>
        <v>b3 = 5m</v>
      </c>
      <c r="V139" s="343"/>
      <c r="W139" s="343"/>
      <c r="X139" s="343"/>
      <c r="Y139" s="157"/>
      <c r="Z139" s="157"/>
      <c r="AA139" s="164"/>
      <c r="AC139" s="85"/>
      <c r="AD139" s="86"/>
      <c r="AE139" s="86"/>
      <c r="AF139" s="86"/>
      <c r="AG139" s="86"/>
      <c r="AH139" s="86"/>
      <c r="AI139" s="86"/>
      <c r="AJ139" s="86"/>
      <c r="AK139" s="86"/>
    </row>
    <row r="140" spans="3:37">
      <c r="C140" s="158"/>
      <c r="D140" s="157"/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157"/>
      <c r="Y140" s="157"/>
      <c r="Z140" s="157"/>
      <c r="AA140" s="164"/>
      <c r="AC140" s="85"/>
      <c r="AD140" s="86"/>
      <c r="AE140" s="86"/>
      <c r="AF140" s="86"/>
      <c r="AG140" s="86"/>
      <c r="AH140" s="86"/>
      <c r="AI140" s="86"/>
      <c r="AJ140" s="86"/>
      <c r="AK140" s="86"/>
    </row>
    <row r="141" spans="3:37" ht="15">
      <c r="C141" s="519" t="str">
        <f>VLOOKUP(62,$BE$8:$BH$136,1+MATCH($AC$7,$BF$7:$BH$7,0))</f>
        <v>DIAGRAM: ZONES OF DUOPITCH ROOF (WIND Y-)</v>
      </c>
      <c r="D141" s="520"/>
      <c r="E141" s="520"/>
      <c r="F141" s="520"/>
      <c r="G141" s="520"/>
      <c r="H141" s="520"/>
      <c r="I141" s="520"/>
      <c r="J141" s="520"/>
      <c r="K141" s="520"/>
      <c r="L141" s="520"/>
      <c r="M141" s="520"/>
      <c r="N141" s="520"/>
      <c r="O141" s="520"/>
      <c r="P141" s="520"/>
      <c r="Q141" s="520"/>
      <c r="R141" s="520"/>
      <c r="S141" s="520"/>
      <c r="T141" s="520"/>
      <c r="U141" s="520"/>
      <c r="V141" s="520"/>
      <c r="W141" s="520"/>
      <c r="X141" s="520"/>
      <c r="Y141" s="520"/>
      <c r="Z141" s="520"/>
      <c r="AA141" s="521"/>
    </row>
    <row r="142" spans="3:37">
      <c r="C142" s="158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64"/>
    </row>
    <row r="143" spans="3:37" ht="13.5" thickBot="1">
      <c r="C143" s="158"/>
      <c r="D143" s="157"/>
      <c r="E143" s="157"/>
      <c r="F143" s="344" t="str">
        <f>"b1 = "&amp;ROUND(AI125/4,1)&amp;"m"</f>
        <v>b1 = 5m</v>
      </c>
      <c r="G143" s="344"/>
      <c r="H143" s="344"/>
      <c r="I143" s="344"/>
      <c r="J143" s="344" t="str">
        <f>"b2 = "&amp;ROUND(AD124-AI125/2,1)&amp;"m"</f>
        <v>b2 = 110m</v>
      </c>
      <c r="K143" s="344"/>
      <c r="L143" s="344"/>
      <c r="M143" s="344"/>
      <c r="N143" s="344"/>
      <c r="O143" s="344"/>
      <c r="P143" s="344"/>
      <c r="Q143" s="344"/>
      <c r="R143" s="344"/>
      <c r="S143" s="344"/>
      <c r="T143" s="344"/>
      <c r="U143" s="344" t="str">
        <f>"b3 = "&amp;ROUND(AI125/4,1)&amp;"m"</f>
        <v>b3 = 5m</v>
      </c>
      <c r="V143" s="344"/>
      <c r="W143" s="344"/>
      <c r="X143" s="344"/>
      <c r="Y143" s="157"/>
      <c r="Z143" s="157"/>
      <c r="AA143" s="164"/>
    </row>
    <row r="144" spans="3:37" ht="15">
      <c r="C144" s="158"/>
      <c r="D144" s="157"/>
      <c r="E144" s="157"/>
      <c r="F144" s="334" t="str">
        <f>VLOOKUP(48,$BE$8:$BH$136,1+MATCH($AC$7,$BF$7:$BH$7,0))</f>
        <v>Zone / Vùng F</v>
      </c>
      <c r="G144" s="335"/>
      <c r="H144" s="335"/>
      <c r="I144" s="335"/>
      <c r="J144" s="336" t="str">
        <f>VLOOKUP(49,$BE$8:$BH$136,1+MATCH($AC$7,$BF$7:$BH$7,0))</f>
        <v>Zone / Vùng G</v>
      </c>
      <c r="K144" s="335"/>
      <c r="L144" s="335"/>
      <c r="M144" s="335"/>
      <c r="N144" s="335"/>
      <c r="O144" s="335"/>
      <c r="P144" s="335"/>
      <c r="Q144" s="335"/>
      <c r="R144" s="335"/>
      <c r="S144" s="335"/>
      <c r="T144" s="337"/>
      <c r="U144" s="335" t="str">
        <f>VLOOKUP(48,$BE$8:$BH$136,1+MATCH($AC$7,$BF$7:$BH$7,0))</f>
        <v>Zone / Vùng F</v>
      </c>
      <c r="V144" s="335"/>
      <c r="W144" s="335"/>
      <c r="X144" s="338"/>
      <c r="Y144" s="330" t="str">
        <f>"d = "&amp;ROUND(AI125/10,1)&amp;"m"</f>
        <v>d = 2m</v>
      </c>
      <c r="Z144" s="157"/>
      <c r="AA144" s="164"/>
    </row>
    <row r="145" spans="3:27" ht="15">
      <c r="C145" s="158"/>
      <c r="D145" s="157"/>
      <c r="E145" s="157"/>
      <c r="F145" s="318" t="str">
        <f>ROUND(O64,2)&amp;" kN/m2"</f>
        <v>-1.84 kN/m2</v>
      </c>
      <c r="G145" s="319"/>
      <c r="H145" s="319"/>
      <c r="I145" s="319"/>
      <c r="J145" s="339" t="str">
        <f>ROUND(Q64,2)&amp;" kN/m2"</f>
        <v>-1.43 kN/m2</v>
      </c>
      <c r="K145" s="319"/>
      <c r="L145" s="319"/>
      <c r="M145" s="319"/>
      <c r="N145" s="319"/>
      <c r="O145" s="319"/>
      <c r="P145" s="319"/>
      <c r="Q145" s="319"/>
      <c r="R145" s="319"/>
      <c r="S145" s="319"/>
      <c r="T145" s="340"/>
      <c r="U145" s="319" t="str">
        <f>F145</f>
        <v>-1.84 kN/m2</v>
      </c>
      <c r="V145" s="319"/>
      <c r="W145" s="319"/>
      <c r="X145" s="320"/>
      <c r="Y145" s="330"/>
      <c r="Z145" s="157"/>
      <c r="AA145" s="164"/>
    </row>
    <row r="146" spans="3:27" ht="15">
      <c r="C146" s="158"/>
      <c r="D146" s="157"/>
      <c r="E146" s="157"/>
      <c r="F146" s="331" t="str">
        <f>IF(O65&lt;&gt;0,ROUND(O65,2)&amp;" kN/m2","")</f>
        <v>0.31 kN/m2</v>
      </c>
      <c r="G146" s="332"/>
      <c r="H146" s="332"/>
      <c r="I146" s="332"/>
      <c r="J146" s="341" t="str">
        <f>IF(Q65&lt;&gt;0,ROUND(Q65,2)&amp;" kN/m2","")</f>
        <v>0.31 kN/m2</v>
      </c>
      <c r="K146" s="332"/>
      <c r="L146" s="332"/>
      <c r="M146" s="332"/>
      <c r="N146" s="332"/>
      <c r="O146" s="332"/>
      <c r="P146" s="332"/>
      <c r="Q146" s="332"/>
      <c r="R146" s="332"/>
      <c r="S146" s="332"/>
      <c r="T146" s="342"/>
      <c r="U146" s="332" t="str">
        <f>F146</f>
        <v>0.31 kN/m2</v>
      </c>
      <c r="V146" s="332"/>
      <c r="W146" s="332"/>
      <c r="X146" s="333"/>
      <c r="Y146" s="330"/>
      <c r="Z146" s="157"/>
      <c r="AA146" s="164"/>
    </row>
    <row r="147" spans="3:27" ht="15">
      <c r="C147" s="158"/>
      <c r="D147" s="157"/>
      <c r="E147" s="157"/>
      <c r="F147" s="57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58"/>
      <c r="Y147" s="314"/>
      <c r="Z147" s="157"/>
      <c r="AA147" s="164"/>
    </row>
    <row r="148" spans="3:27" ht="15">
      <c r="C148" s="158"/>
      <c r="D148" s="157"/>
      <c r="E148" s="157"/>
      <c r="F148" s="324" t="str">
        <f>VLOOKUP(50,$BE$8:$BH$136,1+MATCH($AC$7,$BF$7:$BH$7,0))</f>
        <v>Zone / Vùng H</v>
      </c>
      <c r="G148" s="325"/>
      <c r="H148" s="325"/>
      <c r="I148" s="325"/>
      <c r="J148" s="325"/>
      <c r="K148" s="325"/>
      <c r="L148" s="325"/>
      <c r="M148" s="325"/>
      <c r="N148" s="325"/>
      <c r="O148" s="325"/>
      <c r="P148" s="325"/>
      <c r="Q148" s="325"/>
      <c r="R148" s="325"/>
      <c r="S148" s="325"/>
      <c r="T148" s="325"/>
      <c r="U148" s="325"/>
      <c r="V148" s="325"/>
      <c r="W148" s="325"/>
      <c r="X148" s="326"/>
      <c r="Y148" s="314"/>
      <c r="Z148" s="157"/>
      <c r="AA148" s="164"/>
    </row>
    <row r="149" spans="3:27" ht="15">
      <c r="C149" s="158"/>
      <c r="D149" s="157"/>
      <c r="E149" s="157"/>
      <c r="F149" s="318" t="str">
        <f>ROUND(S64,2)&amp;" kN/m2"</f>
        <v>-0.79 kN/m2</v>
      </c>
      <c r="G149" s="319"/>
      <c r="H149" s="319"/>
      <c r="I149" s="319"/>
      <c r="J149" s="319"/>
      <c r="K149" s="319"/>
      <c r="L149" s="319"/>
      <c r="M149" s="319"/>
      <c r="N149" s="319"/>
      <c r="O149" s="319"/>
      <c r="P149" s="319"/>
      <c r="Q149" s="319"/>
      <c r="R149" s="319"/>
      <c r="S149" s="319"/>
      <c r="T149" s="319"/>
      <c r="U149" s="319"/>
      <c r="V149" s="319"/>
      <c r="W149" s="319"/>
      <c r="X149" s="320"/>
      <c r="Y149" s="314"/>
      <c r="Z149" s="157"/>
      <c r="AA149" s="164"/>
    </row>
    <row r="150" spans="3:27" ht="15">
      <c r="C150" s="158"/>
      <c r="D150" s="157"/>
      <c r="E150" s="157"/>
      <c r="F150" s="321" t="str">
        <f>IF(S65&lt;&gt;0,ROUND(S65,2)&amp;" kN/m2","")</f>
        <v>0.31 kN/m2</v>
      </c>
      <c r="G150" s="322"/>
      <c r="H150" s="322"/>
      <c r="I150" s="322"/>
      <c r="J150" s="322"/>
      <c r="K150" s="322"/>
      <c r="L150" s="322"/>
      <c r="M150" s="322"/>
      <c r="N150" s="322"/>
      <c r="O150" s="322"/>
      <c r="P150" s="322"/>
      <c r="Q150" s="322"/>
      <c r="R150" s="322"/>
      <c r="S150" s="322"/>
      <c r="T150" s="322"/>
      <c r="U150" s="322"/>
      <c r="V150" s="322"/>
      <c r="W150" s="322"/>
      <c r="X150" s="323"/>
      <c r="Y150" s="314"/>
      <c r="Z150" s="157"/>
      <c r="AA150" s="164"/>
    </row>
    <row r="151" spans="3:27" ht="15">
      <c r="C151" s="158"/>
      <c r="D151" s="157"/>
      <c r="E151" s="157"/>
      <c r="F151" s="88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89"/>
      <c r="Y151" s="314"/>
      <c r="Z151" s="157"/>
      <c r="AA151" s="164"/>
    </row>
    <row r="152" spans="3:27" ht="15.75" thickBot="1">
      <c r="C152" s="158"/>
      <c r="D152" s="157"/>
      <c r="E152" s="157"/>
      <c r="F152" s="327" t="str">
        <f>VLOOKUP(53,$BE$8:$BH$136,1+MATCH($AC$7,$BF$7:$BH$7,0))</f>
        <v>Ridge or trough / Đường nóc</v>
      </c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  <c r="U152" s="328"/>
      <c r="V152" s="328"/>
      <c r="W152" s="328"/>
      <c r="X152" s="329"/>
      <c r="Y152" s="314"/>
      <c r="Z152" s="157"/>
      <c r="AA152" s="164"/>
    </row>
    <row r="153" spans="3:27" ht="15">
      <c r="C153" s="158"/>
      <c r="D153" s="157"/>
      <c r="E153" s="157"/>
      <c r="F153" s="315" t="str">
        <f>VLOOKUP(52,$BE$8:$BH$136,1+MATCH($AC$7,$BF$7:$BH$7,0))</f>
        <v>Zone / Vùng J</v>
      </c>
      <c r="G153" s="316"/>
      <c r="H153" s="316"/>
      <c r="I153" s="316"/>
      <c r="J153" s="316"/>
      <c r="K153" s="316"/>
      <c r="L153" s="316"/>
      <c r="M153" s="316"/>
      <c r="N153" s="316"/>
      <c r="O153" s="316"/>
      <c r="P153" s="316"/>
      <c r="Q153" s="316"/>
      <c r="R153" s="316"/>
      <c r="S153" s="316"/>
      <c r="T153" s="316"/>
      <c r="U153" s="316"/>
      <c r="V153" s="316"/>
      <c r="W153" s="316"/>
      <c r="X153" s="317"/>
      <c r="Y153" s="330" t="str">
        <f>"d = "&amp;ROUND(AI125/10,1)&amp;"m"</f>
        <v>d = 2m</v>
      </c>
      <c r="Z153" s="157"/>
      <c r="AA153" s="164"/>
    </row>
    <row r="154" spans="3:27" ht="15">
      <c r="C154" s="158"/>
      <c r="D154" s="157"/>
      <c r="E154" s="157"/>
      <c r="F154" s="318" t="str">
        <f>ROUND(W64,2)&amp;" kNm2"</f>
        <v>-1.07 kNm2</v>
      </c>
      <c r="G154" s="319"/>
      <c r="H154" s="319"/>
      <c r="I154" s="319"/>
      <c r="J154" s="319"/>
      <c r="K154" s="319"/>
      <c r="L154" s="319"/>
      <c r="M154" s="319"/>
      <c r="N154" s="319"/>
      <c r="O154" s="319"/>
      <c r="P154" s="319"/>
      <c r="Q154" s="319"/>
      <c r="R154" s="319"/>
      <c r="S154" s="319"/>
      <c r="T154" s="319"/>
      <c r="U154" s="319"/>
      <c r="V154" s="319"/>
      <c r="W154" s="319"/>
      <c r="X154" s="320"/>
      <c r="Y154" s="330"/>
      <c r="Z154" s="157"/>
      <c r="AA154" s="164"/>
    </row>
    <row r="155" spans="3:27" ht="15">
      <c r="C155" s="158"/>
      <c r="D155" s="157"/>
      <c r="E155" s="157"/>
      <c r="F155" s="331" t="str">
        <f>IF(W65=0,"",ROUND(W65,2)&amp;" kNm2")</f>
        <v>0.37 kNm2</v>
      </c>
      <c r="G155" s="332"/>
      <c r="H155" s="332"/>
      <c r="I155" s="332"/>
      <c r="J155" s="332"/>
      <c r="K155" s="332"/>
      <c r="L155" s="332"/>
      <c r="M155" s="332"/>
      <c r="N155" s="332"/>
      <c r="O155" s="332"/>
      <c r="P155" s="332"/>
      <c r="Q155" s="332"/>
      <c r="R155" s="332"/>
      <c r="S155" s="332"/>
      <c r="T155" s="332"/>
      <c r="U155" s="332"/>
      <c r="V155" s="332"/>
      <c r="W155" s="332"/>
      <c r="X155" s="333"/>
      <c r="Y155" s="330"/>
      <c r="Z155" s="157"/>
      <c r="AA155" s="164"/>
    </row>
    <row r="156" spans="3:27" ht="15">
      <c r="C156" s="158"/>
      <c r="D156" s="157"/>
      <c r="E156" s="157"/>
      <c r="F156" s="67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68"/>
      <c r="Y156" s="314"/>
      <c r="Z156" s="157"/>
      <c r="AA156" s="164"/>
    </row>
    <row r="157" spans="3:27" ht="15">
      <c r="C157" s="158"/>
      <c r="D157" s="157"/>
      <c r="E157" s="157"/>
      <c r="F157" s="315" t="str">
        <f>VLOOKUP(51,$BE$8:$BH$136,1+MATCH($AC$7,$BF$7:$BH$7,0))</f>
        <v>Zone / Vùng I</v>
      </c>
      <c r="G157" s="316"/>
      <c r="H157" s="316"/>
      <c r="I157" s="316"/>
      <c r="J157" s="316"/>
      <c r="K157" s="316"/>
      <c r="L157" s="316"/>
      <c r="M157" s="316"/>
      <c r="N157" s="316"/>
      <c r="O157" s="316"/>
      <c r="P157" s="316"/>
      <c r="Q157" s="316"/>
      <c r="R157" s="316"/>
      <c r="S157" s="316"/>
      <c r="T157" s="316"/>
      <c r="U157" s="316"/>
      <c r="V157" s="316"/>
      <c r="W157" s="316"/>
      <c r="X157" s="317"/>
      <c r="Y157" s="314"/>
      <c r="Z157" s="157"/>
      <c r="AA157" s="164"/>
    </row>
    <row r="158" spans="3:27" ht="15">
      <c r="C158" s="158"/>
      <c r="D158" s="157"/>
      <c r="E158" s="157"/>
      <c r="F158" s="318" t="str">
        <f>ROUND(U64,2)&amp;" kN/m2"</f>
        <v>-0.83 kN/m2</v>
      </c>
      <c r="G158" s="319"/>
      <c r="H158" s="319"/>
      <c r="I158" s="319"/>
      <c r="J158" s="319"/>
      <c r="K158" s="319"/>
      <c r="L158" s="319"/>
      <c r="M158" s="319"/>
      <c r="N158" s="319"/>
      <c r="O158" s="319"/>
      <c r="P158" s="319"/>
      <c r="Q158" s="319"/>
      <c r="R158" s="319"/>
      <c r="S158" s="319"/>
      <c r="T158" s="319"/>
      <c r="U158" s="319"/>
      <c r="V158" s="319"/>
      <c r="W158" s="319"/>
      <c r="X158" s="320"/>
      <c r="Y158" s="314"/>
      <c r="Z158" s="157"/>
      <c r="AA158" s="164"/>
    </row>
    <row r="159" spans="3:27" ht="15">
      <c r="C159" s="158"/>
      <c r="D159" s="157"/>
      <c r="E159" s="157"/>
      <c r="F159" s="321" t="str">
        <f>ROUND(U65,2)&amp;" kN/m2"</f>
        <v>0 kN/m2</v>
      </c>
      <c r="G159" s="322"/>
      <c r="H159" s="322"/>
      <c r="I159" s="322"/>
      <c r="J159" s="322"/>
      <c r="K159" s="322"/>
      <c r="L159" s="322"/>
      <c r="M159" s="322"/>
      <c r="N159" s="322"/>
      <c r="O159" s="322"/>
      <c r="P159" s="322"/>
      <c r="Q159" s="322"/>
      <c r="R159" s="322"/>
      <c r="S159" s="322"/>
      <c r="T159" s="322"/>
      <c r="U159" s="322"/>
      <c r="V159" s="322"/>
      <c r="W159" s="322"/>
      <c r="X159" s="323"/>
      <c r="Y159" s="314"/>
      <c r="Z159" s="157"/>
      <c r="AA159" s="164"/>
    </row>
    <row r="160" spans="3:27" ht="15.75" thickBot="1">
      <c r="C160" s="158"/>
      <c r="D160" s="157"/>
      <c r="E160" s="157"/>
      <c r="F160" s="90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2"/>
      <c r="Y160" s="314"/>
      <c r="Z160" s="157"/>
      <c r="AA160" s="164"/>
    </row>
    <row r="161" spans="3:27">
      <c r="C161" s="162"/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5"/>
    </row>
    <row r="163" spans="3:27" ht="15">
      <c r="C163" s="2" t="s">
        <v>324</v>
      </c>
      <c r="I163" s="558" t="s">
        <v>325</v>
      </c>
      <c r="J163" s="558"/>
      <c r="K163" s="559">
        <v>7</v>
      </c>
      <c r="L163" s="559"/>
      <c r="M163" s="560" t="s">
        <v>146</v>
      </c>
      <c r="N163" s="560"/>
    </row>
    <row r="165" spans="3:27" ht="15">
      <c r="C165" s="547" t="s">
        <v>327</v>
      </c>
      <c r="D165" s="548"/>
      <c r="E165" s="548"/>
      <c r="F165" s="548"/>
      <c r="G165" s="548"/>
      <c r="H165" s="548"/>
      <c r="I165" s="548"/>
      <c r="J165" s="548"/>
      <c r="K165" s="548"/>
      <c r="L165" s="548"/>
      <c r="M165" s="548"/>
      <c r="N165" s="548"/>
      <c r="O165" s="548"/>
      <c r="P165" s="548"/>
      <c r="Q165" s="548"/>
      <c r="R165" s="548"/>
      <c r="S165" s="548"/>
      <c r="T165" s="549"/>
    </row>
    <row r="166" spans="3:27" ht="15">
      <c r="C166" s="550" t="s">
        <v>108</v>
      </c>
      <c r="D166" s="551"/>
      <c r="E166" s="552" t="s">
        <v>212</v>
      </c>
      <c r="F166" s="553"/>
      <c r="G166" s="553"/>
      <c r="H166" s="553"/>
      <c r="I166" s="553"/>
      <c r="J166" s="553"/>
      <c r="K166" s="553"/>
      <c r="L166" s="554"/>
      <c r="M166" s="552" t="s">
        <v>213</v>
      </c>
      <c r="N166" s="553"/>
      <c r="O166" s="553"/>
      <c r="P166" s="553"/>
      <c r="Q166" s="553"/>
      <c r="R166" s="553"/>
      <c r="S166" s="553"/>
      <c r="T166" s="554"/>
    </row>
    <row r="167" spans="3:27" ht="15">
      <c r="C167" s="551"/>
      <c r="D167" s="551"/>
      <c r="E167" s="555" t="s">
        <v>67</v>
      </c>
      <c r="F167" s="556"/>
      <c r="G167" s="556" t="s">
        <v>68</v>
      </c>
      <c r="H167" s="556"/>
      <c r="I167" s="556" t="s">
        <v>69</v>
      </c>
      <c r="J167" s="556"/>
      <c r="K167" s="556" t="s">
        <v>27</v>
      </c>
      <c r="L167" s="557"/>
      <c r="M167" s="555" t="s">
        <v>67</v>
      </c>
      <c r="N167" s="556"/>
      <c r="O167" s="556" t="s">
        <v>68</v>
      </c>
      <c r="P167" s="556"/>
      <c r="Q167" s="556" t="s">
        <v>69</v>
      </c>
      <c r="R167" s="556"/>
      <c r="S167" s="556" t="s">
        <v>27</v>
      </c>
      <c r="T167" s="557"/>
    </row>
    <row r="168" spans="3:27" ht="18">
      <c r="C168" s="211" t="str">
        <f>C50</f>
        <v>Case 1</v>
      </c>
      <c r="D168" s="212" t="s">
        <v>326</v>
      </c>
      <c r="E168" s="568">
        <f>E50*$K$163</f>
        <v>-13.478946855190713</v>
      </c>
      <c r="F168" s="563"/>
      <c r="G168" s="563">
        <f t="shared" ref="G168" si="32">G50*$K$163</f>
        <v>-11.934769557886005</v>
      </c>
      <c r="H168" s="563"/>
      <c r="I168" s="563">
        <f t="shared" ref="I168" si="33">I50*$K$163</f>
        <v>-6.87993611443828</v>
      </c>
      <c r="J168" s="563"/>
      <c r="K168" s="563">
        <f t="shared" ref="K168" si="34">K50*$K$163</f>
        <v>-6.0842850698332276</v>
      </c>
      <c r="L168" s="564"/>
      <c r="M168" s="568">
        <f t="shared" ref="M168" si="35">M50*$K$163</f>
        <v>-13.478946855190713</v>
      </c>
      <c r="N168" s="563"/>
      <c r="O168" s="563">
        <f t="shared" ref="O168" si="36">O50*$K$163</f>
        <v>-11.934769557886005</v>
      </c>
      <c r="P168" s="563"/>
      <c r="Q168" s="563">
        <f t="shared" ref="Q168" si="37">Q50*$K$163</f>
        <v>-6.87993611443828</v>
      </c>
      <c r="R168" s="563"/>
      <c r="S168" s="563">
        <f t="shared" ref="S168" si="38">S50*$K$163</f>
        <v>-6.0842850698332276</v>
      </c>
      <c r="T168" s="564"/>
    </row>
    <row r="169" spans="3:27" ht="18">
      <c r="C169" s="213" t="str">
        <f>C51</f>
        <v>Case 2</v>
      </c>
      <c r="D169" s="214" t="s">
        <v>326</v>
      </c>
      <c r="E169" s="565">
        <f t="shared" ref="E169" si="39">E51*$K$163</f>
        <v>-10.296341538582148</v>
      </c>
      <c r="F169" s="566"/>
      <c r="G169" s="566">
        <f t="shared" ref="G169" si="40">G51*$K$163</f>
        <v>-8.7521642412774394</v>
      </c>
      <c r="H169" s="566"/>
      <c r="I169" s="566">
        <f t="shared" ref="I169" si="41">I51*$K$163</f>
        <v>-3.697330797829713</v>
      </c>
      <c r="J169" s="566"/>
      <c r="K169" s="566">
        <f t="shared" ref="K169" si="42">K51*$K$163</f>
        <v>-2.901679753224661</v>
      </c>
      <c r="L169" s="567"/>
      <c r="M169" s="565">
        <f t="shared" ref="M169" si="43">M51*$K$163</f>
        <v>-10.296341538582148</v>
      </c>
      <c r="N169" s="566"/>
      <c r="O169" s="566">
        <f t="shared" ref="O169" si="44">O51*$K$163</f>
        <v>-8.7521642412774394</v>
      </c>
      <c r="P169" s="566"/>
      <c r="Q169" s="566">
        <f t="shared" ref="Q169" si="45">Q51*$K$163</f>
        <v>-3.697330797829713</v>
      </c>
      <c r="R169" s="566"/>
      <c r="S169" s="566">
        <f t="shared" ref="S169" si="46">S51*$K$163</f>
        <v>-2.901679753224661</v>
      </c>
      <c r="T169" s="567"/>
    </row>
    <row r="171" spans="3:27" ht="15">
      <c r="C171" s="547" t="str">
        <f>C165</f>
        <v>Tải trọng gió tác dụng lên khung (kN/m)</v>
      </c>
      <c r="D171" s="548"/>
      <c r="E171" s="548"/>
      <c r="F171" s="548"/>
      <c r="G171" s="548"/>
      <c r="H171" s="548"/>
      <c r="I171" s="548"/>
      <c r="J171" s="548"/>
      <c r="K171" s="548"/>
      <c r="L171" s="548"/>
      <c r="M171" s="548"/>
      <c r="N171" s="548"/>
      <c r="O171" s="548"/>
      <c r="P171" s="548"/>
      <c r="Q171" s="548"/>
      <c r="R171" s="548"/>
      <c r="S171" s="548"/>
      <c r="T171" s="548"/>
      <c r="U171" s="548"/>
      <c r="V171" s="548"/>
      <c r="W171" s="548"/>
      <c r="X171" s="549"/>
    </row>
    <row r="172" spans="3:27" ht="15">
      <c r="C172" s="569" t="str">
        <f>C166</f>
        <v>Vùng</v>
      </c>
      <c r="D172" s="570"/>
      <c r="E172" s="552" t="s">
        <v>210</v>
      </c>
      <c r="F172" s="553"/>
      <c r="G172" s="553"/>
      <c r="H172" s="553"/>
      <c r="I172" s="553"/>
      <c r="J172" s="553"/>
      <c r="K172" s="553"/>
      <c r="L172" s="553"/>
      <c r="M172" s="553"/>
      <c r="N172" s="554"/>
      <c r="O172" s="552" t="s">
        <v>211</v>
      </c>
      <c r="P172" s="553"/>
      <c r="Q172" s="553"/>
      <c r="R172" s="553"/>
      <c r="S172" s="553"/>
      <c r="T172" s="553"/>
      <c r="U172" s="553"/>
      <c r="V172" s="553"/>
      <c r="W172" s="553"/>
      <c r="X172" s="554"/>
    </row>
    <row r="173" spans="3:27" ht="15">
      <c r="C173" s="571"/>
      <c r="D173" s="572"/>
      <c r="E173" s="555" t="s">
        <v>67</v>
      </c>
      <c r="F173" s="556"/>
      <c r="G173" s="556" t="s">
        <v>68</v>
      </c>
      <c r="H173" s="556"/>
      <c r="I173" s="556" t="s">
        <v>69</v>
      </c>
      <c r="J173" s="556"/>
      <c r="K173" s="556" t="s">
        <v>27</v>
      </c>
      <c r="L173" s="556"/>
      <c r="M173" s="556" t="s">
        <v>91</v>
      </c>
      <c r="N173" s="557"/>
      <c r="O173" s="555" t="s">
        <v>67</v>
      </c>
      <c r="P173" s="556"/>
      <c r="Q173" s="556" t="s">
        <v>68</v>
      </c>
      <c r="R173" s="556"/>
      <c r="S173" s="556" t="s">
        <v>69</v>
      </c>
      <c r="T173" s="556"/>
      <c r="U173" s="556" t="s">
        <v>27</v>
      </c>
      <c r="V173" s="556"/>
      <c r="W173" s="556" t="s">
        <v>91</v>
      </c>
      <c r="X173" s="557"/>
    </row>
    <row r="174" spans="3:27" ht="18">
      <c r="C174" s="211" t="str">
        <f>C168</f>
        <v>Case 1</v>
      </c>
      <c r="D174" s="215" t="s">
        <v>190</v>
      </c>
      <c r="E174" s="578">
        <f>E64*$K$163</f>
        <v>-12.869968660140792</v>
      </c>
      <c r="F174" s="573"/>
      <c r="G174" s="573">
        <f t="shared" ref="G174" si="47">G64*$K$163</f>
        <v>-10.015415975198241</v>
      </c>
      <c r="H174" s="573"/>
      <c r="I174" s="573">
        <f t="shared" ref="I174" si="48">I64*$K$163</f>
        <v>-5.5224333265467234</v>
      </c>
      <c r="J174" s="573"/>
      <c r="K174" s="573">
        <f t="shared" ref="K174" si="49">K64*$K$163</f>
        <v>-5.803359316751262</v>
      </c>
      <c r="L174" s="573"/>
      <c r="M174" s="573">
        <f t="shared" ref="M174" si="50">M64*$K$163</f>
        <v>-7.4889138352430527</v>
      </c>
      <c r="N174" s="574"/>
      <c r="O174" s="578">
        <f t="shared" ref="O174" si="51">O64*$K$163</f>
        <v>-12.869968660140792</v>
      </c>
      <c r="P174" s="573"/>
      <c r="Q174" s="573">
        <f t="shared" ref="Q174" si="52">Q64*$K$163</f>
        <v>-10.015415975198241</v>
      </c>
      <c r="R174" s="573"/>
      <c r="S174" s="573">
        <f t="shared" ref="S174" si="53">S64*$K$163</f>
        <v>-5.5224333265467234</v>
      </c>
      <c r="T174" s="573"/>
      <c r="U174" s="573">
        <f t="shared" ref="U174" si="54">U64*$K$163</f>
        <v>-5.803359316751262</v>
      </c>
      <c r="V174" s="573"/>
      <c r="W174" s="573">
        <f t="shared" ref="W174" si="55">W64*$K$163</f>
        <v>-7.4889138352430527</v>
      </c>
      <c r="X174" s="574"/>
    </row>
    <row r="175" spans="3:27" ht="18">
      <c r="C175" s="213" t="str">
        <f>C169</f>
        <v>Case 2</v>
      </c>
      <c r="D175" s="216" t="s">
        <v>190</v>
      </c>
      <c r="E175" s="575">
        <f t="shared" ref="E175" si="56">E65*$K$163</f>
        <v>2.1531543423101436</v>
      </c>
      <c r="F175" s="576"/>
      <c r="G175" s="576">
        <f t="shared" ref="G175" si="57">G65*$K$163</f>
        <v>2.1531543423101436</v>
      </c>
      <c r="H175" s="576"/>
      <c r="I175" s="576">
        <f t="shared" ref="I175" si="58">I65*$K$163</f>
        <v>2.1531543423101436</v>
      </c>
      <c r="J175" s="576"/>
      <c r="K175" s="576">
        <f t="shared" ref="K175" si="59">K65*$K$163</f>
        <v>0</v>
      </c>
      <c r="L175" s="576"/>
      <c r="M175" s="576">
        <f>M65*$K$163</f>
        <v>2.6207537155956069</v>
      </c>
      <c r="N175" s="577"/>
      <c r="O175" s="575">
        <f t="shared" ref="O175" si="60">O65*$K$163</f>
        <v>2.1531543423101436</v>
      </c>
      <c r="P175" s="576"/>
      <c r="Q175" s="576">
        <f t="shared" ref="Q175" si="61">Q65*$K$163</f>
        <v>2.1531543423101436</v>
      </c>
      <c r="R175" s="576"/>
      <c r="S175" s="576">
        <f t="shared" ref="S175" si="62">S65*$K$163</f>
        <v>2.1531543423101436</v>
      </c>
      <c r="T175" s="576"/>
      <c r="U175" s="576">
        <f t="shared" ref="U175" si="63">U65*$K$163</f>
        <v>0</v>
      </c>
      <c r="V175" s="576"/>
      <c r="W175" s="576">
        <f t="shared" ref="W175" si="64">W65*$K$163</f>
        <v>2.6207537155956069</v>
      </c>
      <c r="X175" s="577"/>
    </row>
  </sheetData>
  <mergeCells count="583">
    <mergeCell ref="W174:X174"/>
    <mergeCell ref="E175:F175"/>
    <mergeCell ref="G175:H175"/>
    <mergeCell ref="I175:J175"/>
    <mergeCell ref="K175:L175"/>
    <mergeCell ref="M175:N175"/>
    <mergeCell ref="O175:P175"/>
    <mergeCell ref="Q175:R175"/>
    <mergeCell ref="S175:T175"/>
    <mergeCell ref="U175:V175"/>
    <mergeCell ref="W175:X175"/>
    <mergeCell ref="E174:F174"/>
    <mergeCell ref="G174:H174"/>
    <mergeCell ref="I174:J174"/>
    <mergeCell ref="K174:L174"/>
    <mergeCell ref="M174:N174"/>
    <mergeCell ref="O174:P174"/>
    <mergeCell ref="Q174:R174"/>
    <mergeCell ref="S174:T174"/>
    <mergeCell ref="U174:V174"/>
    <mergeCell ref="C171:X171"/>
    <mergeCell ref="C172:D173"/>
    <mergeCell ref="E172:N172"/>
    <mergeCell ref="O172:X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S168:T168"/>
    <mergeCell ref="E169:F169"/>
    <mergeCell ref="G169:H169"/>
    <mergeCell ref="I169:J169"/>
    <mergeCell ref="K169:L169"/>
    <mergeCell ref="M169:N169"/>
    <mergeCell ref="O169:P169"/>
    <mergeCell ref="Q169:R169"/>
    <mergeCell ref="S169:T169"/>
    <mergeCell ref="E168:F168"/>
    <mergeCell ref="G168:H168"/>
    <mergeCell ref="I168:J168"/>
    <mergeCell ref="K168:L168"/>
    <mergeCell ref="M168:N168"/>
    <mergeCell ref="O168:P168"/>
    <mergeCell ref="Q168:R168"/>
    <mergeCell ref="C16:F16"/>
    <mergeCell ref="C165:T165"/>
    <mergeCell ref="C166:D167"/>
    <mergeCell ref="E166:L166"/>
    <mergeCell ref="M166:T166"/>
    <mergeCell ref="E167:F167"/>
    <mergeCell ref="G167:H167"/>
    <mergeCell ref="I167:J167"/>
    <mergeCell ref="K167:L167"/>
    <mergeCell ref="M167:N167"/>
    <mergeCell ref="O167:P167"/>
    <mergeCell ref="Q167:R167"/>
    <mergeCell ref="S167:T167"/>
    <mergeCell ref="I163:J163"/>
    <mergeCell ref="K163:L163"/>
    <mergeCell ref="M163:N163"/>
    <mergeCell ref="G35:H35"/>
    <mergeCell ref="I35:J35"/>
    <mergeCell ref="C24:N24"/>
    <mergeCell ref="G16:I16"/>
    <mergeCell ref="J16:N16"/>
    <mergeCell ref="K19:L19"/>
    <mergeCell ref="M19:N19"/>
    <mergeCell ref="S32:T32"/>
    <mergeCell ref="C13:N13"/>
    <mergeCell ref="B5:AB5"/>
    <mergeCell ref="C79:AA79"/>
    <mergeCell ref="C99:AA99"/>
    <mergeCell ref="C119:AA119"/>
    <mergeCell ref="C141:AA141"/>
    <mergeCell ref="AC7:AC10"/>
    <mergeCell ref="C7:U10"/>
    <mergeCell ref="C34:AA34"/>
    <mergeCell ref="I32:J32"/>
    <mergeCell ref="C71:D71"/>
    <mergeCell ref="E71:F71"/>
    <mergeCell ref="G71:H71"/>
    <mergeCell ref="C69:D70"/>
    <mergeCell ref="E69:F70"/>
    <mergeCell ref="G69:H70"/>
    <mergeCell ref="C68:X68"/>
    <mergeCell ref="C67:X67"/>
    <mergeCell ref="C14:F14"/>
    <mergeCell ref="J14:N14"/>
    <mergeCell ref="C15:F15"/>
    <mergeCell ref="G15:I15"/>
    <mergeCell ref="J15:N15"/>
    <mergeCell ref="R15:Y15"/>
    <mergeCell ref="B6:R6"/>
    <mergeCell ref="S6:AA6"/>
    <mergeCell ref="AC53:AH53"/>
    <mergeCell ref="AC41:AG41"/>
    <mergeCell ref="AC54:AC55"/>
    <mergeCell ref="AD54:AH54"/>
    <mergeCell ref="AC42:AC43"/>
    <mergeCell ref="AD42:AG42"/>
    <mergeCell ref="V7:X10"/>
    <mergeCell ref="Y7:AA10"/>
    <mergeCell ref="AD11:AH11"/>
    <mergeCell ref="M29:N29"/>
    <mergeCell ref="O29:P29"/>
    <mergeCell ref="Q29:R29"/>
    <mergeCell ref="S29:T29"/>
    <mergeCell ref="K30:L30"/>
    <mergeCell ref="M30:N30"/>
    <mergeCell ref="O30:P30"/>
    <mergeCell ref="Q30:R30"/>
    <mergeCell ref="S30:T30"/>
    <mergeCell ref="K18:L18"/>
    <mergeCell ref="R19:Y19"/>
    <mergeCell ref="K21:L21"/>
    <mergeCell ref="M21:N21"/>
    <mergeCell ref="I31:J31"/>
    <mergeCell ref="M18:N18"/>
    <mergeCell ref="K23:L23"/>
    <mergeCell ref="M23:N23"/>
    <mergeCell ref="AJ53:AO53"/>
    <mergeCell ref="K22:L22"/>
    <mergeCell ref="M22:N22"/>
    <mergeCell ref="P24:Z24"/>
    <mergeCell ref="P25:Z25"/>
    <mergeCell ref="K20:L20"/>
    <mergeCell ref="M20:N20"/>
    <mergeCell ref="C41:T41"/>
    <mergeCell ref="C53:X53"/>
    <mergeCell ref="G47:H47"/>
    <mergeCell ref="I47:J47"/>
    <mergeCell ref="K47:L47"/>
    <mergeCell ref="E45:F45"/>
    <mergeCell ref="G45:H45"/>
    <mergeCell ref="I45:J45"/>
    <mergeCell ref="E44:F44"/>
    <mergeCell ref="G43:H43"/>
    <mergeCell ref="I43:J43"/>
    <mergeCell ref="AJ54:AJ55"/>
    <mergeCell ref="AK54:AO54"/>
    <mergeCell ref="M28:N28"/>
    <mergeCell ref="E26:F26"/>
    <mergeCell ref="J26:K26"/>
    <mergeCell ref="L26:M26"/>
    <mergeCell ref="E27:F27"/>
    <mergeCell ref="J27:K27"/>
    <mergeCell ref="L27:M27"/>
    <mergeCell ref="G26:H26"/>
    <mergeCell ref="G27:H27"/>
    <mergeCell ref="P26:Z26"/>
    <mergeCell ref="P27:Z27"/>
    <mergeCell ref="C35:F36"/>
    <mergeCell ref="O48:P48"/>
    <mergeCell ref="Q48:R48"/>
    <mergeCell ref="S48:T48"/>
    <mergeCell ref="Q31:R31"/>
    <mergeCell ref="S31:T31"/>
    <mergeCell ref="C32:H32"/>
    <mergeCell ref="K32:L32"/>
    <mergeCell ref="M32:N32"/>
    <mergeCell ref="O32:P32"/>
    <mergeCell ref="Q32:R32"/>
    <mergeCell ref="E43:F43"/>
    <mergeCell ref="K43:L43"/>
    <mergeCell ref="O46:P46"/>
    <mergeCell ref="Q46:R46"/>
    <mergeCell ref="S46:T46"/>
    <mergeCell ref="O47:P47"/>
    <mergeCell ref="Q47:R47"/>
    <mergeCell ref="S47:T47"/>
    <mergeCell ref="G44:H44"/>
    <mergeCell ref="I44:J44"/>
    <mergeCell ref="K44:L44"/>
    <mergeCell ref="M43:N43"/>
    <mergeCell ref="O43:P43"/>
    <mergeCell ref="Q43:R43"/>
    <mergeCell ref="S43:T43"/>
    <mergeCell ref="M44:N44"/>
    <mergeCell ref="O44:P44"/>
    <mergeCell ref="Q44:R44"/>
    <mergeCell ref="S44:T44"/>
    <mergeCell ref="M45:N45"/>
    <mergeCell ref="O45:P45"/>
    <mergeCell ref="Q45:R45"/>
    <mergeCell ref="S45:T45"/>
    <mergeCell ref="E47:F47"/>
    <mergeCell ref="E57:F57"/>
    <mergeCell ref="E61:F61"/>
    <mergeCell ref="E60:F60"/>
    <mergeCell ref="M50:N50"/>
    <mergeCell ref="M51:N51"/>
    <mergeCell ref="E54:N54"/>
    <mergeCell ref="O49:P49"/>
    <mergeCell ref="Q49:R49"/>
    <mergeCell ref="S49:T49"/>
    <mergeCell ref="O50:P50"/>
    <mergeCell ref="Q50:R50"/>
    <mergeCell ref="S50:T50"/>
    <mergeCell ref="E56:F56"/>
    <mergeCell ref="E55:F55"/>
    <mergeCell ref="G55:H55"/>
    <mergeCell ref="I55:J55"/>
    <mergeCell ref="K55:L55"/>
    <mergeCell ref="M55:N55"/>
    <mergeCell ref="Q51:R51"/>
    <mergeCell ref="S51:T51"/>
    <mergeCell ref="S59:T59"/>
    <mergeCell ref="O60:P60"/>
    <mergeCell ref="Q60:R60"/>
    <mergeCell ref="S60:T60"/>
    <mergeCell ref="E59:F59"/>
    <mergeCell ref="G59:H59"/>
    <mergeCell ref="I59:J59"/>
    <mergeCell ref="K59:L59"/>
    <mergeCell ref="M59:N59"/>
    <mergeCell ref="E58:F58"/>
    <mergeCell ref="G58:H58"/>
    <mergeCell ref="E64:F64"/>
    <mergeCell ref="G64:H64"/>
    <mergeCell ref="I64:J64"/>
    <mergeCell ref="E62:F62"/>
    <mergeCell ref="M64:N64"/>
    <mergeCell ref="I62:J62"/>
    <mergeCell ref="K62:L62"/>
    <mergeCell ref="M62:N62"/>
    <mergeCell ref="G61:H61"/>
    <mergeCell ref="I61:J61"/>
    <mergeCell ref="K61:L61"/>
    <mergeCell ref="G60:H60"/>
    <mergeCell ref="I60:J60"/>
    <mergeCell ref="K60:L60"/>
    <mergeCell ref="M60:N60"/>
    <mergeCell ref="M61:N61"/>
    <mergeCell ref="E65:F65"/>
    <mergeCell ref="G65:H65"/>
    <mergeCell ref="I65:J65"/>
    <mergeCell ref="K65:L65"/>
    <mergeCell ref="M65:N65"/>
    <mergeCell ref="E63:F63"/>
    <mergeCell ref="G63:H63"/>
    <mergeCell ref="I63:J63"/>
    <mergeCell ref="K63:L63"/>
    <mergeCell ref="M63:N63"/>
    <mergeCell ref="K56:L56"/>
    <mergeCell ref="M56:N56"/>
    <mergeCell ref="G57:H57"/>
    <mergeCell ref="I57:J57"/>
    <mergeCell ref="K57:L57"/>
    <mergeCell ref="M57:N57"/>
    <mergeCell ref="I58:J58"/>
    <mergeCell ref="K58:L58"/>
    <mergeCell ref="G56:H56"/>
    <mergeCell ref="I56:J56"/>
    <mergeCell ref="M58:N58"/>
    <mergeCell ref="F81:I81"/>
    <mergeCell ref="J81:O81"/>
    <mergeCell ref="P81:X81"/>
    <mergeCell ref="E51:F51"/>
    <mergeCell ref="G51:H51"/>
    <mergeCell ref="I51:J51"/>
    <mergeCell ref="K51:L51"/>
    <mergeCell ref="E50:F50"/>
    <mergeCell ref="G50:H50"/>
    <mergeCell ref="I50:J50"/>
    <mergeCell ref="K50:L50"/>
    <mergeCell ref="M66:N66"/>
    <mergeCell ref="O70:P70"/>
    <mergeCell ref="K71:L71"/>
    <mergeCell ref="K69:L70"/>
    <mergeCell ref="I69:J70"/>
    <mergeCell ref="M69:R69"/>
    <mergeCell ref="S69:X69"/>
    <mergeCell ref="S70:T70"/>
    <mergeCell ref="U70:V70"/>
    <mergeCell ref="W70:X70"/>
    <mergeCell ref="S71:T71"/>
    <mergeCell ref="U71:V71"/>
    <mergeCell ref="W71:X71"/>
    <mergeCell ref="AD82:AE82"/>
    <mergeCell ref="AI82:AJ82"/>
    <mergeCell ref="AD83:AE83"/>
    <mergeCell ref="AI83:AJ83"/>
    <mergeCell ref="M70:N70"/>
    <mergeCell ref="O71:P71"/>
    <mergeCell ref="K45:L45"/>
    <mergeCell ref="E46:F46"/>
    <mergeCell ref="G46:H46"/>
    <mergeCell ref="I46:J46"/>
    <mergeCell ref="K46:L46"/>
    <mergeCell ref="M46:N46"/>
    <mergeCell ref="M47:N47"/>
    <mergeCell ref="M48:N48"/>
    <mergeCell ref="M49:N49"/>
    <mergeCell ref="E48:F48"/>
    <mergeCell ref="G48:H48"/>
    <mergeCell ref="I48:J48"/>
    <mergeCell ref="K48:L48"/>
    <mergeCell ref="E49:F49"/>
    <mergeCell ref="G49:H49"/>
    <mergeCell ref="I49:J49"/>
    <mergeCell ref="K49:L49"/>
    <mergeCell ref="I71:J71"/>
    <mergeCell ref="P87:X87"/>
    <mergeCell ref="AK88:AK92"/>
    <mergeCell ref="AL88:AL92"/>
    <mergeCell ref="E82:E85"/>
    <mergeCell ref="F82:I82"/>
    <mergeCell ref="P82:S83"/>
    <mergeCell ref="T82:X83"/>
    <mergeCell ref="F83:I83"/>
    <mergeCell ref="F84:I84"/>
    <mergeCell ref="J85:O85"/>
    <mergeCell ref="P85:X85"/>
    <mergeCell ref="J92:O92"/>
    <mergeCell ref="P92:X92"/>
    <mergeCell ref="AC88:AC92"/>
    <mergeCell ref="AD88:AD92"/>
    <mergeCell ref="AJ88:AJ92"/>
    <mergeCell ref="P89:X89"/>
    <mergeCell ref="E90:E93"/>
    <mergeCell ref="F90:I90"/>
    <mergeCell ref="P86:X86"/>
    <mergeCell ref="AC93:AC95"/>
    <mergeCell ref="E94:E97"/>
    <mergeCell ref="J94:O94"/>
    <mergeCell ref="P94:X94"/>
    <mergeCell ref="F88:I89"/>
    <mergeCell ref="J88:O88"/>
    <mergeCell ref="J89:O89"/>
    <mergeCell ref="E86:E89"/>
    <mergeCell ref="F86:I86"/>
    <mergeCell ref="J86:O86"/>
    <mergeCell ref="F87:I87"/>
    <mergeCell ref="J87:O87"/>
    <mergeCell ref="C87:D88"/>
    <mergeCell ref="F95:I95"/>
    <mergeCell ref="F96:I96"/>
    <mergeCell ref="F97:I97"/>
    <mergeCell ref="J90:O90"/>
    <mergeCell ref="F91:I91"/>
    <mergeCell ref="F92:I92"/>
    <mergeCell ref="F93:I93"/>
    <mergeCell ref="J93:O93"/>
    <mergeCell ref="P93:X93"/>
    <mergeCell ref="Y102:Y105"/>
    <mergeCell ref="AC102:AC103"/>
    <mergeCell ref="U103:X103"/>
    <mergeCell ref="U104:X104"/>
    <mergeCell ref="AC104:AC105"/>
    <mergeCell ref="F105:N105"/>
    <mergeCell ref="O105:T105"/>
    <mergeCell ref="F101:N101"/>
    <mergeCell ref="O101:T101"/>
    <mergeCell ref="U101:X101"/>
    <mergeCell ref="F102:I103"/>
    <mergeCell ref="J102:N103"/>
    <mergeCell ref="O102:T104"/>
    <mergeCell ref="U102:X102"/>
    <mergeCell ref="F106:N106"/>
    <mergeCell ref="O106:T106"/>
    <mergeCell ref="U106:X106"/>
    <mergeCell ref="Y106:Y109"/>
    <mergeCell ref="F107:N107"/>
    <mergeCell ref="O107:T107"/>
    <mergeCell ref="U107:X107"/>
    <mergeCell ref="O108:T108"/>
    <mergeCell ref="U108:X109"/>
    <mergeCell ref="Z107:Z108"/>
    <mergeCell ref="AD114:AL114"/>
    <mergeCell ref="F115:N115"/>
    <mergeCell ref="O115:T115"/>
    <mergeCell ref="U115:X115"/>
    <mergeCell ref="AD115:AL115"/>
    <mergeCell ref="U116:X116"/>
    <mergeCell ref="AC111:AC113"/>
    <mergeCell ref="U112:X112"/>
    <mergeCell ref="F113:N113"/>
    <mergeCell ref="O113:T113"/>
    <mergeCell ref="U113:X113"/>
    <mergeCell ref="F114:N114"/>
    <mergeCell ref="O114:T114"/>
    <mergeCell ref="Y114:Y117"/>
    <mergeCell ref="U117:X117"/>
    <mergeCell ref="F109:N109"/>
    <mergeCell ref="O109:T109"/>
    <mergeCell ref="O110:T110"/>
    <mergeCell ref="U110:X110"/>
    <mergeCell ref="Y110:Y113"/>
    <mergeCell ref="O111:T112"/>
    <mergeCell ref="U111:X111"/>
    <mergeCell ref="AD124:AE124"/>
    <mergeCell ref="AI124:AJ124"/>
    <mergeCell ref="AD125:AE125"/>
    <mergeCell ref="AI125:AJ125"/>
    <mergeCell ref="Y121:Y126"/>
    <mergeCell ref="F123:X123"/>
    <mergeCell ref="F124:X124"/>
    <mergeCell ref="F125:X125"/>
    <mergeCell ref="Y136:Y138"/>
    <mergeCell ref="F137:I137"/>
    <mergeCell ref="J137:T137"/>
    <mergeCell ref="U137:X137"/>
    <mergeCell ref="F138:I138"/>
    <mergeCell ref="J138:T138"/>
    <mergeCell ref="U138:X138"/>
    <mergeCell ref="F127:X127"/>
    <mergeCell ref="Y127:Y129"/>
    <mergeCell ref="F128:X128"/>
    <mergeCell ref="F129:X129"/>
    <mergeCell ref="F130:X130"/>
    <mergeCell ref="Y130:Y135"/>
    <mergeCell ref="F132:X132"/>
    <mergeCell ref="F133:X133"/>
    <mergeCell ref="F134:X134"/>
    <mergeCell ref="F135:X135"/>
    <mergeCell ref="F139:I139"/>
    <mergeCell ref="J139:T139"/>
    <mergeCell ref="U139:X139"/>
    <mergeCell ref="F143:I143"/>
    <mergeCell ref="J143:T143"/>
    <mergeCell ref="U143:X143"/>
    <mergeCell ref="F136:I136"/>
    <mergeCell ref="J136:T136"/>
    <mergeCell ref="U136:X136"/>
    <mergeCell ref="F144:I144"/>
    <mergeCell ref="J144:T144"/>
    <mergeCell ref="U144:X144"/>
    <mergeCell ref="Y144:Y146"/>
    <mergeCell ref="F145:I145"/>
    <mergeCell ref="J145:T145"/>
    <mergeCell ref="U145:X145"/>
    <mergeCell ref="F146:I146"/>
    <mergeCell ref="J146:T146"/>
    <mergeCell ref="U146:X146"/>
    <mergeCell ref="Y156:Y160"/>
    <mergeCell ref="F157:X157"/>
    <mergeCell ref="F158:X158"/>
    <mergeCell ref="F159:X159"/>
    <mergeCell ref="Y147:Y152"/>
    <mergeCell ref="F148:X148"/>
    <mergeCell ref="F149:X149"/>
    <mergeCell ref="F150:X150"/>
    <mergeCell ref="F152:X152"/>
    <mergeCell ref="F153:X153"/>
    <mergeCell ref="Y153:Y155"/>
    <mergeCell ref="F154:X154"/>
    <mergeCell ref="F155:X155"/>
    <mergeCell ref="M71:N71"/>
    <mergeCell ref="Q70:R70"/>
    <mergeCell ref="Q71:R71"/>
    <mergeCell ref="E42:L42"/>
    <mergeCell ref="M42:T42"/>
    <mergeCell ref="Q36:R36"/>
    <mergeCell ref="M36:N36"/>
    <mergeCell ref="O36:P36"/>
    <mergeCell ref="C38:F39"/>
    <mergeCell ref="G38:H38"/>
    <mergeCell ref="I38:J38"/>
    <mergeCell ref="K38:L38"/>
    <mergeCell ref="Q38:R38"/>
    <mergeCell ref="M38:N38"/>
    <mergeCell ref="O38:P38"/>
    <mergeCell ref="G39:H39"/>
    <mergeCell ref="I39:J39"/>
    <mergeCell ref="K39:L39"/>
    <mergeCell ref="Q39:R39"/>
    <mergeCell ref="M39:N39"/>
    <mergeCell ref="O39:P39"/>
    <mergeCell ref="O51:P51"/>
    <mergeCell ref="K64:L64"/>
    <mergeCell ref="G62:H62"/>
    <mergeCell ref="Q63:R63"/>
    <mergeCell ref="S63:T63"/>
    <mergeCell ref="O64:P64"/>
    <mergeCell ref="Q64:R64"/>
    <mergeCell ref="S64:T64"/>
    <mergeCell ref="O61:P61"/>
    <mergeCell ref="Q61:R61"/>
    <mergeCell ref="S61:T61"/>
    <mergeCell ref="Q62:R62"/>
    <mergeCell ref="S62:T62"/>
    <mergeCell ref="O59:P59"/>
    <mergeCell ref="Q59:R59"/>
    <mergeCell ref="U65:V65"/>
    <mergeCell ref="W65:X65"/>
    <mergeCell ref="U57:V57"/>
    <mergeCell ref="W57:X57"/>
    <mergeCell ref="U58:V58"/>
    <mergeCell ref="W58:X58"/>
    <mergeCell ref="U59:V59"/>
    <mergeCell ref="W59:X59"/>
    <mergeCell ref="U60:V60"/>
    <mergeCell ref="W60:X60"/>
    <mergeCell ref="U61:V61"/>
    <mergeCell ref="W61:X61"/>
    <mergeCell ref="O57:P57"/>
    <mergeCell ref="Q57:R57"/>
    <mergeCell ref="S57:T57"/>
    <mergeCell ref="O58:P58"/>
    <mergeCell ref="Q58:R58"/>
    <mergeCell ref="S58:T58"/>
    <mergeCell ref="O65:P65"/>
    <mergeCell ref="Q65:R65"/>
    <mergeCell ref="S65:T65"/>
    <mergeCell ref="O63:P63"/>
    <mergeCell ref="M75:N75"/>
    <mergeCell ref="O75:P75"/>
    <mergeCell ref="Q75:R75"/>
    <mergeCell ref="C73:R73"/>
    <mergeCell ref="O54:X54"/>
    <mergeCell ref="C42:D43"/>
    <mergeCell ref="C54:D55"/>
    <mergeCell ref="U62:V62"/>
    <mergeCell ref="W62:X62"/>
    <mergeCell ref="U63:V63"/>
    <mergeCell ref="W63:X63"/>
    <mergeCell ref="U64:V64"/>
    <mergeCell ref="W64:X64"/>
    <mergeCell ref="O55:P55"/>
    <mergeCell ref="Q55:R55"/>
    <mergeCell ref="S55:T55"/>
    <mergeCell ref="U55:V55"/>
    <mergeCell ref="W55:X55"/>
    <mergeCell ref="O56:P56"/>
    <mergeCell ref="Q56:R56"/>
    <mergeCell ref="S56:T56"/>
    <mergeCell ref="U56:V56"/>
    <mergeCell ref="W56:X56"/>
    <mergeCell ref="O62:P62"/>
    <mergeCell ref="AE66:AF66"/>
    <mergeCell ref="AG66:AH66"/>
    <mergeCell ref="AC66:AD67"/>
    <mergeCell ref="AI66:AK77"/>
    <mergeCell ref="C76:D77"/>
    <mergeCell ref="E76:F77"/>
    <mergeCell ref="G76:H77"/>
    <mergeCell ref="I77:J77"/>
    <mergeCell ref="K75:L75"/>
    <mergeCell ref="K74:N74"/>
    <mergeCell ref="O74:R74"/>
    <mergeCell ref="K77:L77"/>
    <mergeCell ref="M77:N77"/>
    <mergeCell ref="O77:P77"/>
    <mergeCell ref="Q77:R77"/>
    <mergeCell ref="I76:J76"/>
    <mergeCell ref="K76:L76"/>
    <mergeCell ref="M76:N76"/>
    <mergeCell ref="O76:P76"/>
    <mergeCell ref="Q76:R76"/>
    <mergeCell ref="C74:D75"/>
    <mergeCell ref="E74:F75"/>
    <mergeCell ref="G74:H75"/>
    <mergeCell ref="I74:J75"/>
    <mergeCell ref="K17:L17"/>
    <mergeCell ref="M17:N17"/>
    <mergeCell ref="C17:I17"/>
    <mergeCell ref="AC34:AE34"/>
    <mergeCell ref="AF34:AI34"/>
    <mergeCell ref="AC35:AC36"/>
    <mergeCell ref="AC38:AC39"/>
    <mergeCell ref="AF38:AI38"/>
    <mergeCell ref="AF39:AI39"/>
    <mergeCell ref="AC29:AE29"/>
    <mergeCell ref="O35:P35"/>
    <mergeCell ref="K35:L35"/>
    <mergeCell ref="Q35:R35"/>
    <mergeCell ref="M35:N35"/>
    <mergeCell ref="G36:H36"/>
    <mergeCell ref="I36:J36"/>
    <mergeCell ref="K36:L36"/>
    <mergeCell ref="K31:L31"/>
    <mergeCell ref="M31:N31"/>
    <mergeCell ref="O31:P31"/>
    <mergeCell ref="Z13:Z18"/>
    <mergeCell ref="C25:D25"/>
    <mergeCell ref="E25:F25"/>
    <mergeCell ref="M25:N25"/>
  </mergeCells>
  <conditionalFormatting sqref="F105:F107">
    <cfRule type="expression" dxfId="17" priority="4">
      <formula>AND($AG$9=2,#REF!&gt;=#REF!)</formula>
    </cfRule>
  </conditionalFormatting>
  <conditionalFormatting sqref="F107">
    <cfRule type="expression" dxfId="16" priority="5">
      <formula>AND($AG$9=2,#REF!&lt;#REF!)</formula>
    </cfRule>
  </conditionalFormatting>
  <conditionalFormatting sqref="F109">
    <cfRule type="expression" dxfId="15" priority="15">
      <formula>$AG$9=1</formula>
    </cfRule>
  </conditionalFormatting>
  <conditionalFormatting sqref="F113:F115">
    <cfRule type="expression" dxfId="14" priority="1">
      <formula>AND($AG$9=2,#REF!&gt;=#REF!)</formula>
    </cfRule>
  </conditionalFormatting>
  <conditionalFormatting sqref="F115">
    <cfRule type="expression" dxfId="13" priority="2">
      <formula>AND($AG$9=2,#REF!&lt;#REF!)</formula>
    </cfRule>
  </conditionalFormatting>
  <conditionalFormatting sqref="F153 J86:J87 J88:O91 J92 J93:O93 J94 J95:O97 O106:O107 O114:O115 O116:T117 F121 F130">
    <cfRule type="expression" dxfId="12" priority="12">
      <formula>$AG$9=2</formula>
    </cfRule>
  </conditionalFormatting>
  <conditionalFormatting sqref="F102:I104 F108:I108 F109 F110:I112 F116:I117">
    <cfRule type="expression" dxfId="11" priority="16">
      <formula>AND($AG$9=2,#REF!&gt;=#REF!)</formula>
    </cfRule>
    <cfRule type="expression" dxfId="10" priority="17">
      <formula>AND($AG$9=2,#REF!&lt;#REF!)</formula>
    </cfRule>
  </conditionalFormatting>
  <conditionalFormatting sqref="J102:N104 J108:N108 J110:N112 J116:N117 P85:P87 P88:X88 P89 P90:X91 P95:X97">
    <cfRule type="expression" dxfId="9" priority="18">
      <formula>AND($AG$9=2,#REF!&gt;=#REF!)</formula>
    </cfRule>
  </conditionalFormatting>
  <conditionalFormatting sqref="J82:O85">
    <cfRule type="expression" dxfId="8" priority="19">
      <formula>$AG$9=2</formula>
    </cfRule>
  </conditionalFormatting>
  <conditionalFormatting sqref="J89:P89">
    <cfRule type="expression" dxfId="7" priority="20">
      <formula>$AG$9=1</formula>
    </cfRule>
  </conditionalFormatting>
  <conditionalFormatting sqref="O102:T105">
    <cfRule type="expression" dxfId="6" priority="8">
      <formula>$AG$9=2</formula>
    </cfRule>
  </conditionalFormatting>
  <conditionalFormatting sqref="O108:T113">
    <cfRule type="expression" dxfId="5" priority="7">
      <formula>$AG$9=2</formula>
    </cfRule>
  </conditionalFormatting>
  <conditionalFormatting sqref="O109:T109">
    <cfRule type="expression" dxfId="4" priority="14">
      <formula>$AG$9=1</formula>
    </cfRule>
  </conditionalFormatting>
  <conditionalFormatting sqref="P92:P94">
    <cfRule type="expression" dxfId="3" priority="9">
      <formula>AND($AG$9=2,#REF!&gt;=#REF!)</formula>
    </cfRule>
  </conditionalFormatting>
  <conditionalFormatting sqref="P94 P87 P88:S88 P89 P90:S91 P95:S97">
    <cfRule type="expression" dxfId="2" priority="10">
      <formula>AND($AG$9=2,#REF!&lt;#REF!)</formula>
    </cfRule>
  </conditionalFormatting>
  <conditionalFormatting sqref="P82:S84">
    <cfRule type="expression" dxfId="1" priority="22">
      <formula>AND($AG$9=2,#REF!&lt;#REF!)</formula>
    </cfRule>
  </conditionalFormatting>
  <conditionalFormatting sqref="P82:X84">
    <cfRule type="expression" dxfId="0" priority="21">
      <formula>AND($AG$9=2,#REF!&gt;=#REF!)</formula>
    </cfRule>
  </conditionalFormatting>
  <dataValidations count="8">
    <dataValidation type="list" allowBlank="1" showInputMessage="1" showErrorMessage="1" sqref="G16:I16" xr:uid="{00000000-0002-0000-0000-000000000000}">
      <formula1>$AF$7:$AF$8</formula1>
    </dataValidation>
    <dataValidation type="list" allowBlank="1" showInputMessage="1" showErrorMessage="1" sqref="G15:I15" xr:uid="{00000000-0002-0000-0000-000001000000}">
      <formula1>$AD$7:$AD$8</formula1>
    </dataValidation>
    <dataValidation type="list" allowBlank="1" showInputMessage="1" showErrorMessage="1" sqref="E25:F25" xr:uid="{00000000-0002-0000-0000-000003000000}">
      <formula1>"I,II,III,IV,V"</formula1>
    </dataValidation>
    <dataValidation type="list" allowBlank="1" showInputMessage="1" showErrorMessage="1" sqref="M25:N25" xr:uid="{00000000-0002-0000-0000-000004000000}">
      <formula1>"A,B,C"</formula1>
    </dataValidation>
    <dataValidation type="list" allowBlank="1" showInputMessage="1" showErrorMessage="1" sqref="AC7 AB8:AB10" xr:uid="{00000000-0002-0000-0000-000002000000}">
      <formula1>$BF$7:$BH$7</formula1>
    </dataValidation>
    <dataValidation type="list" allowBlank="1" showInputMessage="1" showErrorMessage="1" sqref="K75:R75" xr:uid="{BE72C857-8D06-40CB-AC90-150991C2C588}">
      <formula1>"F,G,H,I,J"</formula1>
    </dataValidation>
    <dataValidation type="list" allowBlank="1" showInputMessage="1" showErrorMessage="1" sqref="C17:I17" xr:uid="{817F4F32-A5A1-4026-965E-44268358BB25}">
      <formula1>$AC$21:$AC$24</formula1>
    </dataValidation>
    <dataValidation type="list" allowBlank="1" showInputMessage="1" showErrorMessage="1" sqref="AF34:AI34" xr:uid="{1DF77CF8-B2E4-48BD-81DD-BDA524FFEF62}">
      <formula1>$AF$35:$AF$36</formula1>
    </dataValidation>
  </dataValidations>
  <pageMargins left="0.7" right="0.7" top="0.75" bottom="0.75" header="0.3" footer="0.3"/>
  <pageSetup scale="77" fitToHeight="0" orientation="portrait" r:id="rId1"/>
  <rowBreaks count="2" manualBreakCount="2">
    <brk id="63" min="2" max="26" man="1"/>
    <brk id="118" min="2" max="26" man="1"/>
  </rowBreaks>
  <ignoredErrors>
    <ignoredError sqref="C47:C50 C57:C64 U65" formula="1"/>
    <ignoredError sqref="J14:J16 G14 M31:T3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GustFactor</vt:lpstr>
      <vt:lpstr>TCVN</vt:lpstr>
      <vt:lpstr>Bang8_10</vt:lpstr>
      <vt:lpstr>GustFactor!Print_Area</vt:lpstr>
      <vt:lpstr>TCVN!Print_Area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2025-08-08T02:19:48Z</cp:lastPrinted>
  <dcterms:created xsi:type="dcterms:W3CDTF">2015-06-05T18:17:20Z</dcterms:created>
  <dcterms:modified xsi:type="dcterms:W3CDTF">2025-10-15T03:04:19Z</dcterms:modified>
</cp:coreProperties>
</file>