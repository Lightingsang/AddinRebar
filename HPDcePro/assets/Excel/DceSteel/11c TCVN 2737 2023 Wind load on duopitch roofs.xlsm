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BD2FF183-4664-4E3B-AEC6-ADF133A57499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GustFactor" sheetId="3" r:id="rId1"/>
    <sheet name="TCVN" sheetId="2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Area" localSheetId="1">TCVN!$B$1:$AB$153</definedName>
    <definedName name="_xlnm.Print_Titles" localSheetId="0">GustFactor!#REF!</definedName>
    <definedName name="Styp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1" i="2" l="1"/>
  <c r="V61" i="2" s="1"/>
  <c r="X61" i="2" s="1"/>
  <c r="T60" i="2"/>
  <c r="V60" i="2" s="1"/>
  <c r="X60" i="2" s="1"/>
  <c r="R61" i="2"/>
  <c r="R60" i="2"/>
  <c r="P61" i="2"/>
  <c r="P60" i="2"/>
  <c r="X57" i="2"/>
  <c r="V57" i="2"/>
  <c r="T57" i="2"/>
  <c r="R57" i="2"/>
  <c r="P57" i="2"/>
  <c r="X56" i="2"/>
  <c r="V56" i="2"/>
  <c r="T56" i="2"/>
  <c r="R56" i="2"/>
  <c r="P56" i="2"/>
  <c r="AG68" i="2"/>
  <c r="AE68" i="2" l="1"/>
  <c r="L54" i="3" l="1"/>
  <c r="J54" i="3"/>
  <c r="L53" i="3"/>
  <c r="J53" i="3"/>
  <c r="H19" i="3" s="1"/>
  <c r="L52" i="3"/>
  <c r="J52" i="3"/>
  <c r="K36" i="3"/>
  <c r="E36" i="3"/>
  <c r="K30" i="3"/>
  <c r="K29" i="3"/>
  <c r="B28" i="3"/>
  <c r="H24" i="3"/>
  <c r="H21" i="3"/>
  <c r="H20" i="3"/>
  <c r="H18" i="3"/>
  <c r="H23" i="3" s="1"/>
  <c r="H17" i="3"/>
  <c r="H22" i="3" s="1"/>
  <c r="H16" i="3"/>
  <c r="H15" i="3"/>
  <c r="H14" i="3"/>
  <c r="H13" i="3"/>
  <c r="H12" i="3"/>
  <c r="H25" i="3" s="1"/>
  <c r="H11" i="3"/>
  <c r="H10" i="3"/>
  <c r="E7" i="3"/>
  <c r="C30" i="2"/>
  <c r="C32" i="2"/>
  <c r="S32" i="2"/>
  <c r="Q32" i="2"/>
  <c r="O32" i="2"/>
  <c r="N47" i="2" s="1"/>
  <c r="S31" i="2"/>
  <c r="Q31" i="2"/>
  <c r="O31" i="2"/>
  <c r="R46" i="2" s="1"/>
  <c r="M31" i="2"/>
  <c r="J46" i="2" s="1"/>
  <c r="M32" i="2"/>
  <c r="F47" i="2" s="1"/>
  <c r="J60" i="2" l="1"/>
  <c r="N61" i="2"/>
  <c r="K40" i="3"/>
  <c r="K39" i="3" s="1"/>
  <c r="E40" i="3"/>
  <c r="E39" i="3" s="1"/>
  <c r="E37" i="3"/>
  <c r="K37" i="3"/>
  <c r="K41" i="3"/>
  <c r="K44" i="3" s="1"/>
  <c r="E41" i="3"/>
  <c r="E44" i="3" s="1"/>
  <c r="E43" i="3"/>
  <c r="E46" i="3" s="1"/>
  <c r="E42" i="3"/>
  <c r="E45" i="3" s="1"/>
  <c r="K43" i="3"/>
  <c r="K46" i="3" s="1"/>
  <c r="K42" i="3"/>
  <c r="K45" i="3" s="1"/>
  <c r="L46" i="2"/>
  <c r="H47" i="2"/>
  <c r="T46" i="2"/>
  <c r="L60" i="2"/>
  <c r="N60" i="2"/>
  <c r="J47" i="2"/>
  <c r="R47" i="2"/>
  <c r="H61" i="2"/>
  <c r="L47" i="2"/>
  <c r="T47" i="2"/>
  <c r="J61" i="2"/>
  <c r="F46" i="2"/>
  <c r="N46" i="2"/>
  <c r="F60" i="2"/>
  <c r="L61" i="2"/>
  <c r="P47" i="2"/>
  <c r="F61" i="2"/>
  <c r="H46" i="2"/>
  <c r="P46" i="2"/>
  <c r="H60" i="2"/>
  <c r="E38" i="3" l="1"/>
  <c r="E33" i="3" s="1"/>
  <c r="K38" i="3"/>
  <c r="K33" i="3" s="1"/>
  <c r="G39" i="2"/>
  <c r="G36" i="2"/>
  <c r="I36" i="2"/>
  <c r="O39" i="2"/>
  <c r="M39" i="2"/>
  <c r="O36" i="2"/>
  <c r="M36" i="2"/>
  <c r="I39" i="2"/>
  <c r="BE9" i="2"/>
  <c r="BE10" i="2" s="1"/>
  <c r="BE11" i="2" s="1"/>
  <c r="BE12" i="2" s="1"/>
  <c r="BE13" i="2" s="1"/>
  <c r="BE14" i="2" s="1"/>
  <c r="BE15" i="2" s="1"/>
  <c r="BE16" i="2" s="1"/>
  <c r="BE17" i="2" s="1"/>
  <c r="BE18" i="2" s="1"/>
  <c r="BE19" i="2" s="1"/>
  <c r="BE20" i="2" s="1"/>
  <c r="BE21" i="2" s="1"/>
  <c r="BE22" i="2" s="1"/>
  <c r="BE23" i="2" s="1"/>
  <c r="BE24" i="2" s="1"/>
  <c r="BE25" i="2" s="1"/>
  <c r="BE26" i="2" s="1"/>
  <c r="BE27" i="2" s="1"/>
  <c r="BE28" i="2" s="1"/>
  <c r="BE29" i="2" s="1"/>
  <c r="BE30" i="2" s="1"/>
  <c r="BE31" i="2" s="1"/>
  <c r="BE32" i="2" s="1"/>
  <c r="BE33" i="2" s="1"/>
  <c r="BE34" i="2" s="1"/>
  <c r="BE35" i="2" s="1"/>
  <c r="BE36" i="2" s="1"/>
  <c r="BE37" i="2" s="1"/>
  <c r="BE38" i="2" s="1"/>
  <c r="BE39" i="2" s="1"/>
  <c r="K39" i="2" a="1"/>
  <c r="K36" i="2" a="1"/>
  <c r="C132" i="2" l="1"/>
  <c r="C90" i="2"/>
  <c r="C110" i="2"/>
  <c r="BE40" i="2"/>
  <c r="BE41" i="2" s="1"/>
  <c r="BE42" i="2" s="1"/>
  <c r="BE43" i="2" s="1"/>
  <c r="C70" i="2"/>
  <c r="C29" i="2"/>
  <c r="L29" i="2"/>
  <c r="C31" i="2"/>
  <c r="C38" i="2"/>
  <c r="C35" i="2"/>
  <c r="C34" i="2"/>
  <c r="K36" i="2"/>
  <c r="K39" i="2"/>
  <c r="BE44" i="2" l="1"/>
  <c r="BE45" i="2" s="1"/>
  <c r="M22" i="2"/>
  <c r="AC51" i="2" s="1"/>
  <c r="V21" i="2"/>
  <c r="P15" i="2"/>
  <c r="R15" i="2"/>
  <c r="F143" i="2"/>
  <c r="F121" i="2"/>
  <c r="O100" i="2"/>
  <c r="F100" i="2"/>
  <c r="P80" i="2"/>
  <c r="J80" i="2"/>
  <c r="F148" i="2"/>
  <c r="F144" i="2"/>
  <c r="F118" i="2"/>
  <c r="F114" i="2"/>
  <c r="F104" i="2"/>
  <c r="F96" i="2"/>
  <c r="P83" i="2"/>
  <c r="P76" i="2"/>
  <c r="F139" i="2"/>
  <c r="F123" i="2"/>
  <c r="O104" i="2"/>
  <c r="O96" i="2"/>
  <c r="J83" i="2"/>
  <c r="J76" i="2"/>
  <c r="J135" i="2"/>
  <c r="J127" i="2"/>
  <c r="U102" i="2"/>
  <c r="U97" i="2"/>
  <c r="F82" i="2"/>
  <c r="F77" i="2"/>
  <c r="U135" i="2"/>
  <c r="F135" i="2"/>
  <c r="U127" i="2"/>
  <c r="F127" i="2"/>
  <c r="U106" i="2"/>
  <c r="U93" i="2"/>
  <c r="F86" i="2"/>
  <c r="F73" i="2"/>
  <c r="J14" i="2"/>
  <c r="G14" i="2"/>
  <c r="E26" i="2"/>
  <c r="J16" i="2"/>
  <c r="J15" i="2"/>
  <c r="N27" i="2"/>
  <c r="BE46" i="2" l="1"/>
  <c r="C41" i="2"/>
  <c r="C53" i="2"/>
  <c r="P24" i="2"/>
  <c r="AD116" i="2"/>
  <c r="AI115" i="2"/>
  <c r="AD115" i="2"/>
  <c r="AD74" i="2"/>
  <c r="AI73" i="2"/>
  <c r="AD73" i="2"/>
  <c r="C65" i="2"/>
  <c r="C64" i="2"/>
  <c r="C63" i="2"/>
  <c r="C51" i="2"/>
  <c r="C62" i="2"/>
  <c r="C50" i="2"/>
  <c r="C61" i="2"/>
  <c r="C49" i="2"/>
  <c r="C60" i="2"/>
  <c r="C48" i="2"/>
  <c r="C59" i="2"/>
  <c r="C47" i="2"/>
  <c r="K32" i="2" s="1"/>
  <c r="C58" i="2"/>
  <c r="C46" i="2"/>
  <c r="K31" i="2" s="1"/>
  <c r="C57" i="2"/>
  <c r="C56" i="2"/>
  <c r="C54" i="2"/>
  <c r="C42" i="2"/>
  <c r="AJ63" i="2"/>
  <c r="J27" i="2"/>
  <c r="N26" i="2"/>
  <c r="J26" i="2"/>
  <c r="E27" i="2"/>
  <c r="L25" i="2"/>
  <c r="C25" i="2"/>
  <c r="C24" i="2"/>
  <c r="J21" i="2"/>
  <c r="J22" i="2"/>
  <c r="J20" i="2"/>
  <c r="AC63" i="2"/>
  <c r="R19" i="2"/>
  <c r="J19" i="2"/>
  <c r="J17" i="2"/>
  <c r="J18" i="2"/>
  <c r="C16" i="2"/>
  <c r="C15" i="2"/>
  <c r="C14" i="2"/>
  <c r="Z13" i="2"/>
  <c r="C13" i="2"/>
  <c r="J12" i="2"/>
  <c r="I12" i="2"/>
  <c r="J11" i="2"/>
  <c r="I11" i="2"/>
  <c r="AD63" i="2"/>
  <c r="AL63" i="2"/>
  <c r="AN63" i="2"/>
  <c r="AG51" i="2"/>
  <c r="AG63" i="2"/>
  <c r="AF51" i="2"/>
  <c r="AH63" i="2"/>
  <c r="AE51" i="2"/>
  <c r="AD51" i="2"/>
  <c r="AE63" i="2"/>
  <c r="AM63" i="2"/>
  <c r="AF63" i="2"/>
  <c r="AK63" i="2"/>
  <c r="AO63" i="2"/>
  <c r="F56" i="2" l="1"/>
  <c r="J57" i="2"/>
  <c r="P44" i="2"/>
  <c r="F44" i="2"/>
  <c r="N44" i="2"/>
  <c r="R44" i="2"/>
  <c r="T44" i="2"/>
  <c r="Q39" i="2"/>
  <c r="J62" i="2" s="1"/>
  <c r="Q36" i="2"/>
  <c r="N49" i="2" s="1"/>
  <c r="N56" i="2"/>
  <c r="H44" i="2"/>
  <c r="H56" i="2"/>
  <c r="J44" i="2"/>
  <c r="J56" i="2"/>
  <c r="L44" i="2"/>
  <c r="L56" i="2"/>
  <c r="H57" i="2"/>
  <c r="N57" i="2"/>
  <c r="L57" i="2"/>
  <c r="F57" i="2"/>
  <c r="AI116" i="2"/>
  <c r="AI74" i="2"/>
  <c r="Y105" i="2" s="1"/>
  <c r="T58" i="2" l="1"/>
  <c r="V58" i="2"/>
  <c r="P63" i="2"/>
  <c r="V62" i="2"/>
  <c r="V59" i="2"/>
  <c r="P62" i="2"/>
  <c r="X63" i="2"/>
  <c r="X59" i="2"/>
  <c r="R58" i="2"/>
  <c r="X62" i="2"/>
  <c r="P59" i="2"/>
  <c r="R63" i="2"/>
  <c r="T62" i="2"/>
  <c r="V63" i="2"/>
  <c r="T63" i="2"/>
  <c r="T59" i="2"/>
  <c r="R62" i="2"/>
  <c r="R59" i="2"/>
  <c r="X58" i="2"/>
  <c r="P58" i="2"/>
  <c r="Y118" i="2"/>
  <c r="Y127" i="2"/>
  <c r="Y135" i="2"/>
  <c r="Y144" i="2"/>
  <c r="F59" i="2"/>
  <c r="H58" i="2"/>
  <c r="F63" i="2"/>
  <c r="H48" i="2"/>
  <c r="T48" i="2"/>
  <c r="T49" i="2"/>
  <c r="L59" i="2"/>
  <c r="H45" i="2"/>
  <c r="P45" i="2"/>
  <c r="L48" i="2"/>
  <c r="N48" i="2"/>
  <c r="L63" i="2"/>
  <c r="N59" i="2"/>
  <c r="N58" i="2"/>
  <c r="J59" i="2"/>
  <c r="H49" i="2"/>
  <c r="P48" i="2"/>
  <c r="J48" i="2"/>
  <c r="F62" i="2"/>
  <c r="N62" i="2"/>
  <c r="J63" i="2"/>
  <c r="F58" i="2"/>
  <c r="R48" i="2"/>
  <c r="H62" i="2"/>
  <c r="F49" i="2"/>
  <c r="L58" i="2"/>
  <c r="L45" i="2"/>
  <c r="T45" i="2"/>
  <c r="L62" i="2"/>
  <c r="J49" i="2"/>
  <c r="P49" i="2"/>
  <c r="F45" i="2"/>
  <c r="H59" i="2"/>
  <c r="J58" i="2"/>
  <c r="R45" i="2"/>
  <c r="H63" i="2"/>
  <c r="R49" i="2"/>
  <c r="F48" i="2"/>
  <c r="J45" i="2"/>
  <c r="N45" i="2"/>
  <c r="N51" i="2" s="1"/>
  <c r="U95" i="2" s="1"/>
  <c r="U108" i="2" s="1"/>
  <c r="L49" i="2"/>
  <c r="N63" i="2"/>
  <c r="J130" i="2"/>
  <c r="U134" i="2"/>
  <c r="E77" i="2"/>
  <c r="U92" i="2"/>
  <c r="F134" i="2"/>
  <c r="O92" i="2"/>
  <c r="E85" i="2"/>
  <c r="F72" i="2"/>
  <c r="Y93" i="2"/>
  <c r="F130" i="2"/>
  <c r="J72" i="2"/>
  <c r="U130" i="2"/>
  <c r="E73" i="2"/>
  <c r="E81" i="2"/>
  <c r="J134" i="2"/>
  <c r="Y97" i="2"/>
  <c r="Y101" i="2"/>
  <c r="T67" i="2" l="1"/>
  <c r="T66" i="2"/>
  <c r="P67" i="2"/>
  <c r="P66" i="2"/>
  <c r="R65" i="2"/>
  <c r="R64" i="2"/>
  <c r="X67" i="2"/>
  <c r="X66" i="2"/>
  <c r="V66" i="2"/>
  <c r="V67" i="2"/>
  <c r="P65" i="2"/>
  <c r="P64" i="2"/>
  <c r="X65" i="2"/>
  <c r="X64" i="2"/>
  <c r="R66" i="2"/>
  <c r="R67" i="2"/>
  <c r="V65" i="2"/>
  <c r="V64" i="2"/>
  <c r="T64" i="2"/>
  <c r="T65" i="2"/>
  <c r="F150" i="2"/>
  <c r="F146" i="2"/>
  <c r="F67" i="2"/>
  <c r="F66" i="2"/>
  <c r="F64" i="2"/>
  <c r="F65" i="2"/>
  <c r="L65" i="2"/>
  <c r="L64" i="2"/>
  <c r="N65" i="2"/>
  <c r="F120" i="2" s="1"/>
  <c r="N64" i="2"/>
  <c r="H65" i="2"/>
  <c r="J129" i="2" s="1"/>
  <c r="H64" i="2"/>
  <c r="J128" i="2" s="1"/>
  <c r="N67" i="2"/>
  <c r="N66" i="2"/>
  <c r="J67" i="2"/>
  <c r="J66" i="2"/>
  <c r="H67" i="2"/>
  <c r="H66" i="2"/>
  <c r="L67" i="2"/>
  <c r="L66" i="2"/>
  <c r="J64" i="2"/>
  <c r="J65" i="2"/>
  <c r="T50" i="2"/>
  <c r="F97" i="2" s="1"/>
  <c r="F105" i="2" s="1"/>
  <c r="N50" i="2"/>
  <c r="U94" i="2" s="1"/>
  <c r="U107" i="2" s="1"/>
  <c r="R50" i="2"/>
  <c r="O97" i="2" s="1"/>
  <c r="O105" i="2" s="1"/>
  <c r="T51" i="2"/>
  <c r="F98" i="2" s="1"/>
  <c r="F106" i="2" s="1"/>
  <c r="F141" i="2"/>
  <c r="P51" i="2"/>
  <c r="U99" i="2" s="1"/>
  <c r="U104" i="2" s="1"/>
  <c r="R51" i="2"/>
  <c r="O98" i="2" s="1"/>
  <c r="O106" i="2" s="1"/>
  <c r="P50" i="2"/>
  <c r="U98" i="2" s="1"/>
  <c r="U103" i="2" s="1"/>
  <c r="F50" i="2"/>
  <c r="F136" i="2"/>
  <c r="U136" i="2" s="1"/>
  <c r="F149" i="2"/>
  <c r="F140" i="2"/>
  <c r="F145" i="2"/>
  <c r="J136" i="2"/>
  <c r="J137" i="2"/>
  <c r="F137" i="2"/>
  <c r="U137" i="2" s="1"/>
  <c r="L50" i="2"/>
  <c r="P77" i="2" s="1"/>
  <c r="H50" i="2"/>
  <c r="F78" i="2" s="1"/>
  <c r="J50" i="2"/>
  <c r="J77" i="2" s="1"/>
  <c r="H51" i="2"/>
  <c r="F84" i="2" s="1"/>
  <c r="J51" i="2"/>
  <c r="L51" i="2"/>
  <c r="P78" i="2" s="1"/>
  <c r="F51" i="2"/>
  <c r="F75" i="2" s="1"/>
  <c r="J84" i="2" l="1"/>
  <c r="F83" i="2"/>
  <c r="P84" i="2"/>
  <c r="F87" i="2"/>
  <c r="F74" i="2"/>
  <c r="F115" i="2"/>
  <c r="F119" i="2"/>
  <c r="U129" i="2"/>
  <c r="F124" i="2"/>
  <c r="U128" i="2"/>
  <c r="F79" i="2"/>
  <c r="F129" i="2"/>
  <c r="J85" i="2"/>
  <c r="J78" i="2"/>
  <c r="F128" i="2"/>
  <c r="F88" i="2"/>
  <c r="F125" i="2"/>
  <c r="P85" i="2"/>
  <c r="F1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19" authorId="0" shapeId="0" xr:uid="{D8A84FD6-F8C3-4243-8D8F-686D970BBD2F}">
      <text>
        <r>
          <rPr>
            <b/>
            <sz val="9"/>
            <color indexed="81"/>
            <rFont val="Tahoma"/>
            <family val="2"/>
          </rPr>
          <t>[HVMT]:
Phụ lục [F.4.2]: h là chiều cao nhà tính tới đỉnh mái
Phụ lục [F.10]: Nhà có mái răng cưa thì h tính tới đỉnh cột.
Liên quan đến cao độ z, z để tính Gf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<sst xmlns="http://schemas.openxmlformats.org/spreadsheetml/2006/main" count="454" uniqueCount="321">
  <si>
    <t>Hệ số ce khi góc hướng gió 90</t>
  </si>
  <si>
    <t>VN</t>
  </si>
  <si>
    <t>RC building</t>
  </si>
  <si>
    <t>/ Nhà BTCT</t>
  </si>
  <si>
    <t>Sharp eaves</t>
  </si>
  <si>
    <t>/ Có cạnh sắc</t>
  </si>
  <si>
    <r>
      <rPr>
        <b/>
        <sz val="11"/>
        <rFont val="Arial"/>
        <family val="2"/>
      </rPr>
      <t xml:space="preserve">Góc dốc </t>
    </r>
    <r>
      <rPr>
        <b/>
        <i/>
        <sz val="11"/>
        <rFont val="Arial"/>
        <family val="2"/>
      </rPr>
      <t xml:space="preserve">α, </t>
    </r>
    <r>
      <rPr>
        <sz val="11"/>
        <rFont val="Symbol"/>
        <family val="1"/>
      </rPr>
      <t></t>
    </r>
  </si>
  <si>
    <r>
      <rPr>
        <b/>
        <sz val="11"/>
        <rFont val="Arial"/>
        <family val="2"/>
      </rPr>
      <t>Vùng</t>
    </r>
  </si>
  <si>
    <t>EN</t>
  </si>
  <si>
    <t>ENVN</t>
  </si>
  <si>
    <t>Steel building</t>
  </si>
  <si>
    <t>/ Nhà thép</t>
  </si>
  <si>
    <t>With parapets</t>
  </si>
  <si>
    <t>/ Có tường chắn mái</t>
  </si>
  <si>
    <r>
      <rPr>
        <b/>
        <sz val="11"/>
        <rFont val="Arial"/>
        <family val="2"/>
      </rPr>
      <t>F</t>
    </r>
  </si>
  <si>
    <r>
      <rPr>
        <b/>
        <sz val="11"/>
        <rFont val="Arial"/>
        <family val="2"/>
      </rPr>
      <t>G</t>
    </r>
  </si>
  <si>
    <r>
      <rPr>
        <b/>
        <sz val="11"/>
        <rFont val="Arial"/>
        <family val="2"/>
      </rPr>
      <t>H</t>
    </r>
  </si>
  <si>
    <r>
      <rPr>
        <b/>
        <sz val="11"/>
        <rFont val="Arial"/>
        <family val="2"/>
      </rPr>
      <t>I</t>
    </r>
  </si>
  <si>
    <r>
      <rPr>
        <b/>
        <sz val="11"/>
        <rFont val="Arial"/>
        <family val="2"/>
      </rPr>
      <t>J</t>
    </r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</si>
  <si>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</si>
  <si>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</si>
  <si>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</si>
  <si>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</si>
  <si>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</si>
  <si>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</si>
  <si>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</si>
  <si>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</si>
  <si>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I</t>
  </si>
  <si>
    <t>II</t>
  </si>
  <si>
    <t>III</t>
  </si>
  <si>
    <t>IV</t>
  </si>
  <si>
    <t>V</t>
  </si>
  <si>
    <t>Rev. No.</t>
  </si>
  <si>
    <t>Hiệu chỉnh</t>
  </si>
  <si>
    <t>Zone</t>
  </si>
  <si>
    <t>W3s,20</t>
  </si>
  <si>
    <t>Date:</t>
  </si>
  <si>
    <t>Ngày</t>
  </si>
  <si>
    <t>Design</t>
  </si>
  <si>
    <t>Thiết kế</t>
  </si>
  <si>
    <t>Wind X</t>
  </si>
  <si>
    <t xml:space="preserve">Terrain </t>
  </si>
  <si>
    <t>zg</t>
  </si>
  <si>
    <t>zmin</t>
  </si>
  <si>
    <t>a</t>
  </si>
  <si>
    <t>k(ze)max</t>
  </si>
  <si>
    <t>Check</t>
  </si>
  <si>
    <t>Kiểm tra</t>
  </si>
  <si>
    <t>A</t>
  </si>
  <si>
    <t>Design code:</t>
  </si>
  <si>
    <t>Tiêu chuẩn thiết kế:</t>
  </si>
  <si>
    <t>B [m] =</t>
  </si>
  <si>
    <t>B</t>
  </si>
  <si>
    <t>TCVN 2737:2023 Loads and Action - Design standard</t>
  </si>
  <si>
    <t>TCVN 2737:2023 Tải trọng và tác động - Tiêu chuẩn thiết kế</t>
  </si>
  <si>
    <t>L [m] =</t>
  </si>
  <si>
    <t>C</t>
  </si>
  <si>
    <t>Section F.2.1 Flat roofs are defined as having a angle</t>
  </si>
  <si>
    <t>Mục F.2.1 Mái bằng khi có góc dốc</t>
  </si>
  <si>
    <t>h [m] =</t>
  </si>
  <si>
    <t>BUILDING (STRUCTURE) DATA</t>
  </si>
  <si>
    <t>DỮ LIỆU CÔNG TRÌNH</t>
  </si>
  <si>
    <t>BUILDING (STRUCTURE) DATA / DỮ LIỆU CÔNG TRÌNH</t>
  </si>
  <si>
    <t>Structure:</t>
  </si>
  <si>
    <t>Kết cấu:</t>
  </si>
  <si>
    <t>Structure / Kết cấu:</t>
  </si>
  <si>
    <t>Wind Y</t>
  </si>
  <si>
    <t>F</t>
  </si>
  <si>
    <t>G</t>
  </si>
  <si>
    <t>H</t>
  </si>
  <si>
    <t>Flat roof</t>
  </si>
  <si>
    <t>Mái bằng</t>
  </si>
  <si>
    <t>i =</t>
  </si>
  <si>
    <t>Structural type:</t>
  </si>
  <si>
    <t>Loại kết cấu:</t>
  </si>
  <si>
    <t>Structural type / Loại:</t>
  </si>
  <si>
    <t>Type of roof:</t>
  </si>
  <si>
    <t>Loại mái:</t>
  </si>
  <si>
    <t>Roof type / Loại mái:</t>
  </si>
  <si>
    <t>Roof / building width</t>
  </si>
  <si>
    <t>Chiều rộng nhà / mái</t>
  </si>
  <si>
    <t>Roof width / Chiều rộng mái</t>
  </si>
  <si>
    <t>Roof / building length</t>
  </si>
  <si>
    <t>Chiều dài nhà / mái</t>
  </si>
  <si>
    <t>Roof length / Chiều dài mái</t>
  </si>
  <si>
    <t>Building height</t>
  </si>
  <si>
    <t>Chiều cao nhà</t>
  </si>
  <si>
    <t>Building height / Chiều cao nhà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</si>
  <si>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</si>
  <si>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</si>
  <si>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</si>
  <si>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t>J</t>
  </si>
  <si>
    <t>Parapet height</t>
  </si>
  <si>
    <t>Chiều cao tường chắn</t>
  </si>
  <si>
    <t>Parapet height / Chiều cao tường chắn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</si>
  <si>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</si>
  <si>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</si>
  <si>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</si>
  <si>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</si>
  <si>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</si>
  <si>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</si>
  <si>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</si>
  <si>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</si>
  <si>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</si>
  <si>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Gust Effect factor / Hệ số hiệu ứng giật</t>
  </si>
  <si>
    <t>SITE DATA</t>
  </si>
  <si>
    <t>DỮ LIỆU ĐỊA ĐIỂM</t>
  </si>
  <si>
    <t>SITE DATA / DỮ LIỆU ĐỊA ĐIỂM</t>
  </si>
  <si>
    <t>Vùng</t>
  </si>
  <si>
    <t>Zone / Vùng</t>
  </si>
  <si>
    <t>Site terrain type:</t>
  </si>
  <si>
    <t>Dạng địa hình</t>
  </si>
  <si>
    <t>Site terrain type / Dạng địa hình:</t>
  </si>
  <si>
    <t>COEFFICIENTS AND FACTORS</t>
  </si>
  <si>
    <t>HỆ SỐ</t>
  </si>
  <si>
    <t>FACTORS / HỆ SỐ</t>
  </si>
  <si>
    <t>Internal pressure coefficient</t>
  </si>
  <si>
    <t>Hệ số khí động áp lực bên trong</t>
  </si>
  <si>
    <t>Case 1</t>
  </si>
  <si>
    <t>Trường hợp 1</t>
  </si>
  <si>
    <t>Case 1 / TH1</t>
  </si>
  <si>
    <t>Case 2</t>
  </si>
  <si>
    <t>Trường hợp 2</t>
  </si>
  <si>
    <t>Case 2 / TH2</t>
  </si>
  <si>
    <t>CALCULATIONS: WIND PRESSURES FOR ROOF</t>
  </si>
  <si>
    <t>TÍNH TOÁN ÁP LỰC GIÓ</t>
  </si>
  <si>
    <t>Reference height</t>
  </si>
  <si>
    <t>Chiều cao tham chiếu</t>
  </si>
  <si>
    <t>Reference height / Chiều cao tham chiếu</t>
  </si>
  <si>
    <t xml:space="preserve">Terrain factor </t>
  </si>
  <si>
    <t>Hệ số thay đổi theo độ cao và địa hình</t>
  </si>
  <si>
    <t>Terrain factor  / Hệ số địa hình</t>
  </si>
  <si>
    <t>(Section 10.2.2)</t>
  </si>
  <si>
    <t>(Mục 10.2.2)</t>
  </si>
  <si>
    <t>TH1</t>
  </si>
  <si>
    <t>TH2</t>
  </si>
  <si>
    <t>Roof pitch angle</t>
  </si>
  <si>
    <t>Góc nghiêng mái</t>
  </si>
  <si>
    <t>Roof pitch angle / Góc nghiêng mái</t>
  </si>
  <si>
    <t>Roof slope</t>
  </si>
  <si>
    <t>Độ dốc mái</t>
  </si>
  <si>
    <t>Roof slope / Độ dốc mái</t>
  </si>
  <si>
    <t>CALCULATIONS: WIND PRESSURES FOR ROOF (WIND X)</t>
  </si>
  <si>
    <t>TÍNH TOÁN ÁP LỰC GIÓ LÊN MÁI (PHƯƠNG X)</t>
  </si>
  <si>
    <t>CALCULATIONS: WIND PRESSURES FOR ROOF (WIND X)
TÍNH TOÁN ÁP LỰC GIÓ LÊN MÁI (PHƯƠNG X)</t>
  </si>
  <si>
    <t>b =</t>
  </si>
  <si>
    <t>(m)</t>
  </si>
  <si>
    <t>h =</t>
  </si>
  <si>
    <t>CALCULATIONS: WIND PRESSURES FOR ROOF (WIND Y)</t>
  </si>
  <si>
    <t>TÍNH TOÁN ÁP LỰC GIÓ LÊN MÁI (PHƯƠNG Y)</t>
  </si>
  <si>
    <t>CALCULATIONS: WIND PRESSURES FOR ROOF (WIND Y)
TÍNH TOÁN ÁP LỰC GIÓ LÊN MÁI (PHƯƠNG Y)</t>
  </si>
  <si>
    <t>d =</t>
  </si>
  <si>
    <t>e =</t>
  </si>
  <si>
    <t>Ridge or trough</t>
  </si>
  <si>
    <t>Đường nóc</t>
  </si>
  <si>
    <t>Ridge or trough / Đường nóc</t>
  </si>
  <si>
    <t>Zone F</t>
  </si>
  <si>
    <t/>
  </si>
  <si>
    <t>Zone H</t>
  </si>
  <si>
    <t>Zone I</t>
  </si>
  <si>
    <t>Zone G</t>
  </si>
  <si>
    <t>Zone J</t>
  </si>
  <si>
    <t>TÍNH TOÁN TẢI TRỌNG GIÓ TÁC DỤNG LÊN NHÀ MÁI DỐC HAI PHÍA</t>
  </si>
  <si>
    <t>HẠNG MỤC</t>
  </si>
  <si>
    <t>NHÀ XƯỞNG</t>
  </si>
  <si>
    <t>DIAGRAM: ZONES OF DUOPITCH ROOF / SƠ ĐỒ PHÂN CHIA VÙNG ÁP LỰC GIÓ</t>
  </si>
  <si>
    <t>DIAGRAM: ZONES OF DUOPITCH ROOF</t>
  </si>
  <si>
    <t>SƠ ĐỒ PHÂN CHIA VÙNG ÁP LỰC GIÓ</t>
  </si>
  <si>
    <t>Gió X</t>
  </si>
  <si>
    <t>Wind/Gió X</t>
  </si>
  <si>
    <t>Gió Y</t>
  </si>
  <si>
    <t>Wind/Gió Y</t>
  </si>
  <si>
    <t>Vùng F</t>
  </si>
  <si>
    <t>Zone / Vùng F</t>
  </si>
  <si>
    <t>Vùng G</t>
  </si>
  <si>
    <t>Zone / Vùng G</t>
  </si>
  <si>
    <t>Vùng H</t>
  </si>
  <si>
    <t>Zone / Vùng H</t>
  </si>
  <si>
    <t>Vùng I</t>
  </si>
  <si>
    <t>Zone / Vùng I</t>
  </si>
  <si>
    <t>Vùng J</t>
  </si>
  <si>
    <t>Zone / Vùng J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</si>
  <si>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</si>
  <si>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Hệ số áp lực trong (phụ lục F12)</t>
  </si>
  <si>
    <t>Độ hở của tường chắn</t>
  </si>
  <si>
    <t>Open ratio for each wind direction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</si>
  <si>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[m] =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</si>
  <si>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</si>
  <si>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</si>
  <si>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t>Hệ số ce khi góc hướng gió = 0 (bảng giá trị TH1)</t>
  </si>
  <si>
    <t>Hệ số ce khi góc hướng gió = 0 (bảng giá trị TH2)</t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</si>
  <si>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</si>
  <si>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</si>
  <si>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</si>
  <si>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</si>
  <si>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b (m)</t>
  </si>
  <si>
    <t>d (m)</t>
  </si>
  <si>
    <t>CALCULATION WIND PRESSURES / TÍNH TOÁN ÁP LỰC GIÓ</t>
  </si>
  <si>
    <t>CALCULATION WIND PRESSURES</t>
  </si>
  <si>
    <t>DIRECTION X</t>
  </si>
  <si>
    <t>DIRECTION Y</t>
  </si>
  <si>
    <t>PHƯƠNG X</t>
  </si>
  <si>
    <t>PHƯƠNG Y</t>
  </si>
  <si>
    <t>DIRECTION X / PHƯƠNG X</t>
  </si>
  <si>
    <t>DIRECTION Y / PHƯƠNG Y</t>
  </si>
  <si>
    <t>GIÓ Y+</t>
  </si>
  <si>
    <t>GIÓ Y-</t>
  </si>
  <si>
    <t>GIÓ X+</t>
  </si>
  <si>
    <t>GIÓ X-</t>
  </si>
  <si>
    <t>Load</t>
  </si>
  <si>
    <t>Wx+</t>
  </si>
  <si>
    <t>Wx-</t>
  </si>
  <si>
    <t>Wy+</t>
  </si>
  <si>
    <t>Wy-</t>
  </si>
  <si>
    <t>m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</si>
  <si>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</si>
  <si>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</si>
  <si>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</si>
  <si>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WIND PRESSURE ACTING ON THE SURFACES:</t>
  </si>
  <si>
    <t>ÁP LỰC GIÓ TÁC DỤNG LÊN BỀ MẶT:</t>
  </si>
  <si>
    <t>WIND PRESSURE ACTING ON THE SURFACES / ÁP LỰC GIÓ TÁC DỤNG LÊN BỀ MẶT:</t>
  </si>
  <si>
    <t>Tải trọng</t>
  </si>
  <si>
    <t>Load / Tải trọng</t>
  </si>
  <si>
    <t>DIAGRAM: ZONES OF DUOPITCH ROOF (WIND X+) / SƠ ĐỒ PHÂN CHIA VÙNG ÁP LỰC GIÓ (GIÓ X+)</t>
  </si>
  <si>
    <t>SƠ ĐỒ PHÂN CHIA VÙNG ÁP LỰC GIÓ (GIÓ X+)</t>
  </si>
  <si>
    <t>DIAGRAM: ZONES OF DUOPITCH ROOF (WIND X+)</t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</si>
  <si>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</si>
  <si>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</t>
    </r>
  </si>
  <si>
    <t>LƯU Ý: SHEET NÀY TÍNH TOÁN CHO KÈO // OY</t>
  </si>
  <si>
    <t>TÍNH TOÁN HỆ SỐ HIỆU ỨNG GIẬT Gf</t>
  </si>
  <si>
    <t>1. Dữ liệu tính toán</t>
  </si>
  <si>
    <t>Chiều cao nhà từ mặt đất (m)</t>
  </si>
  <si>
    <t>Chiều cao lan can tầng mái: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</si>
  <si>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</si>
  <si>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</si>
  <si>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</si>
  <si>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</si>
  <si>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</si>
  <si>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</si>
  <si>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</si>
  <si>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</si>
  <si>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</si>
  <si>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</si>
  <si>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</si>
  <si>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</si>
  <si>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</si>
  <si>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</si>
  <si>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</si>
  <si>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</si>
  <si>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</si>
  <si>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</si>
  <si>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</si>
  <si>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</si>
  <si>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</si>
  <si>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</si>
  <si>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</si>
  <si>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</si>
  <si>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</si>
  <si>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</si>
  <si>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</si>
  <si>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</si>
  <si>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</si>
  <si>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</si>
  <si>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</si>
  <si>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</si>
  <si>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</si>
  <si>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</si>
  <si>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</si>
  <si>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</si>
  <si>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</si>
  <si>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</si>
  <si>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</si>
  <si>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</si>
  <si>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</si>
  <si>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</si>
  <si>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</si>
  <si>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</si>
  <si>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</si>
  <si>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</si>
  <si>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</si>
  <si>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</si>
  <si>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</si>
  <si>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</si>
  <si>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</si>
  <si>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</si>
  <si>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</si>
  <si>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</si>
  <si>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</si>
  <si>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</si>
  <si>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</si>
  <si>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</si>
  <si>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</si>
  <si>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</si>
  <si>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</si>
  <si>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</si>
  <si>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</si>
  <si>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</si>
  <si>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</si>
  <si>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</si>
  <si>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</si>
  <si>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</si>
  <si>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</si>
  <si>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</si>
  <si>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Mục F.8.1 Hệ số Ce sẽ theo gió mái chính.</t>
  </si>
  <si>
    <t>TH3</t>
  </si>
  <si>
    <t>TH4</t>
  </si>
  <si>
    <r>
      <t>c</t>
    </r>
    <r>
      <rPr>
        <vertAlign val="subscript"/>
        <sz val="11"/>
        <color theme="1"/>
        <rFont val="Calibri"/>
        <family val="2"/>
        <scheme val="minor"/>
      </rPr>
      <t>e,1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</si>
  <si>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e,2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</si>
  <si>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e,1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</si>
  <si>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e,2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</si>
  <si>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i,2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</si>
  <si>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i,1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</si>
  <si>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i,1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</si>
  <si>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i,2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</si>
  <si>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e,1</t>
    </r>
    <r>
      <rPr>
        <sz val="11"/>
        <color theme="1"/>
        <rFont val="Calibri"/>
        <family val="2"/>
        <scheme val="minor"/>
      </rPr>
      <t xml:space="preserve"> - w</t>
    </r>
    <r>
      <rPr>
        <vertAlign val="subscript"/>
        <sz val="11"/>
        <color theme="1"/>
        <rFont val="Calibri"/>
        <family val="2"/>
        <scheme val="minor"/>
      </rPr>
      <t>i,1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</si>
  <si>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e,1</t>
    </r>
    <r>
      <rPr>
        <sz val="11"/>
        <color theme="1"/>
        <rFont val="Calibri"/>
        <family val="2"/>
        <scheme val="minor"/>
      </rPr>
      <t xml:space="preserve"> - w</t>
    </r>
    <r>
      <rPr>
        <vertAlign val="subscript"/>
        <sz val="11"/>
        <color theme="1"/>
        <rFont val="Calibri"/>
        <family val="2"/>
        <scheme val="minor"/>
      </rPr>
      <t>i,2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</si>
  <si>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e,2</t>
    </r>
    <r>
      <rPr>
        <sz val="11"/>
        <color theme="1"/>
        <rFont val="Calibri"/>
        <family val="2"/>
        <scheme val="minor"/>
      </rPr>
      <t xml:space="preserve"> - w</t>
    </r>
    <r>
      <rPr>
        <vertAlign val="subscript"/>
        <sz val="11"/>
        <color theme="1"/>
        <rFont val="Calibri"/>
        <family val="2"/>
        <scheme val="minor"/>
      </rPr>
      <t>i,1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</si>
  <si>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e,2</t>
    </r>
    <r>
      <rPr>
        <sz val="11"/>
        <color theme="1"/>
        <rFont val="Calibri"/>
        <family val="2"/>
        <scheme val="minor"/>
      </rPr>
      <t xml:space="preserve"> - w</t>
    </r>
    <r>
      <rPr>
        <vertAlign val="subscript"/>
        <sz val="11"/>
        <color theme="1"/>
        <rFont val="Calibri"/>
        <family val="2"/>
        <scheme val="minor"/>
      </rPr>
      <t>i,2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</si>
  <si>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- w</t>
    </r>
    <r>
      <rPr>
        <vertAlign val="subscript"/>
        <sz val="11"/>
        <color theme="1"/>
        <rFont val="Calibri"/>
        <family val="2"/>
        <scheme val="minor"/>
      </rPr>
      <t>i,1</t>
    </r>
    <r>
      <rPr>
        <sz val="11"/>
        <color theme="1"/>
        <rFont val="Calibri"/>
        <family val="2"/>
        <scheme val="minor"/>
      </rPr>
      <t>=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</si>
  <si>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- w</t>
    </r>
    <r>
      <rPr>
        <vertAlign val="subscript"/>
        <sz val="11"/>
        <color theme="1"/>
        <rFont val="Calibri"/>
        <family val="2"/>
        <scheme val="minor"/>
      </rPr>
      <t>i,2</t>
    </r>
    <r>
      <rPr>
        <sz val="11"/>
        <color theme="1"/>
        <rFont val="Calibri"/>
        <family val="2"/>
        <scheme val="minor"/>
      </rPr>
      <t>=</t>
    </r>
  </si>
  <si>
    <t>Giá trị màu vàng theo 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</si>
</sst>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name val="Arial CE"/>
      <charset val="238"/>
    </font>
    <font>
      <sz val="10"/>
      <name val="Arial"/>
      <family val="2"/>
    </font>
    <font>
      <sz val="10"/>
      <color theme="1"/>
      <name val="Arial"/>
      <family val="2"/>
    </font>
    <font>
      <b/>
      <i/>
      <sz val="11"/>
      <color indexed="8"/>
      <name val="Arial"/>
      <family val="2"/>
    </font>
    <font>
      <sz val="16"/>
      <color rgb="FFFF0000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11"/>
      <name val="Symbol"/>
      <family val="1"/>
    </font>
    <font>
      <sz val="11"/>
      <color rgb="FF000000"/>
      <name val="Arial"/>
      <family val="2"/>
    </font>
    <font>
      <sz val="11"/>
      <name val="Calibri"/>
      <family val="2"/>
      <scheme val="minor"/>
    </font>
    <font>
      <i/>
      <u/>
      <sz val="11"/>
      <name val="Calibri"/>
      <family val="2"/>
      <scheme val="minor"/>
    </font>
    <font>
      <sz val="10"/>
      <color rgb="FFFF0000"/>
      <name val="Arial"/>
      <family val="2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name val="Symbol"/>
      <family val="1"/>
      <charset val="2"/>
    </font>
    <font>
      <b/>
      <sz val="10"/>
      <color rgb="FFC0000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sz val="10"/>
      <color rgb="FFC00000"/>
      <name val="Arial"/>
      <family val="2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indexed="12"/>
      <name val="Arial"/>
      <family val="2"/>
    </font>
    <font>
      <sz val="10"/>
      <color rgb="FFFFFFFF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0"/>
      <color rgb="FF0000FF"/>
      <name val="Arial"/>
      <family val="2"/>
    </font>
    <font>
      <sz val="11"/>
      <color rgb="FF0000CC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11"/>
      <color rgb="FFFF00FF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0"/>
      <name val="Arial"/>
      <family val="2"/>
    </font>
    <font>
      <b/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20"/>
      <color theme="0"/>
      <name val="Arial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rgb="FFC00000"/>
      <name val="Arial"/>
      <family val="2"/>
    </font>
    <font>
      <b/>
      <sz val="11"/>
      <color theme="7"/>
      <name val="Arial"/>
      <family val="2"/>
    </font>
    <font>
      <b/>
      <sz val="10"/>
      <color theme="7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rgb="FF0000FF"/>
      </bottom>
      <diagonal/>
    </border>
    <border>
      <left/>
      <right/>
      <top/>
      <bottom style="hair">
        <color rgb="FF0000FF"/>
      </bottom>
      <diagonal/>
    </border>
    <border>
      <left/>
      <right style="medium">
        <color indexed="64"/>
      </right>
      <top/>
      <bottom style="hair">
        <color rgb="FF0000FF"/>
      </bottom>
      <diagonal/>
    </border>
    <border>
      <left style="medium">
        <color indexed="64"/>
      </left>
      <right/>
      <top style="hair">
        <color rgb="FF0000FF"/>
      </top>
      <bottom/>
      <diagonal/>
    </border>
    <border>
      <left/>
      <right/>
      <top style="hair">
        <color rgb="FF0000FF"/>
      </top>
      <bottom/>
      <diagonal/>
    </border>
    <border>
      <left/>
      <right style="medium">
        <color indexed="64"/>
      </right>
      <top style="hair">
        <color rgb="FF0000F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hair">
        <color rgb="FF0000FF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ck">
        <color indexed="64"/>
      </left>
      <right/>
      <top/>
      <bottom style="thick">
        <color rgb="FFFF00FF"/>
      </bottom>
      <diagonal/>
    </border>
    <border>
      <left/>
      <right/>
      <top/>
      <bottom style="thick">
        <color rgb="FFFF00FF"/>
      </bottom>
      <diagonal/>
    </border>
    <border>
      <left/>
      <right style="thick">
        <color indexed="64"/>
      </right>
      <top/>
      <bottom style="thick">
        <color rgb="FFFF00FF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medium">
        <color indexed="64"/>
      </right>
      <top/>
      <bottom style="thick">
        <color theme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rgb="FF0000FF"/>
      </bottom>
      <diagonal/>
    </border>
    <border>
      <left/>
      <right style="thin">
        <color indexed="64"/>
      </right>
      <top/>
      <bottom style="hair">
        <color rgb="FF0000FF"/>
      </bottom>
      <diagonal/>
    </border>
    <border>
      <left style="thin">
        <color indexed="64"/>
      </left>
      <right/>
      <top style="hair">
        <color rgb="FF0000FF"/>
      </top>
      <bottom/>
      <diagonal/>
    </border>
    <border>
      <left/>
      <right style="thin">
        <color indexed="64"/>
      </right>
      <top style="hair">
        <color rgb="FF0000FF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9">
    <xf numFmtId="0" fontId="0" fillId="0" borderId="0"/>
    <xf numFmtId="0" fontId="3" fillId="0" borderId="0"/>
    <xf numFmtId="49" fontId="7" fillId="0" borderId="0">
      <alignment horizontal="left" vertical="center"/>
    </xf>
    <xf numFmtId="9" fontId="5" fillId="0" borderId="0" applyFont="0" applyFill="0" applyBorder="0" applyAlignment="0" applyProtection="0"/>
    <xf numFmtId="0" fontId="5" fillId="0" borderId="0"/>
    <xf numFmtId="0" fontId="49" fillId="12" borderId="0" applyNumberFormat="0" applyBorder="0" applyAlignment="0" applyProtection="0"/>
    <xf numFmtId="0" fontId="51" fillId="0" borderId="0"/>
    <xf numFmtId="0" fontId="3" fillId="0" borderId="0"/>
    <xf numFmtId="0" fontId="50" fillId="0" borderId="0"/>
  </cellStyleXfs>
  <cellXfs count="534">
    <xf numFmtId="0" fontId="0" fillId="0" borderId="0" xfId="0"/>
    <xf numFmtId="0" fontId="4" fillId="0" borderId="0" xfId="1" applyFont="1" applyProtection="1">
      <protection hidden="1"/>
    </xf>
    <xf numFmtId="0" fontId="3" fillId="0" borderId="0" xfId="1" applyProtection="1">
      <protection hidden="1"/>
    </xf>
    <xf numFmtId="0" fontId="3" fillId="0" borderId="0" xfId="1"/>
    <xf numFmtId="0" fontId="5" fillId="4" borderId="0" xfId="1" applyFont="1" applyFill="1"/>
    <xf numFmtId="0" fontId="3" fillId="4" borderId="0" xfId="1" applyFill="1"/>
    <xf numFmtId="0" fontId="3" fillId="5" borderId="1" xfId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top" wrapText="1"/>
    </xf>
    <xf numFmtId="0" fontId="9" fillId="0" borderId="15" xfId="1" applyFont="1" applyBorder="1" applyAlignment="1">
      <alignment horizontal="center" vertical="top" wrapText="1"/>
    </xf>
    <xf numFmtId="0" fontId="5" fillId="5" borderId="1" xfId="1" applyFont="1" applyFill="1" applyBorder="1"/>
    <xf numFmtId="0" fontId="3" fillId="2" borderId="0" xfId="1" applyFill="1"/>
    <xf numFmtId="164" fontId="12" fillId="0" borderId="14" xfId="1" applyNumberFormat="1" applyFont="1" applyBorder="1" applyAlignment="1">
      <alignment horizontal="center" vertical="center" shrinkToFit="1"/>
    </xf>
    <xf numFmtId="164" fontId="12" fillId="0" borderId="1" xfId="1" applyNumberFormat="1" applyFont="1" applyBorder="1" applyAlignment="1">
      <alignment horizontal="center" vertical="top" shrinkToFit="1"/>
    </xf>
    <xf numFmtId="0" fontId="13" fillId="0" borderId="0" xfId="1" applyFont="1" applyAlignment="1" applyProtection="1">
      <alignment vertical="center"/>
      <protection hidden="1"/>
    </xf>
    <xf numFmtId="0" fontId="14" fillId="2" borderId="6" xfId="1" applyFont="1" applyFill="1" applyBorder="1" applyAlignment="1" applyProtection="1">
      <alignment horizontal="right" vertical="center"/>
      <protection hidden="1"/>
    </xf>
    <xf numFmtId="2" fontId="13" fillId="0" borderId="12" xfId="1" applyNumberFormat="1" applyFont="1" applyBorder="1" applyProtection="1">
      <protection hidden="1"/>
    </xf>
    <xf numFmtId="0" fontId="13" fillId="0" borderId="19" xfId="1" applyFont="1" applyBorder="1" applyAlignment="1" applyProtection="1">
      <alignment vertical="center"/>
      <protection hidden="1"/>
    </xf>
    <xf numFmtId="1" fontId="12" fillId="0" borderId="15" xfId="1" applyNumberFormat="1" applyFont="1" applyBorder="1" applyAlignment="1">
      <alignment horizontal="center" vertical="center" shrinkToFit="1"/>
    </xf>
    <xf numFmtId="164" fontId="12" fillId="0" borderId="15" xfId="1" applyNumberFormat="1" applyFont="1" applyBorder="1" applyAlignment="1">
      <alignment horizontal="center" vertical="center" shrinkToFit="1"/>
    </xf>
    <xf numFmtId="0" fontId="13" fillId="0" borderId="20" xfId="1" applyFont="1" applyBorder="1" applyAlignment="1" applyProtection="1">
      <alignment vertical="center"/>
      <protection hidden="1"/>
    </xf>
    <xf numFmtId="0" fontId="13" fillId="7" borderId="20" xfId="1" applyFont="1" applyFill="1" applyBorder="1" applyAlignment="1" applyProtection="1">
      <alignment vertical="center"/>
      <protection hidden="1"/>
    </xf>
    <xf numFmtId="0" fontId="3" fillId="0" borderId="1" xfId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19" fillId="6" borderId="6" xfId="1" applyFont="1" applyFill="1" applyBorder="1" applyAlignment="1" applyProtection="1">
      <alignment vertical="center"/>
      <protection locked="0"/>
    </xf>
    <xf numFmtId="0" fontId="20" fillId="2" borderId="1" xfId="1" applyFont="1" applyFill="1" applyBorder="1" applyAlignment="1">
      <alignment horizontal="center" vertical="center"/>
    </xf>
    <xf numFmtId="0" fontId="2" fillId="7" borderId="20" xfId="1" applyFont="1" applyFill="1" applyBorder="1" applyAlignment="1" applyProtection="1">
      <alignment horizontal="center" vertical="center"/>
      <protection hidden="1"/>
    </xf>
    <xf numFmtId="0" fontId="1" fillId="6" borderId="8" xfId="1" applyFont="1" applyFill="1" applyBorder="1" applyAlignment="1">
      <alignment vertical="center"/>
    </xf>
    <xf numFmtId="0" fontId="13" fillId="7" borderId="19" xfId="1" applyFont="1" applyFill="1" applyBorder="1" applyAlignment="1" applyProtection="1">
      <alignment vertical="center"/>
      <protection hidden="1"/>
    </xf>
    <xf numFmtId="0" fontId="13" fillId="7" borderId="21" xfId="1" applyFont="1" applyFill="1" applyBorder="1" applyAlignment="1" applyProtection="1">
      <alignment vertical="center"/>
      <protection hidden="1"/>
    </xf>
    <xf numFmtId="0" fontId="5" fillId="0" borderId="0" xfId="1" applyFont="1"/>
    <xf numFmtId="2" fontId="21" fillId="0" borderId="1" xfId="1" applyNumberFormat="1" applyFont="1" applyBorder="1" applyAlignment="1">
      <alignment horizontal="center" vertical="center"/>
    </xf>
    <xf numFmtId="0" fontId="1" fillId="6" borderId="17" xfId="1" applyFont="1" applyFill="1" applyBorder="1" applyAlignment="1">
      <alignment horizontal="right" vertical="center"/>
    </xf>
    <xf numFmtId="0" fontId="5" fillId="5" borderId="0" xfId="1" applyFont="1" applyFill="1"/>
    <xf numFmtId="164" fontId="12" fillId="0" borderId="14" xfId="1" applyNumberFormat="1" applyFont="1" applyBorder="1" applyAlignment="1">
      <alignment horizontal="center" vertical="top" shrinkToFit="1"/>
    </xf>
    <xf numFmtId="0" fontId="13" fillId="6" borderId="6" xfId="1" applyFont="1" applyFill="1" applyBorder="1" applyAlignment="1">
      <alignment horizontal="right" vertical="center"/>
    </xf>
    <xf numFmtId="0" fontId="13" fillId="6" borderId="6" xfId="1" applyFont="1" applyFill="1" applyBorder="1" applyAlignment="1">
      <alignment vertical="center"/>
    </xf>
    <xf numFmtId="0" fontId="13" fillId="6" borderId="8" xfId="1" applyFont="1" applyFill="1" applyBorder="1" applyAlignment="1">
      <alignment vertical="center" shrinkToFit="1"/>
    </xf>
    <xf numFmtId="2" fontId="13" fillId="6" borderId="12" xfId="1" applyNumberFormat="1" applyFont="1" applyFill="1" applyBorder="1" applyAlignment="1" applyProtection="1">
      <alignment vertical="center"/>
      <protection hidden="1"/>
    </xf>
    <xf numFmtId="1" fontId="12" fillId="0" borderId="1" xfId="1" applyNumberFormat="1" applyFont="1" applyBorder="1" applyAlignment="1">
      <alignment horizontal="center" vertical="center" shrinkToFit="1"/>
    </xf>
    <xf numFmtId="164" fontId="12" fillId="0" borderId="24" xfId="1" applyNumberFormat="1" applyFont="1" applyBorder="1" applyAlignment="1">
      <alignment horizontal="center" vertical="top" shrinkToFit="1"/>
    </xf>
    <xf numFmtId="1" fontId="12" fillId="0" borderId="13" xfId="1" applyNumberFormat="1" applyFont="1" applyBorder="1" applyAlignment="1">
      <alignment horizontal="center" vertical="top" shrinkToFit="1"/>
    </xf>
    <xf numFmtId="0" fontId="1" fillId="6" borderId="16" xfId="1" applyFont="1" applyFill="1" applyBorder="1" applyAlignment="1">
      <alignment vertical="center"/>
    </xf>
    <xf numFmtId="0" fontId="1" fillId="6" borderId="17" xfId="1" applyFont="1" applyFill="1" applyBorder="1" applyAlignment="1">
      <alignment vertical="center"/>
    </xf>
    <xf numFmtId="1" fontId="12" fillId="0" borderId="14" xfId="1" applyNumberFormat="1" applyFont="1" applyBorder="1" applyAlignment="1">
      <alignment horizontal="center" vertical="top" shrinkToFit="1"/>
    </xf>
    <xf numFmtId="2" fontId="21" fillId="0" borderId="0" xfId="1" applyNumberFormat="1" applyFont="1" applyAlignment="1">
      <alignment horizontal="center" vertical="center"/>
    </xf>
    <xf numFmtId="0" fontId="3" fillId="5" borderId="1" xfId="1" applyFill="1" applyBorder="1"/>
    <xf numFmtId="0" fontId="1" fillId="6" borderId="26" xfId="1" applyFont="1" applyFill="1" applyBorder="1" applyAlignment="1">
      <alignment vertical="center"/>
    </xf>
    <xf numFmtId="0" fontId="1" fillId="6" borderId="29" xfId="1" applyFont="1" applyFill="1" applyBorder="1" applyAlignment="1">
      <alignment vertical="center"/>
    </xf>
    <xf numFmtId="0" fontId="13" fillId="0" borderId="17" xfId="1" applyFont="1" applyBorder="1" applyAlignment="1" applyProtection="1">
      <alignment vertical="center"/>
      <protection hidden="1"/>
    </xf>
    <xf numFmtId="0" fontId="13" fillId="0" borderId="5" xfId="1" applyFont="1" applyBorder="1" applyAlignment="1" applyProtection="1">
      <alignment vertical="center"/>
      <protection hidden="1"/>
    </xf>
    <xf numFmtId="0" fontId="13" fillId="0" borderId="6" xfId="1" applyFont="1" applyBorder="1" applyAlignment="1" applyProtection="1">
      <alignment vertical="center"/>
      <protection hidden="1"/>
    </xf>
    <xf numFmtId="0" fontId="13" fillId="0" borderId="8" xfId="1" applyFont="1" applyBorder="1" applyAlignment="1" applyProtection="1">
      <alignment vertical="center"/>
      <protection hidden="1"/>
    </xf>
    <xf numFmtId="0" fontId="33" fillId="6" borderId="33" xfId="1" applyFont="1" applyFill="1" applyBorder="1" applyProtection="1">
      <protection hidden="1"/>
    </xf>
    <xf numFmtId="0" fontId="33" fillId="6" borderId="34" xfId="1" applyFont="1" applyFill="1" applyBorder="1" applyProtection="1">
      <protection hidden="1"/>
    </xf>
    <xf numFmtId="0" fontId="33" fillId="6" borderId="35" xfId="1" applyFont="1" applyFill="1" applyBorder="1" applyProtection="1">
      <protection hidden="1"/>
    </xf>
    <xf numFmtId="0" fontId="33" fillId="6" borderId="36" xfId="1" applyFont="1" applyFill="1" applyBorder="1" applyProtection="1">
      <protection hidden="1"/>
    </xf>
    <xf numFmtId="0" fontId="33" fillId="6" borderId="32" xfId="1" applyFont="1" applyFill="1" applyBorder="1" applyProtection="1">
      <protection hidden="1"/>
    </xf>
    <xf numFmtId="0" fontId="25" fillId="0" borderId="0" xfId="1" applyFont="1"/>
    <xf numFmtId="0" fontId="13" fillId="6" borderId="32" xfId="1" applyFont="1" applyFill="1" applyBorder="1" applyAlignment="1" applyProtection="1">
      <alignment vertical="top"/>
      <protection hidden="1"/>
    </xf>
    <xf numFmtId="0" fontId="32" fillId="6" borderId="36" xfId="1" applyFont="1" applyFill="1" applyBorder="1" applyAlignment="1" applyProtection="1">
      <alignment vertical="top"/>
      <protection hidden="1"/>
    </xf>
    <xf numFmtId="0" fontId="32" fillId="6" borderId="32" xfId="1" applyFont="1" applyFill="1" applyBorder="1" applyAlignment="1" applyProtection="1">
      <alignment vertical="top"/>
      <protection hidden="1"/>
    </xf>
    <xf numFmtId="0" fontId="29" fillId="0" borderId="0" xfId="1" applyFont="1"/>
    <xf numFmtId="0" fontId="13" fillId="6" borderId="32" xfId="1" applyFont="1" applyFill="1" applyBorder="1" applyProtection="1">
      <protection hidden="1"/>
    </xf>
    <xf numFmtId="0" fontId="17" fillId="0" borderId="8" xfId="1" applyFont="1" applyBorder="1" applyAlignment="1" applyProtection="1">
      <alignment vertical="center"/>
      <protection hidden="1"/>
    </xf>
    <xf numFmtId="0" fontId="31" fillId="6" borderId="32" xfId="1" applyFont="1" applyFill="1" applyBorder="1" applyAlignment="1" applyProtection="1">
      <alignment vertical="top"/>
      <protection hidden="1"/>
    </xf>
    <xf numFmtId="0" fontId="34" fillId="6" borderId="36" xfId="1" applyFont="1" applyFill="1" applyBorder="1" applyProtection="1">
      <protection hidden="1"/>
    </xf>
    <xf numFmtId="0" fontId="34" fillId="6" borderId="32" xfId="1" applyFont="1" applyFill="1" applyBorder="1" applyProtection="1">
      <protection hidden="1"/>
    </xf>
    <xf numFmtId="0" fontId="3" fillId="0" borderId="0" xfId="1" applyAlignment="1">
      <alignment vertical="center"/>
    </xf>
    <xf numFmtId="0" fontId="31" fillId="6" borderId="36" xfId="1" applyFont="1" applyFill="1" applyBorder="1" applyAlignment="1" applyProtection="1">
      <alignment vertical="top"/>
      <protection hidden="1"/>
    </xf>
    <xf numFmtId="0" fontId="31" fillId="6" borderId="43" xfId="1" applyFont="1" applyFill="1" applyBorder="1" applyAlignment="1" applyProtection="1">
      <alignment vertical="top"/>
      <protection hidden="1"/>
    </xf>
    <xf numFmtId="0" fontId="31" fillId="6" borderId="31" xfId="1" applyFont="1" applyFill="1" applyBorder="1" applyAlignment="1" applyProtection="1">
      <alignment vertical="top"/>
      <protection hidden="1"/>
    </xf>
    <xf numFmtId="0" fontId="31" fillId="6" borderId="44" xfId="1" applyFont="1" applyFill="1" applyBorder="1" applyAlignment="1" applyProtection="1">
      <alignment vertical="top"/>
      <protection hidden="1"/>
    </xf>
    <xf numFmtId="0" fontId="13" fillId="0" borderId="16" xfId="1" applyFont="1" applyBorder="1" applyAlignment="1" applyProtection="1">
      <alignment vertical="center"/>
      <protection hidden="1"/>
    </xf>
    <xf numFmtId="0" fontId="13" fillId="0" borderId="3" xfId="1" applyFont="1" applyBorder="1" applyAlignment="1" applyProtection="1">
      <alignment vertical="center"/>
      <protection hidden="1"/>
    </xf>
    <xf numFmtId="0" fontId="3" fillId="0" borderId="8" xfId="1" applyBorder="1" applyProtection="1">
      <protection hidden="1"/>
    </xf>
    <xf numFmtId="0" fontId="3" fillId="0" borderId="12" xfId="1" applyBorder="1" applyProtection="1">
      <protection hidden="1"/>
    </xf>
    <xf numFmtId="0" fontId="13" fillId="6" borderId="36" xfId="1" applyFont="1" applyFill="1" applyBorder="1" applyProtection="1">
      <protection hidden="1"/>
    </xf>
    <xf numFmtId="0" fontId="32" fillId="6" borderId="47" xfId="1" applyFont="1" applyFill="1" applyBorder="1" applyAlignment="1" applyProtection="1">
      <alignment vertical="top"/>
      <protection hidden="1"/>
    </xf>
    <xf numFmtId="0" fontId="32" fillId="6" borderId="41" xfId="1" applyFont="1" applyFill="1" applyBorder="1" applyAlignment="1" applyProtection="1">
      <alignment vertical="top"/>
      <protection hidden="1"/>
    </xf>
    <xf numFmtId="0" fontId="32" fillId="6" borderId="42" xfId="1" applyFont="1" applyFill="1" applyBorder="1" applyAlignment="1" applyProtection="1">
      <alignment vertical="top"/>
      <protection hidden="1"/>
    </xf>
    <xf numFmtId="0" fontId="25" fillId="0" borderId="0" xfId="1" applyFont="1" applyAlignment="1">
      <alignment vertical="center" textRotation="90"/>
    </xf>
    <xf numFmtId="0" fontId="31" fillId="6" borderId="20" xfId="1" applyFont="1" applyFill="1" applyBorder="1" applyAlignment="1" applyProtection="1">
      <alignment vertical="top"/>
      <protection hidden="1"/>
    </xf>
    <xf numFmtId="0" fontId="32" fillId="0" borderId="0" xfId="1" applyFont="1" applyAlignment="1">
      <alignment horizontal="center" vertical="center"/>
    </xf>
    <xf numFmtId="0" fontId="31" fillId="6" borderId="48" xfId="1" applyFont="1" applyFill="1" applyBorder="1" applyAlignment="1" applyProtection="1">
      <alignment vertical="top"/>
      <protection hidden="1"/>
    </xf>
    <xf numFmtId="0" fontId="3" fillId="0" borderId="0" xfId="1" applyAlignment="1">
      <alignment horizontal="center" vertical="center"/>
    </xf>
    <xf numFmtId="2" fontId="3" fillId="0" borderId="0" xfId="1" applyNumberFormat="1" applyAlignment="1">
      <alignment horizontal="center" vertical="center"/>
    </xf>
    <xf numFmtId="2" fontId="5" fillId="0" borderId="0" xfId="4" applyNumberFormat="1" applyAlignment="1">
      <alignment horizontal="center" vertical="center"/>
    </xf>
    <xf numFmtId="0" fontId="1" fillId="6" borderId="36" xfId="1" applyFont="1" applyFill="1" applyBorder="1" applyAlignment="1" applyProtection="1">
      <alignment horizontal="center"/>
      <protection hidden="1"/>
    </xf>
    <xf numFmtId="0" fontId="1" fillId="6" borderId="32" xfId="1" applyFont="1" applyFill="1" applyBorder="1" applyAlignment="1" applyProtection="1">
      <alignment horizontal="center"/>
      <protection hidden="1"/>
    </xf>
    <xf numFmtId="0" fontId="34" fillId="6" borderId="43" xfId="1" applyFont="1" applyFill="1" applyBorder="1" applyProtection="1">
      <protection hidden="1"/>
    </xf>
    <xf numFmtId="0" fontId="34" fillId="6" borderId="31" xfId="1" applyFont="1" applyFill="1" applyBorder="1" applyProtection="1">
      <protection hidden="1"/>
    </xf>
    <xf numFmtId="0" fontId="34" fillId="6" borderId="44" xfId="1" applyFont="1" applyFill="1" applyBorder="1" applyProtection="1">
      <protection hidden="1"/>
    </xf>
    <xf numFmtId="0" fontId="13" fillId="6" borderId="6" xfId="1" applyFont="1" applyFill="1" applyBorder="1" applyAlignment="1" applyProtection="1">
      <alignment vertical="center"/>
      <protection locked="0"/>
    </xf>
    <xf numFmtId="0" fontId="9" fillId="0" borderId="51" xfId="1" applyFont="1" applyBorder="1" applyAlignment="1">
      <alignment horizontal="center" vertical="top" wrapText="1"/>
    </xf>
    <xf numFmtId="164" fontId="12" fillId="0" borderId="51" xfId="1" applyNumberFormat="1" applyFont="1" applyBorder="1" applyAlignment="1">
      <alignment horizontal="center" vertical="center" shrinkToFit="1"/>
    </xf>
    <xf numFmtId="164" fontId="12" fillId="0" borderId="52" xfId="1" applyNumberFormat="1" applyFont="1" applyBorder="1" applyAlignment="1">
      <alignment horizontal="center" vertical="center" shrinkToFit="1"/>
    </xf>
    <xf numFmtId="0" fontId="13" fillId="0" borderId="8" xfId="0" applyFont="1" applyBorder="1" applyProtection="1">
      <protection hidden="1"/>
    </xf>
    <xf numFmtId="0" fontId="3" fillId="10" borderId="1" xfId="0" applyFont="1" applyFill="1" applyBorder="1"/>
    <xf numFmtId="0" fontId="13" fillId="2" borderId="0" xfId="1" applyFont="1" applyFill="1" applyAlignment="1" applyProtection="1">
      <alignment vertical="center"/>
      <protection hidden="1"/>
    </xf>
    <xf numFmtId="0" fontId="13" fillId="2" borderId="0" xfId="1" applyFont="1" applyFill="1" applyAlignment="1" applyProtection="1">
      <alignment horizontal="right" vertical="center"/>
      <protection hidden="1"/>
    </xf>
    <xf numFmtId="0" fontId="13" fillId="6" borderId="0" xfId="1" applyFont="1" applyFill="1" applyAlignment="1">
      <alignment horizontal="right" vertical="center"/>
    </xf>
    <xf numFmtId="0" fontId="13" fillId="6" borderId="0" xfId="1" applyFont="1" applyFill="1" applyAlignment="1">
      <alignment horizontal="right" vertical="center" shrinkToFit="1"/>
    </xf>
    <xf numFmtId="0" fontId="13" fillId="6" borderId="16" xfId="1" applyFont="1" applyFill="1" applyBorder="1" applyAlignment="1">
      <alignment vertical="center" shrinkToFit="1"/>
    </xf>
    <xf numFmtId="0" fontId="13" fillId="6" borderId="16" xfId="1" applyFont="1" applyFill="1" applyBorder="1" applyAlignment="1">
      <alignment horizontal="right" vertical="center"/>
    </xf>
    <xf numFmtId="0" fontId="13" fillId="6" borderId="17" xfId="1" applyFont="1" applyFill="1" applyBorder="1" applyAlignment="1">
      <alignment vertical="center" shrinkToFit="1"/>
    </xf>
    <xf numFmtId="2" fontId="13" fillId="6" borderId="18" xfId="1" applyNumberFormat="1" applyFont="1" applyFill="1" applyBorder="1" applyAlignment="1" applyProtection="1">
      <alignment vertical="center"/>
      <protection hidden="1"/>
    </xf>
    <xf numFmtId="0" fontId="1" fillId="6" borderId="0" xfId="1" applyFont="1" applyFill="1" applyAlignment="1">
      <alignment vertical="center"/>
    </xf>
    <xf numFmtId="0" fontId="1" fillId="6" borderId="0" xfId="1" applyFont="1" applyFill="1" applyAlignment="1">
      <alignment horizontal="right" vertical="center"/>
    </xf>
    <xf numFmtId="0" fontId="13" fillId="6" borderId="6" xfId="0" applyFont="1" applyFill="1" applyBorder="1" applyAlignment="1">
      <alignment wrapText="1"/>
    </xf>
    <xf numFmtId="0" fontId="13" fillId="6" borderId="0" xfId="0" applyFont="1" applyFill="1" applyAlignment="1">
      <alignment wrapText="1"/>
    </xf>
    <xf numFmtId="0" fontId="13" fillId="6" borderId="5" xfId="0" applyFont="1" applyFill="1" applyBorder="1" applyAlignment="1">
      <alignment horizontal="left" vertical="center"/>
    </xf>
    <xf numFmtId="0" fontId="13" fillId="6" borderId="74" xfId="0" applyFont="1" applyFill="1" applyBorder="1" applyAlignment="1">
      <alignment horizontal="right" vertical="center"/>
    </xf>
    <xf numFmtId="0" fontId="13" fillId="6" borderId="8" xfId="0" applyFont="1" applyFill="1" applyBorder="1"/>
    <xf numFmtId="0" fontId="1" fillId="6" borderId="26" xfId="0" applyFont="1" applyFill="1" applyBorder="1" applyAlignment="1">
      <alignment vertical="center"/>
    </xf>
    <xf numFmtId="0" fontId="1" fillId="6" borderId="27" xfId="0" applyFont="1" applyFill="1" applyBorder="1" applyAlignment="1">
      <alignment vertical="center"/>
    </xf>
    <xf numFmtId="0" fontId="3" fillId="0" borderId="1" xfId="0" applyFont="1" applyBorder="1"/>
    <xf numFmtId="0" fontId="44" fillId="2" borderId="8" xfId="0" applyFont="1" applyFill="1" applyBorder="1" applyAlignment="1">
      <alignment horizontal="center" vertical="center"/>
    </xf>
    <xf numFmtId="0" fontId="44" fillId="2" borderId="0" xfId="0" applyFont="1" applyFill="1" applyAlignment="1">
      <alignment horizontal="center" vertical="center"/>
    </xf>
    <xf numFmtId="0" fontId="44" fillId="2" borderId="12" xfId="0" applyFont="1" applyFill="1" applyBorder="1" applyAlignment="1">
      <alignment horizontal="center" vertical="center"/>
    </xf>
    <xf numFmtId="0" fontId="16" fillId="0" borderId="0" xfId="1" applyFont="1" applyAlignment="1" applyProtection="1">
      <alignment horizontal="right" vertical="center"/>
      <protection hidden="1"/>
    </xf>
    <xf numFmtId="0" fontId="13" fillId="7" borderId="0" xfId="1" applyFont="1" applyFill="1" applyAlignment="1" applyProtection="1">
      <alignment vertical="center"/>
      <protection hidden="1"/>
    </xf>
    <xf numFmtId="0" fontId="18" fillId="0" borderId="0" xfId="1" applyFont="1" applyAlignment="1" applyProtection="1">
      <alignment horizontal="center" vertical="center" textRotation="90"/>
      <protection hidden="1"/>
    </xf>
    <xf numFmtId="0" fontId="13" fillId="0" borderId="0" xfId="1" applyFont="1" applyAlignment="1" applyProtection="1">
      <alignment horizontal="center" vertical="center"/>
      <protection hidden="1"/>
    </xf>
    <xf numFmtId="0" fontId="2" fillId="7" borderId="0" xfId="1" applyFont="1" applyFill="1" applyAlignment="1" applyProtection="1">
      <alignment horizontal="center" vertical="center"/>
      <protection hidden="1"/>
    </xf>
    <xf numFmtId="0" fontId="13" fillId="0" borderId="0" xfId="0" applyFont="1" applyProtection="1"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right" vertical="center"/>
      <protection hidden="1"/>
    </xf>
    <xf numFmtId="2" fontId="13" fillId="0" borderId="0" xfId="0" applyNumberFormat="1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/>
      <protection hidden="1"/>
    </xf>
    <xf numFmtId="2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right"/>
      <protection hidden="1"/>
    </xf>
    <xf numFmtId="0" fontId="13" fillId="0" borderId="0" xfId="0" applyFont="1" applyAlignment="1">
      <alignment horizontal="center" vertical="center"/>
    </xf>
    <xf numFmtId="0" fontId="33" fillId="6" borderId="0" xfId="1" applyFont="1" applyFill="1" applyProtection="1">
      <protection hidden="1"/>
    </xf>
    <xf numFmtId="0" fontId="13" fillId="6" borderId="0" xfId="1" applyFont="1" applyFill="1" applyProtection="1">
      <protection hidden="1"/>
    </xf>
    <xf numFmtId="0" fontId="33" fillId="6" borderId="0" xfId="1" applyFont="1" applyFill="1" applyAlignment="1" applyProtection="1">
      <alignment horizontal="center"/>
      <protection hidden="1"/>
    </xf>
    <xf numFmtId="0" fontId="13" fillId="6" borderId="0" xfId="1" applyFont="1" applyFill="1" applyAlignment="1" applyProtection="1">
      <alignment vertical="top"/>
      <protection hidden="1"/>
    </xf>
    <xf numFmtId="0" fontId="32" fillId="6" borderId="0" xfId="1" applyFont="1" applyFill="1" applyAlignment="1" applyProtection="1">
      <alignment vertical="top"/>
      <protection hidden="1"/>
    </xf>
    <xf numFmtId="0" fontId="17" fillId="0" borderId="0" xfId="1" applyFont="1" applyAlignment="1" applyProtection="1">
      <alignment vertical="center"/>
      <protection hidden="1"/>
    </xf>
    <xf numFmtId="0" fontId="31" fillId="6" borderId="0" xfId="1" applyFont="1" applyFill="1" applyAlignment="1" applyProtection="1">
      <alignment vertical="top"/>
      <protection hidden="1"/>
    </xf>
    <xf numFmtId="0" fontId="34" fillId="6" borderId="0" xfId="1" applyFont="1" applyFill="1" applyProtection="1">
      <protection hidden="1"/>
    </xf>
    <xf numFmtId="0" fontId="34" fillId="6" borderId="0" xfId="1" applyFont="1" applyFill="1" applyAlignment="1" applyProtection="1">
      <alignment horizontal="center"/>
      <protection hidden="1"/>
    </xf>
    <xf numFmtId="0" fontId="1" fillId="6" borderId="0" xfId="1" applyFont="1" applyFill="1" applyAlignment="1" applyProtection="1">
      <alignment horizontal="center"/>
      <protection hidden="1"/>
    </xf>
    <xf numFmtId="0" fontId="8" fillId="0" borderId="0" xfId="1" applyFont="1" applyAlignment="1">
      <alignment vertical="center"/>
    </xf>
    <xf numFmtId="0" fontId="13" fillId="2" borderId="5" xfId="1" applyFont="1" applyFill="1" applyBorder="1" applyAlignment="1" applyProtection="1">
      <alignment vertical="center"/>
      <protection hidden="1"/>
    </xf>
    <xf numFmtId="9" fontId="3" fillId="0" borderId="4" xfId="1" applyNumberFormat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top" shrinkToFit="1"/>
    </xf>
    <xf numFmtId="2" fontId="21" fillId="0" borderId="4" xfId="1" applyNumberFormat="1" applyFont="1" applyBorder="1" applyAlignment="1">
      <alignment horizontal="center" vertical="center"/>
    </xf>
    <xf numFmtId="1" fontId="12" fillId="0" borderId="86" xfId="1" applyNumberFormat="1" applyFont="1" applyBorder="1" applyAlignment="1">
      <alignment horizontal="center" vertical="center" shrinkToFit="1"/>
    </xf>
    <xf numFmtId="1" fontId="12" fillId="0" borderId="24" xfId="1" applyNumberFormat="1" applyFont="1" applyBorder="1" applyAlignment="1">
      <alignment horizontal="center" vertical="center" shrinkToFit="1"/>
    </xf>
    <xf numFmtId="0" fontId="37" fillId="0" borderId="0" xfId="2" applyNumberFormat="1" applyFont="1" applyAlignment="1">
      <alignment vertical="center"/>
    </xf>
    <xf numFmtId="0" fontId="37" fillId="0" borderId="12" xfId="2" applyNumberFormat="1" applyFont="1" applyBorder="1" applyAlignment="1">
      <alignment vertical="center"/>
    </xf>
    <xf numFmtId="0" fontId="13" fillId="0" borderId="0" xfId="1" applyFont="1" applyProtection="1">
      <protection hidden="1"/>
    </xf>
    <xf numFmtId="0" fontId="13" fillId="2" borderId="0" xfId="0" applyFont="1" applyFill="1" applyProtection="1">
      <protection hidden="1"/>
    </xf>
    <xf numFmtId="0" fontId="46" fillId="0" borderId="0" xfId="1" applyFont="1" applyProtection="1">
      <protection hidden="1"/>
    </xf>
    <xf numFmtId="0" fontId="46" fillId="0" borderId="8" xfId="1" applyFont="1" applyBorder="1" applyProtection="1">
      <protection hidden="1"/>
    </xf>
    <xf numFmtId="0" fontId="46" fillId="6" borderId="46" xfId="1" applyFont="1" applyFill="1" applyBorder="1" applyProtection="1">
      <protection hidden="1"/>
    </xf>
    <xf numFmtId="0" fontId="46" fillId="6" borderId="0" xfId="1" applyFont="1" applyFill="1" applyProtection="1">
      <protection hidden="1"/>
    </xf>
    <xf numFmtId="0" fontId="46" fillId="6" borderId="32" xfId="1" applyFont="1" applyFill="1" applyBorder="1" applyProtection="1">
      <protection hidden="1"/>
    </xf>
    <xf numFmtId="0" fontId="46" fillId="0" borderId="16" xfId="1" applyFont="1" applyBorder="1" applyProtection="1">
      <protection hidden="1"/>
    </xf>
    <xf numFmtId="0" fontId="46" fillId="0" borderId="17" xfId="1" applyFont="1" applyBorder="1" applyProtection="1">
      <protection hidden="1"/>
    </xf>
    <xf numFmtId="0" fontId="46" fillId="0" borderId="12" xfId="1" applyFont="1" applyBorder="1" applyProtection="1">
      <protection hidden="1"/>
    </xf>
    <xf numFmtId="0" fontId="46" fillId="0" borderId="18" xfId="1" applyFont="1" applyBorder="1" applyProtection="1">
      <protection hidden="1"/>
    </xf>
    <xf numFmtId="0" fontId="3" fillId="2" borderId="0" xfId="6" applyFont="1" applyFill="1" applyAlignment="1">
      <alignment vertical="center"/>
    </xf>
    <xf numFmtId="0" fontId="3" fillId="13" borderId="0" xfId="6" applyFont="1" applyFill="1" applyAlignment="1">
      <alignment vertical="center"/>
    </xf>
    <xf numFmtId="0" fontId="52" fillId="13" borderId="0" xfId="6" applyFont="1" applyFill="1" applyAlignment="1">
      <alignment vertical="center" wrapText="1"/>
    </xf>
    <xf numFmtId="0" fontId="54" fillId="13" borderId="0" xfId="6" applyFont="1" applyFill="1" applyAlignment="1">
      <alignment horizontal="center" vertical="center"/>
    </xf>
    <xf numFmtId="0" fontId="54" fillId="2" borderId="0" xfId="6" applyFont="1" applyFill="1" applyAlignment="1">
      <alignment horizontal="center" vertical="center"/>
    </xf>
    <xf numFmtId="0" fontId="9" fillId="2" borderId="0" xfId="6" applyFont="1" applyFill="1" applyAlignment="1">
      <alignment horizontal="center" vertical="center"/>
    </xf>
    <xf numFmtId="0" fontId="3" fillId="2" borderId="0" xfId="6" applyFont="1" applyFill="1" applyAlignment="1">
      <alignment horizontal="left" vertical="center" indent="1"/>
    </xf>
    <xf numFmtId="2" fontId="56" fillId="2" borderId="0" xfId="6" applyNumberFormat="1" applyFont="1" applyFill="1" applyAlignment="1">
      <alignment horizontal="left" vertical="center"/>
    </xf>
    <xf numFmtId="0" fontId="3" fillId="2" borderId="0" xfId="6" applyFont="1" applyFill="1" applyAlignment="1">
      <alignment horizontal="left" vertical="center"/>
    </xf>
    <xf numFmtId="0" fontId="51" fillId="0" borderId="0" xfId="6" applyAlignment="1">
      <alignment horizontal="left" vertical="center"/>
    </xf>
    <xf numFmtId="2" fontId="56" fillId="2" borderId="0" xfId="6" applyNumberFormat="1" applyFont="1" applyFill="1" applyAlignment="1" applyProtection="1">
      <alignment horizontal="left" vertical="center"/>
      <protection locked="0"/>
    </xf>
    <xf numFmtId="2" fontId="3" fillId="2" borderId="0" xfId="6" applyNumberFormat="1" applyFont="1" applyFill="1" applyAlignment="1" applyProtection="1">
      <alignment horizontal="left" vertical="center"/>
      <protection locked="0"/>
    </xf>
    <xf numFmtId="0" fontId="29" fillId="2" borderId="0" xfId="6" applyFont="1" applyFill="1" applyAlignment="1">
      <alignment horizontal="left" vertical="center"/>
    </xf>
    <xf numFmtId="0" fontId="57" fillId="2" borderId="0" xfId="6" applyFont="1" applyFill="1" applyAlignment="1">
      <alignment horizontal="left" vertical="center"/>
    </xf>
    <xf numFmtId="2" fontId="29" fillId="2" borderId="0" xfId="6" applyNumberFormat="1" applyFont="1" applyFill="1" applyAlignment="1" applyProtection="1">
      <alignment horizontal="left" vertical="center"/>
      <protection locked="0"/>
    </xf>
    <xf numFmtId="0" fontId="51" fillId="0" borderId="0" xfId="6" applyAlignment="1">
      <alignment horizontal="left" vertical="center" indent="1"/>
    </xf>
    <xf numFmtId="0" fontId="57" fillId="2" borderId="0" xfId="6" applyFont="1" applyFill="1" applyAlignment="1" applyProtection="1">
      <alignment horizontal="left" vertical="center"/>
      <protection locked="0"/>
    </xf>
    <xf numFmtId="0" fontId="51" fillId="13" borderId="0" xfId="6" applyFill="1" applyAlignment="1">
      <alignment horizontal="left" vertical="center"/>
    </xf>
    <xf numFmtId="165" fontId="3" fillId="2" borderId="0" xfId="6" applyNumberFormat="1" applyFont="1" applyFill="1" applyAlignment="1" applyProtection="1">
      <alignment horizontal="right" vertical="center"/>
      <protection locked="0"/>
    </xf>
    <xf numFmtId="165" fontId="3" fillId="2" borderId="0" xfId="6" applyNumberFormat="1" applyFont="1" applyFill="1" applyAlignment="1" applyProtection="1">
      <alignment horizontal="right" vertical="center"/>
      <protection hidden="1"/>
    </xf>
    <xf numFmtId="2" fontId="3" fillId="2" borderId="0" xfId="6" applyNumberFormat="1" applyFont="1" applyFill="1" applyAlignment="1" applyProtection="1">
      <alignment horizontal="right" vertical="center"/>
      <protection hidden="1"/>
    </xf>
    <xf numFmtId="0" fontId="3" fillId="2" borderId="0" xfId="6" applyFont="1" applyFill="1" applyAlignment="1">
      <alignment horizontal="right" vertical="center"/>
    </xf>
    <xf numFmtId="0" fontId="3" fillId="13" borderId="0" xfId="6" applyFont="1" applyFill="1" applyAlignment="1">
      <alignment horizontal="right" vertical="center"/>
    </xf>
    <xf numFmtId="0" fontId="3" fillId="2" borderId="0" xfId="6" applyFont="1" applyFill="1" applyAlignment="1">
      <alignment horizontal="center" vertical="center"/>
    </xf>
    <xf numFmtId="165" fontId="60" fillId="2" borderId="0" xfId="6" applyNumberFormat="1" applyFont="1" applyFill="1" applyAlignment="1">
      <alignment horizontal="right" vertical="center"/>
    </xf>
    <xf numFmtId="164" fontId="56" fillId="2" borderId="0" xfId="6" applyNumberFormat="1" applyFont="1" applyFill="1" applyAlignment="1">
      <alignment horizontal="right" vertical="center"/>
    </xf>
    <xf numFmtId="165" fontId="3" fillId="2" borderId="0" xfId="6" applyNumberFormat="1" applyFont="1" applyFill="1" applyAlignment="1">
      <alignment horizontal="right" vertical="center"/>
    </xf>
    <xf numFmtId="165" fontId="49" fillId="12" borderId="0" xfId="5" applyNumberFormat="1" applyBorder="1" applyAlignment="1" applyProtection="1">
      <alignment horizontal="right" vertical="center"/>
      <protection hidden="1"/>
    </xf>
    <xf numFmtId="0" fontId="3" fillId="13" borderId="0" xfId="6" applyFont="1" applyFill="1" applyAlignment="1">
      <alignment horizontal="left" vertical="center"/>
    </xf>
    <xf numFmtId="0" fontId="61" fillId="13" borderId="0" xfId="6" applyFont="1" applyFill="1" applyAlignment="1">
      <alignment vertical="center"/>
    </xf>
    <xf numFmtId="164" fontId="3" fillId="2" borderId="0" xfId="6" applyNumberFormat="1" applyFont="1" applyFill="1" applyAlignment="1">
      <alignment vertical="center"/>
    </xf>
    <xf numFmtId="0" fontId="62" fillId="0" borderId="1" xfId="7" applyFont="1" applyBorder="1" applyAlignment="1">
      <alignment horizontal="center" vertical="center"/>
    </xf>
    <xf numFmtId="0" fontId="66" fillId="0" borderId="1" xfId="7" applyFont="1" applyBorder="1" applyAlignment="1">
      <alignment horizontal="center" vertical="center"/>
    </xf>
    <xf numFmtId="0" fontId="69" fillId="0" borderId="1" xfId="7" applyFont="1" applyBorder="1" applyAlignment="1">
      <alignment horizontal="center" vertical="center"/>
    </xf>
    <xf numFmtId="0" fontId="3" fillId="0" borderId="1" xfId="7" applyBorder="1" applyAlignment="1">
      <alignment horizontal="center" vertical="center"/>
    </xf>
    <xf numFmtId="0" fontId="65" fillId="0" borderId="1" xfId="7" applyFont="1" applyBorder="1" applyAlignment="1">
      <alignment horizontal="center" vertical="center"/>
    </xf>
    <xf numFmtId="0" fontId="65" fillId="0" borderId="1" xfId="7" applyFont="1" applyBorder="1" applyAlignment="1">
      <alignment horizontal="left" vertical="center"/>
    </xf>
    <xf numFmtId="2" fontId="65" fillId="0" borderId="1" xfId="7" applyNumberFormat="1" applyFont="1" applyBorder="1" applyAlignment="1">
      <alignment horizontal="center" vertical="center"/>
    </xf>
    <xf numFmtId="0" fontId="51" fillId="0" borderId="0" xfId="6" applyAlignment="1">
      <alignment horizontal="center" vertical="center"/>
    </xf>
    <xf numFmtId="0" fontId="50" fillId="0" borderId="0" xfId="8"/>
    <xf numFmtId="0" fontId="3" fillId="0" borderId="1" xfId="1" applyBorder="1" applyAlignment="1">
      <alignment horizontal="center"/>
    </xf>
    <xf numFmtId="164" fontId="70" fillId="3" borderId="15" xfId="1" applyNumberFormat="1" applyFont="1" applyFill="1" applyBorder="1" applyAlignment="1">
      <alignment horizontal="center" vertical="center" shrinkToFit="1"/>
    </xf>
    <xf numFmtId="0" fontId="0" fillId="6" borderId="16" xfId="1" applyFont="1" applyFill="1" applyBorder="1" applyAlignment="1">
      <alignment vertical="center"/>
    </xf>
    <xf numFmtId="0" fontId="0" fillId="6" borderId="8" xfId="1" applyFont="1" applyFill="1" applyBorder="1" applyAlignment="1">
      <alignment vertical="center"/>
    </xf>
    <xf numFmtId="0" fontId="1" fillId="6" borderId="5" xfId="1" applyFont="1" applyFill="1" applyBorder="1" applyAlignment="1">
      <alignment vertical="center"/>
    </xf>
    <xf numFmtId="164" fontId="71" fillId="3" borderId="15" xfId="1" applyNumberFormat="1" applyFont="1" applyFill="1" applyBorder="1" applyAlignment="1">
      <alignment horizontal="center" vertical="center" shrinkToFit="1"/>
    </xf>
    <xf numFmtId="0" fontId="72" fillId="0" borderId="0" xfId="1" applyFont="1"/>
    <xf numFmtId="165" fontId="30" fillId="2" borderId="17" xfId="1" applyNumberFormat="1" applyFont="1" applyFill="1" applyBorder="1" applyAlignment="1" applyProtection="1">
      <alignment horizontal="center"/>
      <protection hidden="1"/>
    </xf>
    <xf numFmtId="0" fontId="3" fillId="2" borderId="0" xfId="6" applyFont="1" applyFill="1" applyAlignment="1">
      <alignment horizontal="left" vertical="center"/>
    </xf>
    <xf numFmtId="0" fontId="51" fillId="0" borderId="0" xfId="6" applyAlignment="1">
      <alignment horizontal="left" vertical="center"/>
    </xf>
    <xf numFmtId="0" fontId="3" fillId="0" borderId="17" xfId="6" applyFont="1" applyBorder="1" applyAlignment="1">
      <alignment horizontal="center" vertical="center"/>
    </xf>
    <xf numFmtId="0" fontId="51" fillId="0" borderId="17" xfId="6" applyBorder="1" applyAlignment="1">
      <alignment horizontal="center" vertical="center"/>
    </xf>
    <xf numFmtId="0" fontId="3" fillId="2" borderId="0" xfId="6" applyFont="1" applyFill="1" applyAlignment="1">
      <alignment horizontal="left" vertical="center" indent="1"/>
    </xf>
    <xf numFmtId="0" fontId="55" fillId="2" borderId="0" xfId="6" applyFont="1" applyFill="1" applyAlignment="1">
      <alignment horizontal="left" vertical="center" indent="1"/>
    </xf>
    <xf numFmtId="0" fontId="51" fillId="0" borderId="0" xfId="6" applyAlignment="1">
      <alignment horizontal="left" vertical="center" indent="1"/>
    </xf>
    <xf numFmtId="0" fontId="3" fillId="2" borderId="0" xfId="6" applyFont="1" applyFill="1" applyAlignment="1">
      <alignment horizontal="center" vertical="center"/>
    </xf>
    <xf numFmtId="0" fontId="56" fillId="2" borderId="0" xfId="6" applyFont="1" applyFill="1" applyAlignment="1" applyProtection="1">
      <alignment horizontal="left" vertical="center"/>
      <protection locked="0"/>
    </xf>
    <xf numFmtId="0" fontId="40" fillId="0" borderId="0" xfId="6" applyFont="1" applyAlignment="1">
      <alignment horizontal="left" vertical="center"/>
    </xf>
    <xf numFmtId="0" fontId="58" fillId="13" borderId="0" xfId="6" applyFont="1" applyFill="1" applyAlignment="1">
      <alignment horizontal="center" vertical="center"/>
    </xf>
    <xf numFmtId="0" fontId="53" fillId="9" borderId="0" xfId="6" applyFont="1" applyFill="1" applyAlignment="1">
      <alignment horizontal="center" vertical="center"/>
    </xf>
    <xf numFmtId="0" fontId="1" fillId="6" borderId="5" xfId="1" applyFont="1" applyFill="1" applyBorder="1" applyAlignment="1">
      <alignment horizontal="center" vertical="center" wrapText="1"/>
    </xf>
    <xf numFmtId="0" fontId="1" fillId="6" borderId="6" xfId="1" applyFont="1" applyFill="1" applyBorder="1" applyAlignment="1">
      <alignment horizontal="center" vertical="center" wrapText="1"/>
    </xf>
    <xf numFmtId="0" fontId="1" fillId="6" borderId="7" xfId="1" applyFont="1" applyFill="1" applyBorder="1" applyAlignment="1">
      <alignment horizontal="center" vertical="center" wrapText="1"/>
    </xf>
    <xf numFmtId="0" fontId="1" fillId="6" borderId="8" xfId="1" applyFont="1" applyFill="1" applyBorder="1" applyAlignment="1">
      <alignment horizontal="center" vertical="center" wrapText="1"/>
    </xf>
    <xf numFmtId="0" fontId="1" fillId="6" borderId="0" xfId="1" applyFont="1" applyFill="1" applyAlignment="1">
      <alignment horizontal="center" vertical="center" wrapText="1"/>
    </xf>
    <xf numFmtId="0" fontId="1" fillId="6" borderId="12" xfId="1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 wrapText="1"/>
    </xf>
    <xf numFmtId="0" fontId="0" fillId="6" borderId="6" xfId="1" applyFont="1" applyFill="1" applyBorder="1" applyAlignment="1">
      <alignment horizontal="right" vertical="center"/>
    </xf>
    <xf numFmtId="0" fontId="0" fillId="6" borderId="7" xfId="1" applyFont="1" applyFill="1" applyBorder="1" applyAlignment="1">
      <alignment horizontal="right" vertical="center"/>
    </xf>
    <xf numFmtId="0" fontId="1" fillId="6" borderId="0" xfId="1" applyFont="1" applyFill="1" applyAlignment="1">
      <alignment horizontal="right" vertical="center"/>
    </xf>
    <xf numFmtId="0" fontId="1" fillId="6" borderId="12" xfId="1" applyFont="1" applyFill="1" applyBorder="1" applyAlignment="1">
      <alignment horizontal="right" vertical="center"/>
    </xf>
    <xf numFmtId="0" fontId="0" fillId="6" borderId="17" xfId="1" applyFont="1" applyFill="1" applyBorder="1" applyAlignment="1">
      <alignment horizontal="right" vertical="center"/>
    </xf>
    <xf numFmtId="0" fontId="0" fillId="6" borderId="18" xfId="1" applyFont="1" applyFill="1" applyBorder="1" applyAlignment="1">
      <alignment horizontal="right" vertical="center"/>
    </xf>
    <xf numFmtId="0" fontId="0" fillId="6" borderId="27" xfId="1" applyFont="1" applyFill="1" applyBorder="1" applyAlignment="1">
      <alignment horizontal="right" vertical="center"/>
    </xf>
    <xf numFmtId="0" fontId="0" fillId="6" borderId="28" xfId="1" applyFont="1" applyFill="1" applyBorder="1" applyAlignment="1">
      <alignment horizontal="right" vertical="center"/>
    </xf>
    <xf numFmtId="0" fontId="0" fillId="6" borderId="25" xfId="1" applyFont="1" applyFill="1" applyBorder="1" applyAlignment="1">
      <alignment horizontal="right" vertical="center"/>
    </xf>
    <xf numFmtId="0" fontId="1" fillId="6" borderId="30" xfId="1" applyFont="1" applyFill="1" applyBorder="1" applyAlignment="1">
      <alignment horizontal="right" vertical="center"/>
    </xf>
    <xf numFmtId="0" fontId="1" fillId="6" borderId="28" xfId="1" applyFont="1" applyFill="1" applyBorder="1" applyAlignment="1">
      <alignment horizontal="right" vertical="center"/>
    </xf>
    <xf numFmtId="0" fontId="0" fillId="6" borderId="30" xfId="1" applyFont="1" applyFill="1" applyBorder="1" applyAlignment="1">
      <alignment horizontal="right" vertical="center"/>
    </xf>
    <xf numFmtId="2" fontId="39" fillId="6" borderId="8" xfId="1" applyNumberFormat="1" applyFont="1" applyFill="1" applyBorder="1" applyAlignment="1">
      <alignment horizontal="center" vertical="center" shrinkToFit="1"/>
    </xf>
    <xf numFmtId="2" fontId="39" fillId="6" borderId="0" xfId="1" applyNumberFormat="1" applyFont="1" applyFill="1" applyAlignment="1">
      <alignment horizontal="center" vertical="center" shrinkToFit="1"/>
    </xf>
    <xf numFmtId="2" fontId="39" fillId="6" borderId="12" xfId="1" applyNumberFormat="1" applyFont="1" applyFill="1" applyBorder="1" applyAlignment="1">
      <alignment horizontal="center" vertical="center" shrinkToFit="1"/>
    </xf>
    <xf numFmtId="2" fontId="32" fillId="6" borderId="16" xfId="1" applyNumberFormat="1" applyFont="1" applyFill="1" applyBorder="1" applyAlignment="1">
      <alignment horizontal="center" vertical="center" shrinkToFit="1"/>
    </xf>
    <xf numFmtId="2" fontId="32" fillId="6" borderId="17" xfId="1" applyNumberFormat="1" applyFont="1" applyFill="1" applyBorder="1" applyAlignment="1">
      <alignment horizontal="center" vertical="center" shrinkToFit="1"/>
    </xf>
    <xf numFmtId="2" fontId="32" fillId="6" borderId="18" xfId="1" applyNumberFormat="1" applyFont="1" applyFill="1" applyBorder="1" applyAlignment="1">
      <alignment horizontal="center" vertical="center" shrinkToFit="1"/>
    </xf>
    <xf numFmtId="2" fontId="39" fillId="6" borderId="26" xfId="1" applyNumberFormat="1" applyFont="1" applyFill="1" applyBorder="1" applyAlignment="1">
      <alignment horizontal="center" vertical="center" shrinkToFit="1"/>
    </xf>
    <xf numFmtId="2" fontId="39" fillId="6" borderId="27" xfId="1" applyNumberFormat="1" applyFont="1" applyFill="1" applyBorder="1" applyAlignment="1">
      <alignment horizontal="center" vertical="center" shrinkToFit="1"/>
    </xf>
    <xf numFmtId="2" fontId="39" fillId="6" borderId="28" xfId="1" applyNumberFormat="1" applyFont="1" applyFill="1" applyBorder="1" applyAlignment="1">
      <alignment horizontal="center" vertical="center" shrinkToFit="1"/>
    </xf>
    <xf numFmtId="2" fontId="32" fillId="6" borderId="8" xfId="1" applyNumberFormat="1" applyFont="1" applyFill="1" applyBorder="1" applyAlignment="1">
      <alignment horizontal="center" vertical="center" shrinkToFit="1"/>
    </xf>
    <xf numFmtId="2" fontId="32" fillId="6" borderId="0" xfId="1" applyNumberFormat="1" applyFont="1" applyFill="1" applyAlignment="1">
      <alignment horizontal="center" vertical="center" shrinkToFit="1"/>
    </xf>
    <xf numFmtId="2" fontId="32" fillId="6" borderId="12" xfId="1" applyNumberFormat="1" applyFont="1" applyFill="1" applyBorder="1" applyAlignment="1">
      <alignment horizontal="center" vertical="center" shrinkToFit="1"/>
    </xf>
    <xf numFmtId="2" fontId="13" fillId="6" borderId="26" xfId="1" applyNumberFormat="1" applyFont="1" applyFill="1" applyBorder="1" applyAlignment="1">
      <alignment horizontal="center" vertical="center" shrinkToFit="1"/>
    </xf>
    <xf numFmtId="2" fontId="13" fillId="6" borderId="27" xfId="1" applyNumberFormat="1" applyFont="1" applyFill="1" applyBorder="1" applyAlignment="1">
      <alignment horizontal="center" vertical="center" shrinkToFit="1"/>
    </xf>
    <xf numFmtId="2" fontId="13" fillId="6" borderId="28" xfId="1" applyNumberFormat="1" applyFont="1" applyFill="1" applyBorder="1" applyAlignment="1">
      <alignment horizontal="center" vertical="center" shrinkToFit="1"/>
    </xf>
    <xf numFmtId="2" fontId="13" fillId="6" borderId="29" xfId="1" applyNumberFormat="1" applyFont="1" applyFill="1" applyBorder="1" applyAlignment="1">
      <alignment horizontal="center" vertical="center" shrinkToFit="1"/>
    </xf>
    <xf numFmtId="2" fontId="13" fillId="6" borderId="25" xfId="1" applyNumberFormat="1" applyFont="1" applyFill="1" applyBorder="1" applyAlignment="1">
      <alignment horizontal="center" vertical="center" shrinkToFit="1"/>
    </xf>
    <xf numFmtId="2" fontId="13" fillId="6" borderId="30" xfId="1" applyNumberFormat="1" applyFont="1" applyFill="1" applyBorder="1" applyAlignment="1">
      <alignment horizontal="center" vertical="center" shrinkToFit="1"/>
    </xf>
    <xf numFmtId="0" fontId="0" fillId="6" borderId="0" xfId="1" applyFont="1" applyFill="1" applyAlignment="1">
      <alignment horizontal="right" vertical="center"/>
    </xf>
    <xf numFmtId="0" fontId="0" fillId="6" borderId="12" xfId="1" applyFont="1" applyFill="1" applyBorder="1" applyAlignment="1">
      <alignment horizontal="right" vertical="center"/>
    </xf>
    <xf numFmtId="0" fontId="17" fillId="6" borderId="65" xfId="0" applyFont="1" applyFill="1" applyBorder="1" applyAlignment="1">
      <alignment horizontal="center" vertical="center" wrapText="1"/>
    </xf>
    <xf numFmtId="0" fontId="17" fillId="6" borderId="66" xfId="0" applyFont="1" applyFill="1" applyBorder="1" applyAlignment="1">
      <alignment horizontal="center" vertical="center" wrapText="1"/>
    </xf>
    <xf numFmtId="0" fontId="17" fillId="6" borderId="67" xfId="0" applyFont="1" applyFill="1" applyBorder="1" applyAlignment="1">
      <alignment horizontal="center" vertical="center" wrapText="1"/>
    </xf>
    <xf numFmtId="0" fontId="1" fillId="6" borderId="68" xfId="1" applyFont="1" applyFill="1" applyBorder="1" applyAlignment="1">
      <alignment horizontal="center" vertical="center"/>
    </xf>
    <xf numFmtId="0" fontId="1" fillId="6" borderId="69" xfId="1" applyFont="1" applyFill="1" applyBorder="1" applyAlignment="1">
      <alignment horizontal="center" vertical="center"/>
    </xf>
    <xf numFmtId="0" fontId="1" fillId="6" borderId="70" xfId="1" applyFont="1" applyFill="1" applyBorder="1" applyAlignment="1">
      <alignment horizontal="center" vertical="center"/>
    </xf>
    <xf numFmtId="2" fontId="13" fillId="6" borderId="8" xfId="1" applyNumberFormat="1" applyFont="1" applyFill="1" applyBorder="1" applyAlignment="1">
      <alignment horizontal="center" vertical="center" shrinkToFit="1"/>
    </xf>
    <xf numFmtId="2" fontId="13" fillId="6" borderId="0" xfId="1" applyNumberFormat="1" applyFont="1" applyFill="1" applyAlignment="1">
      <alignment horizontal="center" vertical="center" shrinkToFit="1"/>
    </xf>
    <xf numFmtId="2" fontId="13" fillId="6" borderId="12" xfId="1" applyNumberFormat="1" applyFont="1" applyFill="1" applyBorder="1" applyAlignment="1">
      <alignment horizontal="center" vertical="center" shrinkToFit="1"/>
    </xf>
    <xf numFmtId="0" fontId="48" fillId="11" borderId="0" xfId="1" applyFont="1" applyFill="1" applyAlignment="1" applyProtection="1">
      <alignment horizontal="center" vertical="center"/>
      <protection hidden="1"/>
    </xf>
    <xf numFmtId="0" fontId="44" fillId="8" borderId="2" xfId="0" applyFont="1" applyFill="1" applyBorder="1" applyAlignment="1">
      <alignment horizontal="center" vertical="center"/>
    </xf>
    <xf numFmtId="0" fontId="44" fillId="8" borderId="3" xfId="0" applyFont="1" applyFill="1" applyBorder="1" applyAlignment="1">
      <alignment horizontal="center" vertical="center"/>
    </xf>
    <xf numFmtId="0" fontId="44" fillId="8" borderId="4" xfId="0" applyFont="1" applyFill="1" applyBorder="1" applyAlignment="1">
      <alignment horizontal="center" vertical="center"/>
    </xf>
    <xf numFmtId="0" fontId="45" fillId="3" borderId="0" xfId="1" applyFont="1" applyFill="1" applyAlignment="1">
      <alignment horizontal="center" vertical="center"/>
    </xf>
    <xf numFmtId="0" fontId="37" fillId="9" borderId="5" xfId="2" applyNumberFormat="1" applyFont="1" applyFill="1" applyBorder="1" applyAlignment="1">
      <alignment horizontal="center" vertical="center"/>
    </xf>
    <xf numFmtId="0" fontId="37" fillId="9" borderId="6" xfId="2" applyNumberFormat="1" applyFont="1" applyFill="1" applyBorder="1" applyAlignment="1">
      <alignment horizontal="center" vertical="center"/>
    </xf>
    <xf numFmtId="0" fontId="37" fillId="9" borderId="8" xfId="2" applyNumberFormat="1" applyFont="1" applyFill="1" applyBorder="1" applyAlignment="1">
      <alignment horizontal="center" vertical="center"/>
    </xf>
    <xf numFmtId="0" fontId="37" fillId="9" borderId="0" xfId="2" applyNumberFormat="1" applyFont="1" applyFill="1" applyAlignment="1">
      <alignment horizontal="center" vertical="center"/>
    </xf>
    <xf numFmtId="0" fontId="37" fillId="9" borderId="16" xfId="2" applyNumberFormat="1" applyFont="1" applyFill="1" applyBorder="1" applyAlignment="1">
      <alignment horizontal="center" vertical="center"/>
    </xf>
    <xf numFmtId="0" fontId="37" fillId="9" borderId="17" xfId="2" applyNumberFormat="1" applyFont="1" applyFill="1" applyBorder="1" applyAlignment="1">
      <alignment horizontal="center" vertical="center"/>
    </xf>
    <xf numFmtId="0" fontId="38" fillId="8" borderId="2" xfId="0" applyFont="1" applyFill="1" applyBorder="1" applyAlignment="1" applyProtection="1">
      <alignment horizontal="center"/>
      <protection hidden="1"/>
    </xf>
    <xf numFmtId="0" fontId="38" fillId="8" borderId="3" xfId="0" applyFont="1" applyFill="1" applyBorder="1" applyAlignment="1" applyProtection="1">
      <alignment horizontal="center"/>
      <protection hidden="1"/>
    </xf>
    <xf numFmtId="0" fontId="38" fillId="8" borderId="4" xfId="0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>
      <alignment horizontal="right" vertical="center"/>
    </xf>
    <xf numFmtId="0" fontId="1" fillId="6" borderId="17" xfId="0" applyFont="1" applyFill="1" applyBorder="1" applyAlignment="1">
      <alignment horizontal="right" vertical="center"/>
    </xf>
    <xf numFmtId="0" fontId="13" fillId="6" borderId="5" xfId="1" applyFont="1" applyFill="1" applyBorder="1" applyAlignment="1">
      <alignment horizontal="right" vertical="center" indent="1"/>
    </xf>
    <xf numFmtId="0" fontId="13" fillId="6" borderId="6" xfId="1" applyFont="1" applyFill="1" applyBorder="1" applyAlignment="1">
      <alignment horizontal="right" vertical="center" indent="1"/>
    </xf>
    <xf numFmtId="0" fontId="13" fillId="6" borderId="6" xfId="1" applyFont="1" applyFill="1" applyBorder="1" applyAlignment="1" applyProtection="1">
      <alignment horizontal="left" vertical="center"/>
      <protection locked="0"/>
    </xf>
    <xf numFmtId="0" fontId="13" fillId="6" borderId="7" xfId="1" applyFont="1" applyFill="1" applyBorder="1" applyAlignment="1" applyProtection="1">
      <alignment horizontal="left" vertical="center"/>
      <protection locked="0"/>
    </xf>
    <xf numFmtId="0" fontId="13" fillId="6" borderId="8" xfId="1" applyFont="1" applyFill="1" applyBorder="1" applyAlignment="1">
      <alignment horizontal="right" vertical="center" indent="1"/>
    </xf>
    <xf numFmtId="0" fontId="13" fillId="6" borderId="0" xfId="1" applyFont="1" applyFill="1" applyAlignment="1">
      <alignment horizontal="right" vertical="center" indent="1"/>
    </xf>
    <xf numFmtId="0" fontId="36" fillId="6" borderId="0" xfId="1" applyFont="1" applyFill="1" applyAlignment="1" applyProtection="1">
      <alignment horizontal="left" vertical="center"/>
      <protection locked="0"/>
    </xf>
    <xf numFmtId="0" fontId="13" fillId="6" borderId="0" xfId="1" applyFont="1" applyFill="1" applyAlignment="1" applyProtection="1">
      <alignment horizontal="left" vertical="center"/>
      <protection locked="0"/>
    </xf>
    <xf numFmtId="0" fontId="13" fillId="6" borderId="12" xfId="1" applyFont="1" applyFill="1" applyBorder="1" applyAlignment="1" applyProtection="1">
      <alignment horizontal="left" vertical="center"/>
      <protection locked="0"/>
    </xf>
    <xf numFmtId="0" fontId="13" fillId="7" borderId="53" xfId="1" applyFont="1" applyFill="1" applyBorder="1" applyAlignment="1" applyProtection="1">
      <alignment horizontal="center" vertical="center"/>
      <protection hidden="1"/>
    </xf>
    <xf numFmtId="0" fontId="13" fillId="7" borderId="54" xfId="1" applyFont="1" applyFill="1" applyBorder="1" applyAlignment="1" applyProtection="1">
      <alignment horizontal="center" vertical="center"/>
      <protection hidden="1"/>
    </xf>
    <xf numFmtId="0" fontId="13" fillId="7" borderId="55" xfId="1" applyFont="1" applyFill="1" applyBorder="1" applyAlignment="1" applyProtection="1">
      <alignment horizontal="center" vertical="center"/>
      <protection hidden="1"/>
    </xf>
    <xf numFmtId="0" fontId="17" fillId="6" borderId="2" xfId="1" applyFont="1" applyFill="1" applyBorder="1" applyAlignment="1">
      <alignment horizontal="center" vertical="center"/>
    </xf>
    <xf numFmtId="0" fontId="17" fillId="6" borderId="3" xfId="1" applyFont="1" applyFill="1" applyBorder="1" applyAlignment="1">
      <alignment horizontal="center" vertical="center"/>
    </xf>
    <xf numFmtId="0" fontId="17" fillId="6" borderId="4" xfId="1" applyFont="1" applyFill="1" applyBorder="1" applyAlignment="1">
      <alignment horizontal="center" vertical="center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right"/>
    </xf>
    <xf numFmtId="0" fontId="3" fillId="0" borderId="4" xfId="1" applyBorder="1" applyAlignment="1">
      <alignment horizontal="center"/>
    </xf>
    <xf numFmtId="0" fontId="3" fillId="0" borderId="1" xfId="1" applyBorder="1" applyAlignment="1">
      <alignment horizontal="center"/>
    </xf>
    <xf numFmtId="0" fontId="6" fillId="0" borderId="3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3" fillId="0" borderId="85" xfId="1" applyBorder="1" applyAlignment="1">
      <alignment horizontal="left" vertical="center" wrapText="1"/>
    </xf>
    <xf numFmtId="0" fontId="3" fillId="0" borderId="11" xfId="1" applyBorder="1" applyAlignment="1">
      <alignment horizontal="left" vertical="center" wrapText="1"/>
    </xf>
    <xf numFmtId="0" fontId="9" fillId="0" borderId="9" xfId="1" applyFont="1" applyBorder="1" applyAlignment="1">
      <alignment horizontal="center" vertical="top" wrapText="1"/>
    </xf>
    <xf numFmtId="0" fontId="9" fillId="0" borderId="10" xfId="1" applyFont="1" applyBorder="1" applyAlignment="1">
      <alignment horizontal="center" vertical="top" wrapText="1"/>
    </xf>
    <xf numFmtId="0" fontId="9" fillId="0" borderId="50" xfId="1" applyFont="1" applyBorder="1" applyAlignment="1">
      <alignment horizontal="center" vertical="top" wrapText="1"/>
    </xf>
    <xf numFmtId="0" fontId="3" fillId="0" borderId="85" xfId="1" applyBorder="1" applyAlignment="1">
      <alignment horizontal="left" vertical="center" wrapText="1" indent="1"/>
    </xf>
    <xf numFmtId="0" fontId="9" fillId="0" borderId="11" xfId="1" applyFont="1" applyBorder="1" applyAlignment="1">
      <alignment horizontal="center" vertical="top" wrapText="1"/>
    </xf>
    <xf numFmtId="0" fontId="38" fillId="8" borderId="6" xfId="2" applyNumberFormat="1" applyFont="1" applyFill="1" applyBorder="1" applyAlignment="1">
      <alignment horizontal="center" vertical="center"/>
    </xf>
    <xf numFmtId="0" fontId="38" fillId="8" borderId="0" xfId="2" applyNumberFormat="1" applyFont="1" applyFill="1" applyAlignment="1">
      <alignment horizontal="center" vertical="center"/>
    </xf>
    <xf numFmtId="0" fontId="38" fillId="8" borderId="17" xfId="2" applyNumberFormat="1" applyFont="1" applyFill="1" applyBorder="1" applyAlignment="1">
      <alignment horizontal="center" vertical="center"/>
    </xf>
    <xf numFmtId="0" fontId="38" fillId="8" borderId="7" xfId="2" applyNumberFormat="1" applyFont="1" applyFill="1" applyBorder="1" applyAlignment="1">
      <alignment horizontal="center" vertical="center"/>
    </xf>
    <xf numFmtId="0" fontId="38" fillId="8" borderId="12" xfId="2" applyNumberFormat="1" applyFont="1" applyFill="1" applyBorder="1" applyAlignment="1">
      <alignment horizontal="center" vertical="center"/>
    </xf>
    <xf numFmtId="0" fontId="38" fillId="8" borderId="18" xfId="2" applyNumberFormat="1" applyFont="1" applyFill="1" applyBorder="1" applyAlignment="1">
      <alignment horizontal="center" vertical="center"/>
    </xf>
    <xf numFmtId="0" fontId="15" fillId="0" borderId="0" xfId="1" applyFont="1" applyAlignment="1">
      <alignment horizontal="center"/>
    </xf>
    <xf numFmtId="0" fontId="13" fillId="6" borderId="71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166" fontId="36" fillId="6" borderId="72" xfId="1" applyNumberFormat="1" applyFont="1" applyFill="1" applyBorder="1" applyAlignment="1">
      <alignment horizontal="center" vertical="center"/>
    </xf>
    <xf numFmtId="166" fontId="36" fillId="6" borderId="0" xfId="1" applyNumberFormat="1" applyFont="1" applyFill="1" applyAlignment="1">
      <alignment horizontal="center" vertical="center"/>
    </xf>
    <xf numFmtId="166" fontId="36" fillId="6" borderId="12" xfId="1" applyNumberFormat="1" applyFont="1" applyFill="1" applyBorder="1" applyAlignment="1">
      <alignment horizontal="center" vertical="center"/>
    </xf>
    <xf numFmtId="2" fontId="36" fillId="6" borderId="0" xfId="1" applyNumberFormat="1" applyFont="1" applyFill="1" applyAlignment="1" applyProtection="1">
      <alignment horizontal="center" vertical="center"/>
      <protection locked="0"/>
    </xf>
    <xf numFmtId="2" fontId="36" fillId="6" borderId="12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 textRotation="90"/>
      <protection hidden="1"/>
    </xf>
    <xf numFmtId="0" fontId="13" fillId="6" borderId="5" xfId="1" applyFont="1" applyFill="1" applyBorder="1" applyAlignment="1">
      <alignment horizontal="right" vertical="center"/>
    </xf>
    <xf numFmtId="0" fontId="13" fillId="6" borderId="6" xfId="1" applyFont="1" applyFill="1" applyBorder="1" applyAlignment="1">
      <alignment horizontal="right" vertical="center"/>
    </xf>
    <xf numFmtId="2" fontId="36" fillId="6" borderId="6" xfId="1" applyNumberFormat="1" applyFont="1" applyFill="1" applyBorder="1" applyAlignment="1">
      <alignment horizontal="center" vertical="center"/>
    </xf>
    <xf numFmtId="0" fontId="36" fillId="6" borderId="6" xfId="1" applyFont="1" applyFill="1" applyBorder="1" applyAlignment="1">
      <alignment horizontal="center" vertical="center"/>
    </xf>
    <xf numFmtId="0" fontId="36" fillId="6" borderId="7" xfId="1" applyFont="1" applyFill="1" applyBorder="1" applyAlignment="1">
      <alignment horizontal="center" vertical="center"/>
    </xf>
    <xf numFmtId="0" fontId="23" fillId="6" borderId="17" xfId="1" applyFont="1" applyFill="1" applyBorder="1" applyAlignment="1">
      <alignment horizontal="right" vertical="center"/>
    </xf>
    <xf numFmtId="0" fontId="1" fillId="6" borderId="17" xfId="1" applyFont="1" applyFill="1" applyBorder="1" applyAlignment="1">
      <alignment horizontal="right" vertical="center"/>
    </xf>
    <xf numFmtId="2" fontId="13" fillId="6" borderId="17" xfId="1" applyNumberFormat="1" applyFont="1" applyFill="1" applyBorder="1" applyAlignment="1" applyProtection="1">
      <alignment horizontal="center" vertical="center"/>
      <protection locked="0"/>
    </xf>
    <xf numFmtId="2" fontId="13" fillId="6" borderId="18" xfId="1" applyNumberFormat="1" applyFont="1" applyFill="1" applyBorder="1" applyAlignment="1" applyProtection="1">
      <alignment horizontal="center" vertical="center"/>
      <protection locked="0"/>
    </xf>
    <xf numFmtId="9" fontId="36" fillId="6" borderId="0" xfId="3" applyFont="1" applyFill="1" applyBorder="1" applyAlignment="1" applyProtection="1">
      <alignment horizontal="center" vertical="center"/>
      <protection locked="0"/>
    </xf>
    <xf numFmtId="9" fontId="36" fillId="6" borderId="12" xfId="3" applyFont="1" applyFill="1" applyBorder="1" applyAlignment="1" applyProtection="1">
      <alignment horizontal="center" vertical="center"/>
      <protection locked="0"/>
    </xf>
    <xf numFmtId="0" fontId="17" fillId="6" borderId="2" xfId="1" applyFont="1" applyFill="1" applyBorder="1" applyAlignment="1" applyProtection="1">
      <alignment horizontal="center" vertical="center" wrapText="1"/>
      <protection hidden="1"/>
    </xf>
    <xf numFmtId="0" fontId="17" fillId="6" borderId="3" xfId="1" applyFont="1" applyFill="1" applyBorder="1" applyAlignment="1" applyProtection="1">
      <alignment horizontal="center" vertical="center" wrapText="1"/>
      <protection hidden="1"/>
    </xf>
    <xf numFmtId="0" fontId="17" fillId="6" borderId="4" xfId="1" applyFont="1" applyFill="1" applyBorder="1" applyAlignment="1" applyProtection="1">
      <alignment horizontal="center" vertical="center" wrapText="1"/>
      <protection hidden="1"/>
    </xf>
    <xf numFmtId="0" fontId="13" fillId="6" borderId="8" xfId="1" applyFont="1" applyFill="1" applyBorder="1" applyAlignment="1" applyProtection="1">
      <alignment horizontal="center"/>
      <protection hidden="1"/>
    </xf>
    <xf numFmtId="0" fontId="13" fillId="6" borderId="0" xfId="1" applyFont="1" applyFill="1" applyAlignment="1" applyProtection="1">
      <alignment horizontal="center"/>
      <protection hidden="1"/>
    </xf>
    <xf numFmtId="0" fontId="13" fillId="6" borderId="12" xfId="1" applyFont="1" applyFill="1" applyBorder="1" applyAlignment="1" applyProtection="1">
      <alignment horizontal="center"/>
      <protection hidden="1"/>
    </xf>
    <xf numFmtId="2" fontId="36" fillId="6" borderId="0" xfId="1" applyNumberFormat="1" applyFont="1" applyFill="1" applyAlignment="1">
      <alignment horizontal="center" vertical="center"/>
    </xf>
    <xf numFmtId="2" fontId="36" fillId="6" borderId="12" xfId="1" applyNumberFormat="1" applyFont="1" applyFill="1" applyBorder="1" applyAlignment="1">
      <alignment horizontal="center" vertical="center"/>
    </xf>
    <xf numFmtId="0" fontId="13" fillId="0" borderId="0" xfId="1" applyFont="1" applyAlignment="1" applyProtection="1">
      <alignment horizontal="center" vertical="center"/>
      <protection hidden="1"/>
    </xf>
    <xf numFmtId="2" fontId="13" fillId="6" borderId="17" xfId="0" applyNumberFormat="1" applyFont="1" applyFill="1" applyBorder="1" applyAlignment="1" applyProtection="1">
      <alignment horizontal="center" vertical="center"/>
      <protection locked="0"/>
    </xf>
    <xf numFmtId="2" fontId="13" fillId="6" borderId="18" xfId="0" applyNumberFormat="1" applyFont="1" applyFill="1" applyBorder="1" applyAlignment="1" applyProtection="1">
      <alignment horizontal="center" vertical="center"/>
      <protection locked="0"/>
    </xf>
    <xf numFmtId="0" fontId="0" fillId="6" borderId="27" xfId="0" applyFill="1" applyBorder="1" applyAlignment="1">
      <alignment horizontal="right" vertical="center"/>
    </xf>
    <xf numFmtId="0" fontId="1" fillId="6" borderId="27" xfId="0" applyFont="1" applyFill="1" applyBorder="1" applyAlignment="1">
      <alignment horizontal="right" vertical="center"/>
    </xf>
    <xf numFmtId="0" fontId="13" fillId="6" borderId="75" xfId="0" applyFont="1" applyFill="1" applyBorder="1" applyAlignment="1" applyProtection="1">
      <alignment horizontal="center" vertical="center"/>
      <protection hidden="1"/>
    </xf>
    <xf numFmtId="0" fontId="3" fillId="0" borderId="15" xfId="1" applyBorder="1" applyAlignment="1">
      <alignment horizontal="left" vertical="center" wrapText="1"/>
    </xf>
    <xf numFmtId="0" fontId="3" fillId="0" borderId="13" xfId="1" applyBorder="1" applyAlignment="1">
      <alignment horizontal="left" vertical="center" wrapText="1"/>
    </xf>
    <xf numFmtId="0" fontId="9" fillId="0" borderId="22" xfId="1" applyFont="1" applyBorder="1" applyAlignment="1">
      <alignment horizontal="center" vertical="top" wrapText="1"/>
    </xf>
    <xf numFmtId="0" fontId="9" fillId="0" borderId="23" xfId="1" applyFont="1" applyBorder="1" applyAlignment="1">
      <alignment horizontal="center" vertical="top" wrapText="1"/>
    </xf>
    <xf numFmtId="0" fontId="9" fillId="0" borderId="24" xfId="1" applyFont="1" applyBorder="1" applyAlignment="1">
      <alignment horizontal="center" vertical="top" wrapText="1"/>
    </xf>
    <xf numFmtId="2" fontId="13" fillId="2" borderId="0" xfId="1" applyNumberFormat="1" applyFont="1" applyFill="1" applyAlignment="1" applyProtection="1">
      <alignment horizontal="center"/>
      <protection hidden="1"/>
    </xf>
    <xf numFmtId="0" fontId="13" fillId="2" borderId="0" xfId="1" applyFont="1" applyFill="1" applyAlignment="1" applyProtection="1">
      <alignment horizontal="center"/>
      <protection hidden="1"/>
    </xf>
    <xf numFmtId="0" fontId="13" fillId="6" borderId="0" xfId="1" applyFont="1" applyFill="1" applyAlignment="1">
      <alignment horizontal="center" vertical="center" shrinkToFit="1"/>
    </xf>
    <xf numFmtId="0" fontId="27" fillId="6" borderId="0" xfId="1" applyFont="1" applyFill="1" applyAlignment="1">
      <alignment horizontal="right" vertical="center" shrinkToFit="1"/>
    </xf>
    <xf numFmtId="0" fontId="13" fillId="6" borderId="0" xfId="1" applyFont="1" applyFill="1" applyAlignment="1">
      <alignment horizontal="right" vertical="center" shrinkToFit="1"/>
    </xf>
    <xf numFmtId="2" fontId="13" fillId="6" borderId="17" xfId="1" applyNumberFormat="1" applyFont="1" applyFill="1" applyBorder="1" applyAlignment="1">
      <alignment horizontal="center" vertical="center" shrinkToFit="1"/>
    </xf>
    <xf numFmtId="0" fontId="13" fillId="6" borderId="17" xfId="1" applyFont="1" applyFill="1" applyBorder="1" applyAlignment="1">
      <alignment horizontal="center" vertical="center" shrinkToFit="1"/>
    </xf>
    <xf numFmtId="0" fontId="13" fillId="6" borderId="0" xfId="1" applyFont="1" applyFill="1" applyAlignment="1">
      <alignment horizontal="left" vertical="center" shrinkToFit="1"/>
    </xf>
    <xf numFmtId="0" fontId="13" fillId="6" borderId="17" xfId="1" applyFont="1" applyFill="1" applyBorder="1" applyAlignment="1">
      <alignment horizontal="left" vertical="center" shrinkToFit="1"/>
    </xf>
    <xf numFmtId="0" fontId="13" fillId="6" borderId="16" xfId="1" applyFont="1" applyFill="1" applyBorder="1" applyAlignment="1" applyProtection="1">
      <alignment horizontal="center"/>
      <protection hidden="1"/>
    </xf>
    <xf numFmtId="0" fontId="13" fillId="6" borderId="17" xfId="1" applyFont="1" applyFill="1" applyBorder="1" applyAlignment="1" applyProtection="1">
      <alignment horizontal="center"/>
      <protection hidden="1"/>
    </xf>
    <xf numFmtId="0" fontId="13" fillId="6" borderId="18" xfId="1" applyFont="1" applyFill="1" applyBorder="1" applyAlignment="1" applyProtection="1">
      <alignment horizontal="center"/>
      <protection hidden="1"/>
    </xf>
    <xf numFmtId="0" fontId="17" fillId="6" borderId="8" xfId="0" applyFont="1" applyFill="1" applyBorder="1" applyAlignment="1" applyProtection="1">
      <alignment horizontal="center" vertical="center" wrapText="1"/>
      <protection hidden="1"/>
    </xf>
    <xf numFmtId="0" fontId="17" fillId="6" borderId="0" xfId="0" applyFont="1" applyFill="1" applyAlignment="1" applyProtection="1">
      <alignment horizontal="center" vertical="center" wrapText="1"/>
      <protection hidden="1"/>
    </xf>
    <xf numFmtId="0" fontId="17" fillId="6" borderId="12" xfId="0" applyFont="1" applyFill="1" applyBorder="1" applyAlignment="1" applyProtection="1">
      <alignment horizontal="center" vertical="center" wrapText="1"/>
      <protection hidden="1"/>
    </xf>
    <xf numFmtId="0" fontId="17" fillId="6" borderId="16" xfId="0" applyFont="1" applyFill="1" applyBorder="1" applyAlignment="1" applyProtection="1">
      <alignment horizontal="center" vertical="center" wrapText="1"/>
      <protection hidden="1"/>
    </xf>
    <xf numFmtId="0" fontId="17" fillId="6" borderId="17" xfId="0" applyFont="1" applyFill="1" applyBorder="1" applyAlignment="1" applyProtection="1">
      <alignment horizontal="center" vertical="center" wrapText="1"/>
      <protection hidden="1"/>
    </xf>
    <xf numFmtId="0" fontId="17" fillId="6" borderId="18" xfId="0" applyFont="1" applyFill="1" applyBorder="1" applyAlignment="1" applyProtection="1">
      <alignment horizontal="center" vertical="center" wrapText="1"/>
      <protection hidden="1"/>
    </xf>
    <xf numFmtId="2" fontId="13" fillId="6" borderId="27" xfId="0" applyNumberFormat="1" applyFont="1" applyFill="1" applyBorder="1" applyAlignment="1" applyProtection="1">
      <alignment horizontal="center" vertical="center"/>
      <protection locked="0"/>
    </xf>
    <xf numFmtId="2" fontId="13" fillId="6" borderId="28" xfId="0" applyNumberFormat="1" applyFont="1" applyFill="1" applyBorder="1" applyAlignment="1" applyProtection="1">
      <alignment horizontal="center" vertical="center"/>
      <protection locked="0"/>
    </xf>
    <xf numFmtId="0" fontId="1" fillId="6" borderId="16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center" vertical="center"/>
    </xf>
    <xf numFmtId="2" fontId="13" fillId="6" borderId="73" xfId="0" applyNumberFormat="1" applyFont="1" applyFill="1" applyBorder="1" applyAlignment="1" applyProtection="1">
      <alignment horizontal="center" vertical="center"/>
      <protection locked="0"/>
    </xf>
    <xf numFmtId="0" fontId="13" fillId="6" borderId="16" xfId="0" applyFont="1" applyFill="1" applyBorder="1" applyAlignment="1" applyProtection="1">
      <alignment horizontal="center" vertical="center"/>
      <protection hidden="1"/>
    </xf>
    <xf numFmtId="0" fontId="13" fillId="6" borderId="18" xfId="0" applyFont="1" applyFill="1" applyBorder="1" applyAlignment="1" applyProtection="1">
      <alignment horizontal="center" vertical="center"/>
      <protection hidden="1"/>
    </xf>
    <xf numFmtId="2" fontId="18" fillId="6" borderId="1" xfId="0" applyNumberFormat="1" applyFont="1" applyFill="1" applyBorder="1" applyAlignment="1" applyProtection="1">
      <alignment horizontal="center" vertical="center"/>
      <protection hidden="1"/>
    </xf>
    <xf numFmtId="0" fontId="18" fillId="6" borderId="1" xfId="0" applyFont="1" applyFill="1" applyBorder="1" applyAlignment="1" applyProtection="1">
      <alignment horizontal="center" vertical="center"/>
      <protection hidden="1"/>
    </xf>
    <xf numFmtId="2" fontId="13" fillId="6" borderId="2" xfId="0" applyNumberFormat="1" applyFont="1" applyFill="1" applyBorder="1" applyAlignment="1" applyProtection="1">
      <alignment horizontal="center" vertical="center"/>
      <protection hidden="1"/>
    </xf>
    <xf numFmtId="2" fontId="13" fillId="6" borderId="4" xfId="0" applyNumberFormat="1" applyFont="1" applyFill="1" applyBorder="1" applyAlignment="1" applyProtection="1">
      <alignment horizontal="center" vertical="center"/>
      <protection hidden="1"/>
    </xf>
    <xf numFmtId="0" fontId="1" fillId="6" borderId="27" xfId="0" applyFont="1" applyFill="1" applyBorder="1" applyAlignment="1">
      <alignment horizontal="center" vertical="center"/>
    </xf>
    <xf numFmtId="2" fontId="13" fillId="6" borderId="76" xfId="0" applyNumberFormat="1" applyFont="1" applyFill="1" applyBorder="1" applyAlignment="1" applyProtection="1">
      <alignment horizontal="center" vertical="center"/>
      <protection locked="0"/>
    </xf>
    <xf numFmtId="2" fontId="39" fillId="6" borderId="26" xfId="1" applyNumberFormat="1" applyFont="1" applyFill="1" applyBorder="1" applyAlignment="1" applyProtection="1">
      <alignment horizontal="center"/>
      <protection hidden="1"/>
    </xf>
    <xf numFmtId="2" fontId="39" fillId="6" borderId="27" xfId="1" applyNumberFormat="1" applyFont="1" applyFill="1" applyBorder="1" applyAlignment="1" applyProtection="1">
      <alignment horizontal="center"/>
      <protection hidden="1"/>
    </xf>
    <xf numFmtId="2" fontId="32" fillId="6" borderId="16" xfId="1" applyNumberFormat="1" applyFont="1" applyFill="1" applyBorder="1" applyAlignment="1" applyProtection="1">
      <alignment horizontal="center"/>
      <protection hidden="1"/>
    </xf>
    <xf numFmtId="2" fontId="32" fillId="6" borderId="17" xfId="1" applyNumberFormat="1" applyFont="1" applyFill="1" applyBorder="1" applyAlignment="1" applyProtection="1">
      <alignment horizontal="center"/>
      <protection hidden="1"/>
    </xf>
    <xf numFmtId="2" fontId="39" fillId="6" borderId="28" xfId="1" applyNumberFormat="1" applyFont="1" applyFill="1" applyBorder="1" applyAlignment="1" applyProtection="1">
      <alignment horizontal="center"/>
      <protection hidden="1"/>
    </xf>
    <xf numFmtId="2" fontId="32" fillId="6" borderId="18" xfId="1" applyNumberFormat="1" applyFont="1" applyFill="1" applyBorder="1" applyAlignment="1" applyProtection="1">
      <alignment horizontal="center"/>
      <protection hidden="1"/>
    </xf>
    <xf numFmtId="0" fontId="40" fillId="0" borderId="4" xfId="1" applyFont="1" applyBorder="1" applyAlignment="1">
      <alignment horizontal="center" vertical="center"/>
    </xf>
    <xf numFmtId="0" fontId="40" fillId="0" borderId="1" xfId="1" applyFont="1" applyBorder="1" applyAlignment="1">
      <alignment horizontal="center" vertical="center"/>
    </xf>
    <xf numFmtId="0" fontId="13" fillId="0" borderId="31" xfId="1" applyFont="1" applyBorder="1" applyAlignment="1" applyProtection="1">
      <alignment horizontal="center" vertical="center"/>
      <protection hidden="1"/>
    </xf>
    <xf numFmtId="165" fontId="30" fillId="2" borderId="6" xfId="1" applyNumberFormat="1" applyFont="1" applyFill="1" applyBorder="1" applyAlignment="1" applyProtection="1">
      <alignment horizontal="center"/>
      <protection hidden="1"/>
    </xf>
    <xf numFmtId="2" fontId="13" fillId="0" borderId="6" xfId="1" applyNumberFormat="1" applyFont="1" applyBorder="1" applyAlignment="1" applyProtection="1">
      <alignment horizontal="center" vertical="center"/>
      <protection hidden="1"/>
    </xf>
    <xf numFmtId="2" fontId="13" fillId="0" borderId="0" xfId="1" applyNumberFormat="1" applyFont="1" applyAlignment="1" applyProtection="1">
      <alignment horizontal="center" vertical="center"/>
      <protection hidden="1"/>
    </xf>
    <xf numFmtId="0" fontId="32" fillId="6" borderId="0" xfId="1" applyFont="1" applyFill="1" applyAlignment="1" applyProtection="1">
      <alignment horizontal="center"/>
      <protection hidden="1"/>
    </xf>
    <xf numFmtId="0" fontId="32" fillId="6" borderId="32" xfId="1" applyFont="1" applyFill="1" applyBorder="1" applyAlignment="1" applyProtection="1">
      <alignment horizontal="center"/>
      <protection hidden="1"/>
    </xf>
    <xf numFmtId="0" fontId="25" fillId="0" borderId="0" xfId="1" applyFont="1" applyAlignment="1">
      <alignment horizontal="right" textRotation="90"/>
    </xf>
    <xf numFmtId="0" fontId="13" fillId="0" borderId="32" xfId="1" applyFont="1" applyBorder="1" applyAlignment="1" applyProtection="1">
      <alignment horizontal="center" vertical="center" textRotation="90"/>
      <protection hidden="1"/>
    </xf>
    <xf numFmtId="0" fontId="13" fillId="6" borderId="33" xfId="1" applyFont="1" applyFill="1" applyBorder="1" applyAlignment="1" applyProtection="1">
      <alignment horizontal="center"/>
      <protection hidden="1"/>
    </xf>
    <xf numFmtId="0" fontId="13" fillId="6" borderId="34" xfId="1" applyFont="1" applyFill="1" applyBorder="1" applyAlignment="1" applyProtection="1">
      <alignment horizontal="center"/>
      <protection hidden="1"/>
    </xf>
    <xf numFmtId="0" fontId="13" fillId="6" borderId="35" xfId="1" applyFont="1" applyFill="1" applyBorder="1" applyAlignment="1" applyProtection="1">
      <alignment horizontal="center"/>
      <protection hidden="1"/>
    </xf>
    <xf numFmtId="0" fontId="13" fillId="6" borderId="34" xfId="1" applyFont="1" applyFill="1" applyBorder="1" applyAlignment="1" applyProtection="1">
      <alignment horizontal="center" vertical="top"/>
      <protection hidden="1"/>
    </xf>
    <xf numFmtId="0" fontId="13" fillId="6" borderId="35" xfId="1" applyFont="1" applyFill="1" applyBorder="1" applyAlignment="1" applyProtection="1">
      <alignment horizontal="center" vertical="top"/>
      <protection hidden="1"/>
    </xf>
    <xf numFmtId="0" fontId="13" fillId="6" borderId="0" xfId="1" applyFont="1" applyFill="1" applyAlignment="1" applyProtection="1">
      <alignment horizontal="center" vertical="top"/>
      <protection hidden="1"/>
    </xf>
    <xf numFmtId="0" fontId="13" fillId="6" borderId="32" xfId="1" applyFont="1" applyFill="1" applyBorder="1" applyAlignment="1" applyProtection="1">
      <alignment horizontal="center" vertical="top"/>
      <protection hidden="1"/>
    </xf>
    <xf numFmtId="0" fontId="39" fillId="6" borderId="36" xfId="1" applyFont="1" applyFill="1" applyBorder="1" applyAlignment="1" applyProtection="1">
      <alignment horizontal="center" vertical="center"/>
      <protection hidden="1"/>
    </xf>
    <xf numFmtId="0" fontId="39" fillId="6" borderId="0" xfId="1" applyFont="1" applyFill="1" applyAlignment="1" applyProtection="1">
      <alignment horizontal="center" vertical="center"/>
      <protection hidden="1"/>
    </xf>
    <xf numFmtId="0" fontId="39" fillId="6" borderId="32" xfId="1" applyFont="1" applyFill="1" applyBorder="1" applyAlignment="1" applyProtection="1">
      <alignment horizontal="center" vertical="center"/>
      <protection hidden="1"/>
    </xf>
    <xf numFmtId="0" fontId="32" fillId="6" borderId="37" xfId="1" applyFont="1" applyFill="1" applyBorder="1" applyAlignment="1" applyProtection="1">
      <alignment horizontal="center" vertical="top"/>
      <protection hidden="1"/>
    </xf>
    <xf numFmtId="0" fontId="32" fillId="6" borderId="38" xfId="1" applyFont="1" applyFill="1" applyBorder="1" applyAlignment="1" applyProtection="1">
      <alignment horizontal="center" vertical="top"/>
      <protection hidden="1"/>
    </xf>
    <xf numFmtId="0" fontId="32" fillId="6" borderId="39" xfId="1" applyFont="1" applyFill="1" applyBorder="1" applyAlignment="1" applyProtection="1">
      <alignment horizontal="center" vertical="top"/>
      <protection hidden="1"/>
    </xf>
    <xf numFmtId="0" fontId="13" fillId="6" borderId="36" xfId="1" applyFont="1" applyFill="1" applyBorder="1" applyAlignment="1" applyProtection="1">
      <alignment horizontal="center"/>
      <protection hidden="1"/>
    </xf>
    <xf numFmtId="0" fontId="13" fillId="6" borderId="32" xfId="1" applyFont="1" applyFill="1" applyBorder="1" applyAlignment="1" applyProtection="1">
      <alignment horizontal="center"/>
      <protection hidden="1"/>
    </xf>
    <xf numFmtId="0" fontId="13" fillId="6" borderId="59" xfId="1" applyFont="1" applyFill="1" applyBorder="1" applyAlignment="1" applyProtection="1">
      <alignment horizontal="center"/>
      <protection hidden="1"/>
    </xf>
    <xf numFmtId="0" fontId="13" fillId="6" borderId="19" xfId="1" applyFont="1" applyFill="1" applyBorder="1" applyAlignment="1" applyProtection="1">
      <alignment horizontal="center"/>
      <protection hidden="1"/>
    </xf>
    <xf numFmtId="0" fontId="13" fillId="6" borderId="60" xfId="1" applyFont="1" applyFill="1" applyBorder="1" applyAlignment="1" applyProtection="1">
      <alignment horizontal="center"/>
      <protection hidden="1"/>
    </xf>
    <xf numFmtId="0" fontId="13" fillId="6" borderId="36" xfId="1" applyFont="1" applyFill="1" applyBorder="1" applyAlignment="1" applyProtection="1">
      <alignment horizontal="center" vertical="center"/>
      <protection hidden="1"/>
    </xf>
    <xf numFmtId="0" fontId="13" fillId="6" borderId="0" xfId="1" applyFont="1" applyFill="1" applyAlignment="1" applyProtection="1">
      <alignment horizontal="center" vertical="center"/>
      <protection hidden="1"/>
    </xf>
    <xf numFmtId="0" fontId="13" fillId="6" borderId="32" xfId="1" applyFont="1" applyFill="1" applyBorder="1" applyAlignment="1" applyProtection="1">
      <alignment horizontal="center" vertical="center"/>
      <protection hidden="1"/>
    </xf>
    <xf numFmtId="0" fontId="39" fillId="6" borderId="0" xfId="1" applyFont="1" applyFill="1" applyAlignment="1" applyProtection="1">
      <alignment horizontal="center" vertical="top"/>
      <protection hidden="1"/>
    </xf>
    <xf numFmtId="0" fontId="39" fillId="6" borderId="32" xfId="1" applyFont="1" applyFill="1" applyBorder="1" applyAlignment="1" applyProtection="1">
      <alignment horizontal="center" vertical="top"/>
      <protection hidden="1"/>
    </xf>
    <xf numFmtId="0" fontId="25" fillId="0" borderId="0" xfId="1" applyFont="1" applyAlignment="1">
      <alignment horizontal="right" vertical="center" textRotation="90"/>
    </xf>
    <xf numFmtId="0" fontId="32" fillId="6" borderId="36" xfId="1" applyFont="1" applyFill="1" applyBorder="1" applyAlignment="1" applyProtection="1">
      <alignment horizontal="center" vertical="top"/>
      <protection hidden="1"/>
    </xf>
    <xf numFmtId="0" fontId="32" fillId="6" borderId="0" xfId="1" applyFont="1" applyFill="1" applyAlignment="1" applyProtection="1">
      <alignment horizontal="center" vertical="top"/>
      <protection hidden="1"/>
    </xf>
    <xf numFmtId="0" fontId="32" fillId="6" borderId="32" xfId="1" applyFont="1" applyFill="1" applyBorder="1" applyAlignment="1" applyProtection="1">
      <alignment horizontal="center" vertical="top"/>
      <protection hidden="1"/>
    </xf>
    <xf numFmtId="0" fontId="32" fillId="6" borderId="56" xfId="1" applyFont="1" applyFill="1" applyBorder="1" applyAlignment="1" applyProtection="1">
      <alignment horizontal="center" vertical="top"/>
      <protection hidden="1"/>
    </xf>
    <xf numFmtId="0" fontId="32" fillId="6" borderId="57" xfId="1" applyFont="1" applyFill="1" applyBorder="1" applyAlignment="1" applyProtection="1">
      <alignment horizontal="center" vertical="top"/>
      <protection hidden="1"/>
    </xf>
    <xf numFmtId="0" fontId="32" fillId="6" borderId="58" xfId="1" applyFont="1" applyFill="1" applyBorder="1" applyAlignment="1" applyProtection="1">
      <alignment horizontal="center" vertical="top"/>
      <protection hidden="1"/>
    </xf>
    <xf numFmtId="0" fontId="13" fillId="6" borderId="36" xfId="1" applyFont="1" applyFill="1" applyBorder="1" applyAlignment="1" applyProtection="1">
      <alignment horizontal="center" vertical="top"/>
      <protection hidden="1"/>
    </xf>
    <xf numFmtId="0" fontId="13" fillId="6" borderId="59" xfId="1" applyFont="1" applyFill="1" applyBorder="1" applyAlignment="1" applyProtection="1">
      <alignment horizontal="center" vertical="top"/>
      <protection hidden="1"/>
    </xf>
    <xf numFmtId="0" fontId="13" fillId="6" borderId="19" xfId="1" applyFont="1" applyFill="1" applyBorder="1" applyAlignment="1" applyProtection="1">
      <alignment horizontal="center" vertical="top"/>
      <protection hidden="1"/>
    </xf>
    <xf numFmtId="0" fontId="13" fillId="6" borderId="60" xfId="1" applyFont="1" applyFill="1" applyBorder="1" applyAlignment="1" applyProtection="1">
      <alignment horizontal="center" vertical="top"/>
      <protection hidden="1"/>
    </xf>
    <xf numFmtId="0" fontId="39" fillId="6" borderId="36" xfId="1" applyFont="1" applyFill="1" applyBorder="1" applyAlignment="1" applyProtection="1">
      <alignment horizontal="center" vertical="top"/>
      <protection hidden="1"/>
    </xf>
    <xf numFmtId="0" fontId="13" fillId="0" borderId="8" xfId="1" applyFont="1" applyBorder="1" applyAlignment="1" applyProtection="1">
      <alignment horizontal="center" vertical="center"/>
      <protection hidden="1"/>
    </xf>
    <xf numFmtId="0" fontId="13" fillId="6" borderId="40" xfId="1" applyFont="1" applyFill="1" applyBorder="1" applyAlignment="1" applyProtection="1">
      <alignment horizontal="center"/>
      <protection hidden="1"/>
    </xf>
    <xf numFmtId="0" fontId="13" fillId="6" borderId="41" xfId="1" applyFont="1" applyFill="1" applyBorder="1" applyAlignment="1" applyProtection="1">
      <alignment horizontal="center"/>
      <protection hidden="1"/>
    </xf>
    <xf numFmtId="0" fontId="13" fillId="6" borderId="42" xfId="1" applyFont="1" applyFill="1" applyBorder="1" applyAlignment="1" applyProtection="1">
      <alignment horizontal="center"/>
      <protection hidden="1"/>
    </xf>
    <xf numFmtId="0" fontId="32" fillId="6" borderId="43" xfId="1" applyFont="1" applyFill="1" applyBorder="1" applyAlignment="1" applyProtection="1">
      <alignment horizontal="center" vertical="top"/>
      <protection hidden="1"/>
    </xf>
    <xf numFmtId="0" fontId="32" fillId="6" borderId="31" xfId="1" applyFont="1" applyFill="1" applyBorder="1" applyAlignment="1" applyProtection="1">
      <alignment horizontal="center" vertical="top"/>
      <protection hidden="1"/>
    </xf>
    <xf numFmtId="0" fontId="32" fillId="6" borderId="44" xfId="1" applyFont="1" applyFill="1" applyBorder="1" applyAlignment="1" applyProtection="1">
      <alignment horizontal="center" vertical="top"/>
      <protection hidden="1"/>
    </xf>
    <xf numFmtId="0" fontId="31" fillId="6" borderId="36" xfId="1" applyFont="1" applyFill="1" applyBorder="1" applyAlignment="1" applyProtection="1">
      <alignment horizontal="center" vertical="top"/>
      <protection hidden="1"/>
    </xf>
    <xf numFmtId="0" fontId="31" fillId="6" borderId="0" xfId="1" applyFont="1" applyFill="1" applyAlignment="1" applyProtection="1">
      <alignment horizontal="center" vertical="top"/>
      <protection hidden="1"/>
    </xf>
    <xf numFmtId="0" fontId="31" fillId="6" borderId="32" xfId="1" applyFont="1" applyFill="1" applyBorder="1" applyAlignment="1" applyProtection="1">
      <alignment horizontal="center" vertical="top"/>
      <protection hidden="1"/>
    </xf>
    <xf numFmtId="0" fontId="46" fillId="6" borderId="36" xfId="1" applyFont="1" applyFill="1" applyBorder="1" applyAlignment="1" applyProtection="1">
      <alignment horizontal="center"/>
      <protection hidden="1"/>
    </xf>
    <xf numFmtId="0" fontId="46" fillId="6" borderId="0" xfId="1" applyFont="1" applyFill="1" applyAlignment="1" applyProtection="1">
      <alignment horizontal="center"/>
      <protection hidden="1"/>
    </xf>
    <xf numFmtId="0" fontId="46" fillId="6" borderId="32" xfId="1" applyFont="1" applyFill="1" applyBorder="1" applyAlignment="1" applyProtection="1">
      <alignment horizontal="center"/>
      <protection hidden="1"/>
    </xf>
    <xf numFmtId="0" fontId="39" fillId="6" borderId="36" xfId="1" applyFont="1" applyFill="1" applyBorder="1" applyAlignment="1" applyProtection="1">
      <alignment horizontal="center"/>
      <protection hidden="1"/>
    </xf>
    <xf numFmtId="0" fontId="39" fillId="6" borderId="0" xfId="1" applyFont="1" applyFill="1" applyAlignment="1" applyProtection="1">
      <alignment horizontal="center"/>
      <protection hidden="1"/>
    </xf>
    <xf numFmtId="0" fontId="39" fillId="6" borderId="32" xfId="1" applyFont="1" applyFill="1" applyBorder="1" applyAlignment="1" applyProtection="1">
      <alignment horizontal="center"/>
      <protection hidden="1"/>
    </xf>
    <xf numFmtId="0" fontId="32" fillId="6" borderId="46" xfId="1" applyFont="1" applyFill="1" applyBorder="1" applyAlignment="1" applyProtection="1">
      <alignment horizontal="center" vertical="top"/>
      <protection hidden="1"/>
    </xf>
    <xf numFmtId="0" fontId="13" fillId="6" borderId="20" xfId="1" applyFont="1" applyFill="1" applyBorder="1" applyAlignment="1" applyProtection="1">
      <alignment horizontal="center"/>
      <protection hidden="1"/>
    </xf>
    <xf numFmtId="0" fontId="46" fillId="0" borderId="31" xfId="1" applyFont="1" applyBorder="1" applyAlignment="1" applyProtection="1">
      <alignment horizontal="center"/>
      <protection hidden="1"/>
    </xf>
    <xf numFmtId="0" fontId="33" fillId="6" borderId="33" xfId="1" applyFont="1" applyFill="1" applyBorder="1" applyAlignment="1" applyProtection="1">
      <alignment horizontal="center"/>
      <protection hidden="1"/>
    </xf>
    <xf numFmtId="0" fontId="33" fillId="6" borderId="34" xfId="1" applyFont="1" applyFill="1" applyBorder="1" applyAlignment="1" applyProtection="1">
      <alignment horizontal="center"/>
      <protection hidden="1"/>
    </xf>
    <xf numFmtId="0" fontId="33" fillId="6" borderId="45" xfId="1" applyFont="1" applyFill="1" applyBorder="1" applyAlignment="1" applyProtection="1">
      <alignment horizontal="center"/>
      <protection hidden="1"/>
    </xf>
    <xf numFmtId="0" fontId="33" fillId="6" borderId="36" xfId="1" applyFont="1" applyFill="1" applyBorder="1" applyAlignment="1" applyProtection="1">
      <alignment horizontal="center"/>
      <protection hidden="1"/>
    </xf>
    <xf numFmtId="0" fontId="33" fillId="6" borderId="0" xfId="1" applyFont="1" applyFill="1" applyAlignment="1" applyProtection="1">
      <alignment horizontal="center"/>
      <protection hidden="1"/>
    </xf>
    <xf numFmtId="0" fontId="33" fillId="6" borderId="20" xfId="1" applyFont="1" applyFill="1" applyBorder="1" applyAlignment="1" applyProtection="1">
      <alignment horizontal="center"/>
      <protection hidden="1"/>
    </xf>
    <xf numFmtId="0" fontId="39" fillId="6" borderId="20" xfId="1" applyFont="1" applyFill="1" applyBorder="1" applyAlignment="1" applyProtection="1">
      <alignment horizontal="center" vertical="top"/>
      <protection hidden="1"/>
    </xf>
    <xf numFmtId="0" fontId="32" fillId="6" borderId="36" xfId="1" applyFont="1" applyFill="1" applyBorder="1" applyAlignment="1" applyProtection="1">
      <alignment horizontal="center"/>
      <protection hidden="1"/>
    </xf>
    <xf numFmtId="0" fontId="32" fillId="6" borderId="20" xfId="1" applyFont="1" applyFill="1" applyBorder="1" applyAlignment="1" applyProtection="1">
      <alignment horizontal="center" vertical="top"/>
      <protection hidden="1"/>
    </xf>
    <xf numFmtId="0" fontId="13" fillId="6" borderId="20" xfId="1" applyFont="1" applyFill="1" applyBorder="1" applyAlignment="1" applyProtection="1">
      <alignment horizontal="center" vertical="top"/>
      <protection hidden="1"/>
    </xf>
    <xf numFmtId="0" fontId="46" fillId="0" borderId="0" xfId="1" applyFont="1" applyAlignment="1" applyProtection="1">
      <alignment horizontal="center" wrapText="1"/>
      <protection hidden="1"/>
    </xf>
    <xf numFmtId="0" fontId="35" fillId="0" borderId="0" xfId="1" applyFont="1" applyAlignment="1">
      <alignment horizontal="center"/>
    </xf>
    <xf numFmtId="0" fontId="13" fillId="6" borderId="47" xfId="1" applyFont="1" applyFill="1" applyBorder="1" applyAlignment="1" applyProtection="1">
      <alignment horizontal="center"/>
      <protection hidden="1"/>
    </xf>
    <xf numFmtId="0" fontId="32" fillId="6" borderId="49" xfId="1" applyFont="1" applyFill="1" applyBorder="1" applyAlignment="1" applyProtection="1">
      <alignment horizontal="center" vertical="top"/>
      <protection hidden="1"/>
    </xf>
    <xf numFmtId="0" fontId="13" fillId="6" borderId="56" xfId="1" applyFont="1" applyFill="1" applyBorder="1" applyAlignment="1" applyProtection="1">
      <alignment horizontal="center"/>
      <protection hidden="1"/>
    </xf>
    <xf numFmtId="0" fontId="13" fillId="6" borderId="57" xfId="1" applyFont="1" applyFill="1" applyBorder="1" applyAlignment="1" applyProtection="1">
      <alignment horizontal="center"/>
      <protection hidden="1"/>
    </xf>
    <xf numFmtId="0" fontId="13" fillId="6" borderId="58" xfId="1" applyFont="1" applyFill="1" applyBorder="1" applyAlignment="1" applyProtection="1">
      <alignment horizontal="center"/>
      <protection hidden="1"/>
    </xf>
    <xf numFmtId="0" fontId="13" fillId="6" borderId="56" xfId="1" applyFont="1" applyFill="1" applyBorder="1" applyAlignment="1" applyProtection="1">
      <alignment horizontal="center" vertical="top"/>
      <protection hidden="1"/>
    </xf>
    <xf numFmtId="0" fontId="13" fillId="6" borderId="57" xfId="1" applyFont="1" applyFill="1" applyBorder="1" applyAlignment="1" applyProtection="1">
      <alignment horizontal="center" vertical="top"/>
      <protection hidden="1"/>
    </xf>
    <xf numFmtId="0" fontId="13" fillId="6" borderId="61" xfId="1" applyFont="1" applyFill="1" applyBorder="1" applyAlignment="1" applyProtection="1">
      <alignment horizontal="center" vertical="top"/>
      <protection hidden="1"/>
    </xf>
    <xf numFmtId="0" fontId="31" fillId="6" borderId="20" xfId="1" applyFont="1" applyFill="1" applyBorder="1" applyAlignment="1" applyProtection="1">
      <alignment horizontal="center" vertical="top"/>
      <protection hidden="1"/>
    </xf>
    <xf numFmtId="0" fontId="34" fillId="6" borderId="36" xfId="1" applyFont="1" applyFill="1" applyBorder="1" applyAlignment="1" applyProtection="1">
      <alignment horizontal="center"/>
      <protection hidden="1"/>
    </xf>
    <xf numFmtId="0" fontId="34" fillId="6" borderId="0" xfId="1" applyFont="1" applyFill="1" applyAlignment="1" applyProtection="1">
      <alignment horizontal="center"/>
      <protection hidden="1"/>
    </xf>
    <xf numFmtId="0" fontId="34" fillId="6" borderId="20" xfId="1" applyFont="1" applyFill="1" applyBorder="1" applyAlignment="1" applyProtection="1">
      <alignment horizontal="center"/>
      <protection hidden="1"/>
    </xf>
    <xf numFmtId="0" fontId="46" fillId="6" borderId="46" xfId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center" vertical="center" textRotation="90"/>
      <protection hidden="1"/>
    </xf>
    <xf numFmtId="0" fontId="46" fillId="0" borderId="0" xfId="1" applyFont="1" applyAlignment="1" applyProtection="1">
      <alignment horizontal="center" textRotation="90"/>
      <protection hidden="1"/>
    </xf>
    <xf numFmtId="0" fontId="39" fillId="6" borderId="8" xfId="1" applyFont="1" applyFill="1" applyBorder="1" applyAlignment="1" applyProtection="1">
      <alignment horizontal="center"/>
      <protection hidden="1"/>
    </xf>
    <xf numFmtId="0" fontId="39" fillId="6" borderId="12" xfId="1" applyFont="1" applyFill="1" applyBorder="1" applyAlignment="1" applyProtection="1">
      <alignment horizontal="center"/>
      <protection hidden="1"/>
    </xf>
    <xf numFmtId="0" fontId="32" fillId="6" borderId="43" xfId="1" applyFont="1" applyFill="1" applyBorder="1" applyAlignment="1" applyProtection="1">
      <alignment horizontal="center"/>
      <protection hidden="1"/>
    </xf>
    <xf numFmtId="0" fontId="32" fillId="6" borderId="31" xfId="1" applyFont="1" applyFill="1" applyBorder="1" applyAlignment="1" applyProtection="1">
      <alignment horizontal="center"/>
      <protection hidden="1"/>
    </xf>
    <xf numFmtId="0" fontId="32" fillId="6" borderId="83" xfId="1" applyFont="1" applyFill="1" applyBorder="1" applyAlignment="1" applyProtection="1">
      <alignment horizontal="center"/>
      <protection hidden="1"/>
    </xf>
    <xf numFmtId="0" fontId="32" fillId="6" borderId="84" xfId="1" applyFont="1" applyFill="1" applyBorder="1" applyAlignment="1" applyProtection="1">
      <alignment horizontal="center"/>
      <protection hidden="1"/>
    </xf>
    <xf numFmtId="0" fontId="32" fillId="6" borderId="44" xfId="1" applyFont="1" applyFill="1" applyBorder="1" applyAlignment="1" applyProtection="1">
      <alignment horizontal="center"/>
      <protection hidden="1"/>
    </xf>
    <xf numFmtId="0" fontId="47" fillId="6" borderId="62" xfId="1" applyFont="1" applyFill="1" applyBorder="1" applyAlignment="1" applyProtection="1">
      <alignment horizontal="center"/>
      <protection hidden="1"/>
    </xf>
    <xf numFmtId="0" fontId="47" fillId="6" borderId="63" xfId="1" applyFont="1" applyFill="1" applyBorder="1" applyAlignment="1" applyProtection="1">
      <alignment horizontal="center"/>
      <protection hidden="1"/>
    </xf>
    <xf numFmtId="0" fontId="47" fillId="6" borderId="64" xfId="1" applyFont="1" applyFill="1" applyBorder="1" applyAlignment="1" applyProtection="1">
      <alignment horizontal="center"/>
      <protection hidden="1"/>
    </xf>
    <xf numFmtId="0" fontId="1" fillId="6" borderId="36" xfId="1" applyFont="1" applyFill="1" applyBorder="1" applyAlignment="1" applyProtection="1">
      <alignment horizontal="center"/>
      <protection hidden="1"/>
    </xf>
    <xf numFmtId="0" fontId="1" fillId="6" borderId="0" xfId="1" applyFont="1" applyFill="1" applyAlignment="1" applyProtection="1">
      <alignment horizontal="center"/>
      <protection hidden="1"/>
    </xf>
    <xf numFmtId="0" fontId="1" fillId="6" borderId="32" xfId="1" applyFont="1" applyFill="1" applyBorder="1" applyAlignment="1" applyProtection="1">
      <alignment horizontal="center"/>
      <protection hidden="1"/>
    </xf>
    <xf numFmtId="0" fontId="46" fillId="0" borderId="34" xfId="1" applyFont="1" applyBorder="1" applyAlignment="1" applyProtection="1">
      <alignment horizontal="center"/>
      <protection hidden="1"/>
    </xf>
    <xf numFmtId="0" fontId="1" fillId="6" borderId="40" xfId="1" applyFont="1" applyFill="1" applyBorder="1" applyAlignment="1" applyProtection="1">
      <alignment horizontal="center"/>
      <protection hidden="1"/>
    </xf>
    <xf numFmtId="0" fontId="1" fillId="6" borderId="41" xfId="1" applyFont="1" applyFill="1" applyBorder="1" applyAlignment="1" applyProtection="1">
      <alignment horizontal="center"/>
      <protection hidden="1"/>
    </xf>
    <xf numFmtId="0" fontId="1" fillId="6" borderId="81" xfId="1" applyFont="1" applyFill="1" applyBorder="1" applyAlignment="1" applyProtection="1">
      <alignment horizontal="center"/>
      <protection hidden="1"/>
    </xf>
    <xf numFmtId="0" fontId="1" fillId="6" borderId="82" xfId="1" applyFont="1" applyFill="1" applyBorder="1" applyAlignment="1" applyProtection="1">
      <alignment horizontal="center"/>
      <protection hidden="1"/>
    </xf>
    <xf numFmtId="0" fontId="1" fillId="6" borderId="42" xfId="1" applyFont="1" applyFill="1" applyBorder="1" applyAlignment="1" applyProtection="1">
      <alignment horizontal="center"/>
      <protection hidden="1"/>
    </xf>
    <xf numFmtId="0" fontId="1" fillId="6" borderId="33" xfId="1" applyFont="1" applyFill="1" applyBorder="1" applyAlignment="1" applyProtection="1">
      <alignment horizontal="center"/>
      <protection hidden="1"/>
    </xf>
    <xf numFmtId="0" fontId="1" fillId="6" borderId="34" xfId="1" applyFont="1" applyFill="1" applyBorder="1" applyAlignment="1" applyProtection="1">
      <alignment horizontal="center"/>
      <protection hidden="1"/>
    </xf>
    <xf numFmtId="0" fontId="1" fillId="6" borderId="77" xfId="1" applyFont="1" applyFill="1" applyBorder="1" applyAlignment="1" applyProtection="1">
      <alignment horizontal="center"/>
      <protection hidden="1"/>
    </xf>
    <xf numFmtId="0" fontId="1" fillId="6" borderId="78" xfId="1" applyFont="1" applyFill="1" applyBorder="1" applyAlignment="1" applyProtection="1">
      <alignment horizontal="center"/>
      <protection hidden="1"/>
    </xf>
    <xf numFmtId="0" fontId="1" fillId="6" borderId="35" xfId="1" applyFont="1" applyFill="1" applyBorder="1" applyAlignment="1" applyProtection="1">
      <alignment horizontal="center"/>
      <protection hidden="1"/>
    </xf>
    <xf numFmtId="0" fontId="46" fillId="0" borderId="36" xfId="1" applyFont="1" applyBorder="1" applyAlignment="1" applyProtection="1">
      <alignment horizontal="center" textRotation="90"/>
      <protection hidden="1"/>
    </xf>
    <xf numFmtId="0" fontId="32" fillId="6" borderId="37" xfId="1" applyFont="1" applyFill="1" applyBorder="1" applyAlignment="1" applyProtection="1">
      <alignment horizontal="center"/>
      <protection hidden="1"/>
    </xf>
    <xf numFmtId="0" fontId="32" fillId="6" borderId="38" xfId="1" applyFont="1" applyFill="1" applyBorder="1" applyAlignment="1" applyProtection="1">
      <alignment horizontal="center"/>
      <protection hidden="1"/>
    </xf>
    <xf numFmtId="0" fontId="32" fillId="6" borderId="79" xfId="1" applyFont="1" applyFill="1" applyBorder="1" applyAlignment="1" applyProtection="1">
      <alignment horizontal="center"/>
      <protection hidden="1"/>
    </xf>
    <xf numFmtId="0" fontId="32" fillId="6" borderId="80" xfId="1" applyFont="1" applyFill="1" applyBorder="1" applyAlignment="1" applyProtection="1">
      <alignment horizontal="center"/>
      <protection hidden="1"/>
    </xf>
    <xf numFmtId="0" fontId="32" fillId="6" borderId="39" xfId="1" applyFont="1" applyFill="1" applyBorder="1" applyAlignment="1" applyProtection="1">
      <alignment horizontal="center"/>
      <protection hidden="1"/>
    </xf>
    <xf numFmtId="0" fontId="46" fillId="0" borderId="36" xfId="1" applyFont="1" applyBorder="1" applyAlignment="1" applyProtection="1">
      <alignment horizontal="center" vertical="center" textRotation="90"/>
      <protection hidden="1"/>
    </xf>
    <xf numFmtId="0" fontId="17" fillId="6" borderId="1" xfId="0" applyFont="1" applyFill="1" applyBorder="1" applyAlignment="1" applyProtection="1">
      <alignment horizontal="center" vertical="center" wrapText="1"/>
      <protection hidden="1"/>
    </xf>
    <xf numFmtId="0" fontId="13" fillId="6" borderId="1" xfId="0" applyFont="1" applyFill="1" applyBorder="1" applyAlignment="1" applyProtection="1">
      <alignment horizontal="center" vertical="center"/>
      <protection hidden="1"/>
    </xf>
    <xf numFmtId="2" fontId="13" fillId="6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2" xfId="1" applyBorder="1" applyAlignment="1">
      <alignment horizontal="center"/>
    </xf>
    <xf numFmtId="0" fontId="3" fillId="0" borderId="5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  <xf numFmtId="0" fontId="3" fillId="0" borderId="12" xfId="1" applyBorder="1" applyAlignment="1">
      <alignment horizontal="center"/>
    </xf>
    <xf numFmtId="0" fontId="3" fillId="0" borderId="8" xfId="1" applyBorder="1" applyAlignment="1">
      <alignment horizontal="center" vertical="top" wrapText="1"/>
    </xf>
    <xf numFmtId="0" fontId="3" fillId="0" borderId="0" xfId="1" applyAlignment="1">
      <alignment horizontal="center" vertical="top" wrapText="1"/>
    </xf>
  </cellXfs>
  <cellStyles count="9">
    <cellStyle name="Good" xfId="5" builtinId="26"/>
    <cellStyle name="Normal" xfId="0" builtinId="0"/>
    <cellStyle name="Normal 2" xfId="1" xr:uid="{00000000-0005-0000-0000-000002000000}"/>
    <cellStyle name="Normal 2 2" xfId="4" xr:uid="{00000000-0005-0000-0000-000003000000}"/>
    <cellStyle name="Normal 3" xfId="6" xr:uid="{2FD931C9-AD14-4BAB-922F-0750D86BB83A}"/>
    <cellStyle name="Normal 7" xfId="7" xr:uid="{FAF9EC6A-4453-4020-9FBD-BD7284015933}"/>
    <cellStyle name="Normal 8" xfId="8" xr:uid="{67F9459B-20B6-4760-8FAF-97B80B12D94F}"/>
    <cellStyle name="Percent 2" xfId="3" xr:uid="{00000000-0005-0000-0000-000004000000}"/>
    <cellStyle name="Tieu de phu" xfId="2" xr:uid="{00000000-0005-0000-0000-000005000000}"/>
  </cellStyles>
  <dxfs count="18"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bottom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border>
        <bottom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  <dxf>
      <border>
        <bottom/>
        <vertical/>
        <horizontal/>
      </border>
    </dxf>
    <dxf>
      <border>
        <right/>
        <vertical/>
        <horizontal/>
      </border>
    </dxf>
    <dxf>
      <fill>
        <patternFill>
          <bgColor rgb="FFFFFFCC"/>
        </patternFill>
      </fill>
      <border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00FF"/>
      <color rgb="FF00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08E44742-0E9C-4D13-865B-A45A93AFF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FD1A53BB-2C65-4F2E-8D97-09C63244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37EA1690-8920-40C7-8E50-00FDFD6AC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271096</xdr:colOff>
      <xdr:row>14</xdr:row>
      <xdr:rowOff>175846</xdr:rowOff>
    </xdr:from>
    <xdr:to>
      <xdr:col>16</xdr:col>
      <xdr:colOff>58615</xdr:colOff>
      <xdr:row>16</xdr:row>
      <xdr:rowOff>15610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33EDCFBE-9420-4F23-9748-BF33E1F640FC}"/>
            </a:ext>
          </a:extLst>
        </xdr:cNvPr>
        <xdr:cNvSpPr/>
      </xdr:nvSpPr>
      <xdr:spPr bwMode="auto">
        <a:xfrm>
          <a:off x="4471621" y="1785571"/>
          <a:ext cx="587619" cy="239814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oneCellAnchor>
    <xdr:from>
      <xdr:col>34</xdr:col>
      <xdr:colOff>534120</xdr:colOff>
      <xdr:row>102</xdr:row>
      <xdr:rowOff>88805</xdr:rowOff>
    </xdr:from>
    <xdr:ext cx="248851" cy="220317"/>
    <xdr:sp macro="" textlink="AC95">
      <xdr:nvSpPr>
        <xdr:cNvPr id="9" name="TextBox 8">
          <a:extLst>
            <a:ext uri="{FF2B5EF4-FFF2-40B4-BE49-F238E27FC236}">
              <a16:creationId xmlns:a16="http://schemas.microsoft.com/office/drawing/2014/main" id="{C8079993-1ACB-4D48-8198-355709794E0A}"/>
            </a:ext>
          </a:extLst>
        </xdr:cNvPr>
        <xdr:cNvSpPr txBox="1"/>
      </xdr:nvSpPr>
      <xdr:spPr>
        <a:xfrm rot="16200000">
          <a:off x="12968987" y="1495258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34</xdr:col>
      <xdr:colOff>505242</xdr:colOff>
      <xdr:row>83</xdr:row>
      <xdr:rowOff>83318</xdr:rowOff>
    </xdr:from>
    <xdr:ext cx="248851" cy="220317"/>
    <xdr:sp macro="" textlink="AC95">
      <xdr:nvSpPr>
        <xdr:cNvPr id="10" name="TextBox 9">
          <a:extLst>
            <a:ext uri="{FF2B5EF4-FFF2-40B4-BE49-F238E27FC236}">
              <a16:creationId xmlns:a16="http://schemas.microsoft.com/office/drawing/2014/main" id="{B31C595B-9ABF-46C1-BCAC-20D2DB5A1C30}"/>
            </a:ext>
          </a:extLst>
        </xdr:cNvPr>
        <xdr:cNvSpPr txBox="1"/>
      </xdr:nvSpPr>
      <xdr:spPr>
        <a:xfrm rot="16200000">
          <a:off x="12940109" y="115085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49</xdr:col>
      <xdr:colOff>534120</xdr:colOff>
      <xdr:row>102</xdr:row>
      <xdr:rowOff>88805</xdr:rowOff>
    </xdr:from>
    <xdr:ext cx="248851" cy="220317"/>
    <xdr:sp macro="" textlink="AC95">
      <xdr:nvSpPr>
        <xdr:cNvPr id="11" name="TextBox 10">
          <a:extLst>
            <a:ext uri="{FF2B5EF4-FFF2-40B4-BE49-F238E27FC236}">
              <a16:creationId xmlns:a16="http://schemas.microsoft.com/office/drawing/2014/main" id="{5290382B-731C-419D-B3A7-0AC7F3605B16}"/>
            </a:ext>
          </a:extLst>
        </xdr:cNvPr>
        <xdr:cNvSpPr txBox="1"/>
      </xdr:nvSpPr>
      <xdr:spPr>
        <a:xfrm rot="16200000">
          <a:off x="22112987" y="1495258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49</xdr:col>
      <xdr:colOff>505242</xdr:colOff>
      <xdr:row>83</xdr:row>
      <xdr:rowOff>83318</xdr:rowOff>
    </xdr:from>
    <xdr:ext cx="248851" cy="220317"/>
    <xdr:sp macro="" textlink="AC95">
      <xdr:nvSpPr>
        <xdr:cNvPr id="12" name="TextBox 11">
          <a:extLst>
            <a:ext uri="{FF2B5EF4-FFF2-40B4-BE49-F238E27FC236}">
              <a16:creationId xmlns:a16="http://schemas.microsoft.com/office/drawing/2014/main" id="{9C95B154-9741-4205-A15A-60370C9EF46E}"/>
            </a:ext>
          </a:extLst>
        </xdr:cNvPr>
        <xdr:cNvSpPr txBox="1"/>
      </xdr:nvSpPr>
      <xdr:spPr>
        <a:xfrm rot="16200000">
          <a:off x="22084109" y="115085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32</xdr:col>
      <xdr:colOff>281144</xdr:colOff>
      <xdr:row>73</xdr:row>
      <xdr:rowOff>74002</xdr:rowOff>
    </xdr:from>
    <xdr:to>
      <xdr:col>42</xdr:col>
      <xdr:colOff>141655</xdr:colOff>
      <xdr:row>163</xdr:row>
      <xdr:rowOff>150375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2DAD903-B31C-E942-18A5-30435B393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0823" y="15341216"/>
          <a:ext cx="5067824" cy="1812221"/>
        </a:xfrm>
        <a:prstGeom prst="rect">
          <a:avLst/>
        </a:prstGeom>
      </xdr:spPr>
    </xdr:pic>
    <xdr:clientData/>
  </xdr:twoCellAnchor>
  <xdr:twoCellAnchor editAs="oneCell">
    <xdr:from>
      <xdr:col>32</xdr:col>
      <xdr:colOff>420459</xdr:colOff>
      <xdr:row>84</xdr:row>
      <xdr:rowOff>176893</xdr:rowOff>
    </xdr:from>
    <xdr:to>
      <xdr:col>42</xdr:col>
      <xdr:colOff>264118</xdr:colOff>
      <xdr:row>173</xdr:row>
      <xdr:rowOff>45243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E529AFF-72DC-E56A-800B-130B26C8E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00138" y="17553214"/>
          <a:ext cx="5050972" cy="3371894"/>
        </a:xfrm>
        <a:prstGeom prst="rect">
          <a:avLst/>
        </a:prstGeom>
      </xdr:spPr>
    </xdr:pic>
    <xdr:clientData/>
  </xdr:twoCellAnchor>
  <xdr:twoCellAnchor editAs="oneCell">
    <xdr:from>
      <xdr:col>44</xdr:col>
      <xdr:colOff>435429</xdr:colOff>
      <xdr:row>45</xdr:row>
      <xdr:rowOff>148032</xdr:rowOff>
    </xdr:from>
    <xdr:to>
      <xdr:col>54</xdr:col>
      <xdr:colOff>470117</xdr:colOff>
      <xdr:row>153</xdr:row>
      <xdr:rowOff>118558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B10609-0632-7130-B7F9-EBDF87235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76322" y="8598068"/>
          <a:ext cx="6157902" cy="5236490"/>
        </a:xfrm>
        <a:prstGeom prst="rect">
          <a:avLst/>
        </a:prstGeom>
      </xdr:spPr>
    </xdr:pic>
    <xdr:clientData/>
  </xdr:twoCellAnchor>
  <xdr:twoCellAnchor>
    <xdr:from>
      <xdr:col>20</xdr:col>
      <xdr:colOff>86988</xdr:colOff>
      <xdr:row>19</xdr:row>
      <xdr:rowOff>79699</xdr:rowOff>
    </xdr:from>
    <xdr:to>
      <xdr:col>21</xdr:col>
      <xdr:colOff>16048</xdr:colOff>
      <xdr:row>21</xdr:row>
      <xdr:rowOff>81530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E4A4E878-A50D-459B-9483-E6418B7F732E}"/>
            </a:ext>
          </a:extLst>
        </xdr:cNvPr>
        <xdr:cNvSpPr/>
      </xdr:nvSpPr>
      <xdr:spPr bwMode="auto">
        <a:xfrm rot="16200000">
          <a:off x="6107907" y="2583655"/>
          <a:ext cx="418550" cy="24457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208359</xdr:colOff>
      <xdr:row>79</xdr:row>
      <xdr:rowOff>89296</xdr:rowOff>
    </xdr:from>
    <xdr:to>
      <xdr:col>3</xdr:col>
      <xdr:colOff>115696</xdr:colOff>
      <xdr:row>80</xdr:row>
      <xdr:rowOff>85672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13F31780-B028-4CA9-B7E4-F72600BA6965}"/>
            </a:ext>
          </a:extLst>
        </xdr:cNvPr>
        <xdr:cNvSpPr/>
      </xdr:nvSpPr>
      <xdr:spPr bwMode="auto">
        <a:xfrm>
          <a:off x="511968" y="16222265"/>
          <a:ext cx="347869" cy="198782"/>
        </a:xfrm>
        <a:prstGeom prst="rightArrow">
          <a:avLst/>
        </a:prstGeom>
        <a:solidFill>
          <a:sysClr val="window" lastClr="FFFFFF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202406</xdr:colOff>
      <xdr:row>99</xdr:row>
      <xdr:rowOff>130969</xdr:rowOff>
    </xdr:from>
    <xdr:to>
      <xdr:col>3</xdr:col>
      <xdr:colOff>109743</xdr:colOff>
      <xdr:row>100</xdr:row>
      <xdr:rowOff>127345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F05796EB-A4A6-4017-85D1-C6AF1466246F}"/>
            </a:ext>
          </a:extLst>
        </xdr:cNvPr>
        <xdr:cNvSpPr/>
      </xdr:nvSpPr>
      <xdr:spPr bwMode="auto">
        <a:xfrm rot="10800000">
          <a:off x="506015" y="19889391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3</xdr:col>
      <xdr:colOff>0</xdr:colOff>
      <xdr:row>118</xdr:row>
      <xdr:rowOff>148828</xdr:rowOff>
    </xdr:from>
    <xdr:to>
      <xdr:col>3</xdr:col>
      <xdr:colOff>198782</xdr:colOff>
      <xdr:row>120</xdr:row>
      <xdr:rowOff>163322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AD1C01D7-CC2D-4595-BBAA-55A7AFEC37F6}"/>
            </a:ext>
          </a:extLst>
        </xdr:cNvPr>
        <xdr:cNvSpPr/>
      </xdr:nvSpPr>
      <xdr:spPr bwMode="auto">
        <a:xfrm rot="16200000">
          <a:off x="669597" y="23589388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369095</xdr:colOff>
      <xdr:row>142</xdr:row>
      <xdr:rowOff>65485</xdr:rowOff>
    </xdr:from>
    <xdr:to>
      <xdr:col>3</xdr:col>
      <xdr:colOff>127345</xdr:colOff>
      <xdr:row>144</xdr:row>
      <xdr:rowOff>20448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A9A4BD20-4215-4312-9D76-5C25FB2562E8}"/>
            </a:ext>
          </a:extLst>
        </xdr:cNvPr>
        <xdr:cNvSpPr/>
      </xdr:nvSpPr>
      <xdr:spPr bwMode="auto">
        <a:xfrm rot="5400000">
          <a:off x="598160" y="27708951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16</xdr:col>
      <xdr:colOff>247650</xdr:colOff>
      <xdr:row>19</xdr:row>
      <xdr:rowOff>28576</xdr:rowOff>
    </xdr:from>
    <xdr:to>
      <xdr:col>18</xdr:col>
      <xdr:colOff>133350</xdr:colOff>
      <xdr:row>21</xdr:row>
      <xdr:rowOff>137854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1992E16-4005-DDC3-391A-E6A406E0E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76825" y="3095626"/>
          <a:ext cx="514350" cy="528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37D7-5262-4C94-AB4C-CB769338DA34}">
  <sheetPr>
    <tabColor rgb="FFFF0000"/>
  </sheetPr>
  <dimension ref="A1:AA61"/>
  <sheetViews>
    <sheetView showGridLines="0" view="pageBreakPreview" zoomScaleNormal="100" zoomScaleSheetLayoutView="100" workbookViewId="0">
      <selection activeCell="S11" sqref="S11"/>
    </sheetView>
  </sheetViews>
  <sheetFormatPr defaultRowHeight="12.75"/>
  <cols>
    <col min="1" max="1" width="3" style="163" customWidth="1"/>
    <col min="2" max="2" width="11.85546875" style="162" customWidth="1"/>
    <col min="3" max="3" width="7.5703125" style="162" customWidth="1"/>
    <col min="4" max="4" width="7.7109375" style="162" customWidth="1"/>
    <col min="5" max="5" width="7.5703125" style="162" bestFit="1" customWidth="1"/>
    <col min="6" max="6" width="5.28515625" style="162" customWidth="1"/>
    <col min="7" max="7" width="7.28515625" style="162" bestFit="1" customWidth="1"/>
    <col min="8" max="8" width="8.5703125" style="162" bestFit="1" customWidth="1"/>
    <col min="9" max="9" width="8.28515625" style="162" customWidth="1"/>
    <col min="10" max="10" width="6.5703125" style="162" bestFit="1" customWidth="1"/>
    <col min="11" max="11" width="7.5703125" style="162" bestFit="1" customWidth="1"/>
    <col min="12" max="12" width="7.28515625" style="162" bestFit="1" customWidth="1"/>
    <col min="13" max="13" width="6.85546875" style="162" customWidth="1"/>
    <col min="14" max="14" width="8.85546875" style="162" customWidth="1"/>
    <col min="15" max="15" width="8.85546875" style="163" customWidth="1"/>
    <col min="16" max="16" width="12.85546875" style="163" bestFit="1" customWidth="1"/>
    <col min="17" max="16384" width="9.140625" style="163"/>
  </cols>
  <sheetData>
    <row r="1" spans="1:27" ht="14.25" customHeight="1">
      <c r="A1" s="162"/>
      <c r="P1" s="164"/>
      <c r="Q1" s="164"/>
      <c r="R1" s="164"/>
    </row>
    <row r="2" spans="1:27" ht="24" customHeight="1">
      <c r="A2" s="162"/>
      <c r="B2" s="221" t="s">
        <v>229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165"/>
      <c r="P2" s="164"/>
      <c r="Q2" s="164"/>
      <c r="R2" s="164"/>
    </row>
    <row r="3" spans="1:27" ht="12.75" customHeight="1">
      <c r="A3" s="162"/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5"/>
      <c r="P3" s="164"/>
      <c r="Q3" s="164"/>
      <c r="R3" s="164"/>
    </row>
    <row r="4" spans="1:27" ht="12.75" customHeight="1">
      <c r="A4" s="162"/>
      <c r="B4" s="215" t="s">
        <v>230</v>
      </c>
      <c r="C4" s="215"/>
      <c r="D4" s="167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5"/>
      <c r="P4" s="164"/>
      <c r="Q4" s="164"/>
      <c r="R4" s="164"/>
    </row>
    <row r="5" spans="1:27">
      <c r="A5" s="162"/>
      <c r="B5" s="214" t="s">
        <v>231</v>
      </c>
      <c r="C5" s="214"/>
      <c r="D5" s="214"/>
      <c r="E5" s="169">
        <v>13.5</v>
      </c>
      <c r="F5" s="210" t="s">
        <v>232</v>
      </c>
      <c r="G5" s="211"/>
      <c r="H5" s="211"/>
      <c r="I5" s="211"/>
      <c r="J5" s="172">
        <v>0</v>
      </c>
      <c r="K5" s="173" t="s">
        <v>214</v>
      </c>
      <c r="M5" s="174"/>
    </row>
    <row r="6" spans="1:27">
      <c r="A6" s="162"/>
      <c r="B6" s="214" t="s">
        <v>233</v>
      </c>
      <c r="C6" s="214"/>
      <c r="D6" s="175" t="s">
        <v>28</v>
      </c>
      <c r="H6" s="170"/>
      <c r="I6" s="174"/>
      <c r="J6" s="174"/>
      <c r="K6" s="176"/>
      <c r="L6" s="170"/>
      <c r="M6" s="174"/>
    </row>
    <row r="7" spans="1:27">
      <c r="A7" s="162"/>
      <c r="B7" s="214" t="s">
        <v>234</v>
      </c>
      <c r="C7" s="216"/>
      <c r="D7" s="178" t="s">
        <v>52</v>
      </c>
      <c r="E7" s="210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211"/>
      <c r="G7" s="211"/>
      <c r="H7" s="211"/>
      <c r="I7" s="211"/>
      <c r="J7" s="211"/>
      <c r="K7" s="211"/>
      <c r="L7" s="211"/>
      <c r="M7" s="211"/>
      <c r="N7" s="211"/>
      <c r="O7" s="179"/>
    </row>
    <row r="8" spans="1:27">
      <c r="A8" s="162"/>
      <c r="B8" s="214" t="s">
        <v>74</v>
      </c>
      <c r="C8" s="214"/>
      <c r="D8" s="214"/>
      <c r="E8" s="216"/>
      <c r="F8" s="216"/>
      <c r="G8" s="216"/>
      <c r="H8" s="218" t="s">
        <v>235</v>
      </c>
      <c r="I8" s="219"/>
      <c r="J8" s="219"/>
    </row>
    <row r="9" spans="1:27">
      <c r="A9" s="162"/>
      <c r="B9" s="214" t="s">
        <v>236</v>
      </c>
      <c r="C9" s="216"/>
      <c r="D9" s="216"/>
      <c r="E9" s="216"/>
      <c r="F9" s="216"/>
      <c r="G9" s="216"/>
      <c r="H9" s="180">
        <v>1</v>
      </c>
      <c r="J9" s="210" t="s">
        <v>237</v>
      </c>
      <c r="K9" s="211"/>
      <c r="L9" s="211"/>
      <c r="M9" s="211"/>
      <c r="N9" s="211"/>
      <c r="O9" s="179"/>
      <c r="R9" s="220"/>
      <c r="S9" s="220"/>
      <c r="T9" s="220"/>
      <c r="U9" s="220"/>
      <c r="V9" s="220"/>
      <c r="W9" s="220"/>
      <c r="X9" s="220"/>
      <c r="Y9" s="220"/>
      <c r="Z9" s="220"/>
      <c r="AA9" s="220"/>
    </row>
    <row r="10" spans="1:27" ht="15.75">
      <c r="A10" s="162"/>
      <c r="B10" s="214" t="s">
        <v>238</v>
      </c>
      <c r="C10" s="216"/>
      <c r="D10" s="216"/>
      <c r="E10" s="216"/>
      <c r="F10" s="216"/>
      <c r="G10" s="216"/>
      <c r="H10" s="181">
        <f>VLOOKUP(D6,GustFactor!$F$57:$H$61,2,FALSE)</f>
        <v>0.95</v>
      </c>
      <c r="J10" s="210" t="s">
        <v>239</v>
      </c>
      <c r="K10" s="211"/>
      <c r="L10" s="211"/>
      <c r="M10" s="211"/>
      <c r="N10" s="211"/>
      <c r="O10" s="179"/>
      <c r="R10" s="220"/>
      <c r="S10" s="220"/>
      <c r="T10" s="220"/>
      <c r="U10" s="220"/>
      <c r="V10" s="220"/>
      <c r="W10" s="220"/>
      <c r="X10" s="220"/>
      <c r="Y10" s="220"/>
      <c r="Z10" s="220"/>
      <c r="AA10" s="220"/>
    </row>
    <row r="11" spans="1:27" ht="15.75">
      <c r="A11" s="162"/>
      <c r="B11" s="214" t="s">
        <v>240</v>
      </c>
      <c r="C11" s="216"/>
      <c r="D11" s="216"/>
      <c r="E11" s="216"/>
      <c r="F11" s="216"/>
      <c r="G11" s="216"/>
      <c r="H11" s="181">
        <f>H10*0.852</f>
        <v>0.8093999999999999</v>
      </c>
      <c r="J11" s="210" t="s">
        <v>241</v>
      </c>
      <c r="K11" s="211"/>
      <c r="L11" s="211"/>
      <c r="M11" s="211"/>
      <c r="N11" s="211"/>
      <c r="O11" s="179"/>
    </row>
    <row r="12" spans="1:27">
      <c r="A12" s="162"/>
      <c r="B12" s="214" t="s">
        <v>242</v>
      </c>
      <c r="C12" s="216"/>
      <c r="D12" s="216"/>
      <c r="E12" s="216"/>
      <c r="F12" s="216"/>
      <c r="G12" s="216"/>
      <c r="H12" s="182">
        <f>VLOOKUP(D6,GustFactor!$F$57:$H$61,3,FALSE)</f>
        <v>44</v>
      </c>
      <c r="J12" s="210" t="s">
        <v>239</v>
      </c>
      <c r="K12" s="211"/>
      <c r="L12" s="211"/>
      <c r="M12" s="211"/>
      <c r="N12" s="211"/>
      <c r="O12" s="179"/>
    </row>
    <row r="13" spans="1:27" ht="15.75">
      <c r="A13" s="162"/>
      <c r="B13" s="214" t="s">
        <v>243</v>
      </c>
      <c r="C13" s="216"/>
      <c r="D13" s="216"/>
      <c r="E13" s="216"/>
      <c r="F13" s="216"/>
      <c r="G13" s="216"/>
      <c r="H13" s="181">
        <f>VLOOKUP($D$7,Bang8_10,4)</f>
        <v>4.57</v>
      </c>
      <c r="J13" s="210" t="s">
        <v>244</v>
      </c>
      <c r="K13" s="211"/>
      <c r="L13" s="211"/>
      <c r="M13" s="211"/>
      <c r="N13" s="211"/>
      <c r="O13" s="179"/>
    </row>
    <row r="14" spans="1:27" ht="15.75">
      <c r="A14" s="162"/>
      <c r="B14" s="214" t="s">
        <v>245</v>
      </c>
      <c r="C14" s="216"/>
      <c r="D14" s="216"/>
      <c r="E14" s="216"/>
      <c r="F14" s="216"/>
      <c r="G14" s="216"/>
      <c r="H14" s="181">
        <f>VLOOKUP($D$7,Bang8_10,3)</f>
        <v>274.32</v>
      </c>
      <c r="J14" s="210" t="s">
        <v>244</v>
      </c>
      <c r="K14" s="211"/>
      <c r="L14" s="211"/>
      <c r="M14" s="211"/>
      <c r="N14" s="211"/>
      <c r="O14" s="179"/>
    </row>
    <row r="15" spans="1:27">
      <c r="A15" s="162"/>
      <c r="B15" s="214" t="s">
        <v>246</v>
      </c>
      <c r="C15" s="216"/>
      <c r="D15" s="216"/>
      <c r="E15" s="216"/>
      <c r="F15" s="216"/>
      <c r="G15" s="216"/>
      <c r="H15" s="181">
        <f>VLOOKUP($D$7,Bang8_10,5)</f>
        <v>9.5</v>
      </c>
      <c r="J15" s="210" t="s">
        <v>244</v>
      </c>
      <c r="K15" s="211"/>
      <c r="L15" s="211"/>
      <c r="M15" s="211"/>
      <c r="N15" s="211"/>
      <c r="O15" s="179"/>
    </row>
    <row r="16" spans="1:27" ht="15.75">
      <c r="A16" s="162"/>
      <c r="B16" s="214" t="s">
        <v>247</v>
      </c>
      <c r="C16" s="216"/>
      <c r="D16" s="216"/>
      <c r="E16" s="216"/>
      <c r="F16" s="216"/>
      <c r="G16" s="216"/>
      <c r="H16" s="181">
        <f>VLOOKUP(D7,Bang8_10,6)</f>
        <v>1.97</v>
      </c>
      <c r="J16" s="210" t="s">
        <v>244</v>
      </c>
      <c r="K16" s="211"/>
      <c r="L16" s="211"/>
      <c r="M16" s="211"/>
      <c r="N16" s="211"/>
      <c r="O16" s="179"/>
    </row>
    <row r="17" spans="1:15" ht="15.75">
      <c r="A17" s="162"/>
      <c r="B17" s="214" t="s">
        <v>248</v>
      </c>
      <c r="C17" s="216"/>
      <c r="D17" s="216"/>
      <c r="E17" s="216"/>
      <c r="F17" s="216"/>
      <c r="G17" s="216"/>
      <c r="H17" s="181">
        <f>VLOOKUP(D7,Bang8_10,7)</f>
        <v>0.2</v>
      </c>
      <c r="J17" s="210" t="s">
        <v>249</v>
      </c>
      <c r="K17" s="211"/>
      <c r="L17" s="211"/>
      <c r="M17" s="211"/>
      <c r="N17" s="211"/>
      <c r="O17" s="179"/>
    </row>
    <row r="18" spans="1:15">
      <c r="A18" s="162"/>
      <c r="B18" s="214" t="s">
        <v>250</v>
      </c>
      <c r="C18" s="216"/>
      <c r="D18" s="216"/>
      <c r="E18" s="216"/>
      <c r="F18" s="216"/>
      <c r="G18" s="216"/>
      <c r="H18" s="181">
        <f>VLOOKUP(D7,Bang8_10,8)</f>
        <v>152.4</v>
      </c>
      <c r="J18" s="210" t="s">
        <v>249</v>
      </c>
      <c r="K18" s="211"/>
      <c r="L18" s="211"/>
      <c r="M18" s="211"/>
      <c r="N18" s="211"/>
      <c r="O18" s="179"/>
    </row>
    <row r="19" spans="1:15">
      <c r="A19" s="162"/>
      <c r="B19" s="214" t="s">
        <v>251</v>
      </c>
      <c r="C19" s="216"/>
      <c r="D19" s="216"/>
      <c r="E19" s="216"/>
      <c r="F19" s="216"/>
      <c r="G19" s="216"/>
      <c r="H19" s="181">
        <f>VLOOKUP(D7,Bang8_10,9)</f>
        <v>0.2</v>
      </c>
      <c r="J19" s="210" t="s">
        <v>249</v>
      </c>
      <c r="K19" s="211"/>
      <c r="L19" s="211"/>
      <c r="M19" s="211"/>
      <c r="N19" s="211"/>
      <c r="O19" s="179"/>
    </row>
    <row r="20" spans="1:15">
      <c r="A20" s="162"/>
      <c r="B20" s="214" t="s">
        <v>252</v>
      </c>
      <c r="C20" s="216"/>
      <c r="D20" s="216"/>
      <c r="E20" s="216"/>
      <c r="F20" s="216"/>
      <c r="G20" s="216"/>
      <c r="H20" s="181">
        <f>VLOOKUP(D7,Bang8_10,10)</f>
        <v>0.65</v>
      </c>
      <c r="J20" s="210" t="s">
        <v>249</v>
      </c>
      <c r="K20" s="211"/>
      <c r="L20" s="211"/>
      <c r="M20" s="211"/>
      <c r="N20" s="211"/>
      <c r="O20" s="179"/>
    </row>
    <row r="21" spans="1:15">
      <c r="A21" s="162"/>
      <c r="B21" s="214" t="s">
        <v>253</v>
      </c>
      <c r="C21" s="216"/>
      <c r="D21" s="216"/>
      <c r="E21" s="216"/>
      <c r="F21" s="216"/>
      <c r="G21" s="216"/>
      <c r="H21" s="181">
        <f>VLOOKUP(D7,Bang8_10,11)</f>
        <v>0.15384615384615385</v>
      </c>
      <c r="J21" s="210" t="s">
        <v>249</v>
      </c>
      <c r="K21" s="211"/>
      <c r="L21" s="211"/>
      <c r="M21" s="211"/>
      <c r="N21" s="211"/>
      <c r="O21" s="179"/>
    </row>
    <row r="22" spans="1:15" ht="15.75">
      <c r="A22" s="162"/>
      <c r="B22" s="214" t="s">
        <v>254</v>
      </c>
      <c r="C22" s="216"/>
      <c r="D22" s="216"/>
      <c r="E22" s="216"/>
      <c r="F22" s="216"/>
      <c r="G22" s="216"/>
      <c r="H22" s="181">
        <f>$H$17*(10/(0.6*$E$5))^(1/6)</f>
        <v>0.20714883373025728</v>
      </c>
      <c r="J22" s="210" t="s">
        <v>255</v>
      </c>
      <c r="K22" s="211"/>
      <c r="L22" s="211"/>
      <c r="M22" s="211"/>
      <c r="N22" s="211"/>
      <c r="O22" s="179"/>
    </row>
    <row r="23" spans="1:15" ht="15.75">
      <c r="A23" s="162"/>
      <c r="B23" s="214" t="s">
        <v>256</v>
      </c>
      <c r="C23" s="216"/>
      <c r="D23" s="216"/>
      <c r="E23" s="216"/>
      <c r="F23" s="216"/>
      <c r="G23" s="216"/>
      <c r="H23" s="181">
        <f>H18*(0.6*E5/10)^H19</f>
        <v>146.11068296436144</v>
      </c>
      <c r="J23" s="210" t="s">
        <v>257</v>
      </c>
      <c r="K23" s="211"/>
      <c r="L23" s="211"/>
      <c r="M23" s="211"/>
      <c r="N23" s="211"/>
      <c r="O23" s="179"/>
    </row>
    <row r="24" spans="1:15">
      <c r="A24" s="162"/>
      <c r="B24" s="214" t="s">
        <v>258</v>
      </c>
      <c r="C24" s="216"/>
      <c r="D24" s="216"/>
      <c r="E24" s="216"/>
      <c r="F24" s="216"/>
      <c r="G24" s="216"/>
      <c r="H24" s="181">
        <f>IF(H8="Kết cấu BT và BTCT",0.02,IF(H8="Kết cấu thép",0.01,0.015))</f>
        <v>0.01</v>
      </c>
      <c r="J24" s="210" t="s">
        <v>259</v>
      </c>
      <c r="K24" s="211"/>
      <c r="L24" s="211"/>
      <c r="M24" s="211"/>
      <c r="N24" s="211"/>
      <c r="O24" s="179"/>
    </row>
    <row r="25" spans="1:15" ht="15.75">
      <c r="A25" s="162"/>
      <c r="B25" s="214" t="s">
        <v>260</v>
      </c>
      <c r="C25" s="216"/>
      <c r="D25" s="216"/>
      <c r="E25" s="216"/>
      <c r="F25" s="216"/>
      <c r="G25" s="216"/>
      <c r="H25" s="181">
        <f>H12*H20*(0.6*E5/10)^H21</f>
        <v>27.68769519252514</v>
      </c>
      <c r="J25" s="210" t="s">
        <v>261</v>
      </c>
      <c r="K25" s="211"/>
      <c r="L25" s="211"/>
      <c r="M25" s="211"/>
      <c r="N25" s="211"/>
      <c r="O25" s="179"/>
    </row>
    <row r="26" spans="1:15">
      <c r="A26" s="162"/>
      <c r="M26" s="170"/>
      <c r="N26" s="183"/>
      <c r="O26" s="184"/>
    </row>
    <row r="27" spans="1:15">
      <c r="A27" s="162"/>
      <c r="B27" s="217" t="s">
        <v>262</v>
      </c>
      <c r="C27" s="217"/>
      <c r="D27" s="217"/>
      <c r="E27" s="217"/>
      <c r="F27" s="217"/>
      <c r="G27" s="217" t="s">
        <v>263</v>
      </c>
      <c r="H27" s="217"/>
      <c r="I27" s="217"/>
      <c r="J27" s="217"/>
      <c r="K27" s="217"/>
      <c r="L27" s="217"/>
      <c r="M27" s="210" t="s">
        <v>264</v>
      </c>
      <c r="N27" s="211"/>
      <c r="O27" s="179"/>
    </row>
    <row r="28" spans="1:15">
      <c r="A28" s="162"/>
      <c r="B28" s="214" t="str">
        <f>"Chu kỳ dao động (s)"</f>
        <v>Chu kỳ dao động (s)</v>
      </c>
      <c r="C28" s="214"/>
      <c r="D28" s="214"/>
      <c r="E28" s="186">
        <v>1.45</v>
      </c>
      <c r="F28" s="185"/>
      <c r="G28" s="210" t="s">
        <v>265</v>
      </c>
      <c r="H28" s="210"/>
      <c r="I28" s="210"/>
      <c r="J28" s="210"/>
      <c r="K28" s="186">
        <v>1.5</v>
      </c>
      <c r="L28" s="185"/>
      <c r="M28" s="170"/>
      <c r="N28" s="171"/>
      <c r="O28" s="179"/>
    </row>
    <row r="29" spans="1:15">
      <c r="A29" s="162"/>
      <c r="B29" s="214" t="s">
        <v>266</v>
      </c>
      <c r="C29" s="214"/>
      <c r="D29" s="214"/>
      <c r="E29" s="187">
        <v>50</v>
      </c>
      <c r="F29" s="185"/>
      <c r="G29" s="210" t="s">
        <v>266</v>
      </c>
      <c r="H29" s="210"/>
      <c r="I29" s="210"/>
      <c r="J29" s="210"/>
      <c r="K29" s="188">
        <f>E30</f>
        <v>100</v>
      </c>
      <c r="L29" s="185"/>
      <c r="M29" s="170"/>
      <c r="N29" s="171"/>
      <c r="O29" s="179"/>
    </row>
    <row r="30" spans="1:15">
      <c r="A30" s="162"/>
      <c r="B30" s="214" t="s">
        <v>267</v>
      </c>
      <c r="C30" s="216"/>
      <c r="D30" s="216"/>
      <c r="E30" s="187">
        <v>100</v>
      </c>
      <c r="F30" s="185"/>
      <c r="G30" s="210" t="s">
        <v>267</v>
      </c>
      <c r="H30" s="211"/>
      <c r="I30" s="211"/>
      <c r="J30" s="211"/>
      <c r="K30" s="188">
        <f>E29</f>
        <v>50</v>
      </c>
      <c r="L30" s="185"/>
      <c r="M30" s="170"/>
      <c r="N30" s="171"/>
      <c r="O30" s="179"/>
    </row>
    <row r="31" spans="1:15">
      <c r="A31" s="162"/>
      <c r="B31" s="168"/>
      <c r="C31" s="177"/>
      <c r="D31" s="177"/>
      <c r="E31" s="187"/>
      <c r="F31" s="185"/>
      <c r="G31" s="170"/>
      <c r="H31" s="171"/>
      <c r="I31" s="171"/>
      <c r="J31" s="171"/>
      <c r="K31" s="188"/>
      <c r="L31" s="185"/>
      <c r="M31" s="170"/>
      <c r="N31" s="171"/>
      <c r="O31" s="179"/>
    </row>
    <row r="32" spans="1:15">
      <c r="A32" s="162"/>
      <c r="B32" s="215" t="s">
        <v>268</v>
      </c>
      <c r="C32" s="215"/>
      <c r="D32" s="171"/>
      <c r="E32" s="187"/>
      <c r="F32" s="185"/>
      <c r="G32" s="170"/>
      <c r="H32" s="171"/>
      <c r="I32" s="171"/>
      <c r="J32" s="171"/>
      <c r="K32" s="188"/>
      <c r="L32" s="185"/>
      <c r="M32" s="170"/>
      <c r="N32" s="171"/>
      <c r="O32" s="179"/>
    </row>
    <row r="33" spans="1:22" ht="15.75">
      <c r="A33" s="185"/>
      <c r="B33" s="214" t="s">
        <v>269</v>
      </c>
      <c r="C33" s="216"/>
      <c r="D33" s="216"/>
      <c r="E33" s="189">
        <f>IF($E$28&lt;=1,0.85,0.925*((1+1.7*H22*SQRT(3.4^2*E37^2+E36^2*E38^2))/(1+1.7*H22*3.4)))</f>
        <v>0.9438934308721264</v>
      </c>
      <c r="G33" s="210" t="s">
        <v>269</v>
      </c>
      <c r="H33" s="211"/>
      <c r="I33" s="211"/>
      <c r="J33" s="211"/>
      <c r="K33" s="189">
        <f>IF($K$28&lt;=1,0.85,0.925*((1+1.7*H22*SQRT(3.4^2*K37^2+K36^2*K38^2))/(1+1.7*H22*3.4)))</f>
        <v>0.88580526599160792</v>
      </c>
      <c r="M33" s="210" t="s">
        <v>270</v>
      </c>
      <c r="N33" s="211"/>
      <c r="O33" s="179"/>
    </row>
    <row r="34" spans="1:22">
      <c r="A34" s="185"/>
      <c r="B34" s="168"/>
      <c r="C34" s="177"/>
      <c r="D34" s="177"/>
      <c r="E34" s="177"/>
      <c r="G34" s="170"/>
      <c r="H34" s="171"/>
      <c r="I34" s="171"/>
      <c r="J34" s="171"/>
      <c r="K34" s="177"/>
      <c r="M34" s="170"/>
      <c r="N34" s="171"/>
      <c r="O34" s="179"/>
    </row>
    <row r="35" spans="1:22">
      <c r="A35" s="185"/>
      <c r="B35" s="215" t="s">
        <v>271</v>
      </c>
      <c r="C35" s="215"/>
      <c r="D35" s="171"/>
      <c r="E35" s="170"/>
      <c r="G35" s="170"/>
      <c r="H35" s="171"/>
      <c r="I35" s="171"/>
      <c r="J35" s="171"/>
      <c r="K35" s="170"/>
      <c r="M35" s="170"/>
      <c r="N35" s="171"/>
      <c r="O35" s="179"/>
    </row>
    <row r="36" spans="1:22">
      <c r="A36" s="185"/>
      <c r="B36" s="214" t="s">
        <v>272</v>
      </c>
      <c r="C36" s="214"/>
      <c r="D36" s="214"/>
      <c r="E36" s="181">
        <f>SQRT(2*LN(3600/$E$28))+0.577/SQRT(2*LN(3600/$E$28))</f>
        <v>4.0999446318121446</v>
      </c>
      <c r="F36" s="185"/>
      <c r="G36" s="210" t="s">
        <v>272</v>
      </c>
      <c r="H36" s="210"/>
      <c r="I36" s="210"/>
      <c r="J36" s="210"/>
      <c r="K36" s="188">
        <f>SQRT(2*LN(3600/$K$28))+0.577/SQRT(2*LN(3600/$K$28))</f>
        <v>4.0916788284258532</v>
      </c>
      <c r="L36" s="185"/>
      <c r="M36" s="210" t="s">
        <v>273</v>
      </c>
      <c r="N36" s="210"/>
      <c r="O36" s="190"/>
    </row>
    <row r="37" spans="1:22">
      <c r="A37" s="185"/>
      <c r="B37" s="214" t="s">
        <v>274</v>
      </c>
      <c r="C37" s="216"/>
      <c r="D37" s="216"/>
      <c r="E37" s="181">
        <f>SQRT(1/(1+0.63*((E5+E29)/H23)^0.63))</f>
        <v>0.85352262757816644</v>
      </c>
      <c r="G37" s="210" t="s">
        <v>275</v>
      </c>
      <c r="H37" s="211"/>
      <c r="I37" s="211"/>
      <c r="J37" s="211"/>
      <c r="K37" s="181">
        <f>SQRT(1/(1+0.63*((E5+K29)/H23)^0.63))</f>
        <v>0.8065233328361785</v>
      </c>
      <c r="M37" s="210" t="s">
        <v>276</v>
      </c>
      <c r="N37" s="211"/>
      <c r="O37" s="179"/>
    </row>
    <row r="38" spans="1:22">
      <c r="A38" s="185"/>
      <c r="B38" s="214" t="s">
        <v>277</v>
      </c>
      <c r="C38" s="214"/>
      <c r="D38" s="214"/>
      <c r="E38" s="181">
        <f>SQRT(E39*E44*E45*(0.53+0.47*E46)/H24)</f>
        <v>0.48911554289282133</v>
      </c>
      <c r="F38" s="185"/>
      <c r="G38" s="210" t="s">
        <v>277</v>
      </c>
      <c r="H38" s="210"/>
      <c r="I38" s="210"/>
      <c r="J38" s="211"/>
      <c r="K38" s="188">
        <f>SQRT(K39*K44*K45*(0.53+0.47*K46)/H24)</f>
        <v>0.37165376209058926</v>
      </c>
      <c r="L38" s="185"/>
      <c r="M38" s="210" t="s">
        <v>278</v>
      </c>
      <c r="N38" s="210"/>
      <c r="O38" s="190"/>
    </row>
    <row r="39" spans="1:22" ht="16.5">
      <c r="A39" s="185"/>
      <c r="B39" s="214" t="s">
        <v>279</v>
      </c>
      <c r="C39" s="214"/>
      <c r="D39" s="214"/>
      <c r="E39" s="181">
        <f>7.47*E40/(1+10.3*E40)^(5/3)</f>
        <v>6.1970374863139013E-2</v>
      </c>
      <c r="F39" s="185"/>
      <c r="G39" s="210" t="s">
        <v>279</v>
      </c>
      <c r="H39" s="210"/>
      <c r="I39" s="210"/>
      <c r="J39" s="211"/>
      <c r="K39" s="188">
        <f>7.47*K40/(1+10.3*K40)^(5/3)</f>
        <v>6.3292372875814254E-2</v>
      </c>
      <c r="L39" s="185"/>
      <c r="M39" s="210" t="s">
        <v>280</v>
      </c>
      <c r="N39" s="210"/>
      <c r="O39" s="190"/>
      <c r="T39" s="191"/>
      <c r="U39" s="191"/>
      <c r="V39" s="191"/>
    </row>
    <row r="40" spans="1:22" ht="16.5">
      <c r="A40" s="185"/>
      <c r="B40" s="168" t="s">
        <v>281</v>
      </c>
      <c r="C40" s="170"/>
      <c r="D40" s="170"/>
      <c r="E40" s="181">
        <f>H23/E28/H25</f>
        <v>3.6393779818295457</v>
      </c>
      <c r="F40" s="185"/>
      <c r="G40" s="210" t="s">
        <v>281</v>
      </c>
      <c r="H40" s="211"/>
      <c r="I40" s="211"/>
      <c r="J40" s="211"/>
      <c r="K40" s="188">
        <f>H23/K28/H25</f>
        <v>3.518065382435227</v>
      </c>
      <c r="L40" s="185"/>
      <c r="M40" s="210" t="s">
        <v>282</v>
      </c>
      <c r="N40" s="210"/>
      <c r="O40" s="190"/>
      <c r="T40" s="191"/>
      <c r="U40" s="191"/>
      <c r="V40" s="191"/>
    </row>
    <row r="41" spans="1:22" ht="16.5">
      <c r="A41" s="185"/>
      <c r="B41" s="168" t="s">
        <v>283</v>
      </c>
      <c r="C41" s="170"/>
      <c r="D41" s="170"/>
      <c r="E41" s="181">
        <f>4.6*E5/E28/H25</f>
        <v>1.5468093645605696</v>
      </c>
      <c r="F41" s="185"/>
      <c r="G41" s="210" t="s">
        <v>283</v>
      </c>
      <c r="H41" s="211"/>
      <c r="I41" s="211"/>
      <c r="J41" s="211"/>
      <c r="K41" s="188">
        <f>4.6*E5/K28/H25</f>
        <v>1.4952490524085507</v>
      </c>
      <c r="L41" s="185"/>
      <c r="M41" s="210" t="s">
        <v>284</v>
      </c>
      <c r="N41" s="210"/>
      <c r="O41" s="190"/>
      <c r="T41" s="191"/>
      <c r="U41" s="191"/>
      <c r="V41" s="191"/>
    </row>
    <row r="42" spans="1:22" ht="16.5">
      <c r="A42" s="185"/>
      <c r="B42" s="168" t="s">
        <v>285</v>
      </c>
      <c r="C42" s="170"/>
      <c r="D42" s="170"/>
      <c r="E42" s="181">
        <f>4.6*E29/E28/H25</f>
        <v>5.7289235724465541</v>
      </c>
      <c r="F42" s="185"/>
      <c r="G42" s="210" t="s">
        <v>285</v>
      </c>
      <c r="H42" s="211"/>
      <c r="I42" s="211"/>
      <c r="J42" s="211"/>
      <c r="K42" s="188">
        <f>4.6*K29/K28/H25</f>
        <v>11.075918906730003</v>
      </c>
      <c r="L42" s="185"/>
      <c r="M42" s="210" t="s">
        <v>284</v>
      </c>
      <c r="N42" s="210"/>
      <c r="O42" s="190"/>
      <c r="T42" s="191"/>
      <c r="U42" s="191"/>
      <c r="V42" s="191"/>
    </row>
    <row r="43" spans="1:22" ht="15.75">
      <c r="A43" s="185"/>
      <c r="B43" s="168" t="s">
        <v>286</v>
      </c>
      <c r="C43" s="170"/>
      <c r="D43" s="170"/>
      <c r="E43" s="181">
        <f>15.4*E30/E28/H25</f>
        <v>38.358879572033452</v>
      </c>
      <c r="F43" s="185"/>
      <c r="G43" s="210" t="s">
        <v>286</v>
      </c>
      <c r="H43" s="211"/>
      <c r="I43" s="211"/>
      <c r="J43" s="211"/>
      <c r="K43" s="188">
        <f>15.4*K30/K28/H25</f>
        <v>18.540125126482835</v>
      </c>
      <c r="L43" s="185"/>
      <c r="M43" s="210" t="s">
        <v>284</v>
      </c>
      <c r="N43" s="210"/>
      <c r="O43" s="190"/>
    </row>
    <row r="44" spans="1:22">
      <c r="A44" s="185"/>
      <c r="B44" s="168" t="s">
        <v>287</v>
      </c>
      <c r="C44" s="170"/>
      <c r="D44" s="170"/>
      <c r="E44" s="181">
        <f>IF(E41=0,1,(1/E41-(1-EXP(-2*E41))/(2*E41^2)))</f>
        <v>0.44699054338583177</v>
      </c>
      <c r="F44" s="185"/>
      <c r="G44" s="210" t="s">
        <v>287</v>
      </c>
      <c r="H44" s="211"/>
      <c r="I44" s="211"/>
      <c r="J44" s="211"/>
      <c r="K44" s="188">
        <f>IF(K41=0,1,(1/K41-(1-EXP(-2*K41))/(2*K41^2)))</f>
        <v>0.45638879378781028</v>
      </c>
      <c r="L44" s="185"/>
      <c r="M44" s="210" t="s">
        <v>284</v>
      </c>
      <c r="N44" s="210"/>
      <c r="O44" s="190"/>
    </row>
    <row r="45" spans="1:22">
      <c r="A45" s="185"/>
      <c r="B45" s="168" t="s">
        <v>288</v>
      </c>
      <c r="C45" s="170"/>
      <c r="D45" s="170"/>
      <c r="E45" s="181">
        <f>IF(E42=0,1,(1/E42-(1-EXP(-2*E42))/(2*E42^2)))</f>
        <v>0.15931867132505645</v>
      </c>
      <c r="F45" s="185"/>
      <c r="G45" s="210" t="s">
        <v>288</v>
      </c>
      <c r="H45" s="211"/>
      <c r="I45" s="211"/>
      <c r="J45" s="211"/>
      <c r="K45" s="188">
        <f>IF(K42=0,1,(1/K42-(1-EXP(-2*K42))/(2*K42^2)))</f>
        <v>8.6210185065409173E-2</v>
      </c>
      <c r="L45" s="185"/>
      <c r="M45" s="210" t="s">
        <v>284</v>
      </c>
      <c r="N45" s="210"/>
      <c r="O45" s="190"/>
    </row>
    <row r="46" spans="1:22">
      <c r="A46" s="185"/>
      <c r="B46" s="168" t="s">
        <v>289</v>
      </c>
      <c r="C46" s="170"/>
      <c r="D46" s="170"/>
      <c r="E46" s="181">
        <f>IF(E43=0,1,(1/E43-(1-EXP(-2*E43))/(2*E43^2)))</f>
        <v>2.5729771553381429E-2</v>
      </c>
      <c r="F46" s="185"/>
      <c r="G46" s="210" t="s">
        <v>289</v>
      </c>
      <c r="H46" s="211"/>
      <c r="I46" s="211"/>
      <c r="J46" s="211"/>
      <c r="K46" s="188">
        <f>IF(K43=0,1,(1/K43-(1-EXP(-2*K43))/(2*K43^2)))</f>
        <v>5.2482464874613062E-2</v>
      </c>
      <c r="L46" s="185"/>
      <c r="M46" s="210" t="s">
        <v>284</v>
      </c>
      <c r="N46" s="210"/>
      <c r="O46" s="190"/>
    </row>
    <row r="47" spans="1:22">
      <c r="A47" s="162"/>
      <c r="M47" s="192"/>
    </row>
    <row r="48" spans="1:22">
      <c r="M48" s="192"/>
    </row>
    <row r="49" spans="2:13">
      <c r="M49" s="192"/>
    </row>
    <row r="50" spans="2:13">
      <c r="B50" s="212" t="s">
        <v>290</v>
      </c>
      <c r="C50" s="212"/>
      <c r="D50" s="212"/>
      <c r="E50" s="212"/>
      <c r="F50" s="212"/>
      <c r="G50" s="212"/>
      <c r="H50" s="212" t="s">
        <v>291</v>
      </c>
      <c r="I50" s="213"/>
      <c r="J50" s="213"/>
      <c r="K50" s="213"/>
      <c r="L50" s="213"/>
      <c r="M50" s="192"/>
    </row>
    <row r="51" spans="2:13" ht="18.75">
      <c r="B51" s="193" t="s">
        <v>292</v>
      </c>
      <c r="C51" s="193" t="s">
        <v>293</v>
      </c>
      <c r="D51" s="193" t="s">
        <v>294</v>
      </c>
      <c r="E51" s="194" t="s">
        <v>295</v>
      </c>
      <c r="F51" s="193" t="s">
        <v>296</v>
      </c>
      <c r="G51" s="193" t="s">
        <v>297</v>
      </c>
      <c r="H51" s="195" t="s">
        <v>298</v>
      </c>
      <c r="I51" s="193" t="s">
        <v>299</v>
      </c>
      <c r="J51" s="196"/>
      <c r="K51" s="196"/>
      <c r="L51" s="196"/>
      <c r="M51" s="192"/>
    </row>
    <row r="52" spans="2:13" ht="14.25">
      <c r="B52" s="197" t="s">
        <v>48</v>
      </c>
      <c r="C52" s="198" t="s">
        <v>300</v>
      </c>
      <c r="D52" s="197">
        <v>213.36</v>
      </c>
      <c r="E52" s="197">
        <v>2.13</v>
      </c>
      <c r="F52" s="197">
        <v>11.5</v>
      </c>
      <c r="G52" s="197">
        <v>1.99</v>
      </c>
      <c r="H52" s="197">
        <v>0.15</v>
      </c>
      <c r="I52" s="197">
        <v>198.12</v>
      </c>
      <c r="J52" s="199">
        <f>1/8</f>
        <v>0.125</v>
      </c>
      <c r="K52" s="197">
        <v>0.8</v>
      </c>
      <c r="L52" s="199">
        <f>1/9</f>
        <v>0.1111111111111111</v>
      </c>
      <c r="M52" s="192"/>
    </row>
    <row r="53" spans="2:13" ht="14.25">
      <c r="B53" s="197" t="s">
        <v>52</v>
      </c>
      <c r="C53" s="198" t="s">
        <v>301</v>
      </c>
      <c r="D53" s="197">
        <v>274.32</v>
      </c>
      <c r="E53" s="197">
        <v>4.57</v>
      </c>
      <c r="F53" s="197">
        <v>9.5</v>
      </c>
      <c r="G53" s="197">
        <v>1.97</v>
      </c>
      <c r="H53" s="197">
        <v>0.2</v>
      </c>
      <c r="I53" s="197">
        <v>152.4</v>
      </c>
      <c r="J53" s="199">
        <f>1/5</f>
        <v>0.2</v>
      </c>
      <c r="K53" s="197">
        <v>0.65</v>
      </c>
      <c r="L53" s="199">
        <f>1/6.5</f>
        <v>0.15384615384615385</v>
      </c>
    </row>
    <row r="54" spans="2:13" ht="14.25">
      <c r="B54" s="197" t="s">
        <v>56</v>
      </c>
      <c r="C54" s="198" t="s">
        <v>302</v>
      </c>
      <c r="D54" s="197">
        <v>365.76</v>
      </c>
      <c r="E54" s="197">
        <v>9.14</v>
      </c>
      <c r="F54" s="197">
        <v>7</v>
      </c>
      <c r="G54" s="197">
        <v>1.98</v>
      </c>
      <c r="H54" s="197">
        <v>0.3</v>
      </c>
      <c r="I54" s="197">
        <v>97.54</v>
      </c>
      <c r="J54" s="199">
        <f>1/3</f>
        <v>0.33333333333333331</v>
      </c>
      <c r="K54" s="197">
        <v>0.45</v>
      </c>
      <c r="L54" s="199">
        <f>1/4</f>
        <v>0.25</v>
      </c>
    </row>
    <row r="55" spans="2:13">
      <c r="B55" s="200"/>
      <c r="C55" s="200"/>
      <c r="D55" s="200"/>
      <c r="E55" s="200"/>
      <c r="F55" s="200"/>
      <c r="G55" s="200"/>
      <c r="H55" s="200"/>
      <c r="I55" s="200"/>
      <c r="J55" s="200"/>
      <c r="K55" s="200"/>
      <c r="L55" s="200"/>
    </row>
    <row r="56" spans="2:13">
      <c r="B56" s="200"/>
      <c r="C56" s="200"/>
      <c r="D56" s="200"/>
      <c r="E56" s="200"/>
      <c r="F56" s="200"/>
      <c r="G56" s="200"/>
      <c r="H56" s="200"/>
      <c r="I56" s="200"/>
      <c r="J56" s="200"/>
      <c r="K56" s="200"/>
      <c r="L56" s="200"/>
    </row>
    <row r="57" spans="2:13" ht="15">
      <c r="B57" s="200"/>
      <c r="C57" s="200"/>
      <c r="D57" s="200"/>
      <c r="E57" s="200"/>
      <c r="F57" s="201" t="s">
        <v>27</v>
      </c>
      <c r="G57" s="201">
        <v>0.65</v>
      </c>
      <c r="H57" s="201">
        <v>36</v>
      </c>
      <c r="I57" s="200"/>
      <c r="J57" s="200"/>
      <c r="K57" s="200"/>
      <c r="L57" s="200"/>
    </row>
    <row r="58" spans="2:13" ht="15">
      <c r="B58" s="200"/>
      <c r="C58" s="200"/>
      <c r="D58" s="200"/>
      <c r="E58" s="200"/>
      <c r="F58" s="201" t="s">
        <v>28</v>
      </c>
      <c r="G58" s="201">
        <v>0.95</v>
      </c>
      <c r="H58" s="201">
        <v>44</v>
      </c>
      <c r="I58" s="200"/>
      <c r="J58" s="200"/>
      <c r="K58" s="200"/>
      <c r="L58" s="200"/>
    </row>
    <row r="59" spans="2:13" ht="15">
      <c r="B59" s="200"/>
      <c r="C59" s="200"/>
      <c r="D59" s="200"/>
      <c r="E59" s="200"/>
      <c r="F59" s="201" t="s">
        <v>29</v>
      </c>
      <c r="G59" s="201">
        <v>1.25</v>
      </c>
      <c r="H59" s="201">
        <v>50</v>
      </c>
      <c r="I59" s="200"/>
      <c r="J59" s="200"/>
      <c r="K59" s="200"/>
      <c r="L59" s="200"/>
    </row>
    <row r="60" spans="2:13" ht="15">
      <c r="B60" s="200"/>
      <c r="C60" s="200"/>
      <c r="D60" s="200"/>
      <c r="E60" s="200"/>
      <c r="F60" s="201" t="s">
        <v>30</v>
      </c>
      <c r="G60" s="201">
        <v>1.55</v>
      </c>
      <c r="H60" s="201">
        <v>56</v>
      </c>
      <c r="I60" s="200"/>
      <c r="J60" s="200"/>
      <c r="K60" s="200"/>
      <c r="L60" s="200"/>
    </row>
    <row r="61" spans="2:13" ht="15">
      <c r="B61" s="200"/>
      <c r="C61" s="200"/>
      <c r="D61" s="200"/>
      <c r="E61" s="200"/>
      <c r="F61" s="201" t="s">
        <v>31</v>
      </c>
      <c r="G61" s="201">
        <v>1.85</v>
      </c>
      <c r="H61" s="201">
        <v>61</v>
      </c>
      <c r="I61" s="200"/>
      <c r="J61" s="200"/>
      <c r="K61" s="200"/>
      <c r="L61" s="200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62A4381F-32B4-4497-8EB1-267E4C3144CE}">
      <formula1>"I,II,III,IV,V"</formula1>
    </dataValidation>
    <dataValidation type="list" allowBlank="1" showInputMessage="1" showErrorMessage="1" sqref="D7" xr:uid="{DA764955-7887-4E6E-9CE0-09484E79002D}">
      <formula1>"A,B,C"</formula1>
    </dataValidation>
    <dataValidation type="list" allowBlank="1" showInputMessage="1" showErrorMessage="1" sqref="H8" xr:uid="{3A8BCADE-42A5-470B-84E0-ECB511D34486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BH153"/>
  <sheetViews>
    <sheetView showGridLines="0" tabSelected="1" view="pageBreakPreview" topLeftCell="A5" zoomScale="115" zoomScaleNormal="130" zoomScaleSheetLayoutView="115" workbookViewId="0">
      <selection activeCell="AE23" sqref="AE23"/>
    </sheetView>
  </sheetViews>
  <sheetFormatPr defaultRowHeight="12.75"/>
  <cols>
    <col min="1" max="1" width="2.5703125" style="2" customWidth="1"/>
    <col min="2" max="2" width="2" style="2" customWidth="1"/>
    <col min="3" max="3" width="6.5703125" style="2" customWidth="1"/>
    <col min="4" max="4" width="6.28515625" style="2" customWidth="1"/>
    <col min="5" max="25" width="4.7109375" style="2" customWidth="1"/>
    <col min="26" max="26" width="5.28515625" style="2" customWidth="1"/>
    <col min="27" max="27" width="2" style="2" customWidth="1"/>
    <col min="28" max="28" width="2.5703125" style="2" customWidth="1"/>
    <col min="29" max="41" width="8" style="3" customWidth="1"/>
    <col min="42" max="42" width="6.140625" style="3" customWidth="1"/>
    <col min="43" max="53" width="9.140625" style="3" customWidth="1"/>
    <col min="54" max="55" width="9.140625" style="3"/>
    <col min="56" max="57" width="9.140625" style="3" customWidth="1"/>
    <col min="58" max="60" width="32" style="3" customWidth="1"/>
    <col min="61" max="66" width="9.140625" style="3" customWidth="1"/>
    <col min="67" max="16384" width="9.140625" style="3"/>
  </cols>
  <sheetData>
    <row r="1" spans="1:60" hidden="1"/>
    <row r="2" spans="1:60" hidden="1"/>
    <row r="3" spans="1:60" hidden="1"/>
    <row r="4" spans="1:60" hidden="1"/>
    <row r="5" spans="1:60" ht="37.5" customHeight="1">
      <c r="B5" s="272" t="s">
        <v>228</v>
      </c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</row>
    <row r="6" spans="1:60" ht="14.25" customHeight="1">
      <c r="A6" s="1"/>
      <c r="B6" s="303"/>
      <c r="C6" s="303"/>
      <c r="D6" s="303"/>
      <c r="E6" s="303"/>
      <c r="F6" s="303"/>
      <c r="G6" s="303"/>
      <c r="H6" s="303"/>
      <c r="I6" s="303"/>
      <c r="J6" s="303"/>
      <c r="K6" s="303"/>
      <c r="L6" s="303"/>
      <c r="M6" s="303"/>
      <c r="N6" s="303"/>
      <c r="O6" s="303"/>
      <c r="P6" s="303"/>
      <c r="Q6" s="303"/>
      <c r="R6" s="303"/>
      <c r="S6" s="304"/>
      <c r="T6" s="304"/>
      <c r="U6" s="304"/>
      <c r="V6" s="304"/>
      <c r="W6" s="304"/>
      <c r="X6" s="304"/>
      <c r="Y6" s="304"/>
      <c r="Z6" s="304"/>
      <c r="AA6" s="304"/>
    </row>
    <row r="7" spans="1:60" ht="12.75" customHeight="1">
      <c r="A7" s="1"/>
      <c r="C7" s="277" t="s">
        <v>162</v>
      </c>
      <c r="D7" s="278"/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316" t="s">
        <v>163</v>
      </c>
      <c r="W7" s="316"/>
      <c r="X7" s="316"/>
      <c r="Y7" s="316" t="s">
        <v>164</v>
      </c>
      <c r="Z7" s="316"/>
      <c r="AA7" s="319"/>
      <c r="AC7" s="276" t="s">
        <v>1</v>
      </c>
      <c r="AD7" s="4" t="s">
        <v>2</v>
      </c>
      <c r="AE7" s="4" t="s">
        <v>3</v>
      </c>
      <c r="AF7" s="5" t="s">
        <v>4</v>
      </c>
      <c r="AG7" s="4" t="s">
        <v>5</v>
      </c>
      <c r="BE7" s="6"/>
      <c r="BF7" s="6" t="s">
        <v>8</v>
      </c>
      <c r="BG7" s="6" t="s">
        <v>1</v>
      </c>
      <c r="BH7" s="6" t="s">
        <v>9</v>
      </c>
    </row>
    <row r="8" spans="1:60" ht="12.75" customHeight="1">
      <c r="A8" s="1"/>
      <c r="B8" s="149"/>
      <c r="C8" s="279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317"/>
      <c r="W8" s="317"/>
      <c r="X8" s="317"/>
      <c r="Y8" s="317"/>
      <c r="Z8" s="317"/>
      <c r="AA8" s="320"/>
      <c r="AB8" s="142"/>
      <c r="AC8" s="276"/>
      <c r="AD8" s="4" t="s">
        <v>10</v>
      </c>
      <c r="AE8" s="4" t="s">
        <v>11</v>
      </c>
      <c r="AF8" s="4" t="s">
        <v>12</v>
      </c>
      <c r="AG8" s="4" t="s">
        <v>13</v>
      </c>
      <c r="BE8" s="6">
        <v>1</v>
      </c>
      <c r="BF8" s="9" t="s">
        <v>19</v>
      </c>
      <c r="BG8" s="9" t="s">
        <v>20</v>
      </c>
      <c r="BH8" s="9" t="s">
        <v>19</v>
      </c>
    </row>
    <row r="9" spans="1:60" ht="12.75" customHeight="1">
      <c r="A9" s="1"/>
      <c r="B9" s="149"/>
      <c r="C9" s="279"/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317"/>
      <c r="W9" s="317"/>
      <c r="X9" s="317"/>
      <c r="Y9" s="317"/>
      <c r="Z9" s="317"/>
      <c r="AA9" s="320"/>
      <c r="AB9" s="142"/>
      <c r="AC9" s="276"/>
      <c r="AD9" s="10"/>
      <c r="AE9" s="10"/>
      <c r="AF9" s="29"/>
      <c r="AG9" s="29"/>
      <c r="BE9" s="6">
        <f>BE8+1</f>
        <v>2</v>
      </c>
      <c r="BF9" s="9" t="s">
        <v>21</v>
      </c>
      <c r="BG9" s="9" t="s">
        <v>22</v>
      </c>
      <c r="BH9" s="9" t="s">
        <v>21</v>
      </c>
    </row>
    <row r="10" spans="1:60" ht="12.75" customHeight="1">
      <c r="A10" s="1"/>
      <c r="B10" s="150"/>
      <c r="C10" s="281"/>
      <c r="D10" s="282"/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318"/>
      <c r="W10" s="318"/>
      <c r="X10" s="318"/>
      <c r="Y10" s="318"/>
      <c r="Z10" s="318"/>
      <c r="AA10" s="321"/>
      <c r="AB10" s="142"/>
      <c r="AC10" s="276"/>
      <c r="AD10" s="10"/>
      <c r="AE10" s="10"/>
      <c r="AF10" s="29"/>
      <c r="AG10" s="29"/>
      <c r="BE10" s="6">
        <f t="shared" ref="BE10:BE22" si="0">BE9+1</f>
        <v>3</v>
      </c>
      <c r="BF10" s="9" t="s">
        <v>23</v>
      </c>
      <c r="BG10" s="9" t="s">
        <v>24</v>
      </c>
      <c r="BH10" s="9" t="s">
        <v>23</v>
      </c>
    </row>
    <row r="11" spans="1:60" ht="15">
      <c r="A11" s="1"/>
      <c r="B11" s="151"/>
      <c r="C11" s="51"/>
      <c r="D11" s="13"/>
      <c r="E11" s="13"/>
      <c r="F11" s="13"/>
      <c r="G11" s="13"/>
      <c r="H11" s="13"/>
      <c r="I11" s="14" t="str">
        <f>VLOOKUP(9,$BE$8:$BH$127,1+MATCH($AC$7,$BF$7:$BH$7,0))</f>
        <v>Tiêu chuẩn thiết kế:</v>
      </c>
      <c r="J11" s="98" t="str">
        <f>VLOOKUP(10,$BE$8:$BH$127,1+MATCH($AC$7,$BF$7:$BH$7,0))</f>
        <v>TCVN 2737:2023 Tải trọng và tác động - Tiêu chuẩn thiết kế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5"/>
      <c r="AC11" s="10"/>
      <c r="AD11" s="322"/>
      <c r="AE11" s="322"/>
      <c r="AF11" s="322"/>
      <c r="AG11" s="322"/>
      <c r="AH11" s="322"/>
      <c r="BE11" s="6">
        <f t="shared" si="0"/>
        <v>4</v>
      </c>
      <c r="BF11" s="9" t="s">
        <v>25</v>
      </c>
      <c r="BG11" s="9" t="s">
        <v>26</v>
      </c>
      <c r="BH11" s="9" t="s">
        <v>25</v>
      </c>
    </row>
    <row r="12" spans="1:60" ht="15.75" thickBot="1">
      <c r="B12" s="151"/>
      <c r="C12" s="51"/>
      <c r="D12" s="13"/>
      <c r="E12" s="13"/>
      <c r="F12" s="13"/>
      <c r="G12" s="13"/>
      <c r="H12" s="13"/>
      <c r="I12" s="119" t="str">
        <f>IF(AC7=BH7,BG16,"")</f>
        <v/>
      </c>
      <c r="J12" s="13" t="str">
        <f>IF(AC7=BH7,BG17,"")</f>
        <v/>
      </c>
      <c r="K12" s="13"/>
      <c r="L12" s="13"/>
      <c r="M12" s="13"/>
      <c r="N12" s="13"/>
      <c r="O12" s="13"/>
      <c r="P12" s="13"/>
      <c r="Q12" s="13"/>
      <c r="R12" s="16"/>
      <c r="S12" s="16"/>
      <c r="T12" s="16"/>
      <c r="U12" s="16"/>
      <c r="V12" s="16"/>
      <c r="W12" s="16"/>
      <c r="X12" s="16"/>
      <c r="Y12" s="16"/>
      <c r="Z12" s="13"/>
      <c r="AA12" s="15"/>
      <c r="AC12" s="10"/>
      <c r="AD12" s="22" t="s">
        <v>34</v>
      </c>
      <c r="AE12" s="22" t="s">
        <v>27</v>
      </c>
      <c r="AF12" s="22" t="s">
        <v>28</v>
      </c>
      <c r="AG12" s="22" t="s">
        <v>29</v>
      </c>
      <c r="AH12" s="22" t="s">
        <v>30</v>
      </c>
      <c r="AI12" s="22" t="s">
        <v>31</v>
      </c>
      <c r="BE12" s="6">
        <f t="shared" si="0"/>
        <v>5</v>
      </c>
      <c r="BF12" s="9" t="s">
        <v>32</v>
      </c>
      <c r="BG12" s="9" t="s">
        <v>33</v>
      </c>
      <c r="BH12" s="9" t="s">
        <v>32</v>
      </c>
    </row>
    <row r="13" spans="1:60" ht="15" customHeight="1" thickTop="1">
      <c r="B13" s="151"/>
      <c r="C13" s="300" t="str">
        <f>VLOOKUP(12,$BE$8:$BH$127,1+MATCH($AC$7,$BF$7:$BH$7,0))</f>
        <v>DỮ LIỆU CÔNG TRÌNH</v>
      </c>
      <c r="D13" s="301"/>
      <c r="E13" s="301"/>
      <c r="F13" s="301"/>
      <c r="G13" s="301"/>
      <c r="H13" s="301"/>
      <c r="I13" s="301"/>
      <c r="J13" s="301"/>
      <c r="K13" s="301"/>
      <c r="L13" s="301"/>
      <c r="M13" s="301"/>
      <c r="N13" s="302"/>
      <c r="O13" s="13"/>
      <c r="P13" s="13"/>
      <c r="Q13" s="19"/>
      <c r="R13" s="120"/>
      <c r="S13" s="120"/>
      <c r="T13" s="120"/>
      <c r="U13" s="120"/>
      <c r="V13" s="120"/>
      <c r="W13" s="120"/>
      <c r="X13" s="120"/>
      <c r="Y13" s="20"/>
      <c r="Z13" s="333" t="str">
        <f>"B = "&amp;M18&amp;"m"</f>
        <v>B = 20m</v>
      </c>
      <c r="AA13" s="15"/>
      <c r="AD13" s="22" t="s">
        <v>35</v>
      </c>
      <c r="AE13" s="22">
        <v>0.65</v>
      </c>
      <c r="AF13" s="22">
        <v>0.95</v>
      </c>
      <c r="AG13" s="22">
        <v>1.25</v>
      </c>
      <c r="AH13" s="22">
        <v>1.55</v>
      </c>
      <c r="AI13" s="22">
        <v>1.85</v>
      </c>
      <c r="BE13" s="6">
        <f t="shared" si="0"/>
        <v>6</v>
      </c>
      <c r="BF13" s="9" t="s">
        <v>36</v>
      </c>
      <c r="BG13" s="9" t="s">
        <v>37</v>
      </c>
      <c r="BH13" s="9" t="s">
        <v>36</v>
      </c>
    </row>
    <row r="14" spans="1:60" ht="15">
      <c r="B14" s="151"/>
      <c r="C14" s="288" t="str">
        <f>VLOOKUP(13,$BE$8:$BH$127,1+MATCH($AC$7,$BF$7:$BH$7,0))</f>
        <v>Kết cấu:</v>
      </c>
      <c r="D14" s="289"/>
      <c r="E14" s="289"/>
      <c r="F14" s="289"/>
      <c r="G14" s="92" t="str">
        <f>IF(AC7="VN","Mái dốc 2 phía","Duopitch roofs")</f>
        <v>Mái dốc 2 phía</v>
      </c>
      <c r="H14" s="23"/>
      <c r="I14" s="23"/>
      <c r="J14" s="290" t="str">
        <f>IF(AC7="ENVN"," / Mái dốc 2 phía","")</f>
        <v/>
      </c>
      <c r="K14" s="290"/>
      <c r="L14" s="290"/>
      <c r="M14" s="290"/>
      <c r="N14" s="291"/>
      <c r="O14" s="13"/>
      <c r="P14" s="13"/>
      <c r="Q14" s="19"/>
      <c r="R14" s="120"/>
      <c r="S14" s="120"/>
      <c r="T14" s="120"/>
      <c r="U14" s="120"/>
      <c r="V14" s="120"/>
      <c r="W14" s="120"/>
      <c r="X14" s="120"/>
      <c r="Y14" s="20"/>
      <c r="Z14" s="333"/>
      <c r="AA14" s="15"/>
      <c r="BE14" s="6">
        <f t="shared" si="0"/>
        <v>7</v>
      </c>
      <c r="BF14" s="9" t="s">
        <v>38</v>
      </c>
      <c r="BG14" s="9" t="s">
        <v>39</v>
      </c>
      <c r="BH14" s="9" t="s">
        <v>38</v>
      </c>
    </row>
    <row r="15" spans="1:60" ht="15.75" thickBot="1">
      <c r="B15" s="151"/>
      <c r="C15" s="292" t="str">
        <f>VLOOKUP(15,$BE$8:$BH$127,1+MATCH($AC$7,$BF$7:$BH$7,0))</f>
        <v>Loại kết cấu:</v>
      </c>
      <c r="D15" s="293"/>
      <c r="E15" s="293"/>
      <c r="F15" s="293"/>
      <c r="G15" s="294" t="s">
        <v>10</v>
      </c>
      <c r="H15" s="294"/>
      <c r="I15" s="294"/>
      <c r="J15" s="295" t="str">
        <f>IF(AC7&lt;&gt;"EN",VLOOKUP(G15,$AD$7:$AE$8,2,FALSE),"")</f>
        <v>/ Nhà thép</v>
      </c>
      <c r="K15" s="295"/>
      <c r="L15" s="295"/>
      <c r="M15" s="295"/>
      <c r="N15" s="296"/>
      <c r="O15" s="13"/>
      <c r="P15" s="122" t="str">
        <f>VLOOKUP(46,$BE$8:$BH$127,1+MATCH($AC$7,$BF$7:$BH$7,0))</f>
        <v>Gió X</v>
      </c>
      <c r="Q15" s="19"/>
      <c r="R15" s="297" t="str">
        <f>VLOOKUP(53,$BE$8:$BH$127,1+MATCH($AC$7,$BF$7:$BH$7,0))</f>
        <v>Đường nóc</v>
      </c>
      <c r="S15" s="298"/>
      <c r="T15" s="298"/>
      <c r="U15" s="298"/>
      <c r="V15" s="298"/>
      <c r="W15" s="298"/>
      <c r="X15" s="298"/>
      <c r="Y15" s="299"/>
      <c r="Z15" s="333"/>
      <c r="AA15" s="15"/>
      <c r="AD15" s="22" t="s">
        <v>41</v>
      </c>
      <c r="AE15" s="22" t="s">
        <v>42</v>
      </c>
      <c r="AF15" s="22" t="s">
        <v>43</v>
      </c>
      <c r="AG15" s="24" t="s">
        <v>44</v>
      </c>
      <c r="AH15" s="22" t="s">
        <v>45</v>
      </c>
      <c r="BE15" s="6">
        <f t="shared" si="0"/>
        <v>8</v>
      </c>
      <c r="BF15" s="9" t="s">
        <v>46</v>
      </c>
      <c r="BG15" s="9" t="s">
        <v>47</v>
      </c>
      <c r="BH15" s="9" t="s">
        <v>46</v>
      </c>
    </row>
    <row r="16" spans="1:60" ht="15.75" thickTop="1">
      <c r="B16" s="151"/>
      <c r="C16" s="292" t="str">
        <f>VLOOKUP(16,$BE$8:$BH$127,1+MATCH($AC$7,$BF$7:$BH$7,0))</f>
        <v>Loại mái:</v>
      </c>
      <c r="D16" s="293"/>
      <c r="E16" s="293"/>
      <c r="F16" s="293"/>
      <c r="G16" s="294" t="s">
        <v>4</v>
      </c>
      <c r="H16" s="294"/>
      <c r="I16" s="294"/>
      <c r="J16" s="295" t="str">
        <f>IF(AC7&lt;&gt;"EN",VLOOKUP(G16,$AF$7:$AG$10,2,FALSE),"")</f>
        <v>/ Có cạnh sắc</v>
      </c>
      <c r="K16" s="295"/>
      <c r="L16" s="295"/>
      <c r="M16" s="295"/>
      <c r="N16" s="296"/>
      <c r="O16" s="13"/>
      <c r="P16" s="122"/>
      <c r="Q16" s="19"/>
      <c r="R16" s="123"/>
      <c r="S16" s="123"/>
      <c r="T16" s="123"/>
      <c r="U16" s="123"/>
      <c r="V16" s="123"/>
      <c r="W16" s="123"/>
      <c r="X16" s="123"/>
      <c r="Y16" s="25"/>
      <c r="Z16" s="333"/>
      <c r="AA16" s="15"/>
      <c r="AD16" s="22" t="s">
        <v>48</v>
      </c>
      <c r="AE16" s="22">
        <v>213.36</v>
      </c>
      <c r="AF16" s="22">
        <v>2.13</v>
      </c>
      <c r="AG16" s="22">
        <v>11.5</v>
      </c>
      <c r="AH16" s="22">
        <v>1.99</v>
      </c>
      <c r="BE16" s="6">
        <f t="shared" si="0"/>
        <v>9</v>
      </c>
      <c r="BF16" s="9" t="s">
        <v>49</v>
      </c>
      <c r="BG16" s="9" t="s">
        <v>50</v>
      </c>
      <c r="BH16" s="9" t="s">
        <v>49</v>
      </c>
    </row>
    <row r="17" spans="2:60" ht="15">
      <c r="B17" s="151"/>
      <c r="C17" s="26"/>
      <c r="D17" s="106"/>
      <c r="E17" s="106"/>
      <c r="F17" s="106"/>
      <c r="G17" s="106"/>
      <c r="H17" s="106"/>
      <c r="I17" s="106"/>
      <c r="J17" s="107" t="str">
        <f>VLOOKUP(18,$BE$8:$BH$127,1+MATCH($AC$7,$BF$7:$BH$7,0))</f>
        <v>Chiều dài nhà / mái</v>
      </c>
      <c r="K17" s="233" t="s">
        <v>55</v>
      </c>
      <c r="L17" s="233"/>
      <c r="M17" s="331">
        <v>120</v>
      </c>
      <c r="N17" s="332"/>
      <c r="O17" s="13"/>
      <c r="P17" s="13"/>
      <c r="Q17" s="19"/>
      <c r="R17" s="120"/>
      <c r="S17" s="120"/>
      <c r="T17" s="120"/>
      <c r="U17" s="120"/>
      <c r="V17" s="120"/>
      <c r="W17" s="120"/>
      <c r="X17" s="120"/>
      <c r="Y17" s="20"/>
      <c r="Z17" s="333"/>
      <c r="AA17" s="15"/>
      <c r="AD17" s="22" t="s">
        <v>52</v>
      </c>
      <c r="AE17" s="22">
        <v>274.32</v>
      </c>
      <c r="AF17" s="22">
        <v>4.57</v>
      </c>
      <c r="AG17" s="22">
        <v>9.5</v>
      </c>
      <c r="AH17" s="22">
        <v>1.97</v>
      </c>
      <c r="BE17" s="6">
        <f t="shared" si="0"/>
        <v>10</v>
      </c>
      <c r="BF17" s="9" t="s">
        <v>53</v>
      </c>
      <c r="BG17" s="9" t="s">
        <v>54</v>
      </c>
      <c r="BH17" s="9" t="s">
        <v>53</v>
      </c>
    </row>
    <row r="18" spans="2:60" ht="15.75" thickBot="1">
      <c r="B18" s="151"/>
      <c r="C18" s="26"/>
      <c r="D18" s="106"/>
      <c r="E18" s="106"/>
      <c r="F18" s="106"/>
      <c r="G18" s="106"/>
      <c r="H18" s="106"/>
      <c r="I18" s="106"/>
      <c r="J18" s="107" t="str">
        <f>VLOOKUP(17,$BE$8:$BH$127,1+MATCH($AC$7,$BF$7:$BH$7,0))</f>
        <v>Chiều rộng nhà / mái</v>
      </c>
      <c r="K18" s="233" t="s">
        <v>51</v>
      </c>
      <c r="L18" s="233"/>
      <c r="M18" s="331">
        <v>20</v>
      </c>
      <c r="N18" s="332"/>
      <c r="O18" s="13"/>
      <c r="P18" s="13"/>
      <c r="Q18" s="19"/>
      <c r="R18" s="27"/>
      <c r="S18" s="27"/>
      <c r="T18" s="27"/>
      <c r="U18" s="27"/>
      <c r="V18" s="27"/>
      <c r="W18" s="27"/>
      <c r="X18" s="27"/>
      <c r="Y18" s="28"/>
      <c r="Z18" s="333"/>
      <c r="AA18" s="15"/>
      <c r="AD18" s="22" t="s">
        <v>56</v>
      </c>
      <c r="AE18" s="22">
        <v>365.76</v>
      </c>
      <c r="AF18" s="22">
        <v>9.14</v>
      </c>
      <c r="AG18" s="22">
        <v>7</v>
      </c>
      <c r="AH18" s="22">
        <v>1.98</v>
      </c>
      <c r="BE18" s="6">
        <f t="shared" si="0"/>
        <v>11</v>
      </c>
      <c r="BF18" s="9" t="s">
        <v>57</v>
      </c>
      <c r="BG18" s="9" t="s">
        <v>58</v>
      </c>
      <c r="BH18" s="9" t="s">
        <v>57</v>
      </c>
    </row>
    <row r="19" spans="2:60" ht="15.75" thickTop="1">
      <c r="B19" s="151"/>
      <c r="C19" s="26"/>
      <c r="D19" s="106"/>
      <c r="E19" s="106"/>
      <c r="F19" s="106"/>
      <c r="G19" s="106"/>
      <c r="H19" s="106"/>
      <c r="I19" s="106"/>
      <c r="J19" s="107" t="str">
        <f>VLOOKUP(19,$BE$8:$BH$127,1+MATCH($AC$7,$BF$7:$BH$7,0))</f>
        <v>Chiều cao nhà</v>
      </c>
      <c r="K19" s="233" t="s">
        <v>59</v>
      </c>
      <c r="L19" s="233"/>
      <c r="M19" s="351">
        <v>10</v>
      </c>
      <c r="N19" s="352"/>
      <c r="O19" s="13"/>
      <c r="P19" s="13"/>
      <c r="Q19" s="13"/>
      <c r="R19" s="353" t="str">
        <f>"L = "&amp;M17&amp;" m"</f>
        <v>L = 120 m</v>
      </c>
      <c r="S19" s="353"/>
      <c r="T19" s="353"/>
      <c r="U19" s="353"/>
      <c r="V19" s="353"/>
      <c r="W19" s="353"/>
      <c r="X19" s="353"/>
      <c r="Y19" s="353"/>
      <c r="Z19" s="121"/>
      <c r="AA19" s="15"/>
      <c r="AC19" s="29"/>
      <c r="AD19" s="29"/>
      <c r="AE19" s="29"/>
      <c r="AF19" s="29"/>
      <c r="AG19" s="29"/>
      <c r="AH19" s="29"/>
      <c r="BE19" s="6">
        <f t="shared" si="0"/>
        <v>12</v>
      </c>
      <c r="BF19" s="9" t="s">
        <v>60</v>
      </c>
      <c r="BG19" s="9" t="s">
        <v>61</v>
      </c>
      <c r="BH19" s="9" t="s">
        <v>62</v>
      </c>
    </row>
    <row r="20" spans="2:60" ht="18">
      <c r="B20" s="151"/>
      <c r="C20" s="26"/>
      <c r="D20" s="106"/>
      <c r="E20" s="106"/>
      <c r="F20" s="106"/>
      <c r="G20" s="106"/>
      <c r="H20" s="106"/>
      <c r="I20" s="106"/>
      <c r="J20" s="107" t="str">
        <f>VLOOKUP(20,$BE$8:$BH$127,1+MATCH($AC$7,$BF$7:$BH$7,0))</f>
        <v>Chiều cao tường chắn</v>
      </c>
      <c r="K20" s="233" t="s">
        <v>186</v>
      </c>
      <c r="L20" s="233"/>
      <c r="M20" s="351">
        <v>0</v>
      </c>
      <c r="N20" s="352"/>
      <c r="O20" s="13"/>
      <c r="P20" s="13"/>
      <c r="Q20" s="13"/>
      <c r="Z20" s="121"/>
      <c r="AA20" s="15"/>
      <c r="AC20" s="29"/>
      <c r="AI20" s="10"/>
      <c r="BE20" s="6">
        <f t="shared" si="0"/>
        <v>13</v>
      </c>
      <c r="BF20" s="9" t="s">
        <v>63</v>
      </c>
      <c r="BG20" s="9" t="s">
        <v>64</v>
      </c>
      <c r="BH20" s="9" t="s">
        <v>65</v>
      </c>
    </row>
    <row r="21" spans="2:60" ht="15">
      <c r="B21" s="151"/>
      <c r="C21" s="26"/>
      <c r="D21" s="106"/>
      <c r="E21" s="106"/>
      <c r="F21" s="106"/>
      <c r="G21" s="106"/>
      <c r="H21" s="106"/>
      <c r="I21" s="106"/>
      <c r="J21" s="107" t="str">
        <f>VLOOKUP(39,$BE$8:$BH$127,1+MATCH($AC$7,$BF$7:$BH$7,0))</f>
        <v>Độ dốc mái</v>
      </c>
      <c r="K21" s="233" t="s">
        <v>72</v>
      </c>
      <c r="L21" s="233"/>
      <c r="M21" s="343">
        <v>0.15</v>
      </c>
      <c r="N21" s="344"/>
      <c r="O21" s="13"/>
      <c r="P21" s="13"/>
      <c r="Q21" s="13"/>
      <c r="V21" s="13" t="str">
        <f>VLOOKUP(47,$BE$8:$BH$127,1+MATCH($AC$7,$BF$7:$BH$7,0))</f>
        <v>Gió Y</v>
      </c>
      <c r="Z21" s="13"/>
      <c r="AA21" s="15"/>
      <c r="BE21" s="6">
        <f t="shared" si="0"/>
        <v>14</v>
      </c>
      <c r="BF21" s="9" t="s">
        <v>70</v>
      </c>
      <c r="BG21" s="9" t="s">
        <v>71</v>
      </c>
      <c r="BH21" s="9" t="s">
        <v>70</v>
      </c>
    </row>
    <row r="22" spans="2:60" ht="15">
      <c r="B22" s="151"/>
      <c r="C22" s="41"/>
      <c r="D22" s="42"/>
      <c r="E22" s="42"/>
      <c r="F22" s="42"/>
      <c r="G22" s="42"/>
      <c r="H22" s="42"/>
      <c r="I22" s="42"/>
      <c r="J22" s="31" t="str">
        <f>VLOOKUP(38,$BE$8:$BH$127,1+MATCH($AC$7,$BF$7:$BH$7,0))</f>
        <v>Góc nghiêng mái</v>
      </c>
      <c r="K22" s="339" t="s">
        <v>187</v>
      </c>
      <c r="L22" s="340"/>
      <c r="M22" s="341">
        <f>DEGREES(ATAN(M21))</f>
        <v>8.5307656099481335</v>
      </c>
      <c r="N22" s="342"/>
      <c r="O22" s="13"/>
      <c r="P22" s="13"/>
      <c r="Q22" s="13"/>
      <c r="R22" s="13"/>
      <c r="S22" s="13"/>
      <c r="T22" s="13"/>
      <c r="U22" s="13"/>
      <c r="W22" s="13"/>
      <c r="X22" s="13"/>
      <c r="Y22" s="13"/>
      <c r="Z22" s="13"/>
      <c r="AA22" s="15"/>
      <c r="BE22" s="6">
        <f t="shared" si="0"/>
        <v>15</v>
      </c>
      <c r="BF22" s="9" t="s">
        <v>73</v>
      </c>
      <c r="BG22" s="9" t="s">
        <v>74</v>
      </c>
      <c r="BH22" s="9" t="s">
        <v>75</v>
      </c>
    </row>
    <row r="23" spans="2:60" ht="15">
      <c r="B23" s="151"/>
      <c r="C23" s="74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5"/>
      <c r="BE23" s="6">
        <f t="shared" ref="BE23:BE46" si="1">BE22+1</f>
        <v>16</v>
      </c>
      <c r="BF23" s="32" t="s">
        <v>76</v>
      </c>
      <c r="BG23" s="32" t="s">
        <v>77</v>
      </c>
      <c r="BH23" s="32" t="s">
        <v>78</v>
      </c>
    </row>
    <row r="24" spans="2:60" ht="15">
      <c r="B24" s="151"/>
      <c r="C24" s="300" t="str">
        <f>VLOOKUP(24,$BE$8:$BH$127,1+MATCH($AC$7,$BF$7:$BH$7,0))</f>
        <v>DỮ LIỆU ĐỊA ĐIỂM</v>
      </c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2"/>
      <c r="O24" s="13"/>
      <c r="P24" s="345" t="str">
        <f>VLOOKUP(37,$BE$8:$BH$127,1+MATCH($AC$7,$BF$7:$BH$7,0))</f>
        <v>ÁP LỰC GIÓ TÁC DỤNG LÊN BỀ MẶT:</v>
      </c>
      <c r="Q24" s="346"/>
      <c r="R24" s="346"/>
      <c r="S24" s="346"/>
      <c r="T24" s="346"/>
      <c r="U24" s="346"/>
      <c r="V24" s="346"/>
      <c r="W24" s="346"/>
      <c r="X24" s="346"/>
      <c r="Y24" s="346"/>
      <c r="Z24" s="347"/>
      <c r="AA24" s="15"/>
      <c r="BE24" s="6">
        <f t="shared" si="1"/>
        <v>17</v>
      </c>
      <c r="BF24" s="9" t="s">
        <v>79</v>
      </c>
      <c r="BG24" s="9" t="s">
        <v>80</v>
      </c>
      <c r="BH24" s="9" t="s">
        <v>81</v>
      </c>
    </row>
    <row r="25" spans="2:60" ht="18">
      <c r="B25" s="151"/>
      <c r="C25" s="334" t="str">
        <f>VLOOKUP(25,$BE$8:$BH$127,1+MATCH($AC$7,$BF$7:$BH$7,0))</f>
        <v>Vùng</v>
      </c>
      <c r="D25" s="335"/>
      <c r="E25" s="336" t="s">
        <v>30</v>
      </c>
      <c r="F25" s="336"/>
      <c r="G25" s="35"/>
      <c r="H25" s="35"/>
      <c r="I25" s="35"/>
      <c r="J25" s="35"/>
      <c r="K25" s="35"/>
      <c r="L25" s="34" t="str">
        <f>VLOOKUP(26,$BE$8:$BH$127,1+MATCH($AC$7,$BF$7:$BH$7,0))</f>
        <v>Dạng địa hình</v>
      </c>
      <c r="M25" s="337" t="s">
        <v>52</v>
      </c>
      <c r="N25" s="338"/>
      <c r="O25" s="13"/>
      <c r="P25" s="348" t="s">
        <v>215</v>
      </c>
      <c r="Q25" s="349"/>
      <c r="R25" s="349"/>
      <c r="S25" s="349"/>
      <c r="T25" s="349"/>
      <c r="U25" s="349"/>
      <c r="V25" s="349"/>
      <c r="W25" s="349"/>
      <c r="X25" s="349"/>
      <c r="Y25" s="349"/>
      <c r="Z25" s="350"/>
      <c r="AA25" s="15"/>
      <c r="BE25" s="6">
        <f t="shared" si="1"/>
        <v>18</v>
      </c>
      <c r="BF25" s="9" t="s">
        <v>82</v>
      </c>
      <c r="BG25" s="9" t="s">
        <v>83</v>
      </c>
      <c r="BH25" s="9" t="s">
        <v>84</v>
      </c>
    </row>
    <row r="26" spans="2:60" ht="18">
      <c r="B26" s="151"/>
      <c r="C26" s="36"/>
      <c r="D26" s="100" t="s">
        <v>88</v>
      </c>
      <c r="E26" s="366">
        <f>HLOOKUP(E25,$AE$12:$AI$13,2,FALSE)</f>
        <v>1.55</v>
      </c>
      <c r="F26" s="366"/>
      <c r="G26" s="371" t="s">
        <v>182</v>
      </c>
      <c r="H26" s="371"/>
      <c r="I26" s="101" t="s">
        <v>89</v>
      </c>
      <c r="J26" s="366">
        <f>VLOOKUP(M25,$AD$16:$AH$18,2,FALSE)</f>
        <v>274.32</v>
      </c>
      <c r="K26" s="366"/>
      <c r="L26" s="367" t="s">
        <v>90</v>
      </c>
      <c r="M26" s="368"/>
      <c r="N26" s="37">
        <f>VLOOKUP(M25,$AD$16:$AH$18,4,FALSE)</f>
        <v>9.5</v>
      </c>
      <c r="O26" s="13"/>
      <c r="P26" s="348" t="s">
        <v>216</v>
      </c>
      <c r="Q26" s="349"/>
      <c r="R26" s="349"/>
      <c r="S26" s="349"/>
      <c r="T26" s="349"/>
      <c r="U26" s="349"/>
      <c r="V26" s="349"/>
      <c r="W26" s="349"/>
      <c r="X26" s="349"/>
      <c r="Y26" s="349"/>
      <c r="Z26" s="350"/>
      <c r="AA26" s="15"/>
      <c r="BE26" s="6">
        <f t="shared" si="1"/>
        <v>19</v>
      </c>
      <c r="BF26" s="9" t="s">
        <v>85</v>
      </c>
      <c r="BG26" s="9" t="s">
        <v>86</v>
      </c>
      <c r="BH26" s="9" t="s">
        <v>87</v>
      </c>
    </row>
    <row r="27" spans="2:60" ht="18">
      <c r="B27" s="151"/>
      <c r="C27" s="102"/>
      <c r="D27" s="103" t="s">
        <v>95</v>
      </c>
      <c r="E27" s="369">
        <f>0.852*E26</f>
        <v>1.3206</v>
      </c>
      <c r="F27" s="369"/>
      <c r="G27" s="372" t="s">
        <v>182</v>
      </c>
      <c r="H27" s="372"/>
      <c r="I27" s="104" t="s">
        <v>96</v>
      </c>
      <c r="J27" s="370">
        <f>VLOOKUP(M25,$AD$16:$AH$18,3,FALSE)</f>
        <v>4.57</v>
      </c>
      <c r="K27" s="370"/>
      <c r="L27" s="370" t="s">
        <v>97</v>
      </c>
      <c r="M27" s="370"/>
      <c r="N27" s="105">
        <f>VLOOKUP(M25,$AD$16:$AH$18,5,FALSE)</f>
        <v>1.97</v>
      </c>
      <c r="O27" s="13"/>
      <c r="P27" s="373" t="s">
        <v>217</v>
      </c>
      <c r="Q27" s="374"/>
      <c r="R27" s="374"/>
      <c r="S27" s="374"/>
      <c r="T27" s="374"/>
      <c r="U27" s="374"/>
      <c r="V27" s="374"/>
      <c r="W27" s="374"/>
      <c r="X27" s="374"/>
      <c r="Y27" s="374"/>
      <c r="Z27" s="375"/>
      <c r="AA27" s="15"/>
      <c r="BE27" s="6">
        <f t="shared" si="1"/>
        <v>20</v>
      </c>
      <c r="BF27" s="9" t="s">
        <v>92</v>
      </c>
      <c r="BG27" s="32" t="s">
        <v>93</v>
      </c>
      <c r="BH27" s="9" t="s">
        <v>94</v>
      </c>
    </row>
    <row r="28" spans="2:60" ht="15">
      <c r="B28" s="151"/>
      <c r="C28" s="143"/>
      <c r="D28" s="98"/>
      <c r="E28" s="98"/>
      <c r="F28" s="98"/>
      <c r="G28" s="98"/>
      <c r="H28" s="98"/>
      <c r="I28" s="98"/>
      <c r="J28" s="99"/>
      <c r="K28" s="98"/>
      <c r="L28" s="99"/>
      <c r="M28" s="364"/>
      <c r="N28" s="365"/>
      <c r="O28" s="13"/>
      <c r="AA28" s="15"/>
      <c r="BE28" s="6">
        <f t="shared" si="1"/>
        <v>21</v>
      </c>
      <c r="BF28" s="32" t="s">
        <v>98</v>
      </c>
      <c r="BG28" s="9" t="s">
        <v>99</v>
      </c>
      <c r="BH28" s="32" t="s">
        <v>98</v>
      </c>
    </row>
    <row r="29" spans="2:60" ht="15" customHeight="1">
      <c r="B29" s="151"/>
      <c r="C29" s="110" t="str">
        <f>VLOOKUP(54,$BE$8:$BH$127,1+MATCH($AC$7,$BF$7:$BH$7,0))</f>
        <v>Độ hở của tường chắn</v>
      </c>
      <c r="D29" s="108"/>
      <c r="E29" s="108"/>
      <c r="F29" s="108"/>
      <c r="G29" s="108"/>
      <c r="H29" s="108"/>
      <c r="I29" s="108"/>
      <c r="J29" s="108"/>
      <c r="K29" s="108"/>
      <c r="L29" s="111" t="str">
        <f>VLOOKUP(58,$BE$8:$BH$127,1+MATCH($AC$7,$BF$7:$BH$7,0))</f>
        <v>Tải trọng</v>
      </c>
      <c r="M29" s="323" t="s">
        <v>210</v>
      </c>
      <c r="N29" s="324"/>
      <c r="O29" s="324" t="s">
        <v>211</v>
      </c>
      <c r="P29" s="324"/>
      <c r="Q29" s="324" t="s">
        <v>212</v>
      </c>
      <c r="R29" s="324"/>
      <c r="S29" s="324" t="s">
        <v>213</v>
      </c>
      <c r="T29" s="325"/>
      <c r="AA29" s="15"/>
      <c r="AC29" s="402" t="s">
        <v>183</v>
      </c>
      <c r="AD29" s="403"/>
      <c r="AE29" s="403"/>
      <c r="BE29" s="6">
        <f t="shared" si="1"/>
        <v>22</v>
      </c>
      <c r="BF29" s="9" t="s">
        <v>100</v>
      </c>
      <c r="BG29" s="9" t="s">
        <v>101</v>
      </c>
      <c r="BH29" s="9" t="s">
        <v>100</v>
      </c>
    </row>
    <row r="30" spans="2:60" ht="15">
      <c r="B30" s="151"/>
      <c r="C30" s="112" t="str">
        <f>IF(AC7=BH7,BG61,"")</f>
        <v/>
      </c>
      <c r="D30" s="109"/>
      <c r="E30" s="109"/>
      <c r="F30" s="109"/>
      <c r="G30" s="109"/>
      <c r="H30" s="109"/>
      <c r="I30" s="109"/>
      <c r="J30" s="109"/>
      <c r="K30" s="326" t="s">
        <v>214</v>
      </c>
      <c r="L30" s="327"/>
      <c r="M30" s="328">
        <v>0.05</v>
      </c>
      <c r="N30" s="329"/>
      <c r="O30" s="329">
        <v>7.0000000000000007E-2</v>
      </c>
      <c r="P30" s="329"/>
      <c r="Q30" s="329">
        <v>0.08</v>
      </c>
      <c r="R30" s="329"/>
      <c r="S30" s="329">
        <v>0.12</v>
      </c>
      <c r="T30" s="330"/>
      <c r="AA30" s="15"/>
      <c r="AC30" s="144">
        <v>0.05</v>
      </c>
      <c r="AD30" s="21">
        <v>0.2</v>
      </c>
      <c r="AE30" s="21">
        <v>-0.2</v>
      </c>
      <c r="AY30" s="44"/>
      <c r="AZ30" s="44"/>
      <c r="BA30" s="44"/>
      <c r="BB30" s="44"/>
      <c r="BC30" s="44"/>
      <c r="BE30" s="6">
        <f t="shared" si="1"/>
        <v>23</v>
      </c>
      <c r="BF30" s="9" t="s">
        <v>102</v>
      </c>
      <c r="BG30" s="9" t="s">
        <v>103</v>
      </c>
      <c r="BH30" s="9" t="s">
        <v>104</v>
      </c>
    </row>
    <row r="31" spans="2:60" ht="18">
      <c r="B31" s="151"/>
      <c r="C31" s="113" t="str">
        <f>VLOOKUP(28,$BE$8:$BH$127,1+MATCH($AC$7,$BF$7:$BH$7,0))</f>
        <v>Hệ số khí động áp lực bên trong</v>
      </c>
      <c r="D31" s="114"/>
      <c r="E31" s="114"/>
      <c r="F31" s="114"/>
      <c r="G31" s="114"/>
      <c r="H31" s="114"/>
      <c r="I31" s="356" t="s">
        <v>227</v>
      </c>
      <c r="J31" s="357"/>
      <c r="K31" s="394" t="str">
        <f>C46</f>
        <v>TH1</v>
      </c>
      <c r="L31" s="394"/>
      <c r="M31" s="395">
        <f>MIN(MAX(2.4*M30+0.08,$AD$30),$AD$31)</f>
        <v>0.2</v>
      </c>
      <c r="N31" s="382"/>
      <c r="O31" s="382">
        <f t="shared" ref="O31" si="2">MIN(MAX(2.4*O30+0.08,$AD$30),$AD$31)</f>
        <v>0.248</v>
      </c>
      <c r="P31" s="382"/>
      <c r="Q31" s="382">
        <f t="shared" ref="Q31" si="3">MIN(MAX(2.4*Q30+0.08,$AD$30),$AD$31)</f>
        <v>0.27200000000000002</v>
      </c>
      <c r="R31" s="382"/>
      <c r="S31" s="382">
        <f t="shared" ref="S31" si="4">MIN(MAX(2.4*S30+0.08,$AD$30),$AD$31)</f>
        <v>0.36799999999999999</v>
      </c>
      <c r="T31" s="383"/>
      <c r="AA31" s="15"/>
      <c r="AC31" s="144">
        <v>0.3</v>
      </c>
      <c r="AD31" s="21">
        <v>0.8</v>
      </c>
      <c r="AE31" s="21">
        <v>-0.5</v>
      </c>
      <c r="AY31" s="44"/>
      <c r="AZ31" s="44"/>
      <c r="BA31" s="44"/>
      <c r="BB31" s="44"/>
      <c r="BC31" s="44"/>
      <c r="BE31" s="6">
        <f t="shared" si="1"/>
        <v>24</v>
      </c>
      <c r="BF31" s="9" t="s">
        <v>105</v>
      </c>
      <c r="BG31" s="9" t="s">
        <v>106</v>
      </c>
      <c r="BH31" s="9" t="s">
        <v>107</v>
      </c>
    </row>
    <row r="32" spans="2:60" ht="18">
      <c r="B32" s="151"/>
      <c r="C32" s="384" t="str">
        <f>IF(AC7=BH7,BG35,"")</f>
        <v/>
      </c>
      <c r="D32" s="385"/>
      <c r="E32" s="385"/>
      <c r="F32" s="385"/>
      <c r="G32" s="385"/>
      <c r="H32" s="385"/>
      <c r="I32" s="286" t="s">
        <v>227</v>
      </c>
      <c r="J32" s="287"/>
      <c r="K32" s="386" t="str">
        <f>C47</f>
        <v>TH2</v>
      </c>
      <c r="L32" s="386"/>
      <c r="M32" s="387">
        <f>MIN(MAX(-1.2*M30-0.14,$AE$31),$AE$30)</f>
        <v>-0.2</v>
      </c>
      <c r="N32" s="354"/>
      <c r="O32" s="354">
        <f>MIN(MAX(-1.2*O30-0.14,$AE$31),$AE$30)</f>
        <v>-0.22400000000000003</v>
      </c>
      <c r="P32" s="354"/>
      <c r="Q32" s="354">
        <f>MIN(MAX(-1.2*Q30-0.14,$AE$31),$AE$30)</f>
        <v>-0.23600000000000002</v>
      </c>
      <c r="R32" s="354"/>
      <c r="S32" s="354">
        <f t="shared" ref="S32" si="5">MIN(MAX(-1.2*S30-0.14,$AE$31),$AE$30)</f>
        <v>-0.28400000000000003</v>
      </c>
      <c r="T32" s="355"/>
      <c r="AA32" s="15"/>
      <c r="AY32" s="44"/>
      <c r="AZ32" s="44"/>
      <c r="BA32" s="44"/>
      <c r="BB32" s="44"/>
      <c r="BC32" s="44"/>
      <c r="BE32" s="6">
        <f t="shared" si="1"/>
        <v>25</v>
      </c>
      <c r="BF32" s="9" t="s">
        <v>34</v>
      </c>
      <c r="BG32" s="9" t="s">
        <v>108</v>
      </c>
      <c r="BH32" s="9" t="s">
        <v>109</v>
      </c>
    </row>
    <row r="33" spans="2:60" ht="15">
      <c r="B33" s="151"/>
      <c r="C33" s="51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5"/>
      <c r="BE33" s="6">
        <f t="shared" si="1"/>
        <v>26</v>
      </c>
      <c r="BF33" s="9" t="s">
        <v>110</v>
      </c>
      <c r="BG33" s="9" t="s">
        <v>111</v>
      </c>
      <c r="BH33" s="9" t="s">
        <v>112</v>
      </c>
    </row>
    <row r="34" spans="2:60" ht="15">
      <c r="B34" s="151"/>
      <c r="C34" s="283" t="str">
        <f>VLOOKUP(55,$BE$8:$BH$127,1+MATCH($AC$7,$BF$7:$BH$7,0))</f>
        <v>TÍNH TOÁN ÁP LỰC GIÓ</v>
      </c>
      <c r="D34" s="284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4"/>
      <c r="V34" s="284"/>
      <c r="W34" s="284"/>
      <c r="X34" s="284"/>
      <c r="Y34" s="284"/>
      <c r="Z34" s="284"/>
      <c r="AA34" s="285"/>
      <c r="BE34" s="6">
        <f t="shared" si="1"/>
        <v>27</v>
      </c>
      <c r="BF34" s="9" t="s">
        <v>113</v>
      </c>
      <c r="BG34" s="9" t="s">
        <v>114</v>
      </c>
      <c r="BH34" s="9" t="s">
        <v>115</v>
      </c>
    </row>
    <row r="35" spans="2:60" ht="18">
      <c r="B35" s="151"/>
      <c r="C35" s="376" t="str">
        <f>VLOOKUP(56,$BE$8:$BH$127,1+MATCH($AC$7,$BF$7:$BH$7,0))</f>
        <v>PHƯƠNG X</v>
      </c>
      <c r="D35" s="377"/>
      <c r="E35" s="377"/>
      <c r="F35" s="378"/>
      <c r="G35" s="358" t="s">
        <v>191</v>
      </c>
      <c r="H35" s="358"/>
      <c r="I35" s="358" t="s">
        <v>192</v>
      </c>
      <c r="J35" s="358"/>
      <c r="K35" s="388" t="s">
        <v>193</v>
      </c>
      <c r="L35" s="389"/>
      <c r="M35" s="388" t="s">
        <v>195</v>
      </c>
      <c r="N35" s="389"/>
      <c r="O35" s="388" t="s">
        <v>196</v>
      </c>
      <c r="P35" s="389"/>
      <c r="Q35" s="388" t="s">
        <v>194</v>
      </c>
      <c r="R35" s="389"/>
      <c r="U35" s="152"/>
      <c r="V35" s="152"/>
      <c r="W35" s="152"/>
      <c r="X35" s="152"/>
      <c r="Y35" s="152"/>
      <c r="Z35" s="152"/>
      <c r="AA35" s="15"/>
      <c r="BE35" s="6">
        <f t="shared" si="1"/>
        <v>28</v>
      </c>
      <c r="BF35" s="45" t="s">
        <v>116</v>
      </c>
      <c r="BG35" s="9" t="s">
        <v>117</v>
      </c>
      <c r="BH35" s="45" t="s">
        <v>116</v>
      </c>
    </row>
    <row r="36" spans="2:60" ht="15">
      <c r="B36" s="151"/>
      <c r="C36" s="379"/>
      <c r="D36" s="380"/>
      <c r="E36" s="380"/>
      <c r="F36" s="381"/>
      <c r="G36" s="390">
        <f>IF(G15="RC building",0.85+M19/2840,0.85+M19/1010)</f>
        <v>0.85990099009900989</v>
      </c>
      <c r="H36" s="391"/>
      <c r="I36" s="390">
        <f>M19+IF(G16="With parapets",M20,0)</f>
        <v>10</v>
      </c>
      <c r="J36" s="391"/>
      <c r="K36" s="392" cm="1">
        <f t="array" ref="K36">ze(I36, M36, M19, M25)</f>
        <v>10</v>
      </c>
      <c r="L36" s="393"/>
      <c r="M36" s="392">
        <f>M18</f>
        <v>20</v>
      </c>
      <c r="N36" s="393"/>
      <c r="O36" s="392">
        <f>M17</f>
        <v>120</v>
      </c>
      <c r="P36" s="393"/>
      <c r="Q36" s="392">
        <f>MIN(2.01*(K36/J26)^(2/N26),N27)</f>
        <v>1.0009330064908715</v>
      </c>
      <c r="R36" s="393"/>
      <c r="U36" s="152"/>
      <c r="V36" s="152"/>
      <c r="W36" s="152"/>
      <c r="X36" s="152"/>
      <c r="Y36" s="152"/>
      <c r="Z36" s="152"/>
      <c r="AA36" s="15"/>
      <c r="BE36" s="6">
        <f t="shared" si="1"/>
        <v>29</v>
      </c>
      <c r="BF36" s="9" t="s">
        <v>118</v>
      </c>
      <c r="BG36" s="9" t="s">
        <v>119</v>
      </c>
      <c r="BH36" s="9" t="s">
        <v>120</v>
      </c>
    </row>
    <row r="37" spans="2:60" ht="15">
      <c r="B37" s="151"/>
      <c r="C37" s="96"/>
      <c r="D37" s="124"/>
      <c r="E37" s="125"/>
      <c r="F37" s="126"/>
      <c r="G37" s="127"/>
      <c r="H37" s="125"/>
      <c r="I37" s="128"/>
      <c r="J37" s="129"/>
      <c r="K37" s="128"/>
      <c r="L37" s="130"/>
      <c r="M37" s="124"/>
      <c r="N37" s="124"/>
      <c r="O37" s="124"/>
      <c r="P37" s="124"/>
      <c r="Q37" s="124"/>
      <c r="R37" s="124"/>
      <c r="U37" s="124"/>
      <c r="V37" s="131"/>
      <c r="W37" s="131"/>
      <c r="X37" s="131"/>
      <c r="Y37" s="131"/>
      <c r="Z37" s="131"/>
      <c r="AA37" s="15"/>
      <c r="BE37" s="6">
        <f t="shared" si="1"/>
        <v>30</v>
      </c>
      <c r="BF37" s="9" t="s">
        <v>121</v>
      </c>
      <c r="BG37" s="9" t="s">
        <v>122</v>
      </c>
      <c r="BH37" s="9" t="s">
        <v>123</v>
      </c>
    </row>
    <row r="38" spans="2:60" ht="18">
      <c r="B38" s="151"/>
      <c r="C38" s="524" t="str">
        <f>VLOOKUP(57,$BE$8:$BH$127,1+MATCH($AC$7,$BF$7:$BH$7,0))</f>
        <v>PHƯƠNG Y</v>
      </c>
      <c r="D38" s="524"/>
      <c r="E38" s="524"/>
      <c r="F38" s="524"/>
      <c r="G38" s="525" t="s">
        <v>191</v>
      </c>
      <c r="H38" s="525"/>
      <c r="I38" s="525" t="s">
        <v>192</v>
      </c>
      <c r="J38" s="525"/>
      <c r="K38" s="525" t="s">
        <v>193</v>
      </c>
      <c r="L38" s="525"/>
      <c r="M38" s="525" t="s">
        <v>195</v>
      </c>
      <c r="N38" s="525"/>
      <c r="O38" s="525" t="s">
        <v>196</v>
      </c>
      <c r="P38" s="525"/>
      <c r="Q38" s="525" t="s">
        <v>194</v>
      </c>
      <c r="R38" s="525"/>
      <c r="U38" s="152"/>
      <c r="V38" s="152"/>
      <c r="W38" s="152"/>
      <c r="X38" s="152"/>
      <c r="Y38" s="152"/>
      <c r="Z38" s="152"/>
      <c r="AA38" s="15"/>
      <c r="BE38" s="6">
        <f t="shared" si="1"/>
        <v>31</v>
      </c>
      <c r="BF38" s="9" t="s">
        <v>124</v>
      </c>
      <c r="BG38" s="9" t="s">
        <v>125</v>
      </c>
      <c r="BH38" s="9" t="s">
        <v>124</v>
      </c>
    </row>
    <row r="39" spans="2:60" ht="15">
      <c r="B39" s="151"/>
      <c r="C39" s="524"/>
      <c r="D39" s="524"/>
      <c r="E39" s="524"/>
      <c r="F39" s="524"/>
      <c r="G39" s="390">
        <f>IF(G15="RC building",0.85+M19/2840,0.85+M19/1010)</f>
        <v>0.85990099009900989</v>
      </c>
      <c r="H39" s="391"/>
      <c r="I39" s="390">
        <f>M19+IF(G16="With parapets",M20,0)</f>
        <v>10</v>
      </c>
      <c r="J39" s="391"/>
      <c r="K39" s="392" cm="1">
        <f t="array" ref="K39">ze(I39, M39, M19, M25)</f>
        <v>10</v>
      </c>
      <c r="L39" s="393"/>
      <c r="M39" s="526">
        <f>M17</f>
        <v>120</v>
      </c>
      <c r="N39" s="525"/>
      <c r="O39" s="526">
        <f>M18</f>
        <v>20</v>
      </c>
      <c r="P39" s="525"/>
      <c r="Q39" s="392">
        <f>MIN(2.01*(K39/J26)^(2/N26),N27)</f>
        <v>1.0009330064908715</v>
      </c>
      <c r="R39" s="393"/>
      <c r="U39" s="152"/>
      <c r="V39" s="152"/>
      <c r="W39" s="152"/>
      <c r="X39" s="152"/>
      <c r="Y39" s="152"/>
      <c r="Z39" s="152"/>
      <c r="AA39" s="15"/>
      <c r="BE39" s="6">
        <f t="shared" si="1"/>
        <v>32</v>
      </c>
      <c r="BF39" s="9" t="s">
        <v>126</v>
      </c>
      <c r="BG39" s="9" t="s">
        <v>127</v>
      </c>
      <c r="BH39" s="9" t="s">
        <v>128</v>
      </c>
    </row>
    <row r="40" spans="2:60" ht="15">
      <c r="B40" s="151"/>
      <c r="C40" s="51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5"/>
      <c r="BE40" s="6">
        <f t="shared" si="1"/>
        <v>33</v>
      </c>
      <c r="BF40" s="9" t="s">
        <v>129</v>
      </c>
      <c r="BG40" s="9" t="s">
        <v>130</v>
      </c>
      <c r="BH40" s="9" t="s">
        <v>131</v>
      </c>
    </row>
    <row r="41" spans="2:60" ht="15" customHeight="1">
      <c r="B41" s="151"/>
      <c r="C41" s="228" t="str">
        <f>VLOOKUP(40,$BE$8:$BH$127,1+MATCH($AC$7,$BF$7:$BH$7,0))</f>
        <v>TÍNH TOÁN ÁP LỰC GIÓ LÊN MÁI (PHƯƠNG X)</v>
      </c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30"/>
      <c r="V41" s="13"/>
      <c r="W41" s="13"/>
      <c r="X41" s="13"/>
      <c r="Y41" s="13"/>
      <c r="Z41" s="13"/>
      <c r="AA41" s="15"/>
      <c r="AC41" s="307" t="s">
        <v>0</v>
      </c>
      <c r="AD41" s="307"/>
      <c r="AE41" s="307"/>
      <c r="AF41" s="307"/>
      <c r="AG41" s="308"/>
      <c r="BE41" s="6">
        <f t="shared" si="1"/>
        <v>34</v>
      </c>
      <c r="BF41" s="9" t="s">
        <v>132</v>
      </c>
      <c r="BG41" s="9" t="s">
        <v>133</v>
      </c>
      <c r="BH41" s="9" t="s">
        <v>132</v>
      </c>
    </row>
    <row r="42" spans="2:60" ht="15">
      <c r="B42" s="151"/>
      <c r="C42" s="222" t="str">
        <f>VLOOKUP(25,$BE$8:$BH$127,1+MATCH($AC$7,$BF$7:$BH$7,0))</f>
        <v>Vùng</v>
      </c>
      <c r="D42" s="223"/>
      <c r="E42" s="224"/>
      <c r="F42" s="263" t="s">
        <v>207</v>
      </c>
      <c r="G42" s="264"/>
      <c r="H42" s="264"/>
      <c r="I42" s="264"/>
      <c r="J42" s="264"/>
      <c r="K42" s="264"/>
      <c r="L42" s="264"/>
      <c r="M42" s="265"/>
      <c r="N42" s="263" t="s">
        <v>208</v>
      </c>
      <c r="O42" s="264"/>
      <c r="P42" s="264"/>
      <c r="Q42" s="264"/>
      <c r="R42" s="264"/>
      <c r="S42" s="264"/>
      <c r="T42" s="264"/>
      <c r="U42" s="265"/>
      <c r="X42" s="13"/>
      <c r="Y42" s="13"/>
      <c r="Z42" s="13"/>
      <c r="AA42" s="15"/>
      <c r="AC42" s="314" t="s">
        <v>6</v>
      </c>
      <c r="AD42" s="311" t="s">
        <v>7</v>
      </c>
      <c r="AE42" s="312"/>
      <c r="AF42" s="312"/>
      <c r="AG42" s="315"/>
      <c r="BE42" s="6">
        <f t="shared" si="1"/>
        <v>35</v>
      </c>
      <c r="BF42" s="9" t="s">
        <v>118</v>
      </c>
      <c r="BG42" s="9" t="s">
        <v>134</v>
      </c>
      <c r="BH42" s="9" t="s">
        <v>118</v>
      </c>
    </row>
    <row r="43" spans="2:60" ht="15">
      <c r="B43" s="151"/>
      <c r="C43" s="225"/>
      <c r="D43" s="226"/>
      <c r="E43" s="227"/>
      <c r="F43" s="266" t="s">
        <v>67</v>
      </c>
      <c r="G43" s="267"/>
      <c r="H43" s="267" t="s">
        <v>68</v>
      </c>
      <c r="I43" s="267"/>
      <c r="J43" s="267" t="s">
        <v>69</v>
      </c>
      <c r="K43" s="267"/>
      <c r="L43" s="267" t="s">
        <v>27</v>
      </c>
      <c r="M43" s="268"/>
      <c r="N43" s="266" t="s">
        <v>67</v>
      </c>
      <c r="O43" s="267"/>
      <c r="P43" s="267" t="s">
        <v>68</v>
      </c>
      <c r="Q43" s="267"/>
      <c r="R43" s="267" t="s">
        <v>69</v>
      </c>
      <c r="S43" s="267"/>
      <c r="T43" s="267" t="s">
        <v>27</v>
      </c>
      <c r="U43" s="268"/>
      <c r="X43" s="13"/>
      <c r="Y43" s="13"/>
      <c r="Z43" s="13"/>
      <c r="AA43" s="15"/>
      <c r="AC43" s="314"/>
      <c r="AD43" s="8" t="s">
        <v>14</v>
      </c>
      <c r="AE43" s="8" t="s">
        <v>15</v>
      </c>
      <c r="AF43" s="8" t="s">
        <v>16</v>
      </c>
      <c r="AG43" s="8" t="s">
        <v>17</v>
      </c>
      <c r="BE43" s="6">
        <f t="shared" si="1"/>
        <v>36</v>
      </c>
      <c r="BF43" s="9" t="s">
        <v>121</v>
      </c>
      <c r="BG43" s="9" t="s">
        <v>135</v>
      </c>
      <c r="BH43" s="9" t="s">
        <v>121</v>
      </c>
    </row>
    <row r="44" spans="2:60" ht="18">
      <c r="B44" s="151"/>
      <c r="C44" s="206"/>
      <c r="D44" s="231" t="s">
        <v>226</v>
      </c>
      <c r="E44" s="232"/>
      <c r="F44" s="269">
        <f>AD51</f>
        <v>-1.4940770864486694</v>
      </c>
      <c r="G44" s="270"/>
      <c r="H44" s="270">
        <f>AE51</f>
        <v>-1.2999999523162842</v>
      </c>
      <c r="I44" s="270"/>
      <c r="J44" s="270">
        <f>AF51</f>
        <v>-0.66469234228134155</v>
      </c>
      <c r="K44" s="270"/>
      <c r="L44" s="270">
        <f>AG51</f>
        <v>-0.56469237804412842</v>
      </c>
      <c r="M44" s="271"/>
      <c r="N44" s="269">
        <f>AD51</f>
        <v>-1.4940770864486694</v>
      </c>
      <c r="O44" s="270"/>
      <c r="P44" s="270">
        <f>AE51</f>
        <v>-1.2999999523162842</v>
      </c>
      <c r="Q44" s="270"/>
      <c r="R44" s="270">
        <f>AF51</f>
        <v>-0.66469234228134155</v>
      </c>
      <c r="S44" s="270"/>
      <c r="T44" s="270">
        <f>AG51</f>
        <v>-0.56469237804412842</v>
      </c>
      <c r="U44" s="271"/>
      <c r="X44" s="13"/>
      <c r="Y44" s="13"/>
      <c r="Z44" s="13"/>
      <c r="AA44" s="15"/>
      <c r="AC44" s="145">
        <v>-5</v>
      </c>
      <c r="AD44" s="12">
        <v>-1.8</v>
      </c>
      <c r="AE44" s="12">
        <v>-1.2</v>
      </c>
      <c r="AF44" s="12">
        <v>-0.7</v>
      </c>
      <c r="AG44" s="12">
        <v>-0.6</v>
      </c>
      <c r="BE44" s="6">
        <f t="shared" si="1"/>
        <v>37</v>
      </c>
      <c r="BF44" s="32" t="s">
        <v>218</v>
      </c>
      <c r="BG44" s="32" t="s">
        <v>219</v>
      </c>
      <c r="BH44" s="32" t="s">
        <v>220</v>
      </c>
    </row>
    <row r="45" spans="2:60" ht="18">
      <c r="B45" s="151"/>
      <c r="C45" s="26"/>
      <c r="D45" s="233" t="s">
        <v>188</v>
      </c>
      <c r="E45" s="234"/>
      <c r="F45" s="258">
        <f>$E$27*$Q$36*F44*$G$36</f>
        <v>-1.69823488526949</v>
      </c>
      <c r="G45" s="259"/>
      <c r="H45" s="259">
        <f>$E$27*$Q$36*H44*$G$36</f>
        <v>-1.4776381285116746</v>
      </c>
      <c r="I45" s="259"/>
      <c r="J45" s="259">
        <f>$E$27*$Q$36*J44*$G$36</f>
        <v>-0.75551906516199951</v>
      </c>
      <c r="K45" s="259"/>
      <c r="L45" s="259">
        <f>$E$27*$Q$36*L44*$G$36</f>
        <v>-0.6418546302184206</v>
      </c>
      <c r="M45" s="260"/>
      <c r="N45" s="258">
        <f>$E$27*$Q$36*N44*$G$36</f>
        <v>-1.69823488526949</v>
      </c>
      <c r="O45" s="259"/>
      <c r="P45" s="259">
        <f>$E$27*$Q$36*P44*$G$36</f>
        <v>-1.4776381285116746</v>
      </c>
      <c r="Q45" s="259"/>
      <c r="R45" s="259">
        <f>$E$27*$Q$36*R44*$G$36</f>
        <v>-0.75551906516199951</v>
      </c>
      <c r="S45" s="259"/>
      <c r="T45" s="259">
        <f>$E$27*$Q$36*T44*$G$36</f>
        <v>-0.6418546302184206</v>
      </c>
      <c r="U45" s="260"/>
      <c r="X45" s="13"/>
      <c r="Y45" s="13"/>
      <c r="Z45" s="13"/>
      <c r="AA45" s="15"/>
      <c r="AC45" s="145">
        <v>5</v>
      </c>
      <c r="AD45" s="12">
        <v>-1.6</v>
      </c>
      <c r="AE45" s="12">
        <v>-1.3</v>
      </c>
      <c r="AF45" s="12">
        <v>-0.7</v>
      </c>
      <c r="AG45" s="12">
        <v>-0.6</v>
      </c>
      <c r="BE45" s="6">
        <f t="shared" si="1"/>
        <v>38</v>
      </c>
      <c r="BF45" s="9" t="s">
        <v>136</v>
      </c>
      <c r="BG45" s="9" t="s">
        <v>137</v>
      </c>
      <c r="BH45" s="9" t="s">
        <v>138</v>
      </c>
    </row>
    <row r="46" spans="2:60" ht="18">
      <c r="B46" s="151"/>
      <c r="C46" s="46" t="str">
        <f>VLOOKUP(43,$BE$8:$BH$127,1+MATCH($AC$7,$BF$7:$BH$7,0))</f>
        <v>TH1</v>
      </c>
      <c r="D46" s="237" t="s">
        <v>311</v>
      </c>
      <c r="E46" s="238"/>
      <c r="F46" s="255">
        <f>$M$31</f>
        <v>0.2</v>
      </c>
      <c r="G46" s="256"/>
      <c r="H46" s="256">
        <f>$M$31</f>
        <v>0.2</v>
      </c>
      <c r="I46" s="256"/>
      <c r="J46" s="256">
        <f>$M$31</f>
        <v>0.2</v>
      </c>
      <c r="K46" s="256"/>
      <c r="L46" s="256">
        <f>$M$31</f>
        <v>0.2</v>
      </c>
      <c r="M46" s="257"/>
      <c r="N46" s="255">
        <f>$O$31</f>
        <v>0.248</v>
      </c>
      <c r="O46" s="256"/>
      <c r="P46" s="256">
        <f>$O$31</f>
        <v>0.248</v>
      </c>
      <c r="Q46" s="256"/>
      <c r="R46" s="256">
        <f>$O$31</f>
        <v>0.248</v>
      </c>
      <c r="S46" s="256"/>
      <c r="T46" s="256">
        <f>$O$31</f>
        <v>0.248</v>
      </c>
      <c r="U46" s="257"/>
      <c r="X46" s="13"/>
      <c r="Y46" s="13"/>
      <c r="Z46" s="13"/>
      <c r="AA46" s="15"/>
      <c r="AC46" s="145">
        <v>15</v>
      </c>
      <c r="AD46" s="12">
        <v>-1.3</v>
      </c>
      <c r="AE46" s="12">
        <v>-1.3</v>
      </c>
      <c r="AF46" s="12">
        <v>-0.6</v>
      </c>
      <c r="AG46" s="12">
        <v>-0.5</v>
      </c>
      <c r="BE46" s="6">
        <f t="shared" si="1"/>
        <v>39</v>
      </c>
      <c r="BF46" s="9" t="s">
        <v>139</v>
      </c>
      <c r="BG46" s="9" t="s">
        <v>140</v>
      </c>
      <c r="BH46" s="9" t="s">
        <v>141</v>
      </c>
    </row>
    <row r="47" spans="2:60" ht="18">
      <c r="B47" s="151"/>
      <c r="C47" s="47" t="str">
        <f>VLOOKUP(44,$BE$8:$BH$127,1+MATCH($AC$7,$BF$7:$BH$7,0))</f>
        <v>TH2</v>
      </c>
      <c r="D47" s="239" t="s">
        <v>310</v>
      </c>
      <c r="E47" s="242"/>
      <c r="F47" s="258">
        <f>$M$32</f>
        <v>-0.2</v>
      </c>
      <c r="G47" s="259"/>
      <c r="H47" s="259">
        <f>$M$32</f>
        <v>-0.2</v>
      </c>
      <c r="I47" s="259"/>
      <c r="J47" s="259">
        <f>$M$32</f>
        <v>-0.2</v>
      </c>
      <c r="K47" s="259"/>
      <c r="L47" s="259">
        <f>$M$32</f>
        <v>-0.2</v>
      </c>
      <c r="M47" s="260"/>
      <c r="N47" s="258">
        <f>$O$32</f>
        <v>-0.22400000000000003</v>
      </c>
      <c r="O47" s="259"/>
      <c r="P47" s="259">
        <f>$O$32</f>
        <v>-0.22400000000000003</v>
      </c>
      <c r="Q47" s="259"/>
      <c r="R47" s="259">
        <f>$O$32</f>
        <v>-0.22400000000000003</v>
      </c>
      <c r="S47" s="259"/>
      <c r="T47" s="259">
        <f>$O$32</f>
        <v>-0.22400000000000003</v>
      </c>
      <c r="U47" s="260"/>
      <c r="X47" s="13"/>
      <c r="Y47" s="13"/>
      <c r="Z47" s="13"/>
      <c r="AA47" s="15"/>
      <c r="AC47" s="145">
        <v>30</v>
      </c>
      <c r="AD47" s="12">
        <v>-1.1000000000000001</v>
      </c>
      <c r="AE47" s="12">
        <v>-1.4</v>
      </c>
      <c r="AF47" s="12">
        <v>-0.8</v>
      </c>
      <c r="AG47" s="12">
        <v>-0.5</v>
      </c>
      <c r="BE47" s="6">
        <v>40</v>
      </c>
      <c r="BF47" s="9" t="s">
        <v>142</v>
      </c>
      <c r="BG47" s="9" t="s">
        <v>143</v>
      </c>
      <c r="BH47" s="9" t="s">
        <v>144</v>
      </c>
    </row>
    <row r="48" spans="2:60" ht="18">
      <c r="B48" s="151"/>
      <c r="C48" s="46" t="str">
        <f>VLOOKUP(43,$BE$8:$BH$127,1+MATCH($AC$7,$BF$7:$BH$7,0))</f>
        <v>TH1</v>
      </c>
      <c r="D48" s="237" t="s">
        <v>312</v>
      </c>
      <c r="E48" s="241"/>
      <c r="F48" s="255">
        <f>$E$27*$Q$36*F46*$G$36</f>
        <v>0.22732895118632618</v>
      </c>
      <c r="G48" s="256"/>
      <c r="H48" s="256">
        <f>$E$27*$Q$36*H46*$G$36</f>
        <v>0.22732895118632618</v>
      </c>
      <c r="I48" s="256"/>
      <c r="J48" s="256">
        <f>$E$27*$Q$36*J46*$G$36</f>
        <v>0.22732895118632618</v>
      </c>
      <c r="K48" s="256"/>
      <c r="L48" s="256">
        <f>$E$27*$Q$36*L46*$G$36</f>
        <v>0.22732895118632618</v>
      </c>
      <c r="M48" s="257"/>
      <c r="N48" s="255">
        <f>$E$27*$Q$36*N46*$G$36</f>
        <v>0.28188789947104448</v>
      </c>
      <c r="O48" s="256"/>
      <c r="P48" s="256">
        <f>$E$27*$Q$36*P46*$G$36</f>
        <v>0.28188789947104448</v>
      </c>
      <c r="Q48" s="256"/>
      <c r="R48" s="256">
        <f>$E$27*$Q$36*R46*$G$36</f>
        <v>0.28188789947104448</v>
      </c>
      <c r="S48" s="256"/>
      <c r="T48" s="256">
        <f>$E$27*$Q$36*T46*$G$36</f>
        <v>0.28188789947104448</v>
      </c>
      <c r="U48" s="257"/>
      <c r="X48" s="13"/>
      <c r="Y48" s="13"/>
      <c r="Z48" s="13"/>
      <c r="AA48" s="15"/>
      <c r="AC48" s="145">
        <v>45</v>
      </c>
      <c r="AD48" s="12">
        <v>-1.1000000000000001</v>
      </c>
      <c r="AE48" s="12">
        <v>-1.4</v>
      </c>
      <c r="AF48" s="12">
        <v>-0.9</v>
      </c>
      <c r="AG48" s="12">
        <v>-0.5</v>
      </c>
      <c r="BE48" s="6">
        <v>41</v>
      </c>
      <c r="BF48" s="9" t="s">
        <v>148</v>
      </c>
      <c r="BG48" s="9" t="s">
        <v>149</v>
      </c>
      <c r="BH48" s="9" t="s">
        <v>150</v>
      </c>
    </row>
    <row r="49" spans="2:60" ht="18">
      <c r="B49" s="151"/>
      <c r="C49" s="47" t="str">
        <f>VLOOKUP(44,$BE$8:$BH$127,1+MATCH($AC$7,$BF$7:$BH$7,0))</f>
        <v>TH2</v>
      </c>
      <c r="D49" s="239" t="s">
        <v>313</v>
      </c>
      <c r="E49" s="240"/>
      <c r="F49" s="258">
        <f>$E$27*$Q$36*F47*$G$36</f>
        <v>-0.22732895118632618</v>
      </c>
      <c r="G49" s="259"/>
      <c r="H49" s="259">
        <f>$E$27*$Q$36*H47*$G$36</f>
        <v>-0.22732895118632618</v>
      </c>
      <c r="I49" s="259"/>
      <c r="J49" s="259">
        <f>$E$27*$Q$36*J47*$G$36</f>
        <v>-0.22732895118632618</v>
      </c>
      <c r="K49" s="259"/>
      <c r="L49" s="259">
        <f>$E$27*$Q$36*L47*$G$36</f>
        <v>-0.22732895118632618</v>
      </c>
      <c r="M49" s="260"/>
      <c r="N49" s="258">
        <f>$E$27*$Q$36*N47*$G$36</f>
        <v>-0.25460842532868538</v>
      </c>
      <c r="O49" s="259"/>
      <c r="P49" s="259">
        <f>$E$27*$Q$36*P47*$G$36</f>
        <v>-0.25460842532868538</v>
      </c>
      <c r="Q49" s="259"/>
      <c r="R49" s="259">
        <f>$E$27*$Q$36*R47*$G$36</f>
        <v>-0.25460842532868538</v>
      </c>
      <c r="S49" s="259"/>
      <c r="T49" s="259">
        <f>$E$27*$Q$36*T47*$G$36</f>
        <v>-0.25460842532868538</v>
      </c>
      <c r="U49" s="260"/>
      <c r="X49" s="13"/>
      <c r="Y49" s="13"/>
      <c r="Z49" s="13"/>
      <c r="AA49" s="15"/>
      <c r="AC49" s="145">
        <v>60</v>
      </c>
      <c r="AD49" s="12">
        <v>-1.1000000000000001</v>
      </c>
      <c r="AE49" s="12">
        <v>-1.2</v>
      </c>
      <c r="AF49" s="12">
        <v>-0.8</v>
      </c>
      <c r="AG49" s="12">
        <v>-0.5</v>
      </c>
      <c r="BE49" s="6">
        <v>42</v>
      </c>
      <c r="BF49" s="9" t="s">
        <v>153</v>
      </c>
      <c r="BG49" s="9" t="s">
        <v>154</v>
      </c>
      <c r="BH49" s="9" t="s">
        <v>155</v>
      </c>
    </row>
    <row r="50" spans="2:60" ht="18">
      <c r="B50" s="151"/>
      <c r="C50" s="26" t="str">
        <f>VLOOKUP(43,$BE$8:$BH$127,1+MATCH($AC$7,$BF$7:$BH$7,0))</f>
        <v>TH1</v>
      </c>
      <c r="D50" s="237" t="s">
        <v>318</v>
      </c>
      <c r="E50" s="238"/>
      <c r="F50" s="396">
        <f>F45-F48</f>
        <v>-1.9255638364558161</v>
      </c>
      <c r="G50" s="397"/>
      <c r="H50" s="397">
        <f>H45-H48</f>
        <v>-1.7049670796980008</v>
      </c>
      <c r="I50" s="397"/>
      <c r="J50" s="397">
        <f t="shared" ref="J50" si="6">J45-J48</f>
        <v>-0.98284801634832575</v>
      </c>
      <c r="K50" s="397"/>
      <c r="L50" s="397">
        <f t="shared" ref="L50" si="7">L45-L48</f>
        <v>-0.86918358140474683</v>
      </c>
      <c r="M50" s="400"/>
      <c r="N50" s="396">
        <f>N45-N48</f>
        <v>-1.9801227847405345</v>
      </c>
      <c r="O50" s="397"/>
      <c r="P50" s="397">
        <f>P45-P48</f>
        <v>-1.7595260279827192</v>
      </c>
      <c r="Q50" s="397"/>
      <c r="R50" s="397">
        <f t="shared" ref="R50" si="8">R45-R48</f>
        <v>-1.0374069646330439</v>
      </c>
      <c r="S50" s="397"/>
      <c r="T50" s="397">
        <f t="shared" ref="T50" si="9">T45-T48</f>
        <v>-0.92374252968946502</v>
      </c>
      <c r="U50" s="400"/>
      <c r="X50" s="13"/>
      <c r="Y50" s="13"/>
      <c r="Z50" s="13"/>
      <c r="AA50" s="15"/>
      <c r="AC50" s="145">
        <v>75</v>
      </c>
      <c r="AD50" s="12">
        <v>-1.1000000000000001</v>
      </c>
      <c r="AE50" s="12">
        <v>-1.2</v>
      </c>
      <c r="AF50" s="12">
        <v>-0.8</v>
      </c>
      <c r="AG50" s="12">
        <v>-0.5</v>
      </c>
      <c r="BE50" s="6">
        <v>43</v>
      </c>
      <c r="BF50" s="9" t="s">
        <v>118</v>
      </c>
      <c r="BG50" s="9" t="s">
        <v>134</v>
      </c>
      <c r="BH50" s="9" t="s">
        <v>118</v>
      </c>
    </row>
    <row r="51" spans="2:60" ht="18">
      <c r="B51" s="151"/>
      <c r="C51" s="41" t="str">
        <f>VLOOKUP(44,$BE$8:$BH$127,1+MATCH($AC$7,$BF$7:$BH$7,0))</f>
        <v>TH2</v>
      </c>
      <c r="D51" s="235" t="s">
        <v>319</v>
      </c>
      <c r="E51" s="236"/>
      <c r="F51" s="398">
        <f>F45-F49</f>
        <v>-1.4709059340831638</v>
      </c>
      <c r="G51" s="399"/>
      <c r="H51" s="399">
        <f t="shared" ref="H51" si="10">H45-H49</f>
        <v>-1.2503091773253485</v>
      </c>
      <c r="I51" s="399"/>
      <c r="J51" s="399">
        <f t="shared" ref="J51" si="11">J45-J49</f>
        <v>-0.52819011397567328</v>
      </c>
      <c r="K51" s="399"/>
      <c r="L51" s="399">
        <f t="shared" ref="L51" si="12">L45-L49</f>
        <v>-0.41452567903209442</v>
      </c>
      <c r="M51" s="401"/>
      <c r="N51" s="398">
        <f>N45-N49</f>
        <v>-1.4436264599408046</v>
      </c>
      <c r="O51" s="399"/>
      <c r="P51" s="399">
        <f t="shared" ref="P51" si="13">P45-P49</f>
        <v>-1.2230297031829893</v>
      </c>
      <c r="Q51" s="399"/>
      <c r="R51" s="399">
        <f t="shared" ref="R51" si="14">R45-R49</f>
        <v>-0.50091063983331408</v>
      </c>
      <c r="S51" s="399"/>
      <c r="T51" s="399">
        <f t="shared" ref="T51" si="15">T45-T49</f>
        <v>-0.38724620488973521</v>
      </c>
      <c r="U51" s="401"/>
      <c r="X51" s="13"/>
      <c r="Y51" s="13"/>
      <c r="Z51" s="13"/>
      <c r="AA51" s="15"/>
      <c r="AC51" s="146">
        <f>M22</f>
        <v>8.5307656099481335</v>
      </c>
      <c r="AD51" s="30">
        <f>noisuy1chieu($AC$51,$AC$44:$AC$50,AD44:AD50)</f>
        <v>-1.4940770864486694</v>
      </c>
      <c r="AE51" s="30">
        <f>noisuy1chieu($AC$51,$AC$44:$AC$50,AE44:AE50)</f>
        <v>-1.2999999523162842</v>
      </c>
      <c r="AF51" s="30">
        <f>noisuy1chieu($AC$51,$AC$44:$AC$50,AF44:AF50)</f>
        <v>-0.66469234228134155</v>
      </c>
      <c r="AG51" s="30">
        <f>noisuy1chieu($AC$51,$AC$44:$AC$50,AG44:AG50)</f>
        <v>-0.56469237804412842</v>
      </c>
      <c r="BE51" s="6">
        <v>44</v>
      </c>
      <c r="BF51" s="9" t="s">
        <v>121</v>
      </c>
      <c r="BG51" s="9" t="s">
        <v>135</v>
      </c>
      <c r="BH51" s="9" t="s">
        <v>121</v>
      </c>
    </row>
    <row r="52" spans="2:60" ht="15">
      <c r="B52" s="151"/>
      <c r="C52" s="51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5"/>
      <c r="BE52" s="6">
        <v>45</v>
      </c>
      <c r="BF52" s="45" t="s">
        <v>166</v>
      </c>
      <c r="BG52" s="45" t="s">
        <v>167</v>
      </c>
      <c r="BH52" s="45" t="s">
        <v>165</v>
      </c>
    </row>
    <row r="53" spans="2:60" ht="15" customHeight="1">
      <c r="B53" s="151"/>
      <c r="C53" s="228" t="str">
        <f>VLOOKUP(41,$BE$8:$BH$127,1+MATCH($AC$7,$BF$7:$BH$7,0))</f>
        <v>TÍNH TOÁN ÁP LỰC GIÓ LÊN MÁI (PHƯƠNG Y)</v>
      </c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  <c r="Q53" s="229"/>
      <c r="R53" s="229"/>
      <c r="S53" s="229"/>
      <c r="T53" s="229"/>
      <c r="U53" s="229"/>
      <c r="V53" s="229"/>
      <c r="W53" s="229"/>
      <c r="X53" s="229"/>
      <c r="Y53" s="230"/>
      <c r="Z53" s="13"/>
      <c r="AA53" s="15"/>
      <c r="AC53" s="305" t="s">
        <v>189</v>
      </c>
      <c r="AD53" s="306"/>
      <c r="AE53" s="306"/>
      <c r="AF53" s="306"/>
      <c r="AG53" s="306"/>
      <c r="AH53" s="306"/>
      <c r="AJ53" s="306" t="s">
        <v>190</v>
      </c>
      <c r="AK53" s="306"/>
      <c r="AL53" s="306"/>
      <c r="AM53" s="306"/>
      <c r="AN53" s="306"/>
      <c r="AO53" s="306"/>
      <c r="BE53" s="6">
        <v>46</v>
      </c>
      <c r="BF53" s="45" t="s">
        <v>40</v>
      </c>
      <c r="BG53" s="45" t="s">
        <v>168</v>
      </c>
      <c r="BH53" s="45" t="s">
        <v>169</v>
      </c>
    </row>
    <row r="54" spans="2:60" ht="15">
      <c r="B54" s="151"/>
      <c r="C54" s="222" t="str">
        <f>VLOOKUP(25,$BE$8:$BH$127,1+MATCH($AC$7,$BF$7:$BH$7,0))</f>
        <v>Vùng</v>
      </c>
      <c r="D54" s="223"/>
      <c r="E54" s="224"/>
      <c r="F54" s="263" t="s">
        <v>205</v>
      </c>
      <c r="G54" s="264"/>
      <c r="H54" s="264"/>
      <c r="I54" s="264"/>
      <c r="J54" s="264"/>
      <c r="K54" s="264"/>
      <c r="L54" s="264"/>
      <c r="M54" s="264"/>
      <c r="N54" s="264"/>
      <c r="O54" s="265"/>
      <c r="P54" s="263" t="s">
        <v>206</v>
      </c>
      <c r="Q54" s="264"/>
      <c r="R54" s="264"/>
      <c r="S54" s="264"/>
      <c r="T54" s="264"/>
      <c r="U54" s="264"/>
      <c r="V54" s="264"/>
      <c r="W54" s="264"/>
      <c r="X54" s="264"/>
      <c r="Y54" s="265"/>
      <c r="Z54" s="13"/>
      <c r="AA54" s="15"/>
      <c r="AC54" s="309" t="s">
        <v>6</v>
      </c>
      <c r="AD54" s="311" t="s">
        <v>7</v>
      </c>
      <c r="AE54" s="312"/>
      <c r="AF54" s="312"/>
      <c r="AG54" s="312"/>
      <c r="AH54" s="313"/>
      <c r="AJ54" s="359" t="s">
        <v>6</v>
      </c>
      <c r="AK54" s="361" t="s">
        <v>7</v>
      </c>
      <c r="AL54" s="362"/>
      <c r="AM54" s="362"/>
      <c r="AN54" s="362"/>
      <c r="AO54" s="363"/>
      <c r="BE54" s="6">
        <v>47</v>
      </c>
      <c r="BF54" s="45" t="s">
        <v>66</v>
      </c>
      <c r="BG54" s="45" t="s">
        <v>170</v>
      </c>
      <c r="BH54" s="45" t="s">
        <v>171</v>
      </c>
    </row>
    <row r="55" spans="2:60" ht="15">
      <c r="B55" s="151"/>
      <c r="C55" s="225"/>
      <c r="D55" s="226"/>
      <c r="E55" s="227"/>
      <c r="F55" s="266" t="s">
        <v>67</v>
      </c>
      <c r="G55" s="267"/>
      <c r="H55" s="267" t="s">
        <v>68</v>
      </c>
      <c r="I55" s="267"/>
      <c r="J55" s="267" t="s">
        <v>69</v>
      </c>
      <c r="K55" s="267"/>
      <c r="L55" s="267" t="s">
        <v>27</v>
      </c>
      <c r="M55" s="267"/>
      <c r="N55" s="267" t="s">
        <v>91</v>
      </c>
      <c r="O55" s="268"/>
      <c r="P55" s="266" t="s">
        <v>67</v>
      </c>
      <c r="Q55" s="267"/>
      <c r="R55" s="267" t="s">
        <v>68</v>
      </c>
      <c r="S55" s="267"/>
      <c r="T55" s="267" t="s">
        <v>69</v>
      </c>
      <c r="U55" s="267"/>
      <c r="V55" s="267" t="s">
        <v>27</v>
      </c>
      <c r="W55" s="267"/>
      <c r="X55" s="267" t="s">
        <v>91</v>
      </c>
      <c r="Y55" s="268"/>
      <c r="Z55" s="13"/>
      <c r="AA55" s="15"/>
      <c r="AC55" s="310"/>
      <c r="AD55" s="7" t="s">
        <v>14</v>
      </c>
      <c r="AE55" s="7" t="s">
        <v>15</v>
      </c>
      <c r="AF55" s="7" t="s">
        <v>16</v>
      </c>
      <c r="AG55" s="7" t="s">
        <v>17</v>
      </c>
      <c r="AH55" s="93" t="s">
        <v>18</v>
      </c>
      <c r="AJ55" s="360"/>
      <c r="AK55" s="7" t="s">
        <v>14</v>
      </c>
      <c r="AL55" s="7" t="s">
        <v>15</v>
      </c>
      <c r="AM55" s="7" t="s">
        <v>16</v>
      </c>
      <c r="AN55" s="7" t="s">
        <v>17</v>
      </c>
      <c r="AO55" s="7" t="s">
        <v>18</v>
      </c>
      <c r="BE55" s="6">
        <v>48</v>
      </c>
      <c r="BF55" s="9" t="s">
        <v>156</v>
      </c>
      <c r="BG55" s="9" t="s">
        <v>172</v>
      </c>
      <c r="BH55" s="9" t="s">
        <v>173</v>
      </c>
    </row>
    <row r="56" spans="2:60" ht="18">
      <c r="B56" s="151"/>
      <c r="C56" s="206" t="str">
        <f>VLOOKUP(43,$BE$8:$BH$127,1+MATCH($AC$7,$BF$7:$BH$7,0))</f>
        <v>TH1</v>
      </c>
      <c r="D56" s="231" t="s">
        <v>306</v>
      </c>
      <c r="E56" s="232"/>
      <c r="F56" s="269">
        <f>AD63</f>
        <v>-1.4175387620925903</v>
      </c>
      <c r="G56" s="270"/>
      <c r="H56" s="270">
        <f>AE63</f>
        <v>-1.0587694644927979</v>
      </c>
      <c r="I56" s="270"/>
      <c r="J56" s="270">
        <f>AF63</f>
        <v>-0.49407705664634705</v>
      </c>
      <c r="K56" s="270"/>
      <c r="L56" s="270">
        <f>AG63</f>
        <v>-0.52938473224639893</v>
      </c>
      <c r="M56" s="270"/>
      <c r="N56" s="270">
        <f>AH63</f>
        <v>-0.22369186580181122</v>
      </c>
      <c r="O56" s="271"/>
      <c r="P56" s="269">
        <f>F56</f>
        <v>-1.4175387620925903</v>
      </c>
      <c r="Q56" s="270"/>
      <c r="R56" s="270">
        <f t="shared" ref="R56:R57" si="16">H56</f>
        <v>-1.0587694644927979</v>
      </c>
      <c r="S56" s="270"/>
      <c r="T56" s="270">
        <f t="shared" ref="T56:T57" si="17">J56</f>
        <v>-0.49407705664634705</v>
      </c>
      <c r="U56" s="270"/>
      <c r="V56" s="270">
        <f t="shared" ref="V56:V57" si="18">L56</f>
        <v>-0.52938473224639893</v>
      </c>
      <c r="W56" s="270"/>
      <c r="X56" s="270">
        <f t="shared" ref="X56:X57" si="19">N56</f>
        <v>-0.22369186580181122</v>
      </c>
      <c r="Y56" s="271"/>
      <c r="Z56" s="13"/>
      <c r="AA56" s="15"/>
      <c r="AC56" s="147">
        <v>-5</v>
      </c>
      <c r="AD56" s="18">
        <v>-2.2999999999999998</v>
      </c>
      <c r="AE56" s="18">
        <v>-1.2</v>
      </c>
      <c r="AF56" s="18">
        <v>-0.8</v>
      </c>
      <c r="AG56" s="11">
        <v>-0.6</v>
      </c>
      <c r="AH56" s="94">
        <v>-0.6</v>
      </c>
      <c r="AJ56" s="17">
        <v>-5</v>
      </c>
      <c r="AK56" s="18">
        <v>-2.2999999999999998</v>
      </c>
      <c r="AL56" s="18">
        <v>-1.2</v>
      </c>
      <c r="AM56" s="18">
        <v>-0.8</v>
      </c>
      <c r="AN56" s="33">
        <v>-0.6</v>
      </c>
      <c r="AO56" s="33">
        <v>-0.6</v>
      </c>
      <c r="BE56" s="6">
        <v>49</v>
      </c>
      <c r="BF56" s="9" t="s">
        <v>160</v>
      </c>
      <c r="BG56" s="9" t="s">
        <v>174</v>
      </c>
      <c r="BH56" s="9" t="s">
        <v>175</v>
      </c>
    </row>
    <row r="57" spans="2:60" ht="15" customHeight="1">
      <c r="B57" s="151"/>
      <c r="C57" s="26" t="str">
        <f>VLOOKUP(44,$BE$8:$BH$127,1+MATCH($AC$7,$BF$7:$BH$7,0))</f>
        <v>TH2</v>
      </c>
      <c r="D57" s="261" t="s">
        <v>307</v>
      </c>
      <c r="E57" s="262"/>
      <c r="F57" s="258">
        <f>AK63</f>
        <v>7.0615313947200775E-2</v>
      </c>
      <c r="G57" s="259"/>
      <c r="H57" s="259">
        <f>AL63</f>
        <v>7.0615313947200775E-2</v>
      </c>
      <c r="I57" s="259"/>
      <c r="J57" s="259">
        <f>AM63</f>
        <v>7.0615313947200775E-2</v>
      </c>
      <c r="K57" s="259"/>
      <c r="L57" s="259">
        <f>AN63</f>
        <v>-0.38815408945083618</v>
      </c>
      <c r="M57" s="259"/>
      <c r="N57" s="259">
        <f>AO63</f>
        <v>-0.38815408945083618</v>
      </c>
      <c r="O57" s="260"/>
      <c r="P57" s="258">
        <f t="shared" ref="P57" si="20">F57</f>
        <v>7.0615313947200775E-2</v>
      </c>
      <c r="Q57" s="259"/>
      <c r="R57" s="259">
        <f t="shared" si="16"/>
        <v>7.0615313947200775E-2</v>
      </c>
      <c r="S57" s="259"/>
      <c r="T57" s="259">
        <f t="shared" si="17"/>
        <v>7.0615313947200775E-2</v>
      </c>
      <c r="U57" s="259"/>
      <c r="V57" s="259">
        <f t="shared" si="18"/>
        <v>-0.38815408945083618</v>
      </c>
      <c r="W57" s="259"/>
      <c r="X57" s="259">
        <f t="shared" si="19"/>
        <v>-0.38815408945083618</v>
      </c>
      <c r="Y57" s="260"/>
      <c r="AA57" s="15"/>
      <c r="AC57" s="147">
        <v>5</v>
      </c>
      <c r="AD57" s="11">
        <v>-1.7</v>
      </c>
      <c r="AE57" s="11">
        <v>-1.2</v>
      </c>
      <c r="AF57" s="11">
        <v>-0.6</v>
      </c>
      <c r="AG57" s="18">
        <v>-0.6</v>
      </c>
      <c r="AH57" s="94">
        <v>0.2</v>
      </c>
      <c r="AJ57" s="17">
        <v>5</v>
      </c>
      <c r="AK57" s="33">
        <v>0</v>
      </c>
      <c r="AL57" s="18">
        <v>0</v>
      </c>
      <c r="AM57" s="18">
        <v>0</v>
      </c>
      <c r="AN57" s="203">
        <v>-0.6</v>
      </c>
      <c r="AO57" s="33">
        <v>-0.6</v>
      </c>
      <c r="BE57" s="6">
        <v>50</v>
      </c>
      <c r="BF57" s="9" t="s">
        <v>158</v>
      </c>
      <c r="BG57" s="9" t="s">
        <v>176</v>
      </c>
      <c r="BH57" s="9" t="s">
        <v>177</v>
      </c>
    </row>
    <row r="58" spans="2:60" ht="18">
      <c r="B58" s="151"/>
      <c r="C58" s="46" t="str">
        <f>VLOOKUP(43,$BE$8:$BH$127,1+MATCH($AC$7,$BF$7:$BH$7,0))</f>
        <v>TH1</v>
      </c>
      <c r="D58" s="237" t="s">
        <v>308</v>
      </c>
      <c r="E58" s="238"/>
      <c r="F58" s="255">
        <f>$E$27*$Q$39*F56*$G$39</f>
        <v>-1.6112380002623585</v>
      </c>
      <c r="G58" s="256"/>
      <c r="H58" s="256">
        <f>$E$27*$Q$39*H56*$G$39</f>
        <v>-1.2034447595562798</v>
      </c>
      <c r="I58" s="256"/>
      <c r="J58" s="256">
        <f>$E$27*$Q$39*J56*$G$39</f>
        <v>-0.56159009546320571</v>
      </c>
      <c r="K58" s="256"/>
      <c r="L58" s="256">
        <f>$E$27*$Q$39*L56*$G$39</f>
        <v>-0.60172237977813992</v>
      </c>
      <c r="M58" s="256"/>
      <c r="N58" s="256">
        <f>$E$27*$Q$39*N56*$G$39</f>
        <v>-0.25425818620819085</v>
      </c>
      <c r="O58" s="257"/>
      <c r="P58" s="255">
        <f>$E$27*$Q$39*P56*$G$39</f>
        <v>-1.6112380002623585</v>
      </c>
      <c r="Q58" s="256"/>
      <c r="R58" s="256">
        <f>$E$27*$Q$39*R56*$G$39</f>
        <v>-1.2034447595562798</v>
      </c>
      <c r="S58" s="256"/>
      <c r="T58" s="256">
        <f>$E$27*$Q$39*T56*$G$39</f>
        <v>-0.56159009546320571</v>
      </c>
      <c r="U58" s="256"/>
      <c r="V58" s="256">
        <f>$E$27*$Q$39*V56*$G$39</f>
        <v>-0.60172237977813992</v>
      </c>
      <c r="W58" s="256"/>
      <c r="X58" s="256">
        <f>$E$27*$Q$39*X56*$G$39</f>
        <v>-0.25425818620819085</v>
      </c>
      <c r="Y58" s="257"/>
      <c r="AA58" s="15"/>
      <c r="AC58" s="147">
        <v>15</v>
      </c>
      <c r="AD58" s="11">
        <v>-0.9</v>
      </c>
      <c r="AE58" s="11">
        <v>-0.8</v>
      </c>
      <c r="AF58" s="11">
        <v>-0.3</v>
      </c>
      <c r="AG58" s="18">
        <v>-0.4</v>
      </c>
      <c r="AH58" s="95">
        <v>-1</v>
      </c>
      <c r="AJ58" s="17">
        <v>15</v>
      </c>
      <c r="AK58" s="33">
        <v>0.2</v>
      </c>
      <c r="AL58" s="33">
        <v>0.2</v>
      </c>
      <c r="AM58" s="33">
        <v>0.2</v>
      </c>
      <c r="AN58" s="207">
        <v>0</v>
      </c>
      <c r="AO58" s="207">
        <v>0</v>
      </c>
      <c r="AP58" s="208" t="s">
        <v>320</v>
      </c>
      <c r="BE58" s="6">
        <v>51</v>
      </c>
      <c r="BF58" s="9" t="s">
        <v>159</v>
      </c>
      <c r="BG58" s="9" t="s">
        <v>178</v>
      </c>
      <c r="BH58" s="9" t="s">
        <v>179</v>
      </c>
    </row>
    <row r="59" spans="2:60" ht="18">
      <c r="B59" s="151"/>
      <c r="C59" s="47" t="str">
        <f>VLOOKUP(44,$BE$8:$BH$127,1+MATCH($AC$7,$BF$7:$BH$7,0))</f>
        <v>TH2</v>
      </c>
      <c r="D59" s="239" t="s">
        <v>309</v>
      </c>
      <c r="E59" s="242"/>
      <c r="F59" s="258">
        <f>$E$27*$Q$39*F57*$G$39</f>
        <v>8.0264526286551521E-2</v>
      </c>
      <c r="G59" s="259"/>
      <c r="H59" s="259">
        <f>$E$27*$Q$39*H57*$G$39</f>
        <v>8.0264526286551521E-2</v>
      </c>
      <c r="I59" s="259"/>
      <c r="J59" s="259">
        <f>$E$27*$Q$39*J57*$G$39</f>
        <v>8.0264526286551521E-2</v>
      </c>
      <c r="K59" s="259"/>
      <c r="L59" s="259">
        <f>$E$27*$Q$39*L57*$G$39</f>
        <v>-0.44119331026771014</v>
      </c>
      <c r="M59" s="259"/>
      <c r="N59" s="259">
        <f>$E$27*$Q$39*N57*$G$39</f>
        <v>-0.44119331026771014</v>
      </c>
      <c r="O59" s="260"/>
      <c r="P59" s="258">
        <f>$E$27*$Q$39*P57*$G$39</f>
        <v>8.0264526286551521E-2</v>
      </c>
      <c r="Q59" s="259"/>
      <c r="R59" s="259">
        <f>$E$27*$Q$39*R57*$G$39</f>
        <v>8.0264526286551521E-2</v>
      </c>
      <c r="S59" s="259"/>
      <c r="T59" s="259">
        <f>$E$27*$Q$39*T57*$G$39</f>
        <v>8.0264526286551521E-2</v>
      </c>
      <c r="U59" s="259"/>
      <c r="V59" s="259">
        <f>$E$27*$Q$39*V57*$G$39</f>
        <v>-0.44119331026771014</v>
      </c>
      <c r="W59" s="259"/>
      <c r="X59" s="259">
        <f>$E$27*$Q$39*X57*$G$39</f>
        <v>-0.44119331026771014</v>
      </c>
      <c r="Y59" s="260"/>
      <c r="AA59" s="15"/>
      <c r="AC59" s="147">
        <v>30</v>
      </c>
      <c r="AD59" s="11">
        <v>-0.5</v>
      </c>
      <c r="AE59" s="11">
        <v>-0.5</v>
      </c>
      <c r="AF59" s="11">
        <v>-0.2</v>
      </c>
      <c r="AG59" s="18">
        <v>-0.4</v>
      </c>
      <c r="AH59" s="95">
        <v>-0.5</v>
      </c>
      <c r="AJ59" s="38">
        <v>30</v>
      </c>
      <c r="AK59" s="39">
        <v>0.7</v>
      </c>
      <c r="AL59" s="33">
        <v>0.7</v>
      </c>
      <c r="AM59" s="33">
        <v>0.4</v>
      </c>
      <c r="AN59" s="207">
        <v>0</v>
      </c>
      <c r="AO59" s="207">
        <v>0</v>
      </c>
      <c r="BE59" s="6">
        <v>52</v>
      </c>
      <c r="BF59" s="9" t="s">
        <v>161</v>
      </c>
      <c r="BG59" s="9" t="s">
        <v>180</v>
      </c>
      <c r="BH59" s="9" t="s">
        <v>181</v>
      </c>
    </row>
    <row r="60" spans="2:60" ht="18">
      <c r="B60" s="151"/>
      <c r="C60" s="26" t="str">
        <f>VLOOKUP(43,$BE$8:$BH$127,1+MATCH($AC$7,$BF$7:$BH$7,0))</f>
        <v>TH1</v>
      </c>
      <c r="D60" s="261" t="s">
        <v>311</v>
      </c>
      <c r="E60" s="262"/>
      <c r="F60" s="255">
        <f>$Q$31</f>
        <v>0.27200000000000002</v>
      </c>
      <c r="G60" s="256"/>
      <c r="H60" s="256">
        <f>$Q$31</f>
        <v>0.27200000000000002</v>
      </c>
      <c r="I60" s="256"/>
      <c r="J60" s="256">
        <f>$Q$31</f>
        <v>0.27200000000000002</v>
      </c>
      <c r="K60" s="256"/>
      <c r="L60" s="256">
        <f>$Q$31</f>
        <v>0.27200000000000002</v>
      </c>
      <c r="M60" s="256"/>
      <c r="N60" s="256">
        <f>$Q$31</f>
        <v>0.27200000000000002</v>
      </c>
      <c r="O60" s="257"/>
      <c r="P60" s="255">
        <f>$S$31</f>
        <v>0.36799999999999999</v>
      </c>
      <c r="Q60" s="256"/>
      <c r="R60" s="256">
        <f>P60</f>
        <v>0.36799999999999999</v>
      </c>
      <c r="S60" s="256"/>
      <c r="T60" s="256">
        <f t="shared" ref="T60:T61" si="21">R60</f>
        <v>0.36799999999999999</v>
      </c>
      <c r="U60" s="256"/>
      <c r="V60" s="256">
        <f t="shared" ref="V60:V61" si="22">T60</f>
        <v>0.36799999999999999</v>
      </c>
      <c r="W60" s="256"/>
      <c r="X60" s="256">
        <f t="shared" ref="X60:X61" si="23">V60</f>
        <v>0.36799999999999999</v>
      </c>
      <c r="Y60" s="257"/>
      <c r="AA60" s="15"/>
      <c r="AC60" s="147">
        <v>45</v>
      </c>
      <c r="AD60" s="11">
        <v>0</v>
      </c>
      <c r="AE60" s="11">
        <v>0</v>
      </c>
      <c r="AF60" s="11">
        <v>0</v>
      </c>
      <c r="AG60" s="11">
        <v>-0.2</v>
      </c>
      <c r="AH60" s="94">
        <v>-0.3</v>
      </c>
      <c r="AJ60" s="38">
        <v>45</v>
      </c>
      <c r="AK60" s="39">
        <v>0.7</v>
      </c>
      <c r="AL60" s="33">
        <v>0.7</v>
      </c>
      <c r="AM60" s="33">
        <v>0.6</v>
      </c>
      <c r="AN60" s="33">
        <v>0</v>
      </c>
      <c r="AO60" s="33">
        <v>0</v>
      </c>
      <c r="BE60" s="6">
        <v>53</v>
      </c>
      <c r="BF60" s="9" t="s">
        <v>153</v>
      </c>
      <c r="BG60" s="9" t="s">
        <v>154</v>
      </c>
      <c r="BH60" s="9" t="s">
        <v>155</v>
      </c>
    </row>
    <row r="61" spans="2:60" ht="18">
      <c r="B61" s="151"/>
      <c r="C61" s="26" t="str">
        <f>VLOOKUP(44,$BE$8:$BH$127,1+MATCH($AC$7,$BF$7:$BH$7,0))</f>
        <v>TH2</v>
      </c>
      <c r="D61" s="261" t="s">
        <v>310</v>
      </c>
      <c r="E61" s="262"/>
      <c r="F61" s="258">
        <f>$Q$32</f>
        <v>-0.23600000000000002</v>
      </c>
      <c r="G61" s="259"/>
      <c r="H61" s="259">
        <f>$Q$32</f>
        <v>-0.23600000000000002</v>
      </c>
      <c r="I61" s="259"/>
      <c r="J61" s="259">
        <f>$Q$32</f>
        <v>-0.23600000000000002</v>
      </c>
      <c r="K61" s="259"/>
      <c r="L61" s="259">
        <f>$Q$32</f>
        <v>-0.23600000000000002</v>
      </c>
      <c r="M61" s="259"/>
      <c r="N61" s="259">
        <f>$Q$32</f>
        <v>-0.23600000000000002</v>
      </c>
      <c r="O61" s="260"/>
      <c r="P61" s="258">
        <f>S32</f>
        <v>-0.28400000000000003</v>
      </c>
      <c r="Q61" s="259"/>
      <c r="R61" s="259">
        <f>P61</f>
        <v>-0.28400000000000003</v>
      </c>
      <c r="S61" s="259"/>
      <c r="T61" s="259">
        <f t="shared" si="21"/>
        <v>-0.28400000000000003</v>
      </c>
      <c r="U61" s="259"/>
      <c r="V61" s="259">
        <f t="shared" si="22"/>
        <v>-0.28400000000000003</v>
      </c>
      <c r="W61" s="259"/>
      <c r="X61" s="259">
        <f t="shared" si="23"/>
        <v>-0.28400000000000003</v>
      </c>
      <c r="Y61" s="260"/>
      <c r="AA61" s="15"/>
      <c r="AC61" s="148">
        <v>60</v>
      </c>
      <c r="AD61" s="11">
        <v>0.7</v>
      </c>
      <c r="AE61" s="11">
        <v>0.7</v>
      </c>
      <c r="AF61" s="11">
        <v>0.7</v>
      </c>
      <c r="AG61" s="11">
        <v>-0.2</v>
      </c>
      <c r="AH61" s="94">
        <v>-0.3</v>
      </c>
      <c r="AJ61" s="40">
        <v>60</v>
      </c>
      <c r="AK61" s="33">
        <v>0.7</v>
      </c>
      <c r="AL61" s="33">
        <v>0.7</v>
      </c>
      <c r="AM61" s="33">
        <v>0.7</v>
      </c>
      <c r="AN61" s="33">
        <v>-0.2</v>
      </c>
      <c r="AO61" s="33">
        <v>-0.3</v>
      </c>
      <c r="BE61" s="6">
        <v>54</v>
      </c>
      <c r="BF61" s="45" t="s">
        <v>185</v>
      </c>
      <c r="BG61" s="45" t="s">
        <v>184</v>
      </c>
      <c r="BH61" s="45" t="s">
        <v>185</v>
      </c>
    </row>
    <row r="62" spans="2:60" ht="18">
      <c r="B62" s="151"/>
      <c r="C62" s="46" t="str">
        <f>VLOOKUP(43,$BE$8:$BH$127,1+MATCH($AC$7,$BF$7:$BH$7,0))</f>
        <v>TH1</v>
      </c>
      <c r="D62" s="237" t="s">
        <v>312</v>
      </c>
      <c r="E62" s="238"/>
      <c r="F62" s="255">
        <f>$E$27*$Q$39*F60*$G$39</f>
        <v>0.30916737361340363</v>
      </c>
      <c r="G62" s="256"/>
      <c r="H62" s="256">
        <f>$E$27*$Q$39*H60*$G$39</f>
        <v>0.30916737361340363</v>
      </c>
      <c r="I62" s="256"/>
      <c r="J62" s="256">
        <f>$E$27*$Q$39*J60*$G$39</f>
        <v>0.30916737361340363</v>
      </c>
      <c r="K62" s="256"/>
      <c r="L62" s="256">
        <f>$E$27*$Q$39*L60*$G$39</f>
        <v>0.30916737361340363</v>
      </c>
      <c r="M62" s="256"/>
      <c r="N62" s="256">
        <f>$E$27*$Q$39*N60*$G$39</f>
        <v>0.30916737361340363</v>
      </c>
      <c r="O62" s="257"/>
      <c r="P62" s="255">
        <f>$E$27*$Q$39*P60*$G$39</f>
        <v>0.41828527018284017</v>
      </c>
      <c r="Q62" s="256"/>
      <c r="R62" s="256">
        <f>$E$27*$Q$39*R60*$G$39</f>
        <v>0.41828527018284017</v>
      </c>
      <c r="S62" s="256"/>
      <c r="T62" s="256">
        <f>$E$27*$Q$39*T60*$G$39</f>
        <v>0.41828527018284017</v>
      </c>
      <c r="U62" s="256"/>
      <c r="V62" s="256">
        <f>$E$27*$Q$39*V60*$G$39</f>
        <v>0.41828527018284017</v>
      </c>
      <c r="W62" s="256"/>
      <c r="X62" s="256">
        <f>$E$27*$Q$39*X60*$G$39</f>
        <v>0.41828527018284017</v>
      </c>
      <c r="Y62" s="257"/>
      <c r="AA62" s="15"/>
      <c r="AC62" s="147">
        <v>75</v>
      </c>
      <c r="AD62" s="18">
        <v>0.8</v>
      </c>
      <c r="AE62" s="18">
        <v>0.8</v>
      </c>
      <c r="AF62" s="18">
        <v>0.8</v>
      </c>
      <c r="AG62" s="18">
        <v>-0.2</v>
      </c>
      <c r="AH62" s="95">
        <v>-0.3</v>
      </c>
      <c r="AJ62" s="43">
        <v>75</v>
      </c>
      <c r="AK62" s="33">
        <v>0.8</v>
      </c>
      <c r="AL62" s="33">
        <v>0.8</v>
      </c>
      <c r="AM62" s="33">
        <v>0.8</v>
      </c>
      <c r="AN62" s="33">
        <v>-0.2</v>
      </c>
      <c r="AO62" s="33">
        <v>-0.3</v>
      </c>
      <c r="BE62" s="6">
        <v>55</v>
      </c>
      <c r="BF62" s="97" t="s">
        <v>198</v>
      </c>
      <c r="BG62" s="97" t="s">
        <v>125</v>
      </c>
      <c r="BH62" s="97" t="s">
        <v>197</v>
      </c>
    </row>
    <row r="63" spans="2:60" ht="18">
      <c r="B63" s="151"/>
      <c r="C63" s="47" t="str">
        <f>VLOOKUP(44,$BE$8:$BH$127,1+MATCH($AC$7,$BF$7:$BH$7,0))</f>
        <v>TH2</v>
      </c>
      <c r="D63" s="239" t="s">
        <v>313</v>
      </c>
      <c r="E63" s="242"/>
      <c r="F63" s="258">
        <f>$E$27*$Q$39*F61*$G$39</f>
        <v>-0.26824816239986493</v>
      </c>
      <c r="G63" s="259"/>
      <c r="H63" s="259">
        <f>$E$27*$Q$39*H61*$G$39</f>
        <v>-0.26824816239986493</v>
      </c>
      <c r="I63" s="259"/>
      <c r="J63" s="259">
        <f>$E$27*$Q$39*J61*$G$39</f>
        <v>-0.26824816239986493</v>
      </c>
      <c r="K63" s="259"/>
      <c r="L63" s="259">
        <f>$E$27*$Q$39*L61*$G$39</f>
        <v>-0.26824816239986493</v>
      </c>
      <c r="M63" s="259"/>
      <c r="N63" s="259">
        <f>$E$27*$Q$39*N61*$G$39</f>
        <v>-0.26824816239986493</v>
      </c>
      <c r="O63" s="260"/>
      <c r="P63" s="258">
        <f>$E$27*$Q$39*P61*$G$39</f>
        <v>-0.32280711068458323</v>
      </c>
      <c r="Q63" s="259"/>
      <c r="R63" s="259">
        <f>$E$27*$Q$39*R61*$G$39</f>
        <v>-0.32280711068458323</v>
      </c>
      <c r="S63" s="259"/>
      <c r="T63" s="259">
        <f>$E$27*$Q$39*T61*$G$39</f>
        <v>-0.32280711068458323</v>
      </c>
      <c r="U63" s="259"/>
      <c r="V63" s="259">
        <f>$E$27*$Q$39*V61*$G$39</f>
        <v>-0.32280711068458323</v>
      </c>
      <c r="W63" s="259"/>
      <c r="X63" s="259">
        <f>$E$27*$Q$39*X61*$G$39</f>
        <v>-0.32280711068458323</v>
      </c>
      <c r="Y63" s="260"/>
      <c r="AA63" s="15"/>
      <c r="AC63" s="146">
        <f>M22</f>
        <v>8.5307656099481335</v>
      </c>
      <c r="AD63" s="30">
        <f>noisuy1chieu($AC$63,$AC$56:$AC$62,AD56:AD62)</f>
        <v>-1.4175387620925903</v>
      </c>
      <c r="AE63" s="30">
        <f>noisuy1chieu($AC$63,$AC$56:$AC$62,AE56:AE62)</f>
        <v>-1.0587694644927979</v>
      </c>
      <c r="AF63" s="30">
        <f>noisuy1chieu($AC$63,$AC$56:$AC$62,AF56:AF62)</f>
        <v>-0.49407705664634705</v>
      </c>
      <c r="AG63" s="30">
        <f>noisuy1chieu($AC$63,$AC$56:$AC$62,AG56:AG62)</f>
        <v>-0.52938473224639893</v>
      </c>
      <c r="AH63" s="30">
        <f>noisuy1chieu($AC$63,$AC$56:$AC$62,AH56:AH62)</f>
        <v>-0.22369186580181122</v>
      </c>
      <c r="AJ63" s="30">
        <f>M22</f>
        <v>8.5307656099481335</v>
      </c>
      <c r="AK63" s="30">
        <f>noisuy1chieu($AJ$63,$AJ$56:$AJ$62,AK56:AK62)</f>
        <v>7.0615313947200775E-2</v>
      </c>
      <c r="AL63" s="30">
        <f>noisuy1chieu($AJ$63,$AJ$56:$AJ$62,AL56:AL62)</f>
        <v>7.0615313947200775E-2</v>
      </c>
      <c r="AM63" s="30">
        <f>noisuy1chieu($AJ$63,$AJ$56:$AJ$62,AM56:AM62)</f>
        <v>7.0615313947200775E-2</v>
      </c>
      <c r="AN63" s="30">
        <f>noisuy1chieu($AJ$63,$AJ$56:$AJ$62,AN56:AN62)</f>
        <v>-0.38815408945083618</v>
      </c>
      <c r="AO63" s="30">
        <f>noisuy1chieu($AJ$63,$AJ$56:$AJ$62,AO56:AO62)</f>
        <v>-0.38815408945083618</v>
      </c>
      <c r="BE63" s="6">
        <v>56</v>
      </c>
      <c r="BF63" s="97" t="s">
        <v>199</v>
      </c>
      <c r="BG63" s="97" t="s">
        <v>201</v>
      </c>
      <c r="BH63" s="97" t="s">
        <v>203</v>
      </c>
    </row>
    <row r="64" spans="2:60" ht="18">
      <c r="B64" s="151"/>
      <c r="C64" s="46" t="str">
        <f>VLOOKUP(43,$BE$8:$BH$127,1+MATCH($AC$7,$BF$7:$BH$7,0))</f>
        <v>TH1</v>
      </c>
      <c r="D64" s="237" t="s">
        <v>314</v>
      </c>
      <c r="E64" s="238"/>
      <c r="F64" s="249">
        <f>F58-F62</f>
        <v>-1.920405373875762</v>
      </c>
      <c r="G64" s="250"/>
      <c r="H64" s="250">
        <f t="shared" ref="H64" si="24">H58-H62</f>
        <v>-1.5126121331696836</v>
      </c>
      <c r="I64" s="250"/>
      <c r="J64" s="250">
        <f t="shared" ref="J64" si="25">J58-J62</f>
        <v>-0.87075746907660934</v>
      </c>
      <c r="K64" s="250"/>
      <c r="L64" s="250">
        <f t="shared" ref="L64" si="26">L58-L62</f>
        <v>-0.91088975339154354</v>
      </c>
      <c r="M64" s="250"/>
      <c r="N64" s="250">
        <f t="shared" ref="N64" si="27">N58-N62</f>
        <v>-0.56342555982159448</v>
      </c>
      <c r="O64" s="251"/>
      <c r="P64" s="249">
        <f>P58-P62</f>
        <v>-2.0295232704451989</v>
      </c>
      <c r="Q64" s="250"/>
      <c r="R64" s="250">
        <f t="shared" ref="R64" si="28">R58-R62</f>
        <v>-1.6217300297391199</v>
      </c>
      <c r="S64" s="250"/>
      <c r="T64" s="250">
        <f t="shared" ref="T64" si="29">T58-T62</f>
        <v>-0.97987536564604594</v>
      </c>
      <c r="U64" s="250"/>
      <c r="V64" s="250">
        <f t="shared" ref="V64" si="30">V58-V62</f>
        <v>-1.02000764996098</v>
      </c>
      <c r="W64" s="250"/>
      <c r="X64" s="250">
        <f t="shared" ref="X64" si="31">X58-X62</f>
        <v>-0.67254345639103108</v>
      </c>
      <c r="Y64" s="251"/>
      <c r="AA64" s="15"/>
      <c r="BE64" s="6">
        <v>57</v>
      </c>
      <c r="BF64" s="97" t="s">
        <v>200</v>
      </c>
      <c r="BG64" s="97" t="s">
        <v>202</v>
      </c>
      <c r="BH64" s="97" t="s">
        <v>204</v>
      </c>
    </row>
    <row r="65" spans="2:60" ht="18">
      <c r="B65" s="151"/>
      <c r="C65" s="26" t="str">
        <f>VLOOKUP(44,$BE$8:$BH$127,1+MATCH($AC$7,$BF$7:$BH$7,0))</f>
        <v>TH2</v>
      </c>
      <c r="D65" s="261" t="s">
        <v>315</v>
      </c>
      <c r="E65" s="262"/>
      <c r="F65" s="252">
        <f>F58-F63</f>
        <v>-1.3429898378624936</v>
      </c>
      <c r="G65" s="253"/>
      <c r="H65" s="253">
        <f t="shared" ref="H65" si="32">H58-H63</f>
        <v>-0.9351965971564149</v>
      </c>
      <c r="I65" s="253"/>
      <c r="J65" s="253">
        <f t="shared" ref="J65" si="33">J58-J63</f>
        <v>-0.29334193306334078</v>
      </c>
      <c r="K65" s="253"/>
      <c r="L65" s="253">
        <f t="shared" ref="L65" si="34">L58-L63</f>
        <v>-0.33347421737827498</v>
      </c>
      <c r="M65" s="253"/>
      <c r="N65" s="253">
        <f t="shared" ref="N65" si="35">N58-N63</f>
        <v>1.3989976191674081E-2</v>
      </c>
      <c r="O65" s="254"/>
      <c r="P65" s="252">
        <f>P58-P63</f>
        <v>-1.2884308895777754</v>
      </c>
      <c r="Q65" s="253"/>
      <c r="R65" s="253">
        <f t="shared" ref="R65" si="36">R58-R63</f>
        <v>-0.8806376488716966</v>
      </c>
      <c r="S65" s="253"/>
      <c r="T65" s="253">
        <f t="shared" ref="T65" si="37">T58-T63</f>
        <v>-0.23878298477862248</v>
      </c>
      <c r="U65" s="253"/>
      <c r="V65" s="253">
        <f t="shared" ref="V65" si="38">V58-V63</f>
        <v>-0.27891526909355668</v>
      </c>
      <c r="W65" s="253"/>
      <c r="X65" s="253">
        <f t="shared" ref="X65" si="39">X58-X63</f>
        <v>6.8548924476392381E-2</v>
      </c>
      <c r="Y65" s="254"/>
      <c r="AA65" s="15"/>
      <c r="BE65" s="6">
        <v>58</v>
      </c>
      <c r="BF65" s="97" t="s">
        <v>209</v>
      </c>
      <c r="BG65" s="97" t="s">
        <v>221</v>
      </c>
      <c r="BH65" s="97" t="s">
        <v>222</v>
      </c>
    </row>
    <row r="66" spans="2:60" ht="18">
      <c r="B66" s="151"/>
      <c r="C66" s="205" t="s">
        <v>304</v>
      </c>
      <c r="D66" s="261" t="s">
        <v>316</v>
      </c>
      <c r="E66" s="262"/>
      <c r="F66" s="243">
        <f>F59-F62</f>
        <v>-0.22890284732685212</v>
      </c>
      <c r="G66" s="244"/>
      <c r="H66" s="244">
        <f t="shared" ref="H66" si="40">H59-H62</f>
        <v>-0.22890284732685212</v>
      </c>
      <c r="I66" s="244"/>
      <c r="J66" s="244">
        <f t="shared" ref="J66" si="41">J59-J62</f>
        <v>-0.22890284732685212</v>
      </c>
      <c r="K66" s="244"/>
      <c r="L66" s="244">
        <f t="shared" ref="L66" si="42">L59-L62</f>
        <v>-0.75036068388111377</v>
      </c>
      <c r="M66" s="244"/>
      <c r="N66" s="244">
        <f t="shared" ref="N66" si="43">N59-N62</f>
        <v>-0.75036068388111377</v>
      </c>
      <c r="O66" s="245"/>
      <c r="P66" s="243">
        <f>P59-P62</f>
        <v>-0.33802074389628867</v>
      </c>
      <c r="Q66" s="244"/>
      <c r="R66" s="244">
        <f t="shared" ref="R66" si="44">R59-R62</f>
        <v>-0.33802074389628867</v>
      </c>
      <c r="S66" s="244"/>
      <c r="T66" s="244">
        <f t="shared" ref="T66" si="45">T59-T62</f>
        <v>-0.33802074389628867</v>
      </c>
      <c r="U66" s="244"/>
      <c r="V66" s="244">
        <f t="shared" ref="V66" si="46">V59-V62</f>
        <v>-0.85947858045055026</v>
      </c>
      <c r="W66" s="244"/>
      <c r="X66" s="244">
        <f t="shared" ref="X66" si="47">X59-X62</f>
        <v>-0.85947858045055026</v>
      </c>
      <c r="Y66" s="245"/>
      <c r="AA66" s="15"/>
      <c r="BE66" s="6"/>
      <c r="BF66" s="97"/>
      <c r="BG66" s="97"/>
      <c r="BH66" s="97"/>
    </row>
    <row r="67" spans="2:60" ht="18">
      <c r="B67" s="151"/>
      <c r="C67" s="204" t="s">
        <v>305</v>
      </c>
      <c r="D67" s="235" t="s">
        <v>317</v>
      </c>
      <c r="E67" s="236"/>
      <c r="F67" s="246">
        <f>F59-F63</f>
        <v>0.34851268868641644</v>
      </c>
      <c r="G67" s="247"/>
      <c r="H67" s="247">
        <f t="shared" ref="H67" si="48">H59-H63</f>
        <v>0.34851268868641644</v>
      </c>
      <c r="I67" s="247"/>
      <c r="J67" s="247">
        <f t="shared" ref="J67" si="49">J59-J63</f>
        <v>0.34851268868641644</v>
      </c>
      <c r="K67" s="247"/>
      <c r="L67" s="247">
        <f t="shared" ref="L67" si="50">L59-L63</f>
        <v>-0.17294514786784521</v>
      </c>
      <c r="M67" s="247"/>
      <c r="N67" s="247">
        <f t="shared" ref="N67" si="51">N59-N63</f>
        <v>-0.17294514786784521</v>
      </c>
      <c r="O67" s="248"/>
      <c r="P67" s="246">
        <f>P59-P63</f>
        <v>0.40307163697113474</v>
      </c>
      <c r="Q67" s="247"/>
      <c r="R67" s="247">
        <f t="shared" ref="R67" si="52">R59-R63</f>
        <v>0.40307163697113474</v>
      </c>
      <c r="S67" s="247"/>
      <c r="T67" s="247">
        <f t="shared" ref="T67" si="53">T59-T63</f>
        <v>0.40307163697113474</v>
      </c>
      <c r="U67" s="247"/>
      <c r="V67" s="247">
        <f t="shared" ref="V67" si="54">V59-V63</f>
        <v>-0.11838619958312691</v>
      </c>
      <c r="W67" s="247"/>
      <c r="X67" s="247">
        <f t="shared" ref="X67" si="55">X59-X63</f>
        <v>-0.11838619958312691</v>
      </c>
      <c r="Y67" s="248"/>
      <c r="AA67" s="15"/>
      <c r="BE67" s="6"/>
      <c r="BF67" s="97"/>
      <c r="BG67" s="97"/>
      <c r="BH67" s="97"/>
    </row>
    <row r="68" spans="2:60" ht="15">
      <c r="B68" s="151"/>
      <c r="C68" s="51"/>
      <c r="D68" s="13"/>
      <c r="E68" s="13"/>
      <c r="F68" s="13"/>
      <c r="G68" s="13"/>
      <c r="H68" s="13"/>
      <c r="I68" s="13"/>
      <c r="J68" s="13"/>
      <c r="K68" s="13"/>
      <c r="L68" s="13"/>
      <c r="M68" s="405"/>
      <c r="N68" s="405"/>
      <c r="O68" s="13"/>
      <c r="AA68" s="15"/>
      <c r="AC68" s="528"/>
      <c r="AD68" s="529"/>
      <c r="AE68" s="527" t="e">
        <f>#REF!</f>
        <v>#REF!</v>
      </c>
      <c r="AF68" s="305"/>
      <c r="AG68" s="527" t="e">
        <f>#REF!</f>
        <v>#REF!</v>
      </c>
      <c r="AH68" s="305"/>
      <c r="AI68" s="532" t="s">
        <v>303</v>
      </c>
      <c r="AJ68" s="533"/>
      <c r="AK68" s="533"/>
      <c r="BE68" s="6">
        <v>59</v>
      </c>
      <c r="BF68" s="115" t="s">
        <v>223</v>
      </c>
      <c r="BG68" s="115" t="s">
        <v>224</v>
      </c>
      <c r="BH68" s="115" t="s">
        <v>225</v>
      </c>
    </row>
    <row r="69" spans="2:60" ht="15">
      <c r="B69" s="151"/>
      <c r="C69" s="51"/>
      <c r="D69" s="13"/>
      <c r="E69" s="13"/>
      <c r="F69" s="13"/>
      <c r="G69" s="13"/>
      <c r="H69" s="13"/>
      <c r="I69" s="13"/>
      <c r="J69" s="13"/>
      <c r="K69" s="13"/>
      <c r="L69" s="13"/>
      <c r="M69" s="209"/>
      <c r="N69" s="209"/>
      <c r="O69" s="13"/>
      <c r="AA69" s="15"/>
      <c r="AC69" s="530"/>
      <c r="AD69" s="531"/>
      <c r="AE69" s="202"/>
      <c r="AF69" s="202"/>
      <c r="AG69" s="202"/>
      <c r="AH69" s="202"/>
      <c r="AI69" s="532"/>
      <c r="AJ69" s="533"/>
      <c r="AK69" s="533"/>
      <c r="BE69" s="6"/>
      <c r="BF69" s="115"/>
      <c r="BG69" s="115"/>
      <c r="BH69" s="115"/>
    </row>
    <row r="70" spans="2:60" ht="15" hidden="1">
      <c r="B70" s="151"/>
      <c r="C70" s="273" t="str">
        <f>VLOOKUP(59,$BE$8:$BH$127,1+MATCH($AC$7,$BF$7:$BH$7,0))</f>
        <v>SƠ ĐỒ PHÂN CHIA VÙNG ÁP LỰC GIÓ (GIÓ X+)</v>
      </c>
      <c r="D70" s="274"/>
      <c r="E70" s="274"/>
      <c r="F70" s="274"/>
      <c r="G70" s="274"/>
      <c r="H70" s="274"/>
      <c r="I70" s="274"/>
      <c r="J70" s="274"/>
      <c r="K70" s="274"/>
      <c r="L70" s="274"/>
      <c r="M70" s="274"/>
      <c r="N70" s="274"/>
      <c r="O70" s="274"/>
      <c r="P70" s="274"/>
      <c r="Q70" s="274"/>
      <c r="R70" s="274"/>
      <c r="S70" s="274"/>
      <c r="T70" s="274"/>
      <c r="U70" s="274"/>
      <c r="V70" s="274"/>
      <c r="W70" s="274"/>
      <c r="X70" s="274"/>
      <c r="Y70" s="274"/>
      <c r="Z70" s="274"/>
      <c r="AA70" s="275"/>
    </row>
    <row r="71" spans="2:60" ht="15" hidden="1">
      <c r="B71" s="151"/>
      <c r="C71" s="49"/>
      <c r="D71" s="50"/>
      <c r="E71" s="50"/>
      <c r="F71" s="153"/>
      <c r="G71" s="153"/>
      <c r="H71" s="153"/>
      <c r="I71" s="153"/>
      <c r="J71" s="153"/>
      <c r="K71" s="153"/>
      <c r="L71" s="153"/>
      <c r="M71" s="153"/>
      <c r="N71" s="153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15"/>
    </row>
    <row r="72" spans="2:60" ht="15.75" hidden="1" thickBot="1">
      <c r="B72" s="151"/>
      <c r="C72" s="51"/>
      <c r="D72" s="13"/>
      <c r="E72" s="13"/>
      <c r="F72" s="404" t="str">
        <f>"d1 = "&amp;ROUND(AI74/10,1)&amp;" m"</f>
        <v>d1 = 2 m</v>
      </c>
      <c r="G72" s="404"/>
      <c r="H72" s="404"/>
      <c r="I72" s="404"/>
      <c r="J72" s="404" t="str">
        <f>"d2 = "&amp;ROUND(AI74/2-AI74/10,1)&amp;" m"</f>
        <v>d2 = 8 m</v>
      </c>
      <c r="K72" s="404"/>
      <c r="L72" s="404"/>
      <c r="M72" s="404"/>
      <c r="N72" s="404"/>
      <c r="O72" s="404"/>
      <c r="P72" s="404"/>
      <c r="Q72" s="404"/>
      <c r="R72" s="404"/>
      <c r="S72" s="404"/>
      <c r="T72" s="404"/>
      <c r="U72" s="404"/>
      <c r="V72" s="404"/>
      <c r="W72" s="404"/>
      <c r="X72" s="404"/>
      <c r="Y72" s="13"/>
      <c r="Z72" s="13"/>
      <c r="AA72" s="15"/>
    </row>
    <row r="73" spans="2:60" ht="15" hidden="1">
      <c r="B73" s="151"/>
      <c r="C73" s="51"/>
      <c r="D73" s="13"/>
      <c r="E73" s="411" t="str">
        <f>"b4 = "&amp;ROUND(AI74/4,1)&amp;"m "</f>
        <v xml:space="preserve">b4 = 5m </v>
      </c>
      <c r="F73" s="412" t="str">
        <f>VLOOKUP(48,$BE$8:$BH$127,1+MATCH($AC$7,$BF$7:$BH$7,0))</f>
        <v>Vùng F</v>
      </c>
      <c r="G73" s="413"/>
      <c r="H73" s="413"/>
      <c r="I73" s="414"/>
      <c r="J73" s="52" t="s">
        <v>157</v>
      </c>
      <c r="K73" s="53"/>
      <c r="L73" s="53"/>
      <c r="M73" s="53"/>
      <c r="N73" s="53"/>
      <c r="O73" s="54"/>
      <c r="P73" s="413"/>
      <c r="Q73" s="413"/>
      <c r="R73" s="413"/>
      <c r="S73" s="413"/>
      <c r="T73" s="415"/>
      <c r="U73" s="415"/>
      <c r="V73" s="415"/>
      <c r="W73" s="415"/>
      <c r="X73" s="416"/>
      <c r="Y73" s="153"/>
      <c r="Z73" s="153"/>
      <c r="AA73" s="15"/>
      <c r="AC73" s="50" t="s">
        <v>145</v>
      </c>
      <c r="AD73" s="406">
        <f>M18</f>
        <v>20</v>
      </c>
      <c r="AE73" s="406"/>
      <c r="AF73" s="50" t="s">
        <v>146</v>
      </c>
      <c r="AG73" s="50"/>
      <c r="AH73" s="50" t="s">
        <v>147</v>
      </c>
      <c r="AI73" s="406">
        <f>M19</f>
        <v>10</v>
      </c>
      <c r="AJ73" s="406"/>
      <c r="AK73" s="50" t="s">
        <v>146</v>
      </c>
    </row>
    <row r="74" spans="2:60" ht="15" hidden="1">
      <c r="B74" s="151"/>
      <c r="C74" s="51"/>
      <c r="D74" s="13"/>
      <c r="E74" s="411"/>
      <c r="F74" s="419" t="str">
        <f>ROUND(F50,2)&amp;" kN/m2"</f>
        <v>-1.93 kN/m2</v>
      </c>
      <c r="G74" s="420"/>
      <c r="H74" s="420"/>
      <c r="I74" s="421"/>
      <c r="J74" s="55"/>
      <c r="K74" s="132"/>
      <c r="L74" s="132"/>
      <c r="M74" s="132"/>
      <c r="N74" s="132"/>
      <c r="O74" s="56"/>
      <c r="P74" s="349"/>
      <c r="Q74" s="349"/>
      <c r="R74" s="349"/>
      <c r="S74" s="349"/>
      <c r="T74" s="417"/>
      <c r="U74" s="417"/>
      <c r="V74" s="417"/>
      <c r="W74" s="417"/>
      <c r="X74" s="418"/>
      <c r="Y74" s="153"/>
      <c r="Z74" s="153"/>
      <c r="AA74" s="15"/>
      <c r="AC74" s="13" t="s">
        <v>151</v>
      </c>
      <c r="AD74" s="407">
        <f>M17</f>
        <v>120</v>
      </c>
      <c r="AE74" s="407"/>
      <c r="AF74" s="13" t="s">
        <v>146</v>
      </c>
      <c r="AG74" s="13"/>
      <c r="AH74" s="13" t="s">
        <v>152</v>
      </c>
      <c r="AI74" s="407">
        <f>MIN(AD73,2*AI73)</f>
        <v>20</v>
      </c>
      <c r="AJ74" s="407"/>
      <c r="AK74" s="13" t="s">
        <v>146</v>
      </c>
    </row>
    <row r="75" spans="2:60" ht="15" hidden="1">
      <c r="B75" s="151"/>
      <c r="C75" s="51"/>
      <c r="D75" s="13"/>
      <c r="E75" s="411"/>
      <c r="F75" s="422" t="str">
        <f>ROUND(F51,2)&amp;" kN/m2"</f>
        <v>-1.47 kN/m2</v>
      </c>
      <c r="G75" s="423"/>
      <c r="H75" s="423"/>
      <c r="I75" s="424"/>
      <c r="J75" s="55"/>
      <c r="K75" s="132"/>
      <c r="L75" s="132"/>
      <c r="M75" s="132"/>
      <c r="N75" s="132"/>
      <c r="O75" s="56"/>
      <c r="P75" s="133"/>
      <c r="Q75" s="133"/>
      <c r="R75" s="133"/>
      <c r="S75" s="133"/>
      <c r="T75" s="134" t="s">
        <v>157</v>
      </c>
      <c r="U75" s="135"/>
      <c r="V75" s="135"/>
      <c r="W75" s="135"/>
      <c r="X75" s="58"/>
      <c r="Y75" s="153"/>
      <c r="Z75" s="153"/>
      <c r="AA75" s="15"/>
      <c r="AE75" s="57"/>
      <c r="AF75" s="57"/>
      <c r="AG75" s="57"/>
    </row>
    <row r="76" spans="2:60" ht="15" hidden="1">
      <c r="B76" s="151"/>
      <c r="C76" s="51"/>
      <c r="D76" s="13"/>
      <c r="E76" s="411"/>
      <c r="F76" s="59"/>
      <c r="G76" s="136"/>
      <c r="H76" s="136"/>
      <c r="I76" s="60"/>
      <c r="J76" s="425" t="str">
        <f>VLOOKUP(50,$BE$8:$BH$127,1+MATCH($AC$7,$BF$7:$BH$7,0))</f>
        <v>Vùng H</v>
      </c>
      <c r="K76" s="349"/>
      <c r="L76" s="349"/>
      <c r="M76" s="349"/>
      <c r="N76" s="349"/>
      <c r="O76" s="426"/>
      <c r="P76" s="417" t="str">
        <f>VLOOKUP(51,$BE$8:$BH$127,1+MATCH($AC$7,$BF$7:$BH$7,0))</f>
        <v>Vùng I</v>
      </c>
      <c r="Q76" s="417"/>
      <c r="R76" s="417"/>
      <c r="S76" s="417"/>
      <c r="T76" s="417"/>
      <c r="U76" s="417"/>
      <c r="V76" s="417"/>
      <c r="W76" s="417"/>
      <c r="X76" s="418"/>
      <c r="Y76" s="153"/>
      <c r="Z76" s="153"/>
      <c r="AA76" s="15"/>
      <c r="AE76" s="57"/>
      <c r="AF76" s="57"/>
      <c r="AG76" s="57"/>
    </row>
    <row r="77" spans="2:60" ht="15" hidden="1">
      <c r="B77" s="151"/>
      <c r="C77" s="51"/>
      <c r="D77" s="13"/>
      <c r="E77" s="411" t="str">
        <f>"b2 = "&amp;ROUND(AD73/2-AI74/4,1)&amp;"m "</f>
        <v xml:space="preserve">b2 = 5m </v>
      </c>
      <c r="F77" s="425" t="str">
        <f>VLOOKUP(49,$BE$8:$BH$127,1+MATCH($AC$7,$BF$7:$BH$7,0))</f>
        <v>Vùng G</v>
      </c>
      <c r="G77" s="349"/>
      <c r="H77" s="349"/>
      <c r="I77" s="426"/>
      <c r="J77" s="446" t="str">
        <f>ROUND(J50,2)&amp;" kN/m2"</f>
        <v>-0.98 kN/m2</v>
      </c>
      <c r="K77" s="433"/>
      <c r="L77" s="433"/>
      <c r="M77" s="433"/>
      <c r="N77" s="433"/>
      <c r="O77" s="434"/>
      <c r="P77" s="433" t="str">
        <f>ROUND(L50,2)&amp;" kN/m2"</f>
        <v>-0.87 kN/m2</v>
      </c>
      <c r="Q77" s="433"/>
      <c r="R77" s="433"/>
      <c r="S77" s="433"/>
      <c r="T77" s="433"/>
      <c r="U77" s="433"/>
      <c r="V77" s="433"/>
      <c r="W77" s="433"/>
      <c r="X77" s="434"/>
      <c r="Y77" s="153"/>
      <c r="Z77" s="153"/>
      <c r="AA77" s="15"/>
      <c r="AE77" s="57"/>
      <c r="AF77" s="57"/>
      <c r="AG77" s="57"/>
      <c r="AH77" s="29"/>
    </row>
    <row r="78" spans="2:60" ht="15" hidden="1">
      <c r="B78" s="151"/>
      <c r="C78" s="447"/>
      <c r="D78" s="353"/>
      <c r="E78" s="411"/>
      <c r="F78" s="419" t="str">
        <f>ROUND(H50,2)&amp;" kN/m2"</f>
        <v>-1.7 kN/m2</v>
      </c>
      <c r="G78" s="420"/>
      <c r="H78" s="420"/>
      <c r="I78" s="421"/>
      <c r="J78" s="436" t="str">
        <f>ROUND(J51,2)&amp;" kN/m2"</f>
        <v>-0.53 kN/m2</v>
      </c>
      <c r="K78" s="437"/>
      <c r="L78" s="437"/>
      <c r="M78" s="437"/>
      <c r="N78" s="437"/>
      <c r="O78" s="438"/>
      <c r="P78" s="408" t="str">
        <f>ROUND(L51,2)&amp;" kN/m2"</f>
        <v>-0.41 kN/m2</v>
      </c>
      <c r="Q78" s="408"/>
      <c r="R78" s="408"/>
      <c r="S78" s="408"/>
      <c r="T78" s="408"/>
      <c r="U78" s="408"/>
      <c r="V78" s="408"/>
      <c r="W78" s="408"/>
      <c r="X78" s="409"/>
      <c r="Y78" s="153"/>
      <c r="Z78" s="153"/>
      <c r="AA78" s="15"/>
      <c r="AE78" s="57"/>
      <c r="AF78" s="57"/>
      <c r="AG78" s="57"/>
      <c r="AH78" s="29"/>
      <c r="AJ78" s="61"/>
      <c r="AK78" s="61"/>
      <c r="AL78" s="61"/>
      <c r="AM78" s="61"/>
    </row>
    <row r="79" spans="2:60" ht="15" hidden="1">
      <c r="B79" s="151"/>
      <c r="C79" s="447"/>
      <c r="D79" s="353"/>
      <c r="E79" s="411"/>
      <c r="F79" s="436" t="str">
        <f>ROUND(H51,2)&amp;" kN/m2"</f>
        <v>-1.25 kN/m2</v>
      </c>
      <c r="G79" s="437"/>
      <c r="H79" s="437"/>
      <c r="I79" s="438"/>
      <c r="J79" s="442"/>
      <c r="K79" s="417"/>
      <c r="L79" s="417"/>
      <c r="M79" s="417"/>
      <c r="N79" s="417"/>
      <c r="O79" s="418"/>
      <c r="P79" s="133"/>
      <c r="Q79" s="133"/>
      <c r="R79" s="133"/>
      <c r="S79" s="133"/>
      <c r="T79" s="133"/>
      <c r="U79" s="133"/>
      <c r="V79" s="133"/>
      <c r="W79" s="133"/>
      <c r="X79" s="62"/>
      <c r="Y79" s="153"/>
      <c r="Z79" s="153"/>
      <c r="AA79" s="15"/>
      <c r="AC79" s="410"/>
      <c r="AD79" s="410"/>
      <c r="AE79" s="57"/>
      <c r="AF79" s="57"/>
      <c r="AG79" s="57"/>
      <c r="AH79" s="57"/>
      <c r="AI79" s="57"/>
      <c r="AJ79" s="410"/>
      <c r="AK79" s="410"/>
      <c r="AL79" s="410"/>
      <c r="AM79" s="61"/>
    </row>
    <row r="80" spans="2:60" ht="15.75" hidden="1" thickBot="1">
      <c r="B80" s="151"/>
      <c r="C80" s="63"/>
      <c r="D80" s="137"/>
      <c r="E80" s="411"/>
      <c r="F80" s="439"/>
      <c r="G80" s="440"/>
      <c r="H80" s="440"/>
      <c r="I80" s="441"/>
      <c r="J80" s="443" t="str">
        <f>VLOOKUP(53,$BE$8:$BH$127,1+MATCH($AC$7,$BF$7:$BH$7,0))</f>
        <v>Đường nóc</v>
      </c>
      <c r="K80" s="444"/>
      <c r="L80" s="444"/>
      <c r="M80" s="444"/>
      <c r="N80" s="444"/>
      <c r="O80" s="445"/>
      <c r="P80" s="427" t="str">
        <f>VLOOKUP(53,$BE$8:$BH$127,1+MATCH($AC$7,$BF$7:$BH$7,0))</f>
        <v>Đường nóc</v>
      </c>
      <c r="Q80" s="428"/>
      <c r="R80" s="428"/>
      <c r="S80" s="428"/>
      <c r="T80" s="428"/>
      <c r="U80" s="428"/>
      <c r="V80" s="428"/>
      <c r="W80" s="428"/>
      <c r="X80" s="429"/>
      <c r="Y80" s="153"/>
      <c r="Z80" s="153"/>
      <c r="AA80" s="15"/>
      <c r="AC80" s="410"/>
      <c r="AD80" s="410"/>
      <c r="AE80" s="57"/>
      <c r="AF80" s="57"/>
      <c r="AG80" s="57"/>
      <c r="AH80" s="57"/>
      <c r="AI80" s="57"/>
      <c r="AJ80" s="410"/>
      <c r="AK80" s="410"/>
      <c r="AL80" s="410"/>
      <c r="AM80" s="61"/>
    </row>
    <row r="81" spans="2:43" ht="15" hidden="1">
      <c r="B81" s="151"/>
      <c r="C81" s="51"/>
      <c r="D81" s="13"/>
      <c r="E81" s="411" t="str">
        <f>"b2 = "&amp;ROUND(AD73/2-AI74/4,1)&amp;"m "</f>
        <v xml:space="preserve">b2 = 5m </v>
      </c>
      <c r="F81" s="430"/>
      <c r="G81" s="431"/>
      <c r="H81" s="431"/>
      <c r="I81" s="432"/>
      <c r="J81" s="454"/>
      <c r="K81" s="455"/>
      <c r="L81" s="455"/>
      <c r="M81" s="455"/>
      <c r="N81" s="455"/>
      <c r="O81" s="456"/>
      <c r="P81" s="138"/>
      <c r="Q81" s="138"/>
      <c r="R81" s="138"/>
      <c r="S81" s="138"/>
      <c r="T81" s="138"/>
      <c r="U81" s="138"/>
      <c r="V81" s="138"/>
      <c r="W81" s="138"/>
      <c r="X81" s="64"/>
      <c r="Y81" s="153"/>
      <c r="Z81" s="153"/>
      <c r="AA81" s="15"/>
      <c r="AC81" s="410"/>
      <c r="AD81" s="410"/>
      <c r="AE81" s="57"/>
      <c r="AF81" s="57"/>
      <c r="AG81" s="57"/>
      <c r="AH81" s="57"/>
      <c r="AI81" s="57"/>
      <c r="AJ81" s="410"/>
      <c r="AK81" s="410"/>
      <c r="AL81" s="410"/>
    </row>
    <row r="82" spans="2:43" ht="15" hidden="1">
      <c r="B82" s="151"/>
      <c r="C82" s="51"/>
      <c r="D82" s="13"/>
      <c r="E82" s="411"/>
      <c r="F82" s="457" t="str">
        <f>VLOOKUP(49,$BE$8:$BH$127,1+MATCH($AC$7,$BF$7:$BH$7,0))</f>
        <v>Vùng G</v>
      </c>
      <c r="G82" s="458"/>
      <c r="H82" s="458"/>
      <c r="I82" s="459"/>
      <c r="J82" s="65" t="s">
        <v>157</v>
      </c>
      <c r="K82" s="139"/>
      <c r="L82" s="139"/>
      <c r="M82" s="139"/>
      <c r="N82" s="139"/>
      <c r="O82" s="66"/>
      <c r="P82" s="138"/>
      <c r="Q82" s="138"/>
      <c r="R82" s="138"/>
      <c r="S82" s="138"/>
      <c r="T82" s="138"/>
      <c r="U82" s="138"/>
      <c r="V82" s="138"/>
      <c r="W82" s="138"/>
      <c r="X82" s="64"/>
      <c r="Y82" s="153"/>
      <c r="Z82" s="153"/>
      <c r="AA82" s="15"/>
      <c r="AC82" s="410"/>
      <c r="AD82" s="410"/>
      <c r="AE82" s="57"/>
      <c r="AF82" s="57"/>
      <c r="AG82" s="57"/>
      <c r="AH82" s="57"/>
      <c r="AI82" s="57"/>
      <c r="AJ82" s="410"/>
      <c r="AK82" s="410"/>
      <c r="AL82" s="410"/>
    </row>
    <row r="83" spans="2:43" ht="15" hidden="1">
      <c r="B83" s="151"/>
      <c r="C83" s="51"/>
      <c r="D83" s="13"/>
      <c r="E83" s="411"/>
      <c r="F83" s="460" t="str">
        <f>ROUND(H50,2)&amp;" kN/m2"</f>
        <v>-1.7 kN/m2</v>
      </c>
      <c r="G83" s="461"/>
      <c r="H83" s="461"/>
      <c r="I83" s="462"/>
      <c r="J83" s="425" t="str">
        <f>VLOOKUP(50,$BE$8:$BH$127,1+MATCH($AC$7,$BF$7:$BH$7,0))</f>
        <v>Vùng H</v>
      </c>
      <c r="K83" s="349"/>
      <c r="L83" s="349"/>
      <c r="M83" s="349"/>
      <c r="N83" s="349"/>
      <c r="O83" s="426"/>
      <c r="P83" s="417" t="str">
        <f>VLOOKUP(51,$BE$8:$BH$127,1+MATCH($AC$7,$BF$7:$BH$7,0))</f>
        <v>Vùng I</v>
      </c>
      <c r="Q83" s="417"/>
      <c r="R83" s="417"/>
      <c r="S83" s="417"/>
      <c r="T83" s="417"/>
      <c r="U83" s="417"/>
      <c r="V83" s="417"/>
      <c r="W83" s="417"/>
      <c r="X83" s="418"/>
      <c r="Y83" s="153"/>
      <c r="Z83" s="153"/>
      <c r="AA83" s="15"/>
      <c r="AC83" s="410"/>
      <c r="AD83" s="410"/>
      <c r="AE83" s="57"/>
      <c r="AF83" s="57"/>
      <c r="AG83" s="57"/>
      <c r="AH83" s="57"/>
      <c r="AI83" s="57"/>
      <c r="AJ83" s="410"/>
      <c r="AK83" s="410"/>
      <c r="AL83" s="410"/>
    </row>
    <row r="84" spans="2:43" ht="15" hidden="1">
      <c r="B84" s="151"/>
      <c r="C84" s="51"/>
      <c r="D84" s="13"/>
      <c r="E84" s="411"/>
      <c r="F84" s="436" t="str">
        <f>ROUND(H51,2)&amp;" kN/m2"</f>
        <v>-1.25 kN/m2</v>
      </c>
      <c r="G84" s="437"/>
      <c r="H84" s="437"/>
      <c r="I84" s="438"/>
      <c r="J84" s="460" t="str">
        <f>ROUND(J50,2)&amp;" kN/m2"</f>
        <v>-0.98 kN/m2</v>
      </c>
      <c r="K84" s="461"/>
      <c r="L84" s="461"/>
      <c r="M84" s="461"/>
      <c r="N84" s="461"/>
      <c r="O84" s="462"/>
      <c r="P84" s="433" t="str">
        <f>ROUND(L50,2)&amp;" kN/m2"</f>
        <v>-0.87 kN/m2</v>
      </c>
      <c r="Q84" s="433"/>
      <c r="R84" s="433"/>
      <c r="S84" s="433"/>
      <c r="T84" s="433"/>
      <c r="U84" s="433"/>
      <c r="V84" s="433"/>
      <c r="W84" s="433"/>
      <c r="X84" s="434"/>
      <c r="Y84" s="153"/>
      <c r="Z84" s="153"/>
      <c r="AA84" s="15"/>
      <c r="AC84" s="435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</row>
    <row r="85" spans="2:43" ht="15" hidden="1">
      <c r="B85" s="151"/>
      <c r="C85" s="51"/>
      <c r="D85" s="13"/>
      <c r="E85" s="411" t="str">
        <f>"b1 = "&amp;ROUND(AI74/4,1)&amp;"m "</f>
        <v xml:space="preserve">b1 = 5m </v>
      </c>
      <c r="F85" s="68"/>
      <c r="G85" s="138"/>
      <c r="H85" s="138"/>
      <c r="I85" s="64"/>
      <c r="J85" s="436" t="str">
        <f>ROUND(J51,2)&amp;" kN/m2"</f>
        <v>-0.53 kN/m2</v>
      </c>
      <c r="K85" s="437"/>
      <c r="L85" s="437"/>
      <c r="M85" s="437"/>
      <c r="N85" s="437"/>
      <c r="O85" s="438"/>
      <c r="P85" s="408" t="str">
        <f>ROUND(L51,2)&amp;" kN/m2"</f>
        <v>-0.41 kN/m2</v>
      </c>
      <c r="Q85" s="408"/>
      <c r="R85" s="408"/>
      <c r="S85" s="408"/>
      <c r="T85" s="408"/>
      <c r="U85" s="408"/>
      <c r="V85" s="408"/>
      <c r="W85" s="408"/>
      <c r="X85" s="409"/>
      <c r="Y85" s="153"/>
      <c r="Z85" s="153"/>
      <c r="AA85" s="15"/>
      <c r="AC85" s="435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</row>
    <row r="86" spans="2:43" ht="15" hidden="1">
      <c r="B86" s="151"/>
      <c r="C86" s="51"/>
      <c r="D86" s="13"/>
      <c r="E86" s="411"/>
      <c r="F86" s="448" t="str">
        <f>VLOOKUP(48,$BE$8:$BH$127,1+MATCH($AC$7,$BF$7:$BH$7,0))</f>
        <v>Vùng F</v>
      </c>
      <c r="G86" s="449"/>
      <c r="H86" s="449"/>
      <c r="I86" s="450"/>
      <c r="J86" s="68"/>
      <c r="K86" s="138"/>
      <c r="L86" s="138"/>
      <c r="M86" s="138"/>
      <c r="N86" s="138"/>
      <c r="O86" s="64"/>
      <c r="P86" s="138"/>
      <c r="Q86" s="138"/>
      <c r="R86" s="138"/>
      <c r="S86" s="138"/>
      <c r="T86" s="138"/>
      <c r="U86" s="138"/>
      <c r="V86" s="138"/>
      <c r="W86" s="138"/>
      <c r="X86" s="64"/>
      <c r="Y86" s="153"/>
      <c r="Z86" s="153"/>
      <c r="AA86" s="15"/>
      <c r="AC86" s="435"/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</row>
    <row r="87" spans="2:43" ht="15" hidden="1">
      <c r="B87" s="151"/>
      <c r="C87" s="51"/>
      <c r="D87" s="13"/>
      <c r="E87" s="411"/>
      <c r="F87" s="419" t="str">
        <f>ROUND(F50,2)&amp;" kN/m2"</f>
        <v>-1.93 kN/m2</v>
      </c>
      <c r="G87" s="420"/>
      <c r="H87" s="420"/>
      <c r="I87" s="421"/>
      <c r="J87" s="68"/>
      <c r="K87" s="138"/>
      <c r="L87" s="138"/>
      <c r="M87" s="138"/>
      <c r="N87" s="138"/>
      <c r="O87" s="64"/>
      <c r="P87" s="138"/>
      <c r="Q87" s="138"/>
      <c r="R87" s="138"/>
      <c r="S87" s="138"/>
      <c r="T87" s="138"/>
      <c r="U87" s="138"/>
      <c r="V87" s="138"/>
      <c r="W87" s="138"/>
      <c r="X87" s="64"/>
      <c r="Y87" s="153"/>
      <c r="Z87" s="153"/>
      <c r="AA87" s="15"/>
      <c r="AC87" s="57"/>
      <c r="AD87" s="67"/>
      <c r="AE87" s="67"/>
      <c r="AF87" s="67"/>
      <c r="AG87" s="67"/>
      <c r="AH87" s="67"/>
      <c r="AI87" s="67"/>
      <c r="AJ87" s="67"/>
      <c r="AK87" s="67"/>
      <c r="AL87" s="67"/>
      <c r="AM87" s="67"/>
      <c r="AN87" s="67"/>
      <c r="AO87" s="67"/>
      <c r="AP87" s="67"/>
      <c r="AQ87" s="67"/>
    </row>
    <row r="88" spans="2:43" ht="15.75" hidden="1" thickBot="1">
      <c r="B88" s="151"/>
      <c r="C88" s="51"/>
      <c r="D88" s="13"/>
      <c r="E88" s="411"/>
      <c r="F88" s="451" t="str">
        <f>ROUND(F51,2)&amp;" kN/m2"</f>
        <v>-1.47 kN/m2</v>
      </c>
      <c r="G88" s="452"/>
      <c r="H88" s="452"/>
      <c r="I88" s="453"/>
      <c r="J88" s="69"/>
      <c r="K88" s="70"/>
      <c r="L88" s="70"/>
      <c r="M88" s="70"/>
      <c r="N88" s="70"/>
      <c r="O88" s="71"/>
      <c r="P88" s="70"/>
      <c r="Q88" s="70"/>
      <c r="R88" s="70"/>
      <c r="S88" s="70"/>
      <c r="T88" s="70"/>
      <c r="U88" s="70"/>
      <c r="V88" s="70"/>
      <c r="W88" s="70"/>
      <c r="X88" s="71"/>
      <c r="Y88" s="153"/>
      <c r="Z88" s="153"/>
      <c r="AA88" s="15"/>
      <c r="AC88" s="57"/>
      <c r="AD88" s="67"/>
      <c r="AE88" s="67"/>
      <c r="AF88" s="67"/>
      <c r="AG88" s="67"/>
      <c r="AH88" s="67"/>
      <c r="AI88" s="67"/>
      <c r="AJ88" s="67"/>
      <c r="AK88" s="67"/>
      <c r="AL88" s="67"/>
      <c r="AM88" s="67"/>
      <c r="AN88" s="67"/>
      <c r="AO88" s="67"/>
      <c r="AP88" s="67"/>
      <c r="AQ88" s="67"/>
    </row>
    <row r="89" spans="2:43" ht="15" hidden="1">
      <c r="B89" s="151"/>
      <c r="C89" s="72"/>
      <c r="D89" s="48"/>
      <c r="E89" s="48"/>
      <c r="F89" s="48"/>
      <c r="G89" s="73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15"/>
      <c r="AC89" s="5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</row>
    <row r="90" spans="2:43" ht="15" hidden="1">
      <c r="B90" s="151"/>
      <c r="C90" s="273" t="str">
        <f>VLOOKUP(60,$BE$8:$BH$127,1+MATCH($AC$7,$BF$7:$BH$7,0))</f>
        <v>SƠ ĐỒ PHÂN CHIA VÙNG ÁP LỰC GIÓ (GIÓ X+)</v>
      </c>
      <c r="D90" s="274"/>
      <c r="E90" s="274"/>
      <c r="F90" s="274"/>
      <c r="G90" s="274"/>
      <c r="H90" s="274"/>
      <c r="I90" s="274"/>
      <c r="J90" s="274"/>
      <c r="K90" s="274"/>
      <c r="L90" s="274"/>
      <c r="M90" s="274"/>
      <c r="N90" s="274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5"/>
      <c r="AC90" s="57"/>
      <c r="AD90" s="67"/>
      <c r="AE90" s="67"/>
      <c r="AF90" s="67"/>
      <c r="AG90" s="67"/>
      <c r="AH90" s="67"/>
      <c r="AI90" s="67"/>
      <c r="AJ90" s="67"/>
      <c r="AK90" s="67"/>
      <c r="AL90" s="67"/>
      <c r="AM90" s="67"/>
      <c r="AN90" s="67"/>
      <c r="AO90" s="67"/>
      <c r="AP90" s="67"/>
      <c r="AQ90" s="67"/>
    </row>
    <row r="91" spans="2:43" ht="15" hidden="1">
      <c r="B91" s="151"/>
      <c r="C91" s="116"/>
      <c r="D91" s="117"/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  <c r="AA91" s="118"/>
      <c r="AC91" s="5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</row>
    <row r="92" spans="2:43" ht="13.5" hidden="1" thickBot="1">
      <c r="C92" s="154"/>
      <c r="D92" s="153"/>
      <c r="E92" s="153"/>
      <c r="F92" s="465"/>
      <c r="G92" s="465"/>
      <c r="H92" s="465"/>
      <c r="I92" s="465"/>
      <c r="J92" s="465"/>
      <c r="K92" s="465"/>
      <c r="L92" s="465"/>
      <c r="M92" s="465"/>
      <c r="N92" s="465"/>
      <c r="O92" s="465" t="str">
        <f>"d2 = "&amp;ROUND(AI74/2-AI74/10,1)&amp;" m"</f>
        <v>d2 = 8 m</v>
      </c>
      <c r="P92" s="465"/>
      <c r="Q92" s="465"/>
      <c r="R92" s="465"/>
      <c r="S92" s="465"/>
      <c r="T92" s="465"/>
      <c r="U92" s="465" t="str">
        <f>"d3 = "&amp;ROUND(AI74/10,1)&amp;" m"</f>
        <v>d3 = 2 m</v>
      </c>
      <c r="V92" s="465"/>
      <c r="W92" s="465"/>
      <c r="X92" s="465"/>
      <c r="Y92" s="153"/>
      <c r="Z92" s="153"/>
      <c r="AA92" s="75"/>
      <c r="AC92" s="5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</row>
    <row r="93" spans="2:43" ht="15" hidden="1">
      <c r="C93" s="154"/>
      <c r="D93" s="153"/>
      <c r="E93" s="153"/>
      <c r="F93" s="412"/>
      <c r="G93" s="413"/>
      <c r="H93" s="413"/>
      <c r="I93" s="413"/>
      <c r="J93" s="415"/>
      <c r="K93" s="415"/>
      <c r="L93" s="415"/>
      <c r="M93" s="415"/>
      <c r="N93" s="416"/>
      <c r="O93" s="466" t="s">
        <v>157</v>
      </c>
      <c r="P93" s="467"/>
      <c r="Q93" s="467"/>
      <c r="R93" s="467"/>
      <c r="S93" s="467"/>
      <c r="T93" s="468"/>
      <c r="U93" s="412" t="str">
        <f>VLOOKUP(48,$BE$8:$BH$127,1+MATCH($AC$7,$BF$7:$BH$7,0))</f>
        <v>Vùng F</v>
      </c>
      <c r="V93" s="413"/>
      <c r="W93" s="413"/>
      <c r="X93" s="414"/>
      <c r="Y93" s="333" t="str">
        <f>"b4 = "&amp;ROUND(AI74/4,1)&amp;"m "</f>
        <v xml:space="preserve">b4 = 5m </v>
      </c>
      <c r="Z93" s="153"/>
      <c r="AA93" s="75"/>
      <c r="AC93" s="435"/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</row>
    <row r="94" spans="2:43" ht="15" hidden="1">
      <c r="C94" s="154"/>
      <c r="D94" s="153"/>
      <c r="E94" s="153"/>
      <c r="F94" s="425"/>
      <c r="G94" s="349"/>
      <c r="H94" s="349"/>
      <c r="I94" s="349"/>
      <c r="J94" s="417"/>
      <c r="K94" s="417"/>
      <c r="L94" s="417"/>
      <c r="M94" s="417"/>
      <c r="N94" s="418"/>
      <c r="O94" s="469"/>
      <c r="P94" s="470"/>
      <c r="Q94" s="470"/>
      <c r="R94" s="470"/>
      <c r="S94" s="470"/>
      <c r="T94" s="471"/>
      <c r="U94" s="419" t="str">
        <f>ROUND(N50,2)&amp;" kN/m2"</f>
        <v>-1.98 kN/m2</v>
      </c>
      <c r="V94" s="420"/>
      <c r="W94" s="420"/>
      <c r="X94" s="421"/>
      <c r="Y94" s="333"/>
      <c r="Z94" s="153"/>
      <c r="AA94" s="75"/>
      <c r="AC94" s="435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</row>
    <row r="95" spans="2:43" ht="15" hidden="1">
      <c r="C95" s="154"/>
      <c r="D95" s="153"/>
      <c r="E95" s="153"/>
      <c r="F95" s="76"/>
      <c r="G95" s="133"/>
      <c r="H95" s="133"/>
      <c r="I95" s="133"/>
      <c r="J95" s="134" t="s">
        <v>157</v>
      </c>
      <c r="K95" s="135"/>
      <c r="L95" s="135"/>
      <c r="M95" s="135"/>
      <c r="N95" s="58"/>
      <c r="O95" s="469"/>
      <c r="P95" s="470"/>
      <c r="Q95" s="470"/>
      <c r="R95" s="470"/>
      <c r="S95" s="470"/>
      <c r="T95" s="471"/>
      <c r="U95" s="463" t="str">
        <f>ROUND(N51,2)&amp;" kN/m2"</f>
        <v>-1.44 kN/m2</v>
      </c>
      <c r="V95" s="437"/>
      <c r="W95" s="437"/>
      <c r="X95" s="438"/>
      <c r="Y95" s="333"/>
      <c r="Z95" s="153"/>
      <c r="AA95" s="75"/>
      <c r="AC95" s="435"/>
      <c r="AD95" s="67"/>
      <c r="AE95" s="67"/>
      <c r="AF95" s="67"/>
      <c r="AG95" s="67"/>
      <c r="AH95" s="67"/>
      <c r="AI95" s="67"/>
      <c r="AJ95" s="67"/>
      <c r="AK95" s="67"/>
      <c r="AL95" s="67"/>
      <c r="AM95" s="67"/>
      <c r="AN95" s="67"/>
      <c r="AO95" s="67"/>
      <c r="AP95" s="67"/>
      <c r="AQ95" s="67"/>
    </row>
    <row r="96" spans="2:43" ht="15" hidden="1">
      <c r="C96" s="154"/>
      <c r="D96" s="153"/>
      <c r="E96" s="153"/>
      <c r="F96" s="442" t="str">
        <f>VLOOKUP(51,$BE$8:$BH$127,1+MATCH($AC$7,$BF$7:$BH$7,0))</f>
        <v>Vùng I</v>
      </c>
      <c r="G96" s="417"/>
      <c r="H96" s="417"/>
      <c r="I96" s="417"/>
      <c r="J96" s="417"/>
      <c r="K96" s="417"/>
      <c r="L96" s="417"/>
      <c r="M96" s="417"/>
      <c r="N96" s="418"/>
      <c r="O96" s="425" t="str">
        <f>VLOOKUP(50,$BE$8:$BH$127,1+MATCH($AC$7,$BF$7:$BH$7,0))</f>
        <v>Vùng H</v>
      </c>
      <c r="P96" s="349"/>
      <c r="Q96" s="349"/>
      <c r="R96" s="349"/>
      <c r="S96" s="349"/>
      <c r="T96" s="464"/>
      <c r="U96" s="77"/>
      <c r="V96" s="78"/>
      <c r="W96" s="78"/>
      <c r="X96" s="79"/>
      <c r="Y96" s="333"/>
      <c r="Z96" s="153"/>
      <c r="AA96" s="75"/>
      <c r="AC96" s="435"/>
      <c r="AD96" s="67"/>
      <c r="AE96" s="67"/>
      <c r="AF96" s="67"/>
      <c r="AG96" s="67"/>
      <c r="AH96" s="67"/>
      <c r="AI96" s="67"/>
      <c r="AJ96" s="67"/>
      <c r="AK96" s="67"/>
      <c r="AL96" s="67"/>
      <c r="AM96" s="67"/>
      <c r="AN96" s="67"/>
      <c r="AO96" s="67"/>
      <c r="AP96" s="67"/>
      <c r="AQ96" s="67"/>
    </row>
    <row r="97" spans="3:43" ht="15" hidden="1">
      <c r="C97" s="154"/>
      <c r="D97" s="153"/>
      <c r="E97" s="153"/>
      <c r="F97" s="446" t="str">
        <f>ROUND(T50,2)&amp;" kN/m2"</f>
        <v>-0.92 kN/m2</v>
      </c>
      <c r="G97" s="433"/>
      <c r="H97" s="433"/>
      <c r="I97" s="433"/>
      <c r="J97" s="433"/>
      <c r="K97" s="433"/>
      <c r="L97" s="433"/>
      <c r="M97" s="433"/>
      <c r="N97" s="434"/>
      <c r="O97" s="446" t="str">
        <f>ROUND(R50,2)&amp;" kN/m2"</f>
        <v>-1.04 kN/m2</v>
      </c>
      <c r="P97" s="433"/>
      <c r="Q97" s="433"/>
      <c r="R97" s="433"/>
      <c r="S97" s="433"/>
      <c r="T97" s="472"/>
      <c r="U97" s="425" t="str">
        <f>VLOOKUP(49,$BE$8:$BH$127,1+MATCH($AC$7,$BF$7:$BH$7,0))</f>
        <v>Vùng G</v>
      </c>
      <c r="V97" s="349"/>
      <c r="W97" s="349"/>
      <c r="X97" s="426"/>
      <c r="Y97" s="333" t="str">
        <f>"b3 = "&amp;ROUND(AD73/2-AI74/4,1)&amp;"m "</f>
        <v xml:space="preserve">b3 = 5m </v>
      </c>
      <c r="Z97" s="153"/>
      <c r="AA97" s="75"/>
      <c r="AC97" s="80"/>
      <c r="AD97" s="67"/>
      <c r="AE97" s="67"/>
      <c r="AF97" s="67"/>
      <c r="AG97" s="67"/>
      <c r="AH97" s="67"/>
      <c r="AI97" s="67"/>
      <c r="AJ97" s="67"/>
      <c r="AK97" s="67"/>
      <c r="AL97" s="67"/>
      <c r="AM97" s="67"/>
      <c r="AN97" s="67"/>
      <c r="AO97" s="67"/>
      <c r="AP97" s="67"/>
      <c r="AQ97" s="67"/>
    </row>
    <row r="98" spans="3:43" ht="15" hidden="1">
      <c r="C98" s="154"/>
      <c r="D98" s="153"/>
      <c r="E98" s="153"/>
      <c r="F98" s="473" t="str">
        <f>ROUND(T51,2)&amp;" kN/m2"</f>
        <v>-0.39 kN/m2</v>
      </c>
      <c r="G98" s="408"/>
      <c r="H98" s="408"/>
      <c r="I98" s="408"/>
      <c r="J98" s="408"/>
      <c r="K98" s="408"/>
      <c r="L98" s="408"/>
      <c r="M98" s="408"/>
      <c r="N98" s="409"/>
      <c r="O98" s="436" t="str">
        <f>ROUND(R51,2)&amp;" kN/m2"</f>
        <v>-0.5 kN/m2</v>
      </c>
      <c r="P98" s="437"/>
      <c r="Q98" s="437"/>
      <c r="R98" s="437"/>
      <c r="S98" s="437"/>
      <c r="T98" s="474"/>
      <c r="U98" s="419" t="str">
        <f>ROUND(P50,2)&amp;" kN/m2"</f>
        <v>-1.76 kN/m2</v>
      </c>
      <c r="V98" s="420"/>
      <c r="W98" s="420"/>
      <c r="X98" s="421"/>
      <c r="Y98" s="333"/>
      <c r="Z98" s="476"/>
      <c r="AA98" s="75"/>
      <c r="AC98" s="57"/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</row>
    <row r="99" spans="3:43" ht="15" hidden="1">
      <c r="C99" s="154"/>
      <c r="D99" s="153"/>
      <c r="E99" s="153"/>
      <c r="F99" s="76"/>
      <c r="G99" s="133"/>
      <c r="H99" s="133"/>
      <c r="I99" s="133"/>
      <c r="J99" s="133"/>
      <c r="K99" s="133"/>
      <c r="L99" s="133"/>
      <c r="M99" s="133"/>
      <c r="N99" s="62"/>
      <c r="O99" s="442"/>
      <c r="P99" s="417"/>
      <c r="Q99" s="417"/>
      <c r="R99" s="417"/>
      <c r="S99" s="417"/>
      <c r="T99" s="475"/>
      <c r="U99" s="436" t="str">
        <f>ROUND(P51,2)&amp;" kN/m2"</f>
        <v>-1.22 kN/m2</v>
      </c>
      <c r="V99" s="437"/>
      <c r="W99" s="437"/>
      <c r="X99" s="438"/>
      <c r="Y99" s="333"/>
      <c r="Z99" s="476"/>
      <c r="AA99" s="75"/>
      <c r="AC99" s="5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</row>
    <row r="100" spans="3:43" ht="15.75" hidden="1" thickBot="1">
      <c r="C100" s="154"/>
      <c r="D100" s="153"/>
      <c r="E100" s="153"/>
      <c r="F100" s="480" t="str">
        <f>VLOOKUP(53,$BE$8:$BH$127,1+MATCH($AC$7,$BF$7:$BH$7,0))</f>
        <v>Đường nóc</v>
      </c>
      <c r="G100" s="481"/>
      <c r="H100" s="481"/>
      <c r="I100" s="481"/>
      <c r="J100" s="481"/>
      <c r="K100" s="481"/>
      <c r="L100" s="481"/>
      <c r="M100" s="481"/>
      <c r="N100" s="482"/>
      <c r="O100" s="483" t="str">
        <f>VLOOKUP(53,$BE$8:$BH$127,1+MATCH($AC$7,$BF$7:$BH$7,0))</f>
        <v>Đường nóc</v>
      </c>
      <c r="P100" s="484"/>
      <c r="Q100" s="484"/>
      <c r="R100" s="484"/>
      <c r="S100" s="484"/>
      <c r="T100" s="485"/>
      <c r="U100" s="439"/>
      <c r="V100" s="440"/>
      <c r="W100" s="440"/>
      <c r="X100" s="441"/>
      <c r="Y100" s="333"/>
      <c r="Z100" s="153"/>
      <c r="AA100" s="75"/>
      <c r="AC100" s="5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</row>
    <row r="101" spans="3:43" ht="15" hidden="1">
      <c r="C101" s="154"/>
      <c r="D101" s="153"/>
      <c r="E101" s="153"/>
      <c r="F101" s="68"/>
      <c r="G101" s="138"/>
      <c r="H101" s="138"/>
      <c r="I101" s="138"/>
      <c r="J101" s="138"/>
      <c r="K101" s="138"/>
      <c r="L101" s="138"/>
      <c r="M101" s="138"/>
      <c r="N101" s="64"/>
      <c r="O101" s="454"/>
      <c r="P101" s="455"/>
      <c r="Q101" s="455"/>
      <c r="R101" s="455"/>
      <c r="S101" s="455"/>
      <c r="T101" s="486"/>
      <c r="U101" s="430"/>
      <c r="V101" s="431"/>
      <c r="W101" s="431"/>
      <c r="X101" s="432"/>
      <c r="Y101" s="333" t="str">
        <f>"b2 = "&amp;ROUND(AD73/2-AI74/4,1)&amp;"m "</f>
        <v xml:space="preserve">b2 = 5m </v>
      </c>
      <c r="Z101" s="153"/>
      <c r="AA101" s="75"/>
      <c r="AC101" s="5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</row>
    <row r="102" spans="3:43" ht="15" hidden="1">
      <c r="C102" s="154"/>
      <c r="D102" s="153"/>
      <c r="E102" s="153"/>
      <c r="F102" s="68"/>
      <c r="G102" s="138"/>
      <c r="H102" s="138"/>
      <c r="I102" s="138"/>
      <c r="J102" s="138"/>
      <c r="K102" s="138"/>
      <c r="L102" s="138"/>
      <c r="M102" s="138"/>
      <c r="N102" s="64"/>
      <c r="O102" s="487" t="s">
        <v>157</v>
      </c>
      <c r="P102" s="488"/>
      <c r="Q102" s="488"/>
      <c r="R102" s="488"/>
      <c r="S102" s="488"/>
      <c r="T102" s="489"/>
      <c r="U102" s="490" t="str">
        <f>VLOOKUP(49,$BE$8:$BH$127,1+MATCH($AC$7,$BF$7:$BH$7,0))</f>
        <v>Vùng G</v>
      </c>
      <c r="V102" s="458"/>
      <c r="W102" s="458"/>
      <c r="X102" s="459"/>
      <c r="Y102" s="333"/>
      <c r="Z102" s="153"/>
      <c r="AA102" s="75"/>
      <c r="AC102" s="435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</row>
    <row r="103" spans="3:43" ht="15" hidden="1">
      <c r="C103" s="154"/>
      <c r="D103" s="153"/>
      <c r="E103" s="153"/>
      <c r="F103" s="68"/>
      <c r="G103" s="138"/>
      <c r="H103" s="138"/>
      <c r="I103" s="138"/>
      <c r="J103" s="140" t="s">
        <v>157</v>
      </c>
      <c r="K103" s="138"/>
      <c r="L103" s="138"/>
      <c r="M103" s="138"/>
      <c r="N103" s="64"/>
      <c r="O103" s="487"/>
      <c r="P103" s="488"/>
      <c r="Q103" s="488"/>
      <c r="R103" s="488"/>
      <c r="S103" s="488"/>
      <c r="T103" s="489"/>
      <c r="U103" s="460" t="str">
        <f>U98</f>
        <v>-1.76 kN/m2</v>
      </c>
      <c r="V103" s="461"/>
      <c r="W103" s="461"/>
      <c r="X103" s="462"/>
      <c r="Y103" s="333"/>
      <c r="Z103" s="153"/>
      <c r="AA103" s="75"/>
      <c r="AC103" s="435"/>
      <c r="AD103" s="67"/>
      <c r="AE103" s="67"/>
      <c r="AF103" s="67"/>
      <c r="AG103" s="67"/>
      <c r="AH103" s="67"/>
      <c r="AI103" s="67"/>
      <c r="AJ103" s="67"/>
      <c r="AK103" s="67"/>
      <c r="AL103" s="67"/>
      <c r="AM103" s="67"/>
      <c r="AN103" s="67"/>
      <c r="AO103" s="67"/>
      <c r="AP103" s="67"/>
      <c r="AQ103" s="67"/>
    </row>
    <row r="104" spans="3:43" ht="15" hidden="1">
      <c r="C104" s="154"/>
      <c r="D104" s="153"/>
      <c r="E104" s="153"/>
      <c r="F104" s="442" t="str">
        <f>VLOOKUP(51,$BE$8:$BH$127,1+MATCH($AC$7,$BF$7:$BH$7,0))</f>
        <v>Vùng I</v>
      </c>
      <c r="G104" s="417"/>
      <c r="H104" s="417"/>
      <c r="I104" s="417"/>
      <c r="J104" s="417"/>
      <c r="K104" s="417"/>
      <c r="L104" s="417"/>
      <c r="M104" s="417"/>
      <c r="N104" s="418"/>
      <c r="O104" s="425" t="str">
        <f>VLOOKUP(50,$BE$8:$BH$127,1+MATCH($AC$7,$BF$7:$BH$7,0))</f>
        <v>Vùng H</v>
      </c>
      <c r="P104" s="349"/>
      <c r="Q104" s="349"/>
      <c r="R104" s="349"/>
      <c r="S104" s="349"/>
      <c r="T104" s="464"/>
      <c r="U104" s="436" t="str">
        <f>U99</f>
        <v>-1.22 kN/m2</v>
      </c>
      <c r="V104" s="437"/>
      <c r="W104" s="437"/>
      <c r="X104" s="438"/>
      <c r="Y104" s="333"/>
      <c r="Z104" s="153"/>
      <c r="AA104" s="75"/>
      <c r="AC104" s="435"/>
      <c r="AD104" s="67"/>
      <c r="AE104" s="67"/>
      <c r="AF104" s="67"/>
      <c r="AG104" s="67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/>
    </row>
    <row r="105" spans="3:43" ht="15" hidden="1">
      <c r="C105" s="154"/>
      <c r="D105" s="153"/>
      <c r="E105" s="153"/>
      <c r="F105" s="446" t="str">
        <f>F97</f>
        <v>-0.92 kN/m2</v>
      </c>
      <c r="G105" s="433"/>
      <c r="H105" s="433"/>
      <c r="I105" s="433"/>
      <c r="J105" s="433"/>
      <c r="K105" s="433"/>
      <c r="L105" s="433"/>
      <c r="M105" s="433"/>
      <c r="N105" s="434"/>
      <c r="O105" s="446" t="str">
        <f>O97</f>
        <v>-1.04 kN/m2</v>
      </c>
      <c r="P105" s="433"/>
      <c r="Q105" s="433"/>
      <c r="R105" s="433"/>
      <c r="S105" s="433"/>
      <c r="T105" s="472"/>
      <c r="U105" s="155"/>
      <c r="V105" s="156"/>
      <c r="W105" s="156"/>
      <c r="X105" s="157"/>
      <c r="Y105" s="333" t="str">
        <f>"b1 = "&amp;ROUND(AI74/4,1)&amp;"m "</f>
        <v xml:space="preserve">b1 = 5m </v>
      </c>
      <c r="Z105" s="153"/>
      <c r="AA105" s="75"/>
      <c r="AD105" s="477"/>
      <c r="AE105" s="477"/>
      <c r="AF105" s="477"/>
      <c r="AG105" s="477"/>
      <c r="AH105" s="477"/>
      <c r="AI105" s="477"/>
      <c r="AJ105" s="477"/>
      <c r="AK105" s="477"/>
      <c r="AL105" s="477"/>
    </row>
    <row r="106" spans="3:43" ht="15" hidden="1">
      <c r="C106" s="154"/>
      <c r="D106" s="153"/>
      <c r="E106" s="153"/>
      <c r="F106" s="473" t="str">
        <f>F98</f>
        <v>-0.39 kN/m2</v>
      </c>
      <c r="G106" s="408"/>
      <c r="H106" s="408"/>
      <c r="I106" s="408"/>
      <c r="J106" s="408"/>
      <c r="K106" s="408"/>
      <c r="L106" s="408"/>
      <c r="M106" s="408"/>
      <c r="N106" s="409"/>
      <c r="O106" s="436" t="str">
        <f>O98</f>
        <v>-0.5 kN/m2</v>
      </c>
      <c r="P106" s="437"/>
      <c r="Q106" s="437"/>
      <c r="R106" s="437"/>
      <c r="S106" s="437"/>
      <c r="T106" s="474"/>
      <c r="U106" s="478" t="str">
        <f>VLOOKUP(48,$BE$8:$BH$127,1+MATCH($AC$7,$BF$7:$BH$7,0))</f>
        <v>Vùng F</v>
      </c>
      <c r="V106" s="449"/>
      <c r="W106" s="449"/>
      <c r="X106" s="450"/>
      <c r="Y106" s="333"/>
      <c r="Z106" s="153"/>
      <c r="AA106" s="75"/>
      <c r="AD106" s="477"/>
      <c r="AE106" s="477"/>
      <c r="AF106" s="477"/>
      <c r="AG106" s="477"/>
      <c r="AH106" s="477"/>
      <c r="AI106" s="477"/>
      <c r="AJ106" s="477"/>
      <c r="AK106" s="477"/>
      <c r="AL106" s="477"/>
    </row>
    <row r="107" spans="3:43" ht="15" hidden="1">
      <c r="C107" s="154"/>
      <c r="D107" s="153"/>
      <c r="E107" s="153"/>
      <c r="F107" s="68"/>
      <c r="G107" s="138"/>
      <c r="H107" s="138"/>
      <c r="I107" s="138"/>
      <c r="J107" s="138"/>
      <c r="K107" s="138"/>
      <c r="L107" s="138"/>
      <c r="M107" s="138"/>
      <c r="N107" s="64"/>
      <c r="O107" s="68"/>
      <c r="P107" s="138"/>
      <c r="Q107" s="138"/>
      <c r="R107" s="138"/>
      <c r="S107" s="138"/>
      <c r="T107" s="81"/>
      <c r="U107" s="419" t="str">
        <f>U94</f>
        <v>-1.98 kN/m2</v>
      </c>
      <c r="V107" s="420"/>
      <c r="W107" s="420"/>
      <c r="X107" s="421"/>
      <c r="Y107" s="333"/>
      <c r="Z107" s="153"/>
      <c r="AA107" s="75"/>
      <c r="AD107" s="82"/>
      <c r="AE107" s="82"/>
      <c r="AF107" s="82"/>
      <c r="AG107" s="82"/>
      <c r="AH107" s="82"/>
      <c r="AI107" s="82"/>
      <c r="AJ107" s="82"/>
      <c r="AK107" s="82"/>
    </row>
    <row r="108" spans="3:43" ht="15.75" hidden="1" thickBot="1">
      <c r="C108" s="154"/>
      <c r="D108" s="153"/>
      <c r="E108" s="153"/>
      <c r="F108" s="69"/>
      <c r="G108" s="70"/>
      <c r="H108" s="70"/>
      <c r="I108" s="70"/>
      <c r="J108" s="70"/>
      <c r="K108" s="70"/>
      <c r="L108" s="70"/>
      <c r="M108" s="70"/>
      <c r="N108" s="71"/>
      <c r="O108" s="69"/>
      <c r="P108" s="70"/>
      <c r="Q108" s="70"/>
      <c r="R108" s="70"/>
      <c r="S108" s="70"/>
      <c r="T108" s="83"/>
      <c r="U108" s="479" t="str">
        <f>U95</f>
        <v>-1.44 kN/m2</v>
      </c>
      <c r="V108" s="452"/>
      <c r="W108" s="452"/>
      <c r="X108" s="453"/>
      <c r="Y108" s="333"/>
      <c r="Z108" s="153"/>
      <c r="AA108" s="75"/>
      <c r="AC108" s="84"/>
      <c r="AD108" s="85"/>
      <c r="AE108" s="85"/>
      <c r="AF108" s="85"/>
      <c r="AG108" s="85"/>
      <c r="AH108" s="85"/>
      <c r="AI108" s="85"/>
      <c r="AJ108" s="85"/>
      <c r="AK108" s="85"/>
    </row>
    <row r="109" spans="3:43" hidden="1">
      <c r="C109" s="158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75"/>
      <c r="AC109" s="84"/>
      <c r="AD109" s="85"/>
      <c r="AE109" s="85"/>
      <c r="AF109" s="85"/>
      <c r="AG109" s="85"/>
      <c r="AH109" s="85"/>
      <c r="AI109" s="85"/>
      <c r="AJ109" s="85"/>
      <c r="AK109" s="85"/>
    </row>
    <row r="110" spans="3:43" ht="15" hidden="1">
      <c r="C110" s="273" t="str">
        <f>VLOOKUP(61,$BE$8:$BH$127,1+MATCH($AC$7,$BF$7:$BH$7,0))</f>
        <v>SƠ ĐỒ PHÂN CHIA VÙNG ÁP LỰC GIÓ (GIÓ X+)</v>
      </c>
      <c r="D110" s="274"/>
      <c r="E110" s="274"/>
      <c r="F110" s="274"/>
      <c r="G110" s="274"/>
      <c r="H110" s="274"/>
      <c r="I110" s="274"/>
      <c r="J110" s="274"/>
      <c r="K110" s="274"/>
      <c r="L110" s="274"/>
      <c r="M110" s="274"/>
      <c r="N110" s="274"/>
      <c r="O110" s="274"/>
      <c r="P110" s="274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  <c r="AA110" s="275"/>
      <c r="AC110" s="84"/>
      <c r="AD110" s="85"/>
      <c r="AE110" s="85"/>
      <c r="AF110" s="85"/>
      <c r="AG110" s="85"/>
      <c r="AH110" s="86"/>
      <c r="AI110" s="85"/>
      <c r="AJ110" s="85"/>
      <c r="AK110" s="85"/>
    </row>
    <row r="111" spans="3:43" ht="13.5" hidden="1" thickBot="1">
      <c r="C111" s="154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60"/>
      <c r="AC111" s="84"/>
      <c r="AD111" s="85"/>
      <c r="AE111" s="85"/>
      <c r="AF111" s="85"/>
      <c r="AG111" s="85"/>
      <c r="AH111" s="85"/>
      <c r="AI111" s="85"/>
      <c r="AJ111" s="85"/>
      <c r="AK111" s="85"/>
    </row>
    <row r="112" spans="3:43" ht="15" hidden="1" customHeight="1">
      <c r="C112" s="154"/>
      <c r="D112" s="153"/>
      <c r="E112" s="153"/>
      <c r="F112" s="52" t="s">
        <v>157</v>
      </c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4"/>
      <c r="Y112" s="491"/>
      <c r="Z112" s="153"/>
      <c r="AA112" s="160"/>
      <c r="AC112" s="84"/>
      <c r="AD112" s="85"/>
      <c r="AE112" s="85"/>
      <c r="AF112" s="85"/>
      <c r="AG112" s="85"/>
      <c r="AH112" s="85"/>
      <c r="AI112" s="85"/>
      <c r="AJ112" s="85"/>
      <c r="AK112" s="85"/>
    </row>
    <row r="113" spans="3:37" ht="12.75" hidden="1" customHeight="1">
      <c r="C113" s="154"/>
      <c r="D113" s="153"/>
      <c r="E113" s="153"/>
      <c r="F113" s="55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56"/>
      <c r="Y113" s="491"/>
      <c r="Z113" s="153"/>
      <c r="AA113" s="160"/>
      <c r="AC113" s="84"/>
      <c r="AD113" s="85"/>
      <c r="AE113" s="85"/>
      <c r="AF113" s="85"/>
      <c r="AG113" s="85"/>
      <c r="AH113" s="85"/>
      <c r="AI113" s="85"/>
      <c r="AJ113" s="85"/>
      <c r="AK113" s="85"/>
    </row>
    <row r="114" spans="3:37" ht="12.75" hidden="1" customHeight="1">
      <c r="C114" s="154"/>
      <c r="D114" s="153"/>
      <c r="E114" s="153"/>
      <c r="F114" s="425" t="str">
        <f>VLOOKUP(51,$BE$8:$BH$127,1+MATCH($AC$7,$BF$7:$BH$7,0))</f>
        <v>Vùng I</v>
      </c>
      <c r="G114" s="349"/>
      <c r="H114" s="349"/>
      <c r="I114" s="349"/>
      <c r="J114" s="349"/>
      <c r="K114" s="349"/>
      <c r="L114" s="349"/>
      <c r="M114" s="349"/>
      <c r="N114" s="349"/>
      <c r="O114" s="349"/>
      <c r="P114" s="349"/>
      <c r="Q114" s="349"/>
      <c r="R114" s="349"/>
      <c r="S114" s="349"/>
      <c r="T114" s="349"/>
      <c r="U114" s="349"/>
      <c r="V114" s="349"/>
      <c r="W114" s="349"/>
      <c r="X114" s="426"/>
      <c r="Y114" s="491"/>
      <c r="Z114" s="153"/>
      <c r="AA114" s="160"/>
      <c r="AC114" s="84"/>
      <c r="AD114" s="85"/>
      <c r="AE114" s="85"/>
      <c r="AF114" s="85"/>
      <c r="AG114" s="85"/>
      <c r="AH114" s="85"/>
      <c r="AI114" s="85"/>
      <c r="AJ114" s="85"/>
      <c r="AK114" s="85"/>
    </row>
    <row r="115" spans="3:37" ht="12.75" hidden="1" customHeight="1">
      <c r="C115" s="154"/>
      <c r="D115" s="153"/>
      <c r="E115" s="153"/>
      <c r="F115" s="460" t="str">
        <f>ROUND(L64,2)&amp;" kN/m2"</f>
        <v>-0.91 kN/m2</v>
      </c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461"/>
      <c r="X115" s="462"/>
      <c r="Y115" s="491"/>
      <c r="Z115" s="153"/>
      <c r="AA115" s="160"/>
      <c r="AC115" s="13" t="s">
        <v>145</v>
      </c>
      <c r="AD115" s="407">
        <f>M17</f>
        <v>120</v>
      </c>
      <c r="AE115" s="407"/>
      <c r="AF115" s="13" t="s">
        <v>146</v>
      </c>
      <c r="AG115" s="13"/>
      <c r="AH115" s="13" t="s">
        <v>147</v>
      </c>
      <c r="AI115" s="407">
        <f>M19</f>
        <v>10</v>
      </c>
      <c r="AJ115" s="407"/>
      <c r="AK115" s="13" t="s">
        <v>146</v>
      </c>
    </row>
    <row r="116" spans="3:37" ht="12.75" hidden="1" customHeight="1">
      <c r="C116" s="154"/>
      <c r="D116" s="153"/>
      <c r="E116" s="153"/>
      <c r="F116" s="473" t="str">
        <f>ROUND(L65,2)&amp;" kN/m2"</f>
        <v>-0.33 kN/m2</v>
      </c>
      <c r="G116" s="408"/>
      <c r="H116" s="408"/>
      <c r="I116" s="408"/>
      <c r="J116" s="408"/>
      <c r="K116" s="408"/>
      <c r="L116" s="408"/>
      <c r="M116" s="408"/>
      <c r="N116" s="408"/>
      <c r="O116" s="408"/>
      <c r="P116" s="408"/>
      <c r="Q116" s="408"/>
      <c r="R116" s="408"/>
      <c r="S116" s="408"/>
      <c r="T116" s="408"/>
      <c r="U116" s="408"/>
      <c r="V116" s="408"/>
      <c r="W116" s="408"/>
      <c r="X116" s="409"/>
      <c r="Y116" s="491"/>
      <c r="Z116" s="153"/>
      <c r="AA116" s="160"/>
      <c r="AC116" s="13" t="s">
        <v>151</v>
      </c>
      <c r="AD116" s="407">
        <f>M18</f>
        <v>20</v>
      </c>
      <c r="AE116" s="407"/>
      <c r="AF116" s="13" t="s">
        <v>146</v>
      </c>
      <c r="AG116" s="13"/>
      <c r="AH116" s="13" t="s">
        <v>152</v>
      </c>
      <c r="AI116" s="407">
        <f>MIN(AD115,2*AI115)</f>
        <v>20</v>
      </c>
      <c r="AJ116" s="407"/>
      <c r="AK116" s="13" t="s">
        <v>146</v>
      </c>
    </row>
    <row r="117" spans="3:37" ht="12.75" hidden="1" customHeight="1">
      <c r="C117" s="154"/>
      <c r="D117" s="153"/>
      <c r="E117" s="153"/>
      <c r="F117" s="55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32"/>
      <c r="V117" s="132"/>
      <c r="W117" s="132"/>
      <c r="X117" s="56"/>
      <c r="Y117" s="491"/>
      <c r="Z117" s="153"/>
      <c r="AA117" s="160"/>
      <c r="AC117" s="84"/>
      <c r="AD117" s="85"/>
      <c r="AE117" s="85"/>
      <c r="AF117" s="85"/>
      <c r="AG117" s="85"/>
      <c r="AH117" s="85"/>
      <c r="AI117" s="85"/>
      <c r="AJ117" s="85"/>
      <c r="AK117" s="85"/>
    </row>
    <row r="118" spans="3:37" ht="12.75" hidden="1" customHeight="1">
      <c r="C118" s="154"/>
      <c r="D118" s="153"/>
      <c r="E118" s="153"/>
      <c r="F118" s="448" t="str">
        <f>VLOOKUP(52,$BE$8:$BH$127,1+MATCH($AC$7,$BF$7:$BH$7,0))</f>
        <v>Vùng J</v>
      </c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  <c r="R118" s="449"/>
      <c r="S118" s="449"/>
      <c r="T118" s="449"/>
      <c r="U118" s="449"/>
      <c r="V118" s="449"/>
      <c r="W118" s="449"/>
      <c r="X118" s="450"/>
      <c r="Y118" s="491" t="str">
        <f>"d = "&amp;ROUND(AI116/10,1)&amp;"m"</f>
        <v>d = 2m</v>
      </c>
      <c r="Z118" s="153"/>
      <c r="AA118" s="160"/>
      <c r="AC118" s="84"/>
      <c r="AD118" s="85"/>
      <c r="AE118" s="85"/>
      <c r="AF118" s="85"/>
      <c r="AG118" s="85"/>
      <c r="AH118" s="85"/>
      <c r="AI118" s="85"/>
      <c r="AJ118" s="85"/>
      <c r="AK118" s="85"/>
    </row>
    <row r="119" spans="3:37" ht="12.75" hidden="1" customHeight="1">
      <c r="C119" s="154"/>
      <c r="D119" s="153"/>
      <c r="E119" s="153"/>
      <c r="F119" s="460" t="str">
        <f>ROUND(N64,2)&amp;" kNm2"</f>
        <v>-0.56 kNm2</v>
      </c>
      <c r="G119" s="461"/>
      <c r="H119" s="461"/>
      <c r="I119" s="461"/>
      <c r="J119" s="461"/>
      <c r="K119" s="461"/>
      <c r="L119" s="461"/>
      <c r="M119" s="461"/>
      <c r="N119" s="461"/>
      <c r="O119" s="461"/>
      <c r="P119" s="461"/>
      <c r="Q119" s="461"/>
      <c r="R119" s="461"/>
      <c r="S119" s="461"/>
      <c r="T119" s="461"/>
      <c r="U119" s="461"/>
      <c r="V119" s="461"/>
      <c r="W119" s="461"/>
      <c r="X119" s="462"/>
      <c r="Y119" s="491"/>
      <c r="Z119" s="153"/>
      <c r="AA119" s="160"/>
      <c r="AC119" s="84"/>
      <c r="AD119" s="85"/>
      <c r="AE119" s="85"/>
      <c r="AF119" s="85"/>
      <c r="AG119" s="85"/>
      <c r="AH119" s="85"/>
      <c r="AI119" s="85"/>
      <c r="AJ119" s="85"/>
      <c r="AK119" s="85"/>
    </row>
    <row r="120" spans="3:37" ht="13.5" hidden="1" customHeight="1" thickBot="1">
      <c r="C120" s="154"/>
      <c r="D120" s="153"/>
      <c r="E120" s="153"/>
      <c r="F120" s="500" t="str">
        <f>IF(N65=0,"",ROUND(N65,2)&amp;" kNm2")</f>
        <v>0.01 kNm2</v>
      </c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  <c r="S120" s="501"/>
      <c r="T120" s="501"/>
      <c r="U120" s="501"/>
      <c r="V120" s="501"/>
      <c r="W120" s="501"/>
      <c r="X120" s="502"/>
      <c r="Y120" s="491"/>
      <c r="Z120" s="153"/>
      <c r="AA120" s="160"/>
      <c r="AC120" s="84"/>
      <c r="AD120" s="85"/>
      <c r="AE120" s="85"/>
      <c r="AF120" s="85"/>
      <c r="AG120" s="85"/>
      <c r="AH120" s="85"/>
      <c r="AI120" s="85"/>
      <c r="AJ120" s="85"/>
      <c r="AK120" s="85"/>
    </row>
    <row r="121" spans="3:37" ht="15.75" hidden="1" customHeight="1" thickTop="1">
      <c r="C121" s="154"/>
      <c r="D121" s="153"/>
      <c r="E121" s="153"/>
      <c r="F121" s="425" t="str">
        <f>VLOOKUP(53,$BE$8:$BH$127,1+MATCH($AC$7,$BF$7:$BH$7,0))</f>
        <v>Đường nóc</v>
      </c>
      <c r="G121" s="349"/>
      <c r="H121" s="349"/>
      <c r="I121" s="349"/>
      <c r="J121" s="349"/>
      <c r="K121" s="349"/>
      <c r="L121" s="349"/>
      <c r="M121" s="349"/>
      <c r="N121" s="349"/>
      <c r="O121" s="349"/>
      <c r="P121" s="349"/>
      <c r="Q121" s="349"/>
      <c r="R121" s="349"/>
      <c r="S121" s="349"/>
      <c r="T121" s="349"/>
      <c r="U121" s="349"/>
      <c r="V121" s="349"/>
      <c r="W121" s="349"/>
      <c r="X121" s="426"/>
      <c r="Y121" s="491"/>
      <c r="Z121" s="153"/>
      <c r="AA121" s="160"/>
      <c r="AC121" s="84"/>
      <c r="AD121" s="85"/>
      <c r="AE121" s="85"/>
      <c r="AF121" s="85"/>
      <c r="AG121" s="85"/>
      <c r="AH121" s="85"/>
      <c r="AI121" s="85"/>
      <c r="AJ121" s="85"/>
      <c r="AK121" s="85"/>
    </row>
    <row r="122" spans="3:37" ht="12.75" hidden="1" customHeight="1">
      <c r="C122" s="154"/>
      <c r="D122" s="153"/>
      <c r="E122" s="153"/>
      <c r="F122" s="65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66"/>
      <c r="Y122" s="491"/>
      <c r="Z122" s="153"/>
      <c r="AA122" s="160"/>
      <c r="AC122" s="84"/>
      <c r="AD122" s="85"/>
      <c r="AE122" s="85"/>
      <c r="AF122" s="85"/>
      <c r="AG122" s="85"/>
      <c r="AH122" s="85"/>
      <c r="AI122" s="85"/>
      <c r="AJ122" s="85"/>
      <c r="AK122" s="85"/>
    </row>
    <row r="123" spans="3:37" ht="12.75" hidden="1" customHeight="1">
      <c r="C123" s="154"/>
      <c r="D123" s="153"/>
      <c r="E123" s="153"/>
      <c r="F123" s="503" t="str">
        <f>VLOOKUP(50,$BE$8:$BH$127,1+MATCH($AC$7,$BF$7:$BH$7,0))</f>
        <v>Vùng H</v>
      </c>
      <c r="G123" s="504"/>
      <c r="H123" s="504"/>
      <c r="I123" s="504"/>
      <c r="J123" s="504"/>
      <c r="K123" s="504"/>
      <c r="L123" s="504"/>
      <c r="M123" s="504"/>
      <c r="N123" s="504"/>
      <c r="O123" s="504"/>
      <c r="P123" s="504"/>
      <c r="Q123" s="504"/>
      <c r="R123" s="504"/>
      <c r="S123" s="504"/>
      <c r="T123" s="504"/>
      <c r="U123" s="504"/>
      <c r="V123" s="504"/>
      <c r="W123" s="504"/>
      <c r="X123" s="505"/>
      <c r="Y123" s="491"/>
      <c r="Z123" s="153"/>
      <c r="AA123" s="160"/>
      <c r="AC123" s="84"/>
      <c r="AD123" s="85"/>
      <c r="AE123" s="85"/>
      <c r="AF123" s="85"/>
      <c r="AG123" s="85"/>
      <c r="AH123" s="85"/>
      <c r="AI123" s="85"/>
      <c r="AJ123" s="85"/>
      <c r="AK123" s="85"/>
    </row>
    <row r="124" spans="3:37" ht="12.75" hidden="1" customHeight="1">
      <c r="C124" s="154"/>
      <c r="D124" s="153"/>
      <c r="E124" s="153"/>
      <c r="F124" s="460" t="str">
        <f>ROUND(J64,2)&amp;" kN/m2"</f>
        <v>-0.87 kN/m2</v>
      </c>
      <c r="G124" s="461"/>
      <c r="H124" s="461"/>
      <c r="I124" s="461"/>
      <c r="J124" s="461"/>
      <c r="K124" s="461"/>
      <c r="L124" s="461"/>
      <c r="M124" s="461"/>
      <c r="N124" s="461"/>
      <c r="O124" s="461"/>
      <c r="P124" s="461"/>
      <c r="Q124" s="461"/>
      <c r="R124" s="461"/>
      <c r="S124" s="461"/>
      <c r="T124" s="461"/>
      <c r="U124" s="461"/>
      <c r="V124" s="461"/>
      <c r="W124" s="461"/>
      <c r="X124" s="462"/>
      <c r="Y124" s="491"/>
      <c r="Z124" s="153"/>
      <c r="AA124" s="160"/>
      <c r="AC124" s="84"/>
      <c r="AD124" s="85"/>
      <c r="AE124" s="85"/>
      <c r="AF124" s="85"/>
      <c r="AG124" s="85"/>
      <c r="AH124" s="85"/>
      <c r="AI124" s="85"/>
      <c r="AJ124" s="85"/>
      <c r="AK124" s="85"/>
    </row>
    <row r="125" spans="3:37" ht="12.75" hidden="1" customHeight="1">
      <c r="C125" s="154"/>
      <c r="D125" s="153"/>
      <c r="E125" s="153"/>
      <c r="F125" s="473" t="str">
        <f>IF(J65&lt;&gt;0,ROUND(J65,2)&amp;" kN/m2","")</f>
        <v>-0.29 kN/m2</v>
      </c>
      <c r="G125" s="408"/>
      <c r="H125" s="408"/>
      <c r="I125" s="408"/>
      <c r="J125" s="408"/>
      <c r="K125" s="408"/>
      <c r="L125" s="408"/>
      <c r="M125" s="408"/>
      <c r="N125" s="408"/>
      <c r="O125" s="408"/>
      <c r="P125" s="408"/>
      <c r="Q125" s="408"/>
      <c r="R125" s="408"/>
      <c r="S125" s="408"/>
      <c r="T125" s="408"/>
      <c r="U125" s="408"/>
      <c r="V125" s="408"/>
      <c r="W125" s="408"/>
      <c r="X125" s="409"/>
      <c r="Y125" s="491"/>
      <c r="Z125" s="153"/>
      <c r="AA125" s="160"/>
      <c r="AC125" s="84"/>
      <c r="AD125" s="85"/>
      <c r="AE125" s="85"/>
      <c r="AF125" s="85"/>
      <c r="AG125" s="85"/>
      <c r="AH125" s="85"/>
      <c r="AI125" s="85"/>
      <c r="AJ125" s="85"/>
      <c r="AK125" s="85"/>
    </row>
    <row r="126" spans="3:37" ht="12.75" hidden="1" customHeight="1">
      <c r="C126" s="154"/>
      <c r="D126" s="153"/>
      <c r="E126" s="153"/>
      <c r="F126" s="503"/>
      <c r="G126" s="504"/>
      <c r="H126" s="504"/>
      <c r="I126" s="504"/>
      <c r="J126" s="504"/>
      <c r="K126" s="504"/>
      <c r="L126" s="504"/>
      <c r="M126" s="504"/>
      <c r="N126" s="504"/>
      <c r="O126" s="504"/>
      <c r="P126" s="504"/>
      <c r="Q126" s="504"/>
      <c r="R126" s="504"/>
      <c r="S126" s="504"/>
      <c r="T126" s="504"/>
      <c r="U126" s="504"/>
      <c r="V126" s="504"/>
      <c r="W126" s="504"/>
      <c r="X126" s="505"/>
      <c r="Y126" s="491"/>
      <c r="Z126" s="153"/>
      <c r="AA126" s="160"/>
      <c r="AC126" s="84"/>
      <c r="AD126" s="85"/>
      <c r="AE126" s="85"/>
      <c r="AF126" s="85"/>
      <c r="AG126" s="85"/>
      <c r="AH126" s="85"/>
      <c r="AI126" s="85"/>
      <c r="AJ126" s="85"/>
      <c r="AK126" s="85"/>
    </row>
    <row r="127" spans="3:37" ht="12.75" hidden="1" customHeight="1">
      <c r="C127" s="154"/>
      <c r="D127" s="153"/>
      <c r="E127" s="153"/>
      <c r="F127" s="507" t="str">
        <f>VLOOKUP(48,$BE$8:$BH$127,1+MATCH($AC$7,$BF$7:$BH$7,0))</f>
        <v>Vùng F</v>
      </c>
      <c r="G127" s="508"/>
      <c r="H127" s="508"/>
      <c r="I127" s="508"/>
      <c r="J127" s="509" t="str">
        <f>VLOOKUP(49,$BE$8:$BH$127,1+MATCH($AC$7,$BF$7:$BH$7,0))</f>
        <v>Vùng G</v>
      </c>
      <c r="K127" s="508"/>
      <c r="L127" s="508"/>
      <c r="M127" s="508"/>
      <c r="N127" s="508"/>
      <c r="O127" s="508"/>
      <c r="P127" s="508"/>
      <c r="Q127" s="508"/>
      <c r="R127" s="508"/>
      <c r="S127" s="508"/>
      <c r="T127" s="510"/>
      <c r="U127" s="508" t="str">
        <f>VLOOKUP(48,$BE$8:$BH$127,1+MATCH($AC$7,$BF$7:$BH$7,0))</f>
        <v>Vùng F</v>
      </c>
      <c r="V127" s="508"/>
      <c r="W127" s="508"/>
      <c r="X127" s="511"/>
      <c r="Y127" s="492" t="str">
        <f>"d = "&amp;ROUND(AI116/10,1)&amp;"m"</f>
        <v>d = 2m</v>
      </c>
      <c r="Z127" s="153"/>
      <c r="AA127" s="160"/>
      <c r="AC127" s="84"/>
      <c r="AD127" s="85"/>
      <c r="AE127" s="85"/>
      <c r="AF127" s="85"/>
      <c r="AG127" s="85"/>
      <c r="AH127" s="85"/>
      <c r="AI127" s="85"/>
      <c r="AJ127" s="85"/>
      <c r="AK127" s="85"/>
    </row>
    <row r="128" spans="3:37" ht="12.75" hidden="1" customHeight="1">
      <c r="C128" s="154"/>
      <c r="D128" s="153"/>
      <c r="E128" s="153"/>
      <c r="F128" s="460" t="str">
        <f>ROUND(F64,2)&amp;" kN/m2"</f>
        <v>-1.92 kN/m2</v>
      </c>
      <c r="G128" s="461"/>
      <c r="H128" s="461"/>
      <c r="I128" s="461"/>
      <c r="J128" s="493" t="str">
        <f>ROUND(H64,2)&amp;" kN/m2"</f>
        <v>-1.51 kN/m2</v>
      </c>
      <c r="K128" s="461"/>
      <c r="L128" s="461"/>
      <c r="M128" s="461"/>
      <c r="N128" s="461"/>
      <c r="O128" s="461"/>
      <c r="P128" s="461"/>
      <c r="Q128" s="461"/>
      <c r="R128" s="461"/>
      <c r="S128" s="461"/>
      <c r="T128" s="494"/>
      <c r="U128" s="461" t="str">
        <f>ROUND(F64,2)&amp;" kN/m2"</f>
        <v>-1.92 kN/m2</v>
      </c>
      <c r="V128" s="461"/>
      <c r="W128" s="461"/>
      <c r="X128" s="462"/>
      <c r="Y128" s="492"/>
      <c r="Z128" s="153"/>
      <c r="AA128" s="160"/>
      <c r="AC128" s="84"/>
      <c r="AD128" s="85"/>
      <c r="AE128" s="85"/>
      <c r="AF128" s="85"/>
      <c r="AG128" s="85"/>
      <c r="AH128" s="85"/>
      <c r="AI128" s="85"/>
      <c r="AJ128" s="85"/>
      <c r="AK128" s="85"/>
    </row>
    <row r="129" spans="3:37" ht="13.5" hidden="1" customHeight="1" thickBot="1">
      <c r="C129" s="154"/>
      <c r="D129" s="153"/>
      <c r="E129" s="153"/>
      <c r="F129" s="495" t="str">
        <f>IF(F65&lt;&gt;0,ROUND(F65,2)&amp;" kN/m2","")</f>
        <v>-1.34 kN/m2</v>
      </c>
      <c r="G129" s="496"/>
      <c r="H129" s="496"/>
      <c r="I129" s="496"/>
      <c r="J129" s="497" t="str">
        <f>IF(H65&lt;&gt;0,ROUND(H65,2)&amp;" kN/m2","")</f>
        <v>-0.94 kN/m2</v>
      </c>
      <c r="K129" s="496"/>
      <c r="L129" s="496"/>
      <c r="M129" s="496"/>
      <c r="N129" s="496"/>
      <c r="O129" s="496"/>
      <c r="P129" s="496"/>
      <c r="Q129" s="496"/>
      <c r="R129" s="496"/>
      <c r="S129" s="496"/>
      <c r="T129" s="498"/>
      <c r="U129" s="496" t="str">
        <f>IF(F65&lt;&gt;0,ROUND(F65,2)&amp;" kN/m2","")</f>
        <v>-1.34 kN/m2</v>
      </c>
      <c r="V129" s="496"/>
      <c r="W129" s="496"/>
      <c r="X129" s="499"/>
      <c r="Y129" s="492"/>
      <c r="Z129" s="153"/>
      <c r="AA129" s="160"/>
      <c r="AC129" s="84"/>
      <c r="AD129" s="85"/>
      <c r="AE129" s="85"/>
      <c r="AF129" s="85"/>
      <c r="AG129" s="85"/>
      <c r="AH129" s="85"/>
      <c r="AI129" s="85"/>
      <c r="AJ129" s="85"/>
      <c r="AK129" s="85"/>
    </row>
    <row r="130" spans="3:37" hidden="1">
      <c r="C130" s="154"/>
      <c r="D130" s="153"/>
      <c r="E130" s="153"/>
      <c r="F130" s="506" t="str">
        <f>"b1 = "&amp;ROUND(AI116/4,1)&amp;"m"</f>
        <v>b1 = 5m</v>
      </c>
      <c r="G130" s="506"/>
      <c r="H130" s="506"/>
      <c r="I130" s="506"/>
      <c r="J130" s="506" t="str">
        <f>"b2 = "&amp;ROUND(AD115-AI116/2,1)&amp;"m"</f>
        <v>b2 = 110m</v>
      </c>
      <c r="K130" s="506"/>
      <c r="L130" s="506"/>
      <c r="M130" s="506"/>
      <c r="N130" s="506"/>
      <c r="O130" s="506"/>
      <c r="P130" s="506"/>
      <c r="Q130" s="506"/>
      <c r="R130" s="506"/>
      <c r="S130" s="506"/>
      <c r="T130" s="506"/>
      <c r="U130" s="506" t="str">
        <f>"b3 = "&amp;ROUND(AI116/4,1)&amp;"m"</f>
        <v>b3 = 5m</v>
      </c>
      <c r="V130" s="506"/>
      <c r="W130" s="506"/>
      <c r="X130" s="506"/>
      <c r="Y130" s="153"/>
      <c r="Z130" s="153"/>
      <c r="AA130" s="160"/>
      <c r="AC130" s="84"/>
      <c r="AD130" s="85"/>
      <c r="AE130" s="85"/>
      <c r="AF130" s="85"/>
      <c r="AG130" s="85"/>
      <c r="AH130" s="85"/>
      <c r="AI130" s="85"/>
      <c r="AJ130" s="85"/>
      <c r="AK130" s="85"/>
    </row>
    <row r="131" spans="3:37" hidden="1">
      <c r="C131" s="154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60"/>
      <c r="AC131" s="84"/>
      <c r="AD131" s="85"/>
      <c r="AE131" s="85"/>
      <c r="AF131" s="85"/>
      <c r="AG131" s="85"/>
      <c r="AH131" s="85"/>
      <c r="AI131" s="85"/>
      <c r="AJ131" s="85"/>
      <c r="AK131" s="85"/>
    </row>
    <row r="132" spans="3:37" ht="15" hidden="1">
      <c r="C132" s="273" t="str">
        <f>VLOOKUP(62,$BE$8:$BH$127,1+MATCH($AC$7,$BF$7:$BH$7,0))</f>
        <v>SƠ ĐỒ PHÂN CHIA VÙNG ÁP LỰC GIÓ (GIÓ X+)</v>
      </c>
      <c r="D132" s="274"/>
      <c r="E132" s="274"/>
      <c r="F132" s="274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  <c r="AA132" s="275"/>
    </row>
    <row r="133" spans="3:37" hidden="1">
      <c r="C133" s="154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60"/>
    </row>
    <row r="134" spans="3:37" ht="13.5" hidden="1" thickBot="1">
      <c r="C134" s="154"/>
      <c r="D134" s="153"/>
      <c r="E134" s="153"/>
      <c r="F134" s="465" t="str">
        <f>"b1 = "&amp;ROUND(AI116/4,1)&amp;"m"</f>
        <v>b1 = 5m</v>
      </c>
      <c r="G134" s="465"/>
      <c r="H134" s="465"/>
      <c r="I134" s="465"/>
      <c r="J134" s="465" t="str">
        <f>"b2 = "&amp;ROUND(AD115-AI116/2,1)&amp;"m"</f>
        <v>b2 = 110m</v>
      </c>
      <c r="K134" s="465"/>
      <c r="L134" s="465"/>
      <c r="M134" s="465"/>
      <c r="N134" s="465"/>
      <c r="O134" s="465"/>
      <c r="P134" s="465"/>
      <c r="Q134" s="465"/>
      <c r="R134" s="465"/>
      <c r="S134" s="465"/>
      <c r="T134" s="465"/>
      <c r="U134" s="465" t="str">
        <f>"b3 = "&amp;ROUND(AI116/4,1)&amp;"m"</f>
        <v>b3 = 5m</v>
      </c>
      <c r="V134" s="465"/>
      <c r="W134" s="465"/>
      <c r="X134" s="465"/>
      <c r="Y134" s="153"/>
      <c r="Z134" s="153"/>
      <c r="AA134" s="160"/>
    </row>
    <row r="135" spans="3:37" ht="15" hidden="1">
      <c r="C135" s="154"/>
      <c r="D135" s="153"/>
      <c r="E135" s="153"/>
      <c r="F135" s="512" t="str">
        <f>VLOOKUP(48,$BE$8:$BH$127,1+MATCH($AC$7,$BF$7:$BH$7,0))</f>
        <v>Vùng F</v>
      </c>
      <c r="G135" s="513"/>
      <c r="H135" s="513"/>
      <c r="I135" s="513"/>
      <c r="J135" s="514" t="str">
        <f>VLOOKUP(49,$BE$8:$BH$127,1+MATCH($AC$7,$BF$7:$BH$7,0))</f>
        <v>Vùng G</v>
      </c>
      <c r="K135" s="513"/>
      <c r="L135" s="513"/>
      <c r="M135" s="513"/>
      <c r="N135" s="513"/>
      <c r="O135" s="513"/>
      <c r="P135" s="513"/>
      <c r="Q135" s="513"/>
      <c r="R135" s="513"/>
      <c r="S135" s="513"/>
      <c r="T135" s="515"/>
      <c r="U135" s="513" t="str">
        <f>VLOOKUP(48,$BE$8:$BH$127,1+MATCH($AC$7,$BF$7:$BH$7,0))</f>
        <v>Vùng F</v>
      </c>
      <c r="V135" s="513"/>
      <c r="W135" s="513"/>
      <c r="X135" s="516"/>
      <c r="Y135" s="517" t="str">
        <f>"d = "&amp;ROUND(AI116/10,1)&amp;"m"</f>
        <v>d = 2m</v>
      </c>
      <c r="Z135" s="153"/>
      <c r="AA135" s="160"/>
    </row>
    <row r="136" spans="3:37" ht="15" hidden="1">
      <c r="C136" s="154"/>
      <c r="D136" s="153"/>
      <c r="E136" s="153"/>
      <c r="F136" s="460" t="e">
        <f>ROUND(#REF!,2)&amp;" kN/m2"</f>
        <v>#REF!</v>
      </c>
      <c r="G136" s="461"/>
      <c r="H136" s="461"/>
      <c r="I136" s="461"/>
      <c r="J136" s="493" t="e">
        <f>ROUND(#REF!,2)&amp;" kN/m2"</f>
        <v>#REF!</v>
      </c>
      <c r="K136" s="461"/>
      <c r="L136" s="461"/>
      <c r="M136" s="461"/>
      <c r="N136" s="461"/>
      <c r="O136" s="461"/>
      <c r="P136" s="461"/>
      <c r="Q136" s="461"/>
      <c r="R136" s="461"/>
      <c r="S136" s="461"/>
      <c r="T136" s="494"/>
      <c r="U136" s="461" t="e">
        <f>F136</f>
        <v>#REF!</v>
      </c>
      <c r="V136" s="461"/>
      <c r="W136" s="461"/>
      <c r="X136" s="462"/>
      <c r="Y136" s="517"/>
      <c r="Z136" s="153"/>
      <c r="AA136" s="160"/>
    </row>
    <row r="137" spans="3:37" ht="15" hidden="1">
      <c r="C137" s="154"/>
      <c r="D137" s="153"/>
      <c r="E137" s="153"/>
      <c r="F137" s="518" t="e">
        <f>IF(#REF!&lt;&gt;0,ROUND(#REF!,2)&amp;" kN/m2","")</f>
        <v>#REF!</v>
      </c>
      <c r="G137" s="519"/>
      <c r="H137" s="519"/>
      <c r="I137" s="519"/>
      <c r="J137" s="520" t="e">
        <f>IF(#REF!&lt;&gt;0,ROUND(#REF!,2)&amp;" kN/m2","")</f>
        <v>#REF!</v>
      </c>
      <c r="K137" s="519"/>
      <c r="L137" s="519"/>
      <c r="M137" s="519"/>
      <c r="N137" s="519"/>
      <c r="O137" s="519"/>
      <c r="P137" s="519"/>
      <c r="Q137" s="519"/>
      <c r="R137" s="519"/>
      <c r="S137" s="519"/>
      <c r="T137" s="521"/>
      <c r="U137" s="519" t="e">
        <f>F137</f>
        <v>#REF!</v>
      </c>
      <c r="V137" s="519"/>
      <c r="W137" s="519"/>
      <c r="X137" s="522"/>
      <c r="Y137" s="517"/>
      <c r="Z137" s="153"/>
      <c r="AA137" s="160"/>
    </row>
    <row r="138" spans="3:37" ht="15" hidden="1">
      <c r="C138" s="154"/>
      <c r="D138" s="153"/>
      <c r="E138" s="153"/>
      <c r="F138" s="55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56"/>
      <c r="Y138" s="523"/>
      <c r="Z138" s="153"/>
      <c r="AA138" s="160"/>
    </row>
    <row r="139" spans="3:37" ht="15" hidden="1">
      <c r="C139" s="154"/>
      <c r="D139" s="153"/>
      <c r="E139" s="153"/>
      <c r="F139" s="503" t="str">
        <f>VLOOKUP(50,$BE$8:$BH$127,1+MATCH($AC$7,$BF$7:$BH$7,0))</f>
        <v>Vùng H</v>
      </c>
      <c r="G139" s="504"/>
      <c r="H139" s="504"/>
      <c r="I139" s="504"/>
      <c r="J139" s="504"/>
      <c r="K139" s="504"/>
      <c r="L139" s="504"/>
      <c r="M139" s="504"/>
      <c r="N139" s="504"/>
      <c r="O139" s="504"/>
      <c r="P139" s="504"/>
      <c r="Q139" s="504"/>
      <c r="R139" s="504"/>
      <c r="S139" s="504"/>
      <c r="T139" s="504"/>
      <c r="U139" s="504"/>
      <c r="V139" s="504"/>
      <c r="W139" s="504"/>
      <c r="X139" s="505"/>
      <c r="Y139" s="523"/>
      <c r="Z139" s="153"/>
      <c r="AA139" s="160"/>
    </row>
    <row r="140" spans="3:37" ht="15" hidden="1">
      <c r="C140" s="154"/>
      <c r="D140" s="153"/>
      <c r="E140" s="153"/>
      <c r="F140" s="460" t="e">
        <f>ROUND(#REF!,2)&amp;" kN/m2"</f>
        <v>#REF!</v>
      </c>
      <c r="G140" s="461"/>
      <c r="H140" s="461"/>
      <c r="I140" s="461"/>
      <c r="J140" s="461"/>
      <c r="K140" s="461"/>
      <c r="L140" s="461"/>
      <c r="M140" s="461"/>
      <c r="N140" s="461"/>
      <c r="O140" s="461"/>
      <c r="P140" s="461"/>
      <c r="Q140" s="461"/>
      <c r="R140" s="461"/>
      <c r="S140" s="461"/>
      <c r="T140" s="461"/>
      <c r="U140" s="461"/>
      <c r="V140" s="461"/>
      <c r="W140" s="461"/>
      <c r="X140" s="462"/>
      <c r="Y140" s="523"/>
      <c r="Z140" s="153"/>
      <c r="AA140" s="160"/>
    </row>
    <row r="141" spans="3:37" ht="15" hidden="1">
      <c r="C141" s="154"/>
      <c r="D141" s="153"/>
      <c r="E141" s="153"/>
      <c r="F141" s="473" t="e">
        <f>IF(#REF!&lt;&gt;0,ROUND(#REF!,2)&amp;" kN/m2","")</f>
        <v>#REF!</v>
      </c>
      <c r="G141" s="408"/>
      <c r="H141" s="408"/>
      <c r="I141" s="408"/>
      <c r="J141" s="408"/>
      <c r="K141" s="408"/>
      <c r="L141" s="408"/>
      <c r="M141" s="408"/>
      <c r="N141" s="408"/>
      <c r="O141" s="408"/>
      <c r="P141" s="408"/>
      <c r="Q141" s="408"/>
      <c r="R141" s="408"/>
      <c r="S141" s="408"/>
      <c r="T141" s="408"/>
      <c r="U141" s="408"/>
      <c r="V141" s="408"/>
      <c r="W141" s="408"/>
      <c r="X141" s="409"/>
      <c r="Y141" s="523"/>
      <c r="Z141" s="153"/>
      <c r="AA141" s="160"/>
    </row>
    <row r="142" spans="3:37" ht="15" hidden="1">
      <c r="C142" s="154"/>
      <c r="D142" s="153"/>
      <c r="E142" s="153"/>
      <c r="F142" s="87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88"/>
      <c r="Y142" s="523"/>
      <c r="Z142" s="153"/>
      <c r="AA142" s="160"/>
    </row>
    <row r="143" spans="3:37" ht="15.75" hidden="1" thickBot="1">
      <c r="C143" s="154"/>
      <c r="D143" s="153"/>
      <c r="E143" s="153"/>
      <c r="F143" s="480" t="str">
        <f>VLOOKUP(53,$BE$8:$BH$127,1+MATCH($AC$7,$BF$7:$BH$7,0))</f>
        <v>Đường nóc</v>
      </c>
      <c r="G143" s="481"/>
      <c r="H143" s="481"/>
      <c r="I143" s="481"/>
      <c r="J143" s="481"/>
      <c r="K143" s="481"/>
      <c r="L143" s="481"/>
      <c r="M143" s="481"/>
      <c r="N143" s="481"/>
      <c r="O143" s="481"/>
      <c r="P143" s="481"/>
      <c r="Q143" s="481"/>
      <c r="R143" s="481"/>
      <c r="S143" s="481"/>
      <c r="T143" s="481"/>
      <c r="U143" s="481"/>
      <c r="V143" s="481"/>
      <c r="W143" s="481"/>
      <c r="X143" s="482"/>
      <c r="Y143" s="523"/>
      <c r="Z143" s="153"/>
      <c r="AA143" s="160"/>
    </row>
    <row r="144" spans="3:37" ht="15" hidden="1">
      <c r="C144" s="154"/>
      <c r="D144" s="153"/>
      <c r="E144" s="153"/>
      <c r="F144" s="425" t="str">
        <f>VLOOKUP(52,$BE$8:$BH$127,1+MATCH($AC$7,$BF$7:$BH$7,0))</f>
        <v>Vùng J</v>
      </c>
      <c r="G144" s="349"/>
      <c r="H144" s="349"/>
      <c r="I144" s="349"/>
      <c r="J144" s="349"/>
      <c r="K144" s="349"/>
      <c r="L144" s="349"/>
      <c r="M144" s="349"/>
      <c r="N144" s="349"/>
      <c r="O144" s="349"/>
      <c r="P144" s="349"/>
      <c r="Q144" s="349"/>
      <c r="R144" s="349"/>
      <c r="S144" s="349"/>
      <c r="T144" s="349"/>
      <c r="U144" s="349"/>
      <c r="V144" s="349"/>
      <c r="W144" s="349"/>
      <c r="X144" s="426"/>
      <c r="Y144" s="517" t="str">
        <f>"d = "&amp;ROUND(AI116/10,1)&amp;"m"</f>
        <v>d = 2m</v>
      </c>
      <c r="Z144" s="153"/>
      <c r="AA144" s="160"/>
    </row>
    <row r="145" spans="3:27" ht="15" hidden="1">
      <c r="C145" s="154"/>
      <c r="D145" s="153"/>
      <c r="E145" s="153"/>
      <c r="F145" s="460" t="e">
        <f>ROUND(#REF!,2)&amp;" kNm2"</f>
        <v>#REF!</v>
      </c>
      <c r="G145" s="461"/>
      <c r="H145" s="461"/>
      <c r="I145" s="461"/>
      <c r="J145" s="461"/>
      <c r="K145" s="461"/>
      <c r="L145" s="461"/>
      <c r="M145" s="461"/>
      <c r="N145" s="461"/>
      <c r="O145" s="461"/>
      <c r="P145" s="461"/>
      <c r="Q145" s="461"/>
      <c r="R145" s="461"/>
      <c r="S145" s="461"/>
      <c r="T145" s="461"/>
      <c r="U145" s="461"/>
      <c r="V145" s="461"/>
      <c r="W145" s="461"/>
      <c r="X145" s="462"/>
      <c r="Y145" s="517"/>
      <c r="Z145" s="153"/>
      <c r="AA145" s="160"/>
    </row>
    <row r="146" spans="3:27" ht="15" hidden="1">
      <c r="C146" s="154"/>
      <c r="D146" s="153"/>
      <c r="E146" s="153"/>
      <c r="F146" s="518" t="e">
        <f>IF(#REF!=0,"",ROUND(#REF!,2)&amp;" kNm2")</f>
        <v>#REF!</v>
      </c>
      <c r="G146" s="519"/>
      <c r="H146" s="519"/>
      <c r="I146" s="519"/>
      <c r="J146" s="519"/>
      <c r="K146" s="519"/>
      <c r="L146" s="519"/>
      <c r="M146" s="519"/>
      <c r="N146" s="519"/>
      <c r="O146" s="519"/>
      <c r="P146" s="519"/>
      <c r="Q146" s="519"/>
      <c r="R146" s="519"/>
      <c r="S146" s="519"/>
      <c r="T146" s="519"/>
      <c r="U146" s="519"/>
      <c r="V146" s="519"/>
      <c r="W146" s="519"/>
      <c r="X146" s="522"/>
      <c r="Y146" s="517"/>
      <c r="Z146" s="153"/>
      <c r="AA146" s="160"/>
    </row>
    <row r="147" spans="3:27" ht="15" hidden="1">
      <c r="C147" s="154"/>
      <c r="D147" s="153"/>
      <c r="E147" s="153"/>
      <c r="F147" s="65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66"/>
      <c r="Y147" s="523"/>
      <c r="Z147" s="153"/>
      <c r="AA147" s="160"/>
    </row>
    <row r="148" spans="3:27" ht="15" hidden="1">
      <c r="C148" s="154"/>
      <c r="D148" s="153"/>
      <c r="E148" s="153"/>
      <c r="F148" s="425" t="str">
        <f>VLOOKUP(51,$BE$8:$BH$127,1+MATCH($AC$7,$BF$7:$BH$7,0))</f>
        <v>Vùng I</v>
      </c>
      <c r="G148" s="349"/>
      <c r="H148" s="349"/>
      <c r="I148" s="349"/>
      <c r="J148" s="349"/>
      <c r="K148" s="349"/>
      <c r="L148" s="349"/>
      <c r="M148" s="349"/>
      <c r="N148" s="349"/>
      <c r="O148" s="349"/>
      <c r="P148" s="349"/>
      <c r="Q148" s="349"/>
      <c r="R148" s="349"/>
      <c r="S148" s="349"/>
      <c r="T148" s="349"/>
      <c r="U148" s="349"/>
      <c r="V148" s="349"/>
      <c r="W148" s="349"/>
      <c r="X148" s="426"/>
      <c r="Y148" s="523"/>
      <c r="Z148" s="153"/>
      <c r="AA148" s="160"/>
    </row>
    <row r="149" spans="3:27" ht="15" hidden="1">
      <c r="C149" s="154"/>
      <c r="D149" s="153"/>
      <c r="E149" s="153"/>
      <c r="F149" s="460" t="e">
        <f>ROUND(#REF!,2)&amp;" kN/m2"</f>
        <v>#REF!</v>
      </c>
      <c r="G149" s="461"/>
      <c r="H149" s="461"/>
      <c r="I149" s="461"/>
      <c r="J149" s="461"/>
      <c r="K149" s="461"/>
      <c r="L149" s="461"/>
      <c r="M149" s="461"/>
      <c r="N149" s="461"/>
      <c r="O149" s="461"/>
      <c r="P149" s="461"/>
      <c r="Q149" s="461"/>
      <c r="R149" s="461"/>
      <c r="S149" s="461"/>
      <c r="T149" s="461"/>
      <c r="U149" s="461"/>
      <c r="V149" s="461"/>
      <c r="W149" s="461"/>
      <c r="X149" s="462"/>
      <c r="Y149" s="523"/>
      <c r="Z149" s="153"/>
      <c r="AA149" s="160"/>
    </row>
    <row r="150" spans="3:27" ht="15" hidden="1">
      <c r="C150" s="154"/>
      <c r="D150" s="153"/>
      <c r="E150" s="153"/>
      <c r="F150" s="473" t="e">
        <f>ROUND(#REF!,2)&amp;" kN/m2"</f>
        <v>#REF!</v>
      </c>
      <c r="G150" s="408"/>
      <c r="H150" s="408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  <c r="T150" s="408"/>
      <c r="U150" s="408"/>
      <c r="V150" s="408"/>
      <c r="W150" s="408"/>
      <c r="X150" s="409"/>
      <c r="Y150" s="523"/>
      <c r="Z150" s="153"/>
      <c r="AA150" s="160"/>
    </row>
    <row r="151" spans="3:27" ht="15.75" hidden="1" thickBot="1">
      <c r="C151" s="154"/>
      <c r="D151" s="153"/>
      <c r="E151" s="153"/>
      <c r="F151" s="89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1"/>
      <c r="Y151" s="523"/>
      <c r="Z151" s="153"/>
      <c r="AA151" s="160"/>
    </row>
    <row r="152" spans="3:27" hidden="1">
      <c r="C152" s="158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61"/>
    </row>
    <row r="153" spans="3:27" hidden="1"/>
  </sheetData>
  <mergeCells count="499">
    <mergeCell ref="AE68:AF68"/>
    <mergeCell ref="AG68:AH68"/>
    <mergeCell ref="AC68:AD69"/>
    <mergeCell ref="AI68:AK69"/>
    <mergeCell ref="G38:H38"/>
    <mergeCell ref="I38:J38"/>
    <mergeCell ref="K38:L38"/>
    <mergeCell ref="Q38:R38"/>
    <mergeCell ref="M38:N38"/>
    <mergeCell ref="O38:P38"/>
    <mergeCell ref="G39:H39"/>
    <mergeCell ref="I39:J39"/>
    <mergeCell ref="K39:L39"/>
    <mergeCell ref="Q39:R39"/>
    <mergeCell ref="M39:N39"/>
    <mergeCell ref="O39:P39"/>
    <mergeCell ref="Y147:Y151"/>
    <mergeCell ref="F148:X148"/>
    <mergeCell ref="F149:X149"/>
    <mergeCell ref="F150:X150"/>
    <mergeCell ref="Y138:Y143"/>
    <mergeCell ref="F139:X139"/>
    <mergeCell ref="F140:X140"/>
    <mergeCell ref="F141:X141"/>
    <mergeCell ref="F143:X143"/>
    <mergeCell ref="F144:X144"/>
    <mergeCell ref="Y144:Y146"/>
    <mergeCell ref="F145:X145"/>
    <mergeCell ref="F146:X146"/>
    <mergeCell ref="F135:I135"/>
    <mergeCell ref="J135:T135"/>
    <mergeCell ref="U135:X135"/>
    <mergeCell ref="Y135:Y137"/>
    <mergeCell ref="F136:I136"/>
    <mergeCell ref="J136:T136"/>
    <mergeCell ref="U136:X136"/>
    <mergeCell ref="F137:I137"/>
    <mergeCell ref="J137:T137"/>
    <mergeCell ref="U137:X137"/>
    <mergeCell ref="F126:X126"/>
    <mergeCell ref="F130:I130"/>
    <mergeCell ref="J130:T130"/>
    <mergeCell ref="U130:X130"/>
    <mergeCell ref="F134:I134"/>
    <mergeCell ref="J134:T134"/>
    <mergeCell ref="U134:X134"/>
    <mergeCell ref="F127:I127"/>
    <mergeCell ref="J127:T127"/>
    <mergeCell ref="U127:X127"/>
    <mergeCell ref="AD115:AE115"/>
    <mergeCell ref="AI115:AJ115"/>
    <mergeCell ref="AD116:AE116"/>
    <mergeCell ref="AI116:AJ116"/>
    <mergeCell ref="Y112:Y117"/>
    <mergeCell ref="F114:X114"/>
    <mergeCell ref="F115:X115"/>
    <mergeCell ref="F116:X116"/>
    <mergeCell ref="Y127:Y129"/>
    <mergeCell ref="F128:I128"/>
    <mergeCell ref="J128:T128"/>
    <mergeCell ref="U128:X128"/>
    <mergeCell ref="F129:I129"/>
    <mergeCell ref="J129:T129"/>
    <mergeCell ref="U129:X129"/>
    <mergeCell ref="F118:X118"/>
    <mergeCell ref="Y118:Y120"/>
    <mergeCell ref="F119:X119"/>
    <mergeCell ref="F120:X120"/>
    <mergeCell ref="F121:X121"/>
    <mergeCell ref="Y121:Y126"/>
    <mergeCell ref="F123:X123"/>
    <mergeCell ref="F124:X124"/>
    <mergeCell ref="F125:X125"/>
    <mergeCell ref="Z98:Z99"/>
    <mergeCell ref="AD105:AL105"/>
    <mergeCell ref="F106:N106"/>
    <mergeCell ref="O106:T106"/>
    <mergeCell ref="U106:X106"/>
    <mergeCell ref="AD106:AL106"/>
    <mergeCell ref="U107:X107"/>
    <mergeCell ref="AC102:AC104"/>
    <mergeCell ref="U103:X103"/>
    <mergeCell ref="F104:N104"/>
    <mergeCell ref="O104:T104"/>
    <mergeCell ref="U104:X104"/>
    <mergeCell ref="F105:N105"/>
    <mergeCell ref="O105:T105"/>
    <mergeCell ref="Y105:Y108"/>
    <mergeCell ref="U108:X108"/>
    <mergeCell ref="F100:N100"/>
    <mergeCell ref="O100:T100"/>
    <mergeCell ref="O101:T101"/>
    <mergeCell ref="U101:X101"/>
    <mergeCell ref="Y101:Y104"/>
    <mergeCell ref="O102:T103"/>
    <mergeCell ref="U102:X102"/>
    <mergeCell ref="F97:N97"/>
    <mergeCell ref="O97:T97"/>
    <mergeCell ref="U97:X97"/>
    <mergeCell ref="Y97:Y100"/>
    <mergeCell ref="F98:N98"/>
    <mergeCell ref="O98:T98"/>
    <mergeCell ref="U98:X98"/>
    <mergeCell ref="O99:T99"/>
    <mergeCell ref="U99:X100"/>
    <mergeCell ref="Y93:Y96"/>
    <mergeCell ref="AC93:AC94"/>
    <mergeCell ref="U94:X94"/>
    <mergeCell ref="U95:X95"/>
    <mergeCell ref="AC95:AC96"/>
    <mergeCell ref="F96:N96"/>
    <mergeCell ref="O96:T96"/>
    <mergeCell ref="F92:N92"/>
    <mergeCell ref="O92:T92"/>
    <mergeCell ref="U92:X92"/>
    <mergeCell ref="F93:I94"/>
    <mergeCell ref="J93:N94"/>
    <mergeCell ref="O93:T95"/>
    <mergeCell ref="U93:X93"/>
    <mergeCell ref="F86:I86"/>
    <mergeCell ref="F87:I87"/>
    <mergeCell ref="F88:I88"/>
    <mergeCell ref="J81:O81"/>
    <mergeCell ref="F82:I82"/>
    <mergeCell ref="F83:I83"/>
    <mergeCell ref="F84:I84"/>
    <mergeCell ref="J84:O84"/>
    <mergeCell ref="P84:X84"/>
    <mergeCell ref="F79:I80"/>
    <mergeCell ref="J79:O79"/>
    <mergeCell ref="J80:O80"/>
    <mergeCell ref="E77:E80"/>
    <mergeCell ref="F77:I77"/>
    <mergeCell ref="J77:O77"/>
    <mergeCell ref="F78:I78"/>
    <mergeCell ref="J78:O78"/>
    <mergeCell ref="C78:D79"/>
    <mergeCell ref="P78:X78"/>
    <mergeCell ref="AK79:AK83"/>
    <mergeCell ref="AL79:AL83"/>
    <mergeCell ref="E73:E76"/>
    <mergeCell ref="F73:I73"/>
    <mergeCell ref="P73:S74"/>
    <mergeCell ref="T73:X74"/>
    <mergeCell ref="F74:I74"/>
    <mergeCell ref="F75:I75"/>
    <mergeCell ref="J76:O76"/>
    <mergeCell ref="P76:X76"/>
    <mergeCell ref="J83:O83"/>
    <mergeCell ref="P83:X83"/>
    <mergeCell ref="AC79:AC83"/>
    <mergeCell ref="AD79:AD83"/>
    <mergeCell ref="AJ79:AJ83"/>
    <mergeCell ref="P80:X80"/>
    <mergeCell ref="E81:E84"/>
    <mergeCell ref="F81:I81"/>
    <mergeCell ref="P77:X77"/>
    <mergeCell ref="AC84:AC86"/>
    <mergeCell ref="E85:E88"/>
    <mergeCell ref="J85:O85"/>
    <mergeCell ref="P85:X85"/>
    <mergeCell ref="AD73:AE73"/>
    <mergeCell ref="AI73:AJ73"/>
    <mergeCell ref="AD74:AE74"/>
    <mergeCell ref="AI74:AJ74"/>
    <mergeCell ref="L45:M45"/>
    <mergeCell ref="F46:G46"/>
    <mergeCell ref="H46:I46"/>
    <mergeCell ref="J46:K46"/>
    <mergeCell ref="L46:M46"/>
    <mergeCell ref="N46:O46"/>
    <mergeCell ref="N47:O47"/>
    <mergeCell ref="N48:O48"/>
    <mergeCell ref="N49:O49"/>
    <mergeCell ref="F48:G48"/>
    <mergeCell ref="H48:I48"/>
    <mergeCell ref="J48:K48"/>
    <mergeCell ref="L48:M48"/>
    <mergeCell ref="F49:G49"/>
    <mergeCell ref="H49:I49"/>
    <mergeCell ref="J49:K49"/>
    <mergeCell ref="L49:M49"/>
    <mergeCell ref="P51:Q51"/>
    <mergeCell ref="L64:M64"/>
    <mergeCell ref="H62:I62"/>
    <mergeCell ref="F72:I72"/>
    <mergeCell ref="J72:O72"/>
    <mergeCell ref="P72:X72"/>
    <mergeCell ref="F51:G51"/>
    <mergeCell ref="H51:I51"/>
    <mergeCell ref="J51:K51"/>
    <mergeCell ref="L51:M51"/>
    <mergeCell ref="F50:G50"/>
    <mergeCell ref="H50:I50"/>
    <mergeCell ref="J50:K50"/>
    <mergeCell ref="L50:M50"/>
    <mergeCell ref="M68:N68"/>
    <mergeCell ref="H61:I61"/>
    <mergeCell ref="J61:K61"/>
    <mergeCell ref="L61:M61"/>
    <mergeCell ref="H60:I60"/>
    <mergeCell ref="J60:K60"/>
    <mergeCell ref="L60:M60"/>
    <mergeCell ref="N60:O60"/>
    <mergeCell ref="N61:O61"/>
    <mergeCell ref="N58:O58"/>
    <mergeCell ref="N56:O56"/>
    <mergeCell ref="H57:I57"/>
    <mergeCell ref="J57:K57"/>
    <mergeCell ref="L57:M57"/>
    <mergeCell ref="N57:O57"/>
    <mergeCell ref="J58:K58"/>
    <mergeCell ref="L58:M58"/>
    <mergeCell ref="H56:I56"/>
    <mergeCell ref="J56:K56"/>
    <mergeCell ref="F62:G62"/>
    <mergeCell ref="N64:O64"/>
    <mergeCell ref="F65:G65"/>
    <mergeCell ref="H65:I65"/>
    <mergeCell ref="J65:K65"/>
    <mergeCell ref="L65:M65"/>
    <mergeCell ref="N65:O65"/>
    <mergeCell ref="F63:G63"/>
    <mergeCell ref="H63:I63"/>
    <mergeCell ref="J63:K63"/>
    <mergeCell ref="L63:M63"/>
    <mergeCell ref="N63:O63"/>
    <mergeCell ref="F64:G64"/>
    <mergeCell ref="H64:I64"/>
    <mergeCell ref="J64:K64"/>
    <mergeCell ref="J62:K62"/>
    <mergeCell ref="L62:M62"/>
    <mergeCell ref="N62:O62"/>
    <mergeCell ref="F61:G61"/>
    <mergeCell ref="F60:G60"/>
    <mergeCell ref="N50:O50"/>
    <mergeCell ref="N51:O51"/>
    <mergeCell ref="F54:O54"/>
    <mergeCell ref="P49:Q49"/>
    <mergeCell ref="R49:S49"/>
    <mergeCell ref="T49:U49"/>
    <mergeCell ref="P50:Q50"/>
    <mergeCell ref="R50:S50"/>
    <mergeCell ref="T50:U50"/>
    <mergeCell ref="F56:G56"/>
    <mergeCell ref="F55:G55"/>
    <mergeCell ref="H55:I55"/>
    <mergeCell ref="J55:K55"/>
    <mergeCell ref="L55:M55"/>
    <mergeCell ref="N55:O55"/>
    <mergeCell ref="R51:S51"/>
    <mergeCell ref="T51:U51"/>
    <mergeCell ref="F59:G59"/>
    <mergeCell ref="H59:I59"/>
    <mergeCell ref="J59:K59"/>
    <mergeCell ref="L59:M59"/>
    <mergeCell ref="N59:O59"/>
    <mergeCell ref="C35:F36"/>
    <mergeCell ref="P48:Q48"/>
    <mergeCell ref="R48:S48"/>
    <mergeCell ref="T48:U48"/>
    <mergeCell ref="Q31:R31"/>
    <mergeCell ref="S31:T31"/>
    <mergeCell ref="C32:H32"/>
    <mergeCell ref="K32:L32"/>
    <mergeCell ref="M32:N32"/>
    <mergeCell ref="O32:P32"/>
    <mergeCell ref="Q32:R32"/>
    <mergeCell ref="K35:L35"/>
    <mergeCell ref="Q35:R35"/>
    <mergeCell ref="M35:N35"/>
    <mergeCell ref="G36:H36"/>
    <mergeCell ref="I36:J36"/>
    <mergeCell ref="K36:L36"/>
    <mergeCell ref="K31:L31"/>
    <mergeCell ref="M31:N31"/>
    <mergeCell ref="O31:P31"/>
    <mergeCell ref="F43:G43"/>
    <mergeCell ref="L43:M43"/>
    <mergeCell ref="P46:Q46"/>
    <mergeCell ref="R46:S46"/>
    <mergeCell ref="E26:F26"/>
    <mergeCell ref="J26:K26"/>
    <mergeCell ref="L26:M26"/>
    <mergeCell ref="E27:F27"/>
    <mergeCell ref="J27:K27"/>
    <mergeCell ref="L27:M27"/>
    <mergeCell ref="G26:H26"/>
    <mergeCell ref="G27:H27"/>
    <mergeCell ref="P26:Z26"/>
    <mergeCell ref="P27:Z27"/>
    <mergeCell ref="K18:L18"/>
    <mergeCell ref="M18:N18"/>
    <mergeCell ref="S32:T32"/>
    <mergeCell ref="I31:J31"/>
    <mergeCell ref="G35:H35"/>
    <mergeCell ref="I35:J35"/>
    <mergeCell ref="AJ54:AJ55"/>
    <mergeCell ref="AK54:AO54"/>
    <mergeCell ref="M28:N28"/>
    <mergeCell ref="T46:U46"/>
    <mergeCell ref="P47:Q47"/>
    <mergeCell ref="R47:S47"/>
    <mergeCell ref="T47:U47"/>
    <mergeCell ref="H44:I44"/>
    <mergeCell ref="J44:K44"/>
    <mergeCell ref="L44:M44"/>
    <mergeCell ref="AC29:AE29"/>
    <mergeCell ref="O35:P35"/>
    <mergeCell ref="F42:M42"/>
    <mergeCell ref="N42:U42"/>
    <mergeCell ref="Q36:R36"/>
    <mergeCell ref="M36:N36"/>
    <mergeCell ref="O36:P36"/>
    <mergeCell ref="C38:F39"/>
    <mergeCell ref="AJ53:AO53"/>
    <mergeCell ref="K21:L21"/>
    <mergeCell ref="M21:N21"/>
    <mergeCell ref="P24:Z24"/>
    <mergeCell ref="P25:Z25"/>
    <mergeCell ref="K19:L19"/>
    <mergeCell ref="M19:N19"/>
    <mergeCell ref="R19:Y19"/>
    <mergeCell ref="K20:L20"/>
    <mergeCell ref="M20:N20"/>
    <mergeCell ref="N43:O43"/>
    <mergeCell ref="P43:Q43"/>
    <mergeCell ref="R43:S43"/>
    <mergeCell ref="T43:U43"/>
    <mergeCell ref="N44:O44"/>
    <mergeCell ref="P44:Q44"/>
    <mergeCell ref="R44:S44"/>
    <mergeCell ref="T44:U44"/>
    <mergeCell ref="N45:O45"/>
    <mergeCell ref="P45:Q45"/>
    <mergeCell ref="R45:S45"/>
    <mergeCell ref="T45:U45"/>
    <mergeCell ref="J47:K47"/>
    <mergeCell ref="L47:M47"/>
    <mergeCell ref="AD42:AG42"/>
    <mergeCell ref="V7:X10"/>
    <mergeCell ref="Y7:AA10"/>
    <mergeCell ref="AD11:AH11"/>
    <mergeCell ref="M29:N29"/>
    <mergeCell ref="O29:P29"/>
    <mergeCell ref="Q29:R29"/>
    <mergeCell ref="S29:T29"/>
    <mergeCell ref="K30:L30"/>
    <mergeCell ref="M30:N30"/>
    <mergeCell ref="O30:P30"/>
    <mergeCell ref="Q30:R30"/>
    <mergeCell ref="S30:T30"/>
    <mergeCell ref="K17:L17"/>
    <mergeCell ref="M17:N17"/>
    <mergeCell ref="C13:N13"/>
    <mergeCell ref="Z13:Z18"/>
    <mergeCell ref="C25:D25"/>
    <mergeCell ref="E25:F25"/>
    <mergeCell ref="M25:N25"/>
    <mergeCell ref="K22:L22"/>
    <mergeCell ref="M22:N22"/>
    <mergeCell ref="G16:I16"/>
    <mergeCell ref="J16:N16"/>
    <mergeCell ref="B5:AB5"/>
    <mergeCell ref="C70:AA70"/>
    <mergeCell ref="C90:AA90"/>
    <mergeCell ref="C110:AA110"/>
    <mergeCell ref="C132:AA132"/>
    <mergeCell ref="AC7:AC10"/>
    <mergeCell ref="C7:U10"/>
    <mergeCell ref="C34:AA34"/>
    <mergeCell ref="I32:J32"/>
    <mergeCell ref="C14:F14"/>
    <mergeCell ref="J14:N14"/>
    <mergeCell ref="C15:F15"/>
    <mergeCell ref="G15:I15"/>
    <mergeCell ref="J15:N15"/>
    <mergeCell ref="R15:Y15"/>
    <mergeCell ref="C16:F16"/>
    <mergeCell ref="C24:N24"/>
    <mergeCell ref="B6:R6"/>
    <mergeCell ref="S6:AA6"/>
    <mergeCell ref="AC53:AH53"/>
    <mergeCell ref="AC41:AG41"/>
    <mergeCell ref="AC54:AC55"/>
    <mergeCell ref="AD54:AH54"/>
    <mergeCell ref="AC42:AC43"/>
    <mergeCell ref="F66:G66"/>
    <mergeCell ref="H66:I66"/>
    <mergeCell ref="J66:K66"/>
    <mergeCell ref="L66:M66"/>
    <mergeCell ref="N66:O66"/>
    <mergeCell ref="F67:G67"/>
    <mergeCell ref="H67:I67"/>
    <mergeCell ref="J67:K67"/>
    <mergeCell ref="L67:M67"/>
    <mergeCell ref="N67:O67"/>
    <mergeCell ref="D64:E64"/>
    <mergeCell ref="D65:E65"/>
    <mergeCell ref="D66:E66"/>
    <mergeCell ref="D67:E67"/>
    <mergeCell ref="D63:E63"/>
    <mergeCell ref="D62:E62"/>
    <mergeCell ref="D61:E61"/>
    <mergeCell ref="D60:E60"/>
    <mergeCell ref="D59:E59"/>
    <mergeCell ref="D58:E58"/>
    <mergeCell ref="D57:E57"/>
    <mergeCell ref="D56:E56"/>
    <mergeCell ref="C54:E55"/>
    <mergeCell ref="P54:Y54"/>
    <mergeCell ref="P55:Q55"/>
    <mergeCell ref="R55:S55"/>
    <mergeCell ref="T55:U55"/>
    <mergeCell ref="V55:W55"/>
    <mergeCell ref="X55:Y55"/>
    <mergeCell ref="P56:Q56"/>
    <mergeCell ref="R56:S56"/>
    <mergeCell ref="T56:U56"/>
    <mergeCell ref="V56:W56"/>
    <mergeCell ref="X56:Y56"/>
    <mergeCell ref="P57:Q57"/>
    <mergeCell ref="R57:S57"/>
    <mergeCell ref="T57:U57"/>
    <mergeCell ref="V57:W57"/>
    <mergeCell ref="X57:Y57"/>
    <mergeCell ref="F57:G57"/>
    <mergeCell ref="F58:G58"/>
    <mergeCell ref="H58:I58"/>
    <mergeCell ref="L56:M56"/>
    <mergeCell ref="P58:Q58"/>
    <mergeCell ref="R58:S58"/>
    <mergeCell ref="T58:U58"/>
    <mergeCell ref="V58:W58"/>
    <mergeCell ref="X58:Y58"/>
    <mergeCell ref="P59:Q59"/>
    <mergeCell ref="R59:S59"/>
    <mergeCell ref="T59:U59"/>
    <mergeCell ref="V59:W59"/>
    <mergeCell ref="X59:Y59"/>
    <mergeCell ref="P60:Q60"/>
    <mergeCell ref="R60:S60"/>
    <mergeCell ref="T60:U60"/>
    <mergeCell ref="V60:W60"/>
    <mergeCell ref="X60:Y60"/>
    <mergeCell ref="P61:Q61"/>
    <mergeCell ref="R61:S61"/>
    <mergeCell ref="T61:U61"/>
    <mergeCell ref="V61:W61"/>
    <mergeCell ref="X61:Y61"/>
    <mergeCell ref="P62:Q62"/>
    <mergeCell ref="R62:S62"/>
    <mergeCell ref="T62:U62"/>
    <mergeCell ref="V62:W62"/>
    <mergeCell ref="X62:Y62"/>
    <mergeCell ref="P63:Q63"/>
    <mergeCell ref="R63:S63"/>
    <mergeCell ref="T63:U63"/>
    <mergeCell ref="V63:W63"/>
    <mergeCell ref="X63:Y63"/>
    <mergeCell ref="P64:Q64"/>
    <mergeCell ref="R64:S64"/>
    <mergeCell ref="T64:U64"/>
    <mergeCell ref="V64:W64"/>
    <mergeCell ref="X64:Y64"/>
    <mergeCell ref="P65:Q65"/>
    <mergeCell ref="R65:S65"/>
    <mergeCell ref="T65:U65"/>
    <mergeCell ref="V65:W65"/>
    <mergeCell ref="X65:Y65"/>
    <mergeCell ref="P66:Q66"/>
    <mergeCell ref="R66:S66"/>
    <mergeCell ref="T66:U66"/>
    <mergeCell ref="V66:W66"/>
    <mergeCell ref="X66:Y66"/>
    <mergeCell ref="P67:Q67"/>
    <mergeCell ref="R67:S67"/>
    <mergeCell ref="T67:U67"/>
    <mergeCell ref="V67:W67"/>
    <mergeCell ref="X67:Y67"/>
    <mergeCell ref="C42:E43"/>
    <mergeCell ref="C41:U41"/>
    <mergeCell ref="C53:Y53"/>
    <mergeCell ref="D44:E44"/>
    <mergeCell ref="D45:E45"/>
    <mergeCell ref="D51:E51"/>
    <mergeCell ref="D50:E50"/>
    <mergeCell ref="D49:E49"/>
    <mergeCell ref="D48:E48"/>
    <mergeCell ref="D47:E47"/>
    <mergeCell ref="D46:E46"/>
    <mergeCell ref="F47:G47"/>
    <mergeCell ref="H47:I47"/>
    <mergeCell ref="F45:G45"/>
    <mergeCell ref="H45:I45"/>
    <mergeCell ref="J45:K45"/>
    <mergeCell ref="F44:G44"/>
    <mergeCell ref="H43:I43"/>
    <mergeCell ref="J43:K43"/>
  </mergeCells>
  <conditionalFormatting sqref="F96:F98">
    <cfRule type="expression" dxfId="17" priority="4">
      <formula>AND($AG$9=2,#REF!&gt;=#REF!)</formula>
    </cfRule>
  </conditionalFormatting>
  <conditionalFormatting sqref="F98">
    <cfRule type="expression" dxfId="16" priority="5">
      <formula>AND($AG$9=2,#REF!&lt;#REF!)</formula>
    </cfRule>
  </conditionalFormatting>
  <conditionalFormatting sqref="F100">
    <cfRule type="expression" dxfId="15" priority="15">
      <formula>$AG$9=1</formula>
    </cfRule>
  </conditionalFormatting>
  <conditionalFormatting sqref="F104:F106">
    <cfRule type="expression" dxfId="14" priority="1">
      <formula>AND($AG$9=2,#REF!&gt;=#REF!)</formula>
    </cfRule>
  </conditionalFormatting>
  <conditionalFormatting sqref="F106">
    <cfRule type="expression" dxfId="13" priority="2">
      <formula>AND($AG$9=2,#REF!&lt;#REF!)</formula>
    </cfRule>
  </conditionalFormatting>
  <conditionalFormatting sqref="F144 J77:J78 J79:O82 J83 J84:O84 J85 J86:O88 O97:O98 O105:O106 O107:T108 F112 F121">
    <cfRule type="expression" dxfId="12" priority="12">
      <formula>$AG$9=2</formula>
    </cfRule>
  </conditionalFormatting>
  <conditionalFormatting sqref="F93:I95 F99:I99 F100 F101:I103 F107:I108">
    <cfRule type="expression" dxfId="11" priority="16">
      <formula>AND($AG$9=2,#REF!&gt;=#REF!)</formula>
    </cfRule>
    <cfRule type="expression" dxfId="10" priority="17">
      <formula>AND($AG$9=2,#REF!&lt;#REF!)</formula>
    </cfRule>
  </conditionalFormatting>
  <conditionalFormatting sqref="J93:N95 J99:N99 J101:N103 J107:N108 P76:P78 P79:X79 P80 P81:X82 P86:X88">
    <cfRule type="expression" dxfId="9" priority="18">
      <formula>AND($AG$9=2,#REF!&gt;=#REF!)</formula>
    </cfRule>
  </conditionalFormatting>
  <conditionalFormatting sqref="J73:O76">
    <cfRule type="expression" dxfId="8" priority="19">
      <formula>$AG$9=2</formula>
    </cfRule>
  </conditionalFormatting>
  <conditionalFormatting sqref="J80:P80">
    <cfRule type="expression" dxfId="7" priority="20">
      <formula>$AG$9=1</formula>
    </cfRule>
  </conditionalFormatting>
  <conditionalFormatting sqref="O93:T96">
    <cfRule type="expression" dxfId="6" priority="8">
      <formula>$AG$9=2</formula>
    </cfRule>
  </conditionalFormatting>
  <conditionalFormatting sqref="O99:T104">
    <cfRule type="expression" dxfId="5" priority="7">
      <formula>$AG$9=2</formula>
    </cfRule>
  </conditionalFormatting>
  <conditionalFormatting sqref="O100:T100">
    <cfRule type="expression" dxfId="4" priority="14">
      <formula>$AG$9=1</formula>
    </cfRule>
  </conditionalFormatting>
  <conditionalFormatting sqref="P83:P85">
    <cfRule type="expression" dxfId="3" priority="9">
      <formula>AND($AG$9=2,#REF!&gt;=#REF!)</formula>
    </cfRule>
  </conditionalFormatting>
  <conditionalFormatting sqref="P85 P78 P79:S79 P80 P81:S82 P86:S88">
    <cfRule type="expression" dxfId="2" priority="10">
      <formula>AND($AG$9=2,#REF!&lt;#REF!)</formula>
    </cfRule>
  </conditionalFormatting>
  <conditionalFormatting sqref="P73:S75">
    <cfRule type="expression" dxfId="1" priority="22">
      <formula>AND($AG$9=2,#REF!&lt;#REF!)</formula>
    </cfRule>
  </conditionalFormatting>
  <conditionalFormatting sqref="P73:X75">
    <cfRule type="expression" dxfId="0" priority="21">
      <formula>AND($AG$9=2,#REF!&gt;=#REF!)</formula>
    </cfRule>
  </conditionalFormatting>
  <dataValidations disablePrompts="1" count="5">
    <dataValidation type="list" allowBlank="1" showInputMessage="1" showErrorMessage="1" sqref="G16:I16" xr:uid="{00000000-0002-0000-0000-000000000000}">
      <formula1>$AF$7:$AF$8</formula1>
    </dataValidation>
    <dataValidation type="list" allowBlank="1" showInputMessage="1" showErrorMessage="1" sqref="G15:I15" xr:uid="{00000000-0002-0000-0000-000001000000}">
      <formula1>$AD$7:$AD$8</formula1>
    </dataValidation>
    <dataValidation type="list" allowBlank="1" showInputMessage="1" showErrorMessage="1" sqref="E25:F25" xr:uid="{00000000-0002-0000-0000-000003000000}">
      <formula1>"I,II,III,IV,V"</formula1>
    </dataValidation>
    <dataValidation type="list" allowBlank="1" showInputMessage="1" showErrorMessage="1" sqref="M25:N25" xr:uid="{00000000-0002-0000-0000-000004000000}">
      <formula1>"A,B,C"</formula1>
    </dataValidation>
    <dataValidation type="list" allowBlank="1" showInputMessage="1" showErrorMessage="1" sqref="AC7 AB8:AB10" xr:uid="{00000000-0002-0000-0000-000002000000}">
      <formula1>$BF$7:$BH$7</formula1>
    </dataValidation>
  </dataValidations>
  <pageMargins left="0.7" right="0.7" top="0.75" bottom="0.75" header="0.3" footer="0.3"/>
  <pageSetup scale="58" fitToHeight="5" orientation="portrait" r:id="rId1"/>
  <rowBreaks count="1" manualBreakCount="1">
    <brk id="69" min="1" max="27" man="1"/>
  </rowBreaks>
  <ignoredErrors>
    <ignoredError sqref="C47:C50 C57:C64" formula="1"/>
    <ignoredError sqref="J14:J16 M22 G14 M31:T3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GustFactor</vt:lpstr>
      <vt:lpstr>TCVN</vt:lpstr>
      <vt:lpstr>Bang8_10</vt:lpstr>
      <vt:lpstr>GustFactor!Print_Area</vt:lpstr>
      <vt:lpstr>TCVN!Print_Area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2024-08-21T15:29:49Z</cp:lastPrinted>
  <dcterms:created xsi:type="dcterms:W3CDTF">2015-06-05T18:17:20Z</dcterms:created>
  <dcterms:modified xsi:type="dcterms:W3CDTF">2025-03-16T11:43:40Z</dcterms:modified>
</cp:coreProperties>
</file>