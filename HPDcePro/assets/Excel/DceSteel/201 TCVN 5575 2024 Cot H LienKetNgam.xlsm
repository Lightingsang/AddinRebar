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New folder\"/>
    </mc:Choice>
  </mc:AlternateContent>
  <xr:revisionPtr revIDLastSave="0" documentId="13_ncr:1_{4ECB35BA-3685-4269-BDE7-50BAB010CDE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ata" sheetId="7" r:id="rId1"/>
    <sheet name="Cal" sheetId="6" r:id="rId2"/>
    <sheet name="Pic" sheetId="8" state="veryHidden" r:id="rId3"/>
  </sheets>
  <functionGroups builtInGroupCount="19"/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_xleta.T" hidden="1" xlm="1">#NAME?</definedName>
    <definedName name="_xlnm.Print_Area" localSheetId="1">Cal!$M$11:$X$116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24" i="6" l="1"/>
  <c r="BO25" i="6"/>
  <c r="BO26" i="6"/>
  <c r="BO27" i="6"/>
  <c r="BO28" i="6"/>
  <c r="BO29" i="6"/>
  <c r="BO30" i="6"/>
  <c r="BO31" i="6"/>
  <c r="BO32" i="6"/>
  <c r="BO33" i="6"/>
  <c r="BO34" i="6"/>
  <c r="BO35" i="6"/>
  <c r="BO36" i="6"/>
  <c r="BO37" i="6"/>
  <c r="BO38" i="6"/>
  <c r="BO39" i="6"/>
  <c r="BO40" i="6"/>
  <c r="BO41" i="6"/>
  <c r="BO42" i="6"/>
  <c r="BO43" i="6"/>
  <c r="BO44" i="6"/>
  <c r="BO45" i="6"/>
  <c r="BO46" i="6"/>
  <c r="BO47" i="6"/>
  <c r="BO48" i="6"/>
  <c r="BO49" i="6"/>
  <c r="BO50" i="6"/>
  <c r="BO51" i="6"/>
  <c r="BO52" i="6"/>
  <c r="BO53" i="6"/>
  <c r="BO54" i="6"/>
  <c r="BO55" i="6"/>
  <c r="BO56" i="6"/>
  <c r="BO57" i="6"/>
  <c r="BO58" i="6"/>
  <c r="BO59" i="6"/>
  <c r="BO60" i="6"/>
  <c r="BO61" i="6"/>
  <c r="BO62" i="6"/>
  <c r="BO63" i="6"/>
  <c r="BO64" i="6"/>
  <c r="BO65" i="6"/>
  <c r="BO66" i="6"/>
  <c r="BO67" i="6"/>
  <c r="BO68" i="6"/>
  <c r="BO69" i="6"/>
  <c r="BO70" i="6"/>
  <c r="BO71" i="6"/>
  <c r="BO72" i="6"/>
  <c r="BO73" i="6"/>
  <c r="BO74" i="6"/>
  <c r="BO75" i="6"/>
  <c r="BO76" i="6"/>
  <c r="BO77" i="6"/>
  <c r="BO78" i="6"/>
  <c r="BO79" i="6"/>
  <c r="BO80" i="6"/>
  <c r="BO81" i="6"/>
  <c r="BO82" i="6"/>
  <c r="BO83" i="6"/>
  <c r="BO84" i="6"/>
  <c r="BO85" i="6"/>
  <c r="BO86" i="6"/>
  <c r="BO87" i="6"/>
  <c r="BO88" i="6"/>
  <c r="BO89" i="6"/>
  <c r="BO90" i="6"/>
  <c r="BO91" i="6"/>
  <c r="BO92" i="6"/>
  <c r="BO93" i="6"/>
  <c r="BO94" i="6"/>
  <c r="BO95" i="6"/>
  <c r="BO96" i="6"/>
  <c r="BO97" i="6"/>
  <c r="BO98" i="6"/>
  <c r="BO99" i="6"/>
  <c r="BO100" i="6"/>
  <c r="W87" i="6"/>
  <c r="BX100" i="6"/>
  <c r="BH100" i="6"/>
  <c r="BX99" i="6"/>
  <c r="BH99" i="6"/>
  <c r="BX98" i="6"/>
  <c r="BH98" i="6"/>
  <c r="BX97" i="6"/>
  <c r="BH97" i="6"/>
  <c r="BX96" i="6"/>
  <c r="BH96" i="6"/>
  <c r="BX95" i="6"/>
  <c r="BH95" i="6"/>
  <c r="BX94" i="6"/>
  <c r="BH94" i="6"/>
  <c r="BX93" i="6"/>
  <c r="BH93" i="6"/>
  <c r="BX92" i="6"/>
  <c r="BH92" i="6"/>
  <c r="BX91" i="6"/>
  <c r="BH91" i="6"/>
  <c r="BX90" i="6"/>
  <c r="BH90" i="6"/>
  <c r="BX89" i="6"/>
  <c r="BH89" i="6"/>
  <c r="BX88" i="6"/>
  <c r="BH88" i="6"/>
  <c r="BX87" i="6"/>
  <c r="BH87" i="6"/>
  <c r="BX86" i="6"/>
  <c r="BH86" i="6"/>
  <c r="BX85" i="6"/>
  <c r="BH85" i="6"/>
  <c r="BX84" i="6"/>
  <c r="BH84" i="6"/>
  <c r="BX83" i="6"/>
  <c r="BH83" i="6"/>
  <c r="BX82" i="6"/>
  <c r="BH82" i="6"/>
  <c r="BX81" i="6"/>
  <c r="BH81" i="6"/>
  <c r="BX80" i="6"/>
  <c r="BH80" i="6"/>
  <c r="BX79" i="6"/>
  <c r="BH79" i="6"/>
  <c r="BX78" i="6"/>
  <c r="BH78" i="6"/>
  <c r="BX77" i="6"/>
  <c r="BH77" i="6"/>
  <c r="BX76" i="6"/>
  <c r="BH76" i="6"/>
  <c r="BX75" i="6"/>
  <c r="BH75" i="6"/>
  <c r="BX74" i="6"/>
  <c r="BH74" i="6"/>
  <c r="BX73" i="6"/>
  <c r="BH73" i="6"/>
  <c r="BX72" i="6"/>
  <c r="BH72" i="6"/>
  <c r="BX71" i="6"/>
  <c r="BH71" i="6"/>
  <c r="BX70" i="6"/>
  <c r="BH70" i="6"/>
  <c r="BX69" i="6"/>
  <c r="BH69" i="6"/>
  <c r="BX68" i="6"/>
  <c r="BH68" i="6"/>
  <c r="BX67" i="6"/>
  <c r="BH67" i="6"/>
  <c r="BX66" i="6"/>
  <c r="BH66" i="6"/>
  <c r="BX65" i="6"/>
  <c r="BH65" i="6"/>
  <c r="BX64" i="6"/>
  <c r="BH64" i="6"/>
  <c r="BX63" i="6"/>
  <c r="BH63" i="6"/>
  <c r="BX62" i="6"/>
  <c r="BH62" i="6"/>
  <c r="BX61" i="6"/>
  <c r="BH61" i="6"/>
  <c r="BX60" i="6"/>
  <c r="BH60" i="6"/>
  <c r="BX59" i="6"/>
  <c r="BH59" i="6"/>
  <c r="BX58" i="6"/>
  <c r="BH58" i="6"/>
  <c r="BX57" i="6"/>
  <c r="BH57" i="6"/>
  <c r="BX56" i="6"/>
  <c r="BH56" i="6"/>
  <c r="BX55" i="6"/>
  <c r="BH55" i="6"/>
  <c r="BX54" i="6"/>
  <c r="BH54" i="6"/>
  <c r="BX53" i="6"/>
  <c r="BH53" i="6"/>
  <c r="BX52" i="6"/>
  <c r="BH52" i="6"/>
  <c r="BX51" i="6"/>
  <c r="BH51" i="6"/>
  <c r="BX50" i="6"/>
  <c r="BH50" i="6"/>
  <c r="BX49" i="6"/>
  <c r="BH49" i="6"/>
  <c r="BX48" i="6"/>
  <c r="BH48" i="6"/>
  <c r="BX47" i="6"/>
  <c r="BH47" i="6"/>
  <c r="BX46" i="6"/>
  <c r="BH46" i="6"/>
  <c r="BX45" i="6"/>
  <c r="BH45" i="6"/>
  <c r="BX44" i="6"/>
  <c r="BH44" i="6"/>
  <c r="BX43" i="6"/>
  <c r="BH43" i="6"/>
  <c r="BX42" i="6"/>
  <c r="BH42" i="6"/>
  <c r="BX41" i="6"/>
  <c r="BH41" i="6"/>
  <c r="BX40" i="6"/>
  <c r="BH40" i="6"/>
  <c r="BX39" i="6"/>
  <c r="BH39" i="6"/>
  <c r="BX38" i="6"/>
  <c r="BH38" i="6"/>
  <c r="BX37" i="6"/>
  <c r="BH37" i="6"/>
  <c r="BX36" i="6"/>
  <c r="BH36" i="6"/>
  <c r="BX35" i="6"/>
  <c r="BH35" i="6"/>
  <c r="BX34" i="6"/>
  <c r="BH34" i="6"/>
  <c r="BX33" i="6"/>
  <c r="BH33" i="6"/>
  <c r="BX32" i="6"/>
  <c r="BH32" i="6"/>
  <c r="BX31" i="6"/>
  <c r="BH31" i="6"/>
  <c r="BX30" i="6"/>
  <c r="BH30" i="6"/>
  <c r="BX29" i="6"/>
  <c r="BH29" i="6"/>
  <c r="BX28" i="6"/>
  <c r="BH28" i="6"/>
  <c r="BX27" i="6"/>
  <c r="BH27" i="6"/>
  <c r="BX26" i="6"/>
  <c r="BH26" i="6"/>
  <c r="BX25" i="6"/>
  <c r="BH25" i="6"/>
  <c r="BX24" i="6"/>
  <c r="BH24" i="6"/>
  <c r="BX23" i="6"/>
  <c r="AM92" i="6"/>
  <c r="AM82" i="6"/>
  <c r="AL92" i="6"/>
  <c r="AL82" i="6"/>
  <c r="AM87" i="6"/>
  <c r="AM75" i="6"/>
  <c r="AM65" i="6"/>
  <c r="AM55" i="6"/>
  <c r="AL87" i="6"/>
  <c r="AL75" i="6"/>
  <c r="AM99" i="6"/>
  <c r="AM77" i="6"/>
  <c r="AL66" i="6"/>
  <c r="AL59" i="6"/>
  <c r="AL52" i="6"/>
  <c r="AL90" i="6"/>
  <c r="AL77" i="6"/>
  <c r="AL63" i="6"/>
  <c r="AM58" i="6"/>
  <c r="AM47" i="6"/>
  <c r="AL37" i="6"/>
  <c r="AL27" i="6"/>
  <c r="AM84" i="6"/>
  <c r="AL58" i="6"/>
  <c r="AM53" i="6"/>
  <c r="AL47" i="6"/>
  <c r="AM38" i="6"/>
  <c r="AM28" i="6"/>
  <c r="AM94" i="6"/>
  <c r="AL84" i="6"/>
  <c r="AM73" i="6"/>
  <c r="AL53" i="6"/>
  <c r="AL28" i="6"/>
  <c r="AL38" i="6"/>
  <c r="AM89" i="6"/>
  <c r="AL79" i="6"/>
  <c r="AL61" i="6"/>
  <c r="AM56" i="6"/>
  <c r="AL43" i="6"/>
  <c r="AL93" i="6"/>
  <c r="AM64" i="6"/>
  <c r="AM61" i="6"/>
  <c r="AM43" i="6"/>
  <c r="AM44" i="6"/>
  <c r="AM72" i="6"/>
  <c r="AM67" i="6"/>
  <c r="AL64" i="6"/>
  <c r="AM36" i="6"/>
  <c r="AM32" i="6"/>
  <c r="AL62" i="6"/>
  <c r="AL72" i="6"/>
  <c r="AL67" i="6"/>
  <c r="AM40" i="6"/>
  <c r="AL36" i="6"/>
  <c r="AL32" i="6"/>
  <c r="AL65" i="6"/>
  <c r="AM91" i="6"/>
  <c r="AM50" i="6"/>
  <c r="AL40" i="6"/>
  <c r="AM24" i="6"/>
  <c r="AM59" i="6"/>
  <c r="AL24" i="6"/>
  <c r="AM29" i="6"/>
  <c r="AL96" i="6"/>
  <c r="AM85" i="6"/>
  <c r="AM48" i="6"/>
  <c r="AM100" i="6"/>
  <c r="AL91" i="6"/>
  <c r="AL50" i="6"/>
  <c r="AM70" i="6"/>
  <c r="AL56" i="6"/>
  <c r="AM33" i="6"/>
  <c r="AL100" i="6"/>
  <c r="AL89" i="6"/>
  <c r="AM98" i="6"/>
  <c r="AM80" i="6"/>
  <c r="AM78" i="6"/>
  <c r="AL70" i="6"/>
  <c r="AL44" i="6"/>
  <c r="AL94" i="6"/>
  <c r="AL73" i="6"/>
  <c r="AL98" i="6"/>
  <c r="AM96" i="6"/>
  <c r="AL80" i="6"/>
  <c r="AL78" i="6"/>
  <c r="AM62" i="6"/>
  <c r="AM37" i="6"/>
  <c r="AL33" i="6"/>
  <c r="AL29" i="6"/>
  <c r="AM41" i="6"/>
  <c r="AL76" i="6"/>
  <c r="AM60" i="6"/>
  <c r="AM57" i="6"/>
  <c r="AL45" i="6"/>
  <c r="AL34" i="6"/>
  <c r="AL30" i="6"/>
  <c r="AL88" i="6"/>
  <c r="AM74" i="6"/>
  <c r="AL49" i="6"/>
  <c r="AM35" i="6"/>
  <c r="AL74" i="6"/>
  <c r="AM46" i="6"/>
  <c r="AL35" i="6"/>
  <c r="AL55" i="6"/>
  <c r="AM52" i="6"/>
  <c r="AL46" i="6"/>
  <c r="AM66" i="6"/>
  <c r="AM69" i="6"/>
  <c r="AL39" i="6"/>
  <c r="AL99" i="6"/>
  <c r="AM95" i="6"/>
  <c r="AL95" i="6"/>
  <c r="AM27" i="6"/>
  <c r="AL48" i="6"/>
  <c r="AM63" i="6"/>
  <c r="AL42" i="6"/>
  <c r="AL97" i="6"/>
  <c r="AL31" i="6"/>
  <c r="AM86" i="6"/>
  <c r="AL86" i="6"/>
  <c r="AL85" i="6"/>
  <c r="AL41" i="6"/>
  <c r="AM68" i="6"/>
  <c r="AM83" i="6"/>
  <c r="AM54" i="6"/>
  <c r="AM51" i="6"/>
  <c r="AL83" i="6"/>
  <c r="AL51" i="6"/>
  <c r="AM34" i="6"/>
  <c r="AM26" i="6"/>
  <c r="AM97" i="6"/>
  <c r="AM79" i="6"/>
  <c r="AM39" i="6"/>
  <c r="AM76" i="6"/>
  <c r="AL54" i="6"/>
  <c r="AM45" i="6"/>
  <c r="AM31" i="6"/>
  <c r="AL69" i="6"/>
  <c r="AM93" i="6"/>
  <c r="AL60" i="6"/>
  <c r="AL57" i="6"/>
  <c r="AM42" i="6"/>
  <c r="AM90" i="6"/>
  <c r="AL26" i="6"/>
  <c r="AL25" i="6"/>
  <c r="AM25" i="6"/>
  <c r="AL68" i="6"/>
  <c r="AM30" i="6"/>
  <c r="AM88" i="6"/>
  <c r="AM81" i="6"/>
  <c r="AL81" i="6"/>
  <c r="AL71" i="6"/>
  <c r="AM49" i="6"/>
  <c r="AM71" i="6"/>
  <c r="AY71" i="6" l="1"/>
  <c r="AZ71" i="6"/>
  <c r="AV71" i="6"/>
  <c r="AU71" i="6"/>
  <c r="AJ71" i="6"/>
  <c r="AU49" i="6"/>
  <c r="AY49" i="6"/>
  <c r="AZ49" i="6"/>
  <c r="AJ49" i="6"/>
  <c r="AV49" i="6"/>
  <c r="AX71" i="6"/>
  <c r="AK71" i="6"/>
  <c r="AW71" i="6"/>
  <c r="AT71" i="6"/>
  <c r="AO71" i="6"/>
  <c r="AK81" i="6"/>
  <c r="AO81" i="6"/>
  <c r="AX81" i="6"/>
  <c r="AW81" i="6"/>
  <c r="AT81" i="6"/>
  <c r="AJ81" i="6"/>
  <c r="AZ81" i="6"/>
  <c r="AY81" i="6"/>
  <c r="AV81" i="6"/>
  <c r="AU81" i="6"/>
  <c r="AY88" i="6"/>
  <c r="AU88" i="6"/>
  <c r="AJ88" i="6"/>
  <c r="AV88" i="6"/>
  <c r="AZ88" i="6"/>
  <c r="AZ30" i="6"/>
  <c r="AY30" i="6"/>
  <c r="AV30" i="6"/>
  <c r="AU30" i="6"/>
  <c r="AJ30" i="6"/>
  <c r="AK68" i="6"/>
  <c r="AX68" i="6"/>
  <c r="AT68" i="6"/>
  <c r="AO68" i="6"/>
  <c r="AW68" i="6"/>
  <c r="AZ25" i="6"/>
  <c r="AV25" i="6"/>
  <c r="AU25" i="6"/>
  <c r="AJ25" i="6"/>
  <c r="AY25" i="6"/>
  <c r="AT25" i="6"/>
  <c r="AO25" i="6"/>
  <c r="AW25" i="6"/>
  <c r="AK25" i="6"/>
  <c r="AX25" i="6"/>
  <c r="AX26" i="6"/>
  <c r="AW26" i="6"/>
  <c r="AT26" i="6"/>
  <c r="AO26" i="6"/>
  <c r="AK26" i="6"/>
  <c r="AY90" i="6"/>
  <c r="AJ90" i="6"/>
  <c r="AU90" i="6"/>
  <c r="AZ90" i="6"/>
  <c r="AV90" i="6"/>
  <c r="AV42" i="6"/>
  <c r="AU42" i="6"/>
  <c r="AJ42" i="6"/>
  <c r="AY42" i="6"/>
  <c r="AZ42" i="6"/>
  <c r="AX57" i="6"/>
  <c r="AW57" i="6"/>
  <c r="AT57" i="6"/>
  <c r="AO57" i="6"/>
  <c r="AK57" i="6"/>
  <c r="AW60" i="6"/>
  <c r="AO60" i="6"/>
  <c r="AT60" i="6"/>
  <c r="AX60" i="6"/>
  <c r="AK60" i="6"/>
  <c r="AU93" i="6"/>
  <c r="AJ93" i="6"/>
  <c r="AZ93" i="6"/>
  <c r="AY93" i="6"/>
  <c r="AV93" i="6"/>
  <c r="AT69" i="6"/>
  <c r="AO69" i="6"/>
  <c r="AX69" i="6"/>
  <c r="AW69" i="6"/>
  <c r="AK69" i="6"/>
  <c r="AZ31" i="6"/>
  <c r="AY31" i="6"/>
  <c r="AJ31" i="6"/>
  <c r="AV31" i="6"/>
  <c r="AU31" i="6"/>
  <c r="AZ45" i="6"/>
  <c r="AY45" i="6"/>
  <c r="AV45" i="6"/>
  <c r="AU45" i="6"/>
  <c r="AJ45" i="6"/>
  <c r="AK54" i="6"/>
  <c r="AX54" i="6"/>
  <c r="AO54" i="6"/>
  <c r="AW54" i="6"/>
  <c r="AT54" i="6"/>
  <c r="AZ76" i="6"/>
  <c r="AY76" i="6"/>
  <c r="AV76" i="6"/>
  <c r="AU76" i="6"/>
  <c r="AJ76" i="6"/>
  <c r="AY39" i="6"/>
  <c r="AZ39" i="6"/>
  <c r="AJ39" i="6"/>
  <c r="AV39" i="6"/>
  <c r="AU39" i="6"/>
  <c r="AZ79" i="6"/>
  <c r="AV79" i="6"/>
  <c r="AY79" i="6"/>
  <c r="AU79" i="6"/>
  <c r="AJ79" i="6"/>
  <c r="AV97" i="6"/>
  <c r="AJ97" i="6"/>
  <c r="AY97" i="6"/>
  <c r="AU97" i="6"/>
  <c r="AZ97" i="6"/>
  <c r="AJ26" i="6"/>
  <c r="AU26" i="6"/>
  <c r="AZ26" i="6"/>
  <c r="AY26" i="6"/>
  <c r="AV26" i="6"/>
  <c r="AZ34" i="6"/>
  <c r="AY34" i="6"/>
  <c r="AV34" i="6"/>
  <c r="AU34" i="6"/>
  <c r="AJ34" i="6"/>
  <c r="AO51" i="6"/>
  <c r="AX51" i="6"/>
  <c r="AW51" i="6"/>
  <c r="AT51" i="6"/>
  <c r="AK51" i="6"/>
  <c r="AO83" i="6"/>
  <c r="AT83" i="6"/>
  <c r="AX83" i="6"/>
  <c r="AW83" i="6"/>
  <c r="AK83" i="6"/>
  <c r="AY51" i="6"/>
  <c r="AZ51" i="6"/>
  <c r="AV51" i="6"/>
  <c r="AU51" i="6"/>
  <c r="AJ51" i="6"/>
  <c r="AZ54" i="6"/>
  <c r="AY54" i="6"/>
  <c r="AV54" i="6"/>
  <c r="AU54" i="6"/>
  <c r="AJ54" i="6"/>
  <c r="AZ83" i="6"/>
  <c r="AY83" i="6"/>
  <c r="AV83" i="6"/>
  <c r="AU83" i="6"/>
  <c r="AJ83" i="6"/>
  <c r="AU68" i="6"/>
  <c r="AJ68" i="6"/>
  <c r="AV68" i="6"/>
  <c r="AZ68" i="6"/>
  <c r="AY68" i="6"/>
  <c r="AT41" i="6"/>
  <c r="AX41" i="6"/>
  <c r="AW41" i="6"/>
  <c r="AO41" i="6"/>
  <c r="AK41" i="6"/>
  <c r="AO85" i="6"/>
  <c r="AW85" i="6"/>
  <c r="AX85" i="6"/>
  <c r="AT85" i="6"/>
  <c r="AK85" i="6"/>
  <c r="AT86" i="6"/>
  <c r="AW86" i="6"/>
  <c r="AO86" i="6"/>
  <c r="AK86" i="6"/>
  <c r="AX86" i="6"/>
  <c r="AU86" i="6"/>
  <c r="AJ86" i="6"/>
  <c r="AV86" i="6"/>
  <c r="AZ86" i="6"/>
  <c r="AY86" i="6"/>
  <c r="AT31" i="6"/>
  <c r="AX31" i="6"/>
  <c r="AW31" i="6"/>
  <c r="AK31" i="6"/>
  <c r="AO31" i="6"/>
  <c r="AW97" i="6"/>
  <c r="AK97" i="6"/>
  <c r="AO97" i="6"/>
  <c r="AT97" i="6"/>
  <c r="AX97" i="6"/>
  <c r="AT42" i="6"/>
  <c r="AX42" i="6"/>
  <c r="AW42" i="6"/>
  <c r="AO42" i="6"/>
  <c r="AK42" i="6"/>
  <c r="AJ63" i="6"/>
  <c r="AY63" i="6"/>
  <c r="AU63" i="6"/>
  <c r="AZ63" i="6"/>
  <c r="AV63" i="6"/>
  <c r="AO48" i="6"/>
  <c r="AX48" i="6"/>
  <c r="AW48" i="6"/>
  <c r="AT48" i="6"/>
  <c r="AK48" i="6"/>
  <c r="AJ27" i="6"/>
  <c r="AZ27" i="6"/>
  <c r="AY27" i="6"/>
  <c r="AV27" i="6"/>
  <c r="AU27" i="6"/>
  <c r="AX95" i="6"/>
  <c r="AW95" i="6"/>
  <c r="AK95" i="6"/>
  <c r="AO95" i="6"/>
  <c r="AT95" i="6"/>
  <c r="AY95" i="6"/>
  <c r="AZ95" i="6"/>
  <c r="AV95" i="6"/>
  <c r="AJ95" i="6"/>
  <c r="AU95" i="6"/>
  <c r="AK99" i="6"/>
  <c r="AT99" i="6"/>
  <c r="AW99" i="6"/>
  <c r="AX99" i="6"/>
  <c r="AO99" i="6"/>
  <c r="AO39" i="6"/>
  <c r="AX39" i="6"/>
  <c r="AT39" i="6"/>
  <c r="AW39" i="6"/>
  <c r="AK39" i="6"/>
  <c r="AU69" i="6"/>
  <c r="AY69" i="6"/>
  <c r="AV69" i="6"/>
  <c r="AZ69" i="6"/>
  <c r="AJ69" i="6"/>
  <c r="AV66" i="6"/>
  <c r="AJ66" i="6"/>
  <c r="AU66" i="6"/>
  <c r="AZ66" i="6"/>
  <c r="AY66" i="6"/>
  <c r="AO46" i="6"/>
  <c r="AX46" i="6"/>
  <c r="AT46" i="6"/>
  <c r="AW46" i="6"/>
  <c r="AK46" i="6"/>
  <c r="AJ52" i="6"/>
  <c r="AZ52" i="6"/>
  <c r="AY52" i="6"/>
  <c r="AV52" i="6"/>
  <c r="AU52" i="6"/>
  <c r="AW55" i="6"/>
  <c r="AT55" i="6"/>
  <c r="AO55" i="6"/>
  <c r="AK55" i="6"/>
  <c r="AX55" i="6"/>
  <c r="AX35" i="6"/>
  <c r="AW35" i="6"/>
  <c r="AT35" i="6"/>
  <c r="AK35" i="6"/>
  <c r="AO35" i="6"/>
  <c r="AJ46" i="6"/>
  <c r="AZ46" i="6"/>
  <c r="AY46" i="6"/>
  <c r="AU46" i="6"/>
  <c r="AV46" i="6"/>
  <c r="AK74" i="6"/>
  <c r="AW74" i="6"/>
  <c r="AT74" i="6"/>
  <c r="AX74" i="6"/>
  <c r="AO74" i="6"/>
  <c r="AZ35" i="6"/>
  <c r="AY35" i="6"/>
  <c r="AU35" i="6"/>
  <c r="AV35" i="6"/>
  <c r="AJ35" i="6"/>
  <c r="AX49" i="6"/>
  <c r="AK49" i="6"/>
  <c r="AT49" i="6"/>
  <c r="AW49" i="6"/>
  <c r="AO49" i="6"/>
  <c r="AJ74" i="6"/>
  <c r="AY74" i="6"/>
  <c r="AZ74" i="6"/>
  <c r="AU74" i="6"/>
  <c r="AV74" i="6"/>
  <c r="AX88" i="6"/>
  <c r="AK88" i="6"/>
  <c r="AT88" i="6"/>
  <c r="AW88" i="6"/>
  <c r="AO88" i="6"/>
  <c r="AX30" i="6"/>
  <c r="AW30" i="6"/>
  <c r="AT30" i="6"/>
  <c r="AO30" i="6"/>
  <c r="AK30" i="6"/>
  <c r="AX34" i="6"/>
  <c r="AW34" i="6"/>
  <c r="AT34" i="6"/>
  <c r="AO34" i="6"/>
  <c r="AK34" i="6"/>
  <c r="AX45" i="6"/>
  <c r="AW45" i="6"/>
  <c r="AT45" i="6"/>
  <c r="AO45" i="6"/>
  <c r="AK45" i="6"/>
  <c r="AZ57" i="6"/>
  <c r="AY57" i="6"/>
  <c r="AV57" i="6"/>
  <c r="AU57" i="6"/>
  <c r="AJ57" i="6"/>
  <c r="AU60" i="6"/>
  <c r="AZ60" i="6"/>
  <c r="AY60" i="6"/>
  <c r="AV60" i="6"/>
  <c r="AJ60" i="6"/>
  <c r="AO76" i="6"/>
  <c r="AX76" i="6"/>
  <c r="AW76" i="6"/>
  <c r="AT76" i="6"/>
  <c r="AK76" i="6"/>
  <c r="AV41" i="6"/>
  <c r="AU41" i="6"/>
  <c r="AY41" i="6"/>
  <c r="AJ41" i="6"/>
  <c r="AZ41" i="6"/>
  <c r="AO29" i="6"/>
  <c r="AT29" i="6"/>
  <c r="AK29" i="6"/>
  <c r="AX29" i="6"/>
  <c r="AW29" i="6"/>
  <c r="AX33" i="6"/>
  <c r="AW33" i="6"/>
  <c r="AK33" i="6"/>
  <c r="AO33" i="6"/>
  <c r="AT33" i="6"/>
  <c r="AJ37" i="6"/>
  <c r="AU37" i="6"/>
  <c r="AY37" i="6"/>
  <c r="AV37" i="6"/>
  <c r="AZ37" i="6"/>
  <c r="AU62" i="6"/>
  <c r="AV62" i="6"/>
  <c r="AY62" i="6"/>
  <c r="AJ62" i="6"/>
  <c r="AZ62" i="6"/>
  <c r="AT78" i="6"/>
  <c r="AX78" i="6"/>
  <c r="AW78" i="6"/>
  <c r="AO78" i="6"/>
  <c r="AK78" i="6"/>
  <c r="AK80" i="6"/>
  <c r="AT80" i="6"/>
  <c r="AO80" i="6"/>
  <c r="AX80" i="6"/>
  <c r="AW80" i="6"/>
  <c r="AU96" i="6"/>
  <c r="AY96" i="6"/>
  <c r="AV96" i="6"/>
  <c r="AZ96" i="6"/>
  <c r="AJ96" i="6"/>
  <c r="AX98" i="6"/>
  <c r="AO98" i="6"/>
  <c r="AW98" i="6"/>
  <c r="AK98" i="6"/>
  <c r="AT98" i="6"/>
  <c r="AO73" i="6"/>
  <c r="AX73" i="6"/>
  <c r="AW73" i="6"/>
  <c r="AT73" i="6"/>
  <c r="AK73" i="6"/>
  <c r="AT94" i="6"/>
  <c r="AO94" i="6"/>
  <c r="AX94" i="6"/>
  <c r="AW94" i="6"/>
  <c r="AK94" i="6"/>
  <c r="AX44" i="6"/>
  <c r="AO44" i="6"/>
  <c r="AK44" i="6"/>
  <c r="AW44" i="6"/>
  <c r="AT44" i="6"/>
  <c r="AW70" i="6"/>
  <c r="AT70" i="6"/>
  <c r="AO70" i="6"/>
  <c r="AK70" i="6"/>
  <c r="AX70" i="6"/>
  <c r="AY78" i="6"/>
  <c r="AU78" i="6"/>
  <c r="AZ78" i="6"/>
  <c r="AV78" i="6"/>
  <c r="AJ78" i="6"/>
  <c r="AZ80" i="6"/>
  <c r="AJ80" i="6"/>
  <c r="AV80" i="6"/>
  <c r="AU80" i="6"/>
  <c r="AY80" i="6"/>
  <c r="AY98" i="6"/>
  <c r="AZ98" i="6"/>
  <c r="AV98" i="6"/>
  <c r="AJ98" i="6"/>
  <c r="AU98" i="6"/>
  <c r="AT89" i="6"/>
  <c r="AO89" i="6"/>
  <c r="AK89" i="6"/>
  <c r="AX89" i="6"/>
  <c r="AW89" i="6"/>
  <c r="AW100" i="6"/>
  <c r="AO100" i="6"/>
  <c r="AX100" i="6"/>
  <c r="AT100" i="6"/>
  <c r="AK100" i="6"/>
  <c r="AV33" i="6"/>
  <c r="AJ33" i="6"/>
  <c r="AZ33" i="6"/>
  <c r="AY33" i="6"/>
  <c r="AU33" i="6"/>
  <c r="AO56" i="6"/>
  <c r="AX56" i="6"/>
  <c r="AK56" i="6"/>
  <c r="AT56" i="6"/>
  <c r="AW56" i="6"/>
  <c r="AV70" i="6"/>
  <c r="AU70" i="6"/>
  <c r="AJ70" i="6"/>
  <c r="AZ70" i="6"/>
  <c r="AY70" i="6"/>
  <c r="AW50" i="6"/>
  <c r="AX50" i="6"/>
  <c r="AK50" i="6"/>
  <c r="AO50" i="6"/>
  <c r="AT50" i="6"/>
  <c r="AK91" i="6"/>
  <c r="AO91" i="6"/>
  <c r="AW91" i="6"/>
  <c r="AT91" i="6"/>
  <c r="AX91" i="6"/>
  <c r="AV100" i="6"/>
  <c r="AU100" i="6"/>
  <c r="AY100" i="6"/>
  <c r="AJ100" i="6"/>
  <c r="AZ100" i="6"/>
  <c r="AY48" i="6"/>
  <c r="AZ48" i="6"/>
  <c r="AV48" i="6"/>
  <c r="AU48" i="6"/>
  <c r="AJ48" i="6"/>
  <c r="AZ85" i="6"/>
  <c r="AV85" i="6"/>
  <c r="AU85" i="6"/>
  <c r="AY85" i="6"/>
  <c r="AJ85" i="6"/>
  <c r="AT96" i="6"/>
  <c r="AO96" i="6"/>
  <c r="AX96" i="6"/>
  <c r="AW96" i="6"/>
  <c r="AK96" i="6"/>
  <c r="AV29" i="6"/>
  <c r="AU29" i="6"/>
  <c r="AZ29" i="6"/>
  <c r="AY29" i="6"/>
  <c r="AJ29" i="6"/>
  <c r="AX24" i="6"/>
  <c r="AO24" i="6"/>
  <c r="AK24" i="6"/>
  <c r="AT24" i="6"/>
  <c r="AW24" i="6"/>
  <c r="AU59" i="6"/>
  <c r="AZ59" i="6"/>
  <c r="AV59" i="6"/>
  <c r="AJ59" i="6"/>
  <c r="AY59" i="6"/>
  <c r="AZ24" i="6"/>
  <c r="AY24" i="6"/>
  <c r="AJ24" i="6"/>
  <c r="AU24" i="6"/>
  <c r="AV24" i="6"/>
  <c r="AO40" i="6"/>
  <c r="AK40" i="6"/>
  <c r="AT40" i="6"/>
  <c r="AX40" i="6"/>
  <c r="AW40" i="6"/>
  <c r="AV50" i="6"/>
  <c r="AU50" i="6"/>
  <c r="AJ50" i="6"/>
  <c r="AY50" i="6"/>
  <c r="AZ50" i="6"/>
  <c r="AJ91" i="6"/>
  <c r="AV91" i="6"/>
  <c r="AU91" i="6"/>
  <c r="AZ91" i="6"/>
  <c r="AY91" i="6"/>
  <c r="AT65" i="6"/>
  <c r="AX65" i="6"/>
  <c r="AW65" i="6"/>
  <c r="AO65" i="6"/>
  <c r="AK65" i="6"/>
  <c r="AT32" i="6"/>
  <c r="AK32" i="6"/>
  <c r="AO32" i="6"/>
  <c r="AW32" i="6"/>
  <c r="AX32" i="6"/>
  <c r="AK36" i="6"/>
  <c r="AW36" i="6"/>
  <c r="AT36" i="6"/>
  <c r="AX36" i="6"/>
  <c r="AO36" i="6"/>
  <c r="AZ40" i="6"/>
  <c r="AJ40" i="6"/>
  <c r="AV40" i="6"/>
  <c r="AU40" i="6"/>
  <c r="AY40" i="6"/>
  <c r="AO67" i="6"/>
  <c r="AK67" i="6"/>
  <c r="AT67" i="6"/>
  <c r="AW67" i="6"/>
  <c r="AX67" i="6"/>
  <c r="AO72" i="6"/>
  <c r="AK72" i="6"/>
  <c r="AX72" i="6"/>
  <c r="AT72" i="6"/>
  <c r="AW72" i="6"/>
  <c r="AT62" i="6"/>
  <c r="AO62" i="6"/>
  <c r="AK62" i="6"/>
  <c r="AX62" i="6"/>
  <c r="AW62" i="6"/>
  <c r="AV32" i="6"/>
  <c r="AU32" i="6"/>
  <c r="AJ32" i="6"/>
  <c r="AY32" i="6"/>
  <c r="AZ32" i="6"/>
  <c r="AJ36" i="6"/>
  <c r="AZ36" i="6"/>
  <c r="AY36" i="6"/>
  <c r="AV36" i="6"/>
  <c r="AU36" i="6"/>
  <c r="AK64" i="6"/>
  <c r="AO64" i="6"/>
  <c r="AX64" i="6"/>
  <c r="AT64" i="6"/>
  <c r="AW64" i="6"/>
  <c r="AJ67" i="6"/>
  <c r="AZ67" i="6"/>
  <c r="AV67" i="6"/>
  <c r="AU67" i="6"/>
  <c r="AY67" i="6"/>
  <c r="AZ72" i="6"/>
  <c r="AJ72" i="6"/>
  <c r="AY72" i="6"/>
  <c r="AU72" i="6"/>
  <c r="AV72" i="6"/>
  <c r="AZ44" i="6"/>
  <c r="AY44" i="6"/>
  <c r="AJ44" i="6"/>
  <c r="AV44" i="6"/>
  <c r="AU44" i="6"/>
  <c r="AV43" i="6"/>
  <c r="AJ43" i="6"/>
  <c r="AU43" i="6"/>
  <c r="AZ43" i="6"/>
  <c r="AY43" i="6"/>
  <c r="AY61" i="6"/>
  <c r="AZ61" i="6"/>
  <c r="AJ61" i="6"/>
  <c r="AV61" i="6"/>
  <c r="AU61" i="6"/>
  <c r="AJ64" i="6"/>
  <c r="AY64" i="6"/>
  <c r="AZ64" i="6"/>
  <c r="AV64" i="6"/>
  <c r="AU64" i="6"/>
  <c r="AO93" i="6"/>
  <c r="AT93" i="6"/>
  <c r="AK93" i="6"/>
  <c r="AW93" i="6"/>
  <c r="AX93" i="6"/>
  <c r="AX43" i="6"/>
  <c r="AW43" i="6"/>
  <c r="AK43" i="6"/>
  <c r="AO43" i="6"/>
  <c r="AT43" i="6"/>
  <c r="AZ56" i="6"/>
  <c r="AY56" i="6"/>
  <c r="AJ56" i="6"/>
  <c r="AV56" i="6"/>
  <c r="AU56" i="6"/>
  <c r="AX61" i="6"/>
  <c r="AW61" i="6"/>
  <c r="AK61" i="6"/>
  <c r="AO61" i="6"/>
  <c r="AT61" i="6"/>
  <c r="AW79" i="6"/>
  <c r="AX79" i="6"/>
  <c r="AK79" i="6"/>
  <c r="AT79" i="6"/>
  <c r="AO79" i="6"/>
  <c r="AZ89" i="6"/>
  <c r="AU89" i="6"/>
  <c r="AJ89" i="6"/>
  <c r="AY89" i="6"/>
  <c r="AV89" i="6"/>
  <c r="AX38" i="6"/>
  <c r="AW38" i="6"/>
  <c r="AT38" i="6"/>
  <c r="AK38" i="6"/>
  <c r="AO38" i="6"/>
  <c r="AO28" i="6"/>
  <c r="AK28" i="6"/>
  <c r="AT28" i="6"/>
  <c r="AX28" i="6"/>
  <c r="AW28" i="6"/>
  <c r="AO53" i="6"/>
  <c r="AW53" i="6"/>
  <c r="AK53" i="6"/>
  <c r="AT53" i="6"/>
  <c r="AX53" i="6"/>
  <c r="AY73" i="6"/>
  <c r="AV73" i="6"/>
  <c r="AU73" i="6"/>
  <c r="AZ73" i="6"/>
  <c r="AJ73" i="6"/>
  <c r="AW84" i="6"/>
  <c r="AK84" i="6"/>
  <c r="AT84" i="6"/>
  <c r="AO84" i="6"/>
  <c r="AX84" i="6"/>
  <c r="AU94" i="6"/>
  <c r="AZ94" i="6"/>
  <c r="AY94" i="6"/>
  <c r="AV94" i="6"/>
  <c r="AJ94" i="6"/>
  <c r="AJ28" i="6"/>
  <c r="AY28" i="6"/>
  <c r="AV28" i="6"/>
  <c r="AZ28" i="6"/>
  <c r="AU28" i="6"/>
  <c r="AV38" i="6"/>
  <c r="AZ38" i="6"/>
  <c r="AY38" i="6"/>
  <c r="AU38" i="6"/>
  <c r="AJ38" i="6"/>
  <c r="AK47" i="6"/>
  <c r="AO47" i="6"/>
  <c r="AX47" i="6"/>
  <c r="AW47" i="6"/>
  <c r="AT47" i="6"/>
  <c r="AJ53" i="6"/>
  <c r="AU53" i="6"/>
  <c r="AV53" i="6"/>
  <c r="AZ53" i="6"/>
  <c r="AY53" i="6"/>
  <c r="AK58" i="6"/>
  <c r="AW58" i="6"/>
  <c r="AO58" i="6"/>
  <c r="AX58" i="6"/>
  <c r="AT58" i="6"/>
  <c r="AV84" i="6"/>
  <c r="AZ84" i="6"/>
  <c r="AJ84" i="6"/>
  <c r="AY84" i="6"/>
  <c r="AU84" i="6"/>
  <c r="AK27" i="6"/>
  <c r="AX27" i="6"/>
  <c r="AT27" i="6"/>
  <c r="AO27" i="6"/>
  <c r="AW27" i="6"/>
  <c r="AK37" i="6"/>
  <c r="AT37" i="6"/>
  <c r="AO37" i="6"/>
  <c r="AX37" i="6"/>
  <c r="AW37" i="6"/>
  <c r="AV47" i="6"/>
  <c r="AJ47" i="6"/>
  <c r="AZ47" i="6"/>
  <c r="AY47" i="6"/>
  <c r="AU47" i="6"/>
  <c r="AV58" i="6"/>
  <c r="AJ58" i="6"/>
  <c r="AY58" i="6"/>
  <c r="AZ58" i="6"/>
  <c r="AU58" i="6"/>
  <c r="AX63" i="6"/>
  <c r="AK63" i="6"/>
  <c r="AT63" i="6"/>
  <c r="AW63" i="6"/>
  <c r="AO63" i="6"/>
  <c r="AW77" i="6"/>
  <c r="AK77" i="6"/>
  <c r="AX77" i="6"/>
  <c r="AO77" i="6"/>
  <c r="AT77" i="6"/>
  <c r="AX90" i="6"/>
  <c r="AW90" i="6"/>
  <c r="AK90" i="6"/>
  <c r="AT90" i="6"/>
  <c r="AO90" i="6"/>
  <c r="AX52" i="6"/>
  <c r="AT52" i="6"/>
  <c r="AO52" i="6"/>
  <c r="AK52" i="6"/>
  <c r="AW52" i="6"/>
  <c r="AO59" i="6"/>
  <c r="AT59" i="6"/>
  <c r="AK59" i="6"/>
  <c r="AW59" i="6"/>
  <c r="AX59" i="6"/>
  <c r="AO66" i="6"/>
  <c r="AX66" i="6"/>
  <c r="AW66" i="6"/>
  <c r="AT66" i="6"/>
  <c r="AK66" i="6"/>
  <c r="AJ77" i="6"/>
  <c r="AY77" i="6"/>
  <c r="AZ77" i="6"/>
  <c r="AV77" i="6"/>
  <c r="AU77" i="6"/>
  <c r="AZ99" i="6"/>
  <c r="AY99" i="6"/>
  <c r="AU99" i="6"/>
  <c r="AJ99" i="6"/>
  <c r="AV99" i="6"/>
  <c r="AX75" i="6"/>
  <c r="AW75" i="6"/>
  <c r="AK75" i="6"/>
  <c r="AO75" i="6"/>
  <c r="AT75" i="6"/>
  <c r="AW87" i="6"/>
  <c r="AK87" i="6"/>
  <c r="AX87" i="6"/>
  <c r="AT87" i="6"/>
  <c r="AO87" i="6"/>
  <c r="AU55" i="6"/>
  <c r="AV55" i="6"/>
  <c r="AJ55" i="6"/>
  <c r="AZ55" i="6"/>
  <c r="AY55" i="6"/>
  <c r="AV65" i="6"/>
  <c r="AU65" i="6"/>
  <c r="AZ65" i="6"/>
  <c r="AJ65" i="6"/>
  <c r="AY65" i="6"/>
  <c r="AY75" i="6"/>
  <c r="AJ75" i="6"/>
  <c r="AZ75" i="6"/>
  <c r="AV75" i="6"/>
  <c r="AU75" i="6"/>
  <c r="AV87" i="6"/>
  <c r="AJ87" i="6"/>
  <c r="AY87" i="6"/>
  <c r="AU87" i="6"/>
  <c r="AZ87" i="6"/>
  <c r="AO82" i="6"/>
  <c r="AW82" i="6"/>
  <c r="AX82" i="6"/>
  <c r="AK82" i="6"/>
  <c r="AT82" i="6"/>
  <c r="AK92" i="6"/>
  <c r="AO92" i="6"/>
  <c r="AX92" i="6"/>
  <c r="AW92" i="6"/>
  <c r="AT92" i="6"/>
  <c r="AU82" i="6"/>
  <c r="AY82" i="6"/>
  <c r="AJ82" i="6"/>
  <c r="AZ82" i="6"/>
  <c r="AV82" i="6"/>
  <c r="AJ92" i="6"/>
  <c r="AZ92" i="6"/>
  <c r="AY92" i="6"/>
  <c r="AV92" i="6"/>
  <c r="AU92" i="6"/>
  <c r="W131" i="6"/>
  <c r="W130" i="6"/>
  <c r="S130" i="6"/>
  <c r="P130" i="6"/>
  <c r="W129" i="6"/>
  <c r="S129" i="6"/>
  <c r="W132" i="6" s="1"/>
  <c r="T72" i="6" s="1"/>
  <c r="U72" i="6" s="1"/>
  <c r="M132" i="6"/>
  <c r="M131" i="6"/>
  <c r="M130" i="6"/>
  <c r="M129" i="6"/>
  <c r="AQ35" i="6" l="1"/>
  <c r="AR35" i="6"/>
  <c r="AS35" i="6"/>
  <c r="AP35" i="6"/>
  <c r="AR76" i="6"/>
  <c r="AS76" i="6"/>
  <c r="AQ76" i="6"/>
  <c r="AP76" i="6"/>
  <c r="AN44" i="6"/>
  <c r="AR30" i="6"/>
  <c r="AQ30" i="6"/>
  <c r="AP30" i="6"/>
  <c r="AS30" i="6"/>
  <c r="AS42" i="6"/>
  <c r="AR42" i="6"/>
  <c r="AQ42" i="6"/>
  <c r="AP42" i="6"/>
  <c r="AN69" i="6"/>
  <c r="AN83" i="6"/>
  <c r="AN45" i="6"/>
  <c r="AN55" i="6"/>
  <c r="AS91" i="6"/>
  <c r="AR91" i="6"/>
  <c r="AQ91" i="6"/>
  <c r="AP91" i="6"/>
  <c r="AQ94" i="6"/>
  <c r="AP94" i="6"/>
  <c r="AS94" i="6"/>
  <c r="AR94" i="6"/>
  <c r="AN79" i="6"/>
  <c r="AS60" i="6"/>
  <c r="AR60" i="6"/>
  <c r="AQ60" i="6"/>
  <c r="AP60" i="6"/>
  <c r="AQ82" i="6"/>
  <c r="AP82" i="6"/>
  <c r="AR82" i="6"/>
  <c r="AS82" i="6"/>
  <c r="AN47" i="6"/>
  <c r="AS53" i="6"/>
  <c r="AR53" i="6"/>
  <c r="AQ53" i="6"/>
  <c r="AP53" i="6"/>
  <c r="AQ93" i="6"/>
  <c r="AP93" i="6"/>
  <c r="AS93" i="6"/>
  <c r="AR93" i="6"/>
  <c r="AQ67" i="6"/>
  <c r="AP67" i="6"/>
  <c r="AR67" i="6"/>
  <c r="AS67" i="6"/>
  <c r="AN33" i="6"/>
  <c r="AP51" i="6"/>
  <c r="AS51" i="6"/>
  <c r="AR51" i="6"/>
  <c r="AQ51" i="6"/>
  <c r="AS52" i="6"/>
  <c r="AR52" i="6"/>
  <c r="AQ52" i="6"/>
  <c r="AP52" i="6"/>
  <c r="AN90" i="6"/>
  <c r="AN68" i="6"/>
  <c r="AN58" i="6"/>
  <c r="AN29" i="6"/>
  <c r="AN35" i="6"/>
  <c r="AS26" i="6"/>
  <c r="AR26" i="6"/>
  <c r="AQ26" i="6"/>
  <c r="AP26" i="6"/>
  <c r="AS87" i="6"/>
  <c r="AR87" i="6"/>
  <c r="AQ87" i="6"/>
  <c r="AP87" i="6"/>
  <c r="AQ88" i="6"/>
  <c r="AP88" i="6"/>
  <c r="AS88" i="6"/>
  <c r="AR88" i="6"/>
  <c r="AQ77" i="6"/>
  <c r="AP77" i="6"/>
  <c r="AS77" i="6"/>
  <c r="AR77" i="6"/>
  <c r="AN94" i="6"/>
  <c r="AR61" i="6"/>
  <c r="AQ61" i="6"/>
  <c r="AP61" i="6"/>
  <c r="AS61" i="6"/>
  <c r="AN64" i="6"/>
  <c r="AP50" i="6"/>
  <c r="AS50" i="6"/>
  <c r="AR50" i="6"/>
  <c r="AQ50" i="6"/>
  <c r="AN78" i="6"/>
  <c r="AS78" i="6"/>
  <c r="AR78" i="6"/>
  <c r="AQ78" i="6"/>
  <c r="AP78" i="6"/>
  <c r="AN52" i="6"/>
  <c r="AN27" i="6"/>
  <c r="AN39" i="6"/>
  <c r="AN31" i="6"/>
  <c r="AQ57" i="6"/>
  <c r="AR57" i="6"/>
  <c r="AS57" i="6"/>
  <c r="AP57" i="6"/>
  <c r="AN88" i="6"/>
  <c r="AN99" i="6"/>
  <c r="AN93" i="6"/>
  <c r="AQ43" i="6"/>
  <c r="AP43" i="6"/>
  <c r="AS43" i="6"/>
  <c r="AR43" i="6"/>
  <c r="AN37" i="6"/>
  <c r="AR40" i="6"/>
  <c r="AQ40" i="6"/>
  <c r="AP40" i="6"/>
  <c r="AS40" i="6"/>
  <c r="AS65" i="6"/>
  <c r="AR65" i="6"/>
  <c r="AQ65" i="6"/>
  <c r="AP65" i="6"/>
  <c r="AS58" i="6"/>
  <c r="AQ58" i="6"/>
  <c r="AP58" i="6"/>
  <c r="AR58" i="6"/>
  <c r="AN30" i="6"/>
  <c r="AN53" i="6"/>
  <c r="AN40" i="6"/>
  <c r="AN59" i="6"/>
  <c r="AN57" i="6"/>
  <c r="AP97" i="6"/>
  <c r="AQ97" i="6"/>
  <c r="AS97" i="6"/>
  <c r="AR97" i="6"/>
  <c r="AN54" i="6"/>
  <c r="AN34" i="6"/>
  <c r="AN98" i="6"/>
  <c r="AS44" i="6"/>
  <c r="AR44" i="6"/>
  <c r="AQ44" i="6"/>
  <c r="AP44" i="6"/>
  <c r="AN60" i="6"/>
  <c r="AS95" i="6"/>
  <c r="AR95" i="6"/>
  <c r="AQ95" i="6"/>
  <c r="AP95" i="6"/>
  <c r="AN28" i="6"/>
  <c r="AN80" i="6"/>
  <c r="AQ86" i="6"/>
  <c r="AP86" i="6"/>
  <c r="AS86" i="6"/>
  <c r="AR86" i="6"/>
  <c r="AS74" i="6"/>
  <c r="AR74" i="6"/>
  <c r="AQ74" i="6"/>
  <c r="AP74" i="6"/>
  <c r="AN49" i="6"/>
  <c r="AN92" i="6"/>
  <c r="AS37" i="6"/>
  <c r="AR37" i="6"/>
  <c r="AQ37" i="6"/>
  <c r="AP37" i="6"/>
  <c r="AN91" i="6"/>
  <c r="AN85" i="6"/>
  <c r="AS100" i="6"/>
  <c r="AQ100" i="6"/>
  <c r="AP100" i="6"/>
  <c r="AR100" i="6"/>
  <c r="AP25" i="6"/>
  <c r="AS25" i="6"/>
  <c r="AR25" i="6"/>
  <c r="AQ25" i="6"/>
  <c r="AN65" i="6"/>
  <c r="AN66" i="6"/>
  <c r="AS83" i="6"/>
  <c r="AR83" i="6"/>
  <c r="AQ83" i="6"/>
  <c r="AP83" i="6"/>
  <c r="AN24" i="6"/>
  <c r="AS33" i="6"/>
  <c r="AR33" i="6"/>
  <c r="AQ33" i="6"/>
  <c r="AP33" i="6"/>
  <c r="AS80" i="6"/>
  <c r="AR80" i="6"/>
  <c r="AQ80" i="6"/>
  <c r="AP80" i="6"/>
  <c r="AS55" i="6"/>
  <c r="AR55" i="6"/>
  <c r="AQ55" i="6"/>
  <c r="AP55" i="6"/>
  <c r="AQ96" i="6"/>
  <c r="AR96" i="6"/>
  <c r="AS96" i="6"/>
  <c r="AP96" i="6"/>
  <c r="AN72" i="6"/>
  <c r="AN87" i="6"/>
  <c r="AQ66" i="6"/>
  <c r="AS66" i="6"/>
  <c r="AR66" i="6"/>
  <c r="AP66" i="6"/>
  <c r="AQ28" i="6"/>
  <c r="AP28" i="6"/>
  <c r="AR28" i="6"/>
  <c r="AS28" i="6"/>
  <c r="AN32" i="6"/>
  <c r="AS73" i="6"/>
  <c r="AR73" i="6"/>
  <c r="AQ73" i="6"/>
  <c r="AP73" i="6"/>
  <c r="AP29" i="6"/>
  <c r="AQ29" i="6"/>
  <c r="AS29" i="6"/>
  <c r="AR29" i="6"/>
  <c r="AP39" i="6"/>
  <c r="AR39" i="6"/>
  <c r="AS39" i="6"/>
  <c r="AQ39" i="6"/>
  <c r="AS85" i="6"/>
  <c r="AR85" i="6"/>
  <c r="AQ85" i="6"/>
  <c r="AP85" i="6"/>
  <c r="AS92" i="6"/>
  <c r="AR92" i="6"/>
  <c r="AQ92" i="6"/>
  <c r="AP92" i="6"/>
  <c r="AR81" i="6"/>
  <c r="AQ81" i="6"/>
  <c r="AP81" i="6"/>
  <c r="AS81" i="6"/>
  <c r="AS56" i="6"/>
  <c r="AR56" i="6"/>
  <c r="AQ56" i="6"/>
  <c r="AP56" i="6"/>
  <c r="AN97" i="6"/>
  <c r="AP90" i="6"/>
  <c r="AS90" i="6"/>
  <c r="AR90" i="6"/>
  <c r="AQ90" i="6"/>
  <c r="AN63" i="6"/>
  <c r="AS34" i="6"/>
  <c r="AR34" i="6"/>
  <c r="AP34" i="6"/>
  <c r="AQ34" i="6"/>
  <c r="AS68" i="6"/>
  <c r="AR68" i="6"/>
  <c r="AQ68" i="6"/>
  <c r="AP68" i="6"/>
  <c r="AR32" i="6"/>
  <c r="AQ32" i="6"/>
  <c r="AP32" i="6"/>
  <c r="AS32" i="6"/>
  <c r="AN96" i="6"/>
  <c r="AN95" i="6"/>
  <c r="AR54" i="6"/>
  <c r="AS54" i="6"/>
  <c r="AQ54" i="6"/>
  <c r="AP54" i="6"/>
  <c r="AN38" i="6"/>
  <c r="AS72" i="6"/>
  <c r="AP72" i="6"/>
  <c r="AR72" i="6"/>
  <c r="AQ72" i="6"/>
  <c r="AQ79" i="6"/>
  <c r="AS79" i="6"/>
  <c r="AR79" i="6"/>
  <c r="AP79" i="6"/>
  <c r="AN77" i="6"/>
  <c r="AN82" i="6"/>
  <c r="AR38" i="6"/>
  <c r="AS38" i="6"/>
  <c r="AP38" i="6"/>
  <c r="AQ38" i="6"/>
  <c r="AN46" i="6"/>
  <c r="AN26" i="6"/>
  <c r="AN56" i="6"/>
  <c r="AP45" i="6"/>
  <c r="AQ45" i="6"/>
  <c r="AS45" i="6"/>
  <c r="AR45" i="6"/>
  <c r="AS41" i="6"/>
  <c r="AR41" i="6"/>
  <c r="AQ41" i="6"/>
  <c r="AP41" i="6"/>
  <c r="AN81" i="6"/>
  <c r="AN73" i="6"/>
  <c r="AN43" i="6"/>
  <c r="AN100" i="6"/>
  <c r="AS71" i="6"/>
  <c r="AR71" i="6"/>
  <c r="AQ71" i="6"/>
  <c r="AP71" i="6"/>
  <c r="AN36" i="6"/>
  <c r="AP63" i="6"/>
  <c r="AS63" i="6"/>
  <c r="AR63" i="6"/>
  <c r="AQ63" i="6"/>
  <c r="AN74" i="6"/>
  <c r="AS31" i="6"/>
  <c r="AR31" i="6"/>
  <c r="AQ31" i="6"/>
  <c r="AP31" i="6"/>
  <c r="AN75" i="6"/>
  <c r="AR75" i="6"/>
  <c r="AQ75" i="6"/>
  <c r="AP75" i="6"/>
  <c r="AS75" i="6"/>
  <c r="AP27" i="6"/>
  <c r="AS27" i="6"/>
  <c r="AR27" i="6"/>
  <c r="AQ27" i="6"/>
  <c r="AQ84" i="6"/>
  <c r="AP84" i="6"/>
  <c r="AS84" i="6"/>
  <c r="AR84" i="6"/>
  <c r="AN61" i="6"/>
  <c r="AN89" i="6"/>
  <c r="AN86" i="6"/>
  <c r="AP64" i="6"/>
  <c r="AS64" i="6"/>
  <c r="AR64" i="6"/>
  <c r="AQ64" i="6"/>
  <c r="AN84" i="6"/>
  <c r="AR36" i="6"/>
  <c r="AP36" i="6"/>
  <c r="AS36" i="6"/>
  <c r="AQ36" i="6"/>
  <c r="AS99" i="6"/>
  <c r="AR99" i="6"/>
  <c r="AQ99" i="6"/>
  <c r="AP99" i="6"/>
  <c r="AN67" i="6"/>
  <c r="AN48" i="6"/>
  <c r="AS70" i="6"/>
  <c r="AR70" i="6"/>
  <c r="AQ70" i="6"/>
  <c r="AP70" i="6"/>
  <c r="AN51" i="6"/>
  <c r="AN76" i="6"/>
  <c r="AN71" i="6"/>
  <c r="AQ47" i="6"/>
  <c r="AR47" i="6"/>
  <c r="AP47" i="6"/>
  <c r="AS47" i="6"/>
  <c r="AP62" i="6"/>
  <c r="AS62" i="6"/>
  <c r="AR62" i="6"/>
  <c r="AQ62" i="6"/>
  <c r="AQ24" i="6"/>
  <c r="AP24" i="6"/>
  <c r="AS24" i="6"/>
  <c r="AR24" i="6"/>
  <c r="AQ89" i="6"/>
  <c r="AS89" i="6"/>
  <c r="AR89" i="6"/>
  <c r="AP89" i="6"/>
  <c r="AS98" i="6"/>
  <c r="AR98" i="6"/>
  <c r="AQ98" i="6"/>
  <c r="AP98" i="6"/>
  <c r="AN62" i="6"/>
  <c r="AP69" i="6"/>
  <c r="AS69" i="6"/>
  <c r="AR69" i="6"/>
  <c r="AQ69" i="6"/>
  <c r="AN25" i="6"/>
  <c r="AS49" i="6"/>
  <c r="AR49" i="6"/>
  <c r="AQ49" i="6"/>
  <c r="AP49" i="6"/>
  <c r="AQ59" i="6"/>
  <c r="AP59" i="6"/>
  <c r="AS59" i="6"/>
  <c r="AR59" i="6"/>
  <c r="AN50" i="6"/>
  <c r="AN70" i="6"/>
  <c r="AN41" i="6"/>
  <c r="AS46" i="6"/>
  <c r="AQ46" i="6"/>
  <c r="AP46" i="6"/>
  <c r="AR46" i="6"/>
  <c r="AS48" i="6"/>
  <c r="AP48" i="6"/>
  <c r="AR48" i="6"/>
  <c r="AQ48" i="6"/>
  <c r="AN42" i="6"/>
  <c r="U25" i="6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N42" i="6"/>
  <c r="BI42" i="6"/>
  <c r="BN67" i="6"/>
  <c r="BI67" i="6"/>
  <c r="BN86" i="6"/>
  <c r="BI86" i="6"/>
  <c r="BI24" i="6"/>
  <c r="BN24" i="6"/>
  <c r="BN49" i="6"/>
  <c r="BI49" i="6"/>
  <c r="BI60" i="6"/>
  <c r="BN60" i="6"/>
  <c r="BI61" i="6"/>
  <c r="BN61" i="6"/>
  <c r="BI57" i="6"/>
  <c r="BN57" i="6"/>
  <c r="BN65" i="6"/>
  <c r="BI65" i="6"/>
  <c r="BN100" i="6"/>
  <c r="BI100" i="6"/>
  <c r="BN39" i="6"/>
  <c r="BI39" i="6"/>
  <c r="BN79" i="6"/>
  <c r="BI79" i="6"/>
  <c r="BN41" i="6"/>
  <c r="BI41" i="6"/>
  <c r="BI35" i="6"/>
  <c r="BN35" i="6"/>
  <c r="BI82" i="6"/>
  <c r="BN82" i="6"/>
  <c r="BI51" i="6"/>
  <c r="BN51" i="6"/>
  <c r="BI25" i="6"/>
  <c r="BN25" i="6"/>
  <c r="BN66" i="6"/>
  <c r="BI66" i="6"/>
  <c r="BI62" i="6"/>
  <c r="BN62" i="6"/>
  <c r="BN72" i="6"/>
  <c r="BI72" i="6"/>
  <c r="BN33" i="6"/>
  <c r="BI33" i="6"/>
  <c r="BN81" i="6"/>
  <c r="BI81" i="6"/>
  <c r="BN31" i="6"/>
  <c r="BI31" i="6"/>
  <c r="BN68" i="6"/>
  <c r="BI68" i="6"/>
  <c r="BI64" i="6"/>
  <c r="BN64" i="6"/>
  <c r="BN59" i="6"/>
  <c r="BI59" i="6"/>
  <c r="BN73" i="6"/>
  <c r="BI73" i="6"/>
  <c r="BN69" i="6"/>
  <c r="BI69" i="6"/>
  <c r="BN92" i="6"/>
  <c r="BI92" i="6"/>
  <c r="BI58" i="6"/>
  <c r="BN58" i="6"/>
  <c r="BN80" i="6"/>
  <c r="BI80" i="6"/>
  <c r="BN32" i="6"/>
  <c r="BI32" i="6"/>
  <c r="BI70" i="6"/>
  <c r="BN70" i="6"/>
  <c r="BN89" i="6"/>
  <c r="BI89" i="6"/>
  <c r="BN28" i="6"/>
  <c r="BI28" i="6"/>
  <c r="BI26" i="6"/>
  <c r="BN26" i="6"/>
  <c r="BN50" i="6"/>
  <c r="BI50" i="6"/>
  <c r="BN56" i="6"/>
  <c r="BI56" i="6"/>
  <c r="BN74" i="6"/>
  <c r="BI74" i="6"/>
  <c r="BN27" i="6"/>
  <c r="BI27" i="6"/>
  <c r="BI40" i="6"/>
  <c r="BN40" i="6"/>
  <c r="BI43" i="6"/>
  <c r="BN43" i="6"/>
  <c r="BI44" i="6"/>
  <c r="BN44" i="6"/>
  <c r="BN38" i="6"/>
  <c r="BI38" i="6"/>
  <c r="BI75" i="6"/>
  <c r="BN75" i="6"/>
  <c r="BN36" i="6"/>
  <c r="BI36" i="6"/>
  <c r="BI76" i="6"/>
  <c r="BN76" i="6"/>
  <c r="BN55" i="6"/>
  <c r="BI55" i="6"/>
  <c r="BN90" i="6"/>
  <c r="BI90" i="6"/>
  <c r="BI85" i="6"/>
  <c r="BN85" i="6"/>
  <c r="BI98" i="6"/>
  <c r="BN98" i="6"/>
  <c r="BI71" i="6"/>
  <c r="BN71" i="6"/>
  <c r="BN46" i="6"/>
  <c r="BI46" i="6"/>
  <c r="BN48" i="6"/>
  <c r="BI48" i="6"/>
  <c r="BN87" i="6"/>
  <c r="BI87" i="6"/>
  <c r="BI91" i="6"/>
  <c r="BN91" i="6"/>
  <c r="BI47" i="6"/>
  <c r="BN47" i="6"/>
  <c r="BN88" i="6"/>
  <c r="BI88" i="6"/>
  <c r="BN54" i="6"/>
  <c r="BI54" i="6"/>
  <c r="BI63" i="6"/>
  <c r="BN63" i="6"/>
  <c r="BN77" i="6"/>
  <c r="BI77" i="6"/>
  <c r="BI53" i="6"/>
  <c r="BN53" i="6"/>
  <c r="BN52" i="6"/>
  <c r="BI52" i="6"/>
  <c r="BN34" i="6"/>
  <c r="BI34" i="6"/>
  <c r="BI78" i="6"/>
  <c r="BN78" i="6"/>
  <c r="BN97" i="6"/>
  <c r="BI97" i="6"/>
  <c r="BN37" i="6"/>
  <c r="BI37" i="6"/>
  <c r="BI96" i="6"/>
  <c r="BN96" i="6"/>
  <c r="BN99" i="6"/>
  <c r="BI99" i="6"/>
  <c r="BI30" i="6"/>
  <c r="BN30" i="6"/>
  <c r="BI94" i="6"/>
  <c r="BN94" i="6"/>
  <c r="BN93" i="6"/>
  <c r="BI93" i="6"/>
  <c r="BI83" i="6"/>
  <c r="BN83" i="6"/>
  <c r="BI45" i="6"/>
  <c r="BN45" i="6"/>
  <c r="BI84" i="6"/>
  <c r="BN84" i="6"/>
  <c r="BI95" i="6"/>
  <c r="BN95" i="6"/>
  <c r="BN29" i="6"/>
  <c r="BI29" i="6"/>
  <c r="AI29" i="6" l="1"/>
  <c r="AI95" i="6"/>
  <c r="AI84" i="6"/>
  <c r="AI45" i="6"/>
  <c r="AI83" i="6"/>
  <c r="AI93" i="6"/>
  <c r="AI94" i="6"/>
  <c r="AI30" i="6"/>
  <c r="AI99" i="6"/>
  <c r="AI96" i="6"/>
  <c r="AI37" i="6"/>
  <c r="AI97" i="6"/>
  <c r="AI78" i="6"/>
  <c r="AI34" i="6"/>
  <c r="AI52" i="6"/>
  <c r="AI53" i="6"/>
  <c r="AI77" i="6"/>
  <c r="AI63" i="6"/>
  <c r="AI54" i="6"/>
  <c r="AI88" i="6"/>
  <c r="AI47" i="6"/>
  <c r="AI91" i="6"/>
  <c r="AI87" i="6"/>
  <c r="AI48" i="6"/>
  <c r="AI46" i="6"/>
  <c r="AI71" i="6"/>
  <c r="AI98" i="6"/>
  <c r="AI85" i="6"/>
  <c r="AI90" i="6"/>
  <c r="AI55" i="6"/>
  <c r="AI76" i="6"/>
  <c r="AI36" i="6"/>
  <c r="AI75" i="6"/>
  <c r="AI38" i="6"/>
  <c r="AI44" i="6"/>
  <c r="AI43" i="6"/>
  <c r="AI40" i="6"/>
  <c r="AI27" i="6"/>
  <c r="AI74" i="6"/>
  <c r="AI56" i="6"/>
  <c r="AI50" i="6"/>
  <c r="AI26" i="6"/>
  <c r="AI28" i="6"/>
  <c r="AI89" i="6"/>
  <c r="AI70" i="6"/>
  <c r="AI32" i="6"/>
  <c r="AI80" i="6"/>
  <c r="AI58" i="6"/>
  <c r="AI92" i="6"/>
  <c r="AI69" i="6"/>
  <c r="AI73" i="6"/>
  <c r="AI59" i="6"/>
  <c r="AI64" i="6"/>
  <c r="AI68" i="6"/>
  <c r="AI31" i="6"/>
  <c r="AI81" i="6"/>
  <c r="AI33" i="6"/>
  <c r="AI72" i="6"/>
  <c r="AI62" i="6"/>
  <c r="AI66" i="6"/>
  <c r="AI25" i="6"/>
  <c r="AI51" i="6"/>
  <c r="AI82" i="6"/>
  <c r="AI35" i="6"/>
  <c r="AI41" i="6"/>
  <c r="AI79" i="6"/>
  <c r="AI39" i="6"/>
  <c r="AI100" i="6"/>
  <c r="AI65" i="6"/>
  <c r="AI57" i="6"/>
  <c r="AI61" i="6"/>
  <c r="AI60" i="6"/>
  <c r="AI49" i="6"/>
  <c r="AI24" i="6"/>
  <c r="AI86" i="6"/>
  <c r="AI67" i="6"/>
  <c r="AI42" i="6"/>
  <c r="W166" i="6"/>
  <c r="W51" i="6"/>
  <c r="J43" i="6"/>
  <c r="R61" i="6"/>
  <c r="E43" i="6"/>
  <c r="R60" i="6"/>
  <c r="Q61" i="6"/>
  <c r="Q60" i="6"/>
  <c r="W46" i="6"/>
  <c r="W47" i="6"/>
  <c r="W44" i="6"/>
  <c r="AL23" i="6"/>
  <c r="AM23" i="6"/>
  <c r="BU56" i="6" l="1"/>
  <c r="BT56" i="6"/>
  <c r="BV56" i="6" s="1"/>
  <c r="BW56" i="6" s="1"/>
  <c r="BJ56" i="6"/>
  <c r="BJ62" i="6"/>
  <c r="BT62" i="6"/>
  <c r="BV62" i="6" s="1"/>
  <c r="BW62" i="6" s="1"/>
  <c r="BU62" i="6"/>
  <c r="BU72" i="6"/>
  <c r="BJ72" i="6"/>
  <c r="BT72" i="6"/>
  <c r="BV72" i="6" s="1"/>
  <c r="BW72" i="6" s="1"/>
  <c r="BJ40" i="6"/>
  <c r="BU40" i="6"/>
  <c r="BT40" i="6"/>
  <c r="BV40" i="6" s="1"/>
  <c r="BW40" i="6" s="1"/>
  <c r="BJ81" i="6"/>
  <c r="BU81" i="6"/>
  <c r="BT81" i="6"/>
  <c r="BV81" i="6" s="1"/>
  <c r="BW81" i="6" s="1"/>
  <c r="BJ52" i="6"/>
  <c r="BU52" i="6"/>
  <c r="BT52" i="6"/>
  <c r="BV52" i="6" s="1"/>
  <c r="BW52" i="6" s="1"/>
  <c r="BU38" i="6"/>
  <c r="BJ38" i="6"/>
  <c r="BT38" i="6"/>
  <c r="BV38" i="6" s="1"/>
  <c r="BW38" i="6" s="1"/>
  <c r="BJ64" i="6"/>
  <c r="BU64" i="6"/>
  <c r="BT64" i="6"/>
  <c r="BV64" i="6" s="1"/>
  <c r="BW64" i="6" s="1"/>
  <c r="BU75" i="6"/>
  <c r="BT75" i="6"/>
  <c r="BV75" i="6" s="1"/>
  <c r="BW75" i="6" s="1"/>
  <c r="BJ75" i="6"/>
  <c r="BU59" i="6"/>
  <c r="BT59" i="6"/>
  <c r="BV59" i="6" s="1"/>
  <c r="BW59" i="6" s="1"/>
  <c r="BJ59" i="6"/>
  <c r="BJ97" i="6"/>
  <c r="BU97" i="6"/>
  <c r="BT97" i="6"/>
  <c r="BV97" i="6" s="1"/>
  <c r="BW97" i="6" s="1"/>
  <c r="BU61" i="6"/>
  <c r="BT61" i="6"/>
  <c r="BV61" i="6" s="1"/>
  <c r="BW61" i="6" s="1"/>
  <c r="BJ61" i="6"/>
  <c r="BU73" i="6"/>
  <c r="BT73" i="6"/>
  <c r="BV73" i="6" s="1"/>
  <c r="BW73" i="6" s="1"/>
  <c r="BJ73" i="6"/>
  <c r="BU76" i="6"/>
  <c r="BJ76" i="6"/>
  <c r="BT76" i="6"/>
  <c r="BV76" i="6" s="1"/>
  <c r="BW76" i="6" s="1"/>
  <c r="BJ90" i="6"/>
  <c r="BU90" i="6"/>
  <c r="BT90" i="6"/>
  <c r="BV90" i="6" s="1"/>
  <c r="BW90" i="6" s="1"/>
  <c r="BT54" i="6"/>
  <c r="BV54" i="6" s="1"/>
  <c r="BW54" i="6" s="1"/>
  <c r="BJ54" i="6"/>
  <c r="BU54" i="6"/>
  <c r="BJ77" i="6"/>
  <c r="BU77" i="6"/>
  <c r="BT77" i="6"/>
  <c r="BV77" i="6" s="1"/>
  <c r="BW77" i="6" s="1"/>
  <c r="BT86" i="6"/>
  <c r="BV86" i="6" s="1"/>
  <c r="BW86" i="6" s="1"/>
  <c r="BU86" i="6"/>
  <c r="BJ86" i="6"/>
  <c r="BJ68" i="6"/>
  <c r="BU68" i="6"/>
  <c r="BT68" i="6"/>
  <c r="BV68" i="6" s="1"/>
  <c r="BW68" i="6" s="1"/>
  <c r="BU36" i="6"/>
  <c r="BT36" i="6"/>
  <c r="BV36" i="6" s="1"/>
  <c r="BW36" i="6" s="1"/>
  <c r="BJ36" i="6"/>
  <c r="BU37" i="6"/>
  <c r="BT37" i="6"/>
  <c r="BV37" i="6" s="1"/>
  <c r="BW37" i="6" s="1"/>
  <c r="BJ37" i="6"/>
  <c r="BU96" i="6"/>
  <c r="BJ96" i="6"/>
  <c r="BT96" i="6"/>
  <c r="BV96" i="6" s="1"/>
  <c r="BW96" i="6" s="1"/>
  <c r="BJ84" i="6"/>
  <c r="BT84" i="6"/>
  <c r="BV84" i="6" s="1"/>
  <c r="BW84" i="6" s="1"/>
  <c r="BU84" i="6"/>
  <c r="BU88" i="6"/>
  <c r="BJ88" i="6"/>
  <c r="BT88" i="6"/>
  <c r="BV88" i="6" s="1"/>
  <c r="BW88" i="6" s="1"/>
  <c r="BU27" i="6"/>
  <c r="BJ27" i="6"/>
  <c r="BT27" i="6"/>
  <c r="BV27" i="6" s="1"/>
  <c r="BW27" i="6" s="1"/>
  <c r="BU42" i="6"/>
  <c r="BT42" i="6"/>
  <c r="BV42" i="6" s="1"/>
  <c r="BW42" i="6" s="1"/>
  <c r="BJ42" i="6"/>
  <c r="BJ53" i="6"/>
  <c r="BT53" i="6"/>
  <c r="BV53" i="6" s="1"/>
  <c r="BW53" i="6" s="1"/>
  <c r="BU53" i="6"/>
  <c r="BJ44" i="6"/>
  <c r="BT44" i="6"/>
  <c r="BV44" i="6" s="1"/>
  <c r="BW44" i="6" s="1"/>
  <c r="BU44" i="6"/>
  <c r="BJ24" i="6"/>
  <c r="BU24" i="6"/>
  <c r="BT24" i="6"/>
  <c r="BV24" i="6" s="1"/>
  <c r="BW24" i="6" s="1"/>
  <c r="BU78" i="6"/>
  <c r="BT78" i="6"/>
  <c r="BV78" i="6" s="1"/>
  <c r="BW78" i="6" s="1"/>
  <c r="BJ78" i="6"/>
  <c r="BU92" i="6"/>
  <c r="BJ92" i="6"/>
  <c r="BT92" i="6"/>
  <c r="BV92" i="6" s="1"/>
  <c r="BW92" i="6" s="1"/>
  <c r="BU100" i="6"/>
  <c r="BT100" i="6"/>
  <c r="BV100" i="6" s="1"/>
  <c r="BW100" i="6" s="1"/>
  <c r="BJ100" i="6"/>
  <c r="BJ85" i="6"/>
  <c r="BT85" i="6"/>
  <c r="BV85" i="6" s="1"/>
  <c r="BW85" i="6" s="1"/>
  <c r="BU85" i="6"/>
  <c r="BT80" i="6"/>
  <c r="BV80" i="6" s="1"/>
  <c r="BW80" i="6" s="1"/>
  <c r="BU80" i="6"/>
  <c r="BJ80" i="6"/>
  <c r="BT94" i="6"/>
  <c r="BV94" i="6" s="1"/>
  <c r="BW94" i="6" s="1"/>
  <c r="BJ94" i="6"/>
  <c r="BU94" i="6"/>
  <c r="BT32" i="6"/>
  <c r="BV32" i="6" s="1"/>
  <c r="BW32" i="6" s="1"/>
  <c r="BJ32" i="6"/>
  <c r="BU32" i="6"/>
  <c r="BT93" i="6"/>
  <c r="BV93" i="6" s="1"/>
  <c r="BW93" i="6" s="1"/>
  <c r="BJ93" i="6"/>
  <c r="BU93" i="6"/>
  <c r="BJ70" i="6"/>
  <c r="BU70" i="6"/>
  <c r="BT70" i="6"/>
  <c r="BV70" i="6" s="1"/>
  <c r="BW70" i="6" s="1"/>
  <c r="BU83" i="6"/>
  <c r="BJ83" i="6"/>
  <c r="BT83" i="6"/>
  <c r="BV83" i="6" s="1"/>
  <c r="BW83" i="6" s="1"/>
  <c r="BT89" i="6"/>
  <c r="BV89" i="6" s="1"/>
  <c r="BW89" i="6" s="1"/>
  <c r="BU89" i="6"/>
  <c r="BJ89" i="6"/>
  <c r="BJ45" i="6"/>
  <c r="BU45" i="6"/>
  <c r="BT45" i="6"/>
  <c r="BV45" i="6" s="1"/>
  <c r="BW45" i="6" s="1"/>
  <c r="BU28" i="6"/>
  <c r="BT28" i="6"/>
  <c r="BV28" i="6" s="1"/>
  <c r="BW28" i="6" s="1"/>
  <c r="BJ28" i="6"/>
  <c r="BU51" i="6"/>
  <c r="BT51" i="6"/>
  <c r="BV51" i="6" s="1"/>
  <c r="BW51" i="6" s="1"/>
  <c r="BJ51" i="6"/>
  <c r="BJ26" i="6"/>
  <c r="BU26" i="6"/>
  <c r="BT26" i="6"/>
  <c r="BV26" i="6" s="1"/>
  <c r="BW26" i="6" s="1"/>
  <c r="BT91" i="6"/>
  <c r="BV91" i="6" s="1"/>
  <c r="BW91" i="6" s="1"/>
  <c r="BJ91" i="6"/>
  <c r="BU91" i="6"/>
  <c r="BU95" i="6"/>
  <c r="BT95" i="6"/>
  <c r="BV95" i="6" s="1"/>
  <c r="BW95" i="6" s="1"/>
  <c r="BJ95" i="6"/>
  <c r="BT66" i="6"/>
  <c r="BV66" i="6" s="1"/>
  <c r="BW66" i="6" s="1"/>
  <c r="BU66" i="6"/>
  <c r="BJ66" i="6"/>
  <c r="BT74" i="6"/>
  <c r="BV74" i="6" s="1"/>
  <c r="BW74" i="6" s="1"/>
  <c r="BU74" i="6"/>
  <c r="BJ74" i="6"/>
  <c r="BJ63" i="6"/>
  <c r="BU63" i="6"/>
  <c r="BT63" i="6"/>
  <c r="BV63" i="6" s="1"/>
  <c r="BW63" i="6" s="1"/>
  <c r="BJ33" i="6"/>
  <c r="BU33" i="6"/>
  <c r="BT33" i="6"/>
  <c r="BV33" i="6" s="1"/>
  <c r="BW33" i="6" s="1"/>
  <c r="BU67" i="6"/>
  <c r="BT67" i="6"/>
  <c r="BV67" i="6" s="1"/>
  <c r="BW67" i="6" s="1"/>
  <c r="BJ67" i="6"/>
  <c r="BJ43" i="6"/>
  <c r="BU43" i="6"/>
  <c r="BT43" i="6"/>
  <c r="BV43" i="6" s="1"/>
  <c r="BW43" i="6" s="1"/>
  <c r="BJ31" i="6"/>
  <c r="BU31" i="6"/>
  <c r="BT31" i="6"/>
  <c r="BV31" i="6" s="1"/>
  <c r="BW31" i="6" s="1"/>
  <c r="BT34" i="6"/>
  <c r="BV34" i="6" s="1"/>
  <c r="BW34" i="6" s="1"/>
  <c r="BJ34" i="6"/>
  <c r="BU34" i="6"/>
  <c r="BU49" i="6"/>
  <c r="BT49" i="6"/>
  <c r="BV49" i="6" s="1"/>
  <c r="BW49" i="6" s="1"/>
  <c r="BJ49" i="6"/>
  <c r="BT60" i="6"/>
  <c r="BV60" i="6" s="1"/>
  <c r="BW60" i="6" s="1"/>
  <c r="BJ60" i="6"/>
  <c r="BU60" i="6"/>
  <c r="BJ57" i="6"/>
  <c r="BU57" i="6"/>
  <c r="BT57" i="6"/>
  <c r="BV57" i="6" s="1"/>
  <c r="BW57" i="6" s="1"/>
  <c r="BU69" i="6"/>
  <c r="BT69" i="6"/>
  <c r="BV69" i="6" s="1"/>
  <c r="BW69" i="6" s="1"/>
  <c r="BJ69" i="6"/>
  <c r="BU55" i="6"/>
  <c r="BT55" i="6"/>
  <c r="BV55" i="6" s="1"/>
  <c r="BW55" i="6" s="1"/>
  <c r="BJ55" i="6"/>
  <c r="BJ65" i="6"/>
  <c r="BU65" i="6"/>
  <c r="BT65" i="6"/>
  <c r="BV65" i="6" s="1"/>
  <c r="BW65" i="6" s="1"/>
  <c r="BU99" i="6"/>
  <c r="BJ99" i="6"/>
  <c r="BT99" i="6"/>
  <c r="BV99" i="6" s="1"/>
  <c r="BW99" i="6" s="1"/>
  <c r="BT58" i="6"/>
  <c r="BV58" i="6" s="1"/>
  <c r="BW58" i="6" s="1"/>
  <c r="BJ58" i="6"/>
  <c r="BU58" i="6"/>
  <c r="BJ30" i="6"/>
  <c r="BU30" i="6"/>
  <c r="BT30" i="6"/>
  <c r="BV30" i="6" s="1"/>
  <c r="BW30" i="6" s="1"/>
  <c r="BJ39" i="6"/>
  <c r="BU39" i="6"/>
  <c r="BT39" i="6"/>
  <c r="BV39" i="6" s="1"/>
  <c r="BW39" i="6" s="1"/>
  <c r="BU98" i="6"/>
  <c r="BT98" i="6"/>
  <c r="BV98" i="6" s="1"/>
  <c r="BW98" i="6" s="1"/>
  <c r="BJ98" i="6"/>
  <c r="BJ79" i="6"/>
  <c r="BU79" i="6"/>
  <c r="BT79" i="6"/>
  <c r="BV79" i="6" s="1"/>
  <c r="BW79" i="6" s="1"/>
  <c r="BU71" i="6"/>
  <c r="BT71" i="6"/>
  <c r="BV71" i="6" s="1"/>
  <c r="BW71" i="6" s="1"/>
  <c r="BJ71" i="6"/>
  <c r="BJ41" i="6"/>
  <c r="BT41" i="6"/>
  <c r="BV41" i="6" s="1"/>
  <c r="BW41" i="6" s="1"/>
  <c r="BU41" i="6"/>
  <c r="BT46" i="6"/>
  <c r="BV46" i="6" s="1"/>
  <c r="BW46" i="6" s="1"/>
  <c r="BJ46" i="6"/>
  <c r="BU46" i="6"/>
  <c r="BU35" i="6"/>
  <c r="BT35" i="6"/>
  <c r="BV35" i="6" s="1"/>
  <c r="BW35" i="6" s="1"/>
  <c r="BJ35" i="6"/>
  <c r="BJ48" i="6"/>
  <c r="BU48" i="6"/>
  <c r="BT48" i="6"/>
  <c r="BV48" i="6" s="1"/>
  <c r="BW48" i="6" s="1"/>
  <c r="BJ82" i="6"/>
  <c r="BU82" i="6"/>
  <c r="BT82" i="6"/>
  <c r="BV82" i="6" s="1"/>
  <c r="BW82" i="6" s="1"/>
  <c r="BU87" i="6"/>
  <c r="BT87" i="6"/>
  <c r="BV87" i="6" s="1"/>
  <c r="BW87" i="6" s="1"/>
  <c r="BJ87" i="6"/>
  <c r="BJ25" i="6"/>
  <c r="BT25" i="6"/>
  <c r="BV25" i="6" s="1"/>
  <c r="BW25" i="6" s="1"/>
  <c r="BU25" i="6"/>
  <c r="BT50" i="6"/>
  <c r="BV50" i="6" s="1"/>
  <c r="BW50" i="6" s="1"/>
  <c r="BU50" i="6"/>
  <c r="BJ50" i="6"/>
  <c r="BU47" i="6"/>
  <c r="BJ47" i="6"/>
  <c r="BT47" i="6"/>
  <c r="BV47" i="6" s="1"/>
  <c r="BW47" i="6" s="1"/>
  <c r="BU29" i="6"/>
  <c r="BT29" i="6"/>
  <c r="BV29" i="6" s="1"/>
  <c r="BW29" i="6" s="1"/>
  <c r="BJ29" i="6"/>
  <c r="AX23" i="6"/>
  <c r="AT23" i="6"/>
  <c r="AW23" i="6"/>
  <c r="AO23" i="6"/>
  <c r="AK23" i="6"/>
  <c r="AY23" i="6"/>
  <c r="AZ23" i="6"/>
  <c r="AU23" i="6"/>
  <c r="AV23" i="6"/>
  <c r="AJ23" i="6"/>
  <c r="DA22" i="6"/>
  <c r="FZ11" i="6"/>
  <c r="BH23" i="6"/>
  <c r="AA22" i="6"/>
  <c r="BL89" i="6" l="1"/>
  <c r="BK89" i="6"/>
  <c r="BL61" i="6"/>
  <c r="BK61" i="6"/>
  <c r="BL27" i="6"/>
  <c r="BK27" i="6"/>
  <c r="BL86" i="6"/>
  <c r="BK86" i="6"/>
  <c r="BL81" i="6"/>
  <c r="BK81" i="6"/>
  <c r="BK85" i="6"/>
  <c r="BL85" i="6"/>
  <c r="BL52" i="6"/>
  <c r="BK52" i="6"/>
  <c r="BL67" i="6"/>
  <c r="BK67" i="6"/>
  <c r="BL70" i="6"/>
  <c r="BK70" i="6"/>
  <c r="BK92" i="6"/>
  <c r="BL92" i="6"/>
  <c r="BK88" i="6"/>
  <c r="BL88" i="6"/>
  <c r="BL57" i="6"/>
  <c r="BK57" i="6"/>
  <c r="BK51" i="6"/>
  <c r="BL51" i="6"/>
  <c r="BK77" i="6"/>
  <c r="BL77" i="6"/>
  <c r="BK65" i="6"/>
  <c r="BL65" i="6"/>
  <c r="BL42" i="6"/>
  <c r="BK42" i="6"/>
  <c r="BL31" i="6"/>
  <c r="BK31" i="6"/>
  <c r="BL79" i="6"/>
  <c r="BK79" i="6"/>
  <c r="BK83" i="6"/>
  <c r="BL83" i="6"/>
  <c r="BK43" i="6"/>
  <c r="BL43" i="6"/>
  <c r="BL54" i="6"/>
  <c r="BK54" i="6"/>
  <c r="BL46" i="6"/>
  <c r="BK46" i="6"/>
  <c r="BK55" i="6"/>
  <c r="BL55" i="6"/>
  <c r="BL100" i="6"/>
  <c r="BK100" i="6"/>
  <c r="BL69" i="6"/>
  <c r="BK69" i="6"/>
  <c r="BL78" i="6"/>
  <c r="BK78" i="6"/>
  <c r="BL40" i="6"/>
  <c r="BK40" i="6"/>
  <c r="BK33" i="6"/>
  <c r="BL33" i="6"/>
  <c r="BL30" i="6"/>
  <c r="BK30" i="6"/>
  <c r="BL32" i="6"/>
  <c r="BK32" i="6"/>
  <c r="BL36" i="6"/>
  <c r="BK36" i="6"/>
  <c r="BL95" i="6"/>
  <c r="BK95" i="6"/>
  <c r="BK35" i="6"/>
  <c r="BL35" i="6"/>
  <c r="BK94" i="6"/>
  <c r="BL94" i="6"/>
  <c r="BL37" i="6"/>
  <c r="BK37" i="6"/>
  <c r="BL90" i="6"/>
  <c r="BK90" i="6"/>
  <c r="BL56" i="6"/>
  <c r="BK56" i="6"/>
  <c r="BL87" i="6"/>
  <c r="BK87" i="6"/>
  <c r="BL73" i="6"/>
  <c r="BK73" i="6"/>
  <c r="BL98" i="6"/>
  <c r="BK98" i="6"/>
  <c r="BL68" i="6"/>
  <c r="BK68" i="6"/>
  <c r="BL82" i="6"/>
  <c r="BK82" i="6"/>
  <c r="BL91" i="6"/>
  <c r="BK91" i="6"/>
  <c r="BL29" i="6"/>
  <c r="BK29" i="6"/>
  <c r="BK97" i="6"/>
  <c r="BL97" i="6"/>
  <c r="BK93" i="6"/>
  <c r="BL93" i="6"/>
  <c r="BL59" i="6"/>
  <c r="BK59" i="6"/>
  <c r="BL47" i="6"/>
  <c r="BK47" i="6"/>
  <c r="BL50" i="6"/>
  <c r="BK50" i="6"/>
  <c r="BL58" i="6"/>
  <c r="BK58" i="6"/>
  <c r="BL49" i="6"/>
  <c r="BK49" i="6"/>
  <c r="BK63" i="6"/>
  <c r="BL63" i="6"/>
  <c r="BL24" i="6"/>
  <c r="BK24" i="6"/>
  <c r="BK96" i="6"/>
  <c r="BL96" i="6"/>
  <c r="BL74" i="6"/>
  <c r="BK74" i="6"/>
  <c r="BL62" i="6"/>
  <c r="BK62" i="6"/>
  <c r="BL41" i="6"/>
  <c r="BK41" i="6"/>
  <c r="BL99" i="6"/>
  <c r="BK99" i="6"/>
  <c r="BL80" i="6"/>
  <c r="BK80" i="6"/>
  <c r="BK44" i="6"/>
  <c r="BL44" i="6"/>
  <c r="BL64" i="6"/>
  <c r="BK64" i="6"/>
  <c r="BK25" i="6"/>
  <c r="BL25" i="6"/>
  <c r="BL38" i="6"/>
  <c r="BK38" i="6"/>
  <c r="BL53" i="6"/>
  <c r="BK53" i="6"/>
  <c r="BK48" i="6"/>
  <c r="BL48" i="6"/>
  <c r="BL39" i="6"/>
  <c r="BK39" i="6"/>
  <c r="BL26" i="6"/>
  <c r="BK26" i="6"/>
  <c r="BK72" i="6"/>
  <c r="BL72" i="6"/>
  <c r="BL60" i="6"/>
  <c r="BK60" i="6"/>
  <c r="BK84" i="6"/>
  <c r="BL84" i="6"/>
  <c r="BL75" i="6"/>
  <c r="BK75" i="6"/>
  <c r="BL28" i="6"/>
  <c r="BK28" i="6"/>
  <c r="BL71" i="6"/>
  <c r="BK71" i="6"/>
  <c r="BL34" i="6"/>
  <c r="BK34" i="6"/>
  <c r="BL66" i="6"/>
  <c r="BK66" i="6"/>
  <c r="BK45" i="6"/>
  <c r="BL45" i="6"/>
  <c r="BL76" i="6"/>
  <c r="BK76" i="6"/>
  <c r="BM8" i="7"/>
  <c r="BL8" i="7"/>
  <c r="BN8" i="7"/>
  <c r="BO8" i="7"/>
  <c r="BK8" i="7"/>
  <c r="BM80" i="6" l="1"/>
  <c r="BM32" i="6"/>
  <c r="BM67" i="6"/>
  <c r="BM58" i="6"/>
  <c r="BM44" i="6"/>
  <c r="BM43" i="6"/>
  <c r="BM73" i="6"/>
  <c r="BM83" i="6"/>
  <c r="BM99" i="6"/>
  <c r="BM72" i="6"/>
  <c r="BM33" i="6"/>
  <c r="BM76" i="6"/>
  <c r="BM59" i="6"/>
  <c r="BM40" i="6"/>
  <c r="BM39" i="6"/>
  <c r="BM42" i="6"/>
  <c r="BM85" i="6"/>
  <c r="BM74" i="6"/>
  <c r="BM48" i="6"/>
  <c r="BM65" i="6"/>
  <c r="BM86" i="6"/>
  <c r="BM38" i="6"/>
  <c r="BM27" i="6"/>
  <c r="BM95" i="6"/>
  <c r="BM61" i="6"/>
  <c r="BM70" i="6"/>
  <c r="BM87" i="6"/>
  <c r="BM56" i="6"/>
  <c r="BM90" i="6"/>
  <c r="BM81" i="6"/>
  <c r="BM53" i="6"/>
  <c r="BM77" i="6"/>
  <c r="BM51" i="6"/>
  <c r="BM63" i="6"/>
  <c r="BM84" i="6"/>
  <c r="BM92" i="6"/>
  <c r="BM50" i="6"/>
  <c r="BM79" i="6"/>
  <c r="BM26" i="6"/>
  <c r="BM52" i="6"/>
  <c r="BM78" i="6"/>
  <c r="BM45" i="6"/>
  <c r="BM66" i="6"/>
  <c r="BM37" i="6"/>
  <c r="BM29" i="6"/>
  <c r="BM94" i="6"/>
  <c r="BM24" i="6"/>
  <c r="BM55" i="6"/>
  <c r="BM28" i="6"/>
  <c r="BM46" i="6"/>
  <c r="BM75" i="6"/>
  <c r="BM49" i="6"/>
  <c r="BM68" i="6"/>
  <c r="BM36" i="6"/>
  <c r="BM54" i="6"/>
  <c r="BM89" i="6"/>
  <c r="BM98" i="6"/>
  <c r="BM60" i="6"/>
  <c r="BM30" i="6"/>
  <c r="BM47" i="6"/>
  <c r="BM41" i="6"/>
  <c r="BM31" i="6"/>
  <c r="BM62" i="6"/>
  <c r="BM93" i="6"/>
  <c r="BM69" i="6"/>
  <c r="BM97" i="6"/>
  <c r="BM34" i="6"/>
  <c r="BM100" i="6"/>
  <c r="BM96" i="6"/>
  <c r="BM71" i="6"/>
  <c r="BM91" i="6"/>
  <c r="BM35" i="6"/>
  <c r="BM82" i="6"/>
  <c r="BM57" i="6"/>
  <c r="BM25" i="6"/>
  <c r="BM64" i="6"/>
  <c r="BM88" i="6"/>
  <c r="K43" i="6"/>
  <c r="H2" i="8"/>
  <c r="F43" i="6"/>
  <c r="M152" i="6"/>
  <c r="M136" i="6"/>
  <c r="M116" i="6"/>
  <c r="M115" i="6"/>
  <c r="M114" i="6"/>
  <c r="W79" i="6"/>
  <c r="C8" i="8"/>
  <c r="G7" i="8" s="1"/>
  <c r="C7" i="8"/>
  <c r="E8" i="8" s="1"/>
  <c r="I8" i="8" s="1"/>
  <c r="J8" i="8" s="1"/>
  <c r="A2" i="8"/>
  <c r="A1" i="8"/>
  <c r="N47" i="6"/>
  <c r="N46" i="6"/>
  <c r="E34" i="8"/>
  <c r="H32" i="8"/>
  <c r="H34" i="8" s="1"/>
  <c r="CZ11" i="6"/>
  <c r="BP65" i="6" l="1"/>
  <c r="BY65" i="6"/>
  <c r="BZ65" i="6" s="1"/>
  <c r="BY48" i="6"/>
  <c r="BZ48" i="6" s="1"/>
  <c r="BP48" i="6"/>
  <c r="BY74" i="6"/>
  <c r="BZ74" i="6" s="1"/>
  <c r="BP74" i="6"/>
  <c r="BP50" i="6"/>
  <c r="BY50" i="6"/>
  <c r="BZ50" i="6" s="1"/>
  <c r="BY97" i="6"/>
  <c r="BZ97" i="6" s="1"/>
  <c r="BP97" i="6"/>
  <c r="BY92" i="6"/>
  <c r="BZ92" i="6" s="1"/>
  <c r="BP92" i="6"/>
  <c r="BP69" i="6"/>
  <c r="BY69" i="6"/>
  <c r="BZ69" i="6" s="1"/>
  <c r="BY84" i="6"/>
  <c r="BZ84" i="6" s="1"/>
  <c r="BP84" i="6"/>
  <c r="BY44" i="6"/>
  <c r="BZ44" i="6" s="1"/>
  <c r="BP44" i="6"/>
  <c r="BY81" i="6"/>
  <c r="BZ81" i="6" s="1"/>
  <c r="BP81" i="6"/>
  <c r="BY28" i="6"/>
  <c r="BZ28" i="6" s="1"/>
  <c r="BP28" i="6"/>
  <c r="BP83" i="6"/>
  <c r="BY83" i="6"/>
  <c r="BZ83" i="6" s="1"/>
  <c r="BY98" i="6"/>
  <c r="BZ98" i="6" s="1"/>
  <c r="BP98" i="6"/>
  <c r="BY46" i="6"/>
  <c r="BZ46" i="6" s="1"/>
  <c r="BP46" i="6"/>
  <c r="BP26" i="6"/>
  <c r="BY26" i="6"/>
  <c r="BZ26" i="6" s="1"/>
  <c r="BY60" i="6"/>
  <c r="BZ60" i="6" s="1"/>
  <c r="BP60" i="6"/>
  <c r="BY24" i="6"/>
  <c r="BZ24" i="6" s="1"/>
  <c r="BP24" i="6"/>
  <c r="BP70" i="6"/>
  <c r="BY70" i="6"/>
  <c r="BZ70" i="6" s="1"/>
  <c r="BP29" i="6"/>
  <c r="BY29" i="6"/>
  <c r="BZ29" i="6" s="1"/>
  <c r="BP72" i="6"/>
  <c r="BY72" i="6"/>
  <c r="BZ72" i="6" s="1"/>
  <c r="BY99" i="6"/>
  <c r="BZ99" i="6" s="1"/>
  <c r="BP99" i="6"/>
  <c r="BY100" i="6"/>
  <c r="BZ100" i="6" s="1"/>
  <c r="BP100" i="6"/>
  <c r="BY79" i="6"/>
  <c r="BZ79" i="6" s="1"/>
  <c r="BP79" i="6"/>
  <c r="BY88" i="6"/>
  <c r="BZ88" i="6" s="1"/>
  <c r="BP88" i="6"/>
  <c r="BP73" i="6"/>
  <c r="BY73" i="6"/>
  <c r="BZ73" i="6" s="1"/>
  <c r="BP89" i="6"/>
  <c r="BY89" i="6"/>
  <c r="BZ89" i="6" s="1"/>
  <c r="BP42" i="6"/>
  <c r="BY42" i="6"/>
  <c r="BZ42" i="6" s="1"/>
  <c r="BY54" i="6"/>
  <c r="BZ54" i="6" s="1"/>
  <c r="BP54" i="6"/>
  <c r="BY61" i="6"/>
  <c r="BZ61" i="6" s="1"/>
  <c r="BP61" i="6"/>
  <c r="BP36" i="6"/>
  <c r="BY36" i="6"/>
  <c r="BZ36" i="6" s="1"/>
  <c r="BY63" i="6"/>
  <c r="BZ63" i="6" s="1"/>
  <c r="BP63" i="6"/>
  <c r="BY58" i="6"/>
  <c r="BZ58" i="6" s="1"/>
  <c r="BP58" i="6"/>
  <c r="BY62" i="6"/>
  <c r="BZ62" i="6" s="1"/>
  <c r="BP62" i="6"/>
  <c r="BP66" i="6"/>
  <c r="BY66" i="6"/>
  <c r="BZ66" i="6" s="1"/>
  <c r="BY27" i="6"/>
  <c r="BZ27" i="6" s="1"/>
  <c r="BP27" i="6"/>
  <c r="BY67" i="6"/>
  <c r="BZ67" i="6" s="1"/>
  <c r="BP67" i="6"/>
  <c r="BP35" i="6"/>
  <c r="BY35" i="6"/>
  <c r="BZ35" i="6" s="1"/>
  <c r="BP31" i="6"/>
  <c r="BY31" i="6"/>
  <c r="BZ31" i="6" s="1"/>
  <c r="BY49" i="6"/>
  <c r="BZ49" i="6" s="1"/>
  <c r="BP49" i="6"/>
  <c r="BY45" i="6"/>
  <c r="BZ45" i="6" s="1"/>
  <c r="BP45" i="6"/>
  <c r="BP77" i="6"/>
  <c r="BY77" i="6"/>
  <c r="BZ77" i="6" s="1"/>
  <c r="BY38" i="6"/>
  <c r="BZ38" i="6" s="1"/>
  <c r="BP38" i="6"/>
  <c r="BP76" i="6"/>
  <c r="BY76" i="6"/>
  <c r="BZ76" i="6" s="1"/>
  <c r="BP32" i="6"/>
  <c r="BY32" i="6"/>
  <c r="BZ32" i="6" s="1"/>
  <c r="BP71" i="6"/>
  <c r="BY71" i="6"/>
  <c r="BZ71" i="6" s="1"/>
  <c r="BY52" i="6"/>
  <c r="BZ52" i="6" s="1"/>
  <c r="BP52" i="6"/>
  <c r="BP96" i="6"/>
  <c r="BY96" i="6"/>
  <c r="BZ96" i="6" s="1"/>
  <c r="BP90" i="6"/>
  <c r="BY90" i="6"/>
  <c r="BZ90" i="6" s="1"/>
  <c r="BY56" i="6"/>
  <c r="BZ56" i="6" s="1"/>
  <c r="BP56" i="6"/>
  <c r="BP34" i="6"/>
  <c r="BY34" i="6"/>
  <c r="BZ34" i="6" s="1"/>
  <c r="BY85" i="6"/>
  <c r="BZ85" i="6" s="1"/>
  <c r="BP85" i="6"/>
  <c r="BP64" i="6"/>
  <c r="BY64" i="6"/>
  <c r="BZ64" i="6" s="1"/>
  <c r="BP43" i="6"/>
  <c r="BY43" i="6"/>
  <c r="BZ43" i="6" s="1"/>
  <c r="BP25" i="6"/>
  <c r="BY25" i="6"/>
  <c r="BZ25" i="6" s="1"/>
  <c r="BY39" i="6"/>
  <c r="BZ39" i="6" s="1"/>
  <c r="BP39" i="6"/>
  <c r="BY93" i="6"/>
  <c r="BZ93" i="6" s="1"/>
  <c r="BP93" i="6"/>
  <c r="BY37" i="6"/>
  <c r="BZ37" i="6" s="1"/>
  <c r="BP37" i="6"/>
  <c r="BY95" i="6"/>
  <c r="BZ95" i="6" s="1"/>
  <c r="BP95" i="6"/>
  <c r="BY40" i="6"/>
  <c r="BZ40" i="6" s="1"/>
  <c r="BP40" i="6"/>
  <c r="BP82" i="6"/>
  <c r="BY82" i="6"/>
  <c r="BZ82" i="6" s="1"/>
  <c r="BY68" i="6"/>
  <c r="BZ68" i="6" s="1"/>
  <c r="BP68" i="6"/>
  <c r="BP51" i="6"/>
  <c r="BY51" i="6"/>
  <c r="BZ51" i="6" s="1"/>
  <c r="BY59" i="6"/>
  <c r="BZ59" i="6" s="1"/>
  <c r="BP59" i="6"/>
  <c r="BP91" i="6"/>
  <c r="BY91" i="6"/>
  <c r="BZ91" i="6" s="1"/>
  <c r="BP41" i="6"/>
  <c r="BY41" i="6"/>
  <c r="BZ41" i="6" s="1"/>
  <c r="BP75" i="6"/>
  <c r="BY75" i="6"/>
  <c r="BZ75" i="6" s="1"/>
  <c r="BY78" i="6"/>
  <c r="BZ78" i="6" s="1"/>
  <c r="BP78" i="6"/>
  <c r="BY53" i="6"/>
  <c r="BZ53" i="6" s="1"/>
  <c r="BP53" i="6"/>
  <c r="BP86" i="6"/>
  <c r="BY86" i="6"/>
  <c r="BZ86" i="6" s="1"/>
  <c r="BY33" i="6"/>
  <c r="BZ33" i="6" s="1"/>
  <c r="BP33" i="6"/>
  <c r="BY80" i="6"/>
  <c r="BZ80" i="6" s="1"/>
  <c r="BP80" i="6"/>
  <c r="BY47" i="6"/>
  <c r="BZ47" i="6" s="1"/>
  <c r="BP47" i="6"/>
  <c r="BP30" i="6"/>
  <c r="BY30" i="6"/>
  <c r="BZ30" i="6" s="1"/>
  <c r="BP55" i="6"/>
  <c r="BY55" i="6"/>
  <c r="BZ55" i="6" s="1"/>
  <c r="BP87" i="6"/>
  <c r="BY87" i="6"/>
  <c r="BZ87" i="6" s="1"/>
  <c r="BY94" i="6"/>
  <c r="BZ94" i="6" s="1"/>
  <c r="BP94" i="6"/>
  <c r="BP57" i="6"/>
  <c r="BY57" i="6"/>
  <c r="BZ57" i="6" s="1"/>
  <c r="F13" i="6"/>
  <c r="G13" i="6" s="1"/>
  <c r="W48" i="6"/>
  <c r="S60" i="6"/>
  <c r="R107" i="6" s="1"/>
  <c r="W137" i="6"/>
  <c r="W144" i="6"/>
  <c r="W145" i="6" s="1"/>
  <c r="W160" i="6"/>
  <c r="W161" i="6" s="1"/>
  <c r="S111" i="6"/>
  <c r="Q107" i="6"/>
  <c r="J13" i="6"/>
  <c r="L2" i="8" s="1"/>
  <c r="C23" i="8" s="1"/>
  <c r="C26" i="8"/>
  <c r="C31" i="8"/>
  <c r="F32" i="8" s="1"/>
  <c r="F34" i="8" s="1"/>
  <c r="I2" i="8"/>
  <c r="C12" i="8" s="1"/>
  <c r="E7" i="8"/>
  <c r="I7" i="8" s="1"/>
  <c r="J7" i="8" s="1"/>
  <c r="H7" i="8"/>
  <c r="J2" i="8"/>
  <c r="F8" i="8"/>
  <c r="S107" i="6"/>
  <c r="H13" i="6" l="1"/>
  <c r="I13" i="6"/>
  <c r="AN23" i="6"/>
  <c r="F2" i="8"/>
  <c r="C14" i="8" s="1"/>
  <c r="AQ23" i="6"/>
  <c r="AS23" i="6"/>
  <c r="AP23" i="6"/>
  <c r="AR23" i="6"/>
  <c r="W147" i="6"/>
  <c r="W163" i="6"/>
  <c r="E31" i="8"/>
  <c r="F31" i="8" s="1"/>
  <c r="I31" i="8" s="1"/>
  <c r="F7" i="8"/>
  <c r="F1" i="8"/>
  <c r="C10" i="8" s="1"/>
  <c r="I32" i="8"/>
  <c r="I34" i="8" s="1"/>
  <c r="S53" i="6"/>
  <c r="P53" i="6"/>
  <c r="U53" i="6"/>
  <c r="R53" i="6"/>
  <c r="T53" i="6"/>
  <c r="T54" i="6"/>
  <c r="Q54" i="6"/>
  <c r="V54" i="6"/>
  <c r="S54" i="6"/>
  <c r="Q53" i="6"/>
  <c r="R54" i="6"/>
  <c r="V53" i="6"/>
  <c r="P54" i="6"/>
  <c r="U54" i="6"/>
  <c r="BN23" i="6"/>
  <c r="BI23" i="6"/>
  <c r="K2" i="8" l="1"/>
  <c r="C19" i="8" s="1"/>
  <c r="AI23" i="6"/>
  <c r="T55" i="6"/>
  <c r="W86" i="6"/>
  <c r="P55" i="6"/>
  <c r="H31" i="8"/>
  <c r="E33" i="8"/>
  <c r="H33" i="8" s="1"/>
  <c r="I33" i="8" s="1"/>
  <c r="P90" i="6"/>
  <c r="W94" i="6"/>
  <c r="DD7" i="7"/>
  <c r="DD8" i="7" s="1"/>
  <c r="DD9" i="7" s="1"/>
  <c r="DD10" i="7" s="1"/>
  <c r="DD11" i="7" s="1"/>
  <c r="CG11" i="7"/>
  <c r="CG12" i="7"/>
  <c r="CG13" i="7"/>
  <c r="CG14" i="7"/>
  <c r="CG10" i="7"/>
  <c r="DA7" i="7"/>
  <c r="DA8" i="7" s="1"/>
  <c r="DA9" i="7" s="1"/>
  <c r="DA10" i="7" s="1"/>
  <c r="DA11" i="7" s="1"/>
  <c r="DA12" i="7" s="1"/>
  <c r="DA13" i="7" s="1"/>
  <c r="DA14" i="7" s="1"/>
  <c r="DA15" i="7" s="1"/>
  <c r="DA16" i="7" s="1"/>
  <c r="W36" i="6"/>
  <c r="W45" i="6"/>
  <c r="W18" i="6"/>
  <c r="W19" i="6" s="1"/>
  <c r="W30" i="6"/>
  <c r="W29" i="6"/>
  <c r="W24" i="6"/>
  <c r="W23" i="6"/>
  <c r="CI19" i="7"/>
  <c r="CF19" i="7"/>
  <c r="CH19" i="7" s="1"/>
  <c r="CI18" i="7"/>
  <c r="CF18" i="7"/>
  <c r="CH18" i="7" s="1"/>
  <c r="CI17" i="7"/>
  <c r="CF17" i="7"/>
  <c r="CG17" i="7" s="1"/>
  <c r="CI16" i="7"/>
  <c r="CF16" i="7"/>
  <c r="CH16" i="7" s="1"/>
  <c r="CI15" i="7"/>
  <c r="CF15" i="7"/>
  <c r="CH15" i="7" s="1"/>
  <c r="BQ16" i="7"/>
  <c r="X15" i="7"/>
  <c r="CF14" i="7"/>
  <c r="CH14" i="7" s="1"/>
  <c r="BQ15" i="7"/>
  <c r="X14" i="7"/>
  <c r="CF13" i="7"/>
  <c r="CH13" i="7" s="1"/>
  <c r="BQ14" i="7"/>
  <c r="X13" i="7"/>
  <c r="CF12" i="7"/>
  <c r="CH12" i="7" s="1"/>
  <c r="BQ13" i="7"/>
  <c r="X12" i="7"/>
  <c r="CF11" i="7"/>
  <c r="CH11" i="7" s="1"/>
  <c r="BQ12" i="7"/>
  <c r="X11" i="7"/>
  <c r="CF10" i="7"/>
  <c r="CH10" i="7" s="1"/>
  <c r="BQ11" i="7"/>
  <c r="X10" i="7"/>
  <c r="CI9" i="7"/>
  <c r="CF9" i="7"/>
  <c r="CG9" i="7" s="1"/>
  <c r="BQ10" i="7"/>
  <c r="X9" i="7"/>
  <c r="CI8" i="7"/>
  <c r="CF8" i="7"/>
  <c r="CH8" i="7" s="1"/>
  <c r="BQ9" i="7"/>
  <c r="X8" i="7"/>
  <c r="CI7" i="7"/>
  <c r="CF7" i="7"/>
  <c r="CG7" i="7" s="1"/>
  <c r="BQ7" i="7"/>
  <c r="X7" i="7"/>
  <c r="CI6" i="7"/>
  <c r="CF6" i="7"/>
  <c r="CH6" i="7" s="1"/>
  <c r="BQ6" i="7"/>
  <c r="X6" i="7"/>
  <c r="CI5" i="7"/>
  <c r="CF5" i="7"/>
  <c r="CH5" i="7" s="1"/>
  <c r="CI4" i="7"/>
  <c r="CF4" i="7"/>
  <c r="CH4" i="7" s="1"/>
  <c r="W95" i="6" l="1"/>
  <c r="BJ23" i="6"/>
  <c r="BK23" i="6" s="1"/>
  <c r="BO23" i="6" s="1"/>
  <c r="BU23" i="6"/>
  <c r="BT23" i="6"/>
  <c r="W80" i="6"/>
  <c r="F33" i="8"/>
  <c r="CH17" i="7"/>
  <c r="CG18" i="7"/>
  <c r="CG16" i="7"/>
  <c r="CG8" i="7"/>
  <c r="CG15" i="7"/>
  <c r="CG19" i="7"/>
  <c r="CH9" i="7"/>
  <c r="CH7" i="7"/>
  <c r="CG5" i="7"/>
  <c r="CG4" i="7"/>
  <c r="CG6" i="7"/>
  <c r="BY23" i="6" l="1"/>
  <c r="W50" i="6"/>
  <c r="X132" i="6" s="1"/>
  <c r="W49" i="6"/>
  <c r="Q112" i="6" s="1"/>
  <c r="L11" i="6"/>
  <c r="S167" i="6" l="1"/>
  <c r="Q113" i="6"/>
  <c r="R112" i="6"/>
  <c r="R113" i="6"/>
  <c r="Q111" i="6"/>
  <c r="W81" i="6"/>
  <c r="W82" i="6" s="1"/>
  <c r="S61" i="6"/>
  <c r="S168" i="6" s="1"/>
  <c r="C4" i="8"/>
  <c r="M2" i="8" s="1"/>
  <c r="C11" i="8" s="1"/>
  <c r="C5" i="8"/>
  <c r="AF17" i="6"/>
  <c r="DF17" i="6" s="1"/>
  <c r="AF16" i="6"/>
  <c r="DF16" i="6" s="1"/>
  <c r="AF15" i="6"/>
  <c r="DF15" i="6" s="1"/>
  <c r="AF14" i="6"/>
  <c r="DF14" i="6" s="1"/>
  <c r="S112" i="6"/>
  <c r="S113" i="6"/>
  <c r="W153" i="6" l="1"/>
  <c r="E5" i="8"/>
  <c r="L31" i="8"/>
  <c r="E4" i="8"/>
  <c r="E10" i="8"/>
  <c r="E28" i="8"/>
  <c r="E26" i="8"/>
  <c r="E27" i="8"/>
  <c r="E11" i="8"/>
  <c r="O70" i="6"/>
  <c r="O71" i="6" s="1"/>
  <c r="O72" i="6" s="1"/>
  <c r="O73" i="6" s="1"/>
  <c r="O74" i="6" s="1"/>
  <c r="O75" i="6" s="1"/>
  <c r="W26" i="6"/>
  <c r="M164" i="6"/>
  <c r="M163" i="6"/>
  <c r="M162" i="6"/>
  <c r="M161" i="6"/>
  <c r="M160" i="6"/>
  <c r="M158" i="6"/>
  <c r="M157" i="6"/>
  <c r="M156" i="6"/>
  <c r="M155" i="6"/>
  <c r="M154" i="6"/>
  <c r="M153" i="6"/>
  <c r="F5" i="8" l="1"/>
  <c r="G5" i="8" s="1"/>
  <c r="H5" i="8"/>
  <c r="I5" i="8"/>
  <c r="F11" i="8"/>
  <c r="E15" i="8"/>
  <c r="H11" i="8"/>
  <c r="E19" i="8"/>
  <c r="F27" i="8"/>
  <c r="F29" i="8" s="1"/>
  <c r="H27" i="8"/>
  <c r="E29" i="8"/>
  <c r="F26" i="8"/>
  <c r="I26" i="8" s="1"/>
  <c r="H26" i="8"/>
  <c r="H28" i="8"/>
  <c r="F28" i="8"/>
  <c r="I28" i="8" s="1"/>
  <c r="F10" i="8"/>
  <c r="G10" i="8" s="1"/>
  <c r="E14" i="8"/>
  <c r="H10" i="8"/>
  <c r="I10" i="8" s="1"/>
  <c r="J10" i="8" s="1"/>
  <c r="F14" i="8" s="1"/>
  <c r="E18" i="8"/>
  <c r="F4" i="8"/>
  <c r="G4" i="8" s="1"/>
  <c r="H4" i="8" s="1"/>
  <c r="I4" i="8"/>
  <c r="H29" i="8" l="1"/>
  <c r="I27" i="8"/>
  <c r="I29" i="8" s="1"/>
  <c r="H18" i="8"/>
  <c r="I18" i="8" s="1"/>
  <c r="E22" i="8"/>
  <c r="F18" i="8"/>
  <c r="H19" i="8"/>
  <c r="E23" i="8"/>
  <c r="H23" i="8" s="1"/>
  <c r="F19" i="8"/>
  <c r="G11" i="8"/>
  <c r="J11" i="8" s="1"/>
  <c r="F15" i="8" s="1"/>
  <c r="I11" i="8"/>
  <c r="U90" i="6"/>
  <c r="M86" i="6"/>
  <c r="M85" i="6"/>
  <c r="M84" i="6"/>
  <c r="M83" i="6"/>
  <c r="M82" i="6"/>
  <c r="M80" i="6"/>
  <c r="M79" i="6"/>
  <c r="M81" i="6"/>
  <c r="F22" i="8" l="1"/>
  <c r="H22" i="8"/>
  <c r="I22" i="8" s="1"/>
  <c r="F23" i="8"/>
  <c r="I23" i="8" s="1"/>
  <c r="I19" i="8"/>
  <c r="W100" i="6" l="1"/>
  <c r="W99" i="6"/>
  <c r="W152" i="6" s="1"/>
  <c r="W154" i="6" s="1"/>
  <c r="M99" i="6"/>
  <c r="AJ16" i="6"/>
  <c r="DJ16" i="6" s="1"/>
  <c r="M148" i="6"/>
  <c r="M147" i="6"/>
  <c r="M146" i="6"/>
  <c r="M145" i="6"/>
  <c r="M144" i="6"/>
  <c r="W57" i="6"/>
  <c r="M142" i="6"/>
  <c r="M141" i="6"/>
  <c r="M140" i="6"/>
  <c r="M139" i="6"/>
  <c r="M137" i="6"/>
  <c r="M138" i="6"/>
  <c r="M168" i="6"/>
  <c r="M167" i="6"/>
  <c r="N30" i="6"/>
  <c r="N33" i="6"/>
  <c r="N31" i="6"/>
  <c r="N32" i="6"/>
  <c r="N26" i="6"/>
  <c r="M166" i="6"/>
  <c r="W136" i="6"/>
  <c r="T107" i="6"/>
  <c r="W138" i="6" l="1"/>
  <c r="W156" i="6"/>
  <c r="S157" i="6" s="1"/>
  <c r="W155" i="6"/>
  <c r="T111" i="6"/>
  <c r="U111" i="6" s="1"/>
  <c r="T112" i="6"/>
  <c r="U112" i="6" s="1"/>
  <c r="T113" i="6"/>
  <c r="U113" i="6" s="1"/>
  <c r="U107" i="6"/>
  <c r="Q83" i="6"/>
  <c r="W83" i="6" s="1"/>
  <c r="BL23" i="6" s="1"/>
  <c r="BM23" i="6" s="1"/>
  <c r="AJ14" i="6"/>
  <c r="DJ14" i="6" s="1"/>
  <c r="W31" i="6"/>
  <c r="N35" i="6"/>
  <c r="N29" i="6"/>
  <c r="N57" i="6"/>
  <c r="N56" i="6"/>
  <c r="W164" i="6" l="1"/>
  <c r="Q157" i="6"/>
  <c r="W114" i="6"/>
  <c r="W157" i="6"/>
  <c r="W162" i="6"/>
  <c r="X162" i="6" s="1"/>
  <c r="W140" i="6"/>
  <c r="S141" i="6" s="1"/>
  <c r="W139" i="6"/>
  <c r="W84" i="6"/>
  <c r="W33" i="6"/>
  <c r="N48" i="6"/>
  <c r="M96" i="6"/>
  <c r="T96" i="6"/>
  <c r="W96" i="6" s="1"/>
  <c r="M95" i="6"/>
  <c r="M94" i="6"/>
  <c r="M92" i="6"/>
  <c r="M91" i="6"/>
  <c r="W90" i="6"/>
  <c r="M89" i="6"/>
  <c r="M88" i="6"/>
  <c r="N90" i="6"/>
  <c r="M87" i="6"/>
  <c r="N16" i="6"/>
  <c r="W63" i="6"/>
  <c r="BP23" i="6" s="1"/>
  <c r="N63" i="6"/>
  <c r="M102" i="6"/>
  <c r="M101" i="6"/>
  <c r="BQ45" i="6" l="1"/>
  <c r="BR45" i="6" s="1"/>
  <c r="BS45" i="6" s="1"/>
  <c r="BQ55" i="6"/>
  <c r="BR55" i="6" s="1"/>
  <c r="BS55" i="6" s="1"/>
  <c r="BQ35" i="6"/>
  <c r="BR35" i="6" s="1"/>
  <c r="BS35" i="6" s="1"/>
  <c r="BQ98" i="6"/>
  <c r="BR98" i="6" s="1"/>
  <c r="BS98" i="6" s="1"/>
  <c r="BQ100" i="6"/>
  <c r="BR100" i="6" s="1"/>
  <c r="BS100" i="6" s="1"/>
  <c r="BQ67" i="6"/>
  <c r="BR67" i="6" s="1"/>
  <c r="BS67" i="6" s="1"/>
  <c r="BQ33" i="6"/>
  <c r="BR33" i="6" s="1"/>
  <c r="BS33" i="6" s="1"/>
  <c r="BQ75" i="6"/>
  <c r="BR75" i="6" s="1"/>
  <c r="BS75" i="6" s="1"/>
  <c r="BQ89" i="6"/>
  <c r="BR89" i="6" s="1"/>
  <c r="BS89" i="6" s="1"/>
  <c r="BQ86" i="6"/>
  <c r="BR86" i="6" s="1"/>
  <c r="BS86" i="6" s="1"/>
  <c r="BQ34" i="6"/>
  <c r="BR34" i="6" s="1"/>
  <c r="BS34" i="6" s="1"/>
  <c r="BQ97" i="6"/>
  <c r="BR97" i="6" s="1"/>
  <c r="BS97" i="6" s="1"/>
  <c r="BQ41" i="6"/>
  <c r="BR41" i="6" s="1"/>
  <c r="BS41" i="6" s="1"/>
  <c r="BQ91" i="6"/>
  <c r="BR91" i="6" s="1"/>
  <c r="BS91" i="6" s="1"/>
  <c r="BQ26" i="6"/>
  <c r="BR26" i="6" s="1"/>
  <c r="BS26" i="6" s="1"/>
  <c r="BQ42" i="6"/>
  <c r="BR42" i="6" s="1"/>
  <c r="BS42" i="6" s="1"/>
  <c r="BQ77" i="6"/>
  <c r="BR77" i="6" s="1"/>
  <c r="BS77" i="6" s="1"/>
  <c r="BQ66" i="6"/>
  <c r="BR66" i="6" s="1"/>
  <c r="BS66" i="6" s="1"/>
  <c r="BQ50" i="6"/>
  <c r="BR50" i="6" s="1"/>
  <c r="BS50" i="6" s="1"/>
  <c r="BQ59" i="6"/>
  <c r="BR59" i="6" s="1"/>
  <c r="BS59" i="6" s="1"/>
  <c r="BQ36" i="6"/>
  <c r="BR36" i="6" s="1"/>
  <c r="BS36" i="6" s="1"/>
  <c r="BQ32" i="6"/>
  <c r="BR32" i="6" s="1"/>
  <c r="BS32" i="6" s="1"/>
  <c r="BQ69" i="6"/>
  <c r="BR69" i="6" s="1"/>
  <c r="BS69" i="6" s="1"/>
  <c r="BQ74" i="6"/>
  <c r="BR74" i="6" s="1"/>
  <c r="BS74" i="6" s="1"/>
  <c r="BQ92" i="6"/>
  <c r="BR92" i="6" s="1"/>
  <c r="BS92" i="6" s="1"/>
  <c r="BQ38" i="6"/>
  <c r="BR38" i="6" s="1"/>
  <c r="BS38" i="6" s="1"/>
  <c r="BQ44" i="6"/>
  <c r="BR44" i="6" s="1"/>
  <c r="BS44" i="6" s="1"/>
  <c r="BQ64" i="6"/>
  <c r="BR64" i="6" s="1"/>
  <c r="BS64" i="6" s="1"/>
  <c r="BQ53" i="6"/>
  <c r="BR53" i="6" s="1"/>
  <c r="BS53" i="6" s="1"/>
  <c r="BQ68" i="6"/>
  <c r="BR68" i="6" s="1"/>
  <c r="BS68" i="6" s="1"/>
  <c r="BQ85" i="6"/>
  <c r="BR85" i="6" s="1"/>
  <c r="BS85" i="6" s="1"/>
  <c r="BQ24" i="6"/>
  <c r="BR24" i="6" s="1"/>
  <c r="BS24" i="6" s="1"/>
  <c r="BQ99" i="6"/>
  <c r="BR99" i="6" s="1"/>
  <c r="BS99" i="6" s="1"/>
  <c r="BQ40" i="6"/>
  <c r="BR40" i="6" s="1"/>
  <c r="BS40" i="6" s="1"/>
  <c r="BQ25" i="6"/>
  <c r="BR25" i="6" s="1"/>
  <c r="BS25" i="6" s="1"/>
  <c r="BQ60" i="6"/>
  <c r="BR60" i="6" s="1"/>
  <c r="BS60" i="6" s="1"/>
  <c r="BQ73" i="6"/>
  <c r="BR73" i="6" s="1"/>
  <c r="BS73" i="6" s="1"/>
  <c r="BQ62" i="6"/>
  <c r="BR62" i="6" s="1"/>
  <c r="BS62" i="6" s="1"/>
  <c r="BQ49" i="6"/>
  <c r="BR49" i="6" s="1"/>
  <c r="BS49" i="6" s="1"/>
  <c r="BQ79" i="6"/>
  <c r="BR79" i="6" s="1"/>
  <c r="BS79" i="6" s="1"/>
  <c r="BQ94" i="6"/>
  <c r="BR94" i="6" s="1"/>
  <c r="BS94" i="6" s="1"/>
  <c r="BQ30" i="6"/>
  <c r="BR30" i="6" s="1"/>
  <c r="BS30" i="6" s="1"/>
  <c r="BQ76" i="6"/>
  <c r="BR76" i="6" s="1"/>
  <c r="BS76" i="6" s="1"/>
  <c r="BQ47" i="6"/>
  <c r="BR47" i="6" s="1"/>
  <c r="BS47" i="6" s="1"/>
  <c r="BQ81" i="6"/>
  <c r="BR81" i="6" s="1"/>
  <c r="BS81" i="6" s="1"/>
  <c r="BQ51" i="6"/>
  <c r="BR51" i="6" s="1"/>
  <c r="BS51" i="6" s="1"/>
  <c r="BQ39" i="6"/>
  <c r="BR39" i="6" s="1"/>
  <c r="BS39" i="6" s="1"/>
  <c r="BQ80" i="6"/>
  <c r="BR80" i="6" s="1"/>
  <c r="BS80" i="6" s="1"/>
  <c r="BQ54" i="6"/>
  <c r="BR54" i="6" s="1"/>
  <c r="BS54" i="6" s="1"/>
  <c r="BQ78" i="6"/>
  <c r="BR78" i="6" s="1"/>
  <c r="BS78" i="6" s="1"/>
  <c r="BQ63" i="6"/>
  <c r="BR63" i="6" s="1"/>
  <c r="BS63" i="6" s="1"/>
  <c r="BQ96" i="6"/>
  <c r="BR96" i="6" s="1"/>
  <c r="BS96" i="6" s="1"/>
  <c r="BQ28" i="6"/>
  <c r="BR28" i="6" s="1"/>
  <c r="BS28" i="6" s="1"/>
  <c r="BQ52" i="6"/>
  <c r="BR52" i="6" s="1"/>
  <c r="BS52" i="6" s="1"/>
  <c r="BQ65" i="6"/>
  <c r="BR65" i="6" s="1"/>
  <c r="BS65" i="6" s="1"/>
  <c r="BQ87" i="6"/>
  <c r="BR87" i="6" s="1"/>
  <c r="BS87" i="6" s="1"/>
  <c r="BQ46" i="6"/>
  <c r="BR46" i="6" s="1"/>
  <c r="BS46" i="6" s="1"/>
  <c r="BQ29" i="6"/>
  <c r="BR29" i="6" s="1"/>
  <c r="BS29" i="6" s="1"/>
  <c r="BQ58" i="6"/>
  <c r="BR58" i="6" s="1"/>
  <c r="BS58" i="6" s="1"/>
  <c r="BQ93" i="6"/>
  <c r="BR93" i="6" s="1"/>
  <c r="BS93" i="6" s="1"/>
  <c r="BQ43" i="6"/>
  <c r="BR43" i="6" s="1"/>
  <c r="BS43" i="6" s="1"/>
  <c r="BQ48" i="6"/>
  <c r="BR48" i="6" s="1"/>
  <c r="BS48" i="6" s="1"/>
  <c r="BQ72" i="6"/>
  <c r="BR72" i="6" s="1"/>
  <c r="BS72" i="6" s="1"/>
  <c r="BQ56" i="6"/>
  <c r="BR56" i="6" s="1"/>
  <c r="BS56" i="6" s="1"/>
  <c r="BQ90" i="6"/>
  <c r="BR90" i="6" s="1"/>
  <c r="BS90" i="6" s="1"/>
  <c r="BQ27" i="6"/>
  <c r="BR27" i="6" s="1"/>
  <c r="BS27" i="6" s="1"/>
  <c r="BQ84" i="6"/>
  <c r="BR84" i="6" s="1"/>
  <c r="BS84" i="6" s="1"/>
  <c r="BQ83" i="6"/>
  <c r="BR83" i="6" s="1"/>
  <c r="BS83" i="6" s="1"/>
  <c r="BQ71" i="6"/>
  <c r="BR71" i="6" s="1"/>
  <c r="BS71" i="6" s="1"/>
  <c r="BQ82" i="6"/>
  <c r="BR82" i="6" s="1"/>
  <c r="BS82" i="6" s="1"/>
  <c r="BQ88" i="6"/>
  <c r="BR88" i="6" s="1"/>
  <c r="BS88" i="6" s="1"/>
  <c r="BQ61" i="6"/>
  <c r="BR61" i="6" s="1"/>
  <c r="BS61" i="6" s="1"/>
  <c r="BQ95" i="6"/>
  <c r="BR95" i="6" s="1"/>
  <c r="BS95" i="6" s="1"/>
  <c r="BQ70" i="6"/>
  <c r="BR70" i="6" s="1"/>
  <c r="BS70" i="6" s="1"/>
  <c r="BQ37" i="6"/>
  <c r="BR37" i="6" s="1"/>
  <c r="BS37" i="6" s="1"/>
  <c r="BQ57" i="6"/>
  <c r="BR57" i="6" s="1"/>
  <c r="BS57" i="6" s="1"/>
  <c r="BQ31" i="6"/>
  <c r="BR31" i="6" s="1"/>
  <c r="BS31" i="6" s="1"/>
  <c r="W167" i="6"/>
  <c r="X167" i="6" s="1"/>
  <c r="W168" i="6"/>
  <c r="BQ23" i="6"/>
  <c r="BR23" i="6" s="1"/>
  <c r="BS23" i="6" s="1"/>
  <c r="W148" i="6"/>
  <c r="X148" i="6" s="1"/>
  <c r="Q141" i="6"/>
  <c r="W141" i="6" s="1"/>
  <c r="W146" i="6"/>
  <c r="X146" i="6" s="1"/>
  <c r="X164" i="6"/>
  <c r="AJ17" i="6"/>
  <c r="DJ17" i="6" s="1"/>
  <c r="W25" i="6"/>
  <c r="AJ15" i="6"/>
  <c r="DJ15" i="6" s="1"/>
  <c r="W101" i="6"/>
  <c r="W85" i="6"/>
  <c r="X85" i="6" s="1"/>
  <c r="N51" i="6"/>
  <c r="N50" i="6"/>
  <c r="N49" i="6"/>
  <c r="N42" i="6"/>
  <c r="N41" i="6"/>
  <c r="N40" i="6"/>
  <c r="N39" i="6"/>
  <c r="N19" i="6"/>
  <c r="N18" i="6"/>
  <c r="N45" i="6"/>
  <c r="BZ23" i="6" l="1"/>
  <c r="BV23" i="6"/>
  <c r="BW23" i="6" s="1"/>
  <c r="S158" i="6"/>
  <c r="W158" i="6" s="1"/>
  <c r="X158" i="6" s="1"/>
  <c r="S142" i="6"/>
  <c r="W142" i="6" s="1"/>
  <c r="X142" i="6" s="1"/>
  <c r="W88" i="6"/>
  <c r="W91" i="6" s="1"/>
  <c r="W92" i="6" s="1"/>
  <c r="W102" i="6"/>
  <c r="T70" i="6" s="1"/>
  <c r="W97" i="6"/>
  <c r="X168" i="6"/>
  <c r="T75" i="6"/>
  <c r="N36" i="6"/>
  <c r="N28" i="6"/>
  <c r="N25" i="6"/>
  <c r="N24" i="6"/>
  <c r="N23" i="6"/>
  <c r="N22" i="6"/>
  <c r="N20" i="6"/>
  <c r="N44" i="6"/>
  <c r="N17" i="6"/>
  <c r="X102" i="6" l="1"/>
  <c r="T74" i="6"/>
  <c r="T73" i="6"/>
  <c r="Z11" i="6"/>
  <c r="X92" i="6" l="1"/>
  <c r="T69" i="6"/>
  <c r="W115" i="6" l="1"/>
  <c r="W116" i="6" s="1"/>
  <c r="T71" i="6" s="1"/>
  <c r="X116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Toan</author>
    <author>DELL</author>
  </authors>
  <commentList>
    <comment ref="W4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Người dùng hiệu chỉnh thông tin theo bảng bên phải</t>
        </r>
      </text>
    </comment>
    <comment ref="U66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Toàn
N &gt; 0: Gây kéo
N &lt; 0: Gây nén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01" authorId="1" shapeId="0" xr:uid="{00000000-0006-0000-0100-000003000000}">
      <text>
        <r>
          <rPr>
            <sz val="9"/>
            <color indexed="81"/>
            <rFont val="Tahoma"/>
            <family val="2"/>
          </rPr>
          <t xml:space="preserve">Toàn
TCVN 5574:2018
CT (118): Phi b min = 1
</t>
        </r>
      </text>
    </comment>
    <comment ref="U101" authorId="1" shapeId="0" xr:uid="{00000000-0006-0000-0100-000004000000}">
      <text>
        <r>
          <rPr>
            <sz val="9"/>
            <color indexed="81"/>
            <rFont val="Tahoma"/>
            <family val="2"/>
          </rPr>
          <t>Toàn
TCVN 5574:2018
Tải trọng phân bố không đều  = 0.75</t>
        </r>
      </text>
    </comment>
    <comment ref="W132" authorId="1" shapeId="0" xr:uid="{A9505E63-59B4-434E-978F-0381310797E0}">
      <text>
        <r>
          <rPr>
            <sz val="9"/>
            <color indexed="81"/>
            <rFont val="Tahoma"/>
            <family val="2"/>
          </rPr>
          <t xml:space="preserve">Toàn
Trường hợp không thỏa thì tham khảo sheet L410.
</t>
        </r>
      </text>
    </comment>
  </commentList>
</comments>
</file>

<file path=xl/sharedStrings.xml><?xml version="1.0" encoding="utf-8"?>
<sst xmlns="http://schemas.openxmlformats.org/spreadsheetml/2006/main" count="1030" uniqueCount="465">
  <si>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</si>
  <si>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</si>
  <si>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</si>
  <si>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</si>
  <si>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</si>
  <si>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</si>
  <si>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</si>
  <si>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</si>
  <si>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</si>
  <si>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</si>
  <si>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</si>
  <si>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</si>
  <si>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</si>
  <si>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</si>
  <si>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</si>
  <si>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</si>
  <si>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</si>
  <si>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</si>
  <si>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</si>
  <si>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</si>
  <si>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</si>
  <si>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</si>
  <si>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</si>
  <si>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</si>
  <si>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</si>
  <si>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</si>
  <si>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</si>
  <si>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</si>
  <si>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THIẾT KẾ LIÊN KẾT CHÂN CỘT H THEO TCVN 5575:2024</t>
  </si>
  <si>
    <t>(Theo TCVN 5575-2024)</t>
  </si>
  <si>
    <t>Loại</t>
  </si>
  <si>
    <t>E43</t>
  </si>
  <si>
    <t>E51</t>
  </si>
  <si>
    <t>Bảng C1: Que hàn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</si>
  <si>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</si>
  <si>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</si>
  <si>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Cấp</t>
  </si>
  <si>
    <t>Bảng C.4 Cường độ tiêu chuẩn
 của thép làm bu lông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</si>
  <si>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</si>
  <si>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</si>
  <si>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</si>
  <si>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</si>
  <si>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Bảng C.6 Diện tích tiết diện bu lông</t>
  </si>
  <si>
    <t>D</t>
  </si>
  <si>
    <t>p</t>
  </si>
  <si>
    <t>Ab</t>
  </si>
  <si>
    <t>d =</t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</si>
  <si>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</si>
  <si>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</si>
  <si>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</si>
  <si>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</si>
  <si>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1. Vật liệu</t>
  </si>
  <si>
    <t>1.1 Bu lông neo</t>
  </si>
  <si>
    <t>1.2 Thép tấm</t>
  </si>
  <si>
    <t>1.3 Đường hàn</t>
  </si>
  <si>
    <t>1.4 Bê tông móng</t>
  </si>
  <si>
    <t>2. Tiết diện</t>
  </si>
  <si>
    <t>2.1 Chân cột</t>
  </si>
  <si>
    <t>h =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</si>
  <si>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</si>
  <si>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</si>
  <si>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B =</t>
  </si>
  <si>
    <r>
      <t>t</t>
    </r>
    <r>
      <rPr>
        <vertAlign val="subscript"/>
        <sz val="10"/>
        <color theme="1"/>
        <rFont val="Calibri"/>
        <family val="2"/>
        <scheme val="minor"/>
      </rPr>
      <t>bđ</t>
    </r>
    <r>
      <rPr>
        <sz val="10"/>
        <color theme="1"/>
        <rFont val="Calibri"/>
        <family val="2"/>
        <scheme val="minor"/>
      </rPr>
      <t xml:space="preserve"> =</t>
    </r>
  </si>
  <si>
    <t>3. Nội lực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</si>
  <si>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</si>
  <si>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</si>
  <si>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t>B20</t>
  </si>
  <si>
    <t>B25</t>
  </si>
  <si>
    <t>B30</t>
  </si>
  <si>
    <t>B35</t>
  </si>
  <si>
    <t>B40</t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</si>
  <si>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 xml:space="preserve"> =</t>
    </r>
  </si>
  <si>
    <t>kN</t>
  </si>
  <si>
    <t>kNm</t>
  </si>
  <si>
    <r>
      <t>L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</si>
  <si>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Ô bản</t>
  </si>
  <si>
    <t>3 cạnh</t>
  </si>
  <si>
    <t>Tải trọng động</t>
  </si>
  <si>
    <t>Tải trọng tĩnh</t>
  </si>
  <si>
    <t>Công trình (ống khói, tháp thải khí…), tải trọng tính tính là tải trọng gió</t>
  </si>
  <si>
    <t>Bu lông tháo được có bản neo lắp đặt tự do trong ống</t>
  </si>
  <si>
    <t>Hệ số k0</t>
  </si>
  <si>
    <r>
      <t>k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</si>
  <si>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t>Chữ L</t>
  </si>
  <si>
    <t>Không tháo được có bản neo</t>
  </si>
  <si>
    <t>Tháo được có bản neo</t>
  </si>
  <si>
    <t>Thẳng</t>
  </si>
  <si>
    <t>Đầu côn</t>
  </si>
  <si>
    <t>Hình dạng</t>
  </si>
  <si>
    <t>Hmin</t>
  </si>
  <si>
    <t>25db</t>
  </si>
  <si>
    <t>15db</t>
  </si>
  <si>
    <t>30db</t>
  </si>
  <si>
    <t>10db</t>
  </si>
  <si>
    <t>1. Kiểm tra diện tích tiết diện ngang của bu lông (Mục L.4.2 và L.4.3)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</si>
  <si>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</si>
  <si>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</si>
  <si>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</si>
  <si>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Lmin</t>
  </si>
  <si>
    <t>Ledge</t>
  </si>
  <si>
    <t>Đầu côn (D&lt; 16)</t>
  </si>
  <si>
    <t>k tĩnh</t>
  </si>
  <si>
    <t>k động</t>
  </si>
  <si>
    <t>z</t>
  </si>
  <si>
    <r>
      <rPr>
        <sz val="10"/>
        <color theme="1"/>
        <rFont val="Symbol"/>
        <family val="1"/>
        <charset val="2"/>
      </rPr>
      <t>z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</si>
  <si>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</si>
  <si>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sa,min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</si>
  <si>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</si>
  <si>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=0.66/R</t>
    </r>
    <r>
      <rPr>
        <vertAlign val="subscript"/>
        <sz val="10"/>
        <color theme="1"/>
        <rFont val="Calibri"/>
        <family val="2"/>
        <scheme val="minor"/>
      </rPr>
      <t>bt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</si>
  <si>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</si>
  <si>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</si>
  <si>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t>H=</t>
  </si>
  <si>
    <t>(Bảng L.1)</t>
  </si>
  <si>
    <t>- Chiều sâu ngàm tối thiểu H0:</t>
  </si>
  <si>
    <r>
      <t>H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=</t>
    </r>
  </si>
  <si>
    <t>3. Kiểm tra ứng suất bản đế (TCVN 5574:2018, Mục 8.1.5)</t>
  </si>
  <si>
    <t>2.2 Bản đế &amp; Sườn đế</t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</si>
  <si>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  <scheme val="minor"/>
      </rPr>
      <t>3</t>
    </r>
  </si>
  <si>
    <t>d1</t>
  </si>
  <si>
    <t>a1</t>
  </si>
  <si>
    <r>
      <t>M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</si>
  <si>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kN.m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</si>
  <si>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</si>
  <si>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4. Kiểm tra chiều dày bản đế</t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</si>
  <si>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</si>
  <si>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bu lông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</si>
  <si>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</si>
  <si>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t>n =</t>
  </si>
  <si>
    <t>b =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</si>
  <si>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</si>
  <si>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</si>
  <si>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wf </t>
    </r>
    <r>
      <rPr>
        <sz val="10"/>
        <color theme="1"/>
        <rFont val="Calibri"/>
        <family val="2"/>
        <scheme val="minor"/>
      </rPr>
      <t>=</t>
    </r>
  </si>
  <si>
    <r>
      <t>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>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</si>
  <si>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</si>
  <si>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</si>
  <si>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</si>
  <si>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</si>
  <si>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Phần tử</t>
  </si>
  <si>
    <t>Vị trí</t>
  </si>
  <si>
    <t>Tổ hợp</t>
  </si>
  <si>
    <t>N</t>
  </si>
  <si>
    <t>(m)</t>
  </si>
  <si>
    <t>(kN)</t>
  </si>
  <si>
    <t>V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</si>
  <si>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</si>
  <si>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</si>
  <si>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</si>
  <si>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r>
      <t>V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</si>
  <si>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t>Sơ đồ tính sườn là dầm công xôn ngàm vào bản bụng(cánh) cột bằng 2 đường hàn liên kết</t>
  </si>
  <si>
    <r>
      <t>q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</si>
  <si>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kN/m</t>
  </si>
  <si>
    <r>
      <t>M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</si>
  <si>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</si>
  <si>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</si>
  <si>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t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</si>
  <si>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</si>
  <si>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/(1.15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</si>
  <si>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r>
      <rPr>
        <sz val="10"/>
        <color theme="1"/>
        <rFont val="Calibri"/>
        <family val="2"/>
      </rPr>
      <t>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</si>
  <si>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t>a. Kiểm tra độ bền cấu kiện</t>
  </si>
  <si>
    <t>b. Kiểm tra liên kết hàn của sườn với cấu kiện mục 14.1.17</t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</si>
  <si>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</si>
  <si>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</si>
  <si>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=2(h</t>
    </r>
    <r>
      <rPr>
        <vertAlign val="superscript"/>
        <sz val="10"/>
        <color theme="1"/>
        <rFont val="Calibri"/>
        <family val="2"/>
        <scheme val="minor"/>
      </rPr>
      <t>3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)/12=</t>
    </r>
  </si>
  <si>
    <r>
      <t>W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[I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/2)]=</t>
    </r>
  </si>
  <si>
    <r>
      <t>M/(W</t>
    </r>
    <r>
      <rPr>
        <vertAlign val="subscript"/>
        <sz val="10"/>
        <color theme="1"/>
        <rFont val="Calibri"/>
        <family val="2"/>
      </rPr>
      <t>f</t>
    </r>
    <r>
      <rPr>
        <sz val="10"/>
        <color theme="1"/>
        <rFont val="Calibri"/>
        <family val="1"/>
        <charset val="2"/>
      </rPr>
      <t>f</t>
    </r>
    <r>
      <rPr>
        <vertAlign val="subscript"/>
        <sz val="10"/>
        <color theme="1"/>
        <rFont val="Calibri"/>
        <family val="2"/>
      </rPr>
      <t>wf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)=</t>
    </r>
  </si>
  <si>
    <r>
      <t>W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[I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/2)]=</t>
    </r>
  </si>
  <si>
    <r>
      <t>M/(W</t>
    </r>
    <r>
      <rPr>
        <vertAlign val="subscript"/>
        <sz val="10"/>
        <color theme="1"/>
        <rFont val="Calibri"/>
        <family val="2"/>
      </rPr>
      <t>s</t>
    </r>
    <r>
      <rPr>
        <sz val="10"/>
        <color theme="1"/>
        <rFont val="Calibri"/>
        <family val="1"/>
        <charset val="2"/>
      </rPr>
      <t>f</t>
    </r>
    <r>
      <rPr>
        <vertAlign val="subscript"/>
        <sz val="10"/>
        <color theme="1"/>
        <rFont val="Calibri"/>
        <family val="2"/>
      </rPr>
      <t>ws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)=</t>
    </r>
  </si>
  <si>
    <t>2. Chiều sâu ngàm bu lông vào bê tông (Mục L.5)</t>
  </si>
  <si>
    <t>N42</t>
  </si>
  <si>
    <t>N46</t>
  </si>
  <si>
    <t>N50</t>
  </si>
  <si>
    <r>
      <t>a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</si>
  <si>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M</t>
  </si>
  <si>
    <t>(kNm)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</si>
  <si>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max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N/(B.L)+6M/(B.L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</si>
  <si>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min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N/(B.L)-6M/(B.L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</si>
  <si>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/(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</si>
  <si>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</si>
  <si>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t>2 cạnh</t>
  </si>
  <si>
    <r>
      <t>M</t>
    </r>
    <r>
      <rPr>
        <vertAlign val="subscript"/>
        <sz val="10"/>
        <color theme="1"/>
        <rFont val="Calibri"/>
        <family val="2"/>
        <scheme val="minor"/>
      </rPr>
      <t>max</t>
    </r>
  </si>
  <si>
    <t>(mm)</t>
  </si>
  <si>
    <t xml:space="preserve">s 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</si>
  <si>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</si>
  <si>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m</t>
  </si>
  <si>
    <r>
      <t>e</t>
    </r>
    <r>
      <rPr>
        <vertAlign val="subscript"/>
        <sz val="10"/>
        <color theme="1"/>
        <rFont val="Calibri"/>
        <family val="2"/>
        <scheme val="minor"/>
      </rPr>
      <t xml:space="preserve">0 </t>
    </r>
    <r>
      <rPr>
        <sz val="10"/>
        <color theme="1"/>
        <rFont val="Calibri"/>
        <family val="2"/>
        <scheme val="minor"/>
      </rPr>
      <t>=M/N=</t>
    </r>
  </si>
  <si>
    <t>c =</t>
  </si>
  <si>
    <t>x =</t>
  </si>
  <si>
    <r>
      <rPr>
        <sz val="10"/>
        <color theme="1"/>
        <rFont val="Symbol"/>
        <family val="1"/>
        <charset val="2"/>
      </rPr>
      <t xml:space="preserve"> e</t>
    </r>
    <r>
      <rPr>
        <vertAlign val="subscript"/>
        <sz val="10"/>
        <color theme="1"/>
        <rFont val="Calibri"/>
        <family val="2"/>
        <scheme val="minor"/>
      </rPr>
      <t>s,el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</si>
  <si>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e</t>
    </r>
    <r>
      <rPr>
        <vertAlign val="subscript"/>
        <sz val="10"/>
        <color theme="1"/>
        <rFont val="Calibri"/>
        <family val="2"/>
        <scheme val="minor"/>
      </rPr>
      <t>b2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</si>
  <si>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x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 xml:space="preserve"> =</t>
    </r>
  </si>
  <si>
    <t>x/[x] =</t>
  </si>
  <si>
    <r>
      <t>[x] =</t>
    </r>
    <r>
      <rPr>
        <sz val="10"/>
        <color theme="1"/>
        <rFont val="Symbol"/>
        <family val="1"/>
        <charset val="2"/>
      </rPr>
      <t>x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>.L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</si>
  <si>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P=(R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x-N)/n =</t>
    </r>
  </si>
  <si>
    <t>Chiều dày</t>
  </si>
  <si>
    <t>Bề rộng
(mm)</t>
  </si>
  <si>
    <t>Chiều cao (mm)</t>
  </si>
  <si>
    <t>Đường hàn
(mm)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</si>
  <si>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</si>
  <si>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=M/h+N/2 =</t>
    </r>
  </si>
  <si>
    <t>B. KẾT QUẢ TÍNH TOÁN</t>
  </si>
  <si>
    <t>STT</t>
  </si>
  <si>
    <t>Nội dung</t>
  </si>
  <si>
    <t>Ghi chú</t>
  </si>
  <si>
    <t>Tỷ số</t>
  </si>
  <si>
    <t>Kiểm tra bu lông neo chống lực trượt</t>
  </si>
  <si>
    <t>Kiểm tra Ứng suất nén cục bộ bê tông</t>
  </si>
  <si>
    <t>Kiểm tra tiết diện ngang bu lông</t>
  </si>
  <si>
    <t>Kiểm tra chiều dày bản đế</t>
  </si>
  <si>
    <t>Kiểm tra sườn đế A</t>
  </si>
  <si>
    <t>Kiểm tra sườn đế B</t>
  </si>
  <si>
    <t>Kiểm tra đường hàn chân cột</t>
  </si>
  <si>
    <t>C. PHỤ LỤC TÍNH TOÁN</t>
  </si>
  <si>
    <t>BẢNG TỔNG HỢP CHI TIẾT  - THUYẾT MINH BẢN ĐẾ CHÂN CỘT</t>
  </si>
  <si>
    <t>A. THÔNG SỐ THIẾT KẾ</t>
  </si>
  <si>
    <t>B. TÍNH TOÁN</t>
  </si>
  <si>
    <t>Thông số cột</t>
  </si>
  <si>
    <t>Thông số bản đế</t>
  </si>
  <si>
    <t>Thông số lực</t>
  </si>
  <si>
    <t>Tên</t>
  </si>
  <si>
    <t>h</t>
  </si>
  <si>
    <t>b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</si>
  <si>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</si>
  <si>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</si>
  <si>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</si>
  <si>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</si>
  <si>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</si>
  <si>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</si>
  <si>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t>Bu lông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</si>
  <si>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</si>
  <si>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</si>
  <si>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</si>
  <si>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2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</si>
  <si>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</si>
  <si>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n</t>
  </si>
  <si>
    <t>CT1</t>
  </si>
  <si>
    <t>Bảng tra khoảng cách bu lông</t>
  </si>
  <si>
    <t>F</t>
  </si>
  <si>
    <t>B</t>
  </si>
  <si>
    <t>C</t>
  </si>
  <si>
    <t>P</t>
  </si>
  <si>
    <t>Bề rộng bản đế</t>
  </si>
  <si>
    <t>W</t>
  </si>
  <si>
    <t>G</t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</si>
  <si>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</si>
  <si>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</si>
  <si>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</si>
  <si>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</si>
  <si>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</si>
  <si>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fu</t>
  </si>
  <si>
    <t>A</t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</si>
  <si>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</si>
  <si>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</si>
  <si>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</si>
  <si>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</si>
  <si>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</si>
  <si>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</si>
  <si>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</si>
  <si>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</si>
  <si>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</si>
  <si>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</si>
  <si>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</si>
  <si>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</si>
  <si>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</si>
  <si>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fck</t>
  </si>
  <si>
    <t>CI</t>
  </si>
  <si>
    <t>M150</t>
  </si>
  <si>
    <t>B10</t>
  </si>
  <si>
    <t>CII</t>
  </si>
  <si>
    <t>M200</t>
  </si>
  <si>
    <t>B15</t>
  </si>
  <si>
    <t>C12/15</t>
  </si>
  <si>
    <t>CIII</t>
  </si>
  <si>
    <t>M250</t>
  </si>
  <si>
    <t>C16/20</t>
  </si>
  <si>
    <t>AI</t>
  </si>
  <si>
    <t>M350</t>
  </si>
  <si>
    <t>C20/25</t>
  </si>
  <si>
    <t>AII</t>
  </si>
  <si>
    <t>M400</t>
  </si>
  <si>
    <t>C25/30</t>
  </si>
  <si>
    <t>AIII</t>
  </si>
  <si>
    <t>M450</t>
  </si>
  <si>
    <t>C28/35</t>
  </si>
  <si>
    <t>CB240-T</t>
  </si>
  <si>
    <t>M500</t>
  </si>
  <si>
    <t>C32/40</t>
  </si>
  <si>
    <t>CB300-T</t>
  </si>
  <si>
    <t>M600</t>
  </si>
  <si>
    <t>B45</t>
  </si>
  <si>
    <t>C35/45</t>
  </si>
  <si>
    <t>CB300-V</t>
  </si>
  <si>
    <t>M700</t>
  </si>
  <si>
    <t>B50</t>
  </si>
  <si>
    <t>C40/50</t>
  </si>
  <si>
    <t>CB400-V</t>
  </si>
  <si>
    <t>B55</t>
  </si>
  <si>
    <t>C45/55</t>
  </si>
  <si>
    <t>CB500-V</t>
  </si>
  <si>
    <t>M800</t>
  </si>
  <si>
    <t>B60</t>
  </si>
  <si>
    <t>C50/60</t>
  </si>
  <si>
    <t>SR235</t>
  </si>
  <si>
    <t>SR295</t>
  </si>
  <si>
    <t>SD295</t>
  </si>
  <si>
    <t>SD390</t>
  </si>
  <si>
    <t>SD490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</si>
  <si>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</si>
  <si>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</si>
  <si>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</si>
  <si>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</si>
  <si>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</si>
  <si>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</si>
  <si>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</si>
  <si>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</si>
  <si>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Bảng E2</t>
  </si>
  <si>
    <t>Kê 4 cạnh</t>
  </si>
  <si>
    <t>b/a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</si>
  <si>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1</t>
    </r>
  </si>
  <si>
    <t>a3</t>
  </si>
  <si>
    <t>Kê 3 cạnh</t>
  </si>
  <si>
    <t>a2</t>
  </si>
  <si>
    <t>Kiểm tra diện tích tiết diện ngang của bu lông</t>
  </si>
  <si>
    <t>e0</t>
  </si>
  <si>
    <t>La</t>
  </si>
  <si>
    <t>c</t>
  </si>
  <si>
    <t>x</t>
  </si>
  <si>
    <t>[x]</t>
  </si>
  <si>
    <t>x/[x]</t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</si>
  <si>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</si>
  <si>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t>D/C</t>
  </si>
  <si>
    <t>Check</t>
  </si>
  <si>
    <r>
      <t>A</t>
    </r>
    <r>
      <rPr>
        <vertAlign val="subscript"/>
        <sz val="10"/>
        <color rgb="FF0070C0"/>
        <rFont val="Calibri"/>
        <family val="2"/>
        <scheme val="minor"/>
      </rPr>
      <t>sa</t>
    </r>
  </si>
  <si>
    <t>Dày</t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</si>
  <si>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1"/>
        <color rgb="FF0070C0"/>
        <rFont val="Calibri"/>
        <family val="2"/>
      </rPr>
      <t>max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</si>
  <si>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1"/>
        <color rgb="FF0070C0"/>
        <rFont val="Calibri"/>
        <family val="2"/>
      </rPr>
      <t>min</t>
    </r>
  </si>
  <si>
    <t>Kiểm tra ứng suất
bản đế</t>
  </si>
  <si>
    <t>8. Kiểm tra đường hàn liên kết cột vào bản đế mục 14.1.16</t>
  </si>
  <si>
    <t>Chiều cao cột</t>
  </si>
  <si>
    <t>H</t>
  </si>
  <si>
    <t>(1)_Chiều cao cột</t>
  </si>
  <si>
    <t>(2)_Chiều dày bản đế</t>
  </si>
  <si>
    <t>(3)_Số lượng bu lông dọc theo chiều cao</t>
  </si>
  <si>
    <t>t</t>
  </si>
  <si>
    <t>(4)_Số lượng sườn liên kết bản bụng</t>
  </si>
  <si>
    <t>(5)_Chiều dày sườn liên kết bản bụng</t>
  </si>
  <si>
    <t>(6)_Bề rộng bản đế</t>
  </si>
  <si>
    <t>(7)_Khoảng cách giữa 2 bu lông theo phương // cánh</t>
  </si>
  <si>
    <t>(8)_Số lượng bu lông liên kết ở bản cánh</t>
  </si>
  <si>
    <t>(10)_Chiều dày sườn tăng cứng bản cánh</t>
  </si>
  <si>
    <t>(9)_Số lượng sườn liên kết bản cánh</t>
  </si>
  <si>
    <t>nH</t>
  </si>
  <si>
    <t>Nb</t>
  </si>
  <si>
    <t>Bản đế</t>
  </si>
  <si>
    <t>Bề rộng</t>
  </si>
  <si>
    <t>Chiều dài</t>
  </si>
  <si>
    <t>X</t>
  </si>
  <si>
    <t>Y</t>
  </si>
  <si>
    <t>Chiều cao</t>
  </si>
  <si>
    <t>Cột I</t>
  </si>
  <si>
    <t>Bu lông 2 cánh</t>
  </si>
  <si>
    <t>Bu lông giữa cột</t>
  </si>
  <si>
    <t>Bu lông tăng cường</t>
  </si>
  <si>
    <t>ncột</t>
  </si>
  <si>
    <t>B+C</t>
  </si>
  <si>
    <t>Sườn cánh</t>
  </si>
  <si>
    <t>Sườn bụng</t>
  </si>
  <si>
    <t>EQ =</t>
  </si>
  <si>
    <t>Số cột</t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</si>
  <si>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</si>
  <si>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r>
      <t>n</t>
    </r>
    <r>
      <rPr>
        <vertAlign val="subscript"/>
        <sz val="10"/>
        <color theme="1"/>
        <rFont val="Calibri"/>
        <family val="2"/>
        <scheme val="minor"/>
      </rPr>
      <t>H</t>
    </r>
    <r>
      <rPr>
        <sz val="10"/>
        <color theme="1"/>
        <rFont val="Calibri"/>
        <family val="2"/>
        <scheme val="minor"/>
      </rPr>
      <t xml:space="preserve"> =</t>
    </r>
  </si>
  <si>
    <t>Số lượng</t>
  </si>
  <si>
    <t>Loại sườn
tăng cứng</t>
  </si>
  <si>
    <t>Bản bụng</t>
  </si>
  <si>
    <t>Bản cánh</t>
  </si>
  <si>
    <t>Tâm cột</t>
  </si>
  <si>
    <t>L3T</t>
  </si>
  <si>
    <t>L1T</t>
  </si>
  <si>
    <t>L2T</t>
  </si>
  <si>
    <t>L3P</t>
  </si>
  <si>
    <t>L2P</t>
  </si>
  <si>
    <t>L1P</t>
  </si>
  <si>
    <t>Số lượng bu lông</t>
  </si>
  <si>
    <t>Khoảng cách</t>
  </si>
  <si>
    <t>Phải</t>
  </si>
  <si>
    <t>Trọng tâm</t>
  </si>
  <si>
    <t>4.1 Tại khu vực bản bụng</t>
  </si>
  <si>
    <r>
      <t>L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>=L/2+c =</t>
    </r>
  </si>
  <si>
    <t>4.1 Tại khu vực bản cánh</t>
  </si>
  <si>
    <t>1 cạnh</t>
  </si>
  <si>
    <t>-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</si>
  <si>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min </t>
    </r>
    <r>
      <rPr>
        <sz val="10"/>
        <color theme="1"/>
        <rFont val="Calibri"/>
        <family val="2"/>
        <scheme val="minor"/>
      </rPr>
      <t>=(6M/(f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</si>
  <si>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t>6. Kiểm tra sườn đế liên kết bản bụng</t>
  </si>
  <si>
    <t>7. Kiểm tra sườn đế liên kết bản cánh</t>
  </si>
  <si>
    <t>M300</t>
  </si>
  <si>
    <t>B22.5</t>
  </si>
  <si>
    <t>C18/22.5</t>
  </si>
  <si>
    <r>
      <t>STT</t>
    </r>
    <r>
      <rPr>
        <b/>
        <vertAlign val="subscript"/>
        <sz val="10"/>
        <color rgb="FF0070C0"/>
        <rFont val="Calibri"/>
        <family val="2"/>
        <scheme val="minor"/>
      </rPr>
      <t>B</t>
    </r>
  </si>
  <si>
    <r>
      <t>STT</t>
    </r>
    <r>
      <rPr>
        <b/>
        <vertAlign val="subscript"/>
        <sz val="10"/>
        <color rgb="FF0070C0"/>
        <rFont val="Calibri"/>
        <family val="2"/>
        <scheme val="minor"/>
      </rPr>
      <t>H</t>
    </r>
  </si>
  <si>
    <t>Đường kính</t>
  </si>
  <si>
    <t>Đk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</si>
  <si>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H</t>
    </r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</si>
  <si>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B</t>
    </r>
  </si>
  <si>
    <t>Tăng cứng cánh</t>
  </si>
  <si>
    <t>Tăng cứng bụng</t>
  </si>
  <si>
    <t>Số
lượng</t>
  </si>
  <si>
    <r>
      <t>A</t>
    </r>
    <r>
      <rPr>
        <vertAlign val="subscript"/>
        <sz val="10"/>
        <color rgb="FF0070C0"/>
        <rFont val="Calibri"/>
        <family val="2"/>
        <scheme val="minor"/>
      </rPr>
      <t>sa</t>
    </r>
    <r>
      <rPr>
        <b/>
        <vertAlign val="subscript"/>
        <sz val="10"/>
        <color rgb="FF0070C0"/>
        <rFont val="Calibri"/>
        <family val="2"/>
        <scheme val="minor"/>
      </rPr>
      <t>,min</t>
    </r>
  </si>
  <si>
    <t>Kiểm tra bu lông neo chống trượt V</t>
  </si>
  <si>
    <r>
      <t>V</t>
    </r>
    <r>
      <rPr>
        <b/>
        <vertAlign val="subscript"/>
        <sz val="10"/>
        <color rgb="FF0070C0"/>
        <rFont val="Calibri"/>
        <family val="2"/>
      </rPr>
      <t>max</t>
    </r>
  </si>
  <si>
    <t>1_ULS2</t>
  </si>
  <si>
    <t>OK</t>
  </si>
  <si>
    <t>Kiểm
tra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</si>
  <si>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</si>
  <si>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</si>
  <si>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</si>
  <si>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</si>
  <si>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</si>
  <si>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5. Kiểm tra bu lông neo chống lực trượt V đế cột với móng (SP-43.13330.2012-_Izmenenie-_4)</t>
  </si>
  <si>
    <t>TCVN 5574:2024 được công bố 24/12/2024, Phụ lục tính toán bu lông neo được biên soạn trên cơ sở SP43, chưa kịp cập nhật sửa đổi 4 của SP43. VÌ vậy có thể tham khảo trực tiếp SP43 (bao gồm sửa đổi) để đảm bảo tính đồng bộ</t>
  </si>
  <si>
    <t>Khả năng chống trượt của bu lông neo được tính toán theo phiên bản cập nhật sửa đổi 4 của SP43</t>
  </si>
  <si>
    <t>P =</t>
  </si>
  <si>
    <t>Q =</t>
  </si>
  <si>
    <r>
      <t>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</si>
  <si>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=0.6 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n =</t>
    </r>
  </si>
  <si>
    <r>
      <t>max(P;Q)/V</t>
    </r>
    <r>
      <rPr>
        <vertAlign val="subscript"/>
        <sz val="10"/>
        <color theme="1"/>
        <rFont val="Calibri"/>
        <family val="2"/>
        <scheme val="minor"/>
      </rPr>
      <t xml:space="preserve">max </t>
    </r>
    <r>
      <rPr>
        <sz val="10"/>
        <color theme="1"/>
        <rFont val="Calibri"/>
        <family val="2"/>
        <scheme val="minor"/>
      </rPr>
      <t>=</t>
    </r>
  </si>
  <si>
    <t>(1) - Kiểm tra tiết diện ngang bu lông đối với bu lông chịu kéo</t>
  </si>
  <si>
    <t>(2) - Kiểm tra ứng suất bản đế</t>
  </si>
  <si>
    <t>(3) - Kiểm tra bu lông neo chống lực trượt V</t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</si>
  <si>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sa</t>
    </r>
  </si>
  <si>
    <r>
      <t>A</t>
    </r>
    <r>
      <rPr>
        <b/>
        <vertAlign val="subscript"/>
        <sz val="10"/>
        <color rgb="FF0070C0"/>
        <rFont val="Calibri"/>
        <family val="2"/>
        <scheme val="minor"/>
      </rPr>
      <t>sa,min</t>
    </r>
  </si>
  <si>
    <t>Kiểm tra mục (1)</t>
  </si>
  <si>
    <t>Kiểm tra mục (2)</t>
  </si>
  <si>
    <t>Kiểm tra mục (3)</t>
  </si>
  <si>
    <t>C20</t>
  </si>
  <si>
    <t>C26</t>
  </si>
  <si>
    <t>C32</t>
  </si>
  <si>
    <t>1_ULS1</t>
  </si>
  <si>
    <t>1_ULS31</t>
  </si>
  <si>
    <t>1_ULS32</t>
  </si>
  <si>
    <t>1_ULS33</t>
  </si>
  <si>
    <t>1_ULS34</t>
  </si>
  <si>
    <t>1_ULS35</t>
  </si>
  <si>
    <t>1_ULS36</t>
  </si>
  <si>
    <t>1_ULS37</t>
  </si>
  <si>
    <t>1_ULS38</t>
  </si>
  <si>
    <t>1_ULS41</t>
  </si>
  <si>
    <t>1_ULS42</t>
  </si>
  <si>
    <t>1_ULS43</t>
  </si>
  <si>
    <t>1_ULS44</t>
  </si>
  <si>
    <t>1_ULS45</t>
  </si>
  <si>
    <t>1_ULS46</t>
  </si>
  <si>
    <t>1_ULS47</t>
  </si>
  <si>
    <t>1_ULS48</t>
  </si>
  <si>
    <t>1_ULS51</t>
  </si>
  <si>
    <t>1_ULS52</t>
  </si>
  <si>
    <t>1_ULS53</t>
  </si>
  <si>
    <t>1_ULS54</t>
  </si>
  <si>
    <t>1_ULS55</t>
  </si>
  <si>
    <t>1_ULS56</t>
  </si>
  <si>
    <t>1_ULS57</t>
  </si>
  <si>
    <t>1_ULS58</t>
  </si>
  <si>
    <t>372x6+212x8</t>
  </si>
  <si>
    <t>Tài liệu tham khảo:</t>
  </si>
  <si>
    <t>1. TCVN - 5575 - 2024 - Kết cấu thép - Tiêu chuẩn thiết kế</t>
  </si>
  <si>
    <t>2. TCVN - 5574 - 2018 - Kết cấu bê tông và bê tông cốt thép - Tiêu chuẩn thiết kế</t>
  </si>
  <si>
    <t>3. SP-43.13330.2012-_Izmenenie-_4 Сооружения промышленных предприятий (Bản sửa đổi 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</si>
</sst>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E+00"/>
    <numFmt numFmtId="167" formatCode="_(* #,##0_);_(* \(#,##0\);_(* &quot;-&quot;??_);_(@_)"/>
    <numFmt numFmtId="168" formatCode="&quot;(&quot;0&quot;)&quot;"/>
  </numFmts>
  <fonts count="6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vertAlign val="subscript"/>
      <sz val="11"/>
      <color theme="1"/>
      <name val="Calibri"/>
      <family val="2"/>
    </font>
    <font>
      <sz val="10"/>
      <name val="Arial"/>
      <family val="2"/>
    </font>
    <font>
      <sz val="12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name val="Calibri"/>
      <family val="1"/>
      <charset val="2"/>
      <scheme val="minor"/>
    </font>
    <font>
      <sz val="16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u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b/>
      <sz val="10"/>
      <color rgb="FF0070C0"/>
      <name val="Arial"/>
      <family val="2"/>
    </font>
    <font>
      <b/>
      <vertAlign val="superscript"/>
      <sz val="10"/>
      <color rgb="FF0070C0"/>
      <name val="Calibri"/>
      <family val="2"/>
      <scheme val="minor"/>
    </font>
    <font>
      <vertAlign val="sub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</font>
    <font>
      <b/>
      <sz val="10"/>
      <color rgb="FF0070C0"/>
      <name val="Symbol"/>
      <family val="1"/>
      <charset val="2"/>
    </font>
    <font>
      <b/>
      <vertAlign val="subscript"/>
      <sz val="11"/>
      <color rgb="FF0070C0"/>
      <name val="Calibri"/>
      <family val="2"/>
    </font>
    <font>
      <sz val="11"/>
      <color rgb="FF0000CC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0"/>
      <color theme="8" tint="0.79998168889431442"/>
      <name val="Calibri"/>
      <family val="2"/>
      <scheme val="minor"/>
    </font>
    <font>
      <b/>
      <vertAlign val="subscript"/>
      <sz val="10"/>
      <color rgb="FF0070C0"/>
      <name val="Calibri"/>
      <family val="2"/>
    </font>
    <font>
      <sz val="13"/>
      <color theme="0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</fills>
  <borders count="6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13">
    <xf numFmtId="0" fontId="0" fillId="0" borderId="0"/>
    <xf numFmtId="0" fontId="18" fillId="0" borderId="0"/>
    <xf numFmtId="0" fontId="23" fillId="7" borderId="20" applyNumberFormat="0" applyAlignment="0" applyProtection="0"/>
    <xf numFmtId="0" fontId="32" fillId="0" borderId="0"/>
    <xf numFmtId="9" fontId="18" fillId="0" borderId="0" applyFont="0" applyFill="0" applyBorder="0" applyAlignment="0" applyProtection="0"/>
    <xf numFmtId="0" fontId="18" fillId="8" borderId="0" applyNumberFormat="0" applyBorder="0" applyAlignment="0" applyProtection="0"/>
    <xf numFmtId="0" fontId="44" fillId="9" borderId="0" applyNumberFormat="0" applyBorder="0" applyAlignment="0" applyProtection="0"/>
    <xf numFmtId="0" fontId="45" fillId="0" borderId="0"/>
    <xf numFmtId="0" fontId="48" fillId="0" borderId="0"/>
    <xf numFmtId="0" fontId="52" fillId="0" borderId="0"/>
    <xf numFmtId="165" fontId="45" fillId="0" borderId="0" applyFont="0" applyFill="0" applyBorder="0" applyAlignment="0" applyProtection="0"/>
    <xf numFmtId="0" fontId="52" fillId="0" borderId="0"/>
    <xf numFmtId="0" fontId="62" fillId="12" borderId="20" applyNumberFormat="0" applyAlignment="0" applyProtection="0"/>
  </cellStyleXfs>
  <cellXfs count="364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10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vertical="top"/>
    </xf>
    <xf numFmtId="0" fontId="2" fillId="2" borderId="17" xfId="0" applyFont="1" applyFill="1" applyBorder="1" applyAlignment="1">
      <alignment horizontal="left" indent="1"/>
    </xf>
    <xf numFmtId="0" fontId="1" fillId="2" borderId="17" xfId="0" applyFont="1" applyFill="1" applyBorder="1" applyAlignment="1">
      <alignment horizontal="left" vertical="top" indent="2"/>
    </xf>
    <xf numFmtId="0" fontId="1" fillId="2" borderId="16" xfId="0" applyFont="1" applyFill="1" applyBorder="1"/>
    <xf numFmtId="0" fontId="1" fillId="2" borderId="5" xfId="0" applyFont="1" applyFill="1" applyBorder="1"/>
    <xf numFmtId="1" fontId="1" fillId="2" borderId="13" xfId="0" applyNumberFormat="1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/>
    </xf>
    <xf numFmtId="0" fontId="10" fillId="2" borderId="16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1" fillId="2" borderId="6" xfId="0" applyFont="1" applyFill="1" applyBorder="1"/>
    <xf numFmtId="0" fontId="1" fillId="6" borderId="0" xfId="0" applyFont="1" applyFill="1"/>
    <xf numFmtId="0" fontId="25" fillId="2" borderId="17" xfId="0" applyFont="1" applyFill="1" applyBorder="1" applyAlignment="1">
      <alignment horizontal="left" indent="1"/>
    </xf>
    <xf numFmtId="0" fontId="21" fillId="6" borderId="0" xfId="0" applyFont="1" applyFill="1" applyAlignment="1">
      <alignment horizontal="center" vertical="center"/>
    </xf>
    <xf numFmtId="0" fontId="20" fillId="6" borderId="0" xfId="0" applyFont="1" applyFill="1" applyAlignment="1">
      <alignment vertical="center"/>
    </xf>
    <xf numFmtId="0" fontId="11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1" fillId="2" borderId="16" xfId="0" applyFont="1" applyFill="1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/>
    <xf numFmtId="0" fontId="11" fillId="2" borderId="17" xfId="0" applyFont="1" applyFill="1" applyBorder="1" applyAlignment="1">
      <alignment horizontal="right" vertical="center"/>
    </xf>
    <xf numFmtId="0" fontId="34" fillId="2" borderId="13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2" fontId="12" fillId="2" borderId="13" xfId="0" applyNumberFormat="1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39" fillId="2" borderId="17" xfId="0" applyFont="1" applyFill="1" applyBorder="1" applyAlignment="1">
      <alignment horizontal="left" vertical="top" indent="2"/>
    </xf>
    <xf numFmtId="0" fontId="1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2" fillId="2" borderId="0" xfId="0" applyFont="1" applyFill="1"/>
    <xf numFmtId="0" fontId="8" fillId="2" borderId="0" xfId="0" applyFont="1" applyFill="1" applyAlignment="1">
      <alignment horizontal="center" vertical="center"/>
    </xf>
    <xf numFmtId="2" fontId="12" fillId="2" borderId="16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2" borderId="29" xfId="0" applyFont="1" applyFill="1" applyBorder="1" applyAlignment="1">
      <alignment horizontal="center" vertical="center"/>
    </xf>
    <xf numFmtId="1" fontId="8" fillId="2" borderId="29" xfId="0" applyNumberFormat="1" applyFont="1" applyFill="1" applyBorder="1" applyAlignment="1">
      <alignment horizontal="center" vertical="center"/>
    </xf>
    <xf numFmtId="1" fontId="1" fillId="2" borderId="29" xfId="0" applyNumberFormat="1" applyFont="1" applyFill="1" applyBorder="1" applyAlignment="1">
      <alignment horizontal="center" vertical="center"/>
    </xf>
    <xf numFmtId="164" fontId="1" fillId="2" borderId="29" xfId="0" applyNumberFormat="1" applyFont="1" applyFill="1" applyBorder="1" applyAlignment="1">
      <alignment horizontal="center" vertical="center"/>
    </xf>
    <xf numFmtId="2" fontId="1" fillId="2" borderId="29" xfId="0" applyNumberFormat="1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1" fontId="8" fillId="2" borderId="33" xfId="0" applyNumberFormat="1" applyFont="1" applyFill="1" applyBorder="1" applyAlignment="1">
      <alignment horizontal="center" vertical="center"/>
    </xf>
    <xf numFmtId="164" fontId="1" fillId="2" borderId="33" xfId="0" applyNumberFormat="1" applyFont="1" applyFill="1" applyBorder="1" applyAlignment="1">
      <alignment horizontal="center" vertical="center"/>
    </xf>
    <xf numFmtId="2" fontId="1" fillId="2" borderId="33" xfId="0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horizontal="center" vertical="center"/>
    </xf>
    <xf numFmtId="0" fontId="1" fillId="2" borderId="29" xfId="0" applyFont="1" applyFill="1" applyBorder="1" applyAlignment="1">
      <alignment horizontal="center" vertical="top"/>
    </xf>
    <xf numFmtId="9" fontId="8" fillId="2" borderId="29" xfId="4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top"/>
    </xf>
    <xf numFmtId="9" fontId="8" fillId="2" borderId="37" xfId="4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top"/>
    </xf>
    <xf numFmtId="9" fontId="8" fillId="2" borderId="33" xfId="4" applyFont="1" applyFill="1" applyBorder="1" applyAlignment="1">
      <alignment horizontal="center" vertical="center"/>
    </xf>
    <xf numFmtId="2" fontId="12" fillId="2" borderId="0" xfId="0" applyNumberFormat="1" applyFont="1" applyFill="1"/>
    <xf numFmtId="165" fontId="12" fillId="2" borderId="0" xfId="0" applyNumberFormat="1" applyFont="1" applyFill="1" applyAlignment="1">
      <alignment horizontal="center" vertical="center"/>
    </xf>
    <xf numFmtId="0" fontId="17" fillId="3" borderId="17" xfId="0" applyFont="1" applyFill="1" applyBorder="1" applyAlignment="1">
      <alignment horizontal="centerContinuous"/>
    </xf>
    <xf numFmtId="0" fontId="17" fillId="3" borderId="0" xfId="0" applyFont="1" applyFill="1" applyAlignment="1">
      <alignment horizontal="centerContinuous"/>
    </xf>
    <xf numFmtId="0" fontId="15" fillId="3" borderId="17" xfId="0" applyFont="1" applyFill="1" applyBorder="1" applyAlignment="1">
      <alignment horizontal="centerContinuous"/>
    </xf>
    <xf numFmtId="0" fontId="15" fillId="3" borderId="0" xfId="0" applyFont="1" applyFill="1" applyAlignment="1">
      <alignment horizontal="centerContinuous"/>
    </xf>
    <xf numFmtId="0" fontId="42" fillId="2" borderId="0" xfId="0" applyFont="1" applyFill="1" applyAlignment="1">
      <alignment horizontal="left" indent="1"/>
    </xf>
    <xf numFmtId="0" fontId="1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vertical="center"/>
    </xf>
    <xf numFmtId="0" fontId="19" fillId="4" borderId="1" xfId="0" applyFont="1" applyFill="1" applyBorder="1"/>
    <xf numFmtId="0" fontId="19" fillId="4" borderId="2" xfId="0" applyFont="1" applyFill="1" applyBorder="1"/>
    <xf numFmtId="0" fontId="19" fillId="4" borderId="3" xfId="0" applyFont="1" applyFill="1" applyBorder="1"/>
    <xf numFmtId="0" fontId="19" fillId="4" borderId="4" xfId="0" applyFont="1" applyFill="1" applyBorder="1"/>
    <xf numFmtId="0" fontId="19" fillId="4" borderId="5" xfId="0" applyFont="1" applyFill="1" applyBorder="1"/>
    <xf numFmtId="0" fontId="19" fillId="4" borderId="6" xfId="0" applyFont="1" applyFill="1" applyBorder="1"/>
    <xf numFmtId="0" fontId="19" fillId="4" borderId="28" xfId="0" applyFont="1" applyFill="1" applyBorder="1" applyAlignment="1">
      <alignment horizontal="center" vertical="top"/>
    </xf>
    <xf numFmtId="2" fontId="19" fillId="4" borderId="13" xfId="0" applyNumberFormat="1" applyFont="1" applyFill="1" applyBorder="1" applyAlignment="1">
      <alignment horizontal="center"/>
    </xf>
    <xf numFmtId="2" fontId="19" fillId="4" borderId="13" xfId="0" applyNumberFormat="1" applyFont="1" applyFill="1" applyBorder="1" applyAlignment="1">
      <alignment horizontal="center" vertical="center"/>
    </xf>
    <xf numFmtId="165" fontId="19" fillId="4" borderId="13" xfId="0" applyNumberFormat="1" applyFont="1" applyFill="1" applyBorder="1" applyAlignment="1">
      <alignment horizontal="center" vertical="center"/>
    </xf>
    <xf numFmtId="0" fontId="12" fillId="2" borderId="13" xfId="0" applyFont="1" applyFill="1" applyBorder="1"/>
    <xf numFmtId="2" fontId="12" fillId="2" borderId="13" xfId="0" applyNumberFormat="1" applyFont="1" applyFill="1" applyBorder="1"/>
    <xf numFmtId="165" fontId="12" fillId="2" borderId="13" xfId="0" applyNumberFormat="1" applyFont="1" applyFill="1" applyBorder="1" applyAlignment="1">
      <alignment horizontal="center" vertical="center"/>
    </xf>
    <xf numFmtId="0" fontId="18" fillId="8" borderId="13" xfId="5" applyBorder="1" applyAlignment="1">
      <alignment horizontal="center" vertical="center"/>
    </xf>
    <xf numFmtId="0" fontId="0" fillId="8" borderId="13" xfId="5" applyFont="1" applyBorder="1" applyAlignment="1">
      <alignment horizontal="center" vertical="center"/>
    </xf>
    <xf numFmtId="0" fontId="15" fillId="5" borderId="0" xfId="0" applyFont="1" applyFill="1" applyAlignment="1">
      <alignment horizontal="center"/>
    </xf>
    <xf numFmtId="0" fontId="15" fillId="5" borderId="0" xfId="0" applyFont="1" applyFill="1" applyAlignment="1">
      <alignment horizontal="center" wrapText="1"/>
    </xf>
    <xf numFmtId="0" fontId="15" fillId="5" borderId="0" xfId="0" applyFont="1" applyFill="1" applyAlignment="1">
      <alignment horizontal="center" vertical="center" wrapText="1"/>
    </xf>
    <xf numFmtId="0" fontId="46" fillId="5" borderId="13" xfId="7" applyFont="1" applyFill="1" applyBorder="1" applyAlignment="1">
      <alignment horizontal="center" vertical="center" wrapText="1"/>
    </xf>
    <xf numFmtId="0" fontId="49" fillId="10" borderId="13" xfId="8" applyFont="1" applyFill="1" applyBorder="1" applyAlignment="1">
      <alignment horizontal="center" vertical="center"/>
    </xf>
    <xf numFmtId="0" fontId="50" fillId="10" borderId="13" xfId="0" applyFont="1" applyFill="1" applyBorder="1" applyAlignment="1">
      <alignment horizontal="center" vertical="center"/>
    </xf>
    <xf numFmtId="0" fontId="50" fillId="10" borderId="13" xfId="0" applyFont="1" applyFill="1" applyBorder="1" applyAlignment="1">
      <alignment vertical="center"/>
    </xf>
    <xf numFmtId="0" fontId="49" fillId="10" borderId="25" xfId="9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46" fillId="5" borderId="13" xfId="7" applyFont="1" applyFill="1" applyBorder="1" applyAlignment="1">
      <alignment vertical="center"/>
    </xf>
    <xf numFmtId="0" fontId="49" fillId="10" borderId="25" xfId="8" applyFont="1" applyFill="1" applyBorder="1" applyAlignment="1">
      <alignment horizontal="center" vertical="center"/>
    </xf>
    <xf numFmtId="0" fontId="54" fillId="0" borderId="41" xfId="7" applyFont="1" applyBorder="1" applyAlignment="1" applyProtection="1">
      <alignment horizontal="center" vertical="center"/>
      <protection hidden="1"/>
    </xf>
    <xf numFmtId="0" fontId="0" fillId="0" borderId="27" xfId="0" applyBorder="1" applyAlignment="1">
      <alignment horizontal="center" vertical="center"/>
    </xf>
    <xf numFmtId="167" fontId="32" fillId="0" borderId="27" xfId="10" applyNumberFormat="1" applyFont="1" applyBorder="1" applyAlignment="1" applyProtection="1">
      <alignment horizontal="center" vertical="center"/>
      <protection hidden="1"/>
    </xf>
    <xf numFmtId="165" fontId="32" fillId="0" borderId="27" xfId="7" applyNumberFormat="1" applyFont="1" applyBorder="1" applyAlignment="1" applyProtection="1">
      <alignment horizontal="center" vertical="center"/>
      <protection hidden="1"/>
    </xf>
    <xf numFmtId="2" fontId="32" fillId="0" borderId="27" xfId="7" applyNumberFormat="1" applyFont="1" applyBorder="1" applyAlignment="1" applyProtection="1">
      <alignment horizontal="center" vertical="center"/>
      <protection hidden="1"/>
    </xf>
    <xf numFmtId="2" fontId="32" fillId="0" borderId="4" xfId="7" applyNumberFormat="1" applyFont="1" applyBorder="1" applyAlignment="1" applyProtection="1">
      <alignment horizontal="center" vertical="center"/>
      <protection hidden="1"/>
    </xf>
    <xf numFmtId="0" fontId="54" fillId="0" borderId="42" xfId="7" applyFont="1" applyBorder="1" applyAlignment="1" applyProtection="1">
      <alignment horizontal="center" vertical="center"/>
      <protection hidden="1"/>
    </xf>
    <xf numFmtId="167" fontId="32" fillId="0" borderId="13" xfId="10" applyNumberFormat="1" applyFont="1" applyBorder="1" applyAlignment="1" applyProtection="1">
      <alignment horizontal="center" vertical="center"/>
      <protection hidden="1"/>
    </xf>
    <xf numFmtId="165" fontId="32" fillId="0" borderId="13" xfId="7" applyNumberFormat="1" applyFont="1" applyBorder="1" applyAlignment="1" applyProtection="1">
      <alignment horizontal="center" vertical="center"/>
      <protection hidden="1"/>
    </xf>
    <xf numFmtId="2" fontId="32" fillId="0" borderId="13" xfId="7" applyNumberFormat="1" applyFont="1" applyBorder="1" applyAlignment="1" applyProtection="1">
      <alignment horizontal="center" vertical="center"/>
      <protection hidden="1"/>
    </xf>
    <xf numFmtId="2" fontId="32" fillId="0" borderId="25" xfId="7" applyNumberFormat="1" applyFont="1" applyBorder="1" applyAlignment="1" applyProtection="1">
      <alignment horizontal="center" vertical="center"/>
      <protection hidden="1"/>
    </xf>
    <xf numFmtId="0" fontId="54" fillId="0" borderId="43" xfId="7" applyFont="1" applyBorder="1" applyAlignment="1" applyProtection="1">
      <alignment horizontal="center" vertical="center"/>
      <protection hidden="1"/>
    </xf>
    <xf numFmtId="0" fontId="0" fillId="0" borderId="44" xfId="0" applyBorder="1" applyAlignment="1">
      <alignment horizontal="center" vertical="center"/>
    </xf>
    <xf numFmtId="167" fontId="32" fillId="0" borderId="44" xfId="10" applyNumberFormat="1" applyFont="1" applyBorder="1" applyAlignment="1" applyProtection="1">
      <alignment horizontal="center" vertical="center"/>
      <protection hidden="1"/>
    </xf>
    <xf numFmtId="165" fontId="32" fillId="0" borderId="44" xfId="7" applyNumberFormat="1" applyFont="1" applyBorder="1" applyAlignment="1" applyProtection="1">
      <alignment horizontal="center" vertical="center"/>
      <protection hidden="1"/>
    </xf>
    <xf numFmtId="2" fontId="32" fillId="0" borderId="44" xfId="7" applyNumberFormat="1" applyFont="1" applyBorder="1" applyAlignment="1" applyProtection="1">
      <alignment horizontal="center" vertical="center"/>
      <protection hidden="1"/>
    </xf>
    <xf numFmtId="2" fontId="32" fillId="0" borderId="45" xfId="7" applyNumberFormat="1" applyFont="1" applyBorder="1" applyAlignment="1" applyProtection="1">
      <alignment horizontal="center" vertical="center"/>
      <protection hidden="1"/>
    </xf>
    <xf numFmtId="1" fontId="32" fillId="2" borderId="13" xfId="9" applyNumberFormat="1" applyFont="1" applyFill="1" applyBorder="1" applyAlignment="1">
      <alignment vertical="center"/>
    </xf>
    <xf numFmtId="1" fontId="32" fillId="2" borderId="13" xfId="9" applyNumberFormat="1" applyFont="1" applyFill="1" applyBorder="1" applyAlignment="1">
      <alignment horizontal="center" vertical="center"/>
    </xf>
    <xf numFmtId="0" fontId="32" fillId="2" borderId="13" xfId="9" applyFont="1" applyFill="1" applyBorder="1" applyAlignment="1">
      <alignment vertical="center"/>
    </xf>
    <xf numFmtId="0" fontId="32" fillId="2" borderId="25" xfId="9" applyFont="1" applyFill="1" applyBorder="1" applyAlignment="1">
      <alignment vertical="center"/>
    </xf>
    <xf numFmtId="0" fontId="32" fillId="2" borderId="13" xfId="9" applyFont="1" applyFill="1" applyBorder="1" applyAlignment="1">
      <alignment horizontal="center" vertical="center"/>
    </xf>
    <xf numFmtId="0" fontId="32" fillId="2" borderId="13" xfId="8" applyFont="1" applyFill="1" applyBorder="1" applyAlignment="1">
      <alignment horizontal="left" vertical="center"/>
    </xf>
    <xf numFmtId="0" fontId="32" fillId="2" borderId="13" xfId="8" applyFont="1" applyFill="1" applyBorder="1" applyAlignment="1">
      <alignment horizontal="center" vertical="center"/>
    </xf>
    <xf numFmtId="0" fontId="32" fillId="2" borderId="25" xfId="8" applyFont="1" applyFill="1" applyBorder="1" applyAlignment="1">
      <alignment horizontal="left" vertical="center"/>
    </xf>
    <xf numFmtId="0" fontId="32" fillId="2" borderId="25" xfId="9" applyFont="1" applyFill="1" applyBorder="1" applyAlignment="1">
      <alignment horizontal="left" vertical="center"/>
    </xf>
    <xf numFmtId="0" fontId="32" fillId="2" borderId="25" xfId="11" applyFont="1" applyFill="1" applyBorder="1" applyAlignment="1">
      <alignment horizontal="left" vertical="center"/>
    </xf>
    <xf numFmtId="0" fontId="33" fillId="2" borderId="13" xfId="3" applyFont="1" applyFill="1" applyBorder="1" applyAlignment="1" applyProtection="1">
      <alignment horizontal="center" vertical="center"/>
      <protection hidden="1"/>
    </xf>
    <xf numFmtId="0" fontId="0" fillId="2" borderId="13" xfId="0" applyFill="1" applyBorder="1" applyAlignment="1">
      <alignment horizontal="center" vertical="center"/>
    </xf>
    <xf numFmtId="2" fontId="1" fillId="2" borderId="13" xfId="0" applyNumberFormat="1" applyFont="1" applyFill="1" applyBorder="1"/>
    <xf numFmtId="0" fontId="1" fillId="2" borderId="13" xfId="0" applyFont="1" applyFill="1" applyBorder="1"/>
    <xf numFmtId="1" fontId="1" fillId="2" borderId="13" xfId="0" applyNumberFormat="1" applyFont="1" applyFill="1" applyBorder="1"/>
    <xf numFmtId="0" fontId="10" fillId="2" borderId="13" xfId="0" applyFont="1" applyFill="1" applyBorder="1" applyAlignment="1">
      <alignment horizontal="center" vertical="center"/>
    </xf>
    <xf numFmtId="2" fontId="1" fillId="2" borderId="13" xfId="0" applyNumberFormat="1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center"/>
    </xf>
    <xf numFmtId="0" fontId="57" fillId="4" borderId="13" xfId="0" applyFont="1" applyFill="1" applyBorder="1" applyAlignment="1">
      <alignment horizontal="center" vertical="center"/>
    </xf>
    <xf numFmtId="1" fontId="8" fillId="2" borderId="13" xfId="0" applyNumberFormat="1" applyFont="1" applyFill="1" applyBorder="1" applyAlignment="1">
      <alignment horizontal="center" vertical="center"/>
    </xf>
    <xf numFmtId="168" fontId="1" fillId="4" borderId="13" xfId="0" applyNumberFormat="1" applyFont="1" applyFill="1" applyBorder="1" applyAlignment="1">
      <alignment horizontal="center" vertical="center"/>
    </xf>
    <xf numFmtId="0" fontId="0" fillId="4" borderId="0" xfId="0" applyFill="1"/>
    <xf numFmtId="0" fontId="60" fillId="4" borderId="0" xfId="0" applyFont="1" applyFill="1"/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8" fillId="8" borderId="42" xfId="5" applyBorder="1" applyAlignment="1">
      <alignment horizontal="center" vertical="center"/>
    </xf>
    <xf numFmtId="168" fontId="1" fillId="4" borderId="42" xfId="0" applyNumberFormat="1" applyFont="1" applyFill="1" applyBorder="1" applyAlignment="1">
      <alignment horizontal="center" vertical="center"/>
    </xf>
    <xf numFmtId="168" fontId="1" fillId="4" borderId="47" xfId="0" applyNumberFormat="1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29" fillId="0" borderId="46" xfId="0" applyFont="1" applyBorder="1" applyAlignment="1">
      <alignment horizontal="center" vertical="center"/>
    </xf>
    <xf numFmtId="0" fontId="1" fillId="4" borderId="0" xfId="0" applyFont="1" applyFill="1" applyAlignment="1">
      <alignment vertical="top"/>
    </xf>
    <xf numFmtId="0" fontId="1" fillId="4" borderId="0" xfId="0" applyFont="1" applyFill="1" applyAlignment="1">
      <alignment horizontal="right" vertical="top"/>
    </xf>
    <xf numFmtId="0" fontId="12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1" fillId="4" borderId="0" xfId="0" applyFont="1" applyFill="1" applyAlignment="1">
      <alignment vertical="center"/>
    </xf>
    <xf numFmtId="0" fontId="61" fillId="4" borderId="0" xfId="0" applyFont="1" applyFill="1"/>
    <xf numFmtId="0" fontId="1" fillId="4" borderId="0" xfId="0" applyFont="1" applyFill="1" applyAlignment="1">
      <alignment horizontal="center" vertical="center"/>
    </xf>
    <xf numFmtId="0" fontId="61" fillId="4" borderId="0" xfId="0" applyFont="1" applyFill="1" applyAlignment="1">
      <alignment horizontal="right" vertical="center"/>
    </xf>
    <xf numFmtId="0" fontId="1" fillId="4" borderId="13" xfId="0" applyFont="1" applyFill="1" applyBorder="1" applyAlignment="1">
      <alignment horizontal="center" vertical="center"/>
    </xf>
    <xf numFmtId="0" fontId="18" fillId="4" borderId="13" xfId="5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2" borderId="42" xfId="0" applyFont="1" applyFill="1" applyBorder="1"/>
    <xf numFmtId="0" fontId="1" fillId="2" borderId="47" xfId="0" applyFont="1" applyFill="1" applyBorder="1"/>
    <xf numFmtId="0" fontId="1" fillId="2" borderId="43" xfId="0" applyFont="1" applyFill="1" applyBorder="1"/>
    <xf numFmtId="0" fontId="1" fillId="2" borderId="44" xfId="0" applyFont="1" applyFill="1" applyBorder="1"/>
    <xf numFmtId="0" fontId="1" fillId="2" borderId="48" xfId="0" applyFont="1" applyFill="1" applyBorder="1"/>
    <xf numFmtId="0" fontId="1" fillId="2" borderId="56" xfId="0" applyFont="1" applyFill="1" applyBorder="1" applyAlignment="1">
      <alignment horizontal="center" vertical="center"/>
    </xf>
    <xf numFmtId="0" fontId="1" fillId="2" borderId="57" xfId="0" applyFont="1" applyFill="1" applyBorder="1" applyAlignment="1">
      <alignment horizontal="center" vertical="center"/>
    </xf>
    <xf numFmtId="0" fontId="1" fillId="2" borderId="59" xfId="0" applyFont="1" applyFill="1" applyBorder="1" applyAlignment="1">
      <alignment horizontal="center" vertical="center"/>
    </xf>
    <xf numFmtId="0" fontId="8" fillId="2" borderId="5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1" fontId="8" fillId="2" borderId="37" xfId="0" applyNumberFormat="1" applyFont="1" applyFill="1" applyBorder="1" applyAlignment="1">
      <alignment horizontal="center" vertical="center"/>
    </xf>
    <xf numFmtId="1" fontId="1" fillId="2" borderId="37" xfId="0" applyNumberFormat="1" applyFont="1" applyFill="1" applyBorder="1" applyAlignment="1">
      <alignment horizontal="center" vertical="center"/>
    </xf>
    <xf numFmtId="164" fontId="1" fillId="2" borderId="37" xfId="0" applyNumberFormat="1" applyFont="1" applyFill="1" applyBorder="1" applyAlignment="1">
      <alignment horizontal="center" vertical="center"/>
    </xf>
    <xf numFmtId="2" fontId="1" fillId="2" borderId="37" xfId="0" applyNumberFormat="1" applyFont="1" applyFill="1" applyBorder="1" applyAlignment="1">
      <alignment horizontal="center" vertical="center"/>
    </xf>
    <xf numFmtId="2" fontId="19" fillId="4" borderId="13" xfId="0" applyNumberFormat="1" applyFont="1" applyFill="1" applyBorder="1" applyAlignment="1">
      <alignment horizontal="center" vertical="top"/>
    </xf>
    <xf numFmtId="0" fontId="20" fillId="9" borderId="6" xfId="6" applyFont="1" applyBorder="1" applyAlignment="1">
      <alignment horizontal="center" vertical="center"/>
    </xf>
    <xf numFmtId="0" fontId="20" fillId="9" borderId="6" xfId="6" applyFont="1" applyBorder="1" applyAlignment="1">
      <alignment vertical="center"/>
    </xf>
    <xf numFmtId="0" fontId="18" fillId="8" borderId="47" xfId="5" applyBorder="1" applyAlignment="1">
      <alignment horizontal="center" vertical="center"/>
    </xf>
    <xf numFmtId="0" fontId="62" fillId="12" borderId="20" xfId="12" applyAlignment="1">
      <alignment horizontal="center" vertical="center"/>
    </xf>
    <xf numFmtId="0" fontId="62" fillId="12" borderId="62" xfId="12" applyBorder="1" applyAlignment="1">
      <alignment horizontal="center" vertical="center"/>
    </xf>
    <xf numFmtId="0" fontId="1" fillId="0" borderId="63" xfId="0" applyFont="1" applyBorder="1"/>
    <xf numFmtId="0" fontId="1" fillId="0" borderId="64" xfId="0" applyFont="1" applyBorder="1"/>
    <xf numFmtId="0" fontId="1" fillId="0" borderId="65" xfId="0" applyFont="1" applyBorder="1"/>
    <xf numFmtId="0" fontId="8" fillId="2" borderId="13" xfId="0" applyFont="1" applyFill="1" applyBorder="1"/>
    <xf numFmtId="0" fontId="63" fillId="4" borderId="27" xfId="0" applyFont="1" applyFill="1" applyBorder="1" applyAlignment="1">
      <alignment horizontal="center" vertical="top"/>
    </xf>
    <xf numFmtId="165" fontId="8" fillId="2" borderId="1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0" fontId="12" fillId="2" borderId="0" xfId="0" applyFont="1" applyFill="1" applyAlignment="1">
      <alignment horizontal="right" vertical="center"/>
    </xf>
    <xf numFmtId="0" fontId="29" fillId="2" borderId="0" xfId="0" applyFont="1" applyFill="1"/>
    <xf numFmtId="0" fontId="1" fillId="2" borderId="0" xfId="0" applyFont="1" applyFill="1" applyAlignment="1">
      <alignment horizontal="right"/>
    </xf>
    <xf numFmtId="1" fontId="1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2" fontId="8" fillId="2" borderId="0" xfId="0" applyNumberFormat="1" applyFont="1" applyFill="1" applyAlignment="1">
      <alignment horizontal="center" vertical="center"/>
    </xf>
    <xf numFmtId="1" fontId="8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right" vertical="top"/>
    </xf>
    <xf numFmtId="0" fontId="11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horizontal="center" vertical="center"/>
    </xf>
    <xf numFmtId="2" fontId="24" fillId="7" borderId="20" xfId="2" applyNumberFormat="1" applyFont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165" fontId="8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2" fontId="1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right" vertical="center"/>
    </xf>
    <xf numFmtId="2" fontId="35" fillId="2" borderId="0" xfId="0" applyNumberFormat="1" applyFont="1" applyFill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8" fillId="2" borderId="0" xfId="0" applyFont="1" applyFill="1"/>
    <xf numFmtId="0" fontId="8" fillId="2" borderId="0" xfId="0" applyFont="1" applyFill="1" applyAlignment="1">
      <alignment horizontal="right" vertical="center"/>
    </xf>
    <xf numFmtId="2" fontId="1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right"/>
    </xf>
    <xf numFmtId="165" fontId="1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right" vertical="center"/>
    </xf>
    <xf numFmtId="166" fontId="1" fillId="2" borderId="0" xfId="0" applyNumberFormat="1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0" fontId="10" fillId="2" borderId="0" xfId="0" applyFont="1" applyFill="1" applyAlignment="1">
      <alignment horizontal="left" vertical="center"/>
    </xf>
    <xf numFmtId="0" fontId="65" fillId="3" borderId="0" xfId="0" applyFont="1" applyFill="1" applyAlignment="1">
      <alignment horizontal="centerContinuous"/>
    </xf>
    <xf numFmtId="0" fontId="20" fillId="3" borderId="0" xfId="0" applyFont="1" applyFill="1" applyAlignment="1">
      <alignment horizontal="centerContinuous"/>
    </xf>
    <xf numFmtId="0" fontId="29" fillId="2" borderId="16" xfId="0" applyFont="1" applyFill="1" applyBorder="1" applyAlignment="1">
      <alignment horizontal="center" vertical="center"/>
    </xf>
    <xf numFmtId="0" fontId="29" fillId="2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66" fillId="5" borderId="10" xfId="0" applyFont="1" applyFill="1" applyBorder="1" applyAlignment="1">
      <alignment horizontal="center"/>
    </xf>
    <xf numFmtId="0" fontId="15" fillId="5" borderId="66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13" borderId="13" xfId="0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 vertical="center"/>
    </xf>
    <xf numFmtId="0" fontId="8" fillId="13" borderId="13" xfId="0" applyFont="1" applyFill="1" applyBorder="1" applyAlignment="1">
      <alignment horizontal="center"/>
    </xf>
    <xf numFmtId="0" fontId="1" fillId="13" borderId="13" xfId="0" applyFont="1" applyFill="1" applyBorder="1" applyAlignment="1">
      <alignment horizontal="center" vertical="center"/>
    </xf>
    <xf numFmtId="0" fontId="8" fillId="13" borderId="13" xfId="0" applyFont="1" applyFill="1" applyBorder="1" applyAlignment="1">
      <alignment horizontal="center" vertical="center"/>
    </xf>
    <xf numFmtId="0" fontId="1" fillId="13" borderId="53" xfId="0" applyFont="1" applyFill="1" applyBorder="1" applyAlignment="1">
      <alignment horizontal="center" vertical="center"/>
    </xf>
    <xf numFmtId="0" fontId="1" fillId="13" borderId="54" xfId="0" applyFont="1" applyFill="1" applyBorder="1" applyAlignment="1">
      <alignment horizontal="center" vertical="center"/>
    </xf>
    <xf numFmtId="0" fontId="1" fillId="13" borderId="28" xfId="0" applyFont="1" applyFill="1" applyBorder="1" applyAlignment="1">
      <alignment horizontal="center" vertical="center"/>
    </xf>
    <xf numFmtId="0" fontId="5" fillId="13" borderId="28" xfId="0" applyFont="1" applyFill="1" applyBorder="1" applyAlignment="1">
      <alignment horizontal="center" vertical="center"/>
    </xf>
    <xf numFmtId="1" fontId="8" fillId="13" borderId="27" xfId="0" applyNumberFormat="1" applyFont="1" applyFill="1" applyBorder="1" applyAlignment="1">
      <alignment horizontal="center" vertical="center"/>
    </xf>
    <xf numFmtId="2" fontId="1" fillId="13" borderId="27" xfId="0" applyNumberFormat="1" applyFont="1" applyFill="1" applyBorder="1" applyAlignment="1">
      <alignment horizontal="center" vertical="center"/>
    </xf>
    <xf numFmtId="164" fontId="1" fillId="13" borderId="27" xfId="0" applyNumberFormat="1" applyFont="1" applyFill="1" applyBorder="1" applyAlignment="1">
      <alignment horizontal="center" vertical="center"/>
    </xf>
    <xf numFmtId="0" fontId="1" fillId="2" borderId="0" xfId="0" quotePrefix="1" applyFont="1" applyFill="1"/>
    <xf numFmtId="0" fontId="12" fillId="2" borderId="13" xfId="0" applyFont="1" applyFill="1" applyBorder="1" applyAlignment="1">
      <alignment horizontal="left" vertical="center"/>
    </xf>
    <xf numFmtId="165" fontId="1" fillId="2" borderId="13" xfId="0" applyNumberFormat="1" applyFont="1" applyFill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Continuous" vertical="center"/>
    </xf>
    <xf numFmtId="0" fontId="65" fillId="3" borderId="0" xfId="0" applyFont="1" applyFill="1" applyAlignment="1">
      <alignment horizontal="centerContinuous" vertical="center"/>
    </xf>
    <xf numFmtId="0" fontId="15" fillId="3" borderId="0" xfId="0" applyFont="1" applyFill="1" applyAlignment="1">
      <alignment horizontal="centerContinuous" vertical="center"/>
    </xf>
    <xf numFmtId="0" fontId="20" fillId="3" borderId="0" xfId="0" applyFont="1" applyFill="1" applyAlignment="1">
      <alignment horizontal="centerContinuous" vertical="center"/>
    </xf>
    <xf numFmtId="0" fontId="12" fillId="2" borderId="27" xfId="0" applyFont="1" applyFill="1" applyBorder="1" applyAlignment="1">
      <alignment horizontal="center" vertical="center"/>
    </xf>
    <xf numFmtId="0" fontId="39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17" xfId="0" applyFont="1" applyFill="1" applyBorder="1" applyAlignment="1">
      <alignment horizontal="left" indent="1"/>
    </xf>
    <xf numFmtId="0" fontId="1" fillId="2" borderId="4" xfId="0" applyFont="1" applyFill="1" applyBorder="1" applyAlignment="1">
      <alignment horizontal="left" indent="1"/>
    </xf>
    <xf numFmtId="0" fontId="19" fillId="4" borderId="13" xfId="0" applyFont="1" applyFill="1" applyBorder="1" applyAlignment="1">
      <alignment horizontal="center" vertical="center" wrapText="1"/>
    </xf>
    <xf numFmtId="2" fontId="19" fillId="4" borderId="28" xfId="0" applyNumberFormat="1" applyFont="1" applyFill="1" applyBorder="1" applyAlignment="1">
      <alignment horizontal="center" vertical="top"/>
    </xf>
    <xf numFmtId="2" fontId="19" fillId="4" borderId="27" xfId="0" applyNumberFormat="1" applyFont="1" applyFill="1" applyBorder="1" applyAlignment="1">
      <alignment horizontal="center" vertical="top"/>
    </xf>
    <xf numFmtId="2" fontId="19" fillId="4" borderId="28" xfId="0" applyNumberFormat="1" applyFont="1" applyFill="1" applyBorder="1" applyAlignment="1">
      <alignment horizontal="center" vertical="top" wrapText="1"/>
    </xf>
    <xf numFmtId="2" fontId="19" fillId="4" borderId="27" xfId="0" applyNumberFormat="1" applyFont="1" applyFill="1" applyBorder="1" applyAlignment="1">
      <alignment horizontal="center" vertical="top" wrapText="1"/>
    </xf>
    <xf numFmtId="0" fontId="19" fillId="4" borderId="13" xfId="0" applyFont="1" applyFill="1" applyBorder="1" applyAlignment="1">
      <alignment horizontal="center" vertical="top" wrapText="1"/>
    </xf>
    <xf numFmtId="2" fontId="19" fillId="4" borderId="28" xfId="0" applyNumberFormat="1" applyFont="1" applyFill="1" applyBorder="1" applyAlignment="1">
      <alignment horizontal="center" vertical="center"/>
    </xf>
    <xf numFmtId="2" fontId="19" fillId="4" borderId="27" xfId="0" applyNumberFormat="1" applyFont="1" applyFill="1" applyBorder="1" applyAlignment="1">
      <alignment horizontal="center" vertical="center"/>
    </xf>
    <xf numFmtId="2" fontId="19" fillId="4" borderId="28" xfId="0" applyNumberFormat="1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 wrapText="1"/>
    </xf>
    <xf numFmtId="0" fontId="19" fillId="4" borderId="3" xfId="0" applyFont="1" applyFill="1" applyBorder="1" applyAlignment="1">
      <alignment horizontal="center" vertical="center" wrapText="1"/>
    </xf>
    <xf numFmtId="0" fontId="19" fillId="4" borderId="4" xfId="0" applyFont="1" applyFill="1" applyBorder="1" applyAlignment="1">
      <alignment horizontal="center" vertical="center" wrapText="1"/>
    </xf>
    <xf numFmtId="0" fontId="19" fillId="4" borderId="6" xfId="0" applyFont="1" applyFill="1" applyBorder="1" applyAlignment="1">
      <alignment horizontal="center" vertical="center" wrapText="1"/>
    </xf>
    <xf numFmtId="2" fontId="19" fillId="4" borderId="13" xfId="0" applyNumberFormat="1" applyFont="1" applyFill="1" applyBorder="1" applyAlignment="1">
      <alignment horizontal="center" vertical="center"/>
    </xf>
    <xf numFmtId="2" fontId="19" fillId="4" borderId="1" xfId="0" applyNumberFormat="1" applyFont="1" applyFill="1" applyBorder="1" applyAlignment="1">
      <alignment horizontal="center" vertical="top"/>
    </xf>
    <xf numFmtId="2" fontId="19" fillId="4" borderId="2" xfId="0" applyNumberFormat="1" applyFont="1" applyFill="1" applyBorder="1" applyAlignment="1">
      <alignment horizontal="center" vertical="top"/>
    </xf>
    <xf numFmtId="2" fontId="19" fillId="4" borderId="3" xfId="0" applyNumberFormat="1" applyFont="1" applyFill="1" applyBorder="1" applyAlignment="1">
      <alignment horizontal="center" vertical="top"/>
    </xf>
    <xf numFmtId="2" fontId="19" fillId="4" borderId="4" xfId="0" applyNumberFormat="1" applyFont="1" applyFill="1" applyBorder="1" applyAlignment="1">
      <alignment horizontal="center" vertical="top"/>
    </xf>
    <xf numFmtId="2" fontId="19" fillId="4" borderId="5" xfId="0" applyNumberFormat="1" applyFont="1" applyFill="1" applyBorder="1" applyAlignment="1">
      <alignment horizontal="center" vertical="top"/>
    </xf>
    <xf numFmtId="2" fontId="19" fillId="4" borderId="6" xfId="0" applyNumberFormat="1" applyFont="1" applyFill="1" applyBorder="1" applyAlignment="1">
      <alignment horizontal="center" vertical="top"/>
    </xf>
    <xf numFmtId="0" fontId="19" fillId="4" borderId="28" xfId="0" applyFont="1" applyFill="1" applyBorder="1" applyAlignment="1">
      <alignment horizontal="center" vertical="center" wrapText="1"/>
    </xf>
    <xf numFmtId="0" fontId="19" fillId="4" borderId="27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/>
    </xf>
    <xf numFmtId="0" fontId="44" fillId="9" borderId="50" xfId="6" applyBorder="1" applyAlignment="1">
      <alignment horizontal="center" vertical="center"/>
    </xf>
    <xf numFmtId="0" fontId="44" fillId="9" borderId="51" xfId="6" applyBorder="1" applyAlignment="1">
      <alignment horizontal="center" vertical="center"/>
    </xf>
    <xf numFmtId="0" fontId="44" fillId="9" borderId="61" xfId="6" applyBorder="1" applyAlignment="1">
      <alignment horizontal="center" vertical="center"/>
    </xf>
    <xf numFmtId="0" fontId="18" fillId="8" borderId="28" xfId="5" applyBorder="1" applyAlignment="1">
      <alignment horizontal="center" vertical="center" wrapText="1"/>
    </xf>
    <xf numFmtId="0" fontId="18" fillId="8" borderId="27" xfId="5" applyBorder="1" applyAlignment="1">
      <alignment horizontal="center" vertical="center" wrapText="1"/>
    </xf>
    <xf numFmtId="0" fontId="20" fillId="9" borderId="49" xfId="6" applyFont="1" applyBorder="1" applyAlignment="1">
      <alignment horizontal="center" vertical="center"/>
    </xf>
    <xf numFmtId="0" fontId="20" fillId="9" borderId="5" xfId="6" applyFont="1" applyBorder="1" applyAlignment="1">
      <alignment horizontal="center" vertical="center"/>
    </xf>
    <xf numFmtId="0" fontId="1" fillId="2" borderId="34" xfId="0" applyFont="1" applyFill="1" applyBorder="1" applyAlignment="1">
      <alignment horizontal="left" vertical="center"/>
    </xf>
    <xf numFmtId="0" fontId="1" fillId="2" borderId="35" xfId="0" applyFont="1" applyFill="1" applyBorder="1" applyAlignment="1">
      <alignment horizontal="left" vertical="center"/>
    </xf>
    <xf numFmtId="0" fontId="1" fillId="2" borderId="36" xfId="0" applyFont="1" applyFill="1" applyBorder="1" applyAlignment="1">
      <alignment horizontal="left" vertical="center"/>
    </xf>
    <xf numFmtId="0" fontId="1" fillId="2" borderId="38" xfId="0" applyFont="1" applyFill="1" applyBorder="1" applyAlignment="1">
      <alignment horizontal="left" vertical="center"/>
    </xf>
    <xf numFmtId="0" fontId="1" fillId="2" borderId="39" xfId="0" applyFont="1" applyFill="1" applyBorder="1" applyAlignment="1">
      <alignment horizontal="left" vertical="center"/>
    </xf>
    <xf numFmtId="0" fontId="1" fillId="2" borderId="40" xfId="0" applyFont="1" applyFill="1" applyBorder="1" applyAlignment="1">
      <alignment horizontal="left" vertical="center"/>
    </xf>
    <xf numFmtId="0" fontId="8" fillId="13" borderId="13" xfId="0" applyFont="1" applyFill="1" applyBorder="1" applyAlignment="1">
      <alignment horizontal="center" vertical="top"/>
    </xf>
    <xf numFmtId="0" fontId="12" fillId="2" borderId="13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left" vertical="center"/>
    </xf>
    <xf numFmtId="0" fontId="1" fillId="2" borderId="37" xfId="0" applyFont="1" applyFill="1" applyBorder="1" applyAlignment="1">
      <alignment horizontal="left"/>
    </xf>
    <xf numFmtId="0" fontId="0" fillId="8" borderId="13" xfId="5" applyFont="1" applyBorder="1" applyAlignment="1">
      <alignment horizontal="center" vertical="center"/>
    </xf>
    <xf numFmtId="0" fontId="0" fillId="8" borderId="47" xfId="5" applyFont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left" vertical="center"/>
    </xf>
    <xf numFmtId="0" fontId="8" fillId="2" borderId="39" xfId="0" applyFont="1" applyFill="1" applyBorder="1" applyAlignment="1">
      <alignment horizontal="left" vertical="center"/>
    </xf>
    <xf numFmtId="0" fontId="8" fillId="2" borderId="40" xfId="0" applyFont="1" applyFill="1" applyBorder="1" applyAlignment="1">
      <alignment horizontal="left" vertical="center"/>
    </xf>
    <xf numFmtId="0" fontId="14" fillId="4" borderId="2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/>
    </xf>
    <xf numFmtId="0" fontId="19" fillId="4" borderId="18" xfId="0" applyFont="1" applyFill="1" applyBorder="1" applyAlignment="1">
      <alignment horizontal="left" vertical="center"/>
    </xf>
    <xf numFmtId="0" fontId="19" fillId="4" borderId="19" xfId="0" applyFont="1" applyFill="1" applyBorder="1" applyAlignment="1">
      <alignment horizontal="left" vertical="center"/>
    </xf>
    <xf numFmtId="0" fontId="1" fillId="13" borderId="13" xfId="0" applyFont="1" applyFill="1" applyBorder="1" applyAlignment="1">
      <alignment horizontal="center" vertical="top" wrapText="1"/>
    </xf>
    <xf numFmtId="0" fontId="1" fillId="2" borderId="13" xfId="0" applyFont="1" applyFill="1" applyBorder="1" applyAlignment="1">
      <alignment horizontal="center" vertical="top"/>
    </xf>
    <xf numFmtId="0" fontId="1" fillId="2" borderId="58" xfId="0" applyFont="1" applyFill="1" applyBorder="1" applyAlignment="1">
      <alignment horizontal="left" vertical="top" indent="1"/>
    </xf>
    <xf numFmtId="0" fontId="1" fillId="2" borderId="59" xfId="0" applyFont="1" applyFill="1" applyBorder="1" applyAlignment="1">
      <alignment horizontal="left" vertical="top" indent="1"/>
    </xf>
    <xf numFmtId="1" fontId="1" fillId="2" borderId="59" xfId="0" applyNumberFormat="1" applyFont="1" applyFill="1" applyBorder="1" applyAlignment="1">
      <alignment horizontal="center" vertical="center"/>
    </xf>
    <xf numFmtId="0" fontId="1" fillId="13" borderId="52" xfId="0" applyFont="1" applyFill="1" applyBorder="1" applyAlignment="1">
      <alignment horizontal="left" vertical="top" indent="1"/>
    </xf>
    <xf numFmtId="0" fontId="1" fillId="13" borderId="53" xfId="0" applyFont="1" applyFill="1" applyBorder="1" applyAlignment="1">
      <alignment horizontal="left" vertical="top" indent="1"/>
    </xf>
    <xf numFmtId="0" fontId="1" fillId="2" borderId="55" xfId="0" applyFont="1" applyFill="1" applyBorder="1" applyAlignment="1">
      <alignment horizontal="left" vertical="top" indent="1"/>
    </xf>
    <xf numFmtId="0" fontId="1" fillId="2" borderId="56" xfId="0" applyFont="1" applyFill="1" applyBorder="1" applyAlignment="1">
      <alignment horizontal="left" vertical="top" indent="1"/>
    </xf>
    <xf numFmtId="0" fontId="19" fillId="4" borderId="28" xfId="0" applyFont="1" applyFill="1" applyBorder="1" applyAlignment="1">
      <alignment horizontal="center" vertical="top" wrapText="1"/>
    </xf>
    <xf numFmtId="0" fontId="19" fillId="4" borderId="27" xfId="0" applyFont="1" applyFill="1" applyBorder="1" applyAlignment="1">
      <alignment horizontal="center" vertical="top" wrapText="1"/>
    </xf>
    <xf numFmtId="0" fontId="1" fillId="13" borderId="28" xfId="0" applyFont="1" applyFill="1" applyBorder="1" applyAlignment="1">
      <alignment horizontal="center" vertical="center"/>
    </xf>
    <xf numFmtId="0" fontId="1" fillId="13" borderId="27" xfId="0" applyFont="1" applyFill="1" applyBorder="1" applyAlignment="1">
      <alignment horizontal="center" vertical="center"/>
    </xf>
    <xf numFmtId="0" fontId="11" fillId="13" borderId="28" xfId="0" applyFont="1" applyFill="1" applyBorder="1" applyAlignment="1">
      <alignment horizontal="center" vertical="center"/>
    </xf>
    <xf numFmtId="0" fontId="11" fillId="13" borderId="27" xfId="0" applyFont="1" applyFill="1" applyBorder="1" applyAlignment="1">
      <alignment horizontal="center" vertical="center"/>
    </xf>
    <xf numFmtId="1" fontId="1" fillId="2" borderId="60" xfId="0" applyNumberFormat="1" applyFont="1" applyFill="1" applyBorder="1" applyAlignment="1">
      <alignment horizontal="center" vertical="center"/>
    </xf>
    <xf numFmtId="0" fontId="12" fillId="2" borderId="38" xfId="0" applyFont="1" applyFill="1" applyBorder="1" applyAlignment="1">
      <alignment horizontal="center" vertical="center"/>
    </xf>
    <xf numFmtId="0" fontId="12" fillId="2" borderId="39" xfId="0" applyFont="1" applyFill="1" applyBorder="1" applyAlignment="1">
      <alignment horizontal="center" vertical="center"/>
    </xf>
    <xf numFmtId="0" fontId="12" fillId="2" borderId="40" xfId="0" applyFont="1" applyFill="1" applyBorder="1" applyAlignment="1">
      <alignment horizontal="center" vertical="center"/>
    </xf>
    <xf numFmtId="0" fontId="12" fillId="2" borderId="34" xfId="0" applyFont="1" applyFill="1" applyBorder="1" applyAlignment="1">
      <alignment horizontal="center" vertical="center"/>
    </xf>
    <xf numFmtId="0" fontId="12" fillId="2" borderId="35" xfId="0" applyFont="1" applyFill="1" applyBorder="1" applyAlignment="1">
      <alignment horizontal="center" vertical="center"/>
    </xf>
    <xf numFmtId="0" fontId="12" fillId="2" borderId="36" xfId="0" applyFon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vertical="center" wrapText="1"/>
    </xf>
    <xf numFmtId="0" fontId="19" fillId="4" borderId="25" xfId="0" applyFont="1" applyFill="1" applyBorder="1" applyAlignment="1">
      <alignment horizontal="left" vertical="center"/>
    </xf>
    <xf numFmtId="0" fontId="19" fillId="4" borderId="26" xfId="0" applyFont="1" applyFill="1" applyBorder="1" applyAlignment="1">
      <alignment horizontal="left" vertical="center"/>
    </xf>
    <xf numFmtId="0" fontId="8" fillId="13" borderId="13" xfId="0" applyFont="1" applyFill="1" applyBorder="1" applyAlignment="1">
      <alignment horizontal="center" vertical="top" wrapText="1"/>
    </xf>
    <xf numFmtId="0" fontId="19" fillId="4" borderId="2" xfId="0" applyFont="1" applyFill="1" applyBorder="1" applyAlignment="1">
      <alignment horizontal="left" vertical="center"/>
    </xf>
    <xf numFmtId="0" fontId="2" fillId="13" borderId="13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left" wrapText="1" indent="2"/>
    </xf>
    <xf numFmtId="0" fontId="1" fillId="2" borderId="0" xfId="0" applyFont="1" applyFill="1" applyAlignment="1">
      <alignment horizontal="left" wrapText="1" indent="2"/>
    </xf>
    <xf numFmtId="0" fontId="1" fillId="2" borderId="16" xfId="0" applyFont="1" applyFill="1" applyBorder="1" applyAlignment="1">
      <alignment horizontal="left" wrapText="1" indent="2"/>
    </xf>
    <xf numFmtId="0" fontId="12" fillId="2" borderId="30" xfId="0" applyFont="1" applyFill="1" applyBorder="1" applyAlignment="1">
      <alignment horizontal="center" vertical="center"/>
    </xf>
    <xf numFmtId="0" fontId="12" fillId="2" borderId="31" xfId="0" applyFont="1" applyFill="1" applyBorder="1" applyAlignment="1">
      <alignment horizontal="center" vertical="center"/>
    </xf>
    <xf numFmtId="0" fontId="12" fillId="2" borderId="32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left" vertical="center"/>
    </xf>
    <xf numFmtId="0" fontId="41" fillId="13" borderId="13" xfId="0" applyFont="1" applyFill="1" applyBorder="1" applyAlignment="1">
      <alignment horizontal="center" vertical="center"/>
    </xf>
    <xf numFmtId="0" fontId="46" fillId="5" borderId="13" xfId="7" applyFont="1" applyFill="1" applyBorder="1" applyAlignment="1">
      <alignment horizontal="center" vertical="center"/>
    </xf>
    <xf numFmtId="0" fontId="46" fillId="5" borderId="13" xfId="7" applyFont="1" applyFill="1" applyBorder="1" applyAlignment="1">
      <alignment horizontal="center" vertical="center" wrapText="1"/>
    </xf>
    <xf numFmtId="0" fontId="46" fillId="5" borderId="4" xfId="7" applyFont="1" applyFill="1" applyBorder="1" applyAlignment="1">
      <alignment horizontal="center" vertical="center" wrapText="1"/>
    </xf>
    <xf numFmtId="0" fontId="46" fillId="5" borderId="5" xfId="7" applyFont="1" applyFill="1" applyBorder="1" applyAlignment="1">
      <alignment horizontal="center" vertical="center" wrapText="1"/>
    </xf>
    <xf numFmtId="0" fontId="15" fillId="5" borderId="11" xfId="0" applyFont="1" applyFill="1" applyBorder="1" applyAlignment="1">
      <alignment horizontal="center" wrapText="1"/>
    </xf>
    <xf numFmtId="0" fontId="15" fillId="5" borderId="24" xfId="0" applyFont="1" applyFill="1" applyBorder="1" applyAlignment="1">
      <alignment horizontal="center" wrapText="1"/>
    </xf>
    <xf numFmtId="0" fontId="15" fillId="5" borderId="7" xfId="0" applyFont="1" applyFill="1" applyBorder="1" applyAlignment="1">
      <alignment horizontal="center" wrapText="1"/>
    </xf>
    <xf numFmtId="0" fontId="15" fillId="5" borderId="0" xfId="0" applyFont="1" applyFill="1" applyAlignment="1">
      <alignment horizontal="center" wrapText="1"/>
    </xf>
    <xf numFmtId="0" fontId="15" fillId="5" borderId="0" xfId="0" applyFont="1" applyFill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5" borderId="21" xfId="0" applyFont="1" applyFill="1" applyBorder="1" applyAlignment="1">
      <alignment horizontal="center"/>
    </xf>
    <xf numFmtId="0" fontId="15" fillId="5" borderId="22" xfId="0" applyFont="1" applyFill="1" applyBorder="1" applyAlignment="1">
      <alignment horizontal="center"/>
    </xf>
    <xf numFmtId="0" fontId="15" fillId="5" borderId="23" xfId="0" applyFont="1" applyFill="1" applyBorder="1" applyAlignment="1">
      <alignment horizontal="center"/>
    </xf>
    <xf numFmtId="0" fontId="49" fillId="10" borderId="1" xfId="8" applyFont="1" applyFill="1" applyBorder="1" applyAlignment="1">
      <alignment horizontal="center" vertical="center"/>
    </xf>
    <xf numFmtId="0" fontId="49" fillId="10" borderId="2" xfId="8" applyFont="1" applyFill="1" applyBorder="1" applyAlignment="1">
      <alignment horizontal="center" vertical="center"/>
    </xf>
    <xf numFmtId="0" fontId="49" fillId="10" borderId="17" xfId="8" applyFont="1" applyFill="1" applyBorder="1" applyAlignment="1">
      <alignment horizontal="center" vertical="center"/>
    </xf>
    <xf numFmtId="0" fontId="49" fillId="10" borderId="0" xfId="8" applyFont="1" applyFill="1" applyAlignment="1">
      <alignment horizontal="center" vertical="center"/>
    </xf>
    <xf numFmtId="0" fontId="15" fillId="5" borderId="13" xfId="0" applyFont="1" applyFill="1" applyBorder="1" applyAlignment="1">
      <alignment horizontal="center"/>
    </xf>
    <xf numFmtId="0" fontId="49" fillId="10" borderId="13" xfId="8" applyFont="1" applyFill="1" applyBorder="1" applyAlignment="1">
      <alignment horizontal="center" vertical="center"/>
    </xf>
    <xf numFmtId="0" fontId="46" fillId="5" borderId="28" xfId="7" applyFont="1" applyFill="1" applyBorder="1" applyAlignment="1">
      <alignment horizontal="center" vertical="center"/>
    </xf>
    <xf numFmtId="0" fontId="46" fillId="5" borderId="27" xfId="7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</cellXfs>
  <cellStyles count="13">
    <cellStyle name="20% - Accent1" xfId="5" builtinId="30"/>
    <cellStyle name="Accent5" xfId="6" builtinId="45"/>
    <cellStyle name="Calculation" xfId="2" builtinId="22"/>
    <cellStyle name="Comma 2" xfId="10" xr:uid="{00000000-0005-0000-0000-000003000000}"/>
    <cellStyle name="Input" xfId="12" builtinId="20"/>
    <cellStyle name="Normal" xfId="0" builtinId="0"/>
    <cellStyle name="Normal 2" xfId="9" xr:uid="{00000000-0005-0000-0000-000006000000}"/>
    <cellStyle name="Normal 2 2" xfId="11" xr:uid="{00000000-0005-0000-0000-000007000000}"/>
    <cellStyle name="Normal 3" xfId="3" xr:uid="{00000000-0005-0000-0000-000008000000}"/>
    <cellStyle name="Normal 5" xfId="7" xr:uid="{00000000-0005-0000-0000-000009000000}"/>
    <cellStyle name="Normal 6" xfId="1" xr:uid="{00000000-0005-0000-0000-00000A000000}"/>
    <cellStyle name="Normal_Sheet3" xfId="8" xr:uid="{00000000-0005-0000-0000-00000B000000}"/>
    <cellStyle name="Percent" xfId="4" builtinId="5"/>
  </cellStyles>
  <dxfs count="25"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Pic!$E$10:$G$10</c:f>
              <c:numCache>
                <c:formatCode>General</c:formatCode>
                <c:ptCount val="3"/>
                <c:pt idx="0">
                  <c:v>-295</c:v>
                </c:pt>
                <c:pt idx="1">
                  <c:v>-295</c:v>
                </c:pt>
                <c:pt idx="2">
                  <c:v>-295</c:v>
                </c:pt>
              </c:numCache>
            </c:numRef>
          </c:xVal>
          <c:yVal>
            <c:numRef>
              <c:f>Pic!$E$11:$G$11</c:f>
              <c:numCache>
                <c:formatCode>General</c:formatCode>
                <c:ptCount val="3"/>
                <c:pt idx="0">
                  <c:v>-60</c:v>
                </c:pt>
                <c:pt idx="1">
                  <c:v>60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5-49D1-BB1A-70C63E72D37B}"/>
            </c:ext>
          </c:extLst>
        </c:ser>
        <c:ser>
          <c:idx val="5"/>
          <c:order val="1"/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76200">
                <a:noFill/>
              </a:ln>
              <a:effectLst/>
            </c:spPr>
          </c:marker>
          <c:xVal>
            <c:numRef>
              <c:f>Pic!$H$10:$J$10</c:f>
              <c:numCache>
                <c:formatCode>General</c:formatCode>
                <c:ptCount val="3"/>
                <c:pt idx="0">
                  <c:v>295</c:v>
                </c:pt>
                <c:pt idx="1">
                  <c:v>295</c:v>
                </c:pt>
                <c:pt idx="2">
                  <c:v>295</c:v>
                </c:pt>
              </c:numCache>
            </c:numRef>
          </c:xVal>
          <c:yVal>
            <c:numRef>
              <c:f>Pic!$H$11:$J$11</c:f>
              <c:numCache>
                <c:formatCode>General</c:formatCode>
                <c:ptCount val="3"/>
                <c:pt idx="0">
                  <c:v>-60</c:v>
                </c:pt>
                <c:pt idx="1">
                  <c:v>60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5-49D1-BB1A-70C63E72D37B}"/>
            </c:ext>
          </c:extLst>
        </c:ser>
        <c:ser>
          <c:idx val="6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Pic!$E$14:$F$14</c:f>
              <c:numCache>
                <c:formatCode>General</c:formatCode>
                <c:ptCount val="2"/>
                <c:pt idx="0">
                  <c:v>-295</c:v>
                </c:pt>
                <c:pt idx="1">
                  <c:v>295</c:v>
                </c:pt>
              </c:numCache>
            </c:numRef>
          </c:xVal>
          <c:yVal>
            <c:numRef>
              <c:f>Pic!$E$15:$F$15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5-49D1-BB1A-70C63E72D37B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Pic!$E$18:$F$18</c:f>
              <c:numCache>
                <c:formatCode>General</c:formatCode>
                <c:ptCount val="2"/>
                <c:pt idx="0">
                  <c:v>-145</c:v>
                </c:pt>
                <c:pt idx="1">
                  <c:v>-145</c:v>
                </c:pt>
              </c:numCache>
            </c:numRef>
          </c:xVal>
          <c:yVal>
            <c:numRef>
              <c:f>Pic!$E$19:$F$19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5-49D1-BB1A-70C63E72D37B}"/>
            </c:ext>
          </c:extLst>
        </c:ser>
        <c:ser>
          <c:idx val="8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Pic!$H$18:$I$18</c:f>
              <c:numCache>
                <c:formatCode>General</c:formatCode>
                <c:ptCount val="2"/>
                <c:pt idx="0">
                  <c:v>145</c:v>
                </c:pt>
                <c:pt idx="1">
                  <c:v>145</c:v>
                </c:pt>
              </c:numCache>
            </c:numRef>
          </c:xVal>
          <c:yVal>
            <c:numRef>
              <c:f>Pic!$H$19:$I$19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85-49D1-BB1A-70C63E72D37B}"/>
            </c:ext>
          </c:extLst>
        </c:ser>
        <c:ser>
          <c:idx val="9"/>
          <c:order val="5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Pic!$E$22:$F$22</c:f>
              <c:numCache>
                <c:formatCode>General</c:formatCode>
                <c:ptCount val="2"/>
                <c:pt idx="0">
                  <c:v>-295</c:v>
                </c:pt>
                <c:pt idx="1">
                  <c:v>-295</c:v>
                </c:pt>
              </c:numCache>
            </c:numRef>
          </c:xVal>
          <c:yVal>
            <c:numRef>
              <c:f>Pic!$E$23:$F$23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85-49D1-BB1A-70C63E72D37B}"/>
            </c:ext>
          </c:extLst>
        </c:ser>
        <c:ser>
          <c:idx val="10"/>
          <c:order val="6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Pic!$H$22:$I$22</c:f>
              <c:numCache>
                <c:formatCode>General</c:formatCode>
                <c:ptCount val="2"/>
                <c:pt idx="0">
                  <c:v>295</c:v>
                </c:pt>
                <c:pt idx="1">
                  <c:v>295</c:v>
                </c:pt>
              </c:numCache>
            </c:numRef>
          </c:xVal>
          <c:yVal>
            <c:numRef>
              <c:f>Pic!$H$23:$I$23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85-49D1-BB1A-70C63E72D37B}"/>
            </c:ext>
          </c:extLst>
        </c:ser>
        <c:ser>
          <c:idx val="0"/>
          <c:order val="18"/>
          <c:tx>
            <c:v>"BasePlate"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Pic!$E$4:$I$4</c:f>
              <c:numCache>
                <c:formatCode>General</c:formatCode>
                <c:ptCount val="5"/>
                <c:pt idx="0">
                  <c:v>355</c:v>
                </c:pt>
                <c:pt idx="1">
                  <c:v>355</c:v>
                </c:pt>
                <c:pt idx="2">
                  <c:v>-355</c:v>
                </c:pt>
                <c:pt idx="3">
                  <c:v>-355</c:v>
                </c:pt>
                <c:pt idx="4">
                  <c:v>355</c:v>
                </c:pt>
              </c:numCache>
            </c:numRef>
          </c:xVal>
          <c:yVal>
            <c:numRef>
              <c:f>Pic!$E$5:$I$5</c:f>
              <c:numCache>
                <c:formatCode>General</c:formatCode>
                <c:ptCount val="5"/>
                <c:pt idx="0">
                  <c:v>106</c:v>
                </c:pt>
                <c:pt idx="1">
                  <c:v>-106</c:v>
                </c:pt>
                <c:pt idx="2">
                  <c:v>-106</c:v>
                </c:pt>
                <c:pt idx="3">
                  <c:v>106</c:v>
                </c:pt>
                <c:pt idx="4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85-49D1-BB1A-70C63E72D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28112"/>
        <c:axId val="1569812752"/>
      </c:scatterChart>
      <c:scatterChart>
        <c:scatterStyle val="smoothMarker"/>
        <c:varyColors val="0"/>
        <c:ser>
          <c:idx val="11"/>
          <c:order val="7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Pic!$E$26:$F$26</c:f>
              <c:numCache>
                <c:formatCode>General</c:formatCode>
                <c:ptCount val="2"/>
                <c:pt idx="0">
                  <c:v>-355</c:v>
                </c:pt>
                <c:pt idx="1">
                  <c:v>-225</c:v>
                </c:pt>
              </c:numCache>
            </c:numRef>
          </c:xVal>
          <c:yVal>
            <c:numRef>
              <c:f>Pic!$E$27:$F$27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085-49D1-BB1A-70C63E72D37B}"/>
            </c:ext>
          </c:extLst>
        </c:ser>
        <c:ser>
          <c:idx val="12"/>
          <c:order val="8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Pic!$H$26:$I$26</c:f>
              <c:numCache>
                <c:formatCode>General</c:formatCode>
                <c:ptCount val="2"/>
                <c:pt idx="0">
                  <c:v>-355</c:v>
                </c:pt>
                <c:pt idx="1">
                  <c:v>-225</c:v>
                </c:pt>
              </c:numCache>
            </c:numRef>
          </c:xVal>
          <c:yVal>
            <c:numRef>
              <c:f>Pic!$H$27:$I$27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085-49D1-BB1A-70C63E72D37B}"/>
            </c:ext>
          </c:extLst>
        </c:ser>
        <c:ser>
          <c:idx val="13"/>
          <c:order val="9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Pic!$E$28:$F$28</c:f>
              <c:numCache>
                <c:formatCode>General</c:formatCode>
                <c:ptCount val="2"/>
                <c:pt idx="0">
                  <c:v>355</c:v>
                </c:pt>
                <c:pt idx="1">
                  <c:v>225</c:v>
                </c:pt>
              </c:numCache>
            </c:numRef>
          </c:xVal>
          <c:yVal>
            <c:numRef>
              <c:f>Pic!$E$29:$F$29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085-49D1-BB1A-70C63E72D37B}"/>
            </c:ext>
          </c:extLst>
        </c:ser>
        <c:ser>
          <c:idx val="14"/>
          <c:order val="1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Pic!$H$28:$I$28</c:f>
              <c:numCache>
                <c:formatCode>General</c:formatCode>
                <c:ptCount val="2"/>
                <c:pt idx="0">
                  <c:v>355</c:v>
                </c:pt>
                <c:pt idx="1">
                  <c:v>225</c:v>
                </c:pt>
              </c:numCache>
            </c:numRef>
          </c:xVal>
          <c:yVal>
            <c:numRef>
              <c:f>Pic!$H$29:$I$29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085-49D1-BB1A-70C63E72D37B}"/>
            </c:ext>
          </c:extLst>
        </c:ser>
        <c:ser>
          <c:idx val="15"/>
          <c:order val="11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Pic!$E$31:$F$31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Pic!$E$32:$F$32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085-49D1-BB1A-70C63E72D37B}"/>
            </c:ext>
          </c:extLst>
        </c:ser>
        <c:ser>
          <c:idx val="16"/>
          <c:order val="12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Pic!$H$31:$I$31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Pic!$H$32:$I$32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085-49D1-BB1A-70C63E72D37B}"/>
            </c:ext>
          </c:extLst>
        </c:ser>
        <c:ser>
          <c:idx val="17"/>
          <c:order val="13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Pic!$E$33:$F$33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Pic!$E$34:$F$34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085-49D1-BB1A-70C63E72D37B}"/>
            </c:ext>
          </c:extLst>
        </c:ser>
        <c:ser>
          <c:idx val="18"/>
          <c:order val="14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Pic!$H$33:$I$33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Pic!$H$34:$I$34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085-49D1-BB1A-70C63E72D37B}"/>
            </c:ext>
          </c:extLst>
        </c:ser>
        <c:ser>
          <c:idx val="3"/>
          <c:order val="15"/>
          <c:tx>
            <c:v>"FlangeL"</c:v>
          </c:tx>
          <c:spPr>
            <a:ln w="7620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Pic!$I$7:$J$7</c:f>
              <c:numCache>
                <c:formatCode>General</c:formatCode>
                <c:ptCount val="2"/>
                <c:pt idx="0">
                  <c:v>-225</c:v>
                </c:pt>
                <c:pt idx="1">
                  <c:v>-225</c:v>
                </c:pt>
              </c:numCache>
            </c:numRef>
          </c:xVal>
          <c:yVal>
            <c:numRef>
              <c:f>Pic!$I$8:$J$8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085-49D1-BB1A-70C63E72D37B}"/>
            </c:ext>
          </c:extLst>
        </c:ser>
        <c:ser>
          <c:idx val="1"/>
          <c:order val="16"/>
          <c:tx>
            <c:v>"FlangeR"</c:v>
          </c:tx>
          <c:spPr>
            <a:ln w="7620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Pic!$E$7:$F$7</c:f>
              <c:numCache>
                <c:formatCode>General</c:formatCode>
                <c:ptCount val="2"/>
                <c:pt idx="0">
                  <c:v>225</c:v>
                </c:pt>
                <c:pt idx="1">
                  <c:v>225</c:v>
                </c:pt>
              </c:numCache>
            </c:numRef>
          </c:xVal>
          <c:yVal>
            <c:numRef>
              <c:f>Pic!$E$8:$F$8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085-49D1-BB1A-70C63E72D37B}"/>
            </c:ext>
          </c:extLst>
        </c:ser>
        <c:ser>
          <c:idx val="2"/>
          <c:order val="17"/>
          <c:tx>
            <c:v>"Web"</c:v>
          </c:tx>
          <c:spPr>
            <a:ln w="5715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Pic!$G$7:$H$7</c:f>
              <c:numCache>
                <c:formatCode>General</c:formatCode>
                <c:ptCount val="2"/>
                <c:pt idx="0">
                  <c:v>-225</c:v>
                </c:pt>
                <c:pt idx="1">
                  <c:v>225</c:v>
                </c:pt>
              </c:numCache>
            </c:numRef>
          </c:xVal>
          <c:yVal>
            <c:numRef>
              <c:f>Pic!$G$8:$H$8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085-49D1-BB1A-70C63E72D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28112"/>
        <c:axId val="1569812752"/>
      </c:scatterChart>
      <c:valAx>
        <c:axId val="15698281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69812752"/>
        <c:crosses val="autoZero"/>
        <c:crossBetween val="midCat"/>
      </c:valAx>
      <c:valAx>
        <c:axId val="15698127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6982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Pic!$E$10:$G$10</c:f>
              <c:numCache>
                <c:formatCode>General</c:formatCode>
                <c:ptCount val="3"/>
                <c:pt idx="0">
                  <c:v>-295</c:v>
                </c:pt>
                <c:pt idx="1">
                  <c:v>-295</c:v>
                </c:pt>
                <c:pt idx="2">
                  <c:v>-295</c:v>
                </c:pt>
              </c:numCache>
            </c:numRef>
          </c:xVal>
          <c:yVal>
            <c:numRef>
              <c:f>Pic!$E$11:$G$11</c:f>
              <c:numCache>
                <c:formatCode>General</c:formatCode>
                <c:ptCount val="3"/>
                <c:pt idx="0">
                  <c:v>-60</c:v>
                </c:pt>
                <c:pt idx="1">
                  <c:v>60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36-4F19-86A4-FE05DA05CF2B}"/>
            </c:ext>
          </c:extLst>
        </c:ser>
        <c:ser>
          <c:idx val="5"/>
          <c:order val="1"/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76200">
                <a:noFill/>
              </a:ln>
              <a:effectLst/>
            </c:spPr>
          </c:marker>
          <c:xVal>
            <c:numRef>
              <c:f>Pic!$H$10:$J$10</c:f>
              <c:numCache>
                <c:formatCode>General</c:formatCode>
                <c:ptCount val="3"/>
                <c:pt idx="0">
                  <c:v>295</c:v>
                </c:pt>
                <c:pt idx="1">
                  <c:v>295</c:v>
                </c:pt>
                <c:pt idx="2">
                  <c:v>295</c:v>
                </c:pt>
              </c:numCache>
            </c:numRef>
          </c:xVal>
          <c:yVal>
            <c:numRef>
              <c:f>Pic!$H$11:$J$11</c:f>
              <c:numCache>
                <c:formatCode>General</c:formatCode>
                <c:ptCount val="3"/>
                <c:pt idx="0">
                  <c:v>-60</c:v>
                </c:pt>
                <c:pt idx="1">
                  <c:v>60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36-4F19-86A4-FE05DA05CF2B}"/>
            </c:ext>
          </c:extLst>
        </c:ser>
        <c:ser>
          <c:idx val="6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Pic!$E$14:$F$14</c:f>
              <c:numCache>
                <c:formatCode>General</c:formatCode>
                <c:ptCount val="2"/>
                <c:pt idx="0">
                  <c:v>-295</c:v>
                </c:pt>
                <c:pt idx="1">
                  <c:v>295</c:v>
                </c:pt>
              </c:numCache>
            </c:numRef>
          </c:xVal>
          <c:yVal>
            <c:numRef>
              <c:f>Pic!$E$15:$F$15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E36-4F19-86A4-FE05DA05CF2B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Pic!$E$18:$F$18</c:f>
              <c:numCache>
                <c:formatCode>General</c:formatCode>
                <c:ptCount val="2"/>
                <c:pt idx="0">
                  <c:v>-145</c:v>
                </c:pt>
                <c:pt idx="1">
                  <c:v>-145</c:v>
                </c:pt>
              </c:numCache>
            </c:numRef>
          </c:xVal>
          <c:yVal>
            <c:numRef>
              <c:f>Pic!$E$19:$F$19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E36-4F19-86A4-FE05DA05CF2B}"/>
            </c:ext>
          </c:extLst>
        </c:ser>
        <c:ser>
          <c:idx val="8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Pic!$H$18:$I$18</c:f>
              <c:numCache>
                <c:formatCode>General</c:formatCode>
                <c:ptCount val="2"/>
                <c:pt idx="0">
                  <c:v>145</c:v>
                </c:pt>
                <c:pt idx="1">
                  <c:v>145</c:v>
                </c:pt>
              </c:numCache>
            </c:numRef>
          </c:xVal>
          <c:yVal>
            <c:numRef>
              <c:f>Pic!$H$19:$I$19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E36-4F19-86A4-FE05DA05CF2B}"/>
            </c:ext>
          </c:extLst>
        </c:ser>
        <c:ser>
          <c:idx val="9"/>
          <c:order val="5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Pic!$E$22:$F$22</c:f>
              <c:numCache>
                <c:formatCode>General</c:formatCode>
                <c:ptCount val="2"/>
                <c:pt idx="0">
                  <c:v>-295</c:v>
                </c:pt>
                <c:pt idx="1">
                  <c:v>-295</c:v>
                </c:pt>
              </c:numCache>
            </c:numRef>
          </c:xVal>
          <c:yVal>
            <c:numRef>
              <c:f>Pic!$E$23:$F$23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D7-4F83-BC98-A2B44887D865}"/>
            </c:ext>
          </c:extLst>
        </c:ser>
        <c:ser>
          <c:idx val="10"/>
          <c:order val="6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Pic!$H$22:$I$22</c:f>
              <c:numCache>
                <c:formatCode>General</c:formatCode>
                <c:ptCount val="2"/>
                <c:pt idx="0">
                  <c:v>295</c:v>
                </c:pt>
                <c:pt idx="1">
                  <c:v>295</c:v>
                </c:pt>
              </c:numCache>
            </c:numRef>
          </c:xVal>
          <c:yVal>
            <c:numRef>
              <c:f>Pic!$H$23:$I$23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D7-4F83-BC98-A2B44887D865}"/>
            </c:ext>
          </c:extLst>
        </c:ser>
        <c:ser>
          <c:idx val="0"/>
          <c:order val="18"/>
          <c:tx>
            <c:v>"BasePlate"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Pic!$E$4:$I$4</c:f>
              <c:numCache>
                <c:formatCode>General</c:formatCode>
                <c:ptCount val="5"/>
                <c:pt idx="0">
                  <c:v>355</c:v>
                </c:pt>
                <c:pt idx="1">
                  <c:v>355</c:v>
                </c:pt>
                <c:pt idx="2">
                  <c:v>-355</c:v>
                </c:pt>
                <c:pt idx="3">
                  <c:v>-355</c:v>
                </c:pt>
                <c:pt idx="4">
                  <c:v>355</c:v>
                </c:pt>
              </c:numCache>
            </c:numRef>
          </c:xVal>
          <c:yVal>
            <c:numRef>
              <c:f>Pic!$E$5:$I$5</c:f>
              <c:numCache>
                <c:formatCode>General</c:formatCode>
                <c:ptCount val="5"/>
                <c:pt idx="0">
                  <c:v>106</c:v>
                </c:pt>
                <c:pt idx="1">
                  <c:v>-106</c:v>
                </c:pt>
                <c:pt idx="2">
                  <c:v>-106</c:v>
                </c:pt>
                <c:pt idx="3">
                  <c:v>106</c:v>
                </c:pt>
                <c:pt idx="4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36-4F19-86A4-FE05DA05C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28112"/>
        <c:axId val="1569812752"/>
      </c:scatterChart>
      <c:scatterChart>
        <c:scatterStyle val="smoothMarker"/>
        <c:varyColors val="0"/>
        <c:ser>
          <c:idx val="11"/>
          <c:order val="7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Pic!$E$26:$F$26</c:f>
              <c:numCache>
                <c:formatCode>General</c:formatCode>
                <c:ptCount val="2"/>
                <c:pt idx="0">
                  <c:v>-355</c:v>
                </c:pt>
                <c:pt idx="1">
                  <c:v>-225</c:v>
                </c:pt>
              </c:numCache>
            </c:numRef>
          </c:xVal>
          <c:yVal>
            <c:numRef>
              <c:f>Pic!$E$27:$F$27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D7-4F83-BC98-A2B44887D865}"/>
            </c:ext>
          </c:extLst>
        </c:ser>
        <c:ser>
          <c:idx val="12"/>
          <c:order val="8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Pic!$H$26:$I$26</c:f>
              <c:numCache>
                <c:formatCode>General</c:formatCode>
                <c:ptCount val="2"/>
                <c:pt idx="0">
                  <c:v>-355</c:v>
                </c:pt>
                <c:pt idx="1">
                  <c:v>-225</c:v>
                </c:pt>
              </c:numCache>
            </c:numRef>
          </c:xVal>
          <c:yVal>
            <c:numRef>
              <c:f>Pic!$H$27:$I$27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D7-4F83-BC98-A2B44887D865}"/>
            </c:ext>
          </c:extLst>
        </c:ser>
        <c:ser>
          <c:idx val="13"/>
          <c:order val="9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Pic!$E$28:$F$28</c:f>
              <c:numCache>
                <c:formatCode>General</c:formatCode>
                <c:ptCount val="2"/>
                <c:pt idx="0">
                  <c:v>355</c:v>
                </c:pt>
                <c:pt idx="1">
                  <c:v>225</c:v>
                </c:pt>
              </c:numCache>
            </c:numRef>
          </c:xVal>
          <c:yVal>
            <c:numRef>
              <c:f>Pic!$E$29:$F$29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3D7-4F83-BC98-A2B44887D865}"/>
            </c:ext>
          </c:extLst>
        </c:ser>
        <c:ser>
          <c:idx val="14"/>
          <c:order val="1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Pic!$H$28:$I$28</c:f>
              <c:numCache>
                <c:formatCode>General</c:formatCode>
                <c:ptCount val="2"/>
                <c:pt idx="0">
                  <c:v>355</c:v>
                </c:pt>
                <c:pt idx="1">
                  <c:v>225</c:v>
                </c:pt>
              </c:numCache>
            </c:numRef>
          </c:xVal>
          <c:yVal>
            <c:numRef>
              <c:f>Pic!$H$29:$I$29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3D7-4F83-BC98-A2B44887D865}"/>
            </c:ext>
          </c:extLst>
        </c:ser>
        <c:ser>
          <c:idx val="15"/>
          <c:order val="11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Pic!$E$31:$F$31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Pic!$E$32:$F$32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3D7-4F83-BC98-A2B44887D865}"/>
            </c:ext>
          </c:extLst>
        </c:ser>
        <c:ser>
          <c:idx val="16"/>
          <c:order val="12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Pic!$H$31:$I$31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Pic!$H$32:$I$32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3D7-4F83-BC98-A2B44887D865}"/>
            </c:ext>
          </c:extLst>
        </c:ser>
        <c:ser>
          <c:idx val="17"/>
          <c:order val="13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Pic!$E$33:$F$33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Pic!$E$34:$F$34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3D7-4F83-BC98-A2B44887D865}"/>
            </c:ext>
          </c:extLst>
        </c:ser>
        <c:ser>
          <c:idx val="18"/>
          <c:order val="14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Pic!$H$33:$I$33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Pic!$H$34:$I$34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3D7-4F83-BC98-A2B44887D865}"/>
            </c:ext>
          </c:extLst>
        </c:ser>
        <c:ser>
          <c:idx val="3"/>
          <c:order val="15"/>
          <c:tx>
            <c:v>"FlangeL"</c:v>
          </c:tx>
          <c:spPr>
            <a:ln w="7620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Pic!$I$7:$J$7</c:f>
              <c:numCache>
                <c:formatCode>General</c:formatCode>
                <c:ptCount val="2"/>
                <c:pt idx="0">
                  <c:v>-225</c:v>
                </c:pt>
                <c:pt idx="1">
                  <c:v>-225</c:v>
                </c:pt>
              </c:numCache>
            </c:numRef>
          </c:xVal>
          <c:yVal>
            <c:numRef>
              <c:f>Pic!$I$8:$J$8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E36-4F19-86A4-FE05DA05CF2B}"/>
            </c:ext>
          </c:extLst>
        </c:ser>
        <c:ser>
          <c:idx val="1"/>
          <c:order val="16"/>
          <c:tx>
            <c:v>"FlangeR"</c:v>
          </c:tx>
          <c:spPr>
            <a:ln w="7620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Pic!$E$7:$F$7</c:f>
              <c:numCache>
                <c:formatCode>General</c:formatCode>
                <c:ptCount val="2"/>
                <c:pt idx="0">
                  <c:v>225</c:v>
                </c:pt>
                <c:pt idx="1">
                  <c:v>225</c:v>
                </c:pt>
              </c:numCache>
            </c:numRef>
          </c:xVal>
          <c:yVal>
            <c:numRef>
              <c:f>Pic!$E$8:$F$8</c:f>
              <c:numCache>
                <c:formatCode>General</c:formatCode>
                <c:ptCount val="2"/>
                <c:pt idx="0">
                  <c:v>100</c:v>
                </c:pt>
                <c:pt idx="1">
                  <c:v>-100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36-4F19-86A4-FE05DA05CF2B}"/>
            </c:ext>
          </c:extLst>
        </c:ser>
        <c:ser>
          <c:idx val="2"/>
          <c:order val="17"/>
          <c:tx>
            <c:v>"Web"</c:v>
          </c:tx>
          <c:spPr>
            <a:ln w="5715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Pic!$G$7:$H$7</c:f>
              <c:numCache>
                <c:formatCode>General</c:formatCode>
                <c:ptCount val="2"/>
                <c:pt idx="0">
                  <c:v>-225</c:v>
                </c:pt>
                <c:pt idx="1">
                  <c:v>225</c:v>
                </c:pt>
              </c:numCache>
            </c:numRef>
          </c:xVal>
          <c:yVal>
            <c:numRef>
              <c:f>Pic!$G$8:$H$8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36-4F19-86A4-FE05DA05C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28112"/>
        <c:axId val="1569812752"/>
      </c:scatterChart>
      <c:valAx>
        <c:axId val="15698281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69812752"/>
        <c:crosses val="autoZero"/>
        <c:crossBetween val="midCat"/>
      </c:valAx>
      <c:valAx>
        <c:axId val="15698127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6982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345633</xdr:colOff>
      <xdr:row>38</xdr:row>
      <xdr:rowOff>108231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9A586A4-DD32-4BEE-A707-66820548B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359E7C9A-B5AF-4431-913F-5B4349925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336886</xdr:colOff>
      <xdr:row>104</xdr:row>
      <xdr:rowOff>49817</xdr:rowOff>
    </xdr:from>
    <xdr:to>
      <xdr:col>23</xdr:col>
      <xdr:colOff>440730</xdr:colOff>
      <xdr:row>112</xdr:row>
      <xdr:rowOff>101959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ED46DFE-091E-A64C-DAF2-B090BEF38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99886" y="16300295"/>
          <a:ext cx="1167828" cy="1416205"/>
        </a:xfrm>
        <a:prstGeom prst="rect">
          <a:avLst/>
        </a:prstGeom>
      </xdr:spPr>
    </xdr:pic>
    <xdr:clientData/>
  </xdr:twoCellAnchor>
  <xdr:twoCellAnchor editAs="oneCell">
    <xdr:from>
      <xdr:col>0</xdr:col>
      <xdr:colOff>135696</xdr:colOff>
      <xdr:row>31</xdr:row>
      <xdr:rowOff>93100</xdr:rowOff>
    </xdr:from>
    <xdr:to>
      <xdr:col>7</xdr:col>
      <xdr:colOff>206628</xdr:colOff>
      <xdr:row>41</xdr:row>
      <xdr:rowOff>21584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48BF1D-B791-4DA2-802E-D089FE3A6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5696" y="3660048"/>
          <a:ext cx="2874829" cy="1578346"/>
        </a:xfrm>
        <a:prstGeom prst="rect">
          <a:avLst/>
        </a:prstGeom>
      </xdr:spPr>
    </xdr:pic>
    <xdr:clientData/>
  </xdr:twoCellAnchor>
  <xdr:twoCellAnchor>
    <xdr:from>
      <xdr:col>15</xdr:col>
      <xdr:colOff>420415</xdr:colOff>
      <xdr:row>14</xdr:row>
      <xdr:rowOff>39415</xdr:rowOff>
    </xdr:from>
    <xdr:to>
      <xdr:col>22</xdr:col>
      <xdr:colOff>789</xdr:colOff>
      <xdr:row>24</xdr:row>
      <xdr:rowOff>43093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C85EF5A-8D0D-4A8F-BC7A-655AE6959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25</xdr:row>
      <xdr:rowOff>78857</xdr:rowOff>
    </xdr:from>
    <xdr:to>
      <xdr:col>7</xdr:col>
      <xdr:colOff>267248</xdr:colOff>
      <xdr:row>31</xdr:row>
      <xdr:rowOff>56165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8ACA12A-1BAA-5F7A-2850-2A3B90EBE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660460"/>
          <a:ext cx="3078765" cy="972178"/>
        </a:xfrm>
        <a:prstGeom prst="rect">
          <a:avLst/>
        </a:prstGeom>
      </xdr:spPr>
    </xdr:pic>
    <xdr:clientData/>
  </xdr:twoCellAnchor>
  <xdr:twoCellAnchor editAs="oneCell">
    <xdr:from>
      <xdr:col>16</xdr:col>
      <xdr:colOff>111675</xdr:colOff>
      <xdr:row>36</xdr:row>
      <xdr:rowOff>73854</xdr:rowOff>
    </xdr:from>
    <xdr:to>
      <xdr:col>20</xdr:col>
      <xdr:colOff>475726</xdr:colOff>
      <xdr:row>42</xdr:row>
      <xdr:rowOff>91750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8BE0CE8-CFA8-B847-3324-FBDF7BB79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12778" y="4790371"/>
          <a:ext cx="2410809" cy="995621"/>
        </a:xfrm>
        <a:prstGeom prst="rect">
          <a:avLst/>
        </a:prstGeom>
      </xdr:spPr>
    </xdr:pic>
    <xdr:clientData/>
  </xdr:twoCellAnchor>
  <xdr:twoCellAnchor editAs="oneCell">
    <xdr:from>
      <xdr:col>14</xdr:col>
      <xdr:colOff>271095</xdr:colOff>
      <xdr:row>117</xdr:row>
      <xdr:rowOff>139211</xdr:rowOff>
    </xdr:from>
    <xdr:to>
      <xdr:col>21</xdr:col>
      <xdr:colOff>402630</xdr:colOff>
      <xdr:row>124</xdr:row>
      <xdr:rowOff>78180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EB994A-B446-4E57-BB27-777FF4865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39557" y="18258692"/>
          <a:ext cx="3751035" cy="10673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6</xdr:row>
      <xdr:rowOff>138112</xdr:rowOff>
    </xdr:from>
    <xdr:to>
      <xdr:col>18</xdr:col>
      <xdr:colOff>228600</xdr:colOff>
      <xdr:row>20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97D5B3-1488-2A71-E2F5-20C54DB89C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DN33"/>
  <sheetViews>
    <sheetView showGridLines="0" zoomScale="130" zoomScaleNormal="130" zoomScaleSheetLayoutView="100" workbookViewId="0">
      <selection activeCell="F1" sqref="F1:I1048576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16" customWidth="1"/>
    <col min="11" max="15" width="7.33203125" style="1"/>
    <col min="16" max="20" width="0" style="1" hidden="1" customWidth="1"/>
    <col min="21" max="21" width="3.33203125" style="16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16" customWidth="1"/>
    <col min="48" max="50" width="7.33203125" style="1"/>
    <col min="51" max="51" width="3.33203125" style="16" customWidth="1"/>
    <col min="52" max="54" width="7.33203125" style="1"/>
    <col min="55" max="59" width="0" style="1" hidden="1" customWidth="1"/>
    <col min="60" max="60" width="3.33203125" style="16" customWidth="1"/>
    <col min="61" max="62" width="7.33203125" style="1"/>
    <col min="63" max="63" width="9.44140625" style="1" bestFit="1" customWidth="1"/>
    <col min="64" max="67" width="7.44140625" style="1" bestFit="1" customWidth="1"/>
    <col min="68" max="68" width="8.109375" style="1" bestFit="1" customWidth="1"/>
    <col min="69" max="69" width="7.33203125" style="1"/>
    <col min="70" max="79" width="0" style="1" hidden="1" customWidth="1"/>
    <col min="80" max="80" width="3.33203125" style="16" customWidth="1"/>
    <col min="81" max="81" width="9.5546875" style="110" bestFit="1" customWidth="1"/>
    <col min="82" max="83" width="9.5546875" style="112" customWidth="1"/>
    <col min="84" max="85" width="5" style="110" bestFit="1" customWidth="1"/>
    <col min="86" max="86" width="5" style="110" customWidth="1"/>
    <col min="87" max="87" width="5" style="110" bestFit="1" customWidth="1"/>
    <col min="88" max="88" width="7" style="111" bestFit="1" customWidth="1"/>
    <col min="89" max="103" width="0" style="1" hidden="1" customWidth="1"/>
    <col min="104" max="104" width="3.33203125" style="16" customWidth="1"/>
    <col min="105" max="16384" width="7.33203125" style="1"/>
  </cols>
  <sheetData>
    <row r="1" spans="1:118" ht="14.25" customHeight="1">
      <c r="A1" s="218" t="s">
        <v>2</v>
      </c>
      <c r="B1" s="11" t="s">
        <v>18</v>
      </c>
      <c r="C1" s="11" t="s">
        <v>21</v>
      </c>
      <c r="D1" s="11" t="s">
        <v>22</v>
      </c>
      <c r="E1" s="220" t="s">
        <v>411</v>
      </c>
      <c r="F1" s="80"/>
      <c r="G1" s="80"/>
      <c r="H1" s="80"/>
      <c r="I1" s="80"/>
      <c r="K1" s="346" t="s">
        <v>37</v>
      </c>
      <c r="L1" s="347"/>
      <c r="M1" s="347"/>
      <c r="N1" s="347"/>
      <c r="O1" s="347"/>
      <c r="P1" s="81"/>
      <c r="Q1" s="81"/>
      <c r="R1" s="81"/>
      <c r="S1" s="81"/>
      <c r="T1" s="81"/>
      <c r="V1" s="350" t="s">
        <v>42</v>
      </c>
      <c r="W1" s="350"/>
      <c r="X1" s="350"/>
      <c r="Y1" s="350"/>
      <c r="Z1" s="350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2"/>
      <c r="AO1" s="82"/>
      <c r="AP1" s="82"/>
      <c r="AQ1" s="82"/>
      <c r="AR1" s="82"/>
      <c r="AS1" s="82"/>
      <c r="AT1" s="82"/>
      <c r="AV1" s="352" t="s">
        <v>243</v>
      </c>
      <c r="AW1" s="353"/>
      <c r="AX1" s="354"/>
      <c r="AZ1" s="352" t="s">
        <v>33</v>
      </c>
      <c r="BA1" s="353"/>
      <c r="BB1" s="354"/>
      <c r="BI1" s="343" t="s">
        <v>244</v>
      </c>
      <c r="BJ1" s="343"/>
      <c r="BK1" s="342" t="s">
        <v>245</v>
      </c>
      <c r="BL1" s="343" t="s">
        <v>246</v>
      </c>
      <c r="BM1" s="343"/>
      <c r="BN1" s="343"/>
      <c r="BO1" s="343"/>
      <c r="BP1" s="342" t="s">
        <v>247</v>
      </c>
      <c r="BQ1" s="342"/>
      <c r="CC1" s="344" t="s">
        <v>246</v>
      </c>
      <c r="CD1" s="345"/>
      <c r="CE1" s="345"/>
      <c r="CF1" s="345"/>
      <c r="CG1" s="345"/>
      <c r="CH1" s="345"/>
      <c r="CI1" s="345"/>
      <c r="CJ1" s="345"/>
      <c r="DA1" s="344" t="s">
        <v>314</v>
      </c>
      <c r="DB1" s="345"/>
      <c r="DC1" s="345"/>
      <c r="DD1" s="345"/>
      <c r="DE1" s="345"/>
      <c r="DF1" s="359" t="s">
        <v>81</v>
      </c>
      <c r="DG1" s="359"/>
      <c r="DH1" s="1" t="s">
        <v>88</v>
      </c>
      <c r="DI1" s="1" t="s">
        <v>89</v>
      </c>
      <c r="DJ1" s="1" t="s">
        <v>98</v>
      </c>
      <c r="DK1" s="1" t="s">
        <v>99</v>
      </c>
      <c r="DL1" s="20" t="s">
        <v>97</v>
      </c>
      <c r="DM1" s="20" t="s">
        <v>101</v>
      </c>
      <c r="DN1" s="20" t="s">
        <v>102</v>
      </c>
    </row>
    <row r="2" spans="1:118" ht="15.6">
      <c r="A2" s="219"/>
      <c r="B2" s="11" t="s">
        <v>19</v>
      </c>
      <c r="C2" s="11" t="s">
        <v>19</v>
      </c>
      <c r="D2" s="11" t="s">
        <v>19</v>
      </c>
      <c r="E2" s="221"/>
      <c r="F2" s="80"/>
      <c r="G2" s="80"/>
      <c r="H2" s="80"/>
      <c r="I2" s="80"/>
      <c r="K2" s="348"/>
      <c r="L2" s="349"/>
      <c r="M2" s="349"/>
      <c r="N2" s="349"/>
      <c r="O2" s="349"/>
      <c r="P2" s="81"/>
      <c r="Q2" s="81"/>
      <c r="R2" s="81"/>
      <c r="S2" s="81"/>
      <c r="T2" s="81"/>
      <c r="V2" s="351"/>
      <c r="W2" s="351"/>
      <c r="X2" s="351"/>
      <c r="Y2" s="351"/>
      <c r="Z2" s="351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V2" s="11" t="s">
        <v>248</v>
      </c>
      <c r="AW2" s="11" t="s">
        <v>249</v>
      </c>
      <c r="AX2" s="11" t="s">
        <v>237</v>
      </c>
      <c r="AZ2" s="11" t="s">
        <v>30</v>
      </c>
      <c r="BA2" s="11" t="s">
        <v>34</v>
      </c>
      <c r="BB2" s="11" t="s">
        <v>35</v>
      </c>
      <c r="BI2" s="343"/>
      <c r="BJ2" s="343"/>
      <c r="BK2" s="342"/>
      <c r="BL2" s="343" t="s">
        <v>250</v>
      </c>
      <c r="BM2" s="343"/>
      <c r="BN2" s="343" t="s">
        <v>251</v>
      </c>
      <c r="BO2" s="343"/>
      <c r="BP2" s="342"/>
      <c r="BQ2" s="342"/>
      <c r="CC2" s="360" t="s">
        <v>252</v>
      </c>
      <c r="CD2" s="85" t="s">
        <v>253</v>
      </c>
      <c r="CE2" s="85" t="s">
        <v>248</v>
      </c>
      <c r="CF2" s="86" t="s">
        <v>254</v>
      </c>
      <c r="CG2" s="86" t="s">
        <v>255</v>
      </c>
      <c r="CH2" s="86" t="s">
        <v>256</v>
      </c>
      <c r="CI2" s="86" t="s">
        <v>257</v>
      </c>
      <c r="CJ2" s="87" t="s">
        <v>258</v>
      </c>
      <c r="DA2" s="355" t="s">
        <v>315</v>
      </c>
      <c r="DB2" s="356"/>
      <c r="DC2" s="356"/>
      <c r="DD2" s="355" t="s">
        <v>319</v>
      </c>
      <c r="DE2" s="356"/>
      <c r="DF2" s="25" t="s">
        <v>77</v>
      </c>
      <c r="DG2" s="25">
        <v>1.35</v>
      </c>
      <c r="DH2" s="1" t="s">
        <v>83</v>
      </c>
      <c r="DI2" s="1" t="s">
        <v>90</v>
      </c>
      <c r="DJ2" s="1">
        <v>6</v>
      </c>
      <c r="DK2" s="1">
        <v>4</v>
      </c>
      <c r="DL2" s="1">
        <v>0.4</v>
      </c>
      <c r="DM2" s="1">
        <v>1.3</v>
      </c>
      <c r="DN2" s="1">
        <v>1.9</v>
      </c>
    </row>
    <row r="3" spans="1:118" ht="15.6">
      <c r="A3" s="14" t="s">
        <v>23</v>
      </c>
      <c r="B3" s="3">
        <f>2.06*10^5</f>
        <v>206000</v>
      </c>
      <c r="C3" s="3">
        <v>235</v>
      </c>
      <c r="D3" s="222">
        <v>370</v>
      </c>
      <c r="E3" s="223">
        <v>1.1000000000000001</v>
      </c>
      <c r="F3" s="38"/>
      <c r="G3" s="38"/>
      <c r="H3" s="38"/>
      <c r="I3" s="38"/>
      <c r="K3" s="13" t="s">
        <v>36</v>
      </c>
      <c r="L3" s="13" t="s">
        <v>38</v>
      </c>
      <c r="M3" s="13" t="s">
        <v>39</v>
      </c>
      <c r="N3" s="13" t="s">
        <v>40</v>
      </c>
      <c r="O3" s="13" t="s">
        <v>41</v>
      </c>
      <c r="P3" s="36"/>
      <c r="Q3" s="36"/>
      <c r="R3" s="36"/>
      <c r="S3" s="36"/>
      <c r="T3" s="36"/>
      <c r="V3" s="21" t="s">
        <v>43</v>
      </c>
      <c r="W3" s="21" t="s">
        <v>44</v>
      </c>
      <c r="X3" s="21" t="s">
        <v>45</v>
      </c>
      <c r="Y3" s="21" t="s">
        <v>182</v>
      </c>
      <c r="Z3" s="27" t="s">
        <v>103</v>
      </c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V3" s="4">
        <v>360</v>
      </c>
      <c r="AW3" s="4">
        <v>560</v>
      </c>
      <c r="AX3" s="4">
        <v>475</v>
      </c>
      <c r="AZ3" s="4" t="s">
        <v>31</v>
      </c>
      <c r="BA3" s="4">
        <v>430</v>
      </c>
      <c r="BB3" s="4">
        <v>180</v>
      </c>
      <c r="BI3" s="343"/>
      <c r="BJ3" s="343"/>
      <c r="BK3" s="342"/>
      <c r="BL3" s="83" t="s">
        <v>259</v>
      </c>
      <c r="BM3" s="83" t="s">
        <v>260</v>
      </c>
      <c r="BN3" s="83" t="s">
        <v>261</v>
      </c>
      <c r="BO3" s="83" t="s">
        <v>262</v>
      </c>
      <c r="BP3" s="361" t="s">
        <v>218</v>
      </c>
      <c r="BQ3" s="89" t="s">
        <v>263</v>
      </c>
      <c r="CC3" s="360"/>
      <c r="CD3" s="84" t="s">
        <v>20</v>
      </c>
      <c r="CE3" s="84" t="s">
        <v>20</v>
      </c>
      <c r="CF3" s="84" t="s">
        <v>20</v>
      </c>
      <c r="CG3" s="84" t="s">
        <v>20</v>
      </c>
      <c r="CH3" s="84" t="s">
        <v>20</v>
      </c>
      <c r="CI3" s="84" t="s">
        <v>20</v>
      </c>
      <c r="CJ3" s="90" t="s">
        <v>20</v>
      </c>
      <c r="DA3" s="357"/>
      <c r="DB3" s="358"/>
      <c r="DC3" s="358"/>
      <c r="DD3" s="357"/>
      <c r="DE3" s="358"/>
      <c r="DF3" s="25" t="s">
        <v>78</v>
      </c>
      <c r="DG3" s="25">
        <v>1.05</v>
      </c>
      <c r="DH3" s="1" t="s">
        <v>84</v>
      </c>
      <c r="DI3" s="1" t="s">
        <v>91</v>
      </c>
      <c r="DJ3" s="1">
        <v>8</v>
      </c>
      <c r="DK3" s="1">
        <v>6</v>
      </c>
      <c r="DL3" s="1">
        <v>0.4</v>
      </c>
      <c r="DM3" s="1">
        <v>1.3</v>
      </c>
      <c r="DN3" s="1">
        <v>1.9</v>
      </c>
    </row>
    <row r="4" spans="1:118">
      <c r="A4" s="14" t="s">
        <v>24</v>
      </c>
      <c r="B4" s="3">
        <f t="shared" ref="B4:B33" si="0">2.06*10^5</f>
        <v>206000</v>
      </c>
      <c r="C4" s="3">
        <v>345</v>
      </c>
      <c r="D4" s="222">
        <v>510</v>
      </c>
      <c r="E4" s="223">
        <v>1.1000000000000001</v>
      </c>
      <c r="F4" s="38"/>
      <c r="G4" s="38"/>
      <c r="H4" s="38"/>
      <c r="I4" s="38"/>
      <c r="K4" s="13">
        <v>5.6</v>
      </c>
      <c r="L4" s="13">
        <v>500</v>
      </c>
      <c r="M4" s="13">
        <v>300</v>
      </c>
      <c r="N4" s="13">
        <v>210</v>
      </c>
      <c r="O4" s="13">
        <v>225</v>
      </c>
      <c r="P4" s="36"/>
      <c r="Q4" s="36"/>
      <c r="R4" s="36"/>
      <c r="S4" s="36"/>
      <c r="T4" s="36"/>
      <c r="V4" s="22">
        <v>10</v>
      </c>
      <c r="W4" s="4">
        <v>1.5</v>
      </c>
      <c r="X4" s="10">
        <v>78.5</v>
      </c>
      <c r="Y4" s="4">
        <v>57.1</v>
      </c>
      <c r="Z4" s="4">
        <v>1</v>
      </c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V4" s="4">
        <v>370</v>
      </c>
      <c r="AW4" s="4">
        <v>580</v>
      </c>
      <c r="AX4" s="4">
        <v>485</v>
      </c>
      <c r="AZ4" s="4" t="s">
        <v>32</v>
      </c>
      <c r="BA4" s="4">
        <v>510</v>
      </c>
      <c r="BB4" s="4">
        <v>225</v>
      </c>
      <c r="BI4" s="343"/>
      <c r="BJ4" s="343"/>
      <c r="BK4" s="83" t="s">
        <v>20</v>
      </c>
      <c r="BL4" s="83" t="s">
        <v>20</v>
      </c>
      <c r="BM4" s="83" t="s">
        <v>20</v>
      </c>
      <c r="BN4" s="83" t="s">
        <v>20</v>
      </c>
      <c r="BO4" s="83" t="s">
        <v>20</v>
      </c>
      <c r="BP4" s="362"/>
      <c r="BQ4" s="83" t="s">
        <v>20</v>
      </c>
      <c r="CC4" s="113" t="s">
        <v>264</v>
      </c>
      <c r="CD4" s="114">
        <v>235</v>
      </c>
      <c r="CE4" s="114">
        <v>373</v>
      </c>
      <c r="CF4" s="113">
        <f>CD4</f>
        <v>235</v>
      </c>
      <c r="CG4" s="113">
        <f>CF4/1.15</f>
        <v>204.34782608695653</v>
      </c>
      <c r="CH4" s="113">
        <f>CF4</f>
        <v>235</v>
      </c>
      <c r="CI4" s="113">
        <f>0.7*CD4</f>
        <v>164.5</v>
      </c>
      <c r="CJ4" s="115">
        <v>200000</v>
      </c>
      <c r="DA4" s="110" t="s">
        <v>316</v>
      </c>
      <c r="DB4" s="110" t="s">
        <v>317</v>
      </c>
      <c r="DC4" s="110" t="s">
        <v>320</v>
      </c>
      <c r="DD4" s="110" t="s">
        <v>316</v>
      </c>
      <c r="DE4" s="110" t="s">
        <v>318</v>
      </c>
      <c r="DF4" s="25" t="s">
        <v>79</v>
      </c>
      <c r="DG4" s="25">
        <v>1.18</v>
      </c>
      <c r="DH4" s="1" t="s">
        <v>85</v>
      </c>
      <c r="DI4" s="1" t="s">
        <v>92</v>
      </c>
      <c r="DJ4" s="1">
        <v>10</v>
      </c>
      <c r="DK4" s="1">
        <v>6</v>
      </c>
      <c r="DL4" s="1">
        <v>0.25</v>
      </c>
      <c r="DM4" s="1">
        <v>1.5</v>
      </c>
      <c r="DN4" s="1">
        <v>1.5</v>
      </c>
    </row>
    <row r="5" spans="1:118" ht="15.6">
      <c r="A5" s="14" t="s">
        <v>412</v>
      </c>
      <c r="B5" s="3">
        <f t="shared" si="0"/>
        <v>206000</v>
      </c>
      <c r="C5" s="3">
        <v>355</v>
      </c>
      <c r="D5" s="222">
        <v>510</v>
      </c>
      <c r="E5" s="223">
        <v>1.1000000000000001</v>
      </c>
      <c r="F5" s="38"/>
      <c r="G5" s="38"/>
      <c r="H5" s="38"/>
      <c r="I5" s="38"/>
      <c r="K5" s="13">
        <v>5.8</v>
      </c>
      <c r="L5" s="13">
        <v>500</v>
      </c>
      <c r="M5" s="13">
        <v>400</v>
      </c>
      <c r="N5" s="13">
        <v>210</v>
      </c>
      <c r="O5" s="13">
        <v>210</v>
      </c>
      <c r="P5" s="36"/>
      <c r="Q5" s="36"/>
      <c r="R5" s="36"/>
      <c r="S5" s="36"/>
      <c r="T5" s="36"/>
      <c r="V5" s="22">
        <v>12</v>
      </c>
      <c r="W5" s="4">
        <v>1.5</v>
      </c>
      <c r="X5" s="10">
        <v>113</v>
      </c>
      <c r="Y5" s="4">
        <v>84.2</v>
      </c>
      <c r="Z5" s="4">
        <v>1</v>
      </c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V5" s="4">
        <v>380</v>
      </c>
      <c r="AW5" s="4">
        <v>590</v>
      </c>
      <c r="AX5" s="4">
        <v>500</v>
      </c>
      <c r="AZ5" s="4" t="s">
        <v>168</v>
      </c>
      <c r="BA5" s="4">
        <v>410</v>
      </c>
      <c r="BB5" s="4">
        <v>180</v>
      </c>
      <c r="BI5" s="91" t="s">
        <v>265</v>
      </c>
      <c r="BJ5" s="92" t="s">
        <v>266</v>
      </c>
      <c r="BK5" s="93">
        <v>19000</v>
      </c>
      <c r="BL5" s="94">
        <v>7.5</v>
      </c>
      <c r="BM5" s="94">
        <v>6</v>
      </c>
      <c r="BN5" s="95">
        <v>0.85</v>
      </c>
      <c r="BO5" s="96">
        <v>0.56000000000000005</v>
      </c>
      <c r="BP5" s="25"/>
      <c r="BQ5" s="25"/>
      <c r="CC5" s="113" t="s">
        <v>267</v>
      </c>
      <c r="CD5" s="114">
        <v>295</v>
      </c>
      <c r="CE5" s="114">
        <v>490</v>
      </c>
      <c r="CF5" s="113">
        <f t="shared" ref="CF5:CF19" si="1">CD5</f>
        <v>295</v>
      </c>
      <c r="CG5" s="113">
        <f t="shared" ref="CG5:CG19" si="2">CF5/1.15</f>
        <v>256.52173913043481</v>
      </c>
      <c r="CH5" s="113">
        <f t="shared" ref="CH5:CH19" si="3">CF5</f>
        <v>295</v>
      </c>
      <c r="CI5" s="113">
        <f t="shared" ref="CI5:CI19" si="4">0.7*CD5</f>
        <v>206.5</v>
      </c>
      <c r="CJ5" s="115">
        <v>200000</v>
      </c>
      <c r="DA5" s="110">
        <v>0</v>
      </c>
      <c r="DB5" s="110">
        <v>4.8000000000000001E-2</v>
      </c>
      <c r="DC5" s="110">
        <v>4.8000000000000001E-2</v>
      </c>
      <c r="DD5" s="118">
        <v>0</v>
      </c>
      <c r="DE5" s="110">
        <v>4.8000000000000001E-2</v>
      </c>
      <c r="DF5" s="25" t="s">
        <v>80</v>
      </c>
      <c r="DG5" s="25">
        <v>1.1499999999999999</v>
      </c>
      <c r="DH5" s="1" t="s">
        <v>86</v>
      </c>
      <c r="DI5" s="1" t="s">
        <v>93</v>
      </c>
      <c r="DJ5" s="1">
        <v>5</v>
      </c>
      <c r="DK5" s="1">
        <v>5</v>
      </c>
      <c r="DL5" s="1">
        <v>0.6</v>
      </c>
      <c r="DM5" s="1">
        <v>2</v>
      </c>
      <c r="DN5" s="1">
        <v>2.5</v>
      </c>
    </row>
    <row r="6" spans="1:118" ht="14.4">
      <c r="A6" s="14" t="s">
        <v>26</v>
      </c>
      <c r="B6" s="3">
        <f t="shared" si="0"/>
        <v>206000</v>
      </c>
      <c r="C6" s="3">
        <v>250</v>
      </c>
      <c r="D6" s="222">
        <v>400</v>
      </c>
      <c r="E6" s="223">
        <v>1.1000000000000001</v>
      </c>
      <c r="F6" s="38"/>
      <c r="G6" s="38"/>
      <c r="H6" s="38"/>
      <c r="I6" s="38"/>
      <c r="K6" s="13">
        <v>8.8000000000000007</v>
      </c>
      <c r="L6" s="13">
        <v>830</v>
      </c>
      <c r="M6" s="13">
        <v>660</v>
      </c>
      <c r="N6" s="13">
        <v>332</v>
      </c>
      <c r="O6" s="13">
        <v>448</v>
      </c>
      <c r="P6" s="36"/>
      <c r="Q6" s="36"/>
      <c r="R6" s="36"/>
      <c r="S6" s="36"/>
      <c r="T6" s="36"/>
      <c r="V6" s="22">
        <v>16</v>
      </c>
      <c r="W6" s="4">
        <v>2</v>
      </c>
      <c r="X6" s="10">
        <f t="shared" ref="X6:X15" si="5">PI()*V6^2/4</f>
        <v>201.06192982974676</v>
      </c>
      <c r="Y6" s="4">
        <v>157</v>
      </c>
      <c r="Z6" s="4">
        <v>1</v>
      </c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V6" s="4">
        <v>390</v>
      </c>
      <c r="AW6" s="4">
        <v>610</v>
      </c>
      <c r="AX6" s="4">
        <v>515</v>
      </c>
      <c r="AZ6" s="4" t="s">
        <v>169</v>
      </c>
      <c r="BA6" s="4">
        <v>450</v>
      </c>
      <c r="BB6" s="4">
        <v>200</v>
      </c>
      <c r="BI6" s="97" t="s">
        <v>268</v>
      </c>
      <c r="BJ6" s="24" t="s">
        <v>269</v>
      </c>
      <c r="BK6" s="98">
        <v>24000</v>
      </c>
      <c r="BL6" s="99">
        <v>11</v>
      </c>
      <c r="BM6" s="99">
        <v>8.5</v>
      </c>
      <c r="BN6" s="100">
        <v>1.1000000000000001</v>
      </c>
      <c r="BO6" s="101">
        <v>0.75</v>
      </c>
      <c r="BP6" s="25" t="s">
        <v>270</v>
      </c>
      <c r="BQ6" s="25">
        <f>VALUE(MID(BP6,2,2))</f>
        <v>12</v>
      </c>
      <c r="CC6" s="113" t="s">
        <v>271</v>
      </c>
      <c r="CD6" s="114">
        <v>390</v>
      </c>
      <c r="CE6" s="114">
        <v>590</v>
      </c>
      <c r="CF6" s="113">
        <f t="shared" si="1"/>
        <v>390</v>
      </c>
      <c r="CG6" s="113">
        <f t="shared" si="2"/>
        <v>339.13043478260875</v>
      </c>
      <c r="CH6" s="113">
        <f t="shared" si="3"/>
        <v>390</v>
      </c>
      <c r="CI6" s="113">
        <f t="shared" si="4"/>
        <v>273</v>
      </c>
      <c r="CJ6" s="115">
        <v>200000</v>
      </c>
      <c r="DA6" s="110">
        <v>1</v>
      </c>
      <c r="DB6" s="110">
        <v>4.8000000000000001E-2</v>
      </c>
      <c r="DC6" s="110">
        <v>4.8000000000000001E-2</v>
      </c>
      <c r="DD6" s="119">
        <v>0.5</v>
      </c>
      <c r="DE6" s="110">
        <v>4.8000000000000001E-2</v>
      </c>
      <c r="DH6" s="1" t="s">
        <v>100</v>
      </c>
      <c r="DI6" s="1" t="s">
        <v>93</v>
      </c>
      <c r="DJ6" s="1">
        <v>8</v>
      </c>
      <c r="DK6" s="1">
        <v>8</v>
      </c>
      <c r="DL6" s="1">
        <v>0.55000000000000004</v>
      </c>
      <c r="DM6" s="1">
        <v>1.8</v>
      </c>
      <c r="DN6" s="1">
        <v>2.2999999999999998</v>
      </c>
    </row>
    <row r="7" spans="1:118" ht="14.4">
      <c r="A7" s="14" t="s">
        <v>25</v>
      </c>
      <c r="B7" s="3">
        <f t="shared" si="0"/>
        <v>206000</v>
      </c>
      <c r="C7" s="3">
        <v>345</v>
      </c>
      <c r="D7" s="222">
        <v>450</v>
      </c>
      <c r="E7" s="223">
        <v>1.1000000000000001</v>
      </c>
      <c r="F7" s="38"/>
      <c r="G7" s="38"/>
      <c r="H7" s="38"/>
      <c r="I7" s="38"/>
      <c r="K7" s="13">
        <v>10.9</v>
      </c>
      <c r="L7" s="13">
        <v>1040</v>
      </c>
      <c r="M7" s="13">
        <v>940</v>
      </c>
      <c r="N7" s="13">
        <v>416</v>
      </c>
      <c r="O7" s="13">
        <v>728</v>
      </c>
      <c r="P7" s="36"/>
      <c r="Q7" s="36"/>
      <c r="R7" s="36"/>
      <c r="S7" s="36"/>
      <c r="T7" s="36"/>
      <c r="V7" s="22">
        <v>18</v>
      </c>
      <c r="W7" s="4">
        <v>2.5</v>
      </c>
      <c r="X7" s="10">
        <f t="shared" si="5"/>
        <v>254.46900494077323</v>
      </c>
      <c r="Y7" s="4">
        <v>192</v>
      </c>
      <c r="Z7" s="4">
        <v>1.05</v>
      </c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V7" s="4">
        <v>430</v>
      </c>
      <c r="AW7" s="4">
        <v>670</v>
      </c>
      <c r="AX7" s="4">
        <v>565</v>
      </c>
      <c r="AZ7" s="4" t="s">
        <v>170</v>
      </c>
      <c r="BA7" s="4">
        <v>490</v>
      </c>
      <c r="BB7" s="4">
        <v>215</v>
      </c>
      <c r="BI7" s="97" t="s">
        <v>272</v>
      </c>
      <c r="BJ7" s="24" t="s">
        <v>66</v>
      </c>
      <c r="BK7" s="98">
        <v>27500</v>
      </c>
      <c r="BL7" s="99">
        <v>15</v>
      </c>
      <c r="BM7" s="99">
        <v>11.5</v>
      </c>
      <c r="BN7" s="100">
        <v>1.35</v>
      </c>
      <c r="BO7" s="101">
        <v>0.9</v>
      </c>
      <c r="BP7" s="25" t="s">
        <v>273</v>
      </c>
      <c r="BQ7" s="25">
        <f t="shared" ref="BQ7" si="6">VALUE(MID(BP7,2,2))</f>
        <v>16</v>
      </c>
      <c r="CC7" s="113" t="s">
        <v>274</v>
      </c>
      <c r="CD7" s="114">
        <v>235</v>
      </c>
      <c r="CE7" s="114">
        <v>373</v>
      </c>
      <c r="CF7" s="113">
        <f t="shared" si="1"/>
        <v>235</v>
      </c>
      <c r="CG7" s="113">
        <f t="shared" si="2"/>
        <v>204.34782608695653</v>
      </c>
      <c r="CH7" s="113">
        <f t="shared" si="3"/>
        <v>235</v>
      </c>
      <c r="CI7" s="113">
        <f t="shared" si="4"/>
        <v>164.5</v>
      </c>
      <c r="CJ7" s="116">
        <v>200000</v>
      </c>
      <c r="DA7" s="110">
        <f>DA6+0.1</f>
        <v>1.1000000000000001</v>
      </c>
      <c r="DB7" s="110">
        <v>5.5E-2</v>
      </c>
      <c r="DC7" s="110">
        <v>4.9000000000000002E-2</v>
      </c>
      <c r="DD7" s="119">
        <f>DD6+0.1</f>
        <v>0.6</v>
      </c>
      <c r="DE7" s="110">
        <v>5.5E-2</v>
      </c>
      <c r="DH7" s="1" t="s">
        <v>87</v>
      </c>
      <c r="DI7" s="1">
        <v>8</v>
      </c>
      <c r="DJ7" s="1">
        <v>8</v>
      </c>
      <c r="DK7" s="1">
        <v>8</v>
      </c>
      <c r="DL7" s="1">
        <v>0.55000000000000004</v>
      </c>
      <c r="DM7" s="1">
        <v>1.8</v>
      </c>
      <c r="DN7" s="1">
        <v>2.2999999999999998</v>
      </c>
    </row>
    <row r="8" spans="1:118" ht="14.4">
      <c r="A8" s="14" t="s">
        <v>4</v>
      </c>
      <c r="B8" s="3">
        <f t="shared" si="0"/>
        <v>206000</v>
      </c>
      <c r="C8" s="3">
        <v>235</v>
      </c>
      <c r="D8" s="222">
        <v>360</v>
      </c>
      <c r="E8" s="223">
        <v>1.05</v>
      </c>
      <c r="F8" s="38"/>
      <c r="G8" s="38"/>
      <c r="H8" s="38"/>
      <c r="I8" s="38"/>
      <c r="K8" s="13">
        <v>12.9</v>
      </c>
      <c r="L8" s="13">
        <v>1220</v>
      </c>
      <c r="M8" s="13">
        <v>1100</v>
      </c>
      <c r="N8" s="13">
        <v>427</v>
      </c>
      <c r="O8" s="13">
        <v>854</v>
      </c>
      <c r="P8" s="36"/>
      <c r="Q8" s="36"/>
      <c r="R8" s="36"/>
      <c r="S8" s="36"/>
      <c r="T8" s="36"/>
      <c r="V8" s="22">
        <v>20</v>
      </c>
      <c r="W8" s="4">
        <v>2.5</v>
      </c>
      <c r="X8" s="10">
        <f t="shared" si="5"/>
        <v>314.15926535897933</v>
      </c>
      <c r="Y8" s="4">
        <v>245</v>
      </c>
      <c r="Z8" s="4">
        <v>1.1000000000000001</v>
      </c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V8" s="4">
        <v>440</v>
      </c>
      <c r="AW8" s="4">
        <v>685</v>
      </c>
      <c r="AX8" s="4">
        <v>580</v>
      </c>
      <c r="BI8" s="97" t="s">
        <v>393</v>
      </c>
      <c r="BJ8" s="24" t="s">
        <v>394</v>
      </c>
      <c r="BK8" s="98">
        <f>(BK7+BK9)/2</f>
        <v>28750</v>
      </c>
      <c r="BL8" s="99">
        <f t="shared" ref="BL8:BO8" si="7">(BL7+BL9)/2</f>
        <v>16.75</v>
      </c>
      <c r="BM8" s="99">
        <f>(BM7+BM9)/2</f>
        <v>13</v>
      </c>
      <c r="BN8" s="99">
        <f t="shared" si="7"/>
        <v>1.4500000000000002</v>
      </c>
      <c r="BO8" s="99">
        <f t="shared" si="7"/>
        <v>0.97500000000000009</v>
      </c>
      <c r="BP8" s="25" t="s">
        <v>395</v>
      </c>
      <c r="BQ8" s="25">
        <v>18</v>
      </c>
      <c r="CC8" s="113" t="s">
        <v>277</v>
      </c>
      <c r="CD8" s="114">
        <v>295</v>
      </c>
      <c r="CE8" s="114">
        <v>490</v>
      </c>
      <c r="CF8" s="113">
        <f t="shared" si="1"/>
        <v>295</v>
      </c>
      <c r="CG8" s="113">
        <f t="shared" si="2"/>
        <v>256.52173913043481</v>
      </c>
      <c r="CH8" s="113">
        <f t="shared" si="3"/>
        <v>295</v>
      </c>
      <c r="CI8" s="113">
        <f t="shared" si="4"/>
        <v>206.5</v>
      </c>
      <c r="CJ8" s="116">
        <v>200000</v>
      </c>
      <c r="DA8" s="110">
        <f t="shared" ref="DA8:DA16" si="8">DA7+0.1</f>
        <v>1.2000000000000002</v>
      </c>
      <c r="DB8" s="110">
        <v>6.3E-2</v>
      </c>
      <c r="DC8" s="110">
        <v>0.05</v>
      </c>
      <c r="DD8" s="119">
        <f>DD7+0.1</f>
        <v>0.7</v>
      </c>
      <c r="DE8" s="110">
        <v>6.3E-2</v>
      </c>
    </row>
    <row r="9" spans="1:118" ht="14.4">
      <c r="A9" s="14" t="s">
        <v>3</v>
      </c>
      <c r="B9" s="3">
        <f t="shared" si="0"/>
        <v>206000</v>
      </c>
      <c r="C9" s="3">
        <v>225</v>
      </c>
      <c r="D9" s="222">
        <v>360</v>
      </c>
      <c r="E9" s="223">
        <v>1.05</v>
      </c>
      <c r="F9" s="38"/>
      <c r="G9" s="38"/>
      <c r="H9" s="38"/>
      <c r="I9" s="38"/>
      <c r="V9" s="22">
        <v>22</v>
      </c>
      <c r="W9" s="4">
        <v>2.5</v>
      </c>
      <c r="X9" s="10">
        <f t="shared" si="5"/>
        <v>380.13271108436498</v>
      </c>
      <c r="Y9" s="4">
        <v>303</v>
      </c>
      <c r="Z9" s="4">
        <v>1.1000000000000001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V9" s="4">
        <v>450</v>
      </c>
      <c r="AW9" s="4">
        <v>700</v>
      </c>
      <c r="AX9" s="4">
        <v>595</v>
      </c>
      <c r="BI9" s="97" t="s">
        <v>275</v>
      </c>
      <c r="BJ9" s="24" t="s">
        <v>67</v>
      </c>
      <c r="BK9" s="98">
        <v>30000</v>
      </c>
      <c r="BL9" s="99">
        <v>18.5</v>
      </c>
      <c r="BM9" s="99">
        <v>14.5</v>
      </c>
      <c r="BN9" s="100">
        <v>1.55</v>
      </c>
      <c r="BO9" s="101">
        <v>1.05</v>
      </c>
      <c r="BP9" s="25" t="s">
        <v>276</v>
      </c>
      <c r="BQ9" s="25">
        <f t="shared" ref="BQ9:BQ16" si="9">VALUE(MID(BP9,2,2))</f>
        <v>20</v>
      </c>
      <c r="CC9" s="113" t="s">
        <v>280</v>
      </c>
      <c r="CD9" s="114">
        <v>390</v>
      </c>
      <c r="CE9" s="114">
        <v>590</v>
      </c>
      <c r="CF9" s="113">
        <f t="shared" si="1"/>
        <v>390</v>
      </c>
      <c r="CG9" s="113">
        <f t="shared" si="2"/>
        <v>339.13043478260875</v>
      </c>
      <c r="CH9" s="113">
        <f t="shared" si="3"/>
        <v>390</v>
      </c>
      <c r="CI9" s="113">
        <f t="shared" si="4"/>
        <v>273</v>
      </c>
      <c r="CJ9" s="116">
        <v>200000</v>
      </c>
      <c r="DA9" s="110">
        <f t="shared" si="8"/>
        <v>1.3000000000000003</v>
      </c>
      <c r="DB9" s="110">
        <v>6.9000000000000006E-2</v>
      </c>
      <c r="DC9" s="110">
        <v>0.05</v>
      </c>
      <c r="DD9" s="119">
        <f>DD8+0.1</f>
        <v>0.79999999999999993</v>
      </c>
      <c r="DE9" s="110">
        <v>6.9000000000000006E-2</v>
      </c>
    </row>
    <row r="10" spans="1:118" ht="14.4">
      <c r="A10" s="14" t="s">
        <v>5</v>
      </c>
      <c r="B10" s="3">
        <f t="shared" si="0"/>
        <v>206000</v>
      </c>
      <c r="C10" s="3">
        <v>215</v>
      </c>
      <c r="D10" s="222">
        <v>360</v>
      </c>
      <c r="E10" s="223">
        <v>1.05</v>
      </c>
      <c r="F10" s="38"/>
      <c r="G10" s="38"/>
      <c r="H10" s="38"/>
      <c r="I10" s="38"/>
      <c r="V10" s="22">
        <v>24</v>
      </c>
      <c r="W10" s="4">
        <v>3</v>
      </c>
      <c r="X10" s="10">
        <f t="shared" si="5"/>
        <v>452.38934211693021</v>
      </c>
      <c r="Y10" s="4">
        <v>353</v>
      </c>
      <c r="Z10" s="4">
        <v>1.1000000000000001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V10" s="4">
        <v>460</v>
      </c>
      <c r="AW10" s="4">
        <v>720</v>
      </c>
      <c r="AX10" s="4">
        <v>605</v>
      </c>
      <c r="BI10" s="97" t="s">
        <v>278</v>
      </c>
      <c r="BJ10" s="24" t="s">
        <v>68</v>
      </c>
      <c r="BK10" s="98">
        <v>32500</v>
      </c>
      <c r="BL10" s="99">
        <v>22</v>
      </c>
      <c r="BM10" s="99">
        <v>17</v>
      </c>
      <c r="BN10" s="100">
        <v>1.75</v>
      </c>
      <c r="BO10" s="101">
        <v>1.1499999999999999</v>
      </c>
      <c r="BP10" s="25" t="s">
        <v>279</v>
      </c>
      <c r="BQ10" s="25">
        <f t="shared" si="9"/>
        <v>25</v>
      </c>
      <c r="CC10" s="113" t="s">
        <v>283</v>
      </c>
      <c r="CD10" s="114">
        <v>240</v>
      </c>
      <c r="CE10" s="114">
        <v>380</v>
      </c>
      <c r="CF10" s="113">
        <f t="shared" si="1"/>
        <v>240</v>
      </c>
      <c r="CG10" s="113">
        <f>CD10/1.15</f>
        <v>208.69565217391306</v>
      </c>
      <c r="CH10" s="113">
        <f t="shared" si="3"/>
        <v>240</v>
      </c>
      <c r="CI10" s="113">
        <v>170</v>
      </c>
      <c r="CJ10" s="115">
        <v>200000</v>
      </c>
      <c r="DA10" s="110">
        <f t="shared" si="8"/>
        <v>1.4000000000000004</v>
      </c>
      <c r="DB10" s="110">
        <v>7.4999999999999997E-2</v>
      </c>
      <c r="DC10" s="110">
        <v>0.05</v>
      </c>
      <c r="DD10" s="119">
        <f>DD9+0.1</f>
        <v>0.89999999999999991</v>
      </c>
      <c r="DE10" s="110">
        <v>7.4999999999999997E-2</v>
      </c>
    </row>
    <row r="11" spans="1:118" ht="14.4">
      <c r="A11" s="14" t="s">
        <v>6</v>
      </c>
      <c r="B11" s="3">
        <f t="shared" si="0"/>
        <v>206000</v>
      </c>
      <c r="C11" s="3">
        <v>215</v>
      </c>
      <c r="D11" s="222">
        <v>360</v>
      </c>
      <c r="E11" s="223">
        <v>1.05</v>
      </c>
      <c r="F11" s="38"/>
      <c r="G11" s="38"/>
      <c r="H11" s="38"/>
      <c r="I11" s="38"/>
      <c r="V11" s="22">
        <v>27</v>
      </c>
      <c r="W11" s="4">
        <v>3</v>
      </c>
      <c r="X11" s="10">
        <f t="shared" si="5"/>
        <v>572.55526111673976</v>
      </c>
      <c r="Y11" s="4">
        <v>459</v>
      </c>
      <c r="Z11" s="4">
        <v>1.2</v>
      </c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V11" s="4">
        <v>470</v>
      </c>
      <c r="AW11" s="4">
        <v>735</v>
      </c>
      <c r="AX11" s="4">
        <v>620</v>
      </c>
      <c r="BI11" s="97" t="s">
        <v>281</v>
      </c>
      <c r="BJ11" s="24" t="s">
        <v>69</v>
      </c>
      <c r="BK11" s="98">
        <v>34500</v>
      </c>
      <c r="BL11" s="99">
        <v>25.5</v>
      </c>
      <c r="BM11" s="99">
        <v>19.5</v>
      </c>
      <c r="BN11" s="100">
        <v>1.95</v>
      </c>
      <c r="BO11" s="101">
        <v>1.3</v>
      </c>
      <c r="BP11" s="25" t="s">
        <v>282</v>
      </c>
      <c r="BQ11" s="25">
        <f t="shared" si="9"/>
        <v>28</v>
      </c>
      <c r="CC11" s="113" t="s">
        <v>286</v>
      </c>
      <c r="CD11" s="114">
        <v>300</v>
      </c>
      <c r="CE11" s="114">
        <v>440</v>
      </c>
      <c r="CF11" s="113">
        <f t="shared" si="1"/>
        <v>300</v>
      </c>
      <c r="CG11" s="113">
        <f t="shared" ref="CG11:CG14" si="10">CD11/1.15</f>
        <v>260.86956521739131</v>
      </c>
      <c r="CH11" s="113">
        <f t="shared" si="3"/>
        <v>300</v>
      </c>
      <c r="CI11" s="113">
        <v>210</v>
      </c>
      <c r="CJ11" s="115">
        <v>200000</v>
      </c>
      <c r="DA11" s="110">
        <f t="shared" si="8"/>
        <v>1.5000000000000004</v>
      </c>
      <c r="DB11" s="110">
        <v>8.1000000000000003E-2</v>
      </c>
      <c r="DC11" s="110">
        <v>0.05</v>
      </c>
      <c r="DD11" s="119">
        <f>DD10+0.1</f>
        <v>0.99999999999999989</v>
      </c>
      <c r="DE11" s="110">
        <v>8.1000000000000003E-2</v>
      </c>
    </row>
    <row r="12" spans="1:118" ht="14.4">
      <c r="A12" s="14" t="s">
        <v>7</v>
      </c>
      <c r="B12" s="3">
        <f t="shared" si="0"/>
        <v>206000</v>
      </c>
      <c r="C12" s="3">
        <v>215</v>
      </c>
      <c r="D12" s="222">
        <v>360</v>
      </c>
      <c r="E12" s="223">
        <v>1.05</v>
      </c>
      <c r="F12" s="38"/>
      <c r="G12" s="38"/>
      <c r="H12" s="38"/>
      <c r="I12" s="38"/>
      <c r="V12" s="22">
        <v>30</v>
      </c>
      <c r="W12" s="4">
        <v>3.5</v>
      </c>
      <c r="X12" s="10">
        <f t="shared" si="5"/>
        <v>706.85834705770344</v>
      </c>
      <c r="Y12" s="4">
        <v>561</v>
      </c>
      <c r="Z12" s="4">
        <v>1.3</v>
      </c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V12" s="4">
        <v>480</v>
      </c>
      <c r="AW12" s="4">
        <v>750</v>
      </c>
      <c r="AX12" s="4">
        <v>630</v>
      </c>
      <c r="BI12" s="97" t="s">
        <v>284</v>
      </c>
      <c r="BJ12" s="24" t="s">
        <v>70</v>
      </c>
      <c r="BK12" s="98">
        <v>36000</v>
      </c>
      <c r="BL12" s="99">
        <v>29</v>
      </c>
      <c r="BM12" s="99">
        <v>22</v>
      </c>
      <c r="BN12" s="100">
        <v>2.1</v>
      </c>
      <c r="BO12" s="101">
        <v>1.4</v>
      </c>
      <c r="BP12" s="25" t="s">
        <v>285</v>
      </c>
      <c r="BQ12" s="25">
        <f t="shared" si="9"/>
        <v>32</v>
      </c>
      <c r="CC12" s="113" t="s">
        <v>290</v>
      </c>
      <c r="CD12" s="114">
        <v>300</v>
      </c>
      <c r="CE12" s="114">
        <v>450</v>
      </c>
      <c r="CF12" s="113">
        <f t="shared" si="1"/>
        <v>300</v>
      </c>
      <c r="CG12" s="113">
        <f t="shared" si="10"/>
        <v>260.86956521739131</v>
      </c>
      <c r="CH12" s="113">
        <f t="shared" si="3"/>
        <v>300</v>
      </c>
      <c r="CI12" s="113">
        <v>210</v>
      </c>
      <c r="CJ12" s="115">
        <v>200000</v>
      </c>
      <c r="DA12" s="110">
        <f t="shared" si="8"/>
        <v>1.6000000000000005</v>
      </c>
      <c r="DB12" s="110">
        <v>8.5999999999999993E-2</v>
      </c>
      <c r="DC12" s="110">
        <v>4.9000000000000002E-2</v>
      </c>
      <c r="DD12" s="119">
        <v>1.2</v>
      </c>
      <c r="DE12" s="110">
        <v>8.5999999999999993E-2</v>
      </c>
    </row>
    <row r="13" spans="1:118" ht="14.4">
      <c r="A13" s="14" t="s">
        <v>8</v>
      </c>
      <c r="B13" s="3">
        <f t="shared" si="0"/>
        <v>206000</v>
      </c>
      <c r="C13" s="3">
        <v>275</v>
      </c>
      <c r="D13" s="222">
        <v>410</v>
      </c>
      <c r="E13" s="223">
        <v>1.05</v>
      </c>
      <c r="F13" s="38"/>
      <c r="G13" s="38"/>
      <c r="H13" s="38"/>
      <c r="I13" s="38"/>
      <c r="V13" s="22">
        <v>36</v>
      </c>
      <c r="W13" s="4">
        <v>4</v>
      </c>
      <c r="X13" s="10">
        <f t="shared" si="5"/>
        <v>1017.8760197630929</v>
      </c>
      <c r="Y13" s="4">
        <v>816</v>
      </c>
      <c r="Z13" s="4">
        <v>1.3</v>
      </c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V13" s="4">
        <v>490</v>
      </c>
      <c r="AW13" s="4">
        <v>765</v>
      </c>
      <c r="AX13" s="4">
        <v>645</v>
      </c>
      <c r="BI13" s="97" t="s">
        <v>287</v>
      </c>
      <c r="BJ13" s="24" t="s">
        <v>288</v>
      </c>
      <c r="BK13" s="98">
        <v>37000</v>
      </c>
      <c r="BL13" s="99">
        <v>32</v>
      </c>
      <c r="BM13" s="99">
        <v>25</v>
      </c>
      <c r="BN13" s="100">
        <v>2.25</v>
      </c>
      <c r="BO13" s="101">
        <v>1.5</v>
      </c>
      <c r="BP13" s="25" t="s">
        <v>289</v>
      </c>
      <c r="BQ13" s="25">
        <f t="shared" si="9"/>
        <v>35</v>
      </c>
      <c r="CC13" s="113" t="s">
        <v>294</v>
      </c>
      <c r="CD13" s="114">
        <v>400</v>
      </c>
      <c r="CE13" s="114">
        <v>570</v>
      </c>
      <c r="CF13" s="113">
        <f t="shared" si="1"/>
        <v>400</v>
      </c>
      <c r="CG13" s="113">
        <f t="shared" si="10"/>
        <v>347.82608695652175</v>
      </c>
      <c r="CH13" s="113">
        <f t="shared" si="3"/>
        <v>400</v>
      </c>
      <c r="CI13" s="113">
        <v>280</v>
      </c>
      <c r="CJ13" s="115">
        <v>200000</v>
      </c>
      <c r="DA13" s="110">
        <f t="shared" si="8"/>
        <v>1.7000000000000006</v>
      </c>
      <c r="DB13" s="110">
        <v>9.0999999999999998E-2</v>
      </c>
      <c r="DC13" s="110">
        <v>4.8000000000000001E-2</v>
      </c>
      <c r="DD13" s="119">
        <v>1.4</v>
      </c>
      <c r="DE13" s="110">
        <v>9.0999999999999998E-2</v>
      </c>
    </row>
    <row r="14" spans="1:118" ht="14.4">
      <c r="A14" s="14" t="s">
        <v>9</v>
      </c>
      <c r="B14" s="3">
        <f t="shared" si="0"/>
        <v>206000</v>
      </c>
      <c r="C14" s="3">
        <v>265</v>
      </c>
      <c r="D14" s="222">
        <v>410</v>
      </c>
      <c r="E14" s="223">
        <v>1.05</v>
      </c>
      <c r="F14" s="38"/>
      <c r="G14" s="38"/>
      <c r="H14" s="38"/>
      <c r="I14" s="38"/>
      <c r="V14" s="22">
        <v>42</v>
      </c>
      <c r="W14" s="4">
        <v>4.5</v>
      </c>
      <c r="X14" s="10">
        <f t="shared" si="5"/>
        <v>1385.4423602330987</v>
      </c>
      <c r="Y14" s="4">
        <v>1120</v>
      </c>
      <c r="Z14" s="4">
        <v>1.6</v>
      </c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V14" s="4">
        <v>510</v>
      </c>
      <c r="AW14" s="4">
        <v>795</v>
      </c>
      <c r="AX14" s="4">
        <v>670</v>
      </c>
      <c r="BI14" s="97" t="s">
        <v>291</v>
      </c>
      <c r="BJ14" s="24" t="s">
        <v>292</v>
      </c>
      <c r="BK14" s="98">
        <v>38000</v>
      </c>
      <c r="BL14" s="99">
        <v>36</v>
      </c>
      <c r="BM14" s="99">
        <v>27.5</v>
      </c>
      <c r="BN14" s="100">
        <v>2.4500000000000002</v>
      </c>
      <c r="BO14" s="101">
        <v>1.6</v>
      </c>
      <c r="BP14" s="25" t="s">
        <v>293</v>
      </c>
      <c r="BQ14" s="25">
        <f t="shared" si="9"/>
        <v>40</v>
      </c>
      <c r="CC14" s="113" t="s">
        <v>297</v>
      </c>
      <c r="CD14" s="114">
        <v>500</v>
      </c>
      <c r="CE14" s="114">
        <v>650</v>
      </c>
      <c r="CF14" s="113">
        <f t="shared" si="1"/>
        <v>500</v>
      </c>
      <c r="CG14" s="113">
        <f t="shared" si="10"/>
        <v>434.78260869565219</v>
      </c>
      <c r="CH14" s="113">
        <f t="shared" si="3"/>
        <v>500</v>
      </c>
      <c r="CI14" s="113">
        <v>300</v>
      </c>
      <c r="CJ14" s="115">
        <v>200000</v>
      </c>
      <c r="DA14" s="110">
        <f t="shared" si="8"/>
        <v>1.8000000000000007</v>
      </c>
      <c r="DB14" s="110">
        <v>9.4E-2</v>
      </c>
      <c r="DC14" s="110">
        <v>4.8000000000000001E-2</v>
      </c>
      <c r="DD14" s="119">
        <v>2</v>
      </c>
      <c r="DE14" s="110">
        <v>9.4E-2</v>
      </c>
    </row>
    <row r="15" spans="1:118" ht="14.4">
      <c r="A15" s="14" t="s">
        <v>10</v>
      </c>
      <c r="B15" s="3">
        <f t="shared" si="0"/>
        <v>206000</v>
      </c>
      <c r="C15" s="3">
        <v>255</v>
      </c>
      <c r="D15" s="222">
        <v>410</v>
      </c>
      <c r="E15" s="223">
        <v>1.05</v>
      </c>
      <c r="F15" s="38"/>
      <c r="G15" s="38"/>
      <c r="H15" s="38"/>
      <c r="I15" s="38"/>
      <c r="V15" s="22">
        <v>48</v>
      </c>
      <c r="W15" s="4">
        <v>5</v>
      </c>
      <c r="X15" s="10">
        <f t="shared" si="5"/>
        <v>1809.5573684677208</v>
      </c>
      <c r="Y15" s="4">
        <v>1472</v>
      </c>
      <c r="Z15" s="4">
        <v>1.6</v>
      </c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V15" s="4">
        <v>540</v>
      </c>
      <c r="AW15" s="4">
        <v>845</v>
      </c>
      <c r="AX15" s="4">
        <v>710</v>
      </c>
      <c r="BI15" s="97" t="s">
        <v>291</v>
      </c>
      <c r="BJ15" s="24" t="s">
        <v>295</v>
      </c>
      <c r="BK15" s="98">
        <v>39000</v>
      </c>
      <c r="BL15" s="99">
        <v>39.5</v>
      </c>
      <c r="BM15" s="99">
        <v>30</v>
      </c>
      <c r="BN15" s="100">
        <v>2.6</v>
      </c>
      <c r="BO15" s="101">
        <v>1.7</v>
      </c>
      <c r="BP15" s="25" t="s">
        <v>296</v>
      </c>
      <c r="BQ15" s="25">
        <f t="shared" si="9"/>
        <v>45</v>
      </c>
      <c r="CC15" s="113" t="s">
        <v>301</v>
      </c>
      <c r="CD15" s="114">
        <v>235</v>
      </c>
      <c r="CE15" s="114">
        <v>380</v>
      </c>
      <c r="CF15" s="113">
        <f t="shared" si="1"/>
        <v>235</v>
      </c>
      <c r="CG15" s="113">
        <f t="shared" si="2"/>
        <v>204.34782608695653</v>
      </c>
      <c r="CH15" s="113">
        <f t="shared" si="3"/>
        <v>235</v>
      </c>
      <c r="CI15" s="113">
        <f t="shared" si="4"/>
        <v>164.5</v>
      </c>
      <c r="CJ15" s="117">
        <v>200000</v>
      </c>
      <c r="DA15" s="110">
        <f t="shared" si="8"/>
        <v>1.9000000000000008</v>
      </c>
      <c r="DB15" s="110">
        <v>9.8000000000000004E-2</v>
      </c>
      <c r="DC15" s="110">
        <v>4.7E-2</v>
      </c>
      <c r="DD15" s="119">
        <v>2.0000100000000001</v>
      </c>
      <c r="DE15" s="110">
        <v>9.8000000000000004E-2</v>
      </c>
    </row>
    <row r="16" spans="1:118" ht="15" thickBot="1">
      <c r="A16" s="14" t="s">
        <v>11</v>
      </c>
      <c r="B16" s="3">
        <f t="shared" si="0"/>
        <v>206000</v>
      </c>
      <c r="C16" s="3">
        <v>245</v>
      </c>
      <c r="D16" s="222">
        <v>410</v>
      </c>
      <c r="E16" s="223">
        <v>1.05</v>
      </c>
      <c r="F16" s="38"/>
      <c r="G16" s="38"/>
      <c r="H16" s="38"/>
      <c r="I16" s="38"/>
      <c r="AV16" s="4">
        <v>570</v>
      </c>
      <c r="AW16" s="4">
        <v>890</v>
      </c>
      <c r="AX16" s="4">
        <v>750</v>
      </c>
      <c r="BI16" s="102" t="s">
        <v>298</v>
      </c>
      <c r="BJ16" s="103" t="s">
        <v>299</v>
      </c>
      <c r="BK16" s="104">
        <v>39500</v>
      </c>
      <c r="BL16" s="105">
        <v>43</v>
      </c>
      <c r="BM16" s="105">
        <v>33</v>
      </c>
      <c r="BN16" s="106">
        <v>2.75</v>
      </c>
      <c r="BO16" s="107">
        <v>1.8</v>
      </c>
      <c r="BP16" s="25" t="s">
        <v>300</v>
      </c>
      <c r="BQ16" s="25">
        <f t="shared" si="9"/>
        <v>50</v>
      </c>
      <c r="CC16" s="113" t="s">
        <v>302</v>
      </c>
      <c r="CD16" s="114">
        <v>295</v>
      </c>
      <c r="CE16" s="114">
        <v>440</v>
      </c>
      <c r="CF16" s="113">
        <f t="shared" si="1"/>
        <v>295</v>
      </c>
      <c r="CG16" s="113">
        <f t="shared" si="2"/>
        <v>256.52173913043481</v>
      </c>
      <c r="CH16" s="113">
        <f t="shared" si="3"/>
        <v>295</v>
      </c>
      <c r="CI16" s="113">
        <f t="shared" si="4"/>
        <v>206.5</v>
      </c>
      <c r="CJ16" s="117">
        <v>200000</v>
      </c>
      <c r="DA16" s="110">
        <f t="shared" si="8"/>
        <v>2.0000000000000009</v>
      </c>
      <c r="DB16" s="110">
        <v>0.1</v>
      </c>
      <c r="DC16" s="110">
        <v>4.5999999999999999E-2</v>
      </c>
      <c r="DD16" s="119">
        <v>100</v>
      </c>
      <c r="DE16" s="110">
        <v>9.8000000000000004E-2</v>
      </c>
    </row>
    <row r="17" spans="1:109">
      <c r="A17" s="14" t="s">
        <v>12</v>
      </c>
      <c r="B17" s="3">
        <f t="shared" si="0"/>
        <v>206000</v>
      </c>
      <c r="C17" s="3">
        <v>235</v>
      </c>
      <c r="D17" s="222">
        <v>410</v>
      </c>
      <c r="E17" s="223">
        <v>1.05</v>
      </c>
      <c r="F17" s="38"/>
      <c r="G17" s="38"/>
      <c r="H17" s="38"/>
      <c r="I17" s="38"/>
      <c r="AV17" s="4">
        <v>590</v>
      </c>
      <c r="AW17" s="4">
        <v>920</v>
      </c>
      <c r="AX17" s="4">
        <v>775</v>
      </c>
      <c r="CC17" s="113" t="s">
        <v>303</v>
      </c>
      <c r="CD17" s="114">
        <v>295</v>
      </c>
      <c r="CE17" s="114">
        <v>440</v>
      </c>
      <c r="CF17" s="113">
        <f t="shared" si="1"/>
        <v>295</v>
      </c>
      <c r="CG17" s="113">
        <f t="shared" si="2"/>
        <v>256.52173913043481</v>
      </c>
      <c r="CH17" s="113">
        <f t="shared" si="3"/>
        <v>295</v>
      </c>
      <c r="CI17" s="113">
        <f t="shared" si="4"/>
        <v>206.5</v>
      </c>
      <c r="CJ17" s="117">
        <v>200000</v>
      </c>
      <c r="DA17" s="110">
        <v>2.0001000000000002</v>
      </c>
      <c r="DB17" s="110">
        <v>0.125</v>
      </c>
      <c r="DC17" s="110">
        <v>3.6999999999999998E-2</v>
      </c>
      <c r="DD17" s="110"/>
      <c r="DE17" s="110"/>
    </row>
    <row r="18" spans="1:109">
      <c r="A18" s="14" t="s">
        <v>13</v>
      </c>
      <c r="B18" s="3">
        <f t="shared" si="0"/>
        <v>206000</v>
      </c>
      <c r="C18" s="3">
        <v>355</v>
      </c>
      <c r="D18" s="222">
        <v>470</v>
      </c>
      <c r="E18" s="223">
        <v>1.05</v>
      </c>
      <c r="F18" s="38"/>
      <c r="G18" s="38"/>
      <c r="H18" s="38"/>
      <c r="I18" s="38"/>
      <c r="AV18" s="4"/>
      <c r="AW18" s="4"/>
      <c r="AX18" s="4"/>
      <c r="CC18" s="113" t="s">
        <v>304</v>
      </c>
      <c r="CD18" s="114">
        <v>390</v>
      </c>
      <c r="CE18" s="114">
        <v>560</v>
      </c>
      <c r="CF18" s="113">
        <f t="shared" si="1"/>
        <v>390</v>
      </c>
      <c r="CG18" s="113">
        <f t="shared" si="2"/>
        <v>339.13043478260875</v>
      </c>
      <c r="CH18" s="113">
        <f t="shared" si="3"/>
        <v>390</v>
      </c>
      <c r="CI18" s="113">
        <f t="shared" si="4"/>
        <v>273</v>
      </c>
      <c r="CJ18" s="116">
        <v>200000</v>
      </c>
      <c r="DA18" s="110">
        <v>999</v>
      </c>
      <c r="DB18" s="110">
        <v>0.125</v>
      </c>
      <c r="DC18" s="110">
        <v>3.6999999999999998E-2</v>
      </c>
      <c r="DD18" s="110"/>
      <c r="DE18" s="110"/>
    </row>
    <row r="19" spans="1:109">
      <c r="A19" s="14" t="s">
        <v>14</v>
      </c>
      <c r="B19" s="3">
        <f t="shared" si="0"/>
        <v>206000</v>
      </c>
      <c r="C19" s="3">
        <v>345</v>
      </c>
      <c r="D19" s="222">
        <v>470</v>
      </c>
      <c r="E19" s="223">
        <v>1.05</v>
      </c>
      <c r="F19" s="38"/>
      <c r="G19" s="38"/>
      <c r="H19" s="38"/>
      <c r="I19" s="38"/>
      <c r="AV19" s="4"/>
      <c r="AW19" s="4"/>
      <c r="AX19" s="4"/>
      <c r="CC19" s="113" t="s">
        <v>305</v>
      </c>
      <c r="CD19" s="114">
        <v>490</v>
      </c>
      <c r="CE19" s="114">
        <v>620</v>
      </c>
      <c r="CF19" s="113">
        <f t="shared" si="1"/>
        <v>490</v>
      </c>
      <c r="CG19" s="113">
        <f t="shared" si="2"/>
        <v>426.08695652173918</v>
      </c>
      <c r="CH19" s="113">
        <f t="shared" si="3"/>
        <v>490</v>
      </c>
      <c r="CI19" s="113">
        <f t="shared" si="4"/>
        <v>343</v>
      </c>
      <c r="CJ19" s="117">
        <v>200000</v>
      </c>
    </row>
    <row r="20" spans="1:109">
      <c r="A20" s="14" t="s">
        <v>15</v>
      </c>
      <c r="B20" s="3">
        <f t="shared" si="0"/>
        <v>206000</v>
      </c>
      <c r="C20" s="3">
        <v>335</v>
      </c>
      <c r="D20" s="222">
        <v>470</v>
      </c>
      <c r="E20" s="223">
        <v>1.05</v>
      </c>
      <c r="F20" s="38"/>
      <c r="G20" s="38"/>
      <c r="H20" s="38"/>
      <c r="I20" s="38"/>
      <c r="AV20" s="4"/>
      <c r="AW20" s="4"/>
      <c r="AX20" s="4"/>
      <c r="CC20" s="108"/>
      <c r="CD20" s="109"/>
      <c r="CE20" s="109"/>
    </row>
    <row r="21" spans="1:109">
      <c r="A21" s="14" t="s">
        <v>16</v>
      </c>
      <c r="B21" s="3">
        <f t="shared" si="0"/>
        <v>206000</v>
      </c>
      <c r="C21" s="3">
        <v>325</v>
      </c>
      <c r="D21" s="222">
        <v>470</v>
      </c>
      <c r="E21" s="223">
        <v>1.05</v>
      </c>
      <c r="F21" s="38"/>
      <c r="G21" s="38"/>
      <c r="H21" s="38"/>
      <c r="I21" s="38"/>
      <c r="AV21" s="4"/>
      <c r="AW21" s="4"/>
      <c r="AX21" s="4"/>
      <c r="CC21" s="108"/>
      <c r="CD21" s="109"/>
      <c r="CE21" s="109"/>
    </row>
    <row r="22" spans="1:109">
      <c r="A22" s="14" t="s">
        <v>17</v>
      </c>
      <c r="B22" s="3">
        <f t="shared" si="0"/>
        <v>206000</v>
      </c>
      <c r="C22" s="3">
        <v>315</v>
      </c>
      <c r="D22" s="222">
        <v>470</v>
      </c>
      <c r="E22" s="223">
        <v>1.05</v>
      </c>
      <c r="F22" s="38"/>
      <c r="G22" s="38"/>
      <c r="H22" s="38"/>
      <c r="I22" s="38"/>
      <c r="AV22" s="4"/>
      <c r="AW22" s="4"/>
      <c r="AX22" s="4"/>
    </row>
    <row r="23" spans="1:109">
      <c r="A23" s="14" t="s">
        <v>306</v>
      </c>
      <c r="B23" s="3">
        <f t="shared" si="0"/>
        <v>206000</v>
      </c>
      <c r="C23" s="3">
        <v>205</v>
      </c>
      <c r="D23" s="222">
        <v>330</v>
      </c>
      <c r="E23" s="223">
        <v>1.05</v>
      </c>
      <c r="F23" s="38"/>
      <c r="G23" s="38"/>
      <c r="H23" s="38"/>
      <c r="I23" s="38"/>
      <c r="AV23" s="4"/>
      <c r="AW23" s="4"/>
      <c r="AX23" s="4"/>
    </row>
    <row r="24" spans="1:109">
      <c r="A24" s="14" t="s">
        <v>307</v>
      </c>
      <c r="B24" s="3">
        <f t="shared" si="0"/>
        <v>206000</v>
      </c>
      <c r="C24" s="3">
        <v>195</v>
      </c>
      <c r="D24" s="222">
        <v>330</v>
      </c>
      <c r="E24" s="223">
        <v>1.05</v>
      </c>
      <c r="F24" s="38"/>
      <c r="G24" s="38"/>
      <c r="H24" s="38"/>
      <c r="I24" s="38"/>
    </row>
    <row r="25" spans="1:109">
      <c r="A25" s="14" t="s">
        <v>308</v>
      </c>
      <c r="B25" s="3">
        <f t="shared" si="0"/>
        <v>206000</v>
      </c>
      <c r="C25" s="3">
        <v>245</v>
      </c>
      <c r="D25" s="222">
        <v>400</v>
      </c>
      <c r="E25" s="223">
        <v>1.05</v>
      </c>
      <c r="F25" s="38"/>
      <c r="G25" s="38"/>
      <c r="H25" s="38"/>
      <c r="I25" s="38"/>
    </row>
    <row r="26" spans="1:109">
      <c r="A26" s="14" t="s">
        <v>309</v>
      </c>
      <c r="B26" s="3">
        <f t="shared" si="0"/>
        <v>206000</v>
      </c>
      <c r="C26" s="3">
        <v>235</v>
      </c>
      <c r="D26" s="222">
        <v>400</v>
      </c>
      <c r="E26" s="223">
        <v>1.05</v>
      </c>
      <c r="F26" s="38"/>
      <c r="G26" s="38"/>
      <c r="H26" s="38"/>
      <c r="I26" s="38"/>
    </row>
    <row r="27" spans="1:109">
      <c r="A27" s="14" t="s">
        <v>310</v>
      </c>
      <c r="B27" s="3">
        <f t="shared" si="0"/>
        <v>206000</v>
      </c>
      <c r="C27" s="3">
        <v>285</v>
      </c>
      <c r="D27" s="222">
        <v>490</v>
      </c>
      <c r="E27" s="223">
        <v>1.05</v>
      </c>
      <c r="F27" s="38"/>
      <c r="G27" s="38"/>
      <c r="H27" s="38"/>
      <c r="I27" s="38"/>
    </row>
    <row r="28" spans="1:109">
      <c r="A28" s="14" t="s">
        <v>311</v>
      </c>
      <c r="B28" s="3">
        <f t="shared" si="0"/>
        <v>206000</v>
      </c>
      <c r="C28" s="3">
        <v>275</v>
      </c>
      <c r="D28" s="222">
        <v>490</v>
      </c>
      <c r="E28" s="223">
        <v>1.05</v>
      </c>
      <c r="F28" s="38"/>
      <c r="G28" s="38"/>
      <c r="H28" s="38"/>
      <c r="I28" s="38"/>
    </row>
    <row r="29" spans="1:109">
      <c r="A29" s="14" t="s">
        <v>312</v>
      </c>
      <c r="B29" s="3">
        <f t="shared" si="0"/>
        <v>206000</v>
      </c>
      <c r="C29" s="3">
        <v>400</v>
      </c>
      <c r="D29" s="222">
        <v>540</v>
      </c>
      <c r="E29" s="223">
        <v>1.05</v>
      </c>
      <c r="F29" s="38"/>
      <c r="G29" s="38"/>
      <c r="H29" s="38"/>
      <c r="I29" s="38"/>
    </row>
    <row r="30" spans="1:109">
      <c r="A30" s="14" t="s">
        <v>313</v>
      </c>
      <c r="B30" s="3">
        <f t="shared" si="0"/>
        <v>206000</v>
      </c>
      <c r="C30" s="3">
        <v>390</v>
      </c>
      <c r="D30" s="222">
        <v>540</v>
      </c>
      <c r="E30" s="223">
        <v>1.05</v>
      </c>
    </row>
    <row r="31" spans="1:109">
      <c r="A31" s="14" t="s">
        <v>413</v>
      </c>
      <c r="B31" s="3">
        <f t="shared" si="0"/>
        <v>206000</v>
      </c>
      <c r="C31" s="3">
        <v>220</v>
      </c>
      <c r="D31" s="222">
        <v>340</v>
      </c>
      <c r="E31" s="223">
        <v>1.05</v>
      </c>
    </row>
    <row r="32" spans="1:109">
      <c r="A32" s="14" t="s">
        <v>414</v>
      </c>
      <c r="B32" s="3">
        <f t="shared" si="0"/>
        <v>206000</v>
      </c>
      <c r="C32" s="3">
        <v>240</v>
      </c>
      <c r="D32" s="222">
        <v>380</v>
      </c>
      <c r="E32" s="223">
        <v>1.05</v>
      </c>
    </row>
    <row r="33" spans="1:5">
      <c r="A33" s="14" t="s">
        <v>415</v>
      </c>
      <c r="B33" s="3">
        <f t="shared" si="0"/>
        <v>206000</v>
      </c>
      <c r="C33" s="3">
        <v>260</v>
      </c>
      <c r="D33" s="222">
        <v>420</v>
      </c>
      <c r="E33" s="223">
        <v>1.05</v>
      </c>
    </row>
  </sheetData>
  <mergeCells count="17">
    <mergeCell ref="DA2:DC3"/>
    <mergeCell ref="DD2:DE3"/>
    <mergeCell ref="DF1:DG1"/>
    <mergeCell ref="BL2:BM2"/>
    <mergeCell ref="BN2:BO2"/>
    <mergeCell ref="CC2:CC3"/>
    <mergeCell ref="BP3:BP4"/>
    <mergeCell ref="DA1:DE1"/>
    <mergeCell ref="BK1:BK3"/>
    <mergeCell ref="BL1:BO1"/>
    <mergeCell ref="BP1:BQ2"/>
    <mergeCell ref="CC1:CJ1"/>
    <mergeCell ref="K1:O2"/>
    <mergeCell ref="V1:Z2"/>
    <mergeCell ref="AV1:AX1"/>
    <mergeCell ref="AZ1:BB1"/>
    <mergeCell ref="BI1:BJ4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</sheetPr>
  <dimension ref="A1:FZ1522"/>
  <sheetViews>
    <sheetView showGridLines="0" tabSelected="1" topLeftCell="AV11" zoomScale="130" zoomScaleNormal="130" zoomScaleSheetLayoutView="100" workbookViewId="0">
      <selection activeCell="BO23" sqref="BO23"/>
    </sheetView>
  </sheetViews>
  <sheetFormatPr defaultColWidth="7.33203125" defaultRowHeight="13.8"/>
  <cols>
    <col min="1" max="2" width="5.6640625" style="1" customWidth="1"/>
    <col min="3" max="3" width="6.5546875" style="1" customWidth="1"/>
    <col min="4" max="4" width="7" style="1" customWidth="1"/>
    <col min="5" max="8" width="5.6640625" style="1" customWidth="1"/>
    <col min="9" max="9" width="6.88671875" style="1" customWidth="1"/>
    <col min="10" max="11" width="5.6640625" style="1" customWidth="1"/>
    <col min="12" max="12" width="2.88671875" style="16" customWidth="1"/>
    <col min="13" max="14" width="7.33203125" style="1"/>
    <col min="15" max="15" width="8.6640625" style="1" customWidth="1"/>
    <col min="16" max="16" width="7.33203125" style="1"/>
    <col min="17" max="17" width="7.33203125" style="1" customWidth="1"/>
    <col min="18" max="18" width="8" style="1" customWidth="1"/>
    <col min="19" max="21" width="7.6640625" style="1" customWidth="1"/>
    <col min="22" max="22" width="8.109375" style="1" customWidth="1"/>
    <col min="23" max="24" width="7.6640625" style="1" customWidth="1"/>
    <col min="25" max="25" width="7.33203125" style="1" hidden="1" customWidth="1"/>
    <col min="26" max="26" width="2.88671875" style="16" customWidth="1"/>
    <col min="27" max="28" width="5.33203125" style="75" customWidth="1"/>
    <col min="29" max="29" width="5.33203125" style="76" customWidth="1"/>
    <col min="30" max="34" width="5.33203125" style="28" customWidth="1"/>
    <col min="35" max="37" width="5.33203125" style="75" customWidth="1"/>
    <col min="38" max="38" width="4.44140625" style="75" customWidth="1"/>
    <col min="39" max="39" width="5.33203125" style="75" customWidth="1"/>
    <col min="40" max="40" width="4.109375" style="75" customWidth="1"/>
    <col min="41" max="48" width="5.33203125" style="75" customWidth="1"/>
    <col min="49" max="49" width="5.6640625" style="75" bestFit="1" customWidth="1"/>
    <col min="50" max="50" width="5.33203125" style="75" customWidth="1"/>
    <col min="51" max="51" width="5.6640625" style="75" customWidth="1"/>
    <col min="52" max="52" width="5.33203125" style="75" customWidth="1"/>
    <col min="53" max="53" width="7.5546875" style="75" customWidth="1"/>
    <col min="54" max="55" width="5.6640625" style="77" customWidth="1"/>
    <col min="56" max="58" width="7.33203125" style="29" customWidth="1"/>
    <col min="59" max="59" width="7.33203125" style="29"/>
    <col min="60" max="64" width="4.6640625" style="48" customWidth="1"/>
    <col min="65" max="65" width="4.6640625" style="2" customWidth="1"/>
    <col min="66" max="66" width="4.109375" style="2" customWidth="1"/>
    <col min="67" max="71" width="4.6640625" style="2" customWidth="1"/>
    <col min="72" max="72" width="5.44140625" style="2" bestFit="1" customWidth="1"/>
    <col min="73" max="73" width="6" style="2" bestFit="1" customWidth="1"/>
    <col min="74" max="75" width="4.6640625" style="2" customWidth="1"/>
    <col min="76" max="76" width="6.44140625" style="2" bestFit="1" customWidth="1"/>
    <col min="77" max="78" width="4.6640625" style="2" customWidth="1"/>
    <col min="79" max="103" width="7.33203125" style="1" hidden="1" customWidth="1"/>
    <col min="104" max="104" width="2.88671875" style="16" customWidth="1"/>
    <col min="105" max="105" width="5.33203125" style="75" customWidth="1"/>
    <col min="106" max="106" width="5.33203125" style="28" customWidth="1"/>
    <col min="107" max="107" width="5.33203125" style="76" customWidth="1"/>
    <col min="108" max="111" width="5.33203125" style="28" customWidth="1"/>
    <col min="112" max="112" width="5.33203125" style="28" hidden="1" customWidth="1"/>
    <col min="113" max="115" width="5.33203125" style="75" customWidth="1"/>
    <col min="116" max="116" width="4.44140625" style="75" hidden="1" customWidth="1"/>
    <col min="117" max="117" width="5.33203125" style="75" hidden="1" customWidth="1"/>
    <col min="118" max="118" width="4.109375" style="75" customWidth="1"/>
    <col min="119" max="119" width="5.33203125" style="75" customWidth="1"/>
    <col min="120" max="126" width="5.33203125" style="75" hidden="1" customWidth="1"/>
    <col min="127" max="127" width="5.6640625" style="75" bestFit="1" customWidth="1"/>
    <col min="128" max="128" width="5.33203125" style="75" customWidth="1"/>
    <col min="129" max="129" width="5.6640625" style="75" customWidth="1"/>
    <col min="130" max="130" width="5.33203125" style="75" customWidth="1"/>
    <col min="131" max="131" width="7.5546875" style="75" customWidth="1"/>
    <col min="132" max="133" width="5.6640625" style="77" customWidth="1"/>
    <col min="134" max="134" width="7.33203125" style="29" customWidth="1"/>
    <col min="135" max="135" width="7.33203125" style="29" hidden="1" customWidth="1"/>
    <col min="136" max="136" width="7.33203125" style="29" customWidth="1"/>
    <col min="137" max="137" width="7.33203125" style="29"/>
    <col min="138" max="142" width="4.6640625" style="48" hidden="1" customWidth="1"/>
    <col min="143" max="143" width="4.6640625" style="2" hidden="1" customWidth="1"/>
    <col min="144" max="144" width="4.109375" style="2" hidden="1" customWidth="1"/>
    <col min="145" max="147" width="4.6640625" style="2" hidden="1" customWidth="1"/>
    <col min="148" max="148" width="4.6640625" style="2" customWidth="1"/>
    <col min="149" max="149" width="4.6640625" style="34" customWidth="1"/>
    <col min="150" max="150" width="5.44140625" style="2" hidden="1" customWidth="1"/>
    <col min="151" max="151" width="6" style="2" hidden="1" customWidth="1"/>
    <col min="152" max="153" width="4.6640625" style="2" customWidth="1"/>
    <col min="154" max="154" width="5.44140625" style="2" hidden="1" customWidth="1"/>
    <col min="155" max="156" width="4.6640625" style="2" customWidth="1"/>
    <col min="157" max="181" width="7.33203125" style="1" hidden="1" customWidth="1"/>
    <col min="182" max="182" width="2.88671875" style="16" customWidth="1"/>
    <col min="183" max="16384" width="7.33203125" style="1"/>
  </cols>
  <sheetData>
    <row r="1" spans="1:182" ht="12.75" hidden="1" customHeight="1">
      <c r="AA1" s="35"/>
      <c r="AB1" s="35"/>
      <c r="AC1" s="55"/>
      <c r="AD1" s="32"/>
      <c r="AE1" s="32"/>
      <c r="AF1" s="32"/>
      <c r="AG1" s="32"/>
      <c r="AH1" s="32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56"/>
      <c r="BC1" s="56"/>
      <c r="BD1" s="48"/>
      <c r="BE1" s="48"/>
      <c r="BF1" s="48"/>
      <c r="BG1" s="48"/>
      <c r="DA1" s="35"/>
      <c r="DB1" s="32"/>
      <c r="DC1" s="55"/>
      <c r="DD1" s="32"/>
      <c r="DE1" s="32"/>
      <c r="DF1" s="32"/>
      <c r="DG1" s="32"/>
      <c r="DH1" s="32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56"/>
      <c r="EC1" s="56"/>
      <c r="ED1" s="48"/>
      <c r="EE1" s="48"/>
      <c r="EF1" s="48"/>
      <c r="EG1" s="48"/>
    </row>
    <row r="2" spans="1:182" ht="12.75" hidden="1" customHeight="1">
      <c r="AA2" s="35"/>
      <c r="AB2" s="35"/>
      <c r="AC2" s="55"/>
      <c r="AD2" s="32"/>
      <c r="AE2" s="32"/>
      <c r="AF2" s="32"/>
      <c r="AG2" s="32"/>
      <c r="AH2" s="32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56"/>
      <c r="BC2" s="56"/>
      <c r="BD2" s="48"/>
      <c r="BE2" s="48"/>
      <c r="BF2" s="48"/>
      <c r="BG2" s="48"/>
      <c r="DA2" s="35"/>
      <c r="DB2" s="32"/>
      <c r="DC2" s="55"/>
      <c r="DD2" s="32"/>
      <c r="DE2" s="32"/>
      <c r="DF2" s="32"/>
      <c r="DG2" s="32"/>
      <c r="DH2" s="32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56"/>
      <c r="EC2" s="56"/>
      <c r="ED2" s="48"/>
      <c r="EE2" s="48"/>
      <c r="EF2" s="48"/>
      <c r="EG2" s="48"/>
    </row>
    <row r="3" spans="1:182" ht="12.75" hidden="1" customHeight="1">
      <c r="AA3" s="35"/>
      <c r="AB3" s="35"/>
      <c r="AC3" s="55"/>
      <c r="AD3" s="32"/>
      <c r="AE3" s="32"/>
      <c r="AF3" s="32"/>
      <c r="AG3" s="32"/>
      <c r="AH3" s="32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56"/>
      <c r="BC3" s="56"/>
      <c r="BD3" s="48"/>
      <c r="BE3" s="48"/>
      <c r="BF3" s="48"/>
      <c r="BG3" s="48"/>
      <c r="DA3" s="35"/>
      <c r="DB3" s="32"/>
      <c r="DC3" s="55"/>
      <c r="DD3" s="32"/>
      <c r="DE3" s="32"/>
      <c r="DF3" s="32"/>
      <c r="DG3" s="32"/>
      <c r="DH3" s="32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56"/>
      <c r="EC3" s="56"/>
      <c r="ED3" s="48"/>
      <c r="EE3" s="48"/>
      <c r="EF3" s="48"/>
      <c r="EG3" s="48"/>
    </row>
    <row r="4" spans="1:182" ht="12.75" hidden="1" customHeight="1">
      <c r="AA4" s="35"/>
      <c r="AB4" s="35"/>
      <c r="AC4" s="55"/>
      <c r="AD4" s="32"/>
      <c r="AE4" s="32"/>
      <c r="AF4" s="32"/>
      <c r="AG4" s="32"/>
      <c r="AH4" s="32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56"/>
      <c r="BC4" s="56"/>
      <c r="BD4" s="48"/>
      <c r="BE4" s="48"/>
      <c r="BF4" s="48"/>
      <c r="BG4" s="48"/>
      <c r="DA4" s="35"/>
      <c r="DB4" s="32"/>
      <c r="DC4" s="55"/>
      <c r="DD4" s="32"/>
      <c r="DE4" s="32"/>
      <c r="DF4" s="32"/>
      <c r="DG4" s="32"/>
      <c r="DH4" s="32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56"/>
      <c r="EC4" s="56"/>
      <c r="ED4" s="48"/>
      <c r="EE4" s="48"/>
      <c r="EF4" s="48"/>
      <c r="EG4" s="48"/>
    </row>
    <row r="5" spans="1:182" ht="12.75" hidden="1" customHeight="1">
      <c r="AA5" s="35"/>
      <c r="AB5" s="35"/>
      <c r="AC5" s="55"/>
      <c r="AD5" s="32"/>
      <c r="AE5" s="32"/>
      <c r="AF5" s="32"/>
      <c r="AG5" s="32"/>
      <c r="AH5" s="32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56"/>
      <c r="BC5" s="56"/>
      <c r="BD5" s="48"/>
      <c r="BE5" s="48"/>
      <c r="BF5" s="48"/>
      <c r="BG5" s="48"/>
      <c r="DA5" s="35"/>
      <c r="DB5" s="32"/>
      <c r="DC5" s="55"/>
      <c r="DD5" s="32"/>
      <c r="DE5" s="32"/>
      <c r="DF5" s="32"/>
      <c r="DG5" s="32"/>
      <c r="DH5" s="32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56"/>
      <c r="EC5" s="56"/>
      <c r="ED5" s="48"/>
      <c r="EE5" s="48"/>
      <c r="EF5" s="48"/>
      <c r="EG5" s="48"/>
    </row>
    <row r="6" spans="1:182" ht="12.75" hidden="1" customHeight="1">
      <c r="AA6" s="35"/>
      <c r="AB6" s="35"/>
      <c r="AC6" s="55"/>
      <c r="AD6" s="32"/>
      <c r="AE6" s="32"/>
      <c r="AF6" s="32"/>
      <c r="AG6" s="32"/>
      <c r="AH6" s="32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56"/>
      <c r="BC6" s="56"/>
      <c r="BD6" s="48"/>
      <c r="BE6" s="48"/>
      <c r="BF6" s="48"/>
      <c r="BG6" s="48"/>
      <c r="DA6" s="35"/>
      <c r="DB6" s="32"/>
      <c r="DC6" s="55"/>
      <c r="DD6" s="32"/>
      <c r="DE6" s="32"/>
      <c r="DF6" s="32"/>
      <c r="DG6" s="32"/>
      <c r="DH6" s="32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56"/>
      <c r="EC6" s="56"/>
      <c r="ED6" s="48"/>
      <c r="EE6" s="48"/>
      <c r="EF6" s="48"/>
      <c r="EG6" s="48"/>
    </row>
    <row r="7" spans="1:182" ht="12.75" hidden="1" customHeight="1">
      <c r="AA7" s="35"/>
      <c r="AB7" s="35"/>
      <c r="AC7" s="55"/>
      <c r="AD7" s="32"/>
      <c r="AE7" s="32"/>
      <c r="AF7" s="32"/>
      <c r="AG7" s="32"/>
      <c r="AH7" s="32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56"/>
      <c r="BC7" s="56"/>
      <c r="BD7" s="48"/>
      <c r="BE7" s="48"/>
      <c r="BF7" s="48"/>
      <c r="BG7" s="48"/>
      <c r="DA7" s="35"/>
      <c r="DB7" s="32"/>
      <c r="DC7" s="55"/>
      <c r="DD7" s="32"/>
      <c r="DE7" s="32"/>
      <c r="DF7" s="32"/>
      <c r="DG7" s="32"/>
      <c r="DH7" s="32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56"/>
      <c r="EC7" s="56"/>
      <c r="ED7" s="48"/>
      <c r="EE7" s="48"/>
      <c r="EF7" s="48"/>
      <c r="EG7" s="48"/>
    </row>
    <row r="8" spans="1:182" ht="12.75" hidden="1" customHeight="1">
      <c r="AA8" s="35"/>
      <c r="AB8" s="35"/>
      <c r="AC8" s="55"/>
      <c r="AD8" s="32"/>
      <c r="AE8" s="32"/>
      <c r="AF8" s="32"/>
      <c r="AG8" s="32"/>
      <c r="AH8" s="32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56"/>
      <c r="BC8" s="56"/>
      <c r="BD8" s="48"/>
      <c r="BE8" s="48"/>
      <c r="BF8" s="48"/>
      <c r="BG8" s="48"/>
      <c r="DA8" s="35"/>
      <c r="DB8" s="32"/>
      <c r="DC8" s="55"/>
      <c r="DD8" s="32"/>
      <c r="DE8" s="32"/>
      <c r="DF8" s="32"/>
      <c r="DG8" s="32"/>
      <c r="DH8" s="32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56"/>
      <c r="EC8" s="56"/>
      <c r="ED8" s="48"/>
      <c r="EE8" s="48"/>
      <c r="EF8" s="48"/>
      <c r="EG8" s="48"/>
    </row>
    <row r="9" spans="1:182" ht="12.75" hidden="1" customHeight="1">
      <c r="AA9" s="35"/>
      <c r="AB9" s="35"/>
      <c r="AC9" s="55"/>
      <c r="AD9" s="32"/>
      <c r="AE9" s="32"/>
      <c r="AF9" s="32"/>
      <c r="AG9" s="32"/>
      <c r="AH9" s="3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56"/>
      <c r="BC9" s="56"/>
      <c r="BD9" s="48"/>
      <c r="BE9" s="48"/>
      <c r="BF9" s="48"/>
      <c r="BG9" s="48"/>
      <c r="DA9" s="35"/>
      <c r="DB9" s="32"/>
      <c r="DC9" s="55"/>
      <c r="DD9" s="32"/>
      <c r="DE9" s="32"/>
      <c r="DF9" s="32"/>
      <c r="DG9" s="32"/>
      <c r="DH9" s="32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56"/>
      <c r="EC9" s="56"/>
      <c r="ED9" s="48"/>
      <c r="EE9" s="48"/>
      <c r="EF9" s="48"/>
      <c r="EG9" s="48"/>
    </row>
    <row r="10" spans="1:182" ht="10.5" hidden="1" customHeight="1">
      <c r="AA10" s="35"/>
      <c r="AB10" s="35"/>
      <c r="AC10" s="55"/>
      <c r="AD10" s="32"/>
      <c r="AE10" s="32"/>
      <c r="AF10" s="32"/>
      <c r="AG10" s="32"/>
      <c r="AH10" s="32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56"/>
      <c r="BC10" s="56"/>
      <c r="BD10" s="48"/>
      <c r="BE10" s="48"/>
      <c r="BF10" s="48"/>
      <c r="BG10" s="48"/>
      <c r="DA10" s="35"/>
      <c r="DB10" s="32"/>
      <c r="DC10" s="55"/>
      <c r="DD10" s="32"/>
      <c r="DE10" s="32"/>
      <c r="DF10" s="32"/>
      <c r="DG10" s="32"/>
      <c r="DH10" s="32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56"/>
      <c r="EC10" s="56"/>
      <c r="ED10" s="48"/>
      <c r="EE10" s="48"/>
      <c r="EF10" s="48"/>
      <c r="EG10" s="48"/>
    </row>
    <row r="11" spans="1:182" ht="20.25" customHeight="1">
      <c r="A11" s="274" t="s">
        <v>235</v>
      </c>
      <c r="B11" s="275"/>
      <c r="C11" s="275"/>
      <c r="D11" s="275"/>
      <c r="E11" s="275"/>
      <c r="F11" s="275"/>
      <c r="G11" s="275"/>
      <c r="H11" s="275"/>
      <c r="I11" s="275"/>
      <c r="J11" s="276"/>
      <c r="L11" s="18">
        <f>MAX(COUNTA(#REF!)+21,23)</f>
        <v>23</v>
      </c>
      <c r="M11" s="293" t="s">
        <v>28</v>
      </c>
      <c r="N11" s="294"/>
      <c r="O11" s="294"/>
      <c r="P11" s="294"/>
      <c r="Q11" s="294"/>
      <c r="R11" s="294"/>
      <c r="S11" s="294"/>
      <c r="T11" s="294"/>
      <c r="U11" s="294"/>
      <c r="V11" s="300" t="s">
        <v>234</v>
      </c>
      <c r="W11" s="300"/>
      <c r="X11" s="301"/>
      <c r="Z11" s="18">
        <f>MAX(COUNTA(#REF!)+21,23)</f>
        <v>23</v>
      </c>
      <c r="AA11" s="57" t="s">
        <v>212</v>
      </c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Z11" s="18">
        <f>MAX(COUNTA(#REF!)+21,23)</f>
        <v>23</v>
      </c>
      <c r="DA11" s="57"/>
      <c r="DB11" s="241" t="s">
        <v>212</v>
      </c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  <c r="DW11" s="58"/>
      <c r="DX11" s="58"/>
      <c r="DY11" s="58"/>
      <c r="DZ11" s="58"/>
      <c r="EA11" s="58"/>
      <c r="EB11" s="58"/>
      <c r="EC11" s="58"/>
      <c r="ED11" s="58"/>
      <c r="EE11" s="58"/>
      <c r="EF11" s="58"/>
      <c r="EG11" s="58"/>
      <c r="EH11" s="58"/>
      <c r="EI11" s="58"/>
      <c r="EJ11" s="58"/>
      <c r="EK11" s="58"/>
      <c r="EL11" s="58"/>
      <c r="EM11" s="58"/>
      <c r="EN11" s="58"/>
      <c r="EO11" s="58"/>
      <c r="EP11" s="58"/>
      <c r="EQ11" s="58"/>
      <c r="ER11" s="58"/>
      <c r="ES11" s="242"/>
      <c r="ET11" s="58"/>
      <c r="EU11" s="58"/>
      <c r="EV11" s="58"/>
      <c r="EW11" s="214"/>
      <c r="EX11" s="58"/>
      <c r="EY11" s="58"/>
      <c r="EZ11" s="214"/>
      <c r="FZ11" s="18">
        <f>MAX(COUNTA(#REF!)+21,23)</f>
        <v>23</v>
      </c>
    </row>
    <row r="12" spans="1:182" ht="12.75" customHeight="1">
      <c r="A12" s="137"/>
      <c r="B12" s="78" t="s">
        <v>236</v>
      </c>
      <c r="C12" s="78" t="s">
        <v>237</v>
      </c>
      <c r="D12" s="78" t="s">
        <v>238</v>
      </c>
      <c r="E12" s="78" t="s">
        <v>239</v>
      </c>
      <c r="F12" s="4" t="s">
        <v>399</v>
      </c>
      <c r="G12" s="78" t="s">
        <v>236</v>
      </c>
      <c r="H12" s="78" t="s">
        <v>237</v>
      </c>
      <c r="I12" s="78" t="s">
        <v>238</v>
      </c>
      <c r="J12" s="171" t="s">
        <v>239</v>
      </c>
      <c r="L12" s="19"/>
      <c r="M12" s="295"/>
      <c r="N12" s="296"/>
      <c r="O12" s="296"/>
      <c r="P12" s="296"/>
      <c r="Q12" s="296"/>
      <c r="R12" s="296"/>
      <c r="S12" s="296"/>
      <c r="T12" s="296"/>
      <c r="U12" s="296"/>
      <c r="V12" s="302"/>
      <c r="W12" s="302"/>
      <c r="X12" s="303"/>
      <c r="Z12" s="19"/>
      <c r="AA12" s="59" t="s">
        <v>29</v>
      </c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/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60"/>
      <c r="BV12" s="60"/>
      <c r="BW12" s="60"/>
      <c r="BX12" s="60"/>
      <c r="BY12" s="60"/>
      <c r="BZ12" s="60"/>
      <c r="CZ12" s="19"/>
      <c r="DA12" s="59"/>
      <c r="DB12" s="243" t="s">
        <v>29</v>
      </c>
      <c r="DC12" s="60"/>
      <c r="DD12" s="60"/>
      <c r="DE12" s="60"/>
      <c r="DF12" s="60"/>
      <c r="DG12" s="60"/>
      <c r="DH12" s="60"/>
      <c r="DI12" s="60"/>
      <c r="DJ12" s="60"/>
      <c r="DK12" s="60"/>
      <c r="DL12" s="60"/>
      <c r="DM12" s="60"/>
      <c r="DN12" s="60"/>
      <c r="DO12" s="60"/>
      <c r="DP12" s="60"/>
      <c r="DQ12" s="60"/>
      <c r="DR12" s="60"/>
      <c r="DS12" s="60"/>
      <c r="DT12" s="60"/>
      <c r="DU12" s="60"/>
      <c r="DV12" s="60"/>
      <c r="DW12" s="60"/>
      <c r="DX12" s="60"/>
      <c r="DY12" s="60"/>
      <c r="DZ12" s="60"/>
      <c r="EA12" s="60"/>
      <c r="EB12" s="60"/>
      <c r="EC12" s="60"/>
      <c r="ED12" s="60"/>
      <c r="EE12" s="60"/>
      <c r="EF12" s="60"/>
      <c r="EG12" s="60"/>
      <c r="EH12" s="60"/>
      <c r="EI12" s="60"/>
      <c r="EJ12" s="60"/>
      <c r="EK12" s="60"/>
      <c r="EL12" s="60"/>
      <c r="EM12" s="60"/>
      <c r="EN12" s="60"/>
      <c r="EO12" s="60"/>
      <c r="EP12" s="60"/>
      <c r="EQ12" s="60"/>
      <c r="ER12" s="60"/>
      <c r="ES12" s="244"/>
      <c r="ET12" s="60"/>
      <c r="EU12" s="60"/>
      <c r="EV12" s="60"/>
      <c r="EW12" s="215"/>
      <c r="EX12" s="60"/>
      <c r="EY12" s="60"/>
      <c r="EZ12" s="215"/>
      <c r="FZ12" s="19"/>
    </row>
    <row r="13" spans="1:182" ht="15" customHeight="1">
      <c r="A13" s="134">
        <v>12</v>
      </c>
      <c r="B13" s="4">
        <v>50</v>
      </c>
      <c r="C13" s="4">
        <v>50</v>
      </c>
      <c r="D13" s="4">
        <v>60</v>
      </c>
      <c r="E13" s="4">
        <v>120</v>
      </c>
      <c r="F13" s="172">
        <f>W44</f>
        <v>24</v>
      </c>
      <c r="G13" s="172">
        <f>VLOOKUP($F$13,$A$13:$E$21,2,FALSE)</f>
        <v>60</v>
      </c>
      <c r="H13" s="172">
        <f>VLOOKUP($F$13,$A$13:$E$21,3,FALSE)</f>
        <v>70</v>
      </c>
      <c r="I13" s="172">
        <f>VLOOKUP($F$13,$A$13:$E$21,4,FALSE)</f>
        <v>80</v>
      </c>
      <c r="J13" s="173">
        <f>VLOOKUP($F$13,$A$13:$E$21,5,FALSE)</f>
        <v>150</v>
      </c>
      <c r="M13" s="304" t="s">
        <v>0</v>
      </c>
      <c r="N13" s="305"/>
      <c r="O13" s="305"/>
      <c r="P13" s="180"/>
      <c r="Q13" s="180"/>
      <c r="R13" s="180"/>
      <c r="S13" s="180"/>
      <c r="T13" s="180"/>
      <c r="U13" s="180"/>
      <c r="V13" s="180"/>
      <c r="W13" s="180"/>
      <c r="X13" s="5"/>
      <c r="AA13" s="61" t="s">
        <v>213</v>
      </c>
      <c r="AB13" s="61"/>
      <c r="AC13" s="55"/>
      <c r="AD13" s="32"/>
      <c r="AE13" s="32"/>
      <c r="AF13" s="32"/>
      <c r="AG13" s="32"/>
      <c r="AH13" s="32"/>
      <c r="AI13" s="35"/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56"/>
      <c r="BC13" s="56"/>
      <c r="BD13" s="48"/>
      <c r="BE13" s="48"/>
      <c r="BF13" s="48"/>
      <c r="BG13" s="48"/>
      <c r="DA13" s="195" t="s">
        <v>213</v>
      </c>
      <c r="DB13" s="32"/>
      <c r="DC13" s="55"/>
      <c r="DD13" s="32"/>
      <c r="DE13" s="32"/>
      <c r="DF13" s="32"/>
      <c r="DG13" s="32"/>
      <c r="DH13" s="32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35"/>
      <c r="EB13" s="56"/>
      <c r="EC13" s="56"/>
      <c r="ED13" s="48"/>
      <c r="EE13" s="48"/>
      <c r="EF13" s="48"/>
      <c r="EG13" s="48"/>
    </row>
    <row r="14" spans="1:182" ht="12.75" customHeight="1">
      <c r="A14" s="134">
        <v>16</v>
      </c>
      <c r="B14" s="4">
        <v>50</v>
      </c>
      <c r="C14" s="4">
        <v>50</v>
      </c>
      <c r="D14" s="4">
        <v>60</v>
      </c>
      <c r="E14" s="4">
        <v>120</v>
      </c>
      <c r="J14" s="174"/>
      <c r="M14" s="6" t="s">
        <v>51</v>
      </c>
      <c r="N14" s="180"/>
      <c r="O14" s="180"/>
      <c r="P14" s="180"/>
      <c r="Q14" s="180"/>
      <c r="R14" s="180"/>
      <c r="S14" s="181"/>
      <c r="T14" s="182"/>
      <c r="U14" s="180"/>
      <c r="V14" s="2"/>
      <c r="W14" s="2"/>
      <c r="X14" s="5"/>
      <c r="AA14" s="35"/>
      <c r="AB14" s="35"/>
      <c r="AC14" s="62" t="s">
        <v>52</v>
      </c>
      <c r="AD14" s="32"/>
      <c r="AE14" s="32"/>
      <c r="AF14" s="63">
        <f>W17</f>
        <v>5.6</v>
      </c>
      <c r="AG14" s="32"/>
      <c r="AH14" s="32"/>
      <c r="AI14" s="33" t="s">
        <v>50</v>
      </c>
      <c r="AJ14" s="34">
        <f>W18</f>
        <v>300</v>
      </c>
      <c r="AK14" s="64" t="s">
        <v>20</v>
      </c>
      <c r="AL14" s="35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56"/>
      <c r="BC14" s="56"/>
      <c r="BD14" s="48"/>
      <c r="BE14" s="48"/>
      <c r="BF14" s="48"/>
      <c r="BG14" s="48"/>
      <c r="DA14" s="35"/>
      <c r="DB14" s="32"/>
      <c r="DC14" s="62" t="s">
        <v>52</v>
      </c>
      <c r="DD14" s="32"/>
      <c r="DE14" s="32"/>
      <c r="DF14" s="63">
        <f>AF14</f>
        <v>5.6</v>
      </c>
      <c r="DG14" s="32"/>
      <c r="DH14" s="32"/>
      <c r="DI14" s="33" t="s">
        <v>50</v>
      </c>
      <c r="DJ14" s="34">
        <f>AJ14</f>
        <v>300</v>
      </c>
      <c r="DK14" s="64" t="s">
        <v>20</v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236" t="s">
        <v>424</v>
      </c>
      <c r="EB14" s="56"/>
      <c r="EC14" s="56"/>
      <c r="ED14" s="48"/>
      <c r="EE14" s="48"/>
      <c r="EF14" s="48"/>
      <c r="EG14" s="48"/>
    </row>
    <row r="15" spans="1:182" ht="12.75" customHeight="1">
      <c r="A15" s="134">
        <v>18</v>
      </c>
      <c r="B15" s="4">
        <v>50</v>
      </c>
      <c r="C15" s="4">
        <v>50</v>
      </c>
      <c r="D15" s="4">
        <v>60</v>
      </c>
      <c r="E15" s="4">
        <v>120</v>
      </c>
      <c r="J15" s="174"/>
      <c r="M15" s="6" t="s">
        <v>52</v>
      </c>
      <c r="N15" s="180"/>
      <c r="O15" s="180"/>
      <c r="P15" s="180"/>
      <c r="Q15" s="180"/>
      <c r="R15" s="180"/>
      <c r="S15" s="181"/>
      <c r="T15" s="182"/>
      <c r="U15" s="180"/>
      <c r="V15" s="2"/>
      <c r="W15" s="2"/>
      <c r="X15" s="5"/>
      <c r="AA15" s="35"/>
      <c r="AB15" s="35"/>
      <c r="AC15" s="62" t="s">
        <v>53</v>
      </c>
      <c r="AD15" s="32"/>
      <c r="AE15" s="32"/>
      <c r="AF15" s="63" t="str">
        <f>W22</f>
        <v>CCT38</v>
      </c>
      <c r="AG15" s="32"/>
      <c r="AH15" s="32"/>
      <c r="AI15" s="33" t="s">
        <v>50</v>
      </c>
      <c r="AJ15" s="34">
        <f>W23</f>
        <v>240</v>
      </c>
      <c r="AK15" s="64" t="s">
        <v>20</v>
      </c>
      <c r="AL15" s="35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56"/>
      <c r="BC15" s="56"/>
      <c r="BD15" s="48"/>
      <c r="BE15" s="48"/>
      <c r="BF15" s="48"/>
      <c r="BG15" s="48"/>
      <c r="DA15" s="35"/>
      <c r="DB15" s="32"/>
      <c r="DC15" s="62" t="s">
        <v>53</v>
      </c>
      <c r="DD15" s="32"/>
      <c r="DE15" s="32"/>
      <c r="DF15" s="63" t="str">
        <f t="shared" ref="DF15:DF17" si="0">AF15</f>
        <v>CCT38</v>
      </c>
      <c r="DG15" s="32"/>
      <c r="DH15" s="32"/>
      <c r="DI15" s="33" t="s">
        <v>50</v>
      </c>
      <c r="DJ15" s="34">
        <f t="shared" ref="DJ15:DJ17" si="1">AJ15</f>
        <v>240</v>
      </c>
      <c r="DK15" s="64" t="s">
        <v>20</v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236" t="s">
        <v>425</v>
      </c>
      <c r="EB15" s="56"/>
      <c r="EC15" s="56"/>
      <c r="ED15" s="48"/>
      <c r="EE15" s="48"/>
      <c r="EF15" s="48"/>
      <c r="EG15" s="48"/>
    </row>
    <row r="16" spans="1:182" ht="12.75" customHeight="1">
      <c r="A16" s="134">
        <v>20</v>
      </c>
      <c r="B16" s="4">
        <v>50</v>
      </c>
      <c r="C16" s="4">
        <v>50</v>
      </c>
      <c r="D16" s="4">
        <v>60</v>
      </c>
      <c r="E16" s="4">
        <v>120</v>
      </c>
      <c r="J16" s="174"/>
      <c r="M16" s="7"/>
      <c r="N16" s="180" t="str">
        <f>"- Loại bu lông:"</f>
        <v>- Loại bu lông:</v>
      </c>
      <c r="O16" s="180"/>
      <c r="P16" s="181"/>
      <c r="Q16" s="183"/>
      <c r="R16" s="180"/>
      <c r="S16" s="2"/>
      <c r="T16" s="2"/>
      <c r="U16" s="2"/>
      <c r="V16" s="2"/>
      <c r="W16" s="32" t="s">
        <v>83</v>
      </c>
      <c r="X16" s="8"/>
      <c r="AA16" s="35"/>
      <c r="AB16" s="35"/>
      <c r="AC16" s="62" t="s">
        <v>54</v>
      </c>
      <c r="AD16" s="32"/>
      <c r="AE16" s="32"/>
      <c r="AF16" s="63" t="str">
        <f>W28</f>
        <v>N42</v>
      </c>
      <c r="AG16" s="32"/>
      <c r="AH16" s="32"/>
      <c r="AI16" s="33" t="s">
        <v>129</v>
      </c>
      <c r="AJ16" s="34">
        <f>W29</f>
        <v>410</v>
      </c>
      <c r="AK16" s="64" t="s">
        <v>20</v>
      </c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56"/>
      <c r="BC16" s="56"/>
      <c r="BD16" s="48"/>
      <c r="BE16" s="48"/>
      <c r="BF16" s="48"/>
      <c r="BG16" s="48"/>
      <c r="DA16" s="35"/>
      <c r="DB16" s="32"/>
      <c r="DC16" s="62" t="s">
        <v>54</v>
      </c>
      <c r="DD16" s="32"/>
      <c r="DE16" s="32"/>
      <c r="DF16" s="63" t="str">
        <f t="shared" si="0"/>
        <v>N42</v>
      </c>
      <c r="DG16" s="32"/>
      <c r="DH16" s="32"/>
      <c r="DI16" s="33" t="s">
        <v>129</v>
      </c>
      <c r="DJ16" s="34">
        <f t="shared" si="1"/>
        <v>410</v>
      </c>
      <c r="DK16" s="64" t="s">
        <v>20</v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236" t="s">
        <v>426</v>
      </c>
      <c r="EB16" s="56"/>
      <c r="EC16" s="56"/>
      <c r="ED16" s="48"/>
      <c r="EE16" s="48"/>
      <c r="EF16" s="48"/>
      <c r="EG16" s="48"/>
    </row>
    <row r="17" spans="1:156" ht="12.75" customHeight="1">
      <c r="A17" s="134">
        <v>24</v>
      </c>
      <c r="B17" s="4">
        <v>60</v>
      </c>
      <c r="C17" s="4">
        <v>70</v>
      </c>
      <c r="D17" s="4">
        <v>80</v>
      </c>
      <c r="E17" s="4">
        <v>150</v>
      </c>
      <c r="J17" s="174"/>
      <c r="M17" s="7"/>
      <c r="N17" s="180" t="str">
        <f>"- Cấp độ bền bu lông:"</f>
        <v>- Cấp độ bền bu lông:</v>
      </c>
      <c r="O17" s="180"/>
      <c r="P17" s="181"/>
      <c r="Q17" s="183"/>
      <c r="R17" s="180"/>
      <c r="S17" s="2"/>
      <c r="T17" s="2"/>
      <c r="U17" s="2"/>
      <c r="V17" s="2"/>
      <c r="W17" s="32">
        <v>5.6</v>
      </c>
      <c r="X17" s="8"/>
      <c r="AA17" s="35"/>
      <c r="AB17" s="35"/>
      <c r="AC17" s="62" t="s">
        <v>55</v>
      </c>
      <c r="AD17" s="32"/>
      <c r="AE17" s="32"/>
      <c r="AF17" s="63" t="str">
        <f>W35</f>
        <v>B25</v>
      </c>
      <c r="AG17" s="32"/>
      <c r="AH17" s="32"/>
      <c r="AI17" s="33" t="s">
        <v>65</v>
      </c>
      <c r="AJ17" s="34">
        <f>W36</f>
        <v>14.5</v>
      </c>
      <c r="AK17" s="2" t="s">
        <v>20</v>
      </c>
      <c r="AL17" s="35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56"/>
      <c r="BC17" s="56"/>
      <c r="BD17" s="48"/>
      <c r="BE17" s="48"/>
      <c r="BF17" s="48"/>
      <c r="BG17" s="48"/>
      <c r="DA17" s="35"/>
      <c r="DB17" s="32"/>
      <c r="DC17" s="62" t="s">
        <v>55</v>
      </c>
      <c r="DD17" s="32"/>
      <c r="DE17" s="32"/>
      <c r="DF17" s="63" t="str">
        <f t="shared" si="0"/>
        <v>B25</v>
      </c>
      <c r="DG17" s="32"/>
      <c r="DH17" s="32"/>
      <c r="DI17" s="33" t="s">
        <v>65</v>
      </c>
      <c r="DJ17" s="34">
        <f t="shared" si="1"/>
        <v>14.5</v>
      </c>
      <c r="DK17" s="2" t="s">
        <v>20</v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236"/>
      <c r="EB17" s="56"/>
      <c r="EC17" s="56"/>
      <c r="ED17" s="48"/>
      <c r="EE17" s="48"/>
      <c r="EF17" s="48"/>
      <c r="EG17" s="48"/>
    </row>
    <row r="18" spans="1:156" ht="12.75" customHeight="1">
      <c r="A18" s="134">
        <v>27</v>
      </c>
      <c r="B18" s="4">
        <v>60</v>
      </c>
      <c r="C18" s="4">
        <v>70</v>
      </c>
      <c r="D18" s="4">
        <v>80</v>
      </c>
      <c r="E18" s="4">
        <v>160</v>
      </c>
      <c r="J18" s="174"/>
      <c r="M18" s="7"/>
      <c r="N18" s="180" t="str">
        <f>"- Giới hạn chảy của thép:"</f>
        <v>- Giới hạn chảy của thép:</v>
      </c>
      <c r="O18" s="180"/>
      <c r="P18" s="181"/>
      <c r="Q18" s="183"/>
      <c r="R18" s="180"/>
      <c r="S18" s="2"/>
      <c r="T18" s="2"/>
      <c r="U18" s="184"/>
      <c r="V18" s="185" t="s">
        <v>50</v>
      </c>
      <c r="W18" s="34">
        <f>VLOOKUP(W17,Data!K4:O99,3,FALSE)</f>
        <v>300</v>
      </c>
      <c r="X18" s="23" t="s">
        <v>20</v>
      </c>
      <c r="AA18" s="61" t="s">
        <v>214</v>
      </c>
      <c r="AB18" s="61"/>
      <c r="AC18" s="55"/>
      <c r="AD18" s="32"/>
      <c r="AE18" s="32"/>
      <c r="AF18" s="32"/>
      <c r="AG18" s="32"/>
      <c r="AH18" s="32"/>
      <c r="AI18" s="35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56"/>
      <c r="BC18" s="56"/>
      <c r="BD18" s="48"/>
      <c r="BE18" s="48"/>
      <c r="BF18" s="48"/>
      <c r="BG18" s="48"/>
      <c r="DA18" s="195" t="s">
        <v>214</v>
      </c>
      <c r="DB18" s="245"/>
      <c r="DC18" s="55"/>
      <c r="DD18" s="32"/>
      <c r="DE18" s="32"/>
      <c r="DF18" s="32"/>
      <c r="DG18" s="32"/>
      <c r="DH18" s="32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236"/>
      <c r="EB18" s="56"/>
      <c r="EC18" s="56"/>
      <c r="ED18" s="48"/>
      <c r="EE18" s="48"/>
      <c r="EF18" s="48"/>
      <c r="EG18" s="48"/>
    </row>
    <row r="19" spans="1:156" ht="12.75" customHeight="1">
      <c r="A19" s="134">
        <v>30</v>
      </c>
      <c r="B19" s="4">
        <v>60</v>
      </c>
      <c r="C19" s="4">
        <v>70</v>
      </c>
      <c r="D19" s="4">
        <v>80</v>
      </c>
      <c r="E19" s="4">
        <v>200</v>
      </c>
      <c r="J19" s="174"/>
      <c r="M19" s="7"/>
      <c r="N19" s="180" t="str">
        <f>"- Cường độ chịu kéo tính toán:"</f>
        <v>- Cường độ chịu kéo tính toán:</v>
      </c>
      <c r="O19" s="180"/>
      <c r="P19" s="181"/>
      <c r="Q19" s="183"/>
      <c r="R19" s="180"/>
      <c r="S19" s="2"/>
      <c r="T19" s="2"/>
      <c r="U19" s="2"/>
      <c r="V19" s="33" t="s">
        <v>49</v>
      </c>
      <c r="W19" s="34">
        <f>0.8*W18</f>
        <v>240</v>
      </c>
      <c r="X19" s="23" t="s">
        <v>20</v>
      </c>
      <c r="AA19" s="65"/>
      <c r="AB19" s="66"/>
      <c r="AC19" s="67"/>
      <c r="AD19" s="273" t="s">
        <v>215</v>
      </c>
      <c r="AE19" s="273"/>
      <c r="AF19" s="273"/>
      <c r="AG19" s="273"/>
      <c r="AH19" s="273"/>
      <c r="AI19" s="273" t="s">
        <v>216</v>
      </c>
      <c r="AJ19" s="273"/>
      <c r="AK19" s="273"/>
      <c r="AL19" s="273"/>
      <c r="AM19" s="273"/>
      <c r="AN19" s="265" t="s">
        <v>227</v>
      </c>
      <c r="AO19" s="266"/>
      <c r="AP19" s="266"/>
      <c r="AQ19" s="266"/>
      <c r="AR19" s="266"/>
      <c r="AS19" s="266"/>
      <c r="AT19" s="266"/>
      <c r="AU19" s="266"/>
      <c r="AV19" s="267"/>
      <c r="AW19" s="260" t="s">
        <v>402</v>
      </c>
      <c r="AX19" s="261"/>
      <c r="AY19" s="260" t="s">
        <v>403</v>
      </c>
      <c r="AZ19" s="261"/>
      <c r="BA19" s="273" t="s">
        <v>217</v>
      </c>
      <c r="BB19" s="273"/>
      <c r="BC19" s="273"/>
      <c r="BD19" s="273"/>
      <c r="BE19" s="273"/>
      <c r="BF19" s="273"/>
      <c r="BG19" s="273"/>
      <c r="BH19" s="251" t="s">
        <v>321</v>
      </c>
      <c r="BI19" s="251"/>
      <c r="BJ19" s="251"/>
      <c r="BK19" s="251"/>
      <c r="BL19" s="251"/>
      <c r="BM19" s="251"/>
      <c r="BN19" s="251"/>
      <c r="BO19" s="251"/>
      <c r="BP19" s="251"/>
      <c r="BQ19" s="251"/>
      <c r="BR19" s="251"/>
      <c r="BS19" s="251"/>
      <c r="BT19" s="251" t="s">
        <v>335</v>
      </c>
      <c r="BU19" s="251"/>
      <c r="BV19" s="251"/>
      <c r="BW19" s="251"/>
      <c r="BX19" s="251" t="s">
        <v>406</v>
      </c>
      <c r="BY19" s="251"/>
      <c r="BZ19" s="251"/>
      <c r="DA19" s="65"/>
      <c r="DB19" s="239"/>
      <c r="DC19" s="67"/>
      <c r="DD19" s="273" t="s">
        <v>215</v>
      </c>
      <c r="DE19" s="273"/>
      <c r="DF19" s="273"/>
      <c r="DG19" s="273"/>
      <c r="DH19" s="273"/>
      <c r="DI19" s="273" t="s">
        <v>216</v>
      </c>
      <c r="DJ19" s="273"/>
      <c r="DK19" s="273"/>
      <c r="DL19" s="273"/>
      <c r="DM19" s="273"/>
      <c r="DN19" s="265" t="s">
        <v>227</v>
      </c>
      <c r="DO19" s="266"/>
      <c r="DP19" s="266"/>
      <c r="DQ19" s="266"/>
      <c r="DR19" s="266"/>
      <c r="DS19" s="266"/>
      <c r="DT19" s="266"/>
      <c r="DU19" s="266"/>
      <c r="DV19" s="267"/>
      <c r="DW19" s="260" t="s">
        <v>402</v>
      </c>
      <c r="DX19" s="261"/>
      <c r="DY19" s="260" t="s">
        <v>403</v>
      </c>
      <c r="DZ19" s="261"/>
      <c r="EA19" s="273" t="s">
        <v>217</v>
      </c>
      <c r="EB19" s="273"/>
      <c r="EC19" s="273"/>
      <c r="ED19" s="273"/>
      <c r="EE19" s="273"/>
      <c r="EF19" s="273"/>
      <c r="EG19" s="273"/>
      <c r="EH19" s="251" t="s">
        <v>429</v>
      </c>
      <c r="EI19" s="251"/>
      <c r="EJ19" s="251"/>
      <c r="EK19" s="251"/>
      <c r="EL19" s="251"/>
      <c r="EM19" s="251"/>
      <c r="EN19" s="251"/>
      <c r="EO19" s="251"/>
      <c r="EP19" s="251"/>
      <c r="EQ19" s="251"/>
      <c r="ER19" s="251"/>
      <c r="ES19" s="251"/>
      <c r="ET19" s="251" t="s">
        <v>430</v>
      </c>
      <c r="EU19" s="251"/>
      <c r="EV19" s="251"/>
      <c r="EW19" s="251"/>
      <c r="EX19" s="251" t="s">
        <v>431</v>
      </c>
      <c r="EY19" s="251"/>
      <c r="EZ19" s="251"/>
    </row>
    <row r="20" spans="1:156" ht="12.75" customHeight="1">
      <c r="A20" s="134">
        <v>33</v>
      </c>
      <c r="B20" s="4">
        <v>60</v>
      </c>
      <c r="C20" s="4">
        <v>70</v>
      </c>
      <c r="D20" s="4">
        <v>80</v>
      </c>
      <c r="E20" s="4">
        <v>200</v>
      </c>
      <c r="J20" s="174"/>
      <c r="M20" s="7"/>
      <c r="N20" s="180" t="str">
        <f>"- Hệ số điều kiện làm việc bu lông:"</f>
        <v>- Hệ số điều kiện làm việc bu lông:</v>
      </c>
      <c r="O20" s="180"/>
      <c r="P20" s="181"/>
      <c r="Q20" s="183"/>
      <c r="R20" s="180"/>
      <c r="S20" s="2"/>
      <c r="T20" s="2"/>
      <c r="U20" s="2"/>
      <c r="V20" s="20" t="s">
        <v>48</v>
      </c>
      <c r="W20" s="32">
        <v>0.9</v>
      </c>
      <c r="X20" s="8"/>
      <c r="AA20" s="68"/>
      <c r="AB20" s="69"/>
      <c r="AC20" s="70"/>
      <c r="AD20" s="273"/>
      <c r="AE20" s="273"/>
      <c r="AF20" s="273"/>
      <c r="AG20" s="273"/>
      <c r="AH20" s="273"/>
      <c r="AI20" s="273"/>
      <c r="AJ20" s="273"/>
      <c r="AK20" s="273"/>
      <c r="AL20" s="273"/>
      <c r="AM20" s="273"/>
      <c r="AN20" s="268"/>
      <c r="AO20" s="269"/>
      <c r="AP20" s="269"/>
      <c r="AQ20" s="269"/>
      <c r="AR20" s="269"/>
      <c r="AS20" s="269"/>
      <c r="AT20" s="269"/>
      <c r="AU20" s="269"/>
      <c r="AV20" s="270"/>
      <c r="AW20" s="262"/>
      <c r="AX20" s="263"/>
      <c r="AY20" s="262"/>
      <c r="AZ20" s="263"/>
      <c r="BA20" s="273"/>
      <c r="BB20" s="273"/>
      <c r="BC20" s="273"/>
      <c r="BD20" s="273"/>
      <c r="BE20" s="273"/>
      <c r="BF20" s="273"/>
      <c r="BG20" s="273"/>
      <c r="BH20" s="251"/>
      <c r="BI20" s="251"/>
      <c r="BJ20" s="251"/>
      <c r="BK20" s="251"/>
      <c r="BL20" s="251"/>
      <c r="BM20" s="251"/>
      <c r="BN20" s="251"/>
      <c r="BO20" s="251"/>
      <c r="BP20" s="251"/>
      <c r="BQ20" s="251"/>
      <c r="BR20" s="251"/>
      <c r="BS20" s="251"/>
      <c r="BT20" s="251"/>
      <c r="BU20" s="251"/>
      <c r="BV20" s="251"/>
      <c r="BW20" s="251"/>
      <c r="BX20" s="251"/>
      <c r="BY20" s="251"/>
      <c r="BZ20" s="251"/>
      <c r="DA20" s="68"/>
      <c r="DB20" s="240"/>
      <c r="DC20" s="70"/>
      <c r="DD20" s="273"/>
      <c r="DE20" s="273"/>
      <c r="DF20" s="273"/>
      <c r="DG20" s="273"/>
      <c r="DH20" s="273"/>
      <c r="DI20" s="273"/>
      <c r="DJ20" s="273"/>
      <c r="DK20" s="273"/>
      <c r="DL20" s="273"/>
      <c r="DM20" s="273"/>
      <c r="DN20" s="268"/>
      <c r="DO20" s="269"/>
      <c r="DP20" s="269"/>
      <c r="DQ20" s="269"/>
      <c r="DR20" s="269"/>
      <c r="DS20" s="269"/>
      <c r="DT20" s="269"/>
      <c r="DU20" s="269"/>
      <c r="DV20" s="270"/>
      <c r="DW20" s="262"/>
      <c r="DX20" s="263"/>
      <c r="DY20" s="262"/>
      <c r="DZ20" s="263"/>
      <c r="EA20" s="273"/>
      <c r="EB20" s="273"/>
      <c r="EC20" s="273"/>
      <c r="ED20" s="273"/>
      <c r="EE20" s="273"/>
      <c r="EF20" s="273"/>
      <c r="EG20" s="273"/>
      <c r="EH20" s="251"/>
      <c r="EI20" s="251"/>
      <c r="EJ20" s="251"/>
      <c r="EK20" s="251"/>
      <c r="EL20" s="251"/>
      <c r="EM20" s="251"/>
      <c r="EN20" s="251"/>
      <c r="EO20" s="251"/>
      <c r="EP20" s="251"/>
      <c r="EQ20" s="251"/>
      <c r="ER20" s="251"/>
      <c r="ES20" s="251"/>
      <c r="ET20" s="251"/>
      <c r="EU20" s="251"/>
      <c r="EV20" s="251"/>
      <c r="EW20" s="251"/>
      <c r="EX20" s="251"/>
      <c r="EY20" s="251"/>
      <c r="EZ20" s="251"/>
    </row>
    <row r="21" spans="1:156" ht="12.75" customHeight="1">
      <c r="A21" s="134">
        <v>36</v>
      </c>
      <c r="B21" s="4">
        <v>60</v>
      </c>
      <c r="C21" s="4">
        <v>70</v>
      </c>
      <c r="D21" s="4">
        <v>80</v>
      </c>
      <c r="E21" s="4">
        <v>200</v>
      </c>
      <c r="J21" s="174"/>
      <c r="M21" s="6" t="s">
        <v>53</v>
      </c>
      <c r="N21" s="180"/>
      <c r="O21" s="180"/>
      <c r="P21" s="180"/>
      <c r="Q21" s="180"/>
      <c r="R21" s="180"/>
      <c r="S21" s="181"/>
      <c r="T21" s="182"/>
      <c r="U21" s="180"/>
      <c r="V21" s="2"/>
      <c r="W21" s="2"/>
      <c r="X21" s="5"/>
      <c r="AA21" s="71" t="s">
        <v>218</v>
      </c>
      <c r="AB21" s="315" t="s">
        <v>137</v>
      </c>
      <c r="AC21" s="72" t="s">
        <v>138</v>
      </c>
      <c r="AD21" s="73" t="s">
        <v>219</v>
      </c>
      <c r="AE21" s="73" t="s">
        <v>220</v>
      </c>
      <c r="AF21" s="73" t="s">
        <v>221</v>
      </c>
      <c r="AG21" s="73" t="s">
        <v>222</v>
      </c>
      <c r="AH21" s="73" t="s">
        <v>223</v>
      </c>
      <c r="AI21" s="72" t="s">
        <v>224</v>
      </c>
      <c r="AJ21" s="72" t="s">
        <v>225</v>
      </c>
      <c r="AK21" s="72" t="s">
        <v>226</v>
      </c>
      <c r="AL21" s="252" t="s">
        <v>397</v>
      </c>
      <c r="AM21" s="252" t="s">
        <v>396</v>
      </c>
      <c r="AN21" s="252" t="s">
        <v>233</v>
      </c>
      <c r="AO21" s="73" t="s">
        <v>172</v>
      </c>
      <c r="AP21" s="73" t="s">
        <v>236</v>
      </c>
      <c r="AQ21" s="73" t="s">
        <v>237</v>
      </c>
      <c r="AR21" s="73" t="s">
        <v>238</v>
      </c>
      <c r="AS21" s="73" t="s">
        <v>239</v>
      </c>
      <c r="AT21" s="73" t="s">
        <v>400</v>
      </c>
      <c r="AU21" s="73" t="s">
        <v>242</v>
      </c>
      <c r="AV21" s="73" t="s">
        <v>401</v>
      </c>
      <c r="AW21" s="254" t="s">
        <v>404</v>
      </c>
      <c r="AX21" s="168" t="s">
        <v>332</v>
      </c>
      <c r="AY21" s="254" t="s">
        <v>404</v>
      </c>
      <c r="AZ21" s="168" t="s">
        <v>332</v>
      </c>
      <c r="BA21" s="256" t="s">
        <v>139</v>
      </c>
      <c r="BB21" s="74" t="s">
        <v>140</v>
      </c>
      <c r="BC21" s="74" t="s">
        <v>228</v>
      </c>
      <c r="BD21" s="73" t="s">
        <v>229</v>
      </c>
      <c r="BE21" s="73" t="s">
        <v>230</v>
      </c>
      <c r="BF21" s="73" t="s">
        <v>231</v>
      </c>
      <c r="BG21" s="73" t="s">
        <v>232</v>
      </c>
      <c r="BH21" s="73" t="s">
        <v>322</v>
      </c>
      <c r="BI21" s="73" t="s">
        <v>324</v>
      </c>
      <c r="BJ21" s="73" t="s">
        <v>323</v>
      </c>
      <c r="BK21" s="73" t="s">
        <v>325</v>
      </c>
      <c r="BL21" s="73" t="s">
        <v>326</v>
      </c>
      <c r="BM21" s="73" t="s">
        <v>327</v>
      </c>
      <c r="BN21" s="257" t="s">
        <v>233</v>
      </c>
      <c r="BO21" s="73" t="s">
        <v>239</v>
      </c>
      <c r="BP21" s="73" t="s">
        <v>331</v>
      </c>
      <c r="BQ21" s="73" t="s">
        <v>405</v>
      </c>
      <c r="BR21" s="257" t="s">
        <v>329</v>
      </c>
      <c r="BS21" s="257" t="s">
        <v>330</v>
      </c>
      <c r="BT21" s="126" t="s">
        <v>333</v>
      </c>
      <c r="BU21" s="126" t="s">
        <v>334</v>
      </c>
      <c r="BV21" s="257" t="s">
        <v>329</v>
      </c>
      <c r="BW21" s="264" t="s">
        <v>330</v>
      </c>
      <c r="BX21" s="126" t="s">
        <v>407</v>
      </c>
      <c r="BY21" s="257" t="s">
        <v>329</v>
      </c>
      <c r="BZ21" s="264" t="s">
        <v>330</v>
      </c>
      <c r="DA21" s="71" t="s">
        <v>218</v>
      </c>
      <c r="DB21" s="271" t="s">
        <v>137</v>
      </c>
      <c r="DC21" s="72" t="s">
        <v>138</v>
      </c>
      <c r="DD21" s="73" t="s">
        <v>219</v>
      </c>
      <c r="DE21" s="73" t="s">
        <v>220</v>
      </c>
      <c r="DF21" s="73" t="s">
        <v>221</v>
      </c>
      <c r="DG21" s="73" t="s">
        <v>222</v>
      </c>
      <c r="DH21" s="73" t="s">
        <v>223</v>
      </c>
      <c r="DI21" s="72" t="s">
        <v>224</v>
      </c>
      <c r="DJ21" s="72" t="s">
        <v>225</v>
      </c>
      <c r="DK21" s="72" t="s">
        <v>226</v>
      </c>
      <c r="DL21" s="252" t="s">
        <v>397</v>
      </c>
      <c r="DM21" s="252" t="s">
        <v>396</v>
      </c>
      <c r="DN21" s="252" t="s">
        <v>233</v>
      </c>
      <c r="DO21" s="73" t="s">
        <v>172</v>
      </c>
      <c r="DP21" s="73" t="s">
        <v>236</v>
      </c>
      <c r="DQ21" s="73" t="s">
        <v>237</v>
      </c>
      <c r="DR21" s="73" t="s">
        <v>238</v>
      </c>
      <c r="DS21" s="73" t="s">
        <v>239</v>
      </c>
      <c r="DT21" s="73" t="s">
        <v>400</v>
      </c>
      <c r="DU21" s="73" t="s">
        <v>242</v>
      </c>
      <c r="DV21" s="73" t="s">
        <v>401</v>
      </c>
      <c r="DW21" s="254" t="s">
        <v>404</v>
      </c>
      <c r="DX21" s="168" t="s">
        <v>332</v>
      </c>
      <c r="DY21" s="254" t="s">
        <v>404</v>
      </c>
      <c r="DZ21" s="168" t="s">
        <v>332</v>
      </c>
      <c r="EA21" s="256" t="s">
        <v>139</v>
      </c>
      <c r="EB21" s="74" t="s">
        <v>140</v>
      </c>
      <c r="EC21" s="74" t="s">
        <v>228</v>
      </c>
      <c r="ED21" s="73" t="s">
        <v>229</v>
      </c>
      <c r="EE21" s="73" t="s">
        <v>230</v>
      </c>
      <c r="EF21" s="73" t="s">
        <v>231</v>
      </c>
      <c r="EG21" s="73" t="s">
        <v>232</v>
      </c>
      <c r="EH21" s="73" t="s">
        <v>322</v>
      </c>
      <c r="EI21" s="73" t="s">
        <v>324</v>
      </c>
      <c r="EJ21" s="73" t="s">
        <v>323</v>
      </c>
      <c r="EK21" s="73" t="s">
        <v>325</v>
      </c>
      <c r="EL21" s="73" t="s">
        <v>326</v>
      </c>
      <c r="EM21" s="73" t="s">
        <v>327</v>
      </c>
      <c r="EN21" s="257" t="s">
        <v>233</v>
      </c>
      <c r="EO21" s="73" t="s">
        <v>239</v>
      </c>
      <c r="EP21" s="73" t="s">
        <v>427</v>
      </c>
      <c r="EQ21" s="73" t="s">
        <v>428</v>
      </c>
      <c r="ER21" s="257" t="s">
        <v>329</v>
      </c>
      <c r="ES21" s="259" t="s">
        <v>410</v>
      </c>
      <c r="ET21" s="126" t="s">
        <v>333</v>
      </c>
      <c r="EU21" s="126" t="s">
        <v>334</v>
      </c>
      <c r="EV21" s="257" t="s">
        <v>329</v>
      </c>
      <c r="EW21" s="259" t="s">
        <v>410</v>
      </c>
      <c r="EX21" s="126" t="s">
        <v>407</v>
      </c>
      <c r="EY21" s="257" t="s">
        <v>329</v>
      </c>
      <c r="EZ21" s="259" t="s">
        <v>410</v>
      </c>
    </row>
    <row r="22" spans="1:156" ht="12.75" customHeight="1">
      <c r="A22" s="134"/>
      <c r="B22" s="121"/>
      <c r="C22" s="121"/>
      <c r="D22" s="121"/>
      <c r="E22" s="121"/>
      <c r="J22" s="174"/>
      <c r="M22" s="7"/>
      <c r="N22" s="180" t="str">
        <f>"- Bản đế, sườn đế:"</f>
        <v>- Bản đế, sườn đế:</v>
      </c>
      <c r="O22" s="180"/>
      <c r="P22" s="181"/>
      <c r="Q22" s="183"/>
      <c r="R22" s="180"/>
      <c r="S22" s="2"/>
      <c r="T22" s="2"/>
      <c r="U22" s="2"/>
      <c r="V22" s="2"/>
      <c r="W22" s="35" t="s">
        <v>414</v>
      </c>
      <c r="X22" s="8"/>
      <c r="AA22" s="178">
        <f>23+COUNTA(AA23:AA1000011)</f>
        <v>101</v>
      </c>
      <c r="AB22" s="316"/>
      <c r="AC22" s="73" t="s">
        <v>141</v>
      </c>
      <c r="AD22" s="73" t="s">
        <v>180</v>
      </c>
      <c r="AE22" s="73" t="s">
        <v>180</v>
      </c>
      <c r="AF22" s="73" t="s">
        <v>180</v>
      </c>
      <c r="AG22" s="73" t="s">
        <v>180</v>
      </c>
      <c r="AH22" s="73" t="s">
        <v>180</v>
      </c>
      <c r="AI22" s="73" t="s">
        <v>180</v>
      </c>
      <c r="AJ22" s="73" t="s">
        <v>180</v>
      </c>
      <c r="AK22" s="73" t="s">
        <v>180</v>
      </c>
      <c r="AL22" s="253"/>
      <c r="AM22" s="253"/>
      <c r="AN22" s="253"/>
      <c r="AO22" s="73" t="s">
        <v>180</v>
      </c>
      <c r="AP22" s="73" t="s">
        <v>180</v>
      </c>
      <c r="AQ22" s="73" t="s">
        <v>180</v>
      </c>
      <c r="AR22" s="73" t="s">
        <v>180</v>
      </c>
      <c r="AS22" s="73" t="s">
        <v>180</v>
      </c>
      <c r="AT22" s="73" t="s">
        <v>180</v>
      </c>
      <c r="AU22" s="73" t="s">
        <v>180</v>
      </c>
      <c r="AV22" s="73" t="s">
        <v>180</v>
      </c>
      <c r="AW22" s="255"/>
      <c r="AX22" s="73" t="s">
        <v>180</v>
      </c>
      <c r="AY22" s="255"/>
      <c r="AZ22" s="73" t="s">
        <v>180</v>
      </c>
      <c r="BA22" s="256"/>
      <c r="BB22" s="74" t="s">
        <v>72</v>
      </c>
      <c r="BC22" s="74" t="s">
        <v>72</v>
      </c>
      <c r="BD22" s="73" t="s">
        <v>72</v>
      </c>
      <c r="BE22" s="73" t="s">
        <v>73</v>
      </c>
      <c r="BF22" s="73" t="s">
        <v>73</v>
      </c>
      <c r="BG22" s="73" t="s">
        <v>73</v>
      </c>
      <c r="BH22" s="73" t="s">
        <v>141</v>
      </c>
      <c r="BI22" s="73" t="s">
        <v>1</v>
      </c>
      <c r="BJ22" s="73" t="s">
        <v>1</v>
      </c>
      <c r="BK22" s="73" t="s">
        <v>1</v>
      </c>
      <c r="BL22" s="73" t="s">
        <v>1</v>
      </c>
      <c r="BM22" s="73" t="s">
        <v>1</v>
      </c>
      <c r="BN22" s="258"/>
      <c r="BO22" s="73" t="s">
        <v>72</v>
      </c>
      <c r="BP22" s="73" t="s">
        <v>328</v>
      </c>
      <c r="BQ22" s="73" t="s">
        <v>328</v>
      </c>
      <c r="BR22" s="258"/>
      <c r="BS22" s="258"/>
      <c r="BT22" s="125" t="s">
        <v>20</v>
      </c>
      <c r="BU22" s="125" t="s">
        <v>20</v>
      </c>
      <c r="BV22" s="258"/>
      <c r="BW22" s="264"/>
      <c r="BX22" s="125" t="s">
        <v>72</v>
      </c>
      <c r="BY22" s="258"/>
      <c r="BZ22" s="264"/>
      <c r="DA22" s="178">
        <f>23+COUNTA(DA23:DA1000011)</f>
        <v>26</v>
      </c>
      <c r="DB22" s="272"/>
      <c r="DC22" s="73" t="s">
        <v>141</v>
      </c>
      <c r="DD22" s="73" t="s">
        <v>180</v>
      </c>
      <c r="DE22" s="73" t="s">
        <v>180</v>
      </c>
      <c r="DF22" s="73" t="s">
        <v>180</v>
      </c>
      <c r="DG22" s="73" t="s">
        <v>180</v>
      </c>
      <c r="DH22" s="73" t="s">
        <v>180</v>
      </c>
      <c r="DI22" s="73" t="s">
        <v>180</v>
      </c>
      <c r="DJ22" s="73" t="s">
        <v>180</v>
      </c>
      <c r="DK22" s="73" t="s">
        <v>180</v>
      </c>
      <c r="DL22" s="253"/>
      <c r="DM22" s="253"/>
      <c r="DN22" s="253"/>
      <c r="DO22" s="73" t="s">
        <v>180</v>
      </c>
      <c r="DP22" s="73" t="s">
        <v>180</v>
      </c>
      <c r="DQ22" s="73" t="s">
        <v>180</v>
      </c>
      <c r="DR22" s="73" t="s">
        <v>180</v>
      </c>
      <c r="DS22" s="73" t="s">
        <v>180</v>
      </c>
      <c r="DT22" s="73" t="s">
        <v>180</v>
      </c>
      <c r="DU22" s="73" t="s">
        <v>180</v>
      </c>
      <c r="DV22" s="73" t="s">
        <v>180</v>
      </c>
      <c r="DW22" s="255"/>
      <c r="DX22" s="73" t="s">
        <v>180</v>
      </c>
      <c r="DY22" s="255"/>
      <c r="DZ22" s="73" t="s">
        <v>180</v>
      </c>
      <c r="EA22" s="256"/>
      <c r="EB22" s="74" t="s">
        <v>72</v>
      </c>
      <c r="EC22" s="74" t="s">
        <v>72</v>
      </c>
      <c r="ED22" s="73" t="s">
        <v>72</v>
      </c>
      <c r="EE22" s="73" t="s">
        <v>73</v>
      </c>
      <c r="EF22" s="73" t="s">
        <v>73</v>
      </c>
      <c r="EG22" s="73" t="s">
        <v>73</v>
      </c>
      <c r="EH22" s="73" t="s">
        <v>141</v>
      </c>
      <c r="EI22" s="73" t="s">
        <v>1</v>
      </c>
      <c r="EJ22" s="73" t="s">
        <v>1</v>
      </c>
      <c r="EK22" s="73" t="s">
        <v>1</v>
      </c>
      <c r="EL22" s="73" t="s">
        <v>1</v>
      </c>
      <c r="EM22" s="73" t="s">
        <v>1</v>
      </c>
      <c r="EN22" s="258"/>
      <c r="EO22" s="73" t="s">
        <v>72</v>
      </c>
      <c r="EP22" s="73" t="s">
        <v>328</v>
      </c>
      <c r="EQ22" s="73" t="s">
        <v>328</v>
      </c>
      <c r="ER22" s="258"/>
      <c r="ES22" s="258"/>
      <c r="ET22" s="125" t="s">
        <v>20</v>
      </c>
      <c r="EU22" s="125" t="s">
        <v>20</v>
      </c>
      <c r="EV22" s="258"/>
      <c r="EW22" s="258"/>
      <c r="EX22" s="125" t="s">
        <v>72</v>
      </c>
      <c r="EY22" s="258"/>
      <c r="EZ22" s="258"/>
    </row>
    <row r="23" spans="1:156" ht="12.75" customHeight="1">
      <c r="A23" s="134"/>
      <c r="B23" s="121"/>
      <c r="C23" s="121"/>
      <c r="D23" s="121"/>
      <c r="E23" s="121"/>
      <c r="J23" s="174"/>
      <c r="M23" s="7"/>
      <c r="N23" s="180" t="str">
        <f>"- Cường độ tiêu chuẩn của thép:"</f>
        <v>- Cường độ tiêu chuẩn của thép:</v>
      </c>
      <c r="O23" s="180"/>
      <c r="P23" s="181"/>
      <c r="Q23" s="183"/>
      <c r="R23" s="180"/>
      <c r="S23" s="2"/>
      <c r="T23" s="2"/>
      <c r="U23" s="2"/>
      <c r="V23" s="33" t="s">
        <v>50</v>
      </c>
      <c r="W23" s="34">
        <f>VLOOKUP(W22,Data!$A$3:$D$99,3,FALSE)</f>
        <v>240</v>
      </c>
      <c r="X23" s="23" t="s">
        <v>20</v>
      </c>
      <c r="AA23" s="237" t="s">
        <v>460</v>
      </c>
      <c r="AB23" s="28" t="s">
        <v>432</v>
      </c>
      <c r="AC23" s="29">
        <v>0</v>
      </c>
      <c r="AD23" s="28">
        <v>388</v>
      </c>
      <c r="AE23" s="28">
        <v>212</v>
      </c>
      <c r="AF23" s="28">
        <v>6</v>
      </c>
      <c r="AG23" s="28">
        <v>8</v>
      </c>
      <c r="AH23" s="28">
        <v>372</v>
      </c>
      <c r="AI23" s="13">
        <f>AD23+2*(AP23+AQ23)</f>
        <v>648</v>
      </c>
      <c r="AJ23" s="13">
        <f>INDEX($G$46:$G$99,AM23)</f>
        <v>212</v>
      </c>
      <c r="AK23" s="13">
        <f>INDEX($B$46:$B$99,AL23)</f>
        <v>25</v>
      </c>
      <c r="AL23" s="13">
        <f>DceViTri(AD23,$A$46:$A$70)</f>
        <v>7</v>
      </c>
      <c r="AM23" s="13">
        <f>DceViTri(AE23,$G$46:$G$70)</f>
        <v>2</v>
      </c>
      <c r="AN23" s="13">
        <f>AV23*2+(AT23-2)*2</f>
        <v>8</v>
      </c>
      <c r="AO23" s="13">
        <f>INDEX($C$46:$C$99,AL23)</f>
        <v>24</v>
      </c>
      <c r="AP23" s="13">
        <f>VLOOKUP(AO23,$A$13:$E$21,2,FALSE)</f>
        <v>60</v>
      </c>
      <c r="AQ23" s="13">
        <f>VLOOKUP(AO23,$A$13:$E$21,3,FALSE)</f>
        <v>70</v>
      </c>
      <c r="AR23" s="13">
        <f>VLOOKUP(AO23,$A$13:$E$21,4,FALSE)</f>
        <v>80</v>
      </c>
      <c r="AS23" s="13">
        <f>VLOOKUP(AO23,$A$13:$E$21,5,FALSE)</f>
        <v>150</v>
      </c>
      <c r="AT23" s="13">
        <f>INDEX($D$46:$D$99,AL23)</f>
        <v>4</v>
      </c>
      <c r="AU23" s="13">
        <f>INDEX($H$46:$H$99,AM23)</f>
        <v>120</v>
      </c>
      <c r="AV23" s="13">
        <f>INDEX($I$46:$I$99,AM23)</f>
        <v>2</v>
      </c>
      <c r="AW23" s="13">
        <f>INDEX($E$46:$E$99,AL23)</f>
        <v>0</v>
      </c>
      <c r="AX23" s="13">
        <f>INDEX($F$46:$F$99,AL23)</f>
        <v>0</v>
      </c>
      <c r="AY23" s="13">
        <f>INDEX($J$46:$J$99,AM23)</f>
        <v>1</v>
      </c>
      <c r="AZ23" s="13">
        <f>INDEX($K$46:$K$99,AM23)</f>
        <v>6</v>
      </c>
      <c r="BA23" s="75" t="s">
        <v>435</v>
      </c>
      <c r="BB23" s="77">
        <v>13</v>
      </c>
      <c r="BC23" s="77">
        <v>-0.67932125986652203</v>
      </c>
      <c r="BD23" s="29">
        <v>-8.5629261098617705E-5</v>
      </c>
      <c r="BE23" s="29">
        <v>-6.3498875682984755E-6</v>
      </c>
      <c r="BF23" s="29">
        <v>-1.0469438098388171E-3</v>
      </c>
      <c r="BG23" s="29">
        <v>-2.9593930097616576</v>
      </c>
      <c r="BH23" s="179">
        <f>ABS(BG23/BB23)</f>
        <v>0.22764561613551212</v>
      </c>
      <c r="BI23" s="127">
        <f>_xll.DCEBoltDisColBaseFix(AV23, AT23, AD23, AP23, AQ23,AR23, AS23, "TTT")</f>
        <v>189</v>
      </c>
      <c r="BJ23" s="127">
        <f>AI23/2+BI23</f>
        <v>513</v>
      </c>
      <c r="BK23" s="127">
        <f>IFERROR(BJ23 - (BJ23 ^ 2 - 2 * ABS(BB23)*1000 *  (1000 *BH23 + BI23) / ($W$36 * AJ23)) ^ 0.5,"O/S")</f>
        <v>3.4462768848034102</v>
      </c>
      <c r="BL23" s="127">
        <f>$W$83*BJ23</f>
        <v>302.89508840864443</v>
      </c>
      <c r="BM23" s="120">
        <f>BK23/BL23</f>
        <v>1.1377790583893323E-2</v>
      </c>
      <c r="BN23" s="4">
        <f>_xll.DCEBoltDisColBaseFix(AV23,AT23,AD23,AP23,AQ23,AR23,AS23,"NL1T")+_xll.DCEBoltDisColBaseFix(AV23,AT23,AD23,AP23,AQ23,AR23,AS23,"NL2T")+_xll.DCEBoltDisColBaseFix(AV23,AT23,AD23,AP23,AQ23,AR23,AS23,"NL3T")</f>
        <v>4</v>
      </c>
      <c r="BO23" s="121">
        <f>MAX(($W$36*AJ23*BK23/1000+BB23)/BN23,0)</f>
        <v>5.8984637859714208</v>
      </c>
      <c r="BP23" s="122">
        <f>MAX(($W$63*BO23*1000/$W$19),0)</f>
        <v>25.805779063624968</v>
      </c>
      <c r="BQ23" s="122">
        <f>MAX(MAX(BP23,IFERROR(VALUE($W$90),0)),57.1)</f>
        <v>57.1</v>
      </c>
      <c r="BR23" s="120">
        <f>BQ23/VLOOKUP(AO23,Data!$V$4:$Z$99,4,FALSE)</f>
        <v>0.16175637393767706</v>
      </c>
      <c r="BS23" s="123" t="str">
        <f>IF(BR23&lt;=1,"OK","Check")</f>
        <v>OK</v>
      </c>
      <c r="BT23" s="124">
        <f>ABS(BB23)/(AI23*AJ23)*1000+6*ABS(BG23*1000000)/(AJ23*AI23^2)</f>
        <v>0.29409640058978831</v>
      </c>
      <c r="BU23" s="124">
        <f>ABS(BB23)/(AI23*AJ23)*1000-6*ABS(BG23*1000000)/(AJ23*AI23^2)</f>
        <v>-0.10483481195713047</v>
      </c>
      <c r="BV23" s="120">
        <f>BT23/$W$101</f>
        <v>2.7043347180670189E-2</v>
      </c>
      <c r="BW23" s="123" t="str">
        <f>IF(BV23&lt;=1,"OK","Check")</f>
        <v>OK</v>
      </c>
      <c r="BX23" s="124">
        <f>0.6*$W$45*$S$130*$W$48/1000</f>
        <v>406.65599999999995</v>
      </c>
      <c r="BY23" s="120">
        <f>MAX(ABS(BO23),SQRT(BC23^2+BD23^2))/BX23</f>
        <v>1.4504799599591355E-2</v>
      </c>
      <c r="BZ23" s="123" t="str">
        <f>IF(BY23&lt;=1,"OK","Check")</f>
        <v>OK</v>
      </c>
      <c r="DA23" s="237" t="s">
        <v>460</v>
      </c>
      <c r="DB23" s="28" t="s">
        <v>432</v>
      </c>
      <c r="DC23" s="29">
        <v>0</v>
      </c>
      <c r="DD23" s="28">
        <v>388</v>
      </c>
      <c r="DE23" s="28">
        <v>212</v>
      </c>
      <c r="DF23" s="28">
        <v>6</v>
      </c>
      <c r="DG23" s="28">
        <v>8</v>
      </c>
      <c r="DH23" s="28">
        <v>372</v>
      </c>
      <c r="DI23" s="13">
        <v>648</v>
      </c>
      <c r="DJ23" s="13">
        <v>212</v>
      </c>
      <c r="DK23" s="13">
        <v>25</v>
      </c>
      <c r="DL23" s="13">
        <v>7</v>
      </c>
      <c r="DM23" s="13">
        <v>2</v>
      </c>
      <c r="DN23" s="13">
        <v>8</v>
      </c>
      <c r="DO23" s="13">
        <v>24</v>
      </c>
      <c r="DP23" s="13">
        <v>60</v>
      </c>
      <c r="DQ23" s="13">
        <v>70</v>
      </c>
      <c r="DR23" s="13">
        <v>80</v>
      </c>
      <c r="DS23" s="13">
        <v>150</v>
      </c>
      <c r="DT23" s="13">
        <v>4</v>
      </c>
      <c r="DU23" s="13">
        <v>120</v>
      </c>
      <c r="DV23" s="13">
        <v>2</v>
      </c>
      <c r="DW23" s="13">
        <v>0</v>
      </c>
      <c r="DX23" s="13">
        <v>0</v>
      </c>
      <c r="DY23" s="13">
        <v>1</v>
      </c>
      <c r="DZ23" s="13">
        <v>6</v>
      </c>
      <c r="EA23" s="75" t="s">
        <v>435</v>
      </c>
      <c r="EB23" s="77">
        <v>-12.978223125528645</v>
      </c>
      <c r="EC23" s="77">
        <v>-0.67932125986652203</v>
      </c>
      <c r="ED23" s="29">
        <v>-8.5629261098617705E-5</v>
      </c>
      <c r="EE23" s="29">
        <v>-6.3498875682984755E-6</v>
      </c>
      <c r="EF23" s="29">
        <v>-1.0469438098388171E-3</v>
      </c>
      <c r="EG23" s="29">
        <v>-2.9593930097616576</v>
      </c>
      <c r="EH23" s="179">
        <v>0.22802759523685659</v>
      </c>
      <c r="EI23" s="127">
        <v>189</v>
      </c>
      <c r="EJ23" s="127">
        <v>513</v>
      </c>
      <c r="EK23" s="127">
        <v>3.4436492658259681</v>
      </c>
      <c r="EL23" s="127">
        <v>302.89508840864443</v>
      </c>
      <c r="EM23" s="120">
        <v>1.1369115570405165E-2</v>
      </c>
      <c r="EN23" s="4">
        <v>4</v>
      </c>
      <c r="EO23" s="121">
        <v>-0.59811132059490468</v>
      </c>
      <c r="EP23" s="122">
        <v>0</v>
      </c>
      <c r="EQ23" s="122">
        <v>57.1</v>
      </c>
      <c r="ER23" s="120">
        <v>0.16175637393767706</v>
      </c>
      <c r="ES23" s="216" t="s">
        <v>409</v>
      </c>
      <c r="ET23" s="124">
        <v>0.29393788036448432</v>
      </c>
      <c r="EU23" s="124">
        <v>-0.10499333218243442</v>
      </c>
      <c r="EV23" s="120">
        <v>2.7028770608228444E-2</v>
      </c>
      <c r="EW23" s="216" t="s">
        <v>409</v>
      </c>
      <c r="EX23" s="124">
        <v>406.65599999999995</v>
      </c>
      <c r="EY23" s="120">
        <v>1.6705059442461386E-3</v>
      </c>
      <c r="EZ23" s="216" t="s">
        <v>409</v>
      </c>
    </row>
    <row r="24" spans="1:156" ht="12.75" customHeight="1">
      <c r="A24" s="134"/>
      <c r="B24" s="121"/>
      <c r="C24" s="121"/>
      <c r="D24" s="121"/>
      <c r="E24" s="121"/>
      <c r="J24" s="174"/>
      <c r="M24" s="7"/>
      <c r="N24" s="180" t="str">
        <f>"- Cường độ tiêu chuẩn kéo đứt của thép:"</f>
        <v>- Cường độ tiêu chuẩn kéo đứt của thép:</v>
      </c>
      <c r="O24" s="180"/>
      <c r="P24" s="181"/>
      <c r="Q24" s="183"/>
      <c r="R24" s="180"/>
      <c r="S24" s="2"/>
      <c r="T24" s="2"/>
      <c r="U24" s="2"/>
      <c r="V24" s="33" t="s">
        <v>134</v>
      </c>
      <c r="W24" s="34">
        <f>VLOOKUP(W22,Data!$A$3:$D$99,4,FALSE)</f>
        <v>380</v>
      </c>
      <c r="X24" s="23" t="s">
        <v>20</v>
      </c>
      <c r="AA24" s="75" t="s">
        <v>460</v>
      </c>
      <c r="AB24" s="75" t="s">
        <v>432</v>
      </c>
      <c r="AC24" s="76">
        <v>0</v>
      </c>
      <c r="AD24" s="28">
        <v>388</v>
      </c>
      <c r="AE24" s="28">
        <v>212</v>
      </c>
      <c r="AF24" s="28">
        <v>6</v>
      </c>
      <c r="AG24" s="28">
        <v>8</v>
      </c>
      <c r="AH24" s="28">
        <v>372</v>
      </c>
      <c r="AI24" s="13">
        <f t="shared" ref="AI24:AI87" si="2">AD24+2*(AP24+AQ24)</f>
        <v>648</v>
      </c>
      <c r="AJ24" s="13">
        <f t="shared" ref="AJ24:AJ87" si="3">INDEX($G$46:$G$99,AM24)</f>
        <v>212</v>
      </c>
      <c r="AK24" s="13">
        <f t="shared" ref="AK24:AK87" si="4">INDEX($B$46:$B$99,AL24)</f>
        <v>25</v>
      </c>
      <c r="AL24" s="13">
        <f t="shared" ref="AL24:AL87" si="5">DceViTri(AD24,$A$46:$A$70)</f>
        <v>7</v>
      </c>
      <c r="AM24" s="13">
        <f t="shared" ref="AM24:AM87" si="6">DceViTri(AE24,$G$46:$G$70)</f>
        <v>2</v>
      </c>
      <c r="AN24" s="13">
        <f t="shared" ref="AN24:AN87" si="7">AV24*2+(AT24-2)*2</f>
        <v>8</v>
      </c>
      <c r="AO24" s="13">
        <f t="shared" ref="AO24:AO87" si="8">INDEX($C$46:$C$99,AL24)</f>
        <v>24</v>
      </c>
      <c r="AP24" s="13">
        <f t="shared" ref="AP24:AP87" si="9">VLOOKUP(AO24,$A$13:$E$21,2,FALSE)</f>
        <v>60</v>
      </c>
      <c r="AQ24" s="13">
        <f t="shared" ref="AQ24:AQ87" si="10">VLOOKUP(AO24,$A$13:$E$21,3,FALSE)</f>
        <v>70</v>
      </c>
      <c r="AR24" s="13">
        <f t="shared" ref="AR24:AR87" si="11">VLOOKUP(AO24,$A$13:$E$21,4,FALSE)</f>
        <v>80</v>
      </c>
      <c r="AS24" s="13">
        <f t="shared" ref="AS24:AS87" si="12">VLOOKUP(AO24,$A$13:$E$21,5,FALSE)</f>
        <v>150</v>
      </c>
      <c r="AT24" s="13">
        <f t="shared" ref="AT24:AT87" si="13">INDEX($D$46:$D$99,AL24)</f>
        <v>4</v>
      </c>
      <c r="AU24" s="13">
        <f t="shared" ref="AU24:AU87" si="14">INDEX($H$46:$H$99,AM24)</f>
        <v>120</v>
      </c>
      <c r="AV24" s="13">
        <f t="shared" ref="AV24:AV87" si="15">INDEX($I$46:$I$99,AM24)</f>
        <v>2</v>
      </c>
      <c r="AW24" s="13">
        <f t="shared" ref="AW24:AW87" si="16">INDEX($E$46:$E$99,AL24)</f>
        <v>0</v>
      </c>
      <c r="AX24" s="13">
        <f t="shared" ref="AX24:AX87" si="17">INDEX($F$46:$F$99,AL24)</f>
        <v>0</v>
      </c>
      <c r="AY24" s="13">
        <f t="shared" ref="AY24:AY87" si="18">INDEX($J$46:$J$99,AM24)</f>
        <v>1</v>
      </c>
      <c r="AZ24" s="13">
        <f t="shared" ref="AZ24:AZ87" si="19">INDEX($K$46:$K$99,AM24)</f>
        <v>6</v>
      </c>
      <c r="BA24" s="75" t="s">
        <v>408</v>
      </c>
      <c r="BB24" s="77">
        <v>-12.978223125528645</v>
      </c>
      <c r="BC24" s="77">
        <v>-0.67932125986652203</v>
      </c>
      <c r="BD24" s="29">
        <v>-8.5629261098617705E-5</v>
      </c>
      <c r="BE24" s="29">
        <v>-6.3498875682984755E-6</v>
      </c>
      <c r="BF24" s="29">
        <v>-1.0469438098388171E-3</v>
      </c>
      <c r="BG24" s="29">
        <v>-2.9593930097616576</v>
      </c>
      <c r="BH24" s="179">
        <f t="shared" ref="BH24:BH87" si="20">ABS(BG24/BB24)</f>
        <v>0.22802759523685659</v>
      </c>
      <c r="BI24" s="127">
        <f>_xll.DCEBoltDisColBaseFix(AV24, AT24, AD24, AP24, AQ24,AR24, AS24, "TTT")</f>
        <v>189</v>
      </c>
      <c r="BJ24" s="127">
        <f t="shared" ref="BJ24:BJ87" si="21">AI24/2+BI24</f>
        <v>513</v>
      </c>
      <c r="BK24" s="127">
        <f t="shared" ref="BK24:BK87" si="22">IFERROR(BJ24 - (BJ24 ^ 2 - 2 * ABS(BB24)*1000 *  (1000 *BH24 + BI24) / ($W$36 * AJ24)) ^ 0.5,"O/S")</f>
        <v>3.4436492658259681</v>
      </c>
      <c r="BL24" s="127">
        <f t="shared" ref="BL24:BL87" si="23">$W$83*BJ24</f>
        <v>302.89508840864443</v>
      </c>
      <c r="BM24" s="120">
        <f t="shared" ref="BM24:BM87" si="24">BK24/BL24</f>
        <v>1.1369115570405165E-2</v>
      </c>
      <c r="BN24" s="4">
        <f>_xll.DCEBoltDisColBaseFix(AV24,AT24,AD24,AP24,AQ24,AR24,AS24,"NL1T")+_xll.DCEBoltDisColBaseFix(AV24,AT24,AD24,AP24,AQ24,AR24,AS24,"NL2T")+_xll.DCEBoltDisColBaseFix(AV24,AT24,AD24,AP24,AQ24,AR24,AS24,"NL3T")</f>
        <v>4</v>
      </c>
      <c r="BO24" s="121">
        <f t="shared" ref="BO24:BO87" si="25">MAX(($W$36*AJ24*BK24/1000+BB24)/BN24,0)</f>
        <v>0</v>
      </c>
      <c r="BP24" s="122">
        <f t="shared" ref="BP24:BP87" si="26">MAX(($W$63*BO24*1000/$W$19),0)</f>
        <v>0</v>
      </c>
      <c r="BQ24" s="122">
        <f t="shared" ref="BQ24:BQ87" si="27">MAX(MAX(BP24,IFERROR(VALUE($W$90),0)),57.1)</f>
        <v>57.1</v>
      </c>
      <c r="BR24" s="120">
        <f>BQ24/VLOOKUP(AO24,Data!$V$4:$Z$99,4,FALSE)</f>
        <v>0.16175637393767706</v>
      </c>
      <c r="BS24" s="123" t="str">
        <f t="shared" ref="BS24:BS87" si="28">IF(BR24&lt;=1,"OK","Check")</f>
        <v>OK</v>
      </c>
      <c r="BT24" s="124">
        <f t="shared" ref="BT24:BT87" si="29">ABS(BB24)/(AI24*AJ24)*1000+6*ABS(BG24*1000000)/(AJ24*AI24^2)</f>
        <v>0.29393788036448432</v>
      </c>
      <c r="BU24" s="124">
        <f t="shared" ref="BU24:BU87" si="30">ABS(BB24)/(AI24*AJ24)*1000-6*ABS(BG24*1000000)/(AJ24*AI24^2)</f>
        <v>-0.10499333218243442</v>
      </c>
      <c r="BV24" s="120">
        <f t="shared" ref="BV24:BV87" si="31">BT24/$W$101</f>
        <v>2.7028770608228444E-2</v>
      </c>
      <c r="BW24" s="123" t="str">
        <f t="shared" ref="BW24:BW87" si="32">IF(BV24&lt;=1,"OK","Check")</f>
        <v>OK</v>
      </c>
      <c r="BX24" s="124">
        <f t="shared" ref="BX24:BX87" si="33">0.6*$W$45*$S$130*$W$48/1000</f>
        <v>406.65599999999995</v>
      </c>
      <c r="BY24" s="120">
        <f t="shared" ref="BY24:BY87" si="34">MAX(ABS(BO24),SQRT(BC24^2+BD24^2))/BX24</f>
        <v>1.6705059442461386E-3</v>
      </c>
      <c r="BZ24" s="123" t="str">
        <f t="shared" ref="BZ24:BZ87" si="35">IF(BY24&lt;=1,"OK","Check")</f>
        <v>OK</v>
      </c>
      <c r="DA24" s="75" t="s">
        <v>460</v>
      </c>
      <c r="DB24" s="28" t="s">
        <v>433</v>
      </c>
      <c r="DC24" s="76">
        <v>0</v>
      </c>
      <c r="DD24" s="28">
        <v>388</v>
      </c>
      <c r="DE24" s="28">
        <v>212</v>
      </c>
      <c r="DF24" s="28">
        <v>6</v>
      </c>
      <c r="DG24" s="28">
        <v>8</v>
      </c>
      <c r="DH24" s="28">
        <v>372</v>
      </c>
      <c r="DI24" s="13">
        <v>648</v>
      </c>
      <c r="DJ24" s="13">
        <v>212</v>
      </c>
      <c r="DK24" s="13">
        <v>25</v>
      </c>
      <c r="DL24" s="13">
        <v>7</v>
      </c>
      <c r="DM24" s="13">
        <v>2</v>
      </c>
      <c r="DN24" s="13">
        <v>8</v>
      </c>
      <c r="DO24" s="13">
        <v>24</v>
      </c>
      <c r="DP24" s="13">
        <v>60</v>
      </c>
      <c r="DQ24" s="13">
        <v>70</v>
      </c>
      <c r="DR24" s="13">
        <v>80</v>
      </c>
      <c r="DS24" s="13">
        <v>150</v>
      </c>
      <c r="DT24" s="13">
        <v>4</v>
      </c>
      <c r="DU24" s="13">
        <v>120</v>
      </c>
      <c r="DV24" s="13">
        <v>2</v>
      </c>
      <c r="DW24" s="13">
        <v>0</v>
      </c>
      <c r="DX24" s="13">
        <v>0</v>
      </c>
      <c r="DY24" s="13">
        <v>1</v>
      </c>
      <c r="DZ24" s="13">
        <v>6</v>
      </c>
      <c r="EA24" s="75" t="s">
        <v>435</v>
      </c>
      <c r="EB24" s="77">
        <v>-17.381808753789667</v>
      </c>
      <c r="EC24" s="77">
        <v>-0.50893427046276496</v>
      </c>
      <c r="ED24" s="29">
        <v>0.38682270030334331</v>
      </c>
      <c r="EE24" s="29">
        <v>-4.6418782057542141E-7</v>
      </c>
      <c r="EF24" s="29">
        <v>8.4281730023741605E-2</v>
      </c>
      <c r="EG24" s="29">
        <v>-2.3094474279762465</v>
      </c>
      <c r="EH24" s="127">
        <v>0.13286577137564751</v>
      </c>
      <c r="EI24" s="127">
        <v>189</v>
      </c>
      <c r="EJ24" s="127">
        <v>513</v>
      </c>
      <c r="EK24" s="127">
        <v>3.5600663374316923</v>
      </c>
      <c r="EL24" s="127">
        <v>302.89508840864443</v>
      </c>
      <c r="EM24" s="120">
        <v>1.1753463405879679E-2</v>
      </c>
      <c r="EN24" s="121">
        <v>4</v>
      </c>
      <c r="EO24" s="121">
        <v>-1.6095412081311613</v>
      </c>
      <c r="EP24" s="120">
        <v>0</v>
      </c>
      <c r="EQ24" s="122">
        <v>57.1</v>
      </c>
      <c r="ER24" s="120">
        <v>0.16175637393767706</v>
      </c>
      <c r="ES24" s="238" t="s">
        <v>409</v>
      </c>
      <c r="ET24" s="124">
        <v>0.28218598033900538</v>
      </c>
      <c r="EU24" s="124">
        <v>-2.9131462027369215E-2</v>
      </c>
      <c r="EV24" s="120">
        <v>2.5948136123126932E-2</v>
      </c>
      <c r="EW24" s="217" t="s">
        <v>409</v>
      </c>
      <c r="EX24" s="124">
        <v>406.65599999999995</v>
      </c>
      <c r="EY24" s="120">
        <v>3.9579920329004406E-3</v>
      </c>
      <c r="EZ24" s="217" t="s">
        <v>409</v>
      </c>
    </row>
    <row r="25" spans="1:156" ht="12.75" customHeight="1" thickBot="1">
      <c r="A25" s="134"/>
      <c r="B25" s="121"/>
      <c r="C25" s="121"/>
      <c r="D25" s="121"/>
      <c r="E25" s="121"/>
      <c r="F25" s="175"/>
      <c r="G25" s="175"/>
      <c r="H25" s="175"/>
      <c r="I25" s="175"/>
      <c r="J25" s="176"/>
      <c r="M25" s="7"/>
      <c r="N25" s="180" t="str">
        <f>"- Cường độ tính toán của thép:"</f>
        <v>- Cường độ tính toán của thép:</v>
      </c>
      <c r="O25" s="180"/>
      <c r="P25" s="181"/>
      <c r="Q25" s="183"/>
      <c r="R25" s="180"/>
      <c r="S25" s="2"/>
      <c r="T25" s="20" t="s">
        <v>110</v>
      </c>
      <c r="U25" s="36">
        <f>VLOOKUP(W22,Data!$A$3:$E$99,5,FALSE)</f>
        <v>1.05</v>
      </c>
      <c r="V25" s="33" t="s">
        <v>109</v>
      </c>
      <c r="W25" s="186">
        <f>W23/U25</f>
        <v>228.57142857142856</v>
      </c>
      <c r="X25" s="23" t="s">
        <v>20</v>
      </c>
      <c r="AA25" s="75" t="s">
        <v>460</v>
      </c>
      <c r="AB25" s="75" t="s">
        <v>432</v>
      </c>
      <c r="AC25" s="76">
        <v>0</v>
      </c>
      <c r="AD25" s="28">
        <v>388</v>
      </c>
      <c r="AE25" s="28">
        <v>212</v>
      </c>
      <c r="AF25" s="28">
        <v>6</v>
      </c>
      <c r="AG25" s="28">
        <v>8</v>
      </c>
      <c r="AH25" s="28">
        <v>372</v>
      </c>
      <c r="AI25" s="13">
        <f t="shared" si="2"/>
        <v>648</v>
      </c>
      <c r="AJ25" s="13">
        <f t="shared" si="3"/>
        <v>212</v>
      </c>
      <c r="AK25" s="13">
        <f t="shared" si="4"/>
        <v>25</v>
      </c>
      <c r="AL25" s="13">
        <f t="shared" si="5"/>
        <v>7</v>
      </c>
      <c r="AM25" s="13">
        <f t="shared" si="6"/>
        <v>2</v>
      </c>
      <c r="AN25" s="13">
        <f t="shared" si="7"/>
        <v>8</v>
      </c>
      <c r="AO25" s="13">
        <f t="shared" si="8"/>
        <v>24</v>
      </c>
      <c r="AP25" s="13">
        <f t="shared" si="9"/>
        <v>60</v>
      </c>
      <c r="AQ25" s="13">
        <f t="shared" si="10"/>
        <v>70</v>
      </c>
      <c r="AR25" s="13">
        <f t="shared" si="11"/>
        <v>80</v>
      </c>
      <c r="AS25" s="13">
        <f t="shared" si="12"/>
        <v>150</v>
      </c>
      <c r="AT25" s="13">
        <f t="shared" si="13"/>
        <v>4</v>
      </c>
      <c r="AU25" s="13">
        <f t="shared" si="14"/>
        <v>120</v>
      </c>
      <c r="AV25" s="13">
        <f t="shared" si="15"/>
        <v>2</v>
      </c>
      <c r="AW25" s="13">
        <f t="shared" si="16"/>
        <v>0</v>
      </c>
      <c r="AX25" s="13">
        <f t="shared" si="17"/>
        <v>0</v>
      </c>
      <c r="AY25" s="13">
        <f t="shared" si="18"/>
        <v>1</v>
      </c>
      <c r="AZ25" s="13">
        <f t="shared" si="19"/>
        <v>6</v>
      </c>
      <c r="BA25" s="75" t="s">
        <v>436</v>
      </c>
      <c r="BB25" s="77">
        <v>-12.978223125528645</v>
      </c>
      <c r="BC25" s="77">
        <v>-0.67932125986652203</v>
      </c>
      <c r="BD25" s="29">
        <v>-8.5629261098617705E-5</v>
      </c>
      <c r="BE25" s="29">
        <v>-6.3498875682984755E-6</v>
      </c>
      <c r="BF25" s="29">
        <v>-1.0469438098388171E-3</v>
      </c>
      <c r="BG25" s="29">
        <v>-2.9593930097616576</v>
      </c>
      <c r="BH25" s="179">
        <f t="shared" si="20"/>
        <v>0.22802759523685659</v>
      </c>
      <c r="BI25" s="127">
        <f>_xll.DCEBoltDisColBaseFix(AV25, AT25, AD25, AP25, AQ25,AR25, AS25, "TTT")</f>
        <v>189</v>
      </c>
      <c r="BJ25" s="127">
        <f t="shared" si="21"/>
        <v>513</v>
      </c>
      <c r="BK25" s="127">
        <f t="shared" si="22"/>
        <v>3.4436492658259681</v>
      </c>
      <c r="BL25" s="127">
        <f t="shared" si="23"/>
        <v>302.89508840864443</v>
      </c>
      <c r="BM25" s="120">
        <f t="shared" si="24"/>
        <v>1.1369115570405165E-2</v>
      </c>
      <c r="BN25" s="4">
        <f>_xll.DCEBoltDisColBaseFix(AV25,AT25,AD25,AP25,AQ25,AR25,AS25,"NL1T")+_xll.DCEBoltDisColBaseFix(AV25,AT25,AD25,AP25,AQ25,AR25,AS25,"NL2T")+_xll.DCEBoltDisColBaseFix(AV25,AT25,AD25,AP25,AQ25,AR25,AS25,"NL3T")</f>
        <v>4</v>
      </c>
      <c r="BO25" s="121">
        <f t="shared" si="25"/>
        <v>0</v>
      </c>
      <c r="BP25" s="122">
        <f t="shared" si="26"/>
        <v>0</v>
      </c>
      <c r="BQ25" s="122">
        <f t="shared" si="27"/>
        <v>57.1</v>
      </c>
      <c r="BR25" s="120">
        <f>BQ25/VLOOKUP(AO25,Data!$V$4:$Z$99,4,FALSE)</f>
        <v>0.16175637393767706</v>
      </c>
      <c r="BS25" s="123" t="str">
        <f t="shared" si="28"/>
        <v>OK</v>
      </c>
      <c r="BT25" s="124">
        <f t="shared" si="29"/>
        <v>0.29393788036448432</v>
      </c>
      <c r="BU25" s="124">
        <f t="shared" si="30"/>
        <v>-0.10499333218243442</v>
      </c>
      <c r="BV25" s="120">
        <f t="shared" si="31"/>
        <v>2.7028770608228444E-2</v>
      </c>
      <c r="BW25" s="123" t="str">
        <f t="shared" si="32"/>
        <v>OK</v>
      </c>
      <c r="BX25" s="124">
        <f t="shared" si="33"/>
        <v>406.65599999999995</v>
      </c>
      <c r="BY25" s="120">
        <f t="shared" si="34"/>
        <v>1.6705059442461386E-3</v>
      </c>
      <c r="BZ25" s="123" t="str">
        <f t="shared" si="35"/>
        <v>OK</v>
      </c>
      <c r="DA25" s="75" t="s">
        <v>460</v>
      </c>
      <c r="DB25" s="28" t="s">
        <v>434</v>
      </c>
      <c r="DC25" s="76">
        <v>0</v>
      </c>
      <c r="DD25" s="28">
        <v>388</v>
      </c>
      <c r="DE25" s="28">
        <v>212</v>
      </c>
      <c r="DF25" s="28">
        <v>6</v>
      </c>
      <c r="DG25" s="28">
        <v>8</v>
      </c>
      <c r="DH25" s="28">
        <v>372</v>
      </c>
      <c r="DI25" s="13">
        <v>648</v>
      </c>
      <c r="DJ25" s="13">
        <v>212</v>
      </c>
      <c r="DK25" s="13">
        <v>25</v>
      </c>
      <c r="DL25" s="13">
        <v>7</v>
      </c>
      <c r="DM25" s="13">
        <v>2</v>
      </c>
      <c r="DN25" s="13">
        <v>8</v>
      </c>
      <c r="DO25" s="13">
        <v>24</v>
      </c>
      <c r="DP25" s="13">
        <v>60</v>
      </c>
      <c r="DQ25" s="13">
        <v>70</v>
      </c>
      <c r="DR25" s="13">
        <v>80</v>
      </c>
      <c r="DS25" s="13">
        <v>150</v>
      </c>
      <c r="DT25" s="13">
        <v>4</v>
      </c>
      <c r="DU25" s="13">
        <v>120</v>
      </c>
      <c r="DV25" s="13">
        <v>2</v>
      </c>
      <c r="DW25" s="13">
        <v>0</v>
      </c>
      <c r="DX25" s="13">
        <v>0</v>
      </c>
      <c r="DY25" s="13">
        <v>1</v>
      </c>
      <c r="DZ25" s="13">
        <v>6</v>
      </c>
      <c r="EA25" s="75" t="s">
        <v>435</v>
      </c>
      <c r="EB25" s="77">
        <v>-17.480133517238563</v>
      </c>
      <c r="EC25" s="77">
        <v>-0.52524295473499016</v>
      </c>
      <c r="ED25" s="29">
        <v>-0.41738995835272419</v>
      </c>
      <c r="EE25" s="29">
        <v>-1.2447418513464472E-5</v>
      </c>
      <c r="EF25" s="29">
        <v>-0.11851451493253458</v>
      </c>
      <c r="EG25" s="29">
        <v>-2.3757031460583238</v>
      </c>
      <c r="EH25" s="127">
        <v>0.13590875285451637</v>
      </c>
      <c r="EI25" s="127">
        <v>189</v>
      </c>
      <c r="EJ25" s="127">
        <v>513</v>
      </c>
      <c r="EK25" s="127">
        <v>3.6142442527278149</v>
      </c>
      <c r="EL25" s="127">
        <v>302.89508840864443</v>
      </c>
      <c r="EM25" s="120">
        <v>1.1932330338258025E-2</v>
      </c>
      <c r="EN25" s="121">
        <v>4</v>
      </c>
      <c r="EO25" s="121">
        <v>-1.5924866710883152</v>
      </c>
      <c r="EP25" s="120">
        <v>0</v>
      </c>
      <c r="EQ25" s="122">
        <v>57.1</v>
      </c>
      <c r="ER25" s="120">
        <v>0.16175637393767706</v>
      </c>
      <c r="ES25" s="238" t="s">
        <v>409</v>
      </c>
      <c r="ET25" s="124">
        <v>0.28736740674958106</v>
      </c>
      <c r="EU25" s="124">
        <v>-3.2881419135462692E-2</v>
      </c>
      <c r="EV25" s="120">
        <v>2.6424589126398258E-2</v>
      </c>
      <c r="EW25" s="217" t="s">
        <v>409</v>
      </c>
      <c r="EX25" s="124">
        <v>406.65599999999995</v>
      </c>
      <c r="EY25" s="120">
        <v>3.9160535467036399E-3</v>
      </c>
      <c r="EZ25" s="217" t="s">
        <v>409</v>
      </c>
    </row>
    <row r="26" spans="1:156" ht="12.75" customHeight="1">
      <c r="M26" s="7"/>
      <c r="N26" s="180" t="str">
        <f>"- Hệ số điều kiện làm việc của kết cấu (Bảng 1 - Mục 9):"</f>
        <v>- Hệ số điều kiện làm việc của kết cấu (Bảng 1 - Mục 9):</v>
      </c>
      <c r="O26" s="180"/>
      <c r="P26" s="181"/>
      <c r="Q26" s="183"/>
      <c r="R26" s="180"/>
      <c r="S26" s="2"/>
      <c r="T26" s="2"/>
      <c r="U26" s="184"/>
      <c r="V26" s="20" t="s">
        <v>122</v>
      </c>
      <c r="W26" s="32">
        <f>IF(W51&lt;=40,1.2,IF(W51&lt;=60,1.15,1.1))</f>
        <v>1.2</v>
      </c>
      <c r="X26" s="23" t="s">
        <v>20</v>
      </c>
      <c r="AA26" s="75" t="s">
        <v>460</v>
      </c>
      <c r="AB26" s="75" t="s">
        <v>432</v>
      </c>
      <c r="AC26" s="76">
        <v>0</v>
      </c>
      <c r="AD26" s="28">
        <v>388</v>
      </c>
      <c r="AE26" s="28">
        <v>212</v>
      </c>
      <c r="AF26" s="28">
        <v>6</v>
      </c>
      <c r="AG26" s="28">
        <v>8</v>
      </c>
      <c r="AH26" s="28">
        <v>372</v>
      </c>
      <c r="AI26" s="13">
        <f t="shared" si="2"/>
        <v>648</v>
      </c>
      <c r="AJ26" s="13">
        <f t="shared" si="3"/>
        <v>212</v>
      </c>
      <c r="AK26" s="13">
        <f t="shared" si="4"/>
        <v>25</v>
      </c>
      <c r="AL26" s="13">
        <f t="shared" si="5"/>
        <v>7</v>
      </c>
      <c r="AM26" s="13">
        <f t="shared" si="6"/>
        <v>2</v>
      </c>
      <c r="AN26" s="13">
        <f t="shared" si="7"/>
        <v>8</v>
      </c>
      <c r="AO26" s="13">
        <f t="shared" si="8"/>
        <v>24</v>
      </c>
      <c r="AP26" s="13">
        <f t="shared" si="9"/>
        <v>60</v>
      </c>
      <c r="AQ26" s="13">
        <f t="shared" si="10"/>
        <v>70</v>
      </c>
      <c r="AR26" s="13">
        <f t="shared" si="11"/>
        <v>80</v>
      </c>
      <c r="AS26" s="13">
        <f t="shared" si="12"/>
        <v>150</v>
      </c>
      <c r="AT26" s="13">
        <f t="shared" si="13"/>
        <v>4</v>
      </c>
      <c r="AU26" s="13">
        <f t="shared" si="14"/>
        <v>120</v>
      </c>
      <c r="AV26" s="13">
        <f t="shared" si="15"/>
        <v>2</v>
      </c>
      <c r="AW26" s="13">
        <f t="shared" si="16"/>
        <v>0</v>
      </c>
      <c r="AX26" s="13">
        <f t="shared" si="17"/>
        <v>0</v>
      </c>
      <c r="AY26" s="13">
        <f t="shared" si="18"/>
        <v>1</v>
      </c>
      <c r="AZ26" s="13">
        <f t="shared" si="19"/>
        <v>6</v>
      </c>
      <c r="BA26" s="75" t="s">
        <v>437</v>
      </c>
      <c r="BB26" s="77">
        <v>-12.978223125528645</v>
      </c>
      <c r="BC26" s="77">
        <v>-0.67932125986652203</v>
      </c>
      <c r="BD26" s="29">
        <v>-8.5629261098617705E-5</v>
      </c>
      <c r="BE26" s="29">
        <v>-6.3498875682984755E-6</v>
      </c>
      <c r="BF26" s="29">
        <v>-1.0469438098388171E-3</v>
      </c>
      <c r="BG26" s="29">
        <v>-2.9593930097616576</v>
      </c>
      <c r="BH26" s="179">
        <f t="shared" si="20"/>
        <v>0.22802759523685659</v>
      </c>
      <c r="BI26" s="127">
        <f>_xll.DCEBoltDisColBaseFix(AV26, AT26, AD26, AP26, AQ26,AR26, AS26, "TTT")</f>
        <v>189</v>
      </c>
      <c r="BJ26" s="127">
        <f t="shared" si="21"/>
        <v>513</v>
      </c>
      <c r="BK26" s="127">
        <f t="shared" si="22"/>
        <v>3.4436492658259681</v>
      </c>
      <c r="BL26" s="127">
        <f t="shared" si="23"/>
        <v>302.89508840864443</v>
      </c>
      <c r="BM26" s="120">
        <f t="shared" si="24"/>
        <v>1.1369115570405165E-2</v>
      </c>
      <c r="BN26" s="4">
        <f>_xll.DCEBoltDisColBaseFix(AV26,AT26,AD26,AP26,AQ26,AR26,AS26,"NL1T")+_xll.DCEBoltDisColBaseFix(AV26,AT26,AD26,AP26,AQ26,AR26,AS26,"NL2T")+_xll.DCEBoltDisColBaseFix(AV26,AT26,AD26,AP26,AQ26,AR26,AS26,"NL3T")</f>
        <v>4</v>
      </c>
      <c r="BO26" s="121">
        <f t="shared" si="25"/>
        <v>0</v>
      </c>
      <c r="BP26" s="122">
        <f t="shared" si="26"/>
        <v>0</v>
      </c>
      <c r="BQ26" s="122">
        <f t="shared" si="27"/>
        <v>57.1</v>
      </c>
      <c r="BR26" s="120">
        <f>BQ26/VLOOKUP(AO26,Data!$V$4:$Z$99,4,FALSE)</f>
        <v>0.16175637393767706</v>
      </c>
      <c r="BS26" s="123" t="str">
        <f t="shared" si="28"/>
        <v>OK</v>
      </c>
      <c r="BT26" s="124">
        <f t="shared" si="29"/>
        <v>0.29393788036448432</v>
      </c>
      <c r="BU26" s="124">
        <f t="shared" si="30"/>
        <v>-0.10499333218243442</v>
      </c>
      <c r="BV26" s="120">
        <f t="shared" si="31"/>
        <v>2.7028770608228444E-2</v>
      </c>
      <c r="BW26" s="123" t="str">
        <f t="shared" si="32"/>
        <v>OK</v>
      </c>
      <c r="BX26" s="124">
        <f t="shared" si="33"/>
        <v>406.65599999999995</v>
      </c>
      <c r="BY26" s="120">
        <f t="shared" si="34"/>
        <v>1.6705059442461386E-3</v>
      </c>
      <c r="BZ26" s="123" t="str">
        <f t="shared" si="35"/>
        <v>OK</v>
      </c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H26" s="127"/>
      <c r="EI26" s="127"/>
      <c r="EJ26" s="127"/>
      <c r="EK26" s="127"/>
      <c r="EL26" s="127"/>
      <c r="EM26" s="120"/>
      <c r="EN26" s="121"/>
      <c r="EO26" s="121"/>
      <c r="EP26" s="120"/>
      <c r="EQ26" s="122"/>
      <c r="ER26" s="120"/>
      <c r="ES26" s="238"/>
      <c r="ET26" s="124"/>
      <c r="EU26" s="124"/>
      <c r="EV26" s="120"/>
      <c r="EW26" s="217"/>
      <c r="EX26" s="124"/>
      <c r="EY26" s="120"/>
      <c r="EZ26" s="217"/>
    </row>
    <row r="27" spans="1:156" ht="12.75" customHeight="1">
      <c r="M27" s="6" t="s">
        <v>54</v>
      </c>
      <c r="N27" s="180"/>
      <c r="O27" s="180"/>
      <c r="P27" s="180"/>
      <c r="Q27" s="180"/>
      <c r="R27" s="180"/>
      <c r="S27" s="181"/>
      <c r="T27" s="182"/>
      <c r="U27" s="180"/>
      <c r="V27" s="2"/>
      <c r="W27" s="2"/>
      <c r="X27" s="5"/>
      <c r="AA27" s="75" t="s">
        <v>460</v>
      </c>
      <c r="AB27" s="75" t="s">
        <v>432</v>
      </c>
      <c r="AC27" s="76">
        <v>0</v>
      </c>
      <c r="AD27" s="28">
        <v>388</v>
      </c>
      <c r="AE27" s="28">
        <v>212</v>
      </c>
      <c r="AF27" s="28">
        <v>6</v>
      </c>
      <c r="AG27" s="28">
        <v>8</v>
      </c>
      <c r="AH27" s="28">
        <v>372</v>
      </c>
      <c r="AI27" s="13">
        <f t="shared" si="2"/>
        <v>648</v>
      </c>
      <c r="AJ27" s="13">
        <f t="shared" si="3"/>
        <v>212</v>
      </c>
      <c r="AK27" s="13">
        <f t="shared" si="4"/>
        <v>25</v>
      </c>
      <c r="AL27" s="13">
        <f t="shared" si="5"/>
        <v>7</v>
      </c>
      <c r="AM27" s="13">
        <f t="shared" si="6"/>
        <v>2</v>
      </c>
      <c r="AN27" s="13">
        <f t="shared" si="7"/>
        <v>8</v>
      </c>
      <c r="AO27" s="13">
        <f t="shared" si="8"/>
        <v>24</v>
      </c>
      <c r="AP27" s="13">
        <f t="shared" si="9"/>
        <v>60</v>
      </c>
      <c r="AQ27" s="13">
        <f t="shared" si="10"/>
        <v>70</v>
      </c>
      <c r="AR27" s="13">
        <f t="shared" si="11"/>
        <v>80</v>
      </c>
      <c r="AS27" s="13">
        <f t="shared" si="12"/>
        <v>150</v>
      </c>
      <c r="AT27" s="13">
        <f t="shared" si="13"/>
        <v>4</v>
      </c>
      <c r="AU27" s="13">
        <f t="shared" si="14"/>
        <v>120</v>
      </c>
      <c r="AV27" s="13">
        <f t="shared" si="15"/>
        <v>2</v>
      </c>
      <c r="AW27" s="13">
        <f t="shared" si="16"/>
        <v>0</v>
      </c>
      <c r="AX27" s="13">
        <f t="shared" si="17"/>
        <v>0</v>
      </c>
      <c r="AY27" s="13">
        <f t="shared" si="18"/>
        <v>1</v>
      </c>
      <c r="AZ27" s="13">
        <f t="shared" si="19"/>
        <v>6</v>
      </c>
      <c r="BA27" s="75" t="s">
        <v>438</v>
      </c>
      <c r="BB27" s="77">
        <v>-12.978223125528645</v>
      </c>
      <c r="BC27" s="77">
        <v>-0.67932125986652203</v>
      </c>
      <c r="BD27" s="29">
        <v>-8.5629261098617705E-5</v>
      </c>
      <c r="BE27" s="29">
        <v>-6.3498875682984755E-6</v>
      </c>
      <c r="BF27" s="29">
        <v>-1.0469438098388171E-3</v>
      </c>
      <c r="BG27" s="29">
        <v>-2.9593930097616576</v>
      </c>
      <c r="BH27" s="179">
        <f t="shared" si="20"/>
        <v>0.22802759523685659</v>
      </c>
      <c r="BI27" s="127">
        <f>_xll.DCEBoltDisColBaseFix(AV27, AT27, AD27, AP27, AQ27,AR27, AS27, "TTT")</f>
        <v>189</v>
      </c>
      <c r="BJ27" s="127">
        <f t="shared" si="21"/>
        <v>513</v>
      </c>
      <c r="BK27" s="127">
        <f t="shared" si="22"/>
        <v>3.4436492658259681</v>
      </c>
      <c r="BL27" s="127">
        <f t="shared" si="23"/>
        <v>302.89508840864443</v>
      </c>
      <c r="BM27" s="120">
        <f t="shared" si="24"/>
        <v>1.1369115570405165E-2</v>
      </c>
      <c r="BN27" s="4">
        <f>_xll.DCEBoltDisColBaseFix(AV27,AT27,AD27,AP27,AQ27,AR27,AS27,"NL1T")+_xll.DCEBoltDisColBaseFix(AV27,AT27,AD27,AP27,AQ27,AR27,AS27,"NL2T")+_xll.DCEBoltDisColBaseFix(AV27,AT27,AD27,AP27,AQ27,AR27,AS27,"NL3T")</f>
        <v>4</v>
      </c>
      <c r="BO27" s="121">
        <f t="shared" si="25"/>
        <v>0</v>
      </c>
      <c r="BP27" s="122">
        <f t="shared" si="26"/>
        <v>0</v>
      </c>
      <c r="BQ27" s="122">
        <f t="shared" si="27"/>
        <v>57.1</v>
      </c>
      <c r="BR27" s="120">
        <f>BQ27/VLOOKUP(AO27,Data!$V$4:$Z$99,4,FALSE)</f>
        <v>0.16175637393767706</v>
      </c>
      <c r="BS27" s="123" t="str">
        <f t="shared" si="28"/>
        <v>OK</v>
      </c>
      <c r="BT27" s="124">
        <f t="shared" si="29"/>
        <v>0.29393788036448432</v>
      </c>
      <c r="BU27" s="124">
        <f t="shared" si="30"/>
        <v>-0.10499333218243442</v>
      </c>
      <c r="BV27" s="120">
        <f t="shared" si="31"/>
        <v>2.7028770608228444E-2</v>
      </c>
      <c r="BW27" s="123" t="str">
        <f t="shared" si="32"/>
        <v>OK</v>
      </c>
      <c r="BX27" s="124">
        <f t="shared" si="33"/>
        <v>406.65599999999995</v>
      </c>
      <c r="BY27" s="120">
        <f t="shared" si="34"/>
        <v>1.6705059442461386E-3</v>
      </c>
      <c r="BZ27" s="123" t="str">
        <f t="shared" si="35"/>
        <v>OK</v>
      </c>
      <c r="DI27" s="13"/>
      <c r="DJ27" s="13"/>
      <c r="DK27" s="13"/>
      <c r="DL27" s="13"/>
      <c r="DM27" s="13"/>
      <c r="DN27" s="13"/>
      <c r="DO27" s="177"/>
      <c r="DP27" s="177"/>
      <c r="DQ27" s="177"/>
      <c r="DR27" s="177"/>
      <c r="DS27" s="177"/>
      <c r="DT27" s="13"/>
      <c r="DU27" s="13"/>
      <c r="DV27" s="13"/>
      <c r="DW27" s="13"/>
      <c r="DX27" s="13"/>
      <c r="DY27" s="13"/>
      <c r="DZ27" s="13"/>
      <c r="EH27" s="127"/>
      <c r="EI27" s="127"/>
      <c r="EJ27" s="127"/>
      <c r="EK27" s="127"/>
      <c r="EL27" s="127"/>
      <c r="EM27" s="120"/>
      <c r="EN27" s="121"/>
      <c r="EO27" s="121"/>
      <c r="EP27" s="120"/>
      <c r="EQ27" s="122"/>
      <c r="ER27" s="120"/>
      <c r="ES27" s="238"/>
      <c r="ET27" s="124"/>
      <c r="EU27" s="124"/>
      <c r="EV27" s="120"/>
      <c r="EW27" s="217"/>
      <c r="EX27" s="124"/>
      <c r="EY27" s="120"/>
      <c r="EZ27" s="217"/>
    </row>
    <row r="28" spans="1:156" ht="12.75" customHeight="1">
      <c r="M28" s="7"/>
      <c r="N28" s="180" t="str">
        <f>"- Que hàn:"</f>
        <v>- Que hàn:</v>
      </c>
      <c r="O28" s="180"/>
      <c r="P28" s="181"/>
      <c r="Q28" s="183"/>
      <c r="R28" s="180"/>
      <c r="S28" s="2"/>
      <c r="T28" s="2"/>
      <c r="U28" s="2"/>
      <c r="V28" s="2"/>
      <c r="W28" s="32" t="s">
        <v>168</v>
      </c>
      <c r="X28" s="8"/>
      <c r="AA28" s="75" t="s">
        <v>460</v>
      </c>
      <c r="AB28" s="75" t="s">
        <v>432</v>
      </c>
      <c r="AC28" s="76">
        <v>0</v>
      </c>
      <c r="AD28" s="28">
        <v>388</v>
      </c>
      <c r="AE28" s="28">
        <v>212</v>
      </c>
      <c r="AF28" s="28">
        <v>6</v>
      </c>
      <c r="AG28" s="28">
        <v>8</v>
      </c>
      <c r="AH28" s="28">
        <v>372</v>
      </c>
      <c r="AI28" s="13">
        <f t="shared" si="2"/>
        <v>648</v>
      </c>
      <c r="AJ28" s="13">
        <f t="shared" si="3"/>
        <v>212</v>
      </c>
      <c r="AK28" s="13">
        <f t="shared" si="4"/>
        <v>25</v>
      </c>
      <c r="AL28" s="13">
        <f t="shared" si="5"/>
        <v>7</v>
      </c>
      <c r="AM28" s="13">
        <f t="shared" si="6"/>
        <v>2</v>
      </c>
      <c r="AN28" s="13">
        <f t="shared" si="7"/>
        <v>8</v>
      </c>
      <c r="AO28" s="13">
        <f t="shared" si="8"/>
        <v>24</v>
      </c>
      <c r="AP28" s="13">
        <f t="shared" si="9"/>
        <v>60</v>
      </c>
      <c r="AQ28" s="13">
        <f t="shared" si="10"/>
        <v>70</v>
      </c>
      <c r="AR28" s="13">
        <f t="shared" si="11"/>
        <v>80</v>
      </c>
      <c r="AS28" s="13">
        <f t="shared" si="12"/>
        <v>150</v>
      </c>
      <c r="AT28" s="13">
        <f t="shared" si="13"/>
        <v>4</v>
      </c>
      <c r="AU28" s="13">
        <f t="shared" si="14"/>
        <v>120</v>
      </c>
      <c r="AV28" s="13">
        <f t="shared" si="15"/>
        <v>2</v>
      </c>
      <c r="AW28" s="13">
        <f t="shared" si="16"/>
        <v>0</v>
      </c>
      <c r="AX28" s="13">
        <f t="shared" si="17"/>
        <v>0</v>
      </c>
      <c r="AY28" s="13">
        <f t="shared" si="18"/>
        <v>1</v>
      </c>
      <c r="AZ28" s="13">
        <f t="shared" si="19"/>
        <v>6</v>
      </c>
      <c r="BA28" s="75" t="s">
        <v>439</v>
      </c>
      <c r="BB28" s="77">
        <v>-12.978223125528645</v>
      </c>
      <c r="BC28" s="77">
        <v>-0.67932125986652203</v>
      </c>
      <c r="BD28" s="29">
        <v>-8.5629261098617705E-5</v>
      </c>
      <c r="BE28" s="29">
        <v>-6.3498875682984755E-6</v>
      </c>
      <c r="BF28" s="29">
        <v>-1.0469438098388171E-3</v>
      </c>
      <c r="BG28" s="29">
        <v>-2.9593930097616576</v>
      </c>
      <c r="BH28" s="179">
        <f t="shared" si="20"/>
        <v>0.22802759523685659</v>
      </c>
      <c r="BI28" s="127">
        <f>_xll.DCEBoltDisColBaseFix(AV28, AT28, AD28, AP28, AQ28,AR28, AS28, "TTT")</f>
        <v>189</v>
      </c>
      <c r="BJ28" s="127">
        <f t="shared" si="21"/>
        <v>513</v>
      </c>
      <c r="BK28" s="127">
        <f t="shared" si="22"/>
        <v>3.4436492658259681</v>
      </c>
      <c r="BL28" s="127">
        <f t="shared" si="23"/>
        <v>302.89508840864443</v>
      </c>
      <c r="BM28" s="120">
        <f t="shared" si="24"/>
        <v>1.1369115570405165E-2</v>
      </c>
      <c r="BN28" s="4">
        <f>_xll.DCEBoltDisColBaseFix(AV28,AT28,AD28,AP28,AQ28,AR28,AS28,"NL1T")+_xll.DCEBoltDisColBaseFix(AV28,AT28,AD28,AP28,AQ28,AR28,AS28,"NL2T")+_xll.DCEBoltDisColBaseFix(AV28,AT28,AD28,AP28,AQ28,AR28,AS28,"NL3T")</f>
        <v>4</v>
      </c>
      <c r="BO28" s="121">
        <f t="shared" si="25"/>
        <v>0</v>
      </c>
      <c r="BP28" s="122">
        <f t="shared" si="26"/>
        <v>0</v>
      </c>
      <c r="BQ28" s="122">
        <f t="shared" si="27"/>
        <v>57.1</v>
      </c>
      <c r="BR28" s="120">
        <f>BQ28/VLOOKUP(AO28,Data!$V$4:$Z$99,4,FALSE)</f>
        <v>0.16175637393767706</v>
      </c>
      <c r="BS28" s="123" t="str">
        <f t="shared" si="28"/>
        <v>OK</v>
      </c>
      <c r="BT28" s="124">
        <f t="shared" si="29"/>
        <v>0.29393788036448432</v>
      </c>
      <c r="BU28" s="124">
        <f t="shared" si="30"/>
        <v>-0.10499333218243442</v>
      </c>
      <c r="BV28" s="120">
        <f t="shared" si="31"/>
        <v>2.7028770608228444E-2</v>
      </c>
      <c r="BW28" s="123" t="str">
        <f t="shared" si="32"/>
        <v>OK</v>
      </c>
      <c r="BX28" s="124">
        <f t="shared" si="33"/>
        <v>406.65599999999995</v>
      </c>
      <c r="BY28" s="120">
        <f t="shared" si="34"/>
        <v>1.6705059442461386E-3</v>
      </c>
      <c r="BZ28" s="123" t="str">
        <f t="shared" si="35"/>
        <v>OK</v>
      </c>
      <c r="DI28" s="13"/>
      <c r="DJ28" s="13"/>
      <c r="DK28" s="13"/>
      <c r="DL28" s="13"/>
      <c r="DM28" s="13"/>
      <c r="DN28" s="13"/>
      <c r="DO28" s="177"/>
      <c r="DP28" s="177"/>
      <c r="DQ28" s="177"/>
      <c r="DR28" s="177"/>
      <c r="DS28" s="177"/>
      <c r="DT28" s="13"/>
      <c r="DU28" s="13"/>
      <c r="DV28" s="13"/>
      <c r="DW28" s="13"/>
      <c r="DX28" s="13"/>
      <c r="DY28" s="13"/>
      <c r="DZ28" s="13"/>
      <c r="EH28" s="127"/>
      <c r="EI28" s="127"/>
      <c r="EJ28" s="127"/>
      <c r="EK28" s="127"/>
      <c r="EL28" s="127"/>
      <c r="EM28" s="120"/>
      <c r="EN28" s="121"/>
      <c r="EO28" s="121"/>
      <c r="EP28" s="120"/>
      <c r="EQ28" s="122"/>
      <c r="ER28" s="120"/>
      <c r="ES28" s="238"/>
      <c r="ET28" s="124"/>
      <c r="EU28" s="124"/>
      <c r="EV28" s="120"/>
      <c r="EW28" s="217"/>
      <c r="EX28" s="124"/>
      <c r="EY28" s="120"/>
      <c r="EZ28" s="217"/>
    </row>
    <row r="29" spans="1:156" ht="12.75" customHeight="1">
      <c r="M29" s="7"/>
      <c r="N29" s="180" t="str">
        <f>"- Cường độ tiêu chuẩn theo giới hạn bền:"</f>
        <v>- Cường độ tiêu chuẩn theo giới hạn bền:</v>
      </c>
      <c r="O29" s="180"/>
      <c r="P29" s="181"/>
      <c r="Q29" s="183"/>
      <c r="R29" s="180"/>
      <c r="S29" s="2"/>
      <c r="T29" s="2"/>
      <c r="U29" s="2"/>
      <c r="V29" s="33" t="s">
        <v>129</v>
      </c>
      <c r="W29" s="34">
        <f>VLOOKUP(W28,Data!$AZ$3:$BB$99,2,FALSE)</f>
        <v>410</v>
      </c>
      <c r="X29" s="23" t="s">
        <v>20</v>
      </c>
      <c r="AA29" s="75" t="s">
        <v>460</v>
      </c>
      <c r="AB29" s="75" t="s">
        <v>432</v>
      </c>
      <c r="AC29" s="76">
        <v>0</v>
      </c>
      <c r="AD29" s="28">
        <v>388</v>
      </c>
      <c r="AE29" s="28">
        <v>212</v>
      </c>
      <c r="AF29" s="28">
        <v>6</v>
      </c>
      <c r="AG29" s="28">
        <v>8</v>
      </c>
      <c r="AH29" s="28">
        <v>372</v>
      </c>
      <c r="AI29" s="13">
        <f t="shared" si="2"/>
        <v>648</v>
      </c>
      <c r="AJ29" s="13">
        <f t="shared" si="3"/>
        <v>212</v>
      </c>
      <c r="AK29" s="13">
        <f t="shared" si="4"/>
        <v>25</v>
      </c>
      <c r="AL29" s="13">
        <f t="shared" si="5"/>
        <v>7</v>
      </c>
      <c r="AM29" s="13">
        <f t="shared" si="6"/>
        <v>2</v>
      </c>
      <c r="AN29" s="13">
        <f t="shared" si="7"/>
        <v>8</v>
      </c>
      <c r="AO29" s="13">
        <f t="shared" si="8"/>
        <v>24</v>
      </c>
      <c r="AP29" s="13">
        <f t="shared" si="9"/>
        <v>60</v>
      </c>
      <c r="AQ29" s="13">
        <f t="shared" si="10"/>
        <v>70</v>
      </c>
      <c r="AR29" s="13">
        <f t="shared" si="11"/>
        <v>80</v>
      </c>
      <c r="AS29" s="13">
        <f t="shared" si="12"/>
        <v>150</v>
      </c>
      <c r="AT29" s="13">
        <f t="shared" si="13"/>
        <v>4</v>
      </c>
      <c r="AU29" s="13">
        <f t="shared" si="14"/>
        <v>120</v>
      </c>
      <c r="AV29" s="13">
        <f t="shared" si="15"/>
        <v>2</v>
      </c>
      <c r="AW29" s="13">
        <f t="shared" si="16"/>
        <v>0</v>
      </c>
      <c r="AX29" s="13">
        <f t="shared" si="17"/>
        <v>0</v>
      </c>
      <c r="AY29" s="13">
        <f t="shared" si="18"/>
        <v>1</v>
      </c>
      <c r="AZ29" s="13">
        <f t="shared" si="19"/>
        <v>6</v>
      </c>
      <c r="BA29" s="75" t="s">
        <v>440</v>
      </c>
      <c r="BB29" s="77">
        <v>-12.978223125528645</v>
      </c>
      <c r="BC29" s="77">
        <v>-0.67932125986652203</v>
      </c>
      <c r="BD29" s="29">
        <v>-8.5629261098617705E-5</v>
      </c>
      <c r="BE29" s="29">
        <v>-6.3498875682984755E-6</v>
      </c>
      <c r="BF29" s="29">
        <v>-1.0469438098388171E-3</v>
      </c>
      <c r="BG29" s="29">
        <v>-2.9593930097616576</v>
      </c>
      <c r="BH29" s="179">
        <f t="shared" si="20"/>
        <v>0.22802759523685659</v>
      </c>
      <c r="BI29" s="127">
        <f>_xll.DCEBoltDisColBaseFix(AV29, AT29, AD29, AP29, AQ29,AR29, AS29, "TTT")</f>
        <v>189</v>
      </c>
      <c r="BJ29" s="127">
        <f t="shared" si="21"/>
        <v>513</v>
      </c>
      <c r="BK29" s="127">
        <f t="shared" si="22"/>
        <v>3.4436492658259681</v>
      </c>
      <c r="BL29" s="127">
        <f t="shared" si="23"/>
        <v>302.89508840864443</v>
      </c>
      <c r="BM29" s="120">
        <f t="shared" si="24"/>
        <v>1.1369115570405165E-2</v>
      </c>
      <c r="BN29" s="4">
        <f>_xll.DCEBoltDisColBaseFix(AV29,AT29,AD29,AP29,AQ29,AR29,AS29,"NL1T")+_xll.DCEBoltDisColBaseFix(AV29,AT29,AD29,AP29,AQ29,AR29,AS29,"NL2T")+_xll.DCEBoltDisColBaseFix(AV29,AT29,AD29,AP29,AQ29,AR29,AS29,"NL3T")</f>
        <v>4</v>
      </c>
      <c r="BO29" s="121">
        <f t="shared" si="25"/>
        <v>0</v>
      </c>
      <c r="BP29" s="122">
        <f t="shared" si="26"/>
        <v>0</v>
      </c>
      <c r="BQ29" s="122">
        <f t="shared" si="27"/>
        <v>57.1</v>
      </c>
      <c r="BR29" s="120">
        <f>BQ29/VLOOKUP(AO29,Data!$V$4:$Z$99,4,FALSE)</f>
        <v>0.16175637393767706</v>
      </c>
      <c r="BS29" s="123" t="str">
        <f t="shared" si="28"/>
        <v>OK</v>
      </c>
      <c r="BT29" s="124">
        <f t="shared" si="29"/>
        <v>0.29393788036448432</v>
      </c>
      <c r="BU29" s="124">
        <f t="shared" si="30"/>
        <v>-0.10499333218243442</v>
      </c>
      <c r="BV29" s="120">
        <f t="shared" si="31"/>
        <v>2.7028770608228444E-2</v>
      </c>
      <c r="BW29" s="123" t="str">
        <f t="shared" si="32"/>
        <v>OK</v>
      </c>
      <c r="BX29" s="124">
        <f t="shared" si="33"/>
        <v>406.65599999999995</v>
      </c>
      <c r="BY29" s="120">
        <f t="shared" si="34"/>
        <v>1.6705059442461386E-3</v>
      </c>
      <c r="BZ29" s="123" t="str">
        <f t="shared" si="35"/>
        <v>OK</v>
      </c>
      <c r="DI29" s="13"/>
      <c r="DJ29" s="13"/>
      <c r="DK29" s="13"/>
      <c r="DL29" s="13"/>
      <c r="DM29" s="13"/>
      <c r="DN29" s="13"/>
      <c r="DO29" s="177"/>
      <c r="DP29" s="177"/>
      <c r="DQ29" s="177"/>
      <c r="DR29" s="177"/>
      <c r="DS29" s="177"/>
      <c r="DT29" s="13"/>
      <c r="DU29" s="13"/>
      <c r="DV29" s="13"/>
      <c r="DW29" s="13"/>
      <c r="DX29" s="13"/>
      <c r="DY29" s="13"/>
      <c r="DZ29" s="13"/>
      <c r="EH29" s="127"/>
      <c r="EI29" s="127"/>
      <c r="EJ29" s="127"/>
      <c r="EK29" s="127"/>
      <c r="EL29" s="127"/>
      <c r="EM29" s="120"/>
      <c r="EN29" s="121"/>
      <c r="EO29" s="121"/>
      <c r="EP29" s="120"/>
      <c r="EQ29" s="122"/>
      <c r="ER29" s="120"/>
      <c r="ES29" s="238"/>
      <c r="ET29" s="124"/>
      <c r="EU29" s="124"/>
      <c r="EV29" s="120"/>
      <c r="EW29" s="217"/>
      <c r="EX29" s="124"/>
      <c r="EY29" s="120"/>
      <c r="EZ29" s="217"/>
    </row>
    <row r="30" spans="1:156" ht="12.75" customHeight="1">
      <c r="M30" s="7"/>
      <c r="N30" s="180" t="str">
        <f>"- Cường độ tính toán theo kim loại đường hàn:"</f>
        <v>- Cường độ tính toán theo kim loại đường hàn:</v>
      </c>
      <c r="O30" s="180"/>
      <c r="P30" s="181"/>
      <c r="Q30" s="183"/>
      <c r="R30" s="180"/>
      <c r="S30" s="2"/>
      <c r="T30" s="20" t="s">
        <v>135</v>
      </c>
      <c r="U30" s="32">
        <v>0.7</v>
      </c>
      <c r="V30" s="33" t="s">
        <v>130</v>
      </c>
      <c r="W30" s="34">
        <f>VLOOKUP(W28,Data!$AZ$3:$BB$99,3,FALSE)</f>
        <v>180</v>
      </c>
      <c r="X30" s="23" t="s">
        <v>20</v>
      </c>
      <c r="AA30" s="75" t="s">
        <v>460</v>
      </c>
      <c r="AB30" s="75" t="s">
        <v>432</v>
      </c>
      <c r="AC30" s="76">
        <v>0</v>
      </c>
      <c r="AD30" s="28">
        <v>388</v>
      </c>
      <c r="AE30" s="28">
        <v>212</v>
      </c>
      <c r="AF30" s="28">
        <v>6</v>
      </c>
      <c r="AG30" s="28">
        <v>8</v>
      </c>
      <c r="AH30" s="28">
        <v>372</v>
      </c>
      <c r="AI30" s="13">
        <f t="shared" si="2"/>
        <v>648</v>
      </c>
      <c r="AJ30" s="13">
        <f t="shared" si="3"/>
        <v>212</v>
      </c>
      <c r="AK30" s="13">
        <f t="shared" si="4"/>
        <v>25</v>
      </c>
      <c r="AL30" s="13">
        <f t="shared" si="5"/>
        <v>7</v>
      </c>
      <c r="AM30" s="13">
        <f t="shared" si="6"/>
        <v>2</v>
      </c>
      <c r="AN30" s="13">
        <f t="shared" si="7"/>
        <v>8</v>
      </c>
      <c r="AO30" s="13">
        <f t="shared" si="8"/>
        <v>24</v>
      </c>
      <c r="AP30" s="13">
        <f t="shared" si="9"/>
        <v>60</v>
      </c>
      <c r="AQ30" s="13">
        <f t="shared" si="10"/>
        <v>70</v>
      </c>
      <c r="AR30" s="13">
        <f t="shared" si="11"/>
        <v>80</v>
      </c>
      <c r="AS30" s="13">
        <f t="shared" si="12"/>
        <v>150</v>
      </c>
      <c r="AT30" s="13">
        <f t="shared" si="13"/>
        <v>4</v>
      </c>
      <c r="AU30" s="13">
        <f t="shared" si="14"/>
        <v>120</v>
      </c>
      <c r="AV30" s="13">
        <f t="shared" si="15"/>
        <v>2</v>
      </c>
      <c r="AW30" s="13">
        <f t="shared" si="16"/>
        <v>0</v>
      </c>
      <c r="AX30" s="13">
        <f t="shared" si="17"/>
        <v>0</v>
      </c>
      <c r="AY30" s="13">
        <f t="shared" si="18"/>
        <v>1</v>
      </c>
      <c r="AZ30" s="13">
        <f t="shared" si="19"/>
        <v>6</v>
      </c>
      <c r="BA30" s="75" t="s">
        <v>441</v>
      </c>
      <c r="BB30" s="77">
        <v>-12.978223125528645</v>
      </c>
      <c r="BC30" s="77">
        <v>-0.67932125986652203</v>
      </c>
      <c r="BD30" s="29">
        <v>-8.5629261098617705E-5</v>
      </c>
      <c r="BE30" s="29">
        <v>-6.3498875682984755E-6</v>
      </c>
      <c r="BF30" s="29">
        <v>-1.0469438098388171E-3</v>
      </c>
      <c r="BG30" s="29">
        <v>-2.9593930097616576</v>
      </c>
      <c r="BH30" s="179">
        <f t="shared" si="20"/>
        <v>0.22802759523685659</v>
      </c>
      <c r="BI30" s="127">
        <f>_xll.DCEBoltDisColBaseFix(AV30, AT30, AD30, AP30, AQ30,AR30, AS30, "TTT")</f>
        <v>189</v>
      </c>
      <c r="BJ30" s="127">
        <f t="shared" si="21"/>
        <v>513</v>
      </c>
      <c r="BK30" s="127">
        <f t="shared" si="22"/>
        <v>3.4436492658259681</v>
      </c>
      <c r="BL30" s="127">
        <f t="shared" si="23"/>
        <v>302.89508840864443</v>
      </c>
      <c r="BM30" s="120">
        <f t="shared" si="24"/>
        <v>1.1369115570405165E-2</v>
      </c>
      <c r="BN30" s="4">
        <f>_xll.DCEBoltDisColBaseFix(AV30,AT30,AD30,AP30,AQ30,AR30,AS30,"NL1T")+_xll.DCEBoltDisColBaseFix(AV30,AT30,AD30,AP30,AQ30,AR30,AS30,"NL2T")+_xll.DCEBoltDisColBaseFix(AV30,AT30,AD30,AP30,AQ30,AR30,AS30,"NL3T")</f>
        <v>4</v>
      </c>
      <c r="BO30" s="121">
        <f t="shared" si="25"/>
        <v>0</v>
      </c>
      <c r="BP30" s="122">
        <f t="shared" si="26"/>
        <v>0</v>
      </c>
      <c r="BQ30" s="122">
        <f t="shared" si="27"/>
        <v>57.1</v>
      </c>
      <c r="BR30" s="120">
        <f>BQ30/VLOOKUP(AO30,Data!$V$4:$Z$99,4,FALSE)</f>
        <v>0.16175637393767706</v>
      </c>
      <c r="BS30" s="123" t="str">
        <f t="shared" si="28"/>
        <v>OK</v>
      </c>
      <c r="BT30" s="124">
        <f t="shared" si="29"/>
        <v>0.29393788036448432</v>
      </c>
      <c r="BU30" s="124">
        <f t="shared" si="30"/>
        <v>-0.10499333218243442</v>
      </c>
      <c r="BV30" s="120">
        <f t="shared" si="31"/>
        <v>2.7028770608228444E-2</v>
      </c>
      <c r="BW30" s="123" t="str">
        <f t="shared" si="32"/>
        <v>OK</v>
      </c>
      <c r="BX30" s="124">
        <f t="shared" si="33"/>
        <v>406.65599999999995</v>
      </c>
      <c r="BY30" s="120">
        <f t="shared" si="34"/>
        <v>1.6705059442461386E-3</v>
      </c>
      <c r="BZ30" s="123" t="str">
        <f t="shared" si="35"/>
        <v>OK</v>
      </c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H30" s="127"/>
      <c r="EI30" s="127"/>
      <c r="EJ30" s="127"/>
      <c r="EK30" s="127"/>
      <c r="EL30" s="127"/>
      <c r="EM30" s="120"/>
      <c r="EN30" s="121"/>
      <c r="EO30" s="121"/>
      <c r="EP30" s="120"/>
      <c r="EQ30" s="122"/>
      <c r="ER30" s="120"/>
      <c r="ES30" s="238"/>
      <c r="ET30" s="124"/>
      <c r="EU30" s="124"/>
      <c r="EV30" s="120"/>
      <c r="EW30" s="217"/>
      <c r="EX30" s="124"/>
      <c r="EY30" s="120"/>
      <c r="EZ30" s="217"/>
    </row>
    <row r="31" spans="1:156" ht="12.75" customHeight="1">
      <c r="M31" s="7"/>
      <c r="N31" s="180" t="str">
        <f>"- Cường độ tính toán theo kim loại biên nóng chảy:"</f>
        <v>- Cường độ tính toán theo kim loại biên nóng chảy:</v>
      </c>
      <c r="O31" s="180"/>
      <c r="P31" s="181"/>
      <c r="Q31" s="183"/>
      <c r="R31" s="180"/>
      <c r="S31" s="2"/>
      <c r="T31" s="20" t="s">
        <v>136</v>
      </c>
      <c r="U31" s="186">
        <v>1</v>
      </c>
      <c r="V31" s="33" t="s">
        <v>133</v>
      </c>
      <c r="W31" s="34">
        <f>0.45*W24</f>
        <v>171</v>
      </c>
      <c r="X31" s="23" t="s">
        <v>20</v>
      </c>
      <c r="AA31" s="75" t="s">
        <v>460</v>
      </c>
      <c r="AB31" s="75" t="s">
        <v>432</v>
      </c>
      <c r="AC31" s="76">
        <v>0</v>
      </c>
      <c r="AD31" s="28">
        <v>388</v>
      </c>
      <c r="AE31" s="28">
        <v>212</v>
      </c>
      <c r="AF31" s="28">
        <v>6</v>
      </c>
      <c r="AG31" s="28">
        <v>8</v>
      </c>
      <c r="AH31" s="28">
        <v>372</v>
      </c>
      <c r="AI31" s="13">
        <f t="shared" si="2"/>
        <v>648</v>
      </c>
      <c r="AJ31" s="13">
        <f t="shared" si="3"/>
        <v>212</v>
      </c>
      <c r="AK31" s="13">
        <f t="shared" si="4"/>
        <v>25</v>
      </c>
      <c r="AL31" s="13">
        <f t="shared" si="5"/>
        <v>7</v>
      </c>
      <c r="AM31" s="13">
        <f t="shared" si="6"/>
        <v>2</v>
      </c>
      <c r="AN31" s="13">
        <f t="shared" si="7"/>
        <v>8</v>
      </c>
      <c r="AO31" s="13">
        <f t="shared" si="8"/>
        <v>24</v>
      </c>
      <c r="AP31" s="13">
        <f t="shared" si="9"/>
        <v>60</v>
      </c>
      <c r="AQ31" s="13">
        <f t="shared" si="10"/>
        <v>70</v>
      </c>
      <c r="AR31" s="13">
        <f t="shared" si="11"/>
        <v>80</v>
      </c>
      <c r="AS31" s="13">
        <f t="shared" si="12"/>
        <v>150</v>
      </c>
      <c r="AT31" s="13">
        <f t="shared" si="13"/>
        <v>4</v>
      </c>
      <c r="AU31" s="13">
        <f t="shared" si="14"/>
        <v>120</v>
      </c>
      <c r="AV31" s="13">
        <f t="shared" si="15"/>
        <v>2</v>
      </c>
      <c r="AW31" s="13">
        <f t="shared" si="16"/>
        <v>0</v>
      </c>
      <c r="AX31" s="13">
        <f t="shared" si="17"/>
        <v>0</v>
      </c>
      <c r="AY31" s="13">
        <f t="shared" si="18"/>
        <v>1</v>
      </c>
      <c r="AZ31" s="13">
        <f t="shared" si="19"/>
        <v>6</v>
      </c>
      <c r="BA31" s="75" t="s">
        <v>442</v>
      </c>
      <c r="BB31" s="77">
        <v>-12.978223125528645</v>
      </c>
      <c r="BC31" s="77">
        <v>-0.67932125986652203</v>
      </c>
      <c r="BD31" s="29">
        <v>-8.5629261098617705E-5</v>
      </c>
      <c r="BE31" s="29">
        <v>-6.3498875682984755E-6</v>
      </c>
      <c r="BF31" s="29">
        <v>-1.0469438098388171E-3</v>
      </c>
      <c r="BG31" s="29">
        <v>-2.9593930097616576</v>
      </c>
      <c r="BH31" s="179">
        <f t="shared" si="20"/>
        <v>0.22802759523685659</v>
      </c>
      <c r="BI31" s="127">
        <f>_xll.DCEBoltDisColBaseFix(AV31, AT31, AD31, AP31, AQ31,AR31, AS31, "TTT")</f>
        <v>189</v>
      </c>
      <c r="BJ31" s="127">
        <f t="shared" si="21"/>
        <v>513</v>
      </c>
      <c r="BK31" s="127">
        <f t="shared" si="22"/>
        <v>3.4436492658259681</v>
      </c>
      <c r="BL31" s="127">
        <f t="shared" si="23"/>
        <v>302.89508840864443</v>
      </c>
      <c r="BM31" s="120">
        <f t="shared" si="24"/>
        <v>1.1369115570405165E-2</v>
      </c>
      <c r="BN31" s="4">
        <f>_xll.DCEBoltDisColBaseFix(AV31,AT31,AD31,AP31,AQ31,AR31,AS31,"NL1T")+_xll.DCEBoltDisColBaseFix(AV31,AT31,AD31,AP31,AQ31,AR31,AS31,"NL2T")+_xll.DCEBoltDisColBaseFix(AV31,AT31,AD31,AP31,AQ31,AR31,AS31,"NL3T")</f>
        <v>4</v>
      </c>
      <c r="BO31" s="121">
        <f t="shared" si="25"/>
        <v>0</v>
      </c>
      <c r="BP31" s="122">
        <f t="shared" si="26"/>
        <v>0</v>
      </c>
      <c r="BQ31" s="122">
        <f t="shared" si="27"/>
        <v>57.1</v>
      </c>
      <c r="BR31" s="120">
        <f>BQ31/VLOOKUP(AO31,Data!$V$4:$Z$99,4,FALSE)</f>
        <v>0.16175637393767706</v>
      </c>
      <c r="BS31" s="123" t="str">
        <f t="shared" si="28"/>
        <v>OK</v>
      </c>
      <c r="BT31" s="124">
        <f t="shared" si="29"/>
        <v>0.29393788036448432</v>
      </c>
      <c r="BU31" s="124">
        <f t="shared" si="30"/>
        <v>-0.10499333218243442</v>
      </c>
      <c r="BV31" s="120">
        <f t="shared" si="31"/>
        <v>2.7028770608228444E-2</v>
      </c>
      <c r="BW31" s="123" t="str">
        <f t="shared" si="32"/>
        <v>OK</v>
      </c>
      <c r="BX31" s="124">
        <f t="shared" si="33"/>
        <v>406.65599999999995</v>
      </c>
      <c r="BY31" s="120">
        <f t="shared" si="34"/>
        <v>1.6705059442461386E-3</v>
      </c>
      <c r="BZ31" s="123" t="str">
        <f t="shared" si="35"/>
        <v>OK</v>
      </c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H31" s="127"/>
      <c r="EI31" s="127"/>
      <c r="EJ31" s="127"/>
      <c r="EK31" s="127"/>
      <c r="EL31" s="127"/>
      <c r="EM31" s="120"/>
      <c r="EN31" s="121"/>
      <c r="EO31" s="121"/>
      <c r="EP31" s="120"/>
      <c r="EQ31" s="122"/>
      <c r="ER31" s="120"/>
      <c r="ES31" s="238"/>
      <c r="ET31" s="124"/>
      <c r="EU31" s="124"/>
      <c r="EV31" s="120"/>
      <c r="EW31" s="217"/>
      <c r="EX31" s="124"/>
      <c r="EY31" s="120"/>
      <c r="EZ31" s="217"/>
    </row>
    <row r="32" spans="1:156" ht="12.75" customHeight="1">
      <c r="M32" s="7"/>
      <c r="N32" s="180" t="str">
        <f>"- Hệ số điều kiện làm việc :"</f>
        <v>- Hệ số điều kiện làm việc :</v>
      </c>
      <c r="O32" s="180"/>
      <c r="P32" s="181"/>
      <c r="Q32" s="183"/>
      <c r="R32" s="180"/>
      <c r="S32" s="2"/>
      <c r="T32" s="2"/>
      <c r="U32" s="2"/>
      <c r="V32" s="20" t="s">
        <v>122</v>
      </c>
      <c r="W32" s="32">
        <v>1</v>
      </c>
      <c r="X32" s="23" t="s">
        <v>20</v>
      </c>
      <c r="AA32" s="75" t="s">
        <v>460</v>
      </c>
      <c r="AB32" s="75" t="s">
        <v>432</v>
      </c>
      <c r="AC32" s="76">
        <v>0</v>
      </c>
      <c r="AD32" s="28">
        <v>388</v>
      </c>
      <c r="AE32" s="28">
        <v>212</v>
      </c>
      <c r="AF32" s="28">
        <v>6</v>
      </c>
      <c r="AG32" s="28">
        <v>8</v>
      </c>
      <c r="AH32" s="28">
        <v>372</v>
      </c>
      <c r="AI32" s="13">
        <f t="shared" si="2"/>
        <v>648</v>
      </c>
      <c r="AJ32" s="13">
        <f t="shared" si="3"/>
        <v>212</v>
      </c>
      <c r="AK32" s="13">
        <f t="shared" si="4"/>
        <v>25</v>
      </c>
      <c r="AL32" s="13">
        <f t="shared" si="5"/>
        <v>7</v>
      </c>
      <c r="AM32" s="13">
        <f t="shared" si="6"/>
        <v>2</v>
      </c>
      <c r="AN32" s="13">
        <f t="shared" si="7"/>
        <v>8</v>
      </c>
      <c r="AO32" s="13">
        <f t="shared" si="8"/>
        <v>24</v>
      </c>
      <c r="AP32" s="13">
        <f t="shared" si="9"/>
        <v>60</v>
      </c>
      <c r="AQ32" s="13">
        <f t="shared" si="10"/>
        <v>70</v>
      </c>
      <c r="AR32" s="13">
        <f t="shared" si="11"/>
        <v>80</v>
      </c>
      <c r="AS32" s="13">
        <f t="shared" si="12"/>
        <v>150</v>
      </c>
      <c r="AT32" s="13">
        <f t="shared" si="13"/>
        <v>4</v>
      </c>
      <c r="AU32" s="13">
        <f t="shared" si="14"/>
        <v>120</v>
      </c>
      <c r="AV32" s="13">
        <f t="shared" si="15"/>
        <v>2</v>
      </c>
      <c r="AW32" s="13">
        <f t="shared" si="16"/>
        <v>0</v>
      </c>
      <c r="AX32" s="13">
        <f t="shared" si="17"/>
        <v>0</v>
      </c>
      <c r="AY32" s="13">
        <f t="shared" si="18"/>
        <v>1</v>
      </c>
      <c r="AZ32" s="13">
        <f t="shared" si="19"/>
        <v>6</v>
      </c>
      <c r="BA32" s="75" t="s">
        <v>443</v>
      </c>
      <c r="BB32" s="77">
        <v>-12.978223125528645</v>
      </c>
      <c r="BC32" s="77">
        <v>-0.67932125986652203</v>
      </c>
      <c r="BD32" s="29">
        <v>-8.5629261098617705E-5</v>
      </c>
      <c r="BE32" s="29">
        <v>-6.3498875682984755E-6</v>
      </c>
      <c r="BF32" s="29">
        <v>-1.0469438098388171E-3</v>
      </c>
      <c r="BG32" s="29">
        <v>-2.9593930097616576</v>
      </c>
      <c r="BH32" s="179">
        <f t="shared" si="20"/>
        <v>0.22802759523685659</v>
      </c>
      <c r="BI32" s="127">
        <f>_xll.DCEBoltDisColBaseFix(AV32, AT32, AD32, AP32, AQ32,AR32, AS32, "TTT")</f>
        <v>189</v>
      </c>
      <c r="BJ32" s="127">
        <f t="shared" si="21"/>
        <v>513</v>
      </c>
      <c r="BK32" s="127">
        <f t="shared" si="22"/>
        <v>3.4436492658259681</v>
      </c>
      <c r="BL32" s="127">
        <f t="shared" si="23"/>
        <v>302.89508840864443</v>
      </c>
      <c r="BM32" s="120">
        <f t="shared" si="24"/>
        <v>1.1369115570405165E-2</v>
      </c>
      <c r="BN32" s="4">
        <f>_xll.DCEBoltDisColBaseFix(AV32,AT32,AD32,AP32,AQ32,AR32,AS32,"NL1T")+_xll.DCEBoltDisColBaseFix(AV32,AT32,AD32,AP32,AQ32,AR32,AS32,"NL2T")+_xll.DCEBoltDisColBaseFix(AV32,AT32,AD32,AP32,AQ32,AR32,AS32,"NL3T")</f>
        <v>4</v>
      </c>
      <c r="BO32" s="121">
        <f t="shared" si="25"/>
        <v>0</v>
      </c>
      <c r="BP32" s="122">
        <f t="shared" si="26"/>
        <v>0</v>
      </c>
      <c r="BQ32" s="122">
        <f t="shared" si="27"/>
        <v>57.1</v>
      </c>
      <c r="BR32" s="120">
        <f>BQ32/VLOOKUP(AO32,Data!$V$4:$Z$99,4,FALSE)</f>
        <v>0.16175637393767706</v>
      </c>
      <c r="BS32" s="123" t="str">
        <f t="shared" si="28"/>
        <v>OK</v>
      </c>
      <c r="BT32" s="124">
        <f t="shared" si="29"/>
        <v>0.29393788036448432</v>
      </c>
      <c r="BU32" s="124">
        <f t="shared" si="30"/>
        <v>-0.10499333218243442</v>
      </c>
      <c r="BV32" s="120">
        <f t="shared" si="31"/>
        <v>2.7028770608228444E-2</v>
      </c>
      <c r="BW32" s="123" t="str">
        <f t="shared" si="32"/>
        <v>OK</v>
      </c>
      <c r="BX32" s="124">
        <f t="shared" si="33"/>
        <v>406.65599999999995</v>
      </c>
      <c r="BY32" s="120">
        <f t="shared" si="34"/>
        <v>1.6705059442461386E-3</v>
      </c>
      <c r="BZ32" s="123" t="str">
        <f t="shared" si="35"/>
        <v>OK</v>
      </c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H32" s="127"/>
      <c r="EI32" s="127"/>
      <c r="EJ32" s="127"/>
      <c r="EK32" s="127"/>
      <c r="EL32" s="127"/>
      <c r="EM32" s="120"/>
      <c r="EN32" s="121"/>
      <c r="EO32" s="121"/>
      <c r="EP32" s="120"/>
      <c r="EQ32" s="122"/>
      <c r="ER32" s="120"/>
      <c r="ES32" s="238"/>
      <c r="ET32" s="124"/>
      <c r="EU32" s="124"/>
      <c r="EV32" s="120"/>
      <c r="EW32" s="217"/>
      <c r="EX32" s="124"/>
      <c r="EY32" s="120"/>
      <c r="EZ32" s="217"/>
    </row>
    <row r="33" spans="1:156" ht="12.75" customHeight="1">
      <c r="M33" s="7"/>
      <c r="N33" s="180" t="str">
        <f>"- Cường độ tính toán của đường hàn:"</f>
        <v>- Cường độ tính toán của đường hàn:</v>
      </c>
      <c r="O33" s="180"/>
      <c r="P33" s="181"/>
      <c r="Q33" s="183"/>
      <c r="R33" s="180"/>
      <c r="S33" s="2"/>
      <c r="T33" s="20"/>
      <c r="U33" s="32"/>
      <c r="V33" s="33" t="s">
        <v>145</v>
      </c>
      <c r="W33" s="34">
        <f>MIN(U30*W30,U31*W31)*W32</f>
        <v>125.99999999999999</v>
      </c>
      <c r="X33" s="23" t="s">
        <v>20</v>
      </c>
      <c r="AA33" s="75" t="s">
        <v>460</v>
      </c>
      <c r="AB33" s="75" t="s">
        <v>432</v>
      </c>
      <c r="AC33" s="76">
        <v>0</v>
      </c>
      <c r="AD33" s="28">
        <v>388</v>
      </c>
      <c r="AE33" s="28">
        <v>212</v>
      </c>
      <c r="AF33" s="28">
        <v>6</v>
      </c>
      <c r="AG33" s="28">
        <v>8</v>
      </c>
      <c r="AH33" s="28">
        <v>372</v>
      </c>
      <c r="AI33" s="13">
        <f t="shared" si="2"/>
        <v>648</v>
      </c>
      <c r="AJ33" s="13">
        <f t="shared" si="3"/>
        <v>212</v>
      </c>
      <c r="AK33" s="13">
        <f t="shared" si="4"/>
        <v>25</v>
      </c>
      <c r="AL33" s="13">
        <f t="shared" si="5"/>
        <v>7</v>
      </c>
      <c r="AM33" s="13">
        <f t="shared" si="6"/>
        <v>2</v>
      </c>
      <c r="AN33" s="13">
        <f t="shared" si="7"/>
        <v>8</v>
      </c>
      <c r="AO33" s="13">
        <f t="shared" si="8"/>
        <v>24</v>
      </c>
      <c r="AP33" s="13">
        <f t="shared" si="9"/>
        <v>60</v>
      </c>
      <c r="AQ33" s="13">
        <f t="shared" si="10"/>
        <v>70</v>
      </c>
      <c r="AR33" s="13">
        <f t="shared" si="11"/>
        <v>80</v>
      </c>
      <c r="AS33" s="13">
        <f t="shared" si="12"/>
        <v>150</v>
      </c>
      <c r="AT33" s="13">
        <f t="shared" si="13"/>
        <v>4</v>
      </c>
      <c r="AU33" s="13">
        <f t="shared" si="14"/>
        <v>120</v>
      </c>
      <c r="AV33" s="13">
        <f t="shared" si="15"/>
        <v>2</v>
      </c>
      <c r="AW33" s="13">
        <f t="shared" si="16"/>
        <v>0</v>
      </c>
      <c r="AX33" s="13">
        <f t="shared" si="17"/>
        <v>0</v>
      </c>
      <c r="AY33" s="13">
        <f t="shared" si="18"/>
        <v>1</v>
      </c>
      <c r="AZ33" s="13">
        <f t="shared" si="19"/>
        <v>6</v>
      </c>
      <c r="BA33" s="75" t="s">
        <v>444</v>
      </c>
      <c r="BB33" s="77">
        <v>-12.978223125528645</v>
      </c>
      <c r="BC33" s="77">
        <v>-0.67932125986652203</v>
      </c>
      <c r="BD33" s="29">
        <v>-8.5629261098617705E-5</v>
      </c>
      <c r="BE33" s="29">
        <v>-6.3498875682984755E-6</v>
      </c>
      <c r="BF33" s="29">
        <v>-1.0469438098388171E-3</v>
      </c>
      <c r="BG33" s="29">
        <v>-2.9593930097616576</v>
      </c>
      <c r="BH33" s="179">
        <f t="shared" si="20"/>
        <v>0.22802759523685659</v>
      </c>
      <c r="BI33" s="127">
        <f>_xll.DCEBoltDisColBaseFix(AV33, AT33, AD33, AP33, AQ33,AR33, AS33, "TTT")</f>
        <v>189</v>
      </c>
      <c r="BJ33" s="127">
        <f t="shared" si="21"/>
        <v>513</v>
      </c>
      <c r="BK33" s="127">
        <f t="shared" si="22"/>
        <v>3.4436492658259681</v>
      </c>
      <c r="BL33" s="127">
        <f t="shared" si="23"/>
        <v>302.89508840864443</v>
      </c>
      <c r="BM33" s="120">
        <f t="shared" si="24"/>
        <v>1.1369115570405165E-2</v>
      </c>
      <c r="BN33" s="4">
        <f>_xll.DCEBoltDisColBaseFix(AV33,AT33,AD33,AP33,AQ33,AR33,AS33,"NL1T")+_xll.DCEBoltDisColBaseFix(AV33,AT33,AD33,AP33,AQ33,AR33,AS33,"NL2T")+_xll.DCEBoltDisColBaseFix(AV33,AT33,AD33,AP33,AQ33,AR33,AS33,"NL3T")</f>
        <v>4</v>
      </c>
      <c r="BO33" s="121">
        <f t="shared" si="25"/>
        <v>0</v>
      </c>
      <c r="BP33" s="122">
        <f t="shared" si="26"/>
        <v>0</v>
      </c>
      <c r="BQ33" s="122">
        <f t="shared" si="27"/>
        <v>57.1</v>
      </c>
      <c r="BR33" s="120">
        <f>BQ33/VLOOKUP(AO33,Data!$V$4:$Z$99,4,FALSE)</f>
        <v>0.16175637393767706</v>
      </c>
      <c r="BS33" s="123" t="str">
        <f t="shared" si="28"/>
        <v>OK</v>
      </c>
      <c r="BT33" s="124">
        <f t="shared" si="29"/>
        <v>0.29393788036448432</v>
      </c>
      <c r="BU33" s="124">
        <f t="shared" si="30"/>
        <v>-0.10499333218243442</v>
      </c>
      <c r="BV33" s="120">
        <f t="shared" si="31"/>
        <v>2.7028770608228444E-2</v>
      </c>
      <c r="BW33" s="123" t="str">
        <f t="shared" si="32"/>
        <v>OK</v>
      </c>
      <c r="BX33" s="124">
        <f t="shared" si="33"/>
        <v>406.65599999999995</v>
      </c>
      <c r="BY33" s="120">
        <f t="shared" si="34"/>
        <v>1.6705059442461386E-3</v>
      </c>
      <c r="BZ33" s="123" t="str">
        <f t="shared" si="35"/>
        <v>OK</v>
      </c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H33" s="127"/>
      <c r="EI33" s="127"/>
      <c r="EJ33" s="127"/>
      <c r="EK33" s="127"/>
      <c r="EL33" s="127"/>
      <c r="EM33" s="120"/>
      <c r="EN33" s="121"/>
      <c r="EO33" s="121"/>
      <c r="EP33" s="120"/>
      <c r="EQ33" s="122"/>
      <c r="ER33" s="120"/>
      <c r="ES33" s="238"/>
      <c r="ET33" s="124"/>
      <c r="EU33" s="124"/>
      <c r="EV33" s="120"/>
      <c r="EW33" s="217"/>
      <c r="EX33" s="124"/>
      <c r="EY33" s="120"/>
      <c r="EZ33" s="217"/>
    </row>
    <row r="34" spans="1:156" ht="12.75" customHeight="1">
      <c r="M34" s="6" t="s">
        <v>55</v>
      </c>
      <c r="N34" s="180"/>
      <c r="O34" s="180"/>
      <c r="P34" s="180"/>
      <c r="Q34" s="180"/>
      <c r="R34" s="180"/>
      <c r="S34" s="181"/>
      <c r="T34" s="182"/>
      <c r="U34" s="180"/>
      <c r="V34" s="2"/>
      <c r="W34" s="2"/>
      <c r="X34" s="5"/>
      <c r="AA34" s="75" t="s">
        <v>460</v>
      </c>
      <c r="AB34" s="75" t="s">
        <v>432</v>
      </c>
      <c r="AC34" s="76">
        <v>0</v>
      </c>
      <c r="AD34" s="28">
        <v>388</v>
      </c>
      <c r="AE34" s="28">
        <v>212</v>
      </c>
      <c r="AF34" s="28">
        <v>6</v>
      </c>
      <c r="AG34" s="28">
        <v>8</v>
      </c>
      <c r="AH34" s="28">
        <v>372</v>
      </c>
      <c r="AI34" s="13">
        <f t="shared" si="2"/>
        <v>648</v>
      </c>
      <c r="AJ34" s="13">
        <f t="shared" si="3"/>
        <v>212</v>
      </c>
      <c r="AK34" s="13">
        <f t="shared" si="4"/>
        <v>25</v>
      </c>
      <c r="AL34" s="13">
        <f t="shared" si="5"/>
        <v>7</v>
      </c>
      <c r="AM34" s="13">
        <f t="shared" si="6"/>
        <v>2</v>
      </c>
      <c r="AN34" s="13">
        <f t="shared" si="7"/>
        <v>8</v>
      </c>
      <c r="AO34" s="13">
        <f t="shared" si="8"/>
        <v>24</v>
      </c>
      <c r="AP34" s="13">
        <f t="shared" si="9"/>
        <v>60</v>
      </c>
      <c r="AQ34" s="13">
        <f t="shared" si="10"/>
        <v>70</v>
      </c>
      <c r="AR34" s="13">
        <f t="shared" si="11"/>
        <v>80</v>
      </c>
      <c r="AS34" s="13">
        <f t="shared" si="12"/>
        <v>150</v>
      </c>
      <c r="AT34" s="13">
        <f t="shared" si="13"/>
        <v>4</v>
      </c>
      <c r="AU34" s="13">
        <f t="shared" si="14"/>
        <v>120</v>
      </c>
      <c r="AV34" s="13">
        <f t="shared" si="15"/>
        <v>2</v>
      </c>
      <c r="AW34" s="13">
        <f t="shared" si="16"/>
        <v>0</v>
      </c>
      <c r="AX34" s="13">
        <f t="shared" si="17"/>
        <v>0</v>
      </c>
      <c r="AY34" s="13">
        <f t="shared" si="18"/>
        <v>1</v>
      </c>
      <c r="AZ34" s="13">
        <f t="shared" si="19"/>
        <v>6</v>
      </c>
      <c r="BA34" s="75" t="s">
        <v>445</v>
      </c>
      <c r="BB34" s="77">
        <v>-12.978223125528645</v>
      </c>
      <c r="BC34" s="77">
        <v>-0.67932125986652203</v>
      </c>
      <c r="BD34" s="29">
        <v>-8.5629261098617705E-5</v>
      </c>
      <c r="BE34" s="29">
        <v>-6.3498875682984755E-6</v>
      </c>
      <c r="BF34" s="29">
        <v>-1.0469438098388171E-3</v>
      </c>
      <c r="BG34" s="29">
        <v>-2.9593930097616576</v>
      </c>
      <c r="BH34" s="179">
        <f t="shared" si="20"/>
        <v>0.22802759523685659</v>
      </c>
      <c r="BI34" s="127">
        <f>_xll.DCEBoltDisColBaseFix(AV34, AT34, AD34, AP34, AQ34,AR34, AS34, "TTT")</f>
        <v>189</v>
      </c>
      <c r="BJ34" s="127">
        <f t="shared" si="21"/>
        <v>513</v>
      </c>
      <c r="BK34" s="127">
        <f t="shared" si="22"/>
        <v>3.4436492658259681</v>
      </c>
      <c r="BL34" s="127">
        <f t="shared" si="23"/>
        <v>302.89508840864443</v>
      </c>
      <c r="BM34" s="120">
        <f t="shared" si="24"/>
        <v>1.1369115570405165E-2</v>
      </c>
      <c r="BN34" s="4">
        <f>_xll.DCEBoltDisColBaseFix(AV34,AT34,AD34,AP34,AQ34,AR34,AS34,"NL1T")+_xll.DCEBoltDisColBaseFix(AV34,AT34,AD34,AP34,AQ34,AR34,AS34,"NL2T")+_xll.DCEBoltDisColBaseFix(AV34,AT34,AD34,AP34,AQ34,AR34,AS34,"NL3T")</f>
        <v>4</v>
      </c>
      <c r="BO34" s="121">
        <f t="shared" si="25"/>
        <v>0</v>
      </c>
      <c r="BP34" s="122">
        <f t="shared" si="26"/>
        <v>0</v>
      </c>
      <c r="BQ34" s="122">
        <f t="shared" si="27"/>
        <v>57.1</v>
      </c>
      <c r="BR34" s="120">
        <f>BQ34/VLOOKUP(AO34,Data!$V$4:$Z$99,4,FALSE)</f>
        <v>0.16175637393767706</v>
      </c>
      <c r="BS34" s="123" t="str">
        <f t="shared" si="28"/>
        <v>OK</v>
      </c>
      <c r="BT34" s="124">
        <f t="shared" si="29"/>
        <v>0.29393788036448432</v>
      </c>
      <c r="BU34" s="124">
        <f t="shared" si="30"/>
        <v>-0.10499333218243442</v>
      </c>
      <c r="BV34" s="120">
        <f t="shared" si="31"/>
        <v>2.7028770608228444E-2</v>
      </c>
      <c r="BW34" s="123" t="str">
        <f t="shared" si="32"/>
        <v>OK</v>
      </c>
      <c r="BX34" s="124">
        <f t="shared" si="33"/>
        <v>406.65599999999995</v>
      </c>
      <c r="BY34" s="120">
        <f t="shared" si="34"/>
        <v>1.6705059442461386E-3</v>
      </c>
      <c r="BZ34" s="123" t="str">
        <f t="shared" si="35"/>
        <v>OK</v>
      </c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H34" s="127"/>
      <c r="EI34" s="127"/>
      <c r="EJ34" s="127"/>
      <c r="EK34" s="127"/>
      <c r="EL34" s="127"/>
      <c r="EM34" s="120"/>
      <c r="EN34" s="121"/>
      <c r="EO34" s="121"/>
      <c r="EP34" s="120"/>
      <c r="EQ34" s="122"/>
      <c r="ER34" s="120"/>
      <c r="ES34" s="238"/>
      <c r="ET34" s="124"/>
      <c r="EU34" s="124"/>
      <c r="EV34" s="120"/>
      <c r="EW34" s="217"/>
      <c r="EX34" s="124"/>
      <c r="EY34" s="120"/>
      <c r="EZ34" s="217"/>
    </row>
    <row r="35" spans="1:156" ht="12.75" customHeight="1">
      <c r="M35" s="7"/>
      <c r="N35" s="180" t="str">
        <f>"- Cấp độ bền bê tông:"</f>
        <v>- Cấp độ bền bê tông:</v>
      </c>
      <c r="O35" s="180"/>
      <c r="P35" s="181"/>
      <c r="Q35" s="183"/>
      <c r="R35" s="180"/>
      <c r="S35" s="2"/>
      <c r="T35" s="2"/>
      <c r="U35" s="2"/>
      <c r="V35" s="2"/>
      <c r="W35" s="32" t="s">
        <v>67</v>
      </c>
      <c r="X35" s="8"/>
      <c r="AA35" s="75" t="s">
        <v>460</v>
      </c>
      <c r="AB35" s="75" t="s">
        <v>432</v>
      </c>
      <c r="AC35" s="76">
        <v>0</v>
      </c>
      <c r="AD35" s="28">
        <v>388</v>
      </c>
      <c r="AE35" s="28">
        <v>212</v>
      </c>
      <c r="AF35" s="28">
        <v>6</v>
      </c>
      <c r="AG35" s="28">
        <v>8</v>
      </c>
      <c r="AH35" s="28">
        <v>372</v>
      </c>
      <c r="AI35" s="13">
        <f t="shared" si="2"/>
        <v>648</v>
      </c>
      <c r="AJ35" s="13">
        <f t="shared" si="3"/>
        <v>212</v>
      </c>
      <c r="AK35" s="13">
        <f t="shared" si="4"/>
        <v>25</v>
      </c>
      <c r="AL35" s="13">
        <f t="shared" si="5"/>
        <v>7</v>
      </c>
      <c r="AM35" s="13">
        <f t="shared" si="6"/>
        <v>2</v>
      </c>
      <c r="AN35" s="13">
        <f t="shared" si="7"/>
        <v>8</v>
      </c>
      <c r="AO35" s="13">
        <f t="shared" si="8"/>
        <v>24</v>
      </c>
      <c r="AP35" s="13">
        <f t="shared" si="9"/>
        <v>60</v>
      </c>
      <c r="AQ35" s="13">
        <f t="shared" si="10"/>
        <v>70</v>
      </c>
      <c r="AR35" s="13">
        <f t="shared" si="11"/>
        <v>80</v>
      </c>
      <c r="AS35" s="13">
        <f t="shared" si="12"/>
        <v>150</v>
      </c>
      <c r="AT35" s="13">
        <f t="shared" si="13"/>
        <v>4</v>
      </c>
      <c r="AU35" s="13">
        <f t="shared" si="14"/>
        <v>120</v>
      </c>
      <c r="AV35" s="13">
        <f t="shared" si="15"/>
        <v>2</v>
      </c>
      <c r="AW35" s="13">
        <f t="shared" si="16"/>
        <v>0</v>
      </c>
      <c r="AX35" s="13">
        <f t="shared" si="17"/>
        <v>0</v>
      </c>
      <c r="AY35" s="13">
        <f t="shared" si="18"/>
        <v>1</v>
      </c>
      <c r="AZ35" s="13">
        <f t="shared" si="19"/>
        <v>6</v>
      </c>
      <c r="BA35" s="75" t="s">
        <v>446</v>
      </c>
      <c r="BB35" s="77">
        <v>-12.978223125528645</v>
      </c>
      <c r="BC35" s="77">
        <v>-0.67932125986652203</v>
      </c>
      <c r="BD35" s="29">
        <v>-8.5629261098617705E-5</v>
      </c>
      <c r="BE35" s="29">
        <v>-6.3498875682984755E-6</v>
      </c>
      <c r="BF35" s="29">
        <v>-1.0469438098388171E-3</v>
      </c>
      <c r="BG35" s="29">
        <v>-2.9593930097616576</v>
      </c>
      <c r="BH35" s="179">
        <f t="shared" si="20"/>
        <v>0.22802759523685659</v>
      </c>
      <c r="BI35" s="127">
        <f>_xll.DCEBoltDisColBaseFix(AV35, AT35, AD35, AP35, AQ35,AR35, AS35, "TTT")</f>
        <v>189</v>
      </c>
      <c r="BJ35" s="127">
        <f t="shared" si="21"/>
        <v>513</v>
      </c>
      <c r="BK35" s="127">
        <f t="shared" si="22"/>
        <v>3.4436492658259681</v>
      </c>
      <c r="BL35" s="127">
        <f t="shared" si="23"/>
        <v>302.89508840864443</v>
      </c>
      <c r="BM35" s="120">
        <f t="shared" si="24"/>
        <v>1.1369115570405165E-2</v>
      </c>
      <c r="BN35" s="4">
        <f>_xll.DCEBoltDisColBaseFix(AV35,AT35,AD35,AP35,AQ35,AR35,AS35,"NL1T")+_xll.DCEBoltDisColBaseFix(AV35,AT35,AD35,AP35,AQ35,AR35,AS35,"NL2T")+_xll.DCEBoltDisColBaseFix(AV35,AT35,AD35,AP35,AQ35,AR35,AS35,"NL3T")</f>
        <v>4</v>
      </c>
      <c r="BO35" s="121">
        <f t="shared" si="25"/>
        <v>0</v>
      </c>
      <c r="BP35" s="122">
        <f t="shared" si="26"/>
        <v>0</v>
      </c>
      <c r="BQ35" s="122">
        <f t="shared" si="27"/>
        <v>57.1</v>
      </c>
      <c r="BR35" s="120">
        <f>BQ35/VLOOKUP(AO35,Data!$V$4:$Z$99,4,FALSE)</f>
        <v>0.16175637393767706</v>
      </c>
      <c r="BS35" s="123" t="str">
        <f t="shared" si="28"/>
        <v>OK</v>
      </c>
      <c r="BT35" s="124">
        <f t="shared" si="29"/>
        <v>0.29393788036448432</v>
      </c>
      <c r="BU35" s="124">
        <f t="shared" si="30"/>
        <v>-0.10499333218243442</v>
      </c>
      <c r="BV35" s="120">
        <f t="shared" si="31"/>
        <v>2.7028770608228444E-2</v>
      </c>
      <c r="BW35" s="123" t="str">
        <f t="shared" si="32"/>
        <v>OK</v>
      </c>
      <c r="BX35" s="124">
        <f t="shared" si="33"/>
        <v>406.65599999999995</v>
      </c>
      <c r="BY35" s="120">
        <f t="shared" si="34"/>
        <v>1.6705059442461386E-3</v>
      </c>
      <c r="BZ35" s="123" t="str">
        <f t="shared" si="35"/>
        <v>OK</v>
      </c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H35" s="127"/>
      <c r="EI35" s="127"/>
      <c r="EJ35" s="127"/>
      <c r="EK35" s="127"/>
      <c r="EL35" s="127"/>
      <c r="EM35" s="120"/>
      <c r="EN35" s="121"/>
      <c r="EO35" s="121"/>
      <c r="EP35" s="120"/>
      <c r="EQ35" s="122"/>
      <c r="ER35" s="120"/>
      <c r="ES35" s="238"/>
      <c r="ET35" s="124"/>
      <c r="EU35" s="124"/>
      <c r="EV35" s="120"/>
      <c r="EW35" s="217"/>
      <c r="EX35" s="124"/>
      <c r="EY35" s="120"/>
      <c r="EZ35" s="217"/>
    </row>
    <row r="36" spans="1:156" ht="12.75" customHeight="1">
      <c r="M36" s="7"/>
      <c r="N36" s="180" t="str">
        <f>"- Cường độ chịu nén của bê tông:"</f>
        <v>- Cường độ chịu nén của bê tông:</v>
      </c>
      <c r="O36" s="180"/>
      <c r="P36" s="181"/>
      <c r="Q36" s="183"/>
      <c r="R36" s="180"/>
      <c r="S36" s="2"/>
      <c r="T36" s="2"/>
      <c r="U36" s="2"/>
      <c r="V36" s="33" t="s">
        <v>65</v>
      </c>
      <c r="W36" s="34">
        <f>VLOOKUP(W35,Data!$BJ$5:$BQ$16,4,FALSE)</f>
        <v>14.5</v>
      </c>
      <c r="X36" s="8" t="s">
        <v>20</v>
      </c>
      <c r="AA36" s="75" t="s">
        <v>460</v>
      </c>
      <c r="AB36" s="75" t="s">
        <v>432</v>
      </c>
      <c r="AC36" s="76">
        <v>0</v>
      </c>
      <c r="AD36" s="28">
        <v>388</v>
      </c>
      <c r="AE36" s="28">
        <v>212</v>
      </c>
      <c r="AF36" s="28">
        <v>6</v>
      </c>
      <c r="AG36" s="28">
        <v>8</v>
      </c>
      <c r="AH36" s="28">
        <v>372</v>
      </c>
      <c r="AI36" s="13">
        <f t="shared" si="2"/>
        <v>648</v>
      </c>
      <c r="AJ36" s="13">
        <f t="shared" si="3"/>
        <v>212</v>
      </c>
      <c r="AK36" s="13">
        <f t="shared" si="4"/>
        <v>25</v>
      </c>
      <c r="AL36" s="13">
        <f t="shared" si="5"/>
        <v>7</v>
      </c>
      <c r="AM36" s="13">
        <f t="shared" si="6"/>
        <v>2</v>
      </c>
      <c r="AN36" s="13">
        <f t="shared" si="7"/>
        <v>8</v>
      </c>
      <c r="AO36" s="13">
        <f t="shared" si="8"/>
        <v>24</v>
      </c>
      <c r="AP36" s="13">
        <f t="shared" si="9"/>
        <v>60</v>
      </c>
      <c r="AQ36" s="13">
        <f t="shared" si="10"/>
        <v>70</v>
      </c>
      <c r="AR36" s="13">
        <f t="shared" si="11"/>
        <v>80</v>
      </c>
      <c r="AS36" s="13">
        <f t="shared" si="12"/>
        <v>150</v>
      </c>
      <c r="AT36" s="13">
        <f t="shared" si="13"/>
        <v>4</v>
      </c>
      <c r="AU36" s="13">
        <f t="shared" si="14"/>
        <v>120</v>
      </c>
      <c r="AV36" s="13">
        <f t="shared" si="15"/>
        <v>2</v>
      </c>
      <c r="AW36" s="13">
        <f t="shared" si="16"/>
        <v>0</v>
      </c>
      <c r="AX36" s="13">
        <f t="shared" si="17"/>
        <v>0</v>
      </c>
      <c r="AY36" s="13">
        <f t="shared" si="18"/>
        <v>1</v>
      </c>
      <c r="AZ36" s="13">
        <f t="shared" si="19"/>
        <v>6</v>
      </c>
      <c r="BA36" s="75" t="s">
        <v>447</v>
      </c>
      <c r="BB36" s="77">
        <v>-12.978223125528645</v>
      </c>
      <c r="BC36" s="77">
        <v>-0.67932125986652203</v>
      </c>
      <c r="BD36" s="29">
        <v>-8.5629261098617705E-5</v>
      </c>
      <c r="BE36" s="29">
        <v>-6.3498875682984755E-6</v>
      </c>
      <c r="BF36" s="29">
        <v>-1.0469438098388171E-3</v>
      </c>
      <c r="BG36" s="29">
        <v>-2.9593930097616576</v>
      </c>
      <c r="BH36" s="179">
        <f t="shared" si="20"/>
        <v>0.22802759523685659</v>
      </c>
      <c r="BI36" s="127">
        <f>_xll.DCEBoltDisColBaseFix(AV36, AT36, AD36, AP36, AQ36,AR36, AS36, "TTT")</f>
        <v>189</v>
      </c>
      <c r="BJ36" s="127">
        <f t="shared" si="21"/>
        <v>513</v>
      </c>
      <c r="BK36" s="127">
        <f t="shared" si="22"/>
        <v>3.4436492658259681</v>
      </c>
      <c r="BL36" s="127">
        <f t="shared" si="23"/>
        <v>302.89508840864443</v>
      </c>
      <c r="BM36" s="120">
        <f t="shared" si="24"/>
        <v>1.1369115570405165E-2</v>
      </c>
      <c r="BN36" s="4">
        <f>_xll.DCEBoltDisColBaseFix(AV36,AT36,AD36,AP36,AQ36,AR36,AS36,"NL1T")+_xll.DCEBoltDisColBaseFix(AV36,AT36,AD36,AP36,AQ36,AR36,AS36,"NL2T")+_xll.DCEBoltDisColBaseFix(AV36,AT36,AD36,AP36,AQ36,AR36,AS36,"NL3T")</f>
        <v>4</v>
      </c>
      <c r="BO36" s="121">
        <f t="shared" si="25"/>
        <v>0</v>
      </c>
      <c r="BP36" s="122">
        <f t="shared" si="26"/>
        <v>0</v>
      </c>
      <c r="BQ36" s="122">
        <f t="shared" si="27"/>
        <v>57.1</v>
      </c>
      <c r="BR36" s="120">
        <f>BQ36/VLOOKUP(AO36,Data!$V$4:$Z$99,4,FALSE)</f>
        <v>0.16175637393767706</v>
      </c>
      <c r="BS36" s="123" t="str">
        <f t="shared" si="28"/>
        <v>OK</v>
      </c>
      <c r="BT36" s="124">
        <f t="shared" si="29"/>
        <v>0.29393788036448432</v>
      </c>
      <c r="BU36" s="124">
        <f t="shared" si="30"/>
        <v>-0.10499333218243442</v>
      </c>
      <c r="BV36" s="120">
        <f t="shared" si="31"/>
        <v>2.7028770608228444E-2</v>
      </c>
      <c r="BW36" s="123" t="str">
        <f t="shared" si="32"/>
        <v>OK</v>
      </c>
      <c r="BX36" s="124">
        <f t="shared" si="33"/>
        <v>406.65599999999995</v>
      </c>
      <c r="BY36" s="120">
        <f t="shared" si="34"/>
        <v>1.6705059442461386E-3</v>
      </c>
      <c r="BZ36" s="123" t="str">
        <f t="shared" si="35"/>
        <v>OK</v>
      </c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H36" s="127"/>
      <c r="EI36" s="127"/>
      <c r="EJ36" s="127"/>
      <c r="EK36" s="127"/>
      <c r="EL36" s="127"/>
      <c r="EM36" s="120"/>
      <c r="EN36" s="121"/>
      <c r="EO36" s="121"/>
      <c r="EP36" s="120"/>
      <c r="EQ36" s="122"/>
      <c r="ER36" s="120"/>
      <c r="ES36" s="238"/>
      <c r="ET36" s="124"/>
      <c r="EU36" s="124"/>
      <c r="EV36" s="120"/>
      <c r="EW36" s="217"/>
      <c r="EX36" s="124"/>
      <c r="EY36" s="120"/>
      <c r="EZ36" s="217"/>
    </row>
    <row r="37" spans="1:156" ht="12.75" customHeight="1">
      <c r="M37" s="6" t="s">
        <v>56</v>
      </c>
      <c r="N37" s="180"/>
      <c r="O37" s="180"/>
      <c r="P37" s="180"/>
      <c r="Q37" s="180"/>
      <c r="R37" s="180"/>
      <c r="S37" s="181"/>
      <c r="T37" s="182"/>
      <c r="U37" s="180"/>
      <c r="V37" s="2"/>
      <c r="W37" s="2"/>
      <c r="X37" s="5"/>
      <c r="AA37" s="75" t="s">
        <v>460</v>
      </c>
      <c r="AB37" s="75" t="s">
        <v>432</v>
      </c>
      <c r="AC37" s="76">
        <v>0</v>
      </c>
      <c r="AD37" s="28">
        <v>388</v>
      </c>
      <c r="AE37" s="28">
        <v>212</v>
      </c>
      <c r="AF37" s="28">
        <v>6</v>
      </c>
      <c r="AG37" s="28">
        <v>8</v>
      </c>
      <c r="AH37" s="28">
        <v>372</v>
      </c>
      <c r="AI37" s="13">
        <f t="shared" si="2"/>
        <v>648</v>
      </c>
      <c r="AJ37" s="13">
        <f t="shared" si="3"/>
        <v>212</v>
      </c>
      <c r="AK37" s="13">
        <f t="shared" si="4"/>
        <v>25</v>
      </c>
      <c r="AL37" s="13">
        <f t="shared" si="5"/>
        <v>7</v>
      </c>
      <c r="AM37" s="13">
        <f t="shared" si="6"/>
        <v>2</v>
      </c>
      <c r="AN37" s="13">
        <f t="shared" si="7"/>
        <v>8</v>
      </c>
      <c r="AO37" s="13">
        <f t="shared" si="8"/>
        <v>24</v>
      </c>
      <c r="AP37" s="13">
        <f t="shared" si="9"/>
        <v>60</v>
      </c>
      <c r="AQ37" s="13">
        <f t="shared" si="10"/>
        <v>70</v>
      </c>
      <c r="AR37" s="13">
        <f t="shared" si="11"/>
        <v>80</v>
      </c>
      <c r="AS37" s="13">
        <f t="shared" si="12"/>
        <v>150</v>
      </c>
      <c r="AT37" s="13">
        <f t="shared" si="13"/>
        <v>4</v>
      </c>
      <c r="AU37" s="13">
        <f t="shared" si="14"/>
        <v>120</v>
      </c>
      <c r="AV37" s="13">
        <f t="shared" si="15"/>
        <v>2</v>
      </c>
      <c r="AW37" s="13">
        <f t="shared" si="16"/>
        <v>0</v>
      </c>
      <c r="AX37" s="13">
        <f t="shared" si="17"/>
        <v>0</v>
      </c>
      <c r="AY37" s="13">
        <f t="shared" si="18"/>
        <v>1</v>
      </c>
      <c r="AZ37" s="13">
        <f t="shared" si="19"/>
        <v>6</v>
      </c>
      <c r="BA37" s="75" t="s">
        <v>448</v>
      </c>
      <c r="BB37" s="77">
        <v>-12.978223125528645</v>
      </c>
      <c r="BC37" s="77">
        <v>-0.67932125986652203</v>
      </c>
      <c r="BD37" s="29">
        <v>-8.5629261098617705E-5</v>
      </c>
      <c r="BE37" s="29">
        <v>-6.3498875682984755E-6</v>
      </c>
      <c r="BF37" s="29">
        <v>-1.0469438098388171E-3</v>
      </c>
      <c r="BG37" s="29">
        <v>-2.9593930097616576</v>
      </c>
      <c r="BH37" s="179">
        <f t="shared" si="20"/>
        <v>0.22802759523685659</v>
      </c>
      <c r="BI37" s="127">
        <f>_xll.DCEBoltDisColBaseFix(AV37, AT37, AD37, AP37, AQ37,AR37, AS37, "TTT")</f>
        <v>189</v>
      </c>
      <c r="BJ37" s="127">
        <f t="shared" si="21"/>
        <v>513</v>
      </c>
      <c r="BK37" s="127">
        <f t="shared" si="22"/>
        <v>3.4436492658259681</v>
      </c>
      <c r="BL37" s="127">
        <f t="shared" si="23"/>
        <v>302.89508840864443</v>
      </c>
      <c r="BM37" s="120">
        <f t="shared" si="24"/>
        <v>1.1369115570405165E-2</v>
      </c>
      <c r="BN37" s="4">
        <f>_xll.DCEBoltDisColBaseFix(AV37,AT37,AD37,AP37,AQ37,AR37,AS37,"NL1T")+_xll.DCEBoltDisColBaseFix(AV37,AT37,AD37,AP37,AQ37,AR37,AS37,"NL2T")+_xll.DCEBoltDisColBaseFix(AV37,AT37,AD37,AP37,AQ37,AR37,AS37,"NL3T")</f>
        <v>4</v>
      </c>
      <c r="BO37" s="121">
        <f t="shared" si="25"/>
        <v>0</v>
      </c>
      <c r="BP37" s="122">
        <f t="shared" si="26"/>
        <v>0</v>
      </c>
      <c r="BQ37" s="122">
        <f t="shared" si="27"/>
        <v>57.1</v>
      </c>
      <c r="BR37" s="120">
        <f>BQ37/VLOOKUP(AO37,Data!$V$4:$Z$99,4,FALSE)</f>
        <v>0.16175637393767706</v>
      </c>
      <c r="BS37" s="123" t="str">
        <f t="shared" si="28"/>
        <v>OK</v>
      </c>
      <c r="BT37" s="124">
        <f t="shared" si="29"/>
        <v>0.29393788036448432</v>
      </c>
      <c r="BU37" s="124">
        <f t="shared" si="30"/>
        <v>-0.10499333218243442</v>
      </c>
      <c r="BV37" s="120">
        <f t="shared" si="31"/>
        <v>2.7028770608228444E-2</v>
      </c>
      <c r="BW37" s="123" t="str">
        <f t="shared" si="32"/>
        <v>OK</v>
      </c>
      <c r="BX37" s="124">
        <f t="shared" si="33"/>
        <v>406.65599999999995</v>
      </c>
      <c r="BY37" s="120">
        <f t="shared" si="34"/>
        <v>1.6705059442461386E-3</v>
      </c>
      <c r="BZ37" s="123" t="str">
        <f t="shared" si="35"/>
        <v>OK</v>
      </c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H37" s="127"/>
      <c r="EI37" s="127"/>
      <c r="EJ37" s="127"/>
      <c r="EK37" s="127"/>
      <c r="EL37" s="127"/>
      <c r="EM37" s="120"/>
      <c r="EN37" s="121"/>
      <c r="EO37" s="121"/>
      <c r="EP37" s="120"/>
      <c r="EQ37" s="122"/>
      <c r="ER37" s="120"/>
      <c r="ES37" s="238"/>
      <c r="ET37" s="124"/>
      <c r="EU37" s="124"/>
      <c r="EV37" s="120"/>
      <c r="EW37" s="217"/>
      <c r="EX37" s="124"/>
      <c r="EY37" s="120"/>
      <c r="EZ37" s="217"/>
    </row>
    <row r="38" spans="1:156" ht="12.75" customHeight="1">
      <c r="M38" s="6" t="s">
        <v>57</v>
      </c>
      <c r="N38" s="180"/>
      <c r="O38" s="180"/>
      <c r="P38" s="180"/>
      <c r="Q38" s="180"/>
      <c r="R38" s="180"/>
      <c r="S38" s="181"/>
      <c r="T38" s="182"/>
      <c r="U38" s="180"/>
      <c r="V38" s="2"/>
      <c r="W38" s="2"/>
      <c r="X38" s="5"/>
      <c r="AA38" s="75" t="s">
        <v>460</v>
      </c>
      <c r="AB38" s="75" t="s">
        <v>432</v>
      </c>
      <c r="AC38" s="76">
        <v>0</v>
      </c>
      <c r="AD38" s="28">
        <v>388</v>
      </c>
      <c r="AE38" s="28">
        <v>212</v>
      </c>
      <c r="AF38" s="28">
        <v>6</v>
      </c>
      <c r="AG38" s="28">
        <v>8</v>
      </c>
      <c r="AH38" s="28">
        <v>372</v>
      </c>
      <c r="AI38" s="13">
        <f t="shared" si="2"/>
        <v>648</v>
      </c>
      <c r="AJ38" s="13">
        <f t="shared" si="3"/>
        <v>212</v>
      </c>
      <c r="AK38" s="13">
        <f t="shared" si="4"/>
        <v>25</v>
      </c>
      <c r="AL38" s="13">
        <f t="shared" si="5"/>
        <v>7</v>
      </c>
      <c r="AM38" s="13">
        <f t="shared" si="6"/>
        <v>2</v>
      </c>
      <c r="AN38" s="13">
        <f t="shared" si="7"/>
        <v>8</v>
      </c>
      <c r="AO38" s="13">
        <f t="shared" si="8"/>
        <v>24</v>
      </c>
      <c r="AP38" s="13">
        <f t="shared" si="9"/>
        <v>60</v>
      </c>
      <c r="AQ38" s="13">
        <f t="shared" si="10"/>
        <v>70</v>
      </c>
      <c r="AR38" s="13">
        <f t="shared" si="11"/>
        <v>80</v>
      </c>
      <c r="AS38" s="13">
        <f t="shared" si="12"/>
        <v>150</v>
      </c>
      <c r="AT38" s="13">
        <f t="shared" si="13"/>
        <v>4</v>
      </c>
      <c r="AU38" s="13">
        <f t="shared" si="14"/>
        <v>120</v>
      </c>
      <c r="AV38" s="13">
        <f t="shared" si="15"/>
        <v>2</v>
      </c>
      <c r="AW38" s="13">
        <f t="shared" si="16"/>
        <v>0</v>
      </c>
      <c r="AX38" s="13">
        <f t="shared" si="17"/>
        <v>0</v>
      </c>
      <c r="AY38" s="13">
        <f t="shared" si="18"/>
        <v>1</v>
      </c>
      <c r="AZ38" s="13">
        <f t="shared" si="19"/>
        <v>6</v>
      </c>
      <c r="BA38" s="75" t="s">
        <v>449</v>
      </c>
      <c r="BB38" s="77">
        <v>-12.978223125528645</v>
      </c>
      <c r="BC38" s="77">
        <v>-0.67932125986652203</v>
      </c>
      <c r="BD38" s="29">
        <v>-8.5629261098617705E-5</v>
      </c>
      <c r="BE38" s="29">
        <v>-6.3498875682984755E-6</v>
      </c>
      <c r="BF38" s="29">
        <v>-1.0469438098388171E-3</v>
      </c>
      <c r="BG38" s="29">
        <v>-2.9593930097616576</v>
      </c>
      <c r="BH38" s="179">
        <f t="shared" si="20"/>
        <v>0.22802759523685659</v>
      </c>
      <c r="BI38" s="127">
        <f>_xll.DCEBoltDisColBaseFix(AV38, AT38, AD38, AP38, AQ38,AR38, AS38, "TTT")</f>
        <v>189</v>
      </c>
      <c r="BJ38" s="127">
        <f t="shared" si="21"/>
        <v>513</v>
      </c>
      <c r="BK38" s="127">
        <f t="shared" si="22"/>
        <v>3.4436492658259681</v>
      </c>
      <c r="BL38" s="127">
        <f t="shared" si="23"/>
        <v>302.89508840864443</v>
      </c>
      <c r="BM38" s="120">
        <f t="shared" si="24"/>
        <v>1.1369115570405165E-2</v>
      </c>
      <c r="BN38" s="4">
        <f>_xll.DCEBoltDisColBaseFix(AV38,AT38,AD38,AP38,AQ38,AR38,AS38,"NL1T")+_xll.DCEBoltDisColBaseFix(AV38,AT38,AD38,AP38,AQ38,AR38,AS38,"NL2T")+_xll.DCEBoltDisColBaseFix(AV38,AT38,AD38,AP38,AQ38,AR38,AS38,"NL3T")</f>
        <v>4</v>
      </c>
      <c r="BO38" s="121">
        <f t="shared" si="25"/>
        <v>0</v>
      </c>
      <c r="BP38" s="122">
        <f t="shared" si="26"/>
        <v>0</v>
      </c>
      <c r="BQ38" s="122">
        <f t="shared" si="27"/>
        <v>57.1</v>
      </c>
      <c r="BR38" s="120">
        <f>BQ38/VLOOKUP(AO38,Data!$V$4:$Z$99,4,FALSE)</f>
        <v>0.16175637393767706</v>
      </c>
      <c r="BS38" s="123" t="str">
        <f t="shared" si="28"/>
        <v>OK</v>
      </c>
      <c r="BT38" s="124">
        <f t="shared" si="29"/>
        <v>0.29393788036448432</v>
      </c>
      <c r="BU38" s="124">
        <f t="shared" si="30"/>
        <v>-0.10499333218243442</v>
      </c>
      <c r="BV38" s="120">
        <f t="shared" si="31"/>
        <v>2.7028770608228444E-2</v>
      </c>
      <c r="BW38" s="123" t="str">
        <f t="shared" si="32"/>
        <v>OK</v>
      </c>
      <c r="BX38" s="124">
        <f t="shared" si="33"/>
        <v>406.65599999999995</v>
      </c>
      <c r="BY38" s="120">
        <f t="shared" si="34"/>
        <v>1.6705059442461386E-3</v>
      </c>
      <c r="BZ38" s="123" t="str">
        <f t="shared" si="35"/>
        <v>OK</v>
      </c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H38" s="127"/>
      <c r="EI38" s="127"/>
      <c r="EJ38" s="127"/>
      <c r="EK38" s="127"/>
      <c r="EL38" s="127"/>
      <c r="EM38" s="120"/>
      <c r="EN38" s="121"/>
      <c r="EO38" s="121"/>
      <c r="EP38" s="120"/>
      <c r="EQ38" s="122"/>
      <c r="ER38" s="120"/>
      <c r="ES38" s="238"/>
      <c r="ET38" s="124"/>
      <c r="EU38" s="124"/>
      <c r="EV38" s="120"/>
      <c r="EW38" s="217"/>
      <c r="EX38" s="124"/>
      <c r="EY38" s="120"/>
      <c r="EZ38" s="217"/>
    </row>
    <row r="39" spans="1:156" ht="12.75" customHeight="1">
      <c r="M39" s="7"/>
      <c r="N39" s="180" t="str">
        <f>"- Chiều cao tiết diện:"</f>
        <v>- Chiều cao tiết diện:</v>
      </c>
      <c r="O39" s="180"/>
      <c r="P39" s="181"/>
      <c r="Q39" s="183"/>
      <c r="R39" s="180"/>
      <c r="S39" s="2"/>
      <c r="T39" s="2"/>
      <c r="U39" s="2"/>
      <c r="V39" s="33" t="s">
        <v>58</v>
      </c>
      <c r="W39" s="32">
        <v>450</v>
      </c>
      <c r="X39" s="23" t="s">
        <v>1</v>
      </c>
      <c r="AA39" s="75" t="s">
        <v>460</v>
      </c>
      <c r="AB39" s="75" t="s">
        <v>432</v>
      </c>
      <c r="AC39" s="76">
        <v>0</v>
      </c>
      <c r="AD39" s="28">
        <v>388</v>
      </c>
      <c r="AE39" s="28">
        <v>212</v>
      </c>
      <c r="AF39" s="28">
        <v>6</v>
      </c>
      <c r="AG39" s="28">
        <v>8</v>
      </c>
      <c r="AH39" s="28">
        <v>372</v>
      </c>
      <c r="AI39" s="13">
        <f t="shared" si="2"/>
        <v>648</v>
      </c>
      <c r="AJ39" s="13">
        <f t="shared" si="3"/>
        <v>212</v>
      </c>
      <c r="AK39" s="13">
        <f t="shared" si="4"/>
        <v>25</v>
      </c>
      <c r="AL39" s="13">
        <f t="shared" si="5"/>
        <v>7</v>
      </c>
      <c r="AM39" s="13">
        <f t="shared" si="6"/>
        <v>2</v>
      </c>
      <c r="AN39" s="13">
        <f t="shared" si="7"/>
        <v>8</v>
      </c>
      <c r="AO39" s="13">
        <f t="shared" si="8"/>
        <v>24</v>
      </c>
      <c r="AP39" s="13">
        <f t="shared" si="9"/>
        <v>60</v>
      </c>
      <c r="AQ39" s="13">
        <f t="shared" si="10"/>
        <v>70</v>
      </c>
      <c r="AR39" s="13">
        <f t="shared" si="11"/>
        <v>80</v>
      </c>
      <c r="AS39" s="13">
        <f t="shared" si="12"/>
        <v>150</v>
      </c>
      <c r="AT39" s="13">
        <f t="shared" si="13"/>
        <v>4</v>
      </c>
      <c r="AU39" s="13">
        <f t="shared" si="14"/>
        <v>120</v>
      </c>
      <c r="AV39" s="13">
        <f t="shared" si="15"/>
        <v>2</v>
      </c>
      <c r="AW39" s="13">
        <f t="shared" si="16"/>
        <v>0</v>
      </c>
      <c r="AX39" s="13">
        <f t="shared" si="17"/>
        <v>0</v>
      </c>
      <c r="AY39" s="13">
        <f t="shared" si="18"/>
        <v>1</v>
      </c>
      <c r="AZ39" s="13">
        <f t="shared" si="19"/>
        <v>6</v>
      </c>
      <c r="BA39" s="75" t="s">
        <v>450</v>
      </c>
      <c r="BB39" s="77">
        <v>-12.978223125528645</v>
      </c>
      <c r="BC39" s="77">
        <v>-0.67932125986652203</v>
      </c>
      <c r="BD39" s="29">
        <v>-8.5629261098617705E-5</v>
      </c>
      <c r="BE39" s="29">
        <v>-6.3498875682984755E-6</v>
      </c>
      <c r="BF39" s="29">
        <v>-1.0469438098388171E-3</v>
      </c>
      <c r="BG39" s="29">
        <v>-2.9593930097616576</v>
      </c>
      <c r="BH39" s="179">
        <f t="shared" si="20"/>
        <v>0.22802759523685659</v>
      </c>
      <c r="BI39" s="127">
        <f>_xll.DCEBoltDisColBaseFix(AV39, AT39, AD39, AP39, AQ39,AR39, AS39, "TTT")</f>
        <v>189</v>
      </c>
      <c r="BJ39" s="127">
        <f t="shared" si="21"/>
        <v>513</v>
      </c>
      <c r="BK39" s="127">
        <f t="shared" si="22"/>
        <v>3.4436492658259681</v>
      </c>
      <c r="BL39" s="127">
        <f t="shared" si="23"/>
        <v>302.89508840864443</v>
      </c>
      <c r="BM39" s="120">
        <f t="shared" si="24"/>
        <v>1.1369115570405165E-2</v>
      </c>
      <c r="BN39" s="4">
        <f>_xll.DCEBoltDisColBaseFix(AV39,AT39,AD39,AP39,AQ39,AR39,AS39,"NL1T")+_xll.DCEBoltDisColBaseFix(AV39,AT39,AD39,AP39,AQ39,AR39,AS39,"NL2T")+_xll.DCEBoltDisColBaseFix(AV39,AT39,AD39,AP39,AQ39,AR39,AS39,"NL3T")</f>
        <v>4</v>
      </c>
      <c r="BO39" s="121">
        <f t="shared" si="25"/>
        <v>0</v>
      </c>
      <c r="BP39" s="122">
        <f t="shared" si="26"/>
        <v>0</v>
      </c>
      <c r="BQ39" s="122">
        <f t="shared" si="27"/>
        <v>57.1</v>
      </c>
      <c r="BR39" s="120">
        <f>BQ39/VLOOKUP(AO39,Data!$V$4:$Z$99,4,FALSE)</f>
        <v>0.16175637393767706</v>
      </c>
      <c r="BS39" s="123" t="str">
        <f t="shared" si="28"/>
        <v>OK</v>
      </c>
      <c r="BT39" s="124">
        <f t="shared" si="29"/>
        <v>0.29393788036448432</v>
      </c>
      <c r="BU39" s="124">
        <f t="shared" si="30"/>
        <v>-0.10499333218243442</v>
      </c>
      <c r="BV39" s="120">
        <f t="shared" si="31"/>
        <v>2.7028770608228444E-2</v>
      </c>
      <c r="BW39" s="123" t="str">
        <f t="shared" si="32"/>
        <v>OK</v>
      </c>
      <c r="BX39" s="124">
        <f t="shared" si="33"/>
        <v>406.65599999999995</v>
      </c>
      <c r="BY39" s="120">
        <f t="shared" si="34"/>
        <v>1.6705059442461386E-3</v>
      </c>
      <c r="BZ39" s="123" t="str">
        <f t="shared" si="35"/>
        <v>OK</v>
      </c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H39" s="127"/>
      <c r="EI39" s="127"/>
      <c r="EJ39" s="127"/>
      <c r="EK39" s="127"/>
      <c r="EL39" s="127"/>
      <c r="EM39" s="120"/>
      <c r="EN39" s="121"/>
      <c r="EO39" s="121"/>
      <c r="EP39" s="120"/>
      <c r="EQ39" s="122"/>
      <c r="ER39" s="120"/>
      <c r="ES39" s="238"/>
      <c r="ET39" s="124"/>
      <c r="EU39" s="124"/>
      <c r="EV39" s="120"/>
      <c r="EW39" s="217"/>
      <c r="EX39" s="124"/>
      <c r="EY39" s="120"/>
      <c r="EZ39" s="217"/>
    </row>
    <row r="40" spans="1:156" ht="12.75" customHeight="1">
      <c r="M40" s="7"/>
      <c r="N40" s="180" t="str">
        <f>"- Bề rộng bản cánh:"</f>
        <v>- Bề rộng bản cánh:</v>
      </c>
      <c r="O40" s="180"/>
      <c r="P40" s="181"/>
      <c r="Q40" s="183"/>
      <c r="R40" s="180"/>
      <c r="S40" s="2"/>
      <c r="T40" s="2"/>
      <c r="U40" s="184"/>
      <c r="V40" s="33" t="s">
        <v>128</v>
      </c>
      <c r="W40" s="32">
        <v>200</v>
      </c>
      <c r="X40" s="23" t="s">
        <v>1</v>
      </c>
      <c r="AA40" s="75" t="s">
        <v>460</v>
      </c>
      <c r="AB40" s="75" t="s">
        <v>432</v>
      </c>
      <c r="AC40" s="76">
        <v>0</v>
      </c>
      <c r="AD40" s="28">
        <v>388</v>
      </c>
      <c r="AE40" s="28">
        <v>212</v>
      </c>
      <c r="AF40" s="28">
        <v>6</v>
      </c>
      <c r="AG40" s="28">
        <v>8</v>
      </c>
      <c r="AH40" s="28">
        <v>372</v>
      </c>
      <c r="AI40" s="13">
        <f t="shared" si="2"/>
        <v>648</v>
      </c>
      <c r="AJ40" s="13">
        <f t="shared" si="3"/>
        <v>212</v>
      </c>
      <c r="AK40" s="13">
        <f t="shared" si="4"/>
        <v>25</v>
      </c>
      <c r="AL40" s="13">
        <f t="shared" si="5"/>
        <v>7</v>
      </c>
      <c r="AM40" s="13">
        <f t="shared" si="6"/>
        <v>2</v>
      </c>
      <c r="AN40" s="13">
        <f t="shared" si="7"/>
        <v>8</v>
      </c>
      <c r="AO40" s="13">
        <f t="shared" si="8"/>
        <v>24</v>
      </c>
      <c r="AP40" s="13">
        <f t="shared" si="9"/>
        <v>60</v>
      </c>
      <c r="AQ40" s="13">
        <f t="shared" si="10"/>
        <v>70</v>
      </c>
      <c r="AR40" s="13">
        <f t="shared" si="11"/>
        <v>80</v>
      </c>
      <c r="AS40" s="13">
        <f t="shared" si="12"/>
        <v>150</v>
      </c>
      <c r="AT40" s="13">
        <f t="shared" si="13"/>
        <v>4</v>
      </c>
      <c r="AU40" s="13">
        <f t="shared" si="14"/>
        <v>120</v>
      </c>
      <c r="AV40" s="13">
        <f t="shared" si="15"/>
        <v>2</v>
      </c>
      <c r="AW40" s="13">
        <f t="shared" si="16"/>
        <v>0</v>
      </c>
      <c r="AX40" s="13">
        <f t="shared" si="17"/>
        <v>0</v>
      </c>
      <c r="AY40" s="13">
        <f t="shared" si="18"/>
        <v>1</v>
      </c>
      <c r="AZ40" s="13">
        <f t="shared" si="19"/>
        <v>6</v>
      </c>
      <c r="BA40" s="75" t="s">
        <v>451</v>
      </c>
      <c r="BB40" s="77">
        <v>-12.978223125528645</v>
      </c>
      <c r="BC40" s="77">
        <v>-0.67932125986652203</v>
      </c>
      <c r="BD40" s="29">
        <v>-8.5629261098617705E-5</v>
      </c>
      <c r="BE40" s="29">
        <v>-6.3498875682984755E-6</v>
      </c>
      <c r="BF40" s="29">
        <v>-1.0469438098388171E-3</v>
      </c>
      <c r="BG40" s="29">
        <v>-2.9593930097616576</v>
      </c>
      <c r="BH40" s="179">
        <f t="shared" si="20"/>
        <v>0.22802759523685659</v>
      </c>
      <c r="BI40" s="127">
        <f>_xll.DCEBoltDisColBaseFix(AV40, AT40, AD40, AP40, AQ40,AR40, AS40, "TTT")</f>
        <v>189</v>
      </c>
      <c r="BJ40" s="127">
        <f t="shared" si="21"/>
        <v>513</v>
      </c>
      <c r="BK40" s="127">
        <f t="shared" si="22"/>
        <v>3.4436492658259681</v>
      </c>
      <c r="BL40" s="127">
        <f t="shared" si="23"/>
        <v>302.89508840864443</v>
      </c>
      <c r="BM40" s="120">
        <f t="shared" si="24"/>
        <v>1.1369115570405165E-2</v>
      </c>
      <c r="BN40" s="4">
        <f>_xll.DCEBoltDisColBaseFix(AV40,AT40,AD40,AP40,AQ40,AR40,AS40,"NL1T")+_xll.DCEBoltDisColBaseFix(AV40,AT40,AD40,AP40,AQ40,AR40,AS40,"NL2T")+_xll.DCEBoltDisColBaseFix(AV40,AT40,AD40,AP40,AQ40,AR40,AS40,"NL3T")</f>
        <v>4</v>
      </c>
      <c r="BO40" s="121">
        <f t="shared" si="25"/>
        <v>0</v>
      </c>
      <c r="BP40" s="122">
        <f t="shared" si="26"/>
        <v>0</v>
      </c>
      <c r="BQ40" s="122">
        <f t="shared" si="27"/>
        <v>57.1</v>
      </c>
      <c r="BR40" s="120">
        <f>BQ40/VLOOKUP(AO40,Data!$V$4:$Z$99,4,FALSE)</f>
        <v>0.16175637393767706</v>
      </c>
      <c r="BS40" s="123" t="str">
        <f t="shared" si="28"/>
        <v>OK</v>
      </c>
      <c r="BT40" s="124">
        <f t="shared" si="29"/>
        <v>0.29393788036448432</v>
      </c>
      <c r="BU40" s="124">
        <f t="shared" si="30"/>
        <v>-0.10499333218243442</v>
      </c>
      <c r="BV40" s="120">
        <f t="shared" si="31"/>
        <v>2.7028770608228444E-2</v>
      </c>
      <c r="BW40" s="123" t="str">
        <f t="shared" si="32"/>
        <v>OK</v>
      </c>
      <c r="BX40" s="124">
        <f t="shared" si="33"/>
        <v>406.65599999999995</v>
      </c>
      <c r="BY40" s="120">
        <f t="shared" si="34"/>
        <v>1.6705059442461386E-3</v>
      </c>
      <c r="BZ40" s="123" t="str">
        <f t="shared" si="35"/>
        <v>OK</v>
      </c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H40" s="127"/>
      <c r="EI40" s="127"/>
      <c r="EJ40" s="127"/>
      <c r="EK40" s="127"/>
      <c r="EL40" s="127"/>
      <c r="EM40" s="120"/>
      <c r="EN40" s="121"/>
      <c r="EO40" s="121"/>
      <c r="EP40" s="120"/>
      <c r="EQ40" s="122"/>
      <c r="ER40" s="120"/>
      <c r="ES40" s="238"/>
      <c r="ET40" s="124"/>
      <c r="EU40" s="124"/>
      <c r="EV40" s="120"/>
      <c r="EW40" s="217"/>
      <c r="EX40" s="124"/>
      <c r="EY40" s="120"/>
      <c r="EZ40" s="217"/>
    </row>
    <row r="41" spans="1:156" ht="12.75" customHeight="1">
      <c r="M41" s="7"/>
      <c r="N41" s="180" t="str">
        <f>"- Chiều dày bản bụng:"</f>
        <v>- Chiều dày bản bụng:</v>
      </c>
      <c r="O41" s="180"/>
      <c r="P41" s="181"/>
      <c r="Q41" s="183"/>
      <c r="R41" s="180"/>
      <c r="S41" s="2"/>
      <c r="T41" s="2"/>
      <c r="U41" s="2"/>
      <c r="V41" s="33" t="s">
        <v>59</v>
      </c>
      <c r="W41" s="32">
        <v>6</v>
      </c>
      <c r="X41" s="23" t="s">
        <v>1</v>
      </c>
      <c r="AA41" s="75" t="s">
        <v>460</v>
      </c>
      <c r="AB41" s="75" t="s">
        <v>432</v>
      </c>
      <c r="AC41" s="76">
        <v>0</v>
      </c>
      <c r="AD41" s="28">
        <v>388</v>
      </c>
      <c r="AE41" s="28">
        <v>212</v>
      </c>
      <c r="AF41" s="28">
        <v>6</v>
      </c>
      <c r="AG41" s="28">
        <v>8</v>
      </c>
      <c r="AH41" s="28">
        <v>372</v>
      </c>
      <c r="AI41" s="13">
        <f t="shared" si="2"/>
        <v>648</v>
      </c>
      <c r="AJ41" s="13">
        <f t="shared" si="3"/>
        <v>212</v>
      </c>
      <c r="AK41" s="13">
        <f t="shared" si="4"/>
        <v>25</v>
      </c>
      <c r="AL41" s="13">
        <f t="shared" si="5"/>
        <v>7</v>
      </c>
      <c r="AM41" s="13">
        <f t="shared" si="6"/>
        <v>2</v>
      </c>
      <c r="AN41" s="13">
        <f t="shared" si="7"/>
        <v>8</v>
      </c>
      <c r="AO41" s="13">
        <f t="shared" si="8"/>
        <v>24</v>
      </c>
      <c r="AP41" s="13">
        <f t="shared" si="9"/>
        <v>60</v>
      </c>
      <c r="AQ41" s="13">
        <f t="shared" si="10"/>
        <v>70</v>
      </c>
      <c r="AR41" s="13">
        <f t="shared" si="11"/>
        <v>80</v>
      </c>
      <c r="AS41" s="13">
        <f t="shared" si="12"/>
        <v>150</v>
      </c>
      <c r="AT41" s="13">
        <f t="shared" si="13"/>
        <v>4</v>
      </c>
      <c r="AU41" s="13">
        <f t="shared" si="14"/>
        <v>120</v>
      </c>
      <c r="AV41" s="13">
        <f t="shared" si="15"/>
        <v>2</v>
      </c>
      <c r="AW41" s="13">
        <f t="shared" si="16"/>
        <v>0</v>
      </c>
      <c r="AX41" s="13">
        <f t="shared" si="17"/>
        <v>0</v>
      </c>
      <c r="AY41" s="13">
        <f t="shared" si="18"/>
        <v>1</v>
      </c>
      <c r="AZ41" s="13">
        <f t="shared" si="19"/>
        <v>6</v>
      </c>
      <c r="BA41" s="75" t="s">
        <v>452</v>
      </c>
      <c r="BB41" s="77">
        <v>-12.978223125528645</v>
      </c>
      <c r="BC41" s="77">
        <v>-0.67932125986652203</v>
      </c>
      <c r="BD41" s="29">
        <v>-8.5629261098617705E-5</v>
      </c>
      <c r="BE41" s="29">
        <v>-6.3498875682984755E-6</v>
      </c>
      <c r="BF41" s="29">
        <v>-1.0469438098388171E-3</v>
      </c>
      <c r="BG41" s="29">
        <v>-2.9593930097616576</v>
      </c>
      <c r="BH41" s="179">
        <f t="shared" si="20"/>
        <v>0.22802759523685659</v>
      </c>
      <c r="BI41" s="127">
        <f>_xll.DCEBoltDisColBaseFix(AV41, AT41, AD41, AP41, AQ41,AR41, AS41, "TTT")</f>
        <v>189</v>
      </c>
      <c r="BJ41" s="127">
        <f t="shared" si="21"/>
        <v>513</v>
      </c>
      <c r="BK41" s="127">
        <f t="shared" si="22"/>
        <v>3.4436492658259681</v>
      </c>
      <c r="BL41" s="127">
        <f t="shared" si="23"/>
        <v>302.89508840864443</v>
      </c>
      <c r="BM41" s="120">
        <f t="shared" si="24"/>
        <v>1.1369115570405165E-2</v>
      </c>
      <c r="BN41" s="4">
        <f>_xll.DCEBoltDisColBaseFix(AV41,AT41,AD41,AP41,AQ41,AR41,AS41,"NL1T")+_xll.DCEBoltDisColBaseFix(AV41,AT41,AD41,AP41,AQ41,AR41,AS41,"NL2T")+_xll.DCEBoltDisColBaseFix(AV41,AT41,AD41,AP41,AQ41,AR41,AS41,"NL3T")</f>
        <v>4</v>
      </c>
      <c r="BO41" s="121">
        <f t="shared" si="25"/>
        <v>0</v>
      </c>
      <c r="BP41" s="122">
        <f t="shared" si="26"/>
        <v>0</v>
      </c>
      <c r="BQ41" s="122">
        <f t="shared" si="27"/>
        <v>57.1</v>
      </c>
      <c r="BR41" s="120">
        <f>BQ41/VLOOKUP(AO41,Data!$V$4:$Z$99,4,FALSE)</f>
        <v>0.16175637393767706</v>
      </c>
      <c r="BS41" s="123" t="str">
        <f t="shared" si="28"/>
        <v>OK</v>
      </c>
      <c r="BT41" s="124">
        <f t="shared" si="29"/>
        <v>0.29393788036448432</v>
      </c>
      <c r="BU41" s="124">
        <f t="shared" si="30"/>
        <v>-0.10499333218243442</v>
      </c>
      <c r="BV41" s="120">
        <f t="shared" si="31"/>
        <v>2.7028770608228444E-2</v>
      </c>
      <c r="BW41" s="123" t="str">
        <f t="shared" si="32"/>
        <v>OK</v>
      </c>
      <c r="BX41" s="124">
        <f t="shared" si="33"/>
        <v>406.65599999999995</v>
      </c>
      <c r="BY41" s="120">
        <f t="shared" si="34"/>
        <v>1.6705059442461386E-3</v>
      </c>
      <c r="BZ41" s="123" t="str">
        <f t="shared" si="35"/>
        <v>OK</v>
      </c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H41" s="127"/>
      <c r="EI41" s="127"/>
      <c r="EJ41" s="127"/>
      <c r="EK41" s="127"/>
      <c r="EL41" s="127"/>
      <c r="EM41" s="120"/>
      <c r="EN41" s="121"/>
      <c r="EO41" s="121"/>
      <c r="EP41" s="120"/>
      <c r="EQ41" s="122"/>
      <c r="ER41" s="120"/>
      <c r="ES41" s="238"/>
      <c r="ET41" s="124"/>
      <c r="EU41" s="124"/>
      <c r="EV41" s="120"/>
      <c r="EW41" s="217"/>
      <c r="EX41" s="124"/>
      <c r="EY41" s="120"/>
      <c r="EZ41" s="217"/>
    </row>
    <row r="42" spans="1:156" ht="12.75" customHeight="1" thickBot="1">
      <c r="M42" s="7"/>
      <c r="N42" s="180" t="str">
        <f>"- Chiều dày bản cánh:"</f>
        <v>- Chiều dày bản cánh:</v>
      </c>
      <c r="O42" s="2"/>
      <c r="P42" s="33"/>
      <c r="Q42" s="187"/>
      <c r="R42" s="188"/>
      <c r="S42" s="2"/>
      <c r="T42" s="2"/>
      <c r="U42" s="2"/>
      <c r="V42" s="33" t="s">
        <v>60</v>
      </c>
      <c r="W42" s="32">
        <v>12</v>
      </c>
      <c r="X42" s="23" t="s">
        <v>1</v>
      </c>
      <c r="AA42" s="75" t="s">
        <v>460</v>
      </c>
      <c r="AB42" s="75" t="s">
        <v>432</v>
      </c>
      <c r="AC42" s="76">
        <v>0</v>
      </c>
      <c r="AD42" s="28">
        <v>388</v>
      </c>
      <c r="AE42" s="28">
        <v>212</v>
      </c>
      <c r="AF42" s="28">
        <v>6</v>
      </c>
      <c r="AG42" s="28">
        <v>8</v>
      </c>
      <c r="AH42" s="28">
        <v>372</v>
      </c>
      <c r="AI42" s="13">
        <f t="shared" si="2"/>
        <v>648</v>
      </c>
      <c r="AJ42" s="13">
        <f t="shared" si="3"/>
        <v>212</v>
      </c>
      <c r="AK42" s="13">
        <f t="shared" si="4"/>
        <v>25</v>
      </c>
      <c r="AL42" s="13">
        <f t="shared" si="5"/>
        <v>7</v>
      </c>
      <c r="AM42" s="13">
        <f t="shared" si="6"/>
        <v>2</v>
      </c>
      <c r="AN42" s="13">
        <f t="shared" si="7"/>
        <v>8</v>
      </c>
      <c r="AO42" s="13">
        <f t="shared" si="8"/>
        <v>24</v>
      </c>
      <c r="AP42" s="13">
        <f t="shared" si="9"/>
        <v>60</v>
      </c>
      <c r="AQ42" s="13">
        <f t="shared" si="10"/>
        <v>70</v>
      </c>
      <c r="AR42" s="13">
        <f t="shared" si="11"/>
        <v>80</v>
      </c>
      <c r="AS42" s="13">
        <f t="shared" si="12"/>
        <v>150</v>
      </c>
      <c r="AT42" s="13">
        <f t="shared" si="13"/>
        <v>4</v>
      </c>
      <c r="AU42" s="13">
        <f t="shared" si="14"/>
        <v>120</v>
      </c>
      <c r="AV42" s="13">
        <f t="shared" si="15"/>
        <v>2</v>
      </c>
      <c r="AW42" s="13">
        <f t="shared" si="16"/>
        <v>0</v>
      </c>
      <c r="AX42" s="13">
        <f t="shared" si="17"/>
        <v>0</v>
      </c>
      <c r="AY42" s="13">
        <f t="shared" si="18"/>
        <v>1</v>
      </c>
      <c r="AZ42" s="13">
        <f t="shared" si="19"/>
        <v>6</v>
      </c>
      <c r="BA42" s="75" t="s">
        <v>453</v>
      </c>
      <c r="BB42" s="77">
        <v>-12.978223125528645</v>
      </c>
      <c r="BC42" s="77">
        <v>-0.67932125986652203</v>
      </c>
      <c r="BD42" s="29">
        <v>-8.5629261098617705E-5</v>
      </c>
      <c r="BE42" s="29">
        <v>-6.3498875682984755E-6</v>
      </c>
      <c r="BF42" s="29">
        <v>-1.0469438098388171E-3</v>
      </c>
      <c r="BG42" s="29">
        <v>-2.9593930097616576</v>
      </c>
      <c r="BH42" s="179">
        <f t="shared" si="20"/>
        <v>0.22802759523685659</v>
      </c>
      <c r="BI42" s="127">
        <f>_xll.DCEBoltDisColBaseFix(AV42, AT42, AD42, AP42, AQ42,AR42, AS42, "TTT")</f>
        <v>189</v>
      </c>
      <c r="BJ42" s="127">
        <f t="shared" si="21"/>
        <v>513</v>
      </c>
      <c r="BK42" s="127">
        <f t="shared" si="22"/>
        <v>3.4436492658259681</v>
      </c>
      <c r="BL42" s="127">
        <f t="shared" si="23"/>
        <v>302.89508840864443</v>
      </c>
      <c r="BM42" s="120">
        <f t="shared" si="24"/>
        <v>1.1369115570405165E-2</v>
      </c>
      <c r="BN42" s="4">
        <f>_xll.DCEBoltDisColBaseFix(AV42,AT42,AD42,AP42,AQ42,AR42,AS42,"NL1T")+_xll.DCEBoltDisColBaseFix(AV42,AT42,AD42,AP42,AQ42,AR42,AS42,"NL2T")+_xll.DCEBoltDisColBaseFix(AV42,AT42,AD42,AP42,AQ42,AR42,AS42,"NL3T")</f>
        <v>4</v>
      </c>
      <c r="BO42" s="121">
        <f t="shared" si="25"/>
        <v>0</v>
      </c>
      <c r="BP42" s="122">
        <f t="shared" si="26"/>
        <v>0</v>
      </c>
      <c r="BQ42" s="122">
        <f t="shared" si="27"/>
        <v>57.1</v>
      </c>
      <c r="BR42" s="120">
        <f>BQ42/VLOOKUP(AO42,Data!$V$4:$Z$99,4,FALSE)</f>
        <v>0.16175637393767706</v>
      </c>
      <c r="BS42" s="123" t="str">
        <f t="shared" si="28"/>
        <v>OK</v>
      </c>
      <c r="BT42" s="124">
        <f t="shared" si="29"/>
        <v>0.29393788036448432</v>
      </c>
      <c r="BU42" s="124">
        <f t="shared" si="30"/>
        <v>-0.10499333218243442</v>
      </c>
      <c r="BV42" s="120">
        <f t="shared" si="31"/>
        <v>2.7028770608228444E-2</v>
      </c>
      <c r="BW42" s="123" t="str">
        <f t="shared" si="32"/>
        <v>OK</v>
      </c>
      <c r="BX42" s="124">
        <f t="shared" si="33"/>
        <v>406.65599999999995</v>
      </c>
      <c r="BY42" s="120">
        <f t="shared" si="34"/>
        <v>1.6705059442461386E-3</v>
      </c>
      <c r="BZ42" s="123" t="str">
        <f t="shared" si="35"/>
        <v>OK</v>
      </c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H42" s="127"/>
      <c r="EI42" s="127"/>
      <c r="EJ42" s="127"/>
      <c r="EK42" s="127"/>
      <c r="EL42" s="127"/>
      <c r="EM42" s="120"/>
      <c r="EN42" s="121"/>
      <c r="EO42" s="121"/>
      <c r="EP42" s="120"/>
      <c r="EQ42" s="122"/>
      <c r="ER42" s="120"/>
      <c r="ES42" s="238"/>
      <c r="ET42" s="124"/>
      <c r="EU42" s="124"/>
      <c r="EV42" s="120"/>
      <c r="EW42" s="217"/>
      <c r="EX42" s="124"/>
      <c r="EY42" s="120"/>
      <c r="EZ42" s="217"/>
    </row>
    <row r="43" spans="1:156" ht="12.75" customHeight="1">
      <c r="A43" s="279" t="s">
        <v>337</v>
      </c>
      <c r="B43" s="280"/>
      <c r="C43" s="280"/>
      <c r="D43" s="280"/>
      <c r="E43" s="169">
        <f>DceViTri(W39,A46:A57)</f>
        <v>8</v>
      </c>
      <c r="F43" s="142">
        <f>INDEX($A$46:$A$57,E43)</f>
        <v>450</v>
      </c>
      <c r="G43" s="279" t="s">
        <v>240</v>
      </c>
      <c r="H43" s="280"/>
      <c r="I43" s="280"/>
      <c r="J43" s="170">
        <f>DceViTri(W40,$G$46:$G$57)</f>
        <v>2</v>
      </c>
      <c r="K43" s="142">
        <f>INDEX($G$46:$G$57,J43)</f>
        <v>212</v>
      </c>
      <c r="M43" s="6" t="s">
        <v>116</v>
      </c>
      <c r="N43" s="180"/>
      <c r="O43" s="180"/>
      <c r="P43" s="180"/>
      <c r="Q43" s="180"/>
      <c r="R43" s="180"/>
      <c r="S43" s="181"/>
      <c r="T43" s="182"/>
      <c r="U43" s="180"/>
      <c r="V43" s="2"/>
      <c r="W43" s="2"/>
      <c r="X43" s="5"/>
      <c r="AA43" s="75" t="s">
        <v>460</v>
      </c>
      <c r="AB43" s="75" t="s">
        <v>432</v>
      </c>
      <c r="AC43" s="76">
        <v>0</v>
      </c>
      <c r="AD43" s="28">
        <v>388</v>
      </c>
      <c r="AE43" s="28">
        <v>212</v>
      </c>
      <c r="AF43" s="28">
        <v>6</v>
      </c>
      <c r="AG43" s="28">
        <v>8</v>
      </c>
      <c r="AH43" s="28">
        <v>372</v>
      </c>
      <c r="AI43" s="13">
        <f t="shared" si="2"/>
        <v>648</v>
      </c>
      <c r="AJ43" s="13">
        <f t="shared" si="3"/>
        <v>212</v>
      </c>
      <c r="AK43" s="13">
        <f t="shared" si="4"/>
        <v>25</v>
      </c>
      <c r="AL43" s="13">
        <f t="shared" si="5"/>
        <v>7</v>
      </c>
      <c r="AM43" s="13">
        <f t="shared" si="6"/>
        <v>2</v>
      </c>
      <c r="AN43" s="13">
        <f t="shared" si="7"/>
        <v>8</v>
      </c>
      <c r="AO43" s="13">
        <f t="shared" si="8"/>
        <v>24</v>
      </c>
      <c r="AP43" s="13">
        <f t="shared" si="9"/>
        <v>60</v>
      </c>
      <c r="AQ43" s="13">
        <f t="shared" si="10"/>
        <v>70</v>
      </c>
      <c r="AR43" s="13">
        <f t="shared" si="11"/>
        <v>80</v>
      </c>
      <c r="AS43" s="13">
        <f t="shared" si="12"/>
        <v>150</v>
      </c>
      <c r="AT43" s="13">
        <f t="shared" si="13"/>
        <v>4</v>
      </c>
      <c r="AU43" s="13">
        <f t="shared" si="14"/>
        <v>120</v>
      </c>
      <c r="AV43" s="13">
        <f t="shared" si="15"/>
        <v>2</v>
      </c>
      <c r="AW43" s="13">
        <f t="shared" si="16"/>
        <v>0</v>
      </c>
      <c r="AX43" s="13">
        <f t="shared" si="17"/>
        <v>0</v>
      </c>
      <c r="AY43" s="13">
        <f t="shared" si="18"/>
        <v>1</v>
      </c>
      <c r="AZ43" s="13">
        <f t="shared" si="19"/>
        <v>6</v>
      </c>
      <c r="BA43" s="75" t="s">
        <v>454</v>
      </c>
      <c r="BB43" s="77">
        <v>-12.978223125528645</v>
      </c>
      <c r="BC43" s="77">
        <v>-0.67932125986652203</v>
      </c>
      <c r="BD43" s="29">
        <v>-8.5629261098617705E-5</v>
      </c>
      <c r="BE43" s="29">
        <v>-6.3498875682984755E-6</v>
      </c>
      <c r="BF43" s="29">
        <v>-1.0469438098388171E-3</v>
      </c>
      <c r="BG43" s="29">
        <v>-2.9593930097616576</v>
      </c>
      <c r="BH43" s="179">
        <f t="shared" si="20"/>
        <v>0.22802759523685659</v>
      </c>
      <c r="BI43" s="127">
        <f>_xll.DCEBoltDisColBaseFix(AV43, AT43, AD43, AP43, AQ43,AR43, AS43, "TTT")</f>
        <v>189</v>
      </c>
      <c r="BJ43" s="127">
        <f t="shared" si="21"/>
        <v>513</v>
      </c>
      <c r="BK43" s="127">
        <f t="shared" si="22"/>
        <v>3.4436492658259681</v>
      </c>
      <c r="BL43" s="127">
        <f t="shared" si="23"/>
        <v>302.89508840864443</v>
      </c>
      <c r="BM43" s="120">
        <f t="shared" si="24"/>
        <v>1.1369115570405165E-2</v>
      </c>
      <c r="BN43" s="4">
        <f>_xll.DCEBoltDisColBaseFix(AV43,AT43,AD43,AP43,AQ43,AR43,AS43,"NL1T")+_xll.DCEBoltDisColBaseFix(AV43,AT43,AD43,AP43,AQ43,AR43,AS43,"NL2T")+_xll.DCEBoltDisColBaseFix(AV43,AT43,AD43,AP43,AQ43,AR43,AS43,"NL3T")</f>
        <v>4</v>
      </c>
      <c r="BO43" s="121">
        <f t="shared" si="25"/>
        <v>0</v>
      </c>
      <c r="BP43" s="122">
        <f t="shared" si="26"/>
        <v>0</v>
      </c>
      <c r="BQ43" s="122">
        <f t="shared" si="27"/>
        <v>57.1</v>
      </c>
      <c r="BR43" s="120">
        <f>BQ43/VLOOKUP(AO43,Data!$V$4:$Z$99,4,FALSE)</f>
        <v>0.16175637393767706</v>
      </c>
      <c r="BS43" s="123" t="str">
        <f t="shared" si="28"/>
        <v>OK</v>
      </c>
      <c r="BT43" s="124">
        <f t="shared" si="29"/>
        <v>0.29393788036448432</v>
      </c>
      <c r="BU43" s="124">
        <f t="shared" si="30"/>
        <v>-0.10499333218243442</v>
      </c>
      <c r="BV43" s="120">
        <f t="shared" si="31"/>
        <v>2.7028770608228444E-2</v>
      </c>
      <c r="BW43" s="123" t="str">
        <f t="shared" si="32"/>
        <v>OK</v>
      </c>
      <c r="BX43" s="124">
        <f t="shared" si="33"/>
        <v>406.65599999999995</v>
      </c>
      <c r="BY43" s="120">
        <f t="shared" si="34"/>
        <v>1.6705059442461386E-3</v>
      </c>
      <c r="BZ43" s="123" t="str">
        <f t="shared" si="35"/>
        <v>OK</v>
      </c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H43" s="127"/>
      <c r="EI43" s="127"/>
      <c r="EJ43" s="127"/>
      <c r="EK43" s="127"/>
      <c r="EL43" s="127"/>
      <c r="EM43" s="120"/>
      <c r="EN43" s="121"/>
      <c r="EO43" s="121"/>
      <c r="EP43" s="120"/>
      <c r="EQ43" s="122"/>
      <c r="ER43" s="120"/>
      <c r="ES43" s="238"/>
      <c r="ET43" s="124"/>
      <c r="EU43" s="124"/>
      <c r="EV43" s="120"/>
      <c r="EW43" s="217"/>
      <c r="EX43" s="124"/>
      <c r="EY43" s="120"/>
      <c r="EZ43" s="217"/>
    </row>
    <row r="44" spans="1:156" ht="12.75" customHeight="1">
      <c r="A44" s="134" t="s">
        <v>338</v>
      </c>
      <c r="B44" s="78" t="s">
        <v>342</v>
      </c>
      <c r="C44" s="277" t="s">
        <v>398</v>
      </c>
      <c r="D44" s="78" t="s">
        <v>350</v>
      </c>
      <c r="E44" s="291" t="s">
        <v>365</v>
      </c>
      <c r="F44" s="292"/>
      <c r="G44" s="134" t="s">
        <v>241</v>
      </c>
      <c r="H44" s="79" t="s">
        <v>242</v>
      </c>
      <c r="I44" s="79" t="s">
        <v>351</v>
      </c>
      <c r="J44" s="291" t="s">
        <v>364</v>
      </c>
      <c r="K44" s="292"/>
      <c r="M44" s="7"/>
      <c r="N44" s="180" t="str">
        <f>"- Đường kính ngoài bu lông:"</f>
        <v>- Đường kính ngoài bu lông:</v>
      </c>
      <c r="O44" s="180"/>
      <c r="P44" s="181"/>
      <c r="Q44" s="183"/>
      <c r="R44" s="180"/>
      <c r="S44" s="2"/>
      <c r="T44" s="2"/>
      <c r="U44" s="2"/>
      <c r="V44" s="33" t="s">
        <v>46</v>
      </c>
      <c r="W44" s="36">
        <f>DceNoiSuy(W39,$A$46:$A$99,$C$46:$C$99)</f>
        <v>24</v>
      </c>
      <c r="X44" s="23" t="s">
        <v>1</v>
      </c>
      <c r="AA44" s="75" t="s">
        <v>460</v>
      </c>
      <c r="AB44" s="75" t="s">
        <v>432</v>
      </c>
      <c r="AC44" s="76">
        <v>0</v>
      </c>
      <c r="AD44" s="28">
        <v>388</v>
      </c>
      <c r="AE44" s="28">
        <v>212</v>
      </c>
      <c r="AF44" s="28">
        <v>6</v>
      </c>
      <c r="AG44" s="28">
        <v>8</v>
      </c>
      <c r="AH44" s="28">
        <v>372</v>
      </c>
      <c r="AI44" s="13">
        <f t="shared" si="2"/>
        <v>648</v>
      </c>
      <c r="AJ44" s="13">
        <f t="shared" si="3"/>
        <v>212</v>
      </c>
      <c r="AK44" s="13">
        <f t="shared" si="4"/>
        <v>25</v>
      </c>
      <c r="AL44" s="13">
        <f t="shared" si="5"/>
        <v>7</v>
      </c>
      <c r="AM44" s="13">
        <f t="shared" si="6"/>
        <v>2</v>
      </c>
      <c r="AN44" s="13">
        <f t="shared" si="7"/>
        <v>8</v>
      </c>
      <c r="AO44" s="13">
        <f t="shared" si="8"/>
        <v>24</v>
      </c>
      <c r="AP44" s="13">
        <f t="shared" si="9"/>
        <v>60</v>
      </c>
      <c r="AQ44" s="13">
        <f t="shared" si="10"/>
        <v>70</v>
      </c>
      <c r="AR44" s="13">
        <f t="shared" si="11"/>
        <v>80</v>
      </c>
      <c r="AS44" s="13">
        <f t="shared" si="12"/>
        <v>150</v>
      </c>
      <c r="AT44" s="13">
        <f t="shared" si="13"/>
        <v>4</v>
      </c>
      <c r="AU44" s="13">
        <f t="shared" si="14"/>
        <v>120</v>
      </c>
      <c r="AV44" s="13">
        <f t="shared" si="15"/>
        <v>2</v>
      </c>
      <c r="AW44" s="13">
        <f t="shared" si="16"/>
        <v>0</v>
      </c>
      <c r="AX44" s="13">
        <f t="shared" si="17"/>
        <v>0</v>
      </c>
      <c r="AY44" s="13">
        <f t="shared" si="18"/>
        <v>1</v>
      </c>
      <c r="AZ44" s="13">
        <f t="shared" si="19"/>
        <v>6</v>
      </c>
      <c r="BA44" s="75" t="s">
        <v>455</v>
      </c>
      <c r="BB44" s="77">
        <v>-12.978223125528645</v>
      </c>
      <c r="BC44" s="77">
        <v>-0.67932125986652203</v>
      </c>
      <c r="BD44" s="29">
        <v>-8.5629261098617705E-5</v>
      </c>
      <c r="BE44" s="29">
        <v>-6.3498875682984755E-6</v>
      </c>
      <c r="BF44" s="29">
        <v>-1.0469438098388171E-3</v>
      </c>
      <c r="BG44" s="29">
        <v>-2.9593930097616576</v>
      </c>
      <c r="BH44" s="179">
        <f t="shared" si="20"/>
        <v>0.22802759523685659</v>
      </c>
      <c r="BI44" s="127">
        <f>_xll.DCEBoltDisColBaseFix(AV44, AT44, AD44, AP44, AQ44,AR44, AS44, "TTT")</f>
        <v>189</v>
      </c>
      <c r="BJ44" s="127">
        <f t="shared" si="21"/>
        <v>513</v>
      </c>
      <c r="BK44" s="127">
        <f t="shared" si="22"/>
        <v>3.4436492658259681</v>
      </c>
      <c r="BL44" s="127">
        <f t="shared" si="23"/>
        <v>302.89508840864443</v>
      </c>
      <c r="BM44" s="120">
        <f t="shared" si="24"/>
        <v>1.1369115570405165E-2</v>
      </c>
      <c r="BN44" s="4">
        <f>_xll.DCEBoltDisColBaseFix(AV44,AT44,AD44,AP44,AQ44,AR44,AS44,"NL1T")+_xll.DCEBoltDisColBaseFix(AV44,AT44,AD44,AP44,AQ44,AR44,AS44,"NL2T")+_xll.DCEBoltDisColBaseFix(AV44,AT44,AD44,AP44,AQ44,AR44,AS44,"NL3T")</f>
        <v>4</v>
      </c>
      <c r="BO44" s="121">
        <f t="shared" si="25"/>
        <v>0</v>
      </c>
      <c r="BP44" s="122">
        <f t="shared" si="26"/>
        <v>0</v>
      </c>
      <c r="BQ44" s="122">
        <f t="shared" si="27"/>
        <v>57.1</v>
      </c>
      <c r="BR44" s="120">
        <f>BQ44/VLOOKUP(AO44,Data!$V$4:$Z$99,4,FALSE)</f>
        <v>0.16175637393767706</v>
      </c>
      <c r="BS44" s="123" t="str">
        <f t="shared" si="28"/>
        <v>OK</v>
      </c>
      <c r="BT44" s="124">
        <f t="shared" si="29"/>
        <v>0.29393788036448432</v>
      </c>
      <c r="BU44" s="124">
        <f t="shared" si="30"/>
        <v>-0.10499333218243442</v>
      </c>
      <c r="BV44" s="120">
        <f t="shared" si="31"/>
        <v>2.7028770608228444E-2</v>
      </c>
      <c r="BW44" s="123" t="str">
        <f t="shared" si="32"/>
        <v>OK</v>
      </c>
      <c r="BX44" s="124">
        <f t="shared" si="33"/>
        <v>406.65599999999995</v>
      </c>
      <c r="BY44" s="120">
        <f t="shared" si="34"/>
        <v>1.6705059442461386E-3</v>
      </c>
      <c r="BZ44" s="123" t="str">
        <f t="shared" si="35"/>
        <v>OK</v>
      </c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H44" s="127"/>
      <c r="EI44" s="127"/>
      <c r="EJ44" s="127"/>
      <c r="EK44" s="127"/>
      <c r="EL44" s="127"/>
      <c r="EM44" s="120"/>
      <c r="EN44" s="121"/>
      <c r="EO44" s="121"/>
      <c r="EP44" s="120"/>
      <c r="EQ44" s="122"/>
      <c r="ER44" s="120"/>
      <c r="ES44" s="238"/>
      <c r="ET44" s="124"/>
      <c r="EU44" s="124"/>
      <c r="EV44" s="120"/>
      <c r="EW44" s="217"/>
      <c r="EX44" s="124"/>
      <c r="EY44" s="120"/>
      <c r="EZ44" s="217"/>
    </row>
    <row r="45" spans="1:156" ht="12.75" customHeight="1">
      <c r="A45" s="135">
        <v>1</v>
      </c>
      <c r="B45" s="128">
        <v>2</v>
      </c>
      <c r="C45" s="278"/>
      <c r="D45" s="128">
        <v>3</v>
      </c>
      <c r="E45" s="128">
        <v>4</v>
      </c>
      <c r="F45" s="136">
        <v>5</v>
      </c>
      <c r="G45" s="135">
        <v>6</v>
      </c>
      <c r="H45" s="128">
        <v>7</v>
      </c>
      <c r="I45" s="128">
        <v>8</v>
      </c>
      <c r="J45" s="128">
        <v>9</v>
      </c>
      <c r="K45" s="136">
        <v>10</v>
      </c>
      <c r="M45" s="7"/>
      <c r="N45" s="180" t="str">
        <f>"- Diện tích thực thân bu lông:"</f>
        <v>- Diện tích thực thân bu lông:</v>
      </c>
      <c r="O45" s="180"/>
      <c r="P45" s="181"/>
      <c r="Q45" s="183"/>
      <c r="R45" s="180"/>
      <c r="S45" s="2"/>
      <c r="T45" s="2"/>
      <c r="U45" s="2"/>
      <c r="V45" s="33" t="s">
        <v>126</v>
      </c>
      <c r="W45" s="34">
        <f>VLOOKUP(W44,Data!$V$4:$Z$99,4,FALSE)</f>
        <v>353</v>
      </c>
      <c r="X45" s="23" t="s">
        <v>47</v>
      </c>
      <c r="AA45" s="75" t="s">
        <v>460</v>
      </c>
      <c r="AB45" s="75" t="s">
        <v>432</v>
      </c>
      <c r="AC45" s="76">
        <v>0</v>
      </c>
      <c r="AD45" s="28">
        <v>388</v>
      </c>
      <c r="AE45" s="28">
        <v>212</v>
      </c>
      <c r="AF45" s="28">
        <v>6</v>
      </c>
      <c r="AG45" s="28">
        <v>8</v>
      </c>
      <c r="AH45" s="28">
        <v>372</v>
      </c>
      <c r="AI45" s="13">
        <f t="shared" si="2"/>
        <v>648</v>
      </c>
      <c r="AJ45" s="13">
        <f t="shared" si="3"/>
        <v>212</v>
      </c>
      <c r="AK45" s="13">
        <f t="shared" si="4"/>
        <v>25</v>
      </c>
      <c r="AL45" s="13">
        <f t="shared" si="5"/>
        <v>7</v>
      </c>
      <c r="AM45" s="13">
        <f t="shared" si="6"/>
        <v>2</v>
      </c>
      <c r="AN45" s="13">
        <f t="shared" si="7"/>
        <v>8</v>
      </c>
      <c r="AO45" s="13">
        <f t="shared" si="8"/>
        <v>24</v>
      </c>
      <c r="AP45" s="13">
        <f t="shared" si="9"/>
        <v>60</v>
      </c>
      <c r="AQ45" s="13">
        <f t="shared" si="10"/>
        <v>70</v>
      </c>
      <c r="AR45" s="13">
        <f t="shared" si="11"/>
        <v>80</v>
      </c>
      <c r="AS45" s="13">
        <f t="shared" si="12"/>
        <v>150</v>
      </c>
      <c r="AT45" s="13">
        <f t="shared" si="13"/>
        <v>4</v>
      </c>
      <c r="AU45" s="13">
        <f t="shared" si="14"/>
        <v>120</v>
      </c>
      <c r="AV45" s="13">
        <f t="shared" si="15"/>
        <v>2</v>
      </c>
      <c r="AW45" s="13">
        <f t="shared" si="16"/>
        <v>0</v>
      </c>
      <c r="AX45" s="13">
        <f t="shared" si="17"/>
        <v>0</v>
      </c>
      <c r="AY45" s="13">
        <f t="shared" si="18"/>
        <v>1</v>
      </c>
      <c r="AZ45" s="13">
        <f t="shared" si="19"/>
        <v>6</v>
      </c>
      <c r="BA45" s="75" t="s">
        <v>456</v>
      </c>
      <c r="BB45" s="77">
        <v>-12.978223125528645</v>
      </c>
      <c r="BC45" s="77">
        <v>-0.67932125986652203</v>
      </c>
      <c r="BD45" s="29">
        <v>-8.5629261098617705E-5</v>
      </c>
      <c r="BE45" s="29">
        <v>-6.3498875682984755E-6</v>
      </c>
      <c r="BF45" s="29">
        <v>-1.0469438098388171E-3</v>
      </c>
      <c r="BG45" s="29">
        <v>-2.9593930097616576</v>
      </c>
      <c r="BH45" s="179">
        <f t="shared" si="20"/>
        <v>0.22802759523685659</v>
      </c>
      <c r="BI45" s="127">
        <f>_xll.DCEBoltDisColBaseFix(AV45, AT45, AD45, AP45, AQ45,AR45, AS45, "TTT")</f>
        <v>189</v>
      </c>
      <c r="BJ45" s="127">
        <f t="shared" si="21"/>
        <v>513</v>
      </c>
      <c r="BK45" s="127">
        <f t="shared" si="22"/>
        <v>3.4436492658259681</v>
      </c>
      <c r="BL45" s="127">
        <f t="shared" si="23"/>
        <v>302.89508840864443</v>
      </c>
      <c r="BM45" s="120">
        <f t="shared" si="24"/>
        <v>1.1369115570405165E-2</v>
      </c>
      <c r="BN45" s="4">
        <f>_xll.DCEBoltDisColBaseFix(AV45,AT45,AD45,AP45,AQ45,AR45,AS45,"NL1T")+_xll.DCEBoltDisColBaseFix(AV45,AT45,AD45,AP45,AQ45,AR45,AS45,"NL2T")+_xll.DCEBoltDisColBaseFix(AV45,AT45,AD45,AP45,AQ45,AR45,AS45,"NL3T")</f>
        <v>4</v>
      </c>
      <c r="BO45" s="121">
        <f t="shared" si="25"/>
        <v>0</v>
      </c>
      <c r="BP45" s="122">
        <f t="shared" si="26"/>
        <v>0</v>
      </c>
      <c r="BQ45" s="122">
        <f t="shared" si="27"/>
        <v>57.1</v>
      </c>
      <c r="BR45" s="120">
        <f>BQ45/VLOOKUP(AO45,Data!$V$4:$Z$99,4,FALSE)</f>
        <v>0.16175637393767706</v>
      </c>
      <c r="BS45" s="123" t="str">
        <f t="shared" si="28"/>
        <v>OK</v>
      </c>
      <c r="BT45" s="124">
        <f t="shared" si="29"/>
        <v>0.29393788036448432</v>
      </c>
      <c r="BU45" s="124">
        <f t="shared" si="30"/>
        <v>-0.10499333218243442</v>
      </c>
      <c r="BV45" s="120">
        <f t="shared" si="31"/>
        <v>2.7028770608228444E-2</v>
      </c>
      <c r="BW45" s="123" t="str">
        <f t="shared" si="32"/>
        <v>OK</v>
      </c>
      <c r="BX45" s="124">
        <f t="shared" si="33"/>
        <v>406.65599999999995</v>
      </c>
      <c r="BY45" s="120">
        <f t="shared" si="34"/>
        <v>1.6705059442461386E-3</v>
      </c>
      <c r="BZ45" s="123" t="str">
        <f t="shared" si="35"/>
        <v>OK</v>
      </c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H45" s="127"/>
      <c r="EI45" s="127"/>
      <c r="EJ45" s="127"/>
      <c r="EK45" s="127"/>
      <c r="EL45" s="127"/>
      <c r="EM45" s="120"/>
      <c r="EN45" s="121"/>
      <c r="EO45" s="121"/>
      <c r="EP45" s="120"/>
      <c r="EQ45" s="122"/>
      <c r="ER45" s="120"/>
      <c r="ES45" s="238"/>
      <c r="ET45" s="124"/>
      <c r="EU45" s="124"/>
      <c r="EV45" s="120"/>
      <c r="EW45" s="217"/>
      <c r="EX45" s="124"/>
      <c r="EY45" s="120"/>
      <c r="EZ45" s="217"/>
    </row>
    <row r="46" spans="1:156" ht="12.75" customHeight="1">
      <c r="A46" s="137">
        <v>150</v>
      </c>
      <c r="B46" s="4">
        <v>175</v>
      </c>
      <c r="C46" s="4">
        <v>20</v>
      </c>
      <c r="D46" s="4">
        <v>2</v>
      </c>
      <c r="E46" s="4">
        <v>0</v>
      </c>
      <c r="F46" s="138">
        <v>0</v>
      </c>
      <c r="G46" s="137">
        <v>184</v>
      </c>
      <c r="H46" s="4">
        <v>100</v>
      </c>
      <c r="I46" s="4">
        <v>2</v>
      </c>
      <c r="J46" s="4">
        <v>0</v>
      </c>
      <c r="K46" s="138">
        <v>0</v>
      </c>
      <c r="M46" s="7"/>
      <c r="N46" s="180" t="str">
        <f>"- Số bu lông theo phương bản cánh:"</f>
        <v>- Số bu lông theo phương bản cánh:</v>
      </c>
      <c r="O46" s="180"/>
      <c r="P46" s="181"/>
      <c r="Q46" s="183"/>
      <c r="R46" s="180"/>
      <c r="S46" s="2"/>
      <c r="T46" s="2"/>
      <c r="U46" s="184"/>
      <c r="V46" s="33" t="s">
        <v>368</v>
      </c>
      <c r="W46" s="36">
        <f>DceNoiSuy(W40,$G$46:$G$99,$I$46:$I$99)</f>
        <v>2</v>
      </c>
      <c r="X46" s="23"/>
      <c r="AA46" s="75" t="s">
        <v>460</v>
      </c>
      <c r="AB46" s="75" t="s">
        <v>432</v>
      </c>
      <c r="AC46" s="76">
        <v>0</v>
      </c>
      <c r="AD46" s="28">
        <v>388</v>
      </c>
      <c r="AE46" s="28">
        <v>212</v>
      </c>
      <c r="AF46" s="28">
        <v>6</v>
      </c>
      <c r="AG46" s="28">
        <v>8</v>
      </c>
      <c r="AH46" s="28">
        <v>372</v>
      </c>
      <c r="AI46" s="13">
        <f t="shared" si="2"/>
        <v>648</v>
      </c>
      <c r="AJ46" s="13">
        <f t="shared" si="3"/>
        <v>212</v>
      </c>
      <c r="AK46" s="13">
        <f t="shared" si="4"/>
        <v>25</v>
      </c>
      <c r="AL46" s="13">
        <f t="shared" si="5"/>
        <v>7</v>
      </c>
      <c r="AM46" s="13">
        <f t="shared" si="6"/>
        <v>2</v>
      </c>
      <c r="AN46" s="13">
        <f t="shared" si="7"/>
        <v>8</v>
      </c>
      <c r="AO46" s="13">
        <f t="shared" si="8"/>
        <v>24</v>
      </c>
      <c r="AP46" s="13">
        <f t="shared" si="9"/>
        <v>60</v>
      </c>
      <c r="AQ46" s="13">
        <f t="shared" si="10"/>
        <v>70</v>
      </c>
      <c r="AR46" s="13">
        <f t="shared" si="11"/>
        <v>80</v>
      </c>
      <c r="AS46" s="13">
        <f t="shared" si="12"/>
        <v>150</v>
      </c>
      <c r="AT46" s="13">
        <f t="shared" si="13"/>
        <v>4</v>
      </c>
      <c r="AU46" s="13">
        <f t="shared" si="14"/>
        <v>120</v>
      </c>
      <c r="AV46" s="13">
        <f t="shared" si="15"/>
        <v>2</v>
      </c>
      <c r="AW46" s="13">
        <f t="shared" si="16"/>
        <v>0</v>
      </c>
      <c r="AX46" s="13">
        <f t="shared" si="17"/>
        <v>0</v>
      </c>
      <c r="AY46" s="13">
        <f t="shared" si="18"/>
        <v>1</v>
      </c>
      <c r="AZ46" s="13">
        <f t="shared" si="19"/>
        <v>6</v>
      </c>
      <c r="BA46" s="75" t="s">
        <v>457</v>
      </c>
      <c r="BB46" s="77">
        <v>-12.978223125528645</v>
      </c>
      <c r="BC46" s="77">
        <v>-0.67932125986652203</v>
      </c>
      <c r="BD46" s="29">
        <v>-8.5629261098617705E-5</v>
      </c>
      <c r="BE46" s="29">
        <v>-6.3498875682984755E-6</v>
      </c>
      <c r="BF46" s="29">
        <v>-1.0469438098388171E-3</v>
      </c>
      <c r="BG46" s="29">
        <v>-2.9593930097616576</v>
      </c>
      <c r="BH46" s="179">
        <f t="shared" si="20"/>
        <v>0.22802759523685659</v>
      </c>
      <c r="BI46" s="127">
        <f>_xll.DCEBoltDisColBaseFix(AV46, AT46, AD46, AP46, AQ46,AR46, AS46, "TTT")</f>
        <v>189</v>
      </c>
      <c r="BJ46" s="127">
        <f t="shared" si="21"/>
        <v>513</v>
      </c>
      <c r="BK46" s="127">
        <f t="shared" si="22"/>
        <v>3.4436492658259681</v>
      </c>
      <c r="BL46" s="127">
        <f t="shared" si="23"/>
        <v>302.89508840864443</v>
      </c>
      <c r="BM46" s="120">
        <f t="shared" si="24"/>
        <v>1.1369115570405165E-2</v>
      </c>
      <c r="BN46" s="4">
        <f>_xll.DCEBoltDisColBaseFix(AV46,AT46,AD46,AP46,AQ46,AR46,AS46,"NL1T")+_xll.DCEBoltDisColBaseFix(AV46,AT46,AD46,AP46,AQ46,AR46,AS46,"NL2T")+_xll.DCEBoltDisColBaseFix(AV46,AT46,AD46,AP46,AQ46,AR46,AS46,"NL3T")</f>
        <v>4</v>
      </c>
      <c r="BO46" s="121">
        <f t="shared" si="25"/>
        <v>0</v>
      </c>
      <c r="BP46" s="122">
        <f t="shared" si="26"/>
        <v>0</v>
      </c>
      <c r="BQ46" s="122">
        <f t="shared" si="27"/>
        <v>57.1</v>
      </c>
      <c r="BR46" s="120">
        <f>BQ46/VLOOKUP(AO46,Data!$V$4:$Z$99,4,FALSE)</f>
        <v>0.16175637393767706</v>
      </c>
      <c r="BS46" s="123" t="str">
        <f t="shared" si="28"/>
        <v>OK</v>
      </c>
      <c r="BT46" s="124">
        <f t="shared" si="29"/>
        <v>0.29393788036448432</v>
      </c>
      <c r="BU46" s="124">
        <f t="shared" si="30"/>
        <v>-0.10499333218243442</v>
      </c>
      <c r="BV46" s="120">
        <f t="shared" si="31"/>
        <v>2.7028770608228444E-2</v>
      </c>
      <c r="BW46" s="123" t="str">
        <f t="shared" si="32"/>
        <v>OK</v>
      </c>
      <c r="BX46" s="124">
        <f t="shared" si="33"/>
        <v>406.65599999999995</v>
      </c>
      <c r="BY46" s="120">
        <f t="shared" si="34"/>
        <v>1.6705059442461386E-3</v>
      </c>
      <c r="BZ46" s="123" t="str">
        <f t="shared" si="35"/>
        <v>OK</v>
      </c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H46" s="127"/>
      <c r="EI46" s="127"/>
      <c r="EJ46" s="127"/>
      <c r="EK46" s="127"/>
      <c r="EL46" s="127"/>
      <c r="EM46" s="120"/>
      <c r="EN46" s="121"/>
      <c r="EO46" s="121"/>
      <c r="EP46" s="120"/>
      <c r="EQ46" s="122"/>
      <c r="ER46" s="120"/>
      <c r="ES46" s="238"/>
      <c r="ET46" s="124"/>
      <c r="EU46" s="124"/>
      <c r="EV46" s="120"/>
      <c r="EW46" s="217"/>
      <c r="EX46" s="124"/>
      <c r="EY46" s="120"/>
      <c r="EZ46" s="217"/>
    </row>
    <row r="47" spans="1:156" ht="12.75" customHeight="1">
      <c r="A47" s="137">
        <v>175</v>
      </c>
      <c r="B47" s="4">
        <v>175</v>
      </c>
      <c r="C47" s="4">
        <v>20</v>
      </c>
      <c r="D47" s="4">
        <v>2</v>
      </c>
      <c r="E47" s="4">
        <v>0</v>
      </c>
      <c r="F47" s="138">
        <v>0</v>
      </c>
      <c r="G47" s="137">
        <v>212</v>
      </c>
      <c r="H47" s="4">
        <v>120</v>
      </c>
      <c r="I47" s="4">
        <v>2</v>
      </c>
      <c r="J47" s="4">
        <v>1</v>
      </c>
      <c r="K47" s="138">
        <v>6</v>
      </c>
      <c r="M47" s="7"/>
      <c r="N47" s="180" t="str">
        <f>"- Số bu lông theo phương bản bụng:"</f>
        <v>- Số bu lông theo phương bản bụng:</v>
      </c>
      <c r="O47" s="180"/>
      <c r="P47" s="181"/>
      <c r="Q47" s="183"/>
      <c r="R47" s="180"/>
      <c r="S47" s="2"/>
      <c r="T47" s="2"/>
      <c r="U47" s="184"/>
      <c r="V47" s="33" t="s">
        <v>369</v>
      </c>
      <c r="W47" s="36">
        <f>DceNoiSuy(W39,$A$46:$A$99,$D$46:$D$99)</f>
        <v>4</v>
      </c>
      <c r="X47" s="23"/>
      <c r="AA47" s="75" t="s">
        <v>460</v>
      </c>
      <c r="AB47" s="75" t="s">
        <v>432</v>
      </c>
      <c r="AC47" s="76">
        <v>0</v>
      </c>
      <c r="AD47" s="28">
        <v>388</v>
      </c>
      <c r="AE47" s="28">
        <v>212</v>
      </c>
      <c r="AF47" s="28">
        <v>6</v>
      </c>
      <c r="AG47" s="28">
        <v>8</v>
      </c>
      <c r="AH47" s="28">
        <v>372</v>
      </c>
      <c r="AI47" s="13">
        <f t="shared" si="2"/>
        <v>648</v>
      </c>
      <c r="AJ47" s="13">
        <f t="shared" si="3"/>
        <v>212</v>
      </c>
      <c r="AK47" s="13">
        <f t="shared" si="4"/>
        <v>25</v>
      </c>
      <c r="AL47" s="13">
        <f t="shared" si="5"/>
        <v>7</v>
      </c>
      <c r="AM47" s="13">
        <f t="shared" si="6"/>
        <v>2</v>
      </c>
      <c r="AN47" s="13">
        <f t="shared" si="7"/>
        <v>8</v>
      </c>
      <c r="AO47" s="13">
        <f t="shared" si="8"/>
        <v>24</v>
      </c>
      <c r="AP47" s="13">
        <f t="shared" si="9"/>
        <v>60</v>
      </c>
      <c r="AQ47" s="13">
        <f t="shared" si="10"/>
        <v>70</v>
      </c>
      <c r="AR47" s="13">
        <f t="shared" si="11"/>
        <v>80</v>
      </c>
      <c r="AS47" s="13">
        <f t="shared" si="12"/>
        <v>150</v>
      </c>
      <c r="AT47" s="13">
        <f t="shared" si="13"/>
        <v>4</v>
      </c>
      <c r="AU47" s="13">
        <f t="shared" si="14"/>
        <v>120</v>
      </c>
      <c r="AV47" s="13">
        <f t="shared" si="15"/>
        <v>2</v>
      </c>
      <c r="AW47" s="13">
        <f t="shared" si="16"/>
        <v>0</v>
      </c>
      <c r="AX47" s="13">
        <f t="shared" si="17"/>
        <v>0</v>
      </c>
      <c r="AY47" s="13">
        <f t="shared" si="18"/>
        <v>1</v>
      </c>
      <c r="AZ47" s="13">
        <f t="shared" si="19"/>
        <v>6</v>
      </c>
      <c r="BA47" s="75" t="s">
        <v>458</v>
      </c>
      <c r="BB47" s="77">
        <v>-12.978223125528645</v>
      </c>
      <c r="BC47" s="77">
        <v>-0.67932125986652203</v>
      </c>
      <c r="BD47" s="29">
        <v>-8.5629261098617705E-5</v>
      </c>
      <c r="BE47" s="29">
        <v>-6.3498875682984755E-6</v>
      </c>
      <c r="BF47" s="29">
        <v>-1.0469438098388171E-3</v>
      </c>
      <c r="BG47" s="29">
        <v>-2.9593930097616576</v>
      </c>
      <c r="BH47" s="179">
        <f t="shared" si="20"/>
        <v>0.22802759523685659</v>
      </c>
      <c r="BI47" s="127">
        <f>_xll.DCEBoltDisColBaseFix(AV47, AT47, AD47, AP47, AQ47,AR47, AS47, "TTT")</f>
        <v>189</v>
      </c>
      <c r="BJ47" s="127">
        <f t="shared" si="21"/>
        <v>513</v>
      </c>
      <c r="BK47" s="127">
        <f t="shared" si="22"/>
        <v>3.4436492658259681</v>
      </c>
      <c r="BL47" s="127">
        <f t="shared" si="23"/>
        <v>302.89508840864443</v>
      </c>
      <c r="BM47" s="120">
        <f t="shared" si="24"/>
        <v>1.1369115570405165E-2</v>
      </c>
      <c r="BN47" s="4">
        <f>_xll.DCEBoltDisColBaseFix(AV47,AT47,AD47,AP47,AQ47,AR47,AS47,"NL1T")+_xll.DCEBoltDisColBaseFix(AV47,AT47,AD47,AP47,AQ47,AR47,AS47,"NL2T")+_xll.DCEBoltDisColBaseFix(AV47,AT47,AD47,AP47,AQ47,AR47,AS47,"NL3T")</f>
        <v>4</v>
      </c>
      <c r="BO47" s="121">
        <f t="shared" si="25"/>
        <v>0</v>
      </c>
      <c r="BP47" s="122">
        <f t="shared" si="26"/>
        <v>0</v>
      </c>
      <c r="BQ47" s="122">
        <f t="shared" si="27"/>
        <v>57.1</v>
      </c>
      <c r="BR47" s="120">
        <f>BQ47/VLOOKUP(AO47,Data!$V$4:$Z$99,4,FALSE)</f>
        <v>0.16175637393767706</v>
      </c>
      <c r="BS47" s="123" t="str">
        <f t="shared" si="28"/>
        <v>OK</v>
      </c>
      <c r="BT47" s="124">
        <f t="shared" si="29"/>
        <v>0.29393788036448432</v>
      </c>
      <c r="BU47" s="124">
        <f t="shared" si="30"/>
        <v>-0.10499333218243442</v>
      </c>
      <c r="BV47" s="120">
        <f t="shared" si="31"/>
        <v>2.7028770608228444E-2</v>
      </c>
      <c r="BW47" s="123" t="str">
        <f t="shared" si="32"/>
        <v>OK</v>
      </c>
      <c r="BX47" s="124">
        <f t="shared" si="33"/>
        <v>406.65599999999995</v>
      </c>
      <c r="BY47" s="120">
        <f t="shared" si="34"/>
        <v>1.6705059442461386E-3</v>
      </c>
      <c r="BZ47" s="123" t="str">
        <f t="shared" si="35"/>
        <v>OK</v>
      </c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H47" s="127"/>
      <c r="EI47" s="127"/>
      <c r="EJ47" s="127"/>
      <c r="EK47" s="127"/>
      <c r="EL47" s="127"/>
      <c r="EM47" s="120"/>
      <c r="EN47" s="121"/>
      <c r="EO47" s="121"/>
      <c r="EP47" s="120"/>
      <c r="EQ47" s="122"/>
      <c r="ER47" s="120"/>
      <c r="ES47" s="238"/>
      <c r="ET47" s="124"/>
      <c r="EU47" s="124"/>
      <c r="EV47" s="120"/>
      <c r="EW47" s="217"/>
      <c r="EX47" s="124"/>
      <c r="EY47" s="120"/>
      <c r="EZ47" s="217"/>
    </row>
    <row r="48" spans="1:156" ht="12.75" customHeight="1">
      <c r="A48" s="137">
        <v>200</v>
      </c>
      <c r="B48" s="4">
        <v>20</v>
      </c>
      <c r="C48" s="4">
        <v>20</v>
      </c>
      <c r="D48" s="4">
        <v>2</v>
      </c>
      <c r="E48" s="4">
        <v>0</v>
      </c>
      <c r="F48" s="138">
        <v>0</v>
      </c>
      <c r="G48" s="137">
        <v>250</v>
      </c>
      <c r="H48" s="4">
        <v>150</v>
      </c>
      <c r="I48" s="4">
        <v>2</v>
      </c>
      <c r="J48" s="4">
        <v>1</v>
      </c>
      <c r="K48" s="138">
        <v>6</v>
      </c>
      <c r="M48" s="7"/>
      <c r="N48" s="180" t="str">
        <f>"- Tổng số bu lông:"</f>
        <v>- Tổng số bu lông:</v>
      </c>
      <c r="O48" s="180"/>
      <c r="P48" s="181"/>
      <c r="Q48" s="183"/>
      <c r="R48" s="180"/>
      <c r="S48" s="2"/>
      <c r="T48" s="2"/>
      <c r="U48" s="2"/>
      <c r="V48" s="33" t="s">
        <v>124</v>
      </c>
      <c r="W48" s="36">
        <f>W46*2+(W47-2)*2</f>
        <v>8</v>
      </c>
      <c r="X48" s="23" t="s">
        <v>125</v>
      </c>
      <c r="AA48" s="75" t="s">
        <v>460</v>
      </c>
      <c r="AB48" s="75" t="s">
        <v>432</v>
      </c>
      <c r="AC48" s="76">
        <v>0</v>
      </c>
      <c r="AD48" s="28">
        <v>388</v>
      </c>
      <c r="AE48" s="28">
        <v>212</v>
      </c>
      <c r="AF48" s="28">
        <v>6</v>
      </c>
      <c r="AG48" s="28">
        <v>8</v>
      </c>
      <c r="AH48" s="28">
        <v>372</v>
      </c>
      <c r="AI48" s="13">
        <f t="shared" si="2"/>
        <v>648</v>
      </c>
      <c r="AJ48" s="13">
        <f t="shared" si="3"/>
        <v>212</v>
      </c>
      <c r="AK48" s="13">
        <f t="shared" si="4"/>
        <v>25</v>
      </c>
      <c r="AL48" s="13">
        <f t="shared" si="5"/>
        <v>7</v>
      </c>
      <c r="AM48" s="13">
        <f t="shared" si="6"/>
        <v>2</v>
      </c>
      <c r="AN48" s="13">
        <f t="shared" si="7"/>
        <v>8</v>
      </c>
      <c r="AO48" s="13">
        <f t="shared" si="8"/>
        <v>24</v>
      </c>
      <c r="AP48" s="13">
        <f t="shared" si="9"/>
        <v>60</v>
      </c>
      <c r="AQ48" s="13">
        <f t="shared" si="10"/>
        <v>70</v>
      </c>
      <c r="AR48" s="13">
        <f t="shared" si="11"/>
        <v>80</v>
      </c>
      <c r="AS48" s="13">
        <f t="shared" si="12"/>
        <v>150</v>
      </c>
      <c r="AT48" s="13">
        <f t="shared" si="13"/>
        <v>4</v>
      </c>
      <c r="AU48" s="13">
        <f t="shared" si="14"/>
        <v>120</v>
      </c>
      <c r="AV48" s="13">
        <f t="shared" si="15"/>
        <v>2</v>
      </c>
      <c r="AW48" s="13">
        <f t="shared" si="16"/>
        <v>0</v>
      </c>
      <c r="AX48" s="13">
        <f t="shared" si="17"/>
        <v>0</v>
      </c>
      <c r="AY48" s="13">
        <f t="shared" si="18"/>
        <v>1</v>
      </c>
      <c r="AZ48" s="13">
        <f t="shared" si="19"/>
        <v>6</v>
      </c>
      <c r="BA48" s="75" t="s">
        <v>459</v>
      </c>
      <c r="BB48" s="77">
        <v>-12.978223125528645</v>
      </c>
      <c r="BC48" s="77">
        <v>-0.67932125986652203</v>
      </c>
      <c r="BD48" s="29">
        <v>-8.5629261098617705E-5</v>
      </c>
      <c r="BE48" s="29">
        <v>-6.3498875682984755E-6</v>
      </c>
      <c r="BF48" s="29">
        <v>-1.0469438098388171E-3</v>
      </c>
      <c r="BG48" s="29">
        <v>-2.9593930097616576</v>
      </c>
      <c r="BH48" s="179">
        <f t="shared" si="20"/>
        <v>0.22802759523685659</v>
      </c>
      <c r="BI48" s="127">
        <f>_xll.DCEBoltDisColBaseFix(AV48, AT48, AD48, AP48, AQ48,AR48, AS48, "TTT")</f>
        <v>189</v>
      </c>
      <c r="BJ48" s="127">
        <f t="shared" si="21"/>
        <v>513</v>
      </c>
      <c r="BK48" s="127">
        <f t="shared" si="22"/>
        <v>3.4436492658259681</v>
      </c>
      <c r="BL48" s="127">
        <f t="shared" si="23"/>
        <v>302.89508840864443</v>
      </c>
      <c r="BM48" s="120">
        <f t="shared" si="24"/>
        <v>1.1369115570405165E-2</v>
      </c>
      <c r="BN48" s="4">
        <f>_xll.DCEBoltDisColBaseFix(AV48,AT48,AD48,AP48,AQ48,AR48,AS48,"NL1T")+_xll.DCEBoltDisColBaseFix(AV48,AT48,AD48,AP48,AQ48,AR48,AS48,"NL2T")+_xll.DCEBoltDisColBaseFix(AV48,AT48,AD48,AP48,AQ48,AR48,AS48,"NL3T")</f>
        <v>4</v>
      </c>
      <c r="BO48" s="121">
        <f t="shared" si="25"/>
        <v>0</v>
      </c>
      <c r="BP48" s="122">
        <f t="shared" si="26"/>
        <v>0</v>
      </c>
      <c r="BQ48" s="122">
        <f t="shared" si="27"/>
        <v>57.1</v>
      </c>
      <c r="BR48" s="120">
        <f>BQ48/VLOOKUP(AO48,Data!$V$4:$Z$99,4,FALSE)</f>
        <v>0.16175637393767706</v>
      </c>
      <c r="BS48" s="123" t="str">
        <f t="shared" si="28"/>
        <v>OK</v>
      </c>
      <c r="BT48" s="124">
        <f t="shared" si="29"/>
        <v>0.29393788036448432</v>
      </c>
      <c r="BU48" s="124">
        <f t="shared" si="30"/>
        <v>-0.10499333218243442</v>
      </c>
      <c r="BV48" s="120">
        <f t="shared" si="31"/>
        <v>2.7028770608228444E-2</v>
      </c>
      <c r="BW48" s="123" t="str">
        <f t="shared" si="32"/>
        <v>OK</v>
      </c>
      <c r="BX48" s="124">
        <f t="shared" si="33"/>
        <v>406.65599999999995</v>
      </c>
      <c r="BY48" s="120">
        <f t="shared" si="34"/>
        <v>1.6705059442461386E-3</v>
      </c>
      <c r="BZ48" s="123" t="str">
        <f t="shared" si="35"/>
        <v>OK</v>
      </c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H48" s="127"/>
      <c r="EI48" s="127"/>
      <c r="EJ48" s="127"/>
      <c r="EK48" s="127"/>
      <c r="EL48" s="127"/>
      <c r="EM48" s="120"/>
      <c r="EN48" s="121"/>
      <c r="EO48" s="121"/>
      <c r="EP48" s="120"/>
      <c r="EQ48" s="122"/>
      <c r="ER48" s="120"/>
      <c r="ES48" s="238"/>
      <c r="ET48" s="124"/>
      <c r="EU48" s="124"/>
      <c r="EV48" s="120"/>
      <c r="EW48" s="217"/>
      <c r="EX48" s="124"/>
      <c r="EY48" s="120"/>
      <c r="EZ48" s="217"/>
    </row>
    <row r="49" spans="1:156" ht="12.75" customHeight="1">
      <c r="A49" s="137">
        <v>250</v>
      </c>
      <c r="B49" s="4">
        <v>20</v>
      </c>
      <c r="C49" s="4">
        <v>24</v>
      </c>
      <c r="D49" s="4">
        <v>2</v>
      </c>
      <c r="E49" s="4">
        <v>0</v>
      </c>
      <c r="F49" s="138">
        <v>0</v>
      </c>
      <c r="G49" s="137">
        <v>300</v>
      </c>
      <c r="H49" s="4">
        <v>120</v>
      </c>
      <c r="I49" s="4">
        <v>3</v>
      </c>
      <c r="J49" s="4">
        <v>2</v>
      </c>
      <c r="K49" s="138">
        <v>6</v>
      </c>
      <c r="M49" s="7"/>
      <c r="N49" s="180" t="str">
        <f>"- Chiều dài bản đế:"</f>
        <v>- Chiều dài bản đế:</v>
      </c>
      <c r="O49" s="180"/>
      <c r="P49" s="181"/>
      <c r="Q49" s="183"/>
      <c r="R49" s="180"/>
      <c r="S49" s="2"/>
      <c r="T49" s="2"/>
      <c r="U49" s="2"/>
      <c r="V49" s="33" t="s">
        <v>74</v>
      </c>
      <c r="W49" s="36">
        <f>W39+2*(VLOOKUP(W44,$A$13:$E$21,2,FALSE)+VLOOKUP(W44,$A$13:$E$21,3,FALSE))</f>
        <v>710</v>
      </c>
      <c r="X49" s="23" t="s">
        <v>1</v>
      </c>
      <c r="AA49" s="75" t="s">
        <v>460</v>
      </c>
      <c r="AB49" s="75" t="s">
        <v>433</v>
      </c>
      <c r="AC49" s="76">
        <v>0</v>
      </c>
      <c r="AD49" s="28">
        <v>388</v>
      </c>
      <c r="AE49" s="28">
        <v>212</v>
      </c>
      <c r="AF49" s="28">
        <v>6</v>
      </c>
      <c r="AG49" s="28">
        <v>8</v>
      </c>
      <c r="AH49" s="28">
        <v>372</v>
      </c>
      <c r="AI49" s="13">
        <f t="shared" si="2"/>
        <v>648</v>
      </c>
      <c r="AJ49" s="13">
        <f t="shared" si="3"/>
        <v>212</v>
      </c>
      <c r="AK49" s="13">
        <f t="shared" si="4"/>
        <v>25</v>
      </c>
      <c r="AL49" s="13">
        <f t="shared" si="5"/>
        <v>7</v>
      </c>
      <c r="AM49" s="13">
        <f t="shared" si="6"/>
        <v>2</v>
      </c>
      <c r="AN49" s="13">
        <f t="shared" si="7"/>
        <v>8</v>
      </c>
      <c r="AO49" s="13">
        <f t="shared" si="8"/>
        <v>24</v>
      </c>
      <c r="AP49" s="13">
        <f t="shared" si="9"/>
        <v>60</v>
      </c>
      <c r="AQ49" s="13">
        <f t="shared" si="10"/>
        <v>70</v>
      </c>
      <c r="AR49" s="13">
        <f t="shared" si="11"/>
        <v>80</v>
      </c>
      <c r="AS49" s="13">
        <f t="shared" si="12"/>
        <v>150</v>
      </c>
      <c r="AT49" s="13">
        <f t="shared" si="13"/>
        <v>4</v>
      </c>
      <c r="AU49" s="13">
        <f t="shared" si="14"/>
        <v>120</v>
      </c>
      <c r="AV49" s="13">
        <f t="shared" si="15"/>
        <v>2</v>
      </c>
      <c r="AW49" s="13">
        <f t="shared" si="16"/>
        <v>0</v>
      </c>
      <c r="AX49" s="13">
        <f t="shared" si="17"/>
        <v>0</v>
      </c>
      <c r="AY49" s="13">
        <f t="shared" si="18"/>
        <v>1</v>
      </c>
      <c r="AZ49" s="13">
        <f t="shared" si="19"/>
        <v>6</v>
      </c>
      <c r="BA49" s="75" t="s">
        <v>435</v>
      </c>
      <c r="BB49" s="77">
        <v>-17.381808753789667</v>
      </c>
      <c r="BC49" s="77">
        <v>-0.50893427046276496</v>
      </c>
      <c r="BD49" s="29">
        <v>0.38682270030334331</v>
      </c>
      <c r="BE49" s="29">
        <v>-4.6418782057542141E-7</v>
      </c>
      <c r="BF49" s="29">
        <v>8.4281730023741605E-2</v>
      </c>
      <c r="BG49" s="29">
        <v>-2.3094474279762465</v>
      </c>
      <c r="BH49" s="179">
        <f t="shared" si="20"/>
        <v>0.13286577137564751</v>
      </c>
      <c r="BI49" s="127">
        <f>_xll.DCEBoltDisColBaseFix(AV49, AT49, AD49, AP49, AQ49,AR49, AS49, "TTT")</f>
        <v>189</v>
      </c>
      <c r="BJ49" s="127">
        <f t="shared" si="21"/>
        <v>513</v>
      </c>
      <c r="BK49" s="127">
        <f t="shared" si="22"/>
        <v>3.5600663374316923</v>
      </c>
      <c r="BL49" s="127">
        <f t="shared" si="23"/>
        <v>302.89508840864443</v>
      </c>
      <c r="BM49" s="120">
        <f t="shared" si="24"/>
        <v>1.1753463405879679E-2</v>
      </c>
      <c r="BN49" s="4">
        <f>_xll.DCEBoltDisColBaseFix(AV49,AT49,AD49,AP49,AQ49,AR49,AS49,"NL1T")+_xll.DCEBoltDisColBaseFix(AV49,AT49,AD49,AP49,AQ49,AR49,AS49,"NL2T")+_xll.DCEBoltDisColBaseFix(AV49,AT49,AD49,AP49,AQ49,AR49,AS49,"NL3T")</f>
        <v>4</v>
      </c>
      <c r="BO49" s="121">
        <f t="shared" si="25"/>
        <v>0</v>
      </c>
      <c r="BP49" s="122">
        <f t="shared" si="26"/>
        <v>0</v>
      </c>
      <c r="BQ49" s="122">
        <f t="shared" si="27"/>
        <v>57.1</v>
      </c>
      <c r="BR49" s="120">
        <f>BQ49/VLOOKUP(AO49,Data!$V$4:$Z$99,4,FALSE)</f>
        <v>0.16175637393767706</v>
      </c>
      <c r="BS49" s="123" t="str">
        <f t="shared" si="28"/>
        <v>OK</v>
      </c>
      <c r="BT49" s="124">
        <f t="shared" si="29"/>
        <v>0.28218598033900538</v>
      </c>
      <c r="BU49" s="124">
        <f t="shared" si="30"/>
        <v>-2.9131462027369215E-2</v>
      </c>
      <c r="BV49" s="120">
        <f t="shared" si="31"/>
        <v>2.5948136123126932E-2</v>
      </c>
      <c r="BW49" s="123" t="str">
        <f t="shared" si="32"/>
        <v>OK</v>
      </c>
      <c r="BX49" s="124">
        <f t="shared" si="33"/>
        <v>406.65599999999995</v>
      </c>
      <c r="BY49" s="120">
        <f t="shared" si="34"/>
        <v>1.5719777143837937E-3</v>
      </c>
      <c r="BZ49" s="123" t="str">
        <f t="shared" si="35"/>
        <v>OK</v>
      </c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H49" s="127"/>
      <c r="EI49" s="127"/>
      <c r="EJ49" s="127"/>
      <c r="EK49" s="127"/>
      <c r="EL49" s="127"/>
      <c r="EM49" s="120"/>
      <c r="EN49" s="121"/>
      <c r="EO49" s="121"/>
      <c r="EP49" s="120"/>
      <c r="EQ49" s="122"/>
      <c r="ER49" s="120"/>
      <c r="ES49" s="238"/>
      <c r="ET49" s="124"/>
      <c r="EU49" s="124"/>
      <c r="EV49" s="120"/>
      <c r="EW49" s="217"/>
      <c r="EX49" s="124"/>
      <c r="EY49" s="120"/>
      <c r="EZ49" s="217"/>
    </row>
    <row r="50" spans="1:156" ht="12.75" customHeight="1">
      <c r="A50" s="137">
        <v>300</v>
      </c>
      <c r="B50" s="4">
        <v>25</v>
      </c>
      <c r="C50" s="4">
        <v>24</v>
      </c>
      <c r="D50" s="4">
        <v>3</v>
      </c>
      <c r="E50" s="4">
        <v>0</v>
      </c>
      <c r="F50" s="138">
        <v>0</v>
      </c>
      <c r="G50" s="137">
        <v>350</v>
      </c>
      <c r="H50" s="4">
        <v>180</v>
      </c>
      <c r="I50" s="4">
        <v>3</v>
      </c>
      <c r="J50" s="4">
        <v>2</v>
      </c>
      <c r="K50" s="138">
        <v>6</v>
      </c>
      <c r="M50" s="7"/>
      <c r="N50" s="180" t="str">
        <f>"- Bề rộng bản đế:"</f>
        <v>- Bề rộng bản đế:</v>
      </c>
      <c r="O50" s="180"/>
      <c r="P50" s="181"/>
      <c r="Q50" s="183"/>
      <c r="R50" s="180"/>
      <c r="S50" s="2"/>
      <c r="T50" s="2"/>
      <c r="U50" s="184"/>
      <c r="V50" s="33" t="s">
        <v>61</v>
      </c>
      <c r="W50" s="36">
        <f>K43</f>
        <v>212</v>
      </c>
      <c r="X50" s="23" t="s">
        <v>1</v>
      </c>
      <c r="AA50" s="75" t="s">
        <v>460</v>
      </c>
      <c r="AB50" s="75" t="s">
        <v>433</v>
      </c>
      <c r="AC50" s="76">
        <v>0</v>
      </c>
      <c r="AD50" s="28">
        <v>388</v>
      </c>
      <c r="AE50" s="28">
        <v>212</v>
      </c>
      <c r="AF50" s="28">
        <v>6</v>
      </c>
      <c r="AG50" s="28">
        <v>8</v>
      </c>
      <c r="AH50" s="28">
        <v>372</v>
      </c>
      <c r="AI50" s="13">
        <f t="shared" si="2"/>
        <v>648</v>
      </c>
      <c r="AJ50" s="13">
        <f t="shared" si="3"/>
        <v>212</v>
      </c>
      <c r="AK50" s="13">
        <f t="shared" si="4"/>
        <v>25</v>
      </c>
      <c r="AL50" s="13">
        <f t="shared" si="5"/>
        <v>7</v>
      </c>
      <c r="AM50" s="13">
        <f t="shared" si="6"/>
        <v>2</v>
      </c>
      <c r="AN50" s="13">
        <f t="shared" si="7"/>
        <v>8</v>
      </c>
      <c r="AO50" s="13">
        <f t="shared" si="8"/>
        <v>24</v>
      </c>
      <c r="AP50" s="13">
        <f t="shared" si="9"/>
        <v>60</v>
      </c>
      <c r="AQ50" s="13">
        <f t="shared" si="10"/>
        <v>70</v>
      </c>
      <c r="AR50" s="13">
        <f t="shared" si="11"/>
        <v>80</v>
      </c>
      <c r="AS50" s="13">
        <f t="shared" si="12"/>
        <v>150</v>
      </c>
      <c r="AT50" s="13">
        <f t="shared" si="13"/>
        <v>4</v>
      </c>
      <c r="AU50" s="13">
        <f t="shared" si="14"/>
        <v>120</v>
      </c>
      <c r="AV50" s="13">
        <f t="shared" si="15"/>
        <v>2</v>
      </c>
      <c r="AW50" s="13">
        <f t="shared" si="16"/>
        <v>0</v>
      </c>
      <c r="AX50" s="13">
        <f t="shared" si="17"/>
        <v>0</v>
      </c>
      <c r="AY50" s="13">
        <f t="shared" si="18"/>
        <v>1</v>
      </c>
      <c r="AZ50" s="13">
        <f t="shared" si="19"/>
        <v>6</v>
      </c>
      <c r="BA50" s="75" t="s">
        <v>408</v>
      </c>
      <c r="BB50" s="77">
        <v>-17.381808753789667</v>
      </c>
      <c r="BC50" s="77">
        <v>-0.50893427046276496</v>
      </c>
      <c r="BD50" s="29">
        <v>0.38682270030334331</v>
      </c>
      <c r="BE50" s="29">
        <v>-4.6418782057542141E-7</v>
      </c>
      <c r="BF50" s="29">
        <v>8.4281730023741605E-2</v>
      </c>
      <c r="BG50" s="29">
        <v>-2.3094474279762465</v>
      </c>
      <c r="BH50" s="179">
        <f t="shared" si="20"/>
        <v>0.13286577137564751</v>
      </c>
      <c r="BI50" s="127">
        <f>_xll.DCEBoltDisColBaseFix(AV50, AT50, AD50, AP50, AQ50,AR50, AS50, "TTT")</f>
        <v>189</v>
      </c>
      <c r="BJ50" s="127">
        <f t="shared" si="21"/>
        <v>513</v>
      </c>
      <c r="BK50" s="127">
        <f t="shared" si="22"/>
        <v>3.5600663374316923</v>
      </c>
      <c r="BL50" s="127">
        <f t="shared" si="23"/>
        <v>302.89508840864443</v>
      </c>
      <c r="BM50" s="120">
        <f t="shared" si="24"/>
        <v>1.1753463405879679E-2</v>
      </c>
      <c r="BN50" s="4">
        <f>_xll.DCEBoltDisColBaseFix(AV50,AT50,AD50,AP50,AQ50,AR50,AS50,"NL1T")+_xll.DCEBoltDisColBaseFix(AV50,AT50,AD50,AP50,AQ50,AR50,AS50,"NL2T")+_xll.DCEBoltDisColBaseFix(AV50,AT50,AD50,AP50,AQ50,AR50,AS50,"NL3T")</f>
        <v>4</v>
      </c>
      <c r="BO50" s="121">
        <f t="shared" si="25"/>
        <v>0</v>
      </c>
      <c r="BP50" s="122">
        <f t="shared" si="26"/>
        <v>0</v>
      </c>
      <c r="BQ50" s="122">
        <f t="shared" si="27"/>
        <v>57.1</v>
      </c>
      <c r="BR50" s="120">
        <f>BQ50/VLOOKUP(AO50,Data!$V$4:$Z$99,4,FALSE)</f>
        <v>0.16175637393767706</v>
      </c>
      <c r="BS50" s="123" t="str">
        <f t="shared" si="28"/>
        <v>OK</v>
      </c>
      <c r="BT50" s="124">
        <f t="shared" si="29"/>
        <v>0.28218598033900538</v>
      </c>
      <c r="BU50" s="124">
        <f t="shared" si="30"/>
        <v>-2.9131462027369215E-2</v>
      </c>
      <c r="BV50" s="120">
        <f t="shared" si="31"/>
        <v>2.5948136123126932E-2</v>
      </c>
      <c r="BW50" s="123" t="str">
        <f t="shared" si="32"/>
        <v>OK</v>
      </c>
      <c r="BX50" s="124">
        <f t="shared" si="33"/>
        <v>406.65599999999995</v>
      </c>
      <c r="BY50" s="120">
        <f t="shared" si="34"/>
        <v>1.5719777143837937E-3</v>
      </c>
      <c r="BZ50" s="123" t="str">
        <f t="shared" si="35"/>
        <v>OK</v>
      </c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H50" s="127"/>
      <c r="EI50" s="127"/>
      <c r="EJ50" s="127"/>
      <c r="EK50" s="127"/>
      <c r="EL50" s="127"/>
      <c r="EM50" s="120"/>
      <c r="EN50" s="121"/>
      <c r="EO50" s="121"/>
      <c r="EP50" s="120"/>
      <c r="EQ50" s="122"/>
      <c r="ER50" s="120"/>
      <c r="ES50" s="238"/>
      <c r="ET50" s="124"/>
      <c r="EU50" s="124"/>
      <c r="EV50" s="120"/>
      <c r="EW50" s="217"/>
      <c r="EX50" s="124"/>
      <c r="EY50" s="120"/>
      <c r="EZ50" s="217"/>
    </row>
    <row r="51" spans="1:156" ht="12.75" customHeight="1">
      <c r="A51" s="137">
        <v>350</v>
      </c>
      <c r="B51" s="4">
        <v>25</v>
      </c>
      <c r="C51" s="4">
        <v>24</v>
      </c>
      <c r="D51" s="4">
        <v>3</v>
      </c>
      <c r="E51" s="4">
        <v>0</v>
      </c>
      <c r="F51" s="138">
        <v>0</v>
      </c>
      <c r="G51" s="137">
        <v>370</v>
      </c>
      <c r="H51" s="4">
        <v>200</v>
      </c>
      <c r="I51" s="4">
        <v>3</v>
      </c>
      <c r="J51" s="4">
        <v>2</v>
      </c>
      <c r="K51" s="138">
        <v>6</v>
      </c>
      <c r="M51" s="7"/>
      <c r="N51" s="180" t="str">
        <f>"- Chiều dày bản đế:"</f>
        <v>- Chiều dày bản đế:</v>
      </c>
      <c r="O51" s="180"/>
      <c r="P51" s="181"/>
      <c r="Q51" s="183"/>
      <c r="R51" s="180"/>
      <c r="S51" s="2"/>
      <c r="T51" s="2"/>
      <c r="U51" s="2"/>
      <c r="V51" s="33" t="s">
        <v>62</v>
      </c>
      <c r="W51" s="36">
        <f>DceNoiSuy(W39,$A$46:$A$99,$B$46:$B$99)</f>
        <v>25</v>
      </c>
      <c r="X51" s="23" t="s">
        <v>1</v>
      </c>
      <c r="AA51" s="75" t="s">
        <v>460</v>
      </c>
      <c r="AB51" s="75" t="s">
        <v>433</v>
      </c>
      <c r="AC51" s="76">
        <v>0</v>
      </c>
      <c r="AD51" s="28">
        <v>388</v>
      </c>
      <c r="AE51" s="28">
        <v>212</v>
      </c>
      <c r="AF51" s="28">
        <v>6</v>
      </c>
      <c r="AG51" s="28">
        <v>8</v>
      </c>
      <c r="AH51" s="28">
        <v>372</v>
      </c>
      <c r="AI51" s="13">
        <f t="shared" si="2"/>
        <v>648</v>
      </c>
      <c r="AJ51" s="13">
        <f t="shared" si="3"/>
        <v>212</v>
      </c>
      <c r="AK51" s="13">
        <f t="shared" si="4"/>
        <v>25</v>
      </c>
      <c r="AL51" s="13">
        <f t="shared" si="5"/>
        <v>7</v>
      </c>
      <c r="AM51" s="13">
        <f t="shared" si="6"/>
        <v>2</v>
      </c>
      <c r="AN51" s="13">
        <f t="shared" si="7"/>
        <v>8</v>
      </c>
      <c r="AO51" s="13">
        <f t="shared" si="8"/>
        <v>24</v>
      </c>
      <c r="AP51" s="13">
        <f t="shared" si="9"/>
        <v>60</v>
      </c>
      <c r="AQ51" s="13">
        <f t="shared" si="10"/>
        <v>70</v>
      </c>
      <c r="AR51" s="13">
        <f t="shared" si="11"/>
        <v>80</v>
      </c>
      <c r="AS51" s="13">
        <f t="shared" si="12"/>
        <v>150</v>
      </c>
      <c r="AT51" s="13">
        <f t="shared" si="13"/>
        <v>4</v>
      </c>
      <c r="AU51" s="13">
        <f t="shared" si="14"/>
        <v>120</v>
      </c>
      <c r="AV51" s="13">
        <f t="shared" si="15"/>
        <v>2</v>
      </c>
      <c r="AW51" s="13">
        <f t="shared" si="16"/>
        <v>0</v>
      </c>
      <c r="AX51" s="13">
        <f t="shared" si="17"/>
        <v>0</v>
      </c>
      <c r="AY51" s="13">
        <f t="shared" si="18"/>
        <v>1</v>
      </c>
      <c r="AZ51" s="13">
        <f t="shared" si="19"/>
        <v>6</v>
      </c>
      <c r="BA51" s="75" t="s">
        <v>436</v>
      </c>
      <c r="BB51" s="77">
        <v>-17.381808753789667</v>
      </c>
      <c r="BC51" s="77">
        <v>-0.50893427046276496</v>
      </c>
      <c r="BD51" s="29">
        <v>0.38682270030334331</v>
      </c>
      <c r="BE51" s="29">
        <v>-4.6418782057542141E-7</v>
      </c>
      <c r="BF51" s="29">
        <v>8.4281730023741605E-2</v>
      </c>
      <c r="BG51" s="29">
        <v>-2.3094474279762465</v>
      </c>
      <c r="BH51" s="179">
        <f t="shared" si="20"/>
        <v>0.13286577137564751</v>
      </c>
      <c r="BI51" s="127">
        <f>_xll.DCEBoltDisColBaseFix(AV51, AT51, AD51, AP51, AQ51,AR51, AS51, "TTT")</f>
        <v>189</v>
      </c>
      <c r="BJ51" s="127">
        <f t="shared" si="21"/>
        <v>513</v>
      </c>
      <c r="BK51" s="127">
        <f t="shared" si="22"/>
        <v>3.5600663374316923</v>
      </c>
      <c r="BL51" s="127">
        <f t="shared" si="23"/>
        <v>302.89508840864443</v>
      </c>
      <c r="BM51" s="120">
        <f t="shared" si="24"/>
        <v>1.1753463405879679E-2</v>
      </c>
      <c r="BN51" s="4">
        <f>_xll.DCEBoltDisColBaseFix(AV51,AT51,AD51,AP51,AQ51,AR51,AS51,"NL1T")+_xll.DCEBoltDisColBaseFix(AV51,AT51,AD51,AP51,AQ51,AR51,AS51,"NL2T")+_xll.DCEBoltDisColBaseFix(AV51,AT51,AD51,AP51,AQ51,AR51,AS51,"NL3T")</f>
        <v>4</v>
      </c>
      <c r="BO51" s="121">
        <f t="shared" si="25"/>
        <v>0</v>
      </c>
      <c r="BP51" s="122">
        <f t="shared" si="26"/>
        <v>0</v>
      </c>
      <c r="BQ51" s="122">
        <f t="shared" si="27"/>
        <v>57.1</v>
      </c>
      <c r="BR51" s="120">
        <f>BQ51/VLOOKUP(AO51,Data!$V$4:$Z$99,4,FALSE)</f>
        <v>0.16175637393767706</v>
      </c>
      <c r="BS51" s="123" t="str">
        <f t="shared" si="28"/>
        <v>OK</v>
      </c>
      <c r="BT51" s="124">
        <f t="shared" si="29"/>
        <v>0.28218598033900538</v>
      </c>
      <c r="BU51" s="124">
        <f t="shared" si="30"/>
        <v>-2.9131462027369215E-2</v>
      </c>
      <c r="BV51" s="120">
        <f t="shared" si="31"/>
        <v>2.5948136123126932E-2</v>
      </c>
      <c r="BW51" s="123" t="str">
        <f t="shared" si="32"/>
        <v>OK</v>
      </c>
      <c r="BX51" s="124">
        <f t="shared" si="33"/>
        <v>406.65599999999995</v>
      </c>
      <c r="BY51" s="120">
        <f t="shared" si="34"/>
        <v>1.5719777143837937E-3</v>
      </c>
      <c r="BZ51" s="123" t="str">
        <f t="shared" si="35"/>
        <v>OK</v>
      </c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H51" s="127"/>
      <c r="EI51" s="127"/>
      <c r="EJ51" s="127"/>
      <c r="EK51" s="127"/>
      <c r="EL51" s="127"/>
      <c r="EM51" s="120"/>
      <c r="EN51" s="121"/>
      <c r="EO51" s="121"/>
      <c r="EP51" s="120"/>
      <c r="EQ51" s="122"/>
      <c r="ER51" s="120"/>
      <c r="ES51" s="238"/>
      <c r="ET51" s="124"/>
      <c r="EU51" s="124"/>
      <c r="EV51" s="120"/>
      <c r="EW51" s="217"/>
      <c r="EX51" s="124"/>
      <c r="EY51" s="120"/>
      <c r="EZ51" s="217"/>
    </row>
    <row r="52" spans="1:156" ht="12.75" customHeight="1">
      <c r="A52" s="137">
        <v>400</v>
      </c>
      <c r="B52" s="4">
        <v>25</v>
      </c>
      <c r="C52" s="4">
        <v>24</v>
      </c>
      <c r="D52" s="4">
        <v>4</v>
      </c>
      <c r="E52" s="4">
        <v>0</v>
      </c>
      <c r="F52" s="138">
        <v>0</v>
      </c>
      <c r="G52" s="137">
        <v>400</v>
      </c>
      <c r="H52" s="4">
        <v>200</v>
      </c>
      <c r="I52" s="4">
        <v>3</v>
      </c>
      <c r="J52" s="4">
        <v>2</v>
      </c>
      <c r="K52" s="138">
        <v>6</v>
      </c>
      <c r="M52" s="7"/>
      <c r="N52" s="311" t="s">
        <v>138</v>
      </c>
      <c r="O52" s="312"/>
      <c r="P52" s="229" t="s">
        <v>376</v>
      </c>
      <c r="Q52" s="229" t="s">
        <v>377</v>
      </c>
      <c r="R52" s="229" t="s">
        <v>375</v>
      </c>
      <c r="S52" s="229" t="s">
        <v>374</v>
      </c>
      <c r="T52" s="229" t="s">
        <v>378</v>
      </c>
      <c r="U52" s="229" t="s">
        <v>379</v>
      </c>
      <c r="V52" s="230" t="s">
        <v>380</v>
      </c>
      <c r="W52" s="32"/>
      <c r="X52" s="23"/>
      <c r="AA52" s="75" t="s">
        <v>460</v>
      </c>
      <c r="AB52" s="75" t="s">
        <v>433</v>
      </c>
      <c r="AC52" s="76">
        <v>0</v>
      </c>
      <c r="AD52" s="28">
        <v>388</v>
      </c>
      <c r="AE52" s="28">
        <v>212</v>
      </c>
      <c r="AF52" s="28">
        <v>6</v>
      </c>
      <c r="AG52" s="28">
        <v>8</v>
      </c>
      <c r="AH52" s="28">
        <v>372</v>
      </c>
      <c r="AI52" s="13">
        <f t="shared" si="2"/>
        <v>648</v>
      </c>
      <c r="AJ52" s="13">
        <f t="shared" si="3"/>
        <v>212</v>
      </c>
      <c r="AK52" s="13">
        <f t="shared" si="4"/>
        <v>25</v>
      </c>
      <c r="AL52" s="13">
        <f t="shared" si="5"/>
        <v>7</v>
      </c>
      <c r="AM52" s="13">
        <f t="shared" si="6"/>
        <v>2</v>
      </c>
      <c r="AN52" s="13">
        <f t="shared" si="7"/>
        <v>8</v>
      </c>
      <c r="AO52" s="13">
        <f t="shared" si="8"/>
        <v>24</v>
      </c>
      <c r="AP52" s="13">
        <f t="shared" si="9"/>
        <v>60</v>
      </c>
      <c r="AQ52" s="13">
        <f t="shared" si="10"/>
        <v>70</v>
      </c>
      <c r="AR52" s="13">
        <f t="shared" si="11"/>
        <v>80</v>
      </c>
      <c r="AS52" s="13">
        <f t="shared" si="12"/>
        <v>150</v>
      </c>
      <c r="AT52" s="13">
        <f t="shared" si="13"/>
        <v>4</v>
      </c>
      <c r="AU52" s="13">
        <f t="shared" si="14"/>
        <v>120</v>
      </c>
      <c r="AV52" s="13">
        <f t="shared" si="15"/>
        <v>2</v>
      </c>
      <c r="AW52" s="13">
        <f t="shared" si="16"/>
        <v>0</v>
      </c>
      <c r="AX52" s="13">
        <f t="shared" si="17"/>
        <v>0</v>
      </c>
      <c r="AY52" s="13">
        <f t="shared" si="18"/>
        <v>1</v>
      </c>
      <c r="AZ52" s="13">
        <f t="shared" si="19"/>
        <v>6</v>
      </c>
      <c r="BA52" s="75" t="s">
        <v>437</v>
      </c>
      <c r="BB52" s="77">
        <v>-17.381808753789667</v>
      </c>
      <c r="BC52" s="77">
        <v>-0.50893427046276496</v>
      </c>
      <c r="BD52" s="29">
        <v>0.38682270030334331</v>
      </c>
      <c r="BE52" s="29">
        <v>-4.6418782057542141E-7</v>
      </c>
      <c r="BF52" s="29">
        <v>8.4281730023741605E-2</v>
      </c>
      <c r="BG52" s="29">
        <v>-2.3094474279762465</v>
      </c>
      <c r="BH52" s="179">
        <f t="shared" si="20"/>
        <v>0.13286577137564751</v>
      </c>
      <c r="BI52" s="127">
        <f>_xll.DCEBoltDisColBaseFix(AV52, AT52, AD52, AP52, AQ52,AR52, AS52, "TTT")</f>
        <v>189</v>
      </c>
      <c r="BJ52" s="127">
        <f t="shared" si="21"/>
        <v>513</v>
      </c>
      <c r="BK52" s="127">
        <f t="shared" si="22"/>
        <v>3.5600663374316923</v>
      </c>
      <c r="BL52" s="127">
        <f t="shared" si="23"/>
        <v>302.89508840864443</v>
      </c>
      <c r="BM52" s="120">
        <f t="shared" si="24"/>
        <v>1.1753463405879679E-2</v>
      </c>
      <c r="BN52" s="4">
        <f>_xll.DCEBoltDisColBaseFix(AV52,AT52,AD52,AP52,AQ52,AR52,AS52,"NL1T")+_xll.DCEBoltDisColBaseFix(AV52,AT52,AD52,AP52,AQ52,AR52,AS52,"NL2T")+_xll.DCEBoltDisColBaseFix(AV52,AT52,AD52,AP52,AQ52,AR52,AS52,"NL3T")</f>
        <v>4</v>
      </c>
      <c r="BO52" s="121">
        <f t="shared" si="25"/>
        <v>0</v>
      </c>
      <c r="BP52" s="122">
        <f t="shared" si="26"/>
        <v>0</v>
      </c>
      <c r="BQ52" s="122">
        <f t="shared" si="27"/>
        <v>57.1</v>
      </c>
      <c r="BR52" s="120">
        <f>BQ52/VLOOKUP(AO52,Data!$V$4:$Z$99,4,FALSE)</f>
        <v>0.16175637393767706</v>
      </c>
      <c r="BS52" s="123" t="str">
        <f t="shared" si="28"/>
        <v>OK</v>
      </c>
      <c r="BT52" s="124">
        <f t="shared" si="29"/>
        <v>0.28218598033900538</v>
      </c>
      <c r="BU52" s="124">
        <f t="shared" si="30"/>
        <v>-2.9131462027369215E-2</v>
      </c>
      <c r="BV52" s="120">
        <f t="shared" si="31"/>
        <v>2.5948136123126932E-2</v>
      </c>
      <c r="BW52" s="123" t="str">
        <f t="shared" si="32"/>
        <v>OK</v>
      </c>
      <c r="BX52" s="124">
        <f t="shared" si="33"/>
        <v>406.65599999999995</v>
      </c>
      <c r="BY52" s="120">
        <f t="shared" si="34"/>
        <v>1.5719777143837937E-3</v>
      </c>
      <c r="BZ52" s="123" t="str">
        <f t="shared" si="35"/>
        <v>OK</v>
      </c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H52" s="127"/>
      <c r="EI52" s="127"/>
      <c r="EJ52" s="127"/>
      <c r="EK52" s="127"/>
      <c r="EL52" s="127"/>
      <c r="EM52" s="120"/>
      <c r="EN52" s="121"/>
      <c r="EO52" s="121"/>
      <c r="EP52" s="120"/>
      <c r="EQ52" s="122"/>
      <c r="ER52" s="120"/>
      <c r="ES52" s="238"/>
      <c r="ET52" s="124"/>
      <c r="EU52" s="124"/>
      <c r="EV52" s="120"/>
      <c r="EW52" s="217"/>
      <c r="EX52" s="124"/>
      <c r="EY52" s="120"/>
      <c r="EZ52" s="217"/>
    </row>
    <row r="53" spans="1:156" ht="12.75" customHeight="1">
      <c r="A53" s="137">
        <v>450</v>
      </c>
      <c r="B53" s="4">
        <v>25</v>
      </c>
      <c r="C53" s="4">
        <v>24</v>
      </c>
      <c r="D53" s="4">
        <v>4</v>
      </c>
      <c r="E53" s="4">
        <v>0</v>
      </c>
      <c r="F53" s="138">
        <v>0</v>
      </c>
      <c r="G53" s="137">
        <v>500</v>
      </c>
      <c r="H53" s="4">
        <v>250</v>
      </c>
      <c r="I53" s="4">
        <v>3</v>
      </c>
      <c r="J53" s="4">
        <v>2</v>
      </c>
      <c r="K53" s="138">
        <v>6</v>
      </c>
      <c r="M53" s="7"/>
      <c r="N53" s="313" t="s">
        <v>381</v>
      </c>
      <c r="O53" s="314"/>
      <c r="P53" s="159">
        <f>_xll.DCEBoltDisColBaseFix(W46, W47, W39, G13, H13,I13, J13, "NL1T")</f>
        <v>2</v>
      </c>
      <c r="Q53" s="162">
        <f>_xll.DCEBoltDisColBaseFix(W46, W47, W39, G13, H13,I13, J13, "NL2T")</f>
        <v>2</v>
      </c>
      <c r="R53" s="159">
        <f>_xll.DCEBoltDisColBaseFix(W46, W47, W39, G13, H13,I13, J13, "NL3T")</f>
        <v>0</v>
      </c>
      <c r="S53" s="159">
        <f>_xll.DCEBoltDisColBaseFix(W46, W47, W39, G13, H13,I13, J13, "NL0")</f>
        <v>0</v>
      </c>
      <c r="T53" s="159">
        <f>_xll.DCEBoltDisColBaseFix(W46, W47, W39, G13, H13,I13, J13, "NL3P")</f>
        <v>0</v>
      </c>
      <c r="U53" s="159">
        <f>_xll.DCEBoltDisColBaseFix(W46, W47, W39, G13, H13,I13, J13, "NL2P")</f>
        <v>2</v>
      </c>
      <c r="V53" s="160">
        <f>_xll.DCEBoltDisColBaseFix(W46, W47, W39, G13, H13,I13, J13, "NL1P")</f>
        <v>2</v>
      </c>
      <c r="W53" s="32"/>
      <c r="X53" s="23"/>
      <c r="AA53" s="75" t="s">
        <v>460</v>
      </c>
      <c r="AB53" s="75" t="s">
        <v>433</v>
      </c>
      <c r="AC53" s="76">
        <v>0</v>
      </c>
      <c r="AD53" s="28">
        <v>388</v>
      </c>
      <c r="AE53" s="28">
        <v>212</v>
      </c>
      <c r="AF53" s="28">
        <v>6</v>
      </c>
      <c r="AG53" s="28">
        <v>8</v>
      </c>
      <c r="AH53" s="28">
        <v>372</v>
      </c>
      <c r="AI53" s="13">
        <f t="shared" si="2"/>
        <v>648</v>
      </c>
      <c r="AJ53" s="13">
        <f t="shared" si="3"/>
        <v>212</v>
      </c>
      <c r="AK53" s="13">
        <f t="shared" si="4"/>
        <v>25</v>
      </c>
      <c r="AL53" s="13">
        <f t="shared" si="5"/>
        <v>7</v>
      </c>
      <c r="AM53" s="13">
        <f t="shared" si="6"/>
        <v>2</v>
      </c>
      <c r="AN53" s="13">
        <f t="shared" si="7"/>
        <v>8</v>
      </c>
      <c r="AO53" s="13">
        <f t="shared" si="8"/>
        <v>24</v>
      </c>
      <c r="AP53" s="13">
        <f t="shared" si="9"/>
        <v>60</v>
      </c>
      <c r="AQ53" s="13">
        <f t="shared" si="10"/>
        <v>70</v>
      </c>
      <c r="AR53" s="13">
        <f t="shared" si="11"/>
        <v>80</v>
      </c>
      <c r="AS53" s="13">
        <f t="shared" si="12"/>
        <v>150</v>
      </c>
      <c r="AT53" s="13">
        <f t="shared" si="13"/>
        <v>4</v>
      </c>
      <c r="AU53" s="13">
        <f t="shared" si="14"/>
        <v>120</v>
      </c>
      <c r="AV53" s="13">
        <f t="shared" si="15"/>
        <v>2</v>
      </c>
      <c r="AW53" s="13">
        <f t="shared" si="16"/>
        <v>0</v>
      </c>
      <c r="AX53" s="13">
        <f t="shared" si="17"/>
        <v>0</v>
      </c>
      <c r="AY53" s="13">
        <f t="shared" si="18"/>
        <v>1</v>
      </c>
      <c r="AZ53" s="13">
        <f t="shared" si="19"/>
        <v>6</v>
      </c>
      <c r="BA53" s="75" t="s">
        <v>438</v>
      </c>
      <c r="BB53" s="77">
        <v>-17.381808753789667</v>
      </c>
      <c r="BC53" s="77">
        <v>-0.50893427046276496</v>
      </c>
      <c r="BD53" s="29">
        <v>0.38682270030334331</v>
      </c>
      <c r="BE53" s="29">
        <v>-4.6418782057542141E-7</v>
      </c>
      <c r="BF53" s="29">
        <v>8.4281730023741605E-2</v>
      </c>
      <c r="BG53" s="29">
        <v>-2.3094474279762465</v>
      </c>
      <c r="BH53" s="179">
        <f t="shared" si="20"/>
        <v>0.13286577137564751</v>
      </c>
      <c r="BI53" s="127">
        <f>_xll.DCEBoltDisColBaseFix(AV53, AT53, AD53, AP53, AQ53,AR53, AS53, "TTT")</f>
        <v>189</v>
      </c>
      <c r="BJ53" s="127">
        <f t="shared" si="21"/>
        <v>513</v>
      </c>
      <c r="BK53" s="127">
        <f t="shared" si="22"/>
        <v>3.5600663374316923</v>
      </c>
      <c r="BL53" s="127">
        <f t="shared" si="23"/>
        <v>302.89508840864443</v>
      </c>
      <c r="BM53" s="120">
        <f t="shared" si="24"/>
        <v>1.1753463405879679E-2</v>
      </c>
      <c r="BN53" s="4">
        <f>_xll.DCEBoltDisColBaseFix(AV53,AT53,AD53,AP53,AQ53,AR53,AS53,"NL1T")+_xll.DCEBoltDisColBaseFix(AV53,AT53,AD53,AP53,AQ53,AR53,AS53,"NL2T")+_xll.DCEBoltDisColBaseFix(AV53,AT53,AD53,AP53,AQ53,AR53,AS53,"NL3T")</f>
        <v>4</v>
      </c>
      <c r="BO53" s="121">
        <f t="shared" si="25"/>
        <v>0</v>
      </c>
      <c r="BP53" s="122">
        <f t="shared" si="26"/>
        <v>0</v>
      </c>
      <c r="BQ53" s="122">
        <f t="shared" si="27"/>
        <v>57.1</v>
      </c>
      <c r="BR53" s="120">
        <f>BQ53/VLOOKUP(AO53,Data!$V$4:$Z$99,4,FALSE)</f>
        <v>0.16175637393767706</v>
      </c>
      <c r="BS53" s="123" t="str">
        <f t="shared" si="28"/>
        <v>OK</v>
      </c>
      <c r="BT53" s="124">
        <f t="shared" si="29"/>
        <v>0.28218598033900538</v>
      </c>
      <c r="BU53" s="124">
        <f t="shared" si="30"/>
        <v>-2.9131462027369215E-2</v>
      </c>
      <c r="BV53" s="120">
        <f t="shared" si="31"/>
        <v>2.5948136123126932E-2</v>
      </c>
      <c r="BW53" s="123" t="str">
        <f t="shared" si="32"/>
        <v>OK</v>
      </c>
      <c r="BX53" s="124">
        <f t="shared" si="33"/>
        <v>406.65599999999995</v>
      </c>
      <c r="BY53" s="120">
        <f t="shared" si="34"/>
        <v>1.5719777143837937E-3</v>
      </c>
      <c r="BZ53" s="123" t="str">
        <f t="shared" si="35"/>
        <v>OK</v>
      </c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H53" s="127"/>
      <c r="EI53" s="127"/>
      <c r="EJ53" s="127"/>
      <c r="EK53" s="127"/>
      <c r="EL53" s="127"/>
      <c r="EM53" s="120"/>
      <c r="EN53" s="121"/>
      <c r="EO53" s="121"/>
      <c r="EP53" s="120"/>
      <c r="EQ53" s="122"/>
      <c r="ER53" s="120"/>
      <c r="ES53" s="238"/>
      <c r="ET53" s="124"/>
      <c r="EU53" s="124"/>
      <c r="EV53" s="120"/>
      <c r="EW53" s="217"/>
      <c r="EX53" s="124"/>
      <c r="EY53" s="120"/>
      <c r="EZ53" s="217"/>
    </row>
    <row r="54" spans="1:156" ht="12.75" customHeight="1">
      <c r="A54" s="137">
        <v>500</v>
      </c>
      <c r="B54" s="4">
        <v>30</v>
      </c>
      <c r="C54" s="4">
        <v>24</v>
      </c>
      <c r="D54" s="4">
        <v>5</v>
      </c>
      <c r="E54" s="4">
        <v>2</v>
      </c>
      <c r="F54" s="138">
        <v>6</v>
      </c>
      <c r="G54" s="154"/>
      <c r="H54" s="121"/>
      <c r="I54" s="121"/>
      <c r="J54" s="121"/>
      <c r="K54" s="155"/>
      <c r="M54" s="7"/>
      <c r="N54" s="313" t="s">
        <v>382</v>
      </c>
      <c r="O54" s="314"/>
      <c r="P54" s="159">
        <f>_xll.DCEBoltDisColBaseFix(W46, W47, W39, G13, H13,I13, J13, "L1T")</f>
        <v>295</v>
      </c>
      <c r="Q54" s="162">
        <f>_xll.DCEBoltDisColBaseFix(W46, W47, W39, G13, H13,I13, J13, "L2T")</f>
        <v>145</v>
      </c>
      <c r="R54" s="162">
        <f>_xll.DCEBoltDisColBaseFix(W46, W47, W39, G13, H13,I13, J13, "L3T")</f>
        <v>0</v>
      </c>
      <c r="S54" s="159">
        <f>_xll.DCEBoltDisColBaseFix(W46, W47, W39, G13, H13,I13, J13, "L0")</f>
        <v>0</v>
      </c>
      <c r="T54" s="159">
        <f>_xll.DCEBoltDisColBaseFix(W46, W47, W39, G13, H13,I13, J13, "L3P")</f>
        <v>0</v>
      </c>
      <c r="U54" s="159">
        <f>_xll.DCEBoltDisColBaseFix(W46, W47, W39, G13, H13,I13, J13, "L2P")</f>
        <v>145</v>
      </c>
      <c r="V54" s="160">
        <f>_xll.DCEBoltDisColBaseFix(W46, W47, W39, G13, H13,I13, J13, "L1P")</f>
        <v>295</v>
      </c>
      <c r="W54" s="32"/>
      <c r="X54" s="8"/>
      <c r="AA54" s="75" t="s">
        <v>460</v>
      </c>
      <c r="AB54" s="75" t="s">
        <v>433</v>
      </c>
      <c r="AC54" s="76">
        <v>0</v>
      </c>
      <c r="AD54" s="28">
        <v>388</v>
      </c>
      <c r="AE54" s="28">
        <v>212</v>
      </c>
      <c r="AF54" s="28">
        <v>6</v>
      </c>
      <c r="AG54" s="28">
        <v>8</v>
      </c>
      <c r="AH54" s="28">
        <v>372</v>
      </c>
      <c r="AI54" s="13">
        <f t="shared" si="2"/>
        <v>648</v>
      </c>
      <c r="AJ54" s="13">
        <f t="shared" si="3"/>
        <v>212</v>
      </c>
      <c r="AK54" s="13">
        <f t="shared" si="4"/>
        <v>25</v>
      </c>
      <c r="AL54" s="13">
        <f t="shared" si="5"/>
        <v>7</v>
      </c>
      <c r="AM54" s="13">
        <f t="shared" si="6"/>
        <v>2</v>
      </c>
      <c r="AN54" s="13">
        <f t="shared" si="7"/>
        <v>8</v>
      </c>
      <c r="AO54" s="13">
        <f t="shared" si="8"/>
        <v>24</v>
      </c>
      <c r="AP54" s="13">
        <f t="shared" si="9"/>
        <v>60</v>
      </c>
      <c r="AQ54" s="13">
        <f t="shared" si="10"/>
        <v>70</v>
      </c>
      <c r="AR54" s="13">
        <f t="shared" si="11"/>
        <v>80</v>
      </c>
      <c r="AS54" s="13">
        <f t="shared" si="12"/>
        <v>150</v>
      </c>
      <c r="AT54" s="13">
        <f t="shared" si="13"/>
        <v>4</v>
      </c>
      <c r="AU54" s="13">
        <f t="shared" si="14"/>
        <v>120</v>
      </c>
      <c r="AV54" s="13">
        <f t="shared" si="15"/>
        <v>2</v>
      </c>
      <c r="AW54" s="13">
        <f t="shared" si="16"/>
        <v>0</v>
      </c>
      <c r="AX54" s="13">
        <f t="shared" si="17"/>
        <v>0</v>
      </c>
      <c r="AY54" s="13">
        <f t="shared" si="18"/>
        <v>1</v>
      </c>
      <c r="AZ54" s="13">
        <f t="shared" si="19"/>
        <v>6</v>
      </c>
      <c r="BA54" s="75" t="s">
        <v>439</v>
      </c>
      <c r="BB54" s="77">
        <v>-17.381808753789667</v>
      </c>
      <c r="BC54" s="77">
        <v>-0.50893427046276496</v>
      </c>
      <c r="BD54" s="29">
        <v>0.38682270030334331</v>
      </c>
      <c r="BE54" s="29">
        <v>-4.6418782057542141E-7</v>
      </c>
      <c r="BF54" s="29">
        <v>8.4281730023741605E-2</v>
      </c>
      <c r="BG54" s="29">
        <v>-2.3094474279762465</v>
      </c>
      <c r="BH54" s="179">
        <f t="shared" si="20"/>
        <v>0.13286577137564751</v>
      </c>
      <c r="BI54" s="127">
        <f>_xll.DCEBoltDisColBaseFix(AV54, AT54, AD54, AP54, AQ54,AR54, AS54, "TTT")</f>
        <v>189</v>
      </c>
      <c r="BJ54" s="127">
        <f t="shared" si="21"/>
        <v>513</v>
      </c>
      <c r="BK54" s="127">
        <f t="shared" si="22"/>
        <v>3.5600663374316923</v>
      </c>
      <c r="BL54" s="127">
        <f t="shared" si="23"/>
        <v>302.89508840864443</v>
      </c>
      <c r="BM54" s="120">
        <f t="shared" si="24"/>
        <v>1.1753463405879679E-2</v>
      </c>
      <c r="BN54" s="4">
        <f>_xll.DCEBoltDisColBaseFix(AV54,AT54,AD54,AP54,AQ54,AR54,AS54,"NL1T")+_xll.DCEBoltDisColBaseFix(AV54,AT54,AD54,AP54,AQ54,AR54,AS54,"NL2T")+_xll.DCEBoltDisColBaseFix(AV54,AT54,AD54,AP54,AQ54,AR54,AS54,"NL3T")</f>
        <v>4</v>
      </c>
      <c r="BO54" s="121">
        <f t="shared" si="25"/>
        <v>0</v>
      </c>
      <c r="BP54" s="122">
        <f t="shared" si="26"/>
        <v>0</v>
      </c>
      <c r="BQ54" s="122">
        <f t="shared" si="27"/>
        <v>57.1</v>
      </c>
      <c r="BR54" s="120">
        <f>BQ54/VLOOKUP(AO54,Data!$V$4:$Z$99,4,FALSE)</f>
        <v>0.16175637393767706</v>
      </c>
      <c r="BS54" s="123" t="str">
        <f t="shared" si="28"/>
        <v>OK</v>
      </c>
      <c r="BT54" s="124">
        <f t="shared" si="29"/>
        <v>0.28218598033900538</v>
      </c>
      <c r="BU54" s="124">
        <f t="shared" si="30"/>
        <v>-2.9131462027369215E-2</v>
      </c>
      <c r="BV54" s="120">
        <f t="shared" si="31"/>
        <v>2.5948136123126932E-2</v>
      </c>
      <c r="BW54" s="123" t="str">
        <f t="shared" si="32"/>
        <v>OK</v>
      </c>
      <c r="BX54" s="124">
        <f t="shared" si="33"/>
        <v>406.65599999999995</v>
      </c>
      <c r="BY54" s="120">
        <f t="shared" si="34"/>
        <v>1.5719777143837937E-3</v>
      </c>
      <c r="BZ54" s="123" t="str">
        <f t="shared" si="35"/>
        <v>OK</v>
      </c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H54" s="127"/>
      <c r="EI54" s="127"/>
      <c r="EJ54" s="127"/>
      <c r="EK54" s="127"/>
      <c r="EL54" s="127"/>
      <c r="EM54" s="120"/>
      <c r="EN54" s="121"/>
      <c r="EO54" s="121"/>
      <c r="EP54" s="120"/>
      <c r="EQ54" s="122"/>
      <c r="ER54" s="120"/>
      <c r="ES54" s="238"/>
      <c r="ET54" s="124"/>
      <c r="EU54" s="124"/>
      <c r="EV54" s="120"/>
      <c r="EW54" s="217"/>
      <c r="EX54" s="124"/>
      <c r="EY54" s="120"/>
      <c r="EZ54" s="217"/>
    </row>
    <row r="55" spans="1:156" ht="12.75" customHeight="1">
      <c r="A55" s="137">
        <v>600</v>
      </c>
      <c r="B55" s="4">
        <v>30</v>
      </c>
      <c r="C55" s="4">
        <v>27</v>
      </c>
      <c r="D55" s="4">
        <v>4</v>
      </c>
      <c r="E55" s="4">
        <v>2</v>
      </c>
      <c r="F55" s="138">
        <v>6</v>
      </c>
      <c r="G55" s="154"/>
      <c r="H55" s="121"/>
      <c r="I55" s="121"/>
      <c r="J55" s="121"/>
      <c r="K55" s="155"/>
      <c r="M55" s="7"/>
      <c r="N55" s="308" t="s">
        <v>384</v>
      </c>
      <c r="O55" s="309"/>
      <c r="P55" s="310">
        <f>SUMPRODUCT(P53:R53,P54:R54)/SUM(P53:R53)</f>
        <v>220</v>
      </c>
      <c r="Q55" s="310"/>
      <c r="R55" s="310"/>
      <c r="S55" s="161"/>
      <c r="T55" s="310">
        <f>SUMPRODUCT(T53:V53,T54:V54)/SUM(T53:V53)</f>
        <v>220</v>
      </c>
      <c r="U55" s="310"/>
      <c r="V55" s="321"/>
      <c r="W55" s="32"/>
      <c r="X55" s="8"/>
      <c r="AA55" s="75" t="s">
        <v>460</v>
      </c>
      <c r="AB55" s="75" t="s">
        <v>433</v>
      </c>
      <c r="AC55" s="76">
        <v>0</v>
      </c>
      <c r="AD55" s="28">
        <v>388</v>
      </c>
      <c r="AE55" s="28">
        <v>212</v>
      </c>
      <c r="AF55" s="28">
        <v>6</v>
      </c>
      <c r="AG55" s="28">
        <v>8</v>
      </c>
      <c r="AH55" s="28">
        <v>372</v>
      </c>
      <c r="AI55" s="13">
        <f t="shared" si="2"/>
        <v>648</v>
      </c>
      <c r="AJ55" s="13">
        <f t="shared" si="3"/>
        <v>212</v>
      </c>
      <c r="AK55" s="13">
        <f t="shared" si="4"/>
        <v>25</v>
      </c>
      <c r="AL55" s="13">
        <f t="shared" si="5"/>
        <v>7</v>
      </c>
      <c r="AM55" s="13">
        <f t="shared" si="6"/>
        <v>2</v>
      </c>
      <c r="AN55" s="13">
        <f t="shared" si="7"/>
        <v>8</v>
      </c>
      <c r="AO55" s="13">
        <f t="shared" si="8"/>
        <v>24</v>
      </c>
      <c r="AP55" s="13">
        <f t="shared" si="9"/>
        <v>60</v>
      </c>
      <c r="AQ55" s="13">
        <f t="shared" si="10"/>
        <v>70</v>
      </c>
      <c r="AR55" s="13">
        <f t="shared" si="11"/>
        <v>80</v>
      </c>
      <c r="AS55" s="13">
        <f t="shared" si="12"/>
        <v>150</v>
      </c>
      <c r="AT55" s="13">
        <f t="shared" si="13"/>
        <v>4</v>
      </c>
      <c r="AU55" s="13">
        <f t="shared" si="14"/>
        <v>120</v>
      </c>
      <c r="AV55" s="13">
        <f t="shared" si="15"/>
        <v>2</v>
      </c>
      <c r="AW55" s="13">
        <f t="shared" si="16"/>
        <v>0</v>
      </c>
      <c r="AX55" s="13">
        <f t="shared" si="17"/>
        <v>0</v>
      </c>
      <c r="AY55" s="13">
        <f t="shared" si="18"/>
        <v>1</v>
      </c>
      <c r="AZ55" s="13">
        <f t="shared" si="19"/>
        <v>6</v>
      </c>
      <c r="BA55" s="75" t="s">
        <v>440</v>
      </c>
      <c r="BB55" s="77">
        <v>-17.381808753789667</v>
      </c>
      <c r="BC55" s="77">
        <v>-0.50893427046276496</v>
      </c>
      <c r="BD55" s="29">
        <v>0.38682270030334331</v>
      </c>
      <c r="BE55" s="29">
        <v>-4.6418782057542141E-7</v>
      </c>
      <c r="BF55" s="29">
        <v>8.4281730023741605E-2</v>
      </c>
      <c r="BG55" s="29">
        <v>-2.3094474279762465</v>
      </c>
      <c r="BH55" s="179">
        <f t="shared" si="20"/>
        <v>0.13286577137564751</v>
      </c>
      <c r="BI55" s="127">
        <f>_xll.DCEBoltDisColBaseFix(AV55, AT55, AD55, AP55, AQ55,AR55, AS55, "TTT")</f>
        <v>189</v>
      </c>
      <c r="BJ55" s="127">
        <f t="shared" si="21"/>
        <v>513</v>
      </c>
      <c r="BK55" s="127">
        <f t="shared" si="22"/>
        <v>3.5600663374316923</v>
      </c>
      <c r="BL55" s="127">
        <f t="shared" si="23"/>
        <v>302.89508840864443</v>
      </c>
      <c r="BM55" s="120">
        <f t="shared" si="24"/>
        <v>1.1753463405879679E-2</v>
      </c>
      <c r="BN55" s="4">
        <f>_xll.DCEBoltDisColBaseFix(AV55,AT55,AD55,AP55,AQ55,AR55,AS55,"NL1T")+_xll.DCEBoltDisColBaseFix(AV55,AT55,AD55,AP55,AQ55,AR55,AS55,"NL2T")+_xll.DCEBoltDisColBaseFix(AV55,AT55,AD55,AP55,AQ55,AR55,AS55,"NL3T")</f>
        <v>4</v>
      </c>
      <c r="BO55" s="121">
        <f t="shared" si="25"/>
        <v>0</v>
      </c>
      <c r="BP55" s="122">
        <f t="shared" si="26"/>
        <v>0</v>
      </c>
      <c r="BQ55" s="122">
        <f t="shared" si="27"/>
        <v>57.1</v>
      </c>
      <c r="BR55" s="120">
        <f>BQ55/VLOOKUP(AO55,Data!$V$4:$Z$99,4,FALSE)</f>
        <v>0.16175637393767706</v>
      </c>
      <c r="BS55" s="123" t="str">
        <f t="shared" si="28"/>
        <v>OK</v>
      </c>
      <c r="BT55" s="124">
        <f t="shared" si="29"/>
        <v>0.28218598033900538</v>
      </c>
      <c r="BU55" s="124">
        <f t="shared" si="30"/>
        <v>-2.9131462027369215E-2</v>
      </c>
      <c r="BV55" s="120">
        <f t="shared" si="31"/>
        <v>2.5948136123126932E-2</v>
      </c>
      <c r="BW55" s="123" t="str">
        <f t="shared" si="32"/>
        <v>OK</v>
      </c>
      <c r="BX55" s="124">
        <f t="shared" si="33"/>
        <v>406.65599999999995</v>
      </c>
      <c r="BY55" s="120">
        <f t="shared" si="34"/>
        <v>1.5719777143837937E-3</v>
      </c>
      <c r="BZ55" s="123" t="str">
        <f t="shared" si="35"/>
        <v>OK</v>
      </c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H55" s="127"/>
      <c r="EI55" s="127"/>
      <c r="EJ55" s="127"/>
      <c r="EK55" s="127"/>
      <c r="EL55" s="127"/>
      <c r="EM55" s="120"/>
      <c r="EN55" s="121"/>
      <c r="EO55" s="121"/>
      <c r="EP55" s="120"/>
      <c r="EQ55" s="122"/>
      <c r="ER55" s="120"/>
      <c r="ES55" s="238"/>
      <c r="ET55" s="124"/>
      <c r="EU55" s="124"/>
      <c r="EV55" s="120"/>
      <c r="EW55" s="217"/>
      <c r="EX55" s="124"/>
      <c r="EY55" s="120"/>
      <c r="EZ55" s="217"/>
    </row>
    <row r="56" spans="1:156" ht="12.75" customHeight="1">
      <c r="A56" s="137">
        <v>700</v>
      </c>
      <c r="B56" s="4">
        <v>30</v>
      </c>
      <c r="C56" s="4">
        <v>30</v>
      </c>
      <c r="D56" s="4">
        <v>4</v>
      </c>
      <c r="E56" s="4">
        <v>2</v>
      </c>
      <c r="F56" s="138">
        <v>6</v>
      </c>
      <c r="G56" s="154"/>
      <c r="H56" s="121"/>
      <c r="I56" s="121"/>
      <c r="J56" s="121"/>
      <c r="K56" s="155"/>
      <c r="M56" s="7"/>
      <c r="N56" s="180" t="str">
        <f>"- Chiều cao đường hàn bản đế vào cánh cột:"</f>
        <v>- Chiều cao đường hàn bản đế vào cánh cột:</v>
      </c>
      <c r="O56" s="2"/>
      <c r="P56" s="2"/>
      <c r="Q56" s="2"/>
      <c r="R56" s="2"/>
      <c r="S56" s="2"/>
      <c r="T56" s="2"/>
      <c r="U56" s="2"/>
      <c r="V56" s="33" t="s">
        <v>131</v>
      </c>
      <c r="W56" s="32">
        <v>8</v>
      </c>
      <c r="X56" s="8" t="s">
        <v>1</v>
      </c>
      <c r="AA56" s="75" t="s">
        <v>460</v>
      </c>
      <c r="AB56" s="75" t="s">
        <v>433</v>
      </c>
      <c r="AC56" s="76">
        <v>0</v>
      </c>
      <c r="AD56" s="28">
        <v>388</v>
      </c>
      <c r="AE56" s="28">
        <v>212</v>
      </c>
      <c r="AF56" s="28">
        <v>6</v>
      </c>
      <c r="AG56" s="28">
        <v>8</v>
      </c>
      <c r="AH56" s="28">
        <v>372</v>
      </c>
      <c r="AI56" s="13">
        <f t="shared" si="2"/>
        <v>648</v>
      </c>
      <c r="AJ56" s="13">
        <f t="shared" si="3"/>
        <v>212</v>
      </c>
      <c r="AK56" s="13">
        <f t="shared" si="4"/>
        <v>25</v>
      </c>
      <c r="AL56" s="13">
        <f t="shared" si="5"/>
        <v>7</v>
      </c>
      <c r="AM56" s="13">
        <f t="shared" si="6"/>
        <v>2</v>
      </c>
      <c r="AN56" s="13">
        <f t="shared" si="7"/>
        <v>8</v>
      </c>
      <c r="AO56" s="13">
        <f t="shared" si="8"/>
        <v>24</v>
      </c>
      <c r="AP56" s="13">
        <f t="shared" si="9"/>
        <v>60</v>
      </c>
      <c r="AQ56" s="13">
        <f t="shared" si="10"/>
        <v>70</v>
      </c>
      <c r="AR56" s="13">
        <f t="shared" si="11"/>
        <v>80</v>
      </c>
      <c r="AS56" s="13">
        <f t="shared" si="12"/>
        <v>150</v>
      </c>
      <c r="AT56" s="13">
        <f t="shared" si="13"/>
        <v>4</v>
      </c>
      <c r="AU56" s="13">
        <f t="shared" si="14"/>
        <v>120</v>
      </c>
      <c r="AV56" s="13">
        <f t="shared" si="15"/>
        <v>2</v>
      </c>
      <c r="AW56" s="13">
        <f t="shared" si="16"/>
        <v>0</v>
      </c>
      <c r="AX56" s="13">
        <f t="shared" si="17"/>
        <v>0</v>
      </c>
      <c r="AY56" s="13">
        <f t="shared" si="18"/>
        <v>1</v>
      </c>
      <c r="AZ56" s="13">
        <f t="shared" si="19"/>
        <v>6</v>
      </c>
      <c r="BA56" s="75" t="s">
        <v>441</v>
      </c>
      <c r="BB56" s="77">
        <v>-17.381808753789667</v>
      </c>
      <c r="BC56" s="77">
        <v>-0.50893427046276496</v>
      </c>
      <c r="BD56" s="29">
        <v>0.38682270030334331</v>
      </c>
      <c r="BE56" s="29">
        <v>-4.6418782057542141E-7</v>
      </c>
      <c r="BF56" s="29">
        <v>8.4281730023741605E-2</v>
      </c>
      <c r="BG56" s="29">
        <v>-2.3094474279762465</v>
      </c>
      <c r="BH56" s="179">
        <f t="shared" si="20"/>
        <v>0.13286577137564751</v>
      </c>
      <c r="BI56" s="127">
        <f>_xll.DCEBoltDisColBaseFix(AV56, AT56, AD56, AP56, AQ56,AR56, AS56, "TTT")</f>
        <v>189</v>
      </c>
      <c r="BJ56" s="127">
        <f t="shared" si="21"/>
        <v>513</v>
      </c>
      <c r="BK56" s="127">
        <f t="shared" si="22"/>
        <v>3.5600663374316923</v>
      </c>
      <c r="BL56" s="127">
        <f t="shared" si="23"/>
        <v>302.89508840864443</v>
      </c>
      <c r="BM56" s="120">
        <f t="shared" si="24"/>
        <v>1.1753463405879679E-2</v>
      </c>
      <c r="BN56" s="4">
        <f>_xll.DCEBoltDisColBaseFix(AV56,AT56,AD56,AP56,AQ56,AR56,AS56,"NL1T")+_xll.DCEBoltDisColBaseFix(AV56,AT56,AD56,AP56,AQ56,AR56,AS56,"NL2T")+_xll.DCEBoltDisColBaseFix(AV56,AT56,AD56,AP56,AQ56,AR56,AS56,"NL3T")</f>
        <v>4</v>
      </c>
      <c r="BO56" s="121">
        <f t="shared" si="25"/>
        <v>0</v>
      </c>
      <c r="BP56" s="122">
        <f t="shared" si="26"/>
        <v>0</v>
      </c>
      <c r="BQ56" s="122">
        <f t="shared" si="27"/>
        <v>57.1</v>
      </c>
      <c r="BR56" s="120">
        <f>BQ56/VLOOKUP(AO56,Data!$V$4:$Z$99,4,FALSE)</f>
        <v>0.16175637393767706</v>
      </c>
      <c r="BS56" s="123" t="str">
        <f t="shared" si="28"/>
        <v>OK</v>
      </c>
      <c r="BT56" s="124">
        <f t="shared" si="29"/>
        <v>0.28218598033900538</v>
      </c>
      <c r="BU56" s="124">
        <f t="shared" si="30"/>
        <v>-2.9131462027369215E-2</v>
      </c>
      <c r="BV56" s="120">
        <f t="shared" si="31"/>
        <v>2.5948136123126932E-2</v>
      </c>
      <c r="BW56" s="123" t="str">
        <f t="shared" si="32"/>
        <v>OK</v>
      </c>
      <c r="BX56" s="124">
        <f t="shared" si="33"/>
        <v>406.65599999999995</v>
      </c>
      <c r="BY56" s="120">
        <f t="shared" si="34"/>
        <v>1.5719777143837937E-3</v>
      </c>
      <c r="BZ56" s="123" t="str">
        <f t="shared" si="35"/>
        <v>OK</v>
      </c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H56" s="127"/>
      <c r="EI56" s="127"/>
      <c r="EJ56" s="127"/>
      <c r="EK56" s="127"/>
      <c r="EL56" s="127"/>
      <c r="EM56" s="120"/>
      <c r="EN56" s="121"/>
      <c r="EO56" s="121"/>
      <c r="EP56" s="120"/>
      <c r="EQ56" s="122"/>
      <c r="ER56" s="120"/>
      <c r="ES56" s="238"/>
      <c r="ET56" s="124"/>
      <c r="EU56" s="124"/>
      <c r="EV56" s="120"/>
      <c r="EW56" s="217"/>
      <c r="EX56" s="124"/>
      <c r="EY56" s="120"/>
      <c r="EZ56" s="217"/>
    </row>
    <row r="57" spans="1:156" ht="12.75" customHeight="1" thickBot="1">
      <c r="A57" s="139">
        <v>800</v>
      </c>
      <c r="B57" s="140">
        <v>30</v>
      </c>
      <c r="C57" s="140">
        <v>30</v>
      </c>
      <c r="D57" s="140">
        <v>4</v>
      </c>
      <c r="E57" s="140">
        <v>2</v>
      </c>
      <c r="F57" s="141">
        <v>6</v>
      </c>
      <c r="G57" s="156"/>
      <c r="H57" s="157"/>
      <c r="I57" s="157"/>
      <c r="J57" s="157"/>
      <c r="K57" s="158"/>
      <c r="M57" s="7"/>
      <c r="N57" s="180" t="str">
        <f>"- Chiều cao đường hàn bản đế vào bụng cột:"</f>
        <v>- Chiều cao đường hàn bản đế vào bụng cột:</v>
      </c>
      <c r="O57" s="2"/>
      <c r="P57" s="2"/>
      <c r="Q57" s="2"/>
      <c r="R57" s="2"/>
      <c r="S57" s="2"/>
      <c r="T57" s="2"/>
      <c r="U57" s="2"/>
      <c r="V57" s="33" t="s">
        <v>132</v>
      </c>
      <c r="W57" s="32">
        <f>W56</f>
        <v>8</v>
      </c>
      <c r="X57" s="8" t="s">
        <v>1</v>
      </c>
      <c r="AA57" s="75" t="s">
        <v>460</v>
      </c>
      <c r="AB57" s="75" t="s">
        <v>433</v>
      </c>
      <c r="AC57" s="76">
        <v>0</v>
      </c>
      <c r="AD57" s="28">
        <v>388</v>
      </c>
      <c r="AE57" s="28">
        <v>212</v>
      </c>
      <c r="AF57" s="28">
        <v>6</v>
      </c>
      <c r="AG57" s="28">
        <v>8</v>
      </c>
      <c r="AH57" s="28">
        <v>372</v>
      </c>
      <c r="AI57" s="13">
        <f t="shared" si="2"/>
        <v>648</v>
      </c>
      <c r="AJ57" s="13">
        <f t="shared" si="3"/>
        <v>212</v>
      </c>
      <c r="AK57" s="13">
        <f t="shared" si="4"/>
        <v>25</v>
      </c>
      <c r="AL57" s="13">
        <f t="shared" si="5"/>
        <v>7</v>
      </c>
      <c r="AM57" s="13">
        <f t="shared" si="6"/>
        <v>2</v>
      </c>
      <c r="AN57" s="13">
        <f t="shared" si="7"/>
        <v>8</v>
      </c>
      <c r="AO57" s="13">
        <f t="shared" si="8"/>
        <v>24</v>
      </c>
      <c r="AP57" s="13">
        <f t="shared" si="9"/>
        <v>60</v>
      </c>
      <c r="AQ57" s="13">
        <f t="shared" si="10"/>
        <v>70</v>
      </c>
      <c r="AR57" s="13">
        <f t="shared" si="11"/>
        <v>80</v>
      </c>
      <c r="AS57" s="13">
        <f t="shared" si="12"/>
        <v>150</v>
      </c>
      <c r="AT57" s="13">
        <f t="shared" si="13"/>
        <v>4</v>
      </c>
      <c r="AU57" s="13">
        <f t="shared" si="14"/>
        <v>120</v>
      </c>
      <c r="AV57" s="13">
        <f t="shared" si="15"/>
        <v>2</v>
      </c>
      <c r="AW57" s="13">
        <f t="shared" si="16"/>
        <v>0</v>
      </c>
      <c r="AX57" s="13">
        <f t="shared" si="17"/>
        <v>0</v>
      </c>
      <c r="AY57" s="13">
        <f t="shared" si="18"/>
        <v>1</v>
      </c>
      <c r="AZ57" s="13">
        <f t="shared" si="19"/>
        <v>6</v>
      </c>
      <c r="BA57" s="75" t="s">
        <v>442</v>
      </c>
      <c r="BB57" s="77">
        <v>-17.381808753789667</v>
      </c>
      <c r="BC57" s="77">
        <v>-0.50893427046276496</v>
      </c>
      <c r="BD57" s="29">
        <v>0.38682270030334331</v>
      </c>
      <c r="BE57" s="29">
        <v>-4.6418782057542141E-7</v>
      </c>
      <c r="BF57" s="29">
        <v>8.4281730023741605E-2</v>
      </c>
      <c r="BG57" s="29">
        <v>-2.3094474279762465</v>
      </c>
      <c r="BH57" s="179">
        <f t="shared" si="20"/>
        <v>0.13286577137564751</v>
      </c>
      <c r="BI57" s="127">
        <f>_xll.DCEBoltDisColBaseFix(AV57, AT57, AD57, AP57, AQ57,AR57, AS57, "TTT")</f>
        <v>189</v>
      </c>
      <c r="BJ57" s="127">
        <f t="shared" si="21"/>
        <v>513</v>
      </c>
      <c r="BK57" s="127">
        <f t="shared" si="22"/>
        <v>3.5600663374316923</v>
      </c>
      <c r="BL57" s="127">
        <f t="shared" si="23"/>
        <v>302.89508840864443</v>
      </c>
      <c r="BM57" s="120">
        <f t="shared" si="24"/>
        <v>1.1753463405879679E-2</v>
      </c>
      <c r="BN57" s="4">
        <f>_xll.DCEBoltDisColBaseFix(AV57,AT57,AD57,AP57,AQ57,AR57,AS57,"NL1T")+_xll.DCEBoltDisColBaseFix(AV57,AT57,AD57,AP57,AQ57,AR57,AS57,"NL2T")+_xll.DCEBoltDisColBaseFix(AV57,AT57,AD57,AP57,AQ57,AR57,AS57,"NL3T")</f>
        <v>4</v>
      </c>
      <c r="BO57" s="121">
        <f t="shared" si="25"/>
        <v>0</v>
      </c>
      <c r="BP57" s="122">
        <f t="shared" si="26"/>
        <v>0</v>
      </c>
      <c r="BQ57" s="122">
        <f t="shared" si="27"/>
        <v>57.1</v>
      </c>
      <c r="BR57" s="120">
        <f>BQ57/VLOOKUP(AO57,Data!$V$4:$Z$99,4,FALSE)</f>
        <v>0.16175637393767706</v>
      </c>
      <c r="BS57" s="123" t="str">
        <f t="shared" si="28"/>
        <v>OK</v>
      </c>
      <c r="BT57" s="124">
        <f t="shared" si="29"/>
        <v>0.28218598033900538</v>
      </c>
      <c r="BU57" s="124">
        <f t="shared" si="30"/>
        <v>-2.9131462027369215E-2</v>
      </c>
      <c r="BV57" s="120">
        <f t="shared" si="31"/>
        <v>2.5948136123126932E-2</v>
      </c>
      <c r="BW57" s="123" t="str">
        <f t="shared" si="32"/>
        <v>OK</v>
      </c>
      <c r="BX57" s="124">
        <f t="shared" si="33"/>
        <v>406.65599999999995</v>
      </c>
      <c r="BY57" s="120">
        <f t="shared" si="34"/>
        <v>1.5719777143837937E-3</v>
      </c>
      <c r="BZ57" s="123" t="str">
        <f t="shared" si="35"/>
        <v>OK</v>
      </c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H57" s="127"/>
      <c r="EI57" s="127"/>
      <c r="EJ57" s="127"/>
      <c r="EK57" s="127"/>
      <c r="EL57" s="127"/>
      <c r="EM57" s="120"/>
      <c r="EN57" s="121"/>
      <c r="EO57" s="121"/>
      <c r="EP57" s="120"/>
      <c r="EQ57" s="122"/>
      <c r="ER57" s="120"/>
      <c r="ES57" s="238"/>
      <c r="ET57" s="124"/>
      <c r="EU57" s="124"/>
      <c r="EV57" s="120"/>
      <c r="EW57" s="217"/>
      <c r="EX57" s="124"/>
      <c r="EY57" s="120"/>
      <c r="EZ57" s="217"/>
    </row>
    <row r="58" spans="1:156" ht="12.75" customHeight="1">
      <c r="M58" s="7"/>
      <c r="N58" s="180"/>
      <c r="O58" s="328" t="s">
        <v>371</v>
      </c>
      <c r="P58" s="328"/>
      <c r="Q58" s="306" t="s">
        <v>370</v>
      </c>
      <c r="R58" s="306" t="s">
        <v>193</v>
      </c>
      <c r="S58" s="306" t="s">
        <v>194</v>
      </c>
      <c r="T58" s="328" t="s">
        <v>195</v>
      </c>
      <c r="U58" s="306" t="s">
        <v>196</v>
      </c>
      <c r="V58" s="33"/>
      <c r="W58" s="32"/>
      <c r="X58" s="23"/>
      <c r="AA58" s="75" t="s">
        <v>460</v>
      </c>
      <c r="AB58" s="75" t="s">
        <v>433</v>
      </c>
      <c r="AC58" s="76">
        <v>0</v>
      </c>
      <c r="AD58" s="28">
        <v>388</v>
      </c>
      <c r="AE58" s="28">
        <v>212</v>
      </c>
      <c r="AF58" s="28">
        <v>6</v>
      </c>
      <c r="AG58" s="28">
        <v>8</v>
      </c>
      <c r="AH58" s="28">
        <v>372</v>
      </c>
      <c r="AI58" s="13">
        <f t="shared" si="2"/>
        <v>648</v>
      </c>
      <c r="AJ58" s="13">
        <f t="shared" si="3"/>
        <v>212</v>
      </c>
      <c r="AK58" s="13">
        <f t="shared" si="4"/>
        <v>25</v>
      </c>
      <c r="AL58" s="13">
        <f t="shared" si="5"/>
        <v>7</v>
      </c>
      <c r="AM58" s="13">
        <f t="shared" si="6"/>
        <v>2</v>
      </c>
      <c r="AN58" s="13">
        <f t="shared" si="7"/>
        <v>8</v>
      </c>
      <c r="AO58" s="13">
        <f t="shared" si="8"/>
        <v>24</v>
      </c>
      <c r="AP58" s="13">
        <f t="shared" si="9"/>
        <v>60</v>
      </c>
      <c r="AQ58" s="13">
        <f t="shared" si="10"/>
        <v>70</v>
      </c>
      <c r="AR58" s="13">
        <f t="shared" si="11"/>
        <v>80</v>
      </c>
      <c r="AS58" s="13">
        <f t="shared" si="12"/>
        <v>150</v>
      </c>
      <c r="AT58" s="13">
        <f t="shared" si="13"/>
        <v>4</v>
      </c>
      <c r="AU58" s="13">
        <f t="shared" si="14"/>
        <v>120</v>
      </c>
      <c r="AV58" s="13">
        <f t="shared" si="15"/>
        <v>2</v>
      </c>
      <c r="AW58" s="13">
        <f t="shared" si="16"/>
        <v>0</v>
      </c>
      <c r="AX58" s="13">
        <f t="shared" si="17"/>
        <v>0</v>
      </c>
      <c r="AY58" s="13">
        <f t="shared" si="18"/>
        <v>1</v>
      </c>
      <c r="AZ58" s="13">
        <f t="shared" si="19"/>
        <v>6</v>
      </c>
      <c r="BA58" s="75" t="s">
        <v>443</v>
      </c>
      <c r="BB58" s="77">
        <v>-17.381808753789667</v>
      </c>
      <c r="BC58" s="77">
        <v>-0.50893427046276496</v>
      </c>
      <c r="BD58" s="29">
        <v>0.38682270030334331</v>
      </c>
      <c r="BE58" s="29">
        <v>-4.6418782057542141E-7</v>
      </c>
      <c r="BF58" s="29">
        <v>8.4281730023741605E-2</v>
      </c>
      <c r="BG58" s="29">
        <v>-2.3094474279762465</v>
      </c>
      <c r="BH58" s="179">
        <f t="shared" si="20"/>
        <v>0.13286577137564751</v>
      </c>
      <c r="BI58" s="127">
        <f>_xll.DCEBoltDisColBaseFix(AV58, AT58, AD58, AP58, AQ58,AR58, AS58, "TTT")</f>
        <v>189</v>
      </c>
      <c r="BJ58" s="127">
        <f t="shared" si="21"/>
        <v>513</v>
      </c>
      <c r="BK58" s="127">
        <f t="shared" si="22"/>
        <v>3.5600663374316923</v>
      </c>
      <c r="BL58" s="127">
        <f t="shared" si="23"/>
        <v>302.89508840864443</v>
      </c>
      <c r="BM58" s="120">
        <f t="shared" si="24"/>
        <v>1.1753463405879679E-2</v>
      </c>
      <c r="BN58" s="4">
        <f>_xll.DCEBoltDisColBaseFix(AV58,AT58,AD58,AP58,AQ58,AR58,AS58,"NL1T")+_xll.DCEBoltDisColBaseFix(AV58,AT58,AD58,AP58,AQ58,AR58,AS58,"NL2T")+_xll.DCEBoltDisColBaseFix(AV58,AT58,AD58,AP58,AQ58,AR58,AS58,"NL3T")</f>
        <v>4</v>
      </c>
      <c r="BO58" s="121">
        <f t="shared" si="25"/>
        <v>0</v>
      </c>
      <c r="BP58" s="122">
        <f t="shared" si="26"/>
        <v>0</v>
      </c>
      <c r="BQ58" s="122">
        <f t="shared" si="27"/>
        <v>57.1</v>
      </c>
      <c r="BR58" s="120">
        <f>BQ58/VLOOKUP(AO58,Data!$V$4:$Z$99,4,FALSE)</f>
        <v>0.16175637393767706</v>
      </c>
      <c r="BS58" s="123" t="str">
        <f t="shared" si="28"/>
        <v>OK</v>
      </c>
      <c r="BT58" s="124">
        <f t="shared" si="29"/>
        <v>0.28218598033900538</v>
      </c>
      <c r="BU58" s="124">
        <f t="shared" si="30"/>
        <v>-2.9131462027369215E-2</v>
      </c>
      <c r="BV58" s="120">
        <f t="shared" si="31"/>
        <v>2.5948136123126932E-2</v>
      </c>
      <c r="BW58" s="123" t="str">
        <f t="shared" si="32"/>
        <v>OK</v>
      </c>
      <c r="BX58" s="124">
        <f t="shared" si="33"/>
        <v>406.65599999999995</v>
      </c>
      <c r="BY58" s="120">
        <f t="shared" si="34"/>
        <v>1.5719777143837937E-3</v>
      </c>
      <c r="BZ58" s="123" t="str">
        <f t="shared" si="35"/>
        <v>OK</v>
      </c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H58" s="127"/>
      <c r="EI58" s="127"/>
      <c r="EJ58" s="127"/>
      <c r="EK58" s="127"/>
      <c r="EL58" s="127"/>
      <c r="EM58" s="120"/>
      <c r="EN58" s="121"/>
      <c r="EO58" s="121"/>
      <c r="EP58" s="120"/>
      <c r="EQ58" s="122"/>
      <c r="ER58" s="120"/>
      <c r="ES58" s="238"/>
      <c r="ET58" s="124"/>
      <c r="EU58" s="124"/>
      <c r="EV58" s="120"/>
      <c r="EW58" s="217"/>
      <c r="EX58" s="124"/>
      <c r="EY58" s="120"/>
      <c r="EZ58" s="217"/>
    </row>
    <row r="59" spans="1:156" ht="12.75" customHeight="1">
      <c r="M59" s="7"/>
      <c r="N59" s="180"/>
      <c r="O59" s="328"/>
      <c r="P59" s="328"/>
      <c r="Q59" s="306"/>
      <c r="R59" s="306"/>
      <c r="S59" s="306"/>
      <c r="T59" s="328"/>
      <c r="U59" s="306"/>
      <c r="V59" s="33"/>
      <c r="W59" s="32"/>
      <c r="X59" s="23"/>
      <c r="AA59" s="75" t="s">
        <v>460</v>
      </c>
      <c r="AB59" s="75" t="s">
        <v>433</v>
      </c>
      <c r="AC59" s="76">
        <v>0</v>
      </c>
      <c r="AD59" s="28">
        <v>388</v>
      </c>
      <c r="AE59" s="28">
        <v>212</v>
      </c>
      <c r="AF59" s="28">
        <v>6</v>
      </c>
      <c r="AG59" s="28">
        <v>8</v>
      </c>
      <c r="AH59" s="28">
        <v>372</v>
      </c>
      <c r="AI59" s="13">
        <f t="shared" si="2"/>
        <v>648</v>
      </c>
      <c r="AJ59" s="13">
        <f t="shared" si="3"/>
        <v>212</v>
      </c>
      <c r="AK59" s="13">
        <f t="shared" si="4"/>
        <v>25</v>
      </c>
      <c r="AL59" s="13">
        <f t="shared" si="5"/>
        <v>7</v>
      </c>
      <c r="AM59" s="13">
        <f t="shared" si="6"/>
        <v>2</v>
      </c>
      <c r="AN59" s="13">
        <f t="shared" si="7"/>
        <v>8</v>
      </c>
      <c r="AO59" s="13">
        <f t="shared" si="8"/>
        <v>24</v>
      </c>
      <c r="AP59" s="13">
        <f t="shared" si="9"/>
        <v>60</v>
      </c>
      <c r="AQ59" s="13">
        <f t="shared" si="10"/>
        <v>70</v>
      </c>
      <c r="AR59" s="13">
        <f t="shared" si="11"/>
        <v>80</v>
      </c>
      <c r="AS59" s="13">
        <f t="shared" si="12"/>
        <v>150</v>
      </c>
      <c r="AT59" s="13">
        <f t="shared" si="13"/>
        <v>4</v>
      </c>
      <c r="AU59" s="13">
        <f t="shared" si="14"/>
        <v>120</v>
      </c>
      <c r="AV59" s="13">
        <f t="shared" si="15"/>
        <v>2</v>
      </c>
      <c r="AW59" s="13">
        <f t="shared" si="16"/>
        <v>0</v>
      </c>
      <c r="AX59" s="13">
        <f t="shared" si="17"/>
        <v>0</v>
      </c>
      <c r="AY59" s="13">
        <f t="shared" si="18"/>
        <v>1</v>
      </c>
      <c r="AZ59" s="13">
        <f t="shared" si="19"/>
        <v>6</v>
      </c>
      <c r="BA59" s="75" t="s">
        <v>444</v>
      </c>
      <c r="BB59" s="77">
        <v>-17.381808753789667</v>
      </c>
      <c r="BC59" s="77">
        <v>-0.50893427046276496</v>
      </c>
      <c r="BD59" s="29">
        <v>0.38682270030334331</v>
      </c>
      <c r="BE59" s="29">
        <v>-4.6418782057542141E-7</v>
      </c>
      <c r="BF59" s="29">
        <v>8.4281730023741605E-2</v>
      </c>
      <c r="BG59" s="29">
        <v>-2.3094474279762465</v>
      </c>
      <c r="BH59" s="179">
        <f t="shared" si="20"/>
        <v>0.13286577137564751</v>
      </c>
      <c r="BI59" s="127">
        <f>_xll.DCEBoltDisColBaseFix(AV59, AT59, AD59, AP59, AQ59,AR59, AS59, "TTT")</f>
        <v>189</v>
      </c>
      <c r="BJ59" s="127">
        <f t="shared" si="21"/>
        <v>513</v>
      </c>
      <c r="BK59" s="127">
        <f t="shared" si="22"/>
        <v>3.5600663374316923</v>
      </c>
      <c r="BL59" s="127">
        <f t="shared" si="23"/>
        <v>302.89508840864443</v>
      </c>
      <c r="BM59" s="120">
        <f t="shared" si="24"/>
        <v>1.1753463405879679E-2</v>
      </c>
      <c r="BN59" s="4">
        <f>_xll.DCEBoltDisColBaseFix(AV59,AT59,AD59,AP59,AQ59,AR59,AS59,"NL1T")+_xll.DCEBoltDisColBaseFix(AV59,AT59,AD59,AP59,AQ59,AR59,AS59,"NL2T")+_xll.DCEBoltDisColBaseFix(AV59,AT59,AD59,AP59,AQ59,AR59,AS59,"NL3T")</f>
        <v>4</v>
      </c>
      <c r="BO59" s="121">
        <f t="shared" si="25"/>
        <v>0</v>
      </c>
      <c r="BP59" s="122">
        <f t="shared" si="26"/>
        <v>0</v>
      </c>
      <c r="BQ59" s="122">
        <f t="shared" si="27"/>
        <v>57.1</v>
      </c>
      <c r="BR59" s="120">
        <f>BQ59/VLOOKUP(AO59,Data!$V$4:$Z$99,4,FALSE)</f>
        <v>0.16175637393767706</v>
      </c>
      <c r="BS59" s="123" t="str">
        <f t="shared" si="28"/>
        <v>OK</v>
      </c>
      <c r="BT59" s="124">
        <f t="shared" si="29"/>
        <v>0.28218598033900538</v>
      </c>
      <c r="BU59" s="124">
        <f t="shared" si="30"/>
        <v>-2.9131462027369215E-2</v>
      </c>
      <c r="BV59" s="120">
        <f t="shared" si="31"/>
        <v>2.5948136123126932E-2</v>
      </c>
      <c r="BW59" s="123" t="str">
        <f t="shared" si="32"/>
        <v>OK</v>
      </c>
      <c r="BX59" s="124">
        <f t="shared" si="33"/>
        <v>406.65599999999995</v>
      </c>
      <c r="BY59" s="120">
        <f t="shared" si="34"/>
        <v>1.5719777143837937E-3</v>
      </c>
      <c r="BZ59" s="123" t="str">
        <f t="shared" si="35"/>
        <v>OK</v>
      </c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H59" s="127"/>
      <c r="EI59" s="127"/>
      <c r="EJ59" s="127"/>
      <c r="EK59" s="127"/>
      <c r="EL59" s="127"/>
      <c r="EM59" s="120"/>
      <c r="EN59" s="121"/>
      <c r="EO59" s="121"/>
      <c r="EP59" s="120"/>
      <c r="EQ59" s="122"/>
      <c r="ER59" s="120"/>
      <c r="ES59" s="238"/>
      <c r="ET59" s="124"/>
      <c r="EU59" s="124"/>
      <c r="EV59" s="120"/>
      <c r="EW59" s="217"/>
      <c r="EX59" s="124"/>
      <c r="EY59" s="120"/>
      <c r="EZ59" s="217"/>
    </row>
    <row r="60" spans="1:156" ht="12.75" customHeight="1">
      <c r="A60" s="1" t="s">
        <v>339</v>
      </c>
      <c r="M60" s="7"/>
      <c r="N60" s="180"/>
      <c r="O60" s="307" t="s">
        <v>372</v>
      </c>
      <c r="P60" s="307"/>
      <c r="Q60" s="13">
        <f>DceNoiSuy(W39,$A$46:$A$99,$E$46:$E$99)</f>
        <v>0</v>
      </c>
      <c r="R60" s="13">
        <f>DceNoiSuy(W39,$A$46:$A$99,$F$46:$F$99)</f>
        <v>0</v>
      </c>
      <c r="S60" s="13">
        <f>IF(Q60=0,0,(W40-W41)/2)</f>
        <v>0</v>
      </c>
      <c r="T60" s="28">
        <v>200</v>
      </c>
      <c r="U60" s="28">
        <v>6</v>
      </c>
      <c r="V60" s="33"/>
      <c r="W60" s="32"/>
      <c r="X60" s="23"/>
      <c r="AA60" s="75" t="s">
        <v>460</v>
      </c>
      <c r="AB60" s="75" t="s">
        <v>433</v>
      </c>
      <c r="AC60" s="76">
        <v>0</v>
      </c>
      <c r="AD60" s="28">
        <v>388</v>
      </c>
      <c r="AE60" s="28">
        <v>212</v>
      </c>
      <c r="AF60" s="28">
        <v>6</v>
      </c>
      <c r="AG60" s="28">
        <v>8</v>
      </c>
      <c r="AH60" s="28">
        <v>372</v>
      </c>
      <c r="AI60" s="13">
        <f t="shared" si="2"/>
        <v>648</v>
      </c>
      <c r="AJ60" s="13">
        <f t="shared" si="3"/>
        <v>212</v>
      </c>
      <c r="AK60" s="13">
        <f t="shared" si="4"/>
        <v>25</v>
      </c>
      <c r="AL60" s="13">
        <f t="shared" si="5"/>
        <v>7</v>
      </c>
      <c r="AM60" s="13">
        <f t="shared" si="6"/>
        <v>2</v>
      </c>
      <c r="AN60" s="13">
        <f t="shared" si="7"/>
        <v>8</v>
      </c>
      <c r="AO60" s="13">
        <f t="shared" si="8"/>
        <v>24</v>
      </c>
      <c r="AP60" s="13">
        <f t="shared" si="9"/>
        <v>60</v>
      </c>
      <c r="AQ60" s="13">
        <f t="shared" si="10"/>
        <v>70</v>
      </c>
      <c r="AR60" s="13">
        <f t="shared" si="11"/>
        <v>80</v>
      </c>
      <c r="AS60" s="13">
        <f t="shared" si="12"/>
        <v>150</v>
      </c>
      <c r="AT60" s="13">
        <f t="shared" si="13"/>
        <v>4</v>
      </c>
      <c r="AU60" s="13">
        <f t="shared" si="14"/>
        <v>120</v>
      </c>
      <c r="AV60" s="13">
        <f t="shared" si="15"/>
        <v>2</v>
      </c>
      <c r="AW60" s="13">
        <f t="shared" si="16"/>
        <v>0</v>
      </c>
      <c r="AX60" s="13">
        <f t="shared" si="17"/>
        <v>0</v>
      </c>
      <c r="AY60" s="13">
        <f t="shared" si="18"/>
        <v>1</v>
      </c>
      <c r="AZ60" s="13">
        <f t="shared" si="19"/>
        <v>6</v>
      </c>
      <c r="BA60" s="75" t="s">
        <v>445</v>
      </c>
      <c r="BB60" s="77">
        <v>-17.381808753789667</v>
      </c>
      <c r="BC60" s="77">
        <v>-0.50893427046276496</v>
      </c>
      <c r="BD60" s="29">
        <v>0.38682270030334331</v>
      </c>
      <c r="BE60" s="29">
        <v>-4.6418782057542141E-7</v>
      </c>
      <c r="BF60" s="29">
        <v>8.4281730023741605E-2</v>
      </c>
      <c r="BG60" s="29">
        <v>-2.3094474279762465</v>
      </c>
      <c r="BH60" s="179">
        <f t="shared" si="20"/>
        <v>0.13286577137564751</v>
      </c>
      <c r="BI60" s="127">
        <f>_xll.DCEBoltDisColBaseFix(AV60, AT60, AD60, AP60, AQ60,AR60, AS60, "TTT")</f>
        <v>189</v>
      </c>
      <c r="BJ60" s="127">
        <f t="shared" si="21"/>
        <v>513</v>
      </c>
      <c r="BK60" s="127">
        <f t="shared" si="22"/>
        <v>3.5600663374316923</v>
      </c>
      <c r="BL60" s="127">
        <f t="shared" si="23"/>
        <v>302.89508840864443</v>
      </c>
      <c r="BM60" s="120">
        <f t="shared" si="24"/>
        <v>1.1753463405879679E-2</v>
      </c>
      <c r="BN60" s="4">
        <f>_xll.DCEBoltDisColBaseFix(AV60,AT60,AD60,AP60,AQ60,AR60,AS60,"NL1T")+_xll.DCEBoltDisColBaseFix(AV60,AT60,AD60,AP60,AQ60,AR60,AS60,"NL2T")+_xll.DCEBoltDisColBaseFix(AV60,AT60,AD60,AP60,AQ60,AR60,AS60,"NL3T")</f>
        <v>4</v>
      </c>
      <c r="BO60" s="121">
        <f t="shared" si="25"/>
        <v>0</v>
      </c>
      <c r="BP60" s="122">
        <f t="shared" si="26"/>
        <v>0</v>
      </c>
      <c r="BQ60" s="122">
        <f t="shared" si="27"/>
        <v>57.1</v>
      </c>
      <c r="BR60" s="120">
        <f>BQ60/VLOOKUP(AO60,Data!$V$4:$Z$99,4,FALSE)</f>
        <v>0.16175637393767706</v>
      </c>
      <c r="BS60" s="123" t="str">
        <f t="shared" si="28"/>
        <v>OK</v>
      </c>
      <c r="BT60" s="124">
        <f t="shared" si="29"/>
        <v>0.28218598033900538</v>
      </c>
      <c r="BU60" s="124">
        <f t="shared" si="30"/>
        <v>-2.9131462027369215E-2</v>
      </c>
      <c r="BV60" s="120">
        <f t="shared" si="31"/>
        <v>2.5948136123126932E-2</v>
      </c>
      <c r="BW60" s="123" t="str">
        <f t="shared" si="32"/>
        <v>OK</v>
      </c>
      <c r="BX60" s="124">
        <f t="shared" si="33"/>
        <v>406.65599999999995</v>
      </c>
      <c r="BY60" s="120">
        <f t="shared" si="34"/>
        <v>1.5719777143837937E-3</v>
      </c>
      <c r="BZ60" s="123" t="str">
        <f t="shared" si="35"/>
        <v>OK</v>
      </c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H60" s="127"/>
      <c r="EI60" s="127"/>
      <c r="EJ60" s="127"/>
      <c r="EK60" s="127"/>
      <c r="EL60" s="127"/>
      <c r="EM60" s="120"/>
      <c r="EN60" s="121"/>
      <c r="EO60" s="121"/>
      <c r="EP60" s="120"/>
      <c r="EQ60" s="122"/>
      <c r="ER60" s="120"/>
      <c r="ES60" s="238"/>
      <c r="ET60" s="124"/>
      <c r="EU60" s="124"/>
      <c r="EV60" s="120"/>
      <c r="EW60" s="217"/>
      <c r="EX60" s="124"/>
      <c r="EY60" s="120"/>
      <c r="EZ60" s="217"/>
    </row>
    <row r="61" spans="1:156" ht="12.75" customHeight="1">
      <c r="A61" s="1" t="s">
        <v>340</v>
      </c>
      <c r="M61" s="7"/>
      <c r="N61" s="180"/>
      <c r="O61" s="307" t="s">
        <v>373</v>
      </c>
      <c r="P61" s="307"/>
      <c r="Q61" s="13">
        <f>DceNoiSuy(W40,$G$46:$G$99,$J$46:$J$99)</f>
        <v>1</v>
      </c>
      <c r="R61" s="13">
        <f>DceNoiSuy(W40,$G$46:$G$99,$K$46:$K$99)</f>
        <v>6</v>
      </c>
      <c r="S61" s="13">
        <f>IF(Q61=0,0,(W49-W39)/2)</f>
        <v>130</v>
      </c>
      <c r="T61" s="28">
        <v>200</v>
      </c>
      <c r="U61" s="28">
        <v>6</v>
      </c>
      <c r="V61" s="33"/>
      <c r="W61" s="32"/>
      <c r="X61" s="23"/>
      <c r="AA61" s="75" t="s">
        <v>460</v>
      </c>
      <c r="AB61" s="75" t="s">
        <v>433</v>
      </c>
      <c r="AC61" s="76">
        <v>0</v>
      </c>
      <c r="AD61" s="28">
        <v>388</v>
      </c>
      <c r="AE61" s="28">
        <v>212</v>
      </c>
      <c r="AF61" s="28">
        <v>6</v>
      </c>
      <c r="AG61" s="28">
        <v>8</v>
      </c>
      <c r="AH61" s="28">
        <v>372</v>
      </c>
      <c r="AI61" s="13">
        <f t="shared" si="2"/>
        <v>648</v>
      </c>
      <c r="AJ61" s="13">
        <f t="shared" si="3"/>
        <v>212</v>
      </c>
      <c r="AK61" s="13">
        <f t="shared" si="4"/>
        <v>25</v>
      </c>
      <c r="AL61" s="13">
        <f t="shared" si="5"/>
        <v>7</v>
      </c>
      <c r="AM61" s="13">
        <f t="shared" si="6"/>
        <v>2</v>
      </c>
      <c r="AN61" s="13">
        <f t="shared" si="7"/>
        <v>8</v>
      </c>
      <c r="AO61" s="13">
        <f t="shared" si="8"/>
        <v>24</v>
      </c>
      <c r="AP61" s="13">
        <f t="shared" si="9"/>
        <v>60</v>
      </c>
      <c r="AQ61" s="13">
        <f t="shared" si="10"/>
        <v>70</v>
      </c>
      <c r="AR61" s="13">
        <f t="shared" si="11"/>
        <v>80</v>
      </c>
      <c r="AS61" s="13">
        <f t="shared" si="12"/>
        <v>150</v>
      </c>
      <c r="AT61" s="13">
        <f t="shared" si="13"/>
        <v>4</v>
      </c>
      <c r="AU61" s="13">
        <f t="shared" si="14"/>
        <v>120</v>
      </c>
      <c r="AV61" s="13">
        <f t="shared" si="15"/>
        <v>2</v>
      </c>
      <c r="AW61" s="13">
        <f t="shared" si="16"/>
        <v>0</v>
      </c>
      <c r="AX61" s="13">
        <f t="shared" si="17"/>
        <v>0</v>
      </c>
      <c r="AY61" s="13">
        <f t="shared" si="18"/>
        <v>1</v>
      </c>
      <c r="AZ61" s="13">
        <f t="shared" si="19"/>
        <v>6</v>
      </c>
      <c r="BA61" s="75" t="s">
        <v>446</v>
      </c>
      <c r="BB61" s="77">
        <v>-17.381808753789667</v>
      </c>
      <c r="BC61" s="77">
        <v>-0.50893427046276496</v>
      </c>
      <c r="BD61" s="29">
        <v>0.38682270030334331</v>
      </c>
      <c r="BE61" s="29">
        <v>-4.6418782057542141E-7</v>
      </c>
      <c r="BF61" s="29">
        <v>8.4281730023741605E-2</v>
      </c>
      <c r="BG61" s="29">
        <v>-2.3094474279762465</v>
      </c>
      <c r="BH61" s="179">
        <f t="shared" si="20"/>
        <v>0.13286577137564751</v>
      </c>
      <c r="BI61" s="127">
        <f>_xll.DCEBoltDisColBaseFix(AV61, AT61, AD61, AP61, AQ61,AR61, AS61, "TTT")</f>
        <v>189</v>
      </c>
      <c r="BJ61" s="127">
        <f t="shared" si="21"/>
        <v>513</v>
      </c>
      <c r="BK61" s="127">
        <f t="shared" si="22"/>
        <v>3.5600663374316923</v>
      </c>
      <c r="BL61" s="127">
        <f t="shared" si="23"/>
        <v>302.89508840864443</v>
      </c>
      <c r="BM61" s="120">
        <f t="shared" si="24"/>
        <v>1.1753463405879679E-2</v>
      </c>
      <c r="BN61" s="4">
        <f>_xll.DCEBoltDisColBaseFix(AV61,AT61,AD61,AP61,AQ61,AR61,AS61,"NL1T")+_xll.DCEBoltDisColBaseFix(AV61,AT61,AD61,AP61,AQ61,AR61,AS61,"NL2T")+_xll.DCEBoltDisColBaseFix(AV61,AT61,AD61,AP61,AQ61,AR61,AS61,"NL3T")</f>
        <v>4</v>
      </c>
      <c r="BO61" s="121">
        <f t="shared" si="25"/>
        <v>0</v>
      </c>
      <c r="BP61" s="122">
        <f t="shared" si="26"/>
        <v>0</v>
      </c>
      <c r="BQ61" s="122">
        <f t="shared" si="27"/>
        <v>57.1</v>
      </c>
      <c r="BR61" s="120">
        <f>BQ61/VLOOKUP(AO61,Data!$V$4:$Z$99,4,FALSE)</f>
        <v>0.16175637393767706</v>
      </c>
      <c r="BS61" s="123" t="str">
        <f t="shared" si="28"/>
        <v>OK</v>
      </c>
      <c r="BT61" s="124">
        <f t="shared" si="29"/>
        <v>0.28218598033900538</v>
      </c>
      <c r="BU61" s="124">
        <f t="shared" si="30"/>
        <v>-2.9131462027369215E-2</v>
      </c>
      <c r="BV61" s="120">
        <f t="shared" si="31"/>
        <v>2.5948136123126932E-2</v>
      </c>
      <c r="BW61" s="123" t="str">
        <f t="shared" si="32"/>
        <v>OK</v>
      </c>
      <c r="BX61" s="124">
        <f t="shared" si="33"/>
        <v>406.65599999999995</v>
      </c>
      <c r="BY61" s="120">
        <f t="shared" si="34"/>
        <v>1.5719777143837937E-3</v>
      </c>
      <c r="BZ61" s="123" t="str">
        <f t="shared" si="35"/>
        <v>OK</v>
      </c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H61" s="127"/>
      <c r="EI61" s="127"/>
      <c r="EJ61" s="127"/>
      <c r="EK61" s="127"/>
      <c r="EL61" s="127"/>
      <c r="EM61" s="120"/>
      <c r="EN61" s="121"/>
      <c r="EO61" s="121"/>
      <c r="EP61" s="120"/>
      <c r="EQ61" s="122"/>
      <c r="ER61" s="120"/>
      <c r="ES61" s="238"/>
      <c r="ET61" s="124"/>
      <c r="EU61" s="124"/>
      <c r="EV61" s="120"/>
      <c r="EW61" s="217"/>
      <c r="EX61" s="124"/>
      <c r="EY61" s="120"/>
      <c r="EZ61" s="217"/>
    </row>
    <row r="62" spans="1:156" ht="12.75" customHeight="1">
      <c r="A62" s="1" t="s">
        <v>341</v>
      </c>
      <c r="K62" s="153"/>
      <c r="M62" s="6" t="s">
        <v>63</v>
      </c>
      <c r="N62" s="180"/>
      <c r="O62" s="180"/>
      <c r="P62" s="180"/>
      <c r="Q62" s="180"/>
      <c r="R62" s="180"/>
      <c r="S62" s="181"/>
      <c r="T62" s="182"/>
      <c r="U62" s="180"/>
      <c r="V62" s="2"/>
      <c r="W62" s="2"/>
      <c r="X62" s="5"/>
      <c r="AA62" s="75" t="s">
        <v>460</v>
      </c>
      <c r="AB62" s="75" t="s">
        <v>433</v>
      </c>
      <c r="AC62" s="76">
        <v>0</v>
      </c>
      <c r="AD62" s="28">
        <v>388</v>
      </c>
      <c r="AE62" s="28">
        <v>212</v>
      </c>
      <c r="AF62" s="28">
        <v>6</v>
      </c>
      <c r="AG62" s="28">
        <v>8</v>
      </c>
      <c r="AH62" s="28">
        <v>372</v>
      </c>
      <c r="AI62" s="13">
        <f t="shared" si="2"/>
        <v>648</v>
      </c>
      <c r="AJ62" s="13">
        <f t="shared" si="3"/>
        <v>212</v>
      </c>
      <c r="AK62" s="13">
        <f t="shared" si="4"/>
        <v>25</v>
      </c>
      <c r="AL62" s="13">
        <f t="shared" si="5"/>
        <v>7</v>
      </c>
      <c r="AM62" s="13">
        <f t="shared" si="6"/>
        <v>2</v>
      </c>
      <c r="AN62" s="13">
        <f t="shared" si="7"/>
        <v>8</v>
      </c>
      <c r="AO62" s="13">
        <f t="shared" si="8"/>
        <v>24</v>
      </c>
      <c r="AP62" s="13">
        <f t="shared" si="9"/>
        <v>60</v>
      </c>
      <c r="AQ62" s="13">
        <f t="shared" si="10"/>
        <v>70</v>
      </c>
      <c r="AR62" s="13">
        <f t="shared" si="11"/>
        <v>80</v>
      </c>
      <c r="AS62" s="13">
        <f t="shared" si="12"/>
        <v>150</v>
      </c>
      <c r="AT62" s="13">
        <f t="shared" si="13"/>
        <v>4</v>
      </c>
      <c r="AU62" s="13">
        <f t="shared" si="14"/>
        <v>120</v>
      </c>
      <c r="AV62" s="13">
        <f t="shared" si="15"/>
        <v>2</v>
      </c>
      <c r="AW62" s="13">
        <f t="shared" si="16"/>
        <v>0</v>
      </c>
      <c r="AX62" s="13">
        <f t="shared" si="17"/>
        <v>0</v>
      </c>
      <c r="AY62" s="13">
        <f t="shared" si="18"/>
        <v>1</v>
      </c>
      <c r="AZ62" s="13">
        <f t="shared" si="19"/>
        <v>6</v>
      </c>
      <c r="BA62" s="75" t="s">
        <v>447</v>
      </c>
      <c r="BB62" s="77">
        <v>-17.381808753789667</v>
      </c>
      <c r="BC62" s="77">
        <v>-0.50893427046276496</v>
      </c>
      <c r="BD62" s="29">
        <v>0.38682270030334331</v>
      </c>
      <c r="BE62" s="29">
        <v>-4.6418782057542141E-7</v>
      </c>
      <c r="BF62" s="29">
        <v>8.4281730023741605E-2</v>
      </c>
      <c r="BG62" s="29">
        <v>-2.3094474279762465</v>
      </c>
      <c r="BH62" s="179">
        <f t="shared" si="20"/>
        <v>0.13286577137564751</v>
      </c>
      <c r="BI62" s="127">
        <f>_xll.DCEBoltDisColBaseFix(AV62, AT62, AD62, AP62, AQ62,AR62, AS62, "TTT")</f>
        <v>189</v>
      </c>
      <c r="BJ62" s="127">
        <f t="shared" si="21"/>
        <v>513</v>
      </c>
      <c r="BK62" s="127">
        <f t="shared" si="22"/>
        <v>3.5600663374316923</v>
      </c>
      <c r="BL62" s="127">
        <f t="shared" si="23"/>
        <v>302.89508840864443</v>
      </c>
      <c r="BM62" s="120">
        <f t="shared" si="24"/>
        <v>1.1753463405879679E-2</v>
      </c>
      <c r="BN62" s="4">
        <f>_xll.DCEBoltDisColBaseFix(AV62,AT62,AD62,AP62,AQ62,AR62,AS62,"NL1T")+_xll.DCEBoltDisColBaseFix(AV62,AT62,AD62,AP62,AQ62,AR62,AS62,"NL2T")+_xll.DCEBoltDisColBaseFix(AV62,AT62,AD62,AP62,AQ62,AR62,AS62,"NL3T")</f>
        <v>4</v>
      </c>
      <c r="BO62" s="121">
        <f t="shared" si="25"/>
        <v>0</v>
      </c>
      <c r="BP62" s="122">
        <f t="shared" si="26"/>
        <v>0</v>
      </c>
      <c r="BQ62" s="122">
        <f t="shared" si="27"/>
        <v>57.1</v>
      </c>
      <c r="BR62" s="120">
        <f>BQ62/VLOOKUP(AO62,Data!$V$4:$Z$99,4,FALSE)</f>
        <v>0.16175637393767706</v>
      </c>
      <c r="BS62" s="123" t="str">
        <f t="shared" si="28"/>
        <v>OK</v>
      </c>
      <c r="BT62" s="124">
        <f t="shared" si="29"/>
        <v>0.28218598033900538</v>
      </c>
      <c r="BU62" s="124">
        <f t="shared" si="30"/>
        <v>-2.9131462027369215E-2</v>
      </c>
      <c r="BV62" s="120">
        <f t="shared" si="31"/>
        <v>2.5948136123126932E-2</v>
      </c>
      <c r="BW62" s="123" t="str">
        <f t="shared" si="32"/>
        <v>OK</v>
      </c>
      <c r="BX62" s="124">
        <f t="shared" si="33"/>
        <v>406.65599999999995</v>
      </c>
      <c r="BY62" s="120">
        <f t="shared" si="34"/>
        <v>1.5719777143837937E-3</v>
      </c>
      <c r="BZ62" s="123" t="str">
        <f t="shared" si="35"/>
        <v>OK</v>
      </c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H62" s="127"/>
      <c r="EI62" s="127"/>
      <c r="EJ62" s="127"/>
      <c r="EK62" s="127"/>
      <c r="EL62" s="127"/>
      <c r="EM62" s="120"/>
      <c r="EN62" s="121"/>
      <c r="EO62" s="121"/>
      <c r="EP62" s="120"/>
      <c r="EQ62" s="122"/>
      <c r="ER62" s="120"/>
      <c r="ES62" s="238"/>
      <c r="ET62" s="124"/>
      <c r="EU62" s="124"/>
      <c r="EV62" s="120"/>
      <c r="EW62" s="217"/>
      <c r="EX62" s="124"/>
      <c r="EY62" s="120"/>
      <c r="EZ62" s="217"/>
    </row>
    <row r="63" spans="1:156" ht="12.75" customHeight="1">
      <c r="A63" s="1" t="s">
        <v>343</v>
      </c>
      <c r="M63" s="6"/>
      <c r="N63" s="180" t="str">
        <f>"- Loại tải trọng:"</f>
        <v>- Loại tải trọng:</v>
      </c>
      <c r="O63" s="180"/>
      <c r="P63" s="180"/>
      <c r="Q63" s="183"/>
      <c r="R63" s="180"/>
      <c r="S63" s="2"/>
      <c r="T63" s="2"/>
      <c r="U63" s="183" t="s">
        <v>78</v>
      </c>
      <c r="V63" s="33" t="s">
        <v>82</v>
      </c>
      <c r="W63" s="36">
        <f>VLOOKUP(U63,Data!$DF$2:$DG$5,2,FALSE)</f>
        <v>1.05</v>
      </c>
      <c r="X63" s="23"/>
      <c r="AA63" s="75" t="s">
        <v>460</v>
      </c>
      <c r="AB63" s="75" t="s">
        <v>433</v>
      </c>
      <c r="AC63" s="76">
        <v>0</v>
      </c>
      <c r="AD63" s="28">
        <v>388</v>
      </c>
      <c r="AE63" s="28">
        <v>212</v>
      </c>
      <c r="AF63" s="28">
        <v>6</v>
      </c>
      <c r="AG63" s="28">
        <v>8</v>
      </c>
      <c r="AH63" s="28">
        <v>372</v>
      </c>
      <c r="AI63" s="13">
        <f t="shared" si="2"/>
        <v>648</v>
      </c>
      <c r="AJ63" s="13">
        <f t="shared" si="3"/>
        <v>212</v>
      </c>
      <c r="AK63" s="13">
        <f t="shared" si="4"/>
        <v>25</v>
      </c>
      <c r="AL63" s="13">
        <f t="shared" si="5"/>
        <v>7</v>
      </c>
      <c r="AM63" s="13">
        <f t="shared" si="6"/>
        <v>2</v>
      </c>
      <c r="AN63" s="13">
        <f t="shared" si="7"/>
        <v>8</v>
      </c>
      <c r="AO63" s="13">
        <f t="shared" si="8"/>
        <v>24</v>
      </c>
      <c r="AP63" s="13">
        <f t="shared" si="9"/>
        <v>60</v>
      </c>
      <c r="AQ63" s="13">
        <f t="shared" si="10"/>
        <v>70</v>
      </c>
      <c r="AR63" s="13">
        <f t="shared" si="11"/>
        <v>80</v>
      </c>
      <c r="AS63" s="13">
        <f t="shared" si="12"/>
        <v>150</v>
      </c>
      <c r="AT63" s="13">
        <f t="shared" si="13"/>
        <v>4</v>
      </c>
      <c r="AU63" s="13">
        <f t="shared" si="14"/>
        <v>120</v>
      </c>
      <c r="AV63" s="13">
        <f t="shared" si="15"/>
        <v>2</v>
      </c>
      <c r="AW63" s="13">
        <f t="shared" si="16"/>
        <v>0</v>
      </c>
      <c r="AX63" s="13">
        <f t="shared" si="17"/>
        <v>0</v>
      </c>
      <c r="AY63" s="13">
        <f t="shared" si="18"/>
        <v>1</v>
      </c>
      <c r="AZ63" s="13">
        <f t="shared" si="19"/>
        <v>6</v>
      </c>
      <c r="BA63" s="75" t="s">
        <v>448</v>
      </c>
      <c r="BB63" s="77">
        <v>-17.381808753789667</v>
      </c>
      <c r="BC63" s="77">
        <v>-0.50893427046276496</v>
      </c>
      <c r="BD63" s="29">
        <v>0.38682270030334331</v>
      </c>
      <c r="BE63" s="29">
        <v>-4.6418782057542141E-7</v>
      </c>
      <c r="BF63" s="29">
        <v>8.4281730023741605E-2</v>
      </c>
      <c r="BG63" s="29">
        <v>-2.3094474279762465</v>
      </c>
      <c r="BH63" s="179">
        <f t="shared" si="20"/>
        <v>0.13286577137564751</v>
      </c>
      <c r="BI63" s="127">
        <f>_xll.DCEBoltDisColBaseFix(AV63, AT63, AD63, AP63, AQ63,AR63, AS63, "TTT")</f>
        <v>189</v>
      </c>
      <c r="BJ63" s="127">
        <f t="shared" si="21"/>
        <v>513</v>
      </c>
      <c r="BK63" s="127">
        <f t="shared" si="22"/>
        <v>3.5600663374316923</v>
      </c>
      <c r="BL63" s="127">
        <f t="shared" si="23"/>
        <v>302.89508840864443</v>
      </c>
      <c r="BM63" s="120">
        <f t="shared" si="24"/>
        <v>1.1753463405879679E-2</v>
      </c>
      <c r="BN63" s="4">
        <f>_xll.DCEBoltDisColBaseFix(AV63,AT63,AD63,AP63,AQ63,AR63,AS63,"NL1T")+_xll.DCEBoltDisColBaseFix(AV63,AT63,AD63,AP63,AQ63,AR63,AS63,"NL2T")+_xll.DCEBoltDisColBaseFix(AV63,AT63,AD63,AP63,AQ63,AR63,AS63,"NL3T")</f>
        <v>4</v>
      </c>
      <c r="BO63" s="121">
        <f t="shared" si="25"/>
        <v>0</v>
      </c>
      <c r="BP63" s="122">
        <f t="shared" si="26"/>
        <v>0</v>
      </c>
      <c r="BQ63" s="122">
        <f t="shared" si="27"/>
        <v>57.1</v>
      </c>
      <c r="BR63" s="120">
        <f>BQ63/VLOOKUP(AO63,Data!$V$4:$Z$99,4,FALSE)</f>
        <v>0.16175637393767706</v>
      </c>
      <c r="BS63" s="123" t="str">
        <f t="shared" si="28"/>
        <v>OK</v>
      </c>
      <c r="BT63" s="124">
        <f t="shared" si="29"/>
        <v>0.28218598033900538</v>
      </c>
      <c r="BU63" s="124">
        <f t="shared" si="30"/>
        <v>-2.9131462027369215E-2</v>
      </c>
      <c r="BV63" s="120">
        <f t="shared" si="31"/>
        <v>2.5948136123126932E-2</v>
      </c>
      <c r="BW63" s="123" t="str">
        <f t="shared" si="32"/>
        <v>OK</v>
      </c>
      <c r="BX63" s="124">
        <f t="shared" si="33"/>
        <v>406.65599999999995</v>
      </c>
      <c r="BY63" s="120">
        <f t="shared" si="34"/>
        <v>1.5719777143837937E-3</v>
      </c>
      <c r="BZ63" s="123" t="str">
        <f t="shared" si="35"/>
        <v>OK</v>
      </c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H63" s="127"/>
      <c r="EI63" s="127"/>
      <c r="EJ63" s="127"/>
      <c r="EK63" s="127"/>
      <c r="EL63" s="127"/>
      <c r="EM63" s="120"/>
      <c r="EN63" s="121"/>
      <c r="EO63" s="121"/>
      <c r="EP63" s="120"/>
      <c r="EQ63" s="122"/>
      <c r="ER63" s="120"/>
      <c r="ES63" s="238"/>
      <c r="ET63" s="124"/>
      <c r="EU63" s="124"/>
      <c r="EV63" s="120"/>
      <c r="EW63" s="217"/>
      <c r="EX63" s="124"/>
      <c r="EY63" s="120"/>
      <c r="EZ63" s="217"/>
    </row>
    <row r="64" spans="1:156" ht="15" customHeight="1">
      <c r="A64" s="1" t="s">
        <v>344</v>
      </c>
      <c r="M64" s="6"/>
      <c r="N64" s="180"/>
      <c r="O64" s="2"/>
      <c r="P64" s="2"/>
      <c r="Q64" s="331" t="s">
        <v>137</v>
      </c>
      <c r="R64" s="226" t="s">
        <v>138</v>
      </c>
      <c r="S64" s="287" t="s">
        <v>139</v>
      </c>
      <c r="T64" s="287"/>
      <c r="U64" s="227" t="s">
        <v>140</v>
      </c>
      <c r="V64" s="227" t="s">
        <v>143</v>
      </c>
      <c r="W64" s="227" t="s">
        <v>172</v>
      </c>
      <c r="X64" s="30"/>
      <c r="AA64" s="75" t="s">
        <v>460</v>
      </c>
      <c r="AB64" s="75" t="s">
        <v>433</v>
      </c>
      <c r="AC64" s="76">
        <v>0</v>
      </c>
      <c r="AD64" s="28">
        <v>388</v>
      </c>
      <c r="AE64" s="28">
        <v>212</v>
      </c>
      <c r="AF64" s="28">
        <v>6</v>
      </c>
      <c r="AG64" s="28">
        <v>8</v>
      </c>
      <c r="AH64" s="28">
        <v>372</v>
      </c>
      <c r="AI64" s="13">
        <f t="shared" si="2"/>
        <v>648</v>
      </c>
      <c r="AJ64" s="13">
        <f t="shared" si="3"/>
        <v>212</v>
      </c>
      <c r="AK64" s="13">
        <f t="shared" si="4"/>
        <v>25</v>
      </c>
      <c r="AL64" s="13">
        <f t="shared" si="5"/>
        <v>7</v>
      </c>
      <c r="AM64" s="13">
        <f t="shared" si="6"/>
        <v>2</v>
      </c>
      <c r="AN64" s="13">
        <f t="shared" si="7"/>
        <v>8</v>
      </c>
      <c r="AO64" s="13">
        <f t="shared" si="8"/>
        <v>24</v>
      </c>
      <c r="AP64" s="13">
        <f t="shared" si="9"/>
        <v>60</v>
      </c>
      <c r="AQ64" s="13">
        <f t="shared" si="10"/>
        <v>70</v>
      </c>
      <c r="AR64" s="13">
        <f t="shared" si="11"/>
        <v>80</v>
      </c>
      <c r="AS64" s="13">
        <f t="shared" si="12"/>
        <v>150</v>
      </c>
      <c r="AT64" s="13">
        <f t="shared" si="13"/>
        <v>4</v>
      </c>
      <c r="AU64" s="13">
        <f t="shared" si="14"/>
        <v>120</v>
      </c>
      <c r="AV64" s="13">
        <f t="shared" si="15"/>
        <v>2</v>
      </c>
      <c r="AW64" s="13">
        <f t="shared" si="16"/>
        <v>0</v>
      </c>
      <c r="AX64" s="13">
        <f t="shared" si="17"/>
        <v>0</v>
      </c>
      <c r="AY64" s="13">
        <f t="shared" si="18"/>
        <v>1</v>
      </c>
      <c r="AZ64" s="13">
        <f t="shared" si="19"/>
        <v>6</v>
      </c>
      <c r="BA64" s="75" t="s">
        <v>449</v>
      </c>
      <c r="BB64" s="77">
        <v>-17.381808753789667</v>
      </c>
      <c r="BC64" s="77">
        <v>-0.50893427046276496</v>
      </c>
      <c r="BD64" s="29">
        <v>0.38682270030334331</v>
      </c>
      <c r="BE64" s="29">
        <v>-4.6418782057542141E-7</v>
      </c>
      <c r="BF64" s="29">
        <v>8.4281730023741605E-2</v>
      </c>
      <c r="BG64" s="29">
        <v>-2.3094474279762465</v>
      </c>
      <c r="BH64" s="179">
        <f t="shared" si="20"/>
        <v>0.13286577137564751</v>
      </c>
      <c r="BI64" s="127">
        <f>_xll.DCEBoltDisColBaseFix(AV64, AT64, AD64, AP64, AQ64,AR64, AS64, "TTT")</f>
        <v>189</v>
      </c>
      <c r="BJ64" s="127">
        <f t="shared" si="21"/>
        <v>513</v>
      </c>
      <c r="BK64" s="127">
        <f t="shared" si="22"/>
        <v>3.5600663374316923</v>
      </c>
      <c r="BL64" s="127">
        <f t="shared" si="23"/>
        <v>302.89508840864443</v>
      </c>
      <c r="BM64" s="120">
        <f t="shared" si="24"/>
        <v>1.1753463405879679E-2</v>
      </c>
      <c r="BN64" s="4">
        <f>_xll.DCEBoltDisColBaseFix(AV64,AT64,AD64,AP64,AQ64,AR64,AS64,"NL1T")+_xll.DCEBoltDisColBaseFix(AV64,AT64,AD64,AP64,AQ64,AR64,AS64,"NL2T")+_xll.DCEBoltDisColBaseFix(AV64,AT64,AD64,AP64,AQ64,AR64,AS64,"NL3T")</f>
        <v>4</v>
      </c>
      <c r="BO64" s="121">
        <f t="shared" si="25"/>
        <v>0</v>
      </c>
      <c r="BP64" s="122">
        <f t="shared" si="26"/>
        <v>0</v>
      </c>
      <c r="BQ64" s="122">
        <f t="shared" si="27"/>
        <v>57.1</v>
      </c>
      <c r="BR64" s="120">
        <f>BQ64/VLOOKUP(AO64,Data!$V$4:$Z$99,4,FALSE)</f>
        <v>0.16175637393767706</v>
      </c>
      <c r="BS64" s="123" t="str">
        <f t="shared" si="28"/>
        <v>OK</v>
      </c>
      <c r="BT64" s="124">
        <f t="shared" si="29"/>
        <v>0.28218598033900538</v>
      </c>
      <c r="BU64" s="124">
        <f t="shared" si="30"/>
        <v>-2.9131462027369215E-2</v>
      </c>
      <c r="BV64" s="120">
        <f t="shared" si="31"/>
        <v>2.5948136123126932E-2</v>
      </c>
      <c r="BW64" s="123" t="str">
        <f t="shared" si="32"/>
        <v>OK</v>
      </c>
      <c r="BX64" s="124">
        <f t="shared" si="33"/>
        <v>406.65599999999995</v>
      </c>
      <c r="BY64" s="120">
        <f t="shared" si="34"/>
        <v>1.5719777143837937E-3</v>
      </c>
      <c r="BZ64" s="123" t="str">
        <f t="shared" si="35"/>
        <v>OK</v>
      </c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H64" s="127"/>
      <c r="EI64" s="127"/>
      <c r="EJ64" s="127"/>
      <c r="EK64" s="127"/>
      <c r="EL64" s="127"/>
      <c r="EM64" s="120"/>
      <c r="EN64" s="121"/>
      <c r="EO64" s="121"/>
      <c r="EP64" s="120"/>
      <c r="EQ64" s="122"/>
      <c r="ER64" s="120"/>
      <c r="ES64" s="238"/>
      <c r="ET64" s="124"/>
      <c r="EU64" s="124"/>
      <c r="EV64" s="120"/>
      <c r="EW64" s="217"/>
      <c r="EX64" s="124"/>
      <c r="EY64" s="120"/>
      <c r="EZ64" s="217"/>
    </row>
    <row r="65" spans="1:156">
      <c r="A65" s="1" t="s">
        <v>345</v>
      </c>
      <c r="M65" s="7"/>
      <c r="N65" s="2"/>
      <c r="O65" s="2"/>
      <c r="P65" s="2"/>
      <c r="Q65" s="331"/>
      <c r="R65" s="228" t="s">
        <v>141</v>
      </c>
      <c r="S65" s="287"/>
      <c r="T65" s="287"/>
      <c r="U65" s="227" t="s">
        <v>142</v>
      </c>
      <c r="V65" s="227" t="s">
        <v>142</v>
      </c>
      <c r="W65" s="227" t="s">
        <v>173</v>
      </c>
      <c r="X65" s="30"/>
      <c r="AA65" s="75" t="s">
        <v>460</v>
      </c>
      <c r="AB65" s="75" t="s">
        <v>433</v>
      </c>
      <c r="AC65" s="76">
        <v>0</v>
      </c>
      <c r="AD65" s="28">
        <v>388</v>
      </c>
      <c r="AE65" s="28">
        <v>212</v>
      </c>
      <c r="AF65" s="28">
        <v>6</v>
      </c>
      <c r="AG65" s="28">
        <v>8</v>
      </c>
      <c r="AH65" s="28">
        <v>372</v>
      </c>
      <c r="AI65" s="13">
        <f t="shared" si="2"/>
        <v>648</v>
      </c>
      <c r="AJ65" s="13">
        <f t="shared" si="3"/>
        <v>212</v>
      </c>
      <c r="AK65" s="13">
        <f t="shared" si="4"/>
        <v>25</v>
      </c>
      <c r="AL65" s="13">
        <f t="shared" si="5"/>
        <v>7</v>
      </c>
      <c r="AM65" s="13">
        <f t="shared" si="6"/>
        <v>2</v>
      </c>
      <c r="AN65" s="13">
        <f t="shared" si="7"/>
        <v>8</v>
      </c>
      <c r="AO65" s="13">
        <f t="shared" si="8"/>
        <v>24</v>
      </c>
      <c r="AP65" s="13">
        <f t="shared" si="9"/>
        <v>60</v>
      </c>
      <c r="AQ65" s="13">
        <f t="shared" si="10"/>
        <v>70</v>
      </c>
      <c r="AR65" s="13">
        <f t="shared" si="11"/>
        <v>80</v>
      </c>
      <c r="AS65" s="13">
        <f t="shared" si="12"/>
        <v>150</v>
      </c>
      <c r="AT65" s="13">
        <f t="shared" si="13"/>
        <v>4</v>
      </c>
      <c r="AU65" s="13">
        <f t="shared" si="14"/>
        <v>120</v>
      </c>
      <c r="AV65" s="13">
        <f t="shared" si="15"/>
        <v>2</v>
      </c>
      <c r="AW65" s="13">
        <f t="shared" si="16"/>
        <v>0</v>
      </c>
      <c r="AX65" s="13">
        <f t="shared" si="17"/>
        <v>0</v>
      </c>
      <c r="AY65" s="13">
        <f t="shared" si="18"/>
        <v>1</v>
      </c>
      <c r="AZ65" s="13">
        <f t="shared" si="19"/>
        <v>6</v>
      </c>
      <c r="BA65" s="75" t="s">
        <v>450</v>
      </c>
      <c r="BB65" s="77">
        <v>-17.381808753789667</v>
      </c>
      <c r="BC65" s="77">
        <v>-0.50893427046276496</v>
      </c>
      <c r="BD65" s="29">
        <v>0.38682270030334331</v>
      </c>
      <c r="BE65" s="29">
        <v>-4.6418782057542141E-7</v>
      </c>
      <c r="BF65" s="29">
        <v>8.4281730023741605E-2</v>
      </c>
      <c r="BG65" s="29">
        <v>-2.3094474279762465</v>
      </c>
      <c r="BH65" s="179">
        <f t="shared" si="20"/>
        <v>0.13286577137564751</v>
      </c>
      <c r="BI65" s="127">
        <f>_xll.DCEBoltDisColBaseFix(AV65, AT65, AD65, AP65, AQ65,AR65, AS65, "TTT")</f>
        <v>189</v>
      </c>
      <c r="BJ65" s="127">
        <f t="shared" si="21"/>
        <v>513</v>
      </c>
      <c r="BK65" s="127">
        <f t="shared" si="22"/>
        <v>3.5600663374316923</v>
      </c>
      <c r="BL65" s="127">
        <f t="shared" si="23"/>
        <v>302.89508840864443</v>
      </c>
      <c r="BM65" s="120">
        <f t="shared" si="24"/>
        <v>1.1753463405879679E-2</v>
      </c>
      <c r="BN65" s="4">
        <f>_xll.DCEBoltDisColBaseFix(AV65,AT65,AD65,AP65,AQ65,AR65,AS65,"NL1T")+_xll.DCEBoltDisColBaseFix(AV65,AT65,AD65,AP65,AQ65,AR65,AS65,"NL2T")+_xll.DCEBoltDisColBaseFix(AV65,AT65,AD65,AP65,AQ65,AR65,AS65,"NL3T")</f>
        <v>4</v>
      </c>
      <c r="BO65" s="121">
        <f t="shared" si="25"/>
        <v>0</v>
      </c>
      <c r="BP65" s="122">
        <f t="shared" si="26"/>
        <v>0</v>
      </c>
      <c r="BQ65" s="122">
        <f t="shared" si="27"/>
        <v>57.1</v>
      </c>
      <c r="BR65" s="120">
        <f>BQ65/VLOOKUP(AO65,Data!$V$4:$Z$99,4,FALSE)</f>
        <v>0.16175637393767706</v>
      </c>
      <c r="BS65" s="123" t="str">
        <f t="shared" si="28"/>
        <v>OK</v>
      </c>
      <c r="BT65" s="124">
        <f t="shared" si="29"/>
        <v>0.28218598033900538</v>
      </c>
      <c r="BU65" s="124">
        <f t="shared" si="30"/>
        <v>-2.9131462027369215E-2</v>
      </c>
      <c r="BV65" s="120">
        <f t="shared" si="31"/>
        <v>2.5948136123126932E-2</v>
      </c>
      <c r="BW65" s="123" t="str">
        <f t="shared" si="32"/>
        <v>OK</v>
      </c>
      <c r="BX65" s="124">
        <f t="shared" si="33"/>
        <v>406.65599999999995</v>
      </c>
      <c r="BY65" s="120">
        <f t="shared" si="34"/>
        <v>1.5719777143837937E-3</v>
      </c>
      <c r="BZ65" s="123" t="str">
        <f t="shared" si="35"/>
        <v>OK</v>
      </c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H65" s="127"/>
      <c r="EI65" s="127"/>
      <c r="EJ65" s="127"/>
      <c r="EK65" s="127"/>
      <c r="EL65" s="127"/>
      <c r="EM65" s="120"/>
      <c r="EN65" s="121"/>
      <c r="EO65" s="121"/>
      <c r="EP65" s="120"/>
      <c r="EQ65" s="122"/>
      <c r="ER65" s="120"/>
      <c r="ES65" s="238"/>
      <c r="ET65" s="124"/>
      <c r="EU65" s="124"/>
      <c r="EV65" s="120"/>
      <c r="EW65" s="217"/>
      <c r="EX65" s="124"/>
      <c r="EY65" s="120"/>
      <c r="EZ65" s="217"/>
    </row>
    <row r="66" spans="1:156" ht="15" customHeight="1">
      <c r="A66" s="1" t="s">
        <v>346</v>
      </c>
      <c r="M66" s="7"/>
      <c r="N66" s="2"/>
      <c r="O66" s="2"/>
      <c r="P66" s="2"/>
      <c r="Q66" s="28">
        <v>382</v>
      </c>
      <c r="R66" s="29">
        <v>0</v>
      </c>
      <c r="S66" s="288" t="s">
        <v>408</v>
      </c>
      <c r="T66" s="288"/>
      <c r="U66" s="29">
        <v>-8.3404325695582333</v>
      </c>
      <c r="V66" s="29">
        <v>1.4356829737841978</v>
      </c>
      <c r="W66" s="29">
        <v>4.9291594084706452</v>
      </c>
      <c r="X66" s="37"/>
      <c r="AA66" s="75" t="s">
        <v>460</v>
      </c>
      <c r="AB66" s="75" t="s">
        <v>433</v>
      </c>
      <c r="AC66" s="76">
        <v>0</v>
      </c>
      <c r="AD66" s="28">
        <v>388</v>
      </c>
      <c r="AE66" s="28">
        <v>212</v>
      </c>
      <c r="AF66" s="28">
        <v>6</v>
      </c>
      <c r="AG66" s="28">
        <v>8</v>
      </c>
      <c r="AH66" s="28">
        <v>372</v>
      </c>
      <c r="AI66" s="13">
        <f t="shared" si="2"/>
        <v>648</v>
      </c>
      <c r="AJ66" s="13">
        <f t="shared" si="3"/>
        <v>212</v>
      </c>
      <c r="AK66" s="13">
        <f t="shared" si="4"/>
        <v>25</v>
      </c>
      <c r="AL66" s="13">
        <f t="shared" si="5"/>
        <v>7</v>
      </c>
      <c r="AM66" s="13">
        <f t="shared" si="6"/>
        <v>2</v>
      </c>
      <c r="AN66" s="13">
        <f t="shared" si="7"/>
        <v>8</v>
      </c>
      <c r="AO66" s="13">
        <f t="shared" si="8"/>
        <v>24</v>
      </c>
      <c r="AP66" s="13">
        <f t="shared" si="9"/>
        <v>60</v>
      </c>
      <c r="AQ66" s="13">
        <f t="shared" si="10"/>
        <v>70</v>
      </c>
      <c r="AR66" s="13">
        <f t="shared" si="11"/>
        <v>80</v>
      </c>
      <c r="AS66" s="13">
        <f t="shared" si="12"/>
        <v>150</v>
      </c>
      <c r="AT66" s="13">
        <f t="shared" si="13"/>
        <v>4</v>
      </c>
      <c r="AU66" s="13">
        <f t="shared" si="14"/>
        <v>120</v>
      </c>
      <c r="AV66" s="13">
        <f t="shared" si="15"/>
        <v>2</v>
      </c>
      <c r="AW66" s="13">
        <f t="shared" si="16"/>
        <v>0</v>
      </c>
      <c r="AX66" s="13">
        <f t="shared" si="17"/>
        <v>0</v>
      </c>
      <c r="AY66" s="13">
        <f t="shared" si="18"/>
        <v>1</v>
      </c>
      <c r="AZ66" s="13">
        <f t="shared" si="19"/>
        <v>6</v>
      </c>
      <c r="BA66" s="75" t="s">
        <v>451</v>
      </c>
      <c r="BB66" s="77">
        <v>-17.381808753789667</v>
      </c>
      <c r="BC66" s="77">
        <v>-0.50893427046276496</v>
      </c>
      <c r="BD66" s="29">
        <v>0.38682270030334331</v>
      </c>
      <c r="BE66" s="29">
        <v>-4.6418782057542141E-7</v>
      </c>
      <c r="BF66" s="29">
        <v>8.4281730023741605E-2</v>
      </c>
      <c r="BG66" s="29">
        <v>-2.3094474279762465</v>
      </c>
      <c r="BH66" s="179">
        <f t="shared" si="20"/>
        <v>0.13286577137564751</v>
      </c>
      <c r="BI66" s="127">
        <f>_xll.DCEBoltDisColBaseFix(AV66, AT66, AD66, AP66, AQ66,AR66, AS66, "TTT")</f>
        <v>189</v>
      </c>
      <c r="BJ66" s="127">
        <f t="shared" si="21"/>
        <v>513</v>
      </c>
      <c r="BK66" s="127">
        <f t="shared" si="22"/>
        <v>3.5600663374316923</v>
      </c>
      <c r="BL66" s="127">
        <f t="shared" si="23"/>
        <v>302.89508840864443</v>
      </c>
      <c r="BM66" s="120">
        <f t="shared" si="24"/>
        <v>1.1753463405879679E-2</v>
      </c>
      <c r="BN66" s="4">
        <f>_xll.DCEBoltDisColBaseFix(AV66,AT66,AD66,AP66,AQ66,AR66,AS66,"NL1T")+_xll.DCEBoltDisColBaseFix(AV66,AT66,AD66,AP66,AQ66,AR66,AS66,"NL2T")+_xll.DCEBoltDisColBaseFix(AV66,AT66,AD66,AP66,AQ66,AR66,AS66,"NL3T")</f>
        <v>4</v>
      </c>
      <c r="BO66" s="121">
        <f t="shared" si="25"/>
        <v>0</v>
      </c>
      <c r="BP66" s="122">
        <f t="shared" si="26"/>
        <v>0</v>
      </c>
      <c r="BQ66" s="122">
        <f t="shared" si="27"/>
        <v>57.1</v>
      </c>
      <c r="BR66" s="120">
        <f>BQ66/VLOOKUP(AO66,Data!$V$4:$Z$99,4,FALSE)</f>
        <v>0.16175637393767706</v>
      </c>
      <c r="BS66" s="123" t="str">
        <f t="shared" si="28"/>
        <v>OK</v>
      </c>
      <c r="BT66" s="124">
        <f t="shared" si="29"/>
        <v>0.28218598033900538</v>
      </c>
      <c r="BU66" s="124">
        <f t="shared" si="30"/>
        <v>-2.9131462027369215E-2</v>
      </c>
      <c r="BV66" s="120">
        <f t="shared" si="31"/>
        <v>2.5948136123126932E-2</v>
      </c>
      <c r="BW66" s="123" t="str">
        <f t="shared" si="32"/>
        <v>OK</v>
      </c>
      <c r="BX66" s="124">
        <f t="shared" si="33"/>
        <v>406.65599999999995</v>
      </c>
      <c r="BY66" s="120">
        <f t="shared" si="34"/>
        <v>1.5719777143837937E-3</v>
      </c>
      <c r="BZ66" s="123" t="str">
        <f t="shared" si="35"/>
        <v>OK</v>
      </c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H66" s="127"/>
      <c r="EI66" s="127"/>
      <c r="EJ66" s="127"/>
      <c r="EK66" s="127"/>
      <c r="EL66" s="127"/>
      <c r="EM66" s="120"/>
      <c r="EN66" s="121"/>
      <c r="EO66" s="121"/>
      <c r="EP66" s="120"/>
      <c r="EQ66" s="122"/>
      <c r="ER66" s="120"/>
      <c r="ES66" s="238"/>
      <c r="ET66" s="124"/>
      <c r="EU66" s="124"/>
      <c r="EV66" s="120"/>
      <c r="EW66" s="217"/>
      <c r="EX66" s="124"/>
      <c r="EY66" s="120"/>
      <c r="EZ66" s="217"/>
    </row>
    <row r="67" spans="1:156">
      <c r="A67" s="1" t="s">
        <v>347</v>
      </c>
      <c r="M67" s="329" t="s">
        <v>199</v>
      </c>
      <c r="N67" s="330"/>
      <c r="O67" s="332"/>
      <c r="P67" s="33"/>
      <c r="Q67" s="187"/>
      <c r="R67" s="188"/>
      <c r="S67" s="2"/>
      <c r="T67" s="2"/>
      <c r="U67" s="2"/>
      <c r="V67" s="2"/>
      <c r="W67" s="2"/>
      <c r="X67" s="8"/>
      <c r="AA67" s="75" t="s">
        <v>460</v>
      </c>
      <c r="AB67" s="75" t="s">
        <v>433</v>
      </c>
      <c r="AC67" s="76">
        <v>0</v>
      </c>
      <c r="AD67" s="28">
        <v>388</v>
      </c>
      <c r="AE67" s="28">
        <v>212</v>
      </c>
      <c r="AF67" s="28">
        <v>6</v>
      </c>
      <c r="AG67" s="28">
        <v>8</v>
      </c>
      <c r="AH67" s="28">
        <v>372</v>
      </c>
      <c r="AI67" s="13">
        <f t="shared" si="2"/>
        <v>648</v>
      </c>
      <c r="AJ67" s="13">
        <f t="shared" si="3"/>
        <v>212</v>
      </c>
      <c r="AK67" s="13">
        <f t="shared" si="4"/>
        <v>25</v>
      </c>
      <c r="AL67" s="13">
        <f t="shared" si="5"/>
        <v>7</v>
      </c>
      <c r="AM67" s="13">
        <f t="shared" si="6"/>
        <v>2</v>
      </c>
      <c r="AN67" s="13">
        <f t="shared" si="7"/>
        <v>8</v>
      </c>
      <c r="AO67" s="13">
        <f t="shared" si="8"/>
        <v>24</v>
      </c>
      <c r="AP67" s="13">
        <f t="shared" si="9"/>
        <v>60</v>
      </c>
      <c r="AQ67" s="13">
        <f t="shared" si="10"/>
        <v>70</v>
      </c>
      <c r="AR67" s="13">
        <f t="shared" si="11"/>
        <v>80</v>
      </c>
      <c r="AS67" s="13">
        <f t="shared" si="12"/>
        <v>150</v>
      </c>
      <c r="AT67" s="13">
        <f t="shared" si="13"/>
        <v>4</v>
      </c>
      <c r="AU67" s="13">
        <f t="shared" si="14"/>
        <v>120</v>
      </c>
      <c r="AV67" s="13">
        <f t="shared" si="15"/>
        <v>2</v>
      </c>
      <c r="AW67" s="13">
        <f t="shared" si="16"/>
        <v>0</v>
      </c>
      <c r="AX67" s="13">
        <f t="shared" si="17"/>
        <v>0</v>
      </c>
      <c r="AY67" s="13">
        <f t="shared" si="18"/>
        <v>1</v>
      </c>
      <c r="AZ67" s="13">
        <f t="shared" si="19"/>
        <v>6</v>
      </c>
      <c r="BA67" s="75" t="s">
        <v>452</v>
      </c>
      <c r="BB67" s="77">
        <v>-17.381808753789667</v>
      </c>
      <c r="BC67" s="77">
        <v>-0.50893427046276496</v>
      </c>
      <c r="BD67" s="29">
        <v>0.38682270030334331</v>
      </c>
      <c r="BE67" s="29">
        <v>-4.6418782057542141E-7</v>
      </c>
      <c r="BF67" s="29">
        <v>8.4281730023741605E-2</v>
      </c>
      <c r="BG67" s="29">
        <v>-2.3094474279762465</v>
      </c>
      <c r="BH67" s="179">
        <f t="shared" si="20"/>
        <v>0.13286577137564751</v>
      </c>
      <c r="BI67" s="127">
        <f>_xll.DCEBoltDisColBaseFix(AV67, AT67, AD67, AP67, AQ67,AR67, AS67, "TTT")</f>
        <v>189</v>
      </c>
      <c r="BJ67" s="127">
        <f t="shared" si="21"/>
        <v>513</v>
      </c>
      <c r="BK67" s="127">
        <f t="shared" si="22"/>
        <v>3.5600663374316923</v>
      </c>
      <c r="BL67" s="127">
        <f t="shared" si="23"/>
        <v>302.89508840864443</v>
      </c>
      <c r="BM67" s="120">
        <f t="shared" si="24"/>
        <v>1.1753463405879679E-2</v>
      </c>
      <c r="BN67" s="4">
        <f>_xll.DCEBoltDisColBaseFix(AV67,AT67,AD67,AP67,AQ67,AR67,AS67,"NL1T")+_xll.DCEBoltDisColBaseFix(AV67,AT67,AD67,AP67,AQ67,AR67,AS67,"NL2T")+_xll.DCEBoltDisColBaseFix(AV67,AT67,AD67,AP67,AQ67,AR67,AS67,"NL3T")</f>
        <v>4</v>
      </c>
      <c r="BO67" s="121">
        <f t="shared" si="25"/>
        <v>0</v>
      </c>
      <c r="BP67" s="122">
        <f t="shared" si="26"/>
        <v>0</v>
      </c>
      <c r="BQ67" s="122">
        <f t="shared" si="27"/>
        <v>57.1</v>
      </c>
      <c r="BR67" s="120">
        <f>BQ67/VLOOKUP(AO67,Data!$V$4:$Z$99,4,FALSE)</f>
        <v>0.16175637393767706</v>
      </c>
      <c r="BS67" s="123" t="str">
        <f t="shared" si="28"/>
        <v>OK</v>
      </c>
      <c r="BT67" s="124">
        <f t="shared" si="29"/>
        <v>0.28218598033900538</v>
      </c>
      <c r="BU67" s="124">
        <f t="shared" si="30"/>
        <v>-2.9131462027369215E-2</v>
      </c>
      <c r="BV67" s="120">
        <f t="shared" si="31"/>
        <v>2.5948136123126932E-2</v>
      </c>
      <c r="BW67" s="123" t="str">
        <f t="shared" si="32"/>
        <v>OK</v>
      </c>
      <c r="BX67" s="124">
        <f t="shared" si="33"/>
        <v>406.65599999999995</v>
      </c>
      <c r="BY67" s="120">
        <f t="shared" si="34"/>
        <v>1.5719777143837937E-3</v>
      </c>
      <c r="BZ67" s="123" t="str">
        <f t="shared" si="35"/>
        <v>OK</v>
      </c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H67" s="127"/>
      <c r="EI67" s="127"/>
      <c r="EJ67" s="127"/>
      <c r="EK67" s="127"/>
      <c r="EL67" s="127"/>
      <c r="EM67" s="120"/>
      <c r="EN67" s="121"/>
      <c r="EO67" s="121"/>
      <c r="EP67" s="120"/>
      <c r="EQ67" s="122"/>
      <c r="ER67" s="120"/>
      <c r="ES67" s="238"/>
      <c r="ET67" s="124"/>
      <c r="EU67" s="124"/>
      <c r="EV67" s="120"/>
      <c r="EW67" s="217"/>
      <c r="EX67" s="124"/>
      <c r="EY67" s="120"/>
      <c r="EZ67" s="217"/>
    </row>
    <row r="68" spans="1:156" ht="15" customHeight="1">
      <c r="A68" s="1" t="s">
        <v>349</v>
      </c>
      <c r="M68" s="7"/>
      <c r="N68" s="2"/>
      <c r="O68" s="224" t="s">
        <v>200</v>
      </c>
      <c r="P68" s="333" t="s">
        <v>201</v>
      </c>
      <c r="Q68" s="333"/>
      <c r="R68" s="333"/>
      <c r="S68" s="333"/>
      <c r="T68" s="225" t="s">
        <v>203</v>
      </c>
      <c r="U68" s="341" t="s">
        <v>202</v>
      </c>
      <c r="V68" s="341"/>
      <c r="W68" s="341"/>
      <c r="X68" s="37"/>
      <c r="AA68" s="75" t="s">
        <v>460</v>
      </c>
      <c r="AB68" s="75" t="s">
        <v>433</v>
      </c>
      <c r="AC68" s="76">
        <v>0</v>
      </c>
      <c r="AD68" s="28">
        <v>388</v>
      </c>
      <c r="AE68" s="28">
        <v>212</v>
      </c>
      <c r="AF68" s="28">
        <v>6</v>
      </c>
      <c r="AG68" s="28">
        <v>8</v>
      </c>
      <c r="AH68" s="28">
        <v>372</v>
      </c>
      <c r="AI68" s="13">
        <f t="shared" si="2"/>
        <v>648</v>
      </c>
      <c r="AJ68" s="13">
        <f t="shared" si="3"/>
        <v>212</v>
      </c>
      <c r="AK68" s="13">
        <f t="shared" si="4"/>
        <v>25</v>
      </c>
      <c r="AL68" s="13">
        <f t="shared" si="5"/>
        <v>7</v>
      </c>
      <c r="AM68" s="13">
        <f t="shared" si="6"/>
        <v>2</v>
      </c>
      <c r="AN68" s="13">
        <f t="shared" si="7"/>
        <v>8</v>
      </c>
      <c r="AO68" s="13">
        <f t="shared" si="8"/>
        <v>24</v>
      </c>
      <c r="AP68" s="13">
        <f t="shared" si="9"/>
        <v>60</v>
      </c>
      <c r="AQ68" s="13">
        <f t="shared" si="10"/>
        <v>70</v>
      </c>
      <c r="AR68" s="13">
        <f t="shared" si="11"/>
        <v>80</v>
      </c>
      <c r="AS68" s="13">
        <f t="shared" si="12"/>
        <v>150</v>
      </c>
      <c r="AT68" s="13">
        <f t="shared" si="13"/>
        <v>4</v>
      </c>
      <c r="AU68" s="13">
        <f t="shared" si="14"/>
        <v>120</v>
      </c>
      <c r="AV68" s="13">
        <f t="shared" si="15"/>
        <v>2</v>
      </c>
      <c r="AW68" s="13">
        <f t="shared" si="16"/>
        <v>0</v>
      </c>
      <c r="AX68" s="13">
        <f t="shared" si="17"/>
        <v>0</v>
      </c>
      <c r="AY68" s="13">
        <f t="shared" si="18"/>
        <v>1</v>
      </c>
      <c r="AZ68" s="13">
        <f t="shared" si="19"/>
        <v>6</v>
      </c>
      <c r="BA68" s="75" t="s">
        <v>453</v>
      </c>
      <c r="BB68" s="77">
        <v>-17.381808753789667</v>
      </c>
      <c r="BC68" s="77">
        <v>-0.50893427046276496</v>
      </c>
      <c r="BD68" s="29">
        <v>0.38682270030334331</v>
      </c>
      <c r="BE68" s="29">
        <v>-4.6418782057542141E-7</v>
      </c>
      <c r="BF68" s="29">
        <v>8.4281730023741605E-2</v>
      </c>
      <c r="BG68" s="29">
        <v>-2.3094474279762465</v>
      </c>
      <c r="BH68" s="179">
        <f t="shared" si="20"/>
        <v>0.13286577137564751</v>
      </c>
      <c r="BI68" s="127">
        <f>_xll.DCEBoltDisColBaseFix(AV68, AT68, AD68, AP68, AQ68,AR68, AS68, "TTT")</f>
        <v>189</v>
      </c>
      <c r="BJ68" s="127">
        <f t="shared" si="21"/>
        <v>513</v>
      </c>
      <c r="BK68" s="127">
        <f t="shared" si="22"/>
        <v>3.5600663374316923</v>
      </c>
      <c r="BL68" s="127">
        <f t="shared" si="23"/>
        <v>302.89508840864443</v>
      </c>
      <c r="BM68" s="120">
        <f t="shared" si="24"/>
        <v>1.1753463405879679E-2</v>
      </c>
      <c r="BN68" s="4">
        <f>_xll.DCEBoltDisColBaseFix(AV68,AT68,AD68,AP68,AQ68,AR68,AS68,"NL1T")+_xll.DCEBoltDisColBaseFix(AV68,AT68,AD68,AP68,AQ68,AR68,AS68,"NL2T")+_xll.DCEBoltDisColBaseFix(AV68,AT68,AD68,AP68,AQ68,AR68,AS68,"NL3T")</f>
        <v>4</v>
      </c>
      <c r="BO68" s="121">
        <f t="shared" si="25"/>
        <v>0</v>
      </c>
      <c r="BP68" s="122">
        <f t="shared" si="26"/>
        <v>0</v>
      </c>
      <c r="BQ68" s="122">
        <f t="shared" si="27"/>
        <v>57.1</v>
      </c>
      <c r="BR68" s="120">
        <f>BQ68/VLOOKUP(AO68,Data!$V$4:$Z$99,4,FALSE)</f>
        <v>0.16175637393767706</v>
      </c>
      <c r="BS68" s="123" t="str">
        <f t="shared" si="28"/>
        <v>OK</v>
      </c>
      <c r="BT68" s="124">
        <f t="shared" si="29"/>
        <v>0.28218598033900538</v>
      </c>
      <c r="BU68" s="124">
        <f t="shared" si="30"/>
        <v>-2.9131462027369215E-2</v>
      </c>
      <c r="BV68" s="120">
        <f t="shared" si="31"/>
        <v>2.5948136123126932E-2</v>
      </c>
      <c r="BW68" s="123" t="str">
        <f t="shared" si="32"/>
        <v>OK</v>
      </c>
      <c r="BX68" s="124">
        <f t="shared" si="33"/>
        <v>406.65599999999995</v>
      </c>
      <c r="BY68" s="120">
        <f t="shared" si="34"/>
        <v>1.5719777143837937E-3</v>
      </c>
      <c r="BZ68" s="123" t="str">
        <f t="shared" si="35"/>
        <v>OK</v>
      </c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H68" s="127"/>
      <c r="EI68" s="127"/>
      <c r="EJ68" s="127"/>
      <c r="EK68" s="127"/>
      <c r="EL68" s="127"/>
      <c r="EM68" s="120"/>
      <c r="EN68" s="121"/>
      <c r="EO68" s="121"/>
      <c r="EP68" s="120"/>
      <c r="EQ68" s="122"/>
      <c r="ER68" s="120"/>
      <c r="ES68" s="238"/>
      <c r="ET68" s="124"/>
      <c r="EU68" s="124"/>
      <c r="EV68" s="120"/>
      <c r="EW68" s="217"/>
      <c r="EX68" s="124"/>
      <c r="EY68" s="120"/>
      <c r="EZ68" s="217"/>
    </row>
    <row r="69" spans="1:156" ht="15" customHeight="1">
      <c r="A69" s="1" t="s">
        <v>348</v>
      </c>
      <c r="M69" s="7"/>
      <c r="N69" s="2"/>
      <c r="O69" s="49">
        <v>1</v>
      </c>
      <c r="P69" s="340" t="s">
        <v>206</v>
      </c>
      <c r="Q69" s="340"/>
      <c r="R69" s="340"/>
      <c r="S69" s="340"/>
      <c r="T69" s="50">
        <f>W92</f>
        <v>0.16175637393767706</v>
      </c>
      <c r="U69" s="337"/>
      <c r="V69" s="338"/>
      <c r="W69" s="339"/>
      <c r="X69" s="37"/>
      <c r="AA69" s="75" t="s">
        <v>460</v>
      </c>
      <c r="AB69" s="75" t="s">
        <v>433</v>
      </c>
      <c r="AC69" s="76">
        <v>0</v>
      </c>
      <c r="AD69" s="28">
        <v>388</v>
      </c>
      <c r="AE69" s="28">
        <v>212</v>
      </c>
      <c r="AF69" s="28">
        <v>6</v>
      </c>
      <c r="AG69" s="28">
        <v>8</v>
      </c>
      <c r="AH69" s="28">
        <v>372</v>
      </c>
      <c r="AI69" s="13">
        <f t="shared" si="2"/>
        <v>648</v>
      </c>
      <c r="AJ69" s="13">
        <f t="shared" si="3"/>
        <v>212</v>
      </c>
      <c r="AK69" s="13">
        <f t="shared" si="4"/>
        <v>25</v>
      </c>
      <c r="AL69" s="13">
        <f t="shared" si="5"/>
        <v>7</v>
      </c>
      <c r="AM69" s="13">
        <f t="shared" si="6"/>
        <v>2</v>
      </c>
      <c r="AN69" s="13">
        <f t="shared" si="7"/>
        <v>8</v>
      </c>
      <c r="AO69" s="13">
        <f t="shared" si="8"/>
        <v>24</v>
      </c>
      <c r="AP69" s="13">
        <f t="shared" si="9"/>
        <v>60</v>
      </c>
      <c r="AQ69" s="13">
        <f t="shared" si="10"/>
        <v>70</v>
      </c>
      <c r="AR69" s="13">
        <f t="shared" si="11"/>
        <v>80</v>
      </c>
      <c r="AS69" s="13">
        <f t="shared" si="12"/>
        <v>150</v>
      </c>
      <c r="AT69" s="13">
        <f t="shared" si="13"/>
        <v>4</v>
      </c>
      <c r="AU69" s="13">
        <f t="shared" si="14"/>
        <v>120</v>
      </c>
      <c r="AV69" s="13">
        <f t="shared" si="15"/>
        <v>2</v>
      </c>
      <c r="AW69" s="13">
        <f t="shared" si="16"/>
        <v>0</v>
      </c>
      <c r="AX69" s="13">
        <f t="shared" si="17"/>
        <v>0</v>
      </c>
      <c r="AY69" s="13">
        <f t="shared" si="18"/>
        <v>1</v>
      </c>
      <c r="AZ69" s="13">
        <f t="shared" si="19"/>
        <v>6</v>
      </c>
      <c r="BA69" s="75" t="s">
        <v>454</v>
      </c>
      <c r="BB69" s="77">
        <v>-17.381808753789667</v>
      </c>
      <c r="BC69" s="77">
        <v>-0.50893427046276496</v>
      </c>
      <c r="BD69" s="29">
        <v>0.38682270030334331</v>
      </c>
      <c r="BE69" s="29">
        <v>-4.6418782057542141E-7</v>
      </c>
      <c r="BF69" s="29">
        <v>8.4281730023741605E-2</v>
      </c>
      <c r="BG69" s="29">
        <v>-2.3094474279762465</v>
      </c>
      <c r="BH69" s="179">
        <f t="shared" si="20"/>
        <v>0.13286577137564751</v>
      </c>
      <c r="BI69" s="127">
        <f>_xll.DCEBoltDisColBaseFix(AV69, AT69, AD69, AP69, AQ69,AR69, AS69, "TTT")</f>
        <v>189</v>
      </c>
      <c r="BJ69" s="127">
        <f t="shared" si="21"/>
        <v>513</v>
      </c>
      <c r="BK69" s="127">
        <f t="shared" si="22"/>
        <v>3.5600663374316923</v>
      </c>
      <c r="BL69" s="127">
        <f t="shared" si="23"/>
        <v>302.89508840864443</v>
      </c>
      <c r="BM69" s="120">
        <f t="shared" si="24"/>
        <v>1.1753463405879679E-2</v>
      </c>
      <c r="BN69" s="4">
        <f>_xll.DCEBoltDisColBaseFix(AV69,AT69,AD69,AP69,AQ69,AR69,AS69,"NL1T")+_xll.DCEBoltDisColBaseFix(AV69,AT69,AD69,AP69,AQ69,AR69,AS69,"NL2T")+_xll.DCEBoltDisColBaseFix(AV69,AT69,AD69,AP69,AQ69,AR69,AS69,"NL3T")</f>
        <v>4</v>
      </c>
      <c r="BO69" s="121">
        <f t="shared" si="25"/>
        <v>0</v>
      </c>
      <c r="BP69" s="122">
        <f t="shared" si="26"/>
        <v>0</v>
      </c>
      <c r="BQ69" s="122">
        <f t="shared" si="27"/>
        <v>57.1</v>
      </c>
      <c r="BR69" s="120">
        <f>BQ69/VLOOKUP(AO69,Data!$V$4:$Z$99,4,FALSE)</f>
        <v>0.16175637393767706</v>
      </c>
      <c r="BS69" s="123" t="str">
        <f t="shared" si="28"/>
        <v>OK</v>
      </c>
      <c r="BT69" s="124">
        <f t="shared" si="29"/>
        <v>0.28218598033900538</v>
      </c>
      <c r="BU69" s="124">
        <f t="shared" si="30"/>
        <v>-2.9131462027369215E-2</v>
      </c>
      <c r="BV69" s="120">
        <f t="shared" si="31"/>
        <v>2.5948136123126932E-2</v>
      </c>
      <c r="BW69" s="123" t="str">
        <f t="shared" si="32"/>
        <v>OK</v>
      </c>
      <c r="BX69" s="124">
        <f t="shared" si="33"/>
        <v>406.65599999999995</v>
      </c>
      <c r="BY69" s="120">
        <f t="shared" si="34"/>
        <v>1.5719777143837937E-3</v>
      </c>
      <c r="BZ69" s="123" t="str">
        <f t="shared" si="35"/>
        <v>OK</v>
      </c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H69" s="127"/>
      <c r="EI69" s="127"/>
      <c r="EJ69" s="127"/>
      <c r="EK69" s="127"/>
      <c r="EL69" s="127"/>
      <c r="EM69" s="120"/>
      <c r="EN69" s="121"/>
      <c r="EO69" s="121"/>
      <c r="EP69" s="120"/>
      <c r="EQ69" s="122"/>
      <c r="ER69" s="120"/>
      <c r="ES69" s="238"/>
      <c r="ET69" s="124"/>
      <c r="EU69" s="124"/>
      <c r="EV69" s="120"/>
      <c r="EW69" s="217"/>
      <c r="EX69" s="124"/>
      <c r="EY69" s="120"/>
      <c r="EZ69" s="217"/>
    </row>
    <row r="70" spans="1:156" ht="15" customHeight="1">
      <c r="M70" s="7"/>
      <c r="N70" s="2"/>
      <c r="O70" s="51">
        <f>O69+1</f>
        <v>2</v>
      </c>
      <c r="P70" s="289" t="s">
        <v>205</v>
      </c>
      <c r="Q70" s="289"/>
      <c r="R70" s="289"/>
      <c r="S70" s="289"/>
      <c r="T70" s="52">
        <f>W102</f>
        <v>3.0542579325101477E-2</v>
      </c>
      <c r="U70" s="322"/>
      <c r="V70" s="323"/>
      <c r="W70" s="324"/>
      <c r="X70" s="37"/>
      <c r="AA70" s="75" t="s">
        <v>460</v>
      </c>
      <c r="AB70" s="75" t="s">
        <v>433</v>
      </c>
      <c r="AC70" s="76">
        <v>0</v>
      </c>
      <c r="AD70" s="28">
        <v>388</v>
      </c>
      <c r="AE70" s="28">
        <v>212</v>
      </c>
      <c r="AF70" s="28">
        <v>6</v>
      </c>
      <c r="AG70" s="28">
        <v>8</v>
      </c>
      <c r="AH70" s="28">
        <v>372</v>
      </c>
      <c r="AI70" s="13">
        <f t="shared" si="2"/>
        <v>648</v>
      </c>
      <c r="AJ70" s="13">
        <f t="shared" si="3"/>
        <v>212</v>
      </c>
      <c r="AK70" s="13">
        <f t="shared" si="4"/>
        <v>25</v>
      </c>
      <c r="AL70" s="13">
        <f t="shared" si="5"/>
        <v>7</v>
      </c>
      <c r="AM70" s="13">
        <f t="shared" si="6"/>
        <v>2</v>
      </c>
      <c r="AN70" s="13">
        <f t="shared" si="7"/>
        <v>8</v>
      </c>
      <c r="AO70" s="13">
        <f t="shared" si="8"/>
        <v>24</v>
      </c>
      <c r="AP70" s="13">
        <f t="shared" si="9"/>
        <v>60</v>
      </c>
      <c r="AQ70" s="13">
        <f t="shared" si="10"/>
        <v>70</v>
      </c>
      <c r="AR70" s="13">
        <f t="shared" si="11"/>
        <v>80</v>
      </c>
      <c r="AS70" s="13">
        <f t="shared" si="12"/>
        <v>150</v>
      </c>
      <c r="AT70" s="13">
        <f t="shared" si="13"/>
        <v>4</v>
      </c>
      <c r="AU70" s="13">
        <f t="shared" si="14"/>
        <v>120</v>
      </c>
      <c r="AV70" s="13">
        <f t="shared" si="15"/>
        <v>2</v>
      </c>
      <c r="AW70" s="13">
        <f t="shared" si="16"/>
        <v>0</v>
      </c>
      <c r="AX70" s="13">
        <f t="shared" si="17"/>
        <v>0</v>
      </c>
      <c r="AY70" s="13">
        <f t="shared" si="18"/>
        <v>1</v>
      </c>
      <c r="AZ70" s="13">
        <f t="shared" si="19"/>
        <v>6</v>
      </c>
      <c r="BA70" s="75" t="s">
        <v>455</v>
      </c>
      <c r="BB70" s="77">
        <v>-17.381808753789667</v>
      </c>
      <c r="BC70" s="77">
        <v>-0.50893427046276496</v>
      </c>
      <c r="BD70" s="29">
        <v>0.38682270030334331</v>
      </c>
      <c r="BE70" s="29">
        <v>-4.6418782057542141E-7</v>
      </c>
      <c r="BF70" s="29">
        <v>8.4281730023741605E-2</v>
      </c>
      <c r="BG70" s="29">
        <v>-2.3094474279762465</v>
      </c>
      <c r="BH70" s="179">
        <f t="shared" si="20"/>
        <v>0.13286577137564751</v>
      </c>
      <c r="BI70" s="127">
        <f>_xll.DCEBoltDisColBaseFix(AV70, AT70, AD70, AP70, AQ70,AR70, AS70, "TTT")</f>
        <v>189</v>
      </c>
      <c r="BJ70" s="127">
        <f t="shared" si="21"/>
        <v>513</v>
      </c>
      <c r="BK70" s="127">
        <f t="shared" si="22"/>
        <v>3.5600663374316923</v>
      </c>
      <c r="BL70" s="127">
        <f t="shared" si="23"/>
        <v>302.89508840864443</v>
      </c>
      <c r="BM70" s="120">
        <f t="shared" si="24"/>
        <v>1.1753463405879679E-2</v>
      </c>
      <c r="BN70" s="4">
        <f>_xll.DCEBoltDisColBaseFix(AV70,AT70,AD70,AP70,AQ70,AR70,AS70,"NL1T")+_xll.DCEBoltDisColBaseFix(AV70,AT70,AD70,AP70,AQ70,AR70,AS70,"NL2T")+_xll.DCEBoltDisColBaseFix(AV70,AT70,AD70,AP70,AQ70,AR70,AS70,"NL3T")</f>
        <v>4</v>
      </c>
      <c r="BO70" s="121">
        <f t="shared" si="25"/>
        <v>0</v>
      </c>
      <c r="BP70" s="122">
        <f t="shared" si="26"/>
        <v>0</v>
      </c>
      <c r="BQ70" s="122">
        <f t="shared" si="27"/>
        <v>57.1</v>
      </c>
      <c r="BR70" s="120">
        <f>BQ70/VLOOKUP(AO70,Data!$V$4:$Z$99,4,FALSE)</f>
        <v>0.16175637393767706</v>
      </c>
      <c r="BS70" s="123" t="str">
        <f t="shared" si="28"/>
        <v>OK</v>
      </c>
      <c r="BT70" s="124">
        <f t="shared" si="29"/>
        <v>0.28218598033900538</v>
      </c>
      <c r="BU70" s="124">
        <f t="shared" si="30"/>
        <v>-2.9131462027369215E-2</v>
      </c>
      <c r="BV70" s="120">
        <f t="shared" si="31"/>
        <v>2.5948136123126932E-2</v>
      </c>
      <c r="BW70" s="123" t="str">
        <f t="shared" si="32"/>
        <v>OK</v>
      </c>
      <c r="BX70" s="124">
        <f t="shared" si="33"/>
        <v>406.65599999999995</v>
      </c>
      <c r="BY70" s="120">
        <f t="shared" si="34"/>
        <v>1.5719777143837937E-3</v>
      </c>
      <c r="BZ70" s="123" t="str">
        <f t="shared" si="35"/>
        <v>OK</v>
      </c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H70" s="127"/>
      <c r="EI70" s="127"/>
      <c r="EJ70" s="127"/>
      <c r="EK70" s="127"/>
      <c r="EL70" s="127"/>
      <c r="EM70" s="120"/>
      <c r="EN70" s="121"/>
      <c r="EO70" s="121"/>
      <c r="EP70" s="120"/>
      <c r="EQ70" s="122"/>
      <c r="ER70" s="120"/>
      <c r="ES70" s="238"/>
      <c r="ET70" s="124"/>
      <c r="EU70" s="124"/>
      <c r="EV70" s="120"/>
      <c r="EW70" s="217"/>
      <c r="EX70" s="124"/>
      <c r="EY70" s="120"/>
      <c r="EZ70" s="217"/>
    </row>
    <row r="71" spans="1:156" ht="15" customHeight="1">
      <c r="M71" s="7"/>
      <c r="N71" s="2"/>
      <c r="O71" s="51">
        <f t="shared" ref="O71:O75" si="36">O70+1</f>
        <v>3</v>
      </c>
      <c r="P71" s="289" t="s">
        <v>207</v>
      </c>
      <c r="Q71" s="289"/>
      <c r="R71" s="289"/>
      <c r="S71" s="289"/>
      <c r="T71" s="52">
        <f>W116</f>
        <v>0.26527164147024768</v>
      </c>
      <c r="U71" s="322"/>
      <c r="V71" s="323"/>
      <c r="W71" s="324"/>
      <c r="X71" s="37"/>
      <c r="AA71" s="75" t="s">
        <v>460</v>
      </c>
      <c r="AB71" s="75" t="s">
        <v>433</v>
      </c>
      <c r="AC71" s="76">
        <v>0</v>
      </c>
      <c r="AD71" s="28">
        <v>388</v>
      </c>
      <c r="AE71" s="28">
        <v>212</v>
      </c>
      <c r="AF71" s="28">
        <v>6</v>
      </c>
      <c r="AG71" s="28">
        <v>8</v>
      </c>
      <c r="AH71" s="28">
        <v>372</v>
      </c>
      <c r="AI71" s="13">
        <f t="shared" si="2"/>
        <v>648</v>
      </c>
      <c r="AJ71" s="13">
        <f t="shared" si="3"/>
        <v>212</v>
      </c>
      <c r="AK71" s="13">
        <f t="shared" si="4"/>
        <v>25</v>
      </c>
      <c r="AL71" s="13">
        <f t="shared" si="5"/>
        <v>7</v>
      </c>
      <c r="AM71" s="13">
        <f t="shared" si="6"/>
        <v>2</v>
      </c>
      <c r="AN71" s="13">
        <f t="shared" si="7"/>
        <v>8</v>
      </c>
      <c r="AO71" s="13">
        <f t="shared" si="8"/>
        <v>24</v>
      </c>
      <c r="AP71" s="13">
        <f t="shared" si="9"/>
        <v>60</v>
      </c>
      <c r="AQ71" s="13">
        <f t="shared" si="10"/>
        <v>70</v>
      </c>
      <c r="AR71" s="13">
        <f t="shared" si="11"/>
        <v>80</v>
      </c>
      <c r="AS71" s="13">
        <f t="shared" si="12"/>
        <v>150</v>
      </c>
      <c r="AT71" s="13">
        <f t="shared" si="13"/>
        <v>4</v>
      </c>
      <c r="AU71" s="13">
        <f t="shared" si="14"/>
        <v>120</v>
      </c>
      <c r="AV71" s="13">
        <f t="shared" si="15"/>
        <v>2</v>
      </c>
      <c r="AW71" s="13">
        <f t="shared" si="16"/>
        <v>0</v>
      </c>
      <c r="AX71" s="13">
        <f t="shared" si="17"/>
        <v>0</v>
      </c>
      <c r="AY71" s="13">
        <f t="shared" si="18"/>
        <v>1</v>
      </c>
      <c r="AZ71" s="13">
        <f t="shared" si="19"/>
        <v>6</v>
      </c>
      <c r="BA71" s="75" t="s">
        <v>456</v>
      </c>
      <c r="BB71" s="77">
        <v>-17.381808753789667</v>
      </c>
      <c r="BC71" s="77">
        <v>-0.50893427046276496</v>
      </c>
      <c r="BD71" s="29">
        <v>0.38682270030334331</v>
      </c>
      <c r="BE71" s="29">
        <v>-4.6418782057542141E-7</v>
      </c>
      <c r="BF71" s="29">
        <v>8.4281730023741605E-2</v>
      </c>
      <c r="BG71" s="29">
        <v>-2.3094474279762465</v>
      </c>
      <c r="BH71" s="179">
        <f t="shared" si="20"/>
        <v>0.13286577137564751</v>
      </c>
      <c r="BI71" s="127">
        <f>_xll.DCEBoltDisColBaseFix(AV71, AT71, AD71, AP71, AQ71,AR71, AS71, "TTT")</f>
        <v>189</v>
      </c>
      <c r="BJ71" s="127">
        <f t="shared" si="21"/>
        <v>513</v>
      </c>
      <c r="BK71" s="127">
        <f t="shared" si="22"/>
        <v>3.5600663374316923</v>
      </c>
      <c r="BL71" s="127">
        <f t="shared" si="23"/>
        <v>302.89508840864443</v>
      </c>
      <c r="BM71" s="120">
        <f t="shared" si="24"/>
        <v>1.1753463405879679E-2</v>
      </c>
      <c r="BN71" s="4">
        <f>_xll.DCEBoltDisColBaseFix(AV71,AT71,AD71,AP71,AQ71,AR71,AS71,"NL1T")+_xll.DCEBoltDisColBaseFix(AV71,AT71,AD71,AP71,AQ71,AR71,AS71,"NL2T")+_xll.DCEBoltDisColBaseFix(AV71,AT71,AD71,AP71,AQ71,AR71,AS71,"NL3T")</f>
        <v>4</v>
      </c>
      <c r="BO71" s="121">
        <f t="shared" si="25"/>
        <v>0</v>
      </c>
      <c r="BP71" s="122">
        <f t="shared" si="26"/>
        <v>0</v>
      </c>
      <c r="BQ71" s="122">
        <f t="shared" si="27"/>
        <v>57.1</v>
      </c>
      <c r="BR71" s="120">
        <f>BQ71/VLOOKUP(AO71,Data!$V$4:$Z$99,4,FALSE)</f>
        <v>0.16175637393767706</v>
      </c>
      <c r="BS71" s="123" t="str">
        <f t="shared" si="28"/>
        <v>OK</v>
      </c>
      <c r="BT71" s="124">
        <f t="shared" si="29"/>
        <v>0.28218598033900538</v>
      </c>
      <c r="BU71" s="124">
        <f t="shared" si="30"/>
        <v>-2.9131462027369215E-2</v>
      </c>
      <c r="BV71" s="120">
        <f t="shared" si="31"/>
        <v>2.5948136123126932E-2</v>
      </c>
      <c r="BW71" s="123" t="str">
        <f t="shared" si="32"/>
        <v>OK</v>
      </c>
      <c r="BX71" s="124">
        <f t="shared" si="33"/>
        <v>406.65599999999995</v>
      </c>
      <c r="BY71" s="120">
        <f t="shared" si="34"/>
        <v>1.5719777143837937E-3</v>
      </c>
      <c r="BZ71" s="123" t="str">
        <f t="shared" si="35"/>
        <v>OK</v>
      </c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H71" s="127"/>
      <c r="EI71" s="127"/>
      <c r="EJ71" s="127"/>
      <c r="EK71" s="127"/>
      <c r="EL71" s="127"/>
      <c r="EM71" s="120"/>
      <c r="EN71" s="121"/>
      <c r="EO71" s="121"/>
      <c r="EP71" s="120"/>
      <c r="EQ71" s="122"/>
      <c r="ER71" s="120"/>
      <c r="ES71" s="238"/>
      <c r="ET71" s="124"/>
      <c r="EU71" s="124"/>
      <c r="EV71" s="120"/>
      <c r="EW71" s="217"/>
      <c r="EX71" s="124"/>
      <c r="EY71" s="120"/>
      <c r="EZ71" s="217"/>
    </row>
    <row r="72" spans="1:156" ht="15" customHeight="1">
      <c r="M72" s="7"/>
      <c r="N72" s="2"/>
      <c r="O72" s="51">
        <f t="shared" si="36"/>
        <v>4</v>
      </c>
      <c r="P72" s="290" t="s">
        <v>204</v>
      </c>
      <c r="Q72" s="290"/>
      <c r="R72" s="290"/>
      <c r="S72" s="290"/>
      <c r="T72" s="52">
        <f>W132</f>
        <v>3.5304605705662722E-3</v>
      </c>
      <c r="U72" s="297" t="str">
        <f>IF(T72&gt;1,"Sử dụng mấu chống trượt","")</f>
        <v/>
      </c>
      <c r="V72" s="298"/>
      <c r="W72" s="299"/>
      <c r="X72" s="37"/>
      <c r="AA72" s="75" t="s">
        <v>460</v>
      </c>
      <c r="AB72" s="75" t="s">
        <v>433</v>
      </c>
      <c r="AC72" s="76">
        <v>0</v>
      </c>
      <c r="AD72" s="28">
        <v>388</v>
      </c>
      <c r="AE72" s="28">
        <v>212</v>
      </c>
      <c r="AF72" s="28">
        <v>6</v>
      </c>
      <c r="AG72" s="28">
        <v>8</v>
      </c>
      <c r="AH72" s="28">
        <v>372</v>
      </c>
      <c r="AI72" s="13">
        <f t="shared" si="2"/>
        <v>648</v>
      </c>
      <c r="AJ72" s="13">
        <f t="shared" si="3"/>
        <v>212</v>
      </c>
      <c r="AK72" s="13">
        <f t="shared" si="4"/>
        <v>25</v>
      </c>
      <c r="AL72" s="13">
        <f t="shared" si="5"/>
        <v>7</v>
      </c>
      <c r="AM72" s="13">
        <f t="shared" si="6"/>
        <v>2</v>
      </c>
      <c r="AN72" s="13">
        <f t="shared" si="7"/>
        <v>8</v>
      </c>
      <c r="AO72" s="13">
        <f t="shared" si="8"/>
        <v>24</v>
      </c>
      <c r="AP72" s="13">
        <f t="shared" si="9"/>
        <v>60</v>
      </c>
      <c r="AQ72" s="13">
        <f t="shared" si="10"/>
        <v>70</v>
      </c>
      <c r="AR72" s="13">
        <f t="shared" si="11"/>
        <v>80</v>
      </c>
      <c r="AS72" s="13">
        <f t="shared" si="12"/>
        <v>150</v>
      </c>
      <c r="AT72" s="13">
        <f t="shared" si="13"/>
        <v>4</v>
      </c>
      <c r="AU72" s="13">
        <f t="shared" si="14"/>
        <v>120</v>
      </c>
      <c r="AV72" s="13">
        <f t="shared" si="15"/>
        <v>2</v>
      </c>
      <c r="AW72" s="13">
        <f t="shared" si="16"/>
        <v>0</v>
      </c>
      <c r="AX72" s="13">
        <f t="shared" si="17"/>
        <v>0</v>
      </c>
      <c r="AY72" s="13">
        <f t="shared" si="18"/>
        <v>1</v>
      </c>
      <c r="AZ72" s="13">
        <f t="shared" si="19"/>
        <v>6</v>
      </c>
      <c r="BA72" s="75" t="s">
        <v>457</v>
      </c>
      <c r="BB72" s="77">
        <v>-17.381808753789667</v>
      </c>
      <c r="BC72" s="77">
        <v>-0.50893427046276496</v>
      </c>
      <c r="BD72" s="29">
        <v>0.38682270030334331</v>
      </c>
      <c r="BE72" s="29">
        <v>-4.6418782057542141E-7</v>
      </c>
      <c r="BF72" s="29">
        <v>8.4281730023741605E-2</v>
      </c>
      <c r="BG72" s="29">
        <v>-2.3094474279762465</v>
      </c>
      <c r="BH72" s="179">
        <f t="shared" si="20"/>
        <v>0.13286577137564751</v>
      </c>
      <c r="BI72" s="127">
        <f>_xll.DCEBoltDisColBaseFix(AV72, AT72, AD72, AP72, AQ72,AR72, AS72, "TTT")</f>
        <v>189</v>
      </c>
      <c r="BJ72" s="127">
        <f t="shared" si="21"/>
        <v>513</v>
      </c>
      <c r="BK72" s="127">
        <f t="shared" si="22"/>
        <v>3.5600663374316923</v>
      </c>
      <c r="BL72" s="127">
        <f t="shared" si="23"/>
        <v>302.89508840864443</v>
      </c>
      <c r="BM72" s="120">
        <f t="shared" si="24"/>
        <v>1.1753463405879679E-2</v>
      </c>
      <c r="BN72" s="4">
        <f>_xll.DCEBoltDisColBaseFix(AV72,AT72,AD72,AP72,AQ72,AR72,AS72,"NL1T")+_xll.DCEBoltDisColBaseFix(AV72,AT72,AD72,AP72,AQ72,AR72,AS72,"NL2T")+_xll.DCEBoltDisColBaseFix(AV72,AT72,AD72,AP72,AQ72,AR72,AS72,"NL3T")</f>
        <v>4</v>
      </c>
      <c r="BO72" s="121">
        <f t="shared" si="25"/>
        <v>0</v>
      </c>
      <c r="BP72" s="122">
        <f t="shared" si="26"/>
        <v>0</v>
      </c>
      <c r="BQ72" s="122">
        <f t="shared" si="27"/>
        <v>57.1</v>
      </c>
      <c r="BR72" s="120">
        <f>BQ72/VLOOKUP(AO72,Data!$V$4:$Z$99,4,FALSE)</f>
        <v>0.16175637393767706</v>
      </c>
      <c r="BS72" s="123" t="str">
        <f t="shared" si="28"/>
        <v>OK</v>
      </c>
      <c r="BT72" s="124">
        <f t="shared" si="29"/>
        <v>0.28218598033900538</v>
      </c>
      <c r="BU72" s="124">
        <f t="shared" si="30"/>
        <v>-2.9131462027369215E-2</v>
      </c>
      <c r="BV72" s="120">
        <f t="shared" si="31"/>
        <v>2.5948136123126932E-2</v>
      </c>
      <c r="BW72" s="123" t="str">
        <f t="shared" si="32"/>
        <v>OK</v>
      </c>
      <c r="BX72" s="124">
        <f t="shared" si="33"/>
        <v>406.65599999999995</v>
      </c>
      <c r="BY72" s="120">
        <f t="shared" si="34"/>
        <v>1.5719777143837937E-3</v>
      </c>
      <c r="BZ72" s="123" t="str">
        <f t="shared" si="35"/>
        <v>OK</v>
      </c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H72" s="127"/>
      <c r="EI72" s="127"/>
      <c r="EJ72" s="127"/>
      <c r="EK72" s="127"/>
      <c r="EL72" s="127"/>
      <c r="EM72" s="120"/>
      <c r="EN72" s="121"/>
      <c r="EO72" s="121"/>
      <c r="EP72" s="120"/>
      <c r="EQ72" s="122"/>
      <c r="ER72" s="120"/>
      <c r="ES72" s="238"/>
      <c r="ET72" s="124"/>
      <c r="EU72" s="124"/>
      <c r="EV72" s="120"/>
      <c r="EW72" s="217"/>
      <c r="EX72" s="124"/>
      <c r="EY72" s="120"/>
      <c r="EZ72" s="217"/>
    </row>
    <row r="73" spans="1:156" ht="15" customHeight="1">
      <c r="M73" s="7"/>
      <c r="N73" s="2"/>
      <c r="O73" s="51">
        <f t="shared" si="36"/>
        <v>5</v>
      </c>
      <c r="P73" s="284" t="s">
        <v>208</v>
      </c>
      <c r="Q73" s="285"/>
      <c r="R73" s="285"/>
      <c r="S73" s="286"/>
      <c r="T73" s="52">
        <f>MAX(W142,W146,W148)</f>
        <v>0</v>
      </c>
      <c r="U73" s="322"/>
      <c r="V73" s="323"/>
      <c r="W73" s="324"/>
      <c r="X73" s="37"/>
      <c r="AA73" s="75" t="s">
        <v>460</v>
      </c>
      <c r="AB73" s="75" t="s">
        <v>433</v>
      </c>
      <c r="AC73" s="76">
        <v>0</v>
      </c>
      <c r="AD73" s="28">
        <v>388</v>
      </c>
      <c r="AE73" s="28">
        <v>212</v>
      </c>
      <c r="AF73" s="28">
        <v>6</v>
      </c>
      <c r="AG73" s="28">
        <v>8</v>
      </c>
      <c r="AH73" s="28">
        <v>372</v>
      </c>
      <c r="AI73" s="13">
        <f t="shared" si="2"/>
        <v>648</v>
      </c>
      <c r="AJ73" s="13">
        <f t="shared" si="3"/>
        <v>212</v>
      </c>
      <c r="AK73" s="13">
        <f t="shared" si="4"/>
        <v>25</v>
      </c>
      <c r="AL73" s="13">
        <f t="shared" si="5"/>
        <v>7</v>
      </c>
      <c r="AM73" s="13">
        <f t="shared" si="6"/>
        <v>2</v>
      </c>
      <c r="AN73" s="13">
        <f t="shared" si="7"/>
        <v>8</v>
      </c>
      <c r="AO73" s="13">
        <f t="shared" si="8"/>
        <v>24</v>
      </c>
      <c r="AP73" s="13">
        <f t="shared" si="9"/>
        <v>60</v>
      </c>
      <c r="AQ73" s="13">
        <f t="shared" si="10"/>
        <v>70</v>
      </c>
      <c r="AR73" s="13">
        <f t="shared" si="11"/>
        <v>80</v>
      </c>
      <c r="AS73" s="13">
        <f t="shared" si="12"/>
        <v>150</v>
      </c>
      <c r="AT73" s="13">
        <f t="shared" si="13"/>
        <v>4</v>
      </c>
      <c r="AU73" s="13">
        <f t="shared" si="14"/>
        <v>120</v>
      </c>
      <c r="AV73" s="13">
        <f t="shared" si="15"/>
        <v>2</v>
      </c>
      <c r="AW73" s="13">
        <f t="shared" si="16"/>
        <v>0</v>
      </c>
      <c r="AX73" s="13">
        <f t="shared" si="17"/>
        <v>0</v>
      </c>
      <c r="AY73" s="13">
        <f t="shared" si="18"/>
        <v>1</v>
      </c>
      <c r="AZ73" s="13">
        <f t="shared" si="19"/>
        <v>6</v>
      </c>
      <c r="BA73" s="75" t="s">
        <v>458</v>
      </c>
      <c r="BB73" s="77">
        <v>-17.381808753789667</v>
      </c>
      <c r="BC73" s="77">
        <v>-0.50893427046276496</v>
      </c>
      <c r="BD73" s="29">
        <v>0.38682270030334331</v>
      </c>
      <c r="BE73" s="29">
        <v>-4.6418782057542141E-7</v>
      </c>
      <c r="BF73" s="29">
        <v>8.4281730023741605E-2</v>
      </c>
      <c r="BG73" s="29">
        <v>-2.3094474279762465</v>
      </c>
      <c r="BH73" s="179">
        <f t="shared" si="20"/>
        <v>0.13286577137564751</v>
      </c>
      <c r="BI73" s="127">
        <f>_xll.DCEBoltDisColBaseFix(AV73, AT73, AD73, AP73, AQ73,AR73, AS73, "TTT")</f>
        <v>189</v>
      </c>
      <c r="BJ73" s="127">
        <f t="shared" si="21"/>
        <v>513</v>
      </c>
      <c r="BK73" s="127">
        <f t="shared" si="22"/>
        <v>3.5600663374316923</v>
      </c>
      <c r="BL73" s="127">
        <f t="shared" si="23"/>
        <v>302.89508840864443</v>
      </c>
      <c r="BM73" s="120">
        <f t="shared" si="24"/>
        <v>1.1753463405879679E-2</v>
      </c>
      <c r="BN73" s="4">
        <f>_xll.DCEBoltDisColBaseFix(AV73,AT73,AD73,AP73,AQ73,AR73,AS73,"NL1T")+_xll.DCEBoltDisColBaseFix(AV73,AT73,AD73,AP73,AQ73,AR73,AS73,"NL2T")+_xll.DCEBoltDisColBaseFix(AV73,AT73,AD73,AP73,AQ73,AR73,AS73,"NL3T")</f>
        <v>4</v>
      </c>
      <c r="BO73" s="121">
        <f t="shared" si="25"/>
        <v>0</v>
      </c>
      <c r="BP73" s="122">
        <f t="shared" si="26"/>
        <v>0</v>
      </c>
      <c r="BQ73" s="122">
        <f t="shared" si="27"/>
        <v>57.1</v>
      </c>
      <c r="BR73" s="120">
        <f>BQ73/VLOOKUP(AO73,Data!$V$4:$Z$99,4,FALSE)</f>
        <v>0.16175637393767706</v>
      </c>
      <c r="BS73" s="123" t="str">
        <f t="shared" si="28"/>
        <v>OK</v>
      </c>
      <c r="BT73" s="124">
        <f t="shared" si="29"/>
        <v>0.28218598033900538</v>
      </c>
      <c r="BU73" s="124">
        <f t="shared" si="30"/>
        <v>-2.9131462027369215E-2</v>
      </c>
      <c r="BV73" s="120">
        <f t="shared" si="31"/>
        <v>2.5948136123126932E-2</v>
      </c>
      <c r="BW73" s="123" t="str">
        <f t="shared" si="32"/>
        <v>OK</v>
      </c>
      <c r="BX73" s="124">
        <f t="shared" si="33"/>
        <v>406.65599999999995</v>
      </c>
      <c r="BY73" s="120">
        <f t="shared" si="34"/>
        <v>1.5719777143837937E-3</v>
      </c>
      <c r="BZ73" s="123" t="str">
        <f t="shared" si="35"/>
        <v>OK</v>
      </c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H73" s="127"/>
      <c r="EI73" s="127"/>
      <c r="EJ73" s="127"/>
      <c r="EK73" s="127"/>
      <c r="EL73" s="127"/>
      <c r="EM73" s="120"/>
      <c r="EN73" s="121"/>
      <c r="EO73" s="121"/>
      <c r="EP73" s="120"/>
      <c r="EQ73" s="122"/>
      <c r="ER73" s="120"/>
      <c r="ES73" s="238"/>
      <c r="ET73" s="124"/>
      <c r="EU73" s="124"/>
      <c r="EV73" s="120"/>
      <c r="EW73" s="217"/>
      <c r="EX73" s="124"/>
      <c r="EY73" s="120"/>
      <c r="EZ73" s="217"/>
    </row>
    <row r="74" spans="1:156" ht="15" customHeight="1">
      <c r="M74" s="7"/>
      <c r="N74" s="2"/>
      <c r="O74" s="51">
        <f t="shared" si="36"/>
        <v>6</v>
      </c>
      <c r="P74" s="284" t="s">
        <v>209</v>
      </c>
      <c r="Q74" s="285"/>
      <c r="R74" s="285"/>
      <c r="S74" s="286"/>
      <c r="T74" s="52">
        <f>MAX(W158,W162,W164)</f>
        <v>6.9621950474873642E-2</v>
      </c>
      <c r="U74" s="322"/>
      <c r="V74" s="323"/>
      <c r="W74" s="324"/>
      <c r="X74" s="37"/>
      <c r="AA74" s="75" t="s">
        <v>460</v>
      </c>
      <c r="AB74" s="75" t="s">
        <v>433</v>
      </c>
      <c r="AC74" s="76">
        <v>0</v>
      </c>
      <c r="AD74" s="28">
        <v>388</v>
      </c>
      <c r="AE74" s="28">
        <v>212</v>
      </c>
      <c r="AF74" s="28">
        <v>6</v>
      </c>
      <c r="AG74" s="28">
        <v>8</v>
      </c>
      <c r="AH74" s="28">
        <v>372</v>
      </c>
      <c r="AI74" s="13">
        <f t="shared" si="2"/>
        <v>648</v>
      </c>
      <c r="AJ74" s="13">
        <f t="shared" si="3"/>
        <v>212</v>
      </c>
      <c r="AK74" s="13">
        <f t="shared" si="4"/>
        <v>25</v>
      </c>
      <c r="AL74" s="13">
        <f t="shared" si="5"/>
        <v>7</v>
      </c>
      <c r="AM74" s="13">
        <f t="shared" si="6"/>
        <v>2</v>
      </c>
      <c r="AN74" s="13">
        <f t="shared" si="7"/>
        <v>8</v>
      </c>
      <c r="AO74" s="13">
        <f t="shared" si="8"/>
        <v>24</v>
      </c>
      <c r="AP74" s="13">
        <f t="shared" si="9"/>
        <v>60</v>
      </c>
      <c r="AQ74" s="13">
        <f t="shared" si="10"/>
        <v>70</v>
      </c>
      <c r="AR74" s="13">
        <f t="shared" si="11"/>
        <v>80</v>
      </c>
      <c r="AS74" s="13">
        <f t="shared" si="12"/>
        <v>150</v>
      </c>
      <c r="AT74" s="13">
        <f t="shared" si="13"/>
        <v>4</v>
      </c>
      <c r="AU74" s="13">
        <f t="shared" si="14"/>
        <v>120</v>
      </c>
      <c r="AV74" s="13">
        <f t="shared" si="15"/>
        <v>2</v>
      </c>
      <c r="AW74" s="13">
        <f t="shared" si="16"/>
        <v>0</v>
      </c>
      <c r="AX74" s="13">
        <f t="shared" si="17"/>
        <v>0</v>
      </c>
      <c r="AY74" s="13">
        <f t="shared" si="18"/>
        <v>1</v>
      </c>
      <c r="AZ74" s="13">
        <f t="shared" si="19"/>
        <v>6</v>
      </c>
      <c r="BA74" s="75" t="s">
        <v>459</v>
      </c>
      <c r="BB74" s="77">
        <v>-17.381808753789667</v>
      </c>
      <c r="BC74" s="77">
        <v>-0.50893427046276496</v>
      </c>
      <c r="BD74" s="29">
        <v>0.38682270030334331</v>
      </c>
      <c r="BE74" s="29">
        <v>-4.6418782057542141E-7</v>
      </c>
      <c r="BF74" s="29">
        <v>8.4281730023741605E-2</v>
      </c>
      <c r="BG74" s="29">
        <v>-2.3094474279762465</v>
      </c>
      <c r="BH74" s="179">
        <f t="shared" si="20"/>
        <v>0.13286577137564751</v>
      </c>
      <c r="BI74" s="127">
        <f>_xll.DCEBoltDisColBaseFix(AV74, AT74, AD74, AP74, AQ74,AR74, AS74, "TTT")</f>
        <v>189</v>
      </c>
      <c r="BJ74" s="127">
        <f t="shared" si="21"/>
        <v>513</v>
      </c>
      <c r="BK74" s="127">
        <f t="shared" si="22"/>
        <v>3.5600663374316923</v>
      </c>
      <c r="BL74" s="127">
        <f t="shared" si="23"/>
        <v>302.89508840864443</v>
      </c>
      <c r="BM74" s="120">
        <f t="shared" si="24"/>
        <v>1.1753463405879679E-2</v>
      </c>
      <c r="BN74" s="4">
        <f>_xll.DCEBoltDisColBaseFix(AV74,AT74,AD74,AP74,AQ74,AR74,AS74,"NL1T")+_xll.DCEBoltDisColBaseFix(AV74,AT74,AD74,AP74,AQ74,AR74,AS74,"NL2T")+_xll.DCEBoltDisColBaseFix(AV74,AT74,AD74,AP74,AQ74,AR74,AS74,"NL3T")</f>
        <v>4</v>
      </c>
      <c r="BO74" s="121">
        <f t="shared" si="25"/>
        <v>0</v>
      </c>
      <c r="BP74" s="122">
        <f t="shared" si="26"/>
        <v>0</v>
      </c>
      <c r="BQ74" s="122">
        <f t="shared" si="27"/>
        <v>57.1</v>
      </c>
      <c r="BR74" s="120">
        <f>BQ74/VLOOKUP(AO74,Data!$V$4:$Z$99,4,FALSE)</f>
        <v>0.16175637393767706</v>
      </c>
      <c r="BS74" s="123" t="str">
        <f t="shared" si="28"/>
        <v>OK</v>
      </c>
      <c r="BT74" s="124">
        <f t="shared" si="29"/>
        <v>0.28218598033900538</v>
      </c>
      <c r="BU74" s="124">
        <f t="shared" si="30"/>
        <v>-2.9131462027369215E-2</v>
      </c>
      <c r="BV74" s="120">
        <f t="shared" si="31"/>
        <v>2.5948136123126932E-2</v>
      </c>
      <c r="BW74" s="123" t="str">
        <f t="shared" si="32"/>
        <v>OK</v>
      </c>
      <c r="BX74" s="124">
        <f t="shared" si="33"/>
        <v>406.65599999999995</v>
      </c>
      <c r="BY74" s="120">
        <f t="shared" si="34"/>
        <v>1.5719777143837937E-3</v>
      </c>
      <c r="BZ74" s="123" t="str">
        <f t="shared" si="35"/>
        <v>OK</v>
      </c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H74" s="127"/>
      <c r="EI74" s="127"/>
      <c r="EJ74" s="127"/>
      <c r="EK74" s="127"/>
      <c r="EL74" s="127"/>
      <c r="EM74" s="120"/>
      <c r="EN74" s="121"/>
      <c r="EO74" s="121"/>
      <c r="EP74" s="120"/>
      <c r="EQ74" s="122"/>
      <c r="ER74" s="120"/>
      <c r="ES74" s="238"/>
      <c r="ET74" s="124"/>
      <c r="EU74" s="124"/>
      <c r="EV74" s="120"/>
      <c r="EW74" s="217"/>
      <c r="EX74" s="124"/>
      <c r="EY74" s="120"/>
      <c r="EZ74" s="217"/>
    </row>
    <row r="75" spans="1:156" ht="15" customHeight="1">
      <c r="M75" s="7"/>
      <c r="N75" s="2"/>
      <c r="O75" s="53">
        <f t="shared" si="36"/>
        <v>7</v>
      </c>
      <c r="P75" s="281" t="s">
        <v>210</v>
      </c>
      <c r="Q75" s="282"/>
      <c r="R75" s="282"/>
      <c r="S75" s="283"/>
      <c r="T75" s="54">
        <f>MAX(W167,W168)</f>
        <v>1.9118279022366791E-2</v>
      </c>
      <c r="U75" s="325"/>
      <c r="V75" s="326"/>
      <c r="W75" s="327"/>
      <c r="X75" s="37"/>
      <c r="AA75" s="75" t="s">
        <v>460</v>
      </c>
      <c r="AB75" s="75" t="s">
        <v>434</v>
      </c>
      <c r="AC75" s="76">
        <v>0</v>
      </c>
      <c r="AD75" s="28">
        <v>388</v>
      </c>
      <c r="AE75" s="28">
        <v>212</v>
      </c>
      <c r="AF75" s="28">
        <v>6</v>
      </c>
      <c r="AG75" s="28">
        <v>8</v>
      </c>
      <c r="AH75" s="28">
        <v>372</v>
      </c>
      <c r="AI75" s="13">
        <f t="shared" si="2"/>
        <v>648</v>
      </c>
      <c r="AJ75" s="13">
        <f t="shared" si="3"/>
        <v>212</v>
      </c>
      <c r="AK75" s="13">
        <f t="shared" si="4"/>
        <v>25</v>
      </c>
      <c r="AL75" s="13">
        <f t="shared" si="5"/>
        <v>7</v>
      </c>
      <c r="AM75" s="13">
        <f t="shared" si="6"/>
        <v>2</v>
      </c>
      <c r="AN75" s="13">
        <f t="shared" si="7"/>
        <v>8</v>
      </c>
      <c r="AO75" s="13">
        <f t="shared" si="8"/>
        <v>24</v>
      </c>
      <c r="AP75" s="13">
        <f t="shared" si="9"/>
        <v>60</v>
      </c>
      <c r="AQ75" s="13">
        <f t="shared" si="10"/>
        <v>70</v>
      </c>
      <c r="AR75" s="13">
        <f t="shared" si="11"/>
        <v>80</v>
      </c>
      <c r="AS75" s="13">
        <f t="shared" si="12"/>
        <v>150</v>
      </c>
      <c r="AT75" s="13">
        <f t="shared" si="13"/>
        <v>4</v>
      </c>
      <c r="AU75" s="13">
        <f t="shared" si="14"/>
        <v>120</v>
      </c>
      <c r="AV75" s="13">
        <f t="shared" si="15"/>
        <v>2</v>
      </c>
      <c r="AW75" s="13">
        <f t="shared" si="16"/>
        <v>0</v>
      </c>
      <c r="AX75" s="13">
        <f t="shared" si="17"/>
        <v>0</v>
      </c>
      <c r="AY75" s="13">
        <f t="shared" si="18"/>
        <v>1</v>
      </c>
      <c r="AZ75" s="13">
        <f t="shared" si="19"/>
        <v>6</v>
      </c>
      <c r="BA75" s="75" t="s">
        <v>435</v>
      </c>
      <c r="BB75" s="77">
        <v>-17.480133517238563</v>
      </c>
      <c r="BC75" s="77">
        <v>-0.52524295473499016</v>
      </c>
      <c r="BD75" s="29">
        <v>-0.41738995835272419</v>
      </c>
      <c r="BE75" s="29">
        <v>-1.2447418513464472E-5</v>
      </c>
      <c r="BF75" s="29">
        <v>-0.11851451493253458</v>
      </c>
      <c r="BG75" s="29">
        <v>-2.3757031460583238</v>
      </c>
      <c r="BH75" s="179">
        <f t="shared" si="20"/>
        <v>0.13590875285451637</v>
      </c>
      <c r="BI75" s="127">
        <f>_xll.DCEBoltDisColBaseFix(AV75, AT75, AD75, AP75, AQ75,AR75, AS75, "TTT")</f>
        <v>189</v>
      </c>
      <c r="BJ75" s="127">
        <f t="shared" si="21"/>
        <v>513</v>
      </c>
      <c r="BK75" s="127">
        <f t="shared" si="22"/>
        <v>3.6142442527278149</v>
      </c>
      <c r="BL75" s="127">
        <f t="shared" si="23"/>
        <v>302.89508840864443</v>
      </c>
      <c r="BM75" s="120">
        <f t="shared" si="24"/>
        <v>1.1932330338258025E-2</v>
      </c>
      <c r="BN75" s="4">
        <f>_xll.DCEBoltDisColBaseFix(AV75,AT75,AD75,AP75,AQ75,AR75,AS75,"NL1T")+_xll.DCEBoltDisColBaseFix(AV75,AT75,AD75,AP75,AQ75,AR75,AS75,"NL2T")+_xll.DCEBoltDisColBaseFix(AV75,AT75,AD75,AP75,AQ75,AR75,AS75,"NL3T")</f>
        <v>4</v>
      </c>
      <c r="BO75" s="121">
        <f t="shared" si="25"/>
        <v>0</v>
      </c>
      <c r="BP75" s="122">
        <f t="shared" si="26"/>
        <v>0</v>
      </c>
      <c r="BQ75" s="122">
        <f t="shared" si="27"/>
        <v>57.1</v>
      </c>
      <c r="BR75" s="120">
        <f>BQ75/VLOOKUP(AO75,Data!$V$4:$Z$99,4,FALSE)</f>
        <v>0.16175637393767706</v>
      </c>
      <c r="BS75" s="123" t="str">
        <f t="shared" si="28"/>
        <v>OK</v>
      </c>
      <c r="BT75" s="124">
        <f t="shared" si="29"/>
        <v>0.28736740674958106</v>
      </c>
      <c r="BU75" s="124">
        <f t="shared" si="30"/>
        <v>-3.2881419135462692E-2</v>
      </c>
      <c r="BV75" s="120">
        <f t="shared" si="31"/>
        <v>2.6424589126398258E-2</v>
      </c>
      <c r="BW75" s="123" t="str">
        <f t="shared" si="32"/>
        <v>OK</v>
      </c>
      <c r="BX75" s="124">
        <f t="shared" si="33"/>
        <v>406.65599999999995</v>
      </c>
      <c r="BY75" s="120">
        <f t="shared" si="34"/>
        <v>1.6497748825411787E-3</v>
      </c>
      <c r="BZ75" s="123" t="str">
        <f t="shared" si="35"/>
        <v>OK</v>
      </c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H75" s="127"/>
      <c r="EI75" s="127"/>
      <c r="EJ75" s="127"/>
      <c r="EK75" s="127"/>
      <c r="EL75" s="127"/>
      <c r="EM75" s="120"/>
      <c r="EN75" s="121"/>
      <c r="EO75" s="121"/>
      <c r="EP75" s="120"/>
      <c r="EQ75" s="122"/>
      <c r="ER75" s="120"/>
      <c r="ES75" s="238"/>
      <c r="ET75" s="124"/>
      <c r="EU75" s="124"/>
      <c r="EV75" s="120"/>
      <c r="EW75" s="217"/>
      <c r="EX75" s="124"/>
      <c r="EY75" s="120"/>
      <c r="EZ75" s="217"/>
    </row>
    <row r="76" spans="1:156" ht="15" customHeight="1">
      <c r="M76" s="7"/>
      <c r="N76" s="2"/>
      <c r="O76" s="2"/>
      <c r="P76" s="2"/>
      <c r="Q76" s="32"/>
      <c r="R76" s="48"/>
      <c r="S76" s="32"/>
      <c r="T76" s="32"/>
      <c r="U76" s="32"/>
      <c r="V76" s="32"/>
      <c r="W76" s="32"/>
      <c r="X76" s="37"/>
      <c r="AA76" s="75" t="s">
        <v>460</v>
      </c>
      <c r="AB76" s="75" t="s">
        <v>434</v>
      </c>
      <c r="AC76" s="76">
        <v>0</v>
      </c>
      <c r="AD76" s="28">
        <v>388</v>
      </c>
      <c r="AE76" s="28">
        <v>212</v>
      </c>
      <c r="AF76" s="28">
        <v>6</v>
      </c>
      <c r="AG76" s="28">
        <v>8</v>
      </c>
      <c r="AH76" s="28">
        <v>372</v>
      </c>
      <c r="AI76" s="13">
        <f t="shared" si="2"/>
        <v>648</v>
      </c>
      <c r="AJ76" s="13">
        <f t="shared" si="3"/>
        <v>212</v>
      </c>
      <c r="AK76" s="13">
        <f t="shared" si="4"/>
        <v>25</v>
      </c>
      <c r="AL76" s="13">
        <f t="shared" si="5"/>
        <v>7</v>
      </c>
      <c r="AM76" s="13">
        <f t="shared" si="6"/>
        <v>2</v>
      </c>
      <c r="AN76" s="13">
        <f t="shared" si="7"/>
        <v>8</v>
      </c>
      <c r="AO76" s="13">
        <f t="shared" si="8"/>
        <v>24</v>
      </c>
      <c r="AP76" s="13">
        <f t="shared" si="9"/>
        <v>60</v>
      </c>
      <c r="AQ76" s="13">
        <f t="shared" si="10"/>
        <v>70</v>
      </c>
      <c r="AR76" s="13">
        <f t="shared" si="11"/>
        <v>80</v>
      </c>
      <c r="AS76" s="13">
        <f t="shared" si="12"/>
        <v>150</v>
      </c>
      <c r="AT76" s="13">
        <f t="shared" si="13"/>
        <v>4</v>
      </c>
      <c r="AU76" s="13">
        <f t="shared" si="14"/>
        <v>120</v>
      </c>
      <c r="AV76" s="13">
        <f t="shared" si="15"/>
        <v>2</v>
      </c>
      <c r="AW76" s="13">
        <f t="shared" si="16"/>
        <v>0</v>
      </c>
      <c r="AX76" s="13">
        <f t="shared" si="17"/>
        <v>0</v>
      </c>
      <c r="AY76" s="13">
        <f t="shared" si="18"/>
        <v>1</v>
      </c>
      <c r="AZ76" s="13">
        <f t="shared" si="19"/>
        <v>6</v>
      </c>
      <c r="BA76" s="75" t="s">
        <v>408</v>
      </c>
      <c r="BB76" s="77">
        <v>-17.480133517238563</v>
      </c>
      <c r="BC76" s="77">
        <v>-0.52524295473499016</v>
      </c>
      <c r="BD76" s="29">
        <v>-0.41738995835272419</v>
      </c>
      <c r="BE76" s="29">
        <v>-1.2447418513464472E-5</v>
      </c>
      <c r="BF76" s="29">
        <v>-0.11851451493253458</v>
      </c>
      <c r="BG76" s="29">
        <v>-2.3757031460583238</v>
      </c>
      <c r="BH76" s="179">
        <f t="shared" si="20"/>
        <v>0.13590875285451637</v>
      </c>
      <c r="BI76" s="127">
        <f>_xll.DCEBoltDisColBaseFix(AV76, AT76, AD76, AP76, AQ76,AR76, AS76, "TTT")</f>
        <v>189</v>
      </c>
      <c r="BJ76" s="127">
        <f t="shared" si="21"/>
        <v>513</v>
      </c>
      <c r="BK76" s="127">
        <f t="shared" si="22"/>
        <v>3.6142442527278149</v>
      </c>
      <c r="BL76" s="127">
        <f t="shared" si="23"/>
        <v>302.89508840864443</v>
      </c>
      <c r="BM76" s="120">
        <f t="shared" si="24"/>
        <v>1.1932330338258025E-2</v>
      </c>
      <c r="BN76" s="4">
        <f>_xll.DCEBoltDisColBaseFix(AV76,AT76,AD76,AP76,AQ76,AR76,AS76,"NL1T")+_xll.DCEBoltDisColBaseFix(AV76,AT76,AD76,AP76,AQ76,AR76,AS76,"NL2T")+_xll.DCEBoltDisColBaseFix(AV76,AT76,AD76,AP76,AQ76,AR76,AS76,"NL3T")</f>
        <v>4</v>
      </c>
      <c r="BO76" s="121">
        <f t="shared" si="25"/>
        <v>0</v>
      </c>
      <c r="BP76" s="122">
        <f t="shared" si="26"/>
        <v>0</v>
      </c>
      <c r="BQ76" s="122">
        <f t="shared" si="27"/>
        <v>57.1</v>
      </c>
      <c r="BR76" s="120">
        <f>BQ76/VLOOKUP(AO76,Data!$V$4:$Z$99,4,FALSE)</f>
        <v>0.16175637393767706</v>
      </c>
      <c r="BS76" s="123" t="str">
        <f t="shared" si="28"/>
        <v>OK</v>
      </c>
      <c r="BT76" s="124">
        <f t="shared" si="29"/>
        <v>0.28736740674958106</v>
      </c>
      <c r="BU76" s="124">
        <f t="shared" si="30"/>
        <v>-3.2881419135462692E-2</v>
      </c>
      <c r="BV76" s="120">
        <f t="shared" si="31"/>
        <v>2.6424589126398258E-2</v>
      </c>
      <c r="BW76" s="123" t="str">
        <f t="shared" si="32"/>
        <v>OK</v>
      </c>
      <c r="BX76" s="124">
        <f t="shared" si="33"/>
        <v>406.65599999999995</v>
      </c>
      <c r="BY76" s="120">
        <f t="shared" si="34"/>
        <v>1.6497748825411787E-3</v>
      </c>
      <c r="BZ76" s="123" t="str">
        <f t="shared" si="35"/>
        <v>OK</v>
      </c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H76" s="127"/>
      <c r="EI76" s="127"/>
      <c r="EJ76" s="127"/>
      <c r="EK76" s="127"/>
      <c r="EL76" s="127"/>
      <c r="EM76" s="120"/>
      <c r="EN76" s="121"/>
      <c r="EO76" s="121"/>
      <c r="EP76" s="120"/>
      <c r="EQ76" s="122"/>
      <c r="ER76" s="120"/>
      <c r="ES76" s="238"/>
      <c r="ET76" s="124"/>
      <c r="EU76" s="124"/>
      <c r="EV76" s="120"/>
      <c r="EW76" s="217"/>
      <c r="EX76" s="124"/>
      <c r="EY76" s="120"/>
      <c r="EZ76" s="217"/>
    </row>
    <row r="77" spans="1:156">
      <c r="M77" s="329" t="s">
        <v>211</v>
      </c>
      <c r="N77" s="330"/>
      <c r="O77" s="330"/>
      <c r="P77" s="33"/>
      <c r="Q77" s="187"/>
      <c r="R77" s="188"/>
      <c r="S77" s="2"/>
      <c r="T77" s="2"/>
      <c r="U77" s="2"/>
      <c r="V77" s="2"/>
      <c r="W77" s="2"/>
      <c r="X77" s="8"/>
      <c r="AA77" s="75" t="s">
        <v>460</v>
      </c>
      <c r="AB77" s="75" t="s">
        <v>434</v>
      </c>
      <c r="AC77" s="76">
        <v>0</v>
      </c>
      <c r="AD77" s="28">
        <v>388</v>
      </c>
      <c r="AE77" s="28">
        <v>212</v>
      </c>
      <c r="AF77" s="28">
        <v>6</v>
      </c>
      <c r="AG77" s="28">
        <v>8</v>
      </c>
      <c r="AH77" s="28">
        <v>372</v>
      </c>
      <c r="AI77" s="13">
        <f t="shared" si="2"/>
        <v>648</v>
      </c>
      <c r="AJ77" s="13">
        <f t="shared" si="3"/>
        <v>212</v>
      </c>
      <c r="AK77" s="13">
        <f t="shared" si="4"/>
        <v>25</v>
      </c>
      <c r="AL77" s="13">
        <f t="shared" si="5"/>
        <v>7</v>
      </c>
      <c r="AM77" s="13">
        <f t="shared" si="6"/>
        <v>2</v>
      </c>
      <c r="AN77" s="13">
        <f t="shared" si="7"/>
        <v>8</v>
      </c>
      <c r="AO77" s="13">
        <f t="shared" si="8"/>
        <v>24</v>
      </c>
      <c r="AP77" s="13">
        <f t="shared" si="9"/>
        <v>60</v>
      </c>
      <c r="AQ77" s="13">
        <f t="shared" si="10"/>
        <v>70</v>
      </c>
      <c r="AR77" s="13">
        <f t="shared" si="11"/>
        <v>80</v>
      </c>
      <c r="AS77" s="13">
        <f t="shared" si="12"/>
        <v>150</v>
      </c>
      <c r="AT77" s="13">
        <f t="shared" si="13"/>
        <v>4</v>
      </c>
      <c r="AU77" s="13">
        <f t="shared" si="14"/>
        <v>120</v>
      </c>
      <c r="AV77" s="13">
        <f t="shared" si="15"/>
        <v>2</v>
      </c>
      <c r="AW77" s="13">
        <f t="shared" si="16"/>
        <v>0</v>
      </c>
      <c r="AX77" s="13">
        <f t="shared" si="17"/>
        <v>0</v>
      </c>
      <c r="AY77" s="13">
        <f t="shared" si="18"/>
        <v>1</v>
      </c>
      <c r="AZ77" s="13">
        <f t="shared" si="19"/>
        <v>6</v>
      </c>
      <c r="BA77" s="75" t="s">
        <v>436</v>
      </c>
      <c r="BB77" s="77">
        <v>-17.480133517238563</v>
      </c>
      <c r="BC77" s="77">
        <v>-0.52524295473499016</v>
      </c>
      <c r="BD77" s="29">
        <v>-0.41738995835272419</v>
      </c>
      <c r="BE77" s="29">
        <v>-1.2447418513464472E-5</v>
      </c>
      <c r="BF77" s="29">
        <v>-0.11851451493253458</v>
      </c>
      <c r="BG77" s="29">
        <v>-2.3757031460583238</v>
      </c>
      <c r="BH77" s="179">
        <f t="shared" si="20"/>
        <v>0.13590875285451637</v>
      </c>
      <c r="BI77" s="127">
        <f>_xll.DCEBoltDisColBaseFix(AV77, AT77, AD77, AP77, AQ77,AR77, AS77, "TTT")</f>
        <v>189</v>
      </c>
      <c r="BJ77" s="127">
        <f t="shared" si="21"/>
        <v>513</v>
      </c>
      <c r="BK77" s="127">
        <f t="shared" si="22"/>
        <v>3.6142442527278149</v>
      </c>
      <c r="BL77" s="127">
        <f t="shared" si="23"/>
        <v>302.89508840864443</v>
      </c>
      <c r="BM77" s="120">
        <f t="shared" si="24"/>
        <v>1.1932330338258025E-2</v>
      </c>
      <c r="BN77" s="4">
        <f>_xll.DCEBoltDisColBaseFix(AV77,AT77,AD77,AP77,AQ77,AR77,AS77,"NL1T")+_xll.DCEBoltDisColBaseFix(AV77,AT77,AD77,AP77,AQ77,AR77,AS77,"NL2T")+_xll.DCEBoltDisColBaseFix(AV77,AT77,AD77,AP77,AQ77,AR77,AS77,"NL3T")</f>
        <v>4</v>
      </c>
      <c r="BO77" s="121">
        <f t="shared" si="25"/>
        <v>0</v>
      </c>
      <c r="BP77" s="122">
        <f t="shared" si="26"/>
        <v>0</v>
      </c>
      <c r="BQ77" s="122">
        <f t="shared" si="27"/>
        <v>57.1</v>
      </c>
      <c r="BR77" s="120">
        <f>BQ77/VLOOKUP(AO77,Data!$V$4:$Z$99,4,FALSE)</f>
        <v>0.16175637393767706</v>
      </c>
      <c r="BS77" s="123" t="str">
        <f t="shared" si="28"/>
        <v>OK</v>
      </c>
      <c r="BT77" s="124">
        <f t="shared" si="29"/>
        <v>0.28736740674958106</v>
      </c>
      <c r="BU77" s="124">
        <f t="shared" si="30"/>
        <v>-3.2881419135462692E-2</v>
      </c>
      <c r="BV77" s="120">
        <f t="shared" si="31"/>
        <v>2.6424589126398258E-2</v>
      </c>
      <c r="BW77" s="123" t="str">
        <f t="shared" si="32"/>
        <v>OK</v>
      </c>
      <c r="BX77" s="124">
        <f t="shared" si="33"/>
        <v>406.65599999999995</v>
      </c>
      <c r="BY77" s="120">
        <f t="shared" si="34"/>
        <v>1.6497748825411787E-3</v>
      </c>
      <c r="BZ77" s="123" t="str">
        <f t="shared" si="35"/>
        <v>OK</v>
      </c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H77" s="127"/>
      <c r="EI77" s="127"/>
      <c r="EJ77" s="127"/>
      <c r="EK77" s="127"/>
      <c r="EL77" s="127"/>
      <c r="EM77" s="120"/>
      <c r="EN77" s="121"/>
      <c r="EO77" s="121"/>
      <c r="EP77" s="120"/>
      <c r="EQ77" s="122"/>
      <c r="ER77" s="120"/>
      <c r="ES77" s="238"/>
      <c r="ET77" s="124"/>
      <c r="EU77" s="124"/>
      <c r="EV77" s="120"/>
      <c r="EW77" s="217"/>
      <c r="EX77" s="124"/>
      <c r="EY77" s="120"/>
      <c r="EZ77" s="217"/>
    </row>
    <row r="78" spans="1:156" ht="12.75" customHeight="1">
      <c r="M78" s="6" t="s">
        <v>94</v>
      </c>
      <c r="N78" s="180"/>
      <c r="O78" s="180"/>
      <c r="P78" s="180"/>
      <c r="Q78" s="180"/>
      <c r="R78" s="180"/>
      <c r="S78" s="181"/>
      <c r="T78" s="182"/>
      <c r="U78" s="180"/>
      <c r="V78" s="2"/>
      <c r="W78" s="2"/>
      <c r="X78" s="5"/>
      <c r="AA78" s="75" t="s">
        <v>460</v>
      </c>
      <c r="AB78" s="75" t="s">
        <v>434</v>
      </c>
      <c r="AC78" s="76">
        <v>0</v>
      </c>
      <c r="AD78" s="28">
        <v>388</v>
      </c>
      <c r="AE78" s="28">
        <v>212</v>
      </c>
      <c r="AF78" s="28">
        <v>6</v>
      </c>
      <c r="AG78" s="28">
        <v>8</v>
      </c>
      <c r="AH78" s="28">
        <v>372</v>
      </c>
      <c r="AI78" s="13">
        <f t="shared" si="2"/>
        <v>648</v>
      </c>
      <c r="AJ78" s="13">
        <f t="shared" si="3"/>
        <v>212</v>
      </c>
      <c r="AK78" s="13">
        <f t="shared" si="4"/>
        <v>25</v>
      </c>
      <c r="AL78" s="13">
        <f t="shared" si="5"/>
        <v>7</v>
      </c>
      <c r="AM78" s="13">
        <f t="shared" si="6"/>
        <v>2</v>
      </c>
      <c r="AN78" s="13">
        <f t="shared" si="7"/>
        <v>8</v>
      </c>
      <c r="AO78" s="13">
        <f t="shared" si="8"/>
        <v>24</v>
      </c>
      <c r="AP78" s="13">
        <f t="shared" si="9"/>
        <v>60</v>
      </c>
      <c r="AQ78" s="13">
        <f t="shared" si="10"/>
        <v>70</v>
      </c>
      <c r="AR78" s="13">
        <f t="shared" si="11"/>
        <v>80</v>
      </c>
      <c r="AS78" s="13">
        <f t="shared" si="12"/>
        <v>150</v>
      </c>
      <c r="AT78" s="13">
        <f t="shared" si="13"/>
        <v>4</v>
      </c>
      <c r="AU78" s="13">
        <f t="shared" si="14"/>
        <v>120</v>
      </c>
      <c r="AV78" s="13">
        <f t="shared" si="15"/>
        <v>2</v>
      </c>
      <c r="AW78" s="13">
        <f t="shared" si="16"/>
        <v>0</v>
      </c>
      <c r="AX78" s="13">
        <f t="shared" si="17"/>
        <v>0</v>
      </c>
      <c r="AY78" s="13">
        <f t="shared" si="18"/>
        <v>1</v>
      </c>
      <c r="AZ78" s="13">
        <f t="shared" si="19"/>
        <v>6</v>
      </c>
      <c r="BA78" s="75" t="s">
        <v>437</v>
      </c>
      <c r="BB78" s="77">
        <v>-17.480133517238563</v>
      </c>
      <c r="BC78" s="77">
        <v>-0.52524295473499016</v>
      </c>
      <c r="BD78" s="29">
        <v>-0.41738995835272419</v>
      </c>
      <c r="BE78" s="29">
        <v>-1.2447418513464472E-5</v>
      </c>
      <c r="BF78" s="29">
        <v>-0.11851451493253458</v>
      </c>
      <c r="BG78" s="29">
        <v>-2.3757031460583238</v>
      </c>
      <c r="BH78" s="179">
        <f t="shared" si="20"/>
        <v>0.13590875285451637</v>
      </c>
      <c r="BI78" s="127">
        <f>_xll.DCEBoltDisColBaseFix(AV78, AT78, AD78, AP78, AQ78,AR78, AS78, "TTT")</f>
        <v>189</v>
      </c>
      <c r="BJ78" s="127">
        <f t="shared" si="21"/>
        <v>513</v>
      </c>
      <c r="BK78" s="127">
        <f t="shared" si="22"/>
        <v>3.6142442527278149</v>
      </c>
      <c r="BL78" s="127">
        <f t="shared" si="23"/>
        <v>302.89508840864443</v>
      </c>
      <c r="BM78" s="120">
        <f t="shared" si="24"/>
        <v>1.1932330338258025E-2</v>
      </c>
      <c r="BN78" s="4">
        <f>_xll.DCEBoltDisColBaseFix(AV78,AT78,AD78,AP78,AQ78,AR78,AS78,"NL1T")+_xll.DCEBoltDisColBaseFix(AV78,AT78,AD78,AP78,AQ78,AR78,AS78,"NL2T")+_xll.DCEBoltDisColBaseFix(AV78,AT78,AD78,AP78,AQ78,AR78,AS78,"NL3T")</f>
        <v>4</v>
      </c>
      <c r="BO78" s="121">
        <f t="shared" si="25"/>
        <v>0</v>
      </c>
      <c r="BP78" s="122">
        <f t="shared" si="26"/>
        <v>0</v>
      </c>
      <c r="BQ78" s="122">
        <f t="shared" si="27"/>
        <v>57.1</v>
      </c>
      <c r="BR78" s="120">
        <f>BQ78/VLOOKUP(AO78,Data!$V$4:$Z$99,4,FALSE)</f>
        <v>0.16175637393767706</v>
      </c>
      <c r="BS78" s="123" t="str">
        <f t="shared" si="28"/>
        <v>OK</v>
      </c>
      <c r="BT78" s="124">
        <f t="shared" si="29"/>
        <v>0.28736740674958106</v>
      </c>
      <c r="BU78" s="124">
        <f t="shared" si="30"/>
        <v>-3.2881419135462692E-2</v>
      </c>
      <c r="BV78" s="120">
        <f t="shared" si="31"/>
        <v>2.6424589126398258E-2</v>
      </c>
      <c r="BW78" s="123" t="str">
        <f t="shared" si="32"/>
        <v>OK</v>
      </c>
      <c r="BX78" s="124">
        <f t="shared" si="33"/>
        <v>406.65599999999995</v>
      </c>
      <c r="BY78" s="120">
        <f t="shared" si="34"/>
        <v>1.6497748825411787E-3</v>
      </c>
      <c r="BZ78" s="123" t="str">
        <f t="shared" si="35"/>
        <v>OK</v>
      </c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H78" s="127"/>
      <c r="EI78" s="127"/>
      <c r="EJ78" s="127"/>
      <c r="EK78" s="127"/>
      <c r="EL78" s="127"/>
      <c r="EM78" s="120"/>
      <c r="EN78" s="121"/>
      <c r="EO78" s="121"/>
      <c r="EP78" s="120"/>
      <c r="EQ78" s="122"/>
      <c r="ER78" s="120"/>
      <c r="ES78" s="238"/>
      <c r="ET78" s="124"/>
      <c r="EU78" s="124"/>
      <c r="EV78" s="120"/>
      <c r="EW78" s="217"/>
      <c r="EX78" s="124"/>
      <c r="EY78" s="120"/>
      <c r="EZ78" s="217"/>
    </row>
    <row r="79" spans="1:156" ht="12.75" customHeight="1">
      <c r="M79" s="7" t="str">
        <f>"- Độ lệch tâm của điểm đặt tải trọng:"</f>
        <v>- Độ lệch tâm của điểm đặt tải trọng:</v>
      </c>
      <c r="N79" s="180"/>
      <c r="O79" s="180"/>
      <c r="P79" s="180"/>
      <c r="Q79" s="180"/>
      <c r="R79" s="180"/>
      <c r="S79" s="181"/>
      <c r="T79" s="182"/>
      <c r="U79" s="180"/>
      <c r="V79" s="33" t="s">
        <v>184</v>
      </c>
      <c r="W79" s="189">
        <f>ABS(W66/U66)</f>
        <v>0.59099565488504724</v>
      </c>
      <c r="X79" s="23" t="s">
        <v>183</v>
      </c>
      <c r="AA79" s="75" t="s">
        <v>460</v>
      </c>
      <c r="AB79" s="75" t="s">
        <v>434</v>
      </c>
      <c r="AC79" s="76">
        <v>0</v>
      </c>
      <c r="AD79" s="28">
        <v>388</v>
      </c>
      <c r="AE79" s="28">
        <v>212</v>
      </c>
      <c r="AF79" s="28">
        <v>6</v>
      </c>
      <c r="AG79" s="28">
        <v>8</v>
      </c>
      <c r="AH79" s="28">
        <v>372</v>
      </c>
      <c r="AI79" s="13">
        <f t="shared" si="2"/>
        <v>648</v>
      </c>
      <c r="AJ79" s="13">
        <f t="shared" si="3"/>
        <v>212</v>
      </c>
      <c r="AK79" s="13">
        <f t="shared" si="4"/>
        <v>25</v>
      </c>
      <c r="AL79" s="13">
        <f t="shared" si="5"/>
        <v>7</v>
      </c>
      <c r="AM79" s="13">
        <f t="shared" si="6"/>
        <v>2</v>
      </c>
      <c r="AN79" s="13">
        <f t="shared" si="7"/>
        <v>8</v>
      </c>
      <c r="AO79" s="13">
        <f t="shared" si="8"/>
        <v>24</v>
      </c>
      <c r="AP79" s="13">
        <f t="shared" si="9"/>
        <v>60</v>
      </c>
      <c r="AQ79" s="13">
        <f t="shared" si="10"/>
        <v>70</v>
      </c>
      <c r="AR79" s="13">
        <f t="shared" si="11"/>
        <v>80</v>
      </c>
      <c r="AS79" s="13">
        <f t="shared" si="12"/>
        <v>150</v>
      </c>
      <c r="AT79" s="13">
        <f t="shared" si="13"/>
        <v>4</v>
      </c>
      <c r="AU79" s="13">
        <f t="shared" si="14"/>
        <v>120</v>
      </c>
      <c r="AV79" s="13">
        <f t="shared" si="15"/>
        <v>2</v>
      </c>
      <c r="AW79" s="13">
        <f t="shared" si="16"/>
        <v>0</v>
      </c>
      <c r="AX79" s="13">
        <f t="shared" si="17"/>
        <v>0</v>
      </c>
      <c r="AY79" s="13">
        <f t="shared" si="18"/>
        <v>1</v>
      </c>
      <c r="AZ79" s="13">
        <f t="shared" si="19"/>
        <v>6</v>
      </c>
      <c r="BA79" s="75" t="s">
        <v>438</v>
      </c>
      <c r="BB79" s="77">
        <v>-17.480133517238563</v>
      </c>
      <c r="BC79" s="77">
        <v>-0.52524295473499016</v>
      </c>
      <c r="BD79" s="29">
        <v>-0.41738995835272419</v>
      </c>
      <c r="BE79" s="29">
        <v>-1.2447418513464472E-5</v>
      </c>
      <c r="BF79" s="29">
        <v>-0.11851451493253458</v>
      </c>
      <c r="BG79" s="29">
        <v>-2.3757031460583238</v>
      </c>
      <c r="BH79" s="179">
        <f t="shared" si="20"/>
        <v>0.13590875285451637</v>
      </c>
      <c r="BI79" s="127">
        <f>_xll.DCEBoltDisColBaseFix(AV79, AT79, AD79, AP79, AQ79,AR79, AS79, "TTT")</f>
        <v>189</v>
      </c>
      <c r="BJ79" s="127">
        <f t="shared" si="21"/>
        <v>513</v>
      </c>
      <c r="BK79" s="127">
        <f t="shared" si="22"/>
        <v>3.6142442527278149</v>
      </c>
      <c r="BL79" s="127">
        <f t="shared" si="23"/>
        <v>302.89508840864443</v>
      </c>
      <c r="BM79" s="120">
        <f t="shared" si="24"/>
        <v>1.1932330338258025E-2</v>
      </c>
      <c r="BN79" s="4">
        <f>_xll.DCEBoltDisColBaseFix(AV79,AT79,AD79,AP79,AQ79,AR79,AS79,"NL1T")+_xll.DCEBoltDisColBaseFix(AV79,AT79,AD79,AP79,AQ79,AR79,AS79,"NL2T")+_xll.DCEBoltDisColBaseFix(AV79,AT79,AD79,AP79,AQ79,AR79,AS79,"NL3T")</f>
        <v>4</v>
      </c>
      <c r="BO79" s="121">
        <f t="shared" si="25"/>
        <v>0</v>
      </c>
      <c r="BP79" s="122">
        <f t="shared" si="26"/>
        <v>0</v>
      </c>
      <c r="BQ79" s="122">
        <f t="shared" si="27"/>
        <v>57.1</v>
      </c>
      <c r="BR79" s="120">
        <f>BQ79/VLOOKUP(AO79,Data!$V$4:$Z$99,4,FALSE)</f>
        <v>0.16175637393767706</v>
      </c>
      <c r="BS79" s="123" t="str">
        <f t="shared" si="28"/>
        <v>OK</v>
      </c>
      <c r="BT79" s="124">
        <f t="shared" si="29"/>
        <v>0.28736740674958106</v>
      </c>
      <c r="BU79" s="124">
        <f t="shared" si="30"/>
        <v>-3.2881419135462692E-2</v>
      </c>
      <c r="BV79" s="120">
        <f t="shared" si="31"/>
        <v>2.6424589126398258E-2</v>
      </c>
      <c r="BW79" s="123" t="str">
        <f t="shared" si="32"/>
        <v>OK</v>
      </c>
      <c r="BX79" s="124">
        <f t="shared" si="33"/>
        <v>406.65599999999995</v>
      </c>
      <c r="BY79" s="120">
        <f t="shared" si="34"/>
        <v>1.6497748825411787E-3</v>
      </c>
      <c r="BZ79" s="123" t="str">
        <f t="shared" si="35"/>
        <v>OK</v>
      </c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H79" s="127"/>
      <c r="EI79" s="127"/>
      <c r="EJ79" s="127"/>
      <c r="EK79" s="127"/>
      <c r="EL79" s="127"/>
      <c r="EM79" s="120"/>
      <c r="EN79" s="121"/>
      <c r="EO79" s="121"/>
      <c r="EP79" s="120"/>
      <c r="EQ79" s="122"/>
      <c r="ER79" s="120"/>
      <c r="ES79" s="238"/>
      <c r="ET79" s="124"/>
      <c r="EU79" s="124"/>
      <c r="EV79" s="120"/>
      <c r="EW79" s="217"/>
      <c r="EX79" s="124"/>
      <c r="EY79" s="120"/>
      <c r="EZ79" s="217"/>
    </row>
    <row r="80" spans="1:156" ht="12.75" customHeight="1">
      <c r="M80" s="7" t="str">
        <f>"- Khoảng cách từ trục của cột đến tâm nhóm bu lông chịu kéo:"</f>
        <v>- Khoảng cách từ trục của cột đến tâm nhóm bu lông chịu kéo:</v>
      </c>
      <c r="N80" s="180"/>
      <c r="O80" s="180"/>
      <c r="P80" s="180"/>
      <c r="Q80" s="180"/>
      <c r="R80" s="180"/>
      <c r="S80" s="181"/>
      <c r="T80" s="182"/>
      <c r="U80" s="32" t="s">
        <v>383</v>
      </c>
      <c r="V80" s="33" t="s">
        <v>185</v>
      </c>
      <c r="W80" s="190">
        <f>IF(U80="Trái",P55,T55)</f>
        <v>220</v>
      </c>
      <c r="X80" s="23" t="s">
        <v>1</v>
      </c>
      <c r="AA80" s="75" t="s">
        <v>460</v>
      </c>
      <c r="AB80" s="75" t="s">
        <v>434</v>
      </c>
      <c r="AC80" s="76">
        <v>0</v>
      </c>
      <c r="AD80" s="28">
        <v>388</v>
      </c>
      <c r="AE80" s="28">
        <v>212</v>
      </c>
      <c r="AF80" s="28">
        <v>6</v>
      </c>
      <c r="AG80" s="28">
        <v>8</v>
      </c>
      <c r="AH80" s="28">
        <v>372</v>
      </c>
      <c r="AI80" s="13">
        <f t="shared" si="2"/>
        <v>648</v>
      </c>
      <c r="AJ80" s="13">
        <f t="shared" si="3"/>
        <v>212</v>
      </c>
      <c r="AK80" s="13">
        <f t="shared" si="4"/>
        <v>25</v>
      </c>
      <c r="AL80" s="13">
        <f t="shared" si="5"/>
        <v>7</v>
      </c>
      <c r="AM80" s="13">
        <f t="shared" si="6"/>
        <v>2</v>
      </c>
      <c r="AN80" s="13">
        <f t="shared" si="7"/>
        <v>8</v>
      </c>
      <c r="AO80" s="13">
        <f t="shared" si="8"/>
        <v>24</v>
      </c>
      <c r="AP80" s="13">
        <f t="shared" si="9"/>
        <v>60</v>
      </c>
      <c r="AQ80" s="13">
        <f t="shared" si="10"/>
        <v>70</v>
      </c>
      <c r="AR80" s="13">
        <f t="shared" si="11"/>
        <v>80</v>
      </c>
      <c r="AS80" s="13">
        <f t="shared" si="12"/>
        <v>150</v>
      </c>
      <c r="AT80" s="13">
        <f t="shared" si="13"/>
        <v>4</v>
      </c>
      <c r="AU80" s="13">
        <f t="shared" si="14"/>
        <v>120</v>
      </c>
      <c r="AV80" s="13">
        <f t="shared" si="15"/>
        <v>2</v>
      </c>
      <c r="AW80" s="13">
        <f t="shared" si="16"/>
        <v>0</v>
      </c>
      <c r="AX80" s="13">
        <f t="shared" si="17"/>
        <v>0</v>
      </c>
      <c r="AY80" s="13">
        <f t="shared" si="18"/>
        <v>1</v>
      </c>
      <c r="AZ80" s="13">
        <f t="shared" si="19"/>
        <v>6</v>
      </c>
      <c r="BA80" s="75" t="s">
        <v>439</v>
      </c>
      <c r="BB80" s="77">
        <v>-17.480133517238563</v>
      </c>
      <c r="BC80" s="77">
        <v>-0.52524295473499016</v>
      </c>
      <c r="BD80" s="29">
        <v>-0.41738995835272419</v>
      </c>
      <c r="BE80" s="29">
        <v>-1.2447418513464472E-5</v>
      </c>
      <c r="BF80" s="29">
        <v>-0.11851451493253458</v>
      </c>
      <c r="BG80" s="29">
        <v>-2.3757031460583238</v>
      </c>
      <c r="BH80" s="179">
        <f t="shared" si="20"/>
        <v>0.13590875285451637</v>
      </c>
      <c r="BI80" s="127">
        <f>_xll.DCEBoltDisColBaseFix(AV80, AT80, AD80, AP80, AQ80,AR80, AS80, "TTT")</f>
        <v>189</v>
      </c>
      <c r="BJ80" s="127">
        <f t="shared" si="21"/>
        <v>513</v>
      </c>
      <c r="BK80" s="127">
        <f t="shared" si="22"/>
        <v>3.6142442527278149</v>
      </c>
      <c r="BL80" s="127">
        <f t="shared" si="23"/>
        <v>302.89508840864443</v>
      </c>
      <c r="BM80" s="120">
        <f t="shared" si="24"/>
        <v>1.1932330338258025E-2</v>
      </c>
      <c r="BN80" s="4">
        <f>_xll.DCEBoltDisColBaseFix(AV80,AT80,AD80,AP80,AQ80,AR80,AS80,"NL1T")+_xll.DCEBoltDisColBaseFix(AV80,AT80,AD80,AP80,AQ80,AR80,AS80,"NL2T")+_xll.DCEBoltDisColBaseFix(AV80,AT80,AD80,AP80,AQ80,AR80,AS80,"NL3T")</f>
        <v>4</v>
      </c>
      <c r="BO80" s="121">
        <f t="shared" si="25"/>
        <v>0</v>
      </c>
      <c r="BP80" s="122">
        <f t="shared" si="26"/>
        <v>0</v>
      </c>
      <c r="BQ80" s="122">
        <f t="shared" si="27"/>
        <v>57.1</v>
      </c>
      <c r="BR80" s="120">
        <f>BQ80/VLOOKUP(AO80,Data!$V$4:$Z$99,4,FALSE)</f>
        <v>0.16175637393767706</v>
      </c>
      <c r="BS80" s="123" t="str">
        <f t="shared" si="28"/>
        <v>OK</v>
      </c>
      <c r="BT80" s="124">
        <f t="shared" si="29"/>
        <v>0.28736740674958106</v>
      </c>
      <c r="BU80" s="124">
        <f t="shared" si="30"/>
        <v>-3.2881419135462692E-2</v>
      </c>
      <c r="BV80" s="120">
        <f t="shared" si="31"/>
        <v>2.6424589126398258E-2</v>
      </c>
      <c r="BW80" s="123" t="str">
        <f t="shared" si="32"/>
        <v>OK</v>
      </c>
      <c r="BX80" s="124">
        <f t="shared" si="33"/>
        <v>406.65599999999995</v>
      </c>
      <c r="BY80" s="120">
        <f t="shared" si="34"/>
        <v>1.6497748825411787E-3</v>
      </c>
      <c r="BZ80" s="123" t="str">
        <f t="shared" si="35"/>
        <v>OK</v>
      </c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H80" s="127"/>
      <c r="EI80" s="127"/>
      <c r="EJ80" s="127"/>
      <c r="EK80" s="127"/>
      <c r="EL80" s="127"/>
      <c r="EM80" s="120"/>
      <c r="EN80" s="121"/>
      <c r="EO80" s="121"/>
      <c r="EP80" s="120"/>
      <c r="EQ80" s="122"/>
      <c r="ER80" s="120"/>
      <c r="ES80" s="238"/>
      <c r="ET80" s="124"/>
      <c r="EU80" s="124"/>
      <c r="EV80" s="120"/>
      <c r="EW80" s="217"/>
      <c r="EX80" s="124"/>
      <c r="EY80" s="120"/>
      <c r="EZ80" s="217"/>
    </row>
    <row r="81" spans="13:156" ht="12.75" customHeight="1">
      <c r="M81" s="7" t="str">
        <f>"- Khoảng cách từ hợp lực trong bu lông chịu kéo đến mép đối diện:"</f>
        <v>- Khoảng cách từ hợp lực trong bu lông chịu kéo đến mép đối diện:</v>
      </c>
      <c r="N81" s="180"/>
      <c r="O81" s="180"/>
      <c r="P81" s="180"/>
      <c r="Q81" s="180"/>
      <c r="R81" s="180"/>
      <c r="S81" s="181"/>
      <c r="T81" s="182"/>
      <c r="U81" s="180"/>
      <c r="V81" s="33" t="s">
        <v>386</v>
      </c>
      <c r="W81" s="190">
        <f>W49/2+W80</f>
        <v>575</v>
      </c>
      <c r="X81" s="23" t="s">
        <v>1</v>
      </c>
      <c r="AA81" s="75" t="s">
        <v>460</v>
      </c>
      <c r="AB81" s="75" t="s">
        <v>434</v>
      </c>
      <c r="AC81" s="76">
        <v>0</v>
      </c>
      <c r="AD81" s="28">
        <v>388</v>
      </c>
      <c r="AE81" s="28">
        <v>212</v>
      </c>
      <c r="AF81" s="28">
        <v>6</v>
      </c>
      <c r="AG81" s="28">
        <v>8</v>
      </c>
      <c r="AH81" s="28">
        <v>372</v>
      </c>
      <c r="AI81" s="13">
        <f t="shared" si="2"/>
        <v>648</v>
      </c>
      <c r="AJ81" s="13">
        <f t="shared" si="3"/>
        <v>212</v>
      </c>
      <c r="AK81" s="13">
        <f t="shared" si="4"/>
        <v>25</v>
      </c>
      <c r="AL81" s="13">
        <f t="shared" si="5"/>
        <v>7</v>
      </c>
      <c r="AM81" s="13">
        <f t="shared" si="6"/>
        <v>2</v>
      </c>
      <c r="AN81" s="13">
        <f t="shared" si="7"/>
        <v>8</v>
      </c>
      <c r="AO81" s="13">
        <f t="shared" si="8"/>
        <v>24</v>
      </c>
      <c r="AP81" s="13">
        <f t="shared" si="9"/>
        <v>60</v>
      </c>
      <c r="AQ81" s="13">
        <f t="shared" si="10"/>
        <v>70</v>
      </c>
      <c r="AR81" s="13">
        <f t="shared" si="11"/>
        <v>80</v>
      </c>
      <c r="AS81" s="13">
        <f t="shared" si="12"/>
        <v>150</v>
      </c>
      <c r="AT81" s="13">
        <f t="shared" si="13"/>
        <v>4</v>
      </c>
      <c r="AU81" s="13">
        <f t="shared" si="14"/>
        <v>120</v>
      </c>
      <c r="AV81" s="13">
        <f t="shared" si="15"/>
        <v>2</v>
      </c>
      <c r="AW81" s="13">
        <f t="shared" si="16"/>
        <v>0</v>
      </c>
      <c r="AX81" s="13">
        <f t="shared" si="17"/>
        <v>0</v>
      </c>
      <c r="AY81" s="13">
        <f t="shared" si="18"/>
        <v>1</v>
      </c>
      <c r="AZ81" s="13">
        <f t="shared" si="19"/>
        <v>6</v>
      </c>
      <c r="BA81" s="75" t="s">
        <v>440</v>
      </c>
      <c r="BB81" s="77">
        <v>-17.480133517238563</v>
      </c>
      <c r="BC81" s="77">
        <v>-0.52524295473499016</v>
      </c>
      <c r="BD81" s="29">
        <v>-0.41738995835272419</v>
      </c>
      <c r="BE81" s="29">
        <v>-1.2447418513464472E-5</v>
      </c>
      <c r="BF81" s="29">
        <v>-0.11851451493253458</v>
      </c>
      <c r="BG81" s="29">
        <v>-2.3757031460583238</v>
      </c>
      <c r="BH81" s="179">
        <f t="shared" si="20"/>
        <v>0.13590875285451637</v>
      </c>
      <c r="BI81" s="127">
        <f>_xll.DCEBoltDisColBaseFix(AV81, AT81, AD81, AP81, AQ81,AR81, AS81, "TTT")</f>
        <v>189</v>
      </c>
      <c r="BJ81" s="127">
        <f t="shared" si="21"/>
        <v>513</v>
      </c>
      <c r="BK81" s="127">
        <f t="shared" si="22"/>
        <v>3.6142442527278149</v>
      </c>
      <c r="BL81" s="127">
        <f t="shared" si="23"/>
        <v>302.89508840864443</v>
      </c>
      <c r="BM81" s="120">
        <f t="shared" si="24"/>
        <v>1.1932330338258025E-2</v>
      </c>
      <c r="BN81" s="4">
        <f>_xll.DCEBoltDisColBaseFix(AV81,AT81,AD81,AP81,AQ81,AR81,AS81,"NL1T")+_xll.DCEBoltDisColBaseFix(AV81,AT81,AD81,AP81,AQ81,AR81,AS81,"NL2T")+_xll.DCEBoltDisColBaseFix(AV81,AT81,AD81,AP81,AQ81,AR81,AS81,"NL3T")</f>
        <v>4</v>
      </c>
      <c r="BO81" s="121">
        <f t="shared" si="25"/>
        <v>0</v>
      </c>
      <c r="BP81" s="122">
        <f t="shared" si="26"/>
        <v>0</v>
      </c>
      <c r="BQ81" s="122">
        <f t="shared" si="27"/>
        <v>57.1</v>
      </c>
      <c r="BR81" s="120">
        <f>BQ81/VLOOKUP(AO81,Data!$V$4:$Z$99,4,FALSE)</f>
        <v>0.16175637393767706</v>
      </c>
      <c r="BS81" s="123" t="str">
        <f t="shared" si="28"/>
        <v>OK</v>
      </c>
      <c r="BT81" s="124">
        <f t="shared" si="29"/>
        <v>0.28736740674958106</v>
      </c>
      <c r="BU81" s="124">
        <f t="shared" si="30"/>
        <v>-3.2881419135462692E-2</v>
      </c>
      <c r="BV81" s="120">
        <f t="shared" si="31"/>
        <v>2.6424589126398258E-2</v>
      </c>
      <c r="BW81" s="123" t="str">
        <f t="shared" si="32"/>
        <v>OK</v>
      </c>
      <c r="BX81" s="124">
        <f t="shared" si="33"/>
        <v>406.65599999999995</v>
      </c>
      <c r="BY81" s="120">
        <f t="shared" si="34"/>
        <v>1.6497748825411787E-3</v>
      </c>
      <c r="BZ81" s="123" t="str">
        <f t="shared" si="35"/>
        <v>OK</v>
      </c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H81" s="127"/>
      <c r="EI81" s="127"/>
      <c r="EJ81" s="127"/>
      <c r="EK81" s="127"/>
      <c r="EL81" s="127"/>
      <c r="EM81" s="120"/>
      <c r="EN81" s="121"/>
      <c r="EO81" s="121"/>
      <c r="EP81" s="120"/>
      <c r="EQ81" s="122"/>
      <c r="ER81" s="120"/>
      <c r="ES81" s="238"/>
      <c r="ET81" s="124"/>
      <c r="EU81" s="124"/>
      <c r="EV81" s="120"/>
      <c r="EW81" s="217"/>
      <c r="EX81" s="124"/>
      <c r="EY81" s="120"/>
      <c r="EZ81" s="217"/>
    </row>
    <row r="82" spans="13:156" ht="12.75" customHeight="1">
      <c r="M82" s="7" t="str">
        <f>"- Chiều cao vùng nén bê tông dưới bản đế:"</f>
        <v>- Chiều cao vùng nén bê tông dưới bản đế:</v>
      </c>
      <c r="N82" s="180"/>
      <c r="O82" s="180"/>
      <c r="P82" s="180"/>
      <c r="Q82" s="180"/>
      <c r="R82" s="180"/>
      <c r="S82" s="181"/>
      <c r="T82" s="182"/>
      <c r="U82" s="180"/>
      <c r="V82" s="33" t="s">
        <v>186</v>
      </c>
      <c r="W82" s="190">
        <f>IFERROR(W81 - (W81 ^ 2 - 2 * ABS(U66)*1000 *  (1000 *W79 + W80) / (W36 * W50)) ^ 0.5,"O/S")</f>
        <v>3.8396164371943087</v>
      </c>
      <c r="X82" s="23" t="s">
        <v>1</v>
      </c>
      <c r="AA82" s="75" t="s">
        <v>460</v>
      </c>
      <c r="AB82" s="75" t="s">
        <v>434</v>
      </c>
      <c r="AC82" s="76">
        <v>0</v>
      </c>
      <c r="AD82" s="28">
        <v>388</v>
      </c>
      <c r="AE82" s="28">
        <v>212</v>
      </c>
      <c r="AF82" s="28">
        <v>6</v>
      </c>
      <c r="AG82" s="28">
        <v>8</v>
      </c>
      <c r="AH82" s="28">
        <v>372</v>
      </c>
      <c r="AI82" s="13">
        <f t="shared" si="2"/>
        <v>648</v>
      </c>
      <c r="AJ82" s="13">
        <f t="shared" si="3"/>
        <v>212</v>
      </c>
      <c r="AK82" s="13">
        <f t="shared" si="4"/>
        <v>25</v>
      </c>
      <c r="AL82" s="13">
        <f t="shared" si="5"/>
        <v>7</v>
      </c>
      <c r="AM82" s="13">
        <f t="shared" si="6"/>
        <v>2</v>
      </c>
      <c r="AN82" s="13">
        <f t="shared" si="7"/>
        <v>8</v>
      </c>
      <c r="AO82" s="13">
        <f t="shared" si="8"/>
        <v>24</v>
      </c>
      <c r="AP82" s="13">
        <f t="shared" si="9"/>
        <v>60</v>
      </c>
      <c r="AQ82" s="13">
        <f t="shared" si="10"/>
        <v>70</v>
      </c>
      <c r="AR82" s="13">
        <f t="shared" si="11"/>
        <v>80</v>
      </c>
      <c r="AS82" s="13">
        <f t="shared" si="12"/>
        <v>150</v>
      </c>
      <c r="AT82" s="13">
        <f t="shared" si="13"/>
        <v>4</v>
      </c>
      <c r="AU82" s="13">
        <f t="shared" si="14"/>
        <v>120</v>
      </c>
      <c r="AV82" s="13">
        <f t="shared" si="15"/>
        <v>2</v>
      </c>
      <c r="AW82" s="13">
        <f t="shared" si="16"/>
        <v>0</v>
      </c>
      <c r="AX82" s="13">
        <f t="shared" si="17"/>
        <v>0</v>
      </c>
      <c r="AY82" s="13">
        <f t="shared" si="18"/>
        <v>1</v>
      </c>
      <c r="AZ82" s="13">
        <f t="shared" si="19"/>
        <v>6</v>
      </c>
      <c r="BA82" s="75" t="s">
        <v>441</v>
      </c>
      <c r="BB82" s="77">
        <v>-17.480133517238563</v>
      </c>
      <c r="BC82" s="77">
        <v>-0.52524295473499016</v>
      </c>
      <c r="BD82" s="29">
        <v>-0.41738995835272419</v>
      </c>
      <c r="BE82" s="29">
        <v>-1.2447418513464472E-5</v>
      </c>
      <c r="BF82" s="29">
        <v>-0.11851451493253458</v>
      </c>
      <c r="BG82" s="29">
        <v>-2.3757031460583238</v>
      </c>
      <c r="BH82" s="179">
        <f t="shared" si="20"/>
        <v>0.13590875285451637</v>
      </c>
      <c r="BI82" s="127">
        <f>_xll.DCEBoltDisColBaseFix(AV82, AT82, AD82, AP82, AQ82,AR82, AS82, "TTT")</f>
        <v>189</v>
      </c>
      <c r="BJ82" s="127">
        <f t="shared" si="21"/>
        <v>513</v>
      </c>
      <c r="BK82" s="127">
        <f t="shared" si="22"/>
        <v>3.6142442527278149</v>
      </c>
      <c r="BL82" s="127">
        <f t="shared" si="23"/>
        <v>302.89508840864443</v>
      </c>
      <c r="BM82" s="120">
        <f t="shared" si="24"/>
        <v>1.1932330338258025E-2</v>
      </c>
      <c r="BN82" s="4">
        <f>_xll.DCEBoltDisColBaseFix(AV82,AT82,AD82,AP82,AQ82,AR82,AS82,"NL1T")+_xll.DCEBoltDisColBaseFix(AV82,AT82,AD82,AP82,AQ82,AR82,AS82,"NL2T")+_xll.DCEBoltDisColBaseFix(AV82,AT82,AD82,AP82,AQ82,AR82,AS82,"NL3T")</f>
        <v>4</v>
      </c>
      <c r="BO82" s="121">
        <f t="shared" si="25"/>
        <v>0</v>
      </c>
      <c r="BP82" s="122">
        <f t="shared" si="26"/>
        <v>0</v>
      </c>
      <c r="BQ82" s="122">
        <f t="shared" si="27"/>
        <v>57.1</v>
      </c>
      <c r="BR82" s="120">
        <f>BQ82/VLOOKUP(AO82,Data!$V$4:$Z$99,4,FALSE)</f>
        <v>0.16175637393767706</v>
      </c>
      <c r="BS82" s="123" t="str">
        <f t="shared" si="28"/>
        <v>OK</v>
      </c>
      <c r="BT82" s="124">
        <f t="shared" si="29"/>
        <v>0.28736740674958106</v>
      </c>
      <c r="BU82" s="124">
        <f t="shared" si="30"/>
        <v>-3.2881419135462692E-2</v>
      </c>
      <c r="BV82" s="120">
        <f t="shared" si="31"/>
        <v>2.6424589126398258E-2</v>
      </c>
      <c r="BW82" s="123" t="str">
        <f t="shared" si="32"/>
        <v>OK</v>
      </c>
      <c r="BX82" s="124">
        <f t="shared" si="33"/>
        <v>406.65599999999995</v>
      </c>
      <c r="BY82" s="120">
        <f t="shared" si="34"/>
        <v>1.6497748825411787E-3</v>
      </c>
      <c r="BZ82" s="123" t="str">
        <f t="shared" si="35"/>
        <v>OK</v>
      </c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H82" s="127"/>
      <c r="EI82" s="127"/>
      <c r="EJ82" s="127"/>
      <c r="EK82" s="127"/>
      <c r="EL82" s="127"/>
      <c r="EM82" s="120"/>
      <c r="EN82" s="121"/>
      <c r="EO82" s="121"/>
      <c r="EP82" s="120"/>
      <c r="EQ82" s="122"/>
      <c r="ER82" s="120"/>
      <c r="ES82" s="238"/>
      <c r="ET82" s="124"/>
      <c r="EU82" s="124"/>
      <c r="EV82" s="120"/>
      <c r="EW82" s="217"/>
      <c r="EX82" s="124"/>
      <c r="EY82" s="120"/>
      <c r="EZ82" s="217"/>
    </row>
    <row r="83" spans="13:156" ht="12.75" customHeight="1">
      <c r="M83" s="7" t="str">
        <f>"- Biến dạng tương đối:"</f>
        <v>- Biến dạng tương đối:</v>
      </c>
      <c r="N83" s="180"/>
      <c r="O83" s="180"/>
      <c r="P83" s="191" t="s">
        <v>187</v>
      </c>
      <c r="Q83" s="180">
        <f>(W18/1.15)/210000</f>
        <v>1.2422360248447205E-3</v>
      </c>
      <c r="R83" s="192" t="s">
        <v>188</v>
      </c>
      <c r="S83" s="180">
        <v>3.5000000000000001E-3</v>
      </c>
      <c r="T83" s="2"/>
      <c r="U83" s="2"/>
      <c r="V83" s="20" t="s">
        <v>189</v>
      </c>
      <c r="W83" s="193">
        <f>0.8/(1+Q83/S83)</f>
        <v>0.59043876882776691</v>
      </c>
      <c r="X83" s="5"/>
      <c r="AA83" s="75" t="s">
        <v>460</v>
      </c>
      <c r="AB83" s="75" t="s">
        <v>434</v>
      </c>
      <c r="AC83" s="76">
        <v>0</v>
      </c>
      <c r="AD83" s="28">
        <v>388</v>
      </c>
      <c r="AE83" s="28">
        <v>212</v>
      </c>
      <c r="AF83" s="28">
        <v>6</v>
      </c>
      <c r="AG83" s="28">
        <v>8</v>
      </c>
      <c r="AH83" s="28">
        <v>372</v>
      </c>
      <c r="AI83" s="13">
        <f t="shared" si="2"/>
        <v>648</v>
      </c>
      <c r="AJ83" s="13">
        <f t="shared" si="3"/>
        <v>212</v>
      </c>
      <c r="AK83" s="13">
        <f t="shared" si="4"/>
        <v>25</v>
      </c>
      <c r="AL83" s="13">
        <f t="shared" si="5"/>
        <v>7</v>
      </c>
      <c r="AM83" s="13">
        <f t="shared" si="6"/>
        <v>2</v>
      </c>
      <c r="AN83" s="13">
        <f t="shared" si="7"/>
        <v>8</v>
      </c>
      <c r="AO83" s="13">
        <f t="shared" si="8"/>
        <v>24</v>
      </c>
      <c r="AP83" s="13">
        <f t="shared" si="9"/>
        <v>60</v>
      </c>
      <c r="AQ83" s="13">
        <f t="shared" si="10"/>
        <v>70</v>
      </c>
      <c r="AR83" s="13">
        <f t="shared" si="11"/>
        <v>80</v>
      </c>
      <c r="AS83" s="13">
        <f t="shared" si="12"/>
        <v>150</v>
      </c>
      <c r="AT83" s="13">
        <f t="shared" si="13"/>
        <v>4</v>
      </c>
      <c r="AU83" s="13">
        <f t="shared" si="14"/>
        <v>120</v>
      </c>
      <c r="AV83" s="13">
        <f t="shared" si="15"/>
        <v>2</v>
      </c>
      <c r="AW83" s="13">
        <f t="shared" si="16"/>
        <v>0</v>
      </c>
      <c r="AX83" s="13">
        <f t="shared" si="17"/>
        <v>0</v>
      </c>
      <c r="AY83" s="13">
        <f t="shared" si="18"/>
        <v>1</v>
      </c>
      <c r="AZ83" s="13">
        <f t="shared" si="19"/>
        <v>6</v>
      </c>
      <c r="BA83" s="75" t="s">
        <v>442</v>
      </c>
      <c r="BB83" s="77">
        <v>-17.480133517238563</v>
      </c>
      <c r="BC83" s="77">
        <v>-0.52524295473499016</v>
      </c>
      <c r="BD83" s="29">
        <v>-0.41738995835272419</v>
      </c>
      <c r="BE83" s="29">
        <v>-1.2447418513464472E-5</v>
      </c>
      <c r="BF83" s="29">
        <v>-0.11851451493253458</v>
      </c>
      <c r="BG83" s="29">
        <v>-2.3757031460583238</v>
      </c>
      <c r="BH83" s="179">
        <f t="shared" si="20"/>
        <v>0.13590875285451637</v>
      </c>
      <c r="BI83" s="127">
        <f>_xll.DCEBoltDisColBaseFix(AV83, AT83, AD83, AP83, AQ83,AR83, AS83, "TTT")</f>
        <v>189</v>
      </c>
      <c r="BJ83" s="127">
        <f t="shared" si="21"/>
        <v>513</v>
      </c>
      <c r="BK83" s="127">
        <f t="shared" si="22"/>
        <v>3.6142442527278149</v>
      </c>
      <c r="BL83" s="127">
        <f t="shared" si="23"/>
        <v>302.89508840864443</v>
      </c>
      <c r="BM83" s="120">
        <f t="shared" si="24"/>
        <v>1.1932330338258025E-2</v>
      </c>
      <c r="BN83" s="4">
        <f>_xll.DCEBoltDisColBaseFix(AV83,AT83,AD83,AP83,AQ83,AR83,AS83,"NL1T")+_xll.DCEBoltDisColBaseFix(AV83,AT83,AD83,AP83,AQ83,AR83,AS83,"NL2T")+_xll.DCEBoltDisColBaseFix(AV83,AT83,AD83,AP83,AQ83,AR83,AS83,"NL3T")</f>
        <v>4</v>
      </c>
      <c r="BO83" s="121">
        <f t="shared" si="25"/>
        <v>0</v>
      </c>
      <c r="BP83" s="122">
        <f t="shared" si="26"/>
        <v>0</v>
      </c>
      <c r="BQ83" s="122">
        <f t="shared" si="27"/>
        <v>57.1</v>
      </c>
      <c r="BR83" s="120">
        <f>BQ83/VLOOKUP(AO83,Data!$V$4:$Z$99,4,FALSE)</f>
        <v>0.16175637393767706</v>
      </c>
      <c r="BS83" s="123" t="str">
        <f t="shared" si="28"/>
        <v>OK</v>
      </c>
      <c r="BT83" s="124">
        <f t="shared" si="29"/>
        <v>0.28736740674958106</v>
      </c>
      <c r="BU83" s="124">
        <f t="shared" si="30"/>
        <v>-3.2881419135462692E-2</v>
      </c>
      <c r="BV83" s="120">
        <f t="shared" si="31"/>
        <v>2.6424589126398258E-2</v>
      </c>
      <c r="BW83" s="123" t="str">
        <f t="shared" si="32"/>
        <v>OK</v>
      </c>
      <c r="BX83" s="124">
        <f t="shared" si="33"/>
        <v>406.65599999999995</v>
      </c>
      <c r="BY83" s="120">
        <f t="shared" si="34"/>
        <v>1.6497748825411787E-3</v>
      </c>
      <c r="BZ83" s="123" t="str">
        <f t="shared" si="35"/>
        <v>OK</v>
      </c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H83" s="127"/>
      <c r="EI83" s="127"/>
      <c r="EJ83" s="127"/>
      <c r="EK83" s="127"/>
      <c r="EL83" s="127"/>
      <c r="EM83" s="120"/>
      <c r="EN83" s="121"/>
      <c r="EO83" s="121"/>
      <c r="EP83" s="120"/>
      <c r="EQ83" s="122"/>
      <c r="ER83" s="120"/>
      <c r="ES83" s="238"/>
      <c r="ET83" s="124"/>
      <c r="EU83" s="124"/>
      <c r="EV83" s="120"/>
      <c r="EW83" s="217"/>
      <c r="EX83" s="124"/>
      <c r="EY83" s="120"/>
      <c r="EZ83" s="217"/>
    </row>
    <row r="84" spans="13:156" ht="12.75" customHeight="1">
      <c r="M84" s="7" t="str">
        <f>"- Chiều cao giới hạn vùng nén:"</f>
        <v>- Chiều cao giới hạn vùng nén:</v>
      </c>
      <c r="N84" s="180"/>
      <c r="O84" s="180"/>
      <c r="P84" s="180"/>
      <c r="Q84" s="180"/>
      <c r="R84" s="180"/>
      <c r="S84" s="181"/>
      <c r="T84" s="182"/>
      <c r="U84" s="180"/>
      <c r="V84" s="33" t="s">
        <v>191</v>
      </c>
      <c r="W84" s="190">
        <f>$W$83*W81</f>
        <v>339.50229207596595</v>
      </c>
      <c r="X84" s="23" t="s">
        <v>1</v>
      </c>
      <c r="AA84" s="75" t="s">
        <v>460</v>
      </c>
      <c r="AB84" s="75" t="s">
        <v>434</v>
      </c>
      <c r="AC84" s="76">
        <v>0</v>
      </c>
      <c r="AD84" s="28">
        <v>388</v>
      </c>
      <c r="AE84" s="28">
        <v>212</v>
      </c>
      <c r="AF84" s="28">
        <v>6</v>
      </c>
      <c r="AG84" s="28">
        <v>8</v>
      </c>
      <c r="AH84" s="28">
        <v>372</v>
      </c>
      <c r="AI84" s="13">
        <f t="shared" si="2"/>
        <v>648</v>
      </c>
      <c r="AJ84" s="13">
        <f t="shared" si="3"/>
        <v>212</v>
      </c>
      <c r="AK84" s="13">
        <f t="shared" si="4"/>
        <v>25</v>
      </c>
      <c r="AL84" s="13">
        <f t="shared" si="5"/>
        <v>7</v>
      </c>
      <c r="AM84" s="13">
        <f t="shared" si="6"/>
        <v>2</v>
      </c>
      <c r="AN84" s="13">
        <f t="shared" si="7"/>
        <v>8</v>
      </c>
      <c r="AO84" s="13">
        <f t="shared" si="8"/>
        <v>24</v>
      </c>
      <c r="AP84" s="13">
        <f t="shared" si="9"/>
        <v>60</v>
      </c>
      <c r="AQ84" s="13">
        <f t="shared" si="10"/>
        <v>70</v>
      </c>
      <c r="AR84" s="13">
        <f t="shared" si="11"/>
        <v>80</v>
      </c>
      <c r="AS84" s="13">
        <f t="shared" si="12"/>
        <v>150</v>
      </c>
      <c r="AT84" s="13">
        <f t="shared" si="13"/>
        <v>4</v>
      </c>
      <c r="AU84" s="13">
        <f t="shared" si="14"/>
        <v>120</v>
      </c>
      <c r="AV84" s="13">
        <f t="shared" si="15"/>
        <v>2</v>
      </c>
      <c r="AW84" s="13">
        <f t="shared" si="16"/>
        <v>0</v>
      </c>
      <c r="AX84" s="13">
        <f t="shared" si="17"/>
        <v>0</v>
      </c>
      <c r="AY84" s="13">
        <f t="shared" si="18"/>
        <v>1</v>
      </c>
      <c r="AZ84" s="13">
        <f t="shared" si="19"/>
        <v>6</v>
      </c>
      <c r="BA84" s="75" t="s">
        <v>443</v>
      </c>
      <c r="BB84" s="77">
        <v>-17.480133517238563</v>
      </c>
      <c r="BC84" s="77">
        <v>-0.52524295473499016</v>
      </c>
      <c r="BD84" s="29">
        <v>-0.41738995835272419</v>
      </c>
      <c r="BE84" s="29">
        <v>-1.2447418513464472E-5</v>
      </c>
      <c r="BF84" s="29">
        <v>-0.11851451493253458</v>
      </c>
      <c r="BG84" s="29">
        <v>-2.3757031460583238</v>
      </c>
      <c r="BH84" s="179">
        <f t="shared" si="20"/>
        <v>0.13590875285451637</v>
      </c>
      <c r="BI84" s="127">
        <f>_xll.DCEBoltDisColBaseFix(AV84, AT84, AD84, AP84, AQ84,AR84, AS84, "TTT")</f>
        <v>189</v>
      </c>
      <c r="BJ84" s="127">
        <f t="shared" si="21"/>
        <v>513</v>
      </c>
      <c r="BK84" s="127">
        <f t="shared" si="22"/>
        <v>3.6142442527278149</v>
      </c>
      <c r="BL84" s="127">
        <f t="shared" si="23"/>
        <v>302.89508840864443</v>
      </c>
      <c r="BM84" s="120">
        <f t="shared" si="24"/>
        <v>1.1932330338258025E-2</v>
      </c>
      <c r="BN84" s="4">
        <f>_xll.DCEBoltDisColBaseFix(AV84,AT84,AD84,AP84,AQ84,AR84,AS84,"NL1T")+_xll.DCEBoltDisColBaseFix(AV84,AT84,AD84,AP84,AQ84,AR84,AS84,"NL2T")+_xll.DCEBoltDisColBaseFix(AV84,AT84,AD84,AP84,AQ84,AR84,AS84,"NL3T")</f>
        <v>4</v>
      </c>
      <c r="BO84" s="121">
        <f t="shared" si="25"/>
        <v>0</v>
      </c>
      <c r="BP84" s="122">
        <f t="shared" si="26"/>
        <v>0</v>
      </c>
      <c r="BQ84" s="122">
        <f t="shared" si="27"/>
        <v>57.1</v>
      </c>
      <c r="BR84" s="120">
        <f>BQ84/VLOOKUP(AO84,Data!$V$4:$Z$99,4,FALSE)</f>
        <v>0.16175637393767706</v>
      </c>
      <c r="BS84" s="123" t="str">
        <f t="shared" si="28"/>
        <v>OK</v>
      </c>
      <c r="BT84" s="124">
        <f t="shared" si="29"/>
        <v>0.28736740674958106</v>
      </c>
      <c r="BU84" s="124">
        <f t="shared" si="30"/>
        <v>-3.2881419135462692E-2</v>
      </c>
      <c r="BV84" s="120">
        <f t="shared" si="31"/>
        <v>2.6424589126398258E-2</v>
      </c>
      <c r="BW84" s="123" t="str">
        <f t="shared" si="32"/>
        <v>OK</v>
      </c>
      <c r="BX84" s="124">
        <f t="shared" si="33"/>
        <v>406.65599999999995</v>
      </c>
      <c r="BY84" s="120">
        <f t="shared" si="34"/>
        <v>1.6497748825411787E-3</v>
      </c>
      <c r="BZ84" s="123" t="str">
        <f t="shared" si="35"/>
        <v>OK</v>
      </c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H84" s="127"/>
      <c r="EI84" s="127"/>
      <c r="EJ84" s="127"/>
      <c r="EK84" s="127"/>
      <c r="EL84" s="127"/>
      <c r="EM84" s="120"/>
      <c r="EN84" s="121"/>
      <c r="EO84" s="121"/>
      <c r="EP84" s="120"/>
      <c r="EQ84" s="122"/>
      <c r="ER84" s="120"/>
      <c r="ES84" s="238"/>
      <c r="ET84" s="124"/>
      <c r="EU84" s="124"/>
      <c r="EV84" s="120"/>
      <c r="EW84" s="217"/>
      <c r="EX84" s="124"/>
      <c r="EY84" s="120"/>
      <c r="EZ84" s="217"/>
    </row>
    <row r="85" spans="13:156" ht="12.75" customHeight="1">
      <c r="M85" s="7" t="str">
        <f>"- Kiểm tra điều kiện chiều cao của vùng nén:"</f>
        <v>- Kiểm tra điều kiện chiều cao của vùng nén:</v>
      </c>
      <c r="N85" s="180"/>
      <c r="O85" s="180"/>
      <c r="P85" s="180"/>
      <c r="Q85" s="180"/>
      <c r="R85" s="180"/>
      <c r="S85" s="181"/>
      <c r="T85" s="182"/>
      <c r="U85" s="180"/>
      <c r="V85" s="33" t="s">
        <v>190</v>
      </c>
      <c r="W85" s="194">
        <f>W82/W84</f>
        <v>1.1309544962763221E-2</v>
      </c>
      <c r="X85" s="12" t="str">
        <f>IF(W85&lt;=1,"OK","Check")</f>
        <v>OK</v>
      </c>
      <c r="AA85" s="75" t="s">
        <v>460</v>
      </c>
      <c r="AB85" s="75" t="s">
        <v>434</v>
      </c>
      <c r="AC85" s="76">
        <v>0</v>
      </c>
      <c r="AD85" s="28">
        <v>388</v>
      </c>
      <c r="AE85" s="28">
        <v>212</v>
      </c>
      <c r="AF85" s="28">
        <v>6</v>
      </c>
      <c r="AG85" s="28">
        <v>8</v>
      </c>
      <c r="AH85" s="28">
        <v>372</v>
      </c>
      <c r="AI85" s="13">
        <f t="shared" si="2"/>
        <v>648</v>
      </c>
      <c r="AJ85" s="13">
        <f t="shared" si="3"/>
        <v>212</v>
      </c>
      <c r="AK85" s="13">
        <f t="shared" si="4"/>
        <v>25</v>
      </c>
      <c r="AL85" s="13">
        <f t="shared" si="5"/>
        <v>7</v>
      </c>
      <c r="AM85" s="13">
        <f t="shared" si="6"/>
        <v>2</v>
      </c>
      <c r="AN85" s="13">
        <f t="shared" si="7"/>
        <v>8</v>
      </c>
      <c r="AO85" s="13">
        <f t="shared" si="8"/>
        <v>24</v>
      </c>
      <c r="AP85" s="13">
        <f t="shared" si="9"/>
        <v>60</v>
      </c>
      <c r="AQ85" s="13">
        <f t="shared" si="10"/>
        <v>70</v>
      </c>
      <c r="AR85" s="13">
        <f t="shared" si="11"/>
        <v>80</v>
      </c>
      <c r="AS85" s="13">
        <f t="shared" si="12"/>
        <v>150</v>
      </c>
      <c r="AT85" s="13">
        <f t="shared" si="13"/>
        <v>4</v>
      </c>
      <c r="AU85" s="13">
        <f t="shared" si="14"/>
        <v>120</v>
      </c>
      <c r="AV85" s="13">
        <f t="shared" si="15"/>
        <v>2</v>
      </c>
      <c r="AW85" s="13">
        <f t="shared" si="16"/>
        <v>0</v>
      </c>
      <c r="AX85" s="13">
        <f t="shared" si="17"/>
        <v>0</v>
      </c>
      <c r="AY85" s="13">
        <f t="shared" si="18"/>
        <v>1</v>
      </c>
      <c r="AZ85" s="13">
        <f t="shared" si="19"/>
        <v>6</v>
      </c>
      <c r="BA85" s="75" t="s">
        <v>444</v>
      </c>
      <c r="BB85" s="77">
        <v>-17.480133517238563</v>
      </c>
      <c r="BC85" s="77">
        <v>-0.52524295473499016</v>
      </c>
      <c r="BD85" s="29">
        <v>-0.41738995835272419</v>
      </c>
      <c r="BE85" s="29">
        <v>-1.2447418513464472E-5</v>
      </c>
      <c r="BF85" s="29">
        <v>-0.11851451493253458</v>
      </c>
      <c r="BG85" s="29">
        <v>-2.3757031460583238</v>
      </c>
      <c r="BH85" s="179">
        <f t="shared" si="20"/>
        <v>0.13590875285451637</v>
      </c>
      <c r="BI85" s="127">
        <f>_xll.DCEBoltDisColBaseFix(AV85, AT85, AD85, AP85, AQ85,AR85, AS85, "TTT")</f>
        <v>189</v>
      </c>
      <c r="BJ85" s="127">
        <f t="shared" si="21"/>
        <v>513</v>
      </c>
      <c r="BK85" s="127">
        <f t="shared" si="22"/>
        <v>3.6142442527278149</v>
      </c>
      <c r="BL85" s="127">
        <f t="shared" si="23"/>
        <v>302.89508840864443</v>
      </c>
      <c r="BM85" s="120">
        <f t="shared" si="24"/>
        <v>1.1932330338258025E-2</v>
      </c>
      <c r="BN85" s="4">
        <f>_xll.DCEBoltDisColBaseFix(AV85,AT85,AD85,AP85,AQ85,AR85,AS85,"NL1T")+_xll.DCEBoltDisColBaseFix(AV85,AT85,AD85,AP85,AQ85,AR85,AS85,"NL2T")+_xll.DCEBoltDisColBaseFix(AV85,AT85,AD85,AP85,AQ85,AR85,AS85,"NL3T")</f>
        <v>4</v>
      </c>
      <c r="BO85" s="121">
        <f t="shared" si="25"/>
        <v>0</v>
      </c>
      <c r="BP85" s="122">
        <f t="shared" si="26"/>
        <v>0</v>
      </c>
      <c r="BQ85" s="122">
        <f t="shared" si="27"/>
        <v>57.1</v>
      </c>
      <c r="BR85" s="120">
        <f>BQ85/VLOOKUP(AO85,Data!$V$4:$Z$99,4,FALSE)</f>
        <v>0.16175637393767706</v>
      </c>
      <c r="BS85" s="123" t="str">
        <f t="shared" si="28"/>
        <v>OK</v>
      </c>
      <c r="BT85" s="124">
        <f t="shared" si="29"/>
        <v>0.28736740674958106</v>
      </c>
      <c r="BU85" s="124">
        <f t="shared" si="30"/>
        <v>-3.2881419135462692E-2</v>
      </c>
      <c r="BV85" s="120">
        <f t="shared" si="31"/>
        <v>2.6424589126398258E-2</v>
      </c>
      <c r="BW85" s="123" t="str">
        <f t="shared" si="32"/>
        <v>OK</v>
      </c>
      <c r="BX85" s="124">
        <f t="shared" si="33"/>
        <v>406.65599999999995</v>
      </c>
      <c r="BY85" s="120">
        <f t="shared" si="34"/>
        <v>1.6497748825411787E-3</v>
      </c>
      <c r="BZ85" s="123" t="str">
        <f t="shared" si="35"/>
        <v>OK</v>
      </c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H85" s="127"/>
      <c r="EI85" s="127"/>
      <c r="EJ85" s="127"/>
      <c r="EK85" s="127"/>
      <c r="EL85" s="127"/>
      <c r="EM85" s="120"/>
      <c r="EN85" s="121"/>
      <c r="EO85" s="121"/>
      <c r="EP85" s="120"/>
      <c r="EQ85" s="122"/>
      <c r="ER85" s="120"/>
      <c r="ES85" s="238"/>
      <c r="ET85" s="124"/>
      <c r="EU85" s="124"/>
      <c r="EV85" s="120"/>
      <c r="EW85" s="217"/>
      <c r="EX85" s="124"/>
      <c r="EY85" s="120"/>
      <c r="EZ85" s="217"/>
    </row>
    <row r="86" spans="13:156" ht="12.75" customHeight="1">
      <c r="M86" s="7" t="str">
        <f>"- Số lượng bu lông chịu kéo nằm ở một phía chân cột:"</f>
        <v>- Số lượng bu lông chịu kéo nằm ở một phía chân cột:</v>
      </c>
      <c r="N86" s="180"/>
      <c r="O86" s="180"/>
      <c r="P86" s="180"/>
      <c r="Q86" s="180"/>
      <c r="R86" s="180"/>
      <c r="S86" s="181"/>
      <c r="T86" s="182"/>
      <c r="U86" s="180"/>
      <c r="V86" s="33" t="s">
        <v>127</v>
      </c>
      <c r="W86" s="34">
        <f>IF(U80="Trái",SUM(P53:R53),SUM(T53:V53))</f>
        <v>4</v>
      </c>
      <c r="X86" s="5"/>
      <c r="AA86" s="75" t="s">
        <v>460</v>
      </c>
      <c r="AB86" s="75" t="s">
        <v>434</v>
      </c>
      <c r="AC86" s="76">
        <v>0</v>
      </c>
      <c r="AD86" s="28">
        <v>388</v>
      </c>
      <c r="AE86" s="28">
        <v>212</v>
      </c>
      <c r="AF86" s="28">
        <v>6</v>
      </c>
      <c r="AG86" s="28">
        <v>8</v>
      </c>
      <c r="AH86" s="28">
        <v>372</v>
      </c>
      <c r="AI86" s="13">
        <f t="shared" si="2"/>
        <v>648</v>
      </c>
      <c r="AJ86" s="13">
        <f t="shared" si="3"/>
        <v>212</v>
      </c>
      <c r="AK86" s="13">
        <f t="shared" si="4"/>
        <v>25</v>
      </c>
      <c r="AL86" s="13">
        <f t="shared" si="5"/>
        <v>7</v>
      </c>
      <c r="AM86" s="13">
        <f t="shared" si="6"/>
        <v>2</v>
      </c>
      <c r="AN86" s="13">
        <f t="shared" si="7"/>
        <v>8</v>
      </c>
      <c r="AO86" s="13">
        <f t="shared" si="8"/>
        <v>24</v>
      </c>
      <c r="AP86" s="13">
        <f t="shared" si="9"/>
        <v>60</v>
      </c>
      <c r="AQ86" s="13">
        <f t="shared" si="10"/>
        <v>70</v>
      </c>
      <c r="AR86" s="13">
        <f t="shared" si="11"/>
        <v>80</v>
      </c>
      <c r="AS86" s="13">
        <f t="shared" si="12"/>
        <v>150</v>
      </c>
      <c r="AT86" s="13">
        <f t="shared" si="13"/>
        <v>4</v>
      </c>
      <c r="AU86" s="13">
        <f t="shared" si="14"/>
        <v>120</v>
      </c>
      <c r="AV86" s="13">
        <f t="shared" si="15"/>
        <v>2</v>
      </c>
      <c r="AW86" s="13">
        <f t="shared" si="16"/>
        <v>0</v>
      </c>
      <c r="AX86" s="13">
        <f t="shared" si="17"/>
        <v>0</v>
      </c>
      <c r="AY86" s="13">
        <f t="shared" si="18"/>
        <v>1</v>
      </c>
      <c r="AZ86" s="13">
        <f t="shared" si="19"/>
        <v>6</v>
      </c>
      <c r="BA86" s="75" t="s">
        <v>445</v>
      </c>
      <c r="BB86" s="77">
        <v>-17.480133517238563</v>
      </c>
      <c r="BC86" s="77">
        <v>-0.52524295473499016</v>
      </c>
      <c r="BD86" s="29">
        <v>-0.41738995835272419</v>
      </c>
      <c r="BE86" s="29">
        <v>-1.2447418513464472E-5</v>
      </c>
      <c r="BF86" s="29">
        <v>-0.11851451493253458</v>
      </c>
      <c r="BG86" s="29">
        <v>-2.3757031460583238</v>
      </c>
      <c r="BH86" s="179">
        <f t="shared" si="20"/>
        <v>0.13590875285451637</v>
      </c>
      <c r="BI86" s="127">
        <f>_xll.DCEBoltDisColBaseFix(AV86, AT86, AD86, AP86, AQ86,AR86, AS86, "TTT")</f>
        <v>189</v>
      </c>
      <c r="BJ86" s="127">
        <f t="shared" si="21"/>
        <v>513</v>
      </c>
      <c r="BK86" s="127">
        <f t="shared" si="22"/>
        <v>3.6142442527278149</v>
      </c>
      <c r="BL86" s="127">
        <f t="shared" si="23"/>
        <v>302.89508840864443</v>
      </c>
      <c r="BM86" s="120">
        <f t="shared" si="24"/>
        <v>1.1932330338258025E-2</v>
      </c>
      <c r="BN86" s="4">
        <f>_xll.DCEBoltDisColBaseFix(AV86,AT86,AD86,AP86,AQ86,AR86,AS86,"NL1T")+_xll.DCEBoltDisColBaseFix(AV86,AT86,AD86,AP86,AQ86,AR86,AS86,"NL2T")+_xll.DCEBoltDisColBaseFix(AV86,AT86,AD86,AP86,AQ86,AR86,AS86,"NL3T")</f>
        <v>4</v>
      </c>
      <c r="BO86" s="121">
        <f t="shared" si="25"/>
        <v>0</v>
      </c>
      <c r="BP86" s="122">
        <f t="shared" si="26"/>
        <v>0</v>
      </c>
      <c r="BQ86" s="122">
        <f t="shared" si="27"/>
        <v>57.1</v>
      </c>
      <c r="BR86" s="120">
        <f>BQ86/VLOOKUP(AO86,Data!$V$4:$Z$99,4,FALSE)</f>
        <v>0.16175637393767706</v>
      </c>
      <c r="BS86" s="123" t="str">
        <f t="shared" si="28"/>
        <v>OK</v>
      </c>
      <c r="BT86" s="124">
        <f t="shared" si="29"/>
        <v>0.28736740674958106</v>
      </c>
      <c r="BU86" s="124">
        <f t="shared" si="30"/>
        <v>-3.2881419135462692E-2</v>
      </c>
      <c r="BV86" s="120">
        <f t="shared" si="31"/>
        <v>2.6424589126398258E-2</v>
      </c>
      <c r="BW86" s="123" t="str">
        <f t="shared" si="32"/>
        <v>OK</v>
      </c>
      <c r="BX86" s="124">
        <f t="shared" si="33"/>
        <v>406.65599999999995</v>
      </c>
      <c r="BY86" s="120">
        <f t="shared" si="34"/>
        <v>1.6497748825411787E-3</v>
      </c>
      <c r="BZ86" s="123" t="str">
        <f t="shared" si="35"/>
        <v>OK</v>
      </c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H86" s="127"/>
      <c r="EI86" s="127"/>
      <c r="EJ86" s="127"/>
      <c r="EK86" s="127"/>
      <c r="EL86" s="127"/>
      <c r="EM86" s="120"/>
      <c r="EN86" s="121"/>
      <c r="EO86" s="121"/>
      <c r="EP86" s="120"/>
      <c r="EQ86" s="122"/>
      <c r="ER86" s="120"/>
      <c r="ES86" s="238"/>
      <c r="ET86" s="124"/>
      <c r="EU86" s="124"/>
      <c r="EV86" s="120"/>
      <c r="EW86" s="217"/>
      <c r="EX86" s="124"/>
      <c r="EY86" s="120"/>
      <c r="EZ86" s="217"/>
    </row>
    <row r="87" spans="13:156" ht="12.75" customHeight="1">
      <c r="M87" s="7" t="str">
        <f>"- Tải trọng tính toán tác dụng lên bu lông:"</f>
        <v>- Tải trọng tính toán tác dụng lên bu lông:</v>
      </c>
      <c r="N87" s="180"/>
      <c r="O87" s="180"/>
      <c r="P87" s="180"/>
      <c r="Q87" s="180"/>
      <c r="R87" s="180"/>
      <c r="S87" s="181"/>
      <c r="T87" s="182"/>
      <c r="U87" s="180"/>
      <c r="V87" s="33" t="s">
        <v>192</v>
      </c>
      <c r="W87" s="190">
        <f>MAX(($W$36*W50*W82/1000+U66)/W86,0)</f>
        <v>0.86563708959426799</v>
      </c>
      <c r="X87" s="23" t="s">
        <v>72</v>
      </c>
      <c r="AA87" s="75" t="s">
        <v>460</v>
      </c>
      <c r="AB87" s="75" t="s">
        <v>434</v>
      </c>
      <c r="AC87" s="76">
        <v>0</v>
      </c>
      <c r="AD87" s="28">
        <v>388</v>
      </c>
      <c r="AE87" s="28">
        <v>212</v>
      </c>
      <c r="AF87" s="28">
        <v>6</v>
      </c>
      <c r="AG87" s="28">
        <v>8</v>
      </c>
      <c r="AH87" s="28">
        <v>372</v>
      </c>
      <c r="AI87" s="13">
        <f t="shared" si="2"/>
        <v>648</v>
      </c>
      <c r="AJ87" s="13">
        <f t="shared" si="3"/>
        <v>212</v>
      </c>
      <c r="AK87" s="13">
        <f t="shared" si="4"/>
        <v>25</v>
      </c>
      <c r="AL87" s="13">
        <f t="shared" si="5"/>
        <v>7</v>
      </c>
      <c r="AM87" s="13">
        <f t="shared" si="6"/>
        <v>2</v>
      </c>
      <c r="AN87" s="13">
        <f t="shared" si="7"/>
        <v>8</v>
      </c>
      <c r="AO87" s="13">
        <f t="shared" si="8"/>
        <v>24</v>
      </c>
      <c r="AP87" s="13">
        <f t="shared" si="9"/>
        <v>60</v>
      </c>
      <c r="AQ87" s="13">
        <f t="shared" si="10"/>
        <v>70</v>
      </c>
      <c r="AR87" s="13">
        <f t="shared" si="11"/>
        <v>80</v>
      </c>
      <c r="AS87" s="13">
        <f t="shared" si="12"/>
        <v>150</v>
      </c>
      <c r="AT87" s="13">
        <f t="shared" si="13"/>
        <v>4</v>
      </c>
      <c r="AU87" s="13">
        <f t="shared" si="14"/>
        <v>120</v>
      </c>
      <c r="AV87" s="13">
        <f t="shared" si="15"/>
        <v>2</v>
      </c>
      <c r="AW87" s="13">
        <f t="shared" si="16"/>
        <v>0</v>
      </c>
      <c r="AX87" s="13">
        <f t="shared" si="17"/>
        <v>0</v>
      </c>
      <c r="AY87" s="13">
        <f t="shared" si="18"/>
        <v>1</v>
      </c>
      <c r="AZ87" s="13">
        <f t="shared" si="19"/>
        <v>6</v>
      </c>
      <c r="BA87" s="75" t="s">
        <v>446</v>
      </c>
      <c r="BB87" s="77">
        <v>-17.480133517238563</v>
      </c>
      <c r="BC87" s="77">
        <v>-0.52524295473499016</v>
      </c>
      <c r="BD87" s="29">
        <v>-0.41738995835272419</v>
      </c>
      <c r="BE87" s="29">
        <v>-1.2447418513464472E-5</v>
      </c>
      <c r="BF87" s="29">
        <v>-0.11851451493253458</v>
      </c>
      <c r="BG87" s="29">
        <v>-2.3757031460583238</v>
      </c>
      <c r="BH87" s="179">
        <f t="shared" si="20"/>
        <v>0.13590875285451637</v>
      </c>
      <c r="BI87" s="127">
        <f>_xll.DCEBoltDisColBaseFix(AV87, AT87, AD87, AP87, AQ87,AR87, AS87, "TTT")</f>
        <v>189</v>
      </c>
      <c r="BJ87" s="127">
        <f t="shared" si="21"/>
        <v>513</v>
      </c>
      <c r="BK87" s="127">
        <f t="shared" si="22"/>
        <v>3.6142442527278149</v>
      </c>
      <c r="BL87" s="127">
        <f t="shared" si="23"/>
        <v>302.89508840864443</v>
      </c>
      <c r="BM87" s="120">
        <f t="shared" si="24"/>
        <v>1.1932330338258025E-2</v>
      </c>
      <c r="BN87" s="4">
        <f>_xll.DCEBoltDisColBaseFix(AV87,AT87,AD87,AP87,AQ87,AR87,AS87,"NL1T")+_xll.DCEBoltDisColBaseFix(AV87,AT87,AD87,AP87,AQ87,AR87,AS87,"NL2T")+_xll.DCEBoltDisColBaseFix(AV87,AT87,AD87,AP87,AQ87,AR87,AS87,"NL3T")</f>
        <v>4</v>
      </c>
      <c r="BO87" s="121">
        <f t="shared" si="25"/>
        <v>0</v>
      </c>
      <c r="BP87" s="122">
        <f t="shared" si="26"/>
        <v>0</v>
      </c>
      <c r="BQ87" s="122">
        <f t="shared" si="27"/>
        <v>57.1</v>
      </c>
      <c r="BR87" s="120">
        <f>BQ87/VLOOKUP(AO87,Data!$V$4:$Z$99,4,FALSE)</f>
        <v>0.16175637393767706</v>
      </c>
      <c r="BS87" s="123" t="str">
        <f t="shared" si="28"/>
        <v>OK</v>
      </c>
      <c r="BT87" s="124">
        <f t="shared" si="29"/>
        <v>0.28736740674958106</v>
      </c>
      <c r="BU87" s="124">
        <f t="shared" si="30"/>
        <v>-3.2881419135462692E-2</v>
      </c>
      <c r="BV87" s="120">
        <f t="shared" si="31"/>
        <v>2.6424589126398258E-2</v>
      </c>
      <c r="BW87" s="123" t="str">
        <f t="shared" si="32"/>
        <v>OK</v>
      </c>
      <c r="BX87" s="124">
        <f t="shared" si="33"/>
        <v>406.65599999999995</v>
      </c>
      <c r="BY87" s="120">
        <f t="shared" si="34"/>
        <v>1.6497748825411787E-3</v>
      </c>
      <c r="BZ87" s="123" t="str">
        <f t="shared" si="35"/>
        <v>OK</v>
      </c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H87" s="127"/>
      <c r="EI87" s="127"/>
      <c r="EJ87" s="127"/>
      <c r="EK87" s="127"/>
      <c r="EL87" s="127"/>
      <c r="EM87" s="120"/>
      <c r="EN87" s="121"/>
      <c r="EO87" s="121"/>
      <c r="EP87" s="120"/>
      <c r="EQ87" s="122"/>
      <c r="ER87" s="120"/>
      <c r="ES87" s="238"/>
      <c r="ET87" s="124"/>
      <c r="EU87" s="124"/>
      <c r="EV87" s="120"/>
      <c r="EW87" s="217"/>
      <c r="EX87" s="124"/>
      <c r="EY87" s="120"/>
      <c r="EZ87" s="217"/>
    </row>
    <row r="88" spans="13:156" ht="15">
      <c r="M88" s="7" t="str">
        <f>"- Diện tích tiết diện ngang tối thiểu theo điều kiện độ bền (L.1)"</f>
        <v>- Diện tích tiết diện ngang tối thiểu theo điều kiện độ bền (L.1)</v>
      </c>
      <c r="N88" s="195"/>
      <c r="O88" s="195"/>
      <c r="P88" s="33"/>
      <c r="Q88" s="187"/>
      <c r="R88" s="188"/>
      <c r="S88" s="2"/>
      <c r="T88" s="2"/>
      <c r="U88" s="2"/>
      <c r="V88" s="33" t="s">
        <v>95</v>
      </c>
      <c r="W88" s="190">
        <f>MAX((W63*W87*1000/W19),0)</f>
        <v>3.787162266974923</v>
      </c>
      <c r="X88" s="23" t="s">
        <v>47</v>
      </c>
      <c r="AA88" s="75" t="s">
        <v>460</v>
      </c>
      <c r="AB88" s="75" t="s">
        <v>434</v>
      </c>
      <c r="AC88" s="76">
        <v>0</v>
      </c>
      <c r="AD88" s="28">
        <v>388</v>
      </c>
      <c r="AE88" s="28">
        <v>212</v>
      </c>
      <c r="AF88" s="28">
        <v>6</v>
      </c>
      <c r="AG88" s="28">
        <v>8</v>
      </c>
      <c r="AH88" s="28">
        <v>372</v>
      </c>
      <c r="AI88" s="13">
        <f t="shared" ref="AI88:AI100" si="37">AD88+2*(AP88+AQ88)</f>
        <v>648</v>
      </c>
      <c r="AJ88" s="13">
        <f t="shared" ref="AJ88:AJ100" si="38">INDEX($G$46:$G$99,AM88)</f>
        <v>212</v>
      </c>
      <c r="AK88" s="13">
        <f t="shared" ref="AK88:AK100" si="39">INDEX($B$46:$B$99,AL88)</f>
        <v>25</v>
      </c>
      <c r="AL88" s="13">
        <f t="shared" ref="AL88:AL100" si="40">DceViTri(AD88,$A$46:$A$70)</f>
        <v>7</v>
      </c>
      <c r="AM88" s="13">
        <f t="shared" ref="AM88:AM100" si="41">DceViTri(AE88,$G$46:$G$70)</f>
        <v>2</v>
      </c>
      <c r="AN88" s="13">
        <f t="shared" ref="AN88:AN100" si="42">AV88*2+(AT88-2)*2</f>
        <v>8</v>
      </c>
      <c r="AO88" s="13">
        <f t="shared" ref="AO88:AO100" si="43">INDEX($C$46:$C$99,AL88)</f>
        <v>24</v>
      </c>
      <c r="AP88" s="13">
        <f t="shared" ref="AP88:AP100" si="44">VLOOKUP(AO88,$A$13:$E$21,2,FALSE)</f>
        <v>60</v>
      </c>
      <c r="AQ88" s="13">
        <f t="shared" ref="AQ88:AQ100" si="45">VLOOKUP(AO88,$A$13:$E$21,3,FALSE)</f>
        <v>70</v>
      </c>
      <c r="AR88" s="13">
        <f t="shared" ref="AR88:AR100" si="46">VLOOKUP(AO88,$A$13:$E$21,4,FALSE)</f>
        <v>80</v>
      </c>
      <c r="AS88" s="13">
        <f t="shared" ref="AS88:AS100" si="47">VLOOKUP(AO88,$A$13:$E$21,5,FALSE)</f>
        <v>150</v>
      </c>
      <c r="AT88" s="13">
        <f t="shared" ref="AT88:AT100" si="48">INDEX($D$46:$D$99,AL88)</f>
        <v>4</v>
      </c>
      <c r="AU88" s="13">
        <f t="shared" ref="AU88:AU100" si="49">INDEX($H$46:$H$99,AM88)</f>
        <v>120</v>
      </c>
      <c r="AV88" s="13">
        <f t="shared" ref="AV88:AV100" si="50">INDEX($I$46:$I$99,AM88)</f>
        <v>2</v>
      </c>
      <c r="AW88" s="13">
        <f t="shared" ref="AW88:AW100" si="51">INDEX($E$46:$E$99,AL88)</f>
        <v>0</v>
      </c>
      <c r="AX88" s="13">
        <f t="shared" ref="AX88:AX100" si="52">INDEX($F$46:$F$99,AL88)</f>
        <v>0</v>
      </c>
      <c r="AY88" s="13">
        <f t="shared" ref="AY88:AY100" si="53">INDEX($J$46:$J$99,AM88)</f>
        <v>1</v>
      </c>
      <c r="AZ88" s="13">
        <f t="shared" ref="AZ88:AZ100" si="54">INDEX($K$46:$K$99,AM88)</f>
        <v>6</v>
      </c>
      <c r="BA88" s="75" t="s">
        <v>447</v>
      </c>
      <c r="BB88" s="77">
        <v>-17.480133517238563</v>
      </c>
      <c r="BC88" s="77">
        <v>-0.52524295473499016</v>
      </c>
      <c r="BD88" s="29">
        <v>-0.41738995835272419</v>
      </c>
      <c r="BE88" s="29">
        <v>-1.2447418513464472E-5</v>
      </c>
      <c r="BF88" s="29">
        <v>-0.11851451493253458</v>
      </c>
      <c r="BG88" s="29">
        <v>-2.3757031460583238</v>
      </c>
      <c r="BH88" s="179">
        <f t="shared" ref="BH88:BH100" si="55">ABS(BG88/BB88)</f>
        <v>0.13590875285451637</v>
      </c>
      <c r="BI88" s="127">
        <f>_xll.DCEBoltDisColBaseFix(AV88, AT88, AD88, AP88, AQ88,AR88, AS88, "TTT")</f>
        <v>189</v>
      </c>
      <c r="BJ88" s="127">
        <f t="shared" ref="BJ88:BJ100" si="56">AI88/2+BI88</f>
        <v>513</v>
      </c>
      <c r="BK88" s="127">
        <f t="shared" ref="BK88:BK100" si="57">IFERROR(BJ88 - (BJ88 ^ 2 - 2 * ABS(BB88)*1000 *  (1000 *BH88 + BI88) / ($W$36 * AJ88)) ^ 0.5,"O/S")</f>
        <v>3.6142442527278149</v>
      </c>
      <c r="BL88" s="127">
        <f t="shared" ref="BL88:BL100" si="58">$W$83*BJ88</f>
        <v>302.89508840864443</v>
      </c>
      <c r="BM88" s="120">
        <f t="shared" ref="BM88:BM100" si="59">BK88/BL88</f>
        <v>1.1932330338258025E-2</v>
      </c>
      <c r="BN88" s="4">
        <f>_xll.DCEBoltDisColBaseFix(AV88,AT88,AD88,AP88,AQ88,AR88,AS88,"NL1T")+_xll.DCEBoltDisColBaseFix(AV88,AT88,AD88,AP88,AQ88,AR88,AS88,"NL2T")+_xll.DCEBoltDisColBaseFix(AV88,AT88,AD88,AP88,AQ88,AR88,AS88,"NL3T")</f>
        <v>4</v>
      </c>
      <c r="BO88" s="121">
        <f t="shared" ref="BO88:BO100" si="60">MAX(($W$36*AJ88*BK88/1000+BB88)/BN88,0)</f>
        <v>0</v>
      </c>
      <c r="BP88" s="122">
        <f t="shared" ref="BP88:BP100" si="61">MAX(($W$63*BO88*1000/$W$19),0)</f>
        <v>0</v>
      </c>
      <c r="BQ88" s="122">
        <f t="shared" ref="BQ88:BQ100" si="62">MAX(MAX(BP88,IFERROR(VALUE($W$90),0)),57.1)</f>
        <v>57.1</v>
      </c>
      <c r="BR88" s="120">
        <f>BQ88/VLOOKUP(AO88,Data!$V$4:$Z$99,4,FALSE)</f>
        <v>0.16175637393767706</v>
      </c>
      <c r="BS88" s="123" t="str">
        <f t="shared" ref="BS88:BS100" si="63">IF(BR88&lt;=1,"OK","Check")</f>
        <v>OK</v>
      </c>
      <c r="BT88" s="124">
        <f t="shared" ref="BT88:BT100" si="64">ABS(BB88)/(AI88*AJ88)*1000+6*ABS(BG88*1000000)/(AJ88*AI88^2)</f>
        <v>0.28736740674958106</v>
      </c>
      <c r="BU88" s="124">
        <f t="shared" ref="BU88:BU100" si="65">ABS(BB88)/(AI88*AJ88)*1000-6*ABS(BG88*1000000)/(AJ88*AI88^2)</f>
        <v>-3.2881419135462692E-2</v>
      </c>
      <c r="BV88" s="120">
        <f t="shared" ref="BV88:BV100" si="66">BT88/$W$101</f>
        <v>2.6424589126398258E-2</v>
      </c>
      <c r="BW88" s="123" t="str">
        <f t="shared" ref="BW88:BW100" si="67">IF(BV88&lt;=1,"OK","Check")</f>
        <v>OK</v>
      </c>
      <c r="BX88" s="124">
        <f t="shared" ref="BX88:BX100" si="68">0.6*$W$45*$S$130*$W$48/1000</f>
        <v>406.65599999999995</v>
      </c>
      <c r="BY88" s="120">
        <f t="shared" ref="BY88:BY100" si="69">MAX(ABS(BO88),SQRT(BC88^2+BD88^2))/BX88</f>
        <v>1.6497748825411787E-3</v>
      </c>
      <c r="BZ88" s="123" t="str">
        <f t="shared" ref="BZ88:BZ100" si="70">IF(BY88&lt;=1,"OK","Check")</f>
        <v>OK</v>
      </c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H88" s="127"/>
      <c r="EI88" s="127"/>
      <c r="EJ88" s="127"/>
      <c r="EK88" s="127"/>
      <c r="EL88" s="127"/>
      <c r="EM88" s="120"/>
      <c r="EN88" s="121"/>
      <c r="EO88" s="121"/>
      <c r="EP88" s="120"/>
      <c r="EQ88" s="122"/>
      <c r="ER88" s="120"/>
      <c r="ES88" s="238"/>
      <c r="ET88" s="124"/>
      <c r="EU88" s="124"/>
      <c r="EV88" s="120"/>
      <c r="EW88" s="217"/>
      <c r="EX88" s="124"/>
      <c r="EY88" s="120"/>
      <c r="EZ88" s="217"/>
    </row>
    <row r="89" spans="13:156">
      <c r="M89" s="7" t="str">
        <f>"- Diện tích tiết diện ngang tối thiểu theo chịu mỏi (L.2)"</f>
        <v>- Diện tích tiết diện ngang tối thiểu theo chịu mỏi (L.2)</v>
      </c>
      <c r="N89" s="195"/>
      <c r="O89" s="195"/>
      <c r="P89" s="33"/>
      <c r="Q89" s="187"/>
      <c r="R89" s="188"/>
      <c r="S89" s="2"/>
      <c r="T89" s="2"/>
      <c r="U89" s="2"/>
      <c r="V89" s="33"/>
      <c r="W89" s="196"/>
      <c r="X89" s="23"/>
      <c r="AA89" s="75" t="s">
        <v>460</v>
      </c>
      <c r="AB89" s="75" t="s">
        <v>434</v>
      </c>
      <c r="AC89" s="76">
        <v>0</v>
      </c>
      <c r="AD89" s="28">
        <v>388</v>
      </c>
      <c r="AE89" s="28">
        <v>212</v>
      </c>
      <c r="AF89" s="28">
        <v>6</v>
      </c>
      <c r="AG89" s="28">
        <v>8</v>
      </c>
      <c r="AH89" s="28">
        <v>372</v>
      </c>
      <c r="AI89" s="13">
        <f t="shared" si="37"/>
        <v>648</v>
      </c>
      <c r="AJ89" s="13">
        <f t="shared" si="38"/>
        <v>212</v>
      </c>
      <c r="AK89" s="13">
        <f t="shared" si="39"/>
        <v>25</v>
      </c>
      <c r="AL89" s="13">
        <f t="shared" si="40"/>
        <v>7</v>
      </c>
      <c r="AM89" s="13">
        <f t="shared" si="41"/>
        <v>2</v>
      </c>
      <c r="AN89" s="13">
        <f t="shared" si="42"/>
        <v>8</v>
      </c>
      <c r="AO89" s="13">
        <f t="shared" si="43"/>
        <v>24</v>
      </c>
      <c r="AP89" s="13">
        <f t="shared" si="44"/>
        <v>60</v>
      </c>
      <c r="AQ89" s="13">
        <f t="shared" si="45"/>
        <v>70</v>
      </c>
      <c r="AR89" s="13">
        <f t="shared" si="46"/>
        <v>80</v>
      </c>
      <c r="AS89" s="13">
        <f t="shared" si="47"/>
        <v>150</v>
      </c>
      <c r="AT89" s="13">
        <f t="shared" si="48"/>
        <v>4</v>
      </c>
      <c r="AU89" s="13">
        <f t="shared" si="49"/>
        <v>120</v>
      </c>
      <c r="AV89" s="13">
        <f t="shared" si="50"/>
        <v>2</v>
      </c>
      <c r="AW89" s="13">
        <f t="shared" si="51"/>
        <v>0</v>
      </c>
      <c r="AX89" s="13">
        <f t="shared" si="52"/>
        <v>0</v>
      </c>
      <c r="AY89" s="13">
        <f t="shared" si="53"/>
        <v>1</v>
      </c>
      <c r="AZ89" s="13">
        <f t="shared" si="54"/>
        <v>6</v>
      </c>
      <c r="BA89" s="75" t="s">
        <v>448</v>
      </c>
      <c r="BB89" s="77">
        <v>-17.480133517238563</v>
      </c>
      <c r="BC89" s="77">
        <v>-0.52524295473499016</v>
      </c>
      <c r="BD89" s="29">
        <v>-0.41738995835272419</v>
      </c>
      <c r="BE89" s="29">
        <v>-1.2447418513464472E-5</v>
      </c>
      <c r="BF89" s="29">
        <v>-0.11851451493253458</v>
      </c>
      <c r="BG89" s="29">
        <v>-2.3757031460583238</v>
      </c>
      <c r="BH89" s="179">
        <f t="shared" si="55"/>
        <v>0.13590875285451637</v>
      </c>
      <c r="BI89" s="127">
        <f>_xll.DCEBoltDisColBaseFix(AV89, AT89, AD89, AP89, AQ89,AR89, AS89, "TTT")</f>
        <v>189</v>
      </c>
      <c r="BJ89" s="127">
        <f t="shared" si="56"/>
        <v>513</v>
      </c>
      <c r="BK89" s="127">
        <f t="shared" si="57"/>
        <v>3.6142442527278149</v>
      </c>
      <c r="BL89" s="127">
        <f t="shared" si="58"/>
        <v>302.89508840864443</v>
      </c>
      <c r="BM89" s="120">
        <f t="shared" si="59"/>
        <v>1.1932330338258025E-2</v>
      </c>
      <c r="BN89" s="4">
        <f>_xll.DCEBoltDisColBaseFix(AV89,AT89,AD89,AP89,AQ89,AR89,AS89,"NL1T")+_xll.DCEBoltDisColBaseFix(AV89,AT89,AD89,AP89,AQ89,AR89,AS89,"NL2T")+_xll.DCEBoltDisColBaseFix(AV89,AT89,AD89,AP89,AQ89,AR89,AS89,"NL3T")</f>
        <v>4</v>
      </c>
      <c r="BO89" s="121">
        <f t="shared" si="60"/>
        <v>0</v>
      </c>
      <c r="BP89" s="122">
        <f t="shared" si="61"/>
        <v>0</v>
      </c>
      <c r="BQ89" s="122">
        <f t="shared" si="62"/>
        <v>57.1</v>
      </c>
      <c r="BR89" s="120">
        <f>BQ89/VLOOKUP(AO89,Data!$V$4:$Z$99,4,FALSE)</f>
        <v>0.16175637393767706</v>
      </c>
      <c r="BS89" s="123" t="str">
        <f t="shared" si="63"/>
        <v>OK</v>
      </c>
      <c r="BT89" s="124">
        <f t="shared" si="64"/>
        <v>0.28736740674958106</v>
      </c>
      <c r="BU89" s="124">
        <f t="shared" si="65"/>
        <v>-3.2881419135462692E-2</v>
      </c>
      <c r="BV89" s="120">
        <f t="shared" si="66"/>
        <v>2.6424589126398258E-2</v>
      </c>
      <c r="BW89" s="123" t="str">
        <f t="shared" si="67"/>
        <v>OK</v>
      </c>
      <c r="BX89" s="124">
        <f t="shared" si="68"/>
        <v>406.65599999999995</v>
      </c>
      <c r="BY89" s="120">
        <f t="shared" si="69"/>
        <v>1.6497748825411787E-3</v>
      </c>
      <c r="BZ89" s="123" t="str">
        <f t="shared" si="70"/>
        <v>OK</v>
      </c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H89" s="127"/>
      <c r="EI89" s="127"/>
      <c r="EJ89" s="127"/>
      <c r="EK89" s="127"/>
      <c r="EL89" s="127"/>
      <c r="EM89" s="120"/>
      <c r="EN89" s="121"/>
      <c r="EO89" s="121"/>
      <c r="EP89" s="120"/>
      <c r="EQ89" s="122"/>
      <c r="ER89" s="120"/>
      <c r="ES89" s="238"/>
      <c r="ET89" s="124"/>
      <c r="EU89" s="124"/>
      <c r="EV89" s="120"/>
      <c r="EW89" s="217"/>
      <c r="EX89" s="124"/>
      <c r="EY89" s="120"/>
      <c r="EZ89" s="217"/>
    </row>
    <row r="90" spans="13:156" ht="15">
      <c r="M90" s="26" t="s">
        <v>96</v>
      </c>
      <c r="N90" s="197">
        <f>VLOOKUP(W16,Data!$DH$2:$DN$7,5,FALSE)</f>
        <v>0.4</v>
      </c>
      <c r="O90" s="20" t="s">
        <v>104</v>
      </c>
      <c r="P90" s="197">
        <f>VLOOKUP(W44,Data!$V$4:$Z$15,5,FALSE)</f>
        <v>1.1000000000000001</v>
      </c>
      <c r="Q90" s="20" t="s">
        <v>105</v>
      </c>
      <c r="R90" s="198">
        <v>1</v>
      </c>
      <c r="S90" s="2"/>
      <c r="T90" s="2"/>
      <c r="U90" s="33" t="str">
        <f>IF(U63="Tải trọng động","","Không áp dụng")</f>
        <v>Không áp dụng</v>
      </c>
      <c r="V90" s="33" t="s">
        <v>95</v>
      </c>
      <c r="W90" s="196" t="str">
        <f>IF(U63="Tải trọng động",1.8*N90*P90*W87*1000/(R90*W19),"-")</f>
        <v>-</v>
      </c>
      <c r="X90" s="23" t="s">
        <v>47</v>
      </c>
      <c r="AA90" s="75" t="s">
        <v>460</v>
      </c>
      <c r="AB90" s="75" t="s">
        <v>434</v>
      </c>
      <c r="AC90" s="76">
        <v>0</v>
      </c>
      <c r="AD90" s="28">
        <v>388</v>
      </c>
      <c r="AE90" s="28">
        <v>212</v>
      </c>
      <c r="AF90" s="28">
        <v>6</v>
      </c>
      <c r="AG90" s="28">
        <v>8</v>
      </c>
      <c r="AH90" s="28">
        <v>372</v>
      </c>
      <c r="AI90" s="13">
        <f t="shared" si="37"/>
        <v>648</v>
      </c>
      <c r="AJ90" s="13">
        <f t="shared" si="38"/>
        <v>212</v>
      </c>
      <c r="AK90" s="13">
        <f t="shared" si="39"/>
        <v>25</v>
      </c>
      <c r="AL90" s="13">
        <f t="shared" si="40"/>
        <v>7</v>
      </c>
      <c r="AM90" s="13">
        <f t="shared" si="41"/>
        <v>2</v>
      </c>
      <c r="AN90" s="13">
        <f t="shared" si="42"/>
        <v>8</v>
      </c>
      <c r="AO90" s="13">
        <f t="shared" si="43"/>
        <v>24</v>
      </c>
      <c r="AP90" s="13">
        <f t="shared" si="44"/>
        <v>60</v>
      </c>
      <c r="AQ90" s="13">
        <f t="shared" si="45"/>
        <v>70</v>
      </c>
      <c r="AR90" s="13">
        <f t="shared" si="46"/>
        <v>80</v>
      </c>
      <c r="AS90" s="13">
        <f t="shared" si="47"/>
        <v>150</v>
      </c>
      <c r="AT90" s="13">
        <f t="shared" si="48"/>
        <v>4</v>
      </c>
      <c r="AU90" s="13">
        <f t="shared" si="49"/>
        <v>120</v>
      </c>
      <c r="AV90" s="13">
        <f t="shared" si="50"/>
        <v>2</v>
      </c>
      <c r="AW90" s="13">
        <f t="shared" si="51"/>
        <v>0</v>
      </c>
      <c r="AX90" s="13">
        <f t="shared" si="52"/>
        <v>0</v>
      </c>
      <c r="AY90" s="13">
        <f t="shared" si="53"/>
        <v>1</v>
      </c>
      <c r="AZ90" s="13">
        <f t="shared" si="54"/>
        <v>6</v>
      </c>
      <c r="BA90" s="75" t="s">
        <v>449</v>
      </c>
      <c r="BB90" s="77">
        <v>-17.480133517238563</v>
      </c>
      <c r="BC90" s="77">
        <v>-0.52524295473499016</v>
      </c>
      <c r="BD90" s="29">
        <v>-0.41738995835272419</v>
      </c>
      <c r="BE90" s="29">
        <v>-1.2447418513464472E-5</v>
      </c>
      <c r="BF90" s="29">
        <v>-0.11851451493253458</v>
      </c>
      <c r="BG90" s="29">
        <v>-2.3757031460583238</v>
      </c>
      <c r="BH90" s="179">
        <f t="shared" si="55"/>
        <v>0.13590875285451637</v>
      </c>
      <c r="BI90" s="127">
        <f>_xll.DCEBoltDisColBaseFix(AV90, AT90, AD90, AP90, AQ90,AR90, AS90, "TTT")</f>
        <v>189</v>
      </c>
      <c r="BJ90" s="127">
        <f t="shared" si="56"/>
        <v>513</v>
      </c>
      <c r="BK90" s="127">
        <f t="shared" si="57"/>
        <v>3.6142442527278149</v>
      </c>
      <c r="BL90" s="127">
        <f t="shared" si="58"/>
        <v>302.89508840864443</v>
      </c>
      <c r="BM90" s="120">
        <f t="shared" si="59"/>
        <v>1.1932330338258025E-2</v>
      </c>
      <c r="BN90" s="4">
        <f>_xll.DCEBoltDisColBaseFix(AV90,AT90,AD90,AP90,AQ90,AR90,AS90,"NL1T")+_xll.DCEBoltDisColBaseFix(AV90,AT90,AD90,AP90,AQ90,AR90,AS90,"NL2T")+_xll.DCEBoltDisColBaseFix(AV90,AT90,AD90,AP90,AQ90,AR90,AS90,"NL3T")</f>
        <v>4</v>
      </c>
      <c r="BO90" s="121">
        <f t="shared" si="60"/>
        <v>0</v>
      </c>
      <c r="BP90" s="122">
        <f t="shared" si="61"/>
        <v>0</v>
      </c>
      <c r="BQ90" s="122">
        <f t="shared" si="62"/>
        <v>57.1</v>
      </c>
      <c r="BR90" s="120">
        <f>BQ90/VLOOKUP(AO90,Data!$V$4:$Z$99,4,FALSE)</f>
        <v>0.16175637393767706</v>
      </c>
      <c r="BS90" s="123" t="str">
        <f t="shared" si="63"/>
        <v>OK</v>
      </c>
      <c r="BT90" s="124">
        <f t="shared" si="64"/>
        <v>0.28736740674958106</v>
      </c>
      <c r="BU90" s="124">
        <f t="shared" si="65"/>
        <v>-3.2881419135462692E-2</v>
      </c>
      <c r="BV90" s="120">
        <f t="shared" si="66"/>
        <v>2.6424589126398258E-2</v>
      </c>
      <c r="BW90" s="123" t="str">
        <f t="shared" si="67"/>
        <v>OK</v>
      </c>
      <c r="BX90" s="124">
        <f t="shared" si="68"/>
        <v>406.65599999999995</v>
      </c>
      <c r="BY90" s="120">
        <f t="shared" si="69"/>
        <v>1.6497748825411787E-3</v>
      </c>
      <c r="BZ90" s="123" t="str">
        <f t="shared" si="70"/>
        <v>OK</v>
      </c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H90" s="127"/>
      <c r="EI90" s="127"/>
      <c r="EJ90" s="127"/>
      <c r="EK90" s="127"/>
      <c r="EL90" s="127"/>
      <c r="EM90" s="120"/>
      <c r="EN90" s="121"/>
      <c r="EO90" s="121"/>
      <c r="EP90" s="120"/>
      <c r="EQ90" s="122"/>
      <c r="ER90" s="120"/>
      <c r="ES90" s="238"/>
      <c r="ET90" s="124"/>
      <c r="EU90" s="124"/>
      <c r="EV90" s="120"/>
      <c r="EW90" s="217"/>
      <c r="EX90" s="124"/>
      <c r="EY90" s="120"/>
      <c r="EZ90" s="217"/>
    </row>
    <row r="91" spans="13:156" ht="15">
      <c r="M91" s="7" t="str">
        <f>"- Diện tích tiết diện ngang tối thiểu:"</f>
        <v>- Diện tích tiết diện ngang tối thiểu:</v>
      </c>
      <c r="N91" s="195"/>
      <c r="O91" s="195"/>
      <c r="P91" s="33"/>
      <c r="Q91" s="187"/>
      <c r="R91" s="188"/>
      <c r="S91" s="2"/>
      <c r="T91" s="2"/>
      <c r="U91" s="2"/>
      <c r="V91" s="33" t="s">
        <v>106</v>
      </c>
      <c r="W91" s="190">
        <f>MAX(MAX(W88,IFERROR(VALUE(W90),0)),57.1)</f>
        <v>57.1</v>
      </c>
      <c r="X91" s="23" t="s">
        <v>47</v>
      </c>
      <c r="AA91" s="75" t="s">
        <v>460</v>
      </c>
      <c r="AB91" s="75" t="s">
        <v>434</v>
      </c>
      <c r="AC91" s="76">
        <v>0</v>
      </c>
      <c r="AD91" s="28">
        <v>388</v>
      </c>
      <c r="AE91" s="28">
        <v>212</v>
      </c>
      <c r="AF91" s="28">
        <v>6</v>
      </c>
      <c r="AG91" s="28">
        <v>8</v>
      </c>
      <c r="AH91" s="28">
        <v>372</v>
      </c>
      <c r="AI91" s="13">
        <f t="shared" si="37"/>
        <v>648</v>
      </c>
      <c r="AJ91" s="13">
        <f t="shared" si="38"/>
        <v>212</v>
      </c>
      <c r="AK91" s="13">
        <f t="shared" si="39"/>
        <v>25</v>
      </c>
      <c r="AL91" s="13">
        <f t="shared" si="40"/>
        <v>7</v>
      </c>
      <c r="AM91" s="13">
        <f t="shared" si="41"/>
        <v>2</v>
      </c>
      <c r="AN91" s="13">
        <f t="shared" si="42"/>
        <v>8</v>
      </c>
      <c r="AO91" s="13">
        <f t="shared" si="43"/>
        <v>24</v>
      </c>
      <c r="AP91" s="13">
        <f t="shared" si="44"/>
        <v>60</v>
      </c>
      <c r="AQ91" s="13">
        <f t="shared" si="45"/>
        <v>70</v>
      </c>
      <c r="AR91" s="13">
        <f t="shared" si="46"/>
        <v>80</v>
      </c>
      <c r="AS91" s="13">
        <f t="shared" si="47"/>
        <v>150</v>
      </c>
      <c r="AT91" s="13">
        <f t="shared" si="48"/>
        <v>4</v>
      </c>
      <c r="AU91" s="13">
        <f t="shared" si="49"/>
        <v>120</v>
      </c>
      <c r="AV91" s="13">
        <f t="shared" si="50"/>
        <v>2</v>
      </c>
      <c r="AW91" s="13">
        <f t="shared" si="51"/>
        <v>0</v>
      </c>
      <c r="AX91" s="13">
        <f t="shared" si="52"/>
        <v>0</v>
      </c>
      <c r="AY91" s="13">
        <f t="shared" si="53"/>
        <v>1</v>
      </c>
      <c r="AZ91" s="13">
        <f t="shared" si="54"/>
        <v>6</v>
      </c>
      <c r="BA91" s="75" t="s">
        <v>450</v>
      </c>
      <c r="BB91" s="77">
        <v>-17.480133517238563</v>
      </c>
      <c r="BC91" s="77">
        <v>-0.52524295473499016</v>
      </c>
      <c r="BD91" s="29">
        <v>-0.41738995835272419</v>
      </c>
      <c r="BE91" s="29">
        <v>-1.2447418513464472E-5</v>
      </c>
      <c r="BF91" s="29">
        <v>-0.11851451493253458</v>
      </c>
      <c r="BG91" s="29">
        <v>-2.3757031460583238</v>
      </c>
      <c r="BH91" s="179">
        <f t="shared" si="55"/>
        <v>0.13590875285451637</v>
      </c>
      <c r="BI91" s="127">
        <f>_xll.DCEBoltDisColBaseFix(AV91, AT91, AD91, AP91, AQ91,AR91, AS91, "TTT")</f>
        <v>189</v>
      </c>
      <c r="BJ91" s="127">
        <f t="shared" si="56"/>
        <v>513</v>
      </c>
      <c r="BK91" s="127">
        <f t="shared" si="57"/>
        <v>3.6142442527278149</v>
      </c>
      <c r="BL91" s="127">
        <f t="shared" si="58"/>
        <v>302.89508840864443</v>
      </c>
      <c r="BM91" s="120">
        <f t="shared" si="59"/>
        <v>1.1932330338258025E-2</v>
      </c>
      <c r="BN91" s="4">
        <f>_xll.DCEBoltDisColBaseFix(AV91,AT91,AD91,AP91,AQ91,AR91,AS91,"NL1T")+_xll.DCEBoltDisColBaseFix(AV91,AT91,AD91,AP91,AQ91,AR91,AS91,"NL2T")+_xll.DCEBoltDisColBaseFix(AV91,AT91,AD91,AP91,AQ91,AR91,AS91,"NL3T")</f>
        <v>4</v>
      </c>
      <c r="BO91" s="121">
        <f t="shared" si="60"/>
        <v>0</v>
      </c>
      <c r="BP91" s="122">
        <f t="shared" si="61"/>
        <v>0</v>
      </c>
      <c r="BQ91" s="122">
        <f t="shared" si="62"/>
        <v>57.1</v>
      </c>
      <c r="BR91" s="120">
        <f>BQ91/VLOOKUP(AO91,Data!$V$4:$Z$99,4,FALSE)</f>
        <v>0.16175637393767706</v>
      </c>
      <c r="BS91" s="123" t="str">
        <f t="shared" si="63"/>
        <v>OK</v>
      </c>
      <c r="BT91" s="124">
        <f t="shared" si="64"/>
        <v>0.28736740674958106</v>
      </c>
      <c r="BU91" s="124">
        <f t="shared" si="65"/>
        <v>-3.2881419135462692E-2</v>
      </c>
      <c r="BV91" s="120">
        <f t="shared" si="66"/>
        <v>2.6424589126398258E-2</v>
      </c>
      <c r="BW91" s="123" t="str">
        <f t="shared" si="67"/>
        <v>OK</v>
      </c>
      <c r="BX91" s="124">
        <f t="shared" si="68"/>
        <v>406.65599999999995</v>
      </c>
      <c r="BY91" s="120">
        <f t="shared" si="69"/>
        <v>1.6497748825411787E-3</v>
      </c>
      <c r="BZ91" s="123" t="str">
        <f t="shared" si="70"/>
        <v>OK</v>
      </c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H91" s="127"/>
      <c r="EI91" s="127"/>
      <c r="EJ91" s="127"/>
      <c r="EK91" s="127"/>
      <c r="EL91" s="127"/>
      <c r="EM91" s="120"/>
      <c r="EN91" s="121"/>
      <c r="EO91" s="121"/>
      <c r="EP91" s="120"/>
      <c r="EQ91" s="122"/>
      <c r="ER91" s="120"/>
      <c r="ES91" s="238"/>
      <c r="ET91" s="124"/>
      <c r="EU91" s="124"/>
      <c r="EV91" s="120"/>
      <c r="EW91" s="217"/>
      <c r="EX91" s="124"/>
      <c r="EY91" s="120"/>
      <c r="EZ91" s="217"/>
    </row>
    <row r="92" spans="13:156">
      <c r="M92" s="7" t="str">
        <f>"- Tỷ số huy động cấu kiện:"</f>
        <v>- Tỷ số huy động cấu kiện:</v>
      </c>
      <c r="N92" s="2"/>
      <c r="O92" s="2"/>
      <c r="P92" s="33"/>
      <c r="Q92" s="187"/>
      <c r="R92" s="188"/>
      <c r="S92" s="2"/>
      <c r="T92" s="2"/>
      <c r="U92" s="2"/>
      <c r="V92" s="33"/>
      <c r="W92" s="194">
        <f>W91/W45</f>
        <v>0.16175637393767706</v>
      </c>
      <c r="X92" s="12" t="str">
        <f>IF(W92&lt;=1,"OK","Check")</f>
        <v>OK</v>
      </c>
      <c r="AA92" s="75" t="s">
        <v>460</v>
      </c>
      <c r="AB92" s="75" t="s">
        <v>434</v>
      </c>
      <c r="AC92" s="76">
        <v>0</v>
      </c>
      <c r="AD92" s="28">
        <v>388</v>
      </c>
      <c r="AE92" s="28">
        <v>212</v>
      </c>
      <c r="AF92" s="28">
        <v>6</v>
      </c>
      <c r="AG92" s="28">
        <v>8</v>
      </c>
      <c r="AH92" s="28">
        <v>372</v>
      </c>
      <c r="AI92" s="13">
        <f t="shared" si="37"/>
        <v>648</v>
      </c>
      <c r="AJ92" s="13">
        <f t="shared" si="38"/>
        <v>212</v>
      </c>
      <c r="AK92" s="13">
        <f t="shared" si="39"/>
        <v>25</v>
      </c>
      <c r="AL92" s="13">
        <f t="shared" si="40"/>
        <v>7</v>
      </c>
      <c r="AM92" s="13">
        <f t="shared" si="41"/>
        <v>2</v>
      </c>
      <c r="AN92" s="13">
        <f t="shared" si="42"/>
        <v>8</v>
      </c>
      <c r="AO92" s="13">
        <f t="shared" si="43"/>
        <v>24</v>
      </c>
      <c r="AP92" s="13">
        <f t="shared" si="44"/>
        <v>60</v>
      </c>
      <c r="AQ92" s="13">
        <f t="shared" si="45"/>
        <v>70</v>
      </c>
      <c r="AR92" s="13">
        <f t="shared" si="46"/>
        <v>80</v>
      </c>
      <c r="AS92" s="13">
        <f t="shared" si="47"/>
        <v>150</v>
      </c>
      <c r="AT92" s="13">
        <f t="shared" si="48"/>
        <v>4</v>
      </c>
      <c r="AU92" s="13">
        <f t="shared" si="49"/>
        <v>120</v>
      </c>
      <c r="AV92" s="13">
        <f t="shared" si="50"/>
        <v>2</v>
      </c>
      <c r="AW92" s="13">
        <f t="shared" si="51"/>
        <v>0</v>
      </c>
      <c r="AX92" s="13">
        <f t="shared" si="52"/>
        <v>0</v>
      </c>
      <c r="AY92" s="13">
        <f t="shared" si="53"/>
        <v>1</v>
      </c>
      <c r="AZ92" s="13">
        <f t="shared" si="54"/>
        <v>6</v>
      </c>
      <c r="BA92" s="75" t="s">
        <v>451</v>
      </c>
      <c r="BB92" s="77">
        <v>-17.480133517238563</v>
      </c>
      <c r="BC92" s="77">
        <v>-0.52524295473499016</v>
      </c>
      <c r="BD92" s="29">
        <v>-0.41738995835272419</v>
      </c>
      <c r="BE92" s="29">
        <v>-1.2447418513464472E-5</v>
      </c>
      <c r="BF92" s="29">
        <v>-0.11851451493253458</v>
      </c>
      <c r="BG92" s="29">
        <v>-2.3757031460583238</v>
      </c>
      <c r="BH92" s="179">
        <f t="shared" si="55"/>
        <v>0.13590875285451637</v>
      </c>
      <c r="BI92" s="127">
        <f>_xll.DCEBoltDisColBaseFix(AV92, AT92, AD92, AP92, AQ92,AR92, AS92, "TTT")</f>
        <v>189</v>
      </c>
      <c r="BJ92" s="127">
        <f t="shared" si="56"/>
        <v>513</v>
      </c>
      <c r="BK92" s="127">
        <f t="shared" si="57"/>
        <v>3.6142442527278149</v>
      </c>
      <c r="BL92" s="127">
        <f t="shared" si="58"/>
        <v>302.89508840864443</v>
      </c>
      <c r="BM92" s="120">
        <f t="shared" si="59"/>
        <v>1.1932330338258025E-2</v>
      </c>
      <c r="BN92" s="4">
        <f>_xll.DCEBoltDisColBaseFix(AV92,AT92,AD92,AP92,AQ92,AR92,AS92,"NL1T")+_xll.DCEBoltDisColBaseFix(AV92,AT92,AD92,AP92,AQ92,AR92,AS92,"NL2T")+_xll.DCEBoltDisColBaseFix(AV92,AT92,AD92,AP92,AQ92,AR92,AS92,"NL3T")</f>
        <v>4</v>
      </c>
      <c r="BO92" s="121">
        <f t="shared" si="60"/>
        <v>0</v>
      </c>
      <c r="BP92" s="122">
        <f t="shared" si="61"/>
        <v>0</v>
      </c>
      <c r="BQ92" s="122">
        <f t="shared" si="62"/>
        <v>57.1</v>
      </c>
      <c r="BR92" s="120">
        <f>BQ92/VLOOKUP(AO92,Data!$V$4:$Z$99,4,FALSE)</f>
        <v>0.16175637393767706</v>
      </c>
      <c r="BS92" s="123" t="str">
        <f t="shared" si="63"/>
        <v>OK</v>
      </c>
      <c r="BT92" s="124">
        <f t="shared" si="64"/>
        <v>0.28736740674958106</v>
      </c>
      <c r="BU92" s="124">
        <f t="shared" si="65"/>
        <v>-3.2881419135462692E-2</v>
      </c>
      <c r="BV92" s="120">
        <f t="shared" si="66"/>
        <v>2.6424589126398258E-2</v>
      </c>
      <c r="BW92" s="123" t="str">
        <f t="shared" si="67"/>
        <v>OK</v>
      </c>
      <c r="BX92" s="124">
        <f t="shared" si="68"/>
        <v>406.65599999999995</v>
      </c>
      <c r="BY92" s="120">
        <f t="shared" si="69"/>
        <v>1.6497748825411787E-3</v>
      </c>
      <c r="BZ92" s="123" t="str">
        <f t="shared" si="70"/>
        <v>OK</v>
      </c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H92" s="127"/>
      <c r="EI92" s="127"/>
      <c r="EJ92" s="127"/>
      <c r="EK92" s="127"/>
      <c r="EL92" s="127"/>
      <c r="EM92" s="120"/>
      <c r="EN92" s="121"/>
      <c r="EO92" s="121"/>
      <c r="EP92" s="120"/>
      <c r="EQ92" s="122"/>
      <c r="ER92" s="120"/>
      <c r="ES92" s="238"/>
      <c r="ET92" s="124"/>
      <c r="EU92" s="124"/>
      <c r="EV92" s="120"/>
      <c r="EW92" s="217"/>
      <c r="EX92" s="124"/>
      <c r="EY92" s="120"/>
      <c r="EZ92" s="217"/>
    </row>
    <row r="93" spans="13:156" ht="12.75" customHeight="1">
      <c r="M93" s="6" t="s">
        <v>167</v>
      </c>
      <c r="N93" s="180"/>
      <c r="O93" s="180"/>
      <c r="P93" s="180"/>
      <c r="Q93" s="180"/>
      <c r="R93" s="180"/>
      <c r="S93" s="181"/>
      <c r="T93" s="182"/>
      <c r="U93" s="180"/>
      <c r="V93" s="2"/>
      <c r="W93" s="2"/>
      <c r="X93" s="5"/>
      <c r="AA93" s="75" t="s">
        <v>460</v>
      </c>
      <c r="AB93" s="75" t="s">
        <v>434</v>
      </c>
      <c r="AC93" s="76">
        <v>0</v>
      </c>
      <c r="AD93" s="28">
        <v>388</v>
      </c>
      <c r="AE93" s="28">
        <v>212</v>
      </c>
      <c r="AF93" s="28">
        <v>6</v>
      </c>
      <c r="AG93" s="28">
        <v>8</v>
      </c>
      <c r="AH93" s="28">
        <v>372</v>
      </c>
      <c r="AI93" s="13">
        <f t="shared" si="37"/>
        <v>648</v>
      </c>
      <c r="AJ93" s="13">
        <f t="shared" si="38"/>
        <v>212</v>
      </c>
      <c r="AK93" s="13">
        <f t="shared" si="39"/>
        <v>25</v>
      </c>
      <c r="AL93" s="13">
        <f t="shared" si="40"/>
        <v>7</v>
      </c>
      <c r="AM93" s="13">
        <f t="shared" si="41"/>
        <v>2</v>
      </c>
      <c r="AN93" s="13">
        <f t="shared" si="42"/>
        <v>8</v>
      </c>
      <c r="AO93" s="13">
        <f t="shared" si="43"/>
        <v>24</v>
      </c>
      <c r="AP93" s="13">
        <f t="shared" si="44"/>
        <v>60</v>
      </c>
      <c r="AQ93" s="13">
        <f t="shared" si="45"/>
        <v>70</v>
      </c>
      <c r="AR93" s="13">
        <f t="shared" si="46"/>
        <v>80</v>
      </c>
      <c r="AS93" s="13">
        <f t="shared" si="47"/>
        <v>150</v>
      </c>
      <c r="AT93" s="13">
        <f t="shared" si="48"/>
        <v>4</v>
      </c>
      <c r="AU93" s="13">
        <f t="shared" si="49"/>
        <v>120</v>
      </c>
      <c r="AV93" s="13">
        <f t="shared" si="50"/>
        <v>2</v>
      </c>
      <c r="AW93" s="13">
        <f t="shared" si="51"/>
        <v>0</v>
      </c>
      <c r="AX93" s="13">
        <f t="shared" si="52"/>
        <v>0</v>
      </c>
      <c r="AY93" s="13">
        <f t="shared" si="53"/>
        <v>1</v>
      </c>
      <c r="AZ93" s="13">
        <f t="shared" si="54"/>
        <v>6</v>
      </c>
      <c r="BA93" s="75" t="s">
        <v>452</v>
      </c>
      <c r="BB93" s="77">
        <v>-17.480133517238563</v>
      </c>
      <c r="BC93" s="77">
        <v>-0.52524295473499016</v>
      </c>
      <c r="BD93" s="29">
        <v>-0.41738995835272419</v>
      </c>
      <c r="BE93" s="29">
        <v>-1.2447418513464472E-5</v>
      </c>
      <c r="BF93" s="29">
        <v>-0.11851451493253458</v>
      </c>
      <c r="BG93" s="29">
        <v>-2.3757031460583238</v>
      </c>
      <c r="BH93" s="179">
        <f t="shared" si="55"/>
        <v>0.13590875285451637</v>
      </c>
      <c r="BI93" s="127">
        <f>_xll.DCEBoltDisColBaseFix(AV93, AT93, AD93, AP93, AQ93,AR93, AS93, "TTT")</f>
        <v>189</v>
      </c>
      <c r="BJ93" s="127">
        <f t="shared" si="56"/>
        <v>513</v>
      </c>
      <c r="BK93" s="127">
        <f t="shared" si="57"/>
        <v>3.6142442527278149</v>
      </c>
      <c r="BL93" s="127">
        <f t="shared" si="58"/>
        <v>302.89508840864443</v>
      </c>
      <c r="BM93" s="120">
        <f t="shared" si="59"/>
        <v>1.1932330338258025E-2</v>
      </c>
      <c r="BN93" s="4">
        <f>_xll.DCEBoltDisColBaseFix(AV93,AT93,AD93,AP93,AQ93,AR93,AS93,"NL1T")+_xll.DCEBoltDisColBaseFix(AV93,AT93,AD93,AP93,AQ93,AR93,AS93,"NL2T")+_xll.DCEBoltDisColBaseFix(AV93,AT93,AD93,AP93,AQ93,AR93,AS93,"NL3T")</f>
        <v>4</v>
      </c>
      <c r="BO93" s="121">
        <f t="shared" si="60"/>
        <v>0</v>
      </c>
      <c r="BP93" s="122">
        <f t="shared" si="61"/>
        <v>0</v>
      </c>
      <c r="BQ93" s="122">
        <f t="shared" si="62"/>
        <v>57.1</v>
      </c>
      <c r="BR93" s="120">
        <f>BQ93/VLOOKUP(AO93,Data!$V$4:$Z$99,4,FALSE)</f>
        <v>0.16175637393767706</v>
      </c>
      <c r="BS93" s="123" t="str">
        <f t="shared" si="63"/>
        <v>OK</v>
      </c>
      <c r="BT93" s="124">
        <f t="shared" si="64"/>
        <v>0.28736740674958106</v>
      </c>
      <c r="BU93" s="124">
        <f t="shared" si="65"/>
        <v>-3.2881419135462692E-2</v>
      </c>
      <c r="BV93" s="120">
        <f t="shared" si="66"/>
        <v>2.6424589126398258E-2</v>
      </c>
      <c r="BW93" s="123" t="str">
        <f t="shared" si="67"/>
        <v>OK</v>
      </c>
      <c r="BX93" s="124">
        <f t="shared" si="68"/>
        <v>406.65599999999995</v>
      </c>
      <c r="BY93" s="120">
        <f t="shared" si="69"/>
        <v>1.6497748825411787E-3</v>
      </c>
      <c r="BZ93" s="123" t="str">
        <f t="shared" si="70"/>
        <v>OK</v>
      </c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H93" s="127"/>
      <c r="EI93" s="127"/>
      <c r="EJ93" s="127"/>
      <c r="EK93" s="127"/>
      <c r="EL93" s="127"/>
      <c r="EM93" s="120"/>
      <c r="EN93" s="121"/>
      <c r="EO93" s="121"/>
      <c r="EP93" s="120"/>
      <c r="EQ93" s="122"/>
      <c r="ER93" s="120"/>
      <c r="ES93" s="238"/>
      <c r="ET93" s="124"/>
      <c r="EU93" s="124"/>
      <c r="EV93" s="120"/>
      <c r="EW93" s="217"/>
      <c r="EX93" s="124"/>
      <c r="EY93" s="120"/>
      <c r="EZ93" s="217"/>
    </row>
    <row r="94" spans="13:156" ht="15">
      <c r="M94" s="7" t="str">
        <f>"- Tỉ số cường độ chịu kéo tính toán của bê tông:"</f>
        <v>- Tỉ số cường độ chịu kéo tính toán của bê tông:</v>
      </c>
      <c r="N94" s="195"/>
      <c r="O94" s="195"/>
      <c r="P94" s="33"/>
      <c r="Q94" s="187"/>
      <c r="R94" s="188"/>
      <c r="S94" s="2"/>
      <c r="T94" s="2"/>
      <c r="U94" s="2"/>
      <c r="V94" s="33" t="s">
        <v>108</v>
      </c>
      <c r="W94" s="193">
        <f>0.66/VLOOKUP(W35,Data!BJ5:BQ21,6,FALSE)</f>
        <v>0.62857142857142856</v>
      </c>
      <c r="X94" s="23"/>
      <c r="AA94" s="75" t="s">
        <v>460</v>
      </c>
      <c r="AB94" s="75" t="s">
        <v>434</v>
      </c>
      <c r="AC94" s="76">
        <v>0</v>
      </c>
      <c r="AD94" s="28">
        <v>388</v>
      </c>
      <c r="AE94" s="28">
        <v>212</v>
      </c>
      <c r="AF94" s="28">
        <v>6</v>
      </c>
      <c r="AG94" s="28">
        <v>8</v>
      </c>
      <c r="AH94" s="28">
        <v>372</v>
      </c>
      <c r="AI94" s="13">
        <f t="shared" si="37"/>
        <v>648</v>
      </c>
      <c r="AJ94" s="13">
        <f t="shared" si="38"/>
        <v>212</v>
      </c>
      <c r="AK94" s="13">
        <f t="shared" si="39"/>
        <v>25</v>
      </c>
      <c r="AL94" s="13">
        <f t="shared" si="40"/>
        <v>7</v>
      </c>
      <c r="AM94" s="13">
        <f t="shared" si="41"/>
        <v>2</v>
      </c>
      <c r="AN94" s="13">
        <f t="shared" si="42"/>
        <v>8</v>
      </c>
      <c r="AO94" s="13">
        <f t="shared" si="43"/>
        <v>24</v>
      </c>
      <c r="AP94" s="13">
        <f t="shared" si="44"/>
        <v>60</v>
      </c>
      <c r="AQ94" s="13">
        <f t="shared" si="45"/>
        <v>70</v>
      </c>
      <c r="AR94" s="13">
        <f t="shared" si="46"/>
        <v>80</v>
      </c>
      <c r="AS94" s="13">
        <f t="shared" si="47"/>
        <v>150</v>
      </c>
      <c r="AT94" s="13">
        <f t="shared" si="48"/>
        <v>4</v>
      </c>
      <c r="AU94" s="13">
        <f t="shared" si="49"/>
        <v>120</v>
      </c>
      <c r="AV94" s="13">
        <f t="shared" si="50"/>
        <v>2</v>
      </c>
      <c r="AW94" s="13">
        <f t="shared" si="51"/>
        <v>0</v>
      </c>
      <c r="AX94" s="13">
        <f t="shared" si="52"/>
        <v>0</v>
      </c>
      <c r="AY94" s="13">
        <f t="shared" si="53"/>
        <v>1</v>
      </c>
      <c r="AZ94" s="13">
        <f t="shared" si="54"/>
        <v>6</v>
      </c>
      <c r="BA94" s="75" t="s">
        <v>453</v>
      </c>
      <c r="BB94" s="77">
        <v>-17.480133517238563</v>
      </c>
      <c r="BC94" s="77">
        <v>-0.52524295473499016</v>
      </c>
      <c r="BD94" s="29">
        <v>-0.41738995835272419</v>
      </c>
      <c r="BE94" s="29">
        <v>-1.2447418513464472E-5</v>
      </c>
      <c r="BF94" s="29">
        <v>-0.11851451493253458</v>
      </c>
      <c r="BG94" s="29">
        <v>-2.3757031460583238</v>
      </c>
      <c r="BH94" s="179">
        <f t="shared" si="55"/>
        <v>0.13590875285451637</v>
      </c>
      <c r="BI94" s="127">
        <f>_xll.DCEBoltDisColBaseFix(AV94, AT94, AD94, AP94, AQ94,AR94, AS94, "TTT")</f>
        <v>189</v>
      </c>
      <c r="BJ94" s="127">
        <f t="shared" si="56"/>
        <v>513</v>
      </c>
      <c r="BK94" s="127">
        <f t="shared" si="57"/>
        <v>3.6142442527278149</v>
      </c>
      <c r="BL94" s="127">
        <f t="shared" si="58"/>
        <v>302.89508840864443</v>
      </c>
      <c r="BM94" s="120">
        <f t="shared" si="59"/>
        <v>1.1932330338258025E-2</v>
      </c>
      <c r="BN94" s="4">
        <f>_xll.DCEBoltDisColBaseFix(AV94,AT94,AD94,AP94,AQ94,AR94,AS94,"NL1T")+_xll.DCEBoltDisColBaseFix(AV94,AT94,AD94,AP94,AQ94,AR94,AS94,"NL2T")+_xll.DCEBoltDisColBaseFix(AV94,AT94,AD94,AP94,AQ94,AR94,AS94,"NL3T")</f>
        <v>4</v>
      </c>
      <c r="BO94" s="121">
        <f t="shared" si="60"/>
        <v>0</v>
      </c>
      <c r="BP94" s="122">
        <f t="shared" si="61"/>
        <v>0</v>
      </c>
      <c r="BQ94" s="122">
        <f t="shared" si="62"/>
        <v>57.1</v>
      </c>
      <c r="BR94" s="120">
        <f>BQ94/VLOOKUP(AO94,Data!$V$4:$Z$99,4,FALSE)</f>
        <v>0.16175637393767706</v>
      </c>
      <c r="BS94" s="123" t="str">
        <f t="shared" si="63"/>
        <v>OK</v>
      </c>
      <c r="BT94" s="124">
        <f t="shared" si="64"/>
        <v>0.28736740674958106</v>
      </c>
      <c r="BU94" s="124">
        <f t="shared" si="65"/>
        <v>-3.2881419135462692E-2</v>
      </c>
      <c r="BV94" s="120">
        <f t="shared" si="66"/>
        <v>2.6424589126398258E-2</v>
      </c>
      <c r="BW94" s="123" t="str">
        <f t="shared" si="67"/>
        <v>OK</v>
      </c>
      <c r="BX94" s="124">
        <f t="shared" si="68"/>
        <v>406.65599999999995</v>
      </c>
      <c r="BY94" s="120">
        <f t="shared" si="69"/>
        <v>1.6497748825411787E-3</v>
      </c>
      <c r="BZ94" s="123" t="str">
        <f t="shared" si="70"/>
        <v>OK</v>
      </c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H94" s="127"/>
      <c r="EI94" s="127"/>
      <c r="EJ94" s="127"/>
      <c r="EK94" s="127"/>
      <c r="EL94" s="127"/>
      <c r="EM94" s="120"/>
      <c r="EN94" s="121"/>
      <c r="EO94" s="121"/>
      <c r="EP94" s="120"/>
      <c r="EQ94" s="122"/>
      <c r="ER94" s="120"/>
      <c r="ES94" s="238"/>
      <c r="ET94" s="124"/>
      <c r="EU94" s="124"/>
      <c r="EV94" s="120"/>
      <c r="EW94" s="217"/>
      <c r="EX94" s="124"/>
      <c r="EY94" s="120"/>
      <c r="EZ94" s="217"/>
    </row>
    <row r="95" spans="13:156" ht="15">
      <c r="M95" s="7" t="str">
        <f>"- Tỉ số cường độ chịu kéo tính toán của thép bu lông:"</f>
        <v>- Tỉ số cường độ chịu kéo tính toán của thép bu lông:</v>
      </c>
      <c r="N95" s="195"/>
      <c r="O95" s="195"/>
      <c r="P95" s="33"/>
      <c r="Q95" s="187"/>
      <c r="R95" s="188"/>
      <c r="S95" s="2"/>
      <c r="T95" s="2"/>
      <c r="U95" s="2"/>
      <c r="V95" s="33" t="s">
        <v>107</v>
      </c>
      <c r="W95" s="189">
        <f>W19/(235/1.05)</f>
        <v>1.0723404255319149</v>
      </c>
      <c r="X95" s="23"/>
      <c r="AA95" s="75" t="s">
        <v>460</v>
      </c>
      <c r="AB95" s="75" t="s">
        <v>434</v>
      </c>
      <c r="AC95" s="76">
        <v>0</v>
      </c>
      <c r="AD95" s="28">
        <v>388</v>
      </c>
      <c r="AE95" s="28">
        <v>212</v>
      </c>
      <c r="AF95" s="28">
        <v>6</v>
      </c>
      <c r="AG95" s="28">
        <v>8</v>
      </c>
      <c r="AH95" s="28">
        <v>372</v>
      </c>
      <c r="AI95" s="13">
        <f t="shared" si="37"/>
        <v>648</v>
      </c>
      <c r="AJ95" s="13">
        <f t="shared" si="38"/>
        <v>212</v>
      </c>
      <c r="AK95" s="13">
        <f t="shared" si="39"/>
        <v>25</v>
      </c>
      <c r="AL95" s="13">
        <f t="shared" si="40"/>
        <v>7</v>
      </c>
      <c r="AM95" s="13">
        <f t="shared" si="41"/>
        <v>2</v>
      </c>
      <c r="AN95" s="13">
        <f t="shared" si="42"/>
        <v>8</v>
      </c>
      <c r="AO95" s="13">
        <f t="shared" si="43"/>
        <v>24</v>
      </c>
      <c r="AP95" s="13">
        <f t="shared" si="44"/>
        <v>60</v>
      </c>
      <c r="AQ95" s="13">
        <f t="shared" si="45"/>
        <v>70</v>
      </c>
      <c r="AR95" s="13">
        <f t="shared" si="46"/>
        <v>80</v>
      </c>
      <c r="AS95" s="13">
        <f t="shared" si="47"/>
        <v>150</v>
      </c>
      <c r="AT95" s="13">
        <f t="shared" si="48"/>
        <v>4</v>
      </c>
      <c r="AU95" s="13">
        <f t="shared" si="49"/>
        <v>120</v>
      </c>
      <c r="AV95" s="13">
        <f t="shared" si="50"/>
        <v>2</v>
      </c>
      <c r="AW95" s="13">
        <f t="shared" si="51"/>
        <v>0</v>
      </c>
      <c r="AX95" s="13">
        <f t="shared" si="52"/>
        <v>0</v>
      </c>
      <c r="AY95" s="13">
        <f t="shared" si="53"/>
        <v>1</v>
      </c>
      <c r="AZ95" s="13">
        <f t="shared" si="54"/>
        <v>6</v>
      </c>
      <c r="BA95" s="75" t="s">
        <v>454</v>
      </c>
      <c r="BB95" s="77">
        <v>-17.480133517238563</v>
      </c>
      <c r="BC95" s="77">
        <v>-0.52524295473499016</v>
      </c>
      <c r="BD95" s="29">
        <v>-0.41738995835272419</v>
      </c>
      <c r="BE95" s="29">
        <v>-1.2447418513464472E-5</v>
      </c>
      <c r="BF95" s="29">
        <v>-0.11851451493253458</v>
      </c>
      <c r="BG95" s="29">
        <v>-2.3757031460583238</v>
      </c>
      <c r="BH95" s="179">
        <f t="shared" si="55"/>
        <v>0.13590875285451637</v>
      </c>
      <c r="BI95" s="127">
        <f>_xll.DCEBoltDisColBaseFix(AV95, AT95, AD95, AP95, AQ95,AR95, AS95, "TTT")</f>
        <v>189</v>
      </c>
      <c r="BJ95" s="127">
        <f t="shared" si="56"/>
        <v>513</v>
      </c>
      <c r="BK95" s="127">
        <f t="shared" si="57"/>
        <v>3.6142442527278149</v>
      </c>
      <c r="BL95" s="127">
        <f t="shared" si="58"/>
        <v>302.89508840864443</v>
      </c>
      <c r="BM95" s="120">
        <f t="shared" si="59"/>
        <v>1.1932330338258025E-2</v>
      </c>
      <c r="BN95" s="4">
        <f>_xll.DCEBoltDisColBaseFix(AV95,AT95,AD95,AP95,AQ95,AR95,AS95,"NL1T")+_xll.DCEBoltDisColBaseFix(AV95,AT95,AD95,AP95,AQ95,AR95,AS95,"NL2T")+_xll.DCEBoltDisColBaseFix(AV95,AT95,AD95,AP95,AQ95,AR95,AS95,"NL3T")</f>
        <v>4</v>
      </c>
      <c r="BO95" s="121">
        <f t="shared" si="60"/>
        <v>0</v>
      </c>
      <c r="BP95" s="122">
        <f t="shared" si="61"/>
        <v>0</v>
      </c>
      <c r="BQ95" s="122">
        <f t="shared" si="62"/>
        <v>57.1</v>
      </c>
      <c r="BR95" s="120">
        <f>BQ95/VLOOKUP(AO95,Data!$V$4:$Z$99,4,FALSE)</f>
        <v>0.16175637393767706</v>
      </c>
      <c r="BS95" s="123" t="str">
        <f t="shared" si="63"/>
        <v>OK</v>
      </c>
      <c r="BT95" s="124">
        <f t="shared" si="64"/>
        <v>0.28736740674958106</v>
      </c>
      <c r="BU95" s="124">
        <f t="shared" si="65"/>
        <v>-3.2881419135462692E-2</v>
      </c>
      <c r="BV95" s="120">
        <f t="shared" si="66"/>
        <v>2.6424589126398258E-2</v>
      </c>
      <c r="BW95" s="123" t="str">
        <f t="shared" si="67"/>
        <v>OK</v>
      </c>
      <c r="BX95" s="124">
        <f t="shared" si="68"/>
        <v>406.65599999999995</v>
      </c>
      <c r="BY95" s="120">
        <f t="shared" si="69"/>
        <v>1.6497748825411787E-3</v>
      </c>
      <c r="BZ95" s="123" t="str">
        <f t="shared" si="70"/>
        <v>OK</v>
      </c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H95" s="127"/>
      <c r="EI95" s="127"/>
      <c r="EJ95" s="127"/>
      <c r="EK95" s="127"/>
      <c r="EL95" s="127"/>
      <c r="EM95" s="120"/>
      <c r="EN95" s="121"/>
      <c r="EO95" s="121"/>
      <c r="EP95" s="120"/>
      <c r="EQ95" s="122"/>
      <c r="ER95" s="120"/>
      <c r="ES95" s="238"/>
      <c r="ET95" s="124"/>
      <c r="EU95" s="124"/>
      <c r="EV95" s="120"/>
      <c r="EW95" s="217"/>
      <c r="EX95" s="124"/>
      <c r="EY95" s="120"/>
      <c r="EZ95" s="217"/>
    </row>
    <row r="96" spans="13:156">
      <c r="M96" s="7" t="str">
        <f>"- Chiều sâu ngàm tối thiểu H (Bê tông B12.5 &amp; mác thép S235C):"</f>
        <v>- Chiều sâu ngàm tối thiểu H (Bê tông B12.5 &amp; mác thép S235C):</v>
      </c>
      <c r="N96" s="195"/>
      <c r="O96" s="195"/>
      <c r="P96" s="33"/>
      <c r="Q96" s="33"/>
      <c r="R96" s="188"/>
      <c r="S96" s="2"/>
      <c r="T96" s="33" t="str">
        <f>VLOOKUP(W16,Data!$DH$2:$DN$7,2,FALSE)</f>
        <v>25db</v>
      </c>
      <c r="U96" s="188" t="s">
        <v>112</v>
      </c>
      <c r="V96" s="33" t="s">
        <v>111</v>
      </c>
      <c r="W96" s="190">
        <f>IFERROR(VALUE(LEFT(T96,2)),VALUE(LEFT(T96,1)))*W44</f>
        <v>600</v>
      </c>
      <c r="X96" s="23" t="s">
        <v>1</v>
      </c>
      <c r="AA96" s="75" t="s">
        <v>460</v>
      </c>
      <c r="AB96" s="75" t="s">
        <v>434</v>
      </c>
      <c r="AC96" s="76">
        <v>0</v>
      </c>
      <c r="AD96" s="28">
        <v>388</v>
      </c>
      <c r="AE96" s="28">
        <v>212</v>
      </c>
      <c r="AF96" s="28">
        <v>6</v>
      </c>
      <c r="AG96" s="28">
        <v>8</v>
      </c>
      <c r="AH96" s="28">
        <v>372</v>
      </c>
      <c r="AI96" s="13">
        <f t="shared" si="37"/>
        <v>648</v>
      </c>
      <c r="AJ96" s="13">
        <f t="shared" si="38"/>
        <v>212</v>
      </c>
      <c r="AK96" s="13">
        <f t="shared" si="39"/>
        <v>25</v>
      </c>
      <c r="AL96" s="13">
        <f t="shared" si="40"/>
        <v>7</v>
      </c>
      <c r="AM96" s="13">
        <f t="shared" si="41"/>
        <v>2</v>
      </c>
      <c r="AN96" s="13">
        <f t="shared" si="42"/>
        <v>8</v>
      </c>
      <c r="AO96" s="13">
        <f t="shared" si="43"/>
        <v>24</v>
      </c>
      <c r="AP96" s="13">
        <f t="shared" si="44"/>
        <v>60</v>
      </c>
      <c r="AQ96" s="13">
        <f t="shared" si="45"/>
        <v>70</v>
      </c>
      <c r="AR96" s="13">
        <f t="shared" si="46"/>
        <v>80</v>
      </c>
      <c r="AS96" s="13">
        <f t="shared" si="47"/>
        <v>150</v>
      </c>
      <c r="AT96" s="13">
        <f t="shared" si="48"/>
        <v>4</v>
      </c>
      <c r="AU96" s="13">
        <f t="shared" si="49"/>
        <v>120</v>
      </c>
      <c r="AV96" s="13">
        <f t="shared" si="50"/>
        <v>2</v>
      </c>
      <c r="AW96" s="13">
        <f t="shared" si="51"/>
        <v>0</v>
      </c>
      <c r="AX96" s="13">
        <f t="shared" si="52"/>
        <v>0</v>
      </c>
      <c r="AY96" s="13">
        <f t="shared" si="53"/>
        <v>1</v>
      </c>
      <c r="AZ96" s="13">
        <f t="shared" si="54"/>
        <v>6</v>
      </c>
      <c r="BA96" s="75" t="s">
        <v>455</v>
      </c>
      <c r="BB96" s="77">
        <v>-17.480133517238563</v>
      </c>
      <c r="BC96" s="77">
        <v>-0.52524295473499016</v>
      </c>
      <c r="BD96" s="29">
        <v>-0.41738995835272419</v>
      </c>
      <c r="BE96" s="29">
        <v>-1.2447418513464472E-5</v>
      </c>
      <c r="BF96" s="29">
        <v>-0.11851451493253458</v>
      </c>
      <c r="BG96" s="29">
        <v>-2.3757031460583238</v>
      </c>
      <c r="BH96" s="179">
        <f t="shared" si="55"/>
        <v>0.13590875285451637</v>
      </c>
      <c r="BI96" s="127">
        <f>_xll.DCEBoltDisColBaseFix(AV96, AT96, AD96, AP96, AQ96,AR96, AS96, "TTT")</f>
        <v>189</v>
      </c>
      <c r="BJ96" s="127">
        <f t="shared" si="56"/>
        <v>513</v>
      </c>
      <c r="BK96" s="127">
        <f t="shared" si="57"/>
        <v>3.6142442527278149</v>
      </c>
      <c r="BL96" s="127">
        <f t="shared" si="58"/>
        <v>302.89508840864443</v>
      </c>
      <c r="BM96" s="120">
        <f t="shared" si="59"/>
        <v>1.1932330338258025E-2</v>
      </c>
      <c r="BN96" s="4">
        <f>_xll.DCEBoltDisColBaseFix(AV96,AT96,AD96,AP96,AQ96,AR96,AS96,"NL1T")+_xll.DCEBoltDisColBaseFix(AV96,AT96,AD96,AP96,AQ96,AR96,AS96,"NL2T")+_xll.DCEBoltDisColBaseFix(AV96,AT96,AD96,AP96,AQ96,AR96,AS96,"NL3T")</f>
        <v>4</v>
      </c>
      <c r="BO96" s="121">
        <f t="shared" si="60"/>
        <v>0</v>
      </c>
      <c r="BP96" s="122">
        <f t="shared" si="61"/>
        <v>0</v>
      </c>
      <c r="BQ96" s="122">
        <f t="shared" si="62"/>
        <v>57.1</v>
      </c>
      <c r="BR96" s="120">
        <f>BQ96/VLOOKUP(AO96,Data!$V$4:$Z$99,4,FALSE)</f>
        <v>0.16175637393767706</v>
      </c>
      <c r="BS96" s="123" t="str">
        <f t="shared" si="63"/>
        <v>OK</v>
      </c>
      <c r="BT96" s="124">
        <f t="shared" si="64"/>
        <v>0.28736740674958106</v>
      </c>
      <c r="BU96" s="124">
        <f t="shared" si="65"/>
        <v>-3.2881419135462692E-2</v>
      </c>
      <c r="BV96" s="120">
        <f t="shared" si="66"/>
        <v>2.6424589126398258E-2</v>
      </c>
      <c r="BW96" s="123" t="str">
        <f t="shared" si="67"/>
        <v>OK</v>
      </c>
      <c r="BX96" s="124">
        <f t="shared" si="68"/>
        <v>406.65599999999995</v>
      </c>
      <c r="BY96" s="120">
        <f t="shared" si="69"/>
        <v>1.6497748825411787E-3</v>
      </c>
      <c r="BZ96" s="123" t="str">
        <f t="shared" si="70"/>
        <v>OK</v>
      </c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H96" s="127"/>
      <c r="EI96" s="127"/>
      <c r="EJ96" s="127"/>
      <c r="EK96" s="127"/>
      <c r="EL96" s="127"/>
      <c r="EM96" s="120"/>
      <c r="EN96" s="121"/>
      <c r="EO96" s="121"/>
      <c r="EP96" s="120"/>
      <c r="EQ96" s="122"/>
      <c r="ER96" s="120"/>
      <c r="ES96" s="238"/>
      <c r="ET96" s="124"/>
      <c r="EU96" s="124"/>
      <c r="EV96" s="120"/>
      <c r="EW96" s="217"/>
      <c r="EX96" s="124"/>
      <c r="EY96" s="120"/>
      <c r="EZ96" s="217"/>
    </row>
    <row r="97" spans="13:156" ht="15">
      <c r="M97" s="7" t="s">
        <v>113</v>
      </c>
      <c r="N97" s="195"/>
      <c r="O97" s="195"/>
      <c r="P97" s="33"/>
      <c r="Q97" s="33"/>
      <c r="R97" s="188"/>
      <c r="S97" s="2"/>
      <c r="T97" s="2"/>
      <c r="U97" s="2"/>
      <c r="V97" s="33" t="s">
        <v>114</v>
      </c>
      <c r="W97" s="190">
        <f>W96*W94*W95</f>
        <v>404.42553191489355</v>
      </c>
      <c r="X97" s="23" t="s">
        <v>1</v>
      </c>
      <c r="AA97" s="75" t="s">
        <v>460</v>
      </c>
      <c r="AB97" s="75" t="s">
        <v>434</v>
      </c>
      <c r="AC97" s="76">
        <v>0</v>
      </c>
      <c r="AD97" s="28">
        <v>388</v>
      </c>
      <c r="AE97" s="28">
        <v>212</v>
      </c>
      <c r="AF97" s="28">
        <v>6</v>
      </c>
      <c r="AG97" s="28">
        <v>8</v>
      </c>
      <c r="AH97" s="28">
        <v>372</v>
      </c>
      <c r="AI97" s="13">
        <f t="shared" si="37"/>
        <v>648</v>
      </c>
      <c r="AJ97" s="13">
        <f t="shared" si="38"/>
        <v>212</v>
      </c>
      <c r="AK97" s="13">
        <f t="shared" si="39"/>
        <v>25</v>
      </c>
      <c r="AL97" s="13">
        <f t="shared" si="40"/>
        <v>7</v>
      </c>
      <c r="AM97" s="13">
        <f t="shared" si="41"/>
        <v>2</v>
      </c>
      <c r="AN97" s="13">
        <f t="shared" si="42"/>
        <v>8</v>
      </c>
      <c r="AO97" s="13">
        <f t="shared" si="43"/>
        <v>24</v>
      </c>
      <c r="AP97" s="13">
        <f t="shared" si="44"/>
        <v>60</v>
      </c>
      <c r="AQ97" s="13">
        <f t="shared" si="45"/>
        <v>70</v>
      </c>
      <c r="AR97" s="13">
        <f t="shared" si="46"/>
        <v>80</v>
      </c>
      <c r="AS97" s="13">
        <f t="shared" si="47"/>
        <v>150</v>
      </c>
      <c r="AT97" s="13">
        <f t="shared" si="48"/>
        <v>4</v>
      </c>
      <c r="AU97" s="13">
        <f t="shared" si="49"/>
        <v>120</v>
      </c>
      <c r="AV97" s="13">
        <f t="shared" si="50"/>
        <v>2</v>
      </c>
      <c r="AW97" s="13">
        <f t="shared" si="51"/>
        <v>0</v>
      </c>
      <c r="AX97" s="13">
        <f t="shared" si="52"/>
        <v>0</v>
      </c>
      <c r="AY97" s="13">
        <f t="shared" si="53"/>
        <v>1</v>
      </c>
      <c r="AZ97" s="13">
        <f t="shared" si="54"/>
        <v>6</v>
      </c>
      <c r="BA97" s="75" t="s">
        <v>456</v>
      </c>
      <c r="BB97" s="77">
        <v>-17.480133517238563</v>
      </c>
      <c r="BC97" s="77">
        <v>-0.52524295473499016</v>
      </c>
      <c r="BD97" s="29">
        <v>-0.41738995835272419</v>
      </c>
      <c r="BE97" s="29">
        <v>-1.2447418513464472E-5</v>
      </c>
      <c r="BF97" s="29">
        <v>-0.11851451493253458</v>
      </c>
      <c r="BG97" s="29">
        <v>-2.3757031460583238</v>
      </c>
      <c r="BH97" s="179">
        <f t="shared" si="55"/>
        <v>0.13590875285451637</v>
      </c>
      <c r="BI97" s="127">
        <f>_xll.DCEBoltDisColBaseFix(AV97, AT97, AD97, AP97, AQ97,AR97, AS97, "TTT")</f>
        <v>189</v>
      </c>
      <c r="BJ97" s="127">
        <f t="shared" si="56"/>
        <v>513</v>
      </c>
      <c r="BK97" s="127">
        <f t="shared" si="57"/>
        <v>3.6142442527278149</v>
      </c>
      <c r="BL97" s="127">
        <f t="shared" si="58"/>
        <v>302.89508840864443</v>
      </c>
      <c r="BM97" s="120">
        <f t="shared" si="59"/>
        <v>1.1932330338258025E-2</v>
      </c>
      <c r="BN97" s="4">
        <f>_xll.DCEBoltDisColBaseFix(AV97,AT97,AD97,AP97,AQ97,AR97,AS97,"NL1T")+_xll.DCEBoltDisColBaseFix(AV97,AT97,AD97,AP97,AQ97,AR97,AS97,"NL2T")+_xll.DCEBoltDisColBaseFix(AV97,AT97,AD97,AP97,AQ97,AR97,AS97,"NL3T")</f>
        <v>4</v>
      </c>
      <c r="BO97" s="121">
        <f t="shared" si="60"/>
        <v>0</v>
      </c>
      <c r="BP97" s="122">
        <f t="shared" si="61"/>
        <v>0</v>
      </c>
      <c r="BQ97" s="122">
        <f t="shared" si="62"/>
        <v>57.1</v>
      </c>
      <c r="BR97" s="120">
        <f>BQ97/VLOOKUP(AO97,Data!$V$4:$Z$99,4,FALSE)</f>
        <v>0.16175637393767706</v>
      </c>
      <c r="BS97" s="123" t="str">
        <f t="shared" si="63"/>
        <v>OK</v>
      </c>
      <c r="BT97" s="124">
        <f t="shared" si="64"/>
        <v>0.28736740674958106</v>
      </c>
      <c r="BU97" s="124">
        <f t="shared" si="65"/>
        <v>-3.2881419135462692E-2</v>
      </c>
      <c r="BV97" s="120">
        <f t="shared" si="66"/>
        <v>2.6424589126398258E-2</v>
      </c>
      <c r="BW97" s="123" t="str">
        <f t="shared" si="67"/>
        <v>OK</v>
      </c>
      <c r="BX97" s="124">
        <f t="shared" si="68"/>
        <v>406.65599999999995</v>
      </c>
      <c r="BY97" s="120">
        <f t="shared" si="69"/>
        <v>1.6497748825411787E-3</v>
      </c>
      <c r="BZ97" s="123" t="str">
        <f t="shared" si="70"/>
        <v>OK</v>
      </c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H97" s="127"/>
      <c r="EI97" s="127"/>
      <c r="EJ97" s="127"/>
      <c r="EK97" s="127"/>
      <c r="EL97" s="127"/>
      <c r="EM97" s="120"/>
      <c r="EN97" s="121"/>
      <c r="EO97" s="121"/>
      <c r="EP97" s="120"/>
      <c r="EQ97" s="122"/>
      <c r="ER97" s="120"/>
      <c r="ES97" s="238"/>
      <c r="ET97" s="124"/>
      <c r="EU97" s="124"/>
      <c r="EV97" s="120"/>
      <c r="EW97" s="217"/>
      <c r="EX97" s="124"/>
      <c r="EY97" s="120"/>
      <c r="EZ97" s="217"/>
    </row>
    <row r="98" spans="13:156">
      <c r="M98" s="6" t="s">
        <v>115</v>
      </c>
      <c r="N98" s="2"/>
      <c r="O98" s="2"/>
      <c r="P98" s="33"/>
      <c r="Q98" s="187"/>
      <c r="R98" s="188"/>
      <c r="S98" s="2"/>
      <c r="T98" s="2"/>
      <c r="U98" s="2"/>
      <c r="V98" s="2"/>
      <c r="W98" s="2"/>
      <c r="X98" s="8"/>
      <c r="AA98" s="75" t="s">
        <v>460</v>
      </c>
      <c r="AB98" s="75" t="s">
        <v>434</v>
      </c>
      <c r="AC98" s="76">
        <v>0</v>
      </c>
      <c r="AD98" s="28">
        <v>388</v>
      </c>
      <c r="AE98" s="28">
        <v>212</v>
      </c>
      <c r="AF98" s="28">
        <v>6</v>
      </c>
      <c r="AG98" s="28">
        <v>8</v>
      </c>
      <c r="AH98" s="28">
        <v>372</v>
      </c>
      <c r="AI98" s="13">
        <f t="shared" si="37"/>
        <v>648</v>
      </c>
      <c r="AJ98" s="13">
        <f t="shared" si="38"/>
        <v>212</v>
      </c>
      <c r="AK98" s="13">
        <f t="shared" si="39"/>
        <v>25</v>
      </c>
      <c r="AL98" s="13">
        <f t="shared" si="40"/>
        <v>7</v>
      </c>
      <c r="AM98" s="13">
        <f t="shared" si="41"/>
        <v>2</v>
      </c>
      <c r="AN98" s="13">
        <f t="shared" si="42"/>
        <v>8</v>
      </c>
      <c r="AO98" s="13">
        <f t="shared" si="43"/>
        <v>24</v>
      </c>
      <c r="AP98" s="13">
        <f t="shared" si="44"/>
        <v>60</v>
      </c>
      <c r="AQ98" s="13">
        <f t="shared" si="45"/>
        <v>70</v>
      </c>
      <c r="AR98" s="13">
        <f t="shared" si="46"/>
        <v>80</v>
      </c>
      <c r="AS98" s="13">
        <f t="shared" si="47"/>
        <v>150</v>
      </c>
      <c r="AT98" s="13">
        <f t="shared" si="48"/>
        <v>4</v>
      </c>
      <c r="AU98" s="13">
        <f t="shared" si="49"/>
        <v>120</v>
      </c>
      <c r="AV98" s="13">
        <f t="shared" si="50"/>
        <v>2</v>
      </c>
      <c r="AW98" s="13">
        <f t="shared" si="51"/>
        <v>0</v>
      </c>
      <c r="AX98" s="13">
        <f t="shared" si="52"/>
        <v>0</v>
      </c>
      <c r="AY98" s="13">
        <f t="shared" si="53"/>
        <v>1</v>
      </c>
      <c r="AZ98" s="13">
        <f t="shared" si="54"/>
        <v>6</v>
      </c>
      <c r="BA98" s="75" t="s">
        <v>457</v>
      </c>
      <c r="BB98" s="77">
        <v>-17.480133517238563</v>
      </c>
      <c r="BC98" s="77">
        <v>-0.52524295473499016</v>
      </c>
      <c r="BD98" s="29">
        <v>-0.41738995835272419</v>
      </c>
      <c r="BE98" s="29">
        <v>-1.2447418513464472E-5</v>
      </c>
      <c r="BF98" s="29">
        <v>-0.11851451493253458</v>
      </c>
      <c r="BG98" s="29">
        <v>-2.3757031460583238</v>
      </c>
      <c r="BH98" s="179">
        <f t="shared" si="55"/>
        <v>0.13590875285451637</v>
      </c>
      <c r="BI98" s="127">
        <f>_xll.DCEBoltDisColBaseFix(AV98, AT98, AD98, AP98, AQ98,AR98, AS98, "TTT")</f>
        <v>189</v>
      </c>
      <c r="BJ98" s="127">
        <f t="shared" si="56"/>
        <v>513</v>
      </c>
      <c r="BK98" s="127">
        <f t="shared" si="57"/>
        <v>3.6142442527278149</v>
      </c>
      <c r="BL98" s="127">
        <f t="shared" si="58"/>
        <v>302.89508840864443</v>
      </c>
      <c r="BM98" s="120">
        <f t="shared" si="59"/>
        <v>1.1932330338258025E-2</v>
      </c>
      <c r="BN98" s="4">
        <f>_xll.DCEBoltDisColBaseFix(AV98,AT98,AD98,AP98,AQ98,AR98,AS98,"NL1T")+_xll.DCEBoltDisColBaseFix(AV98,AT98,AD98,AP98,AQ98,AR98,AS98,"NL2T")+_xll.DCEBoltDisColBaseFix(AV98,AT98,AD98,AP98,AQ98,AR98,AS98,"NL3T")</f>
        <v>4</v>
      </c>
      <c r="BO98" s="121">
        <f t="shared" si="60"/>
        <v>0</v>
      </c>
      <c r="BP98" s="122">
        <f t="shared" si="61"/>
        <v>0</v>
      </c>
      <c r="BQ98" s="122">
        <f t="shared" si="62"/>
        <v>57.1</v>
      </c>
      <c r="BR98" s="120">
        <f>BQ98/VLOOKUP(AO98,Data!$V$4:$Z$99,4,FALSE)</f>
        <v>0.16175637393767706</v>
      </c>
      <c r="BS98" s="123" t="str">
        <f t="shared" si="63"/>
        <v>OK</v>
      </c>
      <c r="BT98" s="124">
        <f t="shared" si="64"/>
        <v>0.28736740674958106</v>
      </c>
      <c r="BU98" s="124">
        <f t="shared" si="65"/>
        <v>-3.2881419135462692E-2</v>
      </c>
      <c r="BV98" s="120">
        <f t="shared" si="66"/>
        <v>2.6424589126398258E-2</v>
      </c>
      <c r="BW98" s="123" t="str">
        <f t="shared" si="67"/>
        <v>OK</v>
      </c>
      <c r="BX98" s="124">
        <f t="shared" si="68"/>
        <v>406.65599999999995</v>
      </c>
      <c r="BY98" s="120">
        <f t="shared" si="69"/>
        <v>1.6497748825411787E-3</v>
      </c>
      <c r="BZ98" s="123" t="str">
        <f t="shared" si="70"/>
        <v>OK</v>
      </c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H98" s="127"/>
      <c r="EI98" s="127"/>
      <c r="EJ98" s="127"/>
      <c r="EK98" s="127"/>
      <c r="EL98" s="127"/>
      <c r="EM98" s="120"/>
      <c r="EN98" s="121"/>
      <c r="EO98" s="121"/>
      <c r="EP98" s="120"/>
      <c r="EQ98" s="122"/>
      <c r="ER98" s="120"/>
      <c r="ES98" s="238"/>
      <c r="ET98" s="124"/>
      <c r="EU98" s="124"/>
      <c r="EV98" s="120"/>
      <c r="EW98" s="217"/>
      <c r="EX98" s="124"/>
      <c r="EY98" s="120"/>
      <c r="EZ98" s="217"/>
    </row>
    <row r="99" spans="13:156" ht="15.6">
      <c r="M99" s="7" t="str">
        <f>"- Ứng suất dưới bản đế:"</f>
        <v>- Ứng suất dưới bản đế:</v>
      </c>
      <c r="N99" s="2"/>
      <c r="O99" s="2"/>
      <c r="P99" s="33"/>
      <c r="Q99" s="187"/>
      <c r="R99" s="20"/>
      <c r="S99" s="188"/>
      <c r="T99" s="188"/>
      <c r="U99" s="188"/>
      <c r="V99" s="20" t="s">
        <v>174</v>
      </c>
      <c r="W99" s="199">
        <f>ABS(U66)/(W49*W50)*1000+6*ABS(W66*1000000)/(W50*W49^2)</f>
        <v>0.33215055016047856</v>
      </c>
      <c r="X99" s="8" t="s">
        <v>20</v>
      </c>
      <c r="AA99" s="75" t="s">
        <v>460</v>
      </c>
      <c r="AB99" s="75" t="s">
        <v>434</v>
      </c>
      <c r="AC99" s="76">
        <v>0</v>
      </c>
      <c r="AD99" s="28">
        <v>388</v>
      </c>
      <c r="AE99" s="28">
        <v>212</v>
      </c>
      <c r="AF99" s="28">
        <v>6</v>
      </c>
      <c r="AG99" s="28">
        <v>8</v>
      </c>
      <c r="AH99" s="28">
        <v>372</v>
      </c>
      <c r="AI99" s="13">
        <f t="shared" si="37"/>
        <v>648</v>
      </c>
      <c r="AJ99" s="13">
        <f t="shared" si="38"/>
        <v>212</v>
      </c>
      <c r="AK99" s="13">
        <f t="shared" si="39"/>
        <v>25</v>
      </c>
      <c r="AL99" s="13">
        <f t="shared" si="40"/>
        <v>7</v>
      </c>
      <c r="AM99" s="13">
        <f t="shared" si="41"/>
        <v>2</v>
      </c>
      <c r="AN99" s="13">
        <f t="shared" si="42"/>
        <v>8</v>
      </c>
      <c r="AO99" s="13">
        <f t="shared" si="43"/>
        <v>24</v>
      </c>
      <c r="AP99" s="13">
        <f t="shared" si="44"/>
        <v>60</v>
      </c>
      <c r="AQ99" s="13">
        <f t="shared" si="45"/>
        <v>70</v>
      </c>
      <c r="AR99" s="13">
        <f t="shared" si="46"/>
        <v>80</v>
      </c>
      <c r="AS99" s="13">
        <f t="shared" si="47"/>
        <v>150</v>
      </c>
      <c r="AT99" s="13">
        <f t="shared" si="48"/>
        <v>4</v>
      </c>
      <c r="AU99" s="13">
        <f t="shared" si="49"/>
        <v>120</v>
      </c>
      <c r="AV99" s="13">
        <f t="shared" si="50"/>
        <v>2</v>
      </c>
      <c r="AW99" s="13">
        <f t="shared" si="51"/>
        <v>0</v>
      </c>
      <c r="AX99" s="13">
        <f t="shared" si="52"/>
        <v>0</v>
      </c>
      <c r="AY99" s="13">
        <f t="shared" si="53"/>
        <v>1</v>
      </c>
      <c r="AZ99" s="13">
        <f t="shared" si="54"/>
        <v>6</v>
      </c>
      <c r="BA99" s="75" t="s">
        <v>458</v>
      </c>
      <c r="BB99" s="77">
        <v>-17.480133517238563</v>
      </c>
      <c r="BC99" s="77">
        <v>-0.52524295473499016</v>
      </c>
      <c r="BD99" s="29">
        <v>-0.41738995835272419</v>
      </c>
      <c r="BE99" s="29">
        <v>-1.2447418513464472E-5</v>
      </c>
      <c r="BF99" s="29">
        <v>-0.11851451493253458</v>
      </c>
      <c r="BG99" s="29">
        <v>-2.3757031460583238</v>
      </c>
      <c r="BH99" s="179">
        <f t="shared" si="55"/>
        <v>0.13590875285451637</v>
      </c>
      <c r="BI99" s="127">
        <f>_xll.DCEBoltDisColBaseFix(AV99, AT99, AD99, AP99, AQ99,AR99, AS99, "TTT")</f>
        <v>189</v>
      </c>
      <c r="BJ99" s="127">
        <f t="shared" si="56"/>
        <v>513</v>
      </c>
      <c r="BK99" s="127">
        <f t="shared" si="57"/>
        <v>3.6142442527278149</v>
      </c>
      <c r="BL99" s="127">
        <f t="shared" si="58"/>
        <v>302.89508840864443</v>
      </c>
      <c r="BM99" s="120">
        <f t="shared" si="59"/>
        <v>1.1932330338258025E-2</v>
      </c>
      <c r="BN99" s="4">
        <f>_xll.DCEBoltDisColBaseFix(AV99,AT99,AD99,AP99,AQ99,AR99,AS99,"NL1T")+_xll.DCEBoltDisColBaseFix(AV99,AT99,AD99,AP99,AQ99,AR99,AS99,"NL2T")+_xll.DCEBoltDisColBaseFix(AV99,AT99,AD99,AP99,AQ99,AR99,AS99,"NL3T")</f>
        <v>4</v>
      </c>
      <c r="BO99" s="121">
        <f t="shared" si="60"/>
        <v>0</v>
      </c>
      <c r="BP99" s="122">
        <f t="shared" si="61"/>
        <v>0</v>
      </c>
      <c r="BQ99" s="122">
        <f t="shared" si="62"/>
        <v>57.1</v>
      </c>
      <c r="BR99" s="120">
        <f>BQ99/VLOOKUP(AO99,Data!$V$4:$Z$99,4,FALSE)</f>
        <v>0.16175637393767706</v>
      </c>
      <c r="BS99" s="123" t="str">
        <f t="shared" si="63"/>
        <v>OK</v>
      </c>
      <c r="BT99" s="124">
        <f t="shared" si="64"/>
        <v>0.28736740674958106</v>
      </c>
      <c r="BU99" s="124">
        <f t="shared" si="65"/>
        <v>-3.2881419135462692E-2</v>
      </c>
      <c r="BV99" s="120">
        <f t="shared" si="66"/>
        <v>2.6424589126398258E-2</v>
      </c>
      <c r="BW99" s="123" t="str">
        <f t="shared" si="67"/>
        <v>OK</v>
      </c>
      <c r="BX99" s="124">
        <f t="shared" si="68"/>
        <v>406.65599999999995</v>
      </c>
      <c r="BY99" s="120">
        <f t="shared" si="69"/>
        <v>1.6497748825411787E-3</v>
      </c>
      <c r="BZ99" s="123" t="str">
        <f t="shared" si="70"/>
        <v>OK</v>
      </c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H99" s="127"/>
      <c r="EI99" s="127"/>
      <c r="EJ99" s="127"/>
      <c r="EK99" s="127"/>
      <c r="EL99" s="127"/>
      <c r="EM99" s="120"/>
      <c r="EN99" s="121"/>
      <c r="EO99" s="121"/>
      <c r="EP99" s="120"/>
      <c r="EQ99" s="122"/>
      <c r="ER99" s="120"/>
      <c r="ES99" s="238"/>
      <c r="ET99" s="124"/>
      <c r="EU99" s="124"/>
      <c r="EV99" s="120"/>
      <c r="EW99" s="217"/>
      <c r="EX99" s="124"/>
      <c r="EY99" s="120"/>
      <c r="EZ99" s="217"/>
    </row>
    <row r="100" spans="13:156" ht="15.6">
      <c r="M100" s="7"/>
      <c r="N100" s="2"/>
      <c r="O100" s="2"/>
      <c r="P100" s="33"/>
      <c r="Q100" s="187"/>
      <c r="R100" s="20"/>
      <c r="S100" s="188"/>
      <c r="T100" s="188"/>
      <c r="U100" s="188"/>
      <c r="V100" s="20" t="s">
        <v>175</v>
      </c>
      <c r="W100" s="199">
        <f>ABS(U66)/(W49*W50)*1000-6*ABS(W66*1000000)/(W50*W49^2)</f>
        <v>-0.22132896406483371</v>
      </c>
      <c r="X100" s="8" t="s">
        <v>20</v>
      </c>
      <c r="AA100" s="75" t="s">
        <v>460</v>
      </c>
      <c r="AB100" s="75" t="s">
        <v>434</v>
      </c>
      <c r="AC100" s="76">
        <v>0</v>
      </c>
      <c r="AD100" s="28">
        <v>388</v>
      </c>
      <c r="AE100" s="28">
        <v>212</v>
      </c>
      <c r="AF100" s="28">
        <v>6</v>
      </c>
      <c r="AG100" s="28">
        <v>8</v>
      </c>
      <c r="AH100" s="28">
        <v>372</v>
      </c>
      <c r="AI100" s="13">
        <f t="shared" si="37"/>
        <v>648</v>
      </c>
      <c r="AJ100" s="13">
        <f t="shared" si="38"/>
        <v>212</v>
      </c>
      <c r="AK100" s="13">
        <f t="shared" si="39"/>
        <v>25</v>
      </c>
      <c r="AL100" s="13">
        <f t="shared" si="40"/>
        <v>7</v>
      </c>
      <c r="AM100" s="13">
        <f t="shared" si="41"/>
        <v>2</v>
      </c>
      <c r="AN100" s="13">
        <f t="shared" si="42"/>
        <v>8</v>
      </c>
      <c r="AO100" s="13">
        <f t="shared" si="43"/>
        <v>24</v>
      </c>
      <c r="AP100" s="13">
        <f t="shared" si="44"/>
        <v>60</v>
      </c>
      <c r="AQ100" s="13">
        <f t="shared" si="45"/>
        <v>70</v>
      </c>
      <c r="AR100" s="13">
        <f t="shared" si="46"/>
        <v>80</v>
      </c>
      <c r="AS100" s="13">
        <f t="shared" si="47"/>
        <v>150</v>
      </c>
      <c r="AT100" s="13">
        <f t="shared" si="48"/>
        <v>4</v>
      </c>
      <c r="AU100" s="13">
        <f t="shared" si="49"/>
        <v>120</v>
      </c>
      <c r="AV100" s="13">
        <f t="shared" si="50"/>
        <v>2</v>
      </c>
      <c r="AW100" s="13">
        <f t="shared" si="51"/>
        <v>0</v>
      </c>
      <c r="AX100" s="13">
        <f t="shared" si="52"/>
        <v>0</v>
      </c>
      <c r="AY100" s="13">
        <f t="shared" si="53"/>
        <v>1</v>
      </c>
      <c r="AZ100" s="13">
        <f t="shared" si="54"/>
        <v>6</v>
      </c>
      <c r="BA100" s="75" t="s">
        <v>459</v>
      </c>
      <c r="BB100" s="77">
        <v>-17.480133517238563</v>
      </c>
      <c r="BC100" s="77">
        <v>-0.52524295473499016</v>
      </c>
      <c r="BD100" s="29">
        <v>-0.41738995835272419</v>
      </c>
      <c r="BE100" s="29">
        <v>-1.2447418513464472E-5</v>
      </c>
      <c r="BF100" s="29">
        <v>-0.11851451493253458</v>
      </c>
      <c r="BG100" s="29">
        <v>-2.3757031460583238</v>
      </c>
      <c r="BH100" s="179">
        <f t="shared" si="55"/>
        <v>0.13590875285451637</v>
      </c>
      <c r="BI100" s="127">
        <f>_xll.DCEBoltDisColBaseFix(AV100, AT100, AD100, AP100, AQ100,AR100, AS100, "TTT")</f>
        <v>189</v>
      </c>
      <c r="BJ100" s="127">
        <f t="shared" si="56"/>
        <v>513</v>
      </c>
      <c r="BK100" s="127">
        <f t="shared" si="57"/>
        <v>3.6142442527278149</v>
      </c>
      <c r="BL100" s="127">
        <f t="shared" si="58"/>
        <v>302.89508840864443</v>
      </c>
      <c r="BM100" s="120">
        <f t="shared" si="59"/>
        <v>1.1932330338258025E-2</v>
      </c>
      <c r="BN100" s="4">
        <f>_xll.DCEBoltDisColBaseFix(AV100,AT100,AD100,AP100,AQ100,AR100,AS100,"NL1T")+_xll.DCEBoltDisColBaseFix(AV100,AT100,AD100,AP100,AQ100,AR100,AS100,"NL2T")+_xll.DCEBoltDisColBaseFix(AV100,AT100,AD100,AP100,AQ100,AR100,AS100,"NL3T")</f>
        <v>4</v>
      </c>
      <c r="BO100" s="121">
        <f t="shared" si="60"/>
        <v>0</v>
      </c>
      <c r="BP100" s="122">
        <f t="shared" si="61"/>
        <v>0</v>
      </c>
      <c r="BQ100" s="122">
        <f t="shared" si="62"/>
        <v>57.1</v>
      </c>
      <c r="BR100" s="120">
        <f>BQ100/VLOOKUP(AO100,Data!$V$4:$Z$99,4,FALSE)</f>
        <v>0.16175637393767706</v>
      </c>
      <c r="BS100" s="123" t="str">
        <f t="shared" si="63"/>
        <v>OK</v>
      </c>
      <c r="BT100" s="124">
        <f t="shared" si="64"/>
        <v>0.28736740674958106</v>
      </c>
      <c r="BU100" s="124">
        <f t="shared" si="65"/>
        <v>-3.2881419135462692E-2</v>
      </c>
      <c r="BV100" s="120">
        <f t="shared" si="66"/>
        <v>2.6424589126398258E-2</v>
      </c>
      <c r="BW100" s="123" t="str">
        <f t="shared" si="67"/>
        <v>OK</v>
      </c>
      <c r="BX100" s="124">
        <f t="shared" si="68"/>
        <v>406.65599999999995</v>
      </c>
      <c r="BY100" s="120">
        <f t="shared" si="69"/>
        <v>1.6497748825411787E-3</v>
      </c>
      <c r="BZ100" s="123" t="str">
        <f t="shared" si="70"/>
        <v>OK</v>
      </c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H100" s="127"/>
      <c r="EI100" s="127"/>
      <c r="EJ100" s="127"/>
      <c r="EK100" s="127"/>
      <c r="EL100" s="127"/>
      <c r="EM100" s="120"/>
      <c r="EN100" s="121"/>
      <c r="EO100" s="121"/>
      <c r="EP100" s="120"/>
      <c r="EQ100" s="122"/>
      <c r="ER100" s="120"/>
      <c r="ES100" s="238"/>
      <c r="ET100" s="124"/>
      <c r="EU100" s="124"/>
      <c r="EV100" s="120"/>
      <c r="EW100" s="217"/>
      <c r="EX100" s="124"/>
      <c r="EY100" s="120"/>
      <c r="EZ100" s="217"/>
    </row>
    <row r="101" spans="13:156" ht="15">
      <c r="M101" s="7" t="str">
        <f>"- Cường độ chịu nén cục bộ của bê tông:"</f>
        <v>- Cường độ chịu nén cục bộ của bê tông:</v>
      </c>
      <c r="N101" s="2"/>
      <c r="O101" s="2"/>
      <c r="P101" s="33"/>
      <c r="Q101" s="187"/>
      <c r="R101" s="20" t="s">
        <v>64</v>
      </c>
      <c r="S101" s="197">
        <v>1</v>
      </c>
      <c r="T101" s="20" t="s">
        <v>71</v>
      </c>
      <c r="U101" s="197">
        <v>0.75</v>
      </c>
      <c r="V101" s="20" t="s">
        <v>177</v>
      </c>
      <c r="W101" s="199">
        <f>S101*W36*U101</f>
        <v>10.875</v>
      </c>
      <c r="X101" s="8" t="s">
        <v>20</v>
      </c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H101" s="179"/>
      <c r="BI101" s="127"/>
      <c r="BJ101" s="127"/>
      <c r="BK101" s="127"/>
      <c r="BL101" s="127"/>
      <c r="BM101" s="120"/>
      <c r="BN101" s="4"/>
      <c r="BO101" s="121"/>
      <c r="BP101" s="122"/>
      <c r="BQ101" s="122"/>
      <c r="BR101" s="120"/>
      <c r="BS101" s="123"/>
      <c r="BT101" s="124"/>
      <c r="BU101" s="124"/>
      <c r="BV101" s="120"/>
      <c r="BW101" s="123"/>
      <c r="BX101" s="124"/>
      <c r="BY101" s="120"/>
      <c r="BZ101" s="12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H101" s="127"/>
      <c r="EI101" s="127"/>
      <c r="EJ101" s="127"/>
      <c r="EK101" s="127"/>
      <c r="EL101" s="127"/>
      <c r="EM101" s="120"/>
      <c r="EN101" s="121"/>
      <c r="EO101" s="121"/>
      <c r="EP101" s="120"/>
      <c r="EQ101" s="122"/>
      <c r="ER101" s="120"/>
      <c r="ES101" s="238"/>
      <c r="ET101" s="124"/>
      <c r="EU101" s="124"/>
      <c r="EV101" s="120"/>
      <c r="EW101" s="217"/>
      <c r="EX101" s="124"/>
      <c r="EY101" s="120"/>
      <c r="EZ101" s="217"/>
    </row>
    <row r="102" spans="13:156" ht="15">
      <c r="M102" s="7" t="str">
        <f>"- Tỷ số huy động cấu kiện:"</f>
        <v>- Tỷ số huy động cấu kiện:</v>
      </c>
      <c r="N102" s="2"/>
      <c r="O102" s="2"/>
      <c r="P102" s="33"/>
      <c r="Q102" s="187"/>
      <c r="R102" s="188"/>
      <c r="S102" s="2"/>
      <c r="T102" s="2"/>
      <c r="U102" s="2"/>
      <c r="V102" s="20" t="s">
        <v>176</v>
      </c>
      <c r="W102" s="194">
        <f>W99/W101</f>
        <v>3.0542579325101477E-2</v>
      </c>
      <c r="X102" s="12" t="str">
        <f>IF(W102&lt;=1,"OK","Check")</f>
        <v>OK</v>
      </c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H102" s="179"/>
      <c r="BI102" s="127"/>
      <c r="BJ102" s="127"/>
      <c r="BK102" s="127"/>
      <c r="BL102" s="127"/>
      <c r="BM102" s="120"/>
      <c r="BN102" s="4"/>
      <c r="BO102" s="121"/>
      <c r="BP102" s="122"/>
      <c r="BQ102" s="122"/>
      <c r="BR102" s="120"/>
      <c r="BS102" s="123"/>
      <c r="BT102" s="124"/>
      <c r="BU102" s="124"/>
      <c r="BV102" s="120"/>
      <c r="BW102" s="123"/>
      <c r="BX102" s="124"/>
      <c r="BY102" s="120"/>
      <c r="BZ102" s="12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H102" s="127"/>
      <c r="EI102" s="127"/>
      <c r="EJ102" s="127"/>
      <c r="EK102" s="127"/>
      <c r="EL102" s="127"/>
      <c r="EM102" s="120"/>
      <c r="EN102" s="121"/>
      <c r="EO102" s="121"/>
      <c r="EP102" s="120"/>
      <c r="EQ102" s="122"/>
      <c r="ER102" s="120"/>
      <c r="ES102" s="238"/>
      <c r="ET102" s="124"/>
      <c r="EU102" s="124"/>
      <c r="EV102" s="120"/>
      <c r="EW102" s="217"/>
      <c r="EX102" s="124"/>
      <c r="EY102" s="120"/>
      <c r="EZ102" s="217"/>
    </row>
    <row r="103" spans="13:156">
      <c r="M103" s="6" t="s">
        <v>123</v>
      </c>
      <c r="N103" s="2"/>
      <c r="O103" s="2"/>
      <c r="P103" s="33"/>
      <c r="Q103" s="187"/>
      <c r="R103" s="188"/>
      <c r="S103" s="2"/>
      <c r="T103" s="2"/>
      <c r="U103" s="2"/>
      <c r="V103" s="2"/>
      <c r="W103" s="2"/>
      <c r="X103" s="8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H103" s="179"/>
      <c r="BI103" s="127"/>
      <c r="BJ103" s="127"/>
      <c r="BK103" s="127"/>
      <c r="BL103" s="127"/>
      <c r="BM103" s="120"/>
      <c r="BN103" s="4"/>
      <c r="BO103" s="121"/>
      <c r="BP103" s="122"/>
      <c r="BQ103" s="122"/>
      <c r="BR103" s="120"/>
      <c r="BS103" s="123"/>
      <c r="BT103" s="124"/>
      <c r="BU103" s="124"/>
      <c r="BV103" s="120"/>
      <c r="BW103" s="123"/>
      <c r="BX103" s="124"/>
      <c r="BY103" s="120"/>
      <c r="BZ103" s="12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H103" s="127"/>
      <c r="EI103" s="127"/>
      <c r="EJ103" s="127"/>
      <c r="EK103" s="127"/>
      <c r="EL103" s="127"/>
      <c r="EM103" s="120"/>
      <c r="EN103" s="121"/>
      <c r="EO103" s="121"/>
      <c r="EP103" s="120"/>
      <c r="EQ103" s="122"/>
      <c r="ER103" s="120"/>
      <c r="ES103" s="238"/>
      <c r="ET103" s="124"/>
      <c r="EU103" s="124"/>
      <c r="EV103" s="120"/>
      <c r="EW103" s="217"/>
      <c r="EX103" s="124"/>
      <c r="EY103" s="120"/>
      <c r="EZ103" s="217"/>
    </row>
    <row r="104" spans="13:156">
      <c r="M104" s="6" t="s">
        <v>385</v>
      </c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8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H104" s="179"/>
      <c r="BI104" s="127"/>
      <c r="BJ104" s="127"/>
      <c r="BK104" s="127"/>
      <c r="BL104" s="127"/>
      <c r="BM104" s="120"/>
      <c r="BN104" s="4"/>
      <c r="BO104" s="121"/>
      <c r="BP104" s="122"/>
      <c r="BQ104" s="122"/>
      <c r="BR104" s="120"/>
      <c r="BS104" s="123"/>
      <c r="BT104" s="124"/>
      <c r="BU104" s="124"/>
      <c r="BV104" s="120"/>
      <c r="BW104" s="123"/>
      <c r="BX104" s="124"/>
      <c r="BY104" s="120"/>
      <c r="BZ104" s="12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H104" s="127"/>
      <c r="EI104" s="127"/>
      <c r="EJ104" s="127"/>
      <c r="EK104" s="127"/>
      <c r="EL104" s="127"/>
      <c r="EM104" s="120"/>
      <c r="EN104" s="121"/>
      <c r="EO104" s="121"/>
      <c r="EP104" s="120"/>
      <c r="EQ104" s="122"/>
      <c r="ER104" s="120"/>
      <c r="ES104" s="238"/>
      <c r="ET104" s="124"/>
      <c r="EU104" s="124"/>
      <c r="EV104" s="120"/>
      <c r="EW104" s="217"/>
      <c r="EX104" s="124"/>
      <c r="EY104" s="120"/>
      <c r="EZ104" s="217"/>
    </row>
    <row r="105" spans="13:156" ht="15">
      <c r="M105" s="6"/>
      <c r="N105" s="2"/>
      <c r="O105" s="2"/>
      <c r="P105" s="317" t="s">
        <v>75</v>
      </c>
      <c r="Q105" s="231" t="s">
        <v>118</v>
      </c>
      <c r="R105" s="231" t="s">
        <v>119</v>
      </c>
      <c r="S105" s="319" t="s">
        <v>117</v>
      </c>
      <c r="T105" s="232" t="s">
        <v>181</v>
      </c>
      <c r="U105" s="231" t="s">
        <v>179</v>
      </c>
      <c r="V105" s="2"/>
      <c r="W105" s="2"/>
      <c r="X105" s="8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H105" s="179"/>
      <c r="BI105" s="127"/>
      <c r="BJ105" s="127"/>
      <c r="BK105" s="127"/>
      <c r="BL105" s="127"/>
      <c r="BM105" s="120"/>
      <c r="BN105" s="4"/>
      <c r="BO105" s="121"/>
      <c r="BP105" s="122"/>
      <c r="BQ105" s="122"/>
      <c r="BR105" s="120"/>
      <c r="BS105" s="123"/>
      <c r="BT105" s="124"/>
      <c r="BU105" s="124"/>
      <c r="BV105" s="120"/>
      <c r="BW105" s="123"/>
      <c r="BX105" s="124"/>
      <c r="BY105" s="120"/>
      <c r="BZ105" s="12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H105" s="127"/>
      <c r="EI105" s="127"/>
      <c r="EJ105" s="127"/>
      <c r="EK105" s="127"/>
      <c r="EL105" s="127"/>
      <c r="EM105" s="120"/>
      <c r="EN105" s="121"/>
      <c r="EO105" s="121"/>
      <c r="EP105" s="120"/>
      <c r="EQ105" s="122"/>
      <c r="ER105" s="120"/>
      <c r="ES105" s="238"/>
      <c r="ET105" s="124"/>
      <c r="EU105" s="124"/>
      <c r="EV105" s="120"/>
      <c r="EW105" s="217"/>
      <c r="EX105" s="124"/>
      <c r="EY105" s="120"/>
      <c r="EZ105" s="217"/>
    </row>
    <row r="106" spans="13:156">
      <c r="M106" s="6"/>
      <c r="N106" s="2"/>
      <c r="O106" s="2"/>
      <c r="P106" s="318"/>
      <c r="Q106" s="233" t="s">
        <v>180</v>
      </c>
      <c r="R106" s="233" t="s">
        <v>180</v>
      </c>
      <c r="S106" s="320"/>
      <c r="T106" s="234" t="s">
        <v>20</v>
      </c>
      <c r="U106" s="235" t="s">
        <v>73</v>
      </c>
      <c r="V106" s="2"/>
      <c r="W106" s="2"/>
      <c r="X106" s="8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H106" s="179"/>
      <c r="BI106" s="127"/>
      <c r="BJ106" s="127"/>
      <c r="BK106" s="127"/>
      <c r="BL106" s="127"/>
      <c r="BM106" s="120"/>
      <c r="BN106" s="4"/>
      <c r="BO106" s="121"/>
      <c r="BP106" s="122"/>
      <c r="BQ106" s="122"/>
      <c r="BR106" s="120"/>
      <c r="BS106" s="123"/>
      <c r="BT106" s="124"/>
      <c r="BU106" s="124"/>
      <c r="BV106" s="120"/>
      <c r="BW106" s="123"/>
      <c r="BX106" s="124"/>
      <c r="BY106" s="120"/>
      <c r="BZ106" s="12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H106" s="127"/>
      <c r="EI106" s="127"/>
      <c r="EJ106" s="127"/>
      <c r="EK106" s="127"/>
      <c r="EL106" s="127"/>
      <c r="EM106" s="120"/>
      <c r="EN106" s="121"/>
      <c r="EO106" s="121"/>
      <c r="EP106" s="120"/>
      <c r="EQ106" s="122"/>
      <c r="ER106" s="120"/>
      <c r="ES106" s="238"/>
      <c r="ET106" s="124"/>
      <c r="EU106" s="124"/>
      <c r="EV106" s="120"/>
      <c r="EW106" s="217"/>
      <c r="EX106" s="124"/>
      <c r="EY106" s="120"/>
      <c r="EZ106" s="217"/>
    </row>
    <row r="107" spans="13:156">
      <c r="M107" s="6"/>
      <c r="N107" s="2"/>
      <c r="O107" s="2"/>
      <c r="P107" s="44" t="s">
        <v>76</v>
      </c>
      <c r="Q107" s="45">
        <f>(W39-2*W42)/(Q60+1)</f>
        <v>426</v>
      </c>
      <c r="R107" s="44">
        <f>S60</f>
        <v>0</v>
      </c>
      <c r="S107" s="46">
        <f>noisuy1chieu(R107/Q107,Data!$DD$5:$DD$16,Data!$DE$5:$DE$16)</f>
        <v>4.8000000417232513E-2</v>
      </c>
      <c r="T107" s="47">
        <f>FindUsBase(W99, W100, W49, (W49-W39)/2)</f>
        <v>0.23080922663211823</v>
      </c>
      <c r="U107" s="46">
        <f>S107*T107*Q107^2/1000000</f>
        <v>2.0105441076662747E-3</v>
      </c>
      <c r="V107" s="2"/>
      <c r="W107" s="2"/>
      <c r="X107" s="8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H107" s="179"/>
      <c r="BI107" s="127"/>
      <c r="BJ107" s="127"/>
      <c r="BK107" s="127"/>
      <c r="BL107" s="127"/>
      <c r="BM107" s="120"/>
      <c r="BN107" s="4"/>
      <c r="BO107" s="121"/>
      <c r="BP107" s="122"/>
      <c r="BQ107" s="122"/>
      <c r="BR107" s="120"/>
      <c r="BS107" s="123"/>
      <c r="BT107" s="124"/>
      <c r="BU107" s="124"/>
      <c r="BV107" s="120"/>
      <c r="BW107" s="123"/>
      <c r="BX107" s="124"/>
      <c r="BY107" s="120"/>
      <c r="BZ107" s="12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H107" s="127"/>
      <c r="EI107" s="127"/>
      <c r="EJ107" s="127"/>
      <c r="EK107" s="127"/>
      <c r="EL107" s="127"/>
      <c r="EM107" s="120"/>
      <c r="EN107" s="121"/>
      <c r="EO107" s="121"/>
      <c r="EP107" s="120"/>
      <c r="EQ107" s="122"/>
      <c r="ER107" s="120"/>
      <c r="ES107" s="238"/>
      <c r="ET107" s="124"/>
      <c r="EU107" s="124"/>
      <c r="EV107" s="120"/>
      <c r="EW107" s="217"/>
      <c r="EX107" s="124"/>
      <c r="EY107" s="120"/>
      <c r="EZ107" s="217"/>
    </row>
    <row r="108" spans="13:156">
      <c r="M108" s="6" t="s">
        <v>387</v>
      </c>
      <c r="N108" s="2"/>
      <c r="O108" s="2"/>
      <c r="P108" s="33"/>
      <c r="Q108" s="187"/>
      <c r="R108" s="188"/>
      <c r="S108" s="2"/>
      <c r="T108" s="2"/>
      <c r="U108" s="2"/>
      <c r="V108" s="2"/>
      <c r="W108" s="2"/>
      <c r="X108" s="8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H108" s="179"/>
      <c r="BI108" s="127"/>
      <c r="BJ108" s="127"/>
      <c r="BK108" s="127"/>
      <c r="BL108" s="127"/>
      <c r="BM108" s="120"/>
      <c r="BN108" s="4"/>
      <c r="BO108" s="121"/>
      <c r="BP108" s="122"/>
      <c r="BQ108" s="122"/>
      <c r="BR108" s="120"/>
      <c r="BS108" s="123"/>
      <c r="BT108" s="124"/>
      <c r="BU108" s="124"/>
      <c r="BV108" s="120"/>
      <c r="BW108" s="123"/>
      <c r="BX108" s="124"/>
      <c r="BY108" s="120"/>
      <c r="BZ108" s="12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H108" s="127"/>
      <c r="EI108" s="127"/>
      <c r="EJ108" s="127"/>
      <c r="EK108" s="127"/>
      <c r="EL108" s="127"/>
      <c r="EM108" s="120"/>
      <c r="EN108" s="121"/>
      <c r="EO108" s="121"/>
      <c r="EP108" s="120"/>
      <c r="EQ108" s="122"/>
      <c r="ER108" s="120"/>
      <c r="ES108" s="238"/>
      <c r="ET108" s="124"/>
      <c r="EU108" s="124"/>
      <c r="EV108" s="120"/>
      <c r="EW108" s="217"/>
      <c r="EX108" s="124"/>
      <c r="EY108" s="120"/>
      <c r="EZ108" s="217"/>
    </row>
    <row r="109" spans="13:156" ht="15">
      <c r="M109" s="6"/>
      <c r="N109" s="2"/>
      <c r="O109" s="2"/>
      <c r="P109" s="317" t="s">
        <v>75</v>
      </c>
      <c r="Q109" s="231" t="s">
        <v>118</v>
      </c>
      <c r="R109" s="231" t="s">
        <v>119</v>
      </c>
      <c r="S109" s="319" t="s">
        <v>117</v>
      </c>
      <c r="T109" s="232" t="s">
        <v>181</v>
      </c>
      <c r="U109" s="231" t="s">
        <v>179</v>
      </c>
      <c r="V109" s="2"/>
      <c r="W109" s="2"/>
      <c r="X109" s="8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H109" s="179"/>
      <c r="BI109" s="127"/>
      <c r="BJ109" s="127"/>
      <c r="BK109" s="127"/>
      <c r="BL109" s="127"/>
      <c r="BM109" s="120"/>
      <c r="BN109" s="4"/>
      <c r="BO109" s="121"/>
      <c r="BP109" s="122"/>
      <c r="BQ109" s="122"/>
      <c r="BR109" s="120"/>
      <c r="BS109" s="123"/>
      <c r="BT109" s="124"/>
      <c r="BU109" s="124"/>
      <c r="BV109" s="120"/>
      <c r="BW109" s="123"/>
      <c r="BX109" s="124"/>
      <c r="BY109" s="120"/>
      <c r="BZ109" s="12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H109" s="127"/>
      <c r="EI109" s="127"/>
      <c r="EJ109" s="127"/>
      <c r="EK109" s="127"/>
      <c r="EL109" s="127"/>
      <c r="EM109" s="120"/>
      <c r="EN109" s="121"/>
      <c r="EO109" s="121"/>
      <c r="EP109" s="120"/>
      <c r="EQ109" s="122"/>
      <c r="ER109" s="120"/>
      <c r="ES109" s="238"/>
      <c r="ET109" s="124"/>
      <c r="EU109" s="124"/>
      <c r="EV109" s="120"/>
      <c r="EW109" s="217"/>
      <c r="EX109" s="124"/>
      <c r="EY109" s="120"/>
      <c r="EZ109" s="217"/>
    </row>
    <row r="110" spans="13:156">
      <c r="M110" s="6"/>
      <c r="N110" s="2"/>
      <c r="O110" s="2"/>
      <c r="P110" s="318"/>
      <c r="Q110" s="233" t="s">
        <v>180</v>
      </c>
      <c r="R110" s="233" t="s">
        <v>180</v>
      </c>
      <c r="S110" s="320"/>
      <c r="T110" s="234" t="s">
        <v>20</v>
      </c>
      <c r="U110" s="235" t="s">
        <v>73</v>
      </c>
      <c r="V110" s="2"/>
      <c r="W110" s="2"/>
      <c r="X110" s="8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H110" s="179"/>
      <c r="BI110" s="127"/>
      <c r="BJ110" s="127"/>
      <c r="BK110" s="127"/>
      <c r="BL110" s="127"/>
      <c r="BM110" s="120"/>
      <c r="BN110" s="4"/>
      <c r="BO110" s="121"/>
      <c r="BP110" s="122"/>
      <c r="BQ110" s="122"/>
      <c r="BR110" s="120"/>
      <c r="BS110" s="123"/>
      <c r="BT110" s="124"/>
      <c r="BU110" s="124"/>
      <c r="BV110" s="120"/>
      <c r="BW110" s="123"/>
      <c r="BX110" s="124"/>
      <c r="BY110" s="120"/>
      <c r="BZ110" s="12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H110" s="127"/>
      <c r="EI110" s="127"/>
      <c r="EJ110" s="127"/>
      <c r="EK110" s="127"/>
      <c r="EL110" s="127"/>
      <c r="EM110" s="120"/>
      <c r="EN110" s="121"/>
      <c r="EO110" s="121"/>
      <c r="EP110" s="120"/>
      <c r="EQ110" s="122"/>
      <c r="ER110" s="120"/>
      <c r="ES110" s="238"/>
      <c r="ET110" s="124"/>
      <c r="EU110" s="124"/>
      <c r="EV110" s="120"/>
      <c r="EW110" s="217"/>
      <c r="EX110" s="124"/>
      <c r="EY110" s="120"/>
      <c r="EZ110" s="217"/>
    </row>
    <row r="111" spans="13:156">
      <c r="M111" s="6"/>
      <c r="N111" s="2"/>
      <c r="O111" s="2"/>
      <c r="P111" s="39" t="s">
        <v>388</v>
      </c>
      <c r="Q111" s="40" t="str">
        <f>IF(Q61=0,(W49-W39)/2,"-")</f>
        <v>-</v>
      </c>
      <c r="R111" s="41" t="s">
        <v>389</v>
      </c>
      <c r="S111" s="43" t="str">
        <f>IF(Q61=0,0.5,"-")</f>
        <v>-</v>
      </c>
      <c r="T111" s="43" t="str">
        <f>IF(Q61=0,W99,"-")</f>
        <v>-</v>
      </c>
      <c r="U111" s="42" t="str">
        <f>IFERROR(S111*T111*Q111^2/1000000,"-")</f>
        <v>-</v>
      </c>
      <c r="V111" s="2"/>
      <c r="W111" s="2"/>
      <c r="X111" s="8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H111" s="179"/>
      <c r="BI111" s="127"/>
      <c r="BJ111" s="127"/>
      <c r="BK111" s="127"/>
      <c r="BL111" s="127"/>
      <c r="BM111" s="120"/>
      <c r="BN111" s="4"/>
      <c r="BO111" s="121"/>
      <c r="BP111" s="122"/>
      <c r="BQ111" s="122"/>
      <c r="BR111" s="120"/>
      <c r="BS111" s="123"/>
      <c r="BT111" s="124"/>
      <c r="BU111" s="124"/>
      <c r="BV111" s="120"/>
      <c r="BW111" s="123"/>
      <c r="BX111" s="124"/>
      <c r="BY111" s="120"/>
      <c r="BZ111" s="12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H111" s="127"/>
      <c r="EI111" s="127"/>
      <c r="EJ111" s="127"/>
      <c r="EK111" s="127"/>
      <c r="EL111" s="127"/>
      <c r="EM111" s="120"/>
      <c r="EN111" s="121"/>
      <c r="EO111" s="121"/>
      <c r="EP111" s="120"/>
      <c r="EQ111" s="122"/>
      <c r="ER111" s="120"/>
      <c r="ES111" s="238"/>
      <c r="ET111" s="124"/>
      <c r="EU111" s="124"/>
      <c r="EV111" s="120"/>
      <c r="EW111" s="217"/>
      <c r="EX111" s="124"/>
      <c r="EY111" s="120"/>
      <c r="EZ111" s="217"/>
    </row>
    <row r="112" spans="13:156">
      <c r="M112" s="6"/>
      <c r="N112" s="2"/>
      <c r="O112" s="2"/>
      <c r="P112" s="163" t="s">
        <v>178</v>
      </c>
      <c r="Q112" s="164">
        <f>IF(Q61=0,"-",SQRT(((W49-W39)/2)^2+(W50/(Q61+1))^2))</f>
        <v>167.73789077009405</v>
      </c>
      <c r="R112" s="165">
        <f>IF(Q112="-","-",((W49-W39)/2)*(W50/(Q61+1))/Q112)</f>
        <v>82.151980907445818</v>
      </c>
      <c r="S112" s="166">
        <f>IFERROR(noisuy1chieu(R112/Q112,Data!$DD$5:$DD$16,Data!$DE$5:$DE$16),"-")</f>
        <v>4.8000000417232513E-2</v>
      </c>
      <c r="T112" s="167">
        <f>IF(Q61=0,"-",W99)</f>
        <v>0.33215055016047856</v>
      </c>
      <c r="U112" s="166">
        <f>IFERROR(S112*T112*Q112^2/1000000,"-")</f>
        <v>4.4857862210633052E-4</v>
      </c>
      <c r="V112" s="2"/>
      <c r="W112" s="2"/>
      <c r="X112" s="8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H112" s="179"/>
      <c r="BI112" s="127"/>
      <c r="BJ112" s="127"/>
      <c r="BK112" s="127"/>
      <c r="BL112" s="127"/>
      <c r="BM112" s="120"/>
      <c r="BN112" s="4"/>
      <c r="BO112" s="121"/>
      <c r="BP112" s="122"/>
      <c r="BQ112" s="122"/>
      <c r="BR112" s="120"/>
      <c r="BS112" s="123"/>
      <c r="BT112" s="124"/>
      <c r="BU112" s="124"/>
      <c r="BV112" s="120"/>
      <c r="BW112" s="123"/>
      <c r="BX112" s="124"/>
      <c r="BY112" s="120"/>
      <c r="BZ112" s="12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H112" s="127"/>
      <c r="EI112" s="127"/>
      <c r="EJ112" s="127"/>
      <c r="EK112" s="127"/>
      <c r="EL112" s="127"/>
      <c r="EM112" s="120"/>
      <c r="EN112" s="121"/>
      <c r="EO112" s="121"/>
      <c r="EP112" s="120"/>
      <c r="EQ112" s="122"/>
      <c r="ER112" s="120"/>
      <c r="ES112" s="238"/>
      <c r="ET112" s="124"/>
      <c r="EU112" s="124"/>
      <c r="EV112" s="120"/>
      <c r="EW112" s="217"/>
      <c r="EX112" s="124"/>
      <c r="EY112" s="120"/>
      <c r="EZ112" s="217"/>
    </row>
    <row r="113" spans="13:156">
      <c r="M113" s="6"/>
      <c r="N113" s="2"/>
      <c r="O113" s="2"/>
      <c r="P113" s="44" t="s">
        <v>76</v>
      </c>
      <c r="Q113" s="45" t="str">
        <f>IF(Q61&gt;=2,W50/(Q61+1),"-")</f>
        <v>-</v>
      </c>
      <c r="R113" s="44" t="str">
        <f>IF(Q61&gt;=2,((W49-W39)/2),"-")</f>
        <v>-</v>
      </c>
      <c r="S113" s="46" t="str">
        <f>IFERROR(noisuy1chieu(R113/Q113,Data!$DD$5:$DD$16,Data!$DE$5:$DE$16),"-")</f>
        <v>-</v>
      </c>
      <c r="T113" s="47" t="str">
        <f>IF(Q61&gt;=2,W99,"-")</f>
        <v>-</v>
      </c>
      <c r="U113" s="46" t="str">
        <f>IFERROR(S113*T113*Q113^2/1000000,"-")</f>
        <v>-</v>
      </c>
      <c r="V113" s="2"/>
      <c r="W113" s="2"/>
      <c r="X113" s="8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H113" s="179"/>
      <c r="BI113" s="127"/>
      <c r="BJ113" s="127"/>
      <c r="BK113" s="127"/>
      <c r="BL113" s="127"/>
      <c r="BM113" s="120"/>
      <c r="BN113" s="4"/>
      <c r="BO113" s="121"/>
      <c r="BP113" s="122"/>
      <c r="BQ113" s="122"/>
      <c r="BR113" s="120"/>
      <c r="BS113" s="123"/>
      <c r="BT113" s="124"/>
      <c r="BU113" s="124"/>
      <c r="BV113" s="120"/>
      <c r="BW113" s="123"/>
      <c r="BX113" s="124"/>
      <c r="BY113" s="120"/>
      <c r="BZ113" s="12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H113" s="127"/>
      <c r="EI113" s="127"/>
      <c r="EJ113" s="127"/>
      <c r="EK113" s="127"/>
      <c r="EL113" s="127"/>
      <c r="EM113" s="120"/>
      <c r="EN113" s="121"/>
      <c r="EO113" s="121"/>
      <c r="EP113" s="120"/>
      <c r="EQ113" s="122"/>
      <c r="ER113" s="120"/>
      <c r="ES113" s="238"/>
      <c r="ET113" s="124"/>
      <c r="EU113" s="124"/>
      <c r="EV113" s="120"/>
      <c r="EW113" s="217"/>
      <c r="EX113" s="124"/>
      <c r="EY113" s="120"/>
      <c r="EZ113" s="217"/>
    </row>
    <row r="114" spans="13:156" ht="15">
      <c r="M114" s="7" t="str">
        <f>"- Moment uốn trong bản đế:"</f>
        <v>- Moment uốn trong bản đế:</v>
      </c>
      <c r="N114" s="2"/>
      <c r="O114" s="2"/>
      <c r="P114" s="2"/>
      <c r="Q114" s="2"/>
      <c r="R114" s="2"/>
      <c r="S114" s="2"/>
      <c r="T114" s="2"/>
      <c r="U114" s="2"/>
      <c r="V114" s="33" t="s">
        <v>120</v>
      </c>
      <c r="W114" s="200">
        <f>MAX(IFERROR(VALUE(U107),0),IFERROR(VALUE(U111),0),IFERROR(VALUE(U112),0),IFERROR(VALUE(U113),0))</f>
        <v>2.0105441076662747E-3</v>
      </c>
      <c r="X114" s="8" t="s">
        <v>121</v>
      </c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H114" s="179"/>
      <c r="BI114" s="127"/>
      <c r="BJ114" s="127"/>
      <c r="BK114" s="127"/>
      <c r="BL114" s="127"/>
      <c r="BM114" s="120"/>
      <c r="BN114" s="4"/>
      <c r="BO114" s="121"/>
      <c r="BP114" s="122"/>
      <c r="BQ114" s="122"/>
      <c r="BR114" s="120"/>
      <c r="BS114" s="123"/>
      <c r="BT114" s="124"/>
      <c r="BU114" s="124"/>
      <c r="BV114" s="120"/>
      <c r="BW114" s="123"/>
      <c r="BX114" s="124"/>
      <c r="BY114" s="120"/>
      <c r="BZ114" s="12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H114" s="127"/>
      <c r="EI114" s="127"/>
      <c r="EJ114" s="127"/>
      <c r="EK114" s="127"/>
      <c r="EL114" s="127"/>
      <c r="EM114" s="120"/>
      <c r="EN114" s="121"/>
      <c r="EO114" s="121"/>
      <c r="EP114" s="120"/>
      <c r="EQ114" s="122"/>
      <c r="ER114" s="120"/>
      <c r="ES114" s="238"/>
      <c r="ET114" s="124"/>
      <c r="EU114" s="124"/>
      <c r="EV114" s="120"/>
      <c r="EW114" s="217"/>
      <c r="EX114" s="124"/>
      <c r="EY114" s="120"/>
      <c r="EZ114" s="217"/>
    </row>
    <row r="115" spans="13:156" ht="15">
      <c r="M115" s="7" t="str">
        <f>"- Chiều dày tối thiểu của bản đế:"</f>
        <v>- Chiều dày tối thiểu của bản đế:</v>
      </c>
      <c r="N115" s="2"/>
      <c r="O115" s="2"/>
      <c r="P115" s="2"/>
      <c r="Q115" s="2"/>
      <c r="R115" s="2"/>
      <c r="S115" s="2"/>
      <c r="T115" s="2"/>
      <c r="U115" s="2"/>
      <c r="V115" s="33" t="s">
        <v>390</v>
      </c>
      <c r="W115" s="201">
        <f>SQRT((6*W114)/(W25*W26))*1000</f>
        <v>6.6317910367561916</v>
      </c>
      <c r="X115" s="8" t="s">
        <v>1</v>
      </c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H115" s="179"/>
      <c r="BI115" s="127"/>
      <c r="BJ115" s="127"/>
      <c r="BK115" s="127"/>
      <c r="BL115" s="127"/>
      <c r="BM115" s="120"/>
      <c r="BN115" s="4"/>
      <c r="BO115" s="121"/>
      <c r="BP115" s="122"/>
      <c r="BQ115" s="122"/>
      <c r="BR115" s="120"/>
      <c r="BS115" s="123"/>
      <c r="BT115" s="124"/>
      <c r="BU115" s="124"/>
      <c r="BV115" s="120"/>
      <c r="BW115" s="123"/>
      <c r="BX115" s="124"/>
      <c r="BY115" s="120"/>
      <c r="BZ115" s="12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H115" s="127"/>
      <c r="EI115" s="127"/>
      <c r="EJ115" s="127"/>
      <c r="EK115" s="127"/>
      <c r="EL115" s="127"/>
      <c r="EM115" s="120"/>
      <c r="EN115" s="121"/>
      <c r="EO115" s="121"/>
      <c r="EP115" s="120"/>
      <c r="EQ115" s="122"/>
      <c r="ER115" s="120"/>
      <c r="ES115" s="238"/>
      <c r="ET115" s="124"/>
      <c r="EU115" s="124"/>
      <c r="EV115" s="120"/>
      <c r="EW115" s="217"/>
      <c r="EX115" s="124"/>
      <c r="EY115" s="120"/>
      <c r="EZ115" s="217"/>
    </row>
    <row r="116" spans="13:156">
      <c r="M116" s="7" t="str">
        <f>"- Tỷ số huy động cấu kiện:"</f>
        <v>- Tỷ số huy động cấu kiện:</v>
      </c>
      <c r="N116" s="2"/>
      <c r="O116" s="2"/>
      <c r="P116" s="2"/>
      <c r="Q116" s="2"/>
      <c r="R116" s="2"/>
      <c r="S116" s="2"/>
      <c r="T116" s="2"/>
      <c r="U116" s="2"/>
      <c r="V116" s="33"/>
      <c r="W116" s="194">
        <f>W115/W51</f>
        <v>0.26527164147024768</v>
      </c>
      <c r="X116" s="12" t="str">
        <f>IF(W116&lt;=1,"OK","Check")</f>
        <v>OK</v>
      </c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H116" s="179"/>
      <c r="BI116" s="127"/>
      <c r="BJ116" s="127"/>
      <c r="BK116" s="127"/>
      <c r="BL116" s="127"/>
      <c r="BM116" s="120"/>
      <c r="BN116" s="4"/>
      <c r="BO116" s="121"/>
      <c r="BP116" s="122"/>
      <c r="BQ116" s="122"/>
      <c r="BR116" s="120"/>
      <c r="BS116" s="123"/>
      <c r="BT116" s="124"/>
      <c r="BU116" s="124"/>
      <c r="BV116" s="120"/>
      <c r="BW116" s="123"/>
      <c r="BX116" s="124"/>
      <c r="BY116" s="120"/>
      <c r="BZ116" s="12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H116" s="127"/>
      <c r="EI116" s="127"/>
      <c r="EJ116" s="127"/>
      <c r="EK116" s="127"/>
      <c r="EL116" s="127"/>
      <c r="EM116" s="120"/>
      <c r="EN116" s="121"/>
      <c r="EO116" s="121"/>
      <c r="EP116" s="120"/>
      <c r="EQ116" s="122"/>
      <c r="ER116" s="120"/>
      <c r="ES116" s="238"/>
      <c r="ET116" s="124"/>
      <c r="EU116" s="124"/>
      <c r="EV116" s="120"/>
      <c r="EW116" s="217"/>
      <c r="EX116" s="124"/>
      <c r="EY116" s="120"/>
      <c r="EZ116" s="217"/>
    </row>
    <row r="117" spans="13:156">
      <c r="M117" s="6" t="s">
        <v>416</v>
      </c>
      <c r="N117" s="2"/>
      <c r="O117" s="2"/>
      <c r="P117" s="33"/>
      <c r="Q117" s="187"/>
      <c r="R117" s="188"/>
      <c r="S117" s="2"/>
      <c r="T117" s="2"/>
      <c r="U117" s="2"/>
      <c r="V117" s="2"/>
      <c r="W117" s="2"/>
      <c r="X117" s="8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H117" s="179"/>
      <c r="BI117" s="127"/>
      <c r="BJ117" s="127"/>
      <c r="BK117" s="127"/>
      <c r="BL117" s="127"/>
      <c r="BM117" s="120"/>
      <c r="BN117" s="4"/>
      <c r="BO117" s="121"/>
      <c r="BP117" s="122"/>
      <c r="BQ117" s="122"/>
      <c r="BR117" s="120"/>
      <c r="BS117" s="123"/>
      <c r="BT117" s="124"/>
      <c r="BU117" s="124"/>
      <c r="BV117" s="120"/>
      <c r="BW117" s="123"/>
      <c r="BX117" s="124"/>
      <c r="BY117" s="120"/>
      <c r="BZ117" s="12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H117" s="127"/>
      <c r="EI117" s="127"/>
      <c r="EJ117" s="127"/>
      <c r="EK117" s="127"/>
      <c r="EL117" s="127"/>
      <c r="EM117" s="120"/>
      <c r="EN117" s="121"/>
      <c r="EO117" s="121"/>
      <c r="EP117" s="120"/>
      <c r="EQ117" s="122"/>
      <c r="ER117" s="120"/>
      <c r="ES117" s="238"/>
      <c r="ET117" s="124"/>
      <c r="EU117" s="124"/>
      <c r="EV117" s="120"/>
      <c r="EW117" s="217"/>
      <c r="EX117" s="124"/>
      <c r="EY117" s="120"/>
      <c r="EZ117" s="217"/>
    </row>
    <row r="118" spans="13:156">
      <c r="M118" s="6"/>
      <c r="N118" s="2"/>
      <c r="O118" s="2"/>
      <c r="P118" s="33"/>
      <c r="Q118" s="187"/>
      <c r="R118" s="188"/>
      <c r="S118" s="2"/>
      <c r="T118" s="2"/>
      <c r="U118" s="2"/>
      <c r="V118" s="2"/>
      <c r="W118" s="2"/>
      <c r="X118" s="8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H118" s="179"/>
      <c r="BI118" s="127"/>
      <c r="BJ118" s="127"/>
      <c r="BK118" s="127"/>
      <c r="BL118" s="127"/>
      <c r="BM118" s="120"/>
      <c r="BN118" s="4"/>
      <c r="BO118" s="121"/>
      <c r="BP118" s="122"/>
      <c r="BQ118" s="122"/>
      <c r="BR118" s="120"/>
      <c r="BS118" s="123"/>
      <c r="BT118" s="124"/>
      <c r="BU118" s="124"/>
      <c r="BV118" s="120"/>
      <c r="BW118" s="123"/>
      <c r="BX118" s="124"/>
      <c r="BY118" s="120"/>
      <c r="BZ118" s="12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H118" s="127"/>
      <c r="EI118" s="127"/>
      <c r="EJ118" s="127"/>
      <c r="EK118" s="127"/>
      <c r="EL118" s="127"/>
      <c r="EM118" s="120"/>
      <c r="EN118" s="121"/>
      <c r="EO118" s="121"/>
      <c r="EP118" s="120"/>
      <c r="EQ118" s="122"/>
      <c r="ER118" s="120"/>
      <c r="ES118" s="238"/>
      <c r="ET118" s="124"/>
      <c r="EU118" s="124"/>
      <c r="EV118" s="120"/>
      <c r="EW118" s="217"/>
      <c r="EX118" s="124"/>
      <c r="EY118" s="120"/>
      <c r="EZ118" s="217"/>
    </row>
    <row r="119" spans="13:156">
      <c r="M119" s="6"/>
      <c r="N119" s="2"/>
      <c r="O119" s="2"/>
      <c r="P119" s="33"/>
      <c r="Q119" s="187"/>
      <c r="R119" s="188"/>
      <c r="S119" s="2"/>
      <c r="T119" s="2"/>
      <c r="U119" s="2"/>
      <c r="V119" s="2"/>
      <c r="W119" s="2"/>
      <c r="X119" s="8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H119" s="179"/>
      <c r="BI119" s="127"/>
      <c r="BJ119" s="127"/>
      <c r="BK119" s="127"/>
      <c r="BL119" s="127"/>
      <c r="BM119" s="120"/>
      <c r="BN119" s="4"/>
      <c r="BO119" s="121"/>
      <c r="BP119" s="122"/>
      <c r="BQ119" s="122"/>
      <c r="BR119" s="120"/>
      <c r="BS119" s="123"/>
      <c r="BT119" s="124"/>
      <c r="BU119" s="124"/>
      <c r="BV119" s="120"/>
      <c r="BW119" s="123"/>
      <c r="BX119" s="124"/>
      <c r="BY119" s="120"/>
      <c r="BZ119" s="12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H119" s="127"/>
      <c r="EI119" s="127"/>
      <c r="EJ119" s="127"/>
      <c r="EK119" s="127"/>
      <c r="EL119" s="127"/>
      <c r="EM119" s="120"/>
      <c r="EN119" s="121"/>
      <c r="EO119" s="121"/>
      <c r="EP119" s="120"/>
      <c r="EQ119" s="122"/>
      <c r="ER119" s="120"/>
      <c r="ES119" s="238"/>
      <c r="ET119" s="124"/>
      <c r="EU119" s="124"/>
      <c r="EV119" s="120"/>
      <c r="EW119" s="217"/>
      <c r="EX119" s="124"/>
      <c r="EY119" s="120"/>
      <c r="EZ119" s="217"/>
    </row>
    <row r="120" spans="13:156">
      <c r="M120" s="6"/>
      <c r="N120" s="2"/>
      <c r="O120" s="2"/>
      <c r="P120" s="33"/>
      <c r="Q120" s="187"/>
      <c r="R120" s="188"/>
      <c r="S120" s="2"/>
      <c r="T120" s="2"/>
      <c r="U120" s="2"/>
      <c r="V120" s="2"/>
      <c r="W120" s="2"/>
      <c r="X120" s="8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H120" s="179"/>
      <c r="BI120" s="127"/>
      <c r="BJ120" s="127"/>
      <c r="BK120" s="127"/>
      <c r="BL120" s="127"/>
      <c r="BM120" s="120"/>
      <c r="BN120" s="4"/>
      <c r="BO120" s="121"/>
      <c r="BP120" s="122"/>
      <c r="BQ120" s="122"/>
      <c r="BR120" s="120"/>
      <c r="BS120" s="123"/>
      <c r="BT120" s="124"/>
      <c r="BU120" s="124"/>
      <c r="BV120" s="120"/>
      <c r="BW120" s="123"/>
      <c r="BX120" s="124"/>
      <c r="BY120" s="120"/>
      <c r="BZ120" s="12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H120" s="127"/>
      <c r="EI120" s="127"/>
      <c r="EJ120" s="127"/>
      <c r="EK120" s="127"/>
      <c r="EL120" s="127"/>
      <c r="EM120" s="120"/>
      <c r="EN120" s="121"/>
      <c r="EO120" s="121"/>
      <c r="EP120" s="120"/>
      <c r="EQ120" s="122"/>
      <c r="ER120" s="120"/>
      <c r="ES120" s="238"/>
      <c r="ET120" s="124"/>
      <c r="EU120" s="124"/>
      <c r="EV120" s="120"/>
      <c r="EW120" s="217"/>
      <c r="EX120" s="124"/>
      <c r="EY120" s="120"/>
      <c r="EZ120" s="217"/>
    </row>
    <row r="121" spans="13:156">
      <c r="M121" s="6"/>
      <c r="N121" s="2"/>
      <c r="O121" s="2"/>
      <c r="P121" s="33"/>
      <c r="Q121" s="187"/>
      <c r="R121" s="188"/>
      <c r="S121" s="2"/>
      <c r="T121" s="2"/>
      <c r="U121" s="2"/>
      <c r="V121" s="2"/>
      <c r="W121" s="2"/>
      <c r="X121" s="8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H121" s="179"/>
      <c r="BI121" s="127"/>
      <c r="BJ121" s="127"/>
      <c r="BK121" s="127"/>
      <c r="BL121" s="127"/>
      <c r="BM121" s="120"/>
      <c r="BN121" s="4"/>
      <c r="BO121" s="121"/>
      <c r="BP121" s="122"/>
      <c r="BQ121" s="122"/>
      <c r="BR121" s="120"/>
      <c r="BS121" s="123"/>
      <c r="BT121" s="124"/>
      <c r="BU121" s="124"/>
      <c r="BV121" s="120"/>
      <c r="BW121" s="123"/>
      <c r="BX121" s="124"/>
      <c r="BY121" s="120"/>
      <c r="BZ121" s="12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H121" s="127"/>
      <c r="EI121" s="127"/>
      <c r="EJ121" s="127"/>
      <c r="EK121" s="127"/>
      <c r="EL121" s="127"/>
      <c r="EM121" s="120"/>
      <c r="EN121" s="121"/>
      <c r="EO121" s="121"/>
      <c r="EP121" s="120"/>
      <c r="EQ121" s="122"/>
      <c r="ER121" s="120"/>
      <c r="ES121" s="238"/>
      <c r="ET121" s="124"/>
      <c r="EU121" s="124"/>
      <c r="EV121" s="120"/>
      <c r="EW121" s="217"/>
      <c r="EX121" s="124"/>
      <c r="EY121" s="120"/>
      <c r="EZ121" s="217"/>
    </row>
    <row r="122" spans="13:156">
      <c r="M122" s="6"/>
      <c r="N122" s="2"/>
      <c r="O122" s="2"/>
      <c r="P122" s="33"/>
      <c r="Q122" s="187"/>
      <c r="R122" s="188"/>
      <c r="S122" s="2"/>
      <c r="T122" s="2"/>
      <c r="U122" s="2"/>
      <c r="V122" s="2"/>
      <c r="W122" s="2"/>
      <c r="X122" s="8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H122" s="179"/>
      <c r="BI122" s="127"/>
      <c r="BJ122" s="127"/>
      <c r="BK122" s="127"/>
      <c r="BL122" s="127"/>
      <c r="BM122" s="120"/>
      <c r="BN122" s="4"/>
      <c r="BO122" s="121"/>
      <c r="BP122" s="122"/>
      <c r="BQ122" s="122"/>
      <c r="BR122" s="120"/>
      <c r="BS122" s="123"/>
      <c r="BT122" s="124"/>
      <c r="BU122" s="124"/>
      <c r="BV122" s="120"/>
      <c r="BW122" s="123"/>
      <c r="BX122" s="124"/>
      <c r="BY122" s="120"/>
      <c r="BZ122" s="12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H122" s="127"/>
      <c r="EI122" s="127"/>
      <c r="EJ122" s="127"/>
      <c r="EK122" s="127"/>
      <c r="EL122" s="127"/>
      <c r="EM122" s="120"/>
      <c r="EN122" s="121"/>
      <c r="EO122" s="121"/>
      <c r="EP122" s="120"/>
      <c r="EQ122" s="122"/>
      <c r="ER122" s="120"/>
      <c r="ES122" s="238"/>
      <c r="ET122" s="124"/>
      <c r="EU122" s="124"/>
      <c r="EV122" s="120"/>
      <c r="EW122" s="217"/>
      <c r="EX122" s="124"/>
      <c r="EY122" s="120"/>
      <c r="EZ122" s="217"/>
    </row>
    <row r="123" spans="13:156">
      <c r="M123" s="6"/>
      <c r="N123" s="2"/>
      <c r="O123" s="2"/>
      <c r="P123" s="33"/>
      <c r="Q123" s="187"/>
      <c r="R123" s="188"/>
      <c r="S123" s="2"/>
      <c r="T123" s="2"/>
      <c r="U123" s="2"/>
      <c r="V123" s="2"/>
      <c r="W123" s="2"/>
      <c r="X123" s="8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H123" s="179"/>
      <c r="BI123" s="127"/>
      <c r="BJ123" s="127"/>
      <c r="BK123" s="127"/>
      <c r="BL123" s="127"/>
      <c r="BM123" s="120"/>
      <c r="BN123" s="4"/>
      <c r="BO123" s="121"/>
      <c r="BP123" s="122"/>
      <c r="BQ123" s="122"/>
      <c r="BR123" s="120"/>
      <c r="BS123" s="123"/>
      <c r="BT123" s="124"/>
      <c r="BU123" s="124"/>
      <c r="BV123" s="120"/>
      <c r="BW123" s="123"/>
      <c r="BX123" s="124"/>
      <c r="BY123" s="120"/>
      <c r="BZ123" s="12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H123" s="127"/>
      <c r="EI123" s="127"/>
      <c r="EJ123" s="127"/>
      <c r="EK123" s="127"/>
      <c r="EL123" s="127"/>
      <c r="EM123" s="120"/>
      <c r="EN123" s="121"/>
      <c r="EO123" s="121"/>
      <c r="EP123" s="120"/>
      <c r="EQ123" s="122"/>
      <c r="ER123" s="120"/>
      <c r="ES123" s="238"/>
      <c r="ET123" s="124"/>
      <c r="EU123" s="124"/>
      <c r="EV123" s="120"/>
      <c r="EW123" s="217"/>
      <c r="EX123" s="124"/>
      <c r="EY123" s="120"/>
      <c r="EZ123" s="217"/>
    </row>
    <row r="124" spans="13:156">
      <c r="M124" s="6"/>
      <c r="N124" s="2"/>
      <c r="O124" s="2"/>
      <c r="P124" s="33"/>
      <c r="Q124" s="187"/>
      <c r="R124" s="188"/>
      <c r="S124" s="2"/>
      <c r="T124" s="2"/>
      <c r="U124" s="2"/>
      <c r="V124" s="2"/>
      <c r="W124" s="2"/>
      <c r="X124" s="8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H124" s="179"/>
      <c r="BI124" s="127"/>
      <c r="BJ124" s="127"/>
      <c r="BK124" s="127"/>
      <c r="BL124" s="127"/>
      <c r="BM124" s="120"/>
      <c r="BN124" s="4"/>
      <c r="BO124" s="121"/>
      <c r="BP124" s="122"/>
      <c r="BQ124" s="122"/>
      <c r="BR124" s="120"/>
      <c r="BS124" s="123"/>
      <c r="BT124" s="124"/>
      <c r="BU124" s="124"/>
      <c r="BV124" s="120"/>
      <c r="BW124" s="123"/>
      <c r="BX124" s="124"/>
      <c r="BY124" s="120"/>
      <c r="BZ124" s="12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H124" s="127"/>
      <c r="EI124" s="127"/>
      <c r="EJ124" s="127"/>
      <c r="EK124" s="127"/>
      <c r="EL124" s="127"/>
      <c r="EM124" s="120"/>
      <c r="EN124" s="121"/>
      <c r="EO124" s="121"/>
      <c r="EP124" s="120"/>
      <c r="EQ124" s="122"/>
      <c r="ER124" s="120"/>
      <c r="ES124" s="238"/>
      <c r="ET124" s="124"/>
      <c r="EU124" s="124"/>
      <c r="EV124" s="120"/>
      <c r="EW124" s="217"/>
      <c r="EX124" s="124"/>
      <c r="EY124" s="120"/>
      <c r="EZ124" s="217"/>
    </row>
    <row r="125" spans="13:156">
      <c r="M125" s="6"/>
      <c r="N125" s="2"/>
      <c r="O125" s="2"/>
      <c r="P125" s="33"/>
      <c r="Q125" s="187"/>
      <c r="R125" s="188"/>
      <c r="S125" s="2"/>
      <c r="T125" s="2"/>
      <c r="U125" s="2"/>
      <c r="V125" s="2"/>
      <c r="W125" s="2"/>
      <c r="X125" s="8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H125" s="179"/>
      <c r="BI125" s="127"/>
      <c r="BJ125" s="127"/>
      <c r="BK125" s="127"/>
      <c r="BL125" s="127"/>
      <c r="BM125" s="120"/>
      <c r="BN125" s="4"/>
      <c r="BO125" s="121"/>
      <c r="BP125" s="122"/>
      <c r="BQ125" s="122"/>
      <c r="BR125" s="120"/>
      <c r="BS125" s="123"/>
      <c r="BT125" s="124"/>
      <c r="BU125" s="124"/>
      <c r="BV125" s="120"/>
      <c r="BW125" s="123"/>
      <c r="BX125" s="124"/>
      <c r="BY125" s="120"/>
      <c r="BZ125" s="12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H125" s="127"/>
      <c r="EI125" s="127"/>
      <c r="EJ125" s="127"/>
      <c r="EK125" s="127"/>
      <c r="EL125" s="127"/>
      <c r="EM125" s="120"/>
      <c r="EN125" s="121"/>
      <c r="EO125" s="121"/>
      <c r="EP125" s="120"/>
      <c r="EQ125" s="122"/>
      <c r="ER125" s="120"/>
      <c r="ES125" s="238"/>
      <c r="ET125" s="124"/>
      <c r="EU125" s="124"/>
      <c r="EV125" s="120"/>
      <c r="EW125" s="217"/>
      <c r="EX125" s="124"/>
      <c r="EY125" s="120"/>
      <c r="EZ125" s="217"/>
    </row>
    <row r="126" spans="13:156">
      <c r="M126" s="334" t="s">
        <v>417</v>
      </c>
      <c r="N126" s="335"/>
      <c r="O126" s="335"/>
      <c r="P126" s="335"/>
      <c r="Q126" s="335"/>
      <c r="R126" s="335"/>
      <c r="S126" s="335"/>
      <c r="T126" s="335"/>
      <c r="U126" s="335"/>
      <c r="V126" s="335"/>
      <c r="W126" s="335"/>
      <c r="X126" s="336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H126" s="179"/>
      <c r="BI126" s="127"/>
      <c r="BJ126" s="127"/>
      <c r="BK126" s="127"/>
      <c r="BL126" s="127"/>
      <c r="BM126" s="120"/>
      <c r="BN126" s="4"/>
      <c r="BO126" s="121"/>
      <c r="BP126" s="122"/>
      <c r="BQ126" s="122"/>
      <c r="BR126" s="120"/>
      <c r="BS126" s="123"/>
      <c r="BT126" s="124"/>
      <c r="BU126" s="124"/>
      <c r="BV126" s="120"/>
      <c r="BW126" s="123"/>
      <c r="BX126" s="124"/>
      <c r="BY126" s="120"/>
      <c r="BZ126" s="12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H126" s="127"/>
      <c r="EI126" s="127"/>
      <c r="EJ126" s="127"/>
      <c r="EK126" s="127"/>
      <c r="EL126" s="127"/>
      <c r="EM126" s="120"/>
      <c r="EN126" s="121"/>
      <c r="EO126" s="121"/>
      <c r="EP126" s="120"/>
      <c r="EQ126" s="122"/>
      <c r="ER126" s="120"/>
      <c r="ES126" s="238"/>
      <c r="ET126" s="124"/>
      <c r="EU126" s="124"/>
      <c r="EV126" s="120"/>
      <c r="EW126" s="217"/>
      <c r="EX126" s="124"/>
      <c r="EY126" s="120"/>
      <c r="EZ126" s="217"/>
    </row>
    <row r="127" spans="13:156">
      <c r="M127" s="334"/>
      <c r="N127" s="335"/>
      <c r="O127" s="335"/>
      <c r="P127" s="335"/>
      <c r="Q127" s="335"/>
      <c r="R127" s="335"/>
      <c r="S127" s="335"/>
      <c r="T127" s="335"/>
      <c r="U127" s="335"/>
      <c r="V127" s="335"/>
      <c r="W127" s="335"/>
      <c r="X127" s="336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H127" s="179"/>
      <c r="BI127" s="127"/>
      <c r="BJ127" s="127"/>
      <c r="BK127" s="127"/>
      <c r="BL127" s="127"/>
      <c r="BM127" s="120"/>
      <c r="BN127" s="4"/>
      <c r="BO127" s="121"/>
      <c r="BP127" s="122"/>
      <c r="BQ127" s="122"/>
      <c r="BR127" s="120"/>
      <c r="BS127" s="123"/>
      <c r="BT127" s="124"/>
      <c r="BU127" s="124"/>
      <c r="BV127" s="120"/>
      <c r="BW127" s="123"/>
      <c r="BX127" s="124"/>
      <c r="BY127" s="120"/>
      <c r="BZ127" s="12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H127" s="127"/>
      <c r="EI127" s="127"/>
      <c r="EJ127" s="127"/>
      <c r="EK127" s="127"/>
      <c r="EL127" s="127"/>
      <c r="EM127" s="120"/>
      <c r="EN127" s="121"/>
      <c r="EO127" s="121"/>
      <c r="EP127" s="120"/>
      <c r="EQ127" s="122"/>
      <c r="ER127" s="120"/>
      <c r="ES127" s="238"/>
      <c r="ET127" s="124"/>
      <c r="EU127" s="124"/>
      <c r="EV127" s="120"/>
      <c r="EW127" s="217"/>
      <c r="EX127" s="124"/>
      <c r="EY127" s="120"/>
      <c r="EZ127" s="217"/>
    </row>
    <row r="128" spans="13:156">
      <c r="M128" s="7" t="s">
        <v>418</v>
      </c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8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H128" s="179"/>
      <c r="BI128" s="127"/>
      <c r="BJ128" s="127"/>
      <c r="BK128" s="127"/>
      <c r="BL128" s="127"/>
      <c r="BM128" s="120"/>
      <c r="BN128" s="4"/>
      <c r="BO128" s="121"/>
      <c r="BP128" s="122"/>
      <c r="BQ128" s="122"/>
      <c r="BR128" s="120"/>
      <c r="BS128" s="123"/>
      <c r="BT128" s="124"/>
      <c r="BU128" s="124"/>
      <c r="BV128" s="120"/>
      <c r="BW128" s="123"/>
      <c r="BX128" s="124"/>
      <c r="BY128" s="120"/>
      <c r="BZ128" s="12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H128" s="127"/>
      <c r="EI128" s="127"/>
      <c r="EJ128" s="127"/>
      <c r="EK128" s="127"/>
      <c r="EL128" s="127"/>
      <c r="EM128" s="120"/>
      <c r="EN128" s="121"/>
      <c r="EO128" s="121"/>
      <c r="EP128" s="120"/>
      <c r="EQ128" s="122"/>
      <c r="ER128" s="120"/>
      <c r="ES128" s="238"/>
      <c r="ET128" s="124"/>
      <c r="EU128" s="124"/>
      <c r="EV128" s="120"/>
      <c r="EW128" s="217"/>
      <c r="EX128" s="124"/>
      <c r="EY128" s="120"/>
      <c r="EZ128" s="217"/>
    </row>
    <row r="129" spans="13:156">
      <c r="M129" s="7" t="str">
        <f>"- Lực tính toán:"</f>
        <v>- Lực tính toán:</v>
      </c>
      <c r="N129" s="2"/>
      <c r="O129" s="2"/>
      <c r="P129" s="2"/>
      <c r="Q129" s="33"/>
      <c r="R129" s="33" t="s">
        <v>419</v>
      </c>
      <c r="S129" s="199">
        <f>W87</f>
        <v>0.86563708959426799</v>
      </c>
      <c r="T129" s="2" t="s">
        <v>72</v>
      </c>
      <c r="U129" s="2"/>
      <c r="V129" s="33" t="s">
        <v>420</v>
      </c>
      <c r="W129" s="199">
        <f>ABS(V66)</f>
        <v>1.4356829737841978</v>
      </c>
      <c r="X129" s="8" t="s">
        <v>72</v>
      </c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H129" s="179"/>
      <c r="BI129" s="127"/>
      <c r="BJ129" s="127"/>
      <c r="BK129" s="127"/>
      <c r="BL129" s="127"/>
      <c r="BM129" s="120"/>
      <c r="BN129" s="4"/>
      <c r="BO129" s="121"/>
      <c r="BP129" s="122"/>
      <c r="BQ129" s="122"/>
      <c r="BR129" s="120"/>
      <c r="BS129" s="123"/>
      <c r="BT129" s="124"/>
      <c r="BU129" s="124"/>
      <c r="BV129" s="120"/>
      <c r="BW129" s="123"/>
      <c r="BX129" s="124"/>
      <c r="BY129" s="120"/>
      <c r="BZ129" s="12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H129" s="127"/>
      <c r="EI129" s="127"/>
      <c r="EJ129" s="127"/>
      <c r="EK129" s="127"/>
      <c r="EL129" s="127"/>
      <c r="EM129" s="120"/>
      <c r="EN129" s="121"/>
      <c r="EO129" s="121"/>
      <c r="EP129" s="120"/>
      <c r="EQ129" s="122"/>
      <c r="ER129" s="120"/>
      <c r="ES129" s="238"/>
      <c r="ET129" s="124"/>
      <c r="EU129" s="124"/>
      <c r="EV129" s="120"/>
      <c r="EW129" s="217"/>
      <c r="EX129" s="124"/>
      <c r="EY129" s="120"/>
      <c r="EZ129" s="217"/>
    </row>
    <row r="130" spans="13:156" ht="15">
      <c r="M130" s="7" t="str">
        <f>"- Hệ số:"</f>
        <v>- Hệ số:</v>
      </c>
      <c r="N130" s="2"/>
      <c r="O130" s="33" t="s">
        <v>126</v>
      </c>
      <c r="P130" s="34">
        <f>W45</f>
        <v>353</v>
      </c>
      <c r="Q130" s="2" t="s">
        <v>47</v>
      </c>
      <c r="R130" s="33" t="s">
        <v>421</v>
      </c>
      <c r="S130" s="34">
        <f>$W$19</f>
        <v>240</v>
      </c>
      <c r="T130" s="2" t="s">
        <v>20</v>
      </c>
      <c r="U130" s="2"/>
      <c r="V130" s="33" t="s">
        <v>127</v>
      </c>
      <c r="W130" s="34">
        <f>W48</f>
        <v>8</v>
      </c>
      <c r="X130" s="8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H130" s="179"/>
      <c r="BI130" s="127"/>
      <c r="BJ130" s="127"/>
      <c r="BK130" s="127"/>
      <c r="BL130" s="127"/>
      <c r="BM130" s="120"/>
      <c r="BN130" s="4"/>
      <c r="BO130" s="121"/>
      <c r="BP130" s="122"/>
      <c r="BQ130" s="122"/>
      <c r="BR130" s="120"/>
      <c r="BS130" s="123"/>
      <c r="BT130" s="124"/>
      <c r="BU130" s="124"/>
      <c r="BV130" s="120"/>
      <c r="BW130" s="123"/>
      <c r="BX130" s="124"/>
      <c r="BY130" s="120"/>
      <c r="BZ130" s="12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H130" s="127"/>
      <c r="EI130" s="127"/>
      <c r="EJ130" s="127"/>
      <c r="EK130" s="127"/>
      <c r="EL130" s="127"/>
      <c r="EM130" s="120"/>
      <c r="EN130" s="121"/>
      <c r="EO130" s="121"/>
      <c r="EP130" s="120"/>
      <c r="EQ130" s="122"/>
      <c r="ER130" s="120"/>
      <c r="ES130" s="238"/>
      <c r="ET130" s="124"/>
      <c r="EU130" s="124"/>
      <c r="EV130" s="120"/>
      <c r="EW130" s="217"/>
      <c r="EX130" s="124"/>
      <c r="EY130" s="120"/>
      <c r="EZ130" s="217"/>
    </row>
    <row r="131" spans="13:156" ht="15">
      <c r="M131" s="7" t="str">
        <f>"- Lực trượt giới hạn:"</f>
        <v>- Lực trượt giới hạn:</v>
      </c>
      <c r="N131" s="2"/>
      <c r="O131" s="2"/>
      <c r="P131" s="2"/>
      <c r="Q131" s="2"/>
      <c r="R131" s="2"/>
      <c r="S131" s="2"/>
      <c r="T131" s="2"/>
      <c r="U131" s="2"/>
      <c r="V131" s="33" t="s">
        <v>422</v>
      </c>
      <c r="W131" s="199">
        <f>0.6*P130*S130*W130/1000</f>
        <v>406.65599999999995</v>
      </c>
      <c r="X131" s="8" t="s">
        <v>72</v>
      </c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H131" s="179"/>
      <c r="BI131" s="127"/>
      <c r="BJ131" s="127"/>
      <c r="BK131" s="127"/>
      <c r="BL131" s="127"/>
      <c r="BM131" s="120"/>
      <c r="BN131" s="4"/>
      <c r="BO131" s="121"/>
      <c r="BP131" s="122"/>
      <c r="BQ131" s="122"/>
      <c r="BR131" s="120"/>
      <c r="BS131" s="123"/>
      <c r="BT131" s="124"/>
      <c r="BU131" s="124"/>
      <c r="BV131" s="120"/>
      <c r="BW131" s="123"/>
      <c r="BX131" s="124"/>
      <c r="BY131" s="120"/>
      <c r="BZ131" s="12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H131" s="127"/>
      <c r="EI131" s="127"/>
      <c r="EJ131" s="127"/>
      <c r="EK131" s="127"/>
      <c r="EL131" s="127"/>
      <c r="EM131" s="120"/>
      <c r="EN131" s="121"/>
      <c r="EO131" s="121"/>
      <c r="EP131" s="120"/>
      <c r="EQ131" s="122"/>
      <c r="ER131" s="120"/>
      <c r="ES131" s="238"/>
      <c r="ET131" s="124"/>
      <c r="EU131" s="124"/>
      <c r="EV131" s="120"/>
      <c r="EW131" s="217"/>
      <c r="EX131" s="124"/>
      <c r="EY131" s="120"/>
      <c r="EZ131" s="217"/>
    </row>
    <row r="132" spans="13:156" ht="15">
      <c r="M132" s="7" t="str">
        <f>"- Tỷ số huy động cấu kiện:"</f>
        <v>- Tỷ số huy động cấu kiện:</v>
      </c>
      <c r="N132" s="2"/>
      <c r="O132" s="2"/>
      <c r="P132" s="33"/>
      <c r="Q132" s="187"/>
      <c r="R132" s="188"/>
      <c r="S132" s="2"/>
      <c r="T132" s="2"/>
      <c r="U132" s="2"/>
      <c r="V132" s="33" t="s">
        <v>423</v>
      </c>
      <c r="W132" s="194">
        <f>MAX(S129,W129)/W131</f>
        <v>3.5304605705662722E-3</v>
      </c>
      <c r="X132" s="12" t="str">
        <f>IF(W132&lt;=1,"OK","Shear key")</f>
        <v>OK</v>
      </c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H132" s="179"/>
      <c r="BI132" s="127"/>
      <c r="BJ132" s="127"/>
      <c r="BK132" s="127"/>
      <c r="BL132" s="127"/>
      <c r="BM132" s="120"/>
      <c r="BN132" s="4"/>
      <c r="BO132" s="121"/>
      <c r="BP132" s="122"/>
      <c r="BQ132" s="122"/>
      <c r="BR132" s="120"/>
      <c r="BS132" s="123"/>
      <c r="BT132" s="124"/>
      <c r="BU132" s="124"/>
      <c r="BV132" s="120"/>
      <c r="BW132" s="123"/>
      <c r="BX132" s="124"/>
      <c r="BY132" s="120"/>
      <c r="BZ132" s="12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H132" s="127"/>
      <c r="EI132" s="127"/>
      <c r="EJ132" s="127"/>
      <c r="EK132" s="127"/>
      <c r="EL132" s="127"/>
      <c r="EM132" s="120"/>
      <c r="EN132" s="121"/>
      <c r="EO132" s="121"/>
      <c r="EP132" s="120"/>
      <c r="EQ132" s="122"/>
      <c r="ER132" s="120"/>
      <c r="ES132" s="238"/>
      <c r="ET132" s="124"/>
      <c r="EU132" s="124"/>
      <c r="EV132" s="120"/>
      <c r="EW132" s="217"/>
      <c r="EX132" s="124"/>
      <c r="EY132" s="120"/>
      <c r="EZ132" s="217"/>
    </row>
    <row r="133" spans="13:156">
      <c r="M133" s="6" t="s">
        <v>391</v>
      </c>
      <c r="N133" s="2"/>
      <c r="O133" s="2"/>
      <c r="P133" s="33"/>
      <c r="Q133" s="187"/>
      <c r="R133" s="188"/>
      <c r="S133" s="2"/>
      <c r="T133" s="2"/>
      <c r="U133" s="2"/>
      <c r="V133" s="2"/>
      <c r="W133" s="2"/>
      <c r="X133" s="8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H133" s="179"/>
      <c r="BI133" s="127"/>
      <c r="BJ133" s="127"/>
      <c r="BK133" s="127"/>
      <c r="BL133" s="127"/>
      <c r="BM133" s="120"/>
      <c r="BN133" s="4"/>
      <c r="BO133" s="121"/>
      <c r="BP133" s="122"/>
      <c r="BQ133" s="122"/>
      <c r="BR133" s="120"/>
      <c r="BS133" s="123"/>
      <c r="BT133" s="124"/>
      <c r="BU133" s="124"/>
      <c r="BV133" s="120"/>
      <c r="BW133" s="123"/>
      <c r="BX133" s="124"/>
      <c r="BY133" s="120"/>
      <c r="BZ133" s="12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H133" s="127"/>
      <c r="EI133" s="127"/>
      <c r="EJ133" s="127"/>
      <c r="EK133" s="127"/>
      <c r="EL133" s="127"/>
      <c r="EM133" s="120"/>
      <c r="EN133" s="121"/>
      <c r="EO133" s="121"/>
      <c r="EP133" s="120"/>
      <c r="EQ133" s="122"/>
      <c r="ER133" s="120"/>
      <c r="ES133" s="238"/>
      <c r="ET133" s="124"/>
      <c r="EU133" s="124"/>
      <c r="EV133" s="120"/>
      <c r="EW133" s="217"/>
      <c r="EX133" s="124"/>
      <c r="EY133" s="120"/>
      <c r="EZ133" s="217"/>
    </row>
    <row r="134" spans="13:156">
      <c r="M134" s="7" t="s">
        <v>148</v>
      </c>
      <c r="N134" s="2"/>
      <c r="O134" s="2"/>
      <c r="P134" s="2"/>
      <c r="Q134" s="2"/>
      <c r="R134" s="2"/>
      <c r="S134" s="2"/>
      <c r="T134" s="2"/>
      <c r="U134" s="2"/>
      <c r="V134" s="204"/>
      <c r="W134" s="204"/>
      <c r="X134" s="12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H134" s="179"/>
      <c r="BI134" s="127"/>
      <c r="BJ134" s="127"/>
      <c r="BK134" s="127"/>
      <c r="BL134" s="127"/>
      <c r="BM134" s="120"/>
      <c r="BN134" s="4"/>
      <c r="BO134" s="121"/>
      <c r="BP134" s="122"/>
      <c r="BQ134" s="122"/>
      <c r="BR134" s="120"/>
      <c r="BS134" s="123"/>
      <c r="BT134" s="124"/>
      <c r="BU134" s="124"/>
      <c r="BV134" s="120"/>
      <c r="BW134" s="123"/>
      <c r="BX134" s="124"/>
      <c r="BY134" s="120"/>
      <c r="BZ134" s="12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H134" s="127"/>
      <c r="EI134" s="127"/>
      <c r="EJ134" s="127"/>
      <c r="EK134" s="127"/>
      <c r="EL134" s="127"/>
      <c r="EM134" s="120"/>
      <c r="EN134" s="121"/>
      <c r="EO134" s="121"/>
      <c r="EP134" s="120"/>
      <c r="EQ134" s="122"/>
      <c r="ER134" s="120"/>
      <c r="ES134" s="238"/>
      <c r="ET134" s="124"/>
      <c r="EU134" s="124"/>
      <c r="EV134" s="120"/>
      <c r="EW134" s="217"/>
      <c r="EX134" s="124"/>
      <c r="EY134" s="120"/>
      <c r="EZ134" s="217"/>
    </row>
    <row r="135" spans="13:156">
      <c r="M135" s="31" t="s">
        <v>158</v>
      </c>
      <c r="N135" s="2"/>
      <c r="O135" s="2"/>
      <c r="P135" s="2"/>
      <c r="Q135" s="2"/>
      <c r="R135" s="2"/>
      <c r="S135" s="2"/>
      <c r="T135" s="2"/>
      <c r="U135" s="2"/>
      <c r="V135" s="204"/>
      <c r="W135" s="204"/>
      <c r="X135" s="12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H135" s="179"/>
      <c r="BI135" s="127"/>
      <c r="BJ135" s="127"/>
      <c r="BK135" s="127"/>
      <c r="BL135" s="127"/>
      <c r="BM135" s="120"/>
      <c r="BN135" s="4"/>
      <c r="BO135" s="121"/>
      <c r="BP135" s="122"/>
      <c r="BQ135" s="122"/>
      <c r="BR135" s="120"/>
      <c r="BS135" s="123"/>
      <c r="BT135" s="124"/>
      <c r="BU135" s="124"/>
      <c r="BV135" s="120"/>
      <c r="BW135" s="123"/>
      <c r="BX135" s="124"/>
      <c r="BY135" s="120"/>
      <c r="BZ135" s="12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H135" s="127"/>
      <c r="EI135" s="127"/>
      <c r="EJ135" s="127"/>
      <c r="EK135" s="127"/>
      <c r="EL135" s="127"/>
      <c r="EM135" s="120"/>
      <c r="EN135" s="121"/>
      <c r="EO135" s="121"/>
      <c r="EP135" s="120"/>
      <c r="EQ135" s="122"/>
      <c r="ER135" s="120"/>
      <c r="ES135" s="238"/>
      <c r="ET135" s="124"/>
      <c r="EU135" s="124"/>
      <c r="EV135" s="120"/>
      <c r="EW135" s="217"/>
      <c r="EX135" s="124"/>
      <c r="EY135" s="120"/>
      <c r="EZ135" s="217"/>
    </row>
    <row r="136" spans="13:156" ht="15">
      <c r="M136" s="7" t="str">
        <f>"- Ứng suất phản lực bê tông móng để tính sườn đế:"</f>
        <v>- Ứng suất phản lực bê tông móng để tính sườn đế:</v>
      </c>
      <c r="N136" s="2"/>
      <c r="O136" s="2"/>
      <c r="P136" s="2"/>
      <c r="Q136" s="205"/>
      <c r="R136" s="205"/>
      <c r="S136" s="206"/>
      <c r="T136" s="34"/>
      <c r="U136" s="2"/>
      <c r="V136" s="20" t="s">
        <v>197</v>
      </c>
      <c r="W136" s="199" t="str">
        <f>IF(Q60=0,"-",FindUsBase(W99, W100, W49, (W49-W39)/2+W39/(Q60+1)))</f>
        <v>-</v>
      </c>
      <c r="X136" s="8" t="s">
        <v>20</v>
      </c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H136" s="179"/>
      <c r="BI136" s="127"/>
      <c r="BJ136" s="127"/>
      <c r="BK136" s="127"/>
      <c r="BL136" s="127"/>
      <c r="BM136" s="120"/>
      <c r="BN136" s="4"/>
      <c r="BO136" s="121"/>
      <c r="BP136" s="122"/>
      <c r="BQ136" s="122"/>
      <c r="BR136" s="120"/>
      <c r="BS136" s="123"/>
      <c r="BT136" s="124"/>
      <c r="BU136" s="124"/>
      <c r="BV136" s="120"/>
      <c r="BW136" s="123"/>
      <c r="BX136" s="124"/>
      <c r="BY136" s="120"/>
      <c r="BZ136" s="12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H136" s="127"/>
      <c r="EI136" s="127"/>
      <c r="EJ136" s="127"/>
      <c r="EK136" s="127"/>
      <c r="EL136" s="127"/>
      <c r="EM136" s="120"/>
      <c r="EN136" s="121"/>
      <c r="EO136" s="121"/>
      <c r="EP136" s="120"/>
      <c r="EQ136" s="122"/>
      <c r="ER136" s="120"/>
      <c r="ES136" s="238"/>
      <c r="ET136" s="124"/>
      <c r="EU136" s="124"/>
      <c r="EV136" s="120"/>
      <c r="EW136" s="217"/>
      <c r="EX136" s="124"/>
      <c r="EY136" s="120"/>
      <c r="EZ136" s="217"/>
    </row>
    <row r="137" spans="13:156" ht="15">
      <c r="M137" s="7" t="str">
        <f>"- Bề rộng chịu tải của sườn:"</f>
        <v>- Bề rộng chịu tải của sườn:</v>
      </c>
      <c r="N137" s="2"/>
      <c r="O137" s="2"/>
      <c r="P137" s="2"/>
      <c r="Q137" s="205"/>
      <c r="R137" s="205"/>
      <c r="S137" s="205"/>
      <c r="T137" s="2"/>
      <c r="U137" s="2"/>
      <c r="V137" s="33" t="s">
        <v>171</v>
      </c>
      <c r="W137" s="186" t="str">
        <f>IF(Q60=0,"-",W39/2)</f>
        <v>-</v>
      </c>
      <c r="X137" s="8" t="s">
        <v>1</v>
      </c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H137" s="179"/>
      <c r="BI137" s="127"/>
      <c r="BJ137" s="127"/>
      <c r="BK137" s="127"/>
      <c r="BL137" s="127"/>
      <c r="BM137" s="120"/>
      <c r="BN137" s="4"/>
      <c r="BO137" s="121"/>
      <c r="BP137" s="122"/>
      <c r="BQ137" s="122"/>
      <c r="BR137" s="120"/>
      <c r="BS137" s="123"/>
      <c r="BT137" s="124"/>
      <c r="BU137" s="124"/>
      <c r="BV137" s="120"/>
      <c r="BW137" s="123"/>
      <c r="BX137" s="124"/>
      <c r="BY137" s="120"/>
      <c r="BZ137" s="12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H137" s="127"/>
      <c r="EI137" s="127"/>
      <c r="EJ137" s="127"/>
      <c r="EK137" s="127"/>
      <c r="EL137" s="127"/>
      <c r="EM137" s="120"/>
      <c r="EN137" s="121"/>
      <c r="EO137" s="121"/>
      <c r="EP137" s="120"/>
      <c r="EQ137" s="122"/>
      <c r="ER137" s="120"/>
      <c r="ES137" s="238"/>
      <c r="ET137" s="124"/>
      <c r="EU137" s="124"/>
      <c r="EV137" s="120"/>
      <c r="EW137" s="217"/>
      <c r="EX137" s="124"/>
      <c r="EY137" s="120"/>
      <c r="EZ137" s="217"/>
    </row>
    <row r="138" spans="13:156" ht="15">
      <c r="M138" s="7" t="str">
        <f>"- Tải trọng tác dụng lên sườn:"</f>
        <v>- Tải trọng tác dụng lên sườn:</v>
      </c>
      <c r="N138" s="2"/>
      <c r="O138" s="2"/>
      <c r="P138" s="2"/>
      <c r="Q138" s="205"/>
      <c r="R138" s="205"/>
      <c r="S138" s="205"/>
      <c r="T138" s="33"/>
      <c r="U138" s="2"/>
      <c r="V138" s="33" t="s">
        <v>149</v>
      </c>
      <c r="W138" s="186" t="str">
        <f>IF(Q60=0,"-",W136*W137)</f>
        <v>-</v>
      </c>
      <c r="X138" s="8" t="s">
        <v>150</v>
      </c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H138" s="179"/>
      <c r="BI138" s="127"/>
      <c r="BJ138" s="127"/>
      <c r="BK138" s="127"/>
      <c r="BL138" s="127"/>
      <c r="BM138" s="120"/>
      <c r="BN138" s="4"/>
      <c r="BO138" s="121"/>
      <c r="BP138" s="122"/>
      <c r="BQ138" s="122"/>
      <c r="BR138" s="120"/>
      <c r="BS138" s="123"/>
      <c r="BT138" s="124"/>
      <c r="BU138" s="124"/>
      <c r="BV138" s="120"/>
      <c r="BW138" s="123"/>
      <c r="BX138" s="124"/>
      <c r="BY138" s="120"/>
      <c r="BZ138" s="12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H138" s="127"/>
      <c r="EI138" s="127"/>
      <c r="EJ138" s="127"/>
      <c r="EK138" s="127"/>
      <c r="EL138" s="127"/>
      <c r="EM138" s="120"/>
      <c r="EN138" s="121"/>
      <c r="EO138" s="121"/>
      <c r="EP138" s="120"/>
      <c r="EQ138" s="122"/>
      <c r="ER138" s="120"/>
      <c r="ES138" s="238"/>
      <c r="ET138" s="124"/>
      <c r="EU138" s="124"/>
      <c r="EV138" s="120"/>
      <c r="EW138" s="217"/>
      <c r="EX138" s="124"/>
      <c r="EY138" s="120"/>
      <c r="EZ138" s="217"/>
    </row>
    <row r="139" spans="13:156" ht="15">
      <c r="M139" s="7" t="str">
        <f>"- Moment lớn nhất sườn đế:"</f>
        <v>- Moment lớn nhất sườn đế:</v>
      </c>
      <c r="N139" s="2"/>
      <c r="O139" s="2"/>
      <c r="P139" s="2"/>
      <c r="Q139" s="205"/>
      <c r="R139" s="205"/>
      <c r="S139" s="205"/>
      <c r="T139" s="2"/>
      <c r="U139" s="2"/>
      <c r="V139" s="33" t="s">
        <v>151</v>
      </c>
      <c r="W139" s="207" t="str">
        <f>IF(Q60=0,"-",W138*(S60/1000)^2/2)</f>
        <v>-</v>
      </c>
      <c r="X139" s="8" t="s">
        <v>73</v>
      </c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H139" s="179"/>
      <c r="BI139" s="127"/>
      <c r="BJ139" s="127"/>
      <c r="BK139" s="127"/>
      <c r="BL139" s="127"/>
      <c r="BM139" s="120"/>
      <c r="BN139" s="4"/>
      <c r="BO139" s="121"/>
      <c r="BP139" s="122"/>
      <c r="BQ139" s="122"/>
      <c r="BR139" s="120"/>
      <c r="BS139" s="123"/>
      <c r="BT139" s="124"/>
      <c r="BU139" s="124"/>
      <c r="BV139" s="120"/>
      <c r="BW139" s="123"/>
      <c r="BX139" s="124"/>
      <c r="BY139" s="120"/>
      <c r="BZ139" s="12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H139" s="127"/>
      <c r="EI139" s="127"/>
      <c r="EJ139" s="127"/>
      <c r="EK139" s="127"/>
      <c r="EL139" s="127"/>
      <c r="EM139" s="120"/>
      <c r="EN139" s="121"/>
      <c r="EO139" s="121"/>
      <c r="EP139" s="120"/>
      <c r="EQ139" s="122"/>
      <c r="ER139" s="120"/>
      <c r="ES139" s="238"/>
      <c r="ET139" s="124"/>
      <c r="EU139" s="124"/>
      <c r="EV139" s="120"/>
      <c r="EW139" s="217"/>
      <c r="EX139" s="124"/>
      <c r="EY139" s="120"/>
      <c r="EZ139" s="217"/>
    </row>
    <row r="140" spans="13:156" ht="15">
      <c r="M140" s="7" t="str">
        <f>"- Lực cắt lớn nhất sườn đế:"</f>
        <v>- Lực cắt lớn nhất sườn đế:</v>
      </c>
      <c r="N140" s="2"/>
      <c r="O140" s="2"/>
      <c r="P140" s="2"/>
      <c r="Q140" s="2"/>
      <c r="R140" s="2"/>
      <c r="S140" s="2"/>
      <c r="T140" s="2"/>
      <c r="U140" s="2"/>
      <c r="V140" s="33" t="s">
        <v>152</v>
      </c>
      <c r="W140" s="207" t="str">
        <f>IF(Q60=0,"-",W138*S60/1000)</f>
        <v>-</v>
      </c>
      <c r="X140" s="8" t="s">
        <v>72</v>
      </c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H140" s="179"/>
      <c r="BI140" s="127"/>
      <c r="BJ140" s="127"/>
      <c r="BK140" s="127"/>
      <c r="BL140" s="127"/>
      <c r="BM140" s="120"/>
      <c r="BN140" s="4"/>
      <c r="BO140" s="121"/>
      <c r="BP140" s="122"/>
      <c r="BQ140" s="122"/>
      <c r="BR140" s="120"/>
      <c r="BS140" s="123"/>
      <c r="BT140" s="124"/>
      <c r="BU140" s="124"/>
      <c r="BV140" s="120"/>
      <c r="BW140" s="123"/>
      <c r="BX140" s="124"/>
      <c r="BY140" s="120"/>
      <c r="BZ140" s="12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H140" s="127"/>
      <c r="EI140" s="127"/>
      <c r="EJ140" s="127"/>
      <c r="EK140" s="127"/>
      <c r="EL140" s="127"/>
      <c r="EM140" s="120"/>
      <c r="EN140" s="121"/>
      <c r="EO140" s="121"/>
      <c r="EP140" s="120"/>
      <c r="EQ140" s="122"/>
      <c r="ER140" s="120"/>
      <c r="ES140" s="238"/>
      <c r="ET140" s="124"/>
      <c r="EU140" s="124"/>
      <c r="EV140" s="120"/>
      <c r="EW140" s="217"/>
      <c r="EX140" s="124"/>
      <c r="EY140" s="120"/>
      <c r="EZ140" s="217"/>
    </row>
    <row r="141" spans="13:156" ht="15" customHeight="1">
      <c r="M141" s="7" t="str">
        <f>"- Ứng suất sườn đế:"</f>
        <v>- Ứng suất sườn đế:</v>
      </c>
      <c r="N141" s="2"/>
      <c r="O141" s="2"/>
      <c r="P141" s="208" t="s">
        <v>153</v>
      </c>
      <c r="Q141" s="201" t="str">
        <f>IF(Q60=0,"-",6*W139/(R60*T60^2)*1000000)</f>
        <v>-</v>
      </c>
      <c r="R141" s="208" t="s">
        <v>154</v>
      </c>
      <c r="S141" s="209" t="str">
        <f>IF(Q60=0,"-",W140*1000/(R60*T60))</f>
        <v>-</v>
      </c>
      <c r="T141" s="188" t="s">
        <v>20</v>
      </c>
      <c r="U141" s="2"/>
      <c r="V141" s="208" t="s">
        <v>155</v>
      </c>
      <c r="W141" s="199" t="str">
        <f>IF(Q60=0,"-",SQRT(Q141^2+3*S141^2))</f>
        <v>-</v>
      </c>
      <c r="X141" s="30" t="s">
        <v>20</v>
      </c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H141" s="179"/>
      <c r="BI141" s="127"/>
      <c r="BJ141" s="127"/>
      <c r="BK141" s="127"/>
      <c r="BL141" s="127"/>
      <c r="BM141" s="120"/>
      <c r="BN141" s="4"/>
      <c r="BO141" s="121"/>
      <c r="BP141" s="122"/>
      <c r="BQ141" s="122"/>
      <c r="BR141" s="120"/>
      <c r="BS141" s="123"/>
      <c r="BT141" s="124"/>
      <c r="BU141" s="124"/>
      <c r="BV141" s="120"/>
      <c r="BW141" s="123"/>
      <c r="BX141" s="124"/>
      <c r="BY141" s="120"/>
      <c r="BZ141" s="12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H141" s="127"/>
      <c r="EI141" s="127"/>
      <c r="EJ141" s="127"/>
      <c r="EK141" s="127"/>
      <c r="EL141" s="127"/>
      <c r="EM141" s="120"/>
      <c r="EN141" s="121"/>
      <c r="EO141" s="121"/>
      <c r="EP141" s="120"/>
      <c r="EQ141" s="122"/>
      <c r="ER141" s="120"/>
      <c r="ES141" s="238"/>
      <c r="ET141" s="124"/>
      <c r="EU141" s="124"/>
      <c r="EV141" s="120"/>
      <c r="EW141" s="217"/>
      <c r="EX141" s="124"/>
      <c r="EY141" s="120"/>
      <c r="EZ141" s="217"/>
    </row>
    <row r="142" spans="13:156" ht="15" customHeight="1">
      <c r="M142" s="7" t="str">
        <f>"- Tỷ số huy động cấu kiện:"</f>
        <v>- Tỷ số huy động cấu kiện:</v>
      </c>
      <c r="N142" s="2"/>
      <c r="O142" s="2"/>
      <c r="P142" s="208"/>
      <c r="Q142" s="209"/>
      <c r="R142" s="210" t="s">
        <v>157</v>
      </c>
      <c r="S142" s="201" t="str">
        <f>IF(Q60=0,"-",1.15*1*W25)</f>
        <v>-</v>
      </c>
      <c r="T142" s="188" t="s">
        <v>20</v>
      </c>
      <c r="U142" s="2"/>
      <c r="V142" s="208" t="s">
        <v>156</v>
      </c>
      <c r="W142" s="194" t="str">
        <f>IF(Q60=0,"-",W141/S142)</f>
        <v>-</v>
      </c>
      <c r="X142" s="12" t="str">
        <f>IF(W142="-","",IF(W142&lt;=1,"OK","Check"))</f>
        <v/>
      </c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H142" s="179"/>
      <c r="BI142" s="127"/>
      <c r="BJ142" s="127"/>
      <c r="BK142" s="127"/>
      <c r="BL142" s="127"/>
      <c r="BM142" s="120"/>
      <c r="BN142" s="4"/>
      <c r="BO142" s="121"/>
      <c r="BP142" s="122"/>
      <c r="BQ142" s="122"/>
      <c r="BR142" s="120"/>
      <c r="BS142" s="123"/>
      <c r="BT142" s="124"/>
      <c r="BU142" s="124"/>
      <c r="BV142" s="120"/>
      <c r="BW142" s="123"/>
      <c r="BX142" s="124"/>
      <c r="BY142" s="120"/>
      <c r="BZ142" s="12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H142" s="127"/>
      <c r="EI142" s="127"/>
      <c r="EJ142" s="127"/>
      <c r="EK142" s="127"/>
      <c r="EL142" s="127"/>
      <c r="EM142" s="120"/>
      <c r="EN142" s="121"/>
      <c r="EO142" s="121"/>
      <c r="EP142" s="120"/>
      <c r="EQ142" s="122"/>
      <c r="ER142" s="120"/>
      <c r="ES142" s="238"/>
      <c r="ET142" s="124"/>
      <c r="EU142" s="124"/>
      <c r="EV142" s="120"/>
      <c r="EW142" s="217"/>
      <c r="EX142" s="124"/>
      <c r="EY142" s="120"/>
      <c r="EZ142" s="217"/>
    </row>
    <row r="143" spans="13:156">
      <c r="M143" s="31" t="s">
        <v>159</v>
      </c>
      <c r="N143" s="2"/>
      <c r="O143" s="2"/>
      <c r="P143" s="2"/>
      <c r="Q143" s="2"/>
      <c r="R143" s="2"/>
      <c r="S143" s="2"/>
      <c r="T143" s="2"/>
      <c r="U143" s="2"/>
      <c r="V143" s="204"/>
      <c r="W143" s="38"/>
      <c r="X143" s="12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H143" s="179"/>
      <c r="BI143" s="127"/>
      <c r="BJ143" s="127"/>
      <c r="BK143" s="127"/>
      <c r="BL143" s="127"/>
      <c r="BM143" s="120"/>
      <c r="BN143" s="4"/>
      <c r="BO143" s="121"/>
      <c r="BP143" s="122"/>
      <c r="BQ143" s="122"/>
      <c r="BR143" s="120"/>
      <c r="BS143" s="123"/>
      <c r="BT143" s="124"/>
      <c r="BU143" s="124"/>
      <c r="BV143" s="120"/>
      <c r="BW143" s="123"/>
      <c r="BX143" s="124"/>
      <c r="BY143" s="120"/>
      <c r="BZ143" s="12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H143" s="127"/>
      <c r="EI143" s="127"/>
      <c r="EJ143" s="127"/>
      <c r="EK143" s="127"/>
      <c r="EL143" s="127"/>
      <c r="EM143" s="120"/>
      <c r="EN143" s="121"/>
      <c r="EO143" s="121"/>
      <c r="EP143" s="120"/>
      <c r="EQ143" s="122"/>
      <c r="ER143" s="120"/>
      <c r="ES143" s="238"/>
      <c r="ET143" s="124"/>
      <c r="EU143" s="124"/>
      <c r="EV143" s="120"/>
      <c r="EW143" s="217"/>
      <c r="EX143" s="124"/>
      <c r="EY143" s="120"/>
      <c r="EZ143" s="217"/>
    </row>
    <row r="144" spans="13:156" ht="15">
      <c r="M144" s="7" t="str">
        <f>"- Moment quán tính của tiết diện đường hàn:"</f>
        <v>- Moment quán tính của tiết diện đường hàn:</v>
      </c>
      <c r="N144" s="2"/>
      <c r="O144" s="2"/>
      <c r="P144" s="2"/>
      <c r="Q144" s="2"/>
      <c r="R144" s="2"/>
      <c r="S144" s="2"/>
      <c r="T144" s="2"/>
      <c r="U144" s="2"/>
      <c r="V144" s="33" t="s">
        <v>162</v>
      </c>
      <c r="W144" s="211" t="str">
        <f>IF(Q60=0,"-",2*(U60*T60^3/12))</f>
        <v>-</v>
      </c>
      <c r="X144" s="8" t="s">
        <v>160</v>
      </c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H144" s="179"/>
      <c r="BI144" s="127"/>
      <c r="BJ144" s="127"/>
      <c r="BK144" s="127"/>
      <c r="BL144" s="127"/>
      <c r="BM144" s="120"/>
      <c r="BN144" s="4"/>
      <c r="BO144" s="121"/>
      <c r="BP144" s="122"/>
      <c r="BQ144" s="122"/>
      <c r="BR144" s="120"/>
      <c r="BS144" s="123"/>
      <c r="BT144" s="124"/>
      <c r="BU144" s="124"/>
      <c r="BV144" s="120"/>
      <c r="BW144" s="123"/>
      <c r="BX144" s="124"/>
      <c r="BY144" s="120"/>
      <c r="BZ144" s="12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H144" s="127"/>
      <c r="EI144" s="127"/>
      <c r="EJ144" s="127"/>
      <c r="EK144" s="127"/>
      <c r="EL144" s="127"/>
      <c r="EM144" s="120"/>
      <c r="EN144" s="121"/>
      <c r="EO144" s="121"/>
      <c r="EP144" s="120"/>
      <c r="EQ144" s="122"/>
      <c r="ER144" s="120"/>
      <c r="ES144" s="238"/>
      <c r="ET144" s="124"/>
      <c r="EU144" s="124"/>
      <c r="EV144" s="120"/>
      <c r="EW144" s="217"/>
      <c r="EX144" s="124"/>
      <c r="EY144" s="120"/>
      <c r="EZ144" s="217"/>
    </row>
    <row r="145" spans="13:156" ht="15">
      <c r="M145" s="7" t="str">
        <f>"- Moment chống uốn theo kim loại đường hàn:"</f>
        <v>- Moment chống uốn theo kim loại đường hàn:</v>
      </c>
      <c r="N145" s="2"/>
      <c r="O145" s="2"/>
      <c r="P145" s="2"/>
      <c r="Q145" s="2"/>
      <c r="R145" s="2"/>
      <c r="S145" s="2"/>
      <c r="T145" s="2"/>
      <c r="U145" s="2"/>
      <c r="V145" s="33" t="s">
        <v>163</v>
      </c>
      <c r="W145" s="212" t="str">
        <f>IF(Q60=0,"-",U30*(W144/(T60/2)))</f>
        <v>-</v>
      </c>
      <c r="X145" s="8" t="s">
        <v>161</v>
      </c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H145" s="179"/>
      <c r="BI145" s="127"/>
      <c r="BJ145" s="127"/>
      <c r="BK145" s="127"/>
      <c r="BL145" s="127"/>
      <c r="BM145" s="120"/>
      <c r="BN145" s="4"/>
      <c r="BO145" s="121"/>
      <c r="BP145" s="122"/>
      <c r="BQ145" s="122"/>
      <c r="BR145" s="120"/>
      <c r="BS145" s="123"/>
      <c r="BT145" s="124"/>
      <c r="BU145" s="124"/>
      <c r="BV145" s="120"/>
      <c r="BW145" s="123"/>
      <c r="BX145" s="124"/>
      <c r="BY145" s="120"/>
      <c r="BZ145" s="12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H145" s="127"/>
      <c r="EI145" s="127"/>
      <c r="EJ145" s="127"/>
      <c r="EK145" s="127"/>
      <c r="EL145" s="127"/>
      <c r="EM145" s="120"/>
      <c r="EN145" s="121"/>
      <c r="EO145" s="121"/>
      <c r="EP145" s="120"/>
      <c r="EQ145" s="122"/>
      <c r="ER145" s="120"/>
      <c r="ES145" s="238"/>
      <c r="ET145" s="124"/>
      <c r="EU145" s="124"/>
      <c r="EV145" s="120"/>
      <c r="EW145" s="217"/>
      <c r="EX145" s="124"/>
      <c r="EY145" s="120"/>
      <c r="EZ145" s="217"/>
    </row>
    <row r="146" spans="13:156" ht="15">
      <c r="M146" s="7" t="str">
        <f>"- Tỷ số huy động theo kim loại đường hàn:"</f>
        <v>- Tỷ số huy động theo kim loại đường hàn:</v>
      </c>
      <c r="N146" s="2"/>
      <c r="O146" s="2"/>
      <c r="P146" s="208"/>
      <c r="Q146" s="209"/>
      <c r="R146" s="210"/>
      <c r="S146" s="201"/>
      <c r="T146" s="188"/>
      <c r="U146" s="2"/>
      <c r="V146" s="208" t="s">
        <v>164</v>
      </c>
      <c r="W146" s="194" t="str">
        <f>IF(Q60=0,"-",W139*1000000/(W145*W30*W32))</f>
        <v>-</v>
      </c>
      <c r="X146" s="12" t="str">
        <f>IF(W146="-","",IF(R60=0,"-",IF(W146&lt;=1,"OK","Check")))</f>
        <v/>
      </c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H146" s="179"/>
      <c r="BI146" s="127"/>
      <c r="BJ146" s="127"/>
      <c r="BK146" s="127"/>
      <c r="BL146" s="127"/>
      <c r="BM146" s="120"/>
      <c r="BN146" s="4"/>
      <c r="BO146" s="121"/>
      <c r="BP146" s="122"/>
      <c r="BQ146" s="122"/>
      <c r="BR146" s="120"/>
      <c r="BS146" s="123"/>
      <c r="BT146" s="124"/>
      <c r="BU146" s="124"/>
      <c r="BV146" s="120"/>
      <c r="BW146" s="123"/>
      <c r="BX146" s="124"/>
      <c r="BY146" s="120"/>
      <c r="BZ146" s="12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H146" s="127"/>
      <c r="EI146" s="127"/>
      <c r="EJ146" s="127"/>
      <c r="EK146" s="127"/>
      <c r="EL146" s="127"/>
      <c r="EM146" s="120"/>
      <c r="EN146" s="121"/>
      <c r="EO146" s="121"/>
      <c r="EP146" s="120"/>
      <c r="EQ146" s="122"/>
      <c r="ER146" s="120"/>
      <c r="ES146" s="238"/>
      <c r="ET146" s="124"/>
      <c r="EU146" s="124"/>
      <c r="EV146" s="120"/>
      <c r="EW146" s="217"/>
      <c r="EX146" s="124"/>
      <c r="EY146" s="120"/>
      <c r="EZ146" s="217"/>
    </row>
    <row r="147" spans="13:156" ht="15">
      <c r="M147" s="7" t="str">
        <f>"- Moment chống uốn theo kim loại kim loại biên nóng chảy:"</f>
        <v>- Moment chống uốn theo kim loại kim loại biên nóng chảy:</v>
      </c>
      <c r="N147" s="2"/>
      <c r="O147" s="2"/>
      <c r="P147" s="2"/>
      <c r="Q147" s="2"/>
      <c r="R147" s="2"/>
      <c r="S147" s="2"/>
      <c r="T147" s="2"/>
      <c r="U147" s="2"/>
      <c r="V147" s="33" t="s">
        <v>165</v>
      </c>
      <c r="W147" s="212" t="str">
        <f>IF(Q60=0,"-",U31*(W144/(T60/2)))</f>
        <v>-</v>
      </c>
      <c r="X147" s="8" t="s">
        <v>161</v>
      </c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H147" s="179"/>
      <c r="BI147" s="127"/>
      <c r="BJ147" s="127"/>
      <c r="BK147" s="127"/>
      <c r="BL147" s="127"/>
      <c r="BM147" s="120"/>
      <c r="BN147" s="4"/>
      <c r="BO147" s="121"/>
      <c r="BP147" s="122"/>
      <c r="BQ147" s="122"/>
      <c r="BR147" s="120"/>
      <c r="BS147" s="123"/>
      <c r="BT147" s="124"/>
      <c r="BU147" s="124"/>
      <c r="BV147" s="120"/>
      <c r="BW147" s="123"/>
      <c r="BX147" s="124"/>
      <c r="BY147" s="120"/>
      <c r="BZ147" s="12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H147" s="127"/>
      <c r="EI147" s="127"/>
      <c r="EJ147" s="127"/>
      <c r="EK147" s="127"/>
      <c r="EL147" s="127"/>
      <c r="EM147" s="120"/>
      <c r="EN147" s="121"/>
      <c r="EO147" s="121"/>
      <c r="EP147" s="120"/>
      <c r="EQ147" s="122"/>
      <c r="ER147" s="120"/>
      <c r="ES147" s="238"/>
      <c r="ET147" s="124"/>
      <c r="EU147" s="124"/>
      <c r="EV147" s="120"/>
      <c r="EW147" s="217"/>
      <c r="EX147" s="124"/>
      <c r="EY147" s="120"/>
      <c r="EZ147" s="217"/>
    </row>
    <row r="148" spans="13:156" ht="15">
      <c r="M148" s="7" t="str">
        <f>"- Tỷ số huy động theo kim loại biên nóng chảy:"</f>
        <v>- Tỷ số huy động theo kim loại biên nóng chảy:</v>
      </c>
      <c r="N148" s="2"/>
      <c r="O148" s="2"/>
      <c r="P148" s="208"/>
      <c r="Q148" s="209"/>
      <c r="R148" s="210"/>
      <c r="S148" s="201"/>
      <c r="T148" s="188"/>
      <c r="U148" s="2"/>
      <c r="V148" s="208" t="s">
        <v>166</v>
      </c>
      <c r="W148" s="194" t="str">
        <f>IF(Q60=0,"-",W139*1000000/(W147*W31*W32))</f>
        <v>-</v>
      </c>
      <c r="X148" s="12" t="str">
        <f>IF(W148="-","",IF(R60=0,"-",IF(W148&lt;=1,"OK","Check")))</f>
        <v/>
      </c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H148" s="179"/>
      <c r="BI148" s="127"/>
      <c r="BJ148" s="127"/>
      <c r="BK148" s="127"/>
      <c r="BL148" s="127"/>
      <c r="BM148" s="120"/>
      <c r="BN148" s="4"/>
      <c r="BO148" s="121"/>
      <c r="BP148" s="122"/>
      <c r="BQ148" s="122"/>
      <c r="BR148" s="120"/>
      <c r="BS148" s="123"/>
      <c r="BT148" s="124"/>
      <c r="BU148" s="124"/>
      <c r="BV148" s="120"/>
      <c r="BW148" s="123"/>
      <c r="BX148" s="124"/>
      <c r="BY148" s="120"/>
      <c r="BZ148" s="12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H148" s="127"/>
      <c r="EI148" s="127"/>
      <c r="EJ148" s="127"/>
      <c r="EK148" s="127"/>
      <c r="EL148" s="127"/>
      <c r="EM148" s="120"/>
      <c r="EN148" s="121"/>
      <c r="EO148" s="121"/>
      <c r="EP148" s="120"/>
      <c r="EQ148" s="122"/>
      <c r="ER148" s="120"/>
      <c r="ES148" s="238"/>
      <c r="ET148" s="124"/>
      <c r="EU148" s="124"/>
      <c r="EV148" s="120"/>
      <c r="EW148" s="217"/>
      <c r="EX148" s="124"/>
      <c r="EY148" s="120"/>
      <c r="EZ148" s="217"/>
    </row>
    <row r="149" spans="13:156">
      <c r="M149" s="6" t="s">
        <v>392</v>
      </c>
      <c r="N149" s="2"/>
      <c r="O149" s="2"/>
      <c r="P149" s="33"/>
      <c r="Q149" s="187"/>
      <c r="R149" s="188"/>
      <c r="S149" s="2"/>
      <c r="T149" s="2"/>
      <c r="U149" s="2"/>
      <c r="V149" s="2"/>
      <c r="W149" s="2"/>
      <c r="X149" s="8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H149" s="179"/>
      <c r="BI149" s="127"/>
      <c r="BJ149" s="127"/>
      <c r="BK149" s="127"/>
      <c r="BL149" s="127"/>
      <c r="BM149" s="120"/>
      <c r="BN149" s="4"/>
      <c r="BO149" s="121"/>
      <c r="BP149" s="122"/>
      <c r="BQ149" s="122"/>
      <c r="BR149" s="120"/>
      <c r="BS149" s="123"/>
      <c r="BT149" s="124"/>
      <c r="BU149" s="124"/>
      <c r="BV149" s="120"/>
      <c r="BW149" s="123"/>
      <c r="BX149" s="124"/>
      <c r="BY149" s="120"/>
      <c r="BZ149" s="12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H149" s="127"/>
      <c r="EI149" s="127"/>
      <c r="EJ149" s="127"/>
      <c r="EK149" s="127"/>
      <c r="EL149" s="127"/>
      <c r="EM149" s="120"/>
      <c r="EN149" s="121"/>
      <c r="EO149" s="121"/>
      <c r="EP149" s="120"/>
      <c r="EQ149" s="122"/>
      <c r="ER149" s="120"/>
      <c r="ES149" s="238"/>
      <c r="ET149" s="124"/>
      <c r="EU149" s="124"/>
      <c r="EV149" s="120"/>
      <c r="EW149" s="217"/>
      <c r="EX149" s="124"/>
      <c r="EY149" s="120"/>
      <c r="EZ149" s="217"/>
    </row>
    <row r="150" spans="13:156">
      <c r="M150" s="7" t="s">
        <v>148</v>
      </c>
      <c r="N150" s="2"/>
      <c r="O150" s="2"/>
      <c r="P150" s="2"/>
      <c r="Q150" s="2"/>
      <c r="R150" s="2"/>
      <c r="S150" s="2"/>
      <c r="T150" s="2"/>
      <c r="U150" s="2"/>
      <c r="V150" s="204"/>
      <c r="W150" s="204"/>
      <c r="X150" s="12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H150" s="179"/>
      <c r="BI150" s="127"/>
      <c r="BJ150" s="127"/>
      <c r="BK150" s="127"/>
      <c r="BL150" s="127"/>
      <c r="BM150" s="120"/>
      <c r="BN150" s="4"/>
      <c r="BO150" s="121"/>
      <c r="BP150" s="122"/>
      <c r="BQ150" s="122"/>
      <c r="BR150" s="120"/>
      <c r="BS150" s="123"/>
      <c r="BT150" s="124"/>
      <c r="BU150" s="124"/>
      <c r="BV150" s="120"/>
      <c r="BW150" s="123"/>
      <c r="BX150" s="124"/>
      <c r="BY150" s="120"/>
      <c r="BZ150" s="12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H150" s="127"/>
      <c r="EI150" s="127"/>
      <c r="EJ150" s="127"/>
      <c r="EK150" s="127"/>
      <c r="EL150" s="127"/>
      <c r="EM150" s="120"/>
      <c r="EN150" s="121"/>
      <c r="EO150" s="121"/>
      <c r="EP150" s="120"/>
      <c r="EQ150" s="122"/>
      <c r="ER150" s="120"/>
      <c r="ES150" s="238"/>
      <c r="ET150" s="124"/>
      <c r="EU150" s="124"/>
      <c r="EV150" s="120"/>
      <c r="EW150" s="217"/>
      <c r="EX150" s="124"/>
      <c r="EY150" s="120"/>
      <c r="EZ150" s="217"/>
    </row>
    <row r="151" spans="13:156">
      <c r="M151" s="31" t="s">
        <v>158</v>
      </c>
      <c r="N151" s="2"/>
      <c r="O151" s="2"/>
      <c r="P151" s="2"/>
      <c r="Q151" s="2"/>
      <c r="R151" s="2"/>
      <c r="S151" s="2"/>
      <c r="T151" s="2"/>
      <c r="U151" s="2"/>
      <c r="V151" s="204"/>
      <c r="W151" s="204"/>
      <c r="X151" s="12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H151" s="179"/>
      <c r="BI151" s="127"/>
      <c r="BJ151" s="127"/>
      <c r="BK151" s="127"/>
      <c r="BL151" s="127"/>
      <c r="BM151" s="120"/>
      <c r="BN151" s="4"/>
      <c r="BO151" s="121"/>
      <c r="BP151" s="122"/>
      <c r="BQ151" s="122"/>
      <c r="BR151" s="120"/>
      <c r="BS151" s="123"/>
      <c r="BT151" s="124"/>
      <c r="BU151" s="124"/>
      <c r="BV151" s="120"/>
      <c r="BW151" s="123"/>
      <c r="BX151" s="124"/>
      <c r="BY151" s="120"/>
      <c r="BZ151" s="12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H151" s="127"/>
      <c r="EI151" s="127"/>
      <c r="EJ151" s="127"/>
      <c r="EK151" s="127"/>
      <c r="EL151" s="127"/>
      <c r="EM151" s="120"/>
      <c r="EN151" s="121"/>
      <c r="EO151" s="121"/>
      <c r="EP151" s="120"/>
      <c r="EQ151" s="122"/>
      <c r="ER151" s="120"/>
      <c r="ES151" s="238"/>
      <c r="ET151" s="124"/>
      <c r="EU151" s="124"/>
      <c r="EV151" s="120"/>
      <c r="EW151" s="217"/>
      <c r="EX151" s="124"/>
      <c r="EY151" s="120"/>
      <c r="EZ151" s="217"/>
    </row>
    <row r="152" spans="13:156" ht="15">
      <c r="M152" s="7" t="str">
        <f>"- Ứng suất phản lực bê tông móng để tính sườn đế:"</f>
        <v>- Ứng suất phản lực bê tông móng để tính sườn đế:</v>
      </c>
      <c r="N152" s="2"/>
      <c r="O152" s="2"/>
      <c r="P152" s="2"/>
      <c r="Q152" s="205"/>
      <c r="R152" s="205"/>
      <c r="S152" s="206"/>
      <c r="T152" s="34"/>
      <c r="U152" s="2"/>
      <c r="V152" s="20" t="s">
        <v>197</v>
      </c>
      <c r="W152" s="199">
        <f>IF(Q61=0,"-",W99)</f>
        <v>0.33215055016047856</v>
      </c>
      <c r="X152" s="8" t="s">
        <v>20</v>
      </c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H152" s="179"/>
      <c r="BI152" s="127"/>
      <c r="BJ152" s="127"/>
      <c r="BK152" s="127"/>
      <c r="BL152" s="127"/>
      <c r="BM152" s="120"/>
      <c r="BN152" s="4"/>
      <c r="BO152" s="121"/>
      <c r="BP152" s="122"/>
      <c r="BQ152" s="122"/>
      <c r="BR152" s="120"/>
      <c r="BS152" s="123"/>
      <c r="BT152" s="124"/>
      <c r="BU152" s="124"/>
      <c r="BV152" s="120"/>
      <c r="BW152" s="123"/>
      <c r="BX152" s="124"/>
      <c r="BY152" s="120"/>
      <c r="BZ152" s="12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H152" s="127"/>
      <c r="EI152" s="127"/>
      <c r="EJ152" s="127"/>
      <c r="EK152" s="127"/>
      <c r="EL152" s="127"/>
      <c r="EM152" s="120"/>
      <c r="EN152" s="121"/>
      <c r="EO152" s="121"/>
      <c r="EP152" s="120"/>
      <c r="EQ152" s="122"/>
      <c r="ER152" s="120"/>
      <c r="ES152" s="238"/>
      <c r="ET152" s="124"/>
      <c r="EU152" s="124"/>
      <c r="EV152" s="120"/>
      <c r="EW152" s="217"/>
      <c r="EX152" s="124"/>
      <c r="EY152" s="120"/>
      <c r="EZ152" s="217"/>
    </row>
    <row r="153" spans="13:156" ht="15">
      <c r="M153" s="7" t="str">
        <f>"- Bề rộng chịu tải của sườn:"</f>
        <v>- Bề rộng chịu tải của sườn:</v>
      </c>
      <c r="N153" s="2"/>
      <c r="O153" s="2"/>
      <c r="P153" s="2"/>
      <c r="Q153" s="205"/>
      <c r="R153" s="205"/>
      <c r="S153" s="205"/>
      <c r="T153" s="2"/>
      <c r="U153" s="2"/>
      <c r="V153" s="33" t="s">
        <v>171</v>
      </c>
      <c r="W153" s="186">
        <f>IF(Q61=0,"-",1.5*S61)</f>
        <v>195</v>
      </c>
      <c r="X153" s="8" t="s">
        <v>1</v>
      </c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H153" s="179"/>
      <c r="BI153" s="127"/>
      <c r="BJ153" s="127"/>
      <c r="BK153" s="127"/>
      <c r="BL153" s="127"/>
      <c r="BM153" s="120"/>
      <c r="BN153" s="4"/>
      <c r="BO153" s="121"/>
      <c r="BP153" s="122"/>
      <c r="BQ153" s="122"/>
      <c r="BR153" s="120"/>
      <c r="BS153" s="123"/>
      <c r="BT153" s="124"/>
      <c r="BU153" s="124"/>
      <c r="BV153" s="120"/>
      <c r="BW153" s="123"/>
      <c r="BX153" s="124"/>
      <c r="BY153" s="120"/>
      <c r="BZ153" s="12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H153" s="127"/>
      <c r="EI153" s="127"/>
      <c r="EJ153" s="127"/>
      <c r="EK153" s="127"/>
      <c r="EL153" s="127"/>
      <c r="EM153" s="120"/>
      <c r="EN153" s="121"/>
      <c r="EO153" s="121"/>
      <c r="EP153" s="120"/>
      <c r="EQ153" s="122"/>
      <c r="ER153" s="120"/>
      <c r="ES153" s="238"/>
      <c r="ET153" s="124"/>
      <c r="EU153" s="124"/>
      <c r="EV153" s="120"/>
      <c r="EW153" s="217"/>
      <c r="EX153" s="124"/>
      <c r="EY153" s="120"/>
      <c r="EZ153" s="217"/>
    </row>
    <row r="154" spans="13:156" ht="15">
      <c r="M154" s="7" t="str">
        <f>"- Tải trọng tác dụng lên sườn:"</f>
        <v>- Tải trọng tác dụng lên sườn:</v>
      </c>
      <c r="N154" s="2"/>
      <c r="O154" s="2"/>
      <c r="P154" s="2"/>
      <c r="Q154" s="205"/>
      <c r="R154" s="205"/>
      <c r="S154" s="205"/>
      <c r="T154" s="33"/>
      <c r="U154" s="2"/>
      <c r="V154" s="33" t="s">
        <v>149</v>
      </c>
      <c r="W154" s="186">
        <f>IF(Q61=0,"-",W152*W153)</f>
        <v>64.769357281293324</v>
      </c>
      <c r="X154" s="8" t="s">
        <v>150</v>
      </c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H154" s="179"/>
      <c r="BI154" s="127"/>
      <c r="BJ154" s="127"/>
      <c r="BK154" s="127"/>
      <c r="BL154" s="127"/>
      <c r="BM154" s="120"/>
      <c r="BN154" s="4"/>
      <c r="BO154" s="121"/>
      <c r="BP154" s="122"/>
      <c r="BQ154" s="122"/>
      <c r="BR154" s="120"/>
      <c r="BS154" s="123"/>
      <c r="BT154" s="124"/>
      <c r="BU154" s="124"/>
      <c r="BV154" s="120"/>
      <c r="BW154" s="123"/>
      <c r="BX154" s="124"/>
      <c r="BY154" s="120"/>
      <c r="BZ154" s="12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H154" s="127"/>
      <c r="EI154" s="127"/>
      <c r="EJ154" s="127"/>
      <c r="EK154" s="127"/>
      <c r="EL154" s="127"/>
      <c r="EM154" s="120"/>
      <c r="EN154" s="121"/>
      <c r="EO154" s="121"/>
      <c r="EP154" s="120"/>
      <c r="EQ154" s="122"/>
      <c r="ER154" s="120"/>
      <c r="ES154" s="238"/>
      <c r="ET154" s="124"/>
      <c r="EU154" s="124"/>
      <c r="EV154" s="120"/>
      <c r="EW154" s="217"/>
      <c r="EX154" s="124"/>
      <c r="EY154" s="120"/>
      <c r="EZ154" s="217"/>
    </row>
    <row r="155" spans="13:156" ht="15">
      <c r="M155" s="7" t="str">
        <f>"- Moment lớn nhất sườn đế:"</f>
        <v>- Moment lớn nhất sườn đế:</v>
      </c>
      <c r="N155" s="2"/>
      <c r="O155" s="2"/>
      <c r="P155" s="2"/>
      <c r="Q155" s="205"/>
      <c r="R155" s="205"/>
      <c r="S155" s="205"/>
      <c r="T155" s="2"/>
      <c r="U155" s="2"/>
      <c r="V155" s="33" t="s">
        <v>151</v>
      </c>
      <c r="W155" s="207">
        <f>IF(Q61=0,"-",W154*(S61/1000)^2/2)</f>
        <v>0.54730106902692865</v>
      </c>
      <c r="X155" s="8" t="s">
        <v>73</v>
      </c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H155" s="179"/>
      <c r="BI155" s="127"/>
      <c r="BJ155" s="127"/>
      <c r="BK155" s="127"/>
      <c r="BL155" s="127"/>
      <c r="BM155" s="120"/>
      <c r="BN155" s="4"/>
      <c r="BO155" s="121"/>
      <c r="BP155" s="122"/>
      <c r="BQ155" s="122"/>
      <c r="BR155" s="120"/>
      <c r="BS155" s="123"/>
      <c r="BT155" s="124"/>
      <c r="BU155" s="124"/>
      <c r="BV155" s="120"/>
      <c r="BW155" s="123"/>
      <c r="BX155" s="124"/>
      <c r="BY155" s="120"/>
      <c r="BZ155" s="12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H155" s="127"/>
      <c r="EI155" s="127"/>
      <c r="EJ155" s="127"/>
      <c r="EK155" s="127"/>
      <c r="EL155" s="127"/>
      <c r="EM155" s="120"/>
      <c r="EN155" s="121"/>
      <c r="EO155" s="121"/>
      <c r="EP155" s="120"/>
      <c r="EQ155" s="122"/>
      <c r="ER155" s="120"/>
      <c r="ES155" s="238"/>
      <c r="ET155" s="124"/>
      <c r="EU155" s="124"/>
      <c r="EV155" s="120"/>
      <c r="EW155" s="217"/>
      <c r="EX155" s="124"/>
      <c r="EY155" s="120"/>
      <c r="EZ155" s="217"/>
    </row>
    <row r="156" spans="13:156" ht="15">
      <c r="M156" s="7" t="str">
        <f>"- Lực cắt lớn nhất sườn đế:"</f>
        <v>- Lực cắt lớn nhất sườn đế:</v>
      </c>
      <c r="N156" s="2"/>
      <c r="O156" s="2"/>
      <c r="P156" s="2"/>
      <c r="Q156" s="2"/>
      <c r="R156" s="2"/>
      <c r="S156" s="2"/>
      <c r="T156" s="2"/>
      <c r="U156" s="2"/>
      <c r="V156" s="33" t="s">
        <v>152</v>
      </c>
      <c r="W156" s="207">
        <f>IF(Q61=0,"-",W154*S61/1000)</f>
        <v>8.4200164465681322</v>
      </c>
      <c r="X156" s="8" t="s">
        <v>72</v>
      </c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H156" s="179"/>
      <c r="BI156" s="127"/>
      <c r="BJ156" s="127"/>
      <c r="BK156" s="127"/>
      <c r="BL156" s="127"/>
      <c r="BM156" s="120"/>
      <c r="BN156" s="4"/>
      <c r="BO156" s="121"/>
      <c r="BP156" s="122"/>
      <c r="BQ156" s="122"/>
      <c r="BR156" s="120"/>
      <c r="BS156" s="123"/>
      <c r="BT156" s="124"/>
      <c r="BU156" s="124"/>
      <c r="BV156" s="120"/>
      <c r="BW156" s="123"/>
      <c r="BX156" s="124"/>
      <c r="BY156" s="120"/>
      <c r="BZ156" s="12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H156" s="127"/>
      <c r="EI156" s="127"/>
      <c r="EJ156" s="127"/>
      <c r="EK156" s="127"/>
      <c r="EL156" s="127"/>
      <c r="EM156" s="120"/>
      <c r="EN156" s="121"/>
      <c r="EO156" s="121"/>
      <c r="EP156" s="120"/>
      <c r="EQ156" s="122"/>
      <c r="ER156" s="120"/>
      <c r="ES156" s="238"/>
      <c r="ET156" s="124"/>
      <c r="EU156" s="124"/>
      <c r="EV156" s="120"/>
      <c r="EW156" s="217"/>
      <c r="EX156" s="124"/>
      <c r="EY156" s="120"/>
      <c r="EZ156" s="217"/>
    </row>
    <row r="157" spans="13:156" ht="15" customHeight="1">
      <c r="M157" s="7" t="str">
        <f>"- Ứng suất sườn đế:"</f>
        <v>- Ứng suất sườn đế:</v>
      </c>
      <c r="N157" s="2"/>
      <c r="O157" s="2"/>
      <c r="P157" s="208" t="s">
        <v>153</v>
      </c>
      <c r="Q157" s="201">
        <f>IF(Q61=0,"-",6*W155/(R61*T61^2)*1000000)</f>
        <v>13.682526725673217</v>
      </c>
      <c r="R157" s="208" t="s">
        <v>154</v>
      </c>
      <c r="S157" s="209">
        <f>IF(Q61=0,"-",W156*1000/(R61*T61))</f>
        <v>7.0166803721401099</v>
      </c>
      <c r="T157" s="188" t="s">
        <v>20</v>
      </c>
      <c r="U157" s="2"/>
      <c r="V157" s="208" t="s">
        <v>155</v>
      </c>
      <c r="W157" s="199">
        <f>IF(Q61=0,"-",SQRT(Q157^2+3*S157^2))</f>
        <v>18.300626981966783</v>
      </c>
      <c r="X157" s="30" t="s">
        <v>20</v>
      </c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H157" s="179"/>
      <c r="BI157" s="127"/>
      <c r="BJ157" s="127"/>
      <c r="BK157" s="127"/>
      <c r="BL157" s="127"/>
      <c r="BM157" s="120"/>
      <c r="BN157" s="4"/>
      <c r="BO157" s="121"/>
      <c r="BP157" s="122"/>
      <c r="BQ157" s="122"/>
      <c r="BR157" s="120"/>
      <c r="BS157" s="123"/>
      <c r="BT157" s="124"/>
      <c r="BU157" s="124"/>
      <c r="BV157" s="120"/>
      <c r="BW157" s="123"/>
      <c r="BX157" s="124"/>
      <c r="BY157" s="120"/>
      <c r="BZ157" s="12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H157" s="127"/>
      <c r="EI157" s="127"/>
      <c r="EJ157" s="127"/>
      <c r="EK157" s="127"/>
      <c r="EL157" s="127"/>
      <c r="EM157" s="120"/>
      <c r="EN157" s="121"/>
      <c r="EO157" s="121"/>
      <c r="EP157" s="120"/>
      <c r="EQ157" s="122"/>
      <c r="ER157" s="120"/>
      <c r="ES157" s="238"/>
      <c r="ET157" s="124"/>
      <c r="EU157" s="124"/>
      <c r="EV157" s="120"/>
      <c r="EW157" s="217"/>
      <c r="EX157" s="124"/>
      <c r="EY157" s="120"/>
      <c r="EZ157" s="217"/>
    </row>
    <row r="158" spans="13:156" ht="15" customHeight="1">
      <c r="M158" s="7" t="str">
        <f>"- Tỷ số huy động cấu kiện:"</f>
        <v>- Tỷ số huy động cấu kiện:</v>
      </c>
      <c r="N158" s="2"/>
      <c r="O158" s="2"/>
      <c r="P158" s="208"/>
      <c r="Q158" s="209"/>
      <c r="R158" s="210" t="s">
        <v>157</v>
      </c>
      <c r="S158" s="201">
        <f>IF(Q61=0,"-",1.15*1*W25)</f>
        <v>262.85714285714283</v>
      </c>
      <c r="T158" s="188" t="s">
        <v>20</v>
      </c>
      <c r="U158" s="2"/>
      <c r="V158" s="208" t="s">
        <v>156</v>
      </c>
      <c r="W158" s="194">
        <f>IF(Q61=0,"-",W157/S158)</f>
        <v>6.9621950474873642E-2</v>
      </c>
      <c r="X158" s="12" t="str">
        <f>IF(W158="-","",IF(R61=0,"-",IF(W158&lt;=1,"OK","Check")))</f>
        <v>OK</v>
      </c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H158" s="179"/>
      <c r="BI158" s="127"/>
      <c r="BJ158" s="127"/>
      <c r="BK158" s="127"/>
      <c r="BL158" s="127"/>
      <c r="BM158" s="120"/>
      <c r="BN158" s="4"/>
      <c r="BO158" s="121"/>
      <c r="BP158" s="122"/>
      <c r="BQ158" s="122"/>
      <c r="BR158" s="120"/>
      <c r="BS158" s="123"/>
      <c r="BT158" s="124"/>
      <c r="BU158" s="124"/>
      <c r="BV158" s="120"/>
      <c r="BW158" s="123"/>
      <c r="BX158" s="124"/>
      <c r="BY158" s="120"/>
      <c r="BZ158" s="12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H158" s="127"/>
      <c r="EI158" s="127"/>
      <c r="EJ158" s="127"/>
      <c r="EK158" s="127"/>
      <c r="EL158" s="127"/>
      <c r="EM158" s="120"/>
      <c r="EN158" s="121"/>
      <c r="EO158" s="121"/>
      <c r="EP158" s="120"/>
      <c r="EQ158" s="122"/>
      <c r="ER158" s="120"/>
      <c r="ES158" s="238"/>
      <c r="ET158" s="124"/>
      <c r="EU158" s="124"/>
      <c r="EV158" s="120"/>
      <c r="EW158" s="217"/>
      <c r="EX158" s="124"/>
      <c r="EY158" s="120"/>
      <c r="EZ158" s="217"/>
    </row>
    <row r="159" spans="13:156">
      <c r="M159" s="31" t="s">
        <v>159</v>
      </c>
      <c r="N159" s="2"/>
      <c r="O159" s="2"/>
      <c r="P159" s="2"/>
      <c r="Q159" s="2"/>
      <c r="R159" s="2"/>
      <c r="S159" s="2"/>
      <c r="T159" s="2"/>
      <c r="U159" s="2"/>
      <c r="V159" s="204"/>
      <c r="W159" s="38"/>
      <c r="X159" s="12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H159" s="179"/>
      <c r="BI159" s="127"/>
      <c r="BJ159" s="127"/>
      <c r="BK159" s="127"/>
      <c r="BL159" s="127"/>
      <c r="BM159" s="120"/>
      <c r="BN159" s="4"/>
      <c r="BO159" s="121"/>
      <c r="BP159" s="122"/>
      <c r="BQ159" s="122"/>
      <c r="BR159" s="120"/>
      <c r="BS159" s="123"/>
      <c r="BT159" s="124"/>
      <c r="BU159" s="124"/>
      <c r="BV159" s="120"/>
      <c r="BW159" s="123"/>
      <c r="BX159" s="124"/>
      <c r="BY159" s="120"/>
      <c r="BZ159" s="12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H159" s="127"/>
      <c r="EI159" s="127"/>
      <c r="EJ159" s="127"/>
      <c r="EK159" s="127"/>
      <c r="EL159" s="127"/>
      <c r="EM159" s="120"/>
      <c r="EN159" s="121"/>
      <c r="EO159" s="121"/>
      <c r="EP159" s="120"/>
      <c r="EQ159" s="122"/>
      <c r="ER159" s="120"/>
      <c r="ES159" s="238"/>
      <c r="ET159" s="124"/>
      <c r="EU159" s="124"/>
      <c r="EV159" s="120"/>
      <c r="EW159" s="217"/>
      <c r="EX159" s="124"/>
      <c r="EY159" s="120"/>
      <c r="EZ159" s="217"/>
    </row>
    <row r="160" spans="13:156" ht="15">
      <c r="M160" s="7" t="str">
        <f>"- Moment quán tính của tiết diện đường hàn:"</f>
        <v>- Moment quán tính của tiết diện đường hàn:</v>
      </c>
      <c r="N160" s="2"/>
      <c r="O160" s="2"/>
      <c r="P160" s="2"/>
      <c r="Q160" s="2"/>
      <c r="R160" s="2"/>
      <c r="S160" s="2"/>
      <c r="T160" s="2"/>
      <c r="U160" s="2"/>
      <c r="V160" s="33" t="s">
        <v>162</v>
      </c>
      <c r="W160" s="211">
        <f>IF(Q61=0,"-",2*(U61*T61^3/12))</f>
        <v>8000000</v>
      </c>
      <c r="X160" s="8" t="s">
        <v>160</v>
      </c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H160" s="179"/>
      <c r="BI160" s="127"/>
      <c r="BJ160" s="127"/>
      <c r="BK160" s="127"/>
      <c r="BL160" s="127"/>
      <c r="BM160" s="120"/>
      <c r="BN160" s="4"/>
      <c r="BO160" s="121"/>
      <c r="BP160" s="122"/>
      <c r="BQ160" s="122"/>
      <c r="BR160" s="120"/>
      <c r="BS160" s="123"/>
      <c r="BT160" s="124"/>
      <c r="BU160" s="124"/>
      <c r="BV160" s="120"/>
      <c r="BW160" s="123"/>
      <c r="BX160" s="124"/>
      <c r="BY160" s="120"/>
      <c r="BZ160" s="12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H160" s="127"/>
      <c r="EI160" s="127"/>
      <c r="EJ160" s="127"/>
      <c r="EK160" s="127"/>
      <c r="EL160" s="127"/>
      <c r="EM160" s="120"/>
      <c r="EN160" s="121"/>
      <c r="EO160" s="121"/>
      <c r="EP160" s="120"/>
      <c r="EQ160" s="122"/>
      <c r="ER160" s="120"/>
      <c r="ES160" s="238"/>
      <c r="ET160" s="124"/>
      <c r="EU160" s="124"/>
      <c r="EV160" s="120"/>
      <c r="EW160" s="217"/>
      <c r="EX160" s="124"/>
      <c r="EY160" s="120"/>
      <c r="EZ160" s="217"/>
    </row>
    <row r="161" spans="13:156" ht="15">
      <c r="M161" s="7" t="str">
        <f>"- Moment chống uốn theo kim loại đường hàn:"</f>
        <v>- Moment chống uốn theo kim loại đường hàn:</v>
      </c>
      <c r="N161" s="2"/>
      <c r="O161" s="2"/>
      <c r="P161" s="2"/>
      <c r="Q161" s="2"/>
      <c r="R161" s="2"/>
      <c r="S161" s="2"/>
      <c r="T161" s="2"/>
      <c r="U161" s="2"/>
      <c r="V161" s="33" t="s">
        <v>163</v>
      </c>
      <c r="W161" s="212">
        <f>IF(Q61=0,"-",U30*(W160/(T61/2)))</f>
        <v>56000</v>
      </c>
      <c r="X161" s="8" t="s">
        <v>161</v>
      </c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H161" s="179"/>
      <c r="BI161" s="127"/>
      <c r="BJ161" s="127"/>
      <c r="BK161" s="127"/>
      <c r="BL161" s="127"/>
      <c r="BM161" s="120"/>
      <c r="BN161" s="4"/>
      <c r="BO161" s="121"/>
      <c r="BP161" s="122"/>
      <c r="BQ161" s="122"/>
      <c r="BR161" s="120"/>
      <c r="BS161" s="123"/>
      <c r="BT161" s="124"/>
      <c r="BU161" s="124"/>
      <c r="BV161" s="120"/>
      <c r="BW161" s="123"/>
      <c r="BX161" s="124"/>
      <c r="BY161" s="120"/>
      <c r="BZ161" s="12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H161" s="127"/>
      <c r="EI161" s="127"/>
      <c r="EJ161" s="127"/>
      <c r="EK161" s="127"/>
      <c r="EL161" s="127"/>
      <c r="EM161" s="120"/>
      <c r="EN161" s="121"/>
      <c r="EO161" s="121"/>
      <c r="EP161" s="120"/>
      <c r="EQ161" s="122"/>
      <c r="ER161" s="120"/>
      <c r="ES161" s="238"/>
      <c r="ET161" s="124"/>
      <c r="EU161" s="124"/>
      <c r="EV161" s="120"/>
      <c r="EW161" s="217"/>
      <c r="EX161" s="124"/>
      <c r="EY161" s="120"/>
      <c r="EZ161" s="217"/>
    </row>
    <row r="162" spans="13:156" ht="15">
      <c r="M162" s="7" t="str">
        <f>"- Tỷ số huy động theo kim loại đường hàn:"</f>
        <v>- Tỷ số huy động theo kim loại đường hàn:</v>
      </c>
      <c r="N162" s="2"/>
      <c r="O162" s="2"/>
      <c r="P162" s="208"/>
      <c r="Q162" s="209"/>
      <c r="R162" s="210"/>
      <c r="S162" s="201"/>
      <c r="T162" s="188"/>
      <c r="U162" s="2"/>
      <c r="V162" s="208" t="s">
        <v>164</v>
      </c>
      <c r="W162" s="194">
        <f>IF(Q61=0,"-",W155*1000000/(W161*W30*W32))</f>
        <v>5.4295740974893716E-2</v>
      </c>
      <c r="X162" s="12" t="str">
        <f>IF(W162="-","",IF(R61=0,"-",IF(W162&lt;=1,"OK","Check")))</f>
        <v>OK</v>
      </c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H162" s="179"/>
      <c r="BI162" s="127"/>
      <c r="BJ162" s="127"/>
      <c r="BK162" s="127"/>
      <c r="BL162" s="127"/>
      <c r="BM162" s="120"/>
      <c r="BN162" s="4"/>
      <c r="BO162" s="121"/>
      <c r="BP162" s="122"/>
      <c r="BQ162" s="122"/>
      <c r="BR162" s="120"/>
      <c r="BS162" s="123"/>
      <c r="BT162" s="124"/>
      <c r="BU162" s="124"/>
      <c r="BV162" s="120"/>
      <c r="BW162" s="123"/>
      <c r="BX162" s="124"/>
      <c r="BY162" s="120"/>
      <c r="BZ162" s="12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H162" s="127"/>
      <c r="EI162" s="127"/>
      <c r="EJ162" s="127"/>
      <c r="EK162" s="127"/>
      <c r="EL162" s="127"/>
      <c r="EM162" s="120"/>
      <c r="EN162" s="121"/>
      <c r="EO162" s="121"/>
      <c r="EP162" s="120"/>
      <c r="EQ162" s="122"/>
      <c r="ER162" s="120"/>
      <c r="ES162" s="238"/>
      <c r="ET162" s="124"/>
      <c r="EU162" s="124"/>
      <c r="EV162" s="120"/>
      <c r="EW162" s="217"/>
      <c r="EX162" s="124"/>
      <c r="EY162" s="120"/>
      <c r="EZ162" s="217"/>
    </row>
    <row r="163" spans="13:156" ht="15">
      <c r="M163" s="7" t="str">
        <f>"- Moment chống uốn theo kim loại kim loại biên nóng chảy:"</f>
        <v>- Moment chống uốn theo kim loại kim loại biên nóng chảy:</v>
      </c>
      <c r="N163" s="2"/>
      <c r="O163" s="2"/>
      <c r="P163" s="2"/>
      <c r="Q163" s="2"/>
      <c r="R163" s="2"/>
      <c r="S163" s="2"/>
      <c r="T163" s="2"/>
      <c r="U163" s="2"/>
      <c r="V163" s="33" t="s">
        <v>165</v>
      </c>
      <c r="W163" s="212">
        <f>IF(Q61=0,"-",U31*(W160/(T61/2)))</f>
        <v>80000</v>
      </c>
      <c r="X163" s="8" t="s">
        <v>161</v>
      </c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H163" s="179"/>
      <c r="BI163" s="127"/>
      <c r="BJ163" s="127"/>
      <c r="BK163" s="127"/>
      <c r="BL163" s="127"/>
      <c r="BM163" s="120"/>
      <c r="BN163" s="4"/>
      <c r="BO163" s="121"/>
      <c r="BP163" s="122"/>
      <c r="BQ163" s="122"/>
      <c r="BR163" s="120"/>
      <c r="BS163" s="123"/>
      <c r="BT163" s="124"/>
      <c r="BU163" s="124"/>
      <c r="BV163" s="120"/>
      <c r="BW163" s="123"/>
      <c r="BX163" s="124"/>
      <c r="BY163" s="120"/>
      <c r="BZ163" s="12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H163" s="127"/>
      <c r="EI163" s="127"/>
      <c r="EJ163" s="127"/>
      <c r="EK163" s="127"/>
      <c r="EL163" s="127"/>
      <c r="EM163" s="120"/>
      <c r="EN163" s="121"/>
      <c r="EO163" s="121"/>
      <c r="EP163" s="120"/>
      <c r="EQ163" s="122"/>
      <c r="ER163" s="120"/>
      <c r="ES163" s="238"/>
      <c r="ET163" s="124"/>
      <c r="EU163" s="124"/>
      <c r="EV163" s="120"/>
      <c r="EW163" s="217"/>
      <c r="EX163" s="124"/>
      <c r="EY163" s="120"/>
      <c r="EZ163" s="217"/>
    </row>
    <row r="164" spans="13:156" ht="15">
      <c r="M164" s="7" t="str">
        <f>"- Tỷ số huy động theo kim loại biên nóng chảy:"</f>
        <v>- Tỷ số huy động theo kim loại biên nóng chảy:</v>
      </c>
      <c r="N164" s="2"/>
      <c r="O164" s="2"/>
      <c r="P164" s="208"/>
      <c r="Q164" s="209"/>
      <c r="R164" s="210"/>
      <c r="S164" s="201"/>
      <c r="T164" s="188"/>
      <c r="U164" s="2"/>
      <c r="V164" s="208" t="s">
        <v>166</v>
      </c>
      <c r="W164" s="194">
        <f>IF(Q61=0,"-",W155*1000000/(W163*W31*W32))</f>
        <v>4.0007388086763788E-2</v>
      </c>
      <c r="X164" s="12" t="str">
        <f>IF(W164="-","",IF(R61=0,"-",IF(W164&lt;=1,"OK","Check")))</f>
        <v>OK</v>
      </c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H164" s="179"/>
      <c r="BI164" s="127"/>
      <c r="BJ164" s="127"/>
      <c r="BK164" s="127"/>
      <c r="BL164" s="127"/>
      <c r="BM164" s="120"/>
      <c r="BN164" s="4"/>
      <c r="BO164" s="121"/>
      <c r="BP164" s="122"/>
      <c r="BQ164" s="122"/>
      <c r="BR164" s="120"/>
      <c r="BS164" s="123"/>
      <c r="BT164" s="124"/>
      <c r="BU164" s="124"/>
      <c r="BV164" s="120"/>
      <c r="BW164" s="123"/>
      <c r="BX164" s="124"/>
      <c r="BY164" s="120"/>
      <c r="BZ164" s="12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H164" s="127"/>
      <c r="EI164" s="127"/>
      <c r="EJ164" s="127"/>
      <c r="EK164" s="127"/>
      <c r="EL164" s="127"/>
      <c r="EM164" s="120"/>
      <c r="EN164" s="121"/>
      <c r="EO164" s="121"/>
      <c r="EP164" s="120"/>
      <c r="EQ164" s="122"/>
      <c r="ER164" s="120"/>
      <c r="ES164" s="238"/>
      <c r="ET164" s="124"/>
      <c r="EU164" s="124"/>
      <c r="EV164" s="120"/>
      <c r="EW164" s="217"/>
      <c r="EX164" s="124"/>
      <c r="EY164" s="120"/>
      <c r="EZ164" s="217"/>
    </row>
    <row r="165" spans="13:156">
      <c r="M165" s="6" t="s">
        <v>336</v>
      </c>
      <c r="N165" s="2"/>
      <c r="O165" s="2"/>
      <c r="P165" s="33"/>
      <c r="Q165" s="187"/>
      <c r="R165" s="188"/>
      <c r="S165" s="2"/>
      <c r="T165" s="2"/>
      <c r="U165" s="2"/>
      <c r="V165" s="2"/>
      <c r="W165" s="2"/>
      <c r="X165" s="8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H165" s="179"/>
      <c r="BI165" s="127"/>
      <c r="BJ165" s="127"/>
      <c r="BK165" s="127"/>
      <c r="BL165" s="127"/>
      <c r="BM165" s="120"/>
      <c r="BN165" s="4"/>
      <c r="BO165" s="121"/>
      <c r="BP165" s="122"/>
      <c r="BQ165" s="122"/>
      <c r="BR165" s="120"/>
      <c r="BS165" s="123"/>
      <c r="BT165" s="124"/>
      <c r="BU165" s="124"/>
      <c r="BV165" s="120"/>
      <c r="BW165" s="123"/>
      <c r="BX165" s="124"/>
      <c r="BY165" s="120"/>
      <c r="BZ165" s="12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H165" s="127"/>
      <c r="EI165" s="127"/>
      <c r="EJ165" s="127"/>
      <c r="EK165" s="127"/>
      <c r="EL165" s="127"/>
      <c r="EM165" s="120"/>
      <c r="EN165" s="121"/>
      <c r="EO165" s="121"/>
      <c r="EP165" s="120"/>
      <c r="EQ165" s="122"/>
      <c r="ER165" s="120"/>
      <c r="ES165" s="238"/>
      <c r="ET165" s="124"/>
      <c r="EU165" s="124"/>
      <c r="EV165" s="120"/>
      <c r="EW165" s="217"/>
      <c r="EX165" s="124"/>
      <c r="EY165" s="120"/>
      <c r="EZ165" s="217"/>
    </row>
    <row r="166" spans="13:156" ht="15">
      <c r="M166" s="7" t="str">
        <f>"- Lực dọc do các đường hàn bản cánh chịu:"</f>
        <v>- Lực dọc do các đường hàn bản cánh chịu:</v>
      </c>
      <c r="N166" s="2"/>
      <c r="O166" s="2"/>
      <c r="P166" s="202"/>
      <c r="Q166" s="197"/>
      <c r="R166" s="203"/>
      <c r="S166" s="197"/>
      <c r="T166" s="2"/>
      <c r="U166" s="188"/>
      <c r="V166" s="33" t="s">
        <v>198</v>
      </c>
      <c r="W166" s="201">
        <f>ABS(W66*1000)/W39+U66/2</f>
        <v>6.7834712896000946</v>
      </c>
      <c r="X166" s="8" t="s">
        <v>72</v>
      </c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H166" s="179"/>
      <c r="BI166" s="127"/>
      <c r="BJ166" s="127"/>
      <c r="BK166" s="127"/>
      <c r="BL166" s="127"/>
      <c r="BM166" s="120"/>
      <c r="BN166" s="4"/>
      <c r="BO166" s="121"/>
      <c r="BP166" s="122"/>
      <c r="BQ166" s="122"/>
      <c r="BR166" s="120"/>
      <c r="BS166" s="123"/>
      <c r="BT166" s="124"/>
      <c r="BU166" s="124"/>
      <c r="BV166" s="120"/>
      <c r="BW166" s="123"/>
      <c r="BX166" s="124"/>
      <c r="BY166" s="120"/>
      <c r="BZ166" s="12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H166" s="127"/>
      <c r="EI166" s="127"/>
      <c r="EJ166" s="127"/>
      <c r="EK166" s="127"/>
      <c r="EL166" s="127"/>
      <c r="EM166" s="120"/>
      <c r="EN166" s="121"/>
      <c r="EO166" s="121"/>
      <c r="EP166" s="120"/>
      <c r="EQ166" s="122"/>
      <c r="ER166" s="120"/>
      <c r="ES166" s="238"/>
      <c r="ET166" s="124"/>
      <c r="EU166" s="124"/>
      <c r="EV166" s="120"/>
      <c r="EW166" s="217"/>
      <c r="EX166" s="124"/>
      <c r="EY166" s="120"/>
      <c r="EZ166" s="217"/>
    </row>
    <row r="167" spans="13:156" ht="15">
      <c r="M167" s="7" t="str">
        <f>"- Tỷ số huy động đối với đường hàn bản cánh:"</f>
        <v>- Tỷ số huy động đối với đường hàn bản cánh:</v>
      </c>
      <c r="N167" s="2"/>
      <c r="O167" s="2"/>
      <c r="P167" s="2"/>
      <c r="Q167" s="2"/>
      <c r="R167" s="20" t="s">
        <v>144</v>
      </c>
      <c r="S167" s="34">
        <f>2*((W50-R61)/2-10)+2*((W40-W41)/2-10)+2*((W50-W40)/2-10)</f>
        <v>352</v>
      </c>
      <c r="T167" s="2" t="s">
        <v>1</v>
      </c>
      <c r="U167" s="2"/>
      <c r="V167" s="33" t="s">
        <v>146</v>
      </c>
      <c r="W167" s="194">
        <f>W166*1000/(W56*S167*W33)</f>
        <v>1.9118279022366791E-2</v>
      </c>
      <c r="X167" s="12" t="str">
        <f>IF(W167&lt;=1,"OK","Check")</f>
        <v>OK</v>
      </c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H167" s="179"/>
      <c r="BI167" s="127"/>
      <c r="BJ167" s="127"/>
      <c r="BK167" s="127"/>
      <c r="BL167" s="127"/>
      <c r="BM167" s="120"/>
      <c r="BN167" s="4"/>
      <c r="BO167" s="121"/>
      <c r="BP167" s="122"/>
      <c r="BQ167" s="122"/>
      <c r="BR167" s="120"/>
      <c r="BS167" s="123"/>
      <c r="BT167" s="124"/>
      <c r="BU167" s="124"/>
      <c r="BV167" s="120"/>
      <c r="BW167" s="123"/>
      <c r="BX167" s="124"/>
      <c r="BY167" s="120"/>
      <c r="BZ167" s="12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H167" s="127"/>
      <c r="EI167" s="127"/>
      <c r="EJ167" s="127"/>
      <c r="EK167" s="127"/>
      <c r="EL167" s="127"/>
      <c r="EM167" s="120"/>
      <c r="EN167" s="121"/>
      <c r="EO167" s="121"/>
      <c r="EP167" s="120"/>
      <c r="EQ167" s="122"/>
      <c r="ER167" s="120"/>
      <c r="ES167" s="238"/>
      <c r="ET167" s="124"/>
      <c r="EU167" s="124"/>
      <c r="EV167" s="120"/>
      <c r="EW167" s="217"/>
      <c r="EX167" s="124"/>
      <c r="EY167" s="120"/>
      <c r="EZ167" s="217"/>
    </row>
    <row r="168" spans="13:156" ht="15">
      <c r="M168" s="7" t="str">
        <f>"- Tỷ số huy động đối với đường hàn bản bụng:"</f>
        <v>- Tỷ số huy động đối với đường hàn bản bụng:</v>
      </c>
      <c r="N168" s="2"/>
      <c r="O168" s="2"/>
      <c r="P168" s="2"/>
      <c r="Q168" s="2"/>
      <c r="R168" s="20" t="s">
        <v>144</v>
      </c>
      <c r="S168" s="34">
        <f>2*(W39-2*W42-R60)-20+4*(S61-10)</f>
        <v>1312</v>
      </c>
      <c r="T168" s="2" t="s">
        <v>1</v>
      </c>
      <c r="U168" s="2"/>
      <c r="V168" s="33" t="s">
        <v>147</v>
      </c>
      <c r="W168" s="194">
        <f>ABS(V66)*1000/(W57*S168*W33)</f>
        <v>1.0855858723082701E-3</v>
      </c>
      <c r="X168" s="12" t="str">
        <f>IF(W168&lt;=1,"OK","Check")</f>
        <v>OK</v>
      </c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H168" s="179"/>
      <c r="BI168" s="127"/>
      <c r="BJ168" s="127"/>
      <c r="BK168" s="127"/>
      <c r="BL168" s="127"/>
      <c r="BM168" s="120"/>
      <c r="BN168" s="4"/>
      <c r="BO168" s="121"/>
      <c r="BP168" s="122"/>
      <c r="BQ168" s="122"/>
      <c r="BR168" s="120"/>
      <c r="BS168" s="123"/>
      <c r="BT168" s="124"/>
      <c r="BU168" s="124"/>
      <c r="BV168" s="120"/>
      <c r="BW168" s="123"/>
      <c r="BX168" s="124"/>
      <c r="BY168" s="120"/>
      <c r="BZ168" s="12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H168" s="127"/>
      <c r="EI168" s="127"/>
      <c r="EJ168" s="127"/>
      <c r="EK168" s="127"/>
      <c r="EL168" s="127"/>
      <c r="EM168" s="120"/>
      <c r="EN168" s="121"/>
      <c r="EO168" s="121"/>
      <c r="EP168" s="120"/>
      <c r="EQ168" s="122"/>
      <c r="ER168" s="120"/>
      <c r="ES168" s="238"/>
      <c r="ET168" s="124"/>
      <c r="EU168" s="124"/>
      <c r="EV168" s="120"/>
      <c r="EW168" s="217"/>
      <c r="EX168" s="124"/>
      <c r="EY168" s="120"/>
      <c r="EZ168" s="217"/>
    </row>
    <row r="169" spans="13:156" ht="12.75" customHeight="1">
      <c r="M169" s="7"/>
      <c r="N169" s="2"/>
      <c r="O169" s="2"/>
      <c r="P169" s="208"/>
      <c r="Q169" s="209"/>
      <c r="R169" s="210"/>
      <c r="S169" s="201"/>
      <c r="T169" s="188"/>
      <c r="U169" s="2"/>
      <c r="V169" s="208"/>
      <c r="W169" s="2"/>
      <c r="X169" s="12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H169" s="179"/>
      <c r="BI169" s="127"/>
      <c r="BJ169" s="127"/>
      <c r="BK169" s="127"/>
      <c r="BL169" s="127"/>
      <c r="BM169" s="120"/>
      <c r="BN169" s="4"/>
      <c r="BO169" s="121"/>
      <c r="BP169" s="122"/>
      <c r="BQ169" s="122"/>
      <c r="BR169" s="120"/>
      <c r="BS169" s="123"/>
      <c r="BT169" s="124"/>
      <c r="BU169" s="124"/>
      <c r="BV169" s="120"/>
      <c r="BW169" s="123"/>
      <c r="BX169" s="124"/>
      <c r="BY169" s="120"/>
      <c r="BZ169" s="12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H169" s="127"/>
      <c r="EI169" s="127"/>
      <c r="EJ169" s="127"/>
      <c r="EK169" s="127"/>
      <c r="EL169" s="127"/>
      <c r="EM169" s="120"/>
      <c r="EN169" s="121"/>
      <c r="EO169" s="121"/>
      <c r="EP169" s="120"/>
      <c r="EQ169" s="122"/>
      <c r="ER169" s="120"/>
      <c r="ES169" s="238"/>
      <c r="ET169" s="124"/>
      <c r="EU169" s="124"/>
      <c r="EV169" s="120"/>
      <c r="EW169" s="217"/>
      <c r="EX169" s="124"/>
      <c r="EY169" s="120"/>
      <c r="EZ169" s="217"/>
    </row>
    <row r="170" spans="13:156">
      <c r="M170" s="17" t="s">
        <v>27</v>
      </c>
      <c r="N170" s="2"/>
      <c r="O170" s="2"/>
      <c r="P170" s="204"/>
      <c r="Q170" s="213"/>
      <c r="R170" s="34"/>
      <c r="S170" s="34"/>
      <c r="T170" s="199"/>
      <c r="U170" s="20"/>
      <c r="V170" s="33"/>
      <c r="W170" s="2"/>
      <c r="X170" s="8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H170" s="179"/>
      <c r="BI170" s="127"/>
      <c r="BJ170" s="127"/>
      <c r="BK170" s="127"/>
      <c r="BL170" s="127"/>
      <c r="BM170" s="120"/>
      <c r="BN170" s="4"/>
      <c r="BO170" s="121"/>
      <c r="BP170" s="122"/>
      <c r="BQ170" s="122"/>
      <c r="BR170" s="120"/>
      <c r="BS170" s="123"/>
      <c r="BT170" s="124"/>
      <c r="BU170" s="124"/>
      <c r="BV170" s="120"/>
      <c r="BW170" s="123"/>
      <c r="BX170" s="124"/>
      <c r="BY170" s="120"/>
      <c r="BZ170" s="12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H170" s="127"/>
      <c r="EI170" s="127"/>
      <c r="EJ170" s="127"/>
      <c r="EK170" s="127"/>
      <c r="EL170" s="127"/>
      <c r="EM170" s="120"/>
      <c r="EN170" s="121"/>
      <c r="EO170" s="121"/>
      <c r="EP170" s="120"/>
      <c r="EQ170" s="122"/>
      <c r="ER170" s="120"/>
      <c r="ES170" s="238"/>
      <c r="ET170" s="124"/>
      <c r="EU170" s="124"/>
      <c r="EV170" s="120"/>
      <c r="EW170" s="217"/>
      <c r="EX170" s="124"/>
      <c r="EY170" s="120"/>
      <c r="EZ170" s="217"/>
    </row>
    <row r="171" spans="13:156">
      <c r="M171" s="246" t="s">
        <v>461</v>
      </c>
      <c r="N171" s="247"/>
      <c r="O171" s="247"/>
      <c r="P171" s="247"/>
      <c r="Q171" s="247"/>
      <c r="R171" s="247"/>
      <c r="S171" s="247"/>
      <c r="T171" s="247"/>
      <c r="U171" s="247"/>
      <c r="V171" s="247"/>
      <c r="W171" s="247"/>
      <c r="X171" s="248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H171" s="179"/>
      <c r="BI171" s="127"/>
      <c r="BJ171" s="127"/>
      <c r="BK171" s="127"/>
      <c r="BL171" s="127"/>
      <c r="BM171" s="120"/>
      <c r="BN171" s="4"/>
      <c r="BO171" s="121"/>
      <c r="BP171" s="122"/>
      <c r="BQ171" s="122"/>
      <c r="BR171" s="120"/>
      <c r="BS171" s="123"/>
      <c r="BT171" s="124"/>
      <c r="BU171" s="124"/>
      <c r="BV171" s="120"/>
      <c r="BW171" s="123"/>
      <c r="BX171" s="124"/>
      <c r="BY171" s="120"/>
      <c r="BZ171" s="12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H171" s="127"/>
      <c r="EI171" s="127"/>
      <c r="EJ171" s="127"/>
      <c r="EK171" s="127"/>
      <c r="EL171" s="127"/>
      <c r="EM171" s="120"/>
      <c r="EN171" s="121"/>
      <c r="EO171" s="121"/>
      <c r="EP171" s="120"/>
      <c r="EQ171" s="122"/>
      <c r="ER171" s="120"/>
      <c r="ES171" s="238"/>
      <c r="ET171" s="124"/>
      <c r="EU171" s="124"/>
      <c r="EV171" s="120"/>
      <c r="EW171" s="217"/>
      <c r="EX171" s="124"/>
      <c r="EY171" s="120"/>
      <c r="EZ171" s="217"/>
    </row>
    <row r="172" spans="13:156">
      <c r="M172" s="249" t="s">
        <v>462</v>
      </c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8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H172" s="179"/>
      <c r="BI172" s="127"/>
      <c r="BJ172" s="127"/>
      <c r="BK172" s="127"/>
      <c r="BL172" s="127"/>
      <c r="BM172" s="120"/>
      <c r="BN172" s="4"/>
      <c r="BO172" s="121"/>
      <c r="BP172" s="122"/>
      <c r="BQ172" s="122"/>
      <c r="BR172" s="120"/>
      <c r="BS172" s="123"/>
      <c r="BT172" s="124"/>
      <c r="BU172" s="124"/>
      <c r="BV172" s="120"/>
      <c r="BW172" s="123"/>
      <c r="BX172" s="124"/>
      <c r="BY172" s="120"/>
      <c r="BZ172" s="12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H172" s="127"/>
      <c r="EI172" s="127"/>
      <c r="EJ172" s="127"/>
      <c r="EK172" s="127"/>
      <c r="EL172" s="127"/>
      <c r="EM172" s="120"/>
      <c r="EN172" s="121"/>
      <c r="EO172" s="121"/>
      <c r="EP172" s="120"/>
      <c r="EQ172" s="122"/>
      <c r="ER172" s="120"/>
      <c r="ES172" s="238"/>
      <c r="ET172" s="124"/>
      <c r="EU172" s="124"/>
      <c r="EV172" s="120"/>
      <c r="EW172" s="217"/>
      <c r="EX172" s="124"/>
      <c r="EY172" s="120"/>
      <c r="EZ172" s="217"/>
    </row>
    <row r="173" spans="13:156">
      <c r="M173" s="249" t="s">
        <v>463</v>
      </c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8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H173" s="179"/>
      <c r="BI173" s="127"/>
      <c r="BJ173" s="127"/>
      <c r="BK173" s="127"/>
      <c r="BL173" s="127"/>
      <c r="BM173" s="120"/>
      <c r="BN173" s="4"/>
      <c r="BO173" s="121"/>
      <c r="BP173" s="122"/>
      <c r="BQ173" s="122"/>
      <c r="BR173" s="120"/>
      <c r="BS173" s="123"/>
      <c r="BT173" s="124"/>
      <c r="BU173" s="124"/>
      <c r="BV173" s="120"/>
      <c r="BW173" s="123"/>
      <c r="BX173" s="124"/>
      <c r="BY173" s="120"/>
      <c r="BZ173" s="12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H173" s="127"/>
      <c r="EI173" s="127"/>
      <c r="EJ173" s="127"/>
      <c r="EK173" s="127"/>
      <c r="EL173" s="127"/>
      <c r="EM173" s="120"/>
      <c r="EN173" s="121"/>
      <c r="EO173" s="121"/>
      <c r="EP173" s="120"/>
      <c r="EQ173" s="122"/>
      <c r="ER173" s="120"/>
      <c r="ES173" s="238"/>
      <c r="ET173" s="124"/>
      <c r="EU173" s="124"/>
      <c r="EV173" s="120"/>
      <c r="EW173" s="217"/>
      <c r="EX173" s="124"/>
      <c r="EY173" s="120"/>
      <c r="EZ173" s="217"/>
    </row>
    <row r="174" spans="13:156">
      <c r="M174" s="250" t="s">
        <v>464</v>
      </c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15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H174" s="179"/>
      <c r="BI174" s="127"/>
      <c r="BJ174" s="127"/>
      <c r="BK174" s="127"/>
      <c r="BL174" s="127"/>
      <c r="BM174" s="120"/>
      <c r="BN174" s="4"/>
      <c r="BO174" s="121"/>
      <c r="BP174" s="122"/>
      <c r="BQ174" s="122"/>
      <c r="BR174" s="120"/>
      <c r="BS174" s="123"/>
      <c r="BT174" s="124"/>
      <c r="BU174" s="124"/>
      <c r="BV174" s="120"/>
      <c r="BW174" s="123"/>
      <c r="BX174" s="124"/>
      <c r="BY174" s="120"/>
      <c r="BZ174" s="12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H174" s="127"/>
      <c r="EI174" s="127"/>
      <c r="EJ174" s="127"/>
      <c r="EK174" s="127"/>
      <c r="EL174" s="127"/>
      <c r="EM174" s="120"/>
      <c r="EN174" s="121"/>
      <c r="EO174" s="121"/>
      <c r="EP174" s="120"/>
      <c r="EQ174" s="122"/>
      <c r="ER174" s="120"/>
      <c r="ES174" s="238"/>
      <c r="ET174" s="124"/>
      <c r="EU174" s="124"/>
      <c r="EV174" s="120"/>
      <c r="EW174" s="217"/>
      <c r="EX174" s="124"/>
      <c r="EY174" s="120"/>
      <c r="EZ174" s="217"/>
    </row>
    <row r="175" spans="13:156"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H175" s="179"/>
      <c r="BI175" s="127"/>
      <c r="BJ175" s="127"/>
      <c r="BK175" s="127"/>
      <c r="BL175" s="127"/>
      <c r="BM175" s="120"/>
      <c r="BN175" s="4"/>
      <c r="BO175" s="121"/>
      <c r="BP175" s="122"/>
      <c r="BQ175" s="122"/>
      <c r="BR175" s="120"/>
      <c r="BS175" s="123"/>
      <c r="BT175" s="124"/>
      <c r="BU175" s="124"/>
      <c r="BV175" s="120"/>
      <c r="BW175" s="123"/>
      <c r="BX175" s="124"/>
      <c r="BY175" s="120"/>
      <c r="BZ175" s="12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H175" s="127"/>
      <c r="EI175" s="127"/>
      <c r="EJ175" s="127"/>
      <c r="EK175" s="127"/>
      <c r="EL175" s="127"/>
      <c r="EM175" s="120"/>
      <c r="EN175" s="121"/>
      <c r="EO175" s="121"/>
      <c r="EP175" s="120"/>
      <c r="EQ175" s="122"/>
      <c r="ER175" s="120"/>
      <c r="ES175" s="238"/>
      <c r="ET175" s="124"/>
      <c r="EU175" s="124"/>
      <c r="EV175" s="120"/>
      <c r="EW175" s="217"/>
      <c r="EX175" s="124"/>
      <c r="EY175" s="120"/>
      <c r="EZ175" s="217"/>
    </row>
    <row r="176" spans="13:156"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H176" s="179"/>
      <c r="BI176" s="127"/>
      <c r="BJ176" s="127"/>
      <c r="BK176" s="127"/>
      <c r="BL176" s="127"/>
      <c r="BM176" s="120"/>
      <c r="BN176" s="4"/>
      <c r="BO176" s="121"/>
      <c r="BP176" s="122"/>
      <c r="BQ176" s="122"/>
      <c r="BR176" s="120"/>
      <c r="BS176" s="123"/>
      <c r="BT176" s="124"/>
      <c r="BU176" s="124"/>
      <c r="BV176" s="120"/>
      <c r="BW176" s="123"/>
      <c r="BX176" s="124"/>
      <c r="BY176" s="120"/>
      <c r="BZ176" s="12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H176" s="127"/>
      <c r="EI176" s="127"/>
      <c r="EJ176" s="127"/>
      <c r="EK176" s="127"/>
      <c r="EL176" s="127"/>
      <c r="EM176" s="120"/>
      <c r="EN176" s="121"/>
      <c r="EO176" s="121"/>
      <c r="EP176" s="120"/>
      <c r="EQ176" s="122"/>
      <c r="ER176" s="120"/>
      <c r="ES176" s="238"/>
      <c r="ET176" s="124"/>
      <c r="EU176" s="124"/>
      <c r="EV176" s="120"/>
      <c r="EW176" s="217"/>
      <c r="EX176" s="124"/>
      <c r="EY176" s="120"/>
      <c r="EZ176" s="217"/>
    </row>
    <row r="177" spans="35:156"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H177" s="179"/>
      <c r="BI177" s="127"/>
      <c r="BJ177" s="127"/>
      <c r="BK177" s="127"/>
      <c r="BL177" s="127"/>
      <c r="BM177" s="120"/>
      <c r="BN177" s="4"/>
      <c r="BO177" s="121"/>
      <c r="BP177" s="122"/>
      <c r="BQ177" s="122"/>
      <c r="BR177" s="120"/>
      <c r="BS177" s="123"/>
      <c r="BT177" s="124"/>
      <c r="BU177" s="124"/>
      <c r="BV177" s="120"/>
      <c r="BW177" s="123"/>
      <c r="BX177" s="124"/>
      <c r="BY177" s="120"/>
      <c r="BZ177" s="12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H177" s="127"/>
      <c r="EI177" s="127"/>
      <c r="EJ177" s="127"/>
      <c r="EK177" s="127"/>
      <c r="EL177" s="127"/>
      <c r="EM177" s="120"/>
      <c r="EN177" s="121"/>
      <c r="EO177" s="121"/>
      <c r="EP177" s="120"/>
      <c r="EQ177" s="122"/>
      <c r="ER177" s="120"/>
      <c r="ES177" s="238"/>
      <c r="ET177" s="124"/>
      <c r="EU177" s="124"/>
      <c r="EV177" s="120"/>
      <c r="EW177" s="217"/>
      <c r="EX177" s="124"/>
      <c r="EY177" s="120"/>
      <c r="EZ177" s="217"/>
    </row>
    <row r="178" spans="35:156"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H178" s="179"/>
      <c r="BI178" s="127"/>
      <c r="BJ178" s="127"/>
      <c r="BK178" s="127"/>
      <c r="BL178" s="127"/>
      <c r="BM178" s="120"/>
      <c r="BN178" s="4"/>
      <c r="BO178" s="121"/>
      <c r="BP178" s="122"/>
      <c r="BQ178" s="122"/>
      <c r="BR178" s="120"/>
      <c r="BS178" s="123"/>
      <c r="BT178" s="124"/>
      <c r="BU178" s="124"/>
      <c r="BV178" s="120"/>
      <c r="BW178" s="123"/>
      <c r="BX178" s="124"/>
      <c r="BY178" s="120"/>
      <c r="BZ178" s="12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H178" s="127"/>
      <c r="EI178" s="127"/>
      <c r="EJ178" s="127"/>
      <c r="EK178" s="127"/>
      <c r="EL178" s="127"/>
      <c r="EM178" s="120"/>
      <c r="EN178" s="121"/>
      <c r="EO178" s="121"/>
      <c r="EP178" s="120"/>
      <c r="EQ178" s="122"/>
      <c r="ER178" s="120"/>
      <c r="ES178" s="238"/>
      <c r="ET178" s="124"/>
      <c r="EU178" s="124"/>
      <c r="EV178" s="120"/>
      <c r="EW178" s="217"/>
      <c r="EX178" s="124"/>
      <c r="EY178" s="120"/>
      <c r="EZ178" s="217"/>
    </row>
    <row r="179" spans="35:156"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H179" s="179"/>
      <c r="BI179" s="127"/>
      <c r="BJ179" s="127"/>
      <c r="BK179" s="127"/>
      <c r="BL179" s="127"/>
      <c r="BM179" s="120"/>
      <c r="BN179" s="4"/>
      <c r="BO179" s="121"/>
      <c r="BP179" s="122"/>
      <c r="BQ179" s="122"/>
      <c r="BR179" s="120"/>
      <c r="BS179" s="123"/>
      <c r="BT179" s="124"/>
      <c r="BU179" s="124"/>
      <c r="BV179" s="120"/>
      <c r="BW179" s="123"/>
      <c r="BX179" s="124"/>
      <c r="BY179" s="120"/>
      <c r="BZ179" s="12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H179" s="127"/>
      <c r="EI179" s="127"/>
      <c r="EJ179" s="127"/>
      <c r="EK179" s="127"/>
      <c r="EL179" s="127"/>
      <c r="EM179" s="120"/>
      <c r="EN179" s="121"/>
      <c r="EO179" s="121"/>
      <c r="EP179" s="120"/>
      <c r="EQ179" s="122"/>
      <c r="ER179" s="120"/>
      <c r="ES179" s="238"/>
      <c r="ET179" s="124"/>
      <c r="EU179" s="124"/>
      <c r="EV179" s="120"/>
      <c r="EW179" s="217"/>
      <c r="EX179" s="124"/>
      <c r="EY179" s="120"/>
      <c r="EZ179" s="217"/>
    </row>
    <row r="180" spans="35:156"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H180" s="179"/>
      <c r="BI180" s="127"/>
      <c r="BJ180" s="127"/>
      <c r="BK180" s="127"/>
      <c r="BL180" s="127"/>
      <c r="BM180" s="120"/>
      <c r="BN180" s="4"/>
      <c r="BO180" s="121"/>
      <c r="BP180" s="122"/>
      <c r="BQ180" s="122"/>
      <c r="BR180" s="120"/>
      <c r="BS180" s="123"/>
      <c r="BT180" s="124"/>
      <c r="BU180" s="124"/>
      <c r="BV180" s="120"/>
      <c r="BW180" s="123"/>
      <c r="BX180" s="124"/>
      <c r="BY180" s="120"/>
      <c r="BZ180" s="12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H180" s="127"/>
      <c r="EI180" s="127"/>
      <c r="EJ180" s="127"/>
      <c r="EK180" s="127"/>
      <c r="EL180" s="127"/>
      <c r="EM180" s="120"/>
      <c r="EN180" s="121"/>
      <c r="EO180" s="121"/>
      <c r="EP180" s="120"/>
      <c r="EQ180" s="122"/>
      <c r="ER180" s="120"/>
      <c r="ES180" s="238"/>
      <c r="ET180" s="124"/>
      <c r="EU180" s="124"/>
      <c r="EV180" s="120"/>
      <c r="EW180" s="217"/>
      <c r="EX180" s="124"/>
      <c r="EY180" s="120"/>
      <c r="EZ180" s="217"/>
    </row>
    <row r="181" spans="35:156"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H181" s="179"/>
      <c r="BI181" s="127"/>
      <c r="BJ181" s="127"/>
      <c r="BK181" s="127"/>
      <c r="BL181" s="127"/>
      <c r="BM181" s="120"/>
      <c r="BN181" s="4"/>
      <c r="BO181" s="121"/>
      <c r="BP181" s="122"/>
      <c r="BQ181" s="122"/>
      <c r="BR181" s="120"/>
      <c r="BS181" s="123"/>
      <c r="BT181" s="124"/>
      <c r="BU181" s="124"/>
      <c r="BV181" s="120"/>
      <c r="BW181" s="123"/>
      <c r="BX181" s="124"/>
      <c r="BY181" s="120"/>
      <c r="BZ181" s="12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H181" s="127"/>
      <c r="EI181" s="127"/>
      <c r="EJ181" s="127"/>
      <c r="EK181" s="127"/>
      <c r="EL181" s="127"/>
      <c r="EM181" s="120"/>
      <c r="EN181" s="121"/>
      <c r="EO181" s="121"/>
      <c r="EP181" s="120"/>
      <c r="EQ181" s="122"/>
      <c r="ER181" s="120"/>
      <c r="ES181" s="238"/>
      <c r="ET181" s="124"/>
      <c r="EU181" s="124"/>
      <c r="EV181" s="120"/>
      <c r="EW181" s="217"/>
      <c r="EX181" s="124"/>
      <c r="EY181" s="120"/>
      <c r="EZ181" s="217"/>
    </row>
    <row r="182" spans="35:156"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H182" s="179"/>
      <c r="BI182" s="127"/>
      <c r="BJ182" s="127"/>
      <c r="BK182" s="127"/>
      <c r="BL182" s="127"/>
      <c r="BM182" s="120"/>
      <c r="BN182" s="4"/>
      <c r="BO182" s="121"/>
      <c r="BP182" s="122"/>
      <c r="BQ182" s="122"/>
      <c r="BR182" s="120"/>
      <c r="BS182" s="123"/>
      <c r="BT182" s="124"/>
      <c r="BU182" s="124"/>
      <c r="BV182" s="120"/>
      <c r="BW182" s="123"/>
      <c r="BX182" s="124"/>
      <c r="BY182" s="120"/>
      <c r="BZ182" s="12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H182" s="127"/>
      <c r="EI182" s="127"/>
      <c r="EJ182" s="127"/>
      <c r="EK182" s="127"/>
      <c r="EL182" s="127"/>
      <c r="EM182" s="120"/>
      <c r="EN182" s="121"/>
      <c r="EO182" s="121"/>
      <c r="EP182" s="120"/>
      <c r="EQ182" s="122"/>
      <c r="ER182" s="120"/>
      <c r="ES182" s="238"/>
      <c r="ET182" s="124"/>
      <c r="EU182" s="124"/>
      <c r="EV182" s="120"/>
      <c r="EW182" s="217"/>
      <c r="EX182" s="124"/>
      <c r="EY182" s="120"/>
      <c r="EZ182" s="217"/>
    </row>
    <row r="183" spans="35:156"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H183" s="179"/>
      <c r="BI183" s="127"/>
      <c r="BJ183" s="127"/>
      <c r="BK183" s="127"/>
      <c r="BL183" s="127"/>
      <c r="BM183" s="120"/>
      <c r="BN183" s="4"/>
      <c r="BO183" s="121"/>
      <c r="BP183" s="122"/>
      <c r="BQ183" s="122"/>
      <c r="BR183" s="120"/>
      <c r="BS183" s="123"/>
      <c r="BT183" s="124"/>
      <c r="BU183" s="124"/>
      <c r="BV183" s="120"/>
      <c r="BW183" s="123"/>
      <c r="BX183" s="124"/>
      <c r="BY183" s="120"/>
      <c r="BZ183" s="12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H183" s="127"/>
      <c r="EI183" s="127"/>
      <c r="EJ183" s="127"/>
      <c r="EK183" s="127"/>
      <c r="EL183" s="127"/>
      <c r="EM183" s="120"/>
      <c r="EN183" s="121"/>
      <c r="EO183" s="121"/>
      <c r="EP183" s="120"/>
      <c r="EQ183" s="122"/>
      <c r="ER183" s="120"/>
      <c r="ES183" s="238"/>
      <c r="ET183" s="124"/>
      <c r="EU183" s="124"/>
      <c r="EV183" s="120"/>
      <c r="EW183" s="217"/>
      <c r="EX183" s="124"/>
      <c r="EY183" s="120"/>
      <c r="EZ183" s="217"/>
    </row>
    <row r="184" spans="35:156"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H184" s="179"/>
      <c r="BI184" s="127"/>
      <c r="BJ184" s="127"/>
      <c r="BK184" s="127"/>
      <c r="BL184" s="127"/>
      <c r="BM184" s="120"/>
      <c r="BN184" s="4"/>
      <c r="BO184" s="121"/>
      <c r="BP184" s="122"/>
      <c r="BQ184" s="122"/>
      <c r="BR184" s="120"/>
      <c r="BS184" s="123"/>
      <c r="BT184" s="124"/>
      <c r="BU184" s="124"/>
      <c r="BV184" s="120"/>
      <c r="BW184" s="123"/>
      <c r="BX184" s="124"/>
      <c r="BY184" s="120"/>
      <c r="BZ184" s="12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H184" s="127"/>
      <c r="EI184" s="127"/>
      <c r="EJ184" s="127"/>
      <c r="EK184" s="127"/>
      <c r="EL184" s="127"/>
      <c r="EM184" s="120"/>
      <c r="EN184" s="121"/>
      <c r="EO184" s="121"/>
      <c r="EP184" s="120"/>
      <c r="EQ184" s="122"/>
      <c r="ER184" s="120"/>
      <c r="ES184" s="238"/>
      <c r="ET184" s="124"/>
      <c r="EU184" s="124"/>
      <c r="EV184" s="120"/>
      <c r="EW184" s="217"/>
      <c r="EX184" s="124"/>
      <c r="EY184" s="120"/>
      <c r="EZ184" s="217"/>
    </row>
    <row r="185" spans="35:156"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H185" s="179"/>
      <c r="BI185" s="127"/>
      <c r="BJ185" s="127"/>
      <c r="BK185" s="127"/>
      <c r="BL185" s="127"/>
      <c r="BM185" s="120"/>
      <c r="BN185" s="4"/>
      <c r="BO185" s="121"/>
      <c r="BP185" s="122"/>
      <c r="BQ185" s="122"/>
      <c r="BR185" s="120"/>
      <c r="BS185" s="123"/>
      <c r="BT185" s="124"/>
      <c r="BU185" s="124"/>
      <c r="BV185" s="120"/>
      <c r="BW185" s="123"/>
      <c r="BX185" s="124"/>
      <c r="BY185" s="120"/>
      <c r="BZ185" s="12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H185" s="127"/>
      <c r="EI185" s="127"/>
      <c r="EJ185" s="127"/>
      <c r="EK185" s="127"/>
      <c r="EL185" s="127"/>
      <c r="EM185" s="120"/>
      <c r="EN185" s="121"/>
      <c r="EO185" s="121"/>
      <c r="EP185" s="120"/>
      <c r="EQ185" s="122"/>
      <c r="ER185" s="120"/>
      <c r="ES185" s="238"/>
      <c r="ET185" s="124"/>
      <c r="EU185" s="124"/>
      <c r="EV185" s="120"/>
      <c r="EW185" s="217"/>
      <c r="EX185" s="124"/>
      <c r="EY185" s="120"/>
      <c r="EZ185" s="217"/>
    </row>
    <row r="186" spans="35:156"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H186" s="179"/>
      <c r="BI186" s="127"/>
      <c r="BJ186" s="127"/>
      <c r="BK186" s="127"/>
      <c r="BL186" s="127"/>
      <c r="BM186" s="120"/>
      <c r="BN186" s="4"/>
      <c r="BO186" s="121"/>
      <c r="BP186" s="122"/>
      <c r="BQ186" s="122"/>
      <c r="BR186" s="120"/>
      <c r="BS186" s="123"/>
      <c r="BT186" s="124"/>
      <c r="BU186" s="124"/>
      <c r="BV186" s="120"/>
      <c r="BW186" s="123"/>
      <c r="BX186" s="124"/>
      <c r="BY186" s="120"/>
      <c r="BZ186" s="12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H186" s="127"/>
      <c r="EI186" s="127"/>
      <c r="EJ186" s="127"/>
      <c r="EK186" s="127"/>
      <c r="EL186" s="127"/>
      <c r="EM186" s="120"/>
      <c r="EN186" s="121"/>
      <c r="EO186" s="121"/>
      <c r="EP186" s="120"/>
      <c r="EQ186" s="122"/>
      <c r="ER186" s="120"/>
      <c r="ES186" s="238"/>
      <c r="ET186" s="124"/>
      <c r="EU186" s="124"/>
      <c r="EV186" s="120"/>
      <c r="EW186" s="217"/>
      <c r="EX186" s="124"/>
      <c r="EY186" s="120"/>
      <c r="EZ186" s="217"/>
    </row>
    <row r="187" spans="35:156"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H187" s="179"/>
      <c r="BI187" s="127"/>
      <c r="BJ187" s="127"/>
      <c r="BK187" s="127"/>
      <c r="BL187" s="127"/>
      <c r="BM187" s="120"/>
      <c r="BN187" s="4"/>
      <c r="BO187" s="121"/>
      <c r="BP187" s="122"/>
      <c r="BQ187" s="122"/>
      <c r="BR187" s="120"/>
      <c r="BS187" s="123"/>
      <c r="BT187" s="124"/>
      <c r="BU187" s="124"/>
      <c r="BV187" s="120"/>
      <c r="BW187" s="123"/>
      <c r="BX187" s="124"/>
      <c r="BY187" s="120"/>
      <c r="BZ187" s="12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H187" s="127"/>
      <c r="EI187" s="127"/>
      <c r="EJ187" s="127"/>
      <c r="EK187" s="127"/>
      <c r="EL187" s="127"/>
      <c r="EM187" s="120"/>
      <c r="EN187" s="121"/>
      <c r="EO187" s="121"/>
      <c r="EP187" s="120"/>
      <c r="EQ187" s="122"/>
      <c r="ER187" s="120"/>
      <c r="ES187" s="238"/>
      <c r="ET187" s="124"/>
      <c r="EU187" s="124"/>
      <c r="EV187" s="120"/>
      <c r="EW187" s="217"/>
      <c r="EX187" s="124"/>
      <c r="EY187" s="120"/>
      <c r="EZ187" s="217"/>
    </row>
    <row r="188" spans="35:156"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H188" s="179"/>
      <c r="BI188" s="127"/>
      <c r="BJ188" s="127"/>
      <c r="BK188" s="127"/>
      <c r="BL188" s="127"/>
      <c r="BM188" s="120"/>
      <c r="BN188" s="4"/>
      <c r="BO188" s="121"/>
      <c r="BP188" s="122"/>
      <c r="BQ188" s="122"/>
      <c r="BR188" s="120"/>
      <c r="BS188" s="123"/>
      <c r="BT188" s="124"/>
      <c r="BU188" s="124"/>
      <c r="BV188" s="120"/>
      <c r="BW188" s="123"/>
      <c r="BX188" s="124"/>
      <c r="BY188" s="120"/>
      <c r="BZ188" s="12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H188" s="127"/>
      <c r="EI188" s="127"/>
      <c r="EJ188" s="127"/>
      <c r="EK188" s="127"/>
      <c r="EL188" s="127"/>
      <c r="EM188" s="120"/>
      <c r="EN188" s="121"/>
      <c r="EO188" s="121"/>
      <c r="EP188" s="120"/>
      <c r="EQ188" s="122"/>
      <c r="ER188" s="120"/>
      <c r="ES188" s="238"/>
      <c r="ET188" s="124"/>
      <c r="EU188" s="124"/>
      <c r="EV188" s="120"/>
      <c r="EW188" s="217"/>
      <c r="EX188" s="124"/>
      <c r="EY188" s="120"/>
      <c r="EZ188" s="217"/>
    </row>
    <row r="189" spans="35:156"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H189" s="179"/>
      <c r="BI189" s="127"/>
      <c r="BJ189" s="127"/>
      <c r="BK189" s="127"/>
      <c r="BL189" s="127"/>
      <c r="BM189" s="120"/>
      <c r="BN189" s="4"/>
      <c r="BO189" s="121"/>
      <c r="BP189" s="122"/>
      <c r="BQ189" s="122"/>
      <c r="BR189" s="120"/>
      <c r="BS189" s="123"/>
      <c r="BT189" s="124"/>
      <c r="BU189" s="124"/>
      <c r="BV189" s="120"/>
      <c r="BW189" s="123"/>
      <c r="BX189" s="124"/>
      <c r="BY189" s="120"/>
      <c r="BZ189" s="12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H189" s="127"/>
      <c r="EI189" s="127"/>
      <c r="EJ189" s="127"/>
      <c r="EK189" s="127"/>
      <c r="EL189" s="127"/>
      <c r="EM189" s="120"/>
      <c r="EN189" s="121"/>
      <c r="EO189" s="121"/>
      <c r="EP189" s="120"/>
      <c r="EQ189" s="122"/>
      <c r="ER189" s="120"/>
      <c r="ES189" s="238"/>
      <c r="ET189" s="124"/>
      <c r="EU189" s="124"/>
      <c r="EV189" s="120"/>
      <c r="EW189" s="217"/>
      <c r="EX189" s="124"/>
      <c r="EY189" s="120"/>
      <c r="EZ189" s="217"/>
    </row>
    <row r="190" spans="35:156"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H190" s="179"/>
      <c r="BI190" s="127"/>
      <c r="BJ190" s="127"/>
      <c r="BK190" s="127"/>
      <c r="BL190" s="127"/>
      <c r="BM190" s="120"/>
      <c r="BN190" s="4"/>
      <c r="BO190" s="121"/>
      <c r="BP190" s="122"/>
      <c r="BQ190" s="122"/>
      <c r="BR190" s="120"/>
      <c r="BS190" s="123"/>
      <c r="BT190" s="124"/>
      <c r="BU190" s="124"/>
      <c r="BV190" s="120"/>
      <c r="BW190" s="123"/>
      <c r="BX190" s="124"/>
      <c r="BY190" s="120"/>
      <c r="BZ190" s="12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H190" s="127"/>
      <c r="EI190" s="127"/>
      <c r="EJ190" s="127"/>
      <c r="EK190" s="127"/>
      <c r="EL190" s="127"/>
      <c r="EM190" s="120"/>
      <c r="EN190" s="121"/>
      <c r="EO190" s="121"/>
      <c r="EP190" s="120"/>
      <c r="EQ190" s="122"/>
      <c r="ER190" s="120"/>
      <c r="ES190" s="238"/>
      <c r="ET190" s="124"/>
      <c r="EU190" s="124"/>
      <c r="EV190" s="120"/>
      <c r="EW190" s="217"/>
      <c r="EX190" s="124"/>
      <c r="EY190" s="120"/>
      <c r="EZ190" s="217"/>
    </row>
    <row r="191" spans="35:156"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H191" s="179"/>
      <c r="BI191" s="127"/>
      <c r="BJ191" s="127"/>
      <c r="BK191" s="127"/>
      <c r="BL191" s="127"/>
      <c r="BM191" s="120"/>
      <c r="BN191" s="4"/>
      <c r="BO191" s="121"/>
      <c r="BP191" s="122"/>
      <c r="BQ191" s="122"/>
      <c r="BR191" s="120"/>
      <c r="BS191" s="123"/>
      <c r="BT191" s="124"/>
      <c r="BU191" s="124"/>
      <c r="BV191" s="120"/>
      <c r="BW191" s="123"/>
      <c r="BX191" s="124"/>
      <c r="BY191" s="120"/>
      <c r="BZ191" s="12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H191" s="127"/>
      <c r="EI191" s="127"/>
      <c r="EJ191" s="127"/>
      <c r="EK191" s="127"/>
      <c r="EL191" s="127"/>
      <c r="EM191" s="120"/>
      <c r="EN191" s="121"/>
      <c r="EO191" s="121"/>
      <c r="EP191" s="120"/>
      <c r="EQ191" s="122"/>
      <c r="ER191" s="120"/>
      <c r="ES191" s="238"/>
      <c r="ET191" s="124"/>
      <c r="EU191" s="124"/>
      <c r="EV191" s="120"/>
      <c r="EW191" s="217"/>
      <c r="EX191" s="124"/>
      <c r="EY191" s="120"/>
      <c r="EZ191" s="217"/>
    </row>
    <row r="192" spans="35:156"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H192" s="179"/>
      <c r="BI192" s="127"/>
      <c r="BJ192" s="127"/>
      <c r="BK192" s="127"/>
      <c r="BL192" s="127"/>
      <c r="BM192" s="120"/>
      <c r="BN192" s="4"/>
      <c r="BO192" s="121"/>
      <c r="BP192" s="122"/>
      <c r="BQ192" s="122"/>
      <c r="BR192" s="120"/>
      <c r="BS192" s="123"/>
      <c r="BT192" s="124"/>
      <c r="BU192" s="124"/>
      <c r="BV192" s="120"/>
      <c r="BW192" s="123"/>
      <c r="BX192" s="124"/>
      <c r="BY192" s="120"/>
      <c r="BZ192" s="12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H192" s="127"/>
      <c r="EI192" s="127"/>
      <c r="EJ192" s="127"/>
      <c r="EK192" s="127"/>
      <c r="EL192" s="127"/>
      <c r="EM192" s="120"/>
      <c r="EN192" s="121"/>
      <c r="EO192" s="121"/>
      <c r="EP192" s="120"/>
      <c r="EQ192" s="122"/>
      <c r="ER192" s="120"/>
      <c r="ES192" s="238"/>
      <c r="ET192" s="124"/>
      <c r="EU192" s="124"/>
      <c r="EV192" s="120"/>
      <c r="EW192" s="217"/>
      <c r="EX192" s="124"/>
      <c r="EY192" s="120"/>
      <c r="EZ192" s="217"/>
    </row>
    <row r="193" spans="35:156"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H193" s="179"/>
      <c r="BI193" s="127"/>
      <c r="BJ193" s="127"/>
      <c r="BK193" s="127"/>
      <c r="BL193" s="127"/>
      <c r="BM193" s="120"/>
      <c r="BN193" s="4"/>
      <c r="BO193" s="121"/>
      <c r="BP193" s="122"/>
      <c r="BQ193" s="122"/>
      <c r="BR193" s="120"/>
      <c r="BS193" s="123"/>
      <c r="BT193" s="124"/>
      <c r="BU193" s="124"/>
      <c r="BV193" s="120"/>
      <c r="BW193" s="123"/>
      <c r="BX193" s="124"/>
      <c r="BY193" s="120"/>
      <c r="BZ193" s="12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H193" s="127"/>
      <c r="EI193" s="127"/>
      <c r="EJ193" s="127"/>
      <c r="EK193" s="127"/>
      <c r="EL193" s="127"/>
      <c r="EM193" s="120"/>
      <c r="EN193" s="121"/>
      <c r="EO193" s="121"/>
      <c r="EP193" s="120"/>
      <c r="EQ193" s="122"/>
      <c r="ER193" s="120"/>
      <c r="ES193" s="238"/>
      <c r="ET193" s="124"/>
      <c r="EU193" s="124"/>
      <c r="EV193" s="120"/>
      <c r="EW193" s="217"/>
      <c r="EX193" s="124"/>
      <c r="EY193" s="120"/>
      <c r="EZ193" s="217"/>
    </row>
    <row r="194" spans="35:156"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H194" s="179"/>
      <c r="BI194" s="127"/>
      <c r="BJ194" s="127"/>
      <c r="BK194" s="127"/>
      <c r="BL194" s="127"/>
      <c r="BM194" s="120"/>
      <c r="BN194" s="4"/>
      <c r="BO194" s="121"/>
      <c r="BP194" s="122"/>
      <c r="BQ194" s="122"/>
      <c r="BR194" s="120"/>
      <c r="BS194" s="123"/>
      <c r="BT194" s="124"/>
      <c r="BU194" s="124"/>
      <c r="BV194" s="120"/>
      <c r="BW194" s="123"/>
      <c r="BX194" s="124"/>
      <c r="BY194" s="120"/>
      <c r="BZ194" s="12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H194" s="127"/>
      <c r="EI194" s="127"/>
      <c r="EJ194" s="127"/>
      <c r="EK194" s="127"/>
      <c r="EL194" s="127"/>
      <c r="EM194" s="120"/>
      <c r="EN194" s="121"/>
      <c r="EO194" s="121"/>
      <c r="EP194" s="120"/>
      <c r="EQ194" s="122"/>
      <c r="ER194" s="120"/>
      <c r="ES194" s="238"/>
      <c r="ET194" s="124"/>
      <c r="EU194" s="124"/>
      <c r="EV194" s="120"/>
      <c r="EW194" s="217"/>
      <c r="EX194" s="124"/>
      <c r="EY194" s="120"/>
      <c r="EZ194" s="217"/>
    </row>
    <row r="195" spans="35:156"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H195" s="179"/>
      <c r="BI195" s="127"/>
      <c r="BJ195" s="127"/>
      <c r="BK195" s="127"/>
      <c r="BL195" s="127"/>
      <c r="BM195" s="120"/>
      <c r="BN195" s="4"/>
      <c r="BO195" s="121"/>
      <c r="BP195" s="122"/>
      <c r="BQ195" s="122"/>
      <c r="BR195" s="120"/>
      <c r="BS195" s="123"/>
      <c r="BT195" s="124"/>
      <c r="BU195" s="124"/>
      <c r="BV195" s="120"/>
      <c r="BW195" s="123"/>
      <c r="BX195" s="124"/>
      <c r="BY195" s="120"/>
      <c r="BZ195" s="12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H195" s="127"/>
      <c r="EI195" s="127"/>
      <c r="EJ195" s="127"/>
      <c r="EK195" s="127"/>
      <c r="EL195" s="127"/>
      <c r="EM195" s="120"/>
      <c r="EN195" s="121"/>
      <c r="EO195" s="121"/>
      <c r="EP195" s="120"/>
      <c r="EQ195" s="122"/>
      <c r="ER195" s="120"/>
      <c r="ES195" s="238"/>
      <c r="ET195" s="124"/>
      <c r="EU195" s="124"/>
      <c r="EV195" s="120"/>
      <c r="EW195" s="217"/>
      <c r="EX195" s="124"/>
      <c r="EY195" s="120"/>
      <c r="EZ195" s="217"/>
    </row>
    <row r="196" spans="35:156"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H196" s="179"/>
      <c r="BI196" s="127"/>
      <c r="BJ196" s="127"/>
      <c r="BK196" s="127"/>
      <c r="BL196" s="127"/>
      <c r="BM196" s="120"/>
      <c r="BN196" s="4"/>
      <c r="BO196" s="121"/>
      <c r="BP196" s="122"/>
      <c r="BQ196" s="122"/>
      <c r="BR196" s="120"/>
      <c r="BS196" s="123"/>
      <c r="BT196" s="124"/>
      <c r="BU196" s="124"/>
      <c r="BV196" s="120"/>
      <c r="BW196" s="123"/>
      <c r="BX196" s="124"/>
      <c r="BY196" s="120"/>
      <c r="BZ196" s="12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H196" s="127"/>
      <c r="EI196" s="127"/>
      <c r="EJ196" s="127"/>
      <c r="EK196" s="127"/>
      <c r="EL196" s="127"/>
      <c r="EM196" s="120"/>
      <c r="EN196" s="121"/>
      <c r="EO196" s="121"/>
      <c r="EP196" s="120"/>
      <c r="EQ196" s="122"/>
      <c r="ER196" s="120"/>
      <c r="ES196" s="238"/>
      <c r="ET196" s="124"/>
      <c r="EU196" s="124"/>
      <c r="EV196" s="120"/>
      <c r="EW196" s="217"/>
      <c r="EX196" s="124"/>
      <c r="EY196" s="120"/>
      <c r="EZ196" s="217"/>
    </row>
    <row r="197" spans="35:156"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H197" s="179"/>
      <c r="BI197" s="127"/>
      <c r="BJ197" s="127"/>
      <c r="BK197" s="127"/>
      <c r="BL197" s="127"/>
      <c r="BM197" s="120"/>
      <c r="BN197" s="4"/>
      <c r="BO197" s="121"/>
      <c r="BP197" s="122"/>
      <c r="BQ197" s="122"/>
      <c r="BR197" s="120"/>
      <c r="BS197" s="123"/>
      <c r="BT197" s="124"/>
      <c r="BU197" s="124"/>
      <c r="BV197" s="120"/>
      <c r="BW197" s="123"/>
      <c r="BX197" s="124"/>
      <c r="BY197" s="120"/>
      <c r="BZ197" s="12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H197" s="127"/>
      <c r="EI197" s="127"/>
      <c r="EJ197" s="127"/>
      <c r="EK197" s="127"/>
      <c r="EL197" s="127"/>
      <c r="EM197" s="120"/>
      <c r="EN197" s="121"/>
      <c r="EO197" s="121"/>
      <c r="EP197" s="120"/>
      <c r="EQ197" s="122"/>
      <c r="ER197" s="120"/>
      <c r="ES197" s="238"/>
      <c r="ET197" s="124"/>
      <c r="EU197" s="124"/>
      <c r="EV197" s="120"/>
      <c r="EW197" s="217"/>
      <c r="EX197" s="124"/>
      <c r="EY197" s="120"/>
      <c r="EZ197" s="217"/>
    </row>
    <row r="198" spans="35:156"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H198" s="179"/>
      <c r="BI198" s="127"/>
      <c r="BJ198" s="127"/>
      <c r="BK198" s="127"/>
      <c r="BL198" s="127"/>
      <c r="BM198" s="120"/>
      <c r="BN198" s="4"/>
      <c r="BO198" s="121"/>
      <c r="BP198" s="122"/>
      <c r="BQ198" s="122"/>
      <c r="BR198" s="120"/>
      <c r="BS198" s="123"/>
      <c r="BT198" s="124"/>
      <c r="BU198" s="124"/>
      <c r="BV198" s="120"/>
      <c r="BW198" s="123"/>
      <c r="BX198" s="124"/>
      <c r="BY198" s="120"/>
      <c r="BZ198" s="12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</row>
    <row r="199" spans="35:156"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H199" s="179"/>
      <c r="BI199" s="127"/>
      <c r="BJ199" s="127"/>
      <c r="BK199" s="127"/>
      <c r="BL199" s="127"/>
      <c r="BM199" s="120"/>
      <c r="BN199" s="4"/>
      <c r="BO199" s="121"/>
      <c r="BP199" s="122"/>
      <c r="BQ199" s="122"/>
      <c r="BR199" s="120"/>
      <c r="BS199" s="123"/>
      <c r="BT199" s="124"/>
      <c r="BU199" s="124"/>
      <c r="BV199" s="120"/>
      <c r="BW199" s="123"/>
      <c r="BX199" s="124"/>
      <c r="BY199" s="120"/>
      <c r="BZ199" s="12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</row>
    <row r="200" spans="35:156"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H200" s="179"/>
      <c r="BI200" s="127"/>
      <c r="BJ200" s="127"/>
      <c r="BK200" s="127"/>
      <c r="BL200" s="127"/>
      <c r="BM200" s="120"/>
      <c r="BN200" s="4"/>
      <c r="BO200" s="121"/>
      <c r="BP200" s="122"/>
      <c r="BQ200" s="122"/>
      <c r="BR200" s="120"/>
      <c r="BS200" s="123"/>
      <c r="BT200" s="124"/>
      <c r="BU200" s="124"/>
      <c r="BV200" s="120"/>
      <c r="BW200" s="123"/>
      <c r="BX200" s="124"/>
      <c r="BY200" s="120"/>
      <c r="BZ200" s="12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</row>
    <row r="201" spans="35:156"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H201" s="179"/>
      <c r="BI201" s="127"/>
      <c r="BJ201" s="127"/>
      <c r="BK201" s="127"/>
      <c r="BL201" s="127"/>
      <c r="BM201" s="120"/>
      <c r="BN201" s="4"/>
      <c r="BO201" s="121"/>
      <c r="BP201" s="122"/>
      <c r="BQ201" s="122"/>
      <c r="BR201" s="120"/>
      <c r="BS201" s="123"/>
      <c r="BT201" s="124"/>
      <c r="BU201" s="124"/>
      <c r="BV201" s="120"/>
      <c r="BW201" s="123"/>
      <c r="BX201" s="124"/>
      <c r="BY201" s="120"/>
      <c r="BZ201" s="12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</row>
    <row r="202" spans="35:156"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H202" s="179"/>
      <c r="BI202" s="127"/>
      <c r="BJ202" s="127"/>
      <c r="BK202" s="127"/>
      <c r="BL202" s="127"/>
      <c r="BM202" s="120"/>
      <c r="BN202" s="4"/>
      <c r="BO202" s="121"/>
      <c r="BP202" s="122"/>
      <c r="BQ202" s="122"/>
      <c r="BR202" s="120"/>
      <c r="BS202" s="123"/>
      <c r="BT202" s="124"/>
      <c r="BU202" s="124"/>
      <c r="BV202" s="120"/>
      <c r="BW202" s="123"/>
      <c r="BX202" s="124"/>
      <c r="BY202" s="120"/>
      <c r="BZ202" s="12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</row>
    <row r="203" spans="35:156"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H203" s="179"/>
      <c r="BI203" s="127"/>
      <c r="BJ203" s="127"/>
      <c r="BK203" s="127"/>
      <c r="BL203" s="127"/>
      <c r="BM203" s="120"/>
      <c r="BN203" s="4"/>
      <c r="BO203" s="121"/>
      <c r="BP203" s="122"/>
      <c r="BQ203" s="122"/>
      <c r="BR203" s="120"/>
      <c r="BS203" s="123"/>
      <c r="BT203" s="124"/>
      <c r="BU203" s="124"/>
      <c r="BV203" s="120"/>
      <c r="BW203" s="123"/>
      <c r="BX203" s="124"/>
      <c r="BY203" s="120"/>
      <c r="BZ203" s="12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</row>
    <row r="204" spans="35:156"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H204" s="179"/>
      <c r="BI204" s="127"/>
      <c r="BJ204" s="127"/>
      <c r="BK204" s="127"/>
      <c r="BL204" s="127"/>
      <c r="BM204" s="120"/>
      <c r="BN204" s="4"/>
      <c r="BO204" s="121"/>
      <c r="BP204" s="122"/>
      <c r="BQ204" s="122"/>
      <c r="BR204" s="120"/>
      <c r="BS204" s="123"/>
      <c r="BT204" s="124"/>
      <c r="BU204" s="124"/>
      <c r="BV204" s="120"/>
      <c r="BW204" s="123"/>
      <c r="BX204" s="124"/>
      <c r="BY204" s="120"/>
      <c r="BZ204" s="12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</row>
    <row r="205" spans="35:156"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H205" s="179"/>
      <c r="BI205" s="127"/>
      <c r="BJ205" s="127"/>
      <c r="BK205" s="127"/>
      <c r="BL205" s="127"/>
      <c r="BM205" s="120"/>
      <c r="BN205" s="4"/>
      <c r="BO205" s="121"/>
      <c r="BP205" s="122"/>
      <c r="BQ205" s="122"/>
      <c r="BR205" s="120"/>
      <c r="BS205" s="123"/>
      <c r="BT205" s="124"/>
      <c r="BU205" s="124"/>
      <c r="BV205" s="120"/>
      <c r="BW205" s="123"/>
      <c r="BX205" s="124"/>
      <c r="BY205" s="120"/>
      <c r="BZ205" s="12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</row>
    <row r="206" spans="35:156"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H206" s="179"/>
      <c r="BI206" s="127"/>
      <c r="BJ206" s="127"/>
      <c r="BK206" s="127"/>
      <c r="BL206" s="127"/>
      <c r="BM206" s="120"/>
      <c r="BN206" s="4"/>
      <c r="BO206" s="121"/>
      <c r="BP206" s="122"/>
      <c r="BQ206" s="122"/>
      <c r="BR206" s="120"/>
      <c r="BS206" s="123"/>
      <c r="BT206" s="124"/>
      <c r="BU206" s="124"/>
      <c r="BV206" s="120"/>
      <c r="BW206" s="123"/>
      <c r="BX206" s="124"/>
      <c r="BY206" s="120"/>
      <c r="BZ206" s="12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</row>
    <row r="207" spans="35:156"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H207" s="179"/>
      <c r="BI207" s="127"/>
      <c r="BJ207" s="127"/>
      <c r="BK207" s="127"/>
      <c r="BL207" s="127"/>
      <c r="BM207" s="120"/>
      <c r="BN207" s="4"/>
      <c r="BO207" s="121"/>
      <c r="BP207" s="122"/>
      <c r="BQ207" s="122"/>
      <c r="BR207" s="120"/>
      <c r="BS207" s="123"/>
      <c r="BT207" s="124"/>
      <c r="BU207" s="124"/>
      <c r="BV207" s="120"/>
      <c r="BW207" s="123"/>
      <c r="BX207" s="124"/>
      <c r="BY207" s="120"/>
      <c r="BZ207" s="12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</row>
    <row r="208" spans="35:156"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H208" s="179"/>
      <c r="BI208" s="127"/>
      <c r="BJ208" s="127"/>
      <c r="BK208" s="127"/>
      <c r="BL208" s="127"/>
      <c r="BM208" s="120"/>
      <c r="BN208" s="4"/>
      <c r="BO208" s="121"/>
      <c r="BP208" s="122"/>
      <c r="BQ208" s="122"/>
      <c r="BR208" s="120"/>
      <c r="BS208" s="123"/>
      <c r="BT208" s="124"/>
      <c r="BU208" s="124"/>
      <c r="BV208" s="120"/>
      <c r="BW208" s="123"/>
      <c r="BX208" s="124"/>
      <c r="BY208" s="120"/>
      <c r="BZ208" s="12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</row>
    <row r="209" spans="35:130"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H209" s="179"/>
      <c r="BI209" s="127"/>
      <c r="BJ209" s="127"/>
      <c r="BK209" s="127"/>
      <c r="BL209" s="127"/>
      <c r="BM209" s="120"/>
      <c r="BN209" s="4"/>
      <c r="BO209" s="121"/>
      <c r="BP209" s="122"/>
      <c r="BQ209" s="122"/>
      <c r="BR209" s="120"/>
      <c r="BS209" s="123"/>
      <c r="BT209" s="124"/>
      <c r="BU209" s="124"/>
      <c r="BV209" s="120"/>
      <c r="BW209" s="123"/>
      <c r="BX209" s="124"/>
      <c r="BY209" s="120"/>
      <c r="BZ209" s="12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</row>
    <row r="210" spans="35:130"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H210" s="179"/>
      <c r="BI210" s="127"/>
      <c r="BJ210" s="127"/>
      <c r="BK210" s="127"/>
      <c r="BL210" s="127"/>
      <c r="BM210" s="120"/>
      <c r="BN210" s="4"/>
      <c r="BO210" s="121"/>
      <c r="BP210" s="122"/>
      <c r="BQ210" s="122"/>
      <c r="BR210" s="120"/>
      <c r="BS210" s="123"/>
      <c r="BT210" s="124"/>
      <c r="BU210" s="124"/>
      <c r="BV210" s="120"/>
      <c r="BW210" s="123"/>
      <c r="BX210" s="124"/>
      <c r="BY210" s="120"/>
      <c r="BZ210" s="12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</row>
    <row r="211" spans="35:130"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H211" s="179"/>
      <c r="BI211" s="127"/>
      <c r="BJ211" s="127"/>
      <c r="BK211" s="127"/>
      <c r="BL211" s="127"/>
      <c r="BM211" s="120"/>
      <c r="BN211" s="4"/>
      <c r="BO211" s="121"/>
      <c r="BP211" s="122"/>
      <c r="BQ211" s="122"/>
      <c r="BR211" s="120"/>
      <c r="BS211" s="123"/>
      <c r="BT211" s="124"/>
      <c r="BU211" s="124"/>
      <c r="BV211" s="120"/>
      <c r="BW211" s="123"/>
      <c r="BX211" s="124"/>
      <c r="BY211" s="120"/>
      <c r="BZ211" s="12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</row>
    <row r="212" spans="35:130"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H212" s="179"/>
      <c r="BI212" s="127"/>
      <c r="BJ212" s="127"/>
      <c r="BK212" s="127"/>
      <c r="BL212" s="127"/>
      <c r="BM212" s="120"/>
      <c r="BN212" s="4"/>
      <c r="BO212" s="121"/>
      <c r="BP212" s="122"/>
      <c r="BQ212" s="122"/>
      <c r="BR212" s="120"/>
      <c r="BS212" s="123"/>
      <c r="BT212" s="124"/>
      <c r="BU212" s="124"/>
      <c r="BV212" s="120"/>
      <c r="BW212" s="123"/>
      <c r="BX212" s="124"/>
      <c r="BY212" s="120"/>
      <c r="BZ212" s="12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</row>
    <row r="213" spans="35:130"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H213" s="179"/>
      <c r="BI213" s="127"/>
      <c r="BJ213" s="127"/>
      <c r="BK213" s="127"/>
      <c r="BL213" s="127"/>
      <c r="BM213" s="120"/>
      <c r="BN213" s="4"/>
      <c r="BO213" s="121"/>
      <c r="BP213" s="122"/>
      <c r="BQ213" s="122"/>
      <c r="BR213" s="120"/>
      <c r="BS213" s="123"/>
      <c r="BT213" s="124"/>
      <c r="BU213" s="124"/>
      <c r="BV213" s="120"/>
      <c r="BW213" s="123"/>
      <c r="BX213" s="124"/>
      <c r="BY213" s="120"/>
      <c r="BZ213" s="12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</row>
    <row r="214" spans="35:130"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H214" s="179"/>
      <c r="BI214" s="127"/>
      <c r="BJ214" s="127"/>
      <c r="BK214" s="127"/>
      <c r="BL214" s="127"/>
      <c r="BM214" s="120"/>
      <c r="BN214" s="4"/>
      <c r="BO214" s="121"/>
      <c r="BP214" s="122"/>
      <c r="BQ214" s="122"/>
      <c r="BR214" s="120"/>
      <c r="BS214" s="123"/>
      <c r="BT214" s="124"/>
      <c r="BU214" s="124"/>
      <c r="BV214" s="120"/>
      <c r="BW214" s="123"/>
      <c r="BX214" s="124"/>
      <c r="BY214" s="120"/>
      <c r="BZ214" s="12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</row>
    <row r="215" spans="35:130"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H215" s="179"/>
      <c r="BI215" s="127"/>
      <c r="BJ215" s="127"/>
      <c r="BK215" s="127"/>
      <c r="BL215" s="127"/>
      <c r="BM215" s="120"/>
      <c r="BN215" s="4"/>
      <c r="BO215" s="121"/>
      <c r="BP215" s="122"/>
      <c r="BQ215" s="122"/>
      <c r="BR215" s="120"/>
      <c r="BS215" s="123"/>
      <c r="BT215" s="124"/>
      <c r="BU215" s="124"/>
      <c r="BV215" s="120"/>
      <c r="BW215" s="123"/>
      <c r="BX215" s="124"/>
      <c r="BY215" s="120"/>
      <c r="BZ215" s="12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</row>
    <row r="216" spans="35:130"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H216" s="179"/>
      <c r="BI216" s="127"/>
      <c r="BJ216" s="127"/>
      <c r="BK216" s="127"/>
      <c r="BL216" s="127"/>
      <c r="BM216" s="120"/>
      <c r="BN216" s="4"/>
      <c r="BO216" s="121"/>
      <c r="BP216" s="122"/>
      <c r="BQ216" s="122"/>
      <c r="BR216" s="120"/>
      <c r="BS216" s="123"/>
      <c r="BT216" s="124"/>
      <c r="BU216" s="124"/>
      <c r="BV216" s="120"/>
      <c r="BW216" s="123"/>
      <c r="BX216" s="124"/>
      <c r="BY216" s="120"/>
      <c r="BZ216" s="12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</row>
    <row r="217" spans="35:130"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H217" s="179"/>
      <c r="BI217" s="127"/>
      <c r="BJ217" s="127"/>
      <c r="BK217" s="127"/>
      <c r="BL217" s="127"/>
      <c r="BM217" s="120"/>
      <c r="BN217" s="4"/>
      <c r="BO217" s="121"/>
      <c r="BP217" s="122"/>
      <c r="BQ217" s="122"/>
      <c r="BR217" s="120"/>
      <c r="BS217" s="123"/>
      <c r="BT217" s="124"/>
      <c r="BU217" s="124"/>
      <c r="BV217" s="120"/>
      <c r="BW217" s="123"/>
      <c r="BX217" s="124"/>
      <c r="BY217" s="120"/>
      <c r="BZ217" s="12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</row>
    <row r="218" spans="35:130"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H218" s="179"/>
      <c r="BI218" s="127"/>
      <c r="BJ218" s="127"/>
      <c r="BK218" s="127"/>
      <c r="BL218" s="127"/>
      <c r="BM218" s="120"/>
      <c r="BN218" s="4"/>
      <c r="BO218" s="121"/>
      <c r="BP218" s="122"/>
      <c r="BQ218" s="122"/>
      <c r="BR218" s="120"/>
      <c r="BS218" s="123"/>
      <c r="BT218" s="124"/>
      <c r="BU218" s="124"/>
      <c r="BV218" s="120"/>
      <c r="BW218" s="123"/>
      <c r="BX218" s="124"/>
      <c r="BY218" s="120"/>
      <c r="BZ218" s="12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</row>
    <row r="219" spans="35:130"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H219" s="179"/>
      <c r="BI219" s="127"/>
      <c r="BJ219" s="127"/>
      <c r="BK219" s="127"/>
      <c r="BL219" s="127"/>
      <c r="BM219" s="120"/>
      <c r="BN219" s="4"/>
      <c r="BO219" s="121"/>
      <c r="BP219" s="122"/>
      <c r="BQ219" s="122"/>
      <c r="BR219" s="120"/>
      <c r="BS219" s="123"/>
      <c r="BT219" s="124"/>
      <c r="BU219" s="124"/>
      <c r="BV219" s="120"/>
      <c r="BW219" s="123"/>
      <c r="BX219" s="124"/>
      <c r="BY219" s="120"/>
      <c r="BZ219" s="12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</row>
    <row r="220" spans="35:130"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H220" s="179"/>
      <c r="BI220" s="127"/>
      <c r="BJ220" s="127"/>
      <c r="BK220" s="127"/>
      <c r="BL220" s="127"/>
      <c r="BM220" s="120"/>
      <c r="BN220" s="4"/>
      <c r="BO220" s="121"/>
      <c r="BP220" s="122"/>
      <c r="BQ220" s="122"/>
      <c r="BR220" s="120"/>
      <c r="BS220" s="123"/>
      <c r="BT220" s="124"/>
      <c r="BU220" s="124"/>
      <c r="BV220" s="120"/>
      <c r="BW220" s="123"/>
      <c r="BX220" s="124"/>
      <c r="BY220" s="120"/>
      <c r="BZ220" s="12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</row>
    <row r="221" spans="35:130"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H221" s="179"/>
      <c r="BI221" s="127"/>
      <c r="BJ221" s="127"/>
      <c r="BK221" s="127"/>
      <c r="BL221" s="127"/>
      <c r="BM221" s="120"/>
      <c r="BN221" s="4"/>
      <c r="BO221" s="121"/>
      <c r="BP221" s="122"/>
      <c r="BQ221" s="122"/>
      <c r="BR221" s="120"/>
      <c r="BS221" s="123"/>
      <c r="BT221" s="124"/>
      <c r="BU221" s="124"/>
      <c r="BV221" s="120"/>
      <c r="BW221" s="123"/>
      <c r="BX221" s="124"/>
      <c r="BY221" s="120"/>
      <c r="BZ221" s="12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</row>
    <row r="222" spans="35:130"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H222" s="179"/>
      <c r="BI222" s="127"/>
      <c r="BJ222" s="127"/>
      <c r="BK222" s="127"/>
      <c r="BL222" s="127"/>
      <c r="BM222" s="120"/>
      <c r="BN222" s="4"/>
      <c r="BO222" s="121"/>
      <c r="BP222" s="122"/>
      <c r="BQ222" s="122"/>
      <c r="BR222" s="120"/>
      <c r="BS222" s="123"/>
      <c r="BT222" s="124"/>
      <c r="BU222" s="124"/>
      <c r="BV222" s="120"/>
      <c r="BW222" s="123"/>
      <c r="BX222" s="124"/>
      <c r="BY222" s="120"/>
      <c r="BZ222" s="12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</row>
    <row r="223" spans="35:130"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H223" s="179"/>
      <c r="BI223" s="127"/>
      <c r="BJ223" s="127"/>
      <c r="BK223" s="127"/>
      <c r="BL223" s="127"/>
      <c r="BM223" s="120"/>
      <c r="BN223" s="4"/>
      <c r="BO223" s="121"/>
      <c r="BP223" s="122"/>
      <c r="BQ223" s="122"/>
      <c r="BR223" s="120"/>
      <c r="BS223" s="123"/>
      <c r="BT223" s="124"/>
      <c r="BU223" s="124"/>
      <c r="BV223" s="120"/>
      <c r="BW223" s="123"/>
      <c r="BX223" s="124"/>
      <c r="BY223" s="120"/>
      <c r="BZ223" s="12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</row>
    <row r="224" spans="35:130"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H224" s="179"/>
      <c r="BI224" s="127"/>
      <c r="BJ224" s="127"/>
      <c r="BK224" s="127"/>
      <c r="BL224" s="127"/>
      <c r="BM224" s="120"/>
      <c r="BN224" s="4"/>
      <c r="BO224" s="121"/>
      <c r="BP224" s="122"/>
      <c r="BQ224" s="122"/>
      <c r="BR224" s="120"/>
      <c r="BS224" s="123"/>
      <c r="BT224" s="124"/>
      <c r="BU224" s="124"/>
      <c r="BV224" s="120"/>
      <c r="BW224" s="123"/>
      <c r="BX224" s="124"/>
      <c r="BY224" s="120"/>
      <c r="BZ224" s="12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</row>
    <row r="225" spans="35:130"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H225" s="179"/>
      <c r="BI225" s="127"/>
      <c r="BJ225" s="127"/>
      <c r="BK225" s="127"/>
      <c r="BL225" s="127"/>
      <c r="BM225" s="120"/>
      <c r="BN225" s="4"/>
      <c r="BO225" s="121"/>
      <c r="BP225" s="122"/>
      <c r="BQ225" s="122"/>
      <c r="BR225" s="120"/>
      <c r="BS225" s="123"/>
      <c r="BT225" s="124"/>
      <c r="BU225" s="124"/>
      <c r="BV225" s="120"/>
      <c r="BW225" s="123"/>
      <c r="BX225" s="124"/>
      <c r="BY225" s="120"/>
      <c r="BZ225" s="12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</row>
    <row r="226" spans="35:130"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H226" s="179"/>
      <c r="BI226" s="127"/>
      <c r="BJ226" s="127"/>
      <c r="BK226" s="127"/>
      <c r="BL226" s="127"/>
      <c r="BM226" s="120"/>
      <c r="BN226" s="4"/>
      <c r="BO226" s="121"/>
      <c r="BP226" s="122"/>
      <c r="BQ226" s="122"/>
      <c r="BR226" s="120"/>
      <c r="BS226" s="123"/>
      <c r="BT226" s="124"/>
      <c r="BU226" s="124"/>
      <c r="BV226" s="120"/>
      <c r="BW226" s="123"/>
      <c r="BX226" s="124"/>
      <c r="BY226" s="120"/>
      <c r="BZ226" s="12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</row>
    <row r="227" spans="35:130"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H227" s="179"/>
      <c r="BI227" s="127"/>
      <c r="BJ227" s="127"/>
      <c r="BK227" s="127"/>
      <c r="BL227" s="127"/>
      <c r="BM227" s="120"/>
      <c r="BN227" s="4"/>
      <c r="BO227" s="121"/>
      <c r="BP227" s="122"/>
      <c r="BQ227" s="122"/>
      <c r="BR227" s="120"/>
      <c r="BS227" s="123"/>
      <c r="BT227" s="124"/>
      <c r="BU227" s="124"/>
      <c r="BV227" s="120"/>
      <c r="BW227" s="123"/>
      <c r="BX227" s="124"/>
      <c r="BY227" s="120"/>
      <c r="BZ227" s="12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</row>
    <row r="228" spans="35:130"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H228" s="179"/>
      <c r="BI228" s="127"/>
      <c r="BJ228" s="127"/>
      <c r="BK228" s="127"/>
      <c r="BL228" s="127"/>
      <c r="BM228" s="120"/>
      <c r="BN228" s="4"/>
      <c r="BO228" s="121"/>
      <c r="BP228" s="122"/>
      <c r="BQ228" s="122"/>
      <c r="BR228" s="120"/>
      <c r="BS228" s="123"/>
      <c r="BT228" s="124"/>
      <c r="BU228" s="124"/>
      <c r="BV228" s="120"/>
      <c r="BW228" s="123"/>
      <c r="BX228" s="124"/>
      <c r="BY228" s="120"/>
      <c r="BZ228" s="12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</row>
    <row r="229" spans="35:130"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H229" s="179"/>
      <c r="BI229" s="127"/>
      <c r="BJ229" s="127"/>
      <c r="BK229" s="127"/>
      <c r="BL229" s="127"/>
      <c r="BM229" s="120"/>
      <c r="BN229" s="4"/>
      <c r="BO229" s="121"/>
      <c r="BP229" s="122"/>
      <c r="BQ229" s="122"/>
      <c r="BR229" s="120"/>
      <c r="BS229" s="123"/>
      <c r="BT229" s="124"/>
      <c r="BU229" s="124"/>
      <c r="BV229" s="120"/>
      <c r="BW229" s="123"/>
      <c r="BX229" s="124"/>
      <c r="BY229" s="120"/>
      <c r="BZ229" s="12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</row>
    <row r="230" spans="35:130"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H230" s="179"/>
      <c r="BI230" s="127"/>
      <c r="BJ230" s="127"/>
      <c r="BK230" s="127"/>
      <c r="BL230" s="127"/>
      <c r="BM230" s="120"/>
      <c r="BN230" s="4"/>
      <c r="BO230" s="121"/>
      <c r="BP230" s="122"/>
      <c r="BQ230" s="122"/>
      <c r="BR230" s="120"/>
      <c r="BS230" s="123"/>
      <c r="BT230" s="124"/>
      <c r="BU230" s="124"/>
      <c r="BV230" s="120"/>
      <c r="BW230" s="123"/>
      <c r="BX230" s="124"/>
      <c r="BY230" s="120"/>
      <c r="BZ230" s="12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</row>
    <row r="231" spans="35:130"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H231" s="179"/>
      <c r="BI231" s="127"/>
      <c r="BJ231" s="127"/>
      <c r="BK231" s="127"/>
      <c r="BL231" s="127"/>
      <c r="BM231" s="120"/>
      <c r="BN231" s="4"/>
      <c r="BO231" s="121"/>
      <c r="BP231" s="122"/>
      <c r="BQ231" s="122"/>
      <c r="BR231" s="120"/>
      <c r="BS231" s="123"/>
      <c r="BT231" s="124"/>
      <c r="BU231" s="124"/>
      <c r="BV231" s="120"/>
      <c r="BW231" s="123"/>
      <c r="BX231" s="124"/>
      <c r="BY231" s="120"/>
      <c r="BZ231" s="12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</row>
    <row r="232" spans="35:130"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H232" s="179"/>
      <c r="BI232" s="127"/>
      <c r="BJ232" s="127"/>
      <c r="BK232" s="127"/>
      <c r="BL232" s="127"/>
      <c r="BM232" s="120"/>
      <c r="BN232" s="4"/>
      <c r="BO232" s="121"/>
      <c r="BP232" s="122"/>
      <c r="BQ232" s="122"/>
      <c r="BR232" s="120"/>
      <c r="BS232" s="123"/>
      <c r="BT232" s="124"/>
      <c r="BU232" s="124"/>
      <c r="BV232" s="120"/>
      <c r="BW232" s="123"/>
      <c r="BX232" s="124"/>
      <c r="BY232" s="120"/>
      <c r="BZ232" s="12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</row>
    <row r="233" spans="35:130"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H233" s="179"/>
      <c r="BI233" s="127"/>
      <c r="BJ233" s="127"/>
      <c r="BK233" s="127"/>
      <c r="BL233" s="127"/>
      <c r="BM233" s="120"/>
      <c r="BN233" s="4"/>
      <c r="BO233" s="121"/>
      <c r="BP233" s="122"/>
      <c r="BQ233" s="122"/>
      <c r="BR233" s="120"/>
      <c r="BS233" s="123"/>
      <c r="BT233" s="124"/>
      <c r="BU233" s="124"/>
      <c r="BV233" s="120"/>
      <c r="BW233" s="123"/>
      <c r="BX233" s="124"/>
      <c r="BY233" s="120"/>
      <c r="BZ233" s="12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</row>
    <row r="234" spans="35:130"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H234" s="179"/>
      <c r="BI234" s="127"/>
      <c r="BJ234" s="127"/>
      <c r="BK234" s="127"/>
      <c r="BL234" s="127"/>
      <c r="BM234" s="120"/>
      <c r="BN234" s="4"/>
      <c r="BO234" s="121"/>
      <c r="BP234" s="122"/>
      <c r="BQ234" s="122"/>
      <c r="BR234" s="120"/>
      <c r="BS234" s="123"/>
      <c r="BT234" s="124"/>
      <c r="BU234" s="124"/>
      <c r="BV234" s="120"/>
      <c r="BW234" s="123"/>
      <c r="BX234" s="124"/>
      <c r="BY234" s="120"/>
      <c r="BZ234" s="12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</row>
    <row r="235" spans="35:130"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H235" s="179"/>
      <c r="BI235" s="127"/>
      <c r="BJ235" s="127"/>
      <c r="BK235" s="127"/>
      <c r="BL235" s="127"/>
      <c r="BM235" s="120"/>
      <c r="BN235" s="4"/>
      <c r="BO235" s="121"/>
      <c r="BP235" s="122"/>
      <c r="BQ235" s="122"/>
      <c r="BR235" s="120"/>
      <c r="BS235" s="123"/>
      <c r="BT235" s="124"/>
      <c r="BU235" s="124"/>
      <c r="BV235" s="120"/>
      <c r="BW235" s="123"/>
      <c r="BX235" s="124"/>
      <c r="BY235" s="120"/>
      <c r="BZ235" s="12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</row>
    <row r="236" spans="35:130"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H236" s="179"/>
      <c r="BI236" s="127"/>
      <c r="BJ236" s="127"/>
      <c r="BK236" s="127"/>
      <c r="BL236" s="127"/>
      <c r="BM236" s="120"/>
      <c r="BN236" s="4"/>
      <c r="BO236" s="121"/>
      <c r="BP236" s="122"/>
      <c r="BQ236" s="122"/>
      <c r="BR236" s="120"/>
      <c r="BS236" s="123"/>
      <c r="BT236" s="124"/>
      <c r="BU236" s="124"/>
      <c r="BV236" s="120"/>
      <c r="BW236" s="123"/>
      <c r="BX236" s="124"/>
      <c r="BY236" s="120"/>
      <c r="BZ236" s="12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</row>
    <row r="237" spans="35:130"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H237" s="179"/>
      <c r="BI237" s="127"/>
      <c r="BJ237" s="127"/>
      <c r="BK237" s="127"/>
      <c r="BL237" s="127"/>
      <c r="BM237" s="120"/>
      <c r="BN237" s="4"/>
      <c r="BO237" s="121"/>
      <c r="BP237" s="122"/>
      <c r="BQ237" s="122"/>
      <c r="BR237" s="120"/>
      <c r="BS237" s="123"/>
      <c r="BT237" s="124"/>
      <c r="BU237" s="124"/>
      <c r="BV237" s="120"/>
      <c r="BW237" s="123"/>
      <c r="BX237" s="124"/>
      <c r="BY237" s="120"/>
      <c r="BZ237" s="12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</row>
    <row r="238" spans="35:130"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H238" s="179"/>
      <c r="BI238" s="127"/>
      <c r="BJ238" s="127"/>
      <c r="BK238" s="127"/>
      <c r="BL238" s="127"/>
      <c r="BM238" s="120"/>
      <c r="BN238" s="4"/>
      <c r="BO238" s="121"/>
      <c r="BP238" s="122"/>
      <c r="BQ238" s="122"/>
      <c r="BR238" s="120"/>
      <c r="BS238" s="123"/>
      <c r="BT238" s="124"/>
      <c r="BU238" s="124"/>
      <c r="BV238" s="120"/>
      <c r="BW238" s="123"/>
      <c r="BX238" s="124"/>
      <c r="BY238" s="120"/>
      <c r="BZ238" s="12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</row>
    <row r="239" spans="35:130"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H239" s="179"/>
      <c r="BI239" s="127"/>
      <c r="BJ239" s="127"/>
      <c r="BK239" s="127"/>
      <c r="BL239" s="127"/>
      <c r="BM239" s="120"/>
      <c r="BN239" s="4"/>
      <c r="BO239" s="121"/>
      <c r="BP239" s="122"/>
      <c r="BQ239" s="122"/>
      <c r="BR239" s="120"/>
      <c r="BS239" s="123"/>
      <c r="BT239" s="124"/>
      <c r="BU239" s="124"/>
      <c r="BV239" s="120"/>
      <c r="BW239" s="123"/>
      <c r="BX239" s="124"/>
      <c r="BY239" s="120"/>
      <c r="BZ239" s="12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</row>
    <row r="240" spans="35:130"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H240" s="179"/>
      <c r="BI240" s="127"/>
      <c r="BJ240" s="127"/>
      <c r="BK240" s="127"/>
      <c r="BL240" s="127"/>
      <c r="BM240" s="120"/>
      <c r="BN240" s="4"/>
      <c r="BO240" s="121"/>
      <c r="BP240" s="122"/>
      <c r="BQ240" s="122"/>
      <c r="BR240" s="120"/>
      <c r="BS240" s="123"/>
      <c r="BT240" s="124"/>
      <c r="BU240" s="124"/>
      <c r="BV240" s="120"/>
      <c r="BW240" s="123"/>
      <c r="BX240" s="124"/>
      <c r="BY240" s="120"/>
      <c r="BZ240" s="12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</row>
    <row r="241" spans="35:130"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H241" s="179"/>
      <c r="BI241" s="127"/>
      <c r="BJ241" s="127"/>
      <c r="BK241" s="127"/>
      <c r="BL241" s="127"/>
      <c r="BM241" s="120"/>
      <c r="BN241" s="4"/>
      <c r="BO241" s="121"/>
      <c r="BP241" s="122"/>
      <c r="BQ241" s="122"/>
      <c r="BR241" s="120"/>
      <c r="BS241" s="123"/>
      <c r="BT241" s="124"/>
      <c r="BU241" s="124"/>
      <c r="BV241" s="120"/>
      <c r="BW241" s="123"/>
      <c r="BX241" s="124"/>
      <c r="BY241" s="120"/>
      <c r="BZ241" s="12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</row>
    <row r="242" spans="35:130"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H242" s="179"/>
      <c r="BI242" s="127"/>
      <c r="BJ242" s="127"/>
      <c r="BK242" s="127"/>
      <c r="BL242" s="127"/>
      <c r="BM242" s="120"/>
      <c r="BN242" s="4"/>
      <c r="BO242" s="121"/>
      <c r="BP242" s="122"/>
      <c r="BQ242" s="122"/>
      <c r="BR242" s="120"/>
      <c r="BS242" s="123"/>
      <c r="BT242" s="124"/>
      <c r="BU242" s="124"/>
      <c r="BV242" s="120"/>
      <c r="BW242" s="123"/>
      <c r="BX242" s="124"/>
      <c r="BY242" s="120"/>
      <c r="BZ242" s="12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</row>
    <row r="243" spans="35:130"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H243" s="179"/>
      <c r="BI243" s="127"/>
      <c r="BJ243" s="127"/>
      <c r="BK243" s="127"/>
      <c r="BL243" s="127"/>
      <c r="BM243" s="120"/>
      <c r="BN243" s="4"/>
      <c r="BO243" s="121"/>
      <c r="BP243" s="122"/>
      <c r="BQ243" s="122"/>
      <c r="BR243" s="120"/>
      <c r="BS243" s="123"/>
      <c r="BT243" s="124"/>
      <c r="BU243" s="124"/>
      <c r="BV243" s="120"/>
      <c r="BW243" s="123"/>
      <c r="BX243" s="124"/>
      <c r="BY243" s="120"/>
      <c r="BZ243" s="12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</row>
    <row r="244" spans="35:130"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H244" s="179"/>
      <c r="BI244" s="127"/>
      <c r="BJ244" s="127"/>
      <c r="BK244" s="127"/>
      <c r="BL244" s="127"/>
      <c r="BM244" s="120"/>
      <c r="BN244" s="4"/>
      <c r="BO244" s="121"/>
      <c r="BP244" s="122"/>
      <c r="BQ244" s="122"/>
      <c r="BR244" s="120"/>
      <c r="BS244" s="123"/>
      <c r="BT244" s="124"/>
      <c r="BU244" s="124"/>
      <c r="BV244" s="120"/>
      <c r="BW244" s="123"/>
      <c r="BX244" s="124"/>
      <c r="BY244" s="120"/>
      <c r="BZ244" s="12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</row>
    <row r="245" spans="35:130"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H245" s="179"/>
      <c r="BI245" s="127"/>
      <c r="BJ245" s="127"/>
      <c r="BK245" s="127"/>
      <c r="BL245" s="127"/>
      <c r="BM245" s="120"/>
      <c r="BN245" s="4"/>
      <c r="BO245" s="121"/>
      <c r="BP245" s="122"/>
      <c r="BQ245" s="122"/>
      <c r="BR245" s="120"/>
      <c r="BS245" s="123"/>
      <c r="BT245" s="124"/>
      <c r="BU245" s="124"/>
      <c r="BV245" s="120"/>
      <c r="BW245" s="123"/>
      <c r="BX245" s="124"/>
      <c r="BY245" s="120"/>
      <c r="BZ245" s="12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</row>
    <row r="246" spans="35:130"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H246" s="179"/>
      <c r="BI246" s="127"/>
      <c r="BJ246" s="127"/>
      <c r="BK246" s="127"/>
      <c r="BL246" s="127"/>
      <c r="BM246" s="120"/>
      <c r="BN246" s="4"/>
      <c r="BO246" s="121"/>
      <c r="BP246" s="122"/>
      <c r="BQ246" s="122"/>
      <c r="BR246" s="120"/>
      <c r="BS246" s="123"/>
      <c r="BT246" s="124"/>
      <c r="BU246" s="124"/>
      <c r="BV246" s="120"/>
      <c r="BW246" s="123"/>
      <c r="BX246" s="124"/>
      <c r="BY246" s="120"/>
      <c r="BZ246" s="12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</row>
    <row r="247" spans="35:130"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H247" s="179"/>
      <c r="BI247" s="127"/>
      <c r="BJ247" s="127"/>
      <c r="BK247" s="127"/>
      <c r="BL247" s="127"/>
      <c r="BM247" s="120"/>
      <c r="BN247" s="4"/>
      <c r="BO247" s="121"/>
      <c r="BP247" s="122"/>
      <c r="BQ247" s="122"/>
      <c r="BR247" s="120"/>
      <c r="BS247" s="123"/>
      <c r="BT247" s="124"/>
      <c r="BU247" s="124"/>
      <c r="BV247" s="120"/>
      <c r="BW247" s="123"/>
      <c r="BX247" s="124"/>
      <c r="BY247" s="120"/>
      <c r="BZ247" s="12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</row>
    <row r="248" spans="35:130"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H248" s="179"/>
      <c r="BI248" s="127"/>
      <c r="BJ248" s="127"/>
      <c r="BK248" s="127"/>
      <c r="BL248" s="127"/>
      <c r="BM248" s="120"/>
      <c r="BN248" s="4"/>
      <c r="BO248" s="121"/>
      <c r="BP248" s="122"/>
      <c r="BQ248" s="122"/>
      <c r="BR248" s="120"/>
      <c r="BS248" s="123"/>
      <c r="BT248" s="124"/>
      <c r="BU248" s="124"/>
      <c r="BV248" s="120"/>
      <c r="BW248" s="123"/>
      <c r="BX248" s="124"/>
      <c r="BY248" s="120"/>
      <c r="BZ248" s="12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</row>
    <row r="249" spans="35:130"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H249" s="179"/>
      <c r="BI249" s="127"/>
      <c r="BJ249" s="127"/>
      <c r="BK249" s="127"/>
      <c r="BL249" s="127"/>
      <c r="BM249" s="120"/>
      <c r="BN249" s="4"/>
      <c r="BO249" s="121"/>
      <c r="BP249" s="122"/>
      <c r="BQ249" s="122"/>
      <c r="BR249" s="120"/>
      <c r="BS249" s="123"/>
      <c r="BT249" s="124"/>
      <c r="BU249" s="124"/>
      <c r="BV249" s="120"/>
      <c r="BW249" s="123"/>
      <c r="BX249" s="124"/>
      <c r="BY249" s="120"/>
      <c r="BZ249" s="12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</row>
    <row r="250" spans="35:130"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H250" s="179"/>
      <c r="BI250" s="127"/>
      <c r="BJ250" s="127"/>
      <c r="BK250" s="127"/>
      <c r="BL250" s="127"/>
      <c r="BM250" s="120"/>
      <c r="BN250" s="4"/>
      <c r="BO250" s="121"/>
      <c r="BP250" s="122"/>
      <c r="BQ250" s="122"/>
      <c r="BR250" s="120"/>
      <c r="BS250" s="123"/>
      <c r="BT250" s="124"/>
      <c r="BU250" s="124"/>
      <c r="BV250" s="120"/>
      <c r="BW250" s="123"/>
      <c r="BX250" s="124"/>
      <c r="BY250" s="120"/>
      <c r="BZ250" s="12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</row>
    <row r="251" spans="35:130"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H251" s="179"/>
      <c r="BI251" s="127"/>
      <c r="BJ251" s="127"/>
      <c r="BK251" s="127"/>
      <c r="BL251" s="127"/>
      <c r="BM251" s="120"/>
      <c r="BN251" s="4"/>
      <c r="BO251" s="121"/>
      <c r="BP251" s="122"/>
      <c r="BQ251" s="122"/>
      <c r="BR251" s="120"/>
      <c r="BS251" s="123"/>
      <c r="BT251" s="124"/>
      <c r="BU251" s="124"/>
      <c r="BV251" s="120"/>
      <c r="BW251" s="123"/>
      <c r="BX251" s="124"/>
      <c r="BY251" s="120"/>
      <c r="BZ251" s="12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</row>
    <row r="252" spans="35:130"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H252" s="179"/>
      <c r="BI252" s="127"/>
      <c r="BJ252" s="127"/>
      <c r="BK252" s="127"/>
      <c r="BL252" s="127"/>
      <c r="BM252" s="120"/>
      <c r="BN252" s="4"/>
      <c r="BO252" s="121"/>
      <c r="BP252" s="122"/>
      <c r="BQ252" s="122"/>
      <c r="BR252" s="120"/>
      <c r="BS252" s="123"/>
      <c r="BT252" s="124"/>
      <c r="BU252" s="124"/>
      <c r="BV252" s="120"/>
      <c r="BW252" s="123"/>
      <c r="BX252" s="124"/>
      <c r="BY252" s="120"/>
      <c r="BZ252" s="12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</row>
    <row r="253" spans="35:130"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H253" s="179"/>
      <c r="BI253" s="127"/>
      <c r="BJ253" s="127"/>
      <c r="BK253" s="127"/>
      <c r="BL253" s="127"/>
      <c r="BM253" s="120"/>
      <c r="BN253" s="4"/>
      <c r="BO253" s="121"/>
      <c r="BP253" s="122"/>
      <c r="BQ253" s="122"/>
      <c r="BR253" s="120"/>
      <c r="BS253" s="123"/>
      <c r="BT253" s="124"/>
      <c r="BU253" s="124"/>
      <c r="BV253" s="120"/>
      <c r="BW253" s="123"/>
      <c r="BX253" s="124"/>
      <c r="BY253" s="120"/>
      <c r="BZ253" s="12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</row>
    <row r="254" spans="35:130"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H254" s="179"/>
      <c r="BI254" s="127"/>
      <c r="BJ254" s="127"/>
      <c r="BK254" s="127"/>
      <c r="BL254" s="127"/>
      <c r="BM254" s="120"/>
      <c r="BN254" s="4"/>
      <c r="BO254" s="121"/>
      <c r="BP254" s="122"/>
      <c r="BQ254" s="122"/>
      <c r="BR254" s="120"/>
      <c r="BS254" s="123"/>
      <c r="BT254" s="124"/>
      <c r="BU254" s="124"/>
      <c r="BV254" s="120"/>
      <c r="BW254" s="123"/>
      <c r="BX254" s="124"/>
      <c r="BY254" s="120"/>
      <c r="BZ254" s="12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</row>
    <row r="255" spans="35:130"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H255" s="179"/>
      <c r="BI255" s="127"/>
      <c r="BJ255" s="127"/>
      <c r="BK255" s="127"/>
      <c r="BL255" s="127"/>
      <c r="BM255" s="120"/>
      <c r="BN255" s="4"/>
      <c r="BO255" s="121"/>
      <c r="BP255" s="122"/>
      <c r="BQ255" s="122"/>
      <c r="BR255" s="120"/>
      <c r="BS255" s="123"/>
      <c r="BT255" s="124"/>
      <c r="BU255" s="124"/>
      <c r="BV255" s="120"/>
      <c r="BW255" s="123"/>
      <c r="BX255" s="124"/>
      <c r="BY255" s="120"/>
      <c r="BZ255" s="12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</row>
    <row r="256" spans="35:130"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H256" s="179"/>
      <c r="BI256" s="127"/>
      <c r="BJ256" s="127"/>
      <c r="BK256" s="127"/>
      <c r="BL256" s="127"/>
      <c r="BM256" s="120"/>
      <c r="BN256" s="4"/>
      <c r="BO256" s="121"/>
      <c r="BP256" s="122"/>
      <c r="BQ256" s="122"/>
      <c r="BR256" s="120"/>
      <c r="BS256" s="123"/>
      <c r="BT256" s="124"/>
      <c r="BU256" s="124"/>
      <c r="BV256" s="120"/>
      <c r="BW256" s="123"/>
      <c r="BX256" s="124"/>
      <c r="BY256" s="120"/>
      <c r="BZ256" s="12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</row>
    <row r="257" spans="35:130"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H257" s="179"/>
      <c r="BI257" s="127"/>
      <c r="BJ257" s="127"/>
      <c r="BK257" s="127"/>
      <c r="BL257" s="127"/>
      <c r="BM257" s="120"/>
      <c r="BN257" s="4"/>
      <c r="BO257" s="121"/>
      <c r="BP257" s="122"/>
      <c r="BQ257" s="122"/>
      <c r="BR257" s="120"/>
      <c r="BS257" s="123"/>
      <c r="BT257" s="124"/>
      <c r="BU257" s="124"/>
      <c r="BV257" s="120"/>
      <c r="BW257" s="123"/>
      <c r="BX257" s="124"/>
      <c r="BY257" s="120"/>
      <c r="BZ257" s="12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</row>
    <row r="258" spans="35:130"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H258" s="179"/>
      <c r="BI258" s="127"/>
      <c r="BJ258" s="127"/>
      <c r="BK258" s="127"/>
      <c r="BL258" s="127"/>
      <c r="BM258" s="120"/>
      <c r="BN258" s="4"/>
      <c r="BO258" s="121"/>
      <c r="BP258" s="122"/>
      <c r="BQ258" s="122"/>
      <c r="BR258" s="120"/>
      <c r="BS258" s="123"/>
      <c r="BT258" s="124"/>
      <c r="BU258" s="124"/>
      <c r="BV258" s="120"/>
      <c r="BW258" s="123"/>
      <c r="BX258" s="124"/>
      <c r="BY258" s="120"/>
      <c r="BZ258" s="12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</row>
    <row r="259" spans="35:130"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H259" s="179"/>
      <c r="BI259" s="127"/>
      <c r="BJ259" s="127"/>
      <c r="BK259" s="127"/>
      <c r="BL259" s="127"/>
      <c r="BM259" s="120"/>
      <c r="BN259" s="4"/>
      <c r="BO259" s="121"/>
      <c r="BP259" s="122"/>
      <c r="BQ259" s="122"/>
      <c r="BR259" s="120"/>
      <c r="BS259" s="123"/>
      <c r="BT259" s="124"/>
      <c r="BU259" s="124"/>
      <c r="BV259" s="120"/>
      <c r="BW259" s="123"/>
      <c r="BX259" s="124"/>
      <c r="BY259" s="120"/>
      <c r="BZ259" s="12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</row>
    <row r="260" spans="35:130"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H260" s="179"/>
      <c r="BI260" s="127"/>
      <c r="BJ260" s="127"/>
      <c r="BK260" s="127"/>
      <c r="BL260" s="127"/>
      <c r="BM260" s="120"/>
      <c r="BN260" s="4"/>
      <c r="BO260" s="121"/>
      <c r="BP260" s="122"/>
      <c r="BQ260" s="122"/>
      <c r="BR260" s="120"/>
      <c r="BS260" s="123"/>
      <c r="BT260" s="124"/>
      <c r="BU260" s="124"/>
      <c r="BV260" s="120"/>
      <c r="BW260" s="123"/>
      <c r="BX260" s="124"/>
      <c r="BY260" s="120"/>
      <c r="BZ260" s="12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</row>
    <row r="261" spans="35:130"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H261" s="179"/>
      <c r="BI261" s="127"/>
      <c r="BJ261" s="127"/>
      <c r="BK261" s="127"/>
      <c r="BL261" s="127"/>
      <c r="BM261" s="120"/>
      <c r="BN261" s="4"/>
      <c r="BO261" s="121"/>
      <c r="BP261" s="122"/>
      <c r="BQ261" s="122"/>
      <c r="BR261" s="120"/>
      <c r="BS261" s="123"/>
      <c r="BT261" s="124"/>
      <c r="BU261" s="124"/>
      <c r="BV261" s="120"/>
      <c r="BW261" s="123"/>
      <c r="BX261" s="124"/>
      <c r="BY261" s="120"/>
      <c r="BZ261" s="12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</row>
    <row r="262" spans="35:130"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H262" s="179"/>
      <c r="BI262" s="127"/>
      <c r="BJ262" s="127"/>
      <c r="BK262" s="127"/>
      <c r="BL262" s="127"/>
      <c r="BM262" s="120"/>
      <c r="BN262" s="4"/>
      <c r="BO262" s="121"/>
      <c r="BP262" s="122"/>
      <c r="BQ262" s="122"/>
      <c r="BR262" s="120"/>
      <c r="BS262" s="123"/>
      <c r="BT262" s="124"/>
      <c r="BU262" s="124"/>
      <c r="BV262" s="120"/>
      <c r="BW262" s="123"/>
      <c r="BX262" s="124"/>
      <c r="BY262" s="120"/>
      <c r="BZ262" s="12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</row>
    <row r="263" spans="35:130"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H263" s="179"/>
      <c r="BI263" s="127"/>
      <c r="BJ263" s="127"/>
      <c r="BK263" s="127"/>
      <c r="BL263" s="127"/>
      <c r="BM263" s="120"/>
      <c r="BN263" s="4"/>
      <c r="BO263" s="121"/>
      <c r="BP263" s="122"/>
      <c r="BQ263" s="122"/>
      <c r="BR263" s="120"/>
      <c r="BS263" s="123"/>
      <c r="BT263" s="124"/>
      <c r="BU263" s="124"/>
      <c r="BV263" s="120"/>
      <c r="BW263" s="123"/>
      <c r="BX263" s="124"/>
      <c r="BY263" s="120"/>
      <c r="BZ263" s="12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</row>
    <row r="264" spans="35:130"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H264" s="179"/>
      <c r="BI264" s="127"/>
      <c r="BJ264" s="127"/>
      <c r="BK264" s="127"/>
      <c r="BL264" s="127"/>
      <c r="BM264" s="120"/>
      <c r="BN264" s="4"/>
      <c r="BO264" s="121"/>
      <c r="BP264" s="122"/>
      <c r="BQ264" s="122"/>
      <c r="BR264" s="120"/>
      <c r="BS264" s="123"/>
      <c r="BT264" s="124"/>
      <c r="BU264" s="124"/>
      <c r="BV264" s="120"/>
      <c r="BW264" s="123"/>
      <c r="BX264" s="124"/>
      <c r="BY264" s="120"/>
      <c r="BZ264" s="12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</row>
    <row r="265" spans="35:130"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H265" s="179"/>
      <c r="BI265" s="127"/>
      <c r="BJ265" s="127"/>
      <c r="BK265" s="127"/>
      <c r="BL265" s="127"/>
      <c r="BM265" s="120"/>
      <c r="BN265" s="4"/>
      <c r="BO265" s="121"/>
      <c r="BP265" s="122"/>
      <c r="BQ265" s="122"/>
      <c r="BR265" s="120"/>
      <c r="BS265" s="123"/>
      <c r="BT265" s="124"/>
      <c r="BU265" s="124"/>
      <c r="BV265" s="120"/>
      <c r="BW265" s="123"/>
      <c r="BX265" s="124"/>
      <c r="BY265" s="120"/>
      <c r="BZ265" s="12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</row>
    <row r="266" spans="35:130"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H266" s="179"/>
      <c r="BI266" s="127"/>
      <c r="BJ266" s="127"/>
      <c r="BK266" s="127"/>
      <c r="BL266" s="127"/>
      <c r="BM266" s="120"/>
      <c r="BN266" s="4"/>
      <c r="BO266" s="121"/>
      <c r="BP266" s="122"/>
      <c r="BQ266" s="122"/>
      <c r="BR266" s="120"/>
      <c r="BS266" s="123"/>
      <c r="BT266" s="124"/>
      <c r="BU266" s="124"/>
      <c r="BV266" s="120"/>
      <c r="BW266" s="123"/>
      <c r="BX266" s="124"/>
      <c r="BY266" s="120"/>
      <c r="BZ266" s="12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</row>
    <row r="267" spans="35:130"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H267" s="179"/>
      <c r="BI267" s="127"/>
      <c r="BJ267" s="127"/>
      <c r="BK267" s="127"/>
      <c r="BL267" s="127"/>
      <c r="BM267" s="120"/>
      <c r="BN267" s="4"/>
      <c r="BO267" s="121"/>
      <c r="BP267" s="122"/>
      <c r="BQ267" s="122"/>
      <c r="BR267" s="120"/>
      <c r="BS267" s="123"/>
      <c r="BT267" s="124"/>
      <c r="BU267" s="124"/>
      <c r="BV267" s="120"/>
      <c r="BW267" s="123"/>
      <c r="BX267" s="124"/>
      <c r="BY267" s="120"/>
      <c r="BZ267" s="12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</row>
    <row r="268" spans="35:130"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H268" s="179"/>
      <c r="BI268" s="127"/>
      <c r="BJ268" s="127"/>
      <c r="BK268" s="127"/>
      <c r="BL268" s="127"/>
      <c r="BM268" s="120"/>
      <c r="BN268" s="4"/>
      <c r="BO268" s="121"/>
      <c r="BP268" s="122"/>
      <c r="BQ268" s="122"/>
      <c r="BR268" s="120"/>
      <c r="BS268" s="123"/>
      <c r="BT268" s="124"/>
      <c r="BU268" s="124"/>
      <c r="BV268" s="120"/>
      <c r="BW268" s="123"/>
      <c r="BX268" s="124"/>
      <c r="BY268" s="120"/>
      <c r="BZ268" s="12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</row>
    <row r="269" spans="35:130"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H269" s="179"/>
      <c r="BI269" s="127"/>
      <c r="BJ269" s="127"/>
      <c r="BK269" s="127"/>
      <c r="BL269" s="127"/>
      <c r="BM269" s="120"/>
      <c r="BN269" s="4"/>
      <c r="BO269" s="121"/>
      <c r="BP269" s="122"/>
      <c r="BQ269" s="122"/>
      <c r="BR269" s="120"/>
      <c r="BS269" s="123"/>
      <c r="BT269" s="124"/>
      <c r="BU269" s="124"/>
      <c r="BV269" s="120"/>
      <c r="BW269" s="123"/>
      <c r="BX269" s="124"/>
      <c r="BY269" s="120"/>
      <c r="BZ269" s="12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</row>
    <row r="270" spans="35:130"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H270" s="179"/>
      <c r="BI270" s="127"/>
      <c r="BJ270" s="127"/>
      <c r="BK270" s="127"/>
      <c r="BL270" s="127"/>
      <c r="BM270" s="120"/>
      <c r="BN270" s="4"/>
      <c r="BO270" s="121"/>
      <c r="BP270" s="122"/>
      <c r="BQ270" s="122"/>
      <c r="BR270" s="120"/>
      <c r="BS270" s="123"/>
      <c r="BT270" s="124"/>
      <c r="BU270" s="124"/>
      <c r="BV270" s="120"/>
      <c r="BW270" s="123"/>
      <c r="BX270" s="124"/>
      <c r="BY270" s="120"/>
      <c r="BZ270" s="12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</row>
    <row r="271" spans="35:130"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H271" s="179"/>
      <c r="BI271" s="127"/>
      <c r="BJ271" s="127"/>
      <c r="BK271" s="127"/>
      <c r="BL271" s="127"/>
      <c r="BM271" s="120"/>
      <c r="BN271" s="4"/>
      <c r="BO271" s="121"/>
      <c r="BP271" s="122"/>
      <c r="BQ271" s="122"/>
      <c r="BR271" s="120"/>
      <c r="BS271" s="123"/>
      <c r="BT271" s="124"/>
      <c r="BU271" s="124"/>
      <c r="BV271" s="120"/>
      <c r="BW271" s="123"/>
      <c r="BX271" s="124"/>
      <c r="BY271" s="120"/>
      <c r="BZ271" s="12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</row>
    <row r="272" spans="35:130"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H272" s="179"/>
      <c r="BI272" s="127"/>
      <c r="BJ272" s="127"/>
      <c r="BK272" s="127"/>
      <c r="BL272" s="127"/>
      <c r="BM272" s="120"/>
      <c r="BN272" s="4"/>
      <c r="BO272" s="121"/>
      <c r="BP272" s="122"/>
      <c r="BQ272" s="122"/>
      <c r="BR272" s="120"/>
      <c r="BS272" s="123"/>
      <c r="BT272" s="124"/>
      <c r="BU272" s="124"/>
      <c r="BV272" s="120"/>
      <c r="BW272" s="123"/>
      <c r="BX272" s="124"/>
      <c r="BY272" s="120"/>
      <c r="BZ272" s="12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</row>
    <row r="273" spans="35:130"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H273" s="179"/>
      <c r="BI273" s="127"/>
      <c r="BJ273" s="127"/>
      <c r="BK273" s="127"/>
      <c r="BL273" s="127"/>
      <c r="BM273" s="120"/>
      <c r="BN273" s="4"/>
      <c r="BO273" s="121"/>
      <c r="BP273" s="122"/>
      <c r="BQ273" s="122"/>
      <c r="BR273" s="120"/>
      <c r="BS273" s="123"/>
      <c r="BT273" s="124"/>
      <c r="BU273" s="124"/>
      <c r="BV273" s="120"/>
      <c r="BW273" s="123"/>
      <c r="BX273" s="124"/>
      <c r="BY273" s="120"/>
      <c r="BZ273" s="12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</row>
    <row r="274" spans="35:130"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H274" s="179"/>
      <c r="BI274" s="127"/>
      <c r="BJ274" s="127"/>
      <c r="BK274" s="127"/>
      <c r="BL274" s="127"/>
      <c r="BM274" s="120"/>
      <c r="BN274" s="4"/>
      <c r="BO274" s="121"/>
      <c r="BP274" s="122"/>
      <c r="BQ274" s="122"/>
      <c r="BR274" s="120"/>
      <c r="BS274" s="123"/>
      <c r="BT274" s="124"/>
      <c r="BU274" s="124"/>
      <c r="BV274" s="120"/>
      <c r="BW274" s="123"/>
      <c r="BX274" s="124"/>
      <c r="BY274" s="120"/>
      <c r="BZ274" s="12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</row>
    <row r="275" spans="35:130"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H275" s="179"/>
      <c r="BI275" s="127"/>
      <c r="BJ275" s="127"/>
      <c r="BK275" s="127"/>
      <c r="BL275" s="127"/>
      <c r="BM275" s="120"/>
      <c r="BN275" s="4"/>
      <c r="BO275" s="121"/>
      <c r="BP275" s="122"/>
      <c r="BQ275" s="122"/>
      <c r="BR275" s="120"/>
      <c r="BS275" s="123"/>
      <c r="BT275" s="124"/>
      <c r="BU275" s="124"/>
      <c r="BV275" s="120"/>
      <c r="BW275" s="123"/>
      <c r="BX275" s="124"/>
      <c r="BY275" s="120"/>
      <c r="BZ275" s="12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</row>
    <row r="276" spans="35:130"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H276" s="179"/>
      <c r="BI276" s="127"/>
      <c r="BJ276" s="127"/>
      <c r="BK276" s="127"/>
      <c r="BL276" s="127"/>
      <c r="BM276" s="120"/>
      <c r="BN276" s="4"/>
      <c r="BO276" s="121"/>
      <c r="BP276" s="122"/>
      <c r="BQ276" s="122"/>
      <c r="BR276" s="120"/>
      <c r="BS276" s="123"/>
      <c r="BT276" s="124"/>
      <c r="BU276" s="124"/>
      <c r="BV276" s="120"/>
      <c r="BW276" s="123"/>
      <c r="BX276" s="124"/>
      <c r="BY276" s="120"/>
      <c r="BZ276" s="12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</row>
    <row r="277" spans="35:130"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H277" s="179"/>
      <c r="BI277" s="127"/>
      <c r="BJ277" s="127"/>
      <c r="BK277" s="127"/>
      <c r="BL277" s="127"/>
      <c r="BM277" s="120"/>
      <c r="BN277" s="4"/>
      <c r="BO277" s="121"/>
      <c r="BP277" s="122"/>
      <c r="BQ277" s="122"/>
      <c r="BR277" s="120"/>
      <c r="BS277" s="123"/>
      <c r="BT277" s="124"/>
      <c r="BU277" s="124"/>
      <c r="BV277" s="120"/>
      <c r="BW277" s="123"/>
      <c r="BX277" s="124"/>
      <c r="BY277" s="120"/>
      <c r="BZ277" s="12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</row>
    <row r="278" spans="35:130"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H278" s="179"/>
      <c r="BI278" s="127"/>
      <c r="BJ278" s="127"/>
      <c r="BK278" s="127"/>
      <c r="BL278" s="127"/>
      <c r="BM278" s="120"/>
      <c r="BN278" s="4"/>
      <c r="BO278" s="121"/>
      <c r="BP278" s="122"/>
      <c r="BQ278" s="122"/>
      <c r="BR278" s="120"/>
      <c r="BS278" s="123"/>
      <c r="BT278" s="124"/>
      <c r="BU278" s="124"/>
      <c r="BV278" s="120"/>
      <c r="BW278" s="123"/>
      <c r="BX278" s="124"/>
      <c r="BY278" s="120"/>
      <c r="BZ278" s="12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</row>
    <row r="279" spans="35:130"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H279" s="179"/>
      <c r="BI279" s="127"/>
      <c r="BJ279" s="127"/>
      <c r="BK279" s="127"/>
      <c r="BL279" s="127"/>
      <c r="BM279" s="120"/>
      <c r="BN279" s="4"/>
      <c r="BO279" s="121"/>
      <c r="BP279" s="122"/>
      <c r="BQ279" s="122"/>
      <c r="BR279" s="120"/>
      <c r="BS279" s="123"/>
      <c r="BT279" s="124"/>
      <c r="BU279" s="124"/>
      <c r="BV279" s="120"/>
      <c r="BW279" s="123"/>
      <c r="BX279" s="124"/>
      <c r="BY279" s="120"/>
      <c r="BZ279" s="12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</row>
    <row r="280" spans="35:130"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H280" s="179"/>
      <c r="BI280" s="127"/>
      <c r="BJ280" s="127"/>
      <c r="BK280" s="127"/>
      <c r="BL280" s="127"/>
      <c r="BM280" s="120"/>
      <c r="BN280" s="4"/>
      <c r="BO280" s="121"/>
      <c r="BP280" s="122"/>
      <c r="BQ280" s="122"/>
      <c r="BR280" s="120"/>
      <c r="BS280" s="123"/>
      <c r="BT280" s="124"/>
      <c r="BU280" s="124"/>
      <c r="BV280" s="120"/>
      <c r="BW280" s="123"/>
      <c r="BX280" s="124"/>
      <c r="BY280" s="120"/>
      <c r="BZ280" s="12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</row>
    <row r="281" spans="35:130"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H281" s="179"/>
      <c r="BI281" s="127"/>
      <c r="BJ281" s="127"/>
      <c r="BK281" s="127"/>
      <c r="BL281" s="127"/>
      <c r="BM281" s="120"/>
      <c r="BN281" s="4"/>
      <c r="BO281" s="121"/>
      <c r="BP281" s="122"/>
      <c r="BQ281" s="122"/>
      <c r="BR281" s="120"/>
      <c r="BS281" s="123"/>
      <c r="BT281" s="124"/>
      <c r="BU281" s="124"/>
      <c r="BV281" s="120"/>
      <c r="BW281" s="123"/>
      <c r="BX281" s="124"/>
      <c r="BY281" s="120"/>
      <c r="BZ281" s="12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</row>
    <row r="282" spans="35:130"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H282" s="179"/>
      <c r="BI282" s="127"/>
      <c r="BJ282" s="127"/>
      <c r="BK282" s="127"/>
      <c r="BL282" s="127"/>
      <c r="BM282" s="120"/>
      <c r="BN282" s="4"/>
      <c r="BO282" s="121"/>
      <c r="BP282" s="122"/>
      <c r="BQ282" s="122"/>
      <c r="BR282" s="120"/>
      <c r="BS282" s="123"/>
      <c r="BT282" s="124"/>
      <c r="BU282" s="124"/>
      <c r="BV282" s="120"/>
      <c r="BW282" s="123"/>
      <c r="BX282" s="124"/>
      <c r="BY282" s="120"/>
      <c r="BZ282" s="12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</row>
    <row r="283" spans="35:130"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H283" s="179"/>
      <c r="BI283" s="127"/>
      <c r="BJ283" s="127"/>
      <c r="BK283" s="127"/>
      <c r="BL283" s="127"/>
      <c r="BM283" s="120"/>
      <c r="BN283" s="4"/>
      <c r="BO283" s="121"/>
      <c r="BP283" s="122"/>
      <c r="BQ283" s="122"/>
      <c r="BR283" s="120"/>
      <c r="BS283" s="123"/>
      <c r="BT283" s="124"/>
      <c r="BU283" s="124"/>
      <c r="BV283" s="120"/>
      <c r="BW283" s="123"/>
      <c r="BX283" s="124"/>
      <c r="BY283" s="120"/>
      <c r="BZ283" s="12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</row>
    <row r="284" spans="35:130"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H284" s="179"/>
      <c r="BI284" s="127"/>
      <c r="BJ284" s="127"/>
      <c r="BK284" s="127"/>
      <c r="BL284" s="127"/>
      <c r="BM284" s="120"/>
      <c r="BN284" s="4"/>
      <c r="BO284" s="121"/>
      <c r="BP284" s="122"/>
      <c r="BQ284" s="122"/>
      <c r="BR284" s="120"/>
      <c r="BS284" s="123"/>
      <c r="BT284" s="124"/>
      <c r="BU284" s="124"/>
      <c r="BV284" s="120"/>
      <c r="BW284" s="123"/>
      <c r="BX284" s="124"/>
      <c r="BY284" s="120"/>
      <c r="BZ284" s="12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</row>
    <row r="285" spans="35:130"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H285" s="179"/>
      <c r="BI285" s="127"/>
      <c r="BJ285" s="127"/>
      <c r="BK285" s="127"/>
      <c r="BL285" s="127"/>
      <c r="BM285" s="120"/>
      <c r="BN285" s="4"/>
      <c r="BO285" s="121"/>
      <c r="BP285" s="122"/>
      <c r="BQ285" s="122"/>
      <c r="BR285" s="120"/>
      <c r="BS285" s="123"/>
      <c r="BT285" s="124"/>
      <c r="BU285" s="124"/>
      <c r="BV285" s="120"/>
      <c r="BW285" s="123"/>
      <c r="BX285" s="124"/>
      <c r="BY285" s="120"/>
      <c r="BZ285" s="12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</row>
    <row r="286" spans="35:130"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H286" s="179"/>
      <c r="BI286" s="127"/>
      <c r="BJ286" s="127"/>
      <c r="BK286" s="127"/>
      <c r="BL286" s="127"/>
      <c r="BM286" s="120"/>
      <c r="BN286" s="4"/>
      <c r="BO286" s="121"/>
      <c r="BP286" s="122"/>
      <c r="BQ286" s="122"/>
      <c r="BR286" s="120"/>
      <c r="BS286" s="123"/>
      <c r="BT286" s="124"/>
      <c r="BU286" s="124"/>
      <c r="BV286" s="120"/>
      <c r="BW286" s="123"/>
      <c r="BX286" s="124"/>
      <c r="BY286" s="120"/>
      <c r="BZ286" s="12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</row>
    <row r="287" spans="35:130"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H287" s="179"/>
      <c r="BI287" s="127"/>
      <c r="BJ287" s="127"/>
      <c r="BK287" s="127"/>
      <c r="BL287" s="127"/>
      <c r="BM287" s="120"/>
      <c r="BN287" s="4"/>
      <c r="BO287" s="121"/>
      <c r="BP287" s="122"/>
      <c r="BQ287" s="122"/>
      <c r="BR287" s="120"/>
      <c r="BS287" s="123"/>
      <c r="BT287" s="124"/>
      <c r="BU287" s="124"/>
      <c r="BV287" s="120"/>
      <c r="BW287" s="123"/>
      <c r="BX287" s="124"/>
      <c r="BY287" s="120"/>
      <c r="BZ287" s="12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</row>
    <row r="288" spans="35:130"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H288" s="179"/>
      <c r="BI288" s="127"/>
      <c r="BJ288" s="127"/>
      <c r="BK288" s="127"/>
      <c r="BL288" s="127"/>
      <c r="BM288" s="120"/>
      <c r="BN288" s="4"/>
      <c r="BO288" s="121"/>
      <c r="BP288" s="122"/>
      <c r="BQ288" s="122"/>
      <c r="BR288" s="120"/>
      <c r="BS288" s="123"/>
      <c r="BT288" s="124"/>
      <c r="BU288" s="124"/>
      <c r="BV288" s="120"/>
      <c r="BW288" s="123"/>
      <c r="BX288" s="124"/>
      <c r="BY288" s="120"/>
      <c r="BZ288" s="12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</row>
    <row r="289" spans="35:130"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H289" s="179"/>
      <c r="BI289" s="127"/>
      <c r="BJ289" s="127"/>
      <c r="BK289" s="127"/>
      <c r="BL289" s="127"/>
      <c r="BM289" s="120"/>
      <c r="BN289" s="4"/>
      <c r="BO289" s="121"/>
      <c r="BP289" s="122"/>
      <c r="BQ289" s="122"/>
      <c r="BR289" s="120"/>
      <c r="BS289" s="123"/>
      <c r="BT289" s="124"/>
      <c r="BU289" s="124"/>
      <c r="BV289" s="120"/>
      <c r="BW289" s="123"/>
      <c r="BX289" s="124"/>
      <c r="BY289" s="120"/>
      <c r="BZ289" s="12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</row>
    <row r="290" spans="35:130"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H290" s="179"/>
      <c r="BI290" s="127"/>
      <c r="BJ290" s="127"/>
      <c r="BK290" s="127"/>
      <c r="BL290" s="127"/>
      <c r="BM290" s="120"/>
      <c r="BN290" s="4"/>
      <c r="BO290" s="121"/>
      <c r="BP290" s="122"/>
      <c r="BQ290" s="122"/>
      <c r="BR290" s="120"/>
      <c r="BS290" s="123"/>
      <c r="BT290" s="124"/>
      <c r="BU290" s="124"/>
      <c r="BV290" s="120"/>
      <c r="BW290" s="123"/>
      <c r="BX290" s="124"/>
      <c r="BY290" s="120"/>
      <c r="BZ290" s="12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</row>
    <row r="291" spans="35:130"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H291" s="179"/>
      <c r="BI291" s="127"/>
      <c r="BJ291" s="127"/>
      <c r="BK291" s="127"/>
      <c r="BL291" s="127"/>
      <c r="BM291" s="120"/>
      <c r="BN291" s="4"/>
      <c r="BO291" s="121"/>
      <c r="BP291" s="122"/>
      <c r="BQ291" s="122"/>
      <c r="BR291" s="120"/>
      <c r="BS291" s="123"/>
      <c r="BT291" s="124"/>
      <c r="BU291" s="124"/>
      <c r="BV291" s="120"/>
      <c r="BW291" s="123"/>
      <c r="BX291" s="124"/>
      <c r="BY291" s="120"/>
      <c r="BZ291" s="12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</row>
    <row r="292" spans="35:130"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H292" s="179"/>
      <c r="BI292" s="127"/>
      <c r="BJ292" s="127"/>
      <c r="BK292" s="127"/>
      <c r="BL292" s="127"/>
      <c r="BM292" s="120"/>
      <c r="BN292" s="4"/>
      <c r="BO292" s="121"/>
      <c r="BP292" s="122"/>
      <c r="BQ292" s="122"/>
      <c r="BR292" s="120"/>
      <c r="BS292" s="123"/>
      <c r="BT292" s="124"/>
      <c r="BU292" s="124"/>
      <c r="BV292" s="120"/>
      <c r="BW292" s="123"/>
      <c r="BX292" s="124"/>
      <c r="BY292" s="120"/>
      <c r="BZ292" s="12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</row>
    <row r="293" spans="35:130"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H293" s="179"/>
      <c r="BI293" s="127"/>
      <c r="BJ293" s="127"/>
      <c r="BK293" s="127"/>
      <c r="BL293" s="127"/>
      <c r="BM293" s="120"/>
      <c r="BN293" s="4"/>
      <c r="BO293" s="121"/>
      <c r="BP293" s="122"/>
      <c r="BQ293" s="122"/>
      <c r="BR293" s="120"/>
      <c r="BS293" s="123"/>
      <c r="BT293" s="124"/>
      <c r="BU293" s="124"/>
      <c r="BV293" s="120"/>
      <c r="BW293" s="123"/>
      <c r="BX293" s="124"/>
      <c r="BY293" s="120"/>
      <c r="BZ293" s="12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</row>
    <row r="294" spans="35:130"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H294" s="179"/>
      <c r="BI294" s="127"/>
      <c r="BJ294" s="127"/>
      <c r="BK294" s="127"/>
      <c r="BL294" s="127"/>
      <c r="BM294" s="120"/>
      <c r="BN294" s="4"/>
      <c r="BO294" s="121"/>
      <c r="BP294" s="122"/>
      <c r="BQ294" s="122"/>
      <c r="BR294" s="120"/>
      <c r="BS294" s="123"/>
      <c r="BT294" s="124"/>
      <c r="BU294" s="124"/>
      <c r="BV294" s="120"/>
      <c r="BW294" s="123"/>
      <c r="BX294" s="124"/>
      <c r="BY294" s="120"/>
      <c r="BZ294" s="12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</row>
    <row r="295" spans="35:130"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H295" s="179"/>
      <c r="BI295" s="127"/>
      <c r="BJ295" s="127"/>
      <c r="BK295" s="127"/>
      <c r="BL295" s="127"/>
      <c r="BM295" s="120"/>
      <c r="BN295" s="4"/>
      <c r="BO295" s="121"/>
      <c r="BP295" s="122"/>
      <c r="BQ295" s="122"/>
      <c r="BR295" s="120"/>
      <c r="BS295" s="123"/>
      <c r="BT295" s="124"/>
      <c r="BU295" s="124"/>
      <c r="BV295" s="120"/>
      <c r="BW295" s="123"/>
      <c r="BX295" s="124"/>
      <c r="BY295" s="120"/>
      <c r="BZ295" s="12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</row>
    <row r="296" spans="35:130"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H296" s="179"/>
      <c r="BI296" s="127"/>
      <c r="BJ296" s="127"/>
      <c r="BK296" s="127"/>
      <c r="BL296" s="127"/>
      <c r="BM296" s="120"/>
      <c r="BN296" s="4"/>
      <c r="BO296" s="121"/>
      <c r="BP296" s="122"/>
      <c r="BQ296" s="122"/>
      <c r="BR296" s="120"/>
      <c r="BS296" s="123"/>
      <c r="BT296" s="124"/>
      <c r="BU296" s="124"/>
      <c r="BV296" s="120"/>
      <c r="BW296" s="123"/>
      <c r="BX296" s="124"/>
      <c r="BY296" s="120"/>
      <c r="BZ296" s="12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</row>
    <row r="297" spans="35:130"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H297" s="179"/>
      <c r="BI297" s="127"/>
      <c r="BJ297" s="127"/>
      <c r="BK297" s="127"/>
      <c r="BL297" s="127"/>
      <c r="BM297" s="120"/>
      <c r="BN297" s="4"/>
      <c r="BO297" s="121"/>
      <c r="BP297" s="122"/>
      <c r="BQ297" s="122"/>
      <c r="BR297" s="120"/>
      <c r="BS297" s="123"/>
      <c r="BT297" s="124"/>
      <c r="BU297" s="124"/>
      <c r="BV297" s="120"/>
      <c r="BW297" s="123"/>
      <c r="BX297" s="124"/>
      <c r="BY297" s="120"/>
      <c r="BZ297" s="12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</row>
    <row r="298" spans="35:130"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H298" s="179"/>
      <c r="BI298" s="127"/>
      <c r="BJ298" s="127"/>
      <c r="BK298" s="127"/>
      <c r="BL298" s="127"/>
      <c r="BM298" s="120"/>
      <c r="BN298" s="4"/>
      <c r="BO298" s="121"/>
      <c r="BP298" s="122"/>
      <c r="BQ298" s="122"/>
      <c r="BR298" s="120"/>
      <c r="BS298" s="123"/>
      <c r="BT298" s="124"/>
      <c r="BU298" s="124"/>
      <c r="BV298" s="120"/>
      <c r="BW298" s="123"/>
      <c r="BX298" s="124"/>
      <c r="BY298" s="120"/>
      <c r="BZ298" s="12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</row>
    <row r="299" spans="35:130"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H299" s="179"/>
      <c r="BI299" s="127"/>
      <c r="BJ299" s="127"/>
      <c r="BK299" s="127"/>
      <c r="BL299" s="127"/>
      <c r="BM299" s="120"/>
      <c r="BN299" s="4"/>
      <c r="BO299" s="121"/>
      <c r="BP299" s="122"/>
      <c r="BQ299" s="122"/>
      <c r="BR299" s="120"/>
      <c r="BS299" s="123"/>
      <c r="BT299" s="124"/>
      <c r="BU299" s="124"/>
      <c r="BV299" s="120"/>
      <c r="BW299" s="123"/>
      <c r="BX299" s="124"/>
      <c r="BY299" s="120"/>
      <c r="BZ299" s="12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</row>
    <row r="300" spans="35:130"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H300" s="179"/>
      <c r="BI300" s="127"/>
      <c r="BJ300" s="127"/>
      <c r="BK300" s="127"/>
      <c r="BL300" s="127"/>
      <c r="BM300" s="120"/>
      <c r="BN300" s="4"/>
      <c r="BO300" s="121"/>
      <c r="BP300" s="122"/>
      <c r="BQ300" s="122"/>
      <c r="BR300" s="120"/>
      <c r="BS300" s="123"/>
      <c r="BT300" s="124"/>
      <c r="BU300" s="124"/>
      <c r="BV300" s="120"/>
      <c r="BW300" s="123"/>
      <c r="BX300" s="124"/>
      <c r="BY300" s="120"/>
      <c r="BZ300" s="12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</row>
    <row r="301" spans="35:130"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H301" s="179"/>
      <c r="BI301" s="127"/>
      <c r="BJ301" s="127"/>
      <c r="BK301" s="127"/>
      <c r="BL301" s="127"/>
      <c r="BM301" s="120"/>
      <c r="BN301" s="4"/>
      <c r="BO301" s="121"/>
      <c r="BP301" s="122"/>
      <c r="BQ301" s="122"/>
      <c r="BR301" s="120"/>
      <c r="BS301" s="123"/>
      <c r="BT301" s="124"/>
      <c r="BU301" s="124"/>
      <c r="BV301" s="120"/>
      <c r="BW301" s="123"/>
      <c r="BX301" s="124"/>
      <c r="BY301" s="120"/>
      <c r="BZ301" s="12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</row>
    <row r="302" spans="35:130"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H302" s="179"/>
      <c r="BI302" s="127"/>
      <c r="BJ302" s="127"/>
      <c r="BK302" s="127"/>
      <c r="BL302" s="127"/>
      <c r="BM302" s="120"/>
      <c r="BN302" s="4"/>
      <c r="BO302" s="121"/>
      <c r="BP302" s="122"/>
      <c r="BQ302" s="122"/>
      <c r="BR302" s="120"/>
      <c r="BS302" s="123"/>
      <c r="BT302" s="124"/>
      <c r="BU302" s="124"/>
      <c r="BV302" s="120"/>
      <c r="BW302" s="123"/>
      <c r="BX302" s="124"/>
      <c r="BY302" s="120"/>
      <c r="BZ302" s="12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</row>
    <row r="303" spans="35:130"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H303" s="179"/>
      <c r="BI303" s="127"/>
      <c r="BJ303" s="127"/>
      <c r="BK303" s="127"/>
      <c r="BL303" s="127"/>
      <c r="BM303" s="120"/>
      <c r="BN303" s="4"/>
      <c r="BO303" s="121"/>
      <c r="BP303" s="122"/>
      <c r="BQ303" s="122"/>
      <c r="BR303" s="120"/>
      <c r="BS303" s="123"/>
      <c r="BT303" s="124"/>
      <c r="BU303" s="124"/>
      <c r="BV303" s="120"/>
      <c r="BW303" s="123"/>
      <c r="BX303" s="124"/>
      <c r="BY303" s="120"/>
      <c r="BZ303" s="12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</row>
    <row r="304" spans="35:130"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H304" s="179"/>
      <c r="BI304" s="127"/>
      <c r="BJ304" s="127"/>
      <c r="BK304" s="127"/>
      <c r="BL304" s="127"/>
      <c r="BM304" s="120"/>
      <c r="BN304" s="4"/>
      <c r="BO304" s="121"/>
      <c r="BP304" s="122"/>
      <c r="BQ304" s="122"/>
      <c r="BR304" s="120"/>
      <c r="BS304" s="123"/>
      <c r="BT304" s="124"/>
      <c r="BU304" s="124"/>
      <c r="BV304" s="120"/>
      <c r="BW304" s="123"/>
      <c r="BX304" s="124"/>
      <c r="BY304" s="120"/>
      <c r="BZ304" s="12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</row>
    <row r="305" spans="35:130"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H305" s="179"/>
      <c r="BI305" s="127"/>
      <c r="BJ305" s="127"/>
      <c r="BK305" s="127"/>
      <c r="BL305" s="127"/>
      <c r="BM305" s="120"/>
      <c r="BN305" s="4"/>
      <c r="BO305" s="121"/>
      <c r="BP305" s="122"/>
      <c r="BQ305" s="122"/>
      <c r="BR305" s="120"/>
      <c r="BS305" s="123"/>
      <c r="BT305" s="124"/>
      <c r="BU305" s="124"/>
      <c r="BV305" s="120"/>
      <c r="BW305" s="123"/>
      <c r="BX305" s="124"/>
      <c r="BY305" s="120"/>
      <c r="BZ305" s="12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</row>
    <row r="306" spans="35:130"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H306" s="179"/>
      <c r="BI306" s="127"/>
      <c r="BJ306" s="127"/>
      <c r="BK306" s="127"/>
      <c r="BL306" s="127"/>
      <c r="BM306" s="120"/>
      <c r="BN306" s="4"/>
      <c r="BO306" s="121"/>
      <c r="BP306" s="122"/>
      <c r="BQ306" s="122"/>
      <c r="BR306" s="120"/>
      <c r="BS306" s="123"/>
      <c r="BT306" s="124"/>
      <c r="BU306" s="124"/>
      <c r="BV306" s="120"/>
      <c r="BW306" s="123"/>
      <c r="BX306" s="124"/>
      <c r="BY306" s="120"/>
      <c r="BZ306" s="12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</row>
    <row r="307" spans="35:130"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H307" s="179"/>
      <c r="BI307" s="127"/>
      <c r="BJ307" s="127"/>
      <c r="BK307" s="127"/>
      <c r="BL307" s="127"/>
      <c r="BM307" s="120"/>
      <c r="BN307" s="4"/>
      <c r="BO307" s="121"/>
      <c r="BP307" s="122"/>
      <c r="BQ307" s="122"/>
      <c r="BR307" s="120"/>
      <c r="BS307" s="123"/>
      <c r="BT307" s="124"/>
      <c r="BU307" s="124"/>
      <c r="BV307" s="120"/>
      <c r="BW307" s="123"/>
      <c r="BX307" s="124"/>
      <c r="BY307" s="120"/>
      <c r="BZ307" s="12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</row>
    <row r="308" spans="35:130"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H308" s="179"/>
      <c r="BI308" s="127"/>
      <c r="BJ308" s="127"/>
      <c r="BK308" s="127"/>
      <c r="BL308" s="127"/>
      <c r="BM308" s="120"/>
      <c r="BN308" s="4"/>
      <c r="BO308" s="121"/>
      <c r="BP308" s="122"/>
      <c r="BQ308" s="122"/>
      <c r="BR308" s="120"/>
      <c r="BS308" s="123"/>
      <c r="BT308" s="124"/>
      <c r="BU308" s="124"/>
      <c r="BV308" s="120"/>
      <c r="BW308" s="123"/>
      <c r="BX308" s="124"/>
      <c r="BY308" s="120"/>
      <c r="BZ308" s="12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</row>
    <row r="309" spans="35:130"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H309" s="179"/>
      <c r="BI309" s="127"/>
      <c r="BJ309" s="127"/>
      <c r="BK309" s="127"/>
      <c r="BL309" s="127"/>
      <c r="BM309" s="120"/>
      <c r="BN309" s="4"/>
      <c r="BO309" s="121"/>
      <c r="BP309" s="122"/>
      <c r="BQ309" s="122"/>
      <c r="BR309" s="120"/>
      <c r="BS309" s="123"/>
      <c r="BT309" s="124"/>
      <c r="BU309" s="124"/>
      <c r="BV309" s="120"/>
      <c r="BW309" s="123"/>
      <c r="BX309" s="124"/>
      <c r="BY309" s="120"/>
      <c r="BZ309" s="12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</row>
    <row r="310" spans="35:130"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H310" s="179"/>
      <c r="BI310" s="127"/>
      <c r="BJ310" s="127"/>
      <c r="BK310" s="127"/>
      <c r="BL310" s="127"/>
      <c r="BM310" s="120"/>
      <c r="BN310" s="4"/>
      <c r="BO310" s="121"/>
      <c r="BP310" s="122"/>
      <c r="BQ310" s="122"/>
      <c r="BR310" s="120"/>
      <c r="BS310" s="123"/>
      <c r="BT310" s="124"/>
      <c r="BU310" s="124"/>
      <c r="BV310" s="120"/>
      <c r="BW310" s="123"/>
      <c r="BX310" s="124"/>
      <c r="BY310" s="120"/>
      <c r="BZ310" s="12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</row>
    <row r="311" spans="35:130"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H311" s="179"/>
      <c r="BI311" s="127"/>
      <c r="BJ311" s="127"/>
      <c r="BK311" s="127"/>
      <c r="BL311" s="127"/>
      <c r="BM311" s="120"/>
      <c r="BN311" s="4"/>
      <c r="BO311" s="121"/>
      <c r="BP311" s="122"/>
      <c r="BQ311" s="122"/>
      <c r="BR311" s="120"/>
      <c r="BS311" s="123"/>
      <c r="BT311" s="124"/>
      <c r="BU311" s="124"/>
      <c r="BV311" s="120"/>
      <c r="BW311" s="123"/>
      <c r="BX311" s="124"/>
      <c r="BY311" s="120"/>
      <c r="BZ311" s="12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</row>
    <row r="312" spans="35:130"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H312" s="179"/>
      <c r="BI312" s="127"/>
      <c r="BJ312" s="127"/>
      <c r="BK312" s="127"/>
      <c r="BL312" s="127"/>
      <c r="BM312" s="120"/>
      <c r="BN312" s="4"/>
      <c r="BO312" s="121"/>
      <c r="BP312" s="122"/>
      <c r="BQ312" s="122"/>
      <c r="BR312" s="120"/>
      <c r="BS312" s="123"/>
      <c r="BT312" s="124"/>
      <c r="BU312" s="124"/>
      <c r="BV312" s="120"/>
      <c r="BW312" s="123"/>
      <c r="BX312" s="124"/>
      <c r="BY312" s="120"/>
      <c r="BZ312" s="12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</row>
    <row r="313" spans="35:130"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H313" s="179"/>
      <c r="BI313" s="127"/>
      <c r="BJ313" s="127"/>
      <c r="BK313" s="127"/>
      <c r="BL313" s="127"/>
      <c r="BM313" s="120"/>
      <c r="BN313" s="4"/>
      <c r="BO313" s="121"/>
      <c r="BP313" s="122"/>
      <c r="BQ313" s="122"/>
      <c r="BR313" s="120"/>
      <c r="BS313" s="123"/>
      <c r="BT313" s="124"/>
      <c r="BU313" s="124"/>
      <c r="BV313" s="120"/>
      <c r="BW313" s="123"/>
      <c r="BX313" s="124"/>
      <c r="BY313" s="120"/>
      <c r="BZ313" s="12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</row>
    <row r="314" spans="35:130"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H314" s="179"/>
      <c r="BI314" s="127"/>
      <c r="BJ314" s="127"/>
      <c r="BK314" s="127"/>
      <c r="BL314" s="127"/>
      <c r="BM314" s="120"/>
      <c r="BN314" s="4"/>
      <c r="BO314" s="121"/>
      <c r="BP314" s="122"/>
      <c r="BQ314" s="122"/>
      <c r="BR314" s="120"/>
      <c r="BS314" s="123"/>
      <c r="BT314" s="124"/>
      <c r="BU314" s="124"/>
      <c r="BV314" s="120"/>
      <c r="BW314" s="123"/>
      <c r="BX314" s="124"/>
      <c r="BY314" s="120"/>
      <c r="BZ314" s="12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</row>
    <row r="315" spans="35:130"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H315" s="179"/>
      <c r="BI315" s="127"/>
      <c r="BJ315" s="127"/>
      <c r="BK315" s="127"/>
      <c r="BL315" s="127"/>
      <c r="BM315" s="120"/>
      <c r="BN315" s="4"/>
      <c r="BO315" s="121"/>
      <c r="BP315" s="122"/>
      <c r="BQ315" s="122"/>
      <c r="BR315" s="120"/>
      <c r="BS315" s="123"/>
      <c r="BT315" s="124"/>
      <c r="BU315" s="124"/>
      <c r="BV315" s="120"/>
      <c r="BW315" s="123"/>
      <c r="BX315" s="124"/>
      <c r="BY315" s="120"/>
      <c r="BZ315" s="12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</row>
    <row r="316" spans="35:130"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H316" s="179"/>
      <c r="BI316" s="127"/>
      <c r="BJ316" s="127"/>
      <c r="BK316" s="127"/>
      <c r="BL316" s="127"/>
      <c r="BM316" s="120"/>
      <c r="BN316" s="4"/>
      <c r="BO316" s="121"/>
      <c r="BP316" s="122"/>
      <c r="BQ316" s="122"/>
      <c r="BR316" s="120"/>
      <c r="BS316" s="123"/>
      <c r="BT316" s="124"/>
      <c r="BU316" s="124"/>
      <c r="BV316" s="120"/>
      <c r="BW316" s="123"/>
      <c r="BX316" s="124"/>
      <c r="BY316" s="120"/>
      <c r="BZ316" s="12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</row>
    <row r="317" spans="35:130"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H317" s="179"/>
      <c r="BI317" s="127"/>
      <c r="BJ317" s="127"/>
      <c r="BK317" s="127"/>
      <c r="BL317" s="127"/>
      <c r="BM317" s="120"/>
      <c r="BN317" s="4"/>
      <c r="BO317" s="121"/>
      <c r="BP317" s="122"/>
      <c r="BQ317" s="122"/>
      <c r="BR317" s="120"/>
      <c r="BS317" s="123"/>
      <c r="BT317" s="124"/>
      <c r="BU317" s="124"/>
      <c r="BV317" s="120"/>
      <c r="BW317" s="123"/>
      <c r="BX317" s="124"/>
      <c r="BY317" s="120"/>
      <c r="BZ317" s="12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</row>
    <row r="318" spans="35:130"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H318" s="179"/>
      <c r="BI318" s="127"/>
      <c r="BJ318" s="127"/>
      <c r="BK318" s="127"/>
      <c r="BL318" s="127"/>
      <c r="BM318" s="120"/>
      <c r="BN318" s="4"/>
      <c r="BO318" s="121"/>
      <c r="BP318" s="122"/>
      <c r="BQ318" s="122"/>
      <c r="BR318" s="120"/>
      <c r="BS318" s="123"/>
      <c r="BT318" s="124"/>
      <c r="BU318" s="124"/>
      <c r="BV318" s="120"/>
      <c r="BW318" s="123"/>
      <c r="BX318" s="124"/>
      <c r="BY318" s="120"/>
      <c r="BZ318" s="12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</row>
    <row r="319" spans="35:130"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H319" s="179"/>
      <c r="BI319" s="127"/>
      <c r="BJ319" s="127"/>
      <c r="BK319" s="127"/>
      <c r="BL319" s="127"/>
      <c r="BM319" s="120"/>
      <c r="BN319" s="4"/>
      <c r="BO319" s="121"/>
      <c r="BP319" s="122"/>
      <c r="BQ319" s="122"/>
      <c r="BR319" s="120"/>
      <c r="BS319" s="123"/>
      <c r="BT319" s="124"/>
      <c r="BU319" s="124"/>
      <c r="BV319" s="120"/>
      <c r="BW319" s="123"/>
      <c r="BX319" s="124"/>
      <c r="BY319" s="120"/>
      <c r="BZ319" s="12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</row>
    <row r="320" spans="35:130"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H320" s="179"/>
      <c r="BI320" s="127"/>
      <c r="BJ320" s="127"/>
      <c r="BK320" s="127"/>
      <c r="BL320" s="127"/>
      <c r="BM320" s="120"/>
      <c r="BN320" s="4"/>
      <c r="BO320" s="121"/>
      <c r="BP320" s="122"/>
      <c r="BQ320" s="122"/>
      <c r="BR320" s="120"/>
      <c r="BS320" s="123"/>
      <c r="BT320" s="124"/>
      <c r="BU320" s="124"/>
      <c r="BV320" s="120"/>
      <c r="BW320" s="123"/>
      <c r="BX320" s="124"/>
      <c r="BY320" s="120"/>
      <c r="BZ320" s="12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</row>
    <row r="321" spans="35:130"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H321" s="179"/>
      <c r="BI321" s="127"/>
      <c r="BJ321" s="127"/>
      <c r="BK321" s="127"/>
      <c r="BL321" s="127"/>
      <c r="BM321" s="120"/>
      <c r="BN321" s="4"/>
      <c r="BO321" s="121"/>
      <c r="BP321" s="122"/>
      <c r="BQ321" s="122"/>
      <c r="BR321" s="120"/>
      <c r="BS321" s="123"/>
      <c r="BT321" s="124"/>
      <c r="BU321" s="124"/>
      <c r="BV321" s="120"/>
      <c r="BW321" s="123"/>
      <c r="BX321" s="124"/>
      <c r="BY321" s="120"/>
      <c r="BZ321" s="12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</row>
    <row r="322" spans="35:130"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H322" s="179"/>
      <c r="BI322" s="127"/>
      <c r="BJ322" s="127"/>
      <c r="BK322" s="127"/>
      <c r="BL322" s="127"/>
      <c r="BM322" s="120"/>
      <c r="BN322" s="4"/>
      <c r="BO322" s="121"/>
      <c r="BP322" s="122"/>
      <c r="BQ322" s="122"/>
      <c r="BR322" s="120"/>
      <c r="BS322" s="123"/>
      <c r="BT322" s="124"/>
      <c r="BU322" s="124"/>
      <c r="BV322" s="120"/>
      <c r="BW322" s="123"/>
      <c r="BX322" s="124"/>
      <c r="BY322" s="120"/>
      <c r="BZ322" s="12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</row>
    <row r="323" spans="35:130"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H323" s="179"/>
      <c r="BI323" s="127"/>
      <c r="BJ323" s="127"/>
      <c r="BK323" s="127"/>
      <c r="BL323" s="127"/>
      <c r="BM323" s="120"/>
      <c r="BN323" s="4"/>
      <c r="BO323" s="121"/>
      <c r="BP323" s="122"/>
      <c r="BQ323" s="122"/>
      <c r="BR323" s="120"/>
      <c r="BS323" s="123"/>
      <c r="BT323" s="124"/>
      <c r="BU323" s="124"/>
      <c r="BV323" s="120"/>
      <c r="BW323" s="123"/>
      <c r="BX323" s="124"/>
      <c r="BY323" s="120"/>
      <c r="BZ323" s="12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</row>
    <row r="324" spans="35:130"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H324" s="179"/>
      <c r="BI324" s="127"/>
      <c r="BJ324" s="127"/>
      <c r="BK324" s="127"/>
      <c r="BL324" s="127"/>
      <c r="BM324" s="120"/>
      <c r="BN324" s="4"/>
      <c r="BO324" s="121"/>
      <c r="BP324" s="122"/>
      <c r="BQ324" s="122"/>
      <c r="BR324" s="120"/>
      <c r="BS324" s="123"/>
      <c r="BT324" s="124"/>
      <c r="BU324" s="124"/>
      <c r="BV324" s="120"/>
      <c r="BW324" s="123"/>
      <c r="BX324" s="124"/>
      <c r="BY324" s="120"/>
      <c r="BZ324" s="12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</row>
    <row r="325" spans="35:130"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H325" s="179"/>
      <c r="BI325" s="127"/>
      <c r="BJ325" s="127"/>
      <c r="BK325" s="127"/>
      <c r="BL325" s="127"/>
      <c r="BM325" s="120"/>
      <c r="BN325" s="4"/>
      <c r="BO325" s="121"/>
      <c r="BP325" s="122"/>
      <c r="BQ325" s="122"/>
      <c r="BR325" s="120"/>
      <c r="BS325" s="123"/>
      <c r="BT325" s="124"/>
      <c r="BU325" s="124"/>
      <c r="BV325" s="120"/>
      <c r="BW325" s="123"/>
      <c r="BX325" s="124"/>
      <c r="BY325" s="120"/>
      <c r="BZ325" s="12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</row>
    <row r="326" spans="35:130"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H326" s="179"/>
      <c r="BI326" s="127"/>
      <c r="BJ326" s="127"/>
      <c r="BK326" s="127"/>
      <c r="BL326" s="127"/>
      <c r="BM326" s="120"/>
      <c r="BN326" s="4"/>
      <c r="BO326" s="121"/>
      <c r="BP326" s="122"/>
      <c r="BQ326" s="122"/>
      <c r="BR326" s="120"/>
      <c r="BS326" s="123"/>
      <c r="BT326" s="124"/>
      <c r="BU326" s="124"/>
      <c r="BV326" s="120"/>
      <c r="BW326" s="123"/>
      <c r="BX326" s="124"/>
      <c r="BY326" s="120"/>
      <c r="BZ326" s="12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</row>
    <row r="327" spans="35:130"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H327" s="179"/>
      <c r="BI327" s="127"/>
      <c r="BJ327" s="127"/>
      <c r="BK327" s="127"/>
      <c r="BL327" s="127"/>
      <c r="BM327" s="120"/>
      <c r="BN327" s="4"/>
      <c r="BO327" s="121"/>
      <c r="BP327" s="122"/>
      <c r="BQ327" s="122"/>
      <c r="BR327" s="120"/>
      <c r="BS327" s="123"/>
      <c r="BT327" s="124"/>
      <c r="BU327" s="124"/>
      <c r="BV327" s="120"/>
      <c r="BW327" s="123"/>
      <c r="BX327" s="124"/>
      <c r="BY327" s="120"/>
      <c r="BZ327" s="12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</row>
    <row r="328" spans="35:130"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H328" s="179"/>
      <c r="BI328" s="127"/>
      <c r="BJ328" s="127"/>
      <c r="BK328" s="127"/>
      <c r="BL328" s="127"/>
      <c r="BM328" s="120"/>
      <c r="BN328" s="4"/>
      <c r="BO328" s="121"/>
      <c r="BP328" s="122"/>
      <c r="BQ328" s="122"/>
      <c r="BR328" s="120"/>
      <c r="BS328" s="123"/>
      <c r="BT328" s="124"/>
      <c r="BU328" s="124"/>
      <c r="BV328" s="120"/>
      <c r="BW328" s="123"/>
      <c r="BX328" s="124"/>
      <c r="BY328" s="120"/>
      <c r="BZ328" s="12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</row>
    <row r="329" spans="35:130"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H329" s="179"/>
      <c r="BI329" s="127"/>
      <c r="BJ329" s="127"/>
      <c r="BK329" s="127"/>
      <c r="BL329" s="127"/>
      <c r="BM329" s="120"/>
      <c r="BN329" s="4"/>
      <c r="BO329" s="121"/>
      <c r="BP329" s="122"/>
      <c r="BQ329" s="122"/>
      <c r="BR329" s="120"/>
      <c r="BS329" s="123"/>
      <c r="BT329" s="124"/>
      <c r="BU329" s="124"/>
      <c r="BV329" s="120"/>
      <c r="BW329" s="123"/>
      <c r="BX329" s="124"/>
      <c r="BY329" s="120"/>
      <c r="BZ329" s="12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</row>
    <row r="330" spans="35:130"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H330" s="179"/>
      <c r="BI330" s="127"/>
      <c r="BJ330" s="127"/>
      <c r="BK330" s="127"/>
      <c r="BL330" s="127"/>
      <c r="BM330" s="120"/>
      <c r="BN330" s="4"/>
      <c r="BO330" s="121"/>
      <c r="BP330" s="122"/>
      <c r="BQ330" s="122"/>
      <c r="BR330" s="120"/>
      <c r="BS330" s="123"/>
      <c r="BT330" s="124"/>
      <c r="BU330" s="124"/>
      <c r="BV330" s="120"/>
      <c r="BW330" s="123"/>
      <c r="BX330" s="124"/>
      <c r="BY330" s="120"/>
      <c r="BZ330" s="12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</row>
    <row r="331" spans="35:130"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H331" s="179"/>
      <c r="BI331" s="127"/>
      <c r="BJ331" s="127"/>
      <c r="BK331" s="127"/>
      <c r="BL331" s="127"/>
      <c r="BM331" s="120"/>
      <c r="BN331" s="4"/>
      <c r="BO331" s="121"/>
      <c r="BP331" s="122"/>
      <c r="BQ331" s="122"/>
      <c r="BR331" s="120"/>
      <c r="BS331" s="123"/>
      <c r="BT331" s="124"/>
      <c r="BU331" s="124"/>
      <c r="BV331" s="120"/>
      <c r="BW331" s="123"/>
      <c r="BX331" s="124"/>
      <c r="BY331" s="120"/>
      <c r="BZ331" s="12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</row>
    <row r="332" spans="35:130"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H332" s="179"/>
      <c r="BI332" s="127"/>
      <c r="BJ332" s="127"/>
      <c r="BK332" s="127"/>
      <c r="BL332" s="127"/>
      <c r="BM332" s="120"/>
      <c r="BN332" s="4"/>
      <c r="BO332" s="121"/>
      <c r="BP332" s="122"/>
      <c r="BQ332" s="122"/>
      <c r="BR332" s="120"/>
      <c r="BS332" s="123"/>
      <c r="BT332" s="124"/>
      <c r="BU332" s="124"/>
      <c r="BV332" s="120"/>
      <c r="BW332" s="123"/>
      <c r="BX332" s="124"/>
      <c r="BY332" s="120"/>
      <c r="BZ332" s="12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</row>
    <row r="333" spans="35:130"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H333" s="179"/>
      <c r="BI333" s="127"/>
      <c r="BJ333" s="127"/>
      <c r="BK333" s="127"/>
      <c r="BL333" s="127"/>
      <c r="BM333" s="120"/>
      <c r="BN333" s="4"/>
      <c r="BO333" s="121"/>
      <c r="BP333" s="122"/>
      <c r="BQ333" s="122"/>
      <c r="BR333" s="120"/>
      <c r="BS333" s="123"/>
      <c r="BT333" s="124"/>
      <c r="BU333" s="124"/>
      <c r="BV333" s="120"/>
      <c r="BW333" s="123"/>
      <c r="BX333" s="124"/>
      <c r="BY333" s="120"/>
      <c r="BZ333" s="12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</row>
    <row r="334" spans="35:130"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H334" s="179"/>
      <c r="BI334" s="127"/>
      <c r="BJ334" s="127"/>
      <c r="BK334" s="127"/>
      <c r="BL334" s="127"/>
      <c r="BM334" s="120"/>
      <c r="BN334" s="4"/>
      <c r="BO334" s="121"/>
      <c r="BP334" s="122"/>
      <c r="BQ334" s="122"/>
      <c r="BR334" s="120"/>
      <c r="BS334" s="123"/>
      <c r="BT334" s="124"/>
      <c r="BU334" s="124"/>
      <c r="BV334" s="120"/>
      <c r="BW334" s="123"/>
      <c r="BX334" s="124"/>
      <c r="BY334" s="120"/>
      <c r="BZ334" s="12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</row>
    <row r="335" spans="35:130"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H335" s="179"/>
      <c r="BI335" s="127"/>
      <c r="BJ335" s="127"/>
      <c r="BK335" s="127"/>
      <c r="BL335" s="127"/>
      <c r="BM335" s="120"/>
      <c r="BN335" s="4"/>
      <c r="BO335" s="121"/>
      <c r="BP335" s="122"/>
      <c r="BQ335" s="122"/>
      <c r="BR335" s="120"/>
      <c r="BS335" s="123"/>
      <c r="BT335" s="124"/>
      <c r="BU335" s="124"/>
      <c r="BV335" s="120"/>
      <c r="BW335" s="123"/>
      <c r="BX335" s="124"/>
      <c r="BY335" s="120"/>
      <c r="BZ335" s="12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</row>
    <row r="336" spans="35:130"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H336" s="179"/>
      <c r="BI336" s="127"/>
      <c r="BJ336" s="127"/>
      <c r="BK336" s="127"/>
      <c r="BL336" s="127"/>
      <c r="BM336" s="120"/>
      <c r="BN336" s="4"/>
      <c r="BO336" s="121"/>
      <c r="BP336" s="122"/>
      <c r="BQ336" s="122"/>
      <c r="BR336" s="120"/>
      <c r="BS336" s="123"/>
      <c r="BT336" s="124"/>
      <c r="BU336" s="124"/>
      <c r="BV336" s="120"/>
      <c r="BW336" s="123"/>
      <c r="BX336" s="124"/>
      <c r="BY336" s="120"/>
      <c r="BZ336" s="12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</row>
    <row r="337" spans="35:130"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H337" s="179"/>
      <c r="BI337" s="127"/>
      <c r="BJ337" s="127"/>
      <c r="BK337" s="127"/>
      <c r="BL337" s="127"/>
      <c r="BM337" s="120"/>
      <c r="BN337" s="4"/>
      <c r="BO337" s="121"/>
      <c r="BP337" s="122"/>
      <c r="BQ337" s="122"/>
      <c r="BR337" s="120"/>
      <c r="BS337" s="123"/>
      <c r="BT337" s="124"/>
      <c r="BU337" s="124"/>
      <c r="BV337" s="120"/>
      <c r="BW337" s="123"/>
      <c r="BX337" s="124"/>
      <c r="BY337" s="120"/>
      <c r="BZ337" s="12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</row>
    <row r="338" spans="35:130"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H338" s="179"/>
      <c r="BI338" s="127"/>
      <c r="BJ338" s="127"/>
      <c r="BK338" s="127"/>
      <c r="BL338" s="127"/>
      <c r="BM338" s="120"/>
      <c r="BN338" s="4"/>
      <c r="BO338" s="121"/>
      <c r="BP338" s="122"/>
      <c r="BQ338" s="122"/>
      <c r="BR338" s="120"/>
      <c r="BS338" s="123"/>
      <c r="BT338" s="124"/>
      <c r="BU338" s="124"/>
      <c r="BV338" s="120"/>
      <c r="BW338" s="123"/>
      <c r="BX338" s="124"/>
      <c r="BY338" s="120"/>
      <c r="BZ338" s="12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</row>
    <row r="339" spans="35:130"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H339" s="179"/>
      <c r="BI339" s="127"/>
      <c r="BJ339" s="127"/>
      <c r="BK339" s="127"/>
      <c r="BL339" s="127"/>
      <c r="BM339" s="120"/>
      <c r="BN339" s="4"/>
      <c r="BO339" s="121"/>
      <c r="BP339" s="122"/>
      <c r="BQ339" s="122"/>
      <c r="BR339" s="120"/>
      <c r="BS339" s="123"/>
      <c r="BT339" s="124"/>
      <c r="BU339" s="124"/>
      <c r="BV339" s="120"/>
      <c r="BW339" s="123"/>
      <c r="BX339" s="124"/>
      <c r="BY339" s="120"/>
      <c r="BZ339" s="12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</row>
    <row r="340" spans="35:130"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H340" s="179"/>
      <c r="BI340" s="127"/>
      <c r="BJ340" s="127"/>
      <c r="BK340" s="127"/>
      <c r="BL340" s="127"/>
      <c r="BM340" s="120"/>
      <c r="BN340" s="4"/>
      <c r="BO340" s="121"/>
      <c r="BP340" s="122"/>
      <c r="BQ340" s="122"/>
      <c r="BR340" s="120"/>
      <c r="BS340" s="123"/>
      <c r="BT340" s="124"/>
      <c r="BU340" s="124"/>
      <c r="BV340" s="120"/>
      <c r="BW340" s="123"/>
      <c r="BX340" s="124"/>
      <c r="BY340" s="120"/>
      <c r="BZ340" s="12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</row>
    <row r="341" spans="35:130"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H341" s="179"/>
      <c r="BI341" s="127"/>
      <c r="BJ341" s="127"/>
      <c r="BK341" s="127"/>
      <c r="BL341" s="127"/>
      <c r="BM341" s="120"/>
      <c r="BN341" s="4"/>
      <c r="BO341" s="121"/>
      <c r="BP341" s="122"/>
      <c r="BQ341" s="122"/>
      <c r="BR341" s="120"/>
      <c r="BS341" s="123"/>
      <c r="BT341" s="124"/>
      <c r="BU341" s="124"/>
      <c r="BV341" s="120"/>
      <c r="BW341" s="123"/>
      <c r="BX341" s="124"/>
      <c r="BY341" s="120"/>
      <c r="BZ341" s="12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</row>
    <row r="342" spans="35:130"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H342" s="179"/>
      <c r="BI342" s="127"/>
      <c r="BJ342" s="127"/>
      <c r="BK342" s="127"/>
      <c r="BL342" s="127"/>
      <c r="BM342" s="120"/>
      <c r="BN342" s="4"/>
      <c r="BO342" s="121"/>
      <c r="BP342" s="122"/>
      <c r="BQ342" s="122"/>
      <c r="BR342" s="120"/>
      <c r="BS342" s="123"/>
      <c r="BT342" s="124"/>
      <c r="BU342" s="124"/>
      <c r="BV342" s="120"/>
      <c r="BW342" s="123"/>
      <c r="BX342" s="124"/>
      <c r="BY342" s="120"/>
      <c r="BZ342" s="12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</row>
    <row r="343" spans="35:130"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H343" s="179"/>
      <c r="BI343" s="127"/>
      <c r="BJ343" s="127"/>
      <c r="BK343" s="127"/>
      <c r="BL343" s="127"/>
      <c r="BM343" s="120"/>
      <c r="BN343" s="4"/>
      <c r="BO343" s="121"/>
      <c r="BP343" s="122"/>
      <c r="BQ343" s="122"/>
      <c r="BR343" s="120"/>
      <c r="BS343" s="123"/>
      <c r="BT343" s="124"/>
      <c r="BU343" s="124"/>
      <c r="BV343" s="120"/>
      <c r="BW343" s="123"/>
      <c r="BX343" s="124"/>
      <c r="BY343" s="120"/>
      <c r="BZ343" s="12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</row>
    <row r="344" spans="35:130"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H344" s="179"/>
      <c r="BI344" s="127"/>
      <c r="BJ344" s="127"/>
      <c r="BK344" s="127"/>
      <c r="BL344" s="127"/>
      <c r="BM344" s="120"/>
      <c r="BN344" s="4"/>
      <c r="BO344" s="121"/>
      <c r="BP344" s="122"/>
      <c r="BQ344" s="122"/>
      <c r="BR344" s="120"/>
      <c r="BS344" s="123"/>
      <c r="BT344" s="124"/>
      <c r="BU344" s="124"/>
      <c r="BV344" s="120"/>
      <c r="BW344" s="123"/>
      <c r="BX344" s="124"/>
      <c r="BY344" s="120"/>
      <c r="BZ344" s="12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</row>
    <row r="345" spans="35:130"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H345" s="179"/>
      <c r="BI345" s="127"/>
      <c r="BJ345" s="127"/>
      <c r="BK345" s="127"/>
      <c r="BL345" s="127"/>
      <c r="BM345" s="120"/>
      <c r="BN345" s="4"/>
      <c r="BO345" s="121"/>
      <c r="BP345" s="122"/>
      <c r="BQ345" s="122"/>
      <c r="BR345" s="120"/>
      <c r="BS345" s="123"/>
      <c r="BT345" s="124"/>
      <c r="BU345" s="124"/>
      <c r="BV345" s="120"/>
      <c r="BW345" s="123"/>
      <c r="BX345" s="124"/>
      <c r="BY345" s="120"/>
      <c r="BZ345" s="12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</row>
    <row r="346" spans="35:130"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H346" s="179"/>
      <c r="BI346" s="127"/>
      <c r="BJ346" s="127"/>
      <c r="BK346" s="127"/>
      <c r="BL346" s="127"/>
      <c r="BM346" s="120"/>
      <c r="BN346" s="4"/>
      <c r="BO346" s="121"/>
      <c r="BP346" s="122"/>
      <c r="BQ346" s="122"/>
      <c r="BR346" s="120"/>
      <c r="BS346" s="123"/>
      <c r="BT346" s="124"/>
      <c r="BU346" s="124"/>
      <c r="BV346" s="120"/>
      <c r="BW346" s="123"/>
      <c r="BX346" s="124"/>
      <c r="BY346" s="120"/>
      <c r="BZ346" s="12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</row>
    <row r="347" spans="35:130"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H347" s="179"/>
      <c r="BI347" s="127"/>
      <c r="BJ347" s="127"/>
      <c r="BK347" s="127"/>
      <c r="BL347" s="127"/>
      <c r="BM347" s="120"/>
      <c r="BN347" s="4"/>
      <c r="BO347" s="121"/>
      <c r="BP347" s="122"/>
      <c r="BQ347" s="122"/>
      <c r="BR347" s="120"/>
      <c r="BS347" s="123"/>
      <c r="BT347" s="124"/>
      <c r="BU347" s="124"/>
      <c r="BV347" s="120"/>
      <c r="BW347" s="123"/>
      <c r="BX347" s="124"/>
      <c r="BY347" s="120"/>
      <c r="BZ347" s="12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</row>
    <row r="348" spans="35:130"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H348" s="179"/>
      <c r="BI348" s="127"/>
      <c r="BJ348" s="127"/>
      <c r="BK348" s="127"/>
      <c r="BL348" s="127"/>
      <c r="BM348" s="120"/>
      <c r="BN348" s="4"/>
      <c r="BO348" s="121"/>
      <c r="BP348" s="122"/>
      <c r="BQ348" s="122"/>
      <c r="BR348" s="120"/>
      <c r="BS348" s="123"/>
      <c r="BT348" s="124"/>
      <c r="BU348" s="124"/>
      <c r="BV348" s="120"/>
      <c r="BW348" s="123"/>
      <c r="BX348" s="124"/>
      <c r="BY348" s="120"/>
      <c r="BZ348" s="12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</row>
    <row r="349" spans="35:130"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H349" s="179"/>
      <c r="BI349" s="127"/>
      <c r="BJ349" s="127"/>
      <c r="BK349" s="127"/>
      <c r="BL349" s="127"/>
      <c r="BM349" s="120"/>
      <c r="BN349" s="4"/>
      <c r="BO349" s="121"/>
      <c r="BP349" s="122"/>
      <c r="BQ349" s="122"/>
      <c r="BR349" s="120"/>
      <c r="BS349" s="123"/>
      <c r="BT349" s="124"/>
      <c r="BU349" s="124"/>
      <c r="BV349" s="120"/>
      <c r="BW349" s="123"/>
      <c r="BX349" s="124"/>
      <c r="BY349" s="120"/>
      <c r="BZ349" s="12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</row>
    <row r="350" spans="35:130"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H350" s="179"/>
      <c r="BI350" s="127"/>
      <c r="BJ350" s="127"/>
      <c r="BK350" s="127"/>
      <c r="BL350" s="127"/>
      <c r="BM350" s="120"/>
      <c r="BN350" s="4"/>
      <c r="BO350" s="121"/>
      <c r="BP350" s="122"/>
      <c r="BQ350" s="122"/>
      <c r="BR350" s="120"/>
      <c r="BS350" s="123"/>
      <c r="BT350" s="124"/>
      <c r="BU350" s="124"/>
      <c r="BV350" s="120"/>
      <c r="BW350" s="123"/>
      <c r="BX350" s="124"/>
      <c r="BY350" s="120"/>
      <c r="BZ350" s="12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</row>
    <row r="351" spans="35:130"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H351" s="179"/>
      <c r="BI351" s="127"/>
      <c r="BJ351" s="127"/>
      <c r="BK351" s="127"/>
      <c r="BL351" s="127"/>
      <c r="BM351" s="120"/>
      <c r="BN351" s="4"/>
      <c r="BO351" s="121"/>
      <c r="BP351" s="122"/>
      <c r="BQ351" s="122"/>
      <c r="BR351" s="120"/>
      <c r="BS351" s="123"/>
      <c r="BT351" s="124"/>
      <c r="BU351" s="124"/>
      <c r="BV351" s="120"/>
      <c r="BW351" s="123"/>
      <c r="BX351" s="124"/>
      <c r="BY351" s="120"/>
      <c r="BZ351" s="12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</row>
    <row r="352" spans="35:130"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H352" s="179"/>
      <c r="BI352" s="127"/>
      <c r="BJ352" s="127"/>
      <c r="BK352" s="127"/>
      <c r="BL352" s="127"/>
      <c r="BM352" s="120"/>
      <c r="BN352" s="4"/>
      <c r="BO352" s="121"/>
      <c r="BP352" s="122"/>
      <c r="BQ352" s="122"/>
      <c r="BR352" s="120"/>
      <c r="BS352" s="123"/>
      <c r="BT352" s="124"/>
      <c r="BU352" s="124"/>
      <c r="BV352" s="120"/>
      <c r="BW352" s="123"/>
      <c r="BX352" s="124"/>
      <c r="BY352" s="120"/>
      <c r="BZ352" s="12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</row>
    <row r="353" spans="35:130"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H353" s="179"/>
      <c r="BI353" s="127"/>
      <c r="BJ353" s="127"/>
      <c r="BK353" s="127"/>
      <c r="BL353" s="127"/>
      <c r="BM353" s="120"/>
      <c r="BN353" s="4"/>
      <c r="BO353" s="121"/>
      <c r="BP353" s="122"/>
      <c r="BQ353" s="122"/>
      <c r="BR353" s="120"/>
      <c r="BS353" s="123"/>
      <c r="BT353" s="124"/>
      <c r="BU353" s="124"/>
      <c r="BV353" s="120"/>
      <c r="BW353" s="123"/>
      <c r="BX353" s="124"/>
      <c r="BY353" s="120"/>
      <c r="BZ353" s="12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</row>
    <row r="354" spans="35:130"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H354" s="179"/>
      <c r="BI354" s="127"/>
      <c r="BJ354" s="127"/>
      <c r="BK354" s="127"/>
      <c r="BL354" s="127"/>
      <c r="BM354" s="120"/>
      <c r="BN354" s="4"/>
      <c r="BO354" s="121"/>
      <c r="BP354" s="122"/>
      <c r="BQ354" s="122"/>
      <c r="BR354" s="120"/>
      <c r="BS354" s="123"/>
      <c r="BT354" s="124"/>
      <c r="BU354" s="124"/>
      <c r="BV354" s="120"/>
      <c r="BW354" s="123"/>
      <c r="BX354" s="124"/>
      <c r="BY354" s="120"/>
      <c r="BZ354" s="12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</row>
    <row r="355" spans="35:130"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H355" s="179"/>
      <c r="BI355" s="127"/>
      <c r="BJ355" s="127"/>
      <c r="BK355" s="127"/>
      <c r="BL355" s="127"/>
      <c r="BM355" s="120"/>
      <c r="BN355" s="4"/>
      <c r="BO355" s="121"/>
      <c r="BP355" s="122"/>
      <c r="BQ355" s="122"/>
      <c r="BR355" s="120"/>
      <c r="BS355" s="123"/>
      <c r="BT355" s="124"/>
      <c r="BU355" s="124"/>
      <c r="BV355" s="120"/>
      <c r="BW355" s="123"/>
      <c r="BX355" s="124"/>
      <c r="BY355" s="120"/>
      <c r="BZ355" s="12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</row>
    <row r="356" spans="35:130"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H356" s="179"/>
      <c r="BI356" s="127"/>
      <c r="BJ356" s="127"/>
      <c r="BK356" s="127"/>
      <c r="BL356" s="127"/>
      <c r="BM356" s="120"/>
      <c r="BN356" s="4"/>
      <c r="BO356" s="121"/>
      <c r="BP356" s="122"/>
      <c r="BQ356" s="122"/>
      <c r="BR356" s="120"/>
      <c r="BS356" s="123"/>
      <c r="BT356" s="124"/>
      <c r="BU356" s="124"/>
      <c r="BV356" s="120"/>
      <c r="BW356" s="123"/>
      <c r="BX356" s="124"/>
      <c r="BY356" s="120"/>
      <c r="BZ356" s="12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</row>
    <row r="357" spans="35:130"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H357" s="179"/>
      <c r="BI357" s="127"/>
      <c r="BJ357" s="127"/>
      <c r="BK357" s="127"/>
      <c r="BL357" s="127"/>
      <c r="BM357" s="120"/>
      <c r="BN357" s="4"/>
      <c r="BO357" s="121"/>
      <c r="BP357" s="122"/>
      <c r="BQ357" s="122"/>
      <c r="BR357" s="120"/>
      <c r="BS357" s="123"/>
      <c r="BT357" s="124"/>
      <c r="BU357" s="124"/>
      <c r="BV357" s="120"/>
      <c r="BW357" s="123"/>
      <c r="BX357" s="124"/>
      <c r="BY357" s="120"/>
      <c r="BZ357" s="12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</row>
    <row r="358" spans="35:130"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H358" s="179"/>
      <c r="BI358" s="127"/>
      <c r="BJ358" s="127"/>
      <c r="BK358" s="127"/>
      <c r="BL358" s="127"/>
      <c r="BM358" s="120"/>
      <c r="BN358" s="4"/>
      <c r="BO358" s="121"/>
      <c r="BP358" s="122"/>
      <c r="BQ358" s="122"/>
      <c r="BR358" s="120"/>
      <c r="BS358" s="123"/>
      <c r="BT358" s="124"/>
      <c r="BU358" s="124"/>
      <c r="BV358" s="120"/>
      <c r="BW358" s="123"/>
      <c r="BX358" s="124"/>
      <c r="BY358" s="120"/>
      <c r="BZ358" s="12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</row>
    <row r="359" spans="35:130"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H359" s="179"/>
      <c r="BI359" s="127"/>
      <c r="BJ359" s="127"/>
      <c r="BK359" s="127"/>
      <c r="BL359" s="127"/>
      <c r="BM359" s="120"/>
      <c r="BN359" s="4"/>
      <c r="BO359" s="121"/>
      <c r="BP359" s="122"/>
      <c r="BQ359" s="122"/>
      <c r="BR359" s="120"/>
      <c r="BS359" s="123"/>
      <c r="BT359" s="124"/>
      <c r="BU359" s="124"/>
      <c r="BV359" s="120"/>
      <c r="BW359" s="123"/>
      <c r="BX359" s="124"/>
      <c r="BY359" s="120"/>
      <c r="BZ359" s="12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</row>
    <row r="360" spans="35:130"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H360" s="179"/>
      <c r="BI360" s="127"/>
      <c r="BJ360" s="127"/>
      <c r="BK360" s="127"/>
      <c r="BL360" s="127"/>
      <c r="BM360" s="120"/>
      <c r="BN360" s="4"/>
      <c r="BO360" s="121"/>
      <c r="BP360" s="122"/>
      <c r="BQ360" s="122"/>
      <c r="BR360" s="120"/>
      <c r="BS360" s="123"/>
      <c r="BT360" s="124"/>
      <c r="BU360" s="124"/>
      <c r="BV360" s="120"/>
      <c r="BW360" s="123"/>
      <c r="BX360" s="124"/>
      <c r="BY360" s="120"/>
      <c r="BZ360" s="12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</row>
    <row r="361" spans="35:130"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H361" s="179"/>
      <c r="BI361" s="127"/>
      <c r="BJ361" s="127"/>
      <c r="BK361" s="127"/>
      <c r="BL361" s="127"/>
      <c r="BM361" s="120"/>
      <c r="BN361" s="4"/>
      <c r="BO361" s="121"/>
      <c r="BP361" s="122"/>
      <c r="BQ361" s="122"/>
      <c r="BR361" s="120"/>
      <c r="BS361" s="123"/>
      <c r="BT361" s="124"/>
      <c r="BU361" s="124"/>
      <c r="BV361" s="120"/>
      <c r="BW361" s="123"/>
      <c r="BX361" s="124"/>
      <c r="BY361" s="120"/>
      <c r="BZ361" s="12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</row>
    <row r="362" spans="35:130"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H362" s="179"/>
      <c r="BI362" s="127"/>
      <c r="BJ362" s="127"/>
      <c r="BK362" s="127"/>
      <c r="BL362" s="127"/>
      <c r="BM362" s="120"/>
      <c r="BN362" s="4"/>
      <c r="BO362" s="121"/>
      <c r="BP362" s="122"/>
      <c r="BQ362" s="122"/>
      <c r="BR362" s="120"/>
      <c r="BS362" s="123"/>
      <c r="BT362" s="124"/>
      <c r="BU362" s="124"/>
      <c r="BV362" s="120"/>
      <c r="BW362" s="123"/>
      <c r="BX362" s="124"/>
      <c r="BY362" s="120"/>
      <c r="BZ362" s="12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</row>
    <row r="363" spans="35:130"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H363" s="179"/>
      <c r="BI363" s="127"/>
      <c r="BJ363" s="127"/>
      <c r="BK363" s="127"/>
      <c r="BL363" s="127"/>
      <c r="BM363" s="120"/>
      <c r="BN363" s="4"/>
      <c r="BO363" s="121"/>
      <c r="BP363" s="122"/>
      <c r="BQ363" s="122"/>
      <c r="BR363" s="120"/>
      <c r="BS363" s="123"/>
      <c r="BT363" s="124"/>
      <c r="BU363" s="124"/>
      <c r="BV363" s="120"/>
      <c r="BW363" s="123"/>
      <c r="BX363" s="124"/>
      <c r="BY363" s="120"/>
      <c r="BZ363" s="12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</row>
    <row r="364" spans="35:130"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H364" s="179"/>
      <c r="BI364" s="127"/>
      <c r="BJ364" s="127"/>
      <c r="BK364" s="127"/>
      <c r="BL364" s="127"/>
      <c r="BM364" s="120"/>
      <c r="BN364" s="4"/>
      <c r="BO364" s="121"/>
      <c r="BP364" s="122"/>
      <c r="BQ364" s="122"/>
      <c r="BR364" s="120"/>
      <c r="BS364" s="123"/>
      <c r="BT364" s="124"/>
      <c r="BU364" s="124"/>
      <c r="BV364" s="120"/>
      <c r="BW364" s="123"/>
      <c r="BX364" s="124"/>
      <c r="BY364" s="120"/>
      <c r="BZ364" s="12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</row>
    <row r="365" spans="35:130"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H365" s="179"/>
      <c r="BI365" s="127"/>
      <c r="BJ365" s="127"/>
      <c r="BK365" s="127"/>
      <c r="BL365" s="127"/>
      <c r="BM365" s="120"/>
      <c r="BN365" s="4"/>
      <c r="BO365" s="121"/>
      <c r="BP365" s="122"/>
      <c r="BQ365" s="122"/>
      <c r="BR365" s="120"/>
      <c r="BS365" s="123"/>
      <c r="BT365" s="124"/>
      <c r="BU365" s="124"/>
      <c r="BV365" s="120"/>
      <c r="BW365" s="123"/>
      <c r="BX365" s="124"/>
      <c r="BY365" s="120"/>
      <c r="BZ365" s="12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</row>
    <row r="366" spans="35:130"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H366" s="179"/>
      <c r="BI366" s="127"/>
      <c r="BJ366" s="127"/>
      <c r="BK366" s="127"/>
      <c r="BL366" s="127"/>
      <c r="BM366" s="120"/>
      <c r="BN366" s="4"/>
      <c r="BO366" s="121"/>
      <c r="BP366" s="122"/>
      <c r="BQ366" s="122"/>
      <c r="BR366" s="120"/>
      <c r="BS366" s="123"/>
      <c r="BT366" s="124"/>
      <c r="BU366" s="124"/>
      <c r="BV366" s="120"/>
      <c r="BW366" s="123"/>
      <c r="BX366" s="124"/>
      <c r="BY366" s="120"/>
      <c r="BZ366" s="12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</row>
    <row r="367" spans="35:130"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H367" s="179"/>
      <c r="BI367" s="127"/>
      <c r="BJ367" s="127"/>
      <c r="BK367" s="127"/>
      <c r="BL367" s="127"/>
      <c r="BM367" s="120"/>
      <c r="BN367" s="4"/>
      <c r="BO367" s="121"/>
      <c r="BP367" s="122"/>
      <c r="BQ367" s="122"/>
      <c r="BR367" s="120"/>
      <c r="BS367" s="123"/>
      <c r="BT367" s="124"/>
      <c r="BU367" s="124"/>
      <c r="BV367" s="120"/>
      <c r="BW367" s="123"/>
      <c r="BX367" s="124"/>
      <c r="BY367" s="120"/>
      <c r="BZ367" s="12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</row>
    <row r="368" spans="35:130"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H368" s="179"/>
      <c r="BI368" s="127"/>
      <c r="BJ368" s="127"/>
      <c r="BK368" s="127"/>
      <c r="BL368" s="127"/>
      <c r="BM368" s="120"/>
      <c r="BN368" s="4"/>
      <c r="BO368" s="121"/>
      <c r="BP368" s="122"/>
      <c r="BQ368" s="122"/>
      <c r="BR368" s="120"/>
      <c r="BS368" s="123"/>
      <c r="BT368" s="124"/>
      <c r="BU368" s="124"/>
      <c r="BV368" s="120"/>
      <c r="BW368" s="123"/>
      <c r="BX368" s="124"/>
      <c r="BY368" s="120"/>
      <c r="BZ368" s="12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</row>
    <row r="369" spans="35:130"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H369" s="179"/>
      <c r="BI369" s="127"/>
      <c r="BJ369" s="127"/>
      <c r="BK369" s="127"/>
      <c r="BL369" s="127"/>
      <c r="BM369" s="120"/>
      <c r="BN369" s="4"/>
      <c r="BO369" s="121"/>
      <c r="BP369" s="122"/>
      <c r="BQ369" s="122"/>
      <c r="BR369" s="120"/>
      <c r="BS369" s="123"/>
      <c r="BT369" s="124"/>
      <c r="BU369" s="124"/>
      <c r="BV369" s="120"/>
      <c r="BW369" s="123"/>
      <c r="BX369" s="124"/>
      <c r="BY369" s="120"/>
      <c r="BZ369" s="12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</row>
    <row r="370" spans="35:130"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H370" s="179"/>
      <c r="BI370" s="127"/>
      <c r="BJ370" s="127"/>
      <c r="BK370" s="127"/>
      <c r="BL370" s="127"/>
      <c r="BM370" s="120"/>
      <c r="BN370" s="4"/>
      <c r="BO370" s="121"/>
      <c r="BP370" s="122"/>
      <c r="BQ370" s="122"/>
      <c r="BR370" s="120"/>
      <c r="BS370" s="123"/>
      <c r="BT370" s="124"/>
      <c r="BU370" s="124"/>
      <c r="BV370" s="120"/>
      <c r="BW370" s="123"/>
      <c r="BX370" s="124"/>
      <c r="BY370" s="120"/>
      <c r="BZ370" s="12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</row>
    <row r="371" spans="35:130"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H371" s="179"/>
      <c r="BI371" s="127"/>
      <c r="BJ371" s="127"/>
      <c r="BK371" s="127"/>
      <c r="BL371" s="127"/>
      <c r="BM371" s="120"/>
      <c r="BN371" s="4"/>
      <c r="BO371" s="121"/>
      <c r="BP371" s="122"/>
      <c r="BQ371" s="122"/>
      <c r="BR371" s="120"/>
      <c r="BS371" s="123"/>
      <c r="BT371" s="124"/>
      <c r="BU371" s="124"/>
      <c r="BV371" s="120"/>
      <c r="BW371" s="123"/>
      <c r="BX371" s="124"/>
      <c r="BY371" s="120"/>
      <c r="BZ371" s="12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</row>
    <row r="372" spans="35:130"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H372" s="179"/>
      <c r="BI372" s="127"/>
      <c r="BJ372" s="127"/>
      <c r="BK372" s="127"/>
      <c r="BL372" s="127"/>
      <c r="BM372" s="120"/>
      <c r="BN372" s="4"/>
      <c r="BO372" s="121"/>
      <c r="BP372" s="122"/>
      <c r="BQ372" s="122"/>
      <c r="BR372" s="120"/>
      <c r="BS372" s="123"/>
      <c r="BT372" s="124"/>
      <c r="BU372" s="124"/>
      <c r="BV372" s="120"/>
      <c r="BW372" s="123"/>
      <c r="BX372" s="124"/>
      <c r="BY372" s="120"/>
      <c r="BZ372" s="12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</row>
    <row r="373" spans="35:130"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H373" s="179"/>
      <c r="BI373" s="127"/>
      <c r="BJ373" s="127"/>
      <c r="BK373" s="127"/>
      <c r="BL373" s="127"/>
      <c r="BM373" s="120"/>
      <c r="BN373" s="4"/>
      <c r="BO373" s="121"/>
      <c r="BP373" s="122"/>
      <c r="BQ373" s="122"/>
      <c r="BR373" s="120"/>
      <c r="BS373" s="123"/>
      <c r="BT373" s="124"/>
      <c r="BU373" s="124"/>
      <c r="BV373" s="120"/>
      <c r="BW373" s="123"/>
      <c r="BX373" s="124"/>
      <c r="BY373" s="120"/>
      <c r="BZ373" s="12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</row>
    <row r="374" spans="35:130"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H374" s="179"/>
      <c r="BI374" s="127"/>
      <c r="BJ374" s="127"/>
      <c r="BK374" s="127"/>
      <c r="BL374" s="127"/>
      <c r="BM374" s="120"/>
      <c r="BN374" s="4"/>
      <c r="BO374" s="121"/>
      <c r="BP374" s="122"/>
      <c r="BQ374" s="122"/>
      <c r="BR374" s="120"/>
      <c r="BS374" s="123"/>
      <c r="BT374" s="124"/>
      <c r="BU374" s="124"/>
      <c r="BV374" s="120"/>
      <c r="BW374" s="123"/>
      <c r="BX374" s="124"/>
      <c r="BY374" s="120"/>
      <c r="BZ374" s="12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</row>
    <row r="375" spans="35:130"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H375" s="179"/>
      <c r="BI375" s="127"/>
      <c r="BJ375" s="127"/>
      <c r="BK375" s="127"/>
      <c r="BL375" s="127"/>
      <c r="BM375" s="120"/>
      <c r="BN375" s="4"/>
      <c r="BO375" s="121"/>
      <c r="BP375" s="122"/>
      <c r="BQ375" s="122"/>
      <c r="BR375" s="120"/>
      <c r="BS375" s="123"/>
      <c r="BT375" s="124"/>
      <c r="BU375" s="124"/>
      <c r="BV375" s="120"/>
      <c r="BW375" s="123"/>
      <c r="BX375" s="124"/>
      <c r="BY375" s="120"/>
      <c r="BZ375" s="12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</row>
    <row r="376" spans="35:130"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H376" s="179"/>
      <c r="BI376" s="127"/>
      <c r="BJ376" s="127"/>
      <c r="BK376" s="127"/>
      <c r="BL376" s="127"/>
      <c r="BM376" s="120"/>
      <c r="BN376" s="4"/>
      <c r="BO376" s="121"/>
      <c r="BP376" s="122"/>
      <c r="BQ376" s="122"/>
      <c r="BR376" s="120"/>
      <c r="BS376" s="123"/>
      <c r="BT376" s="124"/>
      <c r="BU376" s="124"/>
      <c r="BV376" s="120"/>
      <c r="BW376" s="123"/>
      <c r="BX376" s="124"/>
      <c r="BY376" s="120"/>
      <c r="BZ376" s="12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</row>
    <row r="377" spans="35:130"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H377" s="179"/>
      <c r="BI377" s="127"/>
      <c r="BJ377" s="127"/>
      <c r="BK377" s="127"/>
      <c r="BL377" s="127"/>
      <c r="BM377" s="120"/>
      <c r="BN377" s="4"/>
      <c r="BO377" s="121"/>
      <c r="BP377" s="122"/>
      <c r="BQ377" s="122"/>
      <c r="BR377" s="120"/>
      <c r="BS377" s="123"/>
      <c r="BT377" s="124"/>
      <c r="BU377" s="124"/>
      <c r="BV377" s="120"/>
      <c r="BW377" s="123"/>
      <c r="BX377" s="124"/>
      <c r="BY377" s="120"/>
      <c r="BZ377" s="12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</row>
    <row r="378" spans="35:130"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H378" s="179"/>
      <c r="BI378" s="127"/>
      <c r="BJ378" s="127"/>
      <c r="BK378" s="127"/>
      <c r="BL378" s="127"/>
      <c r="BM378" s="120"/>
      <c r="BN378" s="4"/>
      <c r="BO378" s="121"/>
      <c r="BP378" s="122"/>
      <c r="BQ378" s="122"/>
      <c r="BR378" s="120"/>
      <c r="BS378" s="123"/>
      <c r="BT378" s="124"/>
      <c r="BU378" s="124"/>
      <c r="BV378" s="120"/>
      <c r="BW378" s="123"/>
      <c r="BX378" s="124"/>
      <c r="BY378" s="120"/>
      <c r="BZ378" s="12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</row>
    <row r="379" spans="35:130"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H379" s="179"/>
      <c r="BI379" s="127"/>
      <c r="BJ379" s="127"/>
      <c r="BK379" s="127"/>
      <c r="BL379" s="127"/>
      <c r="BM379" s="120"/>
      <c r="BN379" s="4"/>
      <c r="BO379" s="121"/>
      <c r="BP379" s="122"/>
      <c r="BQ379" s="122"/>
      <c r="BR379" s="120"/>
      <c r="BS379" s="123"/>
      <c r="BT379" s="124"/>
      <c r="BU379" s="124"/>
      <c r="BV379" s="120"/>
      <c r="BW379" s="123"/>
      <c r="BX379" s="124"/>
      <c r="BY379" s="120"/>
      <c r="BZ379" s="12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</row>
    <row r="380" spans="35:130"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H380" s="179"/>
      <c r="BI380" s="127"/>
      <c r="BJ380" s="127"/>
      <c r="BK380" s="127"/>
      <c r="BL380" s="127"/>
      <c r="BM380" s="120"/>
      <c r="BN380" s="4"/>
      <c r="BO380" s="121"/>
      <c r="BP380" s="122"/>
      <c r="BQ380" s="122"/>
      <c r="BR380" s="120"/>
      <c r="BS380" s="123"/>
      <c r="BT380" s="124"/>
      <c r="BU380" s="124"/>
      <c r="BV380" s="120"/>
      <c r="BW380" s="123"/>
      <c r="BX380" s="124"/>
      <c r="BY380" s="120"/>
      <c r="BZ380" s="12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</row>
    <row r="381" spans="35:130"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H381" s="179"/>
      <c r="BI381" s="127"/>
      <c r="BJ381" s="127"/>
      <c r="BK381" s="127"/>
      <c r="BL381" s="127"/>
      <c r="BM381" s="120"/>
      <c r="BN381" s="4"/>
      <c r="BO381" s="121"/>
      <c r="BP381" s="122"/>
      <c r="BQ381" s="122"/>
      <c r="BR381" s="120"/>
      <c r="BS381" s="123"/>
      <c r="BT381" s="124"/>
      <c r="BU381" s="124"/>
      <c r="BV381" s="120"/>
      <c r="BW381" s="123"/>
      <c r="BX381" s="124"/>
      <c r="BY381" s="120"/>
      <c r="BZ381" s="12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</row>
    <row r="382" spans="35:130"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H382" s="179"/>
      <c r="BI382" s="127"/>
      <c r="BJ382" s="127"/>
      <c r="BK382" s="127"/>
      <c r="BL382" s="127"/>
      <c r="BM382" s="120"/>
      <c r="BN382" s="4"/>
      <c r="BO382" s="121"/>
      <c r="BP382" s="122"/>
      <c r="BQ382" s="122"/>
      <c r="BR382" s="120"/>
      <c r="BS382" s="123"/>
      <c r="BT382" s="124"/>
      <c r="BU382" s="124"/>
      <c r="BV382" s="120"/>
      <c r="BW382" s="123"/>
      <c r="BX382" s="124"/>
      <c r="BY382" s="120"/>
      <c r="BZ382" s="12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</row>
    <row r="383" spans="35:130"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H383" s="179"/>
      <c r="BI383" s="127"/>
      <c r="BJ383" s="127"/>
      <c r="BK383" s="127"/>
      <c r="BL383" s="127"/>
      <c r="BM383" s="120"/>
      <c r="BN383" s="4"/>
      <c r="BO383" s="121"/>
      <c r="BP383" s="122"/>
      <c r="BQ383" s="122"/>
      <c r="BR383" s="120"/>
      <c r="BS383" s="123"/>
      <c r="BT383" s="124"/>
      <c r="BU383" s="124"/>
      <c r="BV383" s="120"/>
      <c r="BW383" s="123"/>
      <c r="BX383" s="124"/>
      <c r="BY383" s="120"/>
      <c r="BZ383" s="12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</row>
    <row r="384" spans="35:130"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H384" s="179"/>
      <c r="BI384" s="127"/>
      <c r="BJ384" s="127"/>
      <c r="BK384" s="127"/>
      <c r="BL384" s="127"/>
      <c r="BM384" s="120"/>
      <c r="BN384" s="4"/>
      <c r="BO384" s="121"/>
      <c r="BP384" s="122"/>
      <c r="BQ384" s="122"/>
      <c r="BR384" s="120"/>
      <c r="BS384" s="123"/>
      <c r="BT384" s="124"/>
      <c r="BU384" s="124"/>
      <c r="BV384" s="120"/>
      <c r="BW384" s="123"/>
      <c r="BX384" s="124"/>
      <c r="BY384" s="120"/>
      <c r="BZ384" s="12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</row>
    <row r="385" spans="35:130"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H385" s="179"/>
      <c r="BI385" s="127"/>
      <c r="BJ385" s="127"/>
      <c r="BK385" s="127"/>
      <c r="BL385" s="127"/>
      <c r="BM385" s="120"/>
      <c r="BN385" s="4"/>
      <c r="BO385" s="121"/>
      <c r="BP385" s="122"/>
      <c r="BQ385" s="122"/>
      <c r="BR385" s="120"/>
      <c r="BS385" s="123"/>
      <c r="BT385" s="124"/>
      <c r="BU385" s="124"/>
      <c r="BV385" s="120"/>
      <c r="BW385" s="123"/>
      <c r="BX385" s="124"/>
      <c r="BY385" s="120"/>
      <c r="BZ385" s="12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</row>
    <row r="386" spans="35:130"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H386" s="179"/>
      <c r="BI386" s="127"/>
      <c r="BJ386" s="127"/>
      <c r="BK386" s="127"/>
      <c r="BL386" s="127"/>
      <c r="BM386" s="120"/>
      <c r="BN386" s="4"/>
      <c r="BO386" s="121"/>
      <c r="BP386" s="122"/>
      <c r="BQ386" s="122"/>
      <c r="BR386" s="120"/>
      <c r="BS386" s="123"/>
      <c r="BT386" s="124"/>
      <c r="BU386" s="124"/>
      <c r="BV386" s="120"/>
      <c r="BW386" s="123"/>
      <c r="BX386" s="124"/>
      <c r="BY386" s="120"/>
      <c r="BZ386" s="12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</row>
    <row r="387" spans="35:130"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H387" s="179"/>
      <c r="BI387" s="127"/>
      <c r="BJ387" s="127"/>
      <c r="BK387" s="127"/>
      <c r="BL387" s="127"/>
      <c r="BM387" s="120"/>
      <c r="BN387" s="4"/>
      <c r="BO387" s="121"/>
      <c r="BP387" s="122"/>
      <c r="BQ387" s="122"/>
      <c r="BR387" s="120"/>
      <c r="BS387" s="123"/>
      <c r="BT387" s="124"/>
      <c r="BU387" s="124"/>
      <c r="BV387" s="120"/>
      <c r="BW387" s="123"/>
      <c r="BX387" s="124"/>
      <c r="BY387" s="120"/>
      <c r="BZ387" s="12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</row>
    <row r="388" spans="35:130"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H388" s="179"/>
      <c r="BI388" s="127"/>
      <c r="BJ388" s="127"/>
      <c r="BK388" s="127"/>
      <c r="BL388" s="127"/>
      <c r="BM388" s="120"/>
      <c r="BN388" s="4"/>
      <c r="BO388" s="121"/>
      <c r="BP388" s="122"/>
      <c r="BQ388" s="122"/>
      <c r="BR388" s="120"/>
      <c r="BS388" s="123"/>
      <c r="BT388" s="124"/>
      <c r="BU388" s="124"/>
      <c r="BV388" s="120"/>
      <c r="BW388" s="123"/>
      <c r="BX388" s="124"/>
      <c r="BY388" s="120"/>
      <c r="BZ388" s="12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</row>
    <row r="389" spans="35:130"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H389" s="179"/>
      <c r="BI389" s="127"/>
      <c r="BJ389" s="127"/>
      <c r="BK389" s="127"/>
      <c r="BL389" s="127"/>
      <c r="BM389" s="120"/>
      <c r="BN389" s="4"/>
      <c r="BO389" s="121"/>
      <c r="BP389" s="122"/>
      <c r="BQ389" s="122"/>
      <c r="BR389" s="120"/>
      <c r="BS389" s="123"/>
      <c r="BT389" s="124"/>
      <c r="BU389" s="124"/>
      <c r="BV389" s="120"/>
      <c r="BW389" s="123"/>
      <c r="BX389" s="124"/>
      <c r="BY389" s="120"/>
      <c r="BZ389" s="12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</row>
    <row r="390" spans="35:130"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H390" s="179"/>
      <c r="BI390" s="127"/>
      <c r="BJ390" s="127"/>
      <c r="BK390" s="127"/>
      <c r="BL390" s="127"/>
      <c r="BM390" s="120"/>
      <c r="BN390" s="4"/>
      <c r="BO390" s="121"/>
      <c r="BP390" s="122"/>
      <c r="BQ390" s="122"/>
      <c r="BR390" s="120"/>
      <c r="BS390" s="123"/>
      <c r="BT390" s="124"/>
      <c r="BU390" s="124"/>
      <c r="BV390" s="120"/>
      <c r="BW390" s="123"/>
      <c r="BX390" s="124"/>
      <c r="BY390" s="120"/>
      <c r="BZ390" s="12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</row>
    <row r="391" spans="35:130"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H391" s="179"/>
      <c r="BI391" s="127"/>
      <c r="BJ391" s="127"/>
      <c r="BK391" s="127"/>
      <c r="BL391" s="127"/>
      <c r="BM391" s="120"/>
      <c r="BN391" s="4"/>
      <c r="BO391" s="121"/>
      <c r="BP391" s="122"/>
      <c r="BQ391" s="122"/>
      <c r="BR391" s="120"/>
      <c r="BS391" s="123"/>
      <c r="BT391" s="124"/>
      <c r="BU391" s="124"/>
      <c r="BV391" s="120"/>
      <c r="BW391" s="123"/>
      <c r="BX391" s="124"/>
      <c r="BY391" s="120"/>
      <c r="BZ391" s="12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</row>
    <row r="392" spans="35:130"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H392" s="179"/>
      <c r="BI392" s="127"/>
      <c r="BJ392" s="127"/>
      <c r="BK392" s="127"/>
      <c r="BL392" s="127"/>
      <c r="BM392" s="120"/>
      <c r="BN392" s="4"/>
      <c r="BO392" s="121"/>
      <c r="BP392" s="122"/>
      <c r="BQ392" s="122"/>
      <c r="BR392" s="120"/>
      <c r="BS392" s="123"/>
      <c r="BT392" s="124"/>
      <c r="BU392" s="124"/>
      <c r="BV392" s="120"/>
      <c r="BW392" s="123"/>
      <c r="BX392" s="124"/>
      <c r="BY392" s="120"/>
      <c r="BZ392" s="12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</row>
    <row r="393" spans="35:130"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H393" s="179"/>
      <c r="BI393" s="127"/>
      <c r="BJ393" s="127"/>
      <c r="BK393" s="127"/>
      <c r="BL393" s="127"/>
      <c r="BM393" s="120"/>
      <c r="BN393" s="4"/>
      <c r="BO393" s="121"/>
      <c r="BP393" s="122"/>
      <c r="BQ393" s="122"/>
      <c r="BR393" s="120"/>
      <c r="BS393" s="123"/>
      <c r="BT393" s="124"/>
      <c r="BU393" s="124"/>
      <c r="BV393" s="120"/>
      <c r="BW393" s="123"/>
      <c r="BX393" s="124"/>
      <c r="BY393" s="120"/>
      <c r="BZ393" s="12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</row>
    <row r="394" spans="35:130"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H394" s="179"/>
      <c r="BI394" s="127"/>
      <c r="BJ394" s="127"/>
      <c r="BK394" s="127"/>
      <c r="BL394" s="127"/>
      <c r="BM394" s="120"/>
      <c r="BN394" s="4"/>
      <c r="BO394" s="121"/>
      <c r="BP394" s="122"/>
      <c r="BQ394" s="122"/>
      <c r="BR394" s="120"/>
      <c r="BS394" s="123"/>
      <c r="BT394" s="124"/>
      <c r="BU394" s="124"/>
      <c r="BV394" s="120"/>
      <c r="BW394" s="123"/>
      <c r="BX394" s="124"/>
      <c r="BY394" s="120"/>
      <c r="BZ394" s="123"/>
      <c r="DI394" s="13"/>
      <c r="DJ394" s="13"/>
      <c r="DK394" s="13"/>
      <c r="DL394" s="13"/>
      <c r="DM394" s="13"/>
      <c r="DN394" s="13"/>
      <c r="DO394" s="13"/>
      <c r="DP394" s="13"/>
      <c r="DQ394" s="13"/>
      <c r="DR394" s="13"/>
      <c r="DS394" s="13"/>
      <c r="DT394" s="13"/>
      <c r="DU394" s="13"/>
      <c r="DV394" s="13"/>
      <c r="DW394" s="13"/>
      <c r="DX394" s="13"/>
      <c r="DY394" s="13"/>
      <c r="DZ394" s="13"/>
    </row>
    <row r="395" spans="35:130"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H395" s="29"/>
      <c r="BI395" s="29"/>
      <c r="BJ395" s="29"/>
      <c r="BK395" s="29"/>
      <c r="BL395" s="29"/>
      <c r="BM395" s="121"/>
      <c r="BN395" s="121"/>
      <c r="BO395" s="121"/>
      <c r="BP395" s="121"/>
      <c r="BQ395" s="121"/>
      <c r="BR395" s="121"/>
      <c r="BS395" s="121"/>
      <c r="BT395" s="121"/>
      <c r="BU395" s="121"/>
      <c r="BV395" s="121"/>
      <c r="BW395" s="121"/>
      <c r="BX395" s="121"/>
      <c r="BY395" s="121"/>
      <c r="BZ395" s="121"/>
      <c r="DI395" s="13"/>
      <c r="DJ395" s="13"/>
      <c r="DK395" s="13"/>
      <c r="DL395" s="13"/>
      <c r="DM395" s="13"/>
      <c r="DN395" s="13"/>
      <c r="DO395" s="13"/>
      <c r="DP395" s="13"/>
      <c r="DQ395" s="13"/>
      <c r="DR395" s="13"/>
      <c r="DS395" s="13"/>
      <c r="DT395" s="13"/>
      <c r="DU395" s="13"/>
      <c r="DV395" s="13"/>
      <c r="DW395" s="13"/>
      <c r="DX395" s="13"/>
      <c r="DY395" s="13"/>
      <c r="DZ395" s="13"/>
    </row>
    <row r="396" spans="35:130"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H396" s="29"/>
      <c r="BI396" s="29"/>
      <c r="BJ396" s="29"/>
      <c r="BK396" s="29"/>
      <c r="BL396" s="29"/>
      <c r="BM396" s="121"/>
      <c r="BN396" s="121"/>
      <c r="BO396" s="121"/>
      <c r="BP396" s="121"/>
      <c r="BQ396" s="121"/>
      <c r="BR396" s="121"/>
      <c r="BS396" s="121"/>
      <c r="BT396" s="121"/>
      <c r="BU396" s="121"/>
      <c r="BV396" s="121"/>
      <c r="BW396" s="121"/>
      <c r="BX396" s="121"/>
      <c r="BY396" s="121"/>
      <c r="BZ396" s="121"/>
      <c r="DI396" s="13"/>
      <c r="DJ396" s="13"/>
      <c r="DK396" s="13"/>
      <c r="DL396" s="13"/>
      <c r="DM396" s="13"/>
      <c r="DN396" s="13"/>
      <c r="DO396" s="13"/>
      <c r="DP396" s="13"/>
      <c r="DQ396" s="13"/>
      <c r="DR396" s="13"/>
      <c r="DS396" s="13"/>
      <c r="DT396" s="13"/>
      <c r="DU396" s="13"/>
      <c r="DV396" s="13"/>
      <c r="DW396" s="13"/>
      <c r="DX396" s="13"/>
      <c r="DY396" s="13"/>
      <c r="DZ396" s="13"/>
    </row>
    <row r="397" spans="35:130"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H397" s="29"/>
      <c r="BI397" s="29"/>
      <c r="BJ397" s="29"/>
      <c r="BK397" s="29"/>
      <c r="BL397" s="29"/>
      <c r="BM397" s="121"/>
      <c r="BN397" s="121"/>
      <c r="BO397" s="121"/>
      <c r="BP397" s="121"/>
      <c r="BQ397" s="121"/>
      <c r="BR397" s="121"/>
      <c r="BS397" s="121"/>
      <c r="BT397" s="121"/>
      <c r="BU397" s="121"/>
      <c r="BV397" s="121"/>
      <c r="BW397" s="121"/>
      <c r="BX397" s="121"/>
      <c r="BY397" s="121"/>
      <c r="BZ397" s="121"/>
      <c r="DI397" s="13"/>
      <c r="DJ397" s="13"/>
      <c r="DK397" s="13"/>
      <c r="DL397" s="13"/>
      <c r="DM397" s="13"/>
      <c r="DN397" s="13"/>
      <c r="DO397" s="13"/>
      <c r="DP397" s="13"/>
      <c r="DQ397" s="13"/>
      <c r="DR397" s="13"/>
      <c r="DS397" s="13"/>
      <c r="DT397" s="13"/>
      <c r="DU397" s="13"/>
      <c r="DV397" s="13"/>
      <c r="DW397" s="13"/>
      <c r="DX397" s="13"/>
      <c r="DY397" s="13"/>
      <c r="DZ397" s="13"/>
    </row>
    <row r="398" spans="35:130"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H398" s="29"/>
      <c r="BI398" s="29"/>
      <c r="BJ398" s="29"/>
      <c r="BK398" s="29"/>
      <c r="BL398" s="29"/>
      <c r="BM398" s="121"/>
      <c r="BN398" s="121"/>
      <c r="BO398" s="121"/>
      <c r="BP398" s="121"/>
      <c r="BQ398" s="121"/>
      <c r="BR398" s="121"/>
      <c r="BS398" s="121"/>
      <c r="BT398" s="121"/>
      <c r="BU398" s="121"/>
      <c r="BV398" s="121"/>
      <c r="BW398" s="121"/>
      <c r="BX398" s="121"/>
      <c r="BY398" s="121"/>
      <c r="BZ398" s="121"/>
      <c r="DI398" s="13"/>
      <c r="DJ398" s="13"/>
      <c r="DK398" s="13"/>
      <c r="DL398" s="13"/>
      <c r="DM398" s="13"/>
      <c r="DN398" s="13"/>
      <c r="DO398" s="13"/>
      <c r="DP398" s="13"/>
      <c r="DQ398" s="13"/>
      <c r="DR398" s="13"/>
      <c r="DS398" s="13"/>
      <c r="DT398" s="13"/>
      <c r="DU398" s="13"/>
      <c r="DV398" s="13"/>
      <c r="DW398" s="13"/>
      <c r="DX398" s="13"/>
      <c r="DY398" s="13"/>
      <c r="DZ398" s="13"/>
    </row>
    <row r="399" spans="35:130"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H399" s="29"/>
      <c r="BI399" s="29"/>
      <c r="BJ399" s="29"/>
      <c r="BK399" s="29"/>
      <c r="BL399" s="29"/>
      <c r="BM399" s="121"/>
      <c r="BN399" s="121"/>
      <c r="BO399" s="121"/>
      <c r="BP399" s="121"/>
      <c r="BQ399" s="121"/>
      <c r="BR399" s="121"/>
      <c r="BS399" s="121"/>
      <c r="BT399" s="121"/>
      <c r="BU399" s="121"/>
      <c r="BV399" s="121"/>
      <c r="BW399" s="121"/>
      <c r="BX399" s="121"/>
      <c r="BY399" s="121"/>
      <c r="BZ399" s="121"/>
      <c r="DI399" s="13"/>
      <c r="DJ399" s="13"/>
      <c r="DK399" s="13"/>
      <c r="DL399" s="13"/>
      <c r="DM399" s="13"/>
      <c r="DN399" s="13"/>
      <c r="DO399" s="13"/>
      <c r="DP399" s="13"/>
      <c r="DQ399" s="13"/>
      <c r="DR399" s="13"/>
      <c r="DS399" s="13"/>
      <c r="DT399" s="13"/>
      <c r="DU399" s="13"/>
      <c r="DV399" s="13"/>
      <c r="DW399" s="13"/>
      <c r="DX399" s="13"/>
      <c r="DY399" s="13"/>
      <c r="DZ399" s="13"/>
    </row>
    <row r="400" spans="35:130"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H400" s="29"/>
      <c r="BI400" s="29"/>
      <c r="BJ400" s="29"/>
      <c r="BK400" s="29"/>
      <c r="BL400" s="29"/>
      <c r="BM400" s="121"/>
      <c r="BN400" s="121"/>
      <c r="BO400" s="121"/>
      <c r="BP400" s="121"/>
      <c r="BQ400" s="121"/>
      <c r="BR400" s="121"/>
      <c r="BS400" s="121"/>
      <c r="BT400" s="121"/>
      <c r="BU400" s="121"/>
      <c r="BV400" s="121"/>
      <c r="BW400" s="121"/>
      <c r="BX400" s="121"/>
      <c r="BY400" s="121"/>
      <c r="BZ400" s="121"/>
      <c r="DI400" s="13"/>
      <c r="DJ400" s="13"/>
      <c r="DK400" s="13"/>
      <c r="DL400" s="13"/>
      <c r="DM400" s="13"/>
      <c r="DN400" s="13"/>
      <c r="DO400" s="13"/>
      <c r="DP400" s="13"/>
      <c r="DQ400" s="13"/>
      <c r="DR400" s="13"/>
      <c r="DS400" s="13"/>
      <c r="DT400" s="13"/>
      <c r="DU400" s="13"/>
      <c r="DV400" s="13"/>
      <c r="DW400" s="13"/>
      <c r="DX400" s="13"/>
      <c r="DY400" s="13"/>
      <c r="DZ400" s="13"/>
    </row>
    <row r="401" spans="35:130"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H401" s="29"/>
      <c r="BI401" s="29"/>
      <c r="BJ401" s="29"/>
      <c r="BK401" s="29"/>
      <c r="BL401" s="29"/>
      <c r="BM401" s="121"/>
      <c r="BN401" s="121"/>
      <c r="BO401" s="121"/>
      <c r="BP401" s="121"/>
      <c r="BQ401" s="121"/>
      <c r="BR401" s="121"/>
      <c r="BS401" s="121"/>
      <c r="BT401" s="121"/>
      <c r="BU401" s="121"/>
      <c r="BV401" s="121"/>
      <c r="BW401" s="121"/>
      <c r="BX401" s="121"/>
      <c r="BY401" s="121"/>
      <c r="BZ401" s="121"/>
      <c r="DI401" s="13"/>
      <c r="DJ401" s="13"/>
      <c r="DK401" s="13"/>
      <c r="DL401" s="13"/>
      <c r="DM401" s="13"/>
      <c r="DN401" s="13"/>
      <c r="DO401" s="13"/>
      <c r="DP401" s="13"/>
      <c r="DQ401" s="13"/>
      <c r="DR401" s="13"/>
      <c r="DS401" s="13"/>
      <c r="DT401" s="13"/>
      <c r="DU401" s="13"/>
      <c r="DV401" s="13"/>
      <c r="DW401" s="13"/>
      <c r="DX401" s="13"/>
      <c r="DY401" s="13"/>
      <c r="DZ401" s="13"/>
    </row>
    <row r="402" spans="35:130"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H402" s="29"/>
      <c r="BI402" s="29"/>
      <c r="BJ402" s="29"/>
      <c r="BK402" s="29"/>
      <c r="BL402" s="29"/>
      <c r="BM402" s="121"/>
      <c r="BN402" s="121"/>
      <c r="BO402" s="121"/>
      <c r="BP402" s="121"/>
      <c r="BQ402" s="121"/>
      <c r="BR402" s="121"/>
      <c r="BS402" s="121"/>
      <c r="BT402" s="121"/>
      <c r="BU402" s="121"/>
      <c r="BV402" s="121"/>
      <c r="BW402" s="121"/>
      <c r="BX402" s="121"/>
      <c r="BY402" s="121"/>
      <c r="BZ402" s="121"/>
      <c r="DI402" s="13"/>
      <c r="DJ402" s="13"/>
      <c r="DK402" s="13"/>
      <c r="DL402" s="13"/>
      <c r="DM402" s="13"/>
      <c r="DN402" s="13"/>
      <c r="DO402" s="13"/>
      <c r="DP402" s="13"/>
      <c r="DQ402" s="13"/>
      <c r="DR402" s="13"/>
      <c r="DS402" s="13"/>
      <c r="DT402" s="13"/>
      <c r="DU402" s="13"/>
      <c r="DV402" s="13"/>
      <c r="DW402" s="13"/>
      <c r="DX402" s="13"/>
      <c r="DY402" s="13"/>
      <c r="DZ402" s="13"/>
    </row>
    <row r="403" spans="35:130"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H403" s="29"/>
      <c r="BI403" s="29"/>
      <c r="BJ403" s="29"/>
      <c r="BK403" s="29"/>
      <c r="BL403" s="29"/>
      <c r="BM403" s="121"/>
      <c r="BN403" s="121"/>
      <c r="BO403" s="121"/>
      <c r="BP403" s="121"/>
      <c r="BQ403" s="121"/>
      <c r="BR403" s="121"/>
      <c r="BS403" s="121"/>
      <c r="BT403" s="121"/>
      <c r="BU403" s="121"/>
      <c r="BV403" s="121"/>
      <c r="BW403" s="121"/>
      <c r="BX403" s="121"/>
      <c r="BY403" s="121"/>
      <c r="BZ403" s="121"/>
      <c r="DI403" s="13"/>
      <c r="DJ403" s="13"/>
      <c r="DK403" s="13"/>
      <c r="DL403" s="13"/>
      <c r="DM403" s="13"/>
      <c r="DN403" s="13"/>
      <c r="DO403" s="13"/>
      <c r="DP403" s="13"/>
      <c r="DQ403" s="13"/>
      <c r="DR403" s="13"/>
      <c r="DS403" s="13"/>
      <c r="DT403" s="13"/>
      <c r="DU403" s="13"/>
      <c r="DV403" s="13"/>
      <c r="DW403" s="13"/>
      <c r="DX403" s="13"/>
      <c r="DY403" s="13"/>
      <c r="DZ403" s="13"/>
    </row>
    <row r="404" spans="35:130"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H404" s="29"/>
      <c r="BI404" s="29"/>
      <c r="BJ404" s="29"/>
      <c r="BK404" s="29"/>
      <c r="BL404" s="29"/>
      <c r="BM404" s="121"/>
      <c r="BN404" s="121"/>
      <c r="BO404" s="121"/>
      <c r="BP404" s="121"/>
      <c r="BQ404" s="121"/>
      <c r="BR404" s="121"/>
      <c r="BS404" s="121"/>
      <c r="BT404" s="121"/>
      <c r="BU404" s="121"/>
      <c r="BV404" s="121"/>
      <c r="BW404" s="121"/>
      <c r="BX404" s="121"/>
      <c r="BY404" s="121"/>
      <c r="BZ404" s="121"/>
      <c r="DI404" s="13"/>
      <c r="DJ404" s="13"/>
      <c r="DK404" s="13"/>
      <c r="DL404" s="13"/>
      <c r="DM404" s="13"/>
      <c r="DN404" s="13"/>
      <c r="DO404" s="13"/>
      <c r="DP404" s="13"/>
      <c r="DQ404" s="13"/>
      <c r="DR404" s="13"/>
      <c r="DS404" s="13"/>
      <c r="DT404" s="13"/>
      <c r="DU404" s="13"/>
      <c r="DV404" s="13"/>
      <c r="DW404" s="13"/>
      <c r="DX404" s="13"/>
      <c r="DY404" s="13"/>
      <c r="DZ404" s="13"/>
    </row>
    <row r="405" spans="35:130"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H405" s="29"/>
      <c r="BI405" s="29"/>
      <c r="BJ405" s="29"/>
      <c r="BK405" s="29"/>
      <c r="BL405" s="29"/>
      <c r="BM405" s="121"/>
      <c r="BN405" s="121"/>
      <c r="BO405" s="121"/>
      <c r="BP405" s="121"/>
      <c r="BQ405" s="121"/>
      <c r="BR405" s="121"/>
      <c r="BS405" s="121"/>
      <c r="BT405" s="121"/>
      <c r="BU405" s="121"/>
      <c r="BV405" s="121"/>
      <c r="BW405" s="121"/>
      <c r="BX405" s="121"/>
      <c r="BY405" s="121"/>
      <c r="BZ405" s="121"/>
      <c r="DI405" s="13"/>
      <c r="DJ405" s="13"/>
      <c r="DK405" s="13"/>
      <c r="DL405" s="13"/>
      <c r="DM405" s="13"/>
      <c r="DN405" s="13"/>
      <c r="DO405" s="13"/>
      <c r="DP405" s="13"/>
      <c r="DQ405" s="13"/>
      <c r="DR405" s="13"/>
      <c r="DS405" s="13"/>
      <c r="DT405" s="13"/>
      <c r="DU405" s="13"/>
      <c r="DV405" s="13"/>
      <c r="DW405" s="13"/>
      <c r="DX405" s="13"/>
      <c r="DY405" s="13"/>
      <c r="DZ405" s="13"/>
    </row>
    <row r="406" spans="35:130"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H406" s="29"/>
      <c r="BI406" s="29"/>
      <c r="BJ406" s="29"/>
      <c r="BK406" s="29"/>
      <c r="BL406" s="29"/>
      <c r="BM406" s="121"/>
      <c r="BN406" s="121"/>
      <c r="BO406" s="121"/>
      <c r="BP406" s="121"/>
      <c r="BQ406" s="121"/>
      <c r="BR406" s="121"/>
      <c r="BS406" s="121"/>
      <c r="BT406" s="121"/>
      <c r="BU406" s="121"/>
      <c r="BV406" s="121"/>
      <c r="BW406" s="121"/>
      <c r="BX406" s="121"/>
      <c r="BY406" s="121"/>
      <c r="BZ406" s="121"/>
      <c r="DI406" s="13"/>
      <c r="DJ406" s="13"/>
      <c r="DK406" s="13"/>
      <c r="DL406" s="13"/>
      <c r="DM406" s="13"/>
      <c r="DN406" s="13"/>
      <c r="DO406" s="13"/>
      <c r="DP406" s="13"/>
      <c r="DQ406" s="13"/>
      <c r="DR406" s="13"/>
      <c r="DS406" s="13"/>
      <c r="DT406" s="13"/>
      <c r="DU406" s="13"/>
      <c r="DV406" s="13"/>
      <c r="DW406" s="13"/>
      <c r="DX406" s="13"/>
      <c r="DY406" s="13"/>
      <c r="DZ406" s="13"/>
    </row>
    <row r="407" spans="35:130"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H407" s="29"/>
      <c r="BI407" s="29"/>
      <c r="BJ407" s="29"/>
      <c r="BK407" s="29"/>
      <c r="BL407" s="29"/>
      <c r="BM407" s="121"/>
      <c r="BN407" s="121"/>
      <c r="BO407" s="121"/>
      <c r="BP407" s="121"/>
      <c r="BQ407" s="121"/>
      <c r="BR407" s="121"/>
      <c r="BS407" s="121"/>
      <c r="BT407" s="121"/>
      <c r="BU407" s="121"/>
      <c r="BV407" s="121"/>
      <c r="BW407" s="121"/>
      <c r="BX407" s="121"/>
      <c r="BY407" s="121"/>
      <c r="BZ407" s="121"/>
      <c r="DI407" s="13"/>
      <c r="DJ407" s="13"/>
      <c r="DK407" s="13"/>
      <c r="DL407" s="13"/>
      <c r="DM407" s="13"/>
      <c r="DN407" s="13"/>
      <c r="DO407" s="13"/>
      <c r="DP407" s="13"/>
      <c r="DQ407" s="13"/>
      <c r="DR407" s="13"/>
      <c r="DS407" s="13"/>
      <c r="DT407" s="13"/>
      <c r="DU407" s="13"/>
      <c r="DV407" s="13"/>
      <c r="DW407" s="13"/>
      <c r="DX407" s="13"/>
      <c r="DY407" s="13"/>
      <c r="DZ407" s="13"/>
    </row>
    <row r="408" spans="35:130"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H408" s="29"/>
      <c r="BI408" s="29"/>
      <c r="BJ408" s="29"/>
      <c r="BK408" s="29"/>
      <c r="BL408" s="29"/>
      <c r="BM408" s="121"/>
      <c r="BN408" s="121"/>
      <c r="BO408" s="121"/>
      <c r="BP408" s="121"/>
      <c r="BQ408" s="121"/>
      <c r="BR408" s="121"/>
      <c r="BS408" s="121"/>
      <c r="BT408" s="121"/>
      <c r="BU408" s="121"/>
      <c r="BV408" s="121"/>
      <c r="BW408" s="121"/>
      <c r="BX408" s="121"/>
      <c r="BY408" s="121"/>
      <c r="BZ408" s="121"/>
      <c r="DI408" s="13"/>
      <c r="DJ408" s="13"/>
      <c r="DK408" s="13"/>
      <c r="DL408" s="13"/>
      <c r="DM408" s="13"/>
      <c r="DN408" s="13"/>
      <c r="DO408" s="13"/>
      <c r="DP408" s="13"/>
      <c r="DQ408" s="13"/>
      <c r="DR408" s="13"/>
      <c r="DS408" s="13"/>
      <c r="DT408" s="13"/>
      <c r="DU408" s="13"/>
      <c r="DV408" s="13"/>
      <c r="DW408" s="13"/>
      <c r="DX408" s="13"/>
      <c r="DY408" s="13"/>
      <c r="DZ408" s="13"/>
    </row>
    <row r="409" spans="35:130"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H409" s="29"/>
      <c r="BI409" s="29"/>
      <c r="BJ409" s="29"/>
      <c r="BK409" s="29"/>
      <c r="BL409" s="29"/>
      <c r="BM409" s="121"/>
      <c r="BN409" s="121"/>
      <c r="BO409" s="121"/>
      <c r="BP409" s="121"/>
      <c r="BQ409" s="121"/>
      <c r="BR409" s="121"/>
      <c r="BS409" s="121"/>
      <c r="BT409" s="121"/>
      <c r="BU409" s="121"/>
      <c r="BV409" s="121"/>
      <c r="BW409" s="121"/>
      <c r="BX409" s="121"/>
      <c r="BY409" s="121"/>
      <c r="BZ409" s="121"/>
      <c r="DI409" s="13"/>
      <c r="DJ409" s="13"/>
      <c r="DK409" s="13"/>
      <c r="DL409" s="13"/>
      <c r="DM409" s="13"/>
      <c r="DN409" s="13"/>
      <c r="DO409" s="13"/>
      <c r="DP409" s="13"/>
      <c r="DQ409" s="13"/>
      <c r="DR409" s="13"/>
      <c r="DS409" s="13"/>
      <c r="DT409" s="13"/>
      <c r="DU409" s="13"/>
      <c r="DV409" s="13"/>
      <c r="DW409" s="13"/>
      <c r="DX409" s="13"/>
      <c r="DY409" s="13"/>
      <c r="DZ409" s="13"/>
    </row>
    <row r="410" spans="35:130"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H410" s="29"/>
      <c r="BI410" s="29"/>
      <c r="BJ410" s="29"/>
      <c r="BK410" s="29"/>
      <c r="BL410" s="29"/>
      <c r="BM410" s="121"/>
      <c r="BN410" s="121"/>
      <c r="BO410" s="121"/>
      <c r="BP410" s="121"/>
      <c r="BQ410" s="121"/>
      <c r="BR410" s="121"/>
      <c r="BS410" s="121"/>
      <c r="BT410" s="121"/>
      <c r="BU410" s="121"/>
      <c r="BV410" s="121"/>
      <c r="BW410" s="121"/>
      <c r="BX410" s="121"/>
      <c r="BY410" s="121"/>
      <c r="BZ410" s="121"/>
      <c r="DI410" s="13"/>
      <c r="DJ410" s="13"/>
      <c r="DK410" s="13"/>
      <c r="DL410" s="13"/>
      <c r="DM410" s="13"/>
      <c r="DN410" s="13"/>
      <c r="DO410" s="13"/>
      <c r="DP410" s="13"/>
      <c r="DQ410" s="13"/>
      <c r="DR410" s="13"/>
      <c r="DS410" s="13"/>
      <c r="DT410" s="13"/>
      <c r="DU410" s="13"/>
      <c r="DV410" s="13"/>
      <c r="DW410" s="13"/>
      <c r="DX410" s="13"/>
      <c r="DY410" s="13"/>
      <c r="DZ410" s="13"/>
    </row>
    <row r="411" spans="35:130"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H411" s="29"/>
      <c r="BI411" s="29"/>
      <c r="BJ411" s="29"/>
      <c r="BK411" s="29"/>
      <c r="BL411" s="29"/>
      <c r="BM411" s="121"/>
      <c r="BN411" s="121"/>
      <c r="BO411" s="121"/>
      <c r="BP411" s="121"/>
      <c r="BQ411" s="121"/>
      <c r="BR411" s="121"/>
      <c r="BS411" s="121"/>
      <c r="BT411" s="121"/>
      <c r="BU411" s="121"/>
      <c r="BV411" s="121"/>
      <c r="BW411" s="121"/>
      <c r="BX411" s="121"/>
      <c r="BY411" s="121"/>
      <c r="BZ411" s="121"/>
      <c r="DI411" s="13"/>
      <c r="DJ411" s="13"/>
      <c r="DK411" s="13"/>
      <c r="DL411" s="13"/>
      <c r="DM411" s="13"/>
      <c r="DN411" s="13"/>
      <c r="DO411" s="13"/>
      <c r="DP411" s="13"/>
      <c r="DQ411" s="13"/>
      <c r="DR411" s="13"/>
      <c r="DS411" s="13"/>
      <c r="DT411" s="13"/>
      <c r="DU411" s="13"/>
      <c r="DV411" s="13"/>
      <c r="DW411" s="13"/>
      <c r="DX411" s="13"/>
      <c r="DY411" s="13"/>
      <c r="DZ411" s="13"/>
    </row>
    <row r="412" spans="35:130"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H412" s="29"/>
      <c r="BI412" s="29"/>
      <c r="BJ412" s="29"/>
      <c r="BK412" s="29"/>
      <c r="BL412" s="29"/>
      <c r="BM412" s="121"/>
      <c r="BN412" s="121"/>
      <c r="BO412" s="121"/>
      <c r="BP412" s="121"/>
      <c r="BQ412" s="121"/>
      <c r="BR412" s="121"/>
      <c r="BS412" s="121"/>
      <c r="BT412" s="121"/>
      <c r="BU412" s="121"/>
      <c r="BV412" s="121"/>
      <c r="BW412" s="121"/>
      <c r="BX412" s="121"/>
      <c r="BY412" s="121"/>
      <c r="BZ412" s="121"/>
      <c r="DI412" s="13"/>
      <c r="DJ412" s="13"/>
      <c r="DK412" s="13"/>
      <c r="DL412" s="13"/>
      <c r="DM412" s="13"/>
      <c r="DN412" s="13"/>
      <c r="DO412" s="13"/>
      <c r="DP412" s="13"/>
      <c r="DQ412" s="13"/>
      <c r="DR412" s="13"/>
      <c r="DS412" s="13"/>
      <c r="DT412" s="13"/>
      <c r="DU412" s="13"/>
      <c r="DV412" s="13"/>
      <c r="DW412" s="13"/>
      <c r="DX412" s="13"/>
      <c r="DY412" s="13"/>
      <c r="DZ412" s="13"/>
    </row>
    <row r="413" spans="35:130"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H413" s="29"/>
      <c r="BI413" s="29"/>
      <c r="BJ413" s="29"/>
      <c r="BK413" s="29"/>
      <c r="BL413" s="29"/>
      <c r="BM413" s="121"/>
      <c r="BN413" s="121"/>
      <c r="BO413" s="121"/>
      <c r="BP413" s="121"/>
      <c r="BQ413" s="121"/>
      <c r="BR413" s="121"/>
      <c r="BS413" s="121"/>
      <c r="BT413" s="121"/>
      <c r="BU413" s="121"/>
      <c r="BV413" s="121"/>
      <c r="BW413" s="121"/>
      <c r="BX413" s="121"/>
      <c r="BY413" s="121"/>
      <c r="BZ413" s="121"/>
      <c r="DI413" s="13"/>
      <c r="DJ413" s="13"/>
      <c r="DK413" s="13"/>
      <c r="DL413" s="13"/>
      <c r="DM413" s="13"/>
      <c r="DN413" s="13"/>
      <c r="DO413" s="13"/>
      <c r="DP413" s="13"/>
      <c r="DQ413" s="13"/>
      <c r="DR413" s="13"/>
      <c r="DS413" s="13"/>
      <c r="DT413" s="13"/>
      <c r="DU413" s="13"/>
      <c r="DV413" s="13"/>
      <c r="DW413" s="13"/>
      <c r="DX413" s="13"/>
      <c r="DY413" s="13"/>
      <c r="DZ413" s="13"/>
    </row>
    <row r="414" spans="35:130"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H414" s="29"/>
      <c r="BI414" s="29"/>
      <c r="BJ414" s="29"/>
      <c r="BK414" s="29"/>
      <c r="BL414" s="29"/>
      <c r="BM414" s="121"/>
      <c r="BN414" s="121"/>
      <c r="BO414" s="121"/>
      <c r="BP414" s="121"/>
      <c r="BQ414" s="121"/>
      <c r="BR414" s="121"/>
      <c r="BS414" s="121"/>
      <c r="BT414" s="121"/>
      <c r="BU414" s="121"/>
      <c r="BV414" s="121"/>
      <c r="BW414" s="121"/>
      <c r="BX414" s="121"/>
      <c r="BY414" s="121"/>
      <c r="BZ414" s="121"/>
      <c r="DI414" s="13"/>
      <c r="DJ414" s="13"/>
      <c r="DK414" s="13"/>
      <c r="DL414" s="13"/>
      <c r="DM414" s="13"/>
      <c r="DN414" s="13"/>
      <c r="DO414" s="13"/>
      <c r="DP414" s="13"/>
      <c r="DQ414" s="13"/>
      <c r="DR414" s="13"/>
      <c r="DS414" s="13"/>
      <c r="DT414" s="13"/>
      <c r="DU414" s="13"/>
      <c r="DV414" s="13"/>
      <c r="DW414" s="13"/>
      <c r="DX414" s="13"/>
      <c r="DY414" s="13"/>
      <c r="DZ414" s="13"/>
    </row>
    <row r="415" spans="35:130"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H415" s="29"/>
      <c r="BI415" s="29"/>
      <c r="BJ415" s="29"/>
      <c r="BK415" s="29"/>
      <c r="BL415" s="29"/>
      <c r="BM415" s="121"/>
      <c r="BN415" s="121"/>
      <c r="BO415" s="121"/>
      <c r="BP415" s="121"/>
      <c r="BQ415" s="121"/>
      <c r="BR415" s="121"/>
      <c r="BS415" s="121"/>
      <c r="BT415" s="121"/>
      <c r="BU415" s="121"/>
      <c r="BV415" s="121"/>
      <c r="BW415" s="121"/>
      <c r="BX415" s="121"/>
      <c r="BY415" s="121"/>
      <c r="BZ415" s="121"/>
      <c r="DI415" s="13"/>
      <c r="DJ415" s="13"/>
      <c r="DK415" s="13"/>
      <c r="DL415" s="13"/>
      <c r="DM415" s="13"/>
      <c r="DN415" s="13"/>
      <c r="DO415" s="13"/>
      <c r="DP415" s="13"/>
      <c r="DQ415" s="13"/>
      <c r="DR415" s="13"/>
      <c r="DS415" s="13"/>
      <c r="DT415" s="13"/>
      <c r="DU415" s="13"/>
      <c r="DV415" s="13"/>
      <c r="DW415" s="13"/>
      <c r="DX415" s="13"/>
      <c r="DY415" s="13"/>
      <c r="DZ415" s="13"/>
    </row>
    <row r="416" spans="35:130"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H416" s="29"/>
      <c r="BI416" s="29"/>
      <c r="BJ416" s="29"/>
      <c r="BK416" s="29"/>
      <c r="BL416" s="29"/>
      <c r="BM416" s="121"/>
      <c r="BN416" s="121"/>
      <c r="BO416" s="121"/>
      <c r="BP416" s="121"/>
      <c r="BQ416" s="121"/>
      <c r="BR416" s="121"/>
      <c r="BS416" s="121"/>
      <c r="BT416" s="121"/>
      <c r="BU416" s="121"/>
      <c r="BV416" s="121"/>
      <c r="BW416" s="121"/>
      <c r="BX416" s="121"/>
      <c r="BY416" s="121"/>
      <c r="BZ416" s="121"/>
      <c r="DI416" s="13"/>
      <c r="DJ416" s="13"/>
      <c r="DK416" s="13"/>
      <c r="DL416" s="13"/>
      <c r="DM416" s="13"/>
      <c r="DN416" s="13"/>
      <c r="DO416" s="13"/>
      <c r="DP416" s="13"/>
      <c r="DQ416" s="13"/>
      <c r="DR416" s="13"/>
      <c r="DS416" s="13"/>
      <c r="DT416" s="13"/>
      <c r="DU416" s="13"/>
      <c r="DV416" s="13"/>
      <c r="DW416" s="13"/>
      <c r="DX416" s="13"/>
      <c r="DY416" s="13"/>
      <c r="DZ416" s="13"/>
    </row>
    <row r="417" spans="35:130"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H417" s="29"/>
      <c r="BI417" s="29"/>
      <c r="BJ417" s="29"/>
      <c r="BK417" s="29"/>
      <c r="BL417" s="29"/>
      <c r="BM417" s="121"/>
      <c r="BN417" s="121"/>
      <c r="BO417" s="121"/>
      <c r="BP417" s="121"/>
      <c r="BQ417" s="121"/>
      <c r="BR417" s="121"/>
      <c r="BS417" s="121"/>
      <c r="BT417" s="121"/>
      <c r="BU417" s="121"/>
      <c r="BV417" s="121"/>
      <c r="BW417" s="121"/>
      <c r="BX417" s="121"/>
      <c r="BY417" s="121"/>
      <c r="BZ417" s="121"/>
      <c r="DI417" s="13"/>
      <c r="DJ417" s="13"/>
      <c r="DK417" s="13"/>
      <c r="DL417" s="13"/>
      <c r="DM417" s="13"/>
      <c r="DN417" s="13"/>
      <c r="DO417" s="13"/>
      <c r="DP417" s="13"/>
      <c r="DQ417" s="13"/>
      <c r="DR417" s="13"/>
      <c r="DS417" s="13"/>
      <c r="DT417" s="13"/>
      <c r="DU417" s="13"/>
      <c r="DV417" s="13"/>
      <c r="DW417" s="13"/>
      <c r="DX417" s="13"/>
      <c r="DY417" s="13"/>
      <c r="DZ417" s="13"/>
    </row>
    <row r="418" spans="35:130"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H418" s="29"/>
      <c r="BI418" s="29"/>
      <c r="BJ418" s="29"/>
      <c r="BK418" s="29"/>
      <c r="BL418" s="29"/>
      <c r="BM418" s="121"/>
      <c r="BN418" s="121"/>
      <c r="BO418" s="121"/>
      <c r="BP418" s="121"/>
      <c r="BQ418" s="121"/>
      <c r="BR418" s="121"/>
      <c r="BS418" s="121"/>
      <c r="BT418" s="121"/>
      <c r="BU418" s="121"/>
      <c r="BV418" s="121"/>
      <c r="BW418" s="121"/>
      <c r="BX418" s="121"/>
      <c r="BY418" s="121"/>
      <c r="BZ418" s="121"/>
      <c r="DI418" s="13"/>
      <c r="DJ418" s="13"/>
      <c r="DK418" s="13"/>
      <c r="DL418" s="13"/>
      <c r="DM418" s="13"/>
      <c r="DN418" s="13"/>
      <c r="DO418" s="13"/>
      <c r="DP418" s="13"/>
      <c r="DQ418" s="13"/>
      <c r="DR418" s="13"/>
      <c r="DS418" s="13"/>
      <c r="DT418" s="13"/>
      <c r="DU418" s="13"/>
      <c r="DV418" s="13"/>
      <c r="DW418" s="13"/>
      <c r="DX418" s="13"/>
      <c r="DY418" s="13"/>
      <c r="DZ418" s="13"/>
    </row>
    <row r="419" spans="35:130"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H419" s="29"/>
      <c r="BI419" s="29"/>
      <c r="BJ419" s="29"/>
      <c r="BK419" s="29"/>
      <c r="BL419" s="29"/>
      <c r="BM419" s="121"/>
      <c r="BN419" s="121"/>
      <c r="BO419" s="121"/>
      <c r="BP419" s="121"/>
      <c r="BQ419" s="121"/>
      <c r="BR419" s="121"/>
      <c r="BS419" s="121"/>
      <c r="BT419" s="121"/>
      <c r="BU419" s="121"/>
      <c r="BV419" s="121"/>
      <c r="BW419" s="121"/>
      <c r="BX419" s="121"/>
      <c r="BY419" s="121"/>
      <c r="BZ419" s="121"/>
      <c r="DI419" s="13"/>
      <c r="DJ419" s="13"/>
      <c r="DK419" s="13"/>
      <c r="DL419" s="13"/>
      <c r="DM419" s="13"/>
      <c r="DN419" s="13"/>
      <c r="DO419" s="13"/>
      <c r="DP419" s="13"/>
      <c r="DQ419" s="13"/>
      <c r="DR419" s="13"/>
      <c r="DS419" s="13"/>
      <c r="DT419" s="13"/>
      <c r="DU419" s="13"/>
      <c r="DV419" s="13"/>
      <c r="DW419" s="13"/>
      <c r="DX419" s="13"/>
      <c r="DY419" s="13"/>
      <c r="DZ419" s="13"/>
    </row>
    <row r="420" spans="35:130"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H420" s="29"/>
      <c r="BI420" s="29"/>
      <c r="BJ420" s="29"/>
      <c r="BK420" s="29"/>
      <c r="BL420" s="29"/>
      <c r="BM420" s="121"/>
      <c r="BN420" s="121"/>
      <c r="BO420" s="121"/>
      <c r="BP420" s="121"/>
      <c r="BQ420" s="121"/>
      <c r="BR420" s="121"/>
      <c r="BS420" s="121"/>
      <c r="BT420" s="121"/>
      <c r="BU420" s="121"/>
      <c r="BV420" s="121"/>
      <c r="BW420" s="121"/>
      <c r="BX420" s="121"/>
      <c r="BY420" s="121"/>
      <c r="BZ420" s="121"/>
      <c r="DI420" s="13"/>
      <c r="DJ420" s="13"/>
      <c r="DK420" s="13"/>
      <c r="DL420" s="13"/>
      <c r="DM420" s="13"/>
      <c r="DN420" s="13"/>
      <c r="DO420" s="13"/>
      <c r="DP420" s="13"/>
      <c r="DQ420" s="13"/>
      <c r="DR420" s="13"/>
      <c r="DS420" s="13"/>
      <c r="DT420" s="13"/>
      <c r="DU420" s="13"/>
      <c r="DV420" s="13"/>
      <c r="DW420" s="13"/>
      <c r="DX420" s="13"/>
      <c r="DY420" s="13"/>
      <c r="DZ420" s="13"/>
    </row>
    <row r="421" spans="35:130"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H421" s="29"/>
      <c r="BI421" s="29"/>
      <c r="BJ421" s="29"/>
      <c r="BK421" s="29"/>
      <c r="BL421" s="29"/>
      <c r="BM421" s="121"/>
      <c r="BN421" s="121"/>
      <c r="BO421" s="121"/>
      <c r="BP421" s="121"/>
      <c r="BQ421" s="121"/>
      <c r="BR421" s="121"/>
      <c r="BS421" s="121"/>
      <c r="BT421" s="121"/>
      <c r="BU421" s="121"/>
      <c r="BV421" s="121"/>
      <c r="BW421" s="121"/>
      <c r="BX421" s="121"/>
      <c r="BY421" s="121"/>
      <c r="BZ421" s="121"/>
      <c r="DI421" s="13"/>
      <c r="DJ421" s="13"/>
      <c r="DK421" s="13"/>
      <c r="DL421" s="13"/>
      <c r="DM421" s="13"/>
      <c r="DN421" s="13"/>
      <c r="DO421" s="13"/>
      <c r="DP421" s="13"/>
      <c r="DQ421" s="13"/>
      <c r="DR421" s="13"/>
      <c r="DS421" s="13"/>
      <c r="DT421" s="13"/>
      <c r="DU421" s="13"/>
      <c r="DV421" s="13"/>
      <c r="DW421" s="13"/>
      <c r="DX421" s="13"/>
      <c r="DY421" s="13"/>
      <c r="DZ421" s="13"/>
    </row>
    <row r="422" spans="35:130"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H422" s="29"/>
      <c r="BI422" s="29"/>
      <c r="BJ422" s="29"/>
      <c r="BK422" s="29"/>
      <c r="BL422" s="29"/>
      <c r="BM422" s="121"/>
      <c r="BN422" s="121"/>
      <c r="BO422" s="121"/>
      <c r="BP422" s="121"/>
      <c r="BQ422" s="121"/>
      <c r="BR422" s="121"/>
      <c r="BS422" s="121"/>
      <c r="BT422" s="121"/>
      <c r="BU422" s="121"/>
      <c r="BV422" s="121"/>
      <c r="BW422" s="121"/>
      <c r="BX422" s="121"/>
      <c r="BY422" s="121"/>
      <c r="BZ422" s="121"/>
      <c r="DI422" s="13"/>
      <c r="DJ422" s="13"/>
      <c r="DK422" s="13"/>
      <c r="DL422" s="13"/>
      <c r="DM422" s="13"/>
      <c r="DN422" s="13"/>
      <c r="DO422" s="13"/>
      <c r="DP422" s="13"/>
      <c r="DQ422" s="13"/>
      <c r="DR422" s="13"/>
      <c r="DS422" s="13"/>
      <c r="DT422" s="13"/>
      <c r="DU422" s="13"/>
      <c r="DV422" s="13"/>
      <c r="DW422" s="13"/>
      <c r="DX422" s="13"/>
      <c r="DY422" s="13"/>
      <c r="DZ422" s="13"/>
    </row>
    <row r="423" spans="35:130"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H423" s="29"/>
      <c r="BI423" s="29"/>
      <c r="BJ423" s="29"/>
      <c r="BK423" s="29"/>
      <c r="BL423" s="29"/>
      <c r="BM423" s="121"/>
      <c r="BN423" s="121"/>
      <c r="BO423" s="121"/>
      <c r="BP423" s="121"/>
      <c r="BQ423" s="121"/>
      <c r="BR423" s="121"/>
      <c r="BS423" s="121"/>
      <c r="BT423" s="121"/>
      <c r="BU423" s="121"/>
      <c r="BV423" s="121"/>
      <c r="BW423" s="121"/>
      <c r="BX423" s="121"/>
      <c r="BY423" s="121"/>
      <c r="BZ423" s="121"/>
      <c r="DI423" s="13"/>
      <c r="DJ423" s="13"/>
      <c r="DK423" s="13"/>
      <c r="DL423" s="13"/>
      <c r="DM423" s="13"/>
      <c r="DN423" s="13"/>
      <c r="DO423" s="13"/>
      <c r="DP423" s="13"/>
      <c r="DQ423" s="13"/>
      <c r="DR423" s="13"/>
      <c r="DS423" s="13"/>
      <c r="DT423" s="13"/>
      <c r="DU423" s="13"/>
      <c r="DV423" s="13"/>
      <c r="DW423" s="13"/>
      <c r="DX423" s="13"/>
      <c r="DY423" s="13"/>
      <c r="DZ423" s="13"/>
    </row>
    <row r="424" spans="35:130"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H424" s="29"/>
      <c r="BI424" s="29"/>
      <c r="BJ424" s="29"/>
      <c r="BK424" s="29"/>
      <c r="BL424" s="29"/>
      <c r="BM424" s="121"/>
      <c r="BN424" s="121"/>
      <c r="BO424" s="121"/>
      <c r="BP424" s="121"/>
      <c r="BQ424" s="121"/>
      <c r="BR424" s="121"/>
      <c r="BS424" s="121"/>
      <c r="BT424" s="121"/>
      <c r="BU424" s="121"/>
      <c r="BV424" s="121"/>
      <c r="BW424" s="121"/>
      <c r="BX424" s="121"/>
      <c r="BY424" s="121"/>
      <c r="BZ424" s="121"/>
      <c r="DI424" s="13"/>
      <c r="DJ424" s="13"/>
      <c r="DK424" s="13"/>
      <c r="DL424" s="13"/>
      <c r="DM424" s="13"/>
      <c r="DN424" s="13"/>
      <c r="DO424" s="13"/>
      <c r="DP424" s="13"/>
      <c r="DQ424" s="13"/>
      <c r="DR424" s="13"/>
      <c r="DS424" s="13"/>
      <c r="DT424" s="13"/>
      <c r="DU424" s="13"/>
      <c r="DV424" s="13"/>
      <c r="DW424" s="13"/>
      <c r="DX424" s="13"/>
      <c r="DY424" s="13"/>
      <c r="DZ424" s="13"/>
    </row>
    <row r="425" spans="35:130"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H425" s="29"/>
      <c r="BI425" s="29"/>
      <c r="BJ425" s="29"/>
      <c r="BK425" s="29"/>
      <c r="BL425" s="29"/>
      <c r="BM425" s="121"/>
      <c r="BN425" s="121"/>
      <c r="BO425" s="121"/>
      <c r="BP425" s="121"/>
      <c r="BQ425" s="121"/>
      <c r="BR425" s="121"/>
      <c r="BS425" s="121"/>
      <c r="BT425" s="121"/>
      <c r="BU425" s="121"/>
      <c r="BV425" s="121"/>
      <c r="BW425" s="121"/>
      <c r="BX425" s="121"/>
      <c r="BY425" s="121"/>
      <c r="BZ425" s="121"/>
      <c r="DI425" s="13"/>
      <c r="DJ425" s="13"/>
      <c r="DK425" s="13"/>
      <c r="DL425" s="13"/>
      <c r="DM425" s="13"/>
      <c r="DN425" s="13"/>
      <c r="DO425" s="13"/>
      <c r="DP425" s="13"/>
      <c r="DQ425" s="13"/>
      <c r="DR425" s="13"/>
      <c r="DS425" s="13"/>
      <c r="DT425" s="13"/>
      <c r="DU425" s="13"/>
      <c r="DV425" s="13"/>
      <c r="DW425" s="13"/>
      <c r="DX425" s="13"/>
      <c r="DY425" s="13"/>
      <c r="DZ425" s="13"/>
    </row>
    <row r="426" spans="35:130"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H426" s="29"/>
      <c r="BI426" s="29"/>
      <c r="BJ426" s="29"/>
      <c r="BK426" s="29"/>
      <c r="BL426" s="29"/>
      <c r="BM426" s="121"/>
      <c r="BN426" s="121"/>
      <c r="BO426" s="121"/>
      <c r="BP426" s="121"/>
      <c r="BQ426" s="121"/>
      <c r="BR426" s="121"/>
      <c r="BS426" s="121"/>
      <c r="BT426" s="121"/>
      <c r="BU426" s="121"/>
      <c r="BV426" s="121"/>
      <c r="BW426" s="121"/>
      <c r="BX426" s="121"/>
      <c r="BY426" s="121"/>
      <c r="BZ426" s="121"/>
      <c r="DI426" s="13"/>
      <c r="DJ426" s="13"/>
      <c r="DK426" s="13"/>
      <c r="DL426" s="13"/>
      <c r="DM426" s="13"/>
      <c r="DN426" s="13"/>
      <c r="DO426" s="13"/>
      <c r="DP426" s="13"/>
      <c r="DQ426" s="13"/>
      <c r="DR426" s="13"/>
      <c r="DS426" s="13"/>
      <c r="DT426" s="13"/>
      <c r="DU426" s="13"/>
      <c r="DV426" s="13"/>
      <c r="DW426" s="13"/>
      <c r="DX426" s="13"/>
      <c r="DY426" s="13"/>
      <c r="DZ426" s="13"/>
    </row>
    <row r="427" spans="35:130"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H427" s="29"/>
      <c r="BI427" s="29"/>
      <c r="BJ427" s="29"/>
      <c r="BK427" s="29"/>
      <c r="BL427" s="29"/>
      <c r="BM427" s="121"/>
      <c r="BN427" s="121"/>
      <c r="BO427" s="121"/>
      <c r="BP427" s="121"/>
      <c r="BQ427" s="121"/>
      <c r="BR427" s="121"/>
      <c r="BS427" s="121"/>
      <c r="BT427" s="121"/>
      <c r="BU427" s="121"/>
      <c r="BV427" s="121"/>
      <c r="BW427" s="121"/>
      <c r="BX427" s="121"/>
      <c r="BY427" s="121"/>
      <c r="BZ427" s="121"/>
      <c r="DI427" s="13"/>
      <c r="DJ427" s="13"/>
      <c r="DK427" s="13"/>
      <c r="DL427" s="13"/>
      <c r="DM427" s="13"/>
      <c r="DN427" s="13"/>
      <c r="DO427" s="13"/>
      <c r="DP427" s="13"/>
      <c r="DQ427" s="13"/>
      <c r="DR427" s="13"/>
      <c r="DS427" s="13"/>
      <c r="DT427" s="13"/>
      <c r="DU427" s="13"/>
      <c r="DV427" s="13"/>
      <c r="DW427" s="13"/>
      <c r="DX427" s="13"/>
      <c r="DY427" s="13"/>
      <c r="DZ427" s="13"/>
    </row>
    <row r="428" spans="35:130"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H428" s="29"/>
      <c r="BI428" s="29"/>
      <c r="BJ428" s="29"/>
      <c r="BK428" s="29"/>
      <c r="BL428" s="29"/>
      <c r="BM428" s="121"/>
      <c r="BN428" s="121"/>
      <c r="BO428" s="121"/>
      <c r="BP428" s="121"/>
      <c r="BQ428" s="121"/>
      <c r="BR428" s="121"/>
      <c r="BS428" s="121"/>
      <c r="BT428" s="121"/>
      <c r="BU428" s="121"/>
      <c r="BV428" s="121"/>
      <c r="BW428" s="121"/>
      <c r="BX428" s="121"/>
      <c r="BY428" s="121"/>
      <c r="BZ428" s="121"/>
      <c r="DI428" s="13"/>
      <c r="DJ428" s="13"/>
      <c r="DK428" s="13"/>
      <c r="DL428" s="13"/>
      <c r="DM428" s="13"/>
      <c r="DN428" s="13"/>
      <c r="DO428" s="13"/>
      <c r="DP428" s="13"/>
      <c r="DQ428" s="13"/>
      <c r="DR428" s="13"/>
      <c r="DS428" s="13"/>
      <c r="DT428" s="13"/>
      <c r="DU428" s="13"/>
      <c r="DV428" s="13"/>
      <c r="DW428" s="13"/>
      <c r="DX428" s="13"/>
      <c r="DY428" s="13"/>
      <c r="DZ428" s="13"/>
    </row>
    <row r="429" spans="35:130"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H429" s="29"/>
      <c r="BI429" s="29"/>
      <c r="BJ429" s="29"/>
      <c r="BK429" s="29"/>
      <c r="BL429" s="29"/>
      <c r="BM429" s="121"/>
      <c r="BN429" s="121"/>
      <c r="BO429" s="121"/>
      <c r="BP429" s="121"/>
      <c r="BQ429" s="121"/>
      <c r="BR429" s="121"/>
      <c r="BS429" s="121"/>
      <c r="BT429" s="121"/>
      <c r="BU429" s="121"/>
      <c r="BV429" s="121"/>
      <c r="BW429" s="121"/>
      <c r="BX429" s="121"/>
      <c r="BY429" s="121"/>
      <c r="BZ429" s="121"/>
      <c r="DI429" s="13"/>
      <c r="DJ429" s="13"/>
      <c r="DK429" s="13"/>
      <c r="DL429" s="13"/>
      <c r="DM429" s="13"/>
      <c r="DN429" s="13"/>
      <c r="DO429" s="13"/>
      <c r="DP429" s="13"/>
      <c r="DQ429" s="13"/>
      <c r="DR429" s="13"/>
      <c r="DS429" s="13"/>
      <c r="DT429" s="13"/>
      <c r="DU429" s="13"/>
      <c r="DV429" s="13"/>
      <c r="DW429" s="13"/>
      <c r="DX429" s="13"/>
      <c r="DY429" s="13"/>
      <c r="DZ429" s="13"/>
    </row>
    <row r="430" spans="35:130"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H430" s="29"/>
      <c r="BI430" s="29"/>
      <c r="BJ430" s="29"/>
      <c r="BK430" s="29"/>
      <c r="BL430" s="29"/>
      <c r="BM430" s="121"/>
      <c r="BN430" s="121"/>
      <c r="BO430" s="121"/>
      <c r="BP430" s="121"/>
      <c r="BQ430" s="121"/>
      <c r="BR430" s="121"/>
      <c r="BS430" s="121"/>
      <c r="BT430" s="121"/>
      <c r="BU430" s="121"/>
      <c r="BV430" s="121"/>
      <c r="BW430" s="121"/>
      <c r="BX430" s="121"/>
      <c r="BY430" s="121"/>
      <c r="BZ430" s="121"/>
      <c r="DI430" s="13"/>
      <c r="DJ430" s="13"/>
      <c r="DK430" s="13"/>
      <c r="DL430" s="13"/>
      <c r="DM430" s="13"/>
      <c r="DN430" s="13"/>
      <c r="DO430" s="13"/>
      <c r="DP430" s="13"/>
      <c r="DQ430" s="13"/>
      <c r="DR430" s="13"/>
      <c r="DS430" s="13"/>
      <c r="DT430" s="13"/>
      <c r="DU430" s="13"/>
      <c r="DV430" s="13"/>
      <c r="DW430" s="13"/>
      <c r="DX430" s="13"/>
      <c r="DY430" s="13"/>
      <c r="DZ430" s="13"/>
    </row>
    <row r="431" spans="35:130"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H431" s="29"/>
      <c r="BI431" s="29"/>
      <c r="BJ431" s="29"/>
      <c r="BK431" s="29"/>
      <c r="BL431" s="29"/>
      <c r="BM431" s="121"/>
      <c r="BN431" s="121"/>
      <c r="BO431" s="121"/>
      <c r="BP431" s="121"/>
      <c r="BQ431" s="121"/>
      <c r="BR431" s="121"/>
      <c r="BS431" s="121"/>
      <c r="BT431" s="121"/>
      <c r="BU431" s="121"/>
      <c r="BV431" s="121"/>
      <c r="BW431" s="121"/>
      <c r="BX431" s="121"/>
      <c r="BY431" s="121"/>
      <c r="BZ431" s="121"/>
      <c r="DI431" s="13"/>
      <c r="DJ431" s="13"/>
      <c r="DK431" s="13"/>
      <c r="DL431" s="13"/>
      <c r="DM431" s="13"/>
      <c r="DN431" s="13"/>
      <c r="DO431" s="13"/>
      <c r="DP431" s="13"/>
      <c r="DQ431" s="13"/>
      <c r="DR431" s="13"/>
      <c r="DS431" s="13"/>
      <c r="DT431" s="13"/>
      <c r="DU431" s="13"/>
      <c r="DV431" s="13"/>
      <c r="DW431" s="13"/>
      <c r="DX431" s="13"/>
      <c r="DY431" s="13"/>
      <c r="DZ431" s="13"/>
    </row>
    <row r="432" spans="35:130"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H432" s="29"/>
      <c r="BI432" s="29"/>
      <c r="BJ432" s="29"/>
      <c r="BK432" s="29"/>
      <c r="BL432" s="29"/>
      <c r="BM432" s="121"/>
      <c r="BN432" s="121"/>
      <c r="BO432" s="121"/>
      <c r="BP432" s="121"/>
      <c r="BQ432" s="121"/>
      <c r="BR432" s="121"/>
      <c r="BS432" s="121"/>
      <c r="BT432" s="121"/>
      <c r="BU432" s="121"/>
      <c r="BV432" s="121"/>
      <c r="BW432" s="121"/>
      <c r="BX432" s="121"/>
      <c r="BY432" s="121"/>
      <c r="BZ432" s="121"/>
      <c r="DI432" s="13"/>
      <c r="DJ432" s="13"/>
      <c r="DK432" s="13"/>
      <c r="DL432" s="13"/>
      <c r="DM432" s="13"/>
      <c r="DN432" s="13"/>
      <c r="DO432" s="13"/>
      <c r="DP432" s="13"/>
      <c r="DQ432" s="13"/>
      <c r="DR432" s="13"/>
      <c r="DS432" s="13"/>
      <c r="DT432" s="13"/>
      <c r="DU432" s="13"/>
      <c r="DV432" s="13"/>
      <c r="DW432" s="13"/>
      <c r="DX432" s="13"/>
      <c r="DY432" s="13"/>
      <c r="DZ432" s="13"/>
    </row>
    <row r="433" spans="35:130"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H433" s="29"/>
      <c r="BI433" s="29"/>
      <c r="BJ433" s="29"/>
      <c r="BK433" s="29"/>
      <c r="BL433" s="29"/>
      <c r="BM433" s="121"/>
      <c r="BN433" s="121"/>
      <c r="BO433" s="121"/>
      <c r="BP433" s="121"/>
      <c r="BQ433" s="121"/>
      <c r="BR433" s="121"/>
      <c r="BS433" s="121"/>
      <c r="BT433" s="121"/>
      <c r="BU433" s="121"/>
      <c r="BV433" s="121"/>
      <c r="BW433" s="121"/>
      <c r="BX433" s="121"/>
      <c r="BY433" s="121"/>
      <c r="BZ433" s="121"/>
      <c r="DI433" s="13"/>
      <c r="DJ433" s="13"/>
      <c r="DK433" s="13"/>
      <c r="DL433" s="13"/>
      <c r="DM433" s="13"/>
      <c r="DN433" s="13"/>
      <c r="DO433" s="13"/>
      <c r="DP433" s="13"/>
      <c r="DQ433" s="13"/>
      <c r="DR433" s="13"/>
      <c r="DS433" s="13"/>
      <c r="DT433" s="13"/>
      <c r="DU433" s="13"/>
      <c r="DV433" s="13"/>
      <c r="DW433" s="13"/>
      <c r="DX433" s="13"/>
      <c r="DY433" s="13"/>
      <c r="DZ433" s="13"/>
    </row>
    <row r="434" spans="35:130"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H434" s="29"/>
      <c r="BI434" s="29"/>
      <c r="BJ434" s="29"/>
      <c r="BK434" s="29"/>
      <c r="BL434" s="29"/>
      <c r="BM434" s="121"/>
      <c r="BN434" s="121"/>
      <c r="BO434" s="121"/>
      <c r="BP434" s="121"/>
      <c r="BQ434" s="121"/>
      <c r="BR434" s="121"/>
      <c r="BS434" s="121"/>
      <c r="BT434" s="121"/>
      <c r="BU434" s="121"/>
      <c r="BV434" s="121"/>
      <c r="BW434" s="121"/>
      <c r="BX434" s="121"/>
      <c r="BY434" s="121"/>
      <c r="BZ434" s="121"/>
      <c r="DI434" s="13"/>
      <c r="DJ434" s="13"/>
      <c r="DK434" s="13"/>
      <c r="DL434" s="13"/>
      <c r="DM434" s="13"/>
      <c r="DN434" s="13"/>
      <c r="DO434" s="13"/>
      <c r="DP434" s="13"/>
      <c r="DQ434" s="13"/>
      <c r="DR434" s="13"/>
      <c r="DS434" s="13"/>
      <c r="DT434" s="13"/>
      <c r="DU434" s="13"/>
      <c r="DV434" s="13"/>
      <c r="DW434" s="13"/>
      <c r="DX434" s="13"/>
      <c r="DY434" s="13"/>
      <c r="DZ434" s="13"/>
    </row>
    <row r="435" spans="35:130"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H435" s="29"/>
      <c r="BI435" s="29"/>
      <c r="BJ435" s="29"/>
      <c r="BK435" s="29"/>
      <c r="BL435" s="29"/>
      <c r="BM435" s="121"/>
      <c r="BN435" s="121"/>
      <c r="BO435" s="121"/>
      <c r="BP435" s="121"/>
      <c r="BQ435" s="121"/>
      <c r="BR435" s="121"/>
      <c r="BS435" s="121"/>
      <c r="BT435" s="121"/>
      <c r="BU435" s="121"/>
      <c r="BV435" s="121"/>
      <c r="BW435" s="121"/>
      <c r="BX435" s="121"/>
      <c r="BY435" s="121"/>
      <c r="BZ435" s="121"/>
      <c r="DI435" s="13"/>
      <c r="DJ435" s="13"/>
      <c r="DK435" s="13"/>
      <c r="DL435" s="13"/>
      <c r="DM435" s="13"/>
      <c r="DN435" s="13"/>
      <c r="DO435" s="13"/>
      <c r="DP435" s="13"/>
      <c r="DQ435" s="13"/>
      <c r="DR435" s="13"/>
      <c r="DS435" s="13"/>
      <c r="DT435" s="13"/>
      <c r="DU435" s="13"/>
      <c r="DV435" s="13"/>
      <c r="DW435" s="13"/>
      <c r="DX435" s="13"/>
      <c r="DY435" s="13"/>
      <c r="DZ435" s="13"/>
    </row>
    <row r="436" spans="35:130"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H436" s="29"/>
      <c r="BI436" s="29"/>
      <c r="BJ436" s="29"/>
      <c r="BK436" s="29"/>
      <c r="BL436" s="29"/>
      <c r="BM436" s="121"/>
      <c r="BN436" s="121"/>
      <c r="BO436" s="121"/>
      <c r="BP436" s="121"/>
      <c r="BQ436" s="121"/>
      <c r="BR436" s="121"/>
      <c r="BS436" s="121"/>
      <c r="BT436" s="121"/>
      <c r="BU436" s="121"/>
      <c r="BV436" s="121"/>
      <c r="BW436" s="121"/>
      <c r="BX436" s="121"/>
      <c r="BY436" s="121"/>
      <c r="BZ436" s="121"/>
      <c r="DI436" s="13"/>
      <c r="DJ436" s="13"/>
      <c r="DK436" s="13"/>
      <c r="DL436" s="13"/>
      <c r="DM436" s="13"/>
      <c r="DN436" s="13"/>
      <c r="DO436" s="13"/>
      <c r="DP436" s="13"/>
      <c r="DQ436" s="13"/>
      <c r="DR436" s="13"/>
      <c r="DS436" s="13"/>
      <c r="DT436" s="13"/>
      <c r="DU436" s="13"/>
      <c r="DV436" s="13"/>
      <c r="DW436" s="13"/>
      <c r="DX436" s="13"/>
      <c r="DY436" s="13"/>
      <c r="DZ436" s="13"/>
    </row>
    <row r="437" spans="35:130"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H437" s="29"/>
      <c r="BI437" s="29"/>
      <c r="BJ437" s="29"/>
      <c r="BK437" s="29"/>
      <c r="BL437" s="29"/>
      <c r="BM437" s="121"/>
      <c r="BN437" s="121"/>
      <c r="BO437" s="121"/>
      <c r="BP437" s="121"/>
      <c r="BQ437" s="121"/>
      <c r="BR437" s="121"/>
      <c r="BS437" s="121"/>
      <c r="BT437" s="121"/>
      <c r="BU437" s="121"/>
      <c r="BV437" s="121"/>
      <c r="BW437" s="121"/>
      <c r="BX437" s="121"/>
      <c r="BY437" s="121"/>
      <c r="BZ437" s="121"/>
      <c r="DI437" s="13"/>
      <c r="DJ437" s="13"/>
      <c r="DK437" s="13"/>
      <c r="DL437" s="13"/>
      <c r="DM437" s="13"/>
      <c r="DN437" s="13"/>
      <c r="DO437" s="13"/>
      <c r="DP437" s="13"/>
      <c r="DQ437" s="13"/>
      <c r="DR437" s="13"/>
      <c r="DS437" s="13"/>
      <c r="DT437" s="13"/>
      <c r="DU437" s="13"/>
      <c r="DV437" s="13"/>
      <c r="DW437" s="13"/>
      <c r="DX437" s="13"/>
      <c r="DY437" s="13"/>
      <c r="DZ437" s="13"/>
    </row>
    <row r="438" spans="35:130"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H438" s="29"/>
      <c r="BI438" s="29"/>
      <c r="BJ438" s="29"/>
      <c r="BK438" s="29"/>
      <c r="BL438" s="29"/>
      <c r="BM438" s="121"/>
      <c r="BN438" s="121"/>
      <c r="BO438" s="121"/>
      <c r="BP438" s="121"/>
      <c r="BQ438" s="121"/>
      <c r="BR438" s="121"/>
      <c r="BS438" s="121"/>
      <c r="BT438" s="121"/>
      <c r="BU438" s="121"/>
      <c r="BV438" s="121"/>
      <c r="BW438" s="121"/>
      <c r="BX438" s="121"/>
      <c r="BY438" s="121"/>
      <c r="BZ438" s="121"/>
      <c r="DI438" s="13"/>
      <c r="DJ438" s="13"/>
      <c r="DK438" s="13"/>
      <c r="DL438" s="13"/>
      <c r="DM438" s="13"/>
      <c r="DN438" s="13"/>
      <c r="DO438" s="13"/>
      <c r="DP438" s="13"/>
      <c r="DQ438" s="13"/>
      <c r="DR438" s="13"/>
      <c r="DS438" s="13"/>
      <c r="DT438" s="13"/>
      <c r="DU438" s="13"/>
      <c r="DV438" s="13"/>
      <c r="DW438" s="13"/>
      <c r="DX438" s="13"/>
      <c r="DY438" s="13"/>
      <c r="DZ438" s="13"/>
    </row>
    <row r="439" spans="35:130"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H439" s="29"/>
      <c r="BI439" s="29"/>
      <c r="BJ439" s="29"/>
      <c r="BK439" s="29"/>
      <c r="BL439" s="29"/>
      <c r="BM439" s="121"/>
      <c r="BN439" s="121"/>
      <c r="BO439" s="121"/>
      <c r="BP439" s="121"/>
      <c r="BQ439" s="121"/>
      <c r="BR439" s="121"/>
      <c r="BS439" s="121"/>
      <c r="BT439" s="121"/>
      <c r="BU439" s="121"/>
      <c r="BV439" s="121"/>
      <c r="BW439" s="121"/>
      <c r="BX439" s="121"/>
      <c r="BY439" s="121"/>
      <c r="BZ439" s="121"/>
      <c r="DI439" s="13"/>
      <c r="DJ439" s="13"/>
      <c r="DK439" s="13"/>
      <c r="DL439" s="13"/>
      <c r="DM439" s="13"/>
      <c r="DN439" s="13"/>
      <c r="DO439" s="13"/>
      <c r="DP439" s="13"/>
      <c r="DQ439" s="13"/>
      <c r="DR439" s="13"/>
      <c r="DS439" s="13"/>
      <c r="DT439" s="13"/>
      <c r="DU439" s="13"/>
      <c r="DV439" s="13"/>
      <c r="DW439" s="13"/>
      <c r="DX439" s="13"/>
      <c r="DY439" s="13"/>
      <c r="DZ439" s="13"/>
    </row>
    <row r="440" spans="35:130"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H440" s="29"/>
      <c r="BI440" s="29"/>
      <c r="BJ440" s="29"/>
      <c r="BK440" s="29"/>
      <c r="BL440" s="29"/>
      <c r="BM440" s="121"/>
      <c r="BN440" s="121"/>
      <c r="BO440" s="121"/>
      <c r="BP440" s="121"/>
      <c r="BQ440" s="121"/>
      <c r="BR440" s="121"/>
      <c r="BS440" s="121"/>
      <c r="BT440" s="121"/>
      <c r="BU440" s="121"/>
      <c r="BV440" s="121"/>
      <c r="BW440" s="121"/>
      <c r="BX440" s="121"/>
      <c r="BY440" s="121"/>
      <c r="BZ440" s="121"/>
      <c r="DI440" s="13"/>
      <c r="DJ440" s="13"/>
      <c r="DK440" s="13"/>
      <c r="DL440" s="13"/>
      <c r="DM440" s="13"/>
      <c r="DN440" s="13"/>
      <c r="DO440" s="13"/>
      <c r="DP440" s="13"/>
      <c r="DQ440" s="13"/>
      <c r="DR440" s="13"/>
      <c r="DS440" s="13"/>
      <c r="DT440" s="13"/>
      <c r="DU440" s="13"/>
      <c r="DV440" s="13"/>
      <c r="DW440" s="13"/>
      <c r="DX440" s="13"/>
      <c r="DY440" s="13"/>
      <c r="DZ440" s="13"/>
    </row>
    <row r="441" spans="35:130"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H441" s="29"/>
      <c r="BI441" s="29"/>
      <c r="BJ441" s="29"/>
      <c r="BK441" s="29"/>
      <c r="BL441" s="29"/>
      <c r="BM441" s="121"/>
      <c r="BN441" s="121"/>
      <c r="BO441" s="121"/>
      <c r="BP441" s="121"/>
      <c r="BQ441" s="121"/>
      <c r="BR441" s="121"/>
      <c r="BS441" s="121"/>
      <c r="BT441" s="121"/>
      <c r="BU441" s="121"/>
      <c r="BV441" s="121"/>
      <c r="BW441" s="121"/>
      <c r="BX441" s="121"/>
      <c r="BY441" s="121"/>
      <c r="BZ441" s="121"/>
      <c r="DI441" s="13"/>
      <c r="DJ441" s="13"/>
      <c r="DK441" s="13"/>
      <c r="DL441" s="13"/>
      <c r="DM441" s="13"/>
      <c r="DN441" s="13"/>
      <c r="DO441" s="13"/>
      <c r="DP441" s="13"/>
      <c r="DQ441" s="13"/>
      <c r="DR441" s="13"/>
      <c r="DS441" s="13"/>
      <c r="DT441" s="13"/>
      <c r="DU441" s="13"/>
      <c r="DV441" s="13"/>
      <c r="DW441" s="13"/>
      <c r="DX441" s="13"/>
      <c r="DY441" s="13"/>
      <c r="DZ441" s="13"/>
    </row>
    <row r="442" spans="35:130"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H442" s="29"/>
      <c r="BI442" s="29"/>
      <c r="BJ442" s="29"/>
      <c r="BK442" s="29"/>
      <c r="BL442" s="29"/>
      <c r="BM442" s="121"/>
      <c r="BN442" s="121"/>
      <c r="BO442" s="121"/>
      <c r="BP442" s="121"/>
      <c r="BQ442" s="121"/>
      <c r="BR442" s="121"/>
      <c r="BS442" s="121"/>
      <c r="BT442" s="121"/>
      <c r="BU442" s="121"/>
      <c r="BV442" s="121"/>
      <c r="BW442" s="121"/>
      <c r="BX442" s="121"/>
      <c r="BY442" s="121"/>
      <c r="BZ442" s="121"/>
      <c r="DI442" s="13"/>
      <c r="DJ442" s="13"/>
      <c r="DK442" s="13"/>
      <c r="DL442" s="13"/>
      <c r="DM442" s="13"/>
      <c r="DN442" s="13"/>
      <c r="DO442" s="13"/>
      <c r="DP442" s="13"/>
      <c r="DQ442" s="13"/>
      <c r="DR442" s="13"/>
      <c r="DS442" s="13"/>
      <c r="DT442" s="13"/>
      <c r="DU442" s="13"/>
      <c r="DV442" s="13"/>
      <c r="DW442" s="13"/>
      <c r="DX442" s="13"/>
      <c r="DY442" s="13"/>
      <c r="DZ442" s="13"/>
    </row>
    <row r="443" spans="35:130"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H443" s="29"/>
      <c r="BI443" s="29"/>
      <c r="BJ443" s="29"/>
      <c r="BK443" s="29"/>
      <c r="BL443" s="29"/>
      <c r="BM443" s="121"/>
      <c r="BN443" s="121"/>
      <c r="BO443" s="121"/>
      <c r="BP443" s="121"/>
      <c r="BQ443" s="121"/>
      <c r="BR443" s="121"/>
      <c r="BS443" s="121"/>
      <c r="BT443" s="121"/>
      <c r="BU443" s="121"/>
      <c r="BV443" s="121"/>
      <c r="BW443" s="121"/>
      <c r="BX443" s="121"/>
      <c r="BY443" s="121"/>
      <c r="BZ443" s="121"/>
      <c r="DI443" s="13"/>
      <c r="DJ443" s="13"/>
      <c r="DK443" s="13"/>
      <c r="DL443" s="13"/>
      <c r="DM443" s="13"/>
      <c r="DN443" s="13"/>
      <c r="DO443" s="13"/>
      <c r="DP443" s="13"/>
      <c r="DQ443" s="13"/>
      <c r="DR443" s="13"/>
      <c r="DS443" s="13"/>
      <c r="DT443" s="13"/>
      <c r="DU443" s="13"/>
      <c r="DV443" s="13"/>
      <c r="DW443" s="13"/>
      <c r="DX443" s="13"/>
      <c r="DY443" s="13"/>
      <c r="DZ443" s="13"/>
    </row>
    <row r="444" spans="35:130"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H444" s="29"/>
      <c r="BI444" s="29"/>
      <c r="BJ444" s="29"/>
      <c r="BK444" s="29"/>
      <c r="BL444" s="29"/>
      <c r="BM444" s="121"/>
      <c r="BN444" s="121"/>
      <c r="BO444" s="121"/>
      <c r="BP444" s="121"/>
      <c r="BQ444" s="121"/>
      <c r="BR444" s="121"/>
      <c r="BS444" s="121"/>
      <c r="BT444" s="121"/>
      <c r="BU444" s="121"/>
      <c r="BV444" s="121"/>
      <c r="BW444" s="121"/>
      <c r="BX444" s="121"/>
      <c r="BY444" s="121"/>
      <c r="BZ444" s="121"/>
      <c r="DI444" s="13"/>
      <c r="DJ444" s="13"/>
      <c r="DK444" s="13"/>
      <c r="DL444" s="13"/>
      <c r="DM444" s="13"/>
      <c r="DN444" s="13"/>
      <c r="DO444" s="13"/>
      <c r="DP444" s="13"/>
      <c r="DQ444" s="13"/>
      <c r="DR444" s="13"/>
      <c r="DS444" s="13"/>
      <c r="DT444" s="13"/>
      <c r="DU444" s="13"/>
      <c r="DV444" s="13"/>
      <c r="DW444" s="13"/>
      <c r="DX444" s="13"/>
      <c r="DY444" s="13"/>
      <c r="DZ444" s="13"/>
    </row>
    <row r="445" spans="35:130"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H445" s="29"/>
      <c r="BI445" s="29"/>
      <c r="BJ445" s="29"/>
      <c r="BK445" s="29"/>
      <c r="BL445" s="29"/>
      <c r="BM445" s="121"/>
      <c r="BN445" s="121"/>
      <c r="BO445" s="121"/>
      <c r="BP445" s="121"/>
      <c r="BQ445" s="121"/>
      <c r="BR445" s="121"/>
      <c r="BS445" s="121"/>
      <c r="BT445" s="121"/>
      <c r="BU445" s="121"/>
      <c r="BV445" s="121"/>
      <c r="BW445" s="121"/>
      <c r="BX445" s="121"/>
      <c r="BY445" s="121"/>
      <c r="BZ445" s="121"/>
      <c r="DI445" s="13"/>
      <c r="DJ445" s="13"/>
      <c r="DK445" s="13"/>
      <c r="DL445" s="13"/>
      <c r="DM445" s="13"/>
      <c r="DN445" s="13"/>
      <c r="DO445" s="13"/>
      <c r="DP445" s="13"/>
      <c r="DQ445" s="13"/>
      <c r="DR445" s="13"/>
      <c r="DS445" s="13"/>
      <c r="DT445" s="13"/>
      <c r="DU445" s="13"/>
      <c r="DV445" s="13"/>
      <c r="DW445" s="13"/>
      <c r="DX445" s="13"/>
      <c r="DY445" s="13"/>
      <c r="DZ445" s="13"/>
    </row>
    <row r="446" spans="35:130"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H446" s="29"/>
      <c r="BI446" s="29"/>
      <c r="BJ446" s="29"/>
      <c r="BK446" s="29"/>
      <c r="BL446" s="29"/>
      <c r="BM446" s="121"/>
      <c r="BN446" s="121"/>
      <c r="BO446" s="121"/>
      <c r="BP446" s="121"/>
      <c r="BQ446" s="121"/>
      <c r="BR446" s="121"/>
      <c r="BS446" s="121"/>
      <c r="BT446" s="121"/>
      <c r="BU446" s="121"/>
      <c r="BV446" s="121"/>
      <c r="BW446" s="121"/>
      <c r="BX446" s="121"/>
      <c r="BY446" s="121"/>
      <c r="BZ446" s="121"/>
      <c r="DI446" s="13"/>
      <c r="DJ446" s="13"/>
      <c r="DK446" s="13"/>
      <c r="DL446" s="13"/>
      <c r="DM446" s="13"/>
      <c r="DN446" s="13"/>
      <c r="DO446" s="13"/>
      <c r="DP446" s="13"/>
      <c r="DQ446" s="13"/>
      <c r="DR446" s="13"/>
      <c r="DS446" s="13"/>
      <c r="DT446" s="13"/>
      <c r="DU446" s="13"/>
      <c r="DV446" s="13"/>
      <c r="DW446" s="13"/>
      <c r="DX446" s="13"/>
      <c r="DY446" s="13"/>
      <c r="DZ446" s="13"/>
    </row>
    <row r="447" spans="35:130"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H447" s="29"/>
      <c r="BI447" s="29"/>
      <c r="BJ447" s="29"/>
      <c r="BK447" s="29"/>
      <c r="BL447" s="29"/>
      <c r="BM447" s="121"/>
      <c r="BN447" s="121"/>
      <c r="BO447" s="121"/>
      <c r="BP447" s="121"/>
      <c r="BQ447" s="121"/>
      <c r="BR447" s="121"/>
      <c r="BS447" s="121"/>
      <c r="BT447" s="121"/>
      <c r="BU447" s="121"/>
      <c r="BV447" s="121"/>
      <c r="BW447" s="121"/>
      <c r="BX447" s="121"/>
      <c r="BY447" s="121"/>
      <c r="BZ447" s="121"/>
      <c r="DI447" s="13"/>
      <c r="DJ447" s="13"/>
      <c r="DK447" s="13"/>
      <c r="DL447" s="13"/>
      <c r="DM447" s="13"/>
      <c r="DN447" s="13"/>
      <c r="DO447" s="13"/>
      <c r="DP447" s="13"/>
      <c r="DQ447" s="13"/>
      <c r="DR447" s="13"/>
      <c r="DS447" s="13"/>
      <c r="DT447" s="13"/>
      <c r="DU447" s="13"/>
      <c r="DV447" s="13"/>
      <c r="DW447" s="13"/>
      <c r="DX447" s="13"/>
      <c r="DY447" s="13"/>
      <c r="DZ447" s="13"/>
    </row>
    <row r="448" spans="35:130"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H448" s="29"/>
      <c r="BI448" s="29"/>
      <c r="BJ448" s="29"/>
      <c r="BK448" s="29"/>
      <c r="BL448" s="29"/>
      <c r="BM448" s="121"/>
      <c r="BN448" s="121"/>
      <c r="BO448" s="121"/>
      <c r="BP448" s="121"/>
      <c r="BQ448" s="121"/>
      <c r="BR448" s="121"/>
      <c r="BS448" s="121"/>
      <c r="BT448" s="121"/>
      <c r="BU448" s="121"/>
      <c r="BV448" s="121"/>
      <c r="BW448" s="121"/>
      <c r="BX448" s="121"/>
      <c r="BY448" s="121"/>
      <c r="BZ448" s="121"/>
      <c r="DI448" s="13"/>
      <c r="DJ448" s="13"/>
      <c r="DK448" s="13"/>
      <c r="DL448" s="13"/>
      <c r="DM448" s="13"/>
      <c r="DN448" s="13"/>
      <c r="DO448" s="13"/>
      <c r="DP448" s="13"/>
      <c r="DQ448" s="13"/>
      <c r="DR448" s="13"/>
      <c r="DS448" s="13"/>
      <c r="DT448" s="13"/>
      <c r="DU448" s="13"/>
      <c r="DV448" s="13"/>
      <c r="DW448" s="13"/>
      <c r="DX448" s="13"/>
      <c r="DY448" s="13"/>
      <c r="DZ448" s="13"/>
    </row>
    <row r="449" spans="35:130"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H449" s="29"/>
      <c r="BI449" s="29"/>
      <c r="BJ449" s="29"/>
      <c r="BK449" s="29"/>
      <c r="BL449" s="29"/>
      <c r="BM449" s="121"/>
      <c r="BN449" s="121"/>
      <c r="BO449" s="121"/>
      <c r="BP449" s="121"/>
      <c r="BQ449" s="121"/>
      <c r="BR449" s="121"/>
      <c r="BS449" s="121"/>
      <c r="BT449" s="121"/>
      <c r="BU449" s="121"/>
      <c r="BV449" s="121"/>
      <c r="BW449" s="121"/>
      <c r="BX449" s="121"/>
      <c r="BY449" s="121"/>
      <c r="BZ449" s="121"/>
      <c r="DI449" s="13"/>
      <c r="DJ449" s="13"/>
      <c r="DK449" s="13"/>
      <c r="DL449" s="13"/>
      <c r="DM449" s="13"/>
      <c r="DN449" s="13"/>
      <c r="DO449" s="13"/>
      <c r="DP449" s="13"/>
      <c r="DQ449" s="13"/>
      <c r="DR449" s="13"/>
      <c r="DS449" s="13"/>
      <c r="DT449" s="13"/>
      <c r="DU449" s="13"/>
      <c r="DV449" s="13"/>
      <c r="DW449" s="13"/>
      <c r="DX449" s="13"/>
      <c r="DY449" s="13"/>
      <c r="DZ449" s="13"/>
    </row>
    <row r="450" spans="35:130"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H450" s="29"/>
      <c r="BI450" s="29"/>
      <c r="BJ450" s="29"/>
      <c r="BK450" s="29"/>
      <c r="BL450" s="29"/>
      <c r="BM450" s="121"/>
      <c r="BN450" s="121"/>
      <c r="BO450" s="121"/>
      <c r="BP450" s="121"/>
      <c r="BQ450" s="121"/>
      <c r="BR450" s="121"/>
      <c r="BS450" s="121"/>
      <c r="BT450" s="121"/>
      <c r="BU450" s="121"/>
      <c r="BV450" s="121"/>
      <c r="BW450" s="121"/>
      <c r="BX450" s="121"/>
      <c r="BY450" s="121"/>
      <c r="BZ450" s="121"/>
      <c r="DI450" s="13"/>
      <c r="DJ450" s="13"/>
      <c r="DK450" s="13"/>
      <c r="DL450" s="13"/>
      <c r="DM450" s="13"/>
      <c r="DN450" s="13"/>
      <c r="DO450" s="13"/>
      <c r="DP450" s="13"/>
      <c r="DQ450" s="13"/>
      <c r="DR450" s="13"/>
      <c r="DS450" s="13"/>
      <c r="DT450" s="13"/>
      <c r="DU450" s="13"/>
      <c r="DV450" s="13"/>
      <c r="DW450" s="13"/>
      <c r="DX450" s="13"/>
      <c r="DY450" s="13"/>
      <c r="DZ450" s="13"/>
    </row>
    <row r="451" spans="35:130"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H451" s="29"/>
      <c r="BI451" s="29"/>
      <c r="BJ451" s="29"/>
      <c r="BK451" s="29"/>
      <c r="BL451" s="29"/>
      <c r="BM451" s="121"/>
      <c r="BN451" s="121"/>
      <c r="BO451" s="121"/>
      <c r="BP451" s="121"/>
      <c r="BQ451" s="121"/>
      <c r="BR451" s="121"/>
      <c r="BS451" s="121"/>
      <c r="BT451" s="121"/>
      <c r="BU451" s="121"/>
      <c r="BV451" s="121"/>
      <c r="BW451" s="121"/>
      <c r="BX451" s="121"/>
      <c r="BY451" s="121"/>
      <c r="BZ451" s="121"/>
      <c r="DI451" s="13"/>
      <c r="DJ451" s="13"/>
      <c r="DK451" s="13"/>
      <c r="DL451" s="13"/>
      <c r="DM451" s="13"/>
      <c r="DN451" s="13"/>
      <c r="DO451" s="13"/>
      <c r="DP451" s="13"/>
      <c r="DQ451" s="13"/>
      <c r="DR451" s="13"/>
      <c r="DS451" s="13"/>
      <c r="DT451" s="13"/>
      <c r="DU451" s="13"/>
      <c r="DV451" s="13"/>
      <c r="DW451" s="13"/>
      <c r="DX451" s="13"/>
      <c r="DY451" s="13"/>
      <c r="DZ451" s="13"/>
    </row>
    <row r="452" spans="35:130"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H452" s="29"/>
      <c r="BI452" s="29"/>
      <c r="BJ452" s="29"/>
      <c r="BK452" s="29"/>
      <c r="BL452" s="29"/>
      <c r="BM452" s="121"/>
      <c r="BN452" s="121"/>
      <c r="BO452" s="121"/>
      <c r="BP452" s="121"/>
      <c r="BQ452" s="121"/>
      <c r="BR452" s="121"/>
      <c r="BS452" s="121"/>
      <c r="BT452" s="121"/>
      <c r="BU452" s="121"/>
      <c r="BV452" s="121"/>
      <c r="BW452" s="121"/>
      <c r="BX452" s="121"/>
      <c r="BY452" s="121"/>
      <c r="BZ452" s="121"/>
      <c r="DI452" s="13"/>
      <c r="DJ452" s="13"/>
      <c r="DK452" s="13"/>
      <c r="DL452" s="13"/>
      <c r="DM452" s="13"/>
      <c r="DN452" s="13"/>
      <c r="DO452" s="13"/>
      <c r="DP452" s="13"/>
      <c r="DQ452" s="13"/>
      <c r="DR452" s="13"/>
      <c r="DS452" s="13"/>
      <c r="DT452" s="13"/>
      <c r="DU452" s="13"/>
      <c r="DV452" s="13"/>
      <c r="DW452" s="13"/>
      <c r="DX452" s="13"/>
      <c r="DY452" s="13"/>
      <c r="DZ452" s="13"/>
    </row>
    <row r="453" spans="35:130"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H453" s="29"/>
      <c r="BI453" s="29"/>
      <c r="BJ453" s="29"/>
      <c r="BK453" s="29"/>
      <c r="BL453" s="29"/>
      <c r="BM453" s="121"/>
      <c r="BN453" s="121"/>
      <c r="BO453" s="121"/>
      <c r="BP453" s="121"/>
      <c r="BQ453" s="121"/>
      <c r="BR453" s="121"/>
      <c r="BS453" s="121"/>
      <c r="BT453" s="121"/>
      <c r="BU453" s="121"/>
      <c r="BV453" s="121"/>
      <c r="BW453" s="121"/>
      <c r="BX453" s="121"/>
      <c r="BY453" s="121"/>
      <c r="BZ453" s="121"/>
      <c r="DI453" s="13"/>
      <c r="DJ453" s="13"/>
      <c r="DK453" s="13"/>
      <c r="DL453" s="13"/>
      <c r="DM453" s="13"/>
      <c r="DN453" s="13"/>
      <c r="DO453" s="13"/>
      <c r="DP453" s="13"/>
      <c r="DQ453" s="13"/>
      <c r="DR453" s="13"/>
      <c r="DS453" s="13"/>
      <c r="DT453" s="13"/>
      <c r="DU453" s="13"/>
      <c r="DV453" s="13"/>
      <c r="DW453" s="13"/>
      <c r="DX453" s="13"/>
      <c r="DY453" s="13"/>
      <c r="DZ453" s="13"/>
    </row>
    <row r="454" spans="35:130"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H454" s="29"/>
      <c r="BI454" s="29"/>
      <c r="BJ454" s="29"/>
      <c r="BK454" s="29"/>
      <c r="BL454" s="29"/>
      <c r="BM454" s="121"/>
      <c r="BN454" s="121"/>
      <c r="BO454" s="121"/>
      <c r="BP454" s="121"/>
      <c r="BQ454" s="121"/>
      <c r="BR454" s="121"/>
      <c r="BS454" s="121"/>
      <c r="BT454" s="121"/>
      <c r="BU454" s="121"/>
      <c r="BV454" s="121"/>
      <c r="BW454" s="121"/>
      <c r="BX454" s="121"/>
      <c r="BY454" s="121"/>
      <c r="BZ454" s="121"/>
      <c r="DI454" s="13"/>
      <c r="DJ454" s="13"/>
      <c r="DK454" s="13"/>
      <c r="DL454" s="13"/>
      <c r="DM454" s="13"/>
      <c r="DN454" s="13"/>
      <c r="DO454" s="13"/>
      <c r="DP454" s="13"/>
      <c r="DQ454" s="13"/>
      <c r="DR454" s="13"/>
      <c r="DS454" s="13"/>
      <c r="DT454" s="13"/>
      <c r="DU454" s="13"/>
      <c r="DV454" s="13"/>
      <c r="DW454" s="13"/>
      <c r="DX454" s="13"/>
      <c r="DY454" s="13"/>
      <c r="DZ454" s="13"/>
    </row>
    <row r="455" spans="35:130"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H455" s="29"/>
      <c r="BI455" s="29"/>
      <c r="BJ455" s="29"/>
      <c r="BK455" s="29"/>
      <c r="BL455" s="29"/>
      <c r="BM455" s="121"/>
      <c r="BN455" s="121"/>
      <c r="BO455" s="121"/>
      <c r="BP455" s="121"/>
      <c r="BQ455" s="121"/>
      <c r="BR455" s="121"/>
      <c r="BS455" s="121"/>
      <c r="BT455" s="121"/>
      <c r="BU455" s="121"/>
      <c r="BV455" s="121"/>
      <c r="BW455" s="121"/>
      <c r="BX455" s="121"/>
      <c r="BY455" s="121"/>
      <c r="BZ455" s="121"/>
      <c r="DI455" s="13"/>
      <c r="DJ455" s="13"/>
      <c r="DK455" s="13"/>
      <c r="DL455" s="13"/>
      <c r="DM455" s="13"/>
      <c r="DN455" s="13"/>
      <c r="DO455" s="13"/>
      <c r="DP455" s="13"/>
      <c r="DQ455" s="13"/>
      <c r="DR455" s="13"/>
      <c r="DS455" s="13"/>
      <c r="DT455" s="13"/>
      <c r="DU455" s="13"/>
      <c r="DV455" s="13"/>
      <c r="DW455" s="13"/>
      <c r="DX455" s="13"/>
      <c r="DY455" s="13"/>
      <c r="DZ455" s="13"/>
    </row>
    <row r="456" spans="35:130"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H456" s="29"/>
      <c r="BI456" s="29"/>
      <c r="BJ456" s="29"/>
      <c r="BK456" s="29"/>
      <c r="BL456" s="29"/>
      <c r="BM456" s="121"/>
      <c r="BN456" s="121"/>
      <c r="BO456" s="121"/>
      <c r="BP456" s="121"/>
      <c r="BQ456" s="121"/>
      <c r="BR456" s="121"/>
      <c r="BS456" s="121"/>
      <c r="BT456" s="121"/>
      <c r="BU456" s="121"/>
      <c r="BV456" s="121"/>
      <c r="BW456" s="121"/>
      <c r="BX456" s="121"/>
      <c r="BY456" s="121"/>
      <c r="BZ456" s="121"/>
      <c r="DI456" s="13"/>
      <c r="DJ456" s="13"/>
      <c r="DK456" s="13"/>
      <c r="DL456" s="13"/>
      <c r="DM456" s="13"/>
      <c r="DN456" s="13"/>
      <c r="DO456" s="13"/>
      <c r="DP456" s="13"/>
      <c r="DQ456" s="13"/>
      <c r="DR456" s="13"/>
      <c r="DS456" s="13"/>
      <c r="DT456" s="13"/>
      <c r="DU456" s="13"/>
      <c r="DV456" s="13"/>
      <c r="DW456" s="13"/>
      <c r="DX456" s="13"/>
      <c r="DY456" s="13"/>
      <c r="DZ456" s="13"/>
    </row>
    <row r="457" spans="35:130"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H457" s="29"/>
      <c r="BI457" s="29"/>
      <c r="BJ457" s="29"/>
      <c r="BK457" s="29"/>
      <c r="BL457" s="29"/>
      <c r="BM457" s="121"/>
      <c r="BN457" s="121"/>
      <c r="BO457" s="121"/>
      <c r="BP457" s="121"/>
      <c r="BQ457" s="121"/>
      <c r="BR457" s="121"/>
      <c r="BS457" s="121"/>
      <c r="BT457" s="121"/>
      <c r="BU457" s="121"/>
      <c r="BV457" s="121"/>
      <c r="BW457" s="121"/>
      <c r="BX457" s="121"/>
      <c r="BY457" s="121"/>
      <c r="BZ457" s="121"/>
      <c r="DI457" s="13"/>
      <c r="DJ457" s="13"/>
      <c r="DK457" s="13"/>
      <c r="DL457" s="13"/>
      <c r="DM457" s="13"/>
      <c r="DN457" s="13"/>
      <c r="DO457" s="13"/>
      <c r="DP457" s="13"/>
      <c r="DQ457" s="13"/>
      <c r="DR457" s="13"/>
      <c r="DS457" s="13"/>
      <c r="DT457" s="13"/>
      <c r="DU457" s="13"/>
      <c r="DV457" s="13"/>
      <c r="DW457" s="13"/>
      <c r="DX457" s="13"/>
      <c r="DY457" s="13"/>
      <c r="DZ457" s="13"/>
    </row>
    <row r="458" spans="35:130"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H458" s="29"/>
      <c r="BI458" s="29"/>
      <c r="BJ458" s="29"/>
      <c r="BK458" s="29"/>
      <c r="BL458" s="29"/>
      <c r="BM458" s="121"/>
      <c r="BN458" s="121"/>
      <c r="BO458" s="121"/>
      <c r="BP458" s="121"/>
      <c r="BQ458" s="121"/>
      <c r="BR458" s="121"/>
      <c r="BS458" s="121"/>
      <c r="BT458" s="121"/>
      <c r="BU458" s="121"/>
      <c r="BV458" s="121"/>
      <c r="BW458" s="121"/>
      <c r="BX458" s="121"/>
      <c r="BY458" s="121"/>
      <c r="BZ458" s="121"/>
      <c r="DI458" s="13"/>
      <c r="DJ458" s="13"/>
      <c r="DK458" s="13"/>
      <c r="DL458" s="13"/>
      <c r="DM458" s="13"/>
      <c r="DN458" s="13"/>
      <c r="DO458" s="13"/>
      <c r="DP458" s="13"/>
      <c r="DQ458" s="13"/>
      <c r="DR458" s="13"/>
      <c r="DS458" s="13"/>
      <c r="DT458" s="13"/>
      <c r="DU458" s="13"/>
      <c r="DV458" s="13"/>
      <c r="DW458" s="13"/>
      <c r="DX458" s="13"/>
      <c r="DY458" s="13"/>
      <c r="DZ458" s="13"/>
    </row>
    <row r="459" spans="35:130"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H459" s="29"/>
      <c r="BI459" s="29"/>
      <c r="BJ459" s="29"/>
      <c r="BK459" s="29"/>
      <c r="BL459" s="29"/>
      <c r="BM459" s="121"/>
      <c r="BN459" s="121"/>
      <c r="BO459" s="121"/>
      <c r="BP459" s="121"/>
      <c r="BQ459" s="121"/>
      <c r="BR459" s="121"/>
      <c r="BS459" s="121"/>
      <c r="BT459" s="121"/>
      <c r="BU459" s="121"/>
      <c r="BV459" s="121"/>
      <c r="BW459" s="121"/>
      <c r="BX459" s="121"/>
      <c r="BY459" s="121"/>
      <c r="BZ459" s="121"/>
      <c r="DI459" s="13"/>
      <c r="DJ459" s="13"/>
      <c r="DK459" s="13"/>
      <c r="DL459" s="13"/>
      <c r="DM459" s="13"/>
      <c r="DN459" s="13"/>
      <c r="DO459" s="13"/>
      <c r="DP459" s="13"/>
      <c r="DQ459" s="13"/>
      <c r="DR459" s="13"/>
      <c r="DS459" s="13"/>
      <c r="DT459" s="13"/>
      <c r="DU459" s="13"/>
      <c r="DV459" s="13"/>
      <c r="DW459" s="13"/>
      <c r="DX459" s="13"/>
      <c r="DY459" s="13"/>
      <c r="DZ459" s="13"/>
    </row>
    <row r="460" spans="35:130"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H460" s="29"/>
      <c r="BI460" s="29"/>
      <c r="BJ460" s="29"/>
      <c r="BK460" s="29"/>
      <c r="BL460" s="29"/>
      <c r="BM460" s="121"/>
      <c r="BN460" s="121"/>
      <c r="BO460" s="121"/>
      <c r="BP460" s="121"/>
      <c r="BQ460" s="121"/>
      <c r="BR460" s="121"/>
      <c r="BS460" s="121"/>
      <c r="BT460" s="121"/>
      <c r="BU460" s="121"/>
      <c r="BV460" s="121"/>
      <c r="BW460" s="121"/>
      <c r="BX460" s="121"/>
      <c r="BY460" s="121"/>
      <c r="BZ460" s="121"/>
      <c r="DI460" s="13"/>
      <c r="DJ460" s="13"/>
      <c r="DK460" s="13"/>
      <c r="DL460" s="13"/>
      <c r="DM460" s="13"/>
      <c r="DN460" s="13"/>
      <c r="DO460" s="13"/>
      <c r="DP460" s="13"/>
      <c r="DQ460" s="13"/>
      <c r="DR460" s="13"/>
      <c r="DS460" s="13"/>
      <c r="DT460" s="13"/>
      <c r="DU460" s="13"/>
      <c r="DV460" s="13"/>
      <c r="DW460" s="13"/>
      <c r="DX460" s="13"/>
      <c r="DY460" s="13"/>
      <c r="DZ460" s="13"/>
    </row>
    <row r="461" spans="35:130"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H461" s="29"/>
      <c r="BI461" s="29"/>
      <c r="BJ461" s="29"/>
      <c r="BK461" s="29"/>
      <c r="BL461" s="29"/>
      <c r="BM461" s="121"/>
      <c r="BN461" s="121"/>
      <c r="BO461" s="121"/>
      <c r="BP461" s="121"/>
      <c r="BQ461" s="121"/>
      <c r="BR461" s="121"/>
      <c r="BS461" s="121"/>
      <c r="BT461" s="121"/>
      <c r="BU461" s="121"/>
      <c r="BV461" s="121"/>
      <c r="BW461" s="121"/>
      <c r="BX461" s="121"/>
      <c r="BY461" s="121"/>
      <c r="BZ461" s="121"/>
      <c r="DI461" s="13"/>
      <c r="DJ461" s="13"/>
      <c r="DK461" s="13"/>
      <c r="DL461" s="13"/>
      <c r="DM461" s="13"/>
      <c r="DN461" s="13"/>
      <c r="DO461" s="13"/>
      <c r="DP461" s="13"/>
      <c r="DQ461" s="13"/>
      <c r="DR461" s="13"/>
      <c r="DS461" s="13"/>
      <c r="DT461" s="13"/>
      <c r="DU461" s="13"/>
      <c r="DV461" s="13"/>
      <c r="DW461" s="13"/>
      <c r="DX461" s="13"/>
      <c r="DY461" s="13"/>
      <c r="DZ461" s="13"/>
    </row>
    <row r="462" spans="35:130"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H462" s="29"/>
      <c r="BI462" s="29"/>
      <c r="BJ462" s="29"/>
      <c r="BK462" s="29"/>
      <c r="BL462" s="29"/>
      <c r="BM462" s="121"/>
      <c r="BN462" s="121"/>
      <c r="BO462" s="121"/>
      <c r="BP462" s="121"/>
      <c r="BQ462" s="121"/>
      <c r="BR462" s="121"/>
      <c r="BS462" s="121"/>
      <c r="BT462" s="121"/>
      <c r="BU462" s="121"/>
      <c r="BV462" s="121"/>
      <c r="BW462" s="121"/>
      <c r="BX462" s="121"/>
      <c r="BY462" s="121"/>
      <c r="BZ462" s="121"/>
      <c r="DI462" s="13"/>
      <c r="DJ462" s="13"/>
      <c r="DK462" s="13"/>
      <c r="DL462" s="13"/>
      <c r="DM462" s="13"/>
      <c r="DN462" s="13"/>
      <c r="DO462" s="13"/>
      <c r="DP462" s="13"/>
      <c r="DQ462" s="13"/>
      <c r="DR462" s="13"/>
      <c r="DS462" s="13"/>
      <c r="DT462" s="13"/>
      <c r="DU462" s="13"/>
      <c r="DV462" s="13"/>
      <c r="DW462" s="13"/>
      <c r="DX462" s="13"/>
      <c r="DY462" s="13"/>
      <c r="DZ462" s="13"/>
    </row>
    <row r="463" spans="35:130"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H463" s="29"/>
      <c r="BI463" s="29"/>
      <c r="BJ463" s="29"/>
      <c r="BK463" s="29"/>
      <c r="BL463" s="29"/>
      <c r="BM463" s="121"/>
      <c r="BN463" s="121"/>
      <c r="BO463" s="121"/>
      <c r="BP463" s="121"/>
      <c r="BQ463" s="121"/>
      <c r="BR463" s="121"/>
      <c r="BS463" s="121"/>
      <c r="BT463" s="121"/>
      <c r="BU463" s="121"/>
      <c r="BV463" s="121"/>
      <c r="BW463" s="121"/>
      <c r="BX463" s="121"/>
      <c r="BY463" s="121"/>
      <c r="BZ463" s="121"/>
      <c r="DI463" s="13"/>
      <c r="DJ463" s="13"/>
      <c r="DK463" s="13"/>
      <c r="DL463" s="13"/>
      <c r="DM463" s="13"/>
      <c r="DN463" s="13"/>
      <c r="DO463" s="13"/>
      <c r="DP463" s="13"/>
      <c r="DQ463" s="13"/>
      <c r="DR463" s="13"/>
      <c r="DS463" s="13"/>
      <c r="DT463" s="13"/>
      <c r="DU463" s="13"/>
      <c r="DV463" s="13"/>
      <c r="DW463" s="13"/>
      <c r="DX463" s="13"/>
      <c r="DY463" s="13"/>
      <c r="DZ463" s="13"/>
    </row>
    <row r="464" spans="35:130"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H464" s="29"/>
      <c r="BI464" s="29"/>
      <c r="BJ464" s="29"/>
      <c r="BK464" s="29"/>
      <c r="BL464" s="29"/>
      <c r="BM464" s="121"/>
      <c r="BN464" s="121"/>
      <c r="BO464" s="121"/>
      <c r="BP464" s="121"/>
      <c r="BQ464" s="121"/>
      <c r="BR464" s="121"/>
      <c r="BS464" s="121"/>
      <c r="BT464" s="121"/>
      <c r="BU464" s="121"/>
      <c r="BV464" s="121"/>
      <c r="BW464" s="121"/>
      <c r="BX464" s="121"/>
      <c r="BY464" s="121"/>
      <c r="BZ464" s="121"/>
      <c r="DI464" s="13"/>
      <c r="DJ464" s="13"/>
      <c r="DK464" s="13"/>
      <c r="DL464" s="13"/>
      <c r="DM464" s="13"/>
      <c r="DN464" s="13"/>
      <c r="DO464" s="13"/>
      <c r="DP464" s="13"/>
      <c r="DQ464" s="13"/>
      <c r="DR464" s="13"/>
      <c r="DS464" s="13"/>
      <c r="DT464" s="13"/>
      <c r="DU464" s="13"/>
      <c r="DV464" s="13"/>
      <c r="DW464" s="13"/>
      <c r="DX464" s="13"/>
      <c r="DY464" s="13"/>
      <c r="DZ464" s="13"/>
    </row>
    <row r="465" spans="35:130"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H465" s="29"/>
      <c r="BI465" s="29"/>
      <c r="BJ465" s="29"/>
      <c r="BK465" s="29"/>
      <c r="BL465" s="29"/>
      <c r="BM465" s="121"/>
      <c r="BN465" s="121"/>
      <c r="BO465" s="121"/>
      <c r="BP465" s="121"/>
      <c r="BQ465" s="121"/>
      <c r="BR465" s="121"/>
      <c r="BS465" s="121"/>
      <c r="BT465" s="121"/>
      <c r="BU465" s="121"/>
      <c r="BV465" s="121"/>
      <c r="BW465" s="121"/>
      <c r="BX465" s="121"/>
      <c r="BY465" s="121"/>
      <c r="BZ465" s="121"/>
      <c r="DI465" s="13"/>
      <c r="DJ465" s="13"/>
      <c r="DK465" s="13"/>
      <c r="DL465" s="13"/>
      <c r="DM465" s="13"/>
      <c r="DN465" s="13"/>
      <c r="DO465" s="13"/>
      <c r="DP465" s="13"/>
      <c r="DQ465" s="13"/>
      <c r="DR465" s="13"/>
      <c r="DS465" s="13"/>
      <c r="DT465" s="13"/>
      <c r="DU465" s="13"/>
      <c r="DV465" s="13"/>
      <c r="DW465" s="13"/>
      <c r="DX465" s="13"/>
      <c r="DY465" s="13"/>
      <c r="DZ465" s="13"/>
    </row>
    <row r="466" spans="35:130"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H466" s="29"/>
      <c r="BI466" s="29"/>
      <c r="BJ466" s="29"/>
      <c r="BK466" s="29"/>
      <c r="BL466" s="29"/>
      <c r="BM466" s="121"/>
      <c r="BN466" s="121"/>
      <c r="BO466" s="121"/>
      <c r="BP466" s="121"/>
      <c r="BQ466" s="121"/>
      <c r="BR466" s="121"/>
      <c r="BS466" s="121"/>
      <c r="BT466" s="121"/>
      <c r="BU466" s="121"/>
      <c r="BV466" s="121"/>
      <c r="BW466" s="121"/>
      <c r="BX466" s="121"/>
      <c r="BY466" s="121"/>
      <c r="BZ466" s="121"/>
      <c r="DI466" s="13"/>
      <c r="DJ466" s="13"/>
      <c r="DK466" s="13"/>
      <c r="DL466" s="13"/>
      <c r="DM466" s="13"/>
      <c r="DN466" s="13"/>
      <c r="DO466" s="13"/>
      <c r="DP466" s="13"/>
      <c r="DQ466" s="13"/>
      <c r="DR466" s="13"/>
      <c r="DS466" s="13"/>
      <c r="DT466" s="13"/>
      <c r="DU466" s="13"/>
      <c r="DV466" s="13"/>
      <c r="DW466" s="13"/>
      <c r="DX466" s="13"/>
      <c r="DY466" s="13"/>
      <c r="DZ466" s="13"/>
    </row>
    <row r="467" spans="35:130"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H467" s="29"/>
      <c r="BI467" s="29"/>
      <c r="BJ467" s="29"/>
      <c r="BK467" s="29"/>
      <c r="BL467" s="29"/>
      <c r="BM467" s="121"/>
      <c r="BN467" s="121"/>
      <c r="BO467" s="121"/>
      <c r="BP467" s="121"/>
      <c r="BQ467" s="121"/>
      <c r="BR467" s="121"/>
      <c r="BS467" s="121"/>
      <c r="BT467" s="121"/>
      <c r="BU467" s="121"/>
      <c r="BV467" s="121"/>
      <c r="BW467" s="121"/>
      <c r="BX467" s="121"/>
      <c r="BY467" s="121"/>
      <c r="BZ467" s="121"/>
      <c r="DI467" s="13"/>
      <c r="DJ467" s="13"/>
      <c r="DK467" s="13"/>
      <c r="DL467" s="13"/>
      <c r="DM467" s="13"/>
      <c r="DN467" s="13"/>
      <c r="DO467" s="13"/>
      <c r="DP467" s="13"/>
      <c r="DQ467" s="13"/>
      <c r="DR467" s="13"/>
      <c r="DS467" s="13"/>
      <c r="DT467" s="13"/>
      <c r="DU467" s="13"/>
      <c r="DV467" s="13"/>
      <c r="DW467" s="13"/>
      <c r="DX467" s="13"/>
      <c r="DY467" s="13"/>
      <c r="DZ467" s="13"/>
    </row>
    <row r="468" spans="35:130"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H468" s="29"/>
      <c r="BI468" s="29"/>
      <c r="BJ468" s="29"/>
      <c r="BK468" s="29"/>
      <c r="BL468" s="29"/>
      <c r="BM468" s="121"/>
      <c r="BN468" s="121"/>
      <c r="BO468" s="121"/>
      <c r="BP468" s="121"/>
      <c r="BQ468" s="121"/>
      <c r="BR468" s="121"/>
      <c r="BS468" s="121"/>
      <c r="BT468" s="121"/>
      <c r="BU468" s="121"/>
      <c r="BV468" s="121"/>
      <c r="BW468" s="121"/>
      <c r="BX468" s="121"/>
      <c r="BY468" s="121"/>
      <c r="BZ468" s="121"/>
      <c r="DI468" s="13"/>
      <c r="DJ468" s="13"/>
      <c r="DK468" s="13"/>
      <c r="DL468" s="13"/>
      <c r="DM468" s="13"/>
      <c r="DN468" s="13"/>
      <c r="DO468" s="13"/>
      <c r="DP468" s="13"/>
      <c r="DQ468" s="13"/>
      <c r="DR468" s="13"/>
      <c r="DS468" s="13"/>
      <c r="DT468" s="13"/>
      <c r="DU468" s="13"/>
      <c r="DV468" s="13"/>
      <c r="DW468" s="13"/>
      <c r="DX468" s="13"/>
      <c r="DY468" s="13"/>
      <c r="DZ468" s="13"/>
    </row>
    <row r="469" spans="35:130"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H469" s="29"/>
      <c r="BI469" s="29"/>
      <c r="BJ469" s="29"/>
      <c r="BK469" s="29"/>
      <c r="BL469" s="29"/>
      <c r="BM469" s="121"/>
      <c r="BN469" s="121"/>
      <c r="BO469" s="121"/>
      <c r="BP469" s="121"/>
      <c r="BQ469" s="121"/>
      <c r="BR469" s="121"/>
      <c r="BS469" s="121"/>
      <c r="BT469" s="121"/>
      <c r="BU469" s="121"/>
      <c r="BV469" s="121"/>
      <c r="BW469" s="121"/>
      <c r="BX469" s="121"/>
      <c r="BY469" s="121"/>
      <c r="BZ469" s="121"/>
      <c r="DI469" s="13"/>
      <c r="DJ469" s="13"/>
      <c r="DK469" s="13"/>
      <c r="DL469" s="13"/>
      <c r="DM469" s="13"/>
      <c r="DN469" s="13"/>
      <c r="DO469" s="13"/>
      <c r="DP469" s="13"/>
      <c r="DQ469" s="13"/>
      <c r="DR469" s="13"/>
      <c r="DS469" s="13"/>
      <c r="DT469" s="13"/>
      <c r="DU469" s="13"/>
      <c r="DV469" s="13"/>
      <c r="DW469" s="13"/>
      <c r="DX469" s="13"/>
      <c r="DY469" s="13"/>
      <c r="DZ469" s="13"/>
    </row>
    <row r="470" spans="35:130"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H470" s="29"/>
      <c r="BI470" s="29"/>
      <c r="BJ470" s="29"/>
      <c r="BK470" s="29"/>
      <c r="BL470" s="29"/>
      <c r="BM470" s="121"/>
      <c r="BN470" s="121"/>
      <c r="BO470" s="121"/>
      <c r="BP470" s="121"/>
      <c r="BQ470" s="121"/>
      <c r="BR470" s="121"/>
      <c r="BS470" s="121"/>
      <c r="BT470" s="121"/>
      <c r="BU470" s="121"/>
      <c r="BV470" s="121"/>
      <c r="BW470" s="121"/>
      <c r="BX470" s="121"/>
      <c r="BY470" s="121"/>
      <c r="BZ470" s="121"/>
      <c r="DI470" s="13"/>
      <c r="DJ470" s="13"/>
      <c r="DK470" s="13"/>
      <c r="DL470" s="13"/>
      <c r="DM470" s="13"/>
      <c r="DN470" s="13"/>
      <c r="DO470" s="13"/>
      <c r="DP470" s="13"/>
      <c r="DQ470" s="13"/>
      <c r="DR470" s="13"/>
      <c r="DS470" s="13"/>
      <c r="DT470" s="13"/>
      <c r="DU470" s="13"/>
      <c r="DV470" s="13"/>
      <c r="DW470" s="13"/>
      <c r="DX470" s="13"/>
      <c r="DY470" s="13"/>
      <c r="DZ470" s="13"/>
    </row>
    <row r="471" spans="35:130"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H471" s="29"/>
      <c r="BI471" s="29"/>
      <c r="BJ471" s="29"/>
      <c r="BK471" s="29"/>
      <c r="BL471" s="29"/>
      <c r="BM471" s="121"/>
      <c r="BN471" s="121"/>
      <c r="BO471" s="121"/>
      <c r="BP471" s="121"/>
      <c r="BQ471" s="121"/>
      <c r="BR471" s="121"/>
      <c r="BS471" s="121"/>
      <c r="BT471" s="121"/>
      <c r="BU471" s="121"/>
      <c r="BV471" s="121"/>
      <c r="BW471" s="121"/>
      <c r="BX471" s="121"/>
      <c r="BY471" s="121"/>
      <c r="BZ471" s="121"/>
      <c r="DI471" s="13"/>
      <c r="DJ471" s="13"/>
      <c r="DK471" s="13"/>
      <c r="DL471" s="13"/>
      <c r="DM471" s="13"/>
      <c r="DN471" s="13"/>
      <c r="DO471" s="13"/>
      <c r="DP471" s="13"/>
      <c r="DQ471" s="13"/>
      <c r="DR471" s="13"/>
      <c r="DS471" s="13"/>
      <c r="DT471" s="13"/>
      <c r="DU471" s="13"/>
      <c r="DV471" s="13"/>
      <c r="DW471" s="13"/>
      <c r="DX471" s="13"/>
      <c r="DY471" s="13"/>
      <c r="DZ471" s="13"/>
    </row>
    <row r="472" spans="35:130"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H472" s="29"/>
      <c r="BI472" s="29"/>
      <c r="BJ472" s="29"/>
      <c r="BK472" s="29"/>
      <c r="BL472" s="29"/>
      <c r="BM472" s="121"/>
      <c r="BN472" s="121"/>
      <c r="BO472" s="121"/>
      <c r="BP472" s="121"/>
      <c r="BQ472" s="121"/>
      <c r="BR472" s="121"/>
      <c r="BS472" s="121"/>
      <c r="BT472" s="121"/>
      <c r="BU472" s="121"/>
      <c r="BV472" s="121"/>
      <c r="BW472" s="121"/>
      <c r="BX472" s="121"/>
      <c r="BY472" s="121"/>
      <c r="BZ472" s="121"/>
      <c r="DI472" s="13"/>
      <c r="DJ472" s="13"/>
      <c r="DK472" s="13"/>
      <c r="DL472" s="13"/>
      <c r="DM472" s="13"/>
      <c r="DN472" s="13"/>
      <c r="DO472" s="13"/>
      <c r="DP472" s="13"/>
      <c r="DQ472" s="13"/>
      <c r="DR472" s="13"/>
      <c r="DS472" s="13"/>
      <c r="DT472" s="13"/>
      <c r="DU472" s="13"/>
      <c r="DV472" s="13"/>
      <c r="DW472" s="13"/>
      <c r="DX472" s="13"/>
      <c r="DY472" s="13"/>
      <c r="DZ472" s="13"/>
    </row>
    <row r="473" spans="35:130"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H473" s="29"/>
      <c r="BI473" s="29"/>
      <c r="BJ473" s="29"/>
      <c r="BK473" s="29"/>
      <c r="BL473" s="29"/>
      <c r="BM473" s="121"/>
      <c r="BN473" s="121"/>
      <c r="BO473" s="121"/>
      <c r="BP473" s="121"/>
      <c r="BQ473" s="121"/>
      <c r="BR473" s="121"/>
      <c r="BS473" s="121"/>
      <c r="BT473" s="121"/>
      <c r="BU473" s="121"/>
      <c r="BV473" s="121"/>
      <c r="BW473" s="121"/>
      <c r="BX473" s="121"/>
      <c r="BY473" s="121"/>
      <c r="BZ473" s="121"/>
      <c r="DI473" s="13"/>
      <c r="DJ473" s="13"/>
      <c r="DK473" s="13"/>
      <c r="DL473" s="13"/>
      <c r="DM473" s="13"/>
      <c r="DN473" s="13"/>
      <c r="DO473" s="13"/>
      <c r="DP473" s="13"/>
      <c r="DQ473" s="13"/>
      <c r="DR473" s="13"/>
      <c r="DS473" s="13"/>
      <c r="DT473" s="13"/>
      <c r="DU473" s="13"/>
      <c r="DV473" s="13"/>
      <c r="DW473" s="13"/>
      <c r="DX473" s="13"/>
      <c r="DY473" s="13"/>
      <c r="DZ473" s="13"/>
    </row>
    <row r="474" spans="35:130"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H474" s="29"/>
      <c r="BI474" s="29"/>
      <c r="BJ474" s="29"/>
      <c r="BK474" s="29"/>
      <c r="BL474" s="29"/>
      <c r="BM474" s="121"/>
      <c r="BN474" s="121"/>
      <c r="BO474" s="121"/>
      <c r="BP474" s="121"/>
      <c r="BQ474" s="121"/>
      <c r="BR474" s="121"/>
      <c r="BS474" s="121"/>
      <c r="BT474" s="121"/>
      <c r="BU474" s="121"/>
      <c r="BV474" s="121"/>
      <c r="BW474" s="121"/>
      <c r="BX474" s="121"/>
      <c r="BY474" s="121"/>
      <c r="BZ474" s="121"/>
      <c r="DI474" s="13"/>
      <c r="DJ474" s="13"/>
      <c r="DK474" s="13"/>
      <c r="DL474" s="13"/>
      <c r="DM474" s="13"/>
      <c r="DN474" s="13"/>
      <c r="DO474" s="13"/>
      <c r="DP474" s="13"/>
      <c r="DQ474" s="13"/>
      <c r="DR474" s="13"/>
      <c r="DS474" s="13"/>
      <c r="DT474" s="13"/>
      <c r="DU474" s="13"/>
      <c r="DV474" s="13"/>
      <c r="DW474" s="13"/>
      <c r="DX474" s="13"/>
      <c r="DY474" s="13"/>
      <c r="DZ474" s="13"/>
    </row>
    <row r="475" spans="35:130"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H475" s="29"/>
      <c r="BI475" s="29"/>
      <c r="BJ475" s="29"/>
      <c r="BK475" s="29"/>
      <c r="BL475" s="29"/>
      <c r="BM475" s="121"/>
      <c r="BN475" s="121"/>
      <c r="BO475" s="121"/>
      <c r="BP475" s="121"/>
      <c r="BQ475" s="121"/>
      <c r="BR475" s="121"/>
      <c r="BS475" s="121"/>
      <c r="BT475" s="121"/>
      <c r="BU475" s="121"/>
      <c r="BV475" s="121"/>
      <c r="BW475" s="121"/>
      <c r="BX475" s="121"/>
      <c r="BY475" s="121"/>
      <c r="BZ475" s="121"/>
      <c r="DI475" s="13"/>
      <c r="DJ475" s="13"/>
      <c r="DK475" s="13"/>
      <c r="DL475" s="13"/>
      <c r="DM475" s="13"/>
      <c r="DN475" s="13"/>
      <c r="DO475" s="13"/>
      <c r="DP475" s="13"/>
      <c r="DQ475" s="13"/>
      <c r="DR475" s="13"/>
      <c r="DS475" s="13"/>
      <c r="DT475" s="13"/>
      <c r="DU475" s="13"/>
      <c r="DV475" s="13"/>
      <c r="DW475" s="13"/>
      <c r="DX475" s="13"/>
      <c r="DY475" s="13"/>
      <c r="DZ475" s="13"/>
    </row>
    <row r="476" spans="35:130"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H476" s="29"/>
      <c r="BI476" s="29"/>
      <c r="BJ476" s="29"/>
      <c r="BK476" s="29"/>
      <c r="BL476" s="29"/>
      <c r="BM476" s="121"/>
      <c r="BN476" s="121"/>
      <c r="BO476" s="121"/>
      <c r="BP476" s="121"/>
      <c r="BQ476" s="121"/>
      <c r="BR476" s="121"/>
      <c r="BS476" s="121"/>
      <c r="BT476" s="121"/>
      <c r="BU476" s="121"/>
      <c r="BV476" s="121"/>
      <c r="BW476" s="121"/>
      <c r="BX476" s="121"/>
      <c r="BY476" s="121"/>
      <c r="BZ476" s="121"/>
      <c r="DI476" s="13"/>
      <c r="DJ476" s="13"/>
      <c r="DK476" s="13"/>
      <c r="DL476" s="13"/>
      <c r="DM476" s="13"/>
      <c r="DN476" s="13"/>
      <c r="DO476" s="13"/>
      <c r="DP476" s="13"/>
      <c r="DQ476" s="13"/>
      <c r="DR476" s="13"/>
      <c r="DS476" s="13"/>
      <c r="DT476" s="13"/>
      <c r="DU476" s="13"/>
      <c r="DV476" s="13"/>
      <c r="DW476" s="13"/>
      <c r="DX476" s="13"/>
      <c r="DY476" s="13"/>
      <c r="DZ476" s="13"/>
    </row>
    <row r="477" spans="35:130"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H477" s="29"/>
      <c r="BI477" s="29"/>
      <c r="BJ477" s="29"/>
      <c r="BK477" s="29"/>
      <c r="BL477" s="29"/>
      <c r="BM477" s="121"/>
      <c r="BN477" s="121"/>
      <c r="BO477" s="121"/>
      <c r="BP477" s="121"/>
      <c r="BQ477" s="121"/>
      <c r="BR477" s="121"/>
      <c r="BS477" s="121"/>
      <c r="BT477" s="121"/>
      <c r="BU477" s="121"/>
      <c r="BV477" s="121"/>
      <c r="BW477" s="121"/>
      <c r="BX477" s="121"/>
      <c r="BY477" s="121"/>
      <c r="BZ477" s="121"/>
      <c r="DI477" s="13"/>
      <c r="DJ477" s="13"/>
      <c r="DK477" s="13"/>
      <c r="DL477" s="13"/>
      <c r="DM477" s="13"/>
      <c r="DN477" s="13"/>
      <c r="DO477" s="13"/>
      <c r="DP477" s="13"/>
      <c r="DQ477" s="13"/>
      <c r="DR477" s="13"/>
      <c r="DS477" s="13"/>
      <c r="DT477" s="13"/>
      <c r="DU477" s="13"/>
      <c r="DV477" s="13"/>
      <c r="DW477" s="13"/>
      <c r="DX477" s="13"/>
      <c r="DY477" s="13"/>
      <c r="DZ477" s="13"/>
    </row>
    <row r="478" spans="35:130"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H478" s="29"/>
      <c r="BI478" s="29"/>
      <c r="BJ478" s="29"/>
      <c r="BK478" s="29"/>
      <c r="BL478" s="29"/>
      <c r="BM478" s="121"/>
      <c r="BN478" s="121"/>
      <c r="BO478" s="121"/>
      <c r="BP478" s="121"/>
      <c r="BQ478" s="121"/>
      <c r="BR478" s="121"/>
      <c r="BS478" s="121"/>
      <c r="BT478" s="121"/>
      <c r="BU478" s="121"/>
      <c r="BV478" s="121"/>
      <c r="BW478" s="121"/>
      <c r="BX478" s="121"/>
      <c r="BY478" s="121"/>
      <c r="BZ478" s="121"/>
      <c r="DI478" s="13"/>
      <c r="DJ478" s="13"/>
      <c r="DK478" s="13"/>
      <c r="DL478" s="13"/>
      <c r="DM478" s="13"/>
      <c r="DN478" s="13"/>
      <c r="DO478" s="13"/>
      <c r="DP478" s="13"/>
      <c r="DQ478" s="13"/>
      <c r="DR478" s="13"/>
      <c r="DS478" s="13"/>
      <c r="DT478" s="13"/>
      <c r="DU478" s="13"/>
      <c r="DV478" s="13"/>
      <c r="DW478" s="13"/>
      <c r="DX478" s="13"/>
      <c r="DY478" s="13"/>
      <c r="DZ478" s="13"/>
    </row>
    <row r="479" spans="35:130"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H479" s="29"/>
      <c r="BI479" s="29"/>
      <c r="BJ479" s="29"/>
      <c r="BK479" s="29"/>
      <c r="BL479" s="29"/>
      <c r="BM479" s="121"/>
      <c r="BN479" s="121"/>
      <c r="BO479" s="121"/>
      <c r="BP479" s="121"/>
      <c r="BQ479" s="121"/>
      <c r="BR479" s="121"/>
      <c r="BS479" s="121"/>
      <c r="BT479" s="121"/>
      <c r="BU479" s="121"/>
      <c r="BV479" s="121"/>
      <c r="BW479" s="121"/>
      <c r="BX479" s="121"/>
      <c r="BY479" s="121"/>
      <c r="BZ479" s="121"/>
      <c r="DI479" s="13"/>
      <c r="DJ479" s="13"/>
      <c r="DK479" s="13"/>
      <c r="DL479" s="13"/>
      <c r="DM479" s="13"/>
      <c r="DN479" s="13"/>
      <c r="DO479" s="13"/>
      <c r="DP479" s="13"/>
      <c r="DQ479" s="13"/>
      <c r="DR479" s="13"/>
      <c r="DS479" s="13"/>
      <c r="DT479" s="13"/>
      <c r="DU479" s="13"/>
      <c r="DV479" s="13"/>
      <c r="DW479" s="13"/>
      <c r="DX479" s="13"/>
      <c r="DY479" s="13"/>
      <c r="DZ479" s="13"/>
    </row>
    <row r="480" spans="35:130"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H480" s="29"/>
      <c r="BI480" s="29"/>
      <c r="BJ480" s="29"/>
      <c r="BK480" s="29"/>
      <c r="BL480" s="29"/>
      <c r="BM480" s="121"/>
      <c r="BN480" s="121"/>
      <c r="BO480" s="121"/>
      <c r="BP480" s="121"/>
      <c r="BQ480" s="121"/>
      <c r="BR480" s="121"/>
      <c r="BS480" s="121"/>
      <c r="BT480" s="121"/>
      <c r="BU480" s="121"/>
      <c r="BV480" s="121"/>
      <c r="BW480" s="121"/>
      <c r="BX480" s="121"/>
      <c r="BY480" s="121"/>
      <c r="BZ480" s="121"/>
      <c r="DI480" s="13"/>
      <c r="DJ480" s="13"/>
      <c r="DK480" s="13"/>
      <c r="DL480" s="13"/>
      <c r="DM480" s="13"/>
      <c r="DN480" s="13"/>
      <c r="DO480" s="13"/>
      <c r="DP480" s="13"/>
      <c r="DQ480" s="13"/>
      <c r="DR480" s="13"/>
      <c r="DS480" s="13"/>
      <c r="DT480" s="13"/>
      <c r="DU480" s="13"/>
      <c r="DV480" s="13"/>
      <c r="DW480" s="13"/>
      <c r="DX480" s="13"/>
      <c r="DY480" s="13"/>
      <c r="DZ480" s="13"/>
    </row>
    <row r="481" spans="35:130"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H481" s="29"/>
      <c r="BI481" s="29"/>
      <c r="BJ481" s="29"/>
      <c r="BK481" s="29"/>
      <c r="BL481" s="29"/>
      <c r="BM481" s="121"/>
      <c r="BN481" s="121"/>
      <c r="BO481" s="121"/>
      <c r="BP481" s="121"/>
      <c r="BQ481" s="121"/>
      <c r="BR481" s="121"/>
      <c r="BS481" s="121"/>
      <c r="BT481" s="121"/>
      <c r="BU481" s="121"/>
      <c r="BV481" s="121"/>
      <c r="BW481" s="121"/>
      <c r="BX481" s="121"/>
      <c r="BY481" s="121"/>
      <c r="BZ481" s="121"/>
      <c r="DI481" s="13"/>
      <c r="DJ481" s="13"/>
      <c r="DK481" s="13"/>
      <c r="DL481" s="13"/>
      <c r="DM481" s="13"/>
      <c r="DN481" s="13"/>
      <c r="DO481" s="13"/>
      <c r="DP481" s="13"/>
      <c r="DQ481" s="13"/>
      <c r="DR481" s="13"/>
      <c r="DS481" s="13"/>
      <c r="DT481" s="13"/>
      <c r="DU481" s="13"/>
      <c r="DV481" s="13"/>
      <c r="DW481" s="13"/>
      <c r="DX481" s="13"/>
      <c r="DY481" s="13"/>
      <c r="DZ481" s="13"/>
    </row>
    <row r="482" spans="35:130"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H482" s="29"/>
      <c r="BI482" s="29"/>
      <c r="BJ482" s="29"/>
      <c r="BK482" s="29"/>
      <c r="BL482" s="29"/>
      <c r="BM482" s="121"/>
      <c r="BN482" s="121"/>
      <c r="BO482" s="121"/>
      <c r="BP482" s="121"/>
      <c r="BQ482" s="121"/>
      <c r="BR482" s="121"/>
      <c r="BS482" s="121"/>
      <c r="BT482" s="121"/>
      <c r="BU482" s="121"/>
      <c r="BV482" s="121"/>
      <c r="BW482" s="121"/>
      <c r="BX482" s="121"/>
      <c r="BY482" s="121"/>
      <c r="BZ482" s="121"/>
      <c r="DI482" s="13"/>
      <c r="DJ482" s="13"/>
      <c r="DK482" s="13"/>
      <c r="DL482" s="13"/>
      <c r="DM482" s="13"/>
      <c r="DN482" s="13"/>
      <c r="DO482" s="13"/>
      <c r="DP482" s="13"/>
      <c r="DQ482" s="13"/>
      <c r="DR482" s="13"/>
      <c r="DS482" s="13"/>
      <c r="DT482" s="13"/>
      <c r="DU482" s="13"/>
      <c r="DV482" s="13"/>
      <c r="DW482" s="13"/>
      <c r="DX482" s="13"/>
      <c r="DY482" s="13"/>
      <c r="DZ482" s="13"/>
    </row>
    <row r="483" spans="35:130"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H483" s="29"/>
      <c r="BI483" s="29"/>
      <c r="BJ483" s="29"/>
      <c r="BK483" s="29"/>
      <c r="BL483" s="29"/>
      <c r="BM483" s="121"/>
      <c r="BN483" s="121"/>
      <c r="BO483" s="121"/>
      <c r="BP483" s="121"/>
      <c r="BQ483" s="121"/>
      <c r="BR483" s="121"/>
      <c r="BS483" s="121"/>
      <c r="BT483" s="121"/>
      <c r="BU483" s="121"/>
      <c r="BV483" s="121"/>
      <c r="BW483" s="121"/>
      <c r="BX483" s="121"/>
      <c r="BY483" s="121"/>
      <c r="BZ483" s="121"/>
      <c r="DI483" s="13"/>
      <c r="DJ483" s="13"/>
      <c r="DK483" s="13"/>
      <c r="DL483" s="13"/>
      <c r="DM483" s="13"/>
      <c r="DN483" s="13"/>
      <c r="DO483" s="13"/>
      <c r="DP483" s="13"/>
      <c r="DQ483" s="13"/>
      <c r="DR483" s="13"/>
      <c r="DS483" s="13"/>
      <c r="DT483" s="13"/>
      <c r="DU483" s="13"/>
      <c r="DV483" s="13"/>
      <c r="DW483" s="13"/>
      <c r="DX483" s="13"/>
      <c r="DY483" s="13"/>
      <c r="DZ483" s="13"/>
    </row>
    <row r="484" spans="35:130"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H484" s="29"/>
      <c r="BI484" s="29"/>
      <c r="BJ484" s="29"/>
      <c r="BK484" s="29"/>
      <c r="BL484" s="29"/>
      <c r="BM484" s="121"/>
      <c r="BN484" s="121"/>
      <c r="BO484" s="121"/>
      <c r="BP484" s="121"/>
      <c r="BQ484" s="121"/>
      <c r="BR484" s="121"/>
      <c r="BS484" s="121"/>
      <c r="BT484" s="121"/>
      <c r="BU484" s="121"/>
      <c r="BV484" s="121"/>
      <c r="BW484" s="121"/>
      <c r="BX484" s="121"/>
      <c r="BY484" s="121"/>
      <c r="BZ484" s="121"/>
      <c r="DI484" s="13"/>
      <c r="DJ484" s="13"/>
      <c r="DK484" s="13"/>
      <c r="DL484" s="13"/>
      <c r="DM484" s="13"/>
      <c r="DN484" s="13"/>
      <c r="DO484" s="13"/>
      <c r="DP484" s="13"/>
      <c r="DQ484" s="13"/>
      <c r="DR484" s="13"/>
      <c r="DS484" s="13"/>
      <c r="DT484" s="13"/>
      <c r="DU484" s="13"/>
      <c r="DV484" s="13"/>
      <c r="DW484" s="13"/>
      <c r="DX484" s="13"/>
      <c r="DY484" s="13"/>
      <c r="DZ484" s="13"/>
    </row>
    <row r="485" spans="35:130"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H485" s="29"/>
      <c r="BI485" s="29"/>
      <c r="BJ485" s="29"/>
      <c r="BK485" s="29"/>
      <c r="BL485" s="29"/>
      <c r="BM485" s="121"/>
      <c r="BN485" s="121"/>
      <c r="BO485" s="121"/>
      <c r="BP485" s="121"/>
      <c r="BQ485" s="121"/>
      <c r="BR485" s="121"/>
      <c r="BS485" s="121"/>
      <c r="BT485" s="121"/>
      <c r="BU485" s="121"/>
      <c r="BV485" s="121"/>
      <c r="BW485" s="121"/>
      <c r="BX485" s="121"/>
      <c r="BY485" s="121"/>
      <c r="BZ485" s="121"/>
      <c r="DI485" s="13"/>
      <c r="DJ485" s="13"/>
      <c r="DK485" s="13"/>
      <c r="DL485" s="13"/>
      <c r="DM485" s="13"/>
      <c r="DN485" s="13"/>
      <c r="DO485" s="13"/>
      <c r="DP485" s="13"/>
      <c r="DQ485" s="13"/>
      <c r="DR485" s="13"/>
      <c r="DS485" s="13"/>
      <c r="DT485" s="13"/>
      <c r="DU485" s="13"/>
      <c r="DV485" s="13"/>
      <c r="DW485" s="13"/>
      <c r="DX485" s="13"/>
      <c r="DY485" s="13"/>
      <c r="DZ485" s="13"/>
    </row>
    <row r="486" spans="35:130"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H486" s="29"/>
      <c r="BI486" s="29"/>
      <c r="BJ486" s="29"/>
      <c r="BK486" s="29"/>
      <c r="BL486" s="29"/>
      <c r="BM486" s="121"/>
      <c r="BN486" s="121"/>
      <c r="BO486" s="121"/>
      <c r="BP486" s="121"/>
      <c r="BQ486" s="121"/>
      <c r="BR486" s="121"/>
      <c r="BS486" s="121"/>
      <c r="BT486" s="121"/>
      <c r="BU486" s="121"/>
      <c r="BV486" s="121"/>
      <c r="BW486" s="121"/>
      <c r="BX486" s="121"/>
      <c r="BY486" s="121"/>
      <c r="BZ486" s="121"/>
      <c r="DI486" s="13"/>
      <c r="DJ486" s="13"/>
      <c r="DK486" s="13"/>
      <c r="DL486" s="13"/>
      <c r="DM486" s="13"/>
      <c r="DN486" s="13"/>
      <c r="DO486" s="13"/>
      <c r="DP486" s="13"/>
      <c r="DQ486" s="13"/>
      <c r="DR486" s="13"/>
      <c r="DS486" s="13"/>
      <c r="DT486" s="13"/>
      <c r="DU486" s="13"/>
      <c r="DV486" s="13"/>
      <c r="DW486" s="13"/>
      <c r="DX486" s="13"/>
      <c r="DY486" s="13"/>
      <c r="DZ486" s="13"/>
    </row>
    <row r="487" spans="35:130"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H487" s="29"/>
      <c r="BI487" s="29"/>
      <c r="BJ487" s="29"/>
      <c r="BK487" s="29"/>
      <c r="BL487" s="29"/>
      <c r="BM487" s="121"/>
      <c r="BN487" s="121"/>
      <c r="BO487" s="121"/>
      <c r="BP487" s="121"/>
      <c r="BQ487" s="121"/>
      <c r="BR487" s="121"/>
      <c r="BS487" s="121"/>
      <c r="BT487" s="121"/>
      <c r="BU487" s="121"/>
      <c r="BV487" s="121"/>
      <c r="BW487" s="121"/>
      <c r="BX487" s="121"/>
      <c r="BY487" s="121"/>
      <c r="BZ487" s="121"/>
      <c r="DI487" s="13"/>
      <c r="DJ487" s="13"/>
      <c r="DK487" s="13"/>
      <c r="DL487" s="13"/>
      <c r="DM487" s="13"/>
      <c r="DN487" s="13"/>
      <c r="DO487" s="13"/>
      <c r="DP487" s="13"/>
      <c r="DQ487" s="13"/>
      <c r="DR487" s="13"/>
      <c r="DS487" s="13"/>
      <c r="DT487" s="13"/>
      <c r="DU487" s="13"/>
      <c r="DV487" s="13"/>
      <c r="DW487" s="13"/>
      <c r="DX487" s="13"/>
      <c r="DY487" s="13"/>
      <c r="DZ487" s="13"/>
    </row>
    <row r="488" spans="35:130"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H488" s="29"/>
      <c r="BI488" s="29"/>
      <c r="BJ488" s="29"/>
      <c r="BK488" s="29"/>
      <c r="BL488" s="29"/>
      <c r="BM488" s="121"/>
      <c r="BN488" s="121"/>
      <c r="BO488" s="121"/>
      <c r="BP488" s="121"/>
      <c r="BQ488" s="121"/>
      <c r="BR488" s="121"/>
      <c r="BS488" s="121"/>
      <c r="BT488" s="121"/>
      <c r="BU488" s="121"/>
      <c r="BV488" s="121"/>
      <c r="BW488" s="121"/>
      <c r="BX488" s="121"/>
      <c r="BY488" s="121"/>
      <c r="BZ488" s="121"/>
      <c r="DI488" s="13"/>
      <c r="DJ488" s="13"/>
      <c r="DK488" s="13"/>
      <c r="DL488" s="13"/>
      <c r="DM488" s="13"/>
      <c r="DN488" s="13"/>
      <c r="DO488" s="13"/>
      <c r="DP488" s="13"/>
      <c r="DQ488" s="13"/>
      <c r="DR488" s="13"/>
      <c r="DS488" s="13"/>
      <c r="DT488" s="13"/>
      <c r="DU488" s="13"/>
      <c r="DV488" s="13"/>
      <c r="DW488" s="13"/>
      <c r="DX488" s="13"/>
      <c r="DY488" s="13"/>
      <c r="DZ488" s="13"/>
    </row>
    <row r="489" spans="35:130">
      <c r="BH489" s="29"/>
      <c r="BI489" s="29"/>
      <c r="BJ489" s="29"/>
      <c r="BK489" s="29"/>
      <c r="BL489" s="29"/>
      <c r="BM489" s="121"/>
      <c r="BN489" s="121"/>
      <c r="BO489" s="121"/>
      <c r="BP489" s="121"/>
      <c r="BQ489" s="121"/>
      <c r="BR489" s="121"/>
      <c r="BS489" s="121"/>
      <c r="BT489" s="121"/>
      <c r="BU489" s="121"/>
      <c r="BV489" s="121"/>
      <c r="BW489" s="121"/>
      <c r="BX489" s="121"/>
      <c r="BY489" s="121"/>
      <c r="BZ489" s="121"/>
    </row>
    <row r="490" spans="35:130">
      <c r="BH490" s="29"/>
      <c r="BI490" s="29"/>
      <c r="BJ490" s="29"/>
      <c r="BK490" s="29"/>
      <c r="BL490" s="29"/>
      <c r="BM490" s="121"/>
      <c r="BN490" s="121"/>
      <c r="BO490" s="121"/>
      <c r="BP490" s="121"/>
      <c r="BQ490" s="121"/>
      <c r="BR490" s="121"/>
      <c r="BS490" s="121"/>
      <c r="BT490" s="121"/>
      <c r="BU490" s="121"/>
      <c r="BV490" s="121"/>
      <c r="BW490" s="121"/>
      <c r="BX490" s="121"/>
      <c r="BY490" s="121"/>
      <c r="BZ490" s="121"/>
    </row>
    <row r="491" spans="35:130">
      <c r="BH491" s="29"/>
      <c r="BI491" s="29"/>
      <c r="BJ491" s="29"/>
      <c r="BK491" s="29"/>
      <c r="BL491" s="29"/>
      <c r="BM491" s="121"/>
      <c r="BN491" s="121"/>
      <c r="BO491" s="121"/>
      <c r="BP491" s="121"/>
      <c r="BQ491" s="121"/>
      <c r="BR491" s="121"/>
      <c r="BS491" s="121"/>
      <c r="BT491" s="121"/>
      <c r="BU491" s="121"/>
      <c r="BV491" s="121"/>
      <c r="BW491" s="121"/>
      <c r="BX491" s="121"/>
      <c r="BY491" s="121"/>
      <c r="BZ491" s="121"/>
    </row>
    <row r="492" spans="35:130">
      <c r="BH492" s="29"/>
      <c r="BI492" s="29"/>
      <c r="BJ492" s="29"/>
      <c r="BK492" s="29"/>
      <c r="BL492" s="29"/>
      <c r="BM492" s="121"/>
      <c r="BN492" s="121"/>
      <c r="BO492" s="121"/>
      <c r="BP492" s="121"/>
      <c r="BQ492" s="121"/>
      <c r="BR492" s="121"/>
      <c r="BS492" s="121"/>
      <c r="BT492" s="121"/>
      <c r="BU492" s="121"/>
      <c r="BV492" s="121"/>
      <c r="BW492" s="121"/>
      <c r="BX492" s="121"/>
      <c r="BY492" s="121"/>
      <c r="BZ492" s="121"/>
    </row>
    <row r="493" spans="35:130">
      <c r="BH493" s="29"/>
      <c r="BI493" s="29"/>
      <c r="BJ493" s="29"/>
      <c r="BK493" s="29"/>
      <c r="BL493" s="29"/>
      <c r="BM493" s="121"/>
      <c r="BN493" s="121"/>
      <c r="BO493" s="121"/>
      <c r="BP493" s="121"/>
      <c r="BQ493" s="121"/>
      <c r="BR493" s="121"/>
      <c r="BS493" s="121"/>
      <c r="BT493" s="121"/>
      <c r="BU493" s="121"/>
      <c r="BV493" s="121"/>
      <c r="BW493" s="121"/>
      <c r="BX493" s="121"/>
      <c r="BY493" s="121"/>
      <c r="BZ493" s="121"/>
    </row>
    <row r="494" spans="35:130">
      <c r="BH494" s="29"/>
      <c r="BI494" s="29"/>
      <c r="BJ494" s="29"/>
      <c r="BK494" s="29"/>
      <c r="BL494" s="29"/>
      <c r="BM494" s="121"/>
      <c r="BN494" s="121"/>
      <c r="BO494" s="121"/>
      <c r="BP494" s="121"/>
      <c r="BQ494" s="121"/>
      <c r="BR494" s="121"/>
      <c r="BS494" s="121"/>
      <c r="BT494" s="121"/>
      <c r="BU494" s="121"/>
      <c r="BV494" s="121"/>
      <c r="BW494" s="121"/>
      <c r="BX494" s="121"/>
      <c r="BY494" s="121"/>
      <c r="BZ494" s="121"/>
    </row>
    <row r="495" spans="35:130">
      <c r="BH495" s="29"/>
      <c r="BI495" s="29"/>
      <c r="BJ495" s="29"/>
      <c r="BK495" s="29"/>
      <c r="BL495" s="29"/>
      <c r="BM495" s="121"/>
      <c r="BN495" s="121"/>
      <c r="BO495" s="121"/>
      <c r="BP495" s="121"/>
      <c r="BQ495" s="121"/>
      <c r="BR495" s="121"/>
      <c r="BS495" s="121"/>
      <c r="BT495" s="121"/>
      <c r="BU495" s="121"/>
      <c r="BV495" s="121"/>
      <c r="BW495" s="121"/>
      <c r="BX495" s="121"/>
      <c r="BY495" s="121"/>
      <c r="BZ495" s="121"/>
    </row>
    <row r="496" spans="35:130">
      <c r="BH496" s="29"/>
      <c r="BI496" s="29"/>
      <c r="BJ496" s="29"/>
      <c r="BK496" s="29"/>
      <c r="BL496" s="29"/>
      <c r="BM496" s="121"/>
      <c r="BN496" s="121"/>
      <c r="BO496" s="121"/>
      <c r="BP496" s="121"/>
      <c r="BQ496" s="121"/>
      <c r="BR496" s="121"/>
      <c r="BS496" s="121"/>
      <c r="BT496" s="121"/>
      <c r="BU496" s="121"/>
      <c r="BV496" s="121"/>
      <c r="BW496" s="121"/>
      <c r="BX496" s="121"/>
      <c r="BY496" s="121"/>
      <c r="BZ496" s="121"/>
    </row>
    <row r="497" spans="60:78">
      <c r="BH497" s="29"/>
      <c r="BI497" s="29"/>
      <c r="BJ497" s="29"/>
      <c r="BK497" s="29"/>
      <c r="BL497" s="29"/>
      <c r="BM497" s="121"/>
      <c r="BN497" s="121"/>
      <c r="BO497" s="121"/>
      <c r="BP497" s="121"/>
      <c r="BQ497" s="121"/>
      <c r="BR497" s="121"/>
      <c r="BS497" s="121"/>
      <c r="BT497" s="121"/>
      <c r="BU497" s="121"/>
      <c r="BV497" s="121"/>
      <c r="BW497" s="121"/>
      <c r="BX497" s="121"/>
      <c r="BY497" s="121"/>
      <c r="BZ497" s="121"/>
    </row>
    <row r="498" spans="60:78">
      <c r="BH498" s="29"/>
      <c r="BI498" s="29"/>
      <c r="BJ498" s="29"/>
      <c r="BK498" s="29"/>
      <c r="BL498" s="29"/>
      <c r="BM498" s="121"/>
      <c r="BN498" s="121"/>
      <c r="BO498" s="121"/>
      <c r="BP498" s="121"/>
      <c r="BQ498" s="121"/>
      <c r="BR498" s="121"/>
      <c r="BS498" s="121"/>
      <c r="BT498" s="121"/>
      <c r="BU498" s="121"/>
      <c r="BV498" s="121"/>
      <c r="BW498" s="121"/>
      <c r="BX498" s="121"/>
      <c r="BY498" s="121"/>
      <c r="BZ498" s="121"/>
    </row>
    <row r="499" spans="60:78">
      <c r="BH499" s="29"/>
      <c r="BI499" s="29"/>
      <c r="BJ499" s="29"/>
      <c r="BK499" s="29"/>
      <c r="BL499" s="29"/>
      <c r="BM499" s="121"/>
      <c r="BN499" s="121"/>
      <c r="BO499" s="121"/>
      <c r="BP499" s="121"/>
      <c r="BQ499" s="121"/>
      <c r="BR499" s="121"/>
      <c r="BS499" s="121"/>
      <c r="BT499" s="121"/>
      <c r="BU499" s="121"/>
      <c r="BV499" s="121"/>
      <c r="BW499" s="121"/>
      <c r="BX499" s="121"/>
      <c r="BY499" s="121"/>
      <c r="BZ499" s="121"/>
    </row>
    <row r="500" spans="60:78">
      <c r="BH500" s="29"/>
      <c r="BI500" s="29"/>
      <c r="BJ500" s="29"/>
      <c r="BK500" s="29"/>
      <c r="BL500" s="29"/>
      <c r="BM500" s="121"/>
      <c r="BN500" s="121"/>
      <c r="BO500" s="121"/>
      <c r="BP500" s="121"/>
      <c r="BQ500" s="121"/>
      <c r="BR500" s="121"/>
      <c r="BS500" s="121"/>
      <c r="BT500" s="121"/>
      <c r="BU500" s="121"/>
      <c r="BV500" s="121"/>
      <c r="BW500" s="121"/>
      <c r="BX500" s="121"/>
      <c r="BY500" s="121"/>
      <c r="BZ500" s="121"/>
    </row>
    <row r="501" spans="60:78">
      <c r="BH501" s="29"/>
      <c r="BI501" s="29"/>
      <c r="BJ501" s="29"/>
      <c r="BK501" s="29"/>
      <c r="BL501" s="29"/>
      <c r="BM501" s="121"/>
      <c r="BN501" s="121"/>
      <c r="BO501" s="121"/>
      <c r="BP501" s="121"/>
      <c r="BQ501" s="121"/>
      <c r="BR501" s="121"/>
      <c r="BS501" s="121"/>
      <c r="BT501" s="121"/>
      <c r="BU501" s="121"/>
      <c r="BV501" s="121"/>
      <c r="BW501" s="121"/>
      <c r="BX501" s="121"/>
      <c r="BY501" s="121"/>
      <c r="BZ501" s="121"/>
    </row>
    <row r="502" spans="60:78">
      <c r="BH502" s="29"/>
      <c r="BI502" s="29"/>
      <c r="BJ502" s="29"/>
      <c r="BK502" s="29"/>
      <c r="BL502" s="29"/>
      <c r="BM502" s="121"/>
      <c r="BN502" s="121"/>
      <c r="BO502" s="121"/>
      <c r="BP502" s="121"/>
      <c r="BQ502" s="121"/>
      <c r="BR502" s="121"/>
      <c r="BS502" s="121"/>
      <c r="BT502" s="121"/>
      <c r="BU502" s="121"/>
      <c r="BV502" s="121"/>
      <c r="BW502" s="121"/>
      <c r="BX502" s="121"/>
      <c r="BY502" s="121"/>
      <c r="BZ502" s="121"/>
    </row>
    <row r="503" spans="60:78">
      <c r="BH503" s="29"/>
      <c r="BI503" s="29"/>
      <c r="BJ503" s="29"/>
      <c r="BK503" s="29"/>
      <c r="BL503" s="29"/>
      <c r="BM503" s="121"/>
      <c r="BN503" s="121"/>
      <c r="BO503" s="121"/>
      <c r="BP503" s="121"/>
      <c r="BQ503" s="121"/>
      <c r="BR503" s="121"/>
      <c r="BS503" s="121"/>
      <c r="BT503" s="121"/>
      <c r="BU503" s="121"/>
      <c r="BV503" s="121"/>
      <c r="BW503" s="121"/>
      <c r="BX503" s="121"/>
      <c r="BY503" s="121"/>
      <c r="BZ503" s="121"/>
    </row>
    <row r="504" spans="60:78">
      <c r="BH504" s="29"/>
      <c r="BI504" s="29"/>
      <c r="BJ504" s="29"/>
      <c r="BK504" s="29"/>
      <c r="BL504" s="29"/>
      <c r="BM504" s="121"/>
      <c r="BN504" s="121"/>
      <c r="BO504" s="121"/>
      <c r="BP504" s="121"/>
      <c r="BQ504" s="121"/>
      <c r="BR504" s="121"/>
      <c r="BS504" s="121"/>
      <c r="BT504" s="121"/>
      <c r="BU504" s="121"/>
      <c r="BV504" s="121"/>
      <c r="BW504" s="121"/>
      <c r="BX504" s="121"/>
      <c r="BY504" s="121"/>
      <c r="BZ504" s="121"/>
    </row>
    <row r="505" spans="60:78">
      <c r="BH505" s="29"/>
      <c r="BI505" s="29"/>
      <c r="BJ505" s="29"/>
      <c r="BK505" s="29"/>
      <c r="BL505" s="29"/>
      <c r="BM505" s="121"/>
      <c r="BN505" s="121"/>
      <c r="BO505" s="121"/>
      <c r="BP505" s="121"/>
      <c r="BQ505" s="121"/>
      <c r="BR505" s="121"/>
      <c r="BS505" s="121"/>
      <c r="BT505" s="121"/>
      <c r="BU505" s="121"/>
      <c r="BV505" s="121"/>
      <c r="BW505" s="121"/>
      <c r="BX505" s="121"/>
      <c r="BY505" s="121"/>
      <c r="BZ505" s="121"/>
    </row>
    <row r="506" spans="60:78">
      <c r="BH506" s="29"/>
      <c r="BI506" s="29"/>
      <c r="BJ506" s="29"/>
      <c r="BK506" s="29"/>
      <c r="BL506" s="29"/>
      <c r="BM506" s="121"/>
      <c r="BN506" s="121"/>
      <c r="BO506" s="121"/>
      <c r="BP506" s="121"/>
      <c r="BQ506" s="121"/>
      <c r="BR506" s="121"/>
      <c r="BS506" s="121"/>
      <c r="BT506" s="121"/>
      <c r="BU506" s="121"/>
      <c r="BV506" s="121"/>
      <c r="BW506" s="121"/>
      <c r="BX506" s="121"/>
      <c r="BY506" s="121"/>
      <c r="BZ506" s="121"/>
    </row>
    <row r="507" spans="60:78">
      <c r="BH507" s="29"/>
      <c r="BI507" s="29"/>
      <c r="BJ507" s="29"/>
      <c r="BK507" s="29"/>
      <c r="BL507" s="29"/>
      <c r="BM507" s="121"/>
      <c r="BN507" s="121"/>
      <c r="BO507" s="121"/>
      <c r="BP507" s="121"/>
      <c r="BQ507" s="121"/>
      <c r="BR507" s="121"/>
      <c r="BS507" s="121"/>
      <c r="BT507" s="121"/>
      <c r="BU507" s="121"/>
      <c r="BV507" s="121"/>
      <c r="BW507" s="121"/>
      <c r="BX507" s="121"/>
      <c r="BY507" s="121"/>
      <c r="BZ507" s="121"/>
    </row>
    <row r="508" spans="60:78">
      <c r="BH508" s="29"/>
      <c r="BI508" s="29"/>
      <c r="BJ508" s="29"/>
      <c r="BK508" s="29"/>
      <c r="BL508" s="29"/>
      <c r="BM508" s="121"/>
      <c r="BN508" s="121"/>
      <c r="BO508" s="121"/>
      <c r="BP508" s="121"/>
      <c r="BQ508" s="121"/>
      <c r="BR508" s="121"/>
      <c r="BS508" s="121"/>
      <c r="BT508" s="121"/>
      <c r="BU508" s="121"/>
      <c r="BV508" s="121"/>
      <c r="BW508" s="121"/>
      <c r="BX508" s="121"/>
      <c r="BY508" s="121"/>
      <c r="BZ508" s="121"/>
    </row>
    <row r="509" spans="60:78">
      <c r="BH509" s="29"/>
      <c r="BI509" s="29"/>
      <c r="BJ509" s="29"/>
      <c r="BK509" s="29"/>
      <c r="BL509" s="29"/>
      <c r="BM509" s="121"/>
      <c r="BN509" s="121"/>
      <c r="BO509" s="121"/>
      <c r="BP509" s="121"/>
      <c r="BQ509" s="121"/>
      <c r="BR509" s="121"/>
      <c r="BS509" s="121"/>
      <c r="BT509" s="121"/>
      <c r="BU509" s="121"/>
      <c r="BV509" s="121"/>
      <c r="BW509" s="121"/>
      <c r="BX509" s="121"/>
      <c r="BY509" s="121"/>
      <c r="BZ509" s="121"/>
    </row>
    <row r="510" spans="60:78">
      <c r="BH510" s="29"/>
      <c r="BI510" s="29"/>
      <c r="BJ510" s="29"/>
      <c r="BK510" s="29"/>
      <c r="BL510" s="29"/>
      <c r="BM510" s="121"/>
      <c r="BN510" s="121"/>
      <c r="BO510" s="121"/>
      <c r="BP510" s="121"/>
      <c r="BQ510" s="121"/>
      <c r="BR510" s="121"/>
      <c r="BS510" s="121"/>
      <c r="BT510" s="121"/>
      <c r="BU510" s="121"/>
      <c r="BV510" s="121"/>
      <c r="BW510" s="121"/>
      <c r="BX510" s="121"/>
      <c r="BY510" s="121"/>
      <c r="BZ510" s="121"/>
    </row>
    <row r="511" spans="60:78">
      <c r="BH511" s="29"/>
      <c r="BI511" s="29"/>
      <c r="BJ511" s="29"/>
      <c r="BK511" s="29"/>
      <c r="BL511" s="29"/>
      <c r="BM511" s="121"/>
      <c r="BN511" s="121"/>
      <c r="BO511" s="121"/>
      <c r="BP511" s="121"/>
      <c r="BQ511" s="121"/>
      <c r="BR511" s="121"/>
      <c r="BS511" s="121"/>
      <c r="BT511" s="121"/>
      <c r="BU511" s="121"/>
      <c r="BV511" s="121"/>
      <c r="BW511" s="121"/>
      <c r="BX511" s="121"/>
      <c r="BY511" s="121"/>
      <c r="BZ511" s="121"/>
    </row>
    <row r="512" spans="60:78">
      <c r="BH512" s="29"/>
      <c r="BI512" s="29"/>
      <c r="BJ512" s="29"/>
      <c r="BK512" s="29"/>
      <c r="BL512" s="29"/>
      <c r="BM512" s="121"/>
      <c r="BN512" s="121"/>
      <c r="BO512" s="121"/>
      <c r="BP512" s="121"/>
      <c r="BQ512" s="121"/>
      <c r="BR512" s="121"/>
      <c r="BS512" s="121"/>
      <c r="BT512" s="121"/>
      <c r="BU512" s="121"/>
      <c r="BV512" s="121"/>
      <c r="BW512" s="121"/>
      <c r="BX512" s="121"/>
      <c r="BY512" s="121"/>
      <c r="BZ512" s="121"/>
    </row>
    <row r="513" spans="60:78">
      <c r="BH513" s="29"/>
      <c r="BI513" s="29"/>
      <c r="BJ513" s="29"/>
      <c r="BK513" s="29"/>
      <c r="BL513" s="29"/>
      <c r="BM513" s="121"/>
      <c r="BN513" s="121"/>
      <c r="BO513" s="121"/>
      <c r="BP513" s="121"/>
      <c r="BQ513" s="121"/>
      <c r="BR513" s="121"/>
      <c r="BS513" s="121"/>
      <c r="BT513" s="121"/>
      <c r="BU513" s="121"/>
      <c r="BV513" s="121"/>
      <c r="BW513" s="121"/>
      <c r="BX513" s="121"/>
      <c r="BY513" s="121"/>
      <c r="BZ513" s="121"/>
    </row>
    <row r="514" spans="60:78">
      <c r="BH514" s="29"/>
      <c r="BI514" s="29"/>
      <c r="BJ514" s="29"/>
      <c r="BK514" s="29"/>
      <c r="BL514" s="29"/>
      <c r="BM514" s="121"/>
      <c r="BN514" s="121"/>
      <c r="BO514" s="121"/>
      <c r="BP514" s="121"/>
      <c r="BQ514" s="121"/>
      <c r="BR514" s="121"/>
      <c r="BS514" s="121"/>
      <c r="BT514" s="121"/>
      <c r="BU514" s="121"/>
      <c r="BV514" s="121"/>
      <c r="BW514" s="121"/>
      <c r="BX514" s="121"/>
      <c r="BY514" s="121"/>
      <c r="BZ514" s="121"/>
    </row>
    <row r="515" spans="60:78">
      <c r="BH515" s="29"/>
      <c r="BI515" s="29"/>
      <c r="BJ515" s="29"/>
      <c r="BK515" s="29"/>
      <c r="BL515" s="29"/>
      <c r="BM515" s="121"/>
      <c r="BN515" s="121"/>
      <c r="BO515" s="121"/>
      <c r="BP515" s="121"/>
      <c r="BQ515" s="121"/>
      <c r="BR515" s="121"/>
      <c r="BS515" s="121"/>
      <c r="BT515" s="121"/>
      <c r="BU515" s="121"/>
      <c r="BV515" s="121"/>
      <c r="BW515" s="121"/>
      <c r="BX515" s="121"/>
      <c r="BY515" s="121"/>
      <c r="BZ515" s="121"/>
    </row>
    <row r="516" spans="60:78">
      <c r="BH516" s="29"/>
      <c r="BI516" s="29"/>
      <c r="BJ516" s="29"/>
      <c r="BK516" s="29"/>
      <c r="BL516" s="29"/>
      <c r="BM516" s="121"/>
      <c r="BN516" s="121"/>
      <c r="BO516" s="121"/>
      <c r="BP516" s="121"/>
      <c r="BQ516" s="121"/>
      <c r="BR516" s="121"/>
      <c r="BS516" s="121"/>
      <c r="BT516" s="121"/>
      <c r="BU516" s="121"/>
      <c r="BV516" s="121"/>
      <c r="BW516" s="121"/>
      <c r="BX516" s="121"/>
      <c r="BY516" s="121"/>
      <c r="BZ516" s="121"/>
    </row>
    <row r="517" spans="60:78">
      <c r="BH517" s="29"/>
      <c r="BI517" s="29"/>
      <c r="BJ517" s="29"/>
      <c r="BK517" s="29"/>
      <c r="BL517" s="29"/>
      <c r="BM517" s="121"/>
      <c r="BN517" s="121"/>
      <c r="BO517" s="121"/>
      <c r="BP517" s="121"/>
      <c r="BQ517" s="121"/>
      <c r="BR517" s="121"/>
      <c r="BS517" s="121"/>
      <c r="BT517" s="121"/>
      <c r="BU517" s="121"/>
      <c r="BV517" s="121"/>
      <c r="BW517" s="121"/>
      <c r="BX517" s="121"/>
      <c r="BY517" s="121"/>
      <c r="BZ517" s="121"/>
    </row>
    <row r="518" spans="60:78">
      <c r="BH518" s="29"/>
      <c r="BI518" s="29"/>
      <c r="BJ518" s="29"/>
      <c r="BK518" s="29"/>
      <c r="BL518" s="29"/>
      <c r="BM518" s="121"/>
      <c r="BN518" s="121"/>
      <c r="BO518" s="121"/>
      <c r="BP518" s="121"/>
      <c r="BQ518" s="121"/>
      <c r="BR518" s="121"/>
      <c r="BS518" s="121"/>
      <c r="BT518" s="121"/>
      <c r="BU518" s="121"/>
      <c r="BV518" s="121"/>
      <c r="BW518" s="121"/>
      <c r="BX518" s="121"/>
      <c r="BY518" s="121"/>
      <c r="BZ518" s="121"/>
    </row>
    <row r="519" spans="60:78">
      <c r="BH519" s="29"/>
      <c r="BI519" s="29"/>
      <c r="BJ519" s="29"/>
      <c r="BK519" s="29"/>
      <c r="BL519" s="29"/>
      <c r="BM519" s="121"/>
      <c r="BN519" s="121"/>
      <c r="BO519" s="121"/>
      <c r="BP519" s="121"/>
      <c r="BQ519" s="121"/>
      <c r="BR519" s="121"/>
      <c r="BS519" s="121"/>
      <c r="BT519" s="121"/>
      <c r="BU519" s="121"/>
      <c r="BV519" s="121"/>
      <c r="BW519" s="121"/>
      <c r="BX519" s="121"/>
      <c r="BY519" s="121"/>
      <c r="BZ519" s="121"/>
    </row>
    <row r="520" spans="60:78">
      <c r="BH520" s="29"/>
      <c r="BI520" s="29"/>
      <c r="BJ520" s="29"/>
      <c r="BK520" s="29"/>
      <c r="BL520" s="29"/>
      <c r="BM520" s="121"/>
      <c r="BN520" s="121"/>
      <c r="BO520" s="121"/>
      <c r="BP520" s="121"/>
      <c r="BQ520" s="121"/>
      <c r="BR520" s="121"/>
      <c r="BS520" s="121"/>
      <c r="BT520" s="121"/>
      <c r="BU520" s="121"/>
      <c r="BV520" s="121"/>
      <c r="BW520" s="121"/>
      <c r="BX520" s="121"/>
      <c r="BY520" s="121"/>
      <c r="BZ520" s="121"/>
    </row>
    <row r="521" spans="60:78">
      <c r="BH521" s="29"/>
      <c r="BI521" s="29"/>
      <c r="BJ521" s="29"/>
      <c r="BK521" s="29"/>
      <c r="BL521" s="29"/>
      <c r="BM521" s="121"/>
      <c r="BN521" s="121"/>
      <c r="BO521" s="121"/>
      <c r="BP521" s="121"/>
      <c r="BQ521" s="121"/>
      <c r="BR521" s="121"/>
      <c r="BS521" s="121"/>
      <c r="BT521" s="121"/>
      <c r="BU521" s="121"/>
      <c r="BV521" s="121"/>
      <c r="BW521" s="121"/>
      <c r="BX521" s="121"/>
      <c r="BY521" s="121"/>
      <c r="BZ521" s="121"/>
    </row>
    <row r="522" spans="60:78">
      <c r="BH522" s="29"/>
      <c r="BI522" s="29"/>
      <c r="BJ522" s="29"/>
      <c r="BK522" s="29"/>
      <c r="BL522" s="29"/>
      <c r="BM522" s="121"/>
      <c r="BN522" s="121"/>
      <c r="BO522" s="121"/>
      <c r="BP522" s="121"/>
      <c r="BQ522" s="121"/>
      <c r="BR522" s="121"/>
      <c r="BS522" s="121"/>
      <c r="BT522" s="121"/>
      <c r="BU522" s="121"/>
      <c r="BV522" s="121"/>
      <c r="BW522" s="121"/>
      <c r="BX522" s="121"/>
      <c r="BY522" s="121"/>
      <c r="BZ522" s="121"/>
    </row>
    <row r="523" spans="60:78">
      <c r="BH523" s="29"/>
      <c r="BI523" s="29"/>
      <c r="BJ523" s="29"/>
      <c r="BK523" s="29"/>
      <c r="BL523" s="29"/>
      <c r="BM523" s="121"/>
      <c r="BN523" s="121"/>
      <c r="BO523" s="121"/>
      <c r="BP523" s="121"/>
      <c r="BQ523" s="121"/>
      <c r="BR523" s="121"/>
      <c r="BS523" s="121"/>
      <c r="BT523" s="121"/>
      <c r="BU523" s="121"/>
      <c r="BV523" s="121"/>
      <c r="BW523" s="121"/>
      <c r="BX523" s="121"/>
      <c r="BY523" s="121"/>
      <c r="BZ523" s="121"/>
    </row>
    <row r="524" spans="60:78">
      <c r="BH524" s="29"/>
      <c r="BI524" s="29"/>
      <c r="BJ524" s="29"/>
      <c r="BK524" s="29"/>
      <c r="BL524" s="29"/>
      <c r="BM524" s="121"/>
      <c r="BN524" s="121"/>
      <c r="BO524" s="121"/>
      <c r="BP524" s="121"/>
      <c r="BQ524" s="121"/>
      <c r="BR524" s="121"/>
      <c r="BS524" s="121"/>
      <c r="BT524" s="121"/>
      <c r="BU524" s="121"/>
      <c r="BV524" s="121"/>
      <c r="BW524" s="121"/>
      <c r="BX524" s="121"/>
      <c r="BY524" s="121"/>
      <c r="BZ524" s="121"/>
    </row>
    <row r="525" spans="60:78">
      <c r="BH525" s="29"/>
      <c r="BI525" s="29"/>
      <c r="BJ525" s="29"/>
      <c r="BK525" s="29"/>
      <c r="BL525" s="29"/>
      <c r="BM525" s="121"/>
      <c r="BN525" s="121"/>
      <c r="BO525" s="121"/>
      <c r="BP525" s="121"/>
      <c r="BQ525" s="121"/>
      <c r="BR525" s="121"/>
      <c r="BS525" s="121"/>
      <c r="BT525" s="121"/>
      <c r="BU525" s="121"/>
      <c r="BV525" s="121"/>
      <c r="BW525" s="121"/>
      <c r="BX525" s="121"/>
      <c r="BY525" s="121"/>
      <c r="BZ525" s="121"/>
    </row>
    <row r="526" spans="60:78">
      <c r="BH526" s="29"/>
      <c r="BI526" s="29"/>
      <c r="BJ526" s="29"/>
      <c r="BK526" s="29"/>
      <c r="BL526" s="29"/>
      <c r="BM526" s="121"/>
      <c r="BN526" s="121"/>
      <c r="BO526" s="121"/>
      <c r="BP526" s="121"/>
      <c r="BQ526" s="121"/>
      <c r="BR526" s="121"/>
      <c r="BS526" s="121"/>
      <c r="BT526" s="121"/>
      <c r="BU526" s="121"/>
      <c r="BV526" s="121"/>
      <c r="BW526" s="121"/>
      <c r="BX526" s="121"/>
      <c r="BY526" s="121"/>
      <c r="BZ526" s="121"/>
    </row>
    <row r="527" spans="60:78">
      <c r="BH527" s="29"/>
      <c r="BI527" s="29"/>
      <c r="BJ527" s="29"/>
      <c r="BK527" s="29"/>
      <c r="BL527" s="29"/>
      <c r="BM527" s="121"/>
      <c r="BN527" s="121"/>
      <c r="BO527" s="121"/>
      <c r="BP527" s="121"/>
      <c r="BQ527" s="121"/>
      <c r="BR527" s="121"/>
      <c r="BS527" s="121"/>
      <c r="BT527" s="121"/>
      <c r="BU527" s="121"/>
      <c r="BV527" s="121"/>
      <c r="BW527" s="121"/>
      <c r="BX527" s="121"/>
      <c r="BY527" s="121"/>
      <c r="BZ527" s="121"/>
    </row>
    <row r="528" spans="60:78">
      <c r="BH528" s="29"/>
      <c r="BI528" s="29"/>
      <c r="BJ528" s="29"/>
      <c r="BK528" s="29"/>
      <c r="BL528" s="29"/>
      <c r="BM528" s="121"/>
      <c r="BN528" s="121"/>
      <c r="BO528" s="121"/>
      <c r="BP528" s="121"/>
      <c r="BQ528" s="121"/>
      <c r="BR528" s="121"/>
      <c r="BS528" s="121"/>
      <c r="BT528" s="121"/>
      <c r="BU528" s="121"/>
      <c r="BV528" s="121"/>
      <c r="BW528" s="121"/>
      <c r="BX528" s="121"/>
      <c r="BY528" s="121"/>
      <c r="BZ528" s="121"/>
    </row>
    <row r="529" spans="60:78">
      <c r="BH529" s="29"/>
      <c r="BI529" s="29"/>
      <c r="BJ529" s="29"/>
      <c r="BK529" s="29"/>
      <c r="BL529" s="29"/>
      <c r="BM529" s="121"/>
      <c r="BN529" s="121"/>
      <c r="BO529" s="121"/>
      <c r="BP529" s="121"/>
      <c r="BQ529" s="121"/>
      <c r="BR529" s="121"/>
      <c r="BS529" s="121"/>
      <c r="BT529" s="121"/>
      <c r="BU529" s="121"/>
      <c r="BV529" s="121"/>
      <c r="BW529" s="121"/>
      <c r="BX529" s="121"/>
      <c r="BY529" s="121"/>
      <c r="BZ529" s="121"/>
    </row>
    <row r="530" spans="60:78">
      <c r="BH530" s="29"/>
      <c r="BI530" s="29"/>
      <c r="BJ530" s="29"/>
      <c r="BK530" s="29"/>
      <c r="BL530" s="29"/>
      <c r="BM530" s="121"/>
      <c r="BN530" s="121"/>
      <c r="BO530" s="121"/>
      <c r="BP530" s="121"/>
      <c r="BQ530" s="121"/>
      <c r="BR530" s="121"/>
      <c r="BS530" s="121"/>
      <c r="BT530" s="121"/>
      <c r="BU530" s="121"/>
      <c r="BV530" s="121"/>
      <c r="BW530" s="121"/>
      <c r="BX530" s="121"/>
      <c r="BY530" s="121"/>
      <c r="BZ530" s="121"/>
    </row>
    <row r="531" spans="60:78">
      <c r="BH531" s="29"/>
      <c r="BI531" s="29"/>
      <c r="BJ531" s="29"/>
      <c r="BK531" s="29"/>
      <c r="BL531" s="29"/>
      <c r="BM531" s="121"/>
      <c r="BN531" s="121"/>
      <c r="BO531" s="121"/>
      <c r="BP531" s="121"/>
      <c r="BQ531" s="121"/>
      <c r="BR531" s="121"/>
      <c r="BS531" s="121"/>
      <c r="BT531" s="121"/>
      <c r="BU531" s="121"/>
      <c r="BV531" s="121"/>
      <c r="BW531" s="121"/>
      <c r="BX531" s="121"/>
      <c r="BY531" s="121"/>
      <c r="BZ531" s="121"/>
    </row>
    <row r="532" spans="60:78">
      <c r="BH532" s="29"/>
      <c r="BI532" s="29"/>
      <c r="BJ532" s="29"/>
      <c r="BK532" s="29"/>
      <c r="BL532" s="29"/>
      <c r="BM532" s="121"/>
      <c r="BN532" s="121"/>
      <c r="BO532" s="121"/>
      <c r="BP532" s="121"/>
      <c r="BQ532" s="121"/>
      <c r="BR532" s="121"/>
      <c r="BS532" s="121"/>
      <c r="BT532" s="121"/>
      <c r="BU532" s="121"/>
      <c r="BV532" s="121"/>
      <c r="BW532" s="121"/>
      <c r="BX532" s="121"/>
      <c r="BY532" s="121"/>
      <c r="BZ532" s="121"/>
    </row>
    <row r="533" spans="60:78">
      <c r="BH533" s="29"/>
      <c r="BI533" s="29"/>
      <c r="BJ533" s="29"/>
      <c r="BK533" s="29"/>
      <c r="BL533" s="29"/>
      <c r="BM533" s="121"/>
      <c r="BN533" s="121"/>
      <c r="BO533" s="121"/>
      <c r="BP533" s="121"/>
      <c r="BQ533" s="121"/>
      <c r="BR533" s="121"/>
      <c r="BS533" s="121"/>
      <c r="BT533" s="121"/>
      <c r="BU533" s="121"/>
      <c r="BV533" s="121"/>
      <c r="BW533" s="121"/>
      <c r="BX533" s="121"/>
      <c r="BY533" s="121"/>
      <c r="BZ533" s="121"/>
    </row>
    <row r="534" spans="60:78">
      <c r="BH534" s="29"/>
      <c r="BI534" s="29"/>
      <c r="BJ534" s="29"/>
      <c r="BK534" s="29"/>
      <c r="BL534" s="29"/>
      <c r="BM534" s="121"/>
      <c r="BN534" s="121"/>
      <c r="BO534" s="121"/>
      <c r="BP534" s="121"/>
      <c r="BQ534" s="121"/>
      <c r="BR534" s="121"/>
      <c r="BS534" s="121"/>
      <c r="BT534" s="121"/>
      <c r="BU534" s="121"/>
      <c r="BV534" s="121"/>
      <c r="BW534" s="121"/>
      <c r="BX534" s="121"/>
      <c r="BY534" s="121"/>
      <c r="BZ534" s="121"/>
    </row>
    <row r="535" spans="60:78">
      <c r="BH535" s="29"/>
      <c r="BI535" s="29"/>
      <c r="BJ535" s="29"/>
      <c r="BK535" s="29"/>
      <c r="BL535" s="29"/>
      <c r="BM535" s="121"/>
      <c r="BN535" s="121"/>
      <c r="BO535" s="121"/>
      <c r="BP535" s="121"/>
      <c r="BQ535" s="121"/>
      <c r="BR535" s="121"/>
      <c r="BS535" s="121"/>
      <c r="BT535" s="121"/>
      <c r="BU535" s="121"/>
      <c r="BV535" s="121"/>
      <c r="BW535" s="121"/>
      <c r="BX535" s="121"/>
      <c r="BY535" s="121"/>
      <c r="BZ535" s="121"/>
    </row>
    <row r="536" spans="60:78">
      <c r="BH536" s="29"/>
      <c r="BI536" s="29"/>
      <c r="BJ536" s="29"/>
      <c r="BK536" s="29"/>
      <c r="BL536" s="29"/>
      <c r="BM536" s="121"/>
      <c r="BN536" s="121"/>
      <c r="BO536" s="121"/>
      <c r="BP536" s="121"/>
      <c r="BQ536" s="121"/>
      <c r="BR536" s="121"/>
      <c r="BS536" s="121"/>
      <c r="BT536" s="121"/>
      <c r="BU536" s="121"/>
      <c r="BV536" s="121"/>
      <c r="BW536" s="121"/>
      <c r="BX536" s="121"/>
      <c r="BY536" s="121"/>
      <c r="BZ536" s="121"/>
    </row>
    <row r="537" spans="60:78">
      <c r="BH537" s="29"/>
      <c r="BI537" s="29"/>
      <c r="BJ537" s="29"/>
      <c r="BK537" s="29"/>
      <c r="BL537" s="29"/>
      <c r="BM537" s="121"/>
      <c r="BN537" s="121"/>
      <c r="BO537" s="121"/>
      <c r="BP537" s="121"/>
      <c r="BQ537" s="121"/>
      <c r="BR537" s="121"/>
      <c r="BS537" s="121"/>
      <c r="BT537" s="121"/>
      <c r="BU537" s="121"/>
      <c r="BV537" s="121"/>
      <c r="BW537" s="121"/>
      <c r="BX537" s="121"/>
      <c r="BY537" s="121"/>
      <c r="BZ537" s="121"/>
    </row>
    <row r="538" spans="60:78">
      <c r="BH538" s="29"/>
      <c r="BI538" s="29"/>
      <c r="BJ538" s="29"/>
      <c r="BK538" s="29"/>
      <c r="BL538" s="29"/>
      <c r="BM538" s="121"/>
      <c r="BN538" s="121"/>
      <c r="BO538" s="121"/>
      <c r="BP538" s="121"/>
      <c r="BQ538" s="121"/>
      <c r="BR538" s="121"/>
      <c r="BS538" s="121"/>
      <c r="BT538" s="121"/>
      <c r="BU538" s="121"/>
      <c r="BV538" s="121"/>
      <c r="BW538" s="121"/>
      <c r="BX538" s="121"/>
      <c r="BY538" s="121"/>
      <c r="BZ538" s="121"/>
    </row>
    <row r="539" spans="60:78">
      <c r="BH539" s="29"/>
      <c r="BI539" s="29"/>
      <c r="BJ539" s="29"/>
      <c r="BK539" s="29"/>
      <c r="BL539" s="29"/>
      <c r="BM539" s="121"/>
      <c r="BN539" s="121"/>
      <c r="BO539" s="121"/>
      <c r="BP539" s="121"/>
      <c r="BQ539" s="121"/>
      <c r="BR539" s="121"/>
      <c r="BS539" s="121"/>
      <c r="BT539" s="121"/>
      <c r="BU539" s="121"/>
      <c r="BV539" s="121"/>
      <c r="BW539" s="121"/>
      <c r="BX539" s="121"/>
      <c r="BY539" s="121"/>
      <c r="BZ539" s="121"/>
    </row>
    <row r="540" spans="60:78">
      <c r="BH540" s="29"/>
      <c r="BI540" s="29"/>
      <c r="BJ540" s="29"/>
      <c r="BK540" s="29"/>
      <c r="BL540" s="29"/>
      <c r="BM540" s="121"/>
      <c r="BN540" s="121"/>
      <c r="BO540" s="121"/>
      <c r="BP540" s="121"/>
      <c r="BQ540" s="121"/>
      <c r="BR540" s="121"/>
      <c r="BS540" s="121"/>
      <c r="BT540" s="121"/>
      <c r="BU540" s="121"/>
      <c r="BV540" s="121"/>
      <c r="BW540" s="121"/>
      <c r="BX540" s="121"/>
      <c r="BY540" s="121"/>
      <c r="BZ540" s="121"/>
    </row>
    <row r="541" spans="60:78">
      <c r="BH541" s="29"/>
      <c r="BI541" s="29"/>
      <c r="BJ541" s="29"/>
      <c r="BK541" s="29"/>
      <c r="BL541" s="29"/>
      <c r="BM541" s="121"/>
      <c r="BN541" s="121"/>
      <c r="BO541" s="121"/>
      <c r="BP541" s="121"/>
      <c r="BQ541" s="121"/>
      <c r="BR541" s="121"/>
      <c r="BS541" s="121"/>
      <c r="BT541" s="121"/>
      <c r="BU541" s="121"/>
      <c r="BV541" s="121"/>
      <c r="BW541" s="121"/>
      <c r="BX541" s="121"/>
      <c r="BY541" s="121"/>
      <c r="BZ541" s="121"/>
    </row>
    <row r="542" spans="60:78">
      <c r="BH542" s="29"/>
      <c r="BI542" s="29"/>
      <c r="BJ542" s="29"/>
      <c r="BK542" s="29"/>
      <c r="BL542" s="29"/>
      <c r="BM542" s="121"/>
      <c r="BN542" s="121"/>
      <c r="BO542" s="121"/>
      <c r="BP542" s="121"/>
      <c r="BQ542" s="121"/>
      <c r="BR542" s="121"/>
      <c r="BS542" s="121"/>
      <c r="BT542" s="121"/>
      <c r="BU542" s="121"/>
      <c r="BV542" s="121"/>
      <c r="BW542" s="121"/>
      <c r="BX542" s="121"/>
      <c r="BY542" s="121"/>
      <c r="BZ542" s="121"/>
    </row>
    <row r="543" spans="60:78">
      <c r="BH543" s="29"/>
      <c r="BI543" s="29"/>
      <c r="BJ543" s="29"/>
      <c r="BK543" s="29"/>
      <c r="BL543" s="29"/>
      <c r="BM543" s="121"/>
      <c r="BN543" s="121"/>
      <c r="BO543" s="121"/>
      <c r="BP543" s="121"/>
      <c r="BQ543" s="121"/>
      <c r="BR543" s="121"/>
      <c r="BS543" s="121"/>
      <c r="BT543" s="121"/>
      <c r="BU543" s="121"/>
      <c r="BV543" s="121"/>
      <c r="BW543" s="121"/>
      <c r="BX543" s="121"/>
      <c r="BY543" s="121"/>
      <c r="BZ543" s="121"/>
    </row>
    <row r="544" spans="60:78">
      <c r="BH544" s="29"/>
      <c r="BI544" s="29"/>
      <c r="BJ544" s="29"/>
      <c r="BK544" s="29"/>
      <c r="BL544" s="29"/>
      <c r="BM544" s="121"/>
      <c r="BN544" s="121"/>
      <c r="BO544" s="121"/>
      <c r="BP544" s="121"/>
      <c r="BQ544" s="121"/>
      <c r="BR544" s="121"/>
      <c r="BS544" s="121"/>
      <c r="BT544" s="121"/>
      <c r="BU544" s="121"/>
      <c r="BV544" s="121"/>
      <c r="BW544" s="121"/>
      <c r="BX544" s="121"/>
      <c r="BY544" s="121"/>
      <c r="BZ544" s="121"/>
    </row>
    <row r="545" spans="60:78">
      <c r="BH545" s="29"/>
      <c r="BI545" s="29"/>
      <c r="BJ545" s="29"/>
      <c r="BK545" s="29"/>
      <c r="BL545" s="29"/>
      <c r="BM545" s="121"/>
      <c r="BN545" s="121"/>
      <c r="BO545" s="121"/>
      <c r="BP545" s="121"/>
      <c r="BQ545" s="121"/>
      <c r="BR545" s="121"/>
      <c r="BS545" s="121"/>
      <c r="BT545" s="121"/>
      <c r="BU545" s="121"/>
      <c r="BV545" s="121"/>
      <c r="BW545" s="121"/>
      <c r="BX545" s="121"/>
      <c r="BY545" s="121"/>
      <c r="BZ545" s="121"/>
    </row>
    <row r="546" spans="60:78">
      <c r="BH546" s="29"/>
      <c r="BI546" s="29"/>
      <c r="BJ546" s="29"/>
      <c r="BK546" s="29"/>
      <c r="BL546" s="29"/>
      <c r="BM546" s="121"/>
      <c r="BN546" s="121"/>
      <c r="BO546" s="121"/>
      <c r="BP546" s="121"/>
      <c r="BQ546" s="121"/>
      <c r="BR546" s="121"/>
      <c r="BS546" s="121"/>
      <c r="BT546" s="121"/>
      <c r="BU546" s="121"/>
      <c r="BV546" s="121"/>
      <c r="BW546" s="121"/>
      <c r="BX546" s="121"/>
      <c r="BY546" s="121"/>
      <c r="BZ546" s="121"/>
    </row>
    <row r="547" spans="60:78">
      <c r="BH547" s="29"/>
      <c r="BI547" s="29"/>
      <c r="BJ547" s="29"/>
      <c r="BK547" s="29"/>
      <c r="BL547" s="29"/>
      <c r="BM547" s="121"/>
      <c r="BN547" s="121"/>
      <c r="BO547" s="121"/>
      <c r="BP547" s="121"/>
      <c r="BQ547" s="121"/>
      <c r="BR547" s="121"/>
      <c r="BS547" s="121"/>
      <c r="BT547" s="121"/>
      <c r="BU547" s="121"/>
      <c r="BV547" s="121"/>
      <c r="BW547" s="121"/>
      <c r="BX547" s="121"/>
      <c r="BY547" s="121"/>
      <c r="BZ547" s="121"/>
    </row>
    <row r="548" spans="60:78">
      <c r="BH548" s="29"/>
      <c r="BI548" s="29"/>
      <c r="BJ548" s="29"/>
      <c r="BK548" s="29"/>
      <c r="BL548" s="29"/>
      <c r="BM548" s="121"/>
      <c r="BN548" s="121"/>
      <c r="BO548" s="121"/>
      <c r="BP548" s="121"/>
      <c r="BQ548" s="121"/>
      <c r="BR548" s="121"/>
      <c r="BS548" s="121"/>
      <c r="BT548" s="121"/>
      <c r="BU548" s="121"/>
      <c r="BV548" s="121"/>
      <c r="BW548" s="121"/>
      <c r="BX548" s="121"/>
      <c r="BY548" s="121"/>
      <c r="BZ548" s="121"/>
    </row>
    <row r="549" spans="60:78">
      <c r="BH549" s="29"/>
      <c r="BI549" s="29"/>
      <c r="BJ549" s="29"/>
      <c r="BK549" s="29"/>
      <c r="BL549" s="29"/>
      <c r="BM549" s="121"/>
      <c r="BN549" s="121"/>
      <c r="BO549" s="121"/>
      <c r="BP549" s="121"/>
      <c r="BQ549" s="121"/>
      <c r="BR549" s="121"/>
      <c r="BS549" s="121"/>
      <c r="BT549" s="121"/>
      <c r="BU549" s="121"/>
      <c r="BV549" s="121"/>
      <c r="BW549" s="121"/>
      <c r="BX549" s="121"/>
      <c r="BY549" s="121"/>
      <c r="BZ549" s="121"/>
    </row>
    <row r="550" spans="60:78">
      <c r="BH550" s="29"/>
      <c r="BI550" s="29"/>
      <c r="BJ550" s="29"/>
      <c r="BK550" s="29"/>
      <c r="BL550" s="29"/>
      <c r="BM550" s="121"/>
      <c r="BN550" s="121"/>
      <c r="BO550" s="121"/>
      <c r="BP550" s="121"/>
      <c r="BQ550" s="121"/>
      <c r="BR550" s="121"/>
      <c r="BS550" s="121"/>
      <c r="BT550" s="121"/>
      <c r="BU550" s="121"/>
      <c r="BV550" s="121"/>
      <c r="BW550" s="121"/>
      <c r="BX550" s="121"/>
      <c r="BY550" s="121"/>
      <c r="BZ550" s="121"/>
    </row>
    <row r="551" spans="60:78">
      <c r="BH551" s="29"/>
      <c r="BI551" s="29"/>
      <c r="BJ551" s="29"/>
      <c r="BK551" s="29"/>
      <c r="BL551" s="29"/>
      <c r="BM551" s="121"/>
      <c r="BN551" s="121"/>
      <c r="BO551" s="121"/>
      <c r="BP551" s="121"/>
      <c r="BQ551" s="121"/>
      <c r="BR551" s="121"/>
      <c r="BS551" s="121"/>
      <c r="BT551" s="121"/>
      <c r="BU551" s="121"/>
      <c r="BV551" s="121"/>
      <c r="BW551" s="121"/>
      <c r="BX551" s="121"/>
      <c r="BY551" s="121"/>
      <c r="BZ551" s="121"/>
    </row>
    <row r="552" spans="60:78">
      <c r="BH552" s="29"/>
      <c r="BI552" s="29"/>
      <c r="BJ552" s="29"/>
      <c r="BK552" s="29"/>
      <c r="BL552" s="29"/>
      <c r="BM552" s="121"/>
      <c r="BN552" s="121"/>
      <c r="BO552" s="121"/>
      <c r="BP552" s="121"/>
      <c r="BQ552" s="121"/>
      <c r="BR552" s="121"/>
      <c r="BS552" s="121"/>
      <c r="BT552" s="121"/>
      <c r="BU552" s="121"/>
      <c r="BV552" s="121"/>
      <c r="BW552" s="121"/>
      <c r="BX552" s="121"/>
      <c r="BY552" s="121"/>
      <c r="BZ552" s="121"/>
    </row>
    <row r="553" spans="60:78">
      <c r="BH553" s="29"/>
      <c r="BI553" s="29"/>
      <c r="BJ553" s="29"/>
      <c r="BK553" s="29"/>
      <c r="BL553" s="29"/>
      <c r="BM553" s="121"/>
      <c r="BN553" s="121"/>
      <c r="BO553" s="121"/>
      <c r="BP553" s="121"/>
      <c r="BQ553" s="121"/>
      <c r="BR553" s="121"/>
      <c r="BS553" s="121"/>
      <c r="BT553" s="121"/>
      <c r="BU553" s="121"/>
      <c r="BV553" s="121"/>
      <c r="BW553" s="121"/>
      <c r="BX553" s="121"/>
      <c r="BY553" s="121"/>
      <c r="BZ553" s="121"/>
    </row>
    <row r="554" spans="60:78">
      <c r="BH554" s="29"/>
      <c r="BI554" s="29"/>
      <c r="BJ554" s="29"/>
      <c r="BK554" s="29"/>
      <c r="BL554" s="29"/>
      <c r="BM554" s="121"/>
      <c r="BN554" s="121"/>
      <c r="BO554" s="121"/>
      <c r="BP554" s="121"/>
      <c r="BQ554" s="121"/>
      <c r="BR554" s="121"/>
      <c r="BS554" s="121"/>
      <c r="BT554" s="121"/>
      <c r="BU554" s="121"/>
      <c r="BV554" s="121"/>
      <c r="BW554" s="121"/>
      <c r="BX554" s="121"/>
      <c r="BY554" s="121"/>
      <c r="BZ554" s="121"/>
    </row>
    <row r="555" spans="60:78">
      <c r="BH555" s="29"/>
      <c r="BI555" s="29"/>
      <c r="BJ555" s="29"/>
      <c r="BK555" s="29"/>
      <c r="BL555" s="29"/>
      <c r="BM555" s="121"/>
      <c r="BN555" s="121"/>
      <c r="BO555" s="121"/>
      <c r="BP555" s="121"/>
      <c r="BQ555" s="121"/>
      <c r="BR555" s="121"/>
      <c r="BS555" s="121"/>
      <c r="BT555" s="121"/>
      <c r="BU555" s="121"/>
      <c r="BV555" s="121"/>
      <c r="BW555" s="121"/>
      <c r="BX555" s="121"/>
      <c r="BY555" s="121"/>
      <c r="BZ555" s="121"/>
    </row>
    <row r="556" spans="60:78">
      <c r="BH556" s="29"/>
      <c r="BI556" s="29"/>
      <c r="BJ556" s="29"/>
      <c r="BK556" s="29"/>
      <c r="BL556" s="29"/>
      <c r="BM556" s="121"/>
      <c r="BN556" s="121"/>
      <c r="BO556" s="121"/>
      <c r="BP556" s="121"/>
      <c r="BQ556" s="121"/>
      <c r="BR556" s="121"/>
      <c r="BS556" s="121"/>
      <c r="BT556" s="121"/>
      <c r="BU556" s="121"/>
      <c r="BV556" s="121"/>
      <c r="BW556" s="121"/>
      <c r="BX556" s="121"/>
      <c r="BY556" s="121"/>
      <c r="BZ556" s="121"/>
    </row>
    <row r="557" spans="60:78">
      <c r="BH557" s="29"/>
      <c r="BI557" s="29"/>
      <c r="BJ557" s="29"/>
      <c r="BK557" s="29"/>
      <c r="BL557" s="29"/>
      <c r="BM557" s="121"/>
      <c r="BN557" s="121"/>
      <c r="BO557" s="121"/>
      <c r="BP557" s="121"/>
      <c r="BQ557" s="121"/>
      <c r="BR557" s="121"/>
      <c r="BS557" s="121"/>
      <c r="BT557" s="121"/>
      <c r="BU557" s="121"/>
      <c r="BV557" s="121"/>
      <c r="BW557" s="121"/>
      <c r="BX557" s="121"/>
      <c r="BY557" s="121"/>
      <c r="BZ557" s="121"/>
    </row>
    <row r="558" spans="60:78">
      <c r="BH558" s="29"/>
      <c r="BI558" s="29"/>
      <c r="BJ558" s="29"/>
      <c r="BK558" s="29"/>
      <c r="BL558" s="29"/>
      <c r="BM558" s="121"/>
      <c r="BN558" s="121"/>
      <c r="BO558" s="121"/>
      <c r="BP558" s="121"/>
      <c r="BQ558" s="121"/>
      <c r="BR558" s="121"/>
      <c r="BS558" s="121"/>
      <c r="BT558" s="121"/>
      <c r="BU558" s="121"/>
      <c r="BV558" s="121"/>
      <c r="BW558" s="121"/>
      <c r="BX558" s="121"/>
      <c r="BY558" s="121"/>
      <c r="BZ558" s="121"/>
    </row>
    <row r="559" spans="60:78">
      <c r="BH559" s="29"/>
      <c r="BI559" s="29"/>
      <c r="BJ559" s="29"/>
      <c r="BK559" s="29"/>
      <c r="BL559" s="29"/>
      <c r="BM559" s="121"/>
      <c r="BN559" s="121"/>
      <c r="BO559" s="121"/>
      <c r="BP559" s="121"/>
      <c r="BQ559" s="121"/>
      <c r="BR559" s="121"/>
      <c r="BS559" s="121"/>
      <c r="BT559" s="121"/>
      <c r="BU559" s="121"/>
      <c r="BV559" s="121"/>
      <c r="BW559" s="121"/>
      <c r="BX559" s="121"/>
      <c r="BY559" s="121"/>
      <c r="BZ559" s="121"/>
    </row>
    <row r="560" spans="60:78">
      <c r="BH560" s="29"/>
      <c r="BI560" s="29"/>
      <c r="BJ560" s="29"/>
      <c r="BK560" s="29"/>
      <c r="BL560" s="29"/>
      <c r="BM560" s="121"/>
      <c r="BN560" s="121"/>
      <c r="BO560" s="121"/>
      <c r="BP560" s="121"/>
      <c r="BQ560" s="121"/>
      <c r="BR560" s="121"/>
      <c r="BS560" s="121"/>
      <c r="BT560" s="121"/>
      <c r="BU560" s="121"/>
      <c r="BV560" s="121"/>
      <c r="BW560" s="121"/>
      <c r="BX560" s="121"/>
      <c r="BY560" s="121"/>
      <c r="BZ560" s="121"/>
    </row>
    <row r="561" spans="60:78">
      <c r="BH561" s="29"/>
      <c r="BI561" s="29"/>
      <c r="BJ561" s="29"/>
      <c r="BK561" s="29"/>
      <c r="BL561" s="29"/>
      <c r="BM561" s="121"/>
      <c r="BN561" s="121"/>
      <c r="BO561" s="121"/>
      <c r="BP561" s="121"/>
      <c r="BQ561" s="121"/>
      <c r="BR561" s="121"/>
      <c r="BS561" s="121"/>
      <c r="BT561" s="121"/>
      <c r="BU561" s="121"/>
      <c r="BV561" s="121"/>
      <c r="BW561" s="121"/>
      <c r="BX561" s="121"/>
      <c r="BY561" s="121"/>
      <c r="BZ561" s="121"/>
    </row>
    <row r="562" spans="60:78">
      <c r="BH562" s="29"/>
      <c r="BI562" s="29"/>
      <c r="BJ562" s="29"/>
      <c r="BK562" s="29"/>
      <c r="BL562" s="29"/>
      <c r="BM562" s="121"/>
      <c r="BN562" s="121"/>
      <c r="BO562" s="121"/>
      <c r="BP562" s="121"/>
      <c r="BQ562" s="121"/>
      <c r="BR562" s="121"/>
      <c r="BS562" s="121"/>
      <c r="BT562" s="121"/>
      <c r="BU562" s="121"/>
      <c r="BV562" s="121"/>
      <c r="BW562" s="121"/>
      <c r="BX562" s="121"/>
      <c r="BY562" s="121"/>
      <c r="BZ562" s="121"/>
    </row>
    <row r="563" spans="60:78">
      <c r="BH563" s="29"/>
      <c r="BI563" s="29"/>
      <c r="BJ563" s="29"/>
      <c r="BK563" s="29"/>
      <c r="BL563" s="29"/>
      <c r="BM563" s="121"/>
      <c r="BN563" s="121"/>
      <c r="BO563" s="121"/>
      <c r="BP563" s="121"/>
      <c r="BQ563" s="121"/>
      <c r="BR563" s="121"/>
      <c r="BS563" s="121"/>
      <c r="BT563" s="121"/>
      <c r="BU563" s="121"/>
      <c r="BV563" s="121"/>
      <c r="BW563" s="121"/>
      <c r="BX563" s="121"/>
      <c r="BY563" s="121"/>
      <c r="BZ563" s="121"/>
    </row>
    <row r="564" spans="60:78">
      <c r="BH564" s="29"/>
      <c r="BI564" s="29"/>
      <c r="BJ564" s="29"/>
      <c r="BK564" s="29"/>
      <c r="BL564" s="29"/>
      <c r="BM564" s="121"/>
      <c r="BN564" s="121"/>
      <c r="BO564" s="121"/>
      <c r="BP564" s="121"/>
      <c r="BQ564" s="121"/>
      <c r="BR564" s="121"/>
      <c r="BS564" s="121"/>
      <c r="BT564" s="121"/>
      <c r="BU564" s="121"/>
      <c r="BV564" s="121"/>
      <c r="BW564" s="121"/>
      <c r="BX564" s="121"/>
      <c r="BY564" s="121"/>
      <c r="BZ564" s="121"/>
    </row>
    <row r="565" spans="60:78">
      <c r="BH565" s="29"/>
      <c r="BI565" s="29"/>
      <c r="BJ565" s="29"/>
      <c r="BK565" s="29"/>
      <c r="BL565" s="29"/>
      <c r="BM565" s="121"/>
      <c r="BN565" s="121"/>
      <c r="BO565" s="121"/>
      <c r="BP565" s="121"/>
      <c r="BQ565" s="121"/>
      <c r="BR565" s="121"/>
      <c r="BS565" s="121"/>
      <c r="BT565" s="121"/>
      <c r="BU565" s="121"/>
      <c r="BV565" s="121"/>
      <c r="BW565" s="121"/>
      <c r="BX565" s="121"/>
      <c r="BY565" s="121"/>
      <c r="BZ565" s="121"/>
    </row>
    <row r="566" spans="60:78">
      <c r="BH566" s="29"/>
      <c r="BI566" s="29"/>
      <c r="BJ566" s="29"/>
      <c r="BK566" s="29"/>
      <c r="BL566" s="29"/>
      <c r="BM566" s="121"/>
      <c r="BN566" s="121"/>
      <c r="BO566" s="121"/>
      <c r="BP566" s="121"/>
      <c r="BQ566" s="121"/>
      <c r="BR566" s="121"/>
      <c r="BS566" s="121"/>
      <c r="BT566" s="121"/>
      <c r="BU566" s="121"/>
      <c r="BV566" s="121"/>
      <c r="BW566" s="121"/>
      <c r="BX566" s="121"/>
      <c r="BY566" s="121"/>
      <c r="BZ566" s="121"/>
    </row>
    <row r="567" spans="60:78">
      <c r="BH567" s="29"/>
      <c r="BI567" s="29"/>
      <c r="BJ567" s="29"/>
      <c r="BK567" s="29"/>
      <c r="BL567" s="29"/>
      <c r="BM567" s="121"/>
      <c r="BN567" s="121"/>
      <c r="BO567" s="121"/>
      <c r="BP567" s="121"/>
      <c r="BQ567" s="121"/>
      <c r="BR567" s="121"/>
      <c r="BS567" s="121"/>
      <c r="BT567" s="121"/>
      <c r="BU567" s="121"/>
      <c r="BV567" s="121"/>
      <c r="BW567" s="121"/>
      <c r="BX567" s="121"/>
      <c r="BY567" s="121"/>
      <c r="BZ567" s="121"/>
    </row>
    <row r="568" spans="60:78">
      <c r="BH568" s="29"/>
      <c r="BI568" s="29"/>
      <c r="BJ568" s="29"/>
      <c r="BK568" s="29"/>
      <c r="BL568" s="29"/>
      <c r="BM568" s="121"/>
      <c r="BN568" s="121"/>
      <c r="BO568" s="121"/>
      <c r="BP568" s="121"/>
      <c r="BQ568" s="121"/>
      <c r="BR568" s="121"/>
      <c r="BS568" s="121"/>
      <c r="BT568" s="121"/>
      <c r="BU568" s="121"/>
      <c r="BV568" s="121"/>
      <c r="BW568" s="121"/>
      <c r="BX568" s="121"/>
      <c r="BY568" s="121"/>
      <c r="BZ568" s="121"/>
    </row>
    <row r="569" spans="60:78">
      <c r="BH569" s="29"/>
      <c r="BI569" s="29"/>
      <c r="BJ569" s="29"/>
      <c r="BK569" s="29"/>
      <c r="BL569" s="29"/>
      <c r="BM569" s="121"/>
      <c r="BN569" s="121"/>
      <c r="BO569" s="121"/>
      <c r="BP569" s="121"/>
      <c r="BQ569" s="121"/>
      <c r="BR569" s="121"/>
      <c r="BS569" s="121"/>
      <c r="BT569" s="121"/>
      <c r="BU569" s="121"/>
      <c r="BV569" s="121"/>
      <c r="BW569" s="121"/>
      <c r="BX569" s="121"/>
      <c r="BY569" s="121"/>
      <c r="BZ569" s="121"/>
    </row>
    <row r="570" spans="60:78">
      <c r="BH570" s="29"/>
      <c r="BI570" s="29"/>
      <c r="BJ570" s="29"/>
      <c r="BK570" s="29"/>
      <c r="BL570" s="29"/>
      <c r="BM570" s="121"/>
      <c r="BN570" s="121"/>
      <c r="BO570" s="121"/>
      <c r="BP570" s="121"/>
      <c r="BQ570" s="121"/>
      <c r="BR570" s="121"/>
      <c r="BS570" s="121"/>
      <c r="BT570" s="121"/>
      <c r="BU570" s="121"/>
      <c r="BV570" s="121"/>
      <c r="BW570" s="121"/>
      <c r="BX570" s="121"/>
      <c r="BY570" s="121"/>
      <c r="BZ570" s="121"/>
    </row>
    <row r="571" spans="60:78">
      <c r="BH571" s="29"/>
      <c r="BI571" s="29"/>
      <c r="BJ571" s="29"/>
      <c r="BK571" s="29"/>
      <c r="BL571" s="29"/>
      <c r="BM571" s="121"/>
      <c r="BN571" s="121"/>
      <c r="BO571" s="121"/>
      <c r="BP571" s="121"/>
      <c r="BQ571" s="121"/>
      <c r="BR571" s="121"/>
      <c r="BS571" s="121"/>
      <c r="BT571" s="121"/>
      <c r="BU571" s="121"/>
      <c r="BV571" s="121"/>
      <c r="BW571" s="121"/>
      <c r="BX571" s="121"/>
      <c r="BY571" s="121"/>
      <c r="BZ571" s="121"/>
    </row>
    <row r="572" spans="60:78">
      <c r="BH572" s="29"/>
      <c r="BI572" s="29"/>
      <c r="BJ572" s="29"/>
      <c r="BK572" s="29"/>
      <c r="BL572" s="29"/>
      <c r="BM572" s="121"/>
      <c r="BN572" s="121"/>
      <c r="BO572" s="121"/>
      <c r="BP572" s="121"/>
      <c r="BQ572" s="121"/>
      <c r="BR572" s="121"/>
      <c r="BS572" s="121"/>
      <c r="BT572" s="121"/>
      <c r="BU572" s="121"/>
      <c r="BV572" s="121"/>
      <c r="BW572" s="121"/>
      <c r="BX572" s="121"/>
      <c r="BY572" s="121"/>
      <c r="BZ572" s="121"/>
    </row>
    <row r="573" spans="60:78">
      <c r="BH573" s="29"/>
      <c r="BI573" s="29"/>
      <c r="BJ573" s="29"/>
      <c r="BK573" s="29"/>
      <c r="BL573" s="29"/>
      <c r="BM573" s="121"/>
      <c r="BN573" s="121"/>
      <c r="BO573" s="121"/>
      <c r="BP573" s="121"/>
      <c r="BQ573" s="121"/>
      <c r="BR573" s="121"/>
      <c r="BS573" s="121"/>
      <c r="BT573" s="121"/>
      <c r="BU573" s="121"/>
      <c r="BV573" s="121"/>
      <c r="BW573" s="121"/>
      <c r="BX573" s="121"/>
      <c r="BY573" s="121"/>
      <c r="BZ573" s="121"/>
    </row>
    <row r="574" spans="60:78">
      <c r="BH574" s="29"/>
      <c r="BI574" s="29"/>
      <c r="BJ574" s="29"/>
      <c r="BK574" s="29"/>
      <c r="BL574" s="29"/>
      <c r="BM574" s="121"/>
      <c r="BN574" s="121"/>
      <c r="BO574" s="121"/>
      <c r="BP574" s="121"/>
      <c r="BQ574" s="121"/>
      <c r="BR574" s="121"/>
      <c r="BS574" s="121"/>
      <c r="BT574" s="121"/>
      <c r="BU574" s="121"/>
      <c r="BV574" s="121"/>
      <c r="BW574" s="121"/>
      <c r="BX574" s="121"/>
      <c r="BY574" s="121"/>
      <c r="BZ574" s="121"/>
    </row>
    <row r="575" spans="60:78">
      <c r="BH575" s="29"/>
      <c r="BI575" s="29"/>
      <c r="BJ575" s="29"/>
      <c r="BK575" s="29"/>
      <c r="BL575" s="29"/>
      <c r="BM575" s="121"/>
      <c r="BN575" s="121"/>
      <c r="BO575" s="121"/>
      <c r="BP575" s="121"/>
      <c r="BQ575" s="121"/>
      <c r="BR575" s="121"/>
      <c r="BS575" s="121"/>
      <c r="BT575" s="121"/>
      <c r="BU575" s="121"/>
      <c r="BV575" s="121"/>
      <c r="BW575" s="121"/>
      <c r="BX575" s="121"/>
      <c r="BY575" s="121"/>
      <c r="BZ575" s="121"/>
    </row>
    <row r="576" spans="60:78">
      <c r="BH576" s="29"/>
      <c r="BI576" s="29"/>
      <c r="BJ576" s="29"/>
      <c r="BK576" s="29"/>
      <c r="BL576" s="29"/>
      <c r="BM576" s="121"/>
      <c r="BN576" s="121"/>
      <c r="BO576" s="121"/>
      <c r="BP576" s="121"/>
      <c r="BQ576" s="121"/>
      <c r="BR576" s="121"/>
      <c r="BS576" s="121"/>
      <c r="BT576" s="121"/>
      <c r="BU576" s="121"/>
      <c r="BV576" s="121"/>
      <c r="BW576" s="121"/>
      <c r="BX576" s="121"/>
      <c r="BY576" s="121"/>
      <c r="BZ576" s="121"/>
    </row>
    <row r="577" spans="60:78">
      <c r="BH577" s="29"/>
      <c r="BI577" s="29"/>
      <c r="BJ577" s="29"/>
      <c r="BK577" s="29"/>
      <c r="BL577" s="29"/>
      <c r="BM577" s="121"/>
      <c r="BN577" s="121"/>
      <c r="BO577" s="121"/>
      <c r="BP577" s="121"/>
      <c r="BQ577" s="121"/>
      <c r="BR577" s="121"/>
      <c r="BS577" s="121"/>
      <c r="BT577" s="121"/>
      <c r="BU577" s="121"/>
      <c r="BV577" s="121"/>
      <c r="BW577" s="121"/>
      <c r="BX577" s="121"/>
      <c r="BY577" s="121"/>
      <c r="BZ577" s="121"/>
    </row>
    <row r="578" spans="60:78">
      <c r="BH578" s="29"/>
      <c r="BI578" s="29"/>
      <c r="BJ578" s="29"/>
      <c r="BK578" s="29"/>
      <c r="BL578" s="29"/>
      <c r="BM578" s="121"/>
      <c r="BN578" s="121"/>
      <c r="BO578" s="121"/>
      <c r="BP578" s="121"/>
      <c r="BQ578" s="121"/>
      <c r="BR578" s="121"/>
      <c r="BS578" s="121"/>
      <c r="BT578" s="121"/>
      <c r="BU578" s="121"/>
      <c r="BV578" s="121"/>
      <c r="BW578" s="121"/>
      <c r="BX578" s="121"/>
      <c r="BY578" s="121"/>
      <c r="BZ578" s="121"/>
    </row>
    <row r="579" spans="60:78">
      <c r="BH579" s="29"/>
      <c r="BI579" s="29"/>
      <c r="BJ579" s="29"/>
      <c r="BK579" s="29"/>
      <c r="BL579" s="29"/>
      <c r="BM579" s="121"/>
      <c r="BN579" s="121"/>
      <c r="BO579" s="121"/>
      <c r="BP579" s="121"/>
      <c r="BQ579" s="121"/>
      <c r="BR579" s="121"/>
      <c r="BS579" s="121"/>
      <c r="BT579" s="121"/>
      <c r="BU579" s="121"/>
      <c r="BV579" s="121"/>
      <c r="BW579" s="121"/>
      <c r="BX579" s="121"/>
      <c r="BY579" s="121"/>
      <c r="BZ579" s="121"/>
    </row>
    <row r="580" spans="60:78">
      <c r="BH580" s="29"/>
      <c r="BI580" s="29"/>
      <c r="BJ580" s="29"/>
      <c r="BK580" s="29"/>
      <c r="BL580" s="29"/>
      <c r="BM580" s="121"/>
      <c r="BN580" s="121"/>
      <c r="BO580" s="121"/>
      <c r="BP580" s="121"/>
      <c r="BQ580" s="121"/>
      <c r="BR580" s="121"/>
      <c r="BS580" s="121"/>
      <c r="BT580" s="121"/>
      <c r="BU580" s="121"/>
      <c r="BV580" s="121"/>
      <c r="BW580" s="121"/>
      <c r="BX580" s="121"/>
      <c r="BY580" s="121"/>
      <c r="BZ580" s="121"/>
    </row>
    <row r="581" spans="60:78">
      <c r="BH581" s="29"/>
      <c r="BI581" s="29"/>
      <c r="BJ581" s="29"/>
      <c r="BK581" s="29"/>
      <c r="BL581" s="29"/>
      <c r="BM581" s="121"/>
      <c r="BN581" s="121"/>
      <c r="BO581" s="121"/>
      <c r="BP581" s="121"/>
      <c r="BQ581" s="121"/>
      <c r="BR581" s="121"/>
      <c r="BS581" s="121"/>
      <c r="BT581" s="121"/>
      <c r="BU581" s="121"/>
      <c r="BV581" s="121"/>
      <c r="BW581" s="121"/>
      <c r="BX581" s="121"/>
      <c r="BY581" s="121"/>
      <c r="BZ581" s="121"/>
    </row>
    <row r="582" spans="60:78">
      <c r="BH582" s="29"/>
      <c r="BI582" s="29"/>
      <c r="BJ582" s="29"/>
      <c r="BK582" s="29"/>
      <c r="BL582" s="29"/>
      <c r="BM582" s="121"/>
      <c r="BN582" s="121"/>
      <c r="BO582" s="121"/>
      <c r="BP582" s="121"/>
      <c r="BQ582" s="121"/>
      <c r="BR582" s="121"/>
      <c r="BS582" s="121"/>
      <c r="BT582" s="121"/>
      <c r="BU582" s="121"/>
      <c r="BV582" s="121"/>
      <c r="BW582" s="121"/>
      <c r="BX582" s="121"/>
      <c r="BY582" s="121"/>
      <c r="BZ582" s="121"/>
    </row>
    <row r="583" spans="60:78">
      <c r="BH583" s="29"/>
      <c r="BI583" s="29"/>
      <c r="BJ583" s="29"/>
      <c r="BK583" s="29"/>
      <c r="BL583" s="29"/>
      <c r="BM583" s="121"/>
      <c r="BN583" s="121"/>
      <c r="BO583" s="121"/>
      <c r="BP583" s="121"/>
      <c r="BQ583" s="121"/>
      <c r="BR583" s="121"/>
      <c r="BS583" s="121"/>
      <c r="BT583" s="121"/>
      <c r="BU583" s="121"/>
      <c r="BV583" s="121"/>
      <c r="BW583" s="121"/>
      <c r="BX583" s="121"/>
      <c r="BY583" s="121"/>
      <c r="BZ583" s="121"/>
    </row>
    <row r="584" spans="60:78">
      <c r="BH584" s="29"/>
      <c r="BI584" s="29"/>
      <c r="BJ584" s="29"/>
      <c r="BK584" s="29"/>
      <c r="BL584" s="29"/>
      <c r="BM584" s="121"/>
      <c r="BN584" s="121"/>
      <c r="BO584" s="121"/>
      <c r="BP584" s="121"/>
      <c r="BQ584" s="121"/>
      <c r="BR584" s="121"/>
      <c r="BS584" s="121"/>
      <c r="BT584" s="121"/>
      <c r="BU584" s="121"/>
      <c r="BV584" s="121"/>
      <c r="BW584" s="121"/>
      <c r="BX584" s="121"/>
      <c r="BY584" s="121"/>
      <c r="BZ584" s="121"/>
    </row>
    <row r="585" spans="60:78">
      <c r="BH585" s="29"/>
      <c r="BI585" s="29"/>
      <c r="BJ585" s="29"/>
      <c r="BK585" s="29"/>
      <c r="BL585" s="29"/>
      <c r="BM585" s="121"/>
      <c r="BN585" s="121"/>
      <c r="BO585" s="121"/>
      <c r="BP585" s="121"/>
      <c r="BQ585" s="121"/>
      <c r="BR585" s="121"/>
      <c r="BS585" s="121"/>
      <c r="BT585" s="121"/>
      <c r="BU585" s="121"/>
      <c r="BV585" s="121"/>
      <c r="BW585" s="121"/>
      <c r="BX585" s="121"/>
      <c r="BY585" s="121"/>
      <c r="BZ585" s="121"/>
    </row>
    <row r="586" spans="60:78">
      <c r="BH586" s="29"/>
      <c r="BI586" s="29"/>
      <c r="BJ586" s="29"/>
      <c r="BK586" s="29"/>
      <c r="BL586" s="29"/>
      <c r="BM586" s="121"/>
      <c r="BN586" s="121"/>
      <c r="BO586" s="121"/>
      <c r="BP586" s="121"/>
      <c r="BQ586" s="121"/>
      <c r="BR586" s="121"/>
      <c r="BS586" s="121"/>
      <c r="BT586" s="121"/>
      <c r="BU586" s="121"/>
      <c r="BV586" s="121"/>
      <c r="BW586" s="121"/>
      <c r="BX586" s="121"/>
      <c r="BY586" s="121"/>
      <c r="BZ586" s="121"/>
    </row>
    <row r="587" spans="60:78">
      <c r="BH587" s="29"/>
      <c r="BI587" s="29"/>
      <c r="BJ587" s="29"/>
      <c r="BK587" s="29"/>
      <c r="BL587" s="29"/>
      <c r="BM587" s="121"/>
      <c r="BN587" s="121"/>
      <c r="BO587" s="121"/>
      <c r="BP587" s="121"/>
      <c r="BQ587" s="121"/>
      <c r="BR587" s="121"/>
      <c r="BS587" s="121"/>
      <c r="BT587" s="121"/>
      <c r="BU587" s="121"/>
      <c r="BV587" s="121"/>
      <c r="BW587" s="121"/>
      <c r="BX587" s="121"/>
      <c r="BY587" s="121"/>
      <c r="BZ587" s="121"/>
    </row>
    <row r="588" spans="60:78">
      <c r="BH588" s="29"/>
      <c r="BI588" s="29"/>
      <c r="BJ588" s="29"/>
      <c r="BK588" s="29"/>
      <c r="BL588" s="29"/>
      <c r="BM588" s="121"/>
      <c r="BN588" s="121"/>
      <c r="BO588" s="121"/>
      <c r="BP588" s="121"/>
      <c r="BQ588" s="121"/>
      <c r="BR588" s="121"/>
      <c r="BS588" s="121"/>
      <c r="BT588" s="121"/>
      <c r="BU588" s="121"/>
      <c r="BV588" s="121"/>
      <c r="BW588" s="121"/>
      <c r="BX588" s="121"/>
      <c r="BY588" s="121"/>
      <c r="BZ588" s="121"/>
    </row>
    <row r="589" spans="60:78">
      <c r="BH589" s="29"/>
      <c r="BI589" s="29"/>
      <c r="BJ589" s="29"/>
      <c r="BK589" s="29"/>
      <c r="BL589" s="29"/>
      <c r="BM589" s="121"/>
      <c r="BN589" s="121"/>
      <c r="BO589" s="121"/>
      <c r="BP589" s="121"/>
      <c r="BQ589" s="121"/>
      <c r="BR589" s="121"/>
      <c r="BS589" s="121"/>
      <c r="BT589" s="121"/>
      <c r="BU589" s="121"/>
      <c r="BV589" s="121"/>
      <c r="BW589" s="121"/>
      <c r="BX589" s="121"/>
      <c r="BY589" s="121"/>
      <c r="BZ589" s="121"/>
    </row>
    <row r="590" spans="60:78">
      <c r="BH590" s="29"/>
      <c r="BI590" s="29"/>
      <c r="BJ590" s="29"/>
      <c r="BK590" s="29"/>
      <c r="BL590" s="29"/>
      <c r="BM590" s="121"/>
      <c r="BN590" s="121"/>
      <c r="BO590" s="121"/>
      <c r="BP590" s="121"/>
      <c r="BQ590" s="121"/>
      <c r="BR590" s="121"/>
      <c r="BS590" s="121"/>
      <c r="BT590" s="121"/>
      <c r="BU590" s="121"/>
      <c r="BV590" s="121"/>
      <c r="BW590" s="121"/>
      <c r="BX590" s="121"/>
      <c r="BY590" s="121"/>
      <c r="BZ590" s="121"/>
    </row>
    <row r="591" spans="60:78">
      <c r="BH591" s="29"/>
      <c r="BI591" s="29"/>
      <c r="BJ591" s="29"/>
      <c r="BK591" s="29"/>
      <c r="BL591" s="29"/>
      <c r="BM591" s="121"/>
      <c r="BN591" s="121"/>
      <c r="BO591" s="121"/>
      <c r="BP591" s="121"/>
      <c r="BQ591" s="121"/>
      <c r="BR591" s="121"/>
      <c r="BS591" s="121"/>
      <c r="BT591" s="121"/>
      <c r="BU591" s="121"/>
      <c r="BV591" s="121"/>
      <c r="BW591" s="121"/>
      <c r="BX591" s="121"/>
      <c r="BY591" s="121"/>
      <c r="BZ591" s="121"/>
    </row>
    <row r="592" spans="60:78">
      <c r="BH592" s="29"/>
      <c r="BI592" s="29"/>
      <c r="BJ592" s="29"/>
      <c r="BK592" s="29"/>
      <c r="BL592" s="29"/>
      <c r="BM592" s="121"/>
      <c r="BN592" s="121"/>
      <c r="BO592" s="121"/>
      <c r="BP592" s="121"/>
      <c r="BQ592" s="121"/>
      <c r="BR592" s="121"/>
      <c r="BS592" s="121"/>
      <c r="BT592" s="121"/>
      <c r="BU592" s="121"/>
      <c r="BV592" s="121"/>
      <c r="BW592" s="121"/>
      <c r="BX592" s="121"/>
      <c r="BY592" s="121"/>
      <c r="BZ592" s="121"/>
    </row>
    <row r="593" spans="60:78">
      <c r="BH593" s="29"/>
      <c r="BI593" s="29"/>
      <c r="BJ593" s="29"/>
      <c r="BK593" s="29"/>
      <c r="BL593" s="29"/>
      <c r="BM593" s="121"/>
      <c r="BN593" s="121"/>
      <c r="BO593" s="121"/>
      <c r="BP593" s="121"/>
      <c r="BQ593" s="121"/>
      <c r="BR593" s="121"/>
      <c r="BS593" s="121"/>
      <c r="BT593" s="121"/>
      <c r="BU593" s="121"/>
      <c r="BV593" s="121"/>
      <c r="BW593" s="121"/>
      <c r="BX593" s="121"/>
      <c r="BY593" s="121"/>
      <c r="BZ593" s="121"/>
    </row>
    <row r="594" spans="60:78">
      <c r="BH594" s="29"/>
      <c r="BI594" s="29"/>
      <c r="BJ594" s="29"/>
      <c r="BK594" s="29"/>
      <c r="BL594" s="29"/>
      <c r="BM594" s="121"/>
      <c r="BN594" s="121"/>
      <c r="BO594" s="121"/>
      <c r="BP594" s="121"/>
      <c r="BQ594" s="121"/>
      <c r="BR594" s="121"/>
      <c r="BS594" s="121"/>
      <c r="BT594" s="121"/>
      <c r="BU594" s="121"/>
      <c r="BV594" s="121"/>
      <c r="BW594" s="121"/>
      <c r="BX594" s="121"/>
      <c r="BY594" s="121"/>
      <c r="BZ594" s="121"/>
    </row>
    <row r="595" spans="60:78">
      <c r="BH595" s="29"/>
      <c r="BI595" s="29"/>
      <c r="BJ595" s="29"/>
      <c r="BK595" s="29"/>
      <c r="BL595" s="29"/>
      <c r="BM595" s="121"/>
      <c r="BN595" s="121"/>
      <c r="BO595" s="121"/>
      <c r="BP595" s="121"/>
      <c r="BQ595" s="121"/>
      <c r="BR595" s="121"/>
      <c r="BS595" s="121"/>
      <c r="BT595" s="121"/>
      <c r="BU595" s="121"/>
      <c r="BV595" s="121"/>
      <c r="BW595" s="121"/>
      <c r="BX595" s="121"/>
      <c r="BY595" s="121"/>
      <c r="BZ595" s="121"/>
    </row>
    <row r="596" spans="60:78">
      <c r="BH596" s="29"/>
      <c r="BI596" s="29"/>
      <c r="BJ596" s="29"/>
      <c r="BK596" s="29"/>
      <c r="BL596" s="29"/>
      <c r="BM596" s="121"/>
      <c r="BN596" s="121"/>
      <c r="BO596" s="121"/>
      <c r="BP596" s="121"/>
      <c r="BQ596" s="121"/>
      <c r="BR596" s="121"/>
      <c r="BS596" s="121"/>
      <c r="BT596" s="121"/>
      <c r="BU596" s="121"/>
      <c r="BV596" s="121"/>
      <c r="BW596" s="121"/>
      <c r="BX596" s="121"/>
      <c r="BY596" s="121"/>
      <c r="BZ596" s="121"/>
    </row>
    <row r="597" spans="60:78">
      <c r="BH597" s="29"/>
      <c r="BI597" s="29"/>
      <c r="BJ597" s="29"/>
      <c r="BK597" s="29"/>
      <c r="BL597" s="29"/>
      <c r="BM597" s="121"/>
      <c r="BN597" s="121"/>
      <c r="BO597" s="121"/>
      <c r="BP597" s="121"/>
      <c r="BQ597" s="121"/>
      <c r="BR597" s="121"/>
      <c r="BS597" s="121"/>
      <c r="BT597" s="121"/>
      <c r="BU597" s="121"/>
      <c r="BV597" s="121"/>
      <c r="BW597" s="121"/>
      <c r="BX597" s="121"/>
      <c r="BY597" s="121"/>
      <c r="BZ597" s="121"/>
    </row>
    <row r="598" spans="60:78">
      <c r="BH598" s="29"/>
      <c r="BI598" s="29"/>
      <c r="BJ598" s="29"/>
      <c r="BK598" s="29"/>
      <c r="BL598" s="29"/>
      <c r="BM598" s="121"/>
      <c r="BN598" s="121"/>
      <c r="BO598" s="121"/>
      <c r="BP598" s="121"/>
      <c r="BQ598" s="121"/>
      <c r="BR598" s="121"/>
      <c r="BS598" s="121"/>
      <c r="BT598" s="121"/>
      <c r="BU598" s="121"/>
      <c r="BV598" s="121"/>
      <c r="BW598" s="121"/>
      <c r="BX598" s="121"/>
      <c r="BY598" s="121"/>
      <c r="BZ598" s="121"/>
    </row>
    <row r="599" spans="60:78">
      <c r="BH599" s="29"/>
      <c r="BI599" s="29"/>
      <c r="BJ599" s="29"/>
      <c r="BK599" s="29"/>
      <c r="BL599" s="29"/>
      <c r="BM599" s="121"/>
      <c r="BN599" s="121"/>
      <c r="BO599" s="121"/>
      <c r="BP599" s="121"/>
      <c r="BQ599" s="121"/>
      <c r="BR599" s="121"/>
      <c r="BS599" s="121"/>
      <c r="BT599" s="121"/>
      <c r="BU599" s="121"/>
      <c r="BV599" s="121"/>
      <c r="BW599" s="121"/>
      <c r="BX599" s="121"/>
      <c r="BY599" s="121"/>
      <c r="BZ599" s="121"/>
    </row>
    <row r="600" spans="60:78">
      <c r="BH600" s="29"/>
      <c r="BI600" s="29"/>
      <c r="BJ600" s="29"/>
      <c r="BK600" s="29"/>
      <c r="BL600" s="29"/>
      <c r="BM600" s="121"/>
      <c r="BN600" s="121"/>
      <c r="BO600" s="121"/>
      <c r="BP600" s="121"/>
      <c r="BQ600" s="121"/>
      <c r="BR600" s="121"/>
      <c r="BS600" s="121"/>
      <c r="BT600" s="121"/>
      <c r="BU600" s="121"/>
      <c r="BV600" s="121"/>
      <c r="BW600" s="121"/>
      <c r="BX600" s="121"/>
      <c r="BY600" s="121"/>
      <c r="BZ600" s="121"/>
    </row>
    <row r="601" spans="60:78">
      <c r="BH601" s="29"/>
      <c r="BI601" s="29"/>
      <c r="BJ601" s="29"/>
      <c r="BK601" s="29"/>
      <c r="BL601" s="29"/>
      <c r="BM601" s="121"/>
      <c r="BN601" s="121"/>
      <c r="BO601" s="121"/>
      <c r="BP601" s="121"/>
      <c r="BQ601" s="121"/>
      <c r="BR601" s="121"/>
      <c r="BS601" s="121"/>
      <c r="BT601" s="121"/>
      <c r="BU601" s="121"/>
      <c r="BV601" s="121"/>
      <c r="BW601" s="121"/>
      <c r="BX601" s="121"/>
      <c r="BY601" s="121"/>
      <c r="BZ601" s="121"/>
    </row>
    <row r="602" spans="60:78">
      <c r="BH602" s="29"/>
      <c r="BI602" s="29"/>
      <c r="BJ602" s="29"/>
      <c r="BK602" s="29"/>
      <c r="BL602" s="29"/>
      <c r="BM602" s="121"/>
      <c r="BN602" s="121"/>
      <c r="BO602" s="121"/>
      <c r="BP602" s="121"/>
      <c r="BQ602" s="121"/>
      <c r="BR602" s="121"/>
      <c r="BS602" s="121"/>
      <c r="BT602" s="121"/>
      <c r="BU602" s="121"/>
      <c r="BV602" s="121"/>
      <c r="BW602" s="121"/>
      <c r="BX602" s="121"/>
      <c r="BY602" s="121"/>
      <c r="BZ602" s="121"/>
    </row>
    <row r="603" spans="60:78">
      <c r="BH603" s="29"/>
      <c r="BI603" s="29"/>
      <c r="BJ603" s="29"/>
      <c r="BK603" s="29"/>
      <c r="BL603" s="29"/>
      <c r="BM603" s="121"/>
      <c r="BN603" s="121"/>
      <c r="BO603" s="121"/>
      <c r="BP603" s="121"/>
      <c r="BQ603" s="121"/>
      <c r="BR603" s="121"/>
      <c r="BS603" s="121"/>
      <c r="BT603" s="121"/>
      <c r="BU603" s="121"/>
      <c r="BV603" s="121"/>
      <c r="BW603" s="121"/>
      <c r="BX603" s="121"/>
      <c r="BY603" s="121"/>
      <c r="BZ603" s="121"/>
    </row>
    <row r="604" spans="60:78">
      <c r="BH604" s="29"/>
      <c r="BI604" s="29"/>
      <c r="BJ604" s="29"/>
      <c r="BK604" s="29"/>
      <c r="BL604" s="29"/>
      <c r="BM604" s="121"/>
      <c r="BN604" s="121"/>
      <c r="BO604" s="121"/>
      <c r="BP604" s="121"/>
      <c r="BQ604" s="121"/>
      <c r="BR604" s="121"/>
      <c r="BS604" s="121"/>
      <c r="BT604" s="121"/>
      <c r="BU604" s="121"/>
      <c r="BV604" s="121"/>
      <c r="BW604" s="121"/>
      <c r="BX604" s="121"/>
      <c r="BY604" s="121"/>
      <c r="BZ604" s="121"/>
    </row>
    <row r="605" spans="60:78">
      <c r="BH605" s="29"/>
      <c r="BI605" s="29"/>
      <c r="BJ605" s="29"/>
      <c r="BK605" s="29"/>
      <c r="BL605" s="29"/>
      <c r="BM605" s="121"/>
      <c r="BN605" s="121"/>
      <c r="BO605" s="121"/>
      <c r="BP605" s="121"/>
      <c r="BQ605" s="121"/>
      <c r="BR605" s="121"/>
      <c r="BS605" s="121"/>
      <c r="BT605" s="121"/>
      <c r="BU605" s="121"/>
      <c r="BV605" s="121"/>
      <c r="BW605" s="121"/>
      <c r="BX605" s="121"/>
      <c r="BY605" s="121"/>
      <c r="BZ605" s="121"/>
    </row>
    <row r="606" spans="60:78">
      <c r="BH606" s="29"/>
      <c r="BI606" s="29"/>
      <c r="BJ606" s="29"/>
      <c r="BK606" s="29"/>
      <c r="BL606" s="29"/>
      <c r="BM606" s="121"/>
      <c r="BN606" s="121"/>
      <c r="BO606" s="121"/>
      <c r="BP606" s="121"/>
      <c r="BQ606" s="121"/>
      <c r="BR606" s="121"/>
      <c r="BS606" s="121"/>
      <c r="BT606" s="121"/>
      <c r="BU606" s="121"/>
      <c r="BV606" s="121"/>
      <c r="BW606" s="121"/>
      <c r="BX606" s="121"/>
      <c r="BY606" s="121"/>
      <c r="BZ606" s="121"/>
    </row>
    <row r="607" spans="60:78">
      <c r="BH607" s="29"/>
      <c r="BI607" s="29"/>
      <c r="BJ607" s="29"/>
      <c r="BK607" s="29"/>
      <c r="BL607" s="29"/>
      <c r="BM607" s="121"/>
      <c r="BN607" s="121"/>
      <c r="BO607" s="121"/>
      <c r="BP607" s="121"/>
      <c r="BQ607" s="121"/>
      <c r="BR607" s="121"/>
      <c r="BS607" s="121"/>
      <c r="BT607" s="121"/>
      <c r="BU607" s="121"/>
      <c r="BV607" s="121"/>
      <c r="BW607" s="121"/>
      <c r="BX607" s="121"/>
      <c r="BY607" s="121"/>
      <c r="BZ607" s="121"/>
    </row>
    <row r="608" spans="60:78">
      <c r="BH608" s="29"/>
      <c r="BI608" s="29"/>
      <c r="BJ608" s="29"/>
      <c r="BK608" s="29"/>
      <c r="BL608" s="29"/>
      <c r="BM608" s="121"/>
      <c r="BN608" s="121"/>
      <c r="BO608" s="121"/>
      <c r="BP608" s="121"/>
      <c r="BQ608" s="121"/>
      <c r="BR608" s="121"/>
      <c r="BS608" s="121"/>
      <c r="BT608" s="121"/>
      <c r="BU608" s="121"/>
      <c r="BV608" s="121"/>
      <c r="BW608" s="121"/>
      <c r="BX608" s="121"/>
      <c r="BY608" s="121"/>
      <c r="BZ608" s="121"/>
    </row>
    <row r="609" spans="60:78">
      <c r="BH609" s="29"/>
      <c r="BI609" s="29"/>
      <c r="BJ609" s="29"/>
      <c r="BK609" s="29"/>
      <c r="BL609" s="29"/>
      <c r="BM609" s="121"/>
      <c r="BN609" s="121"/>
      <c r="BO609" s="121"/>
      <c r="BP609" s="121"/>
      <c r="BQ609" s="121"/>
      <c r="BR609" s="121"/>
      <c r="BS609" s="121"/>
      <c r="BT609" s="121"/>
      <c r="BU609" s="121"/>
      <c r="BV609" s="121"/>
      <c r="BW609" s="121"/>
      <c r="BX609" s="121"/>
      <c r="BY609" s="121"/>
      <c r="BZ609" s="121"/>
    </row>
    <row r="610" spans="60:78">
      <c r="BH610" s="29"/>
      <c r="BI610" s="29"/>
      <c r="BJ610" s="29"/>
      <c r="BK610" s="29"/>
      <c r="BL610" s="29"/>
      <c r="BM610" s="121"/>
      <c r="BN610" s="121"/>
      <c r="BO610" s="121"/>
      <c r="BP610" s="121"/>
      <c r="BQ610" s="121"/>
      <c r="BR610" s="121"/>
      <c r="BS610" s="121"/>
      <c r="BT610" s="121"/>
      <c r="BU610" s="121"/>
      <c r="BV610" s="121"/>
      <c r="BW610" s="121"/>
      <c r="BX610" s="121"/>
      <c r="BY610" s="121"/>
      <c r="BZ610" s="121"/>
    </row>
    <row r="611" spans="60:78">
      <c r="BH611" s="29"/>
      <c r="BI611" s="29"/>
      <c r="BJ611" s="29"/>
      <c r="BK611" s="29"/>
      <c r="BL611" s="29"/>
      <c r="BM611" s="121"/>
      <c r="BN611" s="121"/>
      <c r="BO611" s="121"/>
      <c r="BP611" s="121"/>
      <c r="BQ611" s="121"/>
      <c r="BR611" s="121"/>
      <c r="BS611" s="121"/>
      <c r="BT611" s="121"/>
      <c r="BU611" s="121"/>
      <c r="BV611" s="121"/>
      <c r="BW611" s="121"/>
      <c r="BX611" s="121"/>
      <c r="BY611" s="121"/>
      <c r="BZ611" s="121"/>
    </row>
    <row r="612" spans="60:78">
      <c r="BH612" s="29"/>
      <c r="BI612" s="29"/>
      <c r="BJ612" s="29"/>
      <c r="BK612" s="29"/>
      <c r="BL612" s="29"/>
      <c r="BM612" s="121"/>
      <c r="BN612" s="121"/>
      <c r="BO612" s="121"/>
      <c r="BP612" s="121"/>
      <c r="BQ612" s="121"/>
      <c r="BR612" s="121"/>
      <c r="BS612" s="121"/>
      <c r="BT612" s="121"/>
      <c r="BU612" s="121"/>
      <c r="BV612" s="121"/>
      <c r="BW612" s="121"/>
      <c r="BX612" s="121"/>
      <c r="BY612" s="121"/>
      <c r="BZ612" s="121"/>
    </row>
    <row r="613" spans="60:78">
      <c r="BH613" s="29"/>
      <c r="BI613" s="29"/>
      <c r="BJ613" s="29"/>
      <c r="BK613" s="29"/>
      <c r="BL613" s="29"/>
      <c r="BM613" s="121"/>
      <c r="BN613" s="121"/>
      <c r="BO613" s="121"/>
      <c r="BP613" s="121"/>
      <c r="BQ613" s="121"/>
      <c r="BR613" s="121"/>
      <c r="BS613" s="121"/>
      <c r="BT613" s="121"/>
      <c r="BU613" s="121"/>
      <c r="BV613" s="121"/>
      <c r="BW613" s="121"/>
      <c r="BX613" s="121"/>
      <c r="BY613" s="121"/>
      <c r="BZ613" s="121"/>
    </row>
    <row r="614" spans="60:78">
      <c r="BH614" s="29"/>
      <c r="BI614" s="29"/>
      <c r="BJ614" s="29"/>
      <c r="BK614" s="29"/>
      <c r="BL614" s="29"/>
      <c r="BM614" s="121"/>
      <c r="BN614" s="121"/>
      <c r="BO614" s="121"/>
      <c r="BP614" s="121"/>
      <c r="BQ614" s="121"/>
      <c r="BR614" s="121"/>
      <c r="BS614" s="121"/>
      <c r="BT614" s="121"/>
      <c r="BU614" s="121"/>
      <c r="BV614" s="121"/>
      <c r="BW614" s="121"/>
      <c r="BX614" s="121"/>
      <c r="BY614" s="121"/>
      <c r="BZ614" s="121"/>
    </row>
    <row r="615" spans="60:78">
      <c r="BH615" s="29"/>
      <c r="BI615" s="29"/>
      <c r="BJ615" s="29"/>
      <c r="BK615" s="29"/>
      <c r="BL615" s="29"/>
      <c r="BM615" s="121"/>
      <c r="BN615" s="121"/>
      <c r="BO615" s="121"/>
      <c r="BP615" s="121"/>
      <c r="BQ615" s="121"/>
      <c r="BR615" s="121"/>
      <c r="BS615" s="121"/>
      <c r="BT615" s="121"/>
      <c r="BU615" s="121"/>
      <c r="BV615" s="121"/>
      <c r="BW615" s="121"/>
      <c r="BX615" s="121"/>
      <c r="BY615" s="121"/>
      <c r="BZ615" s="121"/>
    </row>
    <row r="616" spans="60:78">
      <c r="BH616" s="29"/>
      <c r="BI616" s="29"/>
      <c r="BJ616" s="29"/>
      <c r="BK616" s="29"/>
      <c r="BL616" s="29"/>
      <c r="BM616" s="121"/>
      <c r="BN616" s="121"/>
      <c r="BO616" s="121"/>
      <c r="BP616" s="121"/>
      <c r="BQ616" s="121"/>
      <c r="BR616" s="121"/>
      <c r="BS616" s="121"/>
      <c r="BT616" s="121"/>
      <c r="BU616" s="121"/>
      <c r="BV616" s="121"/>
      <c r="BW616" s="121"/>
      <c r="BX616" s="121"/>
      <c r="BY616" s="121"/>
      <c r="BZ616" s="121"/>
    </row>
    <row r="617" spans="60:78">
      <c r="BH617" s="29"/>
      <c r="BI617" s="29"/>
      <c r="BJ617" s="29"/>
      <c r="BK617" s="29"/>
      <c r="BL617" s="29"/>
      <c r="BM617" s="121"/>
      <c r="BN617" s="121"/>
      <c r="BO617" s="121"/>
      <c r="BP617" s="121"/>
      <c r="BQ617" s="121"/>
      <c r="BR617" s="121"/>
      <c r="BS617" s="121"/>
      <c r="BT617" s="121"/>
      <c r="BU617" s="121"/>
      <c r="BV617" s="121"/>
      <c r="BW617" s="121"/>
      <c r="BX617" s="121"/>
      <c r="BY617" s="121"/>
      <c r="BZ617" s="121"/>
    </row>
    <row r="618" spans="60:78">
      <c r="BH618" s="29"/>
      <c r="BI618" s="29"/>
      <c r="BJ618" s="29"/>
      <c r="BK618" s="29"/>
      <c r="BL618" s="29"/>
      <c r="BM618" s="121"/>
      <c r="BN618" s="121"/>
      <c r="BO618" s="121"/>
      <c r="BP618" s="121"/>
      <c r="BQ618" s="121"/>
      <c r="BR618" s="121"/>
      <c r="BS618" s="121"/>
      <c r="BT618" s="121"/>
      <c r="BU618" s="121"/>
      <c r="BV618" s="121"/>
      <c r="BW618" s="121"/>
      <c r="BX618" s="121"/>
      <c r="BY618" s="121"/>
      <c r="BZ618" s="121"/>
    </row>
    <row r="619" spans="60:78">
      <c r="BH619" s="29"/>
      <c r="BI619" s="29"/>
      <c r="BJ619" s="29"/>
      <c r="BK619" s="29"/>
      <c r="BL619" s="29"/>
      <c r="BM619" s="121"/>
      <c r="BN619" s="121"/>
      <c r="BO619" s="121"/>
      <c r="BP619" s="121"/>
      <c r="BQ619" s="121"/>
      <c r="BR619" s="121"/>
      <c r="BS619" s="121"/>
      <c r="BT619" s="121"/>
      <c r="BU619" s="121"/>
      <c r="BV619" s="121"/>
      <c r="BW619" s="121"/>
      <c r="BX619" s="121"/>
      <c r="BY619" s="121"/>
      <c r="BZ619" s="121"/>
    </row>
    <row r="620" spans="60:78">
      <c r="BH620" s="29"/>
      <c r="BI620" s="29"/>
      <c r="BJ620" s="29"/>
      <c r="BK620" s="29"/>
      <c r="BL620" s="29"/>
      <c r="BM620" s="121"/>
      <c r="BN620" s="121"/>
      <c r="BO620" s="121"/>
      <c r="BP620" s="121"/>
      <c r="BQ620" s="121"/>
      <c r="BR620" s="121"/>
      <c r="BS620" s="121"/>
      <c r="BT620" s="121"/>
      <c r="BU620" s="121"/>
      <c r="BV620" s="121"/>
      <c r="BW620" s="121"/>
      <c r="BX620" s="121"/>
      <c r="BY620" s="121"/>
      <c r="BZ620" s="121"/>
    </row>
    <row r="621" spans="60:78">
      <c r="BH621" s="29"/>
      <c r="BI621" s="29"/>
      <c r="BJ621" s="29"/>
      <c r="BK621" s="29"/>
      <c r="BL621" s="29"/>
      <c r="BM621" s="121"/>
      <c r="BN621" s="121"/>
      <c r="BO621" s="121"/>
      <c r="BP621" s="121"/>
      <c r="BQ621" s="121"/>
      <c r="BR621" s="121"/>
      <c r="BS621" s="121"/>
      <c r="BT621" s="121"/>
      <c r="BU621" s="121"/>
      <c r="BV621" s="121"/>
      <c r="BW621" s="121"/>
      <c r="BX621" s="121"/>
      <c r="BY621" s="121"/>
      <c r="BZ621" s="121"/>
    </row>
    <row r="622" spans="60:78">
      <c r="BH622" s="29"/>
      <c r="BI622" s="29"/>
      <c r="BJ622" s="29"/>
      <c r="BK622" s="29"/>
      <c r="BL622" s="29"/>
      <c r="BM622" s="121"/>
      <c r="BN622" s="121"/>
      <c r="BO622" s="121"/>
      <c r="BP622" s="121"/>
      <c r="BQ622" s="121"/>
      <c r="BR622" s="121"/>
      <c r="BS622" s="121"/>
      <c r="BT622" s="121"/>
      <c r="BU622" s="121"/>
      <c r="BV622" s="121"/>
      <c r="BW622" s="121"/>
      <c r="BX622" s="121"/>
      <c r="BY622" s="121"/>
      <c r="BZ622" s="121"/>
    </row>
    <row r="623" spans="60:78">
      <c r="BH623" s="29"/>
      <c r="BI623" s="29"/>
      <c r="BJ623" s="29"/>
      <c r="BK623" s="29"/>
      <c r="BL623" s="29"/>
      <c r="BM623" s="121"/>
      <c r="BN623" s="121"/>
      <c r="BO623" s="121"/>
      <c r="BP623" s="121"/>
      <c r="BQ623" s="121"/>
      <c r="BR623" s="121"/>
      <c r="BS623" s="121"/>
      <c r="BT623" s="121"/>
      <c r="BU623" s="121"/>
      <c r="BV623" s="121"/>
      <c r="BW623" s="121"/>
      <c r="BX623" s="121"/>
      <c r="BY623" s="121"/>
      <c r="BZ623" s="121"/>
    </row>
    <row r="624" spans="60:78">
      <c r="BH624" s="29"/>
      <c r="BI624" s="29"/>
      <c r="BJ624" s="29"/>
      <c r="BK624" s="29"/>
      <c r="BL624" s="29"/>
      <c r="BM624" s="121"/>
      <c r="BN624" s="121"/>
      <c r="BO624" s="121"/>
      <c r="BP624" s="121"/>
      <c r="BQ624" s="121"/>
      <c r="BR624" s="121"/>
      <c r="BS624" s="121"/>
      <c r="BT624" s="121"/>
      <c r="BU624" s="121"/>
      <c r="BV624" s="121"/>
      <c r="BW624" s="121"/>
      <c r="BX624" s="121"/>
      <c r="BY624" s="121"/>
      <c r="BZ624" s="121"/>
    </row>
    <row r="625" spans="60:78">
      <c r="BH625" s="29"/>
      <c r="BI625" s="29"/>
      <c r="BJ625" s="29"/>
      <c r="BK625" s="29"/>
      <c r="BL625" s="29"/>
      <c r="BM625" s="121"/>
      <c r="BN625" s="121"/>
      <c r="BO625" s="121"/>
      <c r="BP625" s="121"/>
      <c r="BQ625" s="121"/>
      <c r="BR625" s="121"/>
      <c r="BS625" s="121"/>
      <c r="BT625" s="121"/>
      <c r="BU625" s="121"/>
      <c r="BV625" s="121"/>
      <c r="BW625" s="121"/>
      <c r="BX625" s="121"/>
      <c r="BY625" s="121"/>
      <c r="BZ625" s="121"/>
    </row>
    <row r="626" spans="60:78">
      <c r="BH626" s="29"/>
      <c r="BI626" s="29"/>
      <c r="BJ626" s="29"/>
      <c r="BK626" s="29"/>
      <c r="BL626" s="29"/>
      <c r="BM626" s="121"/>
      <c r="BN626" s="121"/>
      <c r="BO626" s="121"/>
      <c r="BP626" s="121"/>
      <c r="BQ626" s="121"/>
      <c r="BR626" s="121"/>
      <c r="BS626" s="121"/>
      <c r="BT626" s="121"/>
      <c r="BU626" s="121"/>
      <c r="BV626" s="121"/>
      <c r="BW626" s="121"/>
      <c r="BX626" s="121"/>
      <c r="BY626" s="121"/>
      <c r="BZ626" s="121"/>
    </row>
    <row r="627" spans="60:78">
      <c r="BH627" s="29"/>
      <c r="BI627" s="29"/>
      <c r="BJ627" s="29"/>
      <c r="BK627" s="29"/>
      <c r="BL627" s="29"/>
      <c r="BM627" s="121"/>
      <c r="BN627" s="121"/>
      <c r="BO627" s="121"/>
      <c r="BP627" s="121"/>
      <c r="BQ627" s="121"/>
      <c r="BR627" s="121"/>
      <c r="BS627" s="121"/>
      <c r="BT627" s="121"/>
      <c r="BU627" s="121"/>
      <c r="BV627" s="121"/>
      <c r="BW627" s="121"/>
      <c r="BX627" s="121"/>
      <c r="BY627" s="121"/>
      <c r="BZ627" s="121"/>
    </row>
    <row r="628" spans="60:78">
      <c r="BH628" s="29"/>
      <c r="BI628" s="29"/>
      <c r="BJ628" s="29"/>
      <c r="BK628" s="29"/>
      <c r="BL628" s="29"/>
      <c r="BM628" s="121"/>
      <c r="BN628" s="121"/>
      <c r="BO628" s="121"/>
      <c r="BP628" s="121"/>
      <c r="BQ628" s="121"/>
      <c r="BR628" s="121"/>
      <c r="BS628" s="121"/>
      <c r="BT628" s="121"/>
      <c r="BU628" s="121"/>
      <c r="BV628" s="121"/>
      <c r="BW628" s="121"/>
      <c r="BX628" s="121"/>
      <c r="BY628" s="121"/>
      <c r="BZ628" s="121"/>
    </row>
    <row r="629" spans="60:78">
      <c r="BH629" s="29"/>
      <c r="BI629" s="29"/>
      <c r="BJ629" s="29"/>
      <c r="BK629" s="29"/>
      <c r="BL629" s="29"/>
      <c r="BM629" s="121"/>
      <c r="BN629" s="121"/>
      <c r="BO629" s="121"/>
      <c r="BP629" s="121"/>
      <c r="BQ629" s="121"/>
      <c r="BR629" s="121"/>
      <c r="BS629" s="121"/>
      <c r="BT629" s="121"/>
      <c r="BU629" s="121"/>
      <c r="BV629" s="121"/>
      <c r="BW629" s="121"/>
      <c r="BX629" s="121"/>
      <c r="BY629" s="121"/>
      <c r="BZ629" s="121"/>
    </row>
    <row r="630" spans="60:78">
      <c r="BH630" s="29"/>
      <c r="BI630" s="29"/>
      <c r="BJ630" s="29"/>
      <c r="BK630" s="29"/>
      <c r="BL630" s="29"/>
      <c r="BM630" s="121"/>
      <c r="BN630" s="121"/>
      <c r="BO630" s="121"/>
      <c r="BP630" s="121"/>
      <c r="BQ630" s="121"/>
      <c r="BR630" s="121"/>
      <c r="BS630" s="121"/>
      <c r="BT630" s="121"/>
      <c r="BU630" s="121"/>
      <c r="BV630" s="121"/>
      <c r="BW630" s="121"/>
      <c r="BX630" s="121"/>
      <c r="BY630" s="121"/>
      <c r="BZ630" s="121"/>
    </row>
    <row r="631" spans="60:78">
      <c r="BH631" s="29"/>
      <c r="BI631" s="29"/>
      <c r="BJ631" s="29"/>
      <c r="BK631" s="29"/>
      <c r="BL631" s="29"/>
      <c r="BM631" s="121"/>
      <c r="BN631" s="121"/>
      <c r="BO631" s="121"/>
      <c r="BP631" s="121"/>
      <c r="BQ631" s="121"/>
      <c r="BR631" s="121"/>
      <c r="BS631" s="121"/>
      <c r="BT631" s="121"/>
      <c r="BU631" s="121"/>
      <c r="BV631" s="121"/>
      <c r="BW631" s="121"/>
      <c r="BX631" s="121"/>
      <c r="BY631" s="121"/>
      <c r="BZ631" s="121"/>
    </row>
    <row r="632" spans="60:78">
      <c r="BH632" s="29"/>
      <c r="BI632" s="29"/>
      <c r="BJ632" s="29"/>
      <c r="BK632" s="29"/>
      <c r="BL632" s="29"/>
      <c r="BM632" s="121"/>
      <c r="BN632" s="121"/>
      <c r="BO632" s="121"/>
      <c r="BP632" s="121"/>
      <c r="BQ632" s="121"/>
      <c r="BR632" s="121"/>
      <c r="BS632" s="121"/>
      <c r="BT632" s="121"/>
      <c r="BU632" s="121"/>
      <c r="BV632" s="121"/>
      <c r="BW632" s="121"/>
      <c r="BX632" s="121"/>
      <c r="BY632" s="121"/>
      <c r="BZ632" s="121"/>
    </row>
    <row r="633" spans="60:78">
      <c r="BH633" s="29"/>
      <c r="BI633" s="29"/>
      <c r="BJ633" s="29"/>
      <c r="BK633" s="29"/>
      <c r="BL633" s="29"/>
      <c r="BM633" s="121"/>
      <c r="BN633" s="121"/>
      <c r="BO633" s="121"/>
      <c r="BP633" s="121"/>
      <c r="BQ633" s="121"/>
      <c r="BR633" s="121"/>
      <c r="BS633" s="121"/>
      <c r="BT633" s="121"/>
      <c r="BU633" s="121"/>
      <c r="BV633" s="121"/>
      <c r="BW633" s="121"/>
      <c r="BX633" s="121"/>
      <c r="BY633" s="121"/>
      <c r="BZ633" s="121"/>
    </row>
    <row r="634" spans="60:78">
      <c r="BH634" s="29"/>
      <c r="BI634" s="29"/>
      <c r="BJ634" s="29"/>
      <c r="BK634" s="29"/>
      <c r="BL634" s="29"/>
      <c r="BM634" s="121"/>
      <c r="BN634" s="121"/>
      <c r="BO634" s="121"/>
      <c r="BP634" s="121"/>
      <c r="BQ634" s="121"/>
      <c r="BR634" s="121"/>
      <c r="BS634" s="121"/>
      <c r="BT634" s="121"/>
      <c r="BU634" s="121"/>
      <c r="BV634" s="121"/>
      <c r="BW634" s="121"/>
      <c r="BX634" s="121"/>
      <c r="BY634" s="121"/>
      <c r="BZ634" s="121"/>
    </row>
    <row r="635" spans="60:78">
      <c r="BH635" s="29"/>
      <c r="BI635" s="29"/>
      <c r="BJ635" s="29"/>
      <c r="BK635" s="29"/>
      <c r="BL635" s="29"/>
      <c r="BM635" s="121"/>
      <c r="BN635" s="121"/>
      <c r="BO635" s="121"/>
      <c r="BP635" s="121"/>
      <c r="BQ635" s="121"/>
      <c r="BR635" s="121"/>
      <c r="BS635" s="121"/>
      <c r="BT635" s="121"/>
      <c r="BU635" s="121"/>
      <c r="BV635" s="121"/>
      <c r="BW635" s="121"/>
      <c r="BX635" s="121"/>
      <c r="BY635" s="121"/>
      <c r="BZ635" s="121"/>
    </row>
    <row r="636" spans="60:78">
      <c r="BH636" s="29"/>
      <c r="BI636" s="29"/>
      <c r="BJ636" s="29"/>
      <c r="BK636" s="29"/>
      <c r="BL636" s="29"/>
      <c r="BM636" s="121"/>
      <c r="BN636" s="121"/>
      <c r="BO636" s="121"/>
      <c r="BP636" s="121"/>
      <c r="BQ636" s="121"/>
      <c r="BR636" s="121"/>
      <c r="BS636" s="121"/>
      <c r="BT636" s="121"/>
      <c r="BU636" s="121"/>
      <c r="BV636" s="121"/>
      <c r="BW636" s="121"/>
      <c r="BX636" s="121"/>
      <c r="BY636" s="121"/>
      <c r="BZ636" s="121"/>
    </row>
    <row r="637" spans="60:78">
      <c r="BH637" s="29"/>
      <c r="BI637" s="29"/>
      <c r="BJ637" s="29"/>
      <c r="BK637" s="29"/>
      <c r="BL637" s="29"/>
      <c r="BM637" s="121"/>
      <c r="BN637" s="121"/>
      <c r="BO637" s="121"/>
      <c r="BP637" s="121"/>
      <c r="BQ637" s="121"/>
      <c r="BR637" s="121"/>
      <c r="BS637" s="121"/>
      <c r="BT637" s="121"/>
      <c r="BU637" s="121"/>
      <c r="BV637" s="121"/>
      <c r="BW637" s="121"/>
      <c r="BX637" s="121"/>
      <c r="BY637" s="121"/>
      <c r="BZ637" s="121"/>
    </row>
    <row r="638" spans="60:78">
      <c r="BH638" s="29"/>
      <c r="BI638" s="29"/>
      <c r="BJ638" s="29"/>
      <c r="BK638" s="29"/>
      <c r="BL638" s="29"/>
      <c r="BM638" s="121"/>
      <c r="BN638" s="121"/>
      <c r="BO638" s="121"/>
      <c r="BP638" s="121"/>
      <c r="BQ638" s="121"/>
      <c r="BR638" s="121"/>
      <c r="BS638" s="121"/>
      <c r="BT638" s="121"/>
      <c r="BU638" s="121"/>
      <c r="BV638" s="121"/>
      <c r="BW638" s="121"/>
      <c r="BX638" s="121"/>
      <c r="BY638" s="121"/>
      <c r="BZ638" s="121"/>
    </row>
    <row r="639" spans="60:78">
      <c r="BH639" s="29"/>
      <c r="BI639" s="29"/>
      <c r="BJ639" s="29"/>
      <c r="BK639" s="29"/>
      <c r="BL639" s="29"/>
      <c r="BM639" s="121"/>
      <c r="BN639" s="121"/>
      <c r="BO639" s="121"/>
      <c r="BP639" s="121"/>
      <c r="BQ639" s="121"/>
      <c r="BR639" s="121"/>
      <c r="BS639" s="121"/>
      <c r="BT639" s="121"/>
      <c r="BU639" s="121"/>
      <c r="BV639" s="121"/>
      <c r="BW639" s="121"/>
      <c r="BX639" s="121"/>
      <c r="BY639" s="121"/>
      <c r="BZ639" s="121"/>
    </row>
    <row r="640" spans="60:78">
      <c r="BH640" s="29"/>
      <c r="BI640" s="29"/>
      <c r="BJ640" s="29"/>
      <c r="BK640" s="29"/>
      <c r="BL640" s="29"/>
      <c r="BM640" s="121"/>
      <c r="BN640" s="121"/>
      <c r="BO640" s="121"/>
      <c r="BP640" s="121"/>
      <c r="BQ640" s="121"/>
      <c r="BR640" s="121"/>
      <c r="BS640" s="121"/>
      <c r="BT640" s="121"/>
      <c r="BU640" s="121"/>
      <c r="BV640" s="121"/>
      <c r="BW640" s="121"/>
      <c r="BX640" s="121"/>
      <c r="BY640" s="121"/>
      <c r="BZ640" s="121"/>
    </row>
    <row r="641" spans="60:78">
      <c r="BH641" s="29"/>
      <c r="BI641" s="29"/>
      <c r="BJ641" s="29"/>
      <c r="BK641" s="29"/>
      <c r="BL641" s="29"/>
      <c r="BM641" s="121"/>
      <c r="BN641" s="121"/>
      <c r="BO641" s="121"/>
      <c r="BP641" s="121"/>
      <c r="BQ641" s="121"/>
      <c r="BR641" s="121"/>
      <c r="BS641" s="121"/>
      <c r="BT641" s="121"/>
      <c r="BU641" s="121"/>
      <c r="BV641" s="121"/>
      <c r="BW641" s="121"/>
      <c r="BX641" s="121"/>
      <c r="BY641" s="121"/>
      <c r="BZ641" s="121"/>
    </row>
    <row r="642" spans="60:78">
      <c r="BH642" s="29"/>
      <c r="BI642" s="29"/>
      <c r="BJ642" s="29"/>
      <c r="BK642" s="29"/>
      <c r="BL642" s="29"/>
      <c r="BM642" s="121"/>
      <c r="BN642" s="121"/>
      <c r="BO642" s="121"/>
      <c r="BP642" s="121"/>
      <c r="BQ642" s="121"/>
      <c r="BR642" s="121"/>
      <c r="BS642" s="121"/>
      <c r="BT642" s="121"/>
      <c r="BU642" s="121"/>
      <c r="BV642" s="121"/>
      <c r="BW642" s="121"/>
      <c r="BX642" s="121"/>
      <c r="BY642" s="121"/>
      <c r="BZ642" s="121"/>
    </row>
    <row r="643" spans="60:78">
      <c r="BH643" s="29"/>
      <c r="BI643" s="29"/>
      <c r="BJ643" s="29"/>
      <c r="BK643" s="29"/>
      <c r="BL643" s="29"/>
      <c r="BM643" s="121"/>
      <c r="BN643" s="121"/>
      <c r="BO643" s="121"/>
      <c r="BP643" s="121"/>
      <c r="BQ643" s="121"/>
      <c r="BR643" s="121"/>
      <c r="BS643" s="121"/>
      <c r="BT643" s="121"/>
      <c r="BU643" s="121"/>
      <c r="BV643" s="121"/>
      <c r="BW643" s="121"/>
      <c r="BX643" s="121"/>
      <c r="BY643" s="121"/>
      <c r="BZ643" s="121"/>
    </row>
    <row r="644" spans="60:78">
      <c r="BH644" s="29"/>
      <c r="BI644" s="29"/>
      <c r="BJ644" s="29"/>
      <c r="BK644" s="29"/>
      <c r="BL644" s="29"/>
      <c r="BM644" s="121"/>
      <c r="BN644" s="121"/>
      <c r="BO644" s="121"/>
      <c r="BP644" s="121"/>
      <c r="BQ644" s="121"/>
      <c r="BR644" s="121"/>
      <c r="BS644" s="121"/>
      <c r="BT644" s="121"/>
      <c r="BU644" s="121"/>
      <c r="BV644" s="121"/>
      <c r="BW644" s="121"/>
      <c r="BX644" s="121"/>
      <c r="BY644" s="121"/>
      <c r="BZ644" s="121"/>
    </row>
    <row r="645" spans="60:78">
      <c r="BH645" s="29"/>
      <c r="BI645" s="29"/>
      <c r="BJ645" s="29"/>
      <c r="BK645" s="29"/>
      <c r="BL645" s="29"/>
      <c r="BM645" s="121"/>
      <c r="BN645" s="121"/>
      <c r="BO645" s="121"/>
      <c r="BP645" s="121"/>
      <c r="BQ645" s="121"/>
      <c r="BR645" s="121"/>
      <c r="BS645" s="121"/>
      <c r="BT645" s="121"/>
      <c r="BU645" s="121"/>
      <c r="BV645" s="121"/>
      <c r="BW645" s="121"/>
      <c r="BX645" s="121"/>
      <c r="BY645" s="121"/>
      <c r="BZ645" s="121"/>
    </row>
    <row r="646" spans="60:78">
      <c r="BH646" s="29"/>
      <c r="BI646" s="29"/>
      <c r="BJ646" s="29"/>
      <c r="BK646" s="29"/>
      <c r="BL646" s="29"/>
      <c r="BM646" s="121"/>
      <c r="BN646" s="121"/>
      <c r="BO646" s="121"/>
      <c r="BP646" s="121"/>
      <c r="BQ646" s="121"/>
      <c r="BR646" s="121"/>
      <c r="BS646" s="121"/>
      <c r="BT646" s="121"/>
      <c r="BU646" s="121"/>
      <c r="BV646" s="121"/>
      <c r="BW646" s="121"/>
      <c r="BX646" s="121"/>
      <c r="BY646" s="121"/>
      <c r="BZ646" s="121"/>
    </row>
    <row r="647" spans="60:78">
      <c r="BH647" s="29"/>
      <c r="BI647" s="29"/>
      <c r="BJ647" s="29"/>
      <c r="BK647" s="29"/>
      <c r="BL647" s="29"/>
      <c r="BM647" s="121"/>
      <c r="BN647" s="121"/>
      <c r="BO647" s="121"/>
      <c r="BP647" s="121"/>
      <c r="BQ647" s="121"/>
      <c r="BR647" s="121"/>
      <c r="BS647" s="121"/>
      <c r="BT647" s="121"/>
      <c r="BU647" s="121"/>
      <c r="BV647" s="121"/>
      <c r="BW647" s="121"/>
      <c r="BX647" s="121"/>
      <c r="BY647" s="121"/>
      <c r="BZ647" s="121"/>
    </row>
    <row r="648" spans="60:78">
      <c r="BH648" s="29"/>
      <c r="BI648" s="29"/>
      <c r="BJ648" s="29"/>
      <c r="BK648" s="29"/>
      <c r="BL648" s="29"/>
      <c r="BM648" s="121"/>
      <c r="BN648" s="121"/>
      <c r="BO648" s="121"/>
      <c r="BP648" s="121"/>
      <c r="BQ648" s="121"/>
      <c r="BR648" s="121"/>
      <c r="BS648" s="121"/>
      <c r="BT648" s="121"/>
      <c r="BU648" s="121"/>
      <c r="BV648" s="121"/>
      <c r="BW648" s="121"/>
      <c r="BX648" s="121"/>
      <c r="BY648" s="121"/>
      <c r="BZ648" s="121"/>
    </row>
    <row r="649" spans="60:78">
      <c r="BH649" s="29"/>
      <c r="BI649" s="29"/>
      <c r="BJ649" s="29"/>
      <c r="BK649" s="29"/>
      <c r="BL649" s="29"/>
      <c r="BM649" s="121"/>
      <c r="BN649" s="121"/>
      <c r="BO649" s="121"/>
      <c r="BP649" s="121"/>
      <c r="BQ649" s="121"/>
      <c r="BR649" s="121"/>
      <c r="BS649" s="121"/>
      <c r="BT649" s="121"/>
      <c r="BU649" s="121"/>
      <c r="BV649" s="121"/>
      <c r="BW649" s="121"/>
      <c r="BX649" s="121"/>
      <c r="BY649" s="121"/>
      <c r="BZ649" s="121"/>
    </row>
    <row r="650" spans="60:78">
      <c r="BH650" s="29"/>
      <c r="BI650" s="29"/>
      <c r="BJ650" s="29"/>
      <c r="BK650" s="29"/>
      <c r="BL650" s="29"/>
      <c r="BM650" s="121"/>
      <c r="BN650" s="121"/>
      <c r="BO650" s="121"/>
      <c r="BP650" s="121"/>
      <c r="BQ650" s="121"/>
      <c r="BR650" s="121"/>
      <c r="BS650" s="121"/>
      <c r="BT650" s="121"/>
      <c r="BU650" s="121"/>
      <c r="BV650" s="121"/>
      <c r="BW650" s="121"/>
      <c r="BX650" s="121"/>
      <c r="BY650" s="121"/>
      <c r="BZ650" s="121"/>
    </row>
    <row r="651" spans="60:78">
      <c r="BH651" s="29"/>
      <c r="BI651" s="29"/>
      <c r="BJ651" s="29"/>
      <c r="BK651" s="29"/>
      <c r="BL651" s="29"/>
      <c r="BM651" s="121"/>
      <c r="BN651" s="121"/>
      <c r="BO651" s="121"/>
      <c r="BP651" s="121"/>
      <c r="BQ651" s="121"/>
      <c r="BR651" s="121"/>
      <c r="BS651" s="121"/>
      <c r="BT651" s="121"/>
      <c r="BU651" s="121"/>
      <c r="BV651" s="121"/>
      <c r="BW651" s="121"/>
      <c r="BX651" s="121"/>
      <c r="BY651" s="121"/>
      <c r="BZ651" s="121"/>
    </row>
    <row r="652" spans="60:78">
      <c r="BH652" s="29"/>
      <c r="BI652" s="29"/>
      <c r="BJ652" s="29"/>
      <c r="BK652" s="29"/>
      <c r="BL652" s="29"/>
      <c r="BM652" s="121"/>
      <c r="BN652" s="121"/>
      <c r="BO652" s="121"/>
      <c r="BP652" s="121"/>
      <c r="BQ652" s="121"/>
      <c r="BR652" s="121"/>
      <c r="BS652" s="121"/>
      <c r="BT652" s="121"/>
      <c r="BU652" s="121"/>
      <c r="BV652" s="121"/>
      <c r="BW652" s="121"/>
      <c r="BX652" s="121"/>
      <c r="BY652" s="121"/>
      <c r="BZ652" s="121"/>
    </row>
    <row r="653" spans="60:78">
      <c r="BH653" s="29"/>
      <c r="BI653" s="29"/>
      <c r="BJ653" s="29"/>
      <c r="BK653" s="29"/>
      <c r="BL653" s="29"/>
      <c r="BM653" s="121"/>
      <c r="BN653" s="121"/>
      <c r="BO653" s="121"/>
      <c r="BP653" s="121"/>
      <c r="BQ653" s="121"/>
      <c r="BR653" s="121"/>
      <c r="BS653" s="121"/>
      <c r="BT653" s="121"/>
      <c r="BU653" s="121"/>
      <c r="BV653" s="121"/>
      <c r="BW653" s="121"/>
      <c r="BX653" s="121"/>
      <c r="BY653" s="121"/>
      <c r="BZ653" s="121"/>
    </row>
    <row r="654" spans="60:78">
      <c r="BH654" s="29"/>
      <c r="BI654" s="29"/>
      <c r="BJ654" s="29"/>
      <c r="BK654" s="29"/>
      <c r="BL654" s="29"/>
      <c r="BM654" s="121"/>
      <c r="BN654" s="121"/>
      <c r="BO654" s="121"/>
      <c r="BP654" s="121"/>
      <c r="BQ654" s="121"/>
      <c r="BR654" s="121"/>
      <c r="BS654" s="121"/>
      <c r="BT654" s="121"/>
      <c r="BU654" s="121"/>
      <c r="BV654" s="121"/>
      <c r="BW654" s="121"/>
      <c r="BX654" s="121"/>
      <c r="BY654" s="121"/>
      <c r="BZ654" s="121"/>
    </row>
    <row r="655" spans="60:78">
      <c r="BH655" s="29"/>
      <c r="BI655" s="29"/>
      <c r="BJ655" s="29"/>
      <c r="BK655" s="29"/>
      <c r="BL655" s="29"/>
      <c r="BM655" s="121"/>
      <c r="BN655" s="121"/>
      <c r="BO655" s="121"/>
      <c r="BP655" s="121"/>
      <c r="BQ655" s="121"/>
      <c r="BR655" s="121"/>
      <c r="BS655" s="121"/>
      <c r="BT655" s="121"/>
      <c r="BU655" s="121"/>
      <c r="BV655" s="121"/>
      <c r="BW655" s="121"/>
      <c r="BX655" s="121"/>
      <c r="BY655" s="121"/>
      <c r="BZ655" s="121"/>
    </row>
    <row r="656" spans="60:78">
      <c r="BH656" s="29"/>
      <c r="BI656" s="29"/>
      <c r="BJ656" s="29"/>
      <c r="BK656" s="29"/>
      <c r="BL656" s="29"/>
      <c r="BM656" s="121"/>
      <c r="BN656" s="121"/>
      <c r="BO656" s="121"/>
      <c r="BP656" s="121"/>
      <c r="BQ656" s="121"/>
      <c r="BR656" s="121"/>
      <c r="BS656" s="121"/>
      <c r="BT656" s="121"/>
      <c r="BU656" s="121"/>
      <c r="BV656" s="121"/>
      <c r="BW656" s="121"/>
      <c r="BX656" s="121"/>
      <c r="BY656" s="121"/>
      <c r="BZ656" s="121"/>
    </row>
    <row r="657" spans="60:78">
      <c r="BH657" s="29"/>
      <c r="BI657" s="29"/>
      <c r="BJ657" s="29"/>
      <c r="BK657" s="29"/>
      <c r="BL657" s="29"/>
      <c r="BM657" s="121"/>
      <c r="BN657" s="121"/>
      <c r="BO657" s="121"/>
      <c r="BP657" s="121"/>
      <c r="BQ657" s="121"/>
      <c r="BR657" s="121"/>
      <c r="BS657" s="121"/>
      <c r="BT657" s="121"/>
      <c r="BU657" s="121"/>
      <c r="BV657" s="121"/>
      <c r="BW657" s="121"/>
      <c r="BX657" s="121"/>
      <c r="BY657" s="121"/>
      <c r="BZ657" s="121"/>
    </row>
    <row r="658" spans="60:78">
      <c r="BH658" s="29"/>
      <c r="BI658" s="29"/>
      <c r="BJ658" s="29"/>
      <c r="BK658" s="29"/>
      <c r="BL658" s="29"/>
      <c r="BM658" s="121"/>
      <c r="BN658" s="121"/>
      <c r="BO658" s="121"/>
      <c r="BP658" s="121"/>
      <c r="BQ658" s="121"/>
      <c r="BR658" s="121"/>
      <c r="BS658" s="121"/>
      <c r="BT658" s="121"/>
      <c r="BU658" s="121"/>
      <c r="BV658" s="121"/>
      <c r="BW658" s="121"/>
      <c r="BX658" s="121"/>
      <c r="BY658" s="121"/>
      <c r="BZ658" s="121"/>
    </row>
    <row r="659" spans="60:78">
      <c r="BH659" s="29"/>
      <c r="BI659" s="29"/>
      <c r="BJ659" s="29"/>
      <c r="BK659" s="29"/>
      <c r="BL659" s="29"/>
      <c r="BM659" s="121"/>
      <c r="BN659" s="121"/>
      <c r="BO659" s="121"/>
      <c r="BP659" s="121"/>
      <c r="BQ659" s="121"/>
      <c r="BR659" s="121"/>
      <c r="BS659" s="121"/>
      <c r="BT659" s="121"/>
      <c r="BU659" s="121"/>
      <c r="BV659" s="121"/>
      <c r="BW659" s="121"/>
      <c r="BX659" s="121"/>
      <c r="BY659" s="121"/>
      <c r="BZ659" s="121"/>
    </row>
    <row r="660" spans="60:78">
      <c r="BH660" s="29"/>
      <c r="BI660" s="29"/>
      <c r="BJ660" s="29"/>
      <c r="BK660" s="29"/>
      <c r="BL660" s="29"/>
      <c r="BM660" s="121"/>
      <c r="BN660" s="121"/>
      <c r="BO660" s="121"/>
      <c r="BP660" s="121"/>
      <c r="BQ660" s="121"/>
      <c r="BR660" s="121"/>
      <c r="BS660" s="121"/>
      <c r="BT660" s="121"/>
      <c r="BU660" s="121"/>
      <c r="BV660" s="121"/>
      <c r="BW660" s="121"/>
      <c r="BX660" s="121"/>
      <c r="BY660" s="121"/>
      <c r="BZ660" s="121"/>
    </row>
    <row r="661" spans="60:78">
      <c r="BH661" s="29"/>
      <c r="BI661" s="29"/>
      <c r="BJ661" s="29"/>
      <c r="BK661" s="29"/>
      <c r="BL661" s="29"/>
      <c r="BM661" s="121"/>
      <c r="BN661" s="121"/>
      <c r="BO661" s="121"/>
      <c r="BP661" s="121"/>
      <c r="BQ661" s="121"/>
      <c r="BR661" s="121"/>
      <c r="BS661" s="121"/>
      <c r="BT661" s="121"/>
      <c r="BU661" s="121"/>
      <c r="BV661" s="121"/>
      <c r="BW661" s="121"/>
      <c r="BX661" s="121"/>
      <c r="BY661" s="121"/>
      <c r="BZ661" s="121"/>
    </row>
    <row r="662" spans="60:78">
      <c r="BH662" s="29"/>
      <c r="BI662" s="29"/>
      <c r="BJ662" s="29"/>
      <c r="BK662" s="29"/>
      <c r="BL662" s="29"/>
      <c r="BM662" s="121"/>
      <c r="BN662" s="121"/>
      <c r="BO662" s="121"/>
      <c r="BP662" s="121"/>
      <c r="BQ662" s="121"/>
      <c r="BR662" s="121"/>
      <c r="BS662" s="121"/>
      <c r="BT662" s="121"/>
      <c r="BU662" s="121"/>
      <c r="BV662" s="121"/>
      <c r="BW662" s="121"/>
      <c r="BX662" s="121"/>
      <c r="BY662" s="121"/>
      <c r="BZ662" s="121"/>
    </row>
    <row r="663" spans="60:78">
      <c r="BH663" s="29"/>
      <c r="BI663" s="29"/>
      <c r="BJ663" s="29"/>
      <c r="BK663" s="29"/>
      <c r="BL663" s="29"/>
      <c r="BM663" s="121"/>
      <c r="BN663" s="121"/>
      <c r="BO663" s="121"/>
      <c r="BP663" s="121"/>
      <c r="BQ663" s="121"/>
      <c r="BR663" s="121"/>
      <c r="BS663" s="121"/>
      <c r="BT663" s="121"/>
      <c r="BU663" s="121"/>
      <c r="BV663" s="121"/>
      <c r="BW663" s="121"/>
      <c r="BX663" s="121"/>
      <c r="BY663" s="121"/>
      <c r="BZ663" s="121"/>
    </row>
    <row r="664" spans="60:78">
      <c r="BH664" s="29"/>
      <c r="BI664" s="29"/>
      <c r="BJ664" s="29"/>
      <c r="BK664" s="29"/>
      <c r="BL664" s="29"/>
      <c r="BM664" s="121"/>
      <c r="BN664" s="121"/>
      <c r="BO664" s="121"/>
      <c r="BP664" s="121"/>
      <c r="BQ664" s="121"/>
      <c r="BR664" s="121"/>
      <c r="BS664" s="121"/>
      <c r="BT664" s="121"/>
      <c r="BU664" s="121"/>
      <c r="BV664" s="121"/>
      <c r="BW664" s="121"/>
      <c r="BX664" s="121"/>
      <c r="BY664" s="121"/>
      <c r="BZ664" s="121"/>
    </row>
    <row r="665" spans="60:78">
      <c r="BH665" s="29"/>
      <c r="BI665" s="29"/>
      <c r="BJ665" s="29"/>
      <c r="BK665" s="29"/>
      <c r="BL665" s="29"/>
      <c r="BM665" s="121"/>
      <c r="BN665" s="121"/>
      <c r="BO665" s="121"/>
      <c r="BP665" s="121"/>
      <c r="BQ665" s="121"/>
      <c r="BR665" s="121"/>
      <c r="BS665" s="121"/>
      <c r="BT665" s="121"/>
      <c r="BU665" s="121"/>
      <c r="BV665" s="121"/>
      <c r="BW665" s="121"/>
      <c r="BX665" s="121"/>
      <c r="BY665" s="121"/>
      <c r="BZ665" s="121"/>
    </row>
    <row r="666" spans="60:78">
      <c r="BH666" s="29"/>
      <c r="BI666" s="29"/>
      <c r="BJ666" s="29"/>
      <c r="BK666" s="29"/>
      <c r="BL666" s="29"/>
      <c r="BM666" s="121"/>
      <c r="BN666" s="121"/>
      <c r="BO666" s="121"/>
      <c r="BP666" s="121"/>
      <c r="BQ666" s="121"/>
      <c r="BR666" s="121"/>
      <c r="BS666" s="121"/>
      <c r="BT666" s="121"/>
      <c r="BU666" s="121"/>
      <c r="BV666" s="121"/>
      <c r="BW666" s="121"/>
      <c r="BX666" s="121"/>
      <c r="BY666" s="121"/>
      <c r="BZ666" s="121"/>
    </row>
    <row r="667" spans="60:78">
      <c r="BH667" s="29"/>
      <c r="BI667" s="29"/>
      <c r="BJ667" s="29"/>
      <c r="BK667" s="29"/>
      <c r="BL667" s="29"/>
      <c r="BM667" s="121"/>
      <c r="BN667" s="121"/>
      <c r="BO667" s="121"/>
      <c r="BP667" s="121"/>
      <c r="BQ667" s="121"/>
      <c r="BR667" s="121"/>
      <c r="BS667" s="121"/>
      <c r="BT667" s="121"/>
      <c r="BU667" s="121"/>
      <c r="BV667" s="121"/>
      <c r="BW667" s="121"/>
      <c r="BX667" s="121"/>
      <c r="BY667" s="121"/>
      <c r="BZ667" s="121"/>
    </row>
    <row r="668" spans="60:78">
      <c r="BH668" s="29"/>
      <c r="BI668" s="29"/>
      <c r="BJ668" s="29"/>
      <c r="BK668" s="29"/>
      <c r="BL668" s="29"/>
      <c r="BM668" s="121"/>
      <c r="BN668" s="121"/>
      <c r="BO668" s="121"/>
      <c r="BP668" s="121"/>
      <c r="BQ668" s="121"/>
      <c r="BR668" s="121"/>
      <c r="BS668" s="121"/>
      <c r="BT668" s="121"/>
      <c r="BU668" s="121"/>
      <c r="BV668" s="121"/>
      <c r="BW668" s="121"/>
      <c r="BX668" s="121"/>
      <c r="BY668" s="121"/>
      <c r="BZ668" s="121"/>
    </row>
    <row r="669" spans="60:78">
      <c r="BH669" s="29"/>
      <c r="BI669" s="29"/>
      <c r="BJ669" s="29"/>
      <c r="BK669" s="29"/>
      <c r="BL669" s="29"/>
      <c r="BM669" s="121"/>
      <c r="BN669" s="121"/>
      <c r="BO669" s="121"/>
      <c r="BP669" s="121"/>
      <c r="BQ669" s="121"/>
      <c r="BR669" s="121"/>
      <c r="BS669" s="121"/>
      <c r="BT669" s="121"/>
      <c r="BU669" s="121"/>
      <c r="BV669" s="121"/>
      <c r="BW669" s="121"/>
      <c r="BX669" s="121"/>
      <c r="BY669" s="121"/>
      <c r="BZ669" s="121"/>
    </row>
    <row r="670" spans="60:78">
      <c r="BH670" s="29"/>
      <c r="BI670" s="29"/>
      <c r="BJ670" s="29"/>
      <c r="BK670" s="29"/>
      <c r="BL670" s="29"/>
      <c r="BM670" s="121"/>
      <c r="BN670" s="121"/>
      <c r="BO670" s="121"/>
      <c r="BP670" s="121"/>
      <c r="BQ670" s="121"/>
      <c r="BR670" s="121"/>
      <c r="BS670" s="121"/>
      <c r="BT670" s="121"/>
      <c r="BU670" s="121"/>
      <c r="BV670" s="121"/>
      <c r="BW670" s="121"/>
      <c r="BX670" s="121"/>
      <c r="BY670" s="121"/>
      <c r="BZ670" s="121"/>
    </row>
    <row r="671" spans="60:78">
      <c r="BH671" s="29"/>
      <c r="BI671" s="29"/>
      <c r="BJ671" s="29"/>
      <c r="BK671" s="29"/>
      <c r="BL671" s="29"/>
      <c r="BM671" s="121"/>
      <c r="BN671" s="121"/>
      <c r="BO671" s="121"/>
      <c r="BP671" s="121"/>
      <c r="BQ671" s="121"/>
      <c r="BR671" s="121"/>
      <c r="BS671" s="121"/>
      <c r="BT671" s="121"/>
      <c r="BU671" s="121"/>
      <c r="BV671" s="121"/>
      <c r="BW671" s="121"/>
      <c r="BX671" s="121"/>
      <c r="BY671" s="121"/>
      <c r="BZ671" s="121"/>
    </row>
    <row r="672" spans="60:78">
      <c r="BH672" s="29"/>
      <c r="BI672" s="29"/>
      <c r="BJ672" s="29"/>
      <c r="BK672" s="29"/>
      <c r="BL672" s="29"/>
      <c r="BM672" s="121"/>
      <c r="BN672" s="121"/>
      <c r="BO672" s="121"/>
      <c r="BP672" s="121"/>
      <c r="BQ672" s="121"/>
      <c r="BR672" s="121"/>
      <c r="BS672" s="121"/>
      <c r="BT672" s="121"/>
      <c r="BU672" s="121"/>
      <c r="BV672" s="121"/>
      <c r="BW672" s="121"/>
      <c r="BX672" s="121"/>
      <c r="BY672" s="121"/>
      <c r="BZ672" s="121"/>
    </row>
    <row r="673" spans="60:78">
      <c r="BH673" s="29"/>
      <c r="BI673" s="29"/>
      <c r="BJ673" s="29"/>
      <c r="BK673" s="29"/>
      <c r="BL673" s="29"/>
      <c r="BM673" s="121"/>
      <c r="BN673" s="121"/>
      <c r="BO673" s="121"/>
      <c r="BP673" s="121"/>
      <c r="BQ673" s="121"/>
      <c r="BR673" s="121"/>
      <c r="BS673" s="121"/>
      <c r="BT673" s="121"/>
      <c r="BU673" s="121"/>
      <c r="BV673" s="121"/>
      <c r="BW673" s="121"/>
      <c r="BX673" s="121"/>
      <c r="BY673" s="121"/>
      <c r="BZ673" s="121"/>
    </row>
    <row r="674" spans="60:78">
      <c r="BH674" s="29"/>
      <c r="BI674" s="29"/>
      <c r="BJ674" s="29"/>
      <c r="BK674" s="29"/>
      <c r="BL674" s="29"/>
      <c r="BM674" s="121"/>
      <c r="BN674" s="121"/>
      <c r="BO674" s="121"/>
      <c r="BP674" s="121"/>
      <c r="BQ674" s="121"/>
      <c r="BR674" s="121"/>
      <c r="BS674" s="121"/>
      <c r="BT674" s="121"/>
      <c r="BU674" s="121"/>
      <c r="BV674" s="121"/>
      <c r="BW674" s="121"/>
      <c r="BX674" s="121"/>
      <c r="BY674" s="121"/>
      <c r="BZ674" s="121"/>
    </row>
    <row r="675" spans="60:78">
      <c r="BH675" s="29"/>
      <c r="BI675" s="29"/>
      <c r="BJ675" s="29"/>
      <c r="BK675" s="29"/>
      <c r="BL675" s="29"/>
      <c r="BM675" s="121"/>
      <c r="BN675" s="121"/>
      <c r="BO675" s="121"/>
      <c r="BP675" s="121"/>
      <c r="BQ675" s="121"/>
      <c r="BR675" s="121"/>
      <c r="BS675" s="121"/>
      <c r="BT675" s="121"/>
      <c r="BU675" s="121"/>
      <c r="BV675" s="121"/>
      <c r="BW675" s="121"/>
      <c r="BX675" s="121"/>
      <c r="BY675" s="121"/>
      <c r="BZ675" s="121"/>
    </row>
    <row r="676" spans="60:78">
      <c r="BH676" s="29"/>
      <c r="BI676" s="29"/>
      <c r="BJ676" s="29"/>
      <c r="BK676" s="29"/>
      <c r="BL676" s="29"/>
      <c r="BM676" s="121"/>
      <c r="BN676" s="121"/>
      <c r="BO676" s="121"/>
      <c r="BP676" s="121"/>
      <c r="BQ676" s="121"/>
      <c r="BR676" s="121"/>
      <c r="BS676" s="121"/>
      <c r="BT676" s="121"/>
      <c r="BU676" s="121"/>
      <c r="BV676" s="121"/>
      <c r="BW676" s="121"/>
      <c r="BX676" s="121"/>
      <c r="BY676" s="121"/>
      <c r="BZ676" s="121"/>
    </row>
    <row r="677" spans="60:78">
      <c r="BH677" s="29"/>
      <c r="BI677" s="29"/>
      <c r="BJ677" s="29"/>
      <c r="BK677" s="29"/>
      <c r="BL677" s="29"/>
      <c r="BM677" s="121"/>
      <c r="BN677" s="121"/>
      <c r="BO677" s="121"/>
      <c r="BP677" s="121"/>
      <c r="BQ677" s="121"/>
      <c r="BR677" s="121"/>
      <c r="BS677" s="121"/>
      <c r="BT677" s="121"/>
      <c r="BU677" s="121"/>
      <c r="BV677" s="121"/>
      <c r="BW677" s="121"/>
      <c r="BX677" s="121"/>
      <c r="BY677" s="121"/>
      <c r="BZ677" s="121"/>
    </row>
    <row r="678" spans="60:78">
      <c r="BH678" s="29"/>
      <c r="BI678" s="29"/>
      <c r="BJ678" s="29"/>
      <c r="BK678" s="29"/>
      <c r="BL678" s="29"/>
      <c r="BM678" s="121"/>
      <c r="BN678" s="121"/>
      <c r="BO678" s="121"/>
      <c r="BP678" s="121"/>
      <c r="BQ678" s="121"/>
      <c r="BR678" s="121"/>
      <c r="BS678" s="121"/>
      <c r="BT678" s="121"/>
      <c r="BU678" s="121"/>
      <c r="BV678" s="121"/>
      <c r="BW678" s="121"/>
      <c r="BX678" s="121"/>
      <c r="BY678" s="121"/>
      <c r="BZ678" s="121"/>
    </row>
    <row r="679" spans="60:78">
      <c r="BH679" s="29"/>
      <c r="BI679" s="29"/>
      <c r="BJ679" s="29"/>
      <c r="BK679" s="29"/>
      <c r="BL679" s="29"/>
      <c r="BM679" s="121"/>
      <c r="BN679" s="121"/>
      <c r="BO679" s="121"/>
      <c r="BP679" s="121"/>
      <c r="BQ679" s="121"/>
      <c r="BR679" s="121"/>
      <c r="BS679" s="121"/>
      <c r="BT679" s="121"/>
      <c r="BU679" s="121"/>
      <c r="BV679" s="121"/>
      <c r="BW679" s="121"/>
      <c r="BX679" s="121"/>
      <c r="BY679" s="121"/>
      <c r="BZ679" s="121"/>
    </row>
    <row r="680" spans="60:78">
      <c r="BH680" s="29"/>
      <c r="BI680" s="29"/>
      <c r="BJ680" s="29"/>
      <c r="BK680" s="29"/>
      <c r="BL680" s="29"/>
      <c r="BM680" s="121"/>
      <c r="BN680" s="121"/>
      <c r="BO680" s="121"/>
      <c r="BP680" s="121"/>
      <c r="BQ680" s="121"/>
      <c r="BR680" s="121"/>
      <c r="BS680" s="121"/>
      <c r="BT680" s="121"/>
      <c r="BU680" s="121"/>
      <c r="BV680" s="121"/>
      <c r="BW680" s="121"/>
      <c r="BX680" s="121"/>
      <c r="BY680" s="121"/>
      <c r="BZ680" s="121"/>
    </row>
    <row r="681" spans="60:78">
      <c r="BH681" s="29"/>
      <c r="BI681" s="29"/>
      <c r="BJ681" s="29"/>
      <c r="BK681" s="29"/>
      <c r="BL681" s="29"/>
      <c r="BM681" s="121"/>
      <c r="BN681" s="121"/>
      <c r="BO681" s="121"/>
      <c r="BP681" s="121"/>
      <c r="BQ681" s="121"/>
      <c r="BR681" s="121"/>
      <c r="BS681" s="121"/>
      <c r="BT681" s="121"/>
      <c r="BU681" s="121"/>
      <c r="BV681" s="121"/>
      <c r="BW681" s="121"/>
      <c r="BX681" s="121"/>
      <c r="BY681" s="121"/>
      <c r="BZ681" s="121"/>
    </row>
    <row r="682" spans="60:78">
      <c r="BH682" s="29"/>
      <c r="BI682" s="29"/>
      <c r="BJ682" s="29"/>
      <c r="BK682" s="29"/>
      <c r="BL682" s="29"/>
      <c r="BM682" s="121"/>
      <c r="BN682" s="121"/>
      <c r="BO682" s="121"/>
      <c r="BP682" s="121"/>
      <c r="BQ682" s="121"/>
      <c r="BR682" s="121"/>
      <c r="BS682" s="121"/>
      <c r="BT682" s="121"/>
      <c r="BU682" s="121"/>
      <c r="BV682" s="121"/>
      <c r="BW682" s="121"/>
      <c r="BX682" s="121"/>
      <c r="BY682" s="121"/>
      <c r="BZ682" s="121"/>
    </row>
    <row r="683" spans="60:78">
      <c r="BH683" s="29"/>
      <c r="BI683" s="29"/>
      <c r="BJ683" s="29"/>
      <c r="BK683" s="29"/>
      <c r="BL683" s="29"/>
      <c r="BM683" s="121"/>
      <c r="BN683" s="121"/>
      <c r="BO683" s="121"/>
      <c r="BP683" s="121"/>
      <c r="BQ683" s="121"/>
      <c r="BR683" s="121"/>
      <c r="BS683" s="121"/>
      <c r="BT683" s="121"/>
      <c r="BU683" s="121"/>
      <c r="BV683" s="121"/>
      <c r="BW683" s="121"/>
      <c r="BX683" s="121"/>
      <c r="BY683" s="121"/>
      <c r="BZ683" s="121"/>
    </row>
    <row r="684" spans="60:78">
      <c r="BH684" s="29"/>
      <c r="BI684" s="29"/>
      <c r="BJ684" s="29"/>
      <c r="BK684" s="29"/>
      <c r="BL684" s="29"/>
      <c r="BM684" s="121"/>
      <c r="BN684" s="121"/>
      <c r="BO684" s="121"/>
      <c r="BP684" s="121"/>
      <c r="BQ684" s="121"/>
      <c r="BR684" s="121"/>
      <c r="BS684" s="121"/>
      <c r="BT684" s="121"/>
      <c r="BU684" s="121"/>
      <c r="BV684" s="121"/>
      <c r="BW684" s="121"/>
      <c r="BX684" s="121"/>
      <c r="BY684" s="121"/>
      <c r="BZ684" s="121"/>
    </row>
    <row r="685" spans="60:78">
      <c r="BH685" s="29"/>
      <c r="BI685" s="29"/>
      <c r="BJ685" s="29"/>
      <c r="BK685" s="29"/>
      <c r="BL685" s="29"/>
      <c r="BM685" s="121"/>
      <c r="BN685" s="121"/>
      <c r="BO685" s="121"/>
      <c r="BP685" s="121"/>
      <c r="BQ685" s="121"/>
      <c r="BR685" s="121"/>
      <c r="BS685" s="121"/>
      <c r="BT685" s="121"/>
      <c r="BU685" s="121"/>
      <c r="BV685" s="121"/>
      <c r="BW685" s="121"/>
      <c r="BX685" s="121"/>
      <c r="BY685" s="121"/>
      <c r="BZ685" s="121"/>
    </row>
    <row r="686" spans="60:78">
      <c r="BH686" s="29"/>
      <c r="BI686" s="29"/>
      <c r="BJ686" s="29"/>
      <c r="BK686" s="29"/>
      <c r="BL686" s="29"/>
      <c r="BM686" s="121"/>
      <c r="BN686" s="121"/>
      <c r="BO686" s="121"/>
      <c r="BP686" s="121"/>
      <c r="BQ686" s="121"/>
      <c r="BR686" s="121"/>
      <c r="BS686" s="121"/>
      <c r="BT686" s="121"/>
      <c r="BU686" s="121"/>
      <c r="BV686" s="121"/>
      <c r="BW686" s="121"/>
      <c r="BX686" s="121"/>
      <c r="BY686" s="121"/>
      <c r="BZ686" s="121"/>
    </row>
    <row r="687" spans="60:78">
      <c r="BH687" s="29"/>
      <c r="BI687" s="29"/>
      <c r="BJ687" s="29"/>
      <c r="BK687" s="29"/>
      <c r="BL687" s="29"/>
      <c r="BM687" s="121"/>
      <c r="BN687" s="121"/>
      <c r="BO687" s="121"/>
      <c r="BP687" s="121"/>
      <c r="BQ687" s="121"/>
      <c r="BR687" s="121"/>
      <c r="BS687" s="121"/>
      <c r="BT687" s="121"/>
      <c r="BU687" s="121"/>
      <c r="BV687" s="121"/>
      <c r="BW687" s="121"/>
      <c r="BX687" s="121"/>
      <c r="BY687" s="121"/>
      <c r="BZ687" s="121"/>
    </row>
    <row r="688" spans="60:78">
      <c r="BH688" s="29"/>
      <c r="BI688" s="29"/>
      <c r="BJ688" s="29"/>
      <c r="BK688" s="29"/>
      <c r="BL688" s="29"/>
      <c r="BM688" s="121"/>
      <c r="BN688" s="121"/>
      <c r="BO688" s="121"/>
      <c r="BP688" s="121"/>
      <c r="BQ688" s="121"/>
      <c r="BR688" s="121"/>
      <c r="BS688" s="121"/>
      <c r="BT688" s="121"/>
      <c r="BU688" s="121"/>
      <c r="BV688" s="121"/>
      <c r="BW688" s="121"/>
      <c r="BX688" s="121"/>
      <c r="BY688" s="121"/>
      <c r="BZ688" s="121"/>
    </row>
    <row r="689" spans="60:78">
      <c r="BH689" s="29"/>
      <c r="BI689" s="29"/>
      <c r="BJ689" s="29"/>
      <c r="BK689" s="29"/>
      <c r="BL689" s="29"/>
      <c r="BM689" s="121"/>
      <c r="BN689" s="121"/>
      <c r="BO689" s="121"/>
      <c r="BP689" s="121"/>
      <c r="BQ689" s="121"/>
      <c r="BR689" s="121"/>
      <c r="BS689" s="121"/>
      <c r="BT689" s="121"/>
      <c r="BU689" s="121"/>
      <c r="BV689" s="121"/>
      <c r="BW689" s="121"/>
      <c r="BX689" s="121"/>
      <c r="BY689" s="121"/>
      <c r="BZ689" s="121"/>
    </row>
    <row r="690" spans="60:78">
      <c r="BH690" s="29"/>
      <c r="BI690" s="29"/>
      <c r="BJ690" s="29"/>
      <c r="BK690" s="29"/>
      <c r="BL690" s="29"/>
      <c r="BM690" s="121"/>
      <c r="BN690" s="121"/>
      <c r="BO690" s="121"/>
      <c r="BP690" s="121"/>
      <c r="BQ690" s="121"/>
      <c r="BR690" s="121"/>
      <c r="BS690" s="121"/>
      <c r="BT690" s="121"/>
      <c r="BU690" s="121"/>
      <c r="BV690" s="121"/>
      <c r="BW690" s="121"/>
      <c r="BX690" s="121"/>
      <c r="BY690" s="121"/>
      <c r="BZ690" s="121"/>
    </row>
    <row r="691" spans="60:78">
      <c r="BH691" s="29"/>
      <c r="BI691" s="29"/>
      <c r="BJ691" s="29"/>
      <c r="BK691" s="29"/>
      <c r="BL691" s="29"/>
      <c r="BM691" s="121"/>
      <c r="BN691" s="121"/>
      <c r="BO691" s="121"/>
      <c r="BP691" s="121"/>
      <c r="BQ691" s="121"/>
      <c r="BR691" s="121"/>
      <c r="BS691" s="121"/>
      <c r="BT691" s="121"/>
      <c r="BU691" s="121"/>
      <c r="BV691" s="121"/>
      <c r="BW691" s="121"/>
      <c r="BX691" s="121"/>
      <c r="BY691" s="121"/>
      <c r="BZ691" s="121"/>
    </row>
    <row r="692" spans="60:78">
      <c r="BH692" s="29"/>
      <c r="BI692" s="29"/>
      <c r="BJ692" s="29"/>
      <c r="BK692" s="29"/>
      <c r="BL692" s="29"/>
      <c r="BM692" s="121"/>
      <c r="BN692" s="121"/>
      <c r="BO692" s="121"/>
      <c r="BP692" s="121"/>
      <c r="BQ692" s="121"/>
      <c r="BR692" s="121"/>
      <c r="BS692" s="121"/>
      <c r="BT692" s="121"/>
      <c r="BU692" s="121"/>
      <c r="BV692" s="121"/>
      <c r="BW692" s="121"/>
      <c r="BX692" s="121"/>
      <c r="BY692" s="121"/>
      <c r="BZ692" s="121"/>
    </row>
    <row r="693" spans="60:78">
      <c r="BH693" s="29"/>
      <c r="BI693" s="29"/>
      <c r="BJ693" s="29"/>
      <c r="BK693" s="29"/>
      <c r="BL693" s="29"/>
      <c r="BM693" s="121"/>
      <c r="BN693" s="121"/>
      <c r="BO693" s="121"/>
      <c r="BP693" s="121"/>
      <c r="BQ693" s="121"/>
      <c r="BR693" s="121"/>
      <c r="BS693" s="121"/>
      <c r="BT693" s="121"/>
      <c r="BU693" s="121"/>
      <c r="BV693" s="121"/>
      <c r="BW693" s="121"/>
      <c r="BX693" s="121"/>
      <c r="BY693" s="121"/>
      <c r="BZ693" s="121"/>
    </row>
    <row r="694" spans="60:78">
      <c r="BH694" s="29"/>
      <c r="BI694" s="29"/>
      <c r="BJ694" s="29"/>
      <c r="BK694" s="29"/>
      <c r="BL694" s="29"/>
      <c r="BM694" s="121"/>
      <c r="BN694" s="121"/>
      <c r="BO694" s="121"/>
      <c r="BP694" s="121"/>
      <c r="BQ694" s="121"/>
      <c r="BR694" s="121"/>
      <c r="BS694" s="121"/>
      <c r="BT694" s="121"/>
      <c r="BU694" s="121"/>
      <c r="BV694" s="121"/>
      <c r="BW694" s="121"/>
      <c r="BX694" s="121"/>
      <c r="BY694" s="121"/>
      <c r="BZ694" s="121"/>
    </row>
    <row r="695" spans="60:78">
      <c r="BH695" s="29"/>
      <c r="BI695" s="29"/>
      <c r="BJ695" s="29"/>
      <c r="BK695" s="29"/>
      <c r="BL695" s="29"/>
      <c r="BM695" s="121"/>
      <c r="BN695" s="121"/>
      <c r="BO695" s="121"/>
      <c r="BP695" s="121"/>
      <c r="BQ695" s="121"/>
      <c r="BR695" s="121"/>
      <c r="BS695" s="121"/>
      <c r="BT695" s="121"/>
      <c r="BU695" s="121"/>
      <c r="BV695" s="121"/>
      <c r="BW695" s="121"/>
      <c r="BX695" s="121"/>
      <c r="BY695" s="121"/>
      <c r="BZ695" s="121"/>
    </row>
    <row r="696" spans="60:78">
      <c r="BH696" s="29"/>
      <c r="BI696" s="29"/>
      <c r="BJ696" s="29"/>
      <c r="BK696" s="29"/>
      <c r="BL696" s="29"/>
      <c r="BM696" s="121"/>
      <c r="BN696" s="121"/>
      <c r="BO696" s="121"/>
      <c r="BP696" s="121"/>
      <c r="BQ696" s="121"/>
      <c r="BR696" s="121"/>
      <c r="BS696" s="121"/>
      <c r="BT696" s="121"/>
      <c r="BU696" s="121"/>
      <c r="BV696" s="121"/>
      <c r="BW696" s="121"/>
      <c r="BX696" s="121"/>
      <c r="BY696" s="121"/>
      <c r="BZ696" s="121"/>
    </row>
    <row r="697" spans="60:78">
      <c r="BH697" s="29"/>
      <c r="BI697" s="29"/>
      <c r="BJ697" s="29"/>
      <c r="BK697" s="29"/>
      <c r="BL697" s="29"/>
      <c r="BM697" s="121"/>
      <c r="BN697" s="121"/>
      <c r="BO697" s="121"/>
      <c r="BP697" s="121"/>
      <c r="BQ697" s="121"/>
      <c r="BR697" s="121"/>
      <c r="BS697" s="121"/>
      <c r="BT697" s="121"/>
      <c r="BU697" s="121"/>
      <c r="BV697" s="121"/>
      <c r="BW697" s="121"/>
      <c r="BX697" s="121"/>
      <c r="BY697" s="121"/>
      <c r="BZ697" s="121"/>
    </row>
    <row r="698" spans="60:78">
      <c r="BH698" s="29"/>
      <c r="BI698" s="29"/>
      <c r="BJ698" s="29"/>
      <c r="BK698" s="29"/>
      <c r="BL698" s="29"/>
      <c r="BM698" s="121"/>
      <c r="BN698" s="121"/>
      <c r="BO698" s="121"/>
      <c r="BP698" s="121"/>
      <c r="BQ698" s="121"/>
      <c r="BR698" s="121"/>
      <c r="BS698" s="121"/>
      <c r="BT698" s="121"/>
      <c r="BU698" s="121"/>
      <c r="BV698" s="121"/>
      <c r="BW698" s="121"/>
      <c r="BX698" s="121"/>
      <c r="BY698" s="121"/>
      <c r="BZ698" s="121"/>
    </row>
    <row r="699" spans="60:78">
      <c r="BH699" s="29"/>
      <c r="BI699" s="29"/>
      <c r="BJ699" s="29"/>
      <c r="BK699" s="29"/>
      <c r="BL699" s="29"/>
      <c r="BM699" s="121"/>
      <c r="BN699" s="121"/>
      <c r="BO699" s="121"/>
      <c r="BP699" s="121"/>
      <c r="BQ699" s="121"/>
      <c r="BR699" s="121"/>
      <c r="BS699" s="121"/>
      <c r="BT699" s="121"/>
      <c r="BU699" s="121"/>
      <c r="BV699" s="121"/>
      <c r="BW699" s="121"/>
      <c r="BX699" s="121"/>
      <c r="BY699" s="121"/>
      <c r="BZ699" s="121"/>
    </row>
    <row r="700" spans="60:78">
      <c r="BH700" s="29"/>
      <c r="BI700" s="29"/>
      <c r="BJ700" s="29"/>
      <c r="BK700" s="29"/>
      <c r="BL700" s="29"/>
      <c r="BM700" s="121"/>
      <c r="BN700" s="121"/>
      <c r="BO700" s="121"/>
      <c r="BP700" s="121"/>
      <c r="BQ700" s="121"/>
      <c r="BR700" s="121"/>
      <c r="BS700" s="121"/>
      <c r="BT700" s="121"/>
      <c r="BU700" s="121"/>
      <c r="BV700" s="121"/>
      <c r="BW700" s="121"/>
      <c r="BX700" s="121"/>
      <c r="BY700" s="121"/>
      <c r="BZ700" s="121"/>
    </row>
    <row r="701" spans="60:78">
      <c r="BH701" s="29"/>
      <c r="BI701" s="29"/>
      <c r="BJ701" s="29"/>
      <c r="BK701" s="29"/>
      <c r="BL701" s="29"/>
      <c r="BM701" s="121"/>
      <c r="BN701" s="121"/>
      <c r="BO701" s="121"/>
      <c r="BP701" s="121"/>
      <c r="BQ701" s="121"/>
      <c r="BR701" s="121"/>
      <c r="BS701" s="121"/>
      <c r="BT701" s="121"/>
      <c r="BU701" s="121"/>
      <c r="BV701" s="121"/>
      <c r="BW701" s="121"/>
      <c r="BX701" s="121"/>
      <c r="BY701" s="121"/>
      <c r="BZ701" s="121"/>
    </row>
    <row r="702" spans="60:78">
      <c r="BH702" s="29"/>
      <c r="BI702" s="29"/>
      <c r="BJ702" s="29"/>
      <c r="BK702" s="29"/>
      <c r="BL702" s="29"/>
      <c r="BM702" s="121"/>
      <c r="BN702" s="121"/>
      <c r="BO702" s="121"/>
      <c r="BP702" s="121"/>
      <c r="BQ702" s="121"/>
      <c r="BR702" s="121"/>
      <c r="BS702" s="121"/>
      <c r="BT702" s="121"/>
      <c r="BU702" s="121"/>
      <c r="BV702" s="121"/>
      <c r="BW702" s="121"/>
      <c r="BX702" s="121"/>
      <c r="BY702" s="121"/>
      <c r="BZ702" s="121"/>
    </row>
    <row r="703" spans="60:78">
      <c r="BH703" s="29"/>
      <c r="BI703" s="29"/>
      <c r="BJ703" s="29"/>
      <c r="BK703" s="29"/>
      <c r="BL703" s="29"/>
      <c r="BM703" s="121"/>
      <c r="BN703" s="121"/>
      <c r="BO703" s="121"/>
      <c r="BP703" s="121"/>
      <c r="BQ703" s="121"/>
      <c r="BR703" s="121"/>
      <c r="BS703" s="121"/>
      <c r="BT703" s="121"/>
      <c r="BU703" s="121"/>
      <c r="BV703" s="121"/>
      <c r="BW703" s="121"/>
      <c r="BX703" s="121"/>
      <c r="BY703" s="121"/>
      <c r="BZ703" s="121"/>
    </row>
    <row r="704" spans="60:78">
      <c r="BH704" s="29"/>
      <c r="BI704" s="29"/>
      <c r="BJ704" s="29"/>
      <c r="BK704" s="29"/>
      <c r="BL704" s="29"/>
      <c r="BM704" s="121"/>
      <c r="BN704" s="121"/>
      <c r="BO704" s="121"/>
      <c r="BP704" s="121"/>
      <c r="BQ704" s="121"/>
      <c r="BR704" s="121"/>
      <c r="BS704" s="121"/>
      <c r="BT704" s="121"/>
      <c r="BU704" s="121"/>
      <c r="BV704" s="121"/>
      <c r="BW704" s="121"/>
      <c r="BX704" s="121"/>
      <c r="BY704" s="121"/>
      <c r="BZ704" s="121"/>
    </row>
    <row r="705" spans="60:78">
      <c r="BH705" s="29"/>
      <c r="BI705" s="29"/>
      <c r="BJ705" s="29"/>
      <c r="BK705" s="29"/>
      <c r="BL705" s="29"/>
      <c r="BM705" s="121"/>
      <c r="BN705" s="121"/>
      <c r="BO705" s="121"/>
      <c r="BP705" s="121"/>
      <c r="BQ705" s="121"/>
      <c r="BR705" s="121"/>
      <c r="BS705" s="121"/>
      <c r="BT705" s="121"/>
      <c r="BU705" s="121"/>
      <c r="BV705" s="121"/>
      <c r="BW705" s="121"/>
      <c r="BX705" s="121"/>
      <c r="BY705" s="121"/>
      <c r="BZ705" s="121"/>
    </row>
    <row r="706" spans="60:78">
      <c r="BH706" s="29"/>
      <c r="BI706" s="29"/>
      <c r="BJ706" s="29"/>
      <c r="BK706" s="29"/>
      <c r="BL706" s="29"/>
      <c r="BM706" s="121"/>
      <c r="BN706" s="121"/>
      <c r="BO706" s="121"/>
      <c r="BP706" s="121"/>
      <c r="BQ706" s="121"/>
      <c r="BR706" s="121"/>
      <c r="BS706" s="121"/>
      <c r="BT706" s="121"/>
      <c r="BU706" s="121"/>
      <c r="BV706" s="121"/>
      <c r="BW706" s="121"/>
      <c r="BX706" s="121"/>
      <c r="BY706" s="121"/>
      <c r="BZ706" s="121"/>
    </row>
    <row r="707" spans="60:78">
      <c r="BH707" s="29"/>
      <c r="BI707" s="29"/>
      <c r="BJ707" s="29"/>
      <c r="BK707" s="29"/>
      <c r="BL707" s="29"/>
      <c r="BM707" s="121"/>
      <c r="BN707" s="121"/>
      <c r="BO707" s="121"/>
      <c r="BP707" s="121"/>
      <c r="BQ707" s="121"/>
      <c r="BR707" s="121"/>
      <c r="BS707" s="121"/>
      <c r="BT707" s="121"/>
      <c r="BU707" s="121"/>
      <c r="BV707" s="121"/>
      <c r="BW707" s="121"/>
      <c r="BX707" s="121"/>
      <c r="BY707" s="121"/>
      <c r="BZ707" s="121"/>
    </row>
    <row r="708" spans="60:78">
      <c r="BH708" s="29"/>
      <c r="BI708" s="29"/>
      <c r="BJ708" s="29"/>
      <c r="BK708" s="29"/>
      <c r="BL708" s="29"/>
      <c r="BM708" s="121"/>
      <c r="BN708" s="121"/>
      <c r="BO708" s="121"/>
      <c r="BP708" s="121"/>
      <c r="BQ708" s="121"/>
      <c r="BR708" s="121"/>
      <c r="BS708" s="121"/>
      <c r="BT708" s="121"/>
      <c r="BU708" s="121"/>
      <c r="BV708" s="121"/>
      <c r="BW708" s="121"/>
      <c r="BX708" s="121"/>
      <c r="BY708" s="121"/>
      <c r="BZ708" s="121"/>
    </row>
    <row r="709" spans="60:78">
      <c r="BH709" s="29"/>
      <c r="BI709" s="29"/>
      <c r="BJ709" s="29"/>
      <c r="BK709" s="29"/>
      <c r="BL709" s="29"/>
      <c r="BM709" s="121"/>
      <c r="BN709" s="121"/>
      <c r="BO709" s="121"/>
      <c r="BP709" s="121"/>
      <c r="BQ709" s="121"/>
      <c r="BR709" s="121"/>
      <c r="BS709" s="121"/>
      <c r="BT709" s="121"/>
      <c r="BU709" s="121"/>
      <c r="BV709" s="121"/>
      <c r="BW709" s="121"/>
      <c r="BX709" s="121"/>
      <c r="BY709" s="121"/>
      <c r="BZ709" s="121"/>
    </row>
    <row r="710" spans="60:78">
      <c r="BH710" s="29"/>
      <c r="BI710" s="29"/>
      <c r="BJ710" s="29"/>
      <c r="BK710" s="29"/>
      <c r="BL710" s="29"/>
      <c r="BM710" s="121"/>
      <c r="BN710" s="121"/>
      <c r="BO710" s="121"/>
      <c r="BP710" s="121"/>
      <c r="BQ710" s="121"/>
      <c r="BR710" s="121"/>
      <c r="BS710" s="121"/>
      <c r="BT710" s="121"/>
      <c r="BU710" s="121"/>
      <c r="BV710" s="121"/>
      <c r="BW710" s="121"/>
      <c r="BX710" s="121"/>
      <c r="BY710" s="121"/>
      <c r="BZ710" s="121"/>
    </row>
    <row r="711" spans="60:78">
      <c r="BH711" s="29"/>
      <c r="BI711" s="29"/>
      <c r="BJ711" s="29"/>
      <c r="BK711" s="29"/>
      <c r="BL711" s="29"/>
      <c r="BM711" s="121"/>
      <c r="BN711" s="121"/>
      <c r="BO711" s="121"/>
      <c r="BP711" s="121"/>
      <c r="BQ711" s="121"/>
      <c r="BR711" s="121"/>
      <c r="BS711" s="121"/>
      <c r="BT711" s="121"/>
      <c r="BU711" s="121"/>
      <c r="BV711" s="121"/>
      <c r="BW711" s="121"/>
      <c r="BX711" s="121"/>
      <c r="BY711" s="121"/>
      <c r="BZ711" s="121"/>
    </row>
    <row r="712" spans="60:78">
      <c r="BH712" s="29"/>
      <c r="BI712" s="29"/>
      <c r="BJ712" s="29"/>
      <c r="BK712" s="29"/>
      <c r="BL712" s="29"/>
      <c r="BM712" s="121"/>
      <c r="BN712" s="121"/>
      <c r="BO712" s="121"/>
      <c r="BP712" s="121"/>
      <c r="BQ712" s="121"/>
      <c r="BR712" s="121"/>
      <c r="BS712" s="121"/>
      <c r="BT712" s="121"/>
      <c r="BU712" s="121"/>
      <c r="BV712" s="121"/>
      <c r="BW712" s="121"/>
      <c r="BX712" s="121"/>
      <c r="BY712" s="121"/>
      <c r="BZ712" s="121"/>
    </row>
    <row r="713" spans="60:78">
      <c r="BH713" s="29"/>
      <c r="BI713" s="29"/>
      <c r="BJ713" s="29"/>
      <c r="BK713" s="29"/>
      <c r="BL713" s="29"/>
      <c r="BM713" s="121"/>
      <c r="BN713" s="121"/>
      <c r="BO713" s="121"/>
      <c r="BP713" s="121"/>
      <c r="BQ713" s="121"/>
      <c r="BR713" s="121"/>
      <c r="BS713" s="121"/>
      <c r="BT713" s="121"/>
      <c r="BU713" s="121"/>
      <c r="BV713" s="121"/>
      <c r="BW713" s="121"/>
      <c r="BX713" s="121"/>
      <c r="BY713" s="121"/>
      <c r="BZ713" s="121"/>
    </row>
    <row r="714" spans="60:78">
      <c r="BH714" s="29"/>
      <c r="BI714" s="29"/>
      <c r="BJ714" s="29"/>
      <c r="BK714" s="29"/>
      <c r="BL714" s="29"/>
      <c r="BM714" s="121"/>
      <c r="BN714" s="121"/>
      <c r="BO714" s="121"/>
      <c r="BP714" s="121"/>
      <c r="BQ714" s="121"/>
      <c r="BR714" s="121"/>
      <c r="BS714" s="121"/>
      <c r="BT714" s="121"/>
      <c r="BU714" s="121"/>
      <c r="BV714" s="121"/>
      <c r="BW714" s="121"/>
      <c r="BX714" s="121"/>
      <c r="BY714" s="121"/>
      <c r="BZ714" s="121"/>
    </row>
    <row r="715" spans="60:78">
      <c r="BH715" s="29"/>
      <c r="BI715" s="29"/>
      <c r="BJ715" s="29"/>
      <c r="BK715" s="29"/>
      <c r="BL715" s="29"/>
      <c r="BM715" s="121"/>
      <c r="BN715" s="121"/>
      <c r="BO715" s="121"/>
      <c r="BP715" s="121"/>
      <c r="BQ715" s="121"/>
      <c r="BR715" s="121"/>
      <c r="BS715" s="121"/>
      <c r="BT715" s="121"/>
      <c r="BU715" s="121"/>
      <c r="BV715" s="121"/>
      <c r="BW715" s="121"/>
      <c r="BX715" s="121"/>
      <c r="BY715" s="121"/>
      <c r="BZ715" s="121"/>
    </row>
    <row r="716" spans="60:78">
      <c r="BH716" s="29"/>
      <c r="BI716" s="29"/>
      <c r="BJ716" s="29"/>
      <c r="BK716" s="29"/>
      <c r="BL716" s="29"/>
      <c r="BM716" s="121"/>
      <c r="BN716" s="121"/>
      <c r="BO716" s="121"/>
      <c r="BP716" s="121"/>
      <c r="BQ716" s="121"/>
      <c r="BR716" s="121"/>
      <c r="BS716" s="121"/>
      <c r="BT716" s="121"/>
      <c r="BU716" s="121"/>
      <c r="BV716" s="121"/>
      <c r="BW716" s="121"/>
      <c r="BX716" s="121"/>
      <c r="BY716" s="121"/>
      <c r="BZ716" s="121"/>
    </row>
    <row r="717" spans="60:78">
      <c r="BH717" s="29"/>
      <c r="BI717" s="29"/>
      <c r="BJ717" s="29"/>
      <c r="BK717" s="29"/>
      <c r="BL717" s="29"/>
      <c r="BM717" s="121"/>
      <c r="BN717" s="121"/>
      <c r="BO717" s="121"/>
      <c r="BP717" s="121"/>
      <c r="BQ717" s="121"/>
      <c r="BR717" s="121"/>
      <c r="BS717" s="121"/>
      <c r="BT717" s="121"/>
      <c r="BU717" s="121"/>
      <c r="BV717" s="121"/>
      <c r="BW717" s="121"/>
      <c r="BX717" s="121"/>
      <c r="BY717" s="121"/>
      <c r="BZ717" s="121"/>
    </row>
    <row r="718" spans="60:78">
      <c r="BH718" s="29"/>
      <c r="BI718" s="29"/>
      <c r="BJ718" s="29"/>
      <c r="BK718" s="29"/>
      <c r="BL718" s="29"/>
      <c r="BM718" s="121"/>
      <c r="BN718" s="121"/>
      <c r="BO718" s="121"/>
      <c r="BP718" s="121"/>
      <c r="BQ718" s="121"/>
      <c r="BR718" s="121"/>
      <c r="BS718" s="121"/>
      <c r="BT718" s="121"/>
      <c r="BU718" s="121"/>
      <c r="BV718" s="121"/>
      <c r="BW718" s="121"/>
      <c r="BX718" s="121"/>
      <c r="BY718" s="121"/>
      <c r="BZ718" s="121"/>
    </row>
    <row r="719" spans="60:78">
      <c r="BH719" s="29"/>
      <c r="BI719" s="29"/>
      <c r="BJ719" s="29"/>
      <c r="BK719" s="29"/>
      <c r="BL719" s="29"/>
      <c r="BM719" s="121"/>
      <c r="BN719" s="121"/>
      <c r="BO719" s="121"/>
      <c r="BP719" s="121"/>
      <c r="BQ719" s="121"/>
      <c r="BR719" s="121"/>
      <c r="BS719" s="121"/>
      <c r="BT719" s="121"/>
      <c r="BU719" s="121"/>
      <c r="BV719" s="121"/>
      <c r="BW719" s="121"/>
      <c r="BX719" s="121"/>
      <c r="BY719" s="121"/>
      <c r="BZ719" s="121"/>
    </row>
    <row r="720" spans="60:78">
      <c r="BH720" s="29"/>
      <c r="BI720" s="29"/>
      <c r="BJ720" s="29"/>
      <c r="BK720" s="29"/>
      <c r="BL720" s="29"/>
      <c r="BM720" s="121"/>
      <c r="BN720" s="121"/>
      <c r="BO720" s="121"/>
      <c r="BP720" s="121"/>
      <c r="BQ720" s="121"/>
      <c r="BR720" s="121"/>
      <c r="BS720" s="121"/>
      <c r="BT720" s="121"/>
      <c r="BU720" s="121"/>
      <c r="BV720" s="121"/>
      <c r="BW720" s="121"/>
      <c r="BX720" s="121"/>
      <c r="BY720" s="121"/>
      <c r="BZ720" s="121"/>
    </row>
    <row r="721" spans="60:78">
      <c r="BH721" s="29"/>
      <c r="BI721" s="29"/>
      <c r="BJ721" s="29"/>
      <c r="BK721" s="29"/>
      <c r="BL721" s="29"/>
      <c r="BM721" s="121"/>
      <c r="BN721" s="121"/>
      <c r="BO721" s="121"/>
      <c r="BP721" s="121"/>
      <c r="BQ721" s="121"/>
      <c r="BR721" s="121"/>
      <c r="BS721" s="121"/>
      <c r="BT721" s="121"/>
      <c r="BU721" s="121"/>
      <c r="BV721" s="121"/>
      <c r="BW721" s="121"/>
      <c r="BX721" s="121"/>
      <c r="BY721" s="121"/>
      <c r="BZ721" s="121"/>
    </row>
    <row r="722" spans="60:78">
      <c r="BH722" s="29"/>
      <c r="BI722" s="29"/>
      <c r="BJ722" s="29"/>
      <c r="BK722" s="29"/>
      <c r="BL722" s="29"/>
      <c r="BM722" s="121"/>
      <c r="BN722" s="121"/>
      <c r="BO722" s="121"/>
      <c r="BP722" s="121"/>
      <c r="BQ722" s="121"/>
      <c r="BR722" s="121"/>
      <c r="BS722" s="121"/>
      <c r="BT722" s="121"/>
      <c r="BU722" s="121"/>
      <c r="BV722" s="121"/>
      <c r="BW722" s="121"/>
      <c r="BX722" s="121"/>
      <c r="BY722" s="121"/>
      <c r="BZ722" s="121"/>
    </row>
    <row r="723" spans="60:78">
      <c r="BH723" s="29"/>
      <c r="BI723" s="29"/>
      <c r="BJ723" s="29"/>
      <c r="BK723" s="29"/>
      <c r="BL723" s="29"/>
      <c r="BM723" s="121"/>
      <c r="BN723" s="121"/>
      <c r="BO723" s="121"/>
      <c r="BP723" s="121"/>
      <c r="BQ723" s="121"/>
      <c r="BR723" s="121"/>
      <c r="BS723" s="121"/>
      <c r="BT723" s="121"/>
      <c r="BU723" s="121"/>
      <c r="BV723" s="121"/>
      <c r="BW723" s="121"/>
      <c r="BX723" s="121"/>
      <c r="BY723" s="121"/>
      <c r="BZ723" s="121"/>
    </row>
    <row r="724" spans="60:78">
      <c r="BH724" s="29"/>
      <c r="BI724" s="29"/>
      <c r="BJ724" s="29"/>
      <c r="BK724" s="29"/>
      <c r="BL724" s="29"/>
      <c r="BM724" s="121"/>
      <c r="BN724" s="121"/>
      <c r="BO724" s="121"/>
      <c r="BP724" s="121"/>
      <c r="BQ724" s="121"/>
      <c r="BR724" s="121"/>
      <c r="BS724" s="121"/>
      <c r="BT724" s="121"/>
      <c r="BU724" s="121"/>
      <c r="BV724" s="121"/>
      <c r="BW724" s="121"/>
      <c r="BX724" s="121"/>
      <c r="BY724" s="121"/>
      <c r="BZ724" s="121"/>
    </row>
    <row r="725" spans="60:78">
      <c r="BH725" s="29"/>
      <c r="BI725" s="29"/>
      <c r="BJ725" s="29"/>
      <c r="BK725" s="29"/>
      <c r="BL725" s="29"/>
      <c r="BM725" s="121"/>
      <c r="BN725" s="121"/>
      <c r="BO725" s="121"/>
      <c r="BP725" s="121"/>
      <c r="BQ725" s="121"/>
      <c r="BR725" s="121"/>
      <c r="BS725" s="121"/>
      <c r="BT725" s="121"/>
      <c r="BU725" s="121"/>
      <c r="BV725" s="121"/>
      <c r="BW725" s="121"/>
      <c r="BX725" s="121"/>
      <c r="BY725" s="121"/>
      <c r="BZ725" s="121"/>
    </row>
    <row r="726" spans="60:78">
      <c r="BH726" s="29"/>
      <c r="BI726" s="29"/>
      <c r="BJ726" s="29"/>
      <c r="BK726" s="29"/>
      <c r="BL726" s="29"/>
      <c r="BM726" s="121"/>
      <c r="BN726" s="121"/>
      <c r="BO726" s="121"/>
      <c r="BP726" s="121"/>
      <c r="BQ726" s="121"/>
      <c r="BR726" s="121"/>
      <c r="BS726" s="121"/>
      <c r="BT726" s="121"/>
      <c r="BU726" s="121"/>
      <c r="BV726" s="121"/>
      <c r="BW726" s="121"/>
      <c r="BX726" s="121"/>
      <c r="BY726" s="121"/>
      <c r="BZ726" s="121"/>
    </row>
    <row r="727" spans="60:78">
      <c r="BH727" s="29"/>
      <c r="BI727" s="29"/>
      <c r="BJ727" s="29"/>
      <c r="BK727" s="29"/>
      <c r="BL727" s="29"/>
      <c r="BM727" s="121"/>
      <c r="BN727" s="121"/>
      <c r="BO727" s="121"/>
      <c r="BP727" s="121"/>
      <c r="BQ727" s="121"/>
      <c r="BR727" s="121"/>
      <c r="BS727" s="121"/>
      <c r="BT727" s="121"/>
      <c r="BU727" s="121"/>
      <c r="BV727" s="121"/>
      <c r="BW727" s="121"/>
      <c r="BX727" s="121"/>
      <c r="BY727" s="121"/>
      <c r="BZ727" s="121"/>
    </row>
    <row r="728" spans="60:78">
      <c r="BH728" s="29"/>
      <c r="BI728" s="29"/>
      <c r="BJ728" s="29"/>
      <c r="BK728" s="29"/>
      <c r="BL728" s="29"/>
      <c r="BM728" s="121"/>
      <c r="BN728" s="121"/>
      <c r="BO728" s="121"/>
      <c r="BP728" s="121"/>
      <c r="BQ728" s="121"/>
      <c r="BR728" s="121"/>
      <c r="BS728" s="121"/>
      <c r="BT728" s="121"/>
      <c r="BU728" s="121"/>
      <c r="BV728" s="121"/>
      <c r="BW728" s="121"/>
      <c r="BX728" s="121"/>
      <c r="BY728" s="121"/>
      <c r="BZ728" s="121"/>
    </row>
    <row r="729" spans="60:78">
      <c r="BH729" s="29"/>
      <c r="BI729" s="29"/>
      <c r="BJ729" s="29"/>
      <c r="BK729" s="29"/>
      <c r="BL729" s="29"/>
      <c r="BM729" s="121"/>
      <c r="BN729" s="121"/>
      <c r="BO729" s="121"/>
      <c r="BP729" s="121"/>
      <c r="BQ729" s="121"/>
      <c r="BR729" s="121"/>
      <c r="BS729" s="121"/>
      <c r="BT729" s="121"/>
      <c r="BU729" s="121"/>
      <c r="BV729" s="121"/>
      <c r="BW729" s="121"/>
      <c r="BX729" s="121"/>
      <c r="BY729" s="121"/>
      <c r="BZ729" s="121"/>
    </row>
    <row r="730" spans="60:78">
      <c r="BH730" s="29"/>
      <c r="BI730" s="29"/>
      <c r="BJ730" s="29"/>
      <c r="BK730" s="29"/>
      <c r="BL730" s="29"/>
      <c r="BM730" s="121"/>
      <c r="BN730" s="121"/>
      <c r="BO730" s="121"/>
      <c r="BP730" s="121"/>
      <c r="BQ730" s="121"/>
      <c r="BR730" s="121"/>
      <c r="BS730" s="121"/>
      <c r="BT730" s="121"/>
      <c r="BU730" s="121"/>
      <c r="BV730" s="121"/>
      <c r="BW730" s="121"/>
      <c r="BX730" s="121"/>
      <c r="BY730" s="121"/>
      <c r="BZ730" s="121"/>
    </row>
    <row r="731" spans="60:78">
      <c r="BH731" s="29"/>
      <c r="BI731" s="29"/>
      <c r="BJ731" s="29"/>
      <c r="BK731" s="29"/>
      <c r="BL731" s="29"/>
      <c r="BM731" s="121"/>
      <c r="BN731" s="121"/>
      <c r="BO731" s="121"/>
      <c r="BP731" s="121"/>
      <c r="BQ731" s="121"/>
      <c r="BR731" s="121"/>
      <c r="BS731" s="121"/>
      <c r="BT731" s="121"/>
      <c r="BU731" s="121"/>
      <c r="BV731" s="121"/>
      <c r="BW731" s="121"/>
      <c r="BX731" s="121"/>
      <c r="BY731" s="121"/>
      <c r="BZ731" s="121"/>
    </row>
    <row r="732" spans="60:78">
      <c r="BH732" s="29"/>
      <c r="BI732" s="29"/>
      <c r="BJ732" s="29"/>
      <c r="BK732" s="29"/>
      <c r="BL732" s="29"/>
      <c r="BM732" s="121"/>
      <c r="BN732" s="121"/>
      <c r="BO732" s="121"/>
      <c r="BP732" s="121"/>
      <c r="BQ732" s="121"/>
      <c r="BR732" s="121"/>
      <c r="BS732" s="121"/>
      <c r="BT732" s="121"/>
      <c r="BU732" s="121"/>
      <c r="BV732" s="121"/>
      <c r="BW732" s="121"/>
      <c r="BX732" s="121"/>
      <c r="BY732" s="121"/>
      <c r="BZ732" s="121"/>
    </row>
    <row r="733" spans="60:78">
      <c r="BH733" s="29"/>
      <c r="BI733" s="29"/>
      <c r="BJ733" s="29"/>
      <c r="BK733" s="29"/>
      <c r="BL733" s="29"/>
      <c r="BM733" s="121"/>
      <c r="BN733" s="121"/>
      <c r="BO733" s="121"/>
      <c r="BP733" s="121"/>
      <c r="BQ733" s="121"/>
      <c r="BR733" s="121"/>
      <c r="BS733" s="121"/>
      <c r="BT733" s="121"/>
      <c r="BU733" s="121"/>
      <c r="BV733" s="121"/>
      <c r="BW733" s="121"/>
      <c r="BX733" s="121"/>
      <c r="BY733" s="121"/>
      <c r="BZ733" s="121"/>
    </row>
    <row r="734" spans="60:78">
      <c r="BH734" s="29"/>
      <c r="BI734" s="29"/>
      <c r="BJ734" s="29"/>
      <c r="BK734" s="29"/>
      <c r="BL734" s="29"/>
      <c r="BM734" s="121"/>
      <c r="BN734" s="121"/>
      <c r="BO734" s="121"/>
      <c r="BP734" s="121"/>
      <c r="BQ734" s="121"/>
      <c r="BR734" s="121"/>
      <c r="BS734" s="121"/>
      <c r="BT734" s="121"/>
      <c r="BU734" s="121"/>
      <c r="BV734" s="121"/>
      <c r="BW734" s="121"/>
      <c r="BX734" s="121"/>
      <c r="BY734" s="121"/>
      <c r="BZ734" s="121"/>
    </row>
    <row r="735" spans="60:78">
      <c r="BH735" s="29"/>
      <c r="BI735" s="29"/>
      <c r="BJ735" s="29"/>
      <c r="BK735" s="29"/>
      <c r="BL735" s="29"/>
      <c r="BM735" s="121"/>
      <c r="BN735" s="121"/>
      <c r="BO735" s="121"/>
      <c r="BP735" s="121"/>
      <c r="BQ735" s="121"/>
      <c r="BR735" s="121"/>
      <c r="BS735" s="121"/>
      <c r="BT735" s="121"/>
      <c r="BU735" s="121"/>
      <c r="BV735" s="121"/>
      <c r="BW735" s="121"/>
      <c r="BX735" s="121"/>
      <c r="BY735" s="121"/>
      <c r="BZ735" s="121"/>
    </row>
    <row r="736" spans="60:78">
      <c r="BH736" s="29"/>
      <c r="BI736" s="29"/>
      <c r="BJ736" s="29"/>
      <c r="BK736" s="29"/>
      <c r="BL736" s="29"/>
      <c r="BM736" s="121"/>
      <c r="BN736" s="121"/>
      <c r="BO736" s="121"/>
      <c r="BP736" s="121"/>
      <c r="BQ736" s="121"/>
      <c r="BR736" s="121"/>
      <c r="BS736" s="121"/>
      <c r="BT736" s="121"/>
      <c r="BU736" s="121"/>
      <c r="BV736" s="121"/>
      <c r="BW736" s="121"/>
      <c r="BX736" s="121"/>
      <c r="BY736" s="121"/>
      <c r="BZ736" s="121"/>
    </row>
    <row r="737" spans="60:78">
      <c r="BH737" s="29"/>
      <c r="BI737" s="29"/>
      <c r="BJ737" s="29"/>
      <c r="BK737" s="29"/>
      <c r="BL737" s="29"/>
      <c r="BM737" s="121"/>
      <c r="BN737" s="121"/>
      <c r="BO737" s="121"/>
      <c r="BP737" s="121"/>
      <c r="BQ737" s="121"/>
      <c r="BR737" s="121"/>
      <c r="BS737" s="121"/>
      <c r="BT737" s="121"/>
      <c r="BU737" s="121"/>
      <c r="BV737" s="121"/>
      <c r="BW737" s="121"/>
      <c r="BX737" s="121"/>
      <c r="BY737" s="121"/>
      <c r="BZ737" s="121"/>
    </row>
    <row r="738" spans="60:78">
      <c r="BH738" s="29"/>
      <c r="BI738" s="29"/>
      <c r="BJ738" s="29"/>
      <c r="BK738" s="29"/>
      <c r="BL738" s="29"/>
      <c r="BM738" s="121"/>
      <c r="BN738" s="121"/>
      <c r="BO738" s="121"/>
      <c r="BP738" s="121"/>
      <c r="BQ738" s="121"/>
      <c r="BR738" s="121"/>
      <c r="BS738" s="121"/>
      <c r="BT738" s="121"/>
      <c r="BU738" s="121"/>
      <c r="BV738" s="121"/>
      <c r="BW738" s="121"/>
      <c r="BX738" s="121"/>
      <c r="BY738" s="121"/>
      <c r="BZ738" s="121"/>
    </row>
    <row r="739" spans="60:78">
      <c r="BH739" s="29"/>
      <c r="BI739" s="29"/>
      <c r="BJ739" s="29"/>
      <c r="BK739" s="29"/>
      <c r="BL739" s="29"/>
      <c r="BM739" s="121"/>
      <c r="BN739" s="121"/>
      <c r="BO739" s="121"/>
      <c r="BP739" s="121"/>
      <c r="BQ739" s="121"/>
      <c r="BR739" s="121"/>
      <c r="BS739" s="121"/>
      <c r="BT739" s="121"/>
      <c r="BU739" s="121"/>
      <c r="BV739" s="121"/>
      <c r="BW739" s="121"/>
      <c r="BX739" s="121"/>
      <c r="BY739" s="121"/>
      <c r="BZ739" s="121"/>
    </row>
    <row r="740" spans="60:78">
      <c r="BH740" s="29"/>
      <c r="BI740" s="29"/>
      <c r="BJ740" s="29"/>
      <c r="BK740" s="29"/>
      <c r="BL740" s="29"/>
      <c r="BM740" s="121"/>
      <c r="BN740" s="121"/>
      <c r="BO740" s="121"/>
      <c r="BP740" s="121"/>
      <c r="BQ740" s="121"/>
      <c r="BR740" s="121"/>
      <c r="BS740" s="121"/>
      <c r="BT740" s="121"/>
      <c r="BU740" s="121"/>
      <c r="BV740" s="121"/>
      <c r="BW740" s="121"/>
      <c r="BX740" s="121"/>
      <c r="BY740" s="121"/>
      <c r="BZ740" s="121"/>
    </row>
    <row r="741" spans="60:78">
      <c r="BH741" s="29"/>
      <c r="BI741" s="29"/>
      <c r="BJ741" s="29"/>
      <c r="BK741" s="29"/>
      <c r="BL741" s="29"/>
      <c r="BM741" s="121"/>
      <c r="BN741" s="121"/>
      <c r="BO741" s="121"/>
      <c r="BP741" s="121"/>
      <c r="BQ741" s="121"/>
      <c r="BR741" s="121"/>
      <c r="BS741" s="121"/>
      <c r="BT741" s="121"/>
      <c r="BU741" s="121"/>
      <c r="BV741" s="121"/>
      <c r="BW741" s="121"/>
      <c r="BX741" s="121"/>
      <c r="BY741" s="121"/>
      <c r="BZ741" s="121"/>
    </row>
    <row r="742" spans="60:78">
      <c r="BH742" s="29"/>
      <c r="BI742" s="29"/>
      <c r="BJ742" s="29"/>
      <c r="BK742" s="29"/>
      <c r="BL742" s="29"/>
      <c r="BM742" s="121"/>
      <c r="BN742" s="121"/>
      <c r="BO742" s="121"/>
      <c r="BP742" s="121"/>
      <c r="BQ742" s="121"/>
      <c r="BR742" s="121"/>
      <c r="BS742" s="121"/>
      <c r="BT742" s="121"/>
      <c r="BU742" s="121"/>
      <c r="BV742" s="121"/>
      <c r="BW742" s="121"/>
      <c r="BX742" s="121"/>
      <c r="BY742" s="121"/>
      <c r="BZ742" s="121"/>
    </row>
    <row r="743" spans="60:78">
      <c r="BH743" s="29"/>
      <c r="BI743" s="29"/>
      <c r="BJ743" s="29"/>
      <c r="BK743" s="29"/>
      <c r="BL743" s="29"/>
      <c r="BM743" s="121"/>
      <c r="BN743" s="121"/>
      <c r="BO743" s="121"/>
      <c r="BP743" s="121"/>
      <c r="BQ743" s="121"/>
      <c r="BR743" s="121"/>
      <c r="BS743" s="121"/>
      <c r="BT743" s="121"/>
      <c r="BU743" s="121"/>
      <c r="BV743" s="121"/>
      <c r="BW743" s="121"/>
      <c r="BX743" s="121"/>
      <c r="BY743" s="121"/>
      <c r="BZ743" s="121"/>
    </row>
    <row r="744" spans="60:78">
      <c r="BH744" s="29"/>
      <c r="BI744" s="29"/>
      <c r="BJ744" s="29"/>
      <c r="BK744" s="29"/>
      <c r="BL744" s="29"/>
      <c r="BM744" s="121"/>
      <c r="BN744" s="121"/>
      <c r="BO744" s="121"/>
      <c r="BP744" s="121"/>
      <c r="BQ744" s="121"/>
      <c r="BR744" s="121"/>
      <c r="BS744" s="121"/>
      <c r="BT744" s="121"/>
      <c r="BU744" s="121"/>
      <c r="BV744" s="121"/>
      <c r="BW744" s="121"/>
      <c r="BX744" s="121"/>
      <c r="BY744" s="121"/>
      <c r="BZ744" s="121"/>
    </row>
    <row r="745" spans="60:78">
      <c r="BH745" s="29"/>
      <c r="BI745" s="29"/>
      <c r="BJ745" s="29"/>
      <c r="BK745" s="29"/>
      <c r="BL745" s="29"/>
      <c r="BM745" s="121"/>
      <c r="BN745" s="121"/>
      <c r="BO745" s="121"/>
      <c r="BP745" s="121"/>
      <c r="BQ745" s="121"/>
      <c r="BR745" s="121"/>
      <c r="BS745" s="121"/>
      <c r="BT745" s="121"/>
      <c r="BU745" s="121"/>
      <c r="BV745" s="121"/>
      <c r="BW745" s="121"/>
      <c r="BX745" s="121"/>
      <c r="BY745" s="121"/>
      <c r="BZ745" s="121"/>
    </row>
    <row r="746" spans="60:78">
      <c r="BH746" s="29"/>
      <c r="BI746" s="29"/>
      <c r="BJ746" s="29"/>
      <c r="BK746" s="29"/>
      <c r="BL746" s="29"/>
      <c r="BM746" s="121"/>
      <c r="BN746" s="121"/>
      <c r="BO746" s="121"/>
      <c r="BP746" s="121"/>
      <c r="BQ746" s="121"/>
      <c r="BR746" s="121"/>
      <c r="BS746" s="121"/>
      <c r="BT746" s="121"/>
      <c r="BU746" s="121"/>
      <c r="BV746" s="121"/>
      <c r="BW746" s="121"/>
      <c r="BX746" s="121"/>
      <c r="BY746" s="121"/>
      <c r="BZ746" s="121"/>
    </row>
    <row r="747" spans="60:78">
      <c r="BH747" s="29"/>
      <c r="BI747" s="29"/>
      <c r="BJ747" s="29"/>
      <c r="BK747" s="29"/>
      <c r="BL747" s="29"/>
      <c r="BM747" s="121"/>
      <c r="BN747" s="121"/>
      <c r="BO747" s="121"/>
      <c r="BP747" s="121"/>
      <c r="BQ747" s="121"/>
      <c r="BR747" s="121"/>
      <c r="BS747" s="121"/>
      <c r="BT747" s="121"/>
      <c r="BU747" s="121"/>
      <c r="BV747" s="121"/>
      <c r="BW747" s="121"/>
      <c r="BX747" s="121"/>
      <c r="BY747" s="121"/>
      <c r="BZ747" s="121"/>
    </row>
    <row r="748" spans="60:78">
      <c r="BH748" s="29"/>
      <c r="BI748" s="29"/>
      <c r="BJ748" s="29"/>
      <c r="BK748" s="29"/>
      <c r="BL748" s="29"/>
      <c r="BM748" s="121"/>
      <c r="BN748" s="121"/>
      <c r="BO748" s="121"/>
      <c r="BP748" s="121"/>
      <c r="BQ748" s="121"/>
      <c r="BR748" s="121"/>
      <c r="BS748" s="121"/>
      <c r="BT748" s="121"/>
      <c r="BU748" s="121"/>
      <c r="BV748" s="121"/>
      <c r="BW748" s="121"/>
      <c r="BX748" s="121"/>
      <c r="BY748" s="121"/>
      <c r="BZ748" s="121"/>
    </row>
    <row r="749" spans="60:78">
      <c r="BH749" s="29"/>
      <c r="BI749" s="29"/>
      <c r="BJ749" s="29"/>
      <c r="BK749" s="29"/>
      <c r="BL749" s="29"/>
      <c r="BM749" s="121"/>
      <c r="BN749" s="121"/>
      <c r="BO749" s="121"/>
      <c r="BP749" s="121"/>
      <c r="BQ749" s="121"/>
      <c r="BR749" s="121"/>
      <c r="BS749" s="121"/>
      <c r="BT749" s="121"/>
      <c r="BU749" s="121"/>
      <c r="BV749" s="121"/>
      <c r="BW749" s="121"/>
      <c r="BX749" s="121"/>
      <c r="BY749" s="121"/>
      <c r="BZ749" s="121"/>
    </row>
    <row r="750" spans="60:78">
      <c r="BH750" s="29"/>
      <c r="BI750" s="29"/>
      <c r="BJ750" s="29"/>
      <c r="BK750" s="29"/>
      <c r="BL750" s="29"/>
      <c r="BM750" s="121"/>
      <c r="BN750" s="121"/>
      <c r="BO750" s="121"/>
      <c r="BP750" s="121"/>
      <c r="BQ750" s="121"/>
      <c r="BR750" s="121"/>
      <c r="BS750" s="121"/>
      <c r="BT750" s="121"/>
      <c r="BU750" s="121"/>
      <c r="BV750" s="121"/>
      <c r="BW750" s="121"/>
      <c r="BX750" s="121"/>
      <c r="BY750" s="121"/>
      <c r="BZ750" s="121"/>
    </row>
    <row r="751" spans="60:78">
      <c r="BH751" s="29"/>
      <c r="BI751" s="29"/>
      <c r="BJ751" s="29"/>
      <c r="BK751" s="29"/>
      <c r="BL751" s="29"/>
      <c r="BM751" s="121"/>
      <c r="BN751" s="121"/>
      <c r="BO751" s="121"/>
      <c r="BP751" s="121"/>
      <c r="BQ751" s="121"/>
      <c r="BR751" s="121"/>
      <c r="BS751" s="121"/>
      <c r="BT751" s="121"/>
      <c r="BU751" s="121"/>
      <c r="BV751" s="121"/>
      <c r="BW751" s="121"/>
      <c r="BX751" s="121"/>
      <c r="BY751" s="121"/>
      <c r="BZ751" s="121"/>
    </row>
    <row r="752" spans="60:78">
      <c r="BH752" s="29"/>
      <c r="BI752" s="29"/>
      <c r="BJ752" s="29"/>
      <c r="BK752" s="29"/>
      <c r="BL752" s="29"/>
      <c r="BM752" s="121"/>
      <c r="BN752" s="121"/>
      <c r="BO752" s="121"/>
      <c r="BP752" s="121"/>
      <c r="BQ752" s="121"/>
      <c r="BR752" s="121"/>
      <c r="BS752" s="121"/>
      <c r="BT752" s="121"/>
      <c r="BU752" s="121"/>
      <c r="BV752" s="121"/>
      <c r="BW752" s="121"/>
      <c r="BX752" s="121"/>
      <c r="BY752" s="121"/>
      <c r="BZ752" s="121"/>
    </row>
    <row r="753" spans="60:78">
      <c r="BH753" s="29"/>
      <c r="BI753" s="29"/>
      <c r="BJ753" s="29"/>
      <c r="BK753" s="29"/>
      <c r="BL753" s="29"/>
      <c r="BM753" s="121"/>
      <c r="BN753" s="121"/>
      <c r="BO753" s="121"/>
      <c r="BP753" s="121"/>
      <c r="BQ753" s="121"/>
      <c r="BR753" s="121"/>
      <c r="BS753" s="121"/>
      <c r="BT753" s="121"/>
      <c r="BU753" s="121"/>
      <c r="BV753" s="121"/>
      <c r="BW753" s="121"/>
      <c r="BX753" s="121"/>
      <c r="BY753" s="121"/>
      <c r="BZ753" s="121"/>
    </row>
    <row r="754" spans="60:78">
      <c r="BH754" s="29"/>
      <c r="BI754" s="29"/>
      <c r="BJ754" s="29"/>
      <c r="BK754" s="29"/>
      <c r="BL754" s="29"/>
      <c r="BM754" s="121"/>
      <c r="BN754" s="121"/>
      <c r="BO754" s="121"/>
      <c r="BP754" s="121"/>
      <c r="BQ754" s="121"/>
      <c r="BR754" s="121"/>
      <c r="BS754" s="121"/>
      <c r="BT754" s="121"/>
      <c r="BU754" s="121"/>
      <c r="BV754" s="121"/>
      <c r="BW754" s="121"/>
      <c r="BX754" s="121"/>
      <c r="BY754" s="121"/>
      <c r="BZ754" s="121"/>
    </row>
    <row r="755" spans="60:78">
      <c r="BH755" s="29"/>
      <c r="BI755" s="29"/>
      <c r="BJ755" s="29"/>
      <c r="BK755" s="29"/>
      <c r="BL755" s="29"/>
      <c r="BM755" s="121"/>
      <c r="BN755" s="121"/>
      <c r="BO755" s="121"/>
      <c r="BP755" s="121"/>
      <c r="BQ755" s="121"/>
      <c r="BR755" s="121"/>
      <c r="BS755" s="121"/>
      <c r="BT755" s="121"/>
      <c r="BU755" s="121"/>
      <c r="BV755" s="121"/>
      <c r="BW755" s="121"/>
      <c r="BX755" s="121"/>
      <c r="BY755" s="121"/>
      <c r="BZ755" s="121"/>
    </row>
    <row r="756" spans="60:78">
      <c r="BH756" s="29"/>
      <c r="BI756" s="29"/>
      <c r="BJ756" s="29"/>
      <c r="BK756" s="29"/>
      <c r="BL756" s="29"/>
      <c r="BM756" s="121"/>
      <c r="BN756" s="121"/>
      <c r="BO756" s="121"/>
      <c r="BP756" s="121"/>
      <c r="BQ756" s="121"/>
      <c r="BR756" s="121"/>
      <c r="BS756" s="121"/>
      <c r="BT756" s="121"/>
      <c r="BU756" s="121"/>
      <c r="BV756" s="121"/>
      <c r="BW756" s="121"/>
      <c r="BX756" s="121"/>
      <c r="BY756" s="121"/>
      <c r="BZ756" s="121"/>
    </row>
    <row r="757" spans="60:78">
      <c r="BH757" s="29"/>
      <c r="BI757" s="29"/>
      <c r="BJ757" s="29"/>
      <c r="BK757" s="29"/>
      <c r="BL757" s="29"/>
      <c r="BM757" s="121"/>
      <c r="BN757" s="121"/>
      <c r="BO757" s="121"/>
      <c r="BP757" s="121"/>
      <c r="BQ757" s="121"/>
      <c r="BR757" s="121"/>
      <c r="BS757" s="121"/>
      <c r="BT757" s="121"/>
      <c r="BU757" s="121"/>
      <c r="BV757" s="121"/>
      <c r="BW757" s="121"/>
      <c r="BX757" s="121"/>
      <c r="BY757" s="121"/>
      <c r="BZ757" s="121"/>
    </row>
    <row r="758" spans="60:78">
      <c r="BH758" s="29"/>
      <c r="BI758" s="29"/>
      <c r="BJ758" s="29"/>
      <c r="BK758" s="29"/>
      <c r="BL758" s="29"/>
      <c r="BM758" s="121"/>
      <c r="BN758" s="121"/>
      <c r="BO758" s="121"/>
      <c r="BP758" s="121"/>
      <c r="BQ758" s="121"/>
      <c r="BR758" s="121"/>
      <c r="BS758" s="121"/>
      <c r="BT758" s="121"/>
      <c r="BU758" s="121"/>
      <c r="BV758" s="121"/>
      <c r="BW758" s="121"/>
      <c r="BX758" s="121"/>
      <c r="BY758" s="121"/>
      <c r="BZ758" s="121"/>
    </row>
    <row r="759" spans="60:78">
      <c r="BH759" s="29"/>
      <c r="BI759" s="29"/>
      <c r="BJ759" s="29"/>
      <c r="BK759" s="29"/>
      <c r="BL759" s="29"/>
      <c r="BM759" s="121"/>
      <c r="BN759" s="121"/>
      <c r="BO759" s="121"/>
      <c r="BP759" s="121"/>
      <c r="BQ759" s="121"/>
      <c r="BR759" s="121"/>
      <c r="BS759" s="121"/>
      <c r="BT759" s="121"/>
      <c r="BU759" s="121"/>
      <c r="BV759" s="121"/>
      <c r="BW759" s="121"/>
      <c r="BX759" s="121"/>
      <c r="BY759" s="121"/>
      <c r="BZ759" s="121"/>
    </row>
    <row r="760" spans="60:78">
      <c r="BH760" s="29"/>
      <c r="BI760" s="29"/>
      <c r="BJ760" s="29"/>
      <c r="BK760" s="29"/>
      <c r="BL760" s="29"/>
      <c r="BM760" s="121"/>
      <c r="BN760" s="121"/>
      <c r="BO760" s="121"/>
      <c r="BP760" s="121"/>
      <c r="BQ760" s="121"/>
      <c r="BR760" s="121"/>
      <c r="BS760" s="121"/>
      <c r="BT760" s="121"/>
      <c r="BU760" s="121"/>
      <c r="BV760" s="121"/>
      <c r="BW760" s="121"/>
      <c r="BX760" s="121"/>
      <c r="BY760" s="121"/>
      <c r="BZ760" s="121"/>
    </row>
    <row r="761" spans="60:78">
      <c r="BH761" s="29"/>
      <c r="BI761" s="29"/>
      <c r="BJ761" s="29"/>
      <c r="BK761" s="29"/>
      <c r="BL761" s="29"/>
      <c r="BM761" s="121"/>
      <c r="BN761" s="121"/>
      <c r="BO761" s="121"/>
      <c r="BP761" s="121"/>
      <c r="BQ761" s="121"/>
      <c r="BR761" s="121"/>
      <c r="BS761" s="121"/>
      <c r="BT761" s="121"/>
      <c r="BU761" s="121"/>
      <c r="BV761" s="121"/>
      <c r="BW761" s="121"/>
      <c r="BX761" s="121"/>
      <c r="BY761" s="121"/>
      <c r="BZ761" s="121"/>
    </row>
    <row r="762" spans="60:78">
      <c r="BH762" s="29"/>
      <c r="BI762" s="29"/>
      <c r="BJ762" s="29"/>
      <c r="BK762" s="29"/>
      <c r="BL762" s="29"/>
      <c r="BM762" s="121"/>
      <c r="BN762" s="121"/>
      <c r="BO762" s="121"/>
      <c r="BP762" s="121"/>
      <c r="BQ762" s="121"/>
      <c r="BR762" s="121"/>
      <c r="BS762" s="121"/>
      <c r="BT762" s="121"/>
      <c r="BU762" s="121"/>
      <c r="BV762" s="121"/>
      <c r="BW762" s="121"/>
      <c r="BX762" s="121"/>
      <c r="BY762" s="121"/>
      <c r="BZ762" s="121"/>
    </row>
    <row r="763" spans="60:78">
      <c r="BH763" s="29"/>
      <c r="BI763" s="29"/>
      <c r="BJ763" s="29"/>
      <c r="BK763" s="29"/>
      <c r="BL763" s="29"/>
      <c r="BM763" s="121"/>
      <c r="BN763" s="121"/>
      <c r="BO763" s="121"/>
      <c r="BP763" s="121"/>
      <c r="BQ763" s="121"/>
      <c r="BR763" s="121"/>
      <c r="BS763" s="121"/>
      <c r="BT763" s="121"/>
      <c r="BU763" s="121"/>
      <c r="BV763" s="121"/>
      <c r="BW763" s="121"/>
      <c r="BX763" s="121"/>
      <c r="BY763" s="121"/>
      <c r="BZ763" s="121"/>
    </row>
    <row r="764" spans="60:78">
      <c r="BH764" s="29"/>
      <c r="BI764" s="29"/>
      <c r="BJ764" s="29"/>
      <c r="BK764" s="29"/>
      <c r="BL764" s="29"/>
      <c r="BM764" s="121"/>
      <c r="BN764" s="121"/>
      <c r="BO764" s="121"/>
      <c r="BP764" s="121"/>
      <c r="BQ764" s="121"/>
      <c r="BR764" s="121"/>
      <c r="BS764" s="121"/>
      <c r="BT764" s="121"/>
      <c r="BU764" s="121"/>
      <c r="BV764" s="121"/>
      <c r="BW764" s="121"/>
      <c r="BX764" s="121"/>
      <c r="BY764" s="121"/>
      <c r="BZ764" s="121"/>
    </row>
    <row r="765" spans="60:78">
      <c r="BH765" s="29"/>
      <c r="BI765" s="29"/>
      <c r="BJ765" s="29"/>
      <c r="BK765" s="29"/>
      <c r="BL765" s="29"/>
      <c r="BM765" s="121"/>
      <c r="BN765" s="121"/>
      <c r="BO765" s="121"/>
      <c r="BP765" s="121"/>
      <c r="BQ765" s="121"/>
      <c r="BR765" s="121"/>
      <c r="BS765" s="121"/>
      <c r="BT765" s="121"/>
      <c r="BU765" s="121"/>
      <c r="BV765" s="121"/>
      <c r="BW765" s="121"/>
      <c r="BX765" s="121"/>
      <c r="BY765" s="121"/>
      <c r="BZ765" s="121"/>
    </row>
    <row r="766" spans="60:78">
      <c r="BH766" s="29"/>
      <c r="BI766" s="29"/>
      <c r="BJ766" s="29"/>
      <c r="BK766" s="29"/>
      <c r="BL766" s="29"/>
      <c r="BM766" s="121"/>
      <c r="BN766" s="121"/>
      <c r="BO766" s="121"/>
      <c r="BP766" s="121"/>
      <c r="BQ766" s="121"/>
      <c r="BR766" s="121"/>
      <c r="BS766" s="121"/>
      <c r="BT766" s="121"/>
      <c r="BU766" s="121"/>
      <c r="BV766" s="121"/>
      <c r="BW766" s="121"/>
      <c r="BX766" s="121"/>
      <c r="BY766" s="121"/>
      <c r="BZ766" s="121"/>
    </row>
    <row r="767" spans="60:78">
      <c r="BH767" s="29"/>
      <c r="BI767" s="29"/>
      <c r="BJ767" s="29"/>
      <c r="BK767" s="29"/>
      <c r="BL767" s="29"/>
      <c r="BM767" s="121"/>
      <c r="BN767" s="121"/>
      <c r="BO767" s="121"/>
      <c r="BP767" s="121"/>
      <c r="BQ767" s="121"/>
      <c r="BR767" s="121"/>
      <c r="BS767" s="121"/>
      <c r="BT767" s="121"/>
      <c r="BU767" s="121"/>
      <c r="BV767" s="121"/>
      <c r="BW767" s="121"/>
      <c r="BX767" s="121"/>
      <c r="BY767" s="121"/>
      <c r="BZ767" s="121"/>
    </row>
    <row r="768" spans="60:78">
      <c r="BH768" s="29"/>
      <c r="BI768" s="29"/>
      <c r="BJ768" s="29"/>
      <c r="BK768" s="29"/>
      <c r="BL768" s="29"/>
      <c r="BM768" s="121"/>
      <c r="BN768" s="121"/>
      <c r="BO768" s="121"/>
      <c r="BP768" s="121"/>
      <c r="BQ768" s="121"/>
      <c r="BR768" s="121"/>
      <c r="BS768" s="121"/>
      <c r="BT768" s="121"/>
      <c r="BU768" s="121"/>
      <c r="BV768" s="121"/>
      <c r="BW768" s="121"/>
      <c r="BX768" s="121"/>
      <c r="BY768" s="121"/>
      <c r="BZ768" s="121"/>
    </row>
    <row r="769" spans="60:78">
      <c r="BH769" s="29"/>
      <c r="BI769" s="29"/>
      <c r="BJ769" s="29"/>
      <c r="BK769" s="29"/>
      <c r="BL769" s="29"/>
      <c r="BM769" s="121"/>
      <c r="BN769" s="121"/>
      <c r="BO769" s="121"/>
      <c r="BP769" s="121"/>
      <c r="BQ769" s="121"/>
      <c r="BR769" s="121"/>
      <c r="BS769" s="121"/>
      <c r="BT769" s="121"/>
      <c r="BU769" s="121"/>
      <c r="BV769" s="121"/>
      <c r="BW769" s="121"/>
      <c r="BX769" s="121"/>
      <c r="BY769" s="121"/>
      <c r="BZ769" s="121"/>
    </row>
    <row r="770" spans="60:78">
      <c r="BH770" s="29"/>
      <c r="BI770" s="29"/>
      <c r="BJ770" s="29"/>
      <c r="BK770" s="29"/>
      <c r="BL770" s="29"/>
      <c r="BM770" s="121"/>
      <c r="BN770" s="121"/>
      <c r="BO770" s="121"/>
      <c r="BP770" s="121"/>
      <c r="BQ770" s="121"/>
      <c r="BR770" s="121"/>
      <c r="BS770" s="121"/>
      <c r="BT770" s="121"/>
      <c r="BU770" s="121"/>
      <c r="BV770" s="121"/>
      <c r="BW770" s="121"/>
      <c r="BX770" s="121"/>
      <c r="BY770" s="121"/>
      <c r="BZ770" s="121"/>
    </row>
    <row r="771" spans="60:78">
      <c r="BH771" s="29"/>
      <c r="BI771" s="29"/>
      <c r="BJ771" s="29"/>
      <c r="BK771" s="29"/>
      <c r="BL771" s="29"/>
      <c r="BM771" s="121"/>
      <c r="BN771" s="121"/>
      <c r="BO771" s="121"/>
      <c r="BP771" s="121"/>
      <c r="BQ771" s="121"/>
      <c r="BR771" s="121"/>
      <c r="BS771" s="121"/>
      <c r="BT771" s="121"/>
      <c r="BU771" s="121"/>
      <c r="BV771" s="121"/>
      <c r="BW771" s="121"/>
      <c r="BX771" s="121"/>
      <c r="BY771" s="121"/>
      <c r="BZ771" s="121"/>
    </row>
    <row r="772" spans="60:78">
      <c r="BH772" s="29"/>
      <c r="BI772" s="29"/>
      <c r="BJ772" s="29"/>
      <c r="BK772" s="29"/>
      <c r="BL772" s="29"/>
      <c r="BM772" s="121"/>
      <c r="BN772" s="121"/>
      <c r="BO772" s="121"/>
      <c r="BP772" s="121"/>
      <c r="BQ772" s="121"/>
      <c r="BR772" s="121"/>
      <c r="BS772" s="121"/>
      <c r="BT772" s="121"/>
      <c r="BU772" s="121"/>
      <c r="BV772" s="121"/>
      <c r="BW772" s="121"/>
      <c r="BX772" s="121"/>
      <c r="BY772" s="121"/>
      <c r="BZ772" s="121"/>
    </row>
    <row r="773" spans="60:78">
      <c r="BH773" s="29"/>
      <c r="BI773" s="29"/>
      <c r="BJ773" s="29"/>
      <c r="BK773" s="29"/>
      <c r="BL773" s="29"/>
      <c r="BM773" s="121"/>
      <c r="BN773" s="121"/>
      <c r="BO773" s="121"/>
      <c r="BP773" s="121"/>
      <c r="BQ773" s="121"/>
      <c r="BR773" s="121"/>
      <c r="BS773" s="121"/>
      <c r="BT773" s="121"/>
      <c r="BU773" s="121"/>
      <c r="BV773" s="121"/>
      <c r="BW773" s="121"/>
      <c r="BX773" s="121"/>
      <c r="BY773" s="121"/>
      <c r="BZ773" s="121"/>
    </row>
    <row r="774" spans="60:78">
      <c r="BH774" s="29"/>
      <c r="BI774" s="29"/>
      <c r="BJ774" s="29"/>
      <c r="BK774" s="29"/>
      <c r="BL774" s="29"/>
      <c r="BM774" s="121"/>
      <c r="BN774" s="121"/>
      <c r="BO774" s="121"/>
      <c r="BP774" s="121"/>
      <c r="BQ774" s="121"/>
      <c r="BR774" s="121"/>
      <c r="BS774" s="121"/>
      <c r="BT774" s="121"/>
      <c r="BU774" s="121"/>
      <c r="BV774" s="121"/>
      <c r="BW774" s="121"/>
      <c r="BX774" s="121"/>
      <c r="BY774" s="121"/>
      <c r="BZ774" s="121"/>
    </row>
    <row r="775" spans="60:78">
      <c r="BH775" s="29"/>
      <c r="BI775" s="29"/>
      <c r="BJ775" s="29"/>
      <c r="BK775" s="29"/>
      <c r="BL775" s="29"/>
      <c r="BM775" s="121"/>
      <c r="BN775" s="121"/>
      <c r="BO775" s="121"/>
      <c r="BP775" s="121"/>
      <c r="BQ775" s="121"/>
      <c r="BR775" s="121"/>
      <c r="BS775" s="121"/>
      <c r="BT775" s="121"/>
      <c r="BU775" s="121"/>
      <c r="BV775" s="121"/>
      <c r="BW775" s="121"/>
      <c r="BX775" s="121"/>
      <c r="BY775" s="121"/>
      <c r="BZ775" s="121"/>
    </row>
    <row r="776" spans="60:78">
      <c r="BH776" s="29"/>
      <c r="BI776" s="29"/>
      <c r="BJ776" s="29"/>
      <c r="BK776" s="29"/>
      <c r="BL776" s="29"/>
      <c r="BM776" s="121"/>
      <c r="BN776" s="121"/>
      <c r="BO776" s="121"/>
      <c r="BP776" s="121"/>
      <c r="BQ776" s="121"/>
      <c r="BR776" s="121"/>
      <c r="BS776" s="121"/>
      <c r="BT776" s="121"/>
      <c r="BU776" s="121"/>
      <c r="BV776" s="121"/>
      <c r="BW776" s="121"/>
      <c r="BX776" s="121"/>
      <c r="BY776" s="121"/>
      <c r="BZ776" s="121"/>
    </row>
    <row r="777" spans="60:78">
      <c r="BH777" s="29"/>
      <c r="BI777" s="29"/>
      <c r="BJ777" s="29"/>
      <c r="BK777" s="29"/>
      <c r="BL777" s="29"/>
      <c r="BM777" s="121"/>
      <c r="BN777" s="121"/>
      <c r="BO777" s="121"/>
      <c r="BP777" s="121"/>
      <c r="BQ777" s="121"/>
      <c r="BR777" s="121"/>
      <c r="BS777" s="121"/>
      <c r="BT777" s="121"/>
      <c r="BU777" s="121"/>
      <c r="BV777" s="121"/>
      <c r="BW777" s="121"/>
      <c r="BX777" s="121"/>
      <c r="BY777" s="121"/>
      <c r="BZ777" s="121"/>
    </row>
    <row r="778" spans="60:78">
      <c r="BH778" s="29"/>
      <c r="BI778" s="29"/>
      <c r="BJ778" s="29"/>
      <c r="BK778" s="29"/>
      <c r="BL778" s="29"/>
      <c r="BM778" s="121"/>
      <c r="BN778" s="121"/>
      <c r="BO778" s="121"/>
      <c r="BP778" s="121"/>
      <c r="BQ778" s="121"/>
      <c r="BR778" s="121"/>
      <c r="BS778" s="121"/>
      <c r="BT778" s="121"/>
      <c r="BU778" s="121"/>
      <c r="BV778" s="121"/>
      <c r="BW778" s="121"/>
      <c r="BX778" s="121"/>
      <c r="BY778" s="121"/>
      <c r="BZ778" s="121"/>
    </row>
    <row r="779" spans="60:78">
      <c r="BH779" s="29"/>
      <c r="BI779" s="29"/>
      <c r="BJ779" s="29"/>
      <c r="BK779" s="29"/>
      <c r="BL779" s="29"/>
      <c r="BM779" s="121"/>
      <c r="BN779" s="121"/>
      <c r="BO779" s="121"/>
      <c r="BP779" s="121"/>
      <c r="BQ779" s="121"/>
      <c r="BR779" s="121"/>
      <c r="BS779" s="121"/>
      <c r="BT779" s="121"/>
      <c r="BU779" s="121"/>
      <c r="BV779" s="121"/>
      <c r="BW779" s="121"/>
      <c r="BX779" s="121"/>
      <c r="BY779" s="121"/>
      <c r="BZ779" s="121"/>
    </row>
    <row r="780" spans="60:78">
      <c r="BH780" s="29"/>
      <c r="BI780" s="29"/>
      <c r="BJ780" s="29"/>
      <c r="BK780" s="29"/>
      <c r="BL780" s="29"/>
      <c r="BM780" s="121"/>
      <c r="BN780" s="121"/>
      <c r="BO780" s="121"/>
      <c r="BP780" s="121"/>
      <c r="BQ780" s="121"/>
      <c r="BR780" s="121"/>
      <c r="BS780" s="121"/>
      <c r="BT780" s="121"/>
      <c r="BU780" s="121"/>
      <c r="BV780" s="121"/>
      <c r="BW780" s="121"/>
      <c r="BX780" s="121"/>
      <c r="BY780" s="121"/>
      <c r="BZ780" s="121"/>
    </row>
    <row r="781" spans="60:78">
      <c r="BH781" s="29"/>
      <c r="BI781" s="29"/>
      <c r="BJ781" s="29"/>
      <c r="BK781" s="29"/>
      <c r="BL781" s="29"/>
      <c r="BM781" s="121"/>
      <c r="BN781" s="121"/>
      <c r="BO781" s="121"/>
      <c r="BP781" s="121"/>
      <c r="BQ781" s="121"/>
      <c r="BR781" s="121"/>
      <c r="BS781" s="121"/>
      <c r="BT781" s="121"/>
      <c r="BU781" s="121"/>
      <c r="BV781" s="121"/>
      <c r="BW781" s="121"/>
      <c r="BX781" s="121"/>
      <c r="BY781" s="121"/>
      <c r="BZ781" s="121"/>
    </row>
    <row r="782" spans="60:78">
      <c r="BH782" s="29"/>
      <c r="BI782" s="29"/>
      <c r="BJ782" s="29"/>
      <c r="BK782" s="29"/>
      <c r="BL782" s="29"/>
      <c r="BM782" s="121"/>
      <c r="BN782" s="121"/>
      <c r="BO782" s="121"/>
      <c r="BP782" s="121"/>
      <c r="BQ782" s="121"/>
      <c r="BR782" s="121"/>
      <c r="BS782" s="121"/>
      <c r="BT782" s="121"/>
      <c r="BU782" s="121"/>
      <c r="BV782" s="121"/>
      <c r="BW782" s="121"/>
      <c r="BX782" s="121"/>
      <c r="BY782" s="121"/>
      <c r="BZ782" s="121"/>
    </row>
    <row r="783" spans="60:78">
      <c r="BH783" s="29"/>
      <c r="BI783" s="29"/>
      <c r="BJ783" s="29"/>
      <c r="BK783" s="29"/>
      <c r="BL783" s="29"/>
      <c r="BM783" s="121"/>
      <c r="BN783" s="121"/>
      <c r="BO783" s="121"/>
      <c r="BP783" s="121"/>
      <c r="BQ783" s="121"/>
      <c r="BR783" s="121"/>
      <c r="BS783" s="121"/>
      <c r="BT783" s="121"/>
      <c r="BU783" s="121"/>
      <c r="BV783" s="121"/>
      <c r="BW783" s="121"/>
      <c r="BX783" s="121"/>
      <c r="BY783" s="121"/>
      <c r="BZ783" s="121"/>
    </row>
    <row r="784" spans="60:78">
      <c r="BH784" s="29"/>
      <c r="BI784" s="29"/>
      <c r="BJ784" s="29"/>
      <c r="BK784" s="29"/>
      <c r="BL784" s="29"/>
      <c r="BM784" s="121"/>
      <c r="BN784" s="121"/>
      <c r="BO784" s="121"/>
      <c r="BP784" s="121"/>
      <c r="BQ784" s="121"/>
      <c r="BR784" s="121"/>
      <c r="BS784" s="121"/>
      <c r="BT784" s="121"/>
      <c r="BU784" s="121"/>
      <c r="BV784" s="121"/>
      <c r="BW784" s="121"/>
      <c r="BX784" s="121"/>
      <c r="BY784" s="121"/>
      <c r="BZ784" s="121"/>
    </row>
    <row r="785" spans="60:78">
      <c r="BH785" s="29"/>
      <c r="BI785" s="29"/>
      <c r="BJ785" s="29"/>
      <c r="BK785" s="29"/>
      <c r="BL785" s="29"/>
      <c r="BM785" s="121"/>
      <c r="BN785" s="121"/>
      <c r="BO785" s="121"/>
      <c r="BP785" s="121"/>
      <c r="BQ785" s="121"/>
      <c r="BR785" s="121"/>
      <c r="BS785" s="121"/>
      <c r="BT785" s="121"/>
      <c r="BU785" s="121"/>
      <c r="BV785" s="121"/>
      <c r="BW785" s="121"/>
      <c r="BX785" s="121"/>
      <c r="BY785" s="121"/>
      <c r="BZ785" s="121"/>
    </row>
    <row r="786" spans="60:78">
      <c r="BH786" s="29"/>
      <c r="BI786" s="29"/>
      <c r="BJ786" s="29"/>
      <c r="BK786" s="29"/>
      <c r="BL786" s="29"/>
      <c r="BM786" s="121"/>
      <c r="BN786" s="121"/>
      <c r="BO786" s="121"/>
      <c r="BP786" s="121"/>
      <c r="BQ786" s="121"/>
      <c r="BR786" s="121"/>
      <c r="BS786" s="121"/>
      <c r="BT786" s="121"/>
      <c r="BU786" s="121"/>
      <c r="BV786" s="121"/>
      <c r="BW786" s="121"/>
      <c r="BX786" s="121"/>
      <c r="BY786" s="121"/>
      <c r="BZ786" s="121"/>
    </row>
    <row r="787" spans="60:78">
      <c r="BH787" s="29"/>
      <c r="BI787" s="29"/>
      <c r="BJ787" s="29"/>
      <c r="BK787" s="29"/>
      <c r="BL787" s="29"/>
      <c r="BM787" s="121"/>
      <c r="BN787" s="121"/>
      <c r="BO787" s="121"/>
      <c r="BP787" s="121"/>
      <c r="BQ787" s="121"/>
      <c r="BR787" s="121"/>
      <c r="BS787" s="121"/>
      <c r="BT787" s="121"/>
      <c r="BU787" s="121"/>
      <c r="BV787" s="121"/>
      <c r="BW787" s="121"/>
      <c r="BX787" s="121"/>
      <c r="BY787" s="121"/>
      <c r="BZ787" s="121"/>
    </row>
    <row r="788" spans="60:78">
      <c r="BH788" s="29"/>
      <c r="BI788" s="29"/>
      <c r="BJ788" s="29"/>
      <c r="BK788" s="29"/>
      <c r="BL788" s="29"/>
      <c r="BM788" s="121"/>
      <c r="BN788" s="121"/>
      <c r="BO788" s="121"/>
      <c r="BP788" s="121"/>
      <c r="BQ788" s="121"/>
      <c r="BR788" s="121"/>
      <c r="BS788" s="121"/>
      <c r="BT788" s="121"/>
      <c r="BU788" s="121"/>
      <c r="BV788" s="121"/>
      <c r="BW788" s="121"/>
      <c r="BX788" s="121"/>
      <c r="BY788" s="121"/>
      <c r="BZ788" s="121"/>
    </row>
    <row r="789" spans="60:78">
      <c r="BH789" s="29"/>
      <c r="BI789" s="29"/>
      <c r="BJ789" s="29"/>
      <c r="BK789" s="29"/>
      <c r="BL789" s="29"/>
      <c r="BM789" s="121"/>
      <c r="BN789" s="121"/>
      <c r="BO789" s="121"/>
      <c r="BP789" s="121"/>
      <c r="BQ789" s="121"/>
      <c r="BR789" s="121"/>
      <c r="BS789" s="121"/>
      <c r="BT789" s="121"/>
      <c r="BU789" s="121"/>
      <c r="BV789" s="121"/>
      <c r="BW789" s="121"/>
      <c r="BX789" s="121"/>
      <c r="BY789" s="121"/>
      <c r="BZ789" s="121"/>
    </row>
    <row r="790" spans="60:78">
      <c r="BH790" s="29"/>
      <c r="BI790" s="29"/>
      <c r="BJ790" s="29"/>
      <c r="BK790" s="29"/>
      <c r="BL790" s="29"/>
      <c r="BM790" s="121"/>
      <c r="BN790" s="121"/>
      <c r="BO790" s="121"/>
      <c r="BP790" s="121"/>
      <c r="BQ790" s="121"/>
      <c r="BR790" s="121"/>
      <c r="BS790" s="121"/>
      <c r="BT790" s="121"/>
      <c r="BU790" s="121"/>
      <c r="BV790" s="121"/>
      <c r="BW790" s="121"/>
      <c r="BX790" s="121"/>
      <c r="BY790" s="121"/>
      <c r="BZ790" s="121"/>
    </row>
    <row r="791" spans="60:78">
      <c r="BH791" s="29"/>
      <c r="BI791" s="29"/>
      <c r="BJ791" s="29"/>
      <c r="BK791" s="29"/>
      <c r="BL791" s="29"/>
      <c r="BM791" s="121"/>
      <c r="BN791" s="121"/>
      <c r="BO791" s="121"/>
      <c r="BP791" s="121"/>
      <c r="BQ791" s="121"/>
      <c r="BR791" s="121"/>
      <c r="BS791" s="121"/>
      <c r="BT791" s="121"/>
      <c r="BU791" s="121"/>
      <c r="BV791" s="121"/>
      <c r="BW791" s="121"/>
      <c r="BX791" s="121"/>
      <c r="BY791" s="121"/>
      <c r="BZ791" s="121"/>
    </row>
    <row r="792" spans="60:78">
      <c r="BH792" s="29"/>
      <c r="BI792" s="29"/>
      <c r="BJ792" s="29"/>
      <c r="BK792" s="29"/>
      <c r="BL792" s="29"/>
      <c r="BM792" s="121"/>
      <c r="BN792" s="121"/>
      <c r="BO792" s="121"/>
      <c r="BP792" s="121"/>
      <c r="BQ792" s="121"/>
      <c r="BR792" s="121"/>
      <c r="BS792" s="121"/>
      <c r="BT792" s="121"/>
      <c r="BU792" s="121"/>
      <c r="BV792" s="121"/>
      <c r="BW792" s="121"/>
      <c r="BX792" s="121"/>
      <c r="BY792" s="121"/>
      <c r="BZ792" s="121"/>
    </row>
    <row r="793" spans="60:78">
      <c r="BH793" s="29"/>
      <c r="BI793" s="29"/>
      <c r="BJ793" s="29"/>
      <c r="BK793" s="29"/>
      <c r="BL793" s="29"/>
      <c r="BM793" s="121"/>
      <c r="BN793" s="121"/>
      <c r="BO793" s="121"/>
      <c r="BP793" s="121"/>
      <c r="BQ793" s="121"/>
      <c r="BR793" s="121"/>
      <c r="BS793" s="121"/>
      <c r="BT793" s="121"/>
      <c r="BU793" s="121"/>
      <c r="BV793" s="121"/>
      <c r="BW793" s="121"/>
      <c r="BX793" s="121"/>
      <c r="BY793" s="121"/>
      <c r="BZ793" s="121"/>
    </row>
    <row r="794" spans="60:78">
      <c r="BH794" s="29"/>
      <c r="BI794" s="29"/>
      <c r="BJ794" s="29"/>
      <c r="BK794" s="29"/>
      <c r="BL794" s="29"/>
      <c r="BM794" s="121"/>
      <c r="BN794" s="121"/>
      <c r="BO794" s="121"/>
      <c r="BP794" s="121"/>
      <c r="BQ794" s="121"/>
      <c r="BR794" s="121"/>
      <c r="BS794" s="121"/>
      <c r="BT794" s="121"/>
      <c r="BU794" s="121"/>
      <c r="BV794" s="121"/>
      <c r="BW794" s="121"/>
      <c r="BX794" s="121"/>
      <c r="BY794" s="121"/>
      <c r="BZ794" s="121"/>
    </row>
    <row r="795" spans="60:78">
      <c r="BH795" s="29"/>
      <c r="BI795" s="29"/>
      <c r="BJ795" s="29"/>
      <c r="BK795" s="29"/>
      <c r="BL795" s="29"/>
      <c r="BM795" s="121"/>
      <c r="BN795" s="121"/>
      <c r="BO795" s="121"/>
      <c r="BP795" s="121"/>
      <c r="BQ795" s="121"/>
      <c r="BR795" s="121"/>
      <c r="BS795" s="121"/>
      <c r="BT795" s="121"/>
      <c r="BU795" s="121"/>
      <c r="BV795" s="121"/>
      <c r="BW795" s="121"/>
      <c r="BX795" s="121"/>
      <c r="BY795" s="121"/>
      <c r="BZ795" s="121"/>
    </row>
    <row r="796" spans="60:78">
      <c r="BH796" s="29"/>
      <c r="BI796" s="29"/>
      <c r="BJ796" s="29"/>
      <c r="BK796" s="29"/>
      <c r="BL796" s="29"/>
      <c r="BM796" s="121"/>
      <c r="BN796" s="121"/>
      <c r="BO796" s="121"/>
      <c r="BP796" s="121"/>
      <c r="BQ796" s="121"/>
      <c r="BR796" s="121"/>
      <c r="BS796" s="121"/>
      <c r="BT796" s="121"/>
      <c r="BU796" s="121"/>
      <c r="BV796" s="121"/>
      <c r="BW796" s="121"/>
      <c r="BX796" s="121"/>
      <c r="BY796" s="121"/>
      <c r="BZ796" s="121"/>
    </row>
    <row r="797" spans="60:78">
      <c r="BH797" s="29"/>
      <c r="BI797" s="29"/>
      <c r="BJ797" s="29"/>
      <c r="BK797" s="29"/>
      <c r="BL797" s="29"/>
      <c r="BM797" s="121"/>
      <c r="BN797" s="121"/>
      <c r="BO797" s="121"/>
      <c r="BP797" s="121"/>
      <c r="BQ797" s="121"/>
      <c r="BR797" s="121"/>
      <c r="BS797" s="121"/>
      <c r="BT797" s="121"/>
      <c r="BU797" s="121"/>
      <c r="BV797" s="121"/>
      <c r="BW797" s="121"/>
      <c r="BX797" s="121"/>
      <c r="BY797" s="121"/>
      <c r="BZ797" s="121"/>
    </row>
    <row r="798" spans="60:78">
      <c r="BH798" s="29"/>
      <c r="BI798" s="29"/>
      <c r="BJ798" s="29"/>
      <c r="BK798" s="29"/>
      <c r="BL798" s="29"/>
      <c r="BM798" s="121"/>
      <c r="BN798" s="121"/>
      <c r="BO798" s="121"/>
      <c r="BP798" s="121"/>
      <c r="BQ798" s="121"/>
      <c r="BR798" s="121"/>
      <c r="BS798" s="121"/>
      <c r="BT798" s="121"/>
      <c r="BU798" s="121"/>
      <c r="BV798" s="121"/>
      <c r="BW798" s="121"/>
      <c r="BX798" s="121"/>
      <c r="BY798" s="121"/>
      <c r="BZ798" s="121"/>
    </row>
    <row r="799" spans="60:78">
      <c r="BH799" s="29"/>
      <c r="BI799" s="29"/>
      <c r="BJ799" s="29"/>
      <c r="BK799" s="29"/>
      <c r="BL799" s="29"/>
      <c r="BM799" s="121"/>
      <c r="BN799" s="121"/>
      <c r="BO799" s="121"/>
      <c r="BP799" s="121"/>
      <c r="BQ799" s="121"/>
      <c r="BR799" s="121"/>
      <c r="BS799" s="121"/>
      <c r="BT799" s="121"/>
      <c r="BU799" s="121"/>
      <c r="BV799" s="121"/>
      <c r="BW799" s="121"/>
      <c r="BX799" s="121"/>
      <c r="BY799" s="121"/>
      <c r="BZ799" s="121"/>
    </row>
    <row r="800" spans="60:78">
      <c r="BH800" s="29"/>
      <c r="BI800" s="29"/>
      <c r="BJ800" s="29"/>
      <c r="BK800" s="29"/>
      <c r="BL800" s="29"/>
      <c r="BM800" s="121"/>
      <c r="BN800" s="121"/>
      <c r="BO800" s="121"/>
      <c r="BP800" s="121"/>
      <c r="BQ800" s="121"/>
      <c r="BR800" s="121"/>
      <c r="BS800" s="121"/>
      <c r="BT800" s="121"/>
      <c r="BU800" s="121"/>
      <c r="BV800" s="121"/>
      <c r="BW800" s="121"/>
      <c r="BX800" s="121"/>
      <c r="BY800" s="121"/>
      <c r="BZ800" s="121"/>
    </row>
    <row r="801" spans="60:78">
      <c r="BH801" s="29"/>
      <c r="BI801" s="29"/>
      <c r="BJ801" s="29"/>
      <c r="BK801" s="29"/>
      <c r="BL801" s="29"/>
      <c r="BM801" s="121"/>
      <c r="BN801" s="121"/>
      <c r="BO801" s="121"/>
      <c r="BP801" s="121"/>
      <c r="BQ801" s="121"/>
      <c r="BR801" s="121"/>
      <c r="BS801" s="121"/>
      <c r="BT801" s="121"/>
      <c r="BU801" s="121"/>
      <c r="BV801" s="121"/>
      <c r="BW801" s="121"/>
      <c r="BX801" s="121"/>
      <c r="BY801" s="121"/>
      <c r="BZ801" s="121"/>
    </row>
    <row r="802" spans="60:78">
      <c r="BH802" s="29"/>
      <c r="BI802" s="29"/>
      <c r="BJ802" s="29"/>
      <c r="BK802" s="29"/>
      <c r="BL802" s="29"/>
      <c r="BM802" s="121"/>
      <c r="BN802" s="121"/>
      <c r="BO802" s="121"/>
      <c r="BP802" s="121"/>
      <c r="BQ802" s="121"/>
      <c r="BR802" s="121"/>
      <c r="BS802" s="121"/>
      <c r="BT802" s="121"/>
      <c r="BU802" s="121"/>
      <c r="BV802" s="121"/>
      <c r="BW802" s="121"/>
      <c r="BX802" s="121"/>
      <c r="BY802" s="121"/>
      <c r="BZ802" s="121"/>
    </row>
    <row r="803" spans="60:78">
      <c r="BH803" s="29"/>
      <c r="BI803" s="29"/>
      <c r="BJ803" s="29"/>
      <c r="BK803" s="29"/>
      <c r="BL803" s="29"/>
      <c r="BM803" s="121"/>
      <c r="BN803" s="121"/>
      <c r="BO803" s="121"/>
      <c r="BP803" s="121"/>
      <c r="BQ803" s="121"/>
      <c r="BR803" s="121"/>
      <c r="BS803" s="121"/>
      <c r="BT803" s="121"/>
      <c r="BU803" s="121"/>
      <c r="BV803" s="121"/>
      <c r="BW803" s="121"/>
      <c r="BX803" s="121"/>
      <c r="BY803" s="121"/>
      <c r="BZ803" s="121"/>
    </row>
    <row r="804" spans="60:78">
      <c r="BH804" s="29"/>
      <c r="BI804" s="29"/>
      <c r="BJ804" s="29"/>
      <c r="BK804" s="29"/>
      <c r="BL804" s="29"/>
      <c r="BM804" s="121"/>
      <c r="BN804" s="121"/>
      <c r="BO804" s="121"/>
      <c r="BP804" s="121"/>
      <c r="BQ804" s="121"/>
      <c r="BR804" s="121"/>
      <c r="BS804" s="121"/>
      <c r="BT804" s="121"/>
      <c r="BU804" s="121"/>
      <c r="BV804" s="121"/>
      <c r="BW804" s="121"/>
      <c r="BX804" s="121"/>
      <c r="BY804" s="121"/>
      <c r="BZ804" s="121"/>
    </row>
    <row r="805" spans="60:78">
      <c r="BH805" s="29"/>
      <c r="BI805" s="29"/>
      <c r="BJ805" s="29"/>
      <c r="BK805" s="29"/>
      <c r="BL805" s="29"/>
      <c r="BM805" s="121"/>
      <c r="BN805" s="121"/>
      <c r="BO805" s="121"/>
      <c r="BP805" s="121"/>
      <c r="BQ805" s="121"/>
      <c r="BR805" s="121"/>
      <c r="BS805" s="121"/>
      <c r="BT805" s="121"/>
      <c r="BU805" s="121"/>
      <c r="BV805" s="121"/>
      <c r="BW805" s="121"/>
      <c r="BX805" s="121"/>
      <c r="BY805" s="121"/>
      <c r="BZ805" s="121"/>
    </row>
    <row r="806" spans="60:78">
      <c r="BH806" s="29"/>
      <c r="BI806" s="29"/>
      <c r="BJ806" s="29"/>
      <c r="BK806" s="29"/>
      <c r="BL806" s="29"/>
      <c r="BM806" s="121"/>
      <c r="BN806" s="121"/>
      <c r="BO806" s="121"/>
      <c r="BP806" s="121"/>
      <c r="BQ806" s="121"/>
      <c r="BR806" s="121"/>
      <c r="BS806" s="121"/>
      <c r="BT806" s="121"/>
      <c r="BU806" s="121"/>
      <c r="BV806" s="121"/>
      <c r="BW806" s="121"/>
      <c r="BX806" s="121"/>
      <c r="BY806" s="121"/>
      <c r="BZ806" s="121"/>
    </row>
    <row r="807" spans="60:78">
      <c r="BH807" s="29"/>
      <c r="BI807" s="29"/>
      <c r="BJ807" s="29"/>
      <c r="BK807" s="29"/>
      <c r="BL807" s="29"/>
      <c r="BM807" s="121"/>
      <c r="BN807" s="121"/>
      <c r="BO807" s="121"/>
      <c r="BP807" s="121"/>
      <c r="BQ807" s="121"/>
      <c r="BR807" s="121"/>
      <c r="BS807" s="121"/>
      <c r="BT807" s="121"/>
      <c r="BU807" s="121"/>
      <c r="BV807" s="121"/>
      <c r="BW807" s="121"/>
      <c r="BX807" s="121"/>
      <c r="BY807" s="121"/>
      <c r="BZ807" s="121"/>
    </row>
    <row r="808" spans="60:78">
      <c r="BH808" s="29"/>
      <c r="BI808" s="29"/>
      <c r="BJ808" s="29"/>
      <c r="BK808" s="29"/>
      <c r="BL808" s="29"/>
      <c r="BM808" s="121"/>
      <c r="BN808" s="121"/>
      <c r="BO808" s="121"/>
      <c r="BP808" s="121"/>
      <c r="BQ808" s="121"/>
      <c r="BR808" s="121"/>
      <c r="BS808" s="121"/>
      <c r="BT808" s="121"/>
      <c r="BU808" s="121"/>
      <c r="BV808" s="121"/>
      <c r="BW808" s="121"/>
      <c r="BX808" s="121"/>
      <c r="BY808" s="121"/>
      <c r="BZ808" s="121"/>
    </row>
    <row r="809" spans="60:78">
      <c r="BH809" s="29"/>
      <c r="BI809" s="29"/>
      <c r="BJ809" s="29"/>
      <c r="BK809" s="29"/>
      <c r="BL809" s="29"/>
      <c r="BM809" s="121"/>
      <c r="BN809" s="121"/>
      <c r="BO809" s="121"/>
      <c r="BP809" s="121"/>
      <c r="BQ809" s="121"/>
      <c r="BR809" s="121"/>
      <c r="BS809" s="121"/>
      <c r="BT809" s="121"/>
      <c r="BU809" s="121"/>
      <c r="BV809" s="121"/>
      <c r="BW809" s="121"/>
      <c r="BX809" s="121"/>
      <c r="BY809" s="121"/>
      <c r="BZ809" s="121"/>
    </row>
    <row r="810" spans="60:78">
      <c r="BH810" s="29"/>
      <c r="BI810" s="29"/>
      <c r="BJ810" s="29"/>
      <c r="BK810" s="29"/>
      <c r="BL810" s="29"/>
      <c r="BM810" s="121"/>
      <c r="BN810" s="121"/>
      <c r="BO810" s="121"/>
      <c r="BP810" s="121"/>
      <c r="BQ810" s="121"/>
      <c r="BR810" s="121"/>
      <c r="BS810" s="121"/>
      <c r="BT810" s="121"/>
      <c r="BU810" s="121"/>
      <c r="BV810" s="121"/>
      <c r="BW810" s="121"/>
      <c r="BX810" s="121"/>
      <c r="BY810" s="121"/>
      <c r="BZ810" s="121"/>
    </row>
    <row r="811" spans="60:78">
      <c r="BH811" s="29"/>
      <c r="BI811" s="29"/>
      <c r="BJ811" s="29"/>
      <c r="BK811" s="29"/>
      <c r="BL811" s="29"/>
      <c r="BM811" s="121"/>
      <c r="BN811" s="121"/>
      <c r="BO811" s="121"/>
      <c r="BP811" s="121"/>
      <c r="BQ811" s="121"/>
      <c r="BR811" s="121"/>
      <c r="BS811" s="121"/>
      <c r="BT811" s="121"/>
      <c r="BU811" s="121"/>
      <c r="BV811" s="121"/>
      <c r="BW811" s="121"/>
      <c r="BX811" s="121"/>
      <c r="BY811" s="121"/>
      <c r="BZ811" s="121"/>
    </row>
    <row r="812" spans="60:78">
      <c r="BH812" s="29"/>
      <c r="BI812" s="29"/>
      <c r="BJ812" s="29"/>
      <c r="BK812" s="29"/>
      <c r="BL812" s="29"/>
      <c r="BM812" s="121"/>
      <c r="BN812" s="121"/>
      <c r="BO812" s="121"/>
      <c r="BP812" s="121"/>
      <c r="BQ812" s="121"/>
      <c r="BR812" s="121"/>
      <c r="BS812" s="121"/>
      <c r="BT812" s="121"/>
      <c r="BU812" s="121"/>
      <c r="BV812" s="121"/>
      <c r="BW812" s="121"/>
      <c r="BX812" s="121"/>
      <c r="BY812" s="121"/>
      <c r="BZ812" s="121"/>
    </row>
    <row r="813" spans="60:78">
      <c r="BH813" s="29"/>
      <c r="BI813" s="29"/>
      <c r="BJ813" s="29"/>
      <c r="BK813" s="29"/>
      <c r="BL813" s="29"/>
      <c r="BM813" s="121"/>
      <c r="BN813" s="121"/>
      <c r="BO813" s="121"/>
      <c r="BP813" s="121"/>
      <c r="BQ813" s="121"/>
      <c r="BR813" s="121"/>
      <c r="BS813" s="121"/>
      <c r="BT813" s="121"/>
      <c r="BU813" s="121"/>
      <c r="BV813" s="121"/>
      <c r="BW813" s="121"/>
      <c r="BX813" s="121"/>
      <c r="BY813" s="121"/>
      <c r="BZ813" s="121"/>
    </row>
    <row r="814" spans="60:78">
      <c r="BH814" s="29"/>
      <c r="BI814" s="29"/>
      <c r="BJ814" s="29"/>
      <c r="BK814" s="29"/>
      <c r="BL814" s="29"/>
      <c r="BM814" s="121"/>
      <c r="BN814" s="121"/>
      <c r="BO814" s="121"/>
      <c r="BP814" s="121"/>
      <c r="BQ814" s="121"/>
      <c r="BR814" s="121"/>
      <c r="BS814" s="121"/>
      <c r="BT814" s="121"/>
      <c r="BU814" s="121"/>
      <c r="BV814" s="121"/>
      <c r="BW814" s="121"/>
      <c r="BX814" s="121"/>
      <c r="BY814" s="121"/>
      <c r="BZ814" s="121"/>
    </row>
    <row r="815" spans="60:78">
      <c r="BH815" s="29"/>
      <c r="BI815" s="29"/>
      <c r="BJ815" s="29"/>
      <c r="BK815" s="29"/>
      <c r="BL815" s="29"/>
      <c r="BM815" s="121"/>
      <c r="BN815" s="121"/>
      <c r="BO815" s="121"/>
      <c r="BP815" s="121"/>
      <c r="BQ815" s="121"/>
      <c r="BR815" s="121"/>
      <c r="BS815" s="121"/>
      <c r="BT815" s="121"/>
      <c r="BU815" s="121"/>
      <c r="BV815" s="121"/>
      <c r="BW815" s="121"/>
      <c r="BX815" s="121"/>
      <c r="BY815" s="121"/>
      <c r="BZ815" s="121"/>
    </row>
    <row r="816" spans="60:78">
      <c r="BH816" s="29"/>
      <c r="BI816" s="29"/>
      <c r="BJ816" s="29"/>
      <c r="BK816" s="29"/>
      <c r="BL816" s="29"/>
      <c r="BM816" s="121"/>
      <c r="BN816" s="121"/>
      <c r="BO816" s="121"/>
      <c r="BP816" s="121"/>
      <c r="BQ816" s="121"/>
      <c r="BR816" s="121"/>
      <c r="BS816" s="121"/>
      <c r="BT816" s="121"/>
      <c r="BU816" s="121"/>
      <c r="BV816" s="121"/>
      <c r="BW816" s="121"/>
      <c r="BX816" s="121"/>
      <c r="BY816" s="121"/>
      <c r="BZ816" s="121"/>
    </row>
    <row r="817" spans="60:78">
      <c r="BH817" s="29"/>
      <c r="BI817" s="29"/>
      <c r="BJ817" s="29"/>
      <c r="BK817" s="29"/>
      <c r="BL817" s="29"/>
      <c r="BM817" s="121"/>
      <c r="BN817" s="121"/>
      <c r="BO817" s="121"/>
      <c r="BP817" s="121"/>
      <c r="BQ817" s="121"/>
      <c r="BR817" s="121"/>
      <c r="BS817" s="121"/>
      <c r="BT817" s="121"/>
      <c r="BU817" s="121"/>
      <c r="BV817" s="121"/>
      <c r="BW817" s="121"/>
      <c r="BX817" s="121"/>
      <c r="BY817" s="121"/>
      <c r="BZ817" s="121"/>
    </row>
    <row r="818" spans="60:78">
      <c r="BH818" s="29"/>
      <c r="BI818" s="29"/>
      <c r="BJ818" s="29"/>
      <c r="BK818" s="29"/>
      <c r="BL818" s="29"/>
      <c r="BM818" s="121"/>
      <c r="BN818" s="121"/>
      <c r="BO818" s="121"/>
      <c r="BP818" s="121"/>
      <c r="BQ818" s="121"/>
      <c r="BR818" s="121"/>
      <c r="BS818" s="121"/>
      <c r="BT818" s="121"/>
      <c r="BU818" s="121"/>
      <c r="BV818" s="121"/>
      <c r="BW818" s="121"/>
      <c r="BX818" s="121"/>
      <c r="BY818" s="121"/>
      <c r="BZ818" s="121"/>
    </row>
    <row r="819" spans="60:78">
      <c r="BH819" s="29"/>
      <c r="BI819" s="29"/>
      <c r="BJ819" s="29"/>
      <c r="BK819" s="29"/>
      <c r="BL819" s="29"/>
      <c r="BM819" s="121"/>
      <c r="BN819" s="121"/>
      <c r="BO819" s="121"/>
      <c r="BP819" s="121"/>
      <c r="BQ819" s="121"/>
      <c r="BR819" s="121"/>
      <c r="BS819" s="121"/>
      <c r="BT819" s="121"/>
      <c r="BU819" s="121"/>
      <c r="BV819" s="121"/>
      <c r="BW819" s="121"/>
      <c r="BX819" s="121"/>
      <c r="BY819" s="121"/>
      <c r="BZ819" s="121"/>
    </row>
    <row r="820" spans="60:78">
      <c r="BH820" s="29"/>
      <c r="BI820" s="29"/>
      <c r="BJ820" s="29"/>
      <c r="BK820" s="29"/>
      <c r="BL820" s="29"/>
      <c r="BM820" s="121"/>
      <c r="BN820" s="121"/>
      <c r="BO820" s="121"/>
      <c r="BP820" s="121"/>
      <c r="BQ820" s="121"/>
      <c r="BR820" s="121"/>
      <c r="BS820" s="121"/>
      <c r="BT820" s="121"/>
      <c r="BU820" s="121"/>
      <c r="BV820" s="121"/>
      <c r="BW820" s="121"/>
      <c r="BX820" s="121"/>
      <c r="BY820" s="121"/>
      <c r="BZ820" s="121"/>
    </row>
    <row r="821" spans="60:78">
      <c r="BH821" s="29"/>
      <c r="BI821" s="29"/>
      <c r="BJ821" s="29"/>
      <c r="BK821" s="29"/>
      <c r="BL821" s="29"/>
      <c r="BM821" s="121"/>
      <c r="BN821" s="121"/>
      <c r="BO821" s="121"/>
      <c r="BP821" s="121"/>
      <c r="BQ821" s="121"/>
      <c r="BR821" s="121"/>
      <c r="BS821" s="121"/>
      <c r="BT821" s="121"/>
      <c r="BU821" s="121"/>
      <c r="BV821" s="121"/>
      <c r="BW821" s="121"/>
      <c r="BX821" s="121"/>
      <c r="BY821" s="121"/>
      <c r="BZ821" s="121"/>
    </row>
    <row r="822" spans="60:78">
      <c r="BH822" s="29"/>
      <c r="BI822" s="29"/>
      <c r="BJ822" s="29"/>
      <c r="BK822" s="29"/>
      <c r="BL822" s="29"/>
      <c r="BM822" s="121"/>
      <c r="BN822" s="121"/>
      <c r="BO822" s="121"/>
      <c r="BP822" s="121"/>
      <c r="BQ822" s="121"/>
      <c r="BR822" s="121"/>
      <c r="BS822" s="121"/>
      <c r="BT822" s="121"/>
      <c r="BU822" s="121"/>
      <c r="BV822" s="121"/>
      <c r="BW822" s="121"/>
      <c r="BX822" s="121"/>
      <c r="BY822" s="121"/>
      <c r="BZ822" s="121"/>
    </row>
    <row r="823" spans="60:78">
      <c r="BH823" s="29"/>
      <c r="BI823" s="29"/>
      <c r="BJ823" s="29"/>
      <c r="BK823" s="29"/>
      <c r="BL823" s="29"/>
      <c r="BM823" s="121"/>
      <c r="BN823" s="121"/>
      <c r="BO823" s="121"/>
      <c r="BP823" s="121"/>
      <c r="BQ823" s="121"/>
      <c r="BR823" s="121"/>
      <c r="BS823" s="121"/>
      <c r="BT823" s="121"/>
      <c r="BU823" s="121"/>
      <c r="BV823" s="121"/>
      <c r="BW823" s="121"/>
      <c r="BX823" s="121"/>
      <c r="BY823" s="121"/>
      <c r="BZ823" s="121"/>
    </row>
    <row r="824" spans="60:78">
      <c r="BH824" s="29"/>
      <c r="BI824" s="29"/>
      <c r="BJ824" s="29"/>
      <c r="BK824" s="29"/>
      <c r="BL824" s="29"/>
      <c r="BM824" s="121"/>
      <c r="BN824" s="121"/>
      <c r="BO824" s="121"/>
      <c r="BP824" s="121"/>
      <c r="BQ824" s="121"/>
      <c r="BR824" s="121"/>
      <c r="BS824" s="121"/>
      <c r="BT824" s="121"/>
      <c r="BU824" s="121"/>
      <c r="BV824" s="121"/>
      <c r="BW824" s="121"/>
      <c r="BX824" s="121"/>
      <c r="BY824" s="121"/>
      <c r="BZ824" s="121"/>
    </row>
    <row r="825" spans="60:78">
      <c r="BH825" s="29"/>
      <c r="BI825" s="29"/>
      <c r="BJ825" s="29"/>
      <c r="BK825" s="29"/>
      <c r="BL825" s="29"/>
      <c r="BM825" s="121"/>
      <c r="BN825" s="121"/>
      <c r="BO825" s="121"/>
      <c r="BP825" s="121"/>
      <c r="BQ825" s="121"/>
      <c r="BR825" s="121"/>
      <c r="BS825" s="121"/>
      <c r="BT825" s="121"/>
      <c r="BU825" s="121"/>
      <c r="BV825" s="121"/>
      <c r="BW825" s="121"/>
      <c r="BX825" s="121"/>
      <c r="BY825" s="121"/>
      <c r="BZ825" s="121"/>
    </row>
    <row r="826" spans="60:78">
      <c r="BH826" s="29"/>
      <c r="BI826" s="29"/>
      <c r="BJ826" s="29"/>
      <c r="BK826" s="29"/>
      <c r="BL826" s="29"/>
      <c r="BM826" s="121"/>
      <c r="BN826" s="121"/>
      <c r="BO826" s="121"/>
      <c r="BP826" s="121"/>
      <c r="BQ826" s="121"/>
      <c r="BR826" s="121"/>
      <c r="BS826" s="121"/>
      <c r="BT826" s="121"/>
      <c r="BU826" s="121"/>
      <c r="BV826" s="121"/>
      <c r="BW826" s="121"/>
      <c r="BX826" s="121"/>
      <c r="BY826" s="121"/>
      <c r="BZ826" s="121"/>
    </row>
    <row r="827" spans="60:78">
      <c r="BH827" s="29"/>
      <c r="BI827" s="29"/>
      <c r="BJ827" s="29"/>
      <c r="BK827" s="29"/>
      <c r="BL827" s="29"/>
      <c r="BM827" s="121"/>
      <c r="BN827" s="121"/>
      <c r="BO827" s="121"/>
      <c r="BP827" s="121"/>
      <c r="BQ827" s="121"/>
      <c r="BR827" s="121"/>
      <c r="BS827" s="121"/>
      <c r="BT827" s="121"/>
      <c r="BU827" s="121"/>
      <c r="BV827" s="121"/>
      <c r="BW827" s="121"/>
      <c r="BX827" s="121"/>
      <c r="BY827" s="121"/>
      <c r="BZ827" s="121"/>
    </row>
    <row r="828" spans="60:78">
      <c r="BH828" s="29"/>
      <c r="BI828" s="29"/>
      <c r="BJ828" s="29"/>
      <c r="BK828" s="29"/>
      <c r="BL828" s="29"/>
      <c r="BM828" s="121"/>
      <c r="BN828" s="121"/>
      <c r="BO828" s="121"/>
      <c r="BP828" s="121"/>
      <c r="BQ828" s="121"/>
      <c r="BR828" s="121"/>
      <c r="BS828" s="121"/>
      <c r="BT828" s="121"/>
      <c r="BU828" s="121"/>
      <c r="BV828" s="121"/>
      <c r="BW828" s="121"/>
      <c r="BX828" s="121"/>
      <c r="BY828" s="121"/>
      <c r="BZ828" s="121"/>
    </row>
    <row r="829" spans="60:78">
      <c r="BH829" s="29"/>
      <c r="BI829" s="29"/>
      <c r="BJ829" s="29"/>
      <c r="BK829" s="29"/>
      <c r="BL829" s="29"/>
      <c r="BM829" s="121"/>
      <c r="BN829" s="121"/>
      <c r="BO829" s="121"/>
      <c r="BP829" s="121"/>
      <c r="BQ829" s="121"/>
      <c r="BR829" s="121"/>
      <c r="BS829" s="121"/>
      <c r="BT829" s="121"/>
      <c r="BU829" s="121"/>
      <c r="BV829" s="121"/>
      <c r="BW829" s="121"/>
      <c r="BX829" s="121"/>
      <c r="BY829" s="121"/>
      <c r="BZ829" s="121"/>
    </row>
    <row r="830" spans="60:78">
      <c r="BH830" s="29"/>
      <c r="BI830" s="29"/>
      <c r="BJ830" s="29"/>
      <c r="BK830" s="29"/>
      <c r="BL830" s="29"/>
      <c r="BM830" s="121"/>
      <c r="BN830" s="121"/>
      <c r="BO830" s="121"/>
      <c r="BP830" s="121"/>
      <c r="BQ830" s="121"/>
      <c r="BR830" s="121"/>
      <c r="BS830" s="121"/>
      <c r="BT830" s="121"/>
      <c r="BU830" s="121"/>
      <c r="BV830" s="121"/>
      <c r="BW830" s="121"/>
      <c r="BX830" s="121"/>
      <c r="BY830" s="121"/>
      <c r="BZ830" s="121"/>
    </row>
    <row r="831" spans="60:78">
      <c r="BH831" s="29"/>
      <c r="BI831" s="29"/>
      <c r="BJ831" s="29"/>
      <c r="BK831" s="29"/>
      <c r="BL831" s="29"/>
      <c r="BM831" s="121"/>
      <c r="BN831" s="121"/>
      <c r="BO831" s="121"/>
      <c r="BP831" s="121"/>
      <c r="BQ831" s="121"/>
      <c r="BR831" s="121"/>
      <c r="BS831" s="121"/>
      <c r="BT831" s="121"/>
      <c r="BU831" s="121"/>
      <c r="BV831" s="121"/>
      <c r="BW831" s="121"/>
      <c r="BX831" s="121"/>
      <c r="BY831" s="121"/>
      <c r="BZ831" s="121"/>
    </row>
    <row r="832" spans="60:78">
      <c r="BH832" s="29"/>
      <c r="BI832" s="29"/>
      <c r="BJ832" s="29"/>
      <c r="BK832" s="29"/>
      <c r="BL832" s="29"/>
      <c r="BM832" s="121"/>
      <c r="BN832" s="121"/>
      <c r="BO832" s="121"/>
      <c r="BP832" s="121"/>
      <c r="BQ832" s="121"/>
      <c r="BR832" s="121"/>
      <c r="BS832" s="121"/>
      <c r="BT832" s="121"/>
      <c r="BU832" s="121"/>
      <c r="BV832" s="121"/>
      <c r="BW832" s="121"/>
      <c r="BX832" s="121"/>
      <c r="BY832" s="121"/>
      <c r="BZ832" s="121"/>
    </row>
    <row r="833" spans="60:78">
      <c r="BH833" s="29"/>
      <c r="BI833" s="29"/>
      <c r="BJ833" s="29"/>
      <c r="BK833" s="29"/>
      <c r="BL833" s="29"/>
      <c r="BM833" s="121"/>
      <c r="BN833" s="121"/>
      <c r="BO833" s="121"/>
      <c r="BP833" s="121"/>
      <c r="BQ833" s="121"/>
      <c r="BR833" s="121"/>
      <c r="BS833" s="121"/>
      <c r="BT833" s="121"/>
      <c r="BU833" s="121"/>
      <c r="BV833" s="121"/>
      <c r="BW833" s="121"/>
      <c r="BX833" s="121"/>
      <c r="BY833" s="121"/>
      <c r="BZ833" s="121"/>
    </row>
    <row r="834" spans="60:78">
      <c r="BH834" s="29"/>
      <c r="BI834" s="29"/>
      <c r="BJ834" s="29"/>
      <c r="BK834" s="29"/>
      <c r="BL834" s="29"/>
      <c r="BM834" s="121"/>
      <c r="BN834" s="121"/>
      <c r="BO834" s="121"/>
      <c r="BP834" s="121"/>
      <c r="BQ834" s="121"/>
      <c r="BR834" s="121"/>
      <c r="BS834" s="121"/>
      <c r="BT834" s="121"/>
      <c r="BU834" s="121"/>
      <c r="BV834" s="121"/>
      <c r="BW834" s="121"/>
      <c r="BX834" s="121"/>
      <c r="BY834" s="121"/>
      <c r="BZ834" s="121"/>
    </row>
    <row r="835" spans="60:78">
      <c r="BH835" s="29"/>
      <c r="BI835" s="29"/>
      <c r="BJ835" s="29"/>
      <c r="BK835" s="29"/>
      <c r="BL835" s="29"/>
      <c r="BM835" s="121"/>
      <c r="BN835" s="121"/>
      <c r="BO835" s="121"/>
      <c r="BP835" s="121"/>
      <c r="BQ835" s="121"/>
      <c r="BR835" s="121"/>
      <c r="BS835" s="121"/>
      <c r="BT835" s="121"/>
      <c r="BU835" s="121"/>
      <c r="BV835" s="121"/>
      <c r="BW835" s="121"/>
      <c r="BX835" s="121"/>
      <c r="BY835" s="121"/>
      <c r="BZ835" s="121"/>
    </row>
    <row r="836" spans="60:78">
      <c r="BH836" s="29"/>
      <c r="BI836" s="29"/>
      <c r="BJ836" s="29"/>
      <c r="BK836" s="29"/>
      <c r="BL836" s="29"/>
      <c r="BM836" s="121"/>
      <c r="BN836" s="121"/>
      <c r="BO836" s="121"/>
      <c r="BP836" s="121"/>
      <c r="BQ836" s="121"/>
      <c r="BR836" s="121"/>
      <c r="BS836" s="121"/>
      <c r="BT836" s="121"/>
      <c r="BU836" s="121"/>
      <c r="BV836" s="121"/>
      <c r="BW836" s="121"/>
      <c r="BX836" s="121"/>
      <c r="BY836" s="121"/>
      <c r="BZ836" s="121"/>
    </row>
    <row r="837" spans="60:78">
      <c r="BH837" s="29"/>
      <c r="BI837" s="29"/>
      <c r="BJ837" s="29"/>
      <c r="BK837" s="29"/>
      <c r="BL837" s="29"/>
      <c r="BM837" s="121"/>
      <c r="BN837" s="121"/>
      <c r="BO837" s="121"/>
      <c r="BP837" s="121"/>
      <c r="BQ837" s="121"/>
      <c r="BR837" s="121"/>
      <c r="BS837" s="121"/>
      <c r="BT837" s="121"/>
      <c r="BU837" s="121"/>
      <c r="BV837" s="121"/>
      <c r="BW837" s="121"/>
      <c r="BX837" s="121"/>
      <c r="BY837" s="121"/>
      <c r="BZ837" s="121"/>
    </row>
    <row r="838" spans="60:78">
      <c r="BH838" s="29"/>
      <c r="BI838" s="29"/>
      <c r="BJ838" s="29"/>
      <c r="BK838" s="29"/>
      <c r="BL838" s="29"/>
      <c r="BM838" s="121"/>
      <c r="BN838" s="121"/>
      <c r="BO838" s="121"/>
      <c r="BP838" s="121"/>
      <c r="BQ838" s="121"/>
      <c r="BR838" s="121"/>
      <c r="BS838" s="121"/>
      <c r="BT838" s="121"/>
      <c r="BU838" s="121"/>
      <c r="BV838" s="121"/>
      <c r="BW838" s="121"/>
      <c r="BX838" s="121"/>
      <c r="BY838" s="121"/>
      <c r="BZ838" s="121"/>
    </row>
    <row r="839" spans="60:78">
      <c r="BH839" s="29"/>
      <c r="BI839" s="29"/>
      <c r="BJ839" s="29"/>
      <c r="BK839" s="29"/>
      <c r="BL839" s="29"/>
      <c r="BM839" s="121"/>
      <c r="BN839" s="121"/>
      <c r="BO839" s="121"/>
      <c r="BP839" s="121"/>
      <c r="BQ839" s="121"/>
      <c r="BR839" s="121"/>
      <c r="BS839" s="121"/>
      <c r="BT839" s="121"/>
      <c r="BU839" s="121"/>
      <c r="BV839" s="121"/>
      <c r="BW839" s="121"/>
      <c r="BX839" s="121"/>
      <c r="BY839" s="121"/>
      <c r="BZ839" s="121"/>
    </row>
    <row r="840" spans="60:78">
      <c r="BH840" s="29"/>
      <c r="BI840" s="29"/>
      <c r="BJ840" s="29"/>
      <c r="BK840" s="29"/>
      <c r="BL840" s="29"/>
      <c r="BM840" s="121"/>
      <c r="BN840" s="121"/>
      <c r="BO840" s="121"/>
      <c r="BP840" s="121"/>
      <c r="BQ840" s="121"/>
      <c r="BR840" s="121"/>
      <c r="BS840" s="121"/>
      <c r="BT840" s="121"/>
      <c r="BU840" s="121"/>
      <c r="BV840" s="121"/>
      <c r="BW840" s="121"/>
      <c r="BX840" s="121"/>
      <c r="BY840" s="121"/>
      <c r="BZ840" s="121"/>
    </row>
    <row r="841" spans="60:78">
      <c r="BH841" s="29"/>
      <c r="BI841" s="29"/>
      <c r="BJ841" s="29"/>
      <c r="BK841" s="29"/>
      <c r="BL841" s="29"/>
      <c r="BM841" s="121"/>
      <c r="BN841" s="121"/>
      <c r="BO841" s="121"/>
      <c r="BP841" s="121"/>
      <c r="BQ841" s="121"/>
      <c r="BR841" s="121"/>
      <c r="BS841" s="121"/>
      <c r="BT841" s="121"/>
      <c r="BU841" s="121"/>
      <c r="BV841" s="121"/>
      <c r="BW841" s="121"/>
      <c r="BX841" s="121"/>
      <c r="BY841" s="121"/>
      <c r="BZ841" s="121"/>
    </row>
    <row r="842" spans="60:78">
      <c r="BH842" s="29"/>
      <c r="BI842" s="29"/>
      <c r="BJ842" s="29"/>
      <c r="BK842" s="29"/>
      <c r="BL842" s="29"/>
      <c r="BM842" s="121"/>
      <c r="BN842" s="121"/>
      <c r="BO842" s="121"/>
      <c r="BP842" s="121"/>
      <c r="BQ842" s="121"/>
      <c r="BR842" s="121"/>
      <c r="BS842" s="121"/>
      <c r="BT842" s="121"/>
      <c r="BU842" s="121"/>
      <c r="BV842" s="121"/>
      <c r="BW842" s="121"/>
      <c r="BX842" s="121"/>
      <c r="BY842" s="121"/>
      <c r="BZ842" s="121"/>
    </row>
    <row r="843" spans="60:78">
      <c r="BH843" s="29"/>
      <c r="BI843" s="29"/>
      <c r="BJ843" s="29"/>
      <c r="BK843" s="29"/>
      <c r="BL843" s="29"/>
      <c r="BM843" s="121"/>
      <c r="BN843" s="121"/>
      <c r="BO843" s="121"/>
      <c r="BP843" s="121"/>
      <c r="BQ843" s="121"/>
      <c r="BR843" s="121"/>
      <c r="BS843" s="121"/>
      <c r="BT843" s="121"/>
      <c r="BU843" s="121"/>
      <c r="BV843" s="121"/>
      <c r="BW843" s="121"/>
      <c r="BX843" s="121"/>
      <c r="BY843" s="121"/>
      <c r="BZ843" s="121"/>
    </row>
    <row r="844" spans="60:78">
      <c r="BH844" s="29"/>
      <c r="BI844" s="29"/>
      <c r="BJ844" s="29"/>
      <c r="BK844" s="29"/>
      <c r="BL844" s="29"/>
      <c r="BM844" s="121"/>
      <c r="BN844" s="121"/>
      <c r="BO844" s="121"/>
      <c r="BP844" s="121"/>
      <c r="BQ844" s="121"/>
      <c r="BR844" s="121"/>
      <c r="BS844" s="121"/>
      <c r="BT844" s="121"/>
      <c r="BU844" s="121"/>
      <c r="BV844" s="121"/>
      <c r="BW844" s="121"/>
      <c r="BX844" s="121"/>
      <c r="BY844" s="121"/>
      <c r="BZ844" s="121"/>
    </row>
    <row r="845" spans="60:78">
      <c r="BH845" s="29"/>
      <c r="BI845" s="29"/>
      <c r="BJ845" s="29"/>
      <c r="BK845" s="29"/>
      <c r="BL845" s="29"/>
      <c r="BM845" s="121"/>
      <c r="BN845" s="121"/>
      <c r="BO845" s="121"/>
      <c r="BP845" s="121"/>
      <c r="BQ845" s="121"/>
      <c r="BR845" s="121"/>
      <c r="BS845" s="121"/>
      <c r="BT845" s="121"/>
      <c r="BU845" s="121"/>
      <c r="BV845" s="121"/>
      <c r="BW845" s="121"/>
      <c r="BX845" s="121"/>
      <c r="BY845" s="121"/>
      <c r="BZ845" s="121"/>
    </row>
    <row r="846" spans="60:78">
      <c r="BH846" s="29"/>
      <c r="BI846" s="29"/>
      <c r="BJ846" s="29"/>
      <c r="BK846" s="29"/>
      <c r="BL846" s="29"/>
      <c r="BM846" s="121"/>
      <c r="BN846" s="121"/>
      <c r="BO846" s="121"/>
      <c r="BP846" s="121"/>
      <c r="BQ846" s="121"/>
      <c r="BR846" s="121"/>
      <c r="BS846" s="121"/>
      <c r="BT846" s="121"/>
      <c r="BU846" s="121"/>
      <c r="BV846" s="121"/>
      <c r="BW846" s="121"/>
      <c r="BX846" s="121"/>
      <c r="BY846" s="121"/>
      <c r="BZ846" s="121"/>
    </row>
    <row r="847" spans="60:78">
      <c r="BH847" s="29"/>
      <c r="BI847" s="29"/>
      <c r="BJ847" s="29"/>
      <c r="BK847" s="29"/>
      <c r="BL847" s="29"/>
      <c r="BM847" s="121"/>
      <c r="BN847" s="121"/>
      <c r="BO847" s="121"/>
      <c r="BP847" s="121"/>
      <c r="BQ847" s="121"/>
      <c r="BR847" s="121"/>
      <c r="BS847" s="121"/>
      <c r="BT847" s="121"/>
      <c r="BU847" s="121"/>
      <c r="BV847" s="121"/>
      <c r="BW847" s="121"/>
      <c r="BX847" s="121"/>
      <c r="BY847" s="121"/>
      <c r="BZ847" s="121"/>
    </row>
    <row r="848" spans="60:78">
      <c r="BH848" s="29"/>
      <c r="BI848" s="29"/>
      <c r="BJ848" s="29"/>
      <c r="BK848" s="29"/>
      <c r="BL848" s="29"/>
      <c r="BM848" s="121"/>
      <c r="BN848" s="121"/>
      <c r="BO848" s="121"/>
      <c r="BP848" s="121"/>
      <c r="BQ848" s="121"/>
      <c r="BR848" s="121"/>
      <c r="BS848" s="121"/>
      <c r="BT848" s="121"/>
      <c r="BU848" s="121"/>
      <c r="BV848" s="121"/>
      <c r="BW848" s="121"/>
      <c r="BX848" s="121"/>
      <c r="BY848" s="121"/>
      <c r="BZ848" s="121"/>
    </row>
    <row r="849" spans="60:78">
      <c r="BH849" s="29"/>
      <c r="BI849" s="29"/>
      <c r="BJ849" s="29"/>
      <c r="BK849" s="29"/>
      <c r="BL849" s="29"/>
      <c r="BM849" s="121"/>
      <c r="BN849" s="121"/>
      <c r="BO849" s="121"/>
      <c r="BP849" s="121"/>
      <c r="BQ849" s="121"/>
      <c r="BR849" s="121"/>
      <c r="BS849" s="121"/>
      <c r="BT849" s="121"/>
      <c r="BU849" s="121"/>
      <c r="BV849" s="121"/>
      <c r="BW849" s="121"/>
      <c r="BX849" s="121"/>
      <c r="BY849" s="121"/>
      <c r="BZ849" s="121"/>
    </row>
    <row r="850" spans="60:78">
      <c r="BH850" s="29"/>
      <c r="BI850" s="29"/>
      <c r="BJ850" s="29"/>
      <c r="BK850" s="29"/>
      <c r="BL850" s="29"/>
      <c r="BM850" s="121"/>
      <c r="BN850" s="121"/>
      <c r="BO850" s="121"/>
      <c r="BP850" s="121"/>
      <c r="BQ850" s="121"/>
      <c r="BR850" s="121"/>
      <c r="BS850" s="121"/>
      <c r="BT850" s="121"/>
      <c r="BU850" s="121"/>
      <c r="BV850" s="121"/>
      <c r="BW850" s="121"/>
      <c r="BX850" s="121"/>
      <c r="BY850" s="121"/>
      <c r="BZ850" s="121"/>
    </row>
    <row r="851" spans="60:78">
      <c r="BH851" s="29"/>
      <c r="BI851" s="29"/>
      <c r="BJ851" s="29"/>
      <c r="BK851" s="29"/>
      <c r="BL851" s="29"/>
      <c r="BM851" s="121"/>
      <c r="BN851" s="121"/>
      <c r="BO851" s="121"/>
      <c r="BP851" s="121"/>
      <c r="BQ851" s="121"/>
      <c r="BR851" s="121"/>
      <c r="BS851" s="121"/>
      <c r="BT851" s="121"/>
      <c r="BU851" s="121"/>
      <c r="BV851" s="121"/>
      <c r="BW851" s="121"/>
      <c r="BX851" s="121"/>
      <c r="BY851" s="121"/>
      <c r="BZ851" s="121"/>
    </row>
    <row r="852" spans="60:78">
      <c r="BH852" s="29"/>
      <c r="BI852" s="29"/>
      <c r="BJ852" s="29"/>
      <c r="BK852" s="29"/>
      <c r="BL852" s="29"/>
      <c r="BM852" s="121"/>
      <c r="BN852" s="121"/>
      <c r="BO852" s="121"/>
      <c r="BP852" s="121"/>
      <c r="BQ852" s="121"/>
      <c r="BR852" s="121"/>
      <c r="BS852" s="121"/>
      <c r="BT852" s="121"/>
      <c r="BU852" s="121"/>
      <c r="BV852" s="121"/>
      <c r="BW852" s="121"/>
      <c r="BX852" s="121"/>
      <c r="BY852" s="121"/>
      <c r="BZ852" s="121"/>
    </row>
    <row r="853" spans="60:78">
      <c r="BH853" s="29"/>
      <c r="BI853" s="29"/>
      <c r="BJ853" s="29"/>
      <c r="BK853" s="29"/>
      <c r="BL853" s="29"/>
      <c r="BM853" s="121"/>
      <c r="BN853" s="121"/>
      <c r="BO853" s="121"/>
      <c r="BP853" s="121"/>
      <c r="BQ853" s="121"/>
      <c r="BR853" s="121"/>
      <c r="BS853" s="121"/>
      <c r="BT853" s="121"/>
      <c r="BU853" s="121"/>
      <c r="BV853" s="121"/>
      <c r="BW853" s="121"/>
      <c r="BX853" s="121"/>
      <c r="BY853" s="121"/>
      <c r="BZ853" s="121"/>
    </row>
    <row r="854" spans="60:78">
      <c r="BH854" s="29"/>
      <c r="BI854" s="29"/>
      <c r="BJ854" s="29"/>
      <c r="BK854" s="29"/>
      <c r="BL854" s="29"/>
      <c r="BM854" s="121"/>
      <c r="BN854" s="121"/>
      <c r="BO854" s="121"/>
      <c r="BP854" s="121"/>
      <c r="BQ854" s="121"/>
      <c r="BR854" s="121"/>
      <c r="BS854" s="121"/>
      <c r="BT854" s="121"/>
      <c r="BU854" s="121"/>
      <c r="BV854" s="121"/>
      <c r="BW854" s="121"/>
      <c r="BX854" s="121"/>
      <c r="BY854" s="121"/>
      <c r="BZ854" s="121"/>
    </row>
    <row r="855" spans="60:78">
      <c r="BH855" s="29"/>
      <c r="BI855" s="29"/>
      <c r="BJ855" s="29"/>
      <c r="BK855" s="29"/>
      <c r="BL855" s="29"/>
      <c r="BM855" s="121"/>
      <c r="BN855" s="121"/>
      <c r="BO855" s="121"/>
      <c r="BP855" s="121"/>
      <c r="BQ855" s="121"/>
      <c r="BR855" s="121"/>
      <c r="BS855" s="121"/>
      <c r="BT855" s="121"/>
      <c r="BU855" s="121"/>
      <c r="BV855" s="121"/>
      <c r="BW855" s="121"/>
      <c r="BX855" s="121"/>
      <c r="BY855" s="121"/>
      <c r="BZ855" s="121"/>
    </row>
    <row r="856" spans="60:78">
      <c r="BH856" s="29"/>
      <c r="BI856" s="29"/>
      <c r="BJ856" s="29"/>
      <c r="BK856" s="29"/>
      <c r="BL856" s="29"/>
      <c r="BM856" s="121"/>
      <c r="BN856" s="121"/>
      <c r="BO856" s="121"/>
      <c r="BP856" s="121"/>
      <c r="BQ856" s="121"/>
      <c r="BR856" s="121"/>
      <c r="BS856" s="121"/>
      <c r="BT856" s="121"/>
      <c r="BU856" s="121"/>
      <c r="BV856" s="121"/>
      <c r="BW856" s="121"/>
      <c r="BX856" s="121"/>
      <c r="BY856" s="121"/>
      <c r="BZ856" s="121"/>
    </row>
    <row r="857" spans="60:78">
      <c r="BH857" s="29"/>
      <c r="BI857" s="29"/>
      <c r="BJ857" s="29"/>
      <c r="BK857" s="29"/>
      <c r="BL857" s="29"/>
      <c r="BM857" s="121"/>
      <c r="BN857" s="121"/>
      <c r="BO857" s="121"/>
      <c r="BP857" s="121"/>
      <c r="BQ857" s="121"/>
      <c r="BR857" s="121"/>
      <c r="BS857" s="121"/>
      <c r="BT857" s="121"/>
      <c r="BU857" s="121"/>
      <c r="BV857" s="121"/>
      <c r="BW857" s="121"/>
      <c r="BX857" s="121"/>
      <c r="BY857" s="121"/>
      <c r="BZ857" s="121"/>
    </row>
    <row r="858" spans="60:78">
      <c r="BH858" s="29"/>
      <c r="BI858" s="29"/>
      <c r="BJ858" s="29"/>
      <c r="BK858" s="29"/>
      <c r="BL858" s="29"/>
      <c r="BM858" s="121"/>
      <c r="BN858" s="121"/>
      <c r="BO858" s="121"/>
      <c r="BP858" s="121"/>
      <c r="BQ858" s="121"/>
      <c r="BR858" s="121"/>
      <c r="BS858" s="121"/>
      <c r="BT858" s="121"/>
      <c r="BU858" s="121"/>
      <c r="BV858" s="121"/>
      <c r="BW858" s="121"/>
      <c r="BX858" s="121"/>
      <c r="BY858" s="121"/>
      <c r="BZ858" s="121"/>
    </row>
    <row r="859" spans="60:78">
      <c r="BH859" s="29"/>
      <c r="BI859" s="29"/>
      <c r="BJ859" s="29"/>
      <c r="BK859" s="29"/>
      <c r="BL859" s="29"/>
      <c r="BM859" s="121"/>
      <c r="BN859" s="121"/>
      <c r="BO859" s="121"/>
      <c r="BP859" s="121"/>
      <c r="BQ859" s="121"/>
      <c r="BR859" s="121"/>
      <c r="BS859" s="121"/>
      <c r="BT859" s="121"/>
      <c r="BU859" s="121"/>
      <c r="BV859" s="121"/>
      <c r="BW859" s="121"/>
      <c r="BX859" s="121"/>
      <c r="BY859" s="121"/>
      <c r="BZ859" s="121"/>
    </row>
    <row r="860" spans="60:78">
      <c r="BH860" s="29"/>
      <c r="BI860" s="29"/>
      <c r="BJ860" s="29"/>
      <c r="BK860" s="29"/>
      <c r="BL860" s="29"/>
      <c r="BM860" s="121"/>
      <c r="BN860" s="121"/>
      <c r="BO860" s="121"/>
      <c r="BP860" s="121"/>
      <c r="BQ860" s="121"/>
      <c r="BR860" s="121"/>
      <c r="BS860" s="121"/>
      <c r="BT860" s="121"/>
      <c r="BU860" s="121"/>
      <c r="BV860" s="121"/>
      <c r="BW860" s="121"/>
      <c r="BX860" s="121"/>
      <c r="BY860" s="121"/>
      <c r="BZ860" s="121"/>
    </row>
    <row r="861" spans="60:78">
      <c r="BH861" s="29"/>
      <c r="BI861" s="29"/>
      <c r="BJ861" s="29"/>
      <c r="BK861" s="29"/>
      <c r="BL861" s="29"/>
      <c r="BM861" s="121"/>
      <c r="BN861" s="121"/>
      <c r="BO861" s="121"/>
      <c r="BP861" s="121"/>
      <c r="BQ861" s="121"/>
      <c r="BR861" s="121"/>
      <c r="BS861" s="121"/>
      <c r="BT861" s="121"/>
      <c r="BU861" s="121"/>
      <c r="BV861" s="121"/>
      <c r="BW861" s="121"/>
      <c r="BX861" s="121"/>
      <c r="BY861" s="121"/>
      <c r="BZ861" s="121"/>
    </row>
    <row r="862" spans="60:78">
      <c r="BH862" s="29"/>
      <c r="BI862" s="29"/>
      <c r="BJ862" s="29"/>
      <c r="BK862" s="29"/>
      <c r="BL862" s="29"/>
      <c r="BM862" s="121"/>
      <c r="BN862" s="121"/>
      <c r="BO862" s="121"/>
      <c r="BP862" s="121"/>
      <c r="BQ862" s="121"/>
      <c r="BR862" s="121"/>
      <c r="BS862" s="121"/>
      <c r="BT862" s="121"/>
      <c r="BU862" s="121"/>
      <c r="BV862" s="121"/>
      <c r="BW862" s="121"/>
      <c r="BX862" s="121"/>
      <c r="BY862" s="121"/>
      <c r="BZ862" s="121"/>
    </row>
    <row r="863" spans="60:78">
      <c r="BH863" s="29"/>
      <c r="BI863" s="29"/>
      <c r="BJ863" s="29"/>
      <c r="BK863" s="29"/>
      <c r="BL863" s="29"/>
      <c r="BM863" s="121"/>
      <c r="BN863" s="121"/>
      <c r="BO863" s="121"/>
      <c r="BP863" s="121"/>
      <c r="BQ863" s="121"/>
      <c r="BR863" s="121"/>
      <c r="BS863" s="121"/>
      <c r="BT863" s="121"/>
      <c r="BU863" s="121"/>
      <c r="BV863" s="121"/>
      <c r="BW863" s="121"/>
      <c r="BX863" s="121"/>
      <c r="BY863" s="121"/>
      <c r="BZ863" s="121"/>
    </row>
    <row r="864" spans="60:78">
      <c r="BH864" s="29"/>
      <c r="BI864" s="29"/>
      <c r="BJ864" s="29"/>
      <c r="BK864" s="29"/>
      <c r="BL864" s="29"/>
      <c r="BM864" s="121"/>
      <c r="BN864" s="121"/>
      <c r="BO864" s="121"/>
      <c r="BP864" s="121"/>
      <c r="BQ864" s="121"/>
      <c r="BR864" s="121"/>
      <c r="BS864" s="121"/>
      <c r="BT864" s="121"/>
      <c r="BU864" s="121"/>
      <c r="BV864" s="121"/>
      <c r="BW864" s="121"/>
      <c r="BX864" s="121"/>
      <c r="BY864" s="121"/>
      <c r="BZ864" s="121"/>
    </row>
    <row r="865" spans="60:78">
      <c r="BH865" s="29"/>
      <c r="BI865" s="29"/>
      <c r="BJ865" s="29"/>
      <c r="BK865" s="29"/>
      <c r="BL865" s="29"/>
      <c r="BM865" s="121"/>
      <c r="BN865" s="121"/>
      <c r="BO865" s="121"/>
      <c r="BP865" s="121"/>
      <c r="BQ865" s="121"/>
      <c r="BR865" s="121"/>
      <c r="BS865" s="121"/>
      <c r="BT865" s="121"/>
      <c r="BU865" s="121"/>
      <c r="BV865" s="121"/>
      <c r="BW865" s="121"/>
      <c r="BX865" s="121"/>
      <c r="BY865" s="121"/>
      <c r="BZ865" s="121"/>
    </row>
    <row r="866" spans="60:78">
      <c r="BH866" s="29"/>
      <c r="BI866" s="29"/>
      <c r="BJ866" s="29"/>
      <c r="BK866" s="29"/>
      <c r="BL866" s="29"/>
      <c r="BM866" s="121"/>
      <c r="BN866" s="121"/>
      <c r="BO866" s="121"/>
      <c r="BP866" s="121"/>
      <c r="BQ866" s="121"/>
      <c r="BR866" s="121"/>
      <c r="BS866" s="121"/>
      <c r="BT866" s="121"/>
      <c r="BU866" s="121"/>
      <c r="BV866" s="121"/>
      <c r="BW866" s="121"/>
      <c r="BX866" s="121"/>
      <c r="BY866" s="121"/>
      <c r="BZ866" s="121"/>
    </row>
    <row r="867" spans="60:78">
      <c r="BH867" s="29"/>
      <c r="BI867" s="29"/>
      <c r="BJ867" s="29"/>
      <c r="BK867" s="29"/>
      <c r="BL867" s="29"/>
      <c r="BM867" s="121"/>
      <c r="BN867" s="121"/>
      <c r="BO867" s="121"/>
      <c r="BP867" s="121"/>
      <c r="BQ867" s="121"/>
      <c r="BR867" s="121"/>
      <c r="BS867" s="121"/>
      <c r="BT867" s="121"/>
      <c r="BU867" s="121"/>
      <c r="BV867" s="121"/>
      <c r="BW867" s="121"/>
      <c r="BX867" s="121"/>
      <c r="BY867" s="121"/>
      <c r="BZ867" s="121"/>
    </row>
    <row r="868" spans="60:78">
      <c r="BH868" s="29"/>
      <c r="BI868" s="29"/>
      <c r="BJ868" s="29"/>
      <c r="BK868" s="29"/>
      <c r="BL868" s="29"/>
      <c r="BM868" s="121"/>
      <c r="BN868" s="121"/>
      <c r="BO868" s="121"/>
      <c r="BP868" s="121"/>
      <c r="BQ868" s="121"/>
      <c r="BR868" s="121"/>
      <c r="BS868" s="121"/>
      <c r="BT868" s="121"/>
      <c r="BU868" s="121"/>
      <c r="BV868" s="121"/>
      <c r="BW868" s="121"/>
      <c r="BX868" s="121"/>
      <c r="BY868" s="121"/>
      <c r="BZ868" s="121"/>
    </row>
    <row r="869" spans="60:78">
      <c r="BH869" s="29"/>
      <c r="BI869" s="29"/>
      <c r="BJ869" s="29"/>
      <c r="BK869" s="29"/>
      <c r="BL869" s="29"/>
      <c r="BM869" s="121"/>
      <c r="BN869" s="121"/>
      <c r="BO869" s="121"/>
      <c r="BP869" s="121"/>
      <c r="BQ869" s="121"/>
      <c r="BR869" s="121"/>
      <c r="BS869" s="121"/>
      <c r="BT869" s="121"/>
      <c r="BU869" s="121"/>
      <c r="BV869" s="121"/>
      <c r="BW869" s="121"/>
      <c r="BX869" s="121"/>
      <c r="BY869" s="121"/>
      <c r="BZ869" s="121"/>
    </row>
    <row r="870" spans="60:78">
      <c r="BH870" s="29"/>
      <c r="BI870" s="29"/>
      <c r="BJ870" s="29"/>
      <c r="BK870" s="29"/>
      <c r="BL870" s="29"/>
      <c r="BM870" s="121"/>
      <c r="BN870" s="121"/>
      <c r="BO870" s="121"/>
      <c r="BP870" s="121"/>
      <c r="BQ870" s="121"/>
      <c r="BR870" s="121"/>
      <c r="BS870" s="121"/>
      <c r="BT870" s="121"/>
      <c r="BU870" s="121"/>
      <c r="BV870" s="121"/>
      <c r="BW870" s="121"/>
      <c r="BX870" s="121"/>
      <c r="BY870" s="121"/>
      <c r="BZ870" s="121"/>
    </row>
    <row r="871" spans="60:78">
      <c r="BH871" s="29"/>
      <c r="BI871" s="29"/>
      <c r="BJ871" s="29"/>
      <c r="BK871" s="29"/>
      <c r="BL871" s="29"/>
      <c r="BM871" s="121"/>
      <c r="BN871" s="121"/>
      <c r="BO871" s="121"/>
      <c r="BP871" s="121"/>
      <c r="BQ871" s="121"/>
      <c r="BR871" s="121"/>
      <c r="BS871" s="121"/>
      <c r="BT871" s="121"/>
      <c r="BU871" s="121"/>
      <c r="BV871" s="121"/>
      <c r="BW871" s="121"/>
      <c r="BX871" s="121"/>
      <c r="BY871" s="121"/>
      <c r="BZ871" s="121"/>
    </row>
    <row r="872" spans="60:78">
      <c r="BH872" s="29"/>
      <c r="BI872" s="29"/>
      <c r="BJ872" s="29"/>
      <c r="BK872" s="29"/>
      <c r="BL872" s="29"/>
      <c r="BM872" s="121"/>
      <c r="BN872" s="121"/>
      <c r="BO872" s="121"/>
      <c r="BP872" s="121"/>
      <c r="BQ872" s="121"/>
      <c r="BR872" s="121"/>
      <c r="BS872" s="121"/>
      <c r="BT872" s="121"/>
      <c r="BU872" s="121"/>
      <c r="BV872" s="121"/>
      <c r="BW872" s="121"/>
      <c r="BX872" s="121"/>
      <c r="BY872" s="121"/>
      <c r="BZ872" s="121"/>
    </row>
    <row r="873" spans="60:78">
      <c r="BH873" s="29"/>
      <c r="BI873" s="29"/>
      <c r="BJ873" s="29"/>
      <c r="BK873" s="29"/>
      <c r="BL873" s="29"/>
      <c r="BM873" s="121"/>
      <c r="BN873" s="121"/>
      <c r="BO873" s="121"/>
      <c r="BP873" s="121"/>
      <c r="BQ873" s="121"/>
      <c r="BR873" s="121"/>
      <c r="BS873" s="121"/>
      <c r="BT873" s="121"/>
      <c r="BU873" s="121"/>
      <c r="BV873" s="121"/>
      <c r="BW873" s="121"/>
      <c r="BX873" s="121"/>
      <c r="BY873" s="121"/>
      <c r="BZ873" s="121"/>
    </row>
    <row r="874" spans="60:78">
      <c r="BH874" s="29"/>
      <c r="BI874" s="29"/>
      <c r="BJ874" s="29"/>
      <c r="BK874" s="29"/>
      <c r="BL874" s="29"/>
      <c r="BM874" s="121"/>
      <c r="BN874" s="121"/>
      <c r="BO874" s="121"/>
      <c r="BP874" s="121"/>
      <c r="BQ874" s="121"/>
      <c r="BR874" s="121"/>
      <c r="BS874" s="121"/>
      <c r="BT874" s="121"/>
      <c r="BU874" s="121"/>
      <c r="BV874" s="121"/>
      <c r="BW874" s="121"/>
      <c r="BX874" s="121"/>
      <c r="BY874" s="121"/>
      <c r="BZ874" s="121"/>
    </row>
    <row r="875" spans="60:78">
      <c r="BH875" s="29"/>
      <c r="BI875" s="29"/>
      <c r="BJ875" s="29"/>
      <c r="BK875" s="29"/>
      <c r="BL875" s="29"/>
      <c r="BM875" s="121"/>
      <c r="BN875" s="121"/>
      <c r="BO875" s="121"/>
      <c r="BP875" s="121"/>
      <c r="BQ875" s="121"/>
      <c r="BR875" s="121"/>
      <c r="BS875" s="121"/>
      <c r="BT875" s="121"/>
      <c r="BU875" s="121"/>
      <c r="BV875" s="121"/>
      <c r="BW875" s="121"/>
      <c r="BX875" s="121"/>
      <c r="BY875" s="121"/>
      <c r="BZ875" s="121"/>
    </row>
    <row r="876" spans="60:78">
      <c r="BH876" s="29"/>
      <c r="BI876" s="29"/>
      <c r="BJ876" s="29"/>
      <c r="BK876" s="29"/>
      <c r="BL876" s="29"/>
      <c r="BM876" s="121"/>
      <c r="BN876" s="121"/>
      <c r="BO876" s="121"/>
      <c r="BP876" s="121"/>
      <c r="BQ876" s="121"/>
      <c r="BR876" s="121"/>
      <c r="BS876" s="121"/>
      <c r="BT876" s="121"/>
      <c r="BU876" s="121"/>
      <c r="BV876" s="121"/>
      <c r="BW876" s="121"/>
      <c r="BX876" s="121"/>
      <c r="BY876" s="121"/>
      <c r="BZ876" s="121"/>
    </row>
    <row r="877" spans="60:78">
      <c r="BH877" s="29"/>
      <c r="BI877" s="29"/>
      <c r="BJ877" s="29"/>
      <c r="BK877" s="29"/>
      <c r="BL877" s="29"/>
      <c r="BM877" s="121"/>
      <c r="BN877" s="121"/>
      <c r="BO877" s="121"/>
      <c r="BP877" s="121"/>
      <c r="BQ877" s="121"/>
      <c r="BR877" s="121"/>
      <c r="BS877" s="121"/>
      <c r="BT877" s="121"/>
      <c r="BU877" s="121"/>
      <c r="BV877" s="121"/>
      <c r="BW877" s="121"/>
      <c r="BX877" s="121"/>
      <c r="BY877" s="121"/>
      <c r="BZ877" s="121"/>
    </row>
    <row r="878" spans="60:78">
      <c r="BH878" s="29"/>
      <c r="BI878" s="29"/>
      <c r="BJ878" s="29"/>
      <c r="BK878" s="29"/>
      <c r="BL878" s="29"/>
      <c r="BM878" s="121"/>
      <c r="BN878" s="121"/>
      <c r="BO878" s="121"/>
      <c r="BP878" s="121"/>
      <c r="BQ878" s="121"/>
      <c r="BR878" s="121"/>
      <c r="BS878" s="121"/>
      <c r="BT878" s="121"/>
      <c r="BU878" s="121"/>
      <c r="BV878" s="121"/>
      <c r="BW878" s="121"/>
      <c r="BX878" s="121"/>
      <c r="BY878" s="121"/>
      <c r="BZ878" s="121"/>
    </row>
    <row r="879" spans="60:78">
      <c r="BH879" s="29"/>
      <c r="BI879" s="29"/>
      <c r="BJ879" s="29"/>
      <c r="BK879" s="29"/>
      <c r="BL879" s="29"/>
      <c r="BM879" s="121"/>
      <c r="BN879" s="121"/>
      <c r="BO879" s="121"/>
      <c r="BP879" s="121"/>
      <c r="BQ879" s="121"/>
      <c r="BR879" s="121"/>
      <c r="BS879" s="121"/>
      <c r="BT879" s="121"/>
      <c r="BU879" s="121"/>
      <c r="BV879" s="121"/>
      <c r="BW879" s="121"/>
      <c r="BX879" s="121"/>
      <c r="BY879" s="121"/>
      <c r="BZ879" s="121"/>
    </row>
    <row r="880" spans="60:78">
      <c r="BH880" s="29"/>
      <c r="BI880" s="29"/>
      <c r="BJ880" s="29"/>
      <c r="BK880" s="29"/>
      <c r="BL880" s="29"/>
      <c r="BM880" s="121"/>
      <c r="BN880" s="121"/>
      <c r="BO880" s="121"/>
      <c r="BP880" s="121"/>
      <c r="BQ880" s="121"/>
      <c r="BR880" s="121"/>
      <c r="BS880" s="121"/>
      <c r="BT880" s="121"/>
      <c r="BU880" s="121"/>
      <c r="BV880" s="121"/>
      <c r="BW880" s="121"/>
      <c r="BX880" s="121"/>
      <c r="BY880" s="121"/>
      <c r="BZ880" s="121"/>
    </row>
    <row r="881" spans="60:78">
      <c r="BH881" s="29"/>
      <c r="BI881" s="29"/>
      <c r="BJ881" s="29"/>
      <c r="BK881" s="29"/>
      <c r="BL881" s="29"/>
      <c r="BM881" s="121"/>
      <c r="BN881" s="121"/>
      <c r="BO881" s="121"/>
      <c r="BP881" s="121"/>
      <c r="BQ881" s="121"/>
      <c r="BR881" s="121"/>
      <c r="BS881" s="121"/>
      <c r="BT881" s="121"/>
      <c r="BU881" s="121"/>
      <c r="BV881" s="121"/>
      <c r="BW881" s="121"/>
      <c r="BX881" s="121"/>
      <c r="BY881" s="121"/>
      <c r="BZ881" s="121"/>
    </row>
    <row r="882" spans="60:78">
      <c r="BH882" s="29"/>
      <c r="BI882" s="29"/>
      <c r="BJ882" s="29"/>
      <c r="BK882" s="29"/>
      <c r="BL882" s="29"/>
      <c r="BM882" s="121"/>
      <c r="BN882" s="121"/>
      <c r="BO882" s="121"/>
      <c r="BP882" s="121"/>
      <c r="BQ882" s="121"/>
      <c r="BR882" s="121"/>
      <c r="BS882" s="121"/>
      <c r="BT882" s="121"/>
      <c r="BU882" s="121"/>
      <c r="BV882" s="121"/>
      <c r="BW882" s="121"/>
      <c r="BX882" s="121"/>
      <c r="BY882" s="121"/>
      <c r="BZ882" s="121"/>
    </row>
    <row r="883" spans="60:78">
      <c r="BH883" s="29"/>
      <c r="BI883" s="29"/>
      <c r="BJ883" s="29"/>
      <c r="BK883" s="29"/>
      <c r="BL883" s="29"/>
      <c r="BM883" s="121"/>
      <c r="BN883" s="121"/>
      <c r="BO883" s="121"/>
      <c r="BP883" s="121"/>
      <c r="BQ883" s="121"/>
      <c r="BR883" s="121"/>
      <c r="BS883" s="121"/>
      <c r="BT883" s="121"/>
      <c r="BU883" s="121"/>
      <c r="BV883" s="121"/>
      <c r="BW883" s="121"/>
      <c r="BX883" s="121"/>
      <c r="BY883" s="121"/>
      <c r="BZ883" s="121"/>
    </row>
    <row r="884" spans="60:78">
      <c r="BH884" s="29"/>
      <c r="BI884" s="29"/>
      <c r="BJ884" s="29"/>
      <c r="BK884" s="29"/>
      <c r="BL884" s="29"/>
      <c r="BM884" s="121"/>
      <c r="BN884" s="121"/>
      <c r="BO884" s="121"/>
      <c r="BP884" s="121"/>
      <c r="BQ884" s="121"/>
      <c r="BR884" s="121"/>
      <c r="BS884" s="121"/>
      <c r="BT884" s="121"/>
      <c r="BU884" s="121"/>
      <c r="BV884" s="121"/>
      <c r="BW884" s="121"/>
      <c r="BX884" s="121"/>
      <c r="BY884" s="121"/>
      <c r="BZ884" s="121"/>
    </row>
    <row r="885" spans="60:78">
      <c r="BH885" s="29"/>
      <c r="BI885" s="29"/>
      <c r="BJ885" s="29"/>
      <c r="BK885" s="29"/>
      <c r="BL885" s="29"/>
      <c r="BM885" s="121"/>
      <c r="BN885" s="121"/>
      <c r="BO885" s="121"/>
      <c r="BP885" s="121"/>
      <c r="BQ885" s="121"/>
      <c r="BR885" s="121"/>
      <c r="BS885" s="121"/>
      <c r="BT885" s="121"/>
      <c r="BU885" s="121"/>
      <c r="BV885" s="121"/>
      <c r="BW885" s="121"/>
      <c r="BX885" s="121"/>
      <c r="BY885" s="121"/>
      <c r="BZ885" s="121"/>
    </row>
    <row r="886" spans="60:78">
      <c r="BH886" s="29"/>
      <c r="BI886" s="29"/>
      <c r="BJ886" s="29"/>
      <c r="BK886" s="29"/>
      <c r="BL886" s="29"/>
      <c r="BM886" s="121"/>
      <c r="BN886" s="121"/>
      <c r="BO886" s="121"/>
      <c r="BP886" s="121"/>
      <c r="BQ886" s="121"/>
      <c r="BR886" s="121"/>
      <c r="BS886" s="121"/>
      <c r="BT886" s="121"/>
      <c r="BU886" s="121"/>
      <c r="BV886" s="121"/>
      <c r="BW886" s="121"/>
      <c r="BX886" s="121"/>
      <c r="BY886" s="121"/>
      <c r="BZ886" s="121"/>
    </row>
    <row r="887" spans="60:78">
      <c r="BH887" s="29"/>
      <c r="BI887" s="29"/>
      <c r="BJ887" s="29"/>
      <c r="BK887" s="29"/>
      <c r="BL887" s="29"/>
      <c r="BM887" s="121"/>
      <c r="BN887" s="121"/>
      <c r="BO887" s="121"/>
      <c r="BP887" s="121"/>
      <c r="BQ887" s="121"/>
      <c r="BR887" s="121"/>
      <c r="BS887" s="121"/>
      <c r="BT887" s="121"/>
      <c r="BU887" s="121"/>
      <c r="BV887" s="121"/>
      <c r="BW887" s="121"/>
      <c r="BX887" s="121"/>
      <c r="BY887" s="121"/>
      <c r="BZ887" s="121"/>
    </row>
    <row r="888" spans="60:78">
      <c r="BH888" s="29"/>
      <c r="BI888" s="29"/>
      <c r="BJ888" s="29"/>
      <c r="BK888" s="29"/>
      <c r="BL888" s="29"/>
      <c r="BM888" s="121"/>
      <c r="BN888" s="121"/>
      <c r="BO888" s="121"/>
      <c r="BP888" s="121"/>
      <c r="BQ888" s="121"/>
      <c r="BR888" s="121"/>
      <c r="BS888" s="121"/>
      <c r="BT888" s="121"/>
      <c r="BU888" s="121"/>
      <c r="BV888" s="121"/>
      <c r="BW888" s="121"/>
      <c r="BX888" s="121"/>
      <c r="BY888" s="121"/>
      <c r="BZ888" s="121"/>
    </row>
    <row r="889" spans="60:78">
      <c r="BH889" s="29"/>
      <c r="BI889" s="29"/>
      <c r="BJ889" s="29"/>
      <c r="BK889" s="29"/>
      <c r="BL889" s="29"/>
      <c r="BM889" s="121"/>
      <c r="BN889" s="121"/>
      <c r="BO889" s="121"/>
      <c r="BP889" s="121"/>
      <c r="BQ889" s="121"/>
      <c r="BR889" s="121"/>
      <c r="BS889" s="121"/>
      <c r="BT889" s="121"/>
      <c r="BU889" s="121"/>
      <c r="BV889" s="121"/>
      <c r="BW889" s="121"/>
      <c r="BX889" s="121"/>
      <c r="BY889" s="121"/>
      <c r="BZ889" s="121"/>
    </row>
    <row r="890" spans="60:78">
      <c r="BH890" s="29"/>
      <c r="BI890" s="29"/>
      <c r="BJ890" s="29"/>
      <c r="BK890" s="29"/>
      <c r="BL890" s="29"/>
      <c r="BM890" s="121"/>
      <c r="BN890" s="121"/>
      <c r="BO890" s="121"/>
      <c r="BP890" s="121"/>
      <c r="BQ890" s="121"/>
      <c r="BR890" s="121"/>
      <c r="BS890" s="121"/>
      <c r="BT890" s="121"/>
      <c r="BU890" s="121"/>
      <c r="BV890" s="121"/>
      <c r="BW890" s="121"/>
      <c r="BX890" s="121"/>
      <c r="BY890" s="121"/>
      <c r="BZ890" s="121"/>
    </row>
    <row r="891" spans="60:78">
      <c r="BH891" s="29"/>
      <c r="BI891" s="29"/>
      <c r="BJ891" s="29"/>
      <c r="BK891" s="29"/>
      <c r="BL891" s="29"/>
      <c r="BM891" s="121"/>
      <c r="BN891" s="121"/>
      <c r="BO891" s="121"/>
      <c r="BP891" s="121"/>
      <c r="BQ891" s="121"/>
      <c r="BR891" s="121"/>
      <c r="BS891" s="121"/>
      <c r="BT891" s="121"/>
      <c r="BU891" s="121"/>
      <c r="BV891" s="121"/>
      <c r="BW891" s="121"/>
      <c r="BX891" s="121"/>
      <c r="BY891" s="121"/>
      <c r="BZ891" s="121"/>
    </row>
    <row r="892" spans="60:78">
      <c r="BH892" s="29"/>
      <c r="BI892" s="29"/>
      <c r="BJ892" s="29"/>
      <c r="BK892" s="29"/>
      <c r="BL892" s="29"/>
      <c r="BM892" s="121"/>
      <c r="BN892" s="121"/>
      <c r="BO892" s="121"/>
      <c r="BP892" s="121"/>
      <c r="BQ892" s="121"/>
      <c r="BR892" s="121"/>
      <c r="BS892" s="121"/>
      <c r="BT892" s="121"/>
      <c r="BU892" s="121"/>
      <c r="BV892" s="121"/>
      <c r="BW892" s="121"/>
      <c r="BX892" s="121"/>
      <c r="BY892" s="121"/>
      <c r="BZ892" s="121"/>
    </row>
    <row r="893" spans="60:78">
      <c r="BH893" s="29"/>
      <c r="BI893" s="29"/>
      <c r="BJ893" s="29"/>
      <c r="BK893" s="29"/>
      <c r="BL893" s="29"/>
      <c r="BM893" s="121"/>
      <c r="BN893" s="121"/>
      <c r="BO893" s="121"/>
      <c r="BP893" s="121"/>
      <c r="BQ893" s="121"/>
      <c r="BR893" s="121"/>
      <c r="BS893" s="121"/>
      <c r="BT893" s="121"/>
      <c r="BU893" s="121"/>
      <c r="BV893" s="121"/>
      <c r="BW893" s="121"/>
      <c r="BX893" s="121"/>
      <c r="BY893" s="121"/>
      <c r="BZ893" s="121"/>
    </row>
    <row r="894" spans="60:78">
      <c r="BH894" s="29"/>
      <c r="BI894" s="29"/>
      <c r="BJ894" s="29"/>
      <c r="BK894" s="29"/>
      <c r="BL894" s="29"/>
      <c r="BM894" s="121"/>
      <c r="BN894" s="121"/>
      <c r="BO894" s="121"/>
      <c r="BP894" s="121"/>
      <c r="BQ894" s="121"/>
      <c r="BR894" s="121"/>
      <c r="BS894" s="121"/>
      <c r="BT894" s="121"/>
      <c r="BU894" s="121"/>
      <c r="BV894" s="121"/>
      <c r="BW894" s="121"/>
      <c r="BX894" s="121"/>
      <c r="BY894" s="121"/>
      <c r="BZ894" s="121"/>
    </row>
    <row r="895" spans="60:78">
      <c r="BH895" s="29"/>
      <c r="BI895" s="29"/>
      <c r="BJ895" s="29"/>
      <c r="BK895" s="29"/>
      <c r="BL895" s="29"/>
      <c r="BM895" s="121"/>
      <c r="BN895" s="121"/>
      <c r="BO895" s="121"/>
      <c r="BP895" s="121"/>
      <c r="BQ895" s="121"/>
      <c r="BR895" s="121"/>
      <c r="BS895" s="121"/>
      <c r="BT895" s="121"/>
      <c r="BU895" s="121"/>
      <c r="BV895" s="121"/>
      <c r="BW895" s="121"/>
      <c r="BX895" s="121"/>
      <c r="BY895" s="121"/>
      <c r="BZ895" s="121"/>
    </row>
    <row r="896" spans="60:78">
      <c r="BH896" s="29"/>
      <c r="BI896" s="29"/>
      <c r="BJ896" s="29"/>
      <c r="BK896" s="29"/>
      <c r="BL896" s="29"/>
      <c r="BM896" s="121"/>
      <c r="BN896" s="121"/>
      <c r="BO896" s="121"/>
      <c r="BP896" s="121"/>
      <c r="BQ896" s="121"/>
      <c r="BR896" s="121"/>
      <c r="BS896" s="121"/>
      <c r="BT896" s="121"/>
      <c r="BU896" s="121"/>
      <c r="BV896" s="121"/>
      <c r="BW896" s="121"/>
      <c r="BX896" s="121"/>
      <c r="BY896" s="121"/>
      <c r="BZ896" s="121"/>
    </row>
    <row r="897" spans="60:78">
      <c r="BH897" s="29"/>
      <c r="BI897" s="29"/>
      <c r="BJ897" s="29"/>
      <c r="BK897" s="29"/>
      <c r="BL897" s="29"/>
      <c r="BM897" s="121"/>
      <c r="BN897" s="121"/>
      <c r="BO897" s="121"/>
      <c r="BP897" s="121"/>
      <c r="BQ897" s="121"/>
      <c r="BR897" s="121"/>
      <c r="BS897" s="121"/>
      <c r="BT897" s="121"/>
      <c r="BU897" s="121"/>
      <c r="BV897" s="121"/>
      <c r="BW897" s="121"/>
      <c r="BX897" s="121"/>
      <c r="BY897" s="121"/>
      <c r="BZ897" s="121"/>
    </row>
    <row r="898" spans="60:78">
      <c r="BH898" s="29"/>
      <c r="BI898" s="29"/>
      <c r="BJ898" s="29"/>
      <c r="BK898" s="29"/>
      <c r="BL898" s="29"/>
      <c r="BM898" s="121"/>
      <c r="BN898" s="121"/>
      <c r="BO898" s="121"/>
      <c r="BP898" s="121"/>
      <c r="BQ898" s="121"/>
      <c r="BR898" s="121"/>
      <c r="BS898" s="121"/>
      <c r="BT898" s="121"/>
      <c r="BU898" s="121"/>
      <c r="BV898" s="121"/>
      <c r="BW898" s="121"/>
      <c r="BX898" s="121"/>
      <c r="BY898" s="121"/>
      <c r="BZ898" s="121"/>
    </row>
    <row r="899" spans="60:78">
      <c r="BH899" s="29"/>
      <c r="BI899" s="29"/>
      <c r="BJ899" s="29"/>
      <c r="BK899" s="29"/>
      <c r="BL899" s="29"/>
      <c r="BM899" s="121"/>
      <c r="BN899" s="121"/>
      <c r="BO899" s="121"/>
      <c r="BP899" s="121"/>
      <c r="BQ899" s="121"/>
      <c r="BR899" s="121"/>
      <c r="BS899" s="121"/>
      <c r="BT899" s="121"/>
      <c r="BU899" s="121"/>
      <c r="BV899" s="121"/>
      <c r="BW899" s="121"/>
      <c r="BX899" s="121"/>
      <c r="BY899" s="121"/>
      <c r="BZ899" s="121"/>
    </row>
    <row r="900" spans="60:78">
      <c r="BH900" s="29"/>
      <c r="BI900" s="29"/>
      <c r="BJ900" s="29"/>
      <c r="BK900" s="29"/>
      <c r="BL900" s="29"/>
      <c r="BM900" s="121"/>
      <c r="BN900" s="121"/>
      <c r="BO900" s="121"/>
      <c r="BP900" s="121"/>
      <c r="BQ900" s="121"/>
      <c r="BR900" s="121"/>
      <c r="BS900" s="121"/>
      <c r="BT900" s="121"/>
      <c r="BU900" s="121"/>
      <c r="BV900" s="121"/>
      <c r="BW900" s="121"/>
      <c r="BX900" s="121"/>
      <c r="BY900" s="121"/>
      <c r="BZ900" s="121"/>
    </row>
    <row r="901" spans="60:78">
      <c r="BH901" s="29"/>
      <c r="BI901" s="29"/>
      <c r="BJ901" s="29"/>
      <c r="BK901" s="29"/>
      <c r="BL901" s="29"/>
      <c r="BM901" s="121"/>
      <c r="BN901" s="121"/>
      <c r="BO901" s="121"/>
      <c r="BP901" s="121"/>
      <c r="BQ901" s="121"/>
      <c r="BR901" s="121"/>
      <c r="BS901" s="121"/>
      <c r="BT901" s="121"/>
      <c r="BU901" s="121"/>
      <c r="BV901" s="121"/>
      <c r="BW901" s="121"/>
      <c r="BX901" s="121"/>
      <c r="BY901" s="121"/>
      <c r="BZ901" s="121"/>
    </row>
    <row r="902" spans="60:78">
      <c r="BH902" s="29"/>
      <c r="BI902" s="29"/>
      <c r="BJ902" s="29"/>
      <c r="BK902" s="29"/>
      <c r="BL902" s="29"/>
      <c r="BM902" s="121"/>
      <c r="BN902" s="121"/>
      <c r="BO902" s="121"/>
      <c r="BP902" s="121"/>
      <c r="BQ902" s="121"/>
      <c r="BR902" s="121"/>
      <c r="BS902" s="121"/>
      <c r="BT902" s="121"/>
      <c r="BU902" s="121"/>
      <c r="BV902" s="121"/>
      <c r="BW902" s="121"/>
      <c r="BX902" s="121"/>
      <c r="BY902" s="121"/>
      <c r="BZ902" s="121"/>
    </row>
    <row r="903" spans="60:78">
      <c r="BH903" s="29"/>
      <c r="BI903" s="29"/>
      <c r="BJ903" s="29"/>
      <c r="BK903" s="29"/>
      <c r="BL903" s="29"/>
      <c r="BM903" s="121"/>
      <c r="BN903" s="121"/>
      <c r="BO903" s="121"/>
      <c r="BP903" s="121"/>
      <c r="BQ903" s="121"/>
      <c r="BR903" s="121"/>
      <c r="BS903" s="121"/>
      <c r="BT903" s="121"/>
      <c r="BU903" s="121"/>
      <c r="BV903" s="121"/>
      <c r="BW903" s="121"/>
      <c r="BX903" s="121"/>
      <c r="BY903" s="121"/>
      <c r="BZ903" s="121"/>
    </row>
    <row r="904" spans="60:78">
      <c r="BH904" s="29"/>
      <c r="BI904" s="29"/>
      <c r="BJ904" s="29"/>
      <c r="BK904" s="29"/>
      <c r="BL904" s="29"/>
      <c r="BM904" s="121"/>
      <c r="BN904" s="121"/>
      <c r="BO904" s="121"/>
      <c r="BP904" s="121"/>
      <c r="BQ904" s="121"/>
      <c r="BR904" s="121"/>
      <c r="BS904" s="121"/>
      <c r="BT904" s="121"/>
      <c r="BU904" s="121"/>
      <c r="BV904" s="121"/>
      <c r="BW904" s="121"/>
      <c r="BX904" s="121"/>
      <c r="BY904" s="121"/>
      <c r="BZ904" s="121"/>
    </row>
    <row r="905" spans="60:78">
      <c r="BH905" s="29"/>
      <c r="BI905" s="29"/>
      <c r="BJ905" s="29"/>
      <c r="BK905" s="29"/>
      <c r="BL905" s="29"/>
      <c r="BM905" s="121"/>
      <c r="BN905" s="121"/>
      <c r="BO905" s="121"/>
      <c r="BP905" s="121"/>
      <c r="BQ905" s="121"/>
      <c r="BR905" s="121"/>
      <c r="BS905" s="121"/>
      <c r="BT905" s="121"/>
      <c r="BU905" s="121"/>
      <c r="BV905" s="121"/>
      <c r="BW905" s="121"/>
      <c r="BX905" s="121"/>
      <c r="BY905" s="121"/>
      <c r="BZ905" s="121"/>
    </row>
    <row r="906" spans="60:78">
      <c r="BH906" s="29"/>
      <c r="BI906" s="29"/>
      <c r="BJ906" s="29"/>
      <c r="BK906" s="29"/>
      <c r="BL906" s="29"/>
      <c r="BM906" s="121"/>
      <c r="BN906" s="121"/>
      <c r="BO906" s="121"/>
      <c r="BP906" s="121"/>
      <c r="BQ906" s="121"/>
      <c r="BR906" s="121"/>
      <c r="BS906" s="121"/>
      <c r="BT906" s="121"/>
      <c r="BU906" s="121"/>
      <c r="BV906" s="121"/>
      <c r="BW906" s="121"/>
      <c r="BX906" s="121"/>
      <c r="BY906" s="121"/>
      <c r="BZ906" s="121"/>
    </row>
    <row r="907" spans="60:78">
      <c r="BH907" s="29"/>
      <c r="BI907" s="29"/>
      <c r="BJ907" s="29"/>
      <c r="BK907" s="29"/>
      <c r="BL907" s="29"/>
      <c r="BM907" s="121"/>
      <c r="BN907" s="121"/>
      <c r="BO907" s="121"/>
      <c r="BP907" s="121"/>
      <c r="BQ907" s="121"/>
      <c r="BR907" s="121"/>
      <c r="BS907" s="121"/>
      <c r="BT907" s="121"/>
      <c r="BU907" s="121"/>
      <c r="BV907" s="121"/>
      <c r="BW907" s="121"/>
      <c r="BX907" s="121"/>
      <c r="BY907" s="121"/>
      <c r="BZ907" s="121"/>
    </row>
    <row r="908" spans="60:78">
      <c r="BH908" s="29"/>
      <c r="BI908" s="29"/>
      <c r="BJ908" s="29"/>
      <c r="BK908" s="29"/>
      <c r="BL908" s="29"/>
      <c r="BM908" s="121"/>
      <c r="BN908" s="121"/>
      <c r="BO908" s="121"/>
      <c r="BP908" s="121"/>
      <c r="BQ908" s="121"/>
      <c r="BR908" s="121"/>
      <c r="BS908" s="121"/>
      <c r="BT908" s="121"/>
      <c r="BU908" s="121"/>
      <c r="BV908" s="121"/>
      <c r="BW908" s="121"/>
      <c r="BX908" s="121"/>
      <c r="BY908" s="121"/>
      <c r="BZ908" s="121"/>
    </row>
    <row r="909" spans="60:78">
      <c r="BH909" s="29"/>
      <c r="BI909" s="29"/>
      <c r="BJ909" s="29"/>
      <c r="BK909" s="29"/>
      <c r="BL909" s="29"/>
      <c r="BM909" s="121"/>
      <c r="BN909" s="121"/>
      <c r="BO909" s="121"/>
      <c r="BP909" s="121"/>
      <c r="BQ909" s="121"/>
      <c r="BR909" s="121"/>
      <c r="BS909" s="121"/>
      <c r="BT909" s="121"/>
      <c r="BU909" s="121"/>
      <c r="BV909" s="121"/>
      <c r="BW909" s="121"/>
      <c r="BX909" s="121"/>
      <c r="BY909" s="121"/>
      <c r="BZ909" s="121"/>
    </row>
    <row r="910" spans="60:78">
      <c r="BH910" s="29"/>
      <c r="BI910" s="29"/>
      <c r="BJ910" s="29"/>
      <c r="BK910" s="29"/>
      <c r="BL910" s="29"/>
      <c r="BM910" s="121"/>
      <c r="BN910" s="121"/>
      <c r="BO910" s="121"/>
      <c r="BP910" s="121"/>
      <c r="BQ910" s="121"/>
      <c r="BR910" s="121"/>
      <c r="BS910" s="121"/>
      <c r="BT910" s="121"/>
      <c r="BU910" s="121"/>
      <c r="BV910" s="121"/>
      <c r="BW910" s="121"/>
      <c r="BX910" s="121"/>
      <c r="BY910" s="121"/>
      <c r="BZ910" s="121"/>
    </row>
    <row r="911" spans="60:78">
      <c r="BH911" s="29"/>
      <c r="BI911" s="29"/>
      <c r="BJ911" s="29"/>
      <c r="BK911" s="29"/>
      <c r="BL911" s="29"/>
      <c r="BM911" s="121"/>
      <c r="BN911" s="121"/>
      <c r="BO911" s="121"/>
      <c r="BP911" s="121"/>
      <c r="BQ911" s="121"/>
      <c r="BR911" s="121"/>
      <c r="BS911" s="121"/>
      <c r="BT911" s="121"/>
      <c r="BU911" s="121"/>
      <c r="BV911" s="121"/>
      <c r="BW911" s="121"/>
      <c r="BX911" s="121"/>
      <c r="BY911" s="121"/>
      <c r="BZ911" s="121"/>
    </row>
    <row r="912" spans="60:78">
      <c r="BH912" s="29"/>
      <c r="BI912" s="29"/>
      <c r="BJ912" s="29"/>
      <c r="BK912" s="29"/>
      <c r="BL912" s="29"/>
      <c r="BM912" s="121"/>
      <c r="BN912" s="121"/>
      <c r="BO912" s="121"/>
      <c r="BP912" s="121"/>
      <c r="BQ912" s="121"/>
      <c r="BR912" s="121"/>
      <c r="BS912" s="121"/>
      <c r="BT912" s="121"/>
      <c r="BU912" s="121"/>
      <c r="BV912" s="121"/>
      <c r="BW912" s="121"/>
      <c r="BX912" s="121"/>
      <c r="BY912" s="121"/>
      <c r="BZ912" s="121"/>
    </row>
    <row r="913" spans="60:78">
      <c r="BH913" s="29"/>
      <c r="BI913" s="29"/>
      <c r="BJ913" s="29"/>
      <c r="BK913" s="29"/>
      <c r="BL913" s="29"/>
      <c r="BM913" s="121"/>
      <c r="BN913" s="121"/>
      <c r="BO913" s="121"/>
      <c r="BP913" s="121"/>
      <c r="BQ913" s="121"/>
      <c r="BR913" s="121"/>
      <c r="BS913" s="121"/>
      <c r="BT913" s="121"/>
      <c r="BU913" s="121"/>
      <c r="BV913" s="121"/>
      <c r="BW913" s="121"/>
      <c r="BX913" s="121"/>
      <c r="BY913" s="121"/>
      <c r="BZ913" s="121"/>
    </row>
    <row r="914" spans="60:78">
      <c r="BH914" s="29"/>
      <c r="BI914" s="29"/>
      <c r="BJ914" s="29"/>
      <c r="BK914" s="29"/>
      <c r="BL914" s="29"/>
      <c r="BM914" s="121"/>
      <c r="BN914" s="121"/>
      <c r="BO914" s="121"/>
      <c r="BP914" s="121"/>
      <c r="BQ914" s="121"/>
      <c r="BR914" s="121"/>
      <c r="BS914" s="121"/>
      <c r="BT914" s="121"/>
      <c r="BU914" s="121"/>
      <c r="BV914" s="121"/>
      <c r="BW914" s="121"/>
      <c r="BX914" s="121"/>
      <c r="BY914" s="121"/>
      <c r="BZ914" s="121"/>
    </row>
    <row r="915" spans="60:78">
      <c r="BH915" s="29"/>
      <c r="BI915" s="29"/>
      <c r="BJ915" s="29"/>
      <c r="BK915" s="29"/>
      <c r="BL915" s="29"/>
      <c r="BM915" s="121"/>
      <c r="BN915" s="121"/>
      <c r="BO915" s="121"/>
      <c r="BP915" s="121"/>
      <c r="BQ915" s="121"/>
      <c r="BR915" s="121"/>
      <c r="BS915" s="121"/>
      <c r="BT915" s="121"/>
      <c r="BU915" s="121"/>
      <c r="BV915" s="121"/>
      <c r="BW915" s="121"/>
      <c r="BX915" s="121"/>
      <c r="BY915" s="121"/>
      <c r="BZ915" s="121"/>
    </row>
    <row r="916" spans="60:78">
      <c r="BH916" s="29"/>
      <c r="BI916" s="29"/>
      <c r="BJ916" s="29"/>
      <c r="BK916" s="29"/>
      <c r="BL916" s="29"/>
      <c r="BM916" s="121"/>
      <c r="BN916" s="121"/>
      <c r="BO916" s="121"/>
      <c r="BP916" s="121"/>
      <c r="BQ916" s="121"/>
      <c r="BR916" s="121"/>
      <c r="BS916" s="121"/>
      <c r="BT916" s="121"/>
      <c r="BU916" s="121"/>
      <c r="BV916" s="121"/>
      <c r="BW916" s="121"/>
      <c r="BX916" s="121"/>
      <c r="BY916" s="121"/>
      <c r="BZ916" s="121"/>
    </row>
    <row r="917" spans="60:78">
      <c r="BH917" s="29"/>
      <c r="BI917" s="29"/>
      <c r="BJ917" s="29"/>
      <c r="BK917" s="29"/>
      <c r="BL917" s="29"/>
      <c r="BM917" s="121"/>
      <c r="BN917" s="121"/>
      <c r="BO917" s="121"/>
      <c r="BP917" s="121"/>
      <c r="BQ917" s="121"/>
      <c r="BR917" s="121"/>
      <c r="BS917" s="121"/>
      <c r="BT917" s="121"/>
      <c r="BU917" s="121"/>
      <c r="BV917" s="121"/>
      <c r="BW917" s="121"/>
      <c r="BX917" s="121"/>
      <c r="BY917" s="121"/>
      <c r="BZ917" s="121"/>
    </row>
    <row r="918" spans="60:78">
      <c r="BH918" s="29"/>
      <c r="BI918" s="29"/>
      <c r="BJ918" s="29"/>
      <c r="BK918" s="29"/>
      <c r="BL918" s="29"/>
      <c r="BM918" s="121"/>
      <c r="BN918" s="121"/>
      <c r="BO918" s="121"/>
      <c r="BP918" s="121"/>
      <c r="BQ918" s="121"/>
      <c r="BR918" s="121"/>
      <c r="BS918" s="121"/>
      <c r="BT918" s="121"/>
      <c r="BU918" s="121"/>
      <c r="BV918" s="121"/>
      <c r="BW918" s="121"/>
      <c r="BX918" s="121"/>
      <c r="BY918" s="121"/>
      <c r="BZ918" s="121"/>
    </row>
    <row r="919" spans="60:78">
      <c r="BH919" s="29"/>
      <c r="BI919" s="29"/>
      <c r="BJ919" s="29"/>
      <c r="BK919" s="29"/>
      <c r="BL919" s="29"/>
      <c r="BM919" s="121"/>
      <c r="BN919" s="121"/>
      <c r="BO919" s="121"/>
      <c r="BP919" s="121"/>
      <c r="BQ919" s="121"/>
      <c r="BR919" s="121"/>
      <c r="BS919" s="121"/>
      <c r="BT919" s="121"/>
      <c r="BU919" s="121"/>
      <c r="BV919" s="121"/>
      <c r="BW919" s="121"/>
      <c r="BX919" s="121"/>
      <c r="BY919" s="121"/>
      <c r="BZ919" s="121"/>
    </row>
    <row r="920" spans="60:78">
      <c r="BH920" s="29"/>
      <c r="BI920" s="29"/>
      <c r="BJ920" s="29"/>
      <c r="BK920" s="29"/>
      <c r="BL920" s="29"/>
      <c r="BM920" s="121"/>
      <c r="BN920" s="121"/>
      <c r="BO920" s="121"/>
      <c r="BP920" s="121"/>
      <c r="BQ920" s="121"/>
      <c r="BR920" s="121"/>
      <c r="BS920" s="121"/>
      <c r="BT920" s="121"/>
      <c r="BU920" s="121"/>
      <c r="BV920" s="121"/>
      <c r="BW920" s="121"/>
      <c r="BX920" s="121"/>
      <c r="BY920" s="121"/>
      <c r="BZ920" s="121"/>
    </row>
    <row r="921" spans="60:78">
      <c r="BH921" s="29"/>
      <c r="BI921" s="29"/>
      <c r="BJ921" s="29"/>
      <c r="BK921" s="29"/>
      <c r="BL921" s="29"/>
      <c r="BM921" s="121"/>
      <c r="BN921" s="121"/>
      <c r="BO921" s="121"/>
      <c r="BP921" s="121"/>
      <c r="BQ921" s="121"/>
      <c r="BR921" s="121"/>
      <c r="BS921" s="121"/>
      <c r="BT921" s="121"/>
      <c r="BU921" s="121"/>
      <c r="BV921" s="121"/>
      <c r="BW921" s="121"/>
      <c r="BX921" s="121"/>
      <c r="BY921" s="121"/>
      <c r="BZ921" s="121"/>
    </row>
    <row r="922" spans="60:78">
      <c r="BH922" s="29"/>
      <c r="BI922" s="29"/>
      <c r="BJ922" s="29"/>
      <c r="BK922" s="29"/>
      <c r="BL922" s="29"/>
      <c r="BM922" s="121"/>
      <c r="BN922" s="121"/>
      <c r="BO922" s="121"/>
      <c r="BP922" s="121"/>
      <c r="BQ922" s="121"/>
      <c r="BR922" s="121"/>
      <c r="BS922" s="121"/>
      <c r="BT922" s="121"/>
      <c r="BU922" s="121"/>
      <c r="BV922" s="121"/>
      <c r="BW922" s="121"/>
      <c r="BX922" s="121"/>
      <c r="BY922" s="121"/>
      <c r="BZ922" s="121"/>
    </row>
    <row r="923" spans="60:78">
      <c r="BH923" s="29"/>
      <c r="BI923" s="29"/>
      <c r="BJ923" s="29"/>
      <c r="BK923" s="29"/>
      <c r="BL923" s="29"/>
      <c r="BM923" s="121"/>
      <c r="BN923" s="121"/>
      <c r="BO923" s="121"/>
      <c r="BP923" s="121"/>
      <c r="BQ923" s="121"/>
      <c r="BR923" s="121"/>
      <c r="BS923" s="121"/>
      <c r="BT923" s="121"/>
      <c r="BU923" s="121"/>
      <c r="BV923" s="121"/>
      <c r="BW923" s="121"/>
      <c r="BX923" s="121"/>
      <c r="BY923" s="121"/>
      <c r="BZ923" s="121"/>
    </row>
    <row r="924" spans="60:78">
      <c r="BH924" s="29"/>
      <c r="BI924" s="29"/>
      <c r="BJ924" s="29"/>
      <c r="BK924" s="29"/>
      <c r="BL924" s="29"/>
      <c r="BM924" s="121"/>
      <c r="BN924" s="121"/>
      <c r="BO924" s="121"/>
      <c r="BP924" s="121"/>
      <c r="BQ924" s="121"/>
      <c r="BR924" s="121"/>
      <c r="BS924" s="121"/>
      <c r="BT924" s="121"/>
      <c r="BU924" s="121"/>
      <c r="BV924" s="121"/>
      <c r="BW924" s="121"/>
      <c r="BX924" s="121"/>
      <c r="BY924" s="121"/>
      <c r="BZ924" s="121"/>
    </row>
    <row r="925" spans="60:78">
      <c r="BH925" s="29"/>
      <c r="BI925" s="29"/>
      <c r="BJ925" s="29"/>
      <c r="BK925" s="29"/>
      <c r="BL925" s="29"/>
      <c r="BM925" s="121"/>
      <c r="BN925" s="121"/>
      <c r="BO925" s="121"/>
      <c r="BP925" s="121"/>
      <c r="BQ925" s="121"/>
      <c r="BR925" s="121"/>
      <c r="BS925" s="121"/>
      <c r="BT925" s="121"/>
      <c r="BU925" s="121"/>
      <c r="BV925" s="121"/>
      <c r="BW925" s="121"/>
      <c r="BX925" s="121"/>
      <c r="BY925" s="121"/>
      <c r="BZ925" s="121"/>
    </row>
    <row r="926" spans="60:78">
      <c r="BH926" s="29"/>
      <c r="BI926" s="29"/>
      <c r="BJ926" s="29"/>
      <c r="BK926" s="29"/>
      <c r="BL926" s="29"/>
      <c r="BM926" s="121"/>
      <c r="BN926" s="121"/>
      <c r="BO926" s="121"/>
      <c r="BP926" s="121"/>
      <c r="BQ926" s="121"/>
      <c r="BR926" s="121"/>
      <c r="BS926" s="121"/>
      <c r="BT926" s="121"/>
      <c r="BU926" s="121"/>
      <c r="BV926" s="121"/>
      <c r="BW926" s="121"/>
      <c r="BX926" s="121"/>
      <c r="BY926" s="121"/>
      <c r="BZ926" s="121"/>
    </row>
    <row r="927" spans="60:78">
      <c r="BH927" s="29"/>
      <c r="BI927" s="29"/>
      <c r="BJ927" s="29"/>
      <c r="BK927" s="29"/>
      <c r="BL927" s="29"/>
      <c r="BM927" s="121"/>
      <c r="BN927" s="121"/>
      <c r="BO927" s="121"/>
      <c r="BP927" s="121"/>
      <c r="BQ927" s="121"/>
      <c r="BR927" s="121"/>
      <c r="BS927" s="121"/>
      <c r="BT927" s="121"/>
      <c r="BU927" s="121"/>
      <c r="BV927" s="121"/>
      <c r="BW927" s="121"/>
      <c r="BX927" s="121"/>
      <c r="BY927" s="121"/>
      <c r="BZ927" s="121"/>
    </row>
    <row r="928" spans="60:78">
      <c r="BH928" s="29"/>
      <c r="BI928" s="29"/>
      <c r="BJ928" s="29"/>
      <c r="BK928" s="29"/>
      <c r="BL928" s="29"/>
      <c r="BM928" s="121"/>
      <c r="BN928" s="121"/>
      <c r="BO928" s="121"/>
      <c r="BP928" s="121"/>
      <c r="BQ928" s="121"/>
      <c r="BR928" s="121"/>
      <c r="BS928" s="121"/>
      <c r="BT928" s="121"/>
      <c r="BU928" s="121"/>
      <c r="BV928" s="121"/>
      <c r="BW928" s="121"/>
      <c r="BX928" s="121"/>
      <c r="BY928" s="121"/>
      <c r="BZ928" s="121"/>
    </row>
    <row r="929" spans="60:78">
      <c r="BH929" s="29"/>
      <c r="BI929" s="29"/>
      <c r="BJ929" s="29"/>
      <c r="BK929" s="29"/>
      <c r="BL929" s="29"/>
      <c r="BM929" s="121"/>
      <c r="BN929" s="121"/>
      <c r="BO929" s="121"/>
      <c r="BP929" s="121"/>
      <c r="BQ929" s="121"/>
      <c r="BR929" s="121"/>
      <c r="BS929" s="121"/>
      <c r="BT929" s="121"/>
      <c r="BU929" s="121"/>
      <c r="BV929" s="121"/>
      <c r="BW929" s="121"/>
      <c r="BX929" s="121"/>
      <c r="BY929" s="121"/>
      <c r="BZ929" s="121"/>
    </row>
    <row r="930" spans="60:78">
      <c r="BH930" s="29"/>
      <c r="BI930" s="29"/>
      <c r="BJ930" s="29"/>
      <c r="BK930" s="29"/>
      <c r="BL930" s="29"/>
      <c r="BM930" s="121"/>
      <c r="BN930" s="121"/>
      <c r="BO930" s="121"/>
      <c r="BP930" s="121"/>
      <c r="BQ930" s="121"/>
      <c r="BR930" s="121"/>
      <c r="BS930" s="121"/>
      <c r="BT930" s="121"/>
      <c r="BU930" s="121"/>
      <c r="BV930" s="121"/>
      <c r="BW930" s="121"/>
      <c r="BX930" s="121"/>
      <c r="BY930" s="121"/>
      <c r="BZ930" s="121"/>
    </row>
    <row r="931" spans="60:78">
      <c r="BH931" s="29"/>
      <c r="BI931" s="29"/>
      <c r="BJ931" s="29"/>
      <c r="BK931" s="29"/>
      <c r="BL931" s="29"/>
      <c r="BM931" s="121"/>
      <c r="BN931" s="121"/>
      <c r="BO931" s="121"/>
      <c r="BP931" s="121"/>
      <c r="BQ931" s="121"/>
      <c r="BR931" s="121"/>
      <c r="BS931" s="121"/>
      <c r="BT931" s="121"/>
      <c r="BU931" s="121"/>
      <c r="BV931" s="121"/>
      <c r="BW931" s="121"/>
      <c r="BX931" s="121"/>
      <c r="BY931" s="121"/>
      <c r="BZ931" s="121"/>
    </row>
    <row r="932" spans="60:78">
      <c r="BH932" s="29"/>
      <c r="BI932" s="29"/>
      <c r="BJ932" s="29"/>
      <c r="BK932" s="29"/>
      <c r="BL932" s="29"/>
      <c r="BM932" s="121"/>
      <c r="BN932" s="121"/>
      <c r="BO932" s="121"/>
      <c r="BP932" s="121"/>
      <c r="BQ932" s="121"/>
      <c r="BR932" s="121"/>
      <c r="BS932" s="121"/>
      <c r="BT932" s="121"/>
      <c r="BU932" s="121"/>
      <c r="BV932" s="121"/>
      <c r="BW932" s="121"/>
      <c r="BX932" s="121"/>
      <c r="BY932" s="121"/>
      <c r="BZ932" s="121"/>
    </row>
    <row r="933" spans="60:78">
      <c r="BH933" s="29"/>
      <c r="BI933" s="29"/>
      <c r="BJ933" s="29"/>
      <c r="BK933" s="29"/>
      <c r="BL933" s="29"/>
      <c r="BM933" s="121"/>
      <c r="BN933" s="121"/>
      <c r="BO933" s="121"/>
      <c r="BP933" s="121"/>
      <c r="BQ933" s="121"/>
      <c r="BR933" s="121"/>
      <c r="BS933" s="121"/>
      <c r="BT933" s="121"/>
      <c r="BU933" s="121"/>
      <c r="BV933" s="121"/>
      <c r="BW933" s="121"/>
      <c r="BX933" s="121"/>
      <c r="BY933" s="121"/>
      <c r="BZ933" s="121"/>
    </row>
    <row r="934" spans="60:78">
      <c r="BH934" s="29"/>
      <c r="BI934" s="29"/>
      <c r="BJ934" s="29"/>
      <c r="BK934" s="29"/>
      <c r="BL934" s="29"/>
      <c r="BM934" s="121"/>
      <c r="BN934" s="121"/>
      <c r="BO934" s="121"/>
      <c r="BP934" s="121"/>
      <c r="BQ934" s="121"/>
      <c r="BR934" s="121"/>
      <c r="BS934" s="121"/>
      <c r="BT934" s="121"/>
      <c r="BU934" s="121"/>
      <c r="BV934" s="121"/>
      <c r="BW934" s="121"/>
      <c r="BX934" s="121"/>
      <c r="BY934" s="121"/>
      <c r="BZ934" s="121"/>
    </row>
    <row r="935" spans="60:78">
      <c r="BH935" s="29"/>
      <c r="BI935" s="29"/>
      <c r="BJ935" s="29"/>
      <c r="BK935" s="29"/>
      <c r="BL935" s="29"/>
      <c r="BM935" s="121"/>
      <c r="BN935" s="121"/>
      <c r="BO935" s="121"/>
      <c r="BP935" s="121"/>
      <c r="BQ935" s="121"/>
      <c r="BR935" s="121"/>
      <c r="BS935" s="121"/>
      <c r="BT935" s="121"/>
      <c r="BU935" s="121"/>
      <c r="BV935" s="121"/>
      <c r="BW935" s="121"/>
      <c r="BX935" s="121"/>
      <c r="BY935" s="121"/>
      <c r="BZ935" s="121"/>
    </row>
    <row r="936" spans="60:78">
      <c r="BH936" s="29"/>
      <c r="BI936" s="29"/>
      <c r="BJ936" s="29"/>
      <c r="BK936" s="29"/>
      <c r="BL936" s="29"/>
      <c r="BM936" s="121"/>
      <c r="BN936" s="121"/>
      <c r="BO936" s="121"/>
      <c r="BP936" s="121"/>
      <c r="BQ936" s="121"/>
      <c r="BR936" s="121"/>
      <c r="BS936" s="121"/>
      <c r="BT936" s="121"/>
      <c r="BU936" s="121"/>
      <c r="BV936" s="121"/>
      <c r="BW936" s="121"/>
      <c r="BX936" s="121"/>
      <c r="BY936" s="121"/>
      <c r="BZ936" s="121"/>
    </row>
    <row r="937" spans="60:78">
      <c r="BH937" s="29"/>
      <c r="BI937" s="29"/>
      <c r="BJ937" s="29"/>
      <c r="BK937" s="29"/>
      <c r="BL937" s="29"/>
      <c r="BM937" s="121"/>
      <c r="BN937" s="121"/>
      <c r="BO937" s="121"/>
      <c r="BP937" s="121"/>
      <c r="BQ937" s="121"/>
      <c r="BR937" s="121"/>
      <c r="BS937" s="121"/>
      <c r="BT937" s="121"/>
      <c r="BU937" s="121"/>
      <c r="BV937" s="121"/>
      <c r="BW937" s="121"/>
      <c r="BX937" s="121"/>
      <c r="BY937" s="121"/>
      <c r="BZ937" s="121"/>
    </row>
    <row r="938" spans="60:78">
      <c r="BH938" s="29"/>
      <c r="BI938" s="29"/>
      <c r="BJ938" s="29"/>
      <c r="BK938" s="29"/>
      <c r="BL938" s="29"/>
      <c r="BM938" s="121"/>
      <c r="BN938" s="121"/>
      <c r="BO938" s="121"/>
      <c r="BP938" s="121"/>
      <c r="BQ938" s="121"/>
      <c r="BR938" s="121"/>
      <c r="BS938" s="121"/>
      <c r="BT938" s="121"/>
      <c r="BU938" s="121"/>
      <c r="BV938" s="121"/>
      <c r="BW938" s="121"/>
      <c r="BX938" s="121"/>
      <c r="BY938" s="121"/>
      <c r="BZ938" s="121"/>
    </row>
    <row r="939" spans="60:78">
      <c r="BH939" s="29"/>
      <c r="BI939" s="29"/>
      <c r="BJ939" s="29"/>
      <c r="BK939" s="29"/>
      <c r="BL939" s="29"/>
      <c r="BM939" s="121"/>
      <c r="BN939" s="121"/>
      <c r="BO939" s="121"/>
      <c r="BP939" s="121"/>
      <c r="BQ939" s="121"/>
      <c r="BR939" s="121"/>
      <c r="BS939" s="121"/>
      <c r="BT939" s="121"/>
      <c r="BU939" s="121"/>
      <c r="BV939" s="121"/>
      <c r="BW939" s="121"/>
      <c r="BX939" s="121"/>
      <c r="BY939" s="121"/>
      <c r="BZ939" s="121"/>
    </row>
    <row r="940" spans="60:78">
      <c r="BH940" s="29"/>
      <c r="BI940" s="29"/>
      <c r="BJ940" s="29"/>
      <c r="BK940" s="29"/>
      <c r="BL940" s="29"/>
      <c r="BM940" s="121"/>
      <c r="BN940" s="121"/>
      <c r="BO940" s="121"/>
      <c r="BP940" s="121"/>
      <c r="BQ940" s="121"/>
      <c r="BR940" s="121"/>
      <c r="BS940" s="121"/>
      <c r="BT940" s="121"/>
      <c r="BU940" s="121"/>
      <c r="BV940" s="121"/>
      <c r="BW940" s="121"/>
      <c r="BX940" s="121"/>
      <c r="BY940" s="121"/>
      <c r="BZ940" s="121"/>
    </row>
    <row r="941" spans="60:78">
      <c r="BH941" s="29"/>
      <c r="BI941" s="29"/>
      <c r="BJ941" s="29"/>
      <c r="BK941" s="29"/>
      <c r="BL941" s="29"/>
      <c r="BM941" s="121"/>
      <c r="BN941" s="121"/>
      <c r="BO941" s="121"/>
      <c r="BP941" s="121"/>
      <c r="BQ941" s="121"/>
      <c r="BR941" s="121"/>
      <c r="BS941" s="121"/>
      <c r="BT941" s="121"/>
      <c r="BU941" s="121"/>
      <c r="BV941" s="121"/>
      <c r="BW941" s="121"/>
      <c r="BX941" s="121"/>
      <c r="BY941" s="121"/>
      <c r="BZ941" s="121"/>
    </row>
    <row r="942" spans="60:78">
      <c r="BH942" s="29"/>
      <c r="BI942" s="29"/>
      <c r="BJ942" s="29"/>
      <c r="BK942" s="29"/>
      <c r="BL942" s="29"/>
      <c r="BM942" s="121"/>
      <c r="BN942" s="121"/>
      <c r="BO942" s="121"/>
      <c r="BP942" s="121"/>
      <c r="BQ942" s="121"/>
      <c r="BR942" s="121"/>
      <c r="BS942" s="121"/>
      <c r="BT942" s="121"/>
      <c r="BU942" s="121"/>
      <c r="BV942" s="121"/>
      <c r="BW942" s="121"/>
      <c r="BX942" s="121"/>
      <c r="BY942" s="121"/>
      <c r="BZ942" s="121"/>
    </row>
    <row r="943" spans="60:78">
      <c r="BH943" s="29"/>
      <c r="BI943" s="29"/>
      <c r="BJ943" s="29"/>
      <c r="BK943" s="29"/>
      <c r="BL943" s="29"/>
      <c r="BM943" s="121"/>
      <c r="BN943" s="121"/>
      <c r="BO943" s="121"/>
      <c r="BP943" s="121"/>
      <c r="BQ943" s="121"/>
      <c r="BR943" s="121"/>
      <c r="BS943" s="121"/>
      <c r="BT943" s="121"/>
      <c r="BU943" s="121"/>
      <c r="BV943" s="121"/>
      <c r="BW943" s="121"/>
      <c r="BX943" s="121"/>
      <c r="BY943" s="121"/>
      <c r="BZ943" s="121"/>
    </row>
    <row r="944" spans="60:78">
      <c r="BH944" s="29"/>
      <c r="BI944" s="29"/>
      <c r="BJ944" s="29"/>
      <c r="BK944" s="29"/>
      <c r="BL944" s="29"/>
      <c r="BM944" s="121"/>
      <c r="BN944" s="121"/>
      <c r="BO944" s="121"/>
      <c r="BP944" s="121"/>
      <c r="BQ944" s="121"/>
      <c r="BR944" s="121"/>
      <c r="BS944" s="121"/>
      <c r="BT944" s="121"/>
      <c r="BU944" s="121"/>
      <c r="BV944" s="121"/>
      <c r="BW944" s="121"/>
      <c r="BX944" s="121"/>
      <c r="BY944" s="121"/>
      <c r="BZ944" s="121"/>
    </row>
    <row r="945" spans="60:78">
      <c r="BH945" s="29"/>
      <c r="BI945" s="29"/>
      <c r="BJ945" s="29"/>
      <c r="BK945" s="29"/>
      <c r="BL945" s="29"/>
      <c r="BM945" s="121"/>
      <c r="BN945" s="121"/>
      <c r="BO945" s="121"/>
      <c r="BP945" s="121"/>
      <c r="BQ945" s="121"/>
      <c r="BR945" s="121"/>
      <c r="BS945" s="121"/>
      <c r="BT945" s="121"/>
      <c r="BU945" s="121"/>
      <c r="BV945" s="121"/>
      <c r="BW945" s="121"/>
      <c r="BX945" s="121"/>
      <c r="BY945" s="121"/>
      <c r="BZ945" s="121"/>
    </row>
    <row r="946" spans="60:78">
      <c r="BH946" s="29"/>
      <c r="BI946" s="29"/>
      <c r="BJ946" s="29"/>
      <c r="BK946" s="29"/>
      <c r="BL946" s="29"/>
      <c r="BM946" s="121"/>
      <c r="BN946" s="121"/>
      <c r="BO946" s="121"/>
      <c r="BP946" s="121"/>
      <c r="BQ946" s="121"/>
      <c r="BR946" s="121"/>
      <c r="BS946" s="121"/>
      <c r="BT946" s="121"/>
      <c r="BU946" s="121"/>
      <c r="BV946" s="121"/>
      <c r="BW946" s="121"/>
      <c r="BX946" s="121"/>
      <c r="BY946" s="121"/>
      <c r="BZ946" s="121"/>
    </row>
    <row r="947" spans="60:78">
      <c r="BH947" s="29"/>
      <c r="BI947" s="29"/>
      <c r="BJ947" s="29"/>
      <c r="BK947" s="29"/>
      <c r="BL947" s="29"/>
      <c r="BM947" s="121"/>
      <c r="BN947" s="121"/>
      <c r="BO947" s="121"/>
      <c r="BP947" s="121"/>
      <c r="BQ947" s="121"/>
      <c r="BR947" s="121"/>
      <c r="BS947" s="121"/>
      <c r="BT947" s="121"/>
      <c r="BU947" s="121"/>
      <c r="BV947" s="121"/>
      <c r="BW947" s="121"/>
      <c r="BX947" s="121"/>
      <c r="BY947" s="121"/>
      <c r="BZ947" s="121"/>
    </row>
    <row r="948" spans="60:78">
      <c r="BH948" s="29"/>
      <c r="BI948" s="29"/>
      <c r="BJ948" s="29"/>
      <c r="BK948" s="29"/>
      <c r="BL948" s="29"/>
      <c r="BM948" s="121"/>
      <c r="BN948" s="121"/>
      <c r="BO948" s="121"/>
      <c r="BP948" s="121"/>
      <c r="BQ948" s="121"/>
      <c r="BR948" s="121"/>
      <c r="BS948" s="121"/>
      <c r="BT948" s="121"/>
      <c r="BU948" s="121"/>
      <c r="BV948" s="121"/>
      <c r="BW948" s="121"/>
      <c r="BX948" s="121"/>
      <c r="BY948" s="121"/>
      <c r="BZ948" s="121"/>
    </row>
    <row r="949" spans="60:78">
      <c r="BH949" s="29"/>
      <c r="BI949" s="29"/>
      <c r="BJ949" s="29"/>
      <c r="BK949" s="29"/>
      <c r="BL949" s="29"/>
      <c r="BM949" s="121"/>
      <c r="BN949" s="121"/>
      <c r="BO949" s="121"/>
      <c r="BP949" s="121"/>
      <c r="BQ949" s="121"/>
      <c r="BR949" s="121"/>
      <c r="BS949" s="121"/>
      <c r="BT949" s="121"/>
      <c r="BU949" s="121"/>
      <c r="BV949" s="121"/>
      <c r="BW949" s="121"/>
      <c r="BX949" s="121"/>
      <c r="BY949" s="121"/>
      <c r="BZ949" s="121"/>
    </row>
    <row r="950" spans="60:78">
      <c r="BH950" s="29"/>
      <c r="BI950" s="29"/>
      <c r="BJ950" s="29"/>
      <c r="BK950" s="29"/>
      <c r="BL950" s="29"/>
      <c r="BM950" s="121"/>
      <c r="BN950" s="121"/>
      <c r="BO950" s="121"/>
      <c r="BP950" s="121"/>
      <c r="BQ950" s="121"/>
      <c r="BR950" s="121"/>
      <c r="BS950" s="121"/>
      <c r="BT950" s="121"/>
      <c r="BU950" s="121"/>
      <c r="BV950" s="121"/>
      <c r="BW950" s="121"/>
      <c r="BX950" s="121"/>
      <c r="BY950" s="121"/>
      <c r="BZ950" s="121"/>
    </row>
    <row r="951" spans="60:78">
      <c r="BH951" s="29"/>
      <c r="BI951" s="29"/>
      <c r="BJ951" s="29"/>
      <c r="BK951" s="29"/>
      <c r="BL951" s="29"/>
      <c r="BM951" s="121"/>
      <c r="BN951" s="121"/>
      <c r="BO951" s="121"/>
      <c r="BP951" s="121"/>
      <c r="BQ951" s="121"/>
      <c r="BR951" s="121"/>
      <c r="BS951" s="121"/>
      <c r="BT951" s="121"/>
      <c r="BU951" s="121"/>
      <c r="BV951" s="121"/>
      <c r="BW951" s="121"/>
      <c r="BX951" s="121"/>
      <c r="BY951" s="121"/>
      <c r="BZ951" s="121"/>
    </row>
    <row r="952" spans="60:78">
      <c r="BH952" s="29"/>
      <c r="BI952" s="29"/>
      <c r="BJ952" s="29"/>
      <c r="BK952" s="29"/>
      <c r="BL952" s="29"/>
      <c r="BM952" s="121"/>
      <c r="BN952" s="121"/>
      <c r="BO952" s="121"/>
      <c r="BP952" s="121"/>
      <c r="BQ952" s="121"/>
      <c r="BR952" s="121"/>
      <c r="BS952" s="121"/>
      <c r="BT952" s="121"/>
      <c r="BU952" s="121"/>
      <c r="BV952" s="121"/>
      <c r="BW952" s="121"/>
      <c r="BX952" s="121"/>
      <c r="BY952" s="121"/>
      <c r="BZ952" s="121"/>
    </row>
    <row r="953" spans="60:78">
      <c r="BH953" s="29"/>
      <c r="BI953" s="29"/>
      <c r="BJ953" s="29"/>
      <c r="BK953" s="29"/>
      <c r="BL953" s="29"/>
      <c r="BM953" s="121"/>
      <c r="BN953" s="121"/>
      <c r="BO953" s="121"/>
      <c r="BP953" s="121"/>
      <c r="BQ953" s="121"/>
      <c r="BR953" s="121"/>
      <c r="BS953" s="121"/>
      <c r="BT953" s="121"/>
      <c r="BU953" s="121"/>
      <c r="BV953" s="121"/>
      <c r="BW953" s="121"/>
      <c r="BX953" s="121"/>
      <c r="BY953" s="121"/>
      <c r="BZ953" s="121"/>
    </row>
    <row r="954" spans="60:78">
      <c r="BH954" s="29"/>
      <c r="BI954" s="29"/>
      <c r="BJ954" s="29"/>
      <c r="BK954" s="29"/>
      <c r="BL954" s="29"/>
      <c r="BM954" s="121"/>
      <c r="BN954" s="121"/>
      <c r="BO954" s="121"/>
      <c r="BP954" s="121"/>
      <c r="BQ954" s="121"/>
      <c r="BR954" s="121"/>
      <c r="BS954" s="121"/>
      <c r="BT954" s="121"/>
      <c r="BU954" s="121"/>
      <c r="BV954" s="121"/>
      <c r="BW954" s="121"/>
      <c r="BX954" s="121"/>
      <c r="BY954" s="121"/>
      <c r="BZ954" s="121"/>
    </row>
    <row r="955" spans="60:78">
      <c r="BH955" s="29"/>
      <c r="BI955" s="29"/>
      <c r="BJ955" s="29"/>
      <c r="BK955" s="29"/>
      <c r="BL955" s="29"/>
      <c r="BM955" s="121"/>
      <c r="BN955" s="121"/>
      <c r="BO955" s="121"/>
      <c r="BP955" s="121"/>
      <c r="BQ955" s="121"/>
      <c r="BR955" s="121"/>
      <c r="BS955" s="121"/>
      <c r="BT955" s="121"/>
      <c r="BU955" s="121"/>
      <c r="BV955" s="121"/>
      <c r="BW955" s="121"/>
      <c r="BX955" s="121"/>
      <c r="BY955" s="121"/>
      <c r="BZ955" s="121"/>
    </row>
    <row r="956" spans="60:78">
      <c r="BH956" s="29"/>
      <c r="BI956" s="29"/>
      <c r="BJ956" s="29"/>
      <c r="BK956" s="29"/>
      <c r="BL956" s="29"/>
      <c r="BM956" s="121"/>
      <c r="BN956" s="121"/>
      <c r="BO956" s="121"/>
      <c r="BP956" s="121"/>
      <c r="BQ956" s="121"/>
      <c r="BR956" s="121"/>
      <c r="BS956" s="121"/>
      <c r="BT956" s="121"/>
      <c r="BU956" s="121"/>
      <c r="BV956" s="121"/>
      <c r="BW956" s="121"/>
      <c r="BX956" s="121"/>
      <c r="BY956" s="121"/>
      <c r="BZ956" s="121"/>
    </row>
    <row r="957" spans="60:78">
      <c r="BH957" s="29"/>
      <c r="BI957" s="29"/>
      <c r="BJ957" s="29"/>
      <c r="BK957" s="29"/>
      <c r="BL957" s="29"/>
      <c r="BM957" s="121"/>
      <c r="BN957" s="121"/>
      <c r="BO957" s="121"/>
      <c r="BP957" s="121"/>
      <c r="BQ957" s="121"/>
      <c r="BR957" s="121"/>
      <c r="BS957" s="121"/>
      <c r="BT957" s="121"/>
      <c r="BU957" s="121"/>
      <c r="BV957" s="121"/>
      <c r="BW957" s="121"/>
      <c r="BX957" s="121"/>
      <c r="BY957" s="121"/>
      <c r="BZ957" s="121"/>
    </row>
    <row r="958" spans="60:78">
      <c r="BH958" s="29"/>
      <c r="BI958" s="29"/>
      <c r="BJ958" s="29"/>
      <c r="BK958" s="29"/>
      <c r="BL958" s="29"/>
      <c r="BM958" s="121"/>
      <c r="BN958" s="121"/>
      <c r="BO958" s="121"/>
      <c r="BP958" s="121"/>
      <c r="BQ958" s="121"/>
      <c r="BR958" s="121"/>
      <c r="BS958" s="121"/>
      <c r="BT958" s="121"/>
      <c r="BU958" s="121"/>
      <c r="BV958" s="121"/>
      <c r="BW958" s="121"/>
      <c r="BX958" s="121"/>
      <c r="BY958" s="121"/>
      <c r="BZ958" s="121"/>
    </row>
    <row r="959" spans="60:78">
      <c r="BH959" s="29"/>
      <c r="BI959" s="29"/>
      <c r="BJ959" s="29"/>
      <c r="BK959" s="29"/>
      <c r="BL959" s="29"/>
      <c r="BM959" s="121"/>
      <c r="BN959" s="121"/>
      <c r="BO959" s="121"/>
      <c r="BP959" s="121"/>
      <c r="BQ959" s="121"/>
      <c r="BR959" s="121"/>
      <c r="BS959" s="121"/>
      <c r="BT959" s="121"/>
      <c r="BU959" s="121"/>
      <c r="BV959" s="121"/>
      <c r="BW959" s="121"/>
      <c r="BX959" s="121"/>
      <c r="BY959" s="121"/>
      <c r="BZ959" s="121"/>
    </row>
    <row r="960" spans="60:78">
      <c r="BH960" s="29"/>
      <c r="BI960" s="29"/>
      <c r="BJ960" s="29"/>
      <c r="BK960" s="29"/>
      <c r="BL960" s="29"/>
      <c r="BM960" s="121"/>
      <c r="BN960" s="121"/>
      <c r="BO960" s="121"/>
      <c r="BP960" s="121"/>
      <c r="BQ960" s="121"/>
      <c r="BR960" s="121"/>
      <c r="BS960" s="121"/>
      <c r="BT960" s="121"/>
      <c r="BU960" s="121"/>
      <c r="BV960" s="121"/>
      <c r="BW960" s="121"/>
      <c r="BX960" s="121"/>
      <c r="BY960" s="121"/>
      <c r="BZ960" s="121"/>
    </row>
    <row r="961" spans="60:78">
      <c r="BH961" s="29"/>
      <c r="BI961" s="29"/>
      <c r="BJ961" s="29"/>
      <c r="BK961" s="29"/>
      <c r="BL961" s="29"/>
      <c r="BM961" s="121"/>
      <c r="BN961" s="121"/>
      <c r="BO961" s="121"/>
      <c r="BP961" s="121"/>
      <c r="BQ961" s="121"/>
      <c r="BR961" s="121"/>
      <c r="BS961" s="121"/>
      <c r="BT961" s="121"/>
      <c r="BU961" s="121"/>
      <c r="BV961" s="121"/>
      <c r="BW961" s="121"/>
      <c r="BX961" s="121"/>
      <c r="BY961" s="121"/>
      <c r="BZ961" s="121"/>
    </row>
    <row r="962" spans="60:78">
      <c r="BH962" s="29"/>
      <c r="BI962" s="29"/>
      <c r="BJ962" s="29"/>
      <c r="BK962" s="29"/>
      <c r="BL962" s="29"/>
      <c r="BM962" s="121"/>
      <c r="BN962" s="121"/>
      <c r="BO962" s="121"/>
      <c r="BP962" s="121"/>
      <c r="BQ962" s="121"/>
      <c r="BR962" s="121"/>
      <c r="BS962" s="121"/>
      <c r="BT962" s="121"/>
      <c r="BU962" s="121"/>
      <c r="BV962" s="121"/>
      <c r="BW962" s="121"/>
      <c r="BX962" s="121"/>
      <c r="BY962" s="121"/>
      <c r="BZ962" s="121"/>
    </row>
    <row r="963" spans="60:78">
      <c r="BH963" s="29"/>
      <c r="BI963" s="29"/>
      <c r="BJ963" s="29"/>
      <c r="BK963" s="29"/>
      <c r="BL963" s="29"/>
      <c r="BM963" s="121"/>
      <c r="BN963" s="121"/>
      <c r="BO963" s="121"/>
      <c r="BP963" s="121"/>
      <c r="BQ963" s="121"/>
      <c r="BR963" s="121"/>
      <c r="BS963" s="121"/>
      <c r="BT963" s="121"/>
      <c r="BU963" s="121"/>
      <c r="BV963" s="121"/>
      <c r="BW963" s="121"/>
      <c r="BX963" s="121"/>
      <c r="BY963" s="121"/>
      <c r="BZ963" s="121"/>
    </row>
    <row r="964" spans="60:78">
      <c r="BH964" s="29"/>
      <c r="BI964" s="29"/>
      <c r="BJ964" s="29"/>
      <c r="BK964" s="29"/>
      <c r="BL964" s="29"/>
      <c r="BM964" s="121"/>
      <c r="BN964" s="121"/>
      <c r="BO964" s="121"/>
      <c r="BP964" s="121"/>
      <c r="BQ964" s="121"/>
      <c r="BR964" s="121"/>
      <c r="BS964" s="121"/>
      <c r="BT964" s="121"/>
      <c r="BU964" s="121"/>
      <c r="BV964" s="121"/>
      <c r="BW964" s="121"/>
      <c r="BX964" s="121"/>
      <c r="BY964" s="121"/>
      <c r="BZ964" s="121"/>
    </row>
    <row r="965" spans="60:78">
      <c r="BH965" s="29"/>
      <c r="BI965" s="29"/>
      <c r="BJ965" s="29"/>
      <c r="BK965" s="29"/>
      <c r="BL965" s="29"/>
      <c r="BM965" s="121"/>
      <c r="BN965" s="121"/>
      <c r="BO965" s="121"/>
      <c r="BP965" s="121"/>
      <c r="BQ965" s="121"/>
      <c r="BR965" s="121"/>
      <c r="BS965" s="121"/>
      <c r="BT965" s="121"/>
      <c r="BU965" s="121"/>
      <c r="BV965" s="121"/>
      <c r="BW965" s="121"/>
      <c r="BX965" s="121"/>
      <c r="BY965" s="121"/>
      <c r="BZ965" s="121"/>
    </row>
    <row r="966" spans="60:78">
      <c r="BH966" s="29"/>
      <c r="BI966" s="29"/>
      <c r="BJ966" s="29"/>
      <c r="BK966" s="29"/>
      <c r="BL966" s="29"/>
      <c r="BM966" s="121"/>
      <c r="BN966" s="121"/>
      <c r="BO966" s="121"/>
      <c r="BP966" s="121"/>
      <c r="BQ966" s="121"/>
      <c r="BR966" s="121"/>
      <c r="BS966" s="121"/>
      <c r="BT966" s="121"/>
      <c r="BU966" s="121"/>
      <c r="BV966" s="121"/>
      <c r="BW966" s="121"/>
      <c r="BX966" s="121"/>
      <c r="BY966" s="121"/>
      <c r="BZ966" s="121"/>
    </row>
    <row r="967" spans="60:78">
      <c r="BH967" s="29"/>
      <c r="BI967" s="29"/>
      <c r="BJ967" s="29"/>
      <c r="BK967" s="29"/>
      <c r="BL967" s="29"/>
      <c r="BM967" s="121"/>
      <c r="BN967" s="121"/>
      <c r="BO967" s="121"/>
      <c r="BP967" s="121"/>
      <c r="BQ967" s="121"/>
      <c r="BR967" s="121"/>
      <c r="BS967" s="121"/>
      <c r="BT967" s="121"/>
      <c r="BU967" s="121"/>
      <c r="BV967" s="121"/>
      <c r="BW967" s="121"/>
      <c r="BX967" s="121"/>
      <c r="BY967" s="121"/>
      <c r="BZ967" s="121"/>
    </row>
    <row r="968" spans="60:78">
      <c r="BH968" s="29"/>
      <c r="BI968" s="29"/>
      <c r="BJ968" s="29"/>
      <c r="BK968" s="29"/>
      <c r="BL968" s="29"/>
      <c r="BM968" s="121"/>
      <c r="BN968" s="121"/>
      <c r="BO968" s="121"/>
      <c r="BP968" s="121"/>
      <c r="BQ968" s="121"/>
      <c r="BR968" s="121"/>
      <c r="BS968" s="121"/>
      <c r="BT968" s="121"/>
      <c r="BU968" s="121"/>
      <c r="BV968" s="121"/>
      <c r="BW968" s="121"/>
      <c r="BX968" s="121"/>
      <c r="BY968" s="121"/>
      <c r="BZ968" s="121"/>
    </row>
    <row r="969" spans="60:78">
      <c r="BH969" s="29"/>
      <c r="BI969" s="29"/>
      <c r="BJ969" s="29"/>
      <c r="BK969" s="29"/>
      <c r="BL969" s="29"/>
      <c r="BM969" s="121"/>
      <c r="BN969" s="121"/>
      <c r="BO969" s="121"/>
      <c r="BP969" s="121"/>
      <c r="BQ969" s="121"/>
      <c r="BR969" s="121"/>
      <c r="BS969" s="121"/>
      <c r="BT969" s="121"/>
      <c r="BU969" s="121"/>
      <c r="BV969" s="121"/>
      <c r="BW969" s="121"/>
      <c r="BX969" s="121"/>
      <c r="BY969" s="121"/>
      <c r="BZ969" s="121"/>
    </row>
    <row r="970" spans="60:78">
      <c r="BH970" s="29"/>
      <c r="BI970" s="29"/>
      <c r="BJ970" s="29"/>
      <c r="BK970" s="29"/>
      <c r="BL970" s="29"/>
      <c r="BM970" s="121"/>
      <c r="BN970" s="121"/>
      <c r="BO970" s="121"/>
      <c r="BP970" s="121"/>
      <c r="BQ970" s="121"/>
      <c r="BR970" s="121"/>
      <c r="BS970" s="121"/>
      <c r="BT970" s="121"/>
      <c r="BU970" s="121"/>
      <c r="BV970" s="121"/>
      <c r="BW970" s="121"/>
      <c r="BX970" s="121"/>
      <c r="BY970" s="121"/>
      <c r="BZ970" s="121"/>
    </row>
    <row r="971" spans="60:78">
      <c r="BH971" s="29"/>
      <c r="BI971" s="29"/>
      <c r="BJ971" s="29"/>
      <c r="BK971" s="29"/>
      <c r="BL971" s="29"/>
      <c r="BM971" s="121"/>
      <c r="BN971" s="121"/>
      <c r="BO971" s="121"/>
      <c r="BP971" s="121"/>
      <c r="BQ971" s="121"/>
      <c r="BR971" s="121"/>
      <c r="BS971" s="121"/>
      <c r="BT971" s="121"/>
      <c r="BU971" s="121"/>
      <c r="BV971" s="121"/>
      <c r="BW971" s="121"/>
      <c r="BX971" s="121"/>
      <c r="BY971" s="121"/>
      <c r="BZ971" s="121"/>
    </row>
    <row r="972" spans="60:78">
      <c r="BH972" s="29"/>
      <c r="BI972" s="29"/>
      <c r="BJ972" s="29"/>
      <c r="BK972" s="29"/>
      <c r="BL972" s="29"/>
      <c r="BM972" s="121"/>
      <c r="BN972" s="121"/>
      <c r="BO972" s="121"/>
      <c r="BP972" s="121"/>
      <c r="BQ972" s="121"/>
      <c r="BR972" s="121"/>
      <c r="BS972" s="121"/>
      <c r="BT972" s="121"/>
      <c r="BU972" s="121"/>
      <c r="BV972" s="121"/>
      <c r="BW972" s="121"/>
      <c r="BX972" s="121"/>
      <c r="BY972" s="121"/>
      <c r="BZ972" s="121"/>
    </row>
    <row r="973" spans="60:78">
      <c r="BH973" s="29"/>
      <c r="BI973" s="29"/>
      <c r="BJ973" s="29"/>
      <c r="BK973" s="29"/>
      <c r="BL973" s="29"/>
      <c r="BM973" s="121"/>
      <c r="BN973" s="121"/>
      <c r="BO973" s="121"/>
      <c r="BP973" s="121"/>
      <c r="BQ973" s="121"/>
      <c r="BR973" s="121"/>
      <c r="BS973" s="121"/>
      <c r="BT973" s="121"/>
      <c r="BU973" s="121"/>
      <c r="BV973" s="121"/>
      <c r="BW973" s="121"/>
      <c r="BX973" s="121"/>
      <c r="BY973" s="121"/>
      <c r="BZ973" s="121"/>
    </row>
    <row r="974" spans="60:78">
      <c r="BH974" s="29"/>
      <c r="BI974" s="29"/>
      <c r="BJ974" s="29"/>
      <c r="BK974" s="29"/>
      <c r="BL974" s="29"/>
      <c r="BM974" s="121"/>
      <c r="BN974" s="121"/>
      <c r="BO974" s="121"/>
      <c r="BP974" s="121"/>
      <c r="BQ974" s="121"/>
      <c r="BR974" s="121"/>
      <c r="BS974" s="121"/>
      <c r="BT974" s="121"/>
      <c r="BU974" s="121"/>
      <c r="BV974" s="121"/>
      <c r="BW974" s="121"/>
      <c r="BX974" s="121"/>
      <c r="BY974" s="121"/>
      <c r="BZ974" s="121"/>
    </row>
    <row r="975" spans="60:78">
      <c r="BH975" s="29"/>
      <c r="BI975" s="29"/>
      <c r="BJ975" s="29"/>
      <c r="BK975" s="29"/>
      <c r="BL975" s="29"/>
      <c r="BM975" s="121"/>
      <c r="BN975" s="121"/>
      <c r="BO975" s="121"/>
      <c r="BP975" s="121"/>
      <c r="BQ975" s="121"/>
      <c r="BR975" s="121"/>
      <c r="BS975" s="121"/>
      <c r="BT975" s="121"/>
      <c r="BU975" s="121"/>
      <c r="BV975" s="121"/>
      <c r="BW975" s="121"/>
      <c r="BX975" s="121"/>
      <c r="BY975" s="121"/>
      <c r="BZ975" s="121"/>
    </row>
    <row r="976" spans="60:78">
      <c r="BH976" s="29"/>
      <c r="BI976" s="29"/>
      <c r="BJ976" s="29"/>
      <c r="BK976" s="29"/>
      <c r="BL976" s="29"/>
      <c r="BM976" s="121"/>
      <c r="BN976" s="121"/>
      <c r="BO976" s="121"/>
      <c r="BP976" s="121"/>
      <c r="BQ976" s="121"/>
      <c r="BR976" s="121"/>
      <c r="BS976" s="121"/>
      <c r="BT976" s="121"/>
      <c r="BU976" s="121"/>
      <c r="BV976" s="121"/>
      <c r="BW976" s="121"/>
      <c r="BX976" s="121"/>
      <c r="BY976" s="121"/>
      <c r="BZ976" s="121"/>
    </row>
    <row r="977" spans="60:78">
      <c r="BH977" s="29"/>
      <c r="BI977" s="29"/>
      <c r="BJ977" s="29"/>
      <c r="BK977" s="29"/>
      <c r="BL977" s="29"/>
      <c r="BM977" s="121"/>
      <c r="BN977" s="121"/>
      <c r="BO977" s="121"/>
      <c r="BP977" s="121"/>
      <c r="BQ977" s="121"/>
      <c r="BR977" s="121"/>
      <c r="BS977" s="121"/>
      <c r="BT977" s="121"/>
      <c r="BU977" s="121"/>
      <c r="BV977" s="121"/>
      <c r="BW977" s="121"/>
      <c r="BX977" s="121"/>
      <c r="BY977" s="121"/>
      <c r="BZ977" s="121"/>
    </row>
    <row r="978" spans="60:78">
      <c r="BH978" s="29"/>
      <c r="BI978" s="29"/>
      <c r="BJ978" s="29"/>
      <c r="BK978" s="29"/>
      <c r="BL978" s="29"/>
      <c r="BM978" s="121"/>
      <c r="BN978" s="121"/>
      <c r="BO978" s="121"/>
      <c r="BP978" s="121"/>
      <c r="BQ978" s="121"/>
      <c r="BR978" s="121"/>
      <c r="BS978" s="121"/>
      <c r="BT978" s="121"/>
      <c r="BU978" s="121"/>
      <c r="BV978" s="121"/>
      <c r="BW978" s="121"/>
      <c r="BX978" s="121"/>
      <c r="BY978" s="121"/>
      <c r="BZ978" s="121"/>
    </row>
    <row r="979" spans="60:78">
      <c r="BH979" s="29"/>
      <c r="BI979" s="29"/>
      <c r="BJ979" s="29"/>
      <c r="BK979" s="29"/>
      <c r="BL979" s="29"/>
      <c r="BM979" s="121"/>
      <c r="BN979" s="121"/>
      <c r="BO979" s="121"/>
      <c r="BP979" s="121"/>
      <c r="BQ979" s="121"/>
      <c r="BR979" s="121"/>
      <c r="BS979" s="121"/>
      <c r="BT979" s="121"/>
      <c r="BU979" s="121"/>
      <c r="BV979" s="121"/>
      <c r="BW979" s="121"/>
      <c r="BX979" s="121"/>
      <c r="BY979" s="121"/>
      <c r="BZ979" s="121"/>
    </row>
    <row r="980" spans="60:78">
      <c r="BH980" s="29"/>
      <c r="BI980" s="29"/>
      <c r="BJ980" s="29"/>
      <c r="BK980" s="29"/>
      <c r="BL980" s="29"/>
      <c r="BM980" s="121"/>
      <c r="BN980" s="121"/>
      <c r="BO980" s="121"/>
      <c r="BP980" s="121"/>
      <c r="BQ980" s="121"/>
      <c r="BR980" s="121"/>
      <c r="BS980" s="121"/>
      <c r="BT980" s="121"/>
      <c r="BU980" s="121"/>
      <c r="BV980" s="121"/>
      <c r="BW980" s="121"/>
      <c r="BX980" s="121"/>
      <c r="BY980" s="121"/>
      <c r="BZ980" s="121"/>
    </row>
    <row r="981" spans="60:78">
      <c r="BH981" s="29"/>
      <c r="BI981" s="29"/>
      <c r="BJ981" s="29"/>
      <c r="BK981" s="29"/>
      <c r="BL981" s="29"/>
      <c r="BM981" s="121"/>
      <c r="BN981" s="121"/>
      <c r="BO981" s="121"/>
      <c r="BP981" s="121"/>
      <c r="BQ981" s="121"/>
      <c r="BR981" s="121"/>
      <c r="BS981" s="121"/>
      <c r="BT981" s="121"/>
      <c r="BU981" s="121"/>
      <c r="BV981" s="121"/>
      <c r="BW981" s="121"/>
      <c r="BX981" s="121"/>
      <c r="BY981" s="121"/>
      <c r="BZ981" s="121"/>
    </row>
    <row r="982" spans="60:78">
      <c r="BH982" s="29"/>
      <c r="BI982" s="29"/>
      <c r="BJ982" s="29"/>
      <c r="BK982" s="29"/>
      <c r="BL982" s="29"/>
      <c r="BM982" s="121"/>
      <c r="BN982" s="121"/>
      <c r="BO982" s="121"/>
      <c r="BP982" s="121"/>
      <c r="BQ982" s="121"/>
      <c r="BR982" s="121"/>
      <c r="BS982" s="121"/>
      <c r="BT982" s="121"/>
      <c r="BU982" s="121"/>
      <c r="BV982" s="121"/>
      <c r="BW982" s="121"/>
      <c r="BX982" s="121"/>
      <c r="BY982" s="121"/>
      <c r="BZ982" s="121"/>
    </row>
    <row r="983" spans="60:78">
      <c r="BH983" s="29"/>
      <c r="BI983" s="29"/>
      <c r="BJ983" s="29"/>
      <c r="BK983" s="29"/>
      <c r="BL983" s="29"/>
      <c r="BM983" s="121"/>
      <c r="BN983" s="121"/>
      <c r="BO983" s="121"/>
      <c r="BP983" s="121"/>
      <c r="BQ983" s="121"/>
      <c r="BR983" s="121"/>
      <c r="BS983" s="121"/>
      <c r="BT983" s="121"/>
      <c r="BU983" s="121"/>
      <c r="BV983" s="121"/>
      <c r="BW983" s="121"/>
      <c r="BX983" s="121"/>
      <c r="BY983" s="121"/>
      <c r="BZ983" s="121"/>
    </row>
    <row r="984" spans="60:78">
      <c r="BH984" s="29"/>
      <c r="BI984" s="29"/>
      <c r="BJ984" s="29"/>
      <c r="BK984" s="29"/>
      <c r="BL984" s="29"/>
      <c r="BM984" s="121"/>
      <c r="BN984" s="121"/>
      <c r="BO984" s="121"/>
      <c r="BP984" s="121"/>
      <c r="BQ984" s="121"/>
      <c r="BR984" s="121"/>
      <c r="BS984" s="121"/>
      <c r="BT984" s="121"/>
      <c r="BU984" s="121"/>
      <c r="BV984" s="121"/>
      <c r="BW984" s="121"/>
      <c r="BX984" s="121"/>
      <c r="BY984" s="121"/>
      <c r="BZ984" s="121"/>
    </row>
    <row r="985" spans="60:78">
      <c r="BH985" s="29"/>
      <c r="BI985" s="29"/>
      <c r="BJ985" s="29"/>
      <c r="BK985" s="29"/>
      <c r="BL985" s="29"/>
      <c r="BM985" s="121"/>
      <c r="BN985" s="121"/>
      <c r="BO985" s="121"/>
      <c r="BP985" s="121"/>
      <c r="BQ985" s="121"/>
      <c r="BR985" s="121"/>
      <c r="BS985" s="121"/>
      <c r="BT985" s="121"/>
      <c r="BU985" s="121"/>
      <c r="BV985" s="121"/>
      <c r="BW985" s="121"/>
      <c r="BX985" s="121"/>
      <c r="BY985" s="121"/>
      <c r="BZ985" s="121"/>
    </row>
    <row r="986" spans="60:78">
      <c r="BH986" s="29"/>
      <c r="BI986" s="29"/>
      <c r="BJ986" s="29"/>
      <c r="BK986" s="29"/>
      <c r="BL986" s="29"/>
      <c r="BM986" s="121"/>
      <c r="BN986" s="121"/>
      <c r="BO986" s="121"/>
      <c r="BP986" s="121"/>
      <c r="BQ986" s="121"/>
      <c r="BR986" s="121"/>
      <c r="BS986" s="121"/>
      <c r="BT986" s="121"/>
      <c r="BU986" s="121"/>
      <c r="BV986" s="121"/>
      <c r="BW986" s="121"/>
      <c r="BX986" s="121"/>
      <c r="BY986" s="121"/>
      <c r="BZ986" s="121"/>
    </row>
    <row r="987" spans="60:78">
      <c r="BH987" s="29"/>
      <c r="BI987" s="29"/>
      <c r="BJ987" s="29"/>
      <c r="BK987" s="29"/>
      <c r="BL987" s="29"/>
      <c r="BM987" s="121"/>
      <c r="BN987" s="121"/>
      <c r="BO987" s="121"/>
      <c r="BP987" s="121"/>
      <c r="BQ987" s="121"/>
      <c r="BR987" s="121"/>
      <c r="BS987" s="121"/>
      <c r="BT987" s="121"/>
      <c r="BU987" s="121"/>
      <c r="BV987" s="121"/>
      <c r="BW987" s="121"/>
      <c r="BX987" s="121"/>
      <c r="BY987" s="121"/>
      <c r="BZ987" s="121"/>
    </row>
    <row r="988" spans="60:78">
      <c r="BH988" s="29"/>
      <c r="BI988" s="29"/>
      <c r="BJ988" s="29"/>
      <c r="BK988" s="29"/>
      <c r="BL988" s="29"/>
      <c r="BM988" s="121"/>
      <c r="BN988" s="121"/>
      <c r="BO988" s="121"/>
      <c r="BP988" s="121"/>
      <c r="BQ988" s="121"/>
      <c r="BR988" s="121"/>
      <c r="BS988" s="121"/>
      <c r="BT988" s="121"/>
      <c r="BU988" s="121"/>
      <c r="BV988" s="121"/>
      <c r="BW988" s="121"/>
      <c r="BX988" s="121"/>
      <c r="BY988" s="121"/>
      <c r="BZ988" s="121"/>
    </row>
    <row r="989" spans="60:78">
      <c r="BH989" s="29"/>
      <c r="BI989" s="29"/>
      <c r="BJ989" s="29"/>
      <c r="BK989" s="29"/>
      <c r="BL989" s="29"/>
      <c r="BM989" s="121"/>
      <c r="BN989" s="121"/>
      <c r="BO989" s="121"/>
      <c r="BP989" s="121"/>
      <c r="BQ989" s="121"/>
      <c r="BR989" s="121"/>
      <c r="BS989" s="121"/>
      <c r="BT989" s="121"/>
      <c r="BU989" s="121"/>
      <c r="BV989" s="121"/>
      <c r="BW989" s="121"/>
      <c r="BX989" s="121"/>
      <c r="BY989" s="121"/>
      <c r="BZ989" s="121"/>
    </row>
    <row r="990" spans="60:78">
      <c r="BH990" s="29"/>
      <c r="BI990" s="29"/>
      <c r="BJ990" s="29"/>
      <c r="BK990" s="29"/>
      <c r="BL990" s="29"/>
      <c r="BM990" s="121"/>
      <c r="BN990" s="121"/>
      <c r="BO990" s="121"/>
      <c r="BP990" s="121"/>
      <c r="BQ990" s="121"/>
      <c r="BR990" s="121"/>
      <c r="BS990" s="121"/>
      <c r="BT990" s="121"/>
      <c r="BU990" s="121"/>
      <c r="BV990" s="121"/>
      <c r="BW990" s="121"/>
      <c r="BX990" s="121"/>
      <c r="BY990" s="121"/>
      <c r="BZ990" s="121"/>
    </row>
    <row r="991" spans="60:78">
      <c r="BH991" s="29"/>
      <c r="BI991" s="29"/>
      <c r="BJ991" s="29"/>
      <c r="BK991" s="29"/>
      <c r="BL991" s="29"/>
      <c r="BM991" s="121"/>
      <c r="BN991" s="121"/>
      <c r="BO991" s="121"/>
      <c r="BP991" s="121"/>
      <c r="BQ991" s="121"/>
      <c r="BR991" s="121"/>
      <c r="BS991" s="121"/>
      <c r="BT991" s="121"/>
      <c r="BU991" s="121"/>
      <c r="BV991" s="121"/>
      <c r="BW991" s="121"/>
      <c r="BX991" s="121"/>
      <c r="BY991" s="121"/>
      <c r="BZ991" s="121"/>
    </row>
    <row r="992" spans="60:78">
      <c r="BH992" s="29"/>
      <c r="BI992" s="29"/>
      <c r="BJ992" s="29"/>
      <c r="BK992" s="29"/>
      <c r="BL992" s="29"/>
      <c r="BM992" s="121"/>
      <c r="BN992" s="121"/>
      <c r="BO992" s="121"/>
      <c r="BP992" s="121"/>
      <c r="BQ992" s="121"/>
      <c r="BR992" s="121"/>
      <c r="BS992" s="121"/>
      <c r="BT992" s="121"/>
      <c r="BU992" s="121"/>
      <c r="BV992" s="121"/>
      <c r="BW992" s="121"/>
      <c r="BX992" s="121"/>
      <c r="BY992" s="121"/>
      <c r="BZ992" s="121"/>
    </row>
    <row r="993" spans="60:78">
      <c r="BH993" s="29"/>
      <c r="BI993" s="29"/>
      <c r="BJ993" s="29"/>
      <c r="BK993" s="29"/>
      <c r="BL993" s="29"/>
      <c r="BM993" s="121"/>
      <c r="BN993" s="121"/>
      <c r="BO993" s="121"/>
      <c r="BP993" s="121"/>
      <c r="BQ993" s="121"/>
      <c r="BR993" s="121"/>
      <c r="BS993" s="121"/>
      <c r="BT993" s="121"/>
      <c r="BU993" s="121"/>
      <c r="BV993" s="121"/>
      <c r="BW993" s="121"/>
      <c r="BX993" s="121"/>
      <c r="BY993" s="121"/>
      <c r="BZ993" s="121"/>
    </row>
    <row r="994" spans="60:78">
      <c r="BH994" s="29"/>
      <c r="BI994" s="29"/>
      <c r="BJ994" s="29"/>
      <c r="BK994" s="29"/>
      <c r="BL994" s="29"/>
      <c r="BM994" s="121"/>
      <c r="BN994" s="121"/>
      <c r="BO994" s="121"/>
      <c r="BP994" s="121"/>
      <c r="BQ994" s="121"/>
      <c r="BR994" s="121"/>
      <c r="BS994" s="121"/>
      <c r="BT994" s="121"/>
      <c r="BU994" s="121"/>
      <c r="BV994" s="121"/>
      <c r="BW994" s="121"/>
      <c r="BX994" s="121"/>
      <c r="BY994" s="121"/>
      <c r="BZ994" s="121"/>
    </row>
    <row r="995" spans="60:78">
      <c r="BH995" s="29"/>
      <c r="BI995" s="29"/>
      <c r="BJ995" s="29"/>
      <c r="BK995" s="29"/>
      <c r="BL995" s="29"/>
      <c r="BM995" s="121"/>
      <c r="BN995" s="121"/>
      <c r="BO995" s="121"/>
      <c r="BP995" s="121"/>
      <c r="BQ995" s="121"/>
      <c r="BR995" s="121"/>
      <c r="BS995" s="121"/>
      <c r="BT995" s="121"/>
      <c r="BU995" s="121"/>
      <c r="BV995" s="121"/>
      <c r="BW995" s="121"/>
      <c r="BX995" s="121"/>
      <c r="BY995" s="121"/>
      <c r="BZ995" s="121"/>
    </row>
    <row r="996" spans="60:78">
      <c r="BH996" s="29"/>
      <c r="BI996" s="29"/>
      <c r="BJ996" s="29"/>
      <c r="BK996" s="29"/>
      <c r="BL996" s="29"/>
      <c r="BM996" s="121"/>
      <c r="BN996" s="121"/>
      <c r="BO996" s="121"/>
      <c r="BP996" s="121"/>
      <c r="BQ996" s="121"/>
      <c r="BR996" s="121"/>
      <c r="BS996" s="121"/>
      <c r="BT996" s="121"/>
      <c r="BU996" s="121"/>
      <c r="BV996" s="121"/>
      <c r="BW996" s="121"/>
      <c r="BX996" s="121"/>
      <c r="BY996" s="121"/>
      <c r="BZ996" s="121"/>
    </row>
    <row r="997" spans="60:78">
      <c r="BH997" s="29"/>
      <c r="BI997" s="29"/>
      <c r="BJ997" s="29"/>
      <c r="BK997" s="29"/>
      <c r="BL997" s="29"/>
      <c r="BM997" s="121"/>
      <c r="BN997" s="121"/>
      <c r="BO997" s="121"/>
      <c r="BP997" s="121"/>
      <c r="BQ997" s="121"/>
      <c r="BR997" s="121"/>
      <c r="BS997" s="121"/>
      <c r="BT997" s="121"/>
      <c r="BU997" s="121"/>
      <c r="BV997" s="121"/>
      <c r="BW997" s="121"/>
      <c r="BX997" s="121"/>
      <c r="BY997" s="121"/>
      <c r="BZ997" s="121"/>
    </row>
    <row r="998" spans="60:78">
      <c r="BH998" s="29"/>
      <c r="BI998" s="29"/>
      <c r="BJ998" s="29"/>
      <c r="BK998" s="29"/>
      <c r="BL998" s="29"/>
      <c r="BM998" s="121"/>
      <c r="BN998" s="121"/>
      <c r="BO998" s="121"/>
      <c r="BP998" s="121"/>
      <c r="BQ998" s="121"/>
      <c r="BR998" s="121"/>
      <c r="BS998" s="121"/>
      <c r="BT998" s="121"/>
      <c r="BU998" s="121"/>
      <c r="BV998" s="121"/>
      <c r="BW998" s="121"/>
      <c r="BX998" s="121"/>
      <c r="BY998" s="121"/>
      <c r="BZ998" s="121"/>
    </row>
    <row r="999" spans="60:78">
      <c r="BH999" s="29"/>
      <c r="BI999" s="29"/>
      <c r="BJ999" s="29"/>
      <c r="BK999" s="29"/>
      <c r="BL999" s="29"/>
      <c r="BM999" s="121"/>
      <c r="BN999" s="121"/>
      <c r="BO999" s="121"/>
      <c r="BP999" s="121"/>
      <c r="BQ999" s="121"/>
      <c r="BR999" s="121"/>
      <c r="BS999" s="121"/>
      <c r="BT999" s="121"/>
      <c r="BU999" s="121"/>
      <c r="BV999" s="121"/>
      <c r="BW999" s="121"/>
      <c r="BX999" s="121"/>
      <c r="BY999" s="121"/>
      <c r="BZ999" s="121"/>
    </row>
    <row r="1000" spans="60:78">
      <c r="BH1000" s="29"/>
      <c r="BI1000" s="29"/>
      <c r="BJ1000" s="29"/>
      <c r="BK1000" s="29"/>
      <c r="BL1000" s="29"/>
      <c r="BM1000" s="121"/>
      <c r="BN1000" s="121"/>
      <c r="BO1000" s="121"/>
      <c r="BP1000" s="121"/>
      <c r="BQ1000" s="121"/>
      <c r="BR1000" s="121"/>
      <c r="BS1000" s="121"/>
      <c r="BT1000" s="121"/>
      <c r="BU1000" s="121"/>
      <c r="BV1000" s="121"/>
      <c r="BW1000" s="121"/>
      <c r="BX1000" s="121"/>
      <c r="BY1000" s="121"/>
      <c r="BZ1000" s="121"/>
    </row>
    <row r="1001" spans="60:78">
      <c r="BH1001" s="29"/>
      <c r="BI1001" s="29"/>
      <c r="BJ1001" s="29"/>
      <c r="BK1001" s="29"/>
      <c r="BL1001" s="29"/>
      <c r="BM1001" s="121"/>
      <c r="BN1001" s="121"/>
      <c r="BO1001" s="121"/>
      <c r="BP1001" s="121"/>
      <c r="BQ1001" s="121"/>
      <c r="BR1001" s="121"/>
      <c r="BS1001" s="121"/>
      <c r="BT1001" s="121"/>
      <c r="BU1001" s="121"/>
      <c r="BV1001" s="121"/>
      <c r="BW1001" s="121"/>
      <c r="BX1001" s="121"/>
      <c r="BY1001" s="121"/>
      <c r="BZ1001" s="121"/>
    </row>
    <row r="1002" spans="60:78">
      <c r="BH1002" s="29"/>
      <c r="BI1002" s="29"/>
      <c r="BJ1002" s="29"/>
      <c r="BK1002" s="29"/>
      <c r="BL1002" s="29"/>
      <c r="BM1002" s="121"/>
      <c r="BN1002" s="121"/>
      <c r="BO1002" s="121"/>
      <c r="BP1002" s="121"/>
      <c r="BQ1002" s="121"/>
      <c r="BR1002" s="121"/>
      <c r="BS1002" s="121"/>
      <c r="BT1002" s="121"/>
      <c r="BU1002" s="121"/>
      <c r="BV1002" s="121"/>
      <c r="BW1002" s="121"/>
      <c r="BX1002" s="121"/>
      <c r="BY1002" s="121"/>
      <c r="BZ1002" s="121"/>
    </row>
    <row r="1003" spans="60:78">
      <c r="BH1003" s="29"/>
      <c r="BI1003" s="29"/>
      <c r="BJ1003" s="29"/>
      <c r="BK1003" s="29"/>
      <c r="BL1003" s="29"/>
      <c r="BM1003" s="121"/>
      <c r="BN1003" s="121"/>
      <c r="BO1003" s="121"/>
      <c r="BP1003" s="121"/>
      <c r="BQ1003" s="121"/>
      <c r="BR1003" s="121"/>
      <c r="BS1003" s="121"/>
      <c r="BT1003" s="121"/>
      <c r="BU1003" s="121"/>
      <c r="BV1003" s="121"/>
      <c r="BW1003" s="121"/>
      <c r="BX1003" s="121"/>
      <c r="BY1003" s="121"/>
      <c r="BZ1003" s="121"/>
    </row>
    <row r="1004" spans="60:78">
      <c r="BH1004" s="29"/>
      <c r="BI1004" s="29"/>
      <c r="BJ1004" s="29"/>
      <c r="BK1004" s="29"/>
      <c r="BL1004" s="29"/>
      <c r="BM1004" s="121"/>
      <c r="BN1004" s="121"/>
      <c r="BO1004" s="121"/>
      <c r="BP1004" s="121"/>
      <c r="BQ1004" s="121"/>
      <c r="BR1004" s="121"/>
      <c r="BS1004" s="121"/>
      <c r="BT1004" s="121"/>
      <c r="BU1004" s="121"/>
      <c r="BV1004" s="121"/>
      <c r="BW1004" s="121"/>
      <c r="BX1004" s="121"/>
      <c r="BY1004" s="121"/>
      <c r="BZ1004" s="121"/>
    </row>
    <row r="1005" spans="60:78">
      <c r="BH1005" s="29"/>
      <c r="BI1005" s="29"/>
      <c r="BJ1005" s="29"/>
      <c r="BK1005" s="29"/>
      <c r="BL1005" s="29"/>
      <c r="BM1005" s="121"/>
      <c r="BN1005" s="121"/>
      <c r="BO1005" s="121"/>
      <c r="BP1005" s="121"/>
      <c r="BQ1005" s="121"/>
      <c r="BR1005" s="121"/>
      <c r="BS1005" s="121"/>
      <c r="BT1005" s="121"/>
      <c r="BU1005" s="121"/>
      <c r="BV1005" s="121"/>
      <c r="BW1005" s="121"/>
      <c r="BX1005" s="121"/>
      <c r="BY1005" s="121"/>
      <c r="BZ1005" s="121"/>
    </row>
    <row r="1006" spans="60:78">
      <c r="BH1006" s="29"/>
      <c r="BI1006" s="29"/>
      <c r="BJ1006" s="29"/>
      <c r="BK1006" s="29"/>
      <c r="BL1006" s="29"/>
      <c r="BM1006" s="121"/>
      <c r="BN1006" s="121"/>
      <c r="BO1006" s="121"/>
      <c r="BP1006" s="121"/>
      <c r="BQ1006" s="121"/>
      <c r="BR1006" s="121"/>
      <c r="BS1006" s="121"/>
      <c r="BT1006" s="121"/>
      <c r="BU1006" s="121"/>
      <c r="BV1006" s="121"/>
      <c r="BW1006" s="121"/>
      <c r="BX1006" s="121"/>
      <c r="BY1006" s="121"/>
      <c r="BZ1006" s="121"/>
    </row>
    <row r="1007" spans="60:78">
      <c r="BH1007" s="29"/>
      <c r="BI1007" s="29"/>
      <c r="BJ1007" s="29"/>
      <c r="BK1007" s="29"/>
      <c r="BL1007" s="29"/>
      <c r="BM1007" s="121"/>
      <c r="BN1007" s="121"/>
      <c r="BO1007" s="121"/>
      <c r="BP1007" s="121"/>
      <c r="BQ1007" s="121"/>
      <c r="BR1007" s="121"/>
      <c r="BS1007" s="121"/>
      <c r="BT1007" s="121"/>
      <c r="BU1007" s="121"/>
      <c r="BV1007" s="121"/>
      <c r="BW1007" s="121"/>
      <c r="BX1007" s="121"/>
      <c r="BY1007" s="121"/>
      <c r="BZ1007" s="121"/>
    </row>
    <row r="1008" spans="60:78">
      <c r="BH1008" s="29"/>
      <c r="BI1008" s="29"/>
      <c r="BJ1008" s="29"/>
      <c r="BK1008" s="29"/>
      <c r="BL1008" s="29"/>
      <c r="BM1008" s="121"/>
      <c r="BN1008" s="121"/>
      <c r="BO1008" s="121"/>
      <c r="BP1008" s="121"/>
      <c r="BQ1008" s="121"/>
      <c r="BR1008" s="121"/>
      <c r="BS1008" s="121"/>
      <c r="BT1008" s="121"/>
      <c r="BU1008" s="121"/>
      <c r="BV1008" s="121"/>
      <c r="BW1008" s="121"/>
      <c r="BX1008" s="121"/>
      <c r="BY1008" s="121"/>
      <c r="BZ1008" s="121"/>
    </row>
    <row r="1009" spans="60:78">
      <c r="BH1009" s="29"/>
      <c r="BI1009" s="29"/>
      <c r="BJ1009" s="29"/>
      <c r="BK1009" s="29"/>
      <c r="BL1009" s="29"/>
      <c r="BM1009" s="121"/>
      <c r="BN1009" s="121"/>
      <c r="BO1009" s="121"/>
      <c r="BP1009" s="121"/>
      <c r="BQ1009" s="121"/>
      <c r="BR1009" s="121"/>
      <c r="BS1009" s="121"/>
      <c r="BT1009" s="121"/>
      <c r="BU1009" s="121"/>
      <c r="BV1009" s="121"/>
      <c r="BW1009" s="121"/>
      <c r="BX1009" s="121"/>
      <c r="BY1009" s="121"/>
      <c r="BZ1009" s="121"/>
    </row>
    <row r="1010" spans="60:78">
      <c r="BH1010" s="29"/>
      <c r="BI1010" s="29"/>
      <c r="BJ1010" s="29"/>
      <c r="BK1010" s="29"/>
      <c r="BL1010" s="29"/>
      <c r="BM1010" s="121"/>
      <c r="BN1010" s="121"/>
      <c r="BO1010" s="121"/>
      <c r="BP1010" s="121"/>
      <c r="BQ1010" s="121"/>
      <c r="BR1010" s="121"/>
      <c r="BS1010" s="121"/>
      <c r="BT1010" s="121"/>
      <c r="BU1010" s="121"/>
      <c r="BV1010" s="121"/>
      <c r="BW1010" s="121"/>
      <c r="BX1010" s="121"/>
      <c r="BY1010" s="121"/>
      <c r="BZ1010" s="121"/>
    </row>
    <row r="1011" spans="60:78">
      <c r="BH1011" s="29"/>
      <c r="BI1011" s="29"/>
      <c r="BJ1011" s="29"/>
      <c r="BK1011" s="29"/>
      <c r="BL1011" s="29"/>
      <c r="BM1011" s="121"/>
      <c r="BN1011" s="121"/>
      <c r="BO1011" s="121"/>
      <c r="BP1011" s="121"/>
      <c r="BQ1011" s="121"/>
      <c r="BR1011" s="121"/>
      <c r="BS1011" s="121"/>
      <c r="BT1011" s="121"/>
      <c r="BU1011" s="121"/>
      <c r="BV1011" s="121"/>
      <c r="BW1011" s="121"/>
      <c r="BX1011" s="121"/>
      <c r="BY1011" s="121"/>
      <c r="BZ1011" s="121"/>
    </row>
    <row r="1012" spans="60:78">
      <c r="BH1012" s="29"/>
      <c r="BI1012" s="29"/>
      <c r="BJ1012" s="29"/>
      <c r="BK1012" s="29"/>
      <c r="BL1012" s="29"/>
      <c r="BM1012" s="121"/>
      <c r="BN1012" s="121"/>
      <c r="BO1012" s="121"/>
      <c r="BP1012" s="121"/>
      <c r="BQ1012" s="121"/>
      <c r="BR1012" s="121"/>
      <c r="BS1012" s="121"/>
      <c r="BT1012" s="121"/>
      <c r="BU1012" s="121"/>
      <c r="BV1012" s="121"/>
      <c r="BW1012" s="121"/>
      <c r="BX1012" s="121"/>
      <c r="BY1012" s="121"/>
      <c r="BZ1012" s="121"/>
    </row>
    <row r="1013" spans="60:78">
      <c r="BH1013" s="29"/>
      <c r="BI1013" s="29"/>
      <c r="BJ1013" s="29"/>
      <c r="BK1013" s="29"/>
      <c r="BL1013" s="29"/>
      <c r="BM1013" s="121"/>
      <c r="BN1013" s="121"/>
      <c r="BO1013" s="121"/>
      <c r="BP1013" s="121"/>
      <c r="BQ1013" s="121"/>
      <c r="BR1013" s="121"/>
      <c r="BS1013" s="121"/>
      <c r="BT1013" s="121"/>
      <c r="BU1013" s="121"/>
      <c r="BV1013" s="121"/>
      <c r="BW1013" s="121"/>
      <c r="BX1013" s="121"/>
      <c r="BY1013" s="121"/>
      <c r="BZ1013" s="121"/>
    </row>
    <row r="1014" spans="60:78">
      <c r="BH1014" s="29"/>
      <c r="BI1014" s="29"/>
      <c r="BJ1014" s="29"/>
      <c r="BK1014" s="29"/>
      <c r="BL1014" s="29"/>
      <c r="BM1014" s="121"/>
      <c r="BN1014" s="121"/>
      <c r="BO1014" s="121"/>
      <c r="BP1014" s="121"/>
      <c r="BQ1014" s="121"/>
      <c r="BR1014" s="121"/>
      <c r="BS1014" s="121"/>
      <c r="BT1014" s="121"/>
      <c r="BU1014" s="121"/>
      <c r="BV1014" s="121"/>
      <c r="BW1014" s="121"/>
      <c r="BX1014" s="121"/>
      <c r="BY1014" s="121"/>
      <c r="BZ1014" s="121"/>
    </row>
    <row r="1015" spans="60:78">
      <c r="BH1015" s="29"/>
      <c r="BI1015" s="29"/>
      <c r="BJ1015" s="29"/>
      <c r="BK1015" s="29"/>
      <c r="BL1015" s="29"/>
      <c r="BM1015" s="121"/>
      <c r="BN1015" s="121"/>
      <c r="BO1015" s="121"/>
      <c r="BP1015" s="121"/>
      <c r="BQ1015" s="121"/>
      <c r="BR1015" s="121"/>
      <c r="BS1015" s="121"/>
      <c r="BT1015" s="121"/>
      <c r="BU1015" s="121"/>
      <c r="BV1015" s="121"/>
      <c r="BW1015" s="121"/>
      <c r="BX1015" s="121"/>
      <c r="BY1015" s="121"/>
      <c r="BZ1015" s="121"/>
    </row>
    <row r="1016" spans="60:78">
      <c r="BH1016" s="29"/>
      <c r="BI1016" s="29"/>
      <c r="BJ1016" s="29"/>
      <c r="BK1016" s="29"/>
      <c r="BL1016" s="29"/>
      <c r="BM1016" s="121"/>
      <c r="BN1016" s="121"/>
      <c r="BO1016" s="121"/>
      <c r="BP1016" s="121"/>
      <c r="BQ1016" s="121"/>
      <c r="BR1016" s="121"/>
      <c r="BS1016" s="121"/>
      <c r="BT1016" s="121"/>
      <c r="BU1016" s="121"/>
      <c r="BV1016" s="121"/>
      <c r="BW1016" s="121"/>
      <c r="BX1016" s="121"/>
      <c r="BY1016" s="121"/>
      <c r="BZ1016" s="121"/>
    </row>
    <row r="1017" spans="60:78">
      <c r="BH1017" s="29"/>
      <c r="BI1017" s="29"/>
      <c r="BJ1017" s="29"/>
      <c r="BK1017" s="29"/>
      <c r="BL1017" s="29"/>
      <c r="BM1017" s="121"/>
      <c r="BN1017" s="121"/>
      <c r="BO1017" s="121"/>
      <c r="BP1017" s="121"/>
      <c r="BQ1017" s="121"/>
      <c r="BR1017" s="121"/>
      <c r="BS1017" s="121"/>
      <c r="BT1017" s="121"/>
      <c r="BU1017" s="121"/>
      <c r="BV1017" s="121"/>
      <c r="BW1017" s="121"/>
      <c r="BX1017" s="121"/>
      <c r="BY1017" s="121"/>
      <c r="BZ1017" s="121"/>
    </row>
    <row r="1018" spans="60:78">
      <c r="BH1018" s="29"/>
      <c r="BI1018" s="29"/>
      <c r="BJ1018" s="29"/>
      <c r="BK1018" s="29"/>
      <c r="BL1018" s="29"/>
      <c r="BM1018" s="121"/>
      <c r="BN1018" s="121"/>
      <c r="BO1018" s="121"/>
      <c r="BP1018" s="121"/>
      <c r="BQ1018" s="121"/>
      <c r="BR1018" s="121"/>
      <c r="BS1018" s="121"/>
      <c r="BT1018" s="121"/>
      <c r="BU1018" s="121"/>
      <c r="BV1018" s="121"/>
      <c r="BW1018" s="121"/>
      <c r="BX1018" s="121"/>
      <c r="BY1018" s="121"/>
      <c r="BZ1018" s="121"/>
    </row>
    <row r="1019" spans="60:78">
      <c r="BH1019" s="29"/>
      <c r="BI1019" s="29"/>
      <c r="BJ1019" s="29"/>
      <c r="BK1019" s="29"/>
      <c r="BL1019" s="29"/>
      <c r="BM1019" s="121"/>
      <c r="BN1019" s="121"/>
      <c r="BO1019" s="121"/>
      <c r="BP1019" s="121"/>
      <c r="BQ1019" s="121"/>
      <c r="BR1019" s="121"/>
      <c r="BS1019" s="121"/>
      <c r="BT1019" s="121"/>
      <c r="BU1019" s="121"/>
      <c r="BV1019" s="121"/>
      <c r="BW1019" s="121"/>
      <c r="BX1019" s="121"/>
      <c r="BY1019" s="121"/>
      <c r="BZ1019" s="121"/>
    </row>
    <row r="1020" spans="60:78">
      <c r="BH1020" s="29"/>
      <c r="BI1020" s="29"/>
      <c r="BJ1020" s="29"/>
      <c r="BK1020" s="29"/>
      <c r="BL1020" s="29"/>
      <c r="BM1020" s="121"/>
      <c r="BN1020" s="121"/>
      <c r="BO1020" s="121"/>
      <c r="BP1020" s="121"/>
      <c r="BQ1020" s="121"/>
      <c r="BR1020" s="121"/>
      <c r="BS1020" s="121"/>
      <c r="BT1020" s="121"/>
      <c r="BU1020" s="121"/>
      <c r="BV1020" s="121"/>
      <c r="BW1020" s="121"/>
      <c r="BX1020" s="121"/>
      <c r="BY1020" s="121"/>
      <c r="BZ1020" s="121"/>
    </row>
    <row r="1021" spans="60:78">
      <c r="BH1021" s="29"/>
      <c r="BI1021" s="29"/>
      <c r="BJ1021" s="29"/>
      <c r="BK1021" s="29"/>
      <c r="BL1021" s="29"/>
      <c r="BM1021" s="121"/>
      <c r="BN1021" s="121"/>
      <c r="BO1021" s="121"/>
      <c r="BP1021" s="121"/>
      <c r="BQ1021" s="121"/>
      <c r="BR1021" s="121"/>
      <c r="BS1021" s="121"/>
      <c r="BT1021" s="121"/>
      <c r="BU1021" s="121"/>
      <c r="BV1021" s="121"/>
      <c r="BW1021" s="121"/>
      <c r="BX1021" s="121"/>
      <c r="BY1021" s="121"/>
      <c r="BZ1021" s="121"/>
    </row>
    <row r="1022" spans="60:78">
      <c r="BH1022" s="29"/>
      <c r="BI1022" s="29"/>
      <c r="BJ1022" s="29"/>
      <c r="BK1022" s="29"/>
      <c r="BL1022" s="29"/>
      <c r="BM1022" s="121"/>
      <c r="BN1022" s="121"/>
      <c r="BO1022" s="121"/>
      <c r="BP1022" s="121"/>
      <c r="BQ1022" s="121"/>
      <c r="BR1022" s="121"/>
      <c r="BS1022" s="121"/>
      <c r="BT1022" s="121"/>
      <c r="BU1022" s="121"/>
      <c r="BV1022" s="121"/>
      <c r="BW1022" s="121"/>
      <c r="BX1022" s="121"/>
      <c r="BY1022" s="121"/>
      <c r="BZ1022" s="121"/>
    </row>
    <row r="1023" spans="60:78">
      <c r="BH1023" s="29"/>
      <c r="BI1023" s="29"/>
      <c r="BJ1023" s="29"/>
      <c r="BK1023" s="29"/>
      <c r="BL1023" s="29"/>
      <c r="BM1023" s="121"/>
      <c r="BN1023" s="121"/>
      <c r="BO1023" s="121"/>
      <c r="BP1023" s="121"/>
      <c r="BQ1023" s="121"/>
      <c r="BR1023" s="121"/>
      <c r="BS1023" s="121"/>
      <c r="BT1023" s="121"/>
      <c r="BU1023" s="121"/>
      <c r="BV1023" s="121"/>
      <c r="BW1023" s="121"/>
      <c r="BX1023" s="121"/>
      <c r="BY1023" s="121"/>
      <c r="BZ1023" s="121"/>
    </row>
    <row r="1024" spans="60:78">
      <c r="BH1024" s="29"/>
      <c r="BI1024" s="29"/>
      <c r="BJ1024" s="29"/>
      <c r="BK1024" s="29"/>
      <c r="BL1024" s="29"/>
      <c r="BM1024" s="121"/>
      <c r="BN1024" s="121"/>
      <c r="BO1024" s="121"/>
      <c r="BP1024" s="121"/>
      <c r="BQ1024" s="121"/>
      <c r="BR1024" s="121"/>
      <c r="BS1024" s="121"/>
      <c r="BT1024" s="121"/>
      <c r="BU1024" s="121"/>
      <c r="BV1024" s="121"/>
      <c r="BW1024" s="121"/>
      <c r="BX1024" s="121"/>
      <c r="BY1024" s="121"/>
      <c r="BZ1024" s="121"/>
    </row>
    <row r="1025" spans="60:78">
      <c r="BH1025" s="29"/>
      <c r="BI1025" s="29"/>
      <c r="BJ1025" s="29"/>
      <c r="BK1025" s="29"/>
      <c r="BL1025" s="29"/>
      <c r="BM1025" s="121"/>
      <c r="BN1025" s="121"/>
      <c r="BO1025" s="121"/>
      <c r="BP1025" s="121"/>
      <c r="BQ1025" s="121"/>
      <c r="BR1025" s="121"/>
      <c r="BS1025" s="121"/>
      <c r="BT1025" s="121"/>
      <c r="BU1025" s="121"/>
      <c r="BV1025" s="121"/>
      <c r="BW1025" s="121"/>
      <c r="BX1025" s="121"/>
      <c r="BY1025" s="121"/>
      <c r="BZ1025" s="121"/>
    </row>
    <row r="1026" spans="60:78">
      <c r="BH1026" s="29"/>
      <c r="BI1026" s="29"/>
      <c r="BJ1026" s="29"/>
      <c r="BK1026" s="29"/>
      <c r="BL1026" s="29"/>
      <c r="BM1026" s="121"/>
      <c r="BN1026" s="121"/>
      <c r="BO1026" s="121"/>
      <c r="BP1026" s="121"/>
      <c r="BQ1026" s="121"/>
      <c r="BR1026" s="121"/>
      <c r="BS1026" s="121"/>
      <c r="BT1026" s="121"/>
      <c r="BU1026" s="121"/>
      <c r="BV1026" s="121"/>
      <c r="BW1026" s="121"/>
      <c r="BX1026" s="121"/>
      <c r="BY1026" s="121"/>
      <c r="BZ1026" s="121"/>
    </row>
    <row r="1027" spans="60:78">
      <c r="BH1027" s="29"/>
      <c r="BI1027" s="29"/>
      <c r="BJ1027" s="29"/>
      <c r="BK1027" s="29"/>
      <c r="BL1027" s="29"/>
      <c r="BM1027" s="121"/>
      <c r="BN1027" s="121"/>
      <c r="BO1027" s="121"/>
      <c r="BP1027" s="121"/>
      <c r="BQ1027" s="121"/>
      <c r="BR1027" s="121"/>
      <c r="BS1027" s="121"/>
      <c r="BT1027" s="121"/>
      <c r="BU1027" s="121"/>
      <c r="BV1027" s="121"/>
      <c r="BW1027" s="121"/>
      <c r="BX1027" s="121"/>
      <c r="BY1027" s="121"/>
      <c r="BZ1027" s="121"/>
    </row>
    <row r="1028" spans="60:78">
      <c r="BH1028" s="29"/>
      <c r="BI1028" s="29"/>
      <c r="BJ1028" s="29"/>
      <c r="BK1028" s="29"/>
      <c r="BL1028" s="29"/>
      <c r="BM1028" s="121"/>
      <c r="BN1028" s="121"/>
      <c r="BO1028" s="121"/>
      <c r="BP1028" s="121"/>
      <c r="BQ1028" s="121"/>
      <c r="BR1028" s="121"/>
      <c r="BS1028" s="121"/>
      <c r="BT1028" s="121"/>
      <c r="BU1028" s="121"/>
      <c r="BV1028" s="121"/>
      <c r="BW1028" s="121"/>
      <c r="BX1028" s="121"/>
      <c r="BY1028" s="121"/>
      <c r="BZ1028" s="121"/>
    </row>
    <row r="1029" spans="60:78">
      <c r="BH1029" s="29"/>
      <c r="BI1029" s="29"/>
      <c r="BJ1029" s="29"/>
      <c r="BK1029" s="29"/>
      <c r="BL1029" s="29"/>
      <c r="BM1029" s="121"/>
      <c r="BN1029" s="121"/>
      <c r="BO1029" s="121"/>
      <c r="BP1029" s="121"/>
      <c r="BQ1029" s="121"/>
      <c r="BR1029" s="121"/>
      <c r="BS1029" s="121"/>
      <c r="BT1029" s="121"/>
      <c r="BU1029" s="121"/>
      <c r="BV1029" s="121"/>
      <c r="BW1029" s="121"/>
      <c r="BX1029" s="121"/>
      <c r="BY1029" s="121"/>
      <c r="BZ1029" s="121"/>
    </row>
    <row r="1030" spans="60:78">
      <c r="BH1030" s="29"/>
      <c r="BI1030" s="29"/>
      <c r="BJ1030" s="29"/>
      <c r="BK1030" s="29"/>
      <c r="BL1030" s="29"/>
      <c r="BM1030" s="121"/>
      <c r="BN1030" s="121"/>
      <c r="BO1030" s="121"/>
      <c r="BP1030" s="121"/>
      <c r="BQ1030" s="121"/>
      <c r="BR1030" s="121"/>
      <c r="BS1030" s="121"/>
      <c r="BT1030" s="121"/>
      <c r="BU1030" s="121"/>
      <c r="BV1030" s="121"/>
      <c r="BW1030" s="121"/>
      <c r="BX1030" s="121"/>
      <c r="BY1030" s="121"/>
      <c r="BZ1030" s="121"/>
    </row>
    <row r="1031" spans="60:78">
      <c r="BH1031" s="29"/>
      <c r="BI1031" s="29"/>
      <c r="BJ1031" s="29"/>
      <c r="BK1031" s="29"/>
      <c r="BL1031" s="29"/>
      <c r="BM1031" s="121"/>
      <c r="BN1031" s="121"/>
      <c r="BO1031" s="121"/>
      <c r="BP1031" s="121"/>
      <c r="BQ1031" s="121"/>
      <c r="BR1031" s="121"/>
      <c r="BS1031" s="121"/>
      <c r="BT1031" s="121"/>
      <c r="BU1031" s="121"/>
      <c r="BV1031" s="121"/>
      <c r="BW1031" s="121"/>
      <c r="BX1031" s="121"/>
      <c r="BY1031" s="121"/>
      <c r="BZ1031" s="121"/>
    </row>
    <row r="1032" spans="60:78">
      <c r="BH1032" s="29"/>
      <c r="BI1032" s="29"/>
      <c r="BJ1032" s="29"/>
      <c r="BK1032" s="29"/>
      <c r="BL1032" s="29"/>
      <c r="BM1032" s="121"/>
      <c r="BN1032" s="121"/>
      <c r="BO1032" s="121"/>
      <c r="BP1032" s="121"/>
      <c r="BQ1032" s="121"/>
      <c r="BR1032" s="121"/>
      <c r="BS1032" s="121"/>
      <c r="BT1032" s="121"/>
      <c r="BU1032" s="121"/>
      <c r="BV1032" s="121"/>
      <c r="BW1032" s="121"/>
      <c r="BX1032" s="121"/>
      <c r="BY1032" s="121"/>
      <c r="BZ1032" s="121"/>
    </row>
    <row r="1033" spans="60:78">
      <c r="BH1033" s="29"/>
      <c r="BI1033" s="29"/>
      <c r="BJ1033" s="29"/>
      <c r="BK1033" s="29"/>
      <c r="BL1033" s="29"/>
      <c r="BM1033" s="121"/>
      <c r="BN1033" s="121"/>
      <c r="BO1033" s="121"/>
      <c r="BP1033" s="121"/>
      <c r="BQ1033" s="121"/>
      <c r="BR1033" s="121"/>
      <c r="BS1033" s="121"/>
      <c r="BT1033" s="121"/>
      <c r="BU1033" s="121"/>
      <c r="BV1033" s="121"/>
      <c r="BW1033" s="121"/>
      <c r="BX1033" s="121"/>
      <c r="BY1033" s="121"/>
      <c r="BZ1033" s="121"/>
    </row>
    <row r="1034" spans="60:78">
      <c r="BH1034" s="29"/>
      <c r="BI1034" s="29"/>
      <c r="BJ1034" s="29"/>
      <c r="BK1034" s="29"/>
      <c r="BL1034" s="29"/>
      <c r="BM1034" s="121"/>
      <c r="BN1034" s="121"/>
      <c r="BO1034" s="121"/>
      <c r="BP1034" s="121"/>
      <c r="BQ1034" s="121"/>
      <c r="BR1034" s="121"/>
      <c r="BS1034" s="121"/>
      <c r="BT1034" s="121"/>
      <c r="BU1034" s="121"/>
      <c r="BV1034" s="121"/>
      <c r="BW1034" s="121"/>
      <c r="BX1034" s="121"/>
      <c r="BY1034" s="121"/>
      <c r="BZ1034" s="121"/>
    </row>
    <row r="1035" spans="60:78">
      <c r="BH1035" s="29"/>
      <c r="BI1035" s="29"/>
      <c r="BJ1035" s="29"/>
      <c r="BK1035" s="29"/>
      <c r="BL1035" s="29"/>
      <c r="BM1035" s="121"/>
      <c r="BN1035" s="121"/>
      <c r="BO1035" s="121"/>
      <c r="BP1035" s="121"/>
      <c r="BQ1035" s="121"/>
      <c r="BR1035" s="121"/>
      <c r="BS1035" s="121"/>
      <c r="BT1035" s="121"/>
      <c r="BU1035" s="121"/>
      <c r="BV1035" s="121"/>
      <c r="BW1035" s="121"/>
      <c r="BX1035" s="121"/>
      <c r="BY1035" s="121"/>
      <c r="BZ1035" s="121"/>
    </row>
    <row r="1036" spans="60:78">
      <c r="BH1036" s="29"/>
      <c r="BI1036" s="29"/>
      <c r="BJ1036" s="29"/>
      <c r="BK1036" s="29"/>
      <c r="BL1036" s="29"/>
      <c r="BM1036" s="121"/>
      <c r="BN1036" s="121"/>
      <c r="BO1036" s="121"/>
      <c r="BP1036" s="121"/>
      <c r="BQ1036" s="121"/>
      <c r="BR1036" s="121"/>
      <c r="BS1036" s="121"/>
      <c r="BT1036" s="121"/>
      <c r="BU1036" s="121"/>
      <c r="BV1036" s="121"/>
      <c r="BW1036" s="121"/>
      <c r="BX1036" s="121"/>
      <c r="BY1036" s="121"/>
      <c r="BZ1036" s="121"/>
    </row>
    <row r="1037" spans="60:78">
      <c r="BH1037" s="29"/>
      <c r="BI1037" s="29"/>
      <c r="BJ1037" s="29"/>
      <c r="BK1037" s="29"/>
      <c r="BL1037" s="29"/>
      <c r="BM1037" s="121"/>
      <c r="BN1037" s="121"/>
      <c r="BO1037" s="121"/>
      <c r="BP1037" s="121"/>
      <c r="BQ1037" s="121"/>
      <c r="BR1037" s="121"/>
      <c r="BS1037" s="121"/>
      <c r="BT1037" s="121"/>
      <c r="BU1037" s="121"/>
      <c r="BV1037" s="121"/>
      <c r="BW1037" s="121"/>
      <c r="BX1037" s="121"/>
      <c r="BY1037" s="121"/>
      <c r="BZ1037" s="121"/>
    </row>
    <row r="1038" spans="60:78">
      <c r="BH1038" s="29"/>
      <c r="BI1038" s="29"/>
      <c r="BJ1038" s="29"/>
      <c r="BK1038" s="29"/>
      <c r="BL1038" s="29"/>
      <c r="BM1038" s="121"/>
      <c r="BN1038" s="121"/>
      <c r="BO1038" s="121"/>
      <c r="BP1038" s="121"/>
      <c r="BQ1038" s="121"/>
      <c r="BR1038" s="121"/>
      <c r="BS1038" s="121"/>
      <c r="BT1038" s="121"/>
      <c r="BU1038" s="121"/>
      <c r="BV1038" s="121"/>
      <c r="BW1038" s="121"/>
      <c r="BX1038" s="121"/>
      <c r="BY1038" s="121"/>
      <c r="BZ1038" s="121"/>
    </row>
    <row r="1039" spans="60:78">
      <c r="BH1039" s="29"/>
      <c r="BI1039" s="29"/>
      <c r="BJ1039" s="29"/>
      <c r="BK1039" s="29"/>
      <c r="BL1039" s="29"/>
      <c r="BM1039" s="121"/>
      <c r="BN1039" s="121"/>
      <c r="BO1039" s="121"/>
      <c r="BP1039" s="121"/>
      <c r="BQ1039" s="121"/>
      <c r="BR1039" s="121"/>
      <c r="BS1039" s="121"/>
      <c r="BT1039" s="121"/>
      <c r="BU1039" s="121"/>
      <c r="BV1039" s="121"/>
      <c r="BW1039" s="121"/>
      <c r="BX1039" s="121"/>
      <c r="BY1039" s="121"/>
      <c r="BZ1039" s="121"/>
    </row>
    <row r="1040" spans="60:78">
      <c r="BH1040" s="29"/>
      <c r="BI1040" s="29"/>
      <c r="BJ1040" s="29"/>
      <c r="BK1040" s="29"/>
      <c r="BL1040" s="29"/>
      <c r="BM1040" s="121"/>
      <c r="BN1040" s="121"/>
      <c r="BO1040" s="121"/>
      <c r="BP1040" s="121"/>
      <c r="BQ1040" s="121"/>
      <c r="BR1040" s="121"/>
      <c r="BS1040" s="121"/>
      <c r="BT1040" s="121"/>
      <c r="BU1040" s="121"/>
      <c r="BV1040" s="121"/>
      <c r="BW1040" s="121"/>
      <c r="BX1040" s="121"/>
      <c r="BY1040" s="121"/>
      <c r="BZ1040" s="121"/>
    </row>
    <row r="1041" spans="60:78">
      <c r="BH1041" s="29"/>
      <c r="BI1041" s="29"/>
      <c r="BJ1041" s="29"/>
      <c r="BK1041" s="29"/>
      <c r="BL1041" s="29"/>
      <c r="BM1041" s="121"/>
      <c r="BN1041" s="121"/>
      <c r="BO1041" s="121"/>
      <c r="BP1041" s="121"/>
      <c r="BQ1041" s="121"/>
      <c r="BR1041" s="121"/>
      <c r="BS1041" s="121"/>
      <c r="BT1041" s="121"/>
      <c r="BU1041" s="121"/>
      <c r="BV1041" s="121"/>
      <c r="BW1041" s="121"/>
      <c r="BX1041" s="121"/>
      <c r="BY1041" s="121"/>
      <c r="BZ1041" s="121"/>
    </row>
    <row r="1042" spans="60:78">
      <c r="BH1042" s="29"/>
      <c r="BI1042" s="29"/>
      <c r="BJ1042" s="29"/>
      <c r="BK1042" s="29"/>
      <c r="BL1042" s="29"/>
      <c r="BM1042" s="121"/>
      <c r="BN1042" s="121"/>
      <c r="BO1042" s="121"/>
      <c r="BP1042" s="121"/>
      <c r="BQ1042" s="121"/>
      <c r="BR1042" s="121"/>
      <c r="BS1042" s="121"/>
      <c r="BT1042" s="121"/>
      <c r="BU1042" s="121"/>
      <c r="BV1042" s="121"/>
      <c r="BW1042" s="121"/>
      <c r="BX1042" s="121"/>
      <c r="BY1042" s="121"/>
      <c r="BZ1042" s="121"/>
    </row>
    <row r="1043" spans="60:78">
      <c r="BH1043" s="29"/>
      <c r="BI1043" s="29"/>
      <c r="BJ1043" s="29"/>
      <c r="BK1043" s="29"/>
      <c r="BL1043" s="29"/>
      <c r="BM1043" s="121"/>
      <c r="BN1043" s="121"/>
      <c r="BO1043" s="121"/>
      <c r="BP1043" s="121"/>
      <c r="BQ1043" s="121"/>
      <c r="BR1043" s="121"/>
      <c r="BS1043" s="121"/>
      <c r="BT1043" s="121"/>
      <c r="BU1043" s="121"/>
      <c r="BV1043" s="121"/>
      <c r="BW1043" s="121"/>
      <c r="BX1043" s="121"/>
      <c r="BY1043" s="121"/>
      <c r="BZ1043" s="121"/>
    </row>
    <row r="1044" spans="60:78">
      <c r="BH1044" s="29"/>
      <c r="BI1044" s="29"/>
      <c r="BJ1044" s="29"/>
      <c r="BK1044" s="29"/>
      <c r="BL1044" s="29"/>
      <c r="BM1044" s="121"/>
      <c r="BN1044" s="121"/>
      <c r="BO1044" s="121"/>
      <c r="BP1044" s="121"/>
      <c r="BQ1044" s="121"/>
      <c r="BR1044" s="121"/>
      <c r="BS1044" s="121"/>
      <c r="BT1044" s="121"/>
      <c r="BU1044" s="121"/>
      <c r="BV1044" s="121"/>
      <c r="BW1044" s="121"/>
      <c r="BX1044" s="121"/>
      <c r="BY1044" s="121"/>
      <c r="BZ1044" s="121"/>
    </row>
    <row r="1045" spans="60:78">
      <c r="BH1045" s="29"/>
      <c r="BI1045" s="29"/>
      <c r="BJ1045" s="29"/>
      <c r="BK1045" s="29"/>
      <c r="BL1045" s="29"/>
      <c r="BM1045" s="121"/>
      <c r="BN1045" s="121"/>
      <c r="BO1045" s="121"/>
      <c r="BP1045" s="121"/>
      <c r="BQ1045" s="121"/>
      <c r="BR1045" s="121"/>
      <c r="BS1045" s="121"/>
      <c r="BT1045" s="121"/>
      <c r="BU1045" s="121"/>
      <c r="BV1045" s="121"/>
      <c r="BW1045" s="121"/>
      <c r="BX1045" s="121"/>
      <c r="BY1045" s="121"/>
      <c r="BZ1045" s="121"/>
    </row>
    <row r="1046" spans="60:78">
      <c r="BH1046" s="29"/>
      <c r="BI1046" s="29"/>
      <c r="BJ1046" s="29"/>
      <c r="BK1046" s="29"/>
      <c r="BL1046" s="29"/>
      <c r="BM1046" s="121"/>
      <c r="BN1046" s="121"/>
      <c r="BO1046" s="121"/>
      <c r="BP1046" s="121"/>
      <c r="BQ1046" s="121"/>
      <c r="BR1046" s="121"/>
      <c r="BS1046" s="121"/>
      <c r="BT1046" s="121"/>
      <c r="BU1046" s="121"/>
      <c r="BV1046" s="121"/>
      <c r="BW1046" s="121"/>
      <c r="BX1046" s="121"/>
      <c r="BY1046" s="121"/>
      <c r="BZ1046" s="121"/>
    </row>
    <row r="1047" spans="60:78">
      <c r="BH1047" s="29"/>
      <c r="BI1047" s="29"/>
      <c r="BJ1047" s="29"/>
      <c r="BK1047" s="29"/>
      <c r="BL1047" s="29"/>
      <c r="BM1047" s="121"/>
      <c r="BN1047" s="121"/>
      <c r="BO1047" s="121"/>
      <c r="BP1047" s="121"/>
      <c r="BQ1047" s="121"/>
      <c r="BR1047" s="121"/>
      <c r="BS1047" s="121"/>
      <c r="BT1047" s="121"/>
      <c r="BU1047" s="121"/>
      <c r="BV1047" s="121"/>
      <c r="BW1047" s="121"/>
      <c r="BX1047" s="121"/>
      <c r="BY1047" s="121"/>
      <c r="BZ1047" s="121"/>
    </row>
    <row r="1048" spans="60:78">
      <c r="BH1048" s="29"/>
      <c r="BI1048" s="29"/>
      <c r="BJ1048" s="29"/>
      <c r="BK1048" s="29"/>
      <c r="BL1048" s="29"/>
      <c r="BM1048" s="121"/>
      <c r="BN1048" s="121"/>
      <c r="BO1048" s="121"/>
      <c r="BP1048" s="121"/>
      <c r="BQ1048" s="121"/>
      <c r="BR1048" s="121"/>
      <c r="BS1048" s="121"/>
      <c r="BT1048" s="121"/>
      <c r="BU1048" s="121"/>
      <c r="BV1048" s="121"/>
      <c r="BW1048" s="121"/>
      <c r="BX1048" s="121"/>
      <c r="BY1048" s="121"/>
      <c r="BZ1048" s="121"/>
    </row>
    <row r="1049" spans="60:78">
      <c r="BH1049" s="29"/>
      <c r="BI1049" s="29"/>
      <c r="BJ1049" s="29"/>
      <c r="BK1049" s="29"/>
      <c r="BL1049" s="29"/>
      <c r="BM1049" s="121"/>
      <c r="BN1049" s="121"/>
      <c r="BO1049" s="121"/>
      <c r="BP1049" s="121"/>
      <c r="BQ1049" s="121"/>
      <c r="BR1049" s="121"/>
      <c r="BS1049" s="121"/>
      <c r="BT1049" s="121"/>
      <c r="BU1049" s="121"/>
      <c r="BV1049" s="121"/>
      <c r="BW1049" s="121"/>
      <c r="BX1049" s="121"/>
      <c r="BY1049" s="121"/>
      <c r="BZ1049" s="121"/>
    </row>
    <row r="1050" spans="60:78">
      <c r="BH1050" s="29"/>
      <c r="BI1050" s="29"/>
      <c r="BJ1050" s="29"/>
      <c r="BK1050" s="29"/>
      <c r="BL1050" s="29"/>
      <c r="BM1050" s="121"/>
      <c r="BN1050" s="121"/>
      <c r="BO1050" s="121"/>
      <c r="BP1050" s="121"/>
      <c r="BQ1050" s="121"/>
      <c r="BR1050" s="121"/>
      <c r="BS1050" s="121"/>
      <c r="BT1050" s="121"/>
      <c r="BU1050" s="121"/>
      <c r="BV1050" s="121"/>
      <c r="BW1050" s="121"/>
      <c r="BX1050" s="121"/>
      <c r="BY1050" s="121"/>
      <c r="BZ1050" s="121"/>
    </row>
    <row r="1051" spans="60:78">
      <c r="BH1051" s="29"/>
      <c r="BI1051" s="29"/>
      <c r="BJ1051" s="29"/>
      <c r="BK1051" s="29"/>
      <c r="BL1051" s="29"/>
      <c r="BM1051" s="121"/>
      <c r="BN1051" s="121"/>
      <c r="BO1051" s="121"/>
      <c r="BP1051" s="121"/>
      <c r="BQ1051" s="121"/>
      <c r="BR1051" s="121"/>
      <c r="BS1051" s="121"/>
      <c r="BT1051" s="121"/>
      <c r="BU1051" s="121"/>
      <c r="BV1051" s="121"/>
      <c r="BW1051" s="121"/>
      <c r="BX1051" s="121"/>
      <c r="BY1051" s="121"/>
      <c r="BZ1051" s="121"/>
    </row>
    <row r="1052" spans="60:78">
      <c r="BH1052" s="29"/>
      <c r="BI1052" s="29"/>
      <c r="BJ1052" s="29"/>
      <c r="BK1052" s="29"/>
      <c r="BL1052" s="29"/>
      <c r="BM1052" s="121"/>
      <c r="BN1052" s="121"/>
      <c r="BO1052" s="121"/>
      <c r="BP1052" s="121"/>
      <c r="BQ1052" s="121"/>
      <c r="BR1052" s="121"/>
      <c r="BS1052" s="121"/>
      <c r="BT1052" s="121"/>
      <c r="BU1052" s="121"/>
      <c r="BV1052" s="121"/>
      <c r="BW1052" s="121"/>
      <c r="BX1052" s="121"/>
      <c r="BY1052" s="121"/>
      <c r="BZ1052" s="121"/>
    </row>
    <row r="1053" spans="60:78">
      <c r="BH1053" s="29"/>
      <c r="BI1053" s="29"/>
      <c r="BJ1053" s="29"/>
      <c r="BK1053" s="29"/>
      <c r="BL1053" s="29"/>
      <c r="BM1053" s="121"/>
      <c r="BN1053" s="121"/>
      <c r="BO1053" s="121"/>
      <c r="BP1053" s="121"/>
      <c r="BQ1053" s="121"/>
      <c r="BR1053" s="121"/>
      <c r="BS1053" s="121"/>
      <c r="BT1053" s="121"/>
      <c r="BU1053" s="121"/>
      <c r="BV1053" s="121"/>
      <c r="BW1053" s="121"/>
      <c r="BX1053" s="121"/>
      <c r="BY1053" s="121"/>
      <c r="BZ1053" s="121"/>
    </row>
    <row r="1054" spans="60:78">
      <c r="BH1054" s="29"/>
      <c r="BI1054" s="29"/>
      <c r="BJ1054" s="29"/>
      <c r="BK1054" s="29"/>
      <c r="BL1054" s="29"/>
      <c r="BM1054" s="121"/>
      <c r="BN1054" s="121"/>
      <c r="BO1054" s="121"/>
      <c r="BP1054" s="121"/>
      <c r="BQ1054" s="121"/>
      <c r="BR1054" s="121"/>
      <c r="BS1054" s="121"/>
      <c r="BT1054" s="121"/>
      <c r="BU1054" s="121"/>
      <c r="BV1054" s="121"/>
      <c r="BW1054" s="121"/>
      <c r="BX1054" s="121"/>
      <c r="BY1054" s="121"/>
      <c r="BZ1054" s="121"/>
    </row>
    <row r="1055" spans="60:78">
      <c r="BH1055" s="29"/>
      <c r="BI1055" s="29"/>
      <c r="BJ1055" s="29"/>
      <c r="BK1055" s="29"/>
      <c r="BL1055" s="29"/>
      <c r="BM1055" s="121"/>
      <c r="BN1055" s="121"/>
      <c r="BO1055" s="121"/>
      <c r="BP1055" s="121"/>
      <c r="BQ1055" s="121"/>
      <c r="BR1055" s="121"/>
      <c r="BS1055" s="121"/>
      <c r="BT1055" s="121"/>
      <c r="BU1055" s="121"/>
      <c r="BV1055" s="121"/>
      <c r="BW1055" s="121"/>
      <c r="BX1055" s="121"/>
      <c r="BY1055" s="121"/>
      <c r="BZ1055" s="121"/>
    </row>
    <row r="1056" spans="60:78">
      <c r="BH1056" s="29"/>
      <c r="BI1056" s="29"/>
      <c r="BJ1056" s="29"/>
      <c r="BK1056" s="29"/>
      <c r="BL1056" s="29"/>
      <c r="BM1056" s="121"/>
      <c r="BN1056" s="121"/>
      <c r="BO1056" s="121"/>
      <c r="BP1056" s="121"/>
      <c r="BQ1056" s="121"/>
      <c r="BR1056" s="121"/>
      <c r="BS1056" s="121"/>
      <c r="BT1056" s="121"/>
      <c r="BU1056" s="121"/>
      <c r="BV1056" s="121"/>
      <c r="BW1056" s="121"/>
      <c r="BX1056" s="121"/>
      <c r="BY1056" s="121"/>
      <c r="BZ1056" s="121"/>
    </row>
    <row r="1057" spans="60:78">
      <c r="BH1057" s="29"/>
      <c r="BI1057" s="29"/>
      <c r="BJ1057" s="29"/>
      <c r="BK1057" s="29"/>
      <c r="BL1057" s="29"/>
      <c r="BM1057" s="121"/>
      <c r="BN1057" s="121"/>
      <c r="BO1057" s="121"/>
      <c r="BP1057" s="121"/>
      <c r="BQ1057" s="121"/>
      <c r="BR1057" s="121"/>
      <c r="BS1057" s="121"/>
      <c r="BT1057" s="121"/>
      <c r="BU1057" s="121"/>
      <c r="BV1057" s="121"/>
      <c r="BW1057" s="121"/>
      <c r="BX1057" s="121"/>
      <c r="BY1057" s="121"/>
      <c r="BZ1057" s="121"/>
    </row>
    <row r="1058" spans="60:78">
      <c r="BH1058" s="29"/>
      <c r="BI1058" s="29"/>
      <c r="BJ1058" s="29"/>
      <c r="BK1058" s="29"/>
      <c r="BL1058" s="29"/>
      <c r="BM1058" s="121"/>
      <c r="BN1058" s="121"/>
      <c r="BO1058" s="121"/>
      <c r="BP1058" s="121"/>
      <c r="BQ1058" s="121"/>
      <c r="BR1058" s="121"/>
      <c r="BS1058" s="121"/>
      <c r="BT1058" s="121"/>
      <c r="BU1058" s="121"/>
      <c r="BV1058" s="121"/>
      <c r="BW1058" s="121"/>
      <c r="BX1058" s="121"/>
      <c r="BY1058" s="121"/>
      <c r="BZ1058" s="121"/>
    </row>
    <row r="1059" spans="60:78">
      <c r="BH1059" s="29"/>
      <c r="BI1059" s="29"/>
      <c r="BJ1059" s="29"/>
      <c r="BK1059" s="29"/>
      <c r="BL1059" s="29"/>
      <c r="BM1059" s="121"/>
      <c r="BN1059" s="121"/>
      <c r="BO1059" s="121"/>
      <c r="BP1059" s="121"/>
      <c r="BQ1059" s="121"/>
      <c r="BR1059" s="121"/>
      <c r="BS1059" s="121"/>
      <c r="BT1059" s="121"/>
      <c r="BU1059" s="121"/>
      <c r="BV1059" s="121"/>
      <c r="BW1059" s="121"/>
      <c r="BX1059" s="121"/>
      <c r="BY1059" s="121"/>
      <c r="BZ1059" s="121"/>
    </row>
    <row r="1060" spans="60:78">
      <c r="BH1060" s="29"/>
      <c r="BI1060" s="29"/>
      <c r="BJ1060" s="29"/>
      <c r="BK1060" s="29"/>
      <c r="BL1060" s="29"/>
      <c r="BM1060" s="121"/>
      <c r="BN1060" s="121"/>
      <c r="BO1060" s="121"/>
      <c r="BP1060" s="121"/>
      <c r="BQ1060" s="121"/>
      <c r="BR1060" s="121"/>
      <c r="BS1060" s="121"/>
      <c r="BT1060" s="121"/>
      <c r="BU1060" s="121"/>
      <c r="BV1060" s="121"/>
      <c r="BW1060" s="121"/>
      <c r="BX1060" s="121"/>
      <c r="BY1060" s="121"/>
      <c r="BZ1060" s="121"/>
    </row>
    <row r="1061" spans="60:78">
      <c r="BH1061" s="29"/>
      <c r="BI1061" s="29"/>
      <c r="BJ1061" s="29"/>
      <c r="BK1061" s="29"/>
      <c r="BL1061" s="29"/>
      <c r="BM1061" s="121"/>
      <c r="BN1061" s="121"/>
      <c r="BO1061" s="121"/>
      <c r="BP1061" s="121"/>
      <c r="BQ1061" s="121"/>
      <c r="BR1061" s="121"/>
      <c r="BS1061" s="121"/>
      <c r="BT1061" s="121"/>
      <c r="BU1061" s="121"/>
      <c r="BV1061" s="121"/>
      <c r="BW1061" s="121"/>
      <c r="BX1061" s="121"/>
      <c r="BY1061" s="121"/>
      <c r="BZ1061" s="121"/>
    </row>
    <row r="1062" spans="60:78">
      <c r="BH1062" s="29"/>
      <c r="BI1062" s="29"/>
      <c r="BJ1062" s="29"/>
      <c r="BK1062" s="29"/>
      <c r="BL1062" s="29"/>
      <c r="BM1062" s="121"/>
      <c r="BN1062" s="121"/>
      <c r="BO1062" s="121"/>
      <c r="BP1062" s="121"/>
      <c r="BQ1062" s="121"/>
      <c r="BR1062" s="121"/>
      <c r="BS1062" s="121"/>
      <c r="BT1062" s="121"/>
      <c r="BU1062" s="121"/>
      <c r="BV1062" s="121"/>
      <c r="BW1062" s="121"/>
      <c r="BX1062" s="121"/>
      <c r="BY1062" s="121"/>
      <c r="BZ1062" s="121"/>
    </row>
    <row r="1063" spans="60:78">
      <c r="BH1063" s="29"/>
      <c r="BI1063" s="29"/>
      <c r="BJ1063" s="29"/>
      <c r="BK1063" s="29"/>
      <c r="BL1063" s="29"/>
      <c r="BM1063" s="121"/>
      <c r="BN1063" s="121"/>
      <c r="BO1063" s="121"/>
      <c r="BP1063" s="121"/>
      <c r="BQ1063" s="121"/>
      <c r="BR1063" s="121"/>
      <c r="BS1063" s="121"/>
      <c r="BT1063" s="121"/>
      <c r="BU1063" s="121"/>
      <c r="BV1063" s="121"/>
      <c r="BW1063" s="121"/>
      <c r="BX1063" s="121"/>
      <c r="BY1063" s="121"/>
      <c r="BZ1063" s="121"/>
    </row>
    <row r="1064" spans="60:78">
      <c r="BH1064" s="29"/>
      <c r="BI1064" s="29"/>
      <c r="BJ1064" s="29"/>
      <c r="BK1064" s="29"/>
      <c r="BL1064" s="29"/>
      <c r="BM1064" s="121"/>
      <c r="BN1064" s="121"/>
      <c r="BO1064" s="121"/>
      <c r="BP1064" s="121"/>
      <c r="BQ1064" s="121"/>
      <c r="BR1064" s="121"/>
      <c r="BS1064" s="121"/>
      <c r="BT1064" s="121"/>
      <c r="BU1064" s="121"/>
      <c r="BV1064" s="121"/>
      <c r="BW1064" s="121"/>
      <c r="BX1064" s="121"/>
      <c r="BY1064" s="121"/>
      <c r="BZ1064" s="121"/>
    </row>
    <row r="1065" spans="60:78">
      <c r="BH1065" s="29"/>
      <c r="BI1065" s="29"/>
      <c r="BJ1065" s="29"/>
      <c r="BK1065" s="29"/>
      <c r="BL1065" s="29"/>
      <c r="BM1065" s="121"/>
      <c r="BN1065" s="121"/>
      <c r="BO1065" s="121"/>
      <c r="BP1065" s="121"/>
      <c r="BQ1065" s="121"/>
      <c r="BR1065" s="121"/>
      <c r="BS1065" s="121"/>
      <c r="BT1065" s="121"/>
      <c r="BU1065" s="121"/>
      <c r="BV1065" s="121"/>
      <c r="BW1065" s="121"/>
      <c r="BX1065" s="121"/>
      <c r="BY1065" s="121"/>
      <c r="BZ1065" s="121"/>
    </row>
    <row r="1066" spans="60:78">
      <c r="BH1066" s="29"/>
      <c r="BI1066" s="29"/>
      <c r="BJ1066" s="29"/>
      <c r="BK1066" s="29"/>
      <c r="BL1066" s="29"/>
      <c r="BM1066" s="121"/>
      <c r="BN1066" s="121"/>
      <c r="BO1066" s="121"/>
      <c r="BP1066" s="121"/>
      <c r="BQ1066" s="121"/>
      <c r="BR1066" s="121"/>
      <c r="BS1066" s="121"/>
      <c r="BT1066" s="121"/>
      <c r="BU1066" s="121"/>
      <c r="BV1066" s="121"/>
      <c r="BW1066" s="121"/>
      <c r="BX1066" s="121"/>
      <c r="BY1066" s="121"/>
      <c r="BZ1066" s="121"/>
    </row>
    <row r="1067" spans="60:78">
      <c r="BH1067" s="29"/>
      <c r="BI1067" s="29"/>
      <c r="BJ1067" s="29"/>
      <c r="BK1067" s="29"/>
      <c r="BL1067" s="29"/>
      <c r="BM1067" s="121"/>
      <c r="BN1067" s="121"/>
      <c r="BO1067" s="121"/>
      <c r="BP1067" s="121"/>
      <c r="BQ1067" s="121"/>
      <c r="BR1067" s="121"/>
      <c r="BS1067" s="121"/>
      <c r="BT1067" s="121"/>
      <c r="BU1067" s="121"/>
      <c r="BV1067" s="121"/>
      <c r="BW1067" s="121"/>
      <c r="BX1067" s="121"/>
      <c r="BY1067" s="121"/>
      <c r="BZ1067" s="121"/>
    </row>
    <row r="1068" spans="60:78">
      <c r="BH1068" s="29"/>
      <c r="BI1068" s="29"/>
      <c r="BJ1068" s="29"/>
      <c r="BK1068" s="29"/>
      <c r="BL1068" s="29"/>
      <c r="BM1068" s="121"/>
      <c r="BN1068" s="121"/>
      <c r="BO1068" s="121"/>
      <c r="BP1068" s="121"/>
      <c r="BQ1068" s="121"/>
      <c r="BR1068" s="121"/>
      <c r="BS1068" s="121"/>
      <c r="BT1068" s="121"/>
      <c r="BU1068" s="121"/>
      <c r="BV1068" s="121"/>
      <c r="BW1068" s="121"/>
      <c r="BX1068" s="121"/>
      <c r="BY1068" s="121"/>
      <c r="BZ1068" s="121"/>
    </row>
    <row r="1069" spans="60:78">
      <c r="BH1069" s="29"/>
      <c r="BI1069" s="29"/>
      <c r="BJ1069" s="29"/>
      <c r="BK1069" s="29"/>
      <c r="BL1069" s="29"/>
      <c r="BM1069" s="121"/>
      <c r="BN1069" s="121"/>
      <c r="BO1069" s="121"/>
      <c r="BP1069" s="121"/>
      <c r="BQ1069" s="121"/>
      <c r="BR1069" s="121"/>
      <c r="BS1069" s="121"/>
      <c r="BT1069" s="121"/>
      <c r="BU1069" s="121"/>
      <c r="BV1069" s="121"/>
      <c r="BW1069" s="121"/>
      <c r="BX1069" s="121"/>
      <c r="BY1069" s="121"/>
      <c r="BZ1069" s="121"/>
    </row>
    <row r="1070" spans="60:78">
      <c r="BH1070" s="29"/>
      <c r="BI1070" s="29"/>
      <c r="BJ1070" s="29"/>
      <c r="BK1070" s="29"/>
      <c r="BL1070" s="29"/>
      <c r="BM1070" s="121"/>
      <c r="BN1070" s="121"/>
      <c r="BO1070" s="121"/>
      <c r="BP1070" s="121"/>
      <c r="BQ1070" s="121"/>
      <c r="BR1070" s="121"/>
      <c r="BS1070" s="121"/>
      <c r="BT1070" s="121"/>
      <c r="BU1070" s="121"/>
      <c r="BV1070" s="121"/>
      <c r="BW1070" s="121"/>
      <c r="BX1070" s="121"/>
      <c r="BY1070" s="121"/>
      <c r="BZ1070" s="121"/>
    </row>
    <row r="1071" spans="60:78">
      <c r="BH1071" s="29"/>
      <c r="BI1071" s="29"/>
      <c r="BJ1071" s="29"/>
      <c r="BK1071" s="29"/>
      <c r="BL1071" s="29"/>
      <c r="BM1071" s="121"/>
      <c r="BN1071" s="121"/>
      <c r="BO1071" s="121"/>
      <c r="BP1071" s="121"/>
      <c r="BQ1071" s="121"/>
      <c r="BR1071" s="121"/>
      <c r="BS1071" s="121"/>
      <c r="BT1071" s="121"/>
      <c r="BU1071" s="121"/>
      <c r="BV1071" s="121"/>
      <c r="BW1071" s="121"/>
      <c r="BX1071" s="121"/>
      <c r="BY1071" s="121"/>
      <c r="BZ1071" s="121"/>
    </row>
    <row r="1072" spans="60:78">
      <c r="BH1072" s="29"/>
      <c r="BI1072" s="29"/>
      <c r="BJ1072" s="29"/>
      <c r="BK1072" s="29"/>
      <c r="BL1072" s="29"/>
      <c r="BM1072" s="121"/>
      <c r="BN1072" s="121"/>
      <c r="BO1072" s="121"/>
      <c r="BP1072" s="121"/>
      <c r="BQ1072" s="121"/>
      <c r="BR1072" s="121"/>
      <c r="BS1072" s="121"/>
      <c r="BT1072" s="121"/>
      <c r="BU1072" s="121"/>
      <c r="BV1072" s="121"/>
      <c r="BW1072" s="121"/>
      <c r="BX1072" s="121"/>
      <c r="BY1072" s="121"/>
      <c r="BZ1072" s="121"/>
    </row>
    <row r="1073" spans="60:78">
      <c r="BH1073" s="29"/>
      <c r="BI1073" s="29"/>
      <c r="BJ1073" s="29"/>
      <c r="BK1073" s="29"/>
      <c r="BL1073" s="29"/>
      <c r="BM1073" s="121"/>
      <c r="BN1073" s="121"/>
      <c r="BO1073" s="121"/>
      <c r="BP1073" s="121"/>
      <c r="BQ1073" s="121"/>
      <c r="BR1073" s="121"/>
      <c r="BS1073" s="121"/>
      <c r="BT1073" s="121"/>
      <c r="BU1073" s="121"/>
      <c r="BV1073" s="121"/>
      <c r="BW1073" s="121"/>
      <c r="BX1073" s="121"/>
      <c r="BY1073" s="121"/>
      <c r="BZ1073" s="121"/>
    </row>
    <row r="1074" spans="60:78">
      <c r="BH1074" s="29"/>
      <c r="BI1074" s="29"/>
      <c r="BJ1074" s="29"/>
      <c r="BK1074" s="29"/>
      <c r="BL1074" s="29"/>
      <c r="BM1074" s="121"/>
      <c r="BN1074" s="121"/>
      <c r="BO1074" s="121"/>
      <c r="BP1074" s="121"/>
      <c r="BQ1074" s="121"/>
      <c r="BR1074" s="121"/>
      <c r="BS1074" s="121"/>
      <c r="BT1074" s="121"/>
      <c r="BU1074" s="121"/>
      <c r="BV1074" s="121"/>
      <c r="BW1074" s="121"/>
      <c r="BX1074" s="121"/>
      <c r="BY1074" s="121"/>
      <c r="BZ1074" s="121"/>
    </row>
    <row r="1075" spans="60:78">
      <c r="BH1075" s="29"/>
      <c r="BI1075" s="29"/>
      <c r="BJ1075" s="29"/>
      <c r="BK1075" s="29"/>
      <c r="BL1075" s="29"/>
      <c r="BM1075" s="121"/>
      <c r="BN1075" s="121"/>
      <c r="BO1075" s="121"/>
      <c r="BP1075" s="121"/>
      <c r="BQ1075" s="121"/>
      <c r="BR1075" s="121"/>
      <c r="BS1075" s="121"/>
      <c r="BT1075" s="121"/>
      <c r="BU1075" s="121"/>
      <c r="BV1075" s="121"/>
      <c r="BW1075" s="121"/>
      <c r="BX1075" s="121"/>
      <c r="BY1075" s="121"/>
      <c r="BZ1075" s="121"/>
    </row>
    <row r="1076" spans="60:78">
      <c r="BH1076" s="29"/>
      <c r="BI1076" s="29"/>
      <c r="BJ1076" s="29"/>
      <c r="BK1076" s="29"/>
      <c r="BL1076" s="29"/>
      <c r="BM1076" s="121"/>
      <c r="BN1076" s="121"/>
      <c r="BO1076" s="121"/>
      <c r="BP1076" s="121"/>
      <c r="BQ1076" s="121"/>
      <c r="BR1076" s="121"/>
      <c r="BS1076" s="121"/>
      <c r="BT1076" s="121"/>
      <c r="BU1076" s="121"/>
      <c r="BV1076" s="121"/>
      <c r="BW1076" s="121"/>
      <c r="BX1076" s="121"/>
      <c r="BY1076" s="121"/>
      <c r="BZ1076" s="121"/>
    </row>
    <row r="1077" spans="60:78">
      <c r="BH1077" s="29"/>
      <c r="BI1077" s="29"/>
      <c r="BJ1077" s="29"/>
      <c r="BK1077" s="29"/>
      <c r="BL1077" s="29"/>
      <c r="BM1077" s="121"/>
      <c r="BN1077" s="121"/>
      <c r="BO1077" s="121"/>
      <c r="BP1077" s="121"/>
      <c r="BQ1077" s="121"/>
      <c r="BR1077" s="121"/>
      <c r="BS1077" s="121"/>
      <c r="BT1077" s="121"/>
      <c r="BU1077" s="121"/>
      <c r="BV1077" s="121"/>
      <c r="BW1077" s="121"/>
      <c r="BX1077" s="121"/>
      <c r="BY1077" s="121"/>
      <c r="BZ1077" s="121"/>
    </row>
    <row r="1078" spans="60:78">
      <c r="BH1078" s="29"/>
      <c r="BI1078" s="29"/>
      <c r="BJ1078" s="29"/>
      <c r="BK1078" s="29"/>
      <c r="BL1078" s="29"/>
      <c r="BM1078" s="121"/>
      <c r="BN1078" s="121"/>
      <c r="BO1078" s="121"/>
      <c r="BP1078" s="121"/>
      <c r="BQ1078" s="121"/>
      <c r="BR1078" s="121"/>
      <c r="BS1078" s="121"/>
      <c r="BT1078" s="121"/>
      <c r="BU1078" s="121"/>
      <c r="BV1078" s="121"/>
      <c r="BW1078" s="121"/>
      <c r="BX1078" s="121"/>
      <c r="BY1078" s="121"/>
      <c r="BZ1078" s="121"/>
    </row>
    <row r="1079" spans="60:78">
      <c r="BH1079" s="29"/>
      <c r="BI1079" s="29"/>
      <c r="BJ1079" s="29"/>
      <c r="BK1079" s="29"/>
      <c r="BL1079" s="29"/>
      <c r="BM1079" s="121"/>
      <c r="BN1079" s="121"/>
      <c r="BO1079" s="121"/>
      <c r="BP1079" s="121"/>
      <c r="BQ1079" s="121"/>
      <c r="BR1079" s="121"/>
      <c r="BS1079" s="121"/>
      <c r="BT1079" s="121"/>
      <c r="BU1079" s="121"/>
      <c r="BV1079" s="121"/>
      <c r="BW1079" s="121"/>
      <c r="BX1079" s="121"/>
      <c r="BY1079" s="121"/>
      <c r="BZ1079" s="121"/>
    </row>
    <row r="1080" spans="60:78">
      <c r="BH1080" s="29"/>
      <c r="BI1080" s="29"/>
      <c r="BJ1080" s="29"/>
      <c r="BK1080" s="29"/>
      <c r="BL1080" s="29"/>
      <c r="BM1080" s="121"/>
      <c r="BN1080" s="121"/>
      <c r="BO1080" s="121"/>
      <c r="BP1080" s="121"/>
      <c r="BQ1080" s="121"/>
      <c r="BR1080" s="121"/>
      <c r="BS1080" s="121"/>
      <c r="BT1080" s="121"/>
      <c r="BU1080" s="121"/>
      <c r="BV1080" s="121"/>
      <c r="BW1080" s="121"/>
      <c r="BX1080" s="121"/>
      <c r="BY1080" s="121"/>
      <c r="BZ1080" s="121"/>
    </row>
    <row r="1081" spans="60:78">
      <c r="BH1081" s="29"/>
      <c r="BI1081" s="29"/>
      <c r="BJ1081" s="29"/>
      <c r="BK1081" s="29"/>
      <c r="BL1081" s="29"/>
      <c r="BM1081" s="121"/>
      <c r="BN1081" s="121"/>
      <c r="BO1081" s="121"/>
      <c r="BP1081" s="121"/>
      <c r="BQ1081" s="121"/>
      <c r="BR1081" s="121"/>
      <c r="BS1081" s="121"/>
      <c r="BT1081" s="121"/>
      <c r="BU1081" s="121"/>
      <c r="BV1081" s="121"/>
      <c r="BW1081" s="121"/>
      <c r="BX1081" s="121"/>
      <c r="BY1081" s="121"/>
      <c r="BZ1081" s="121"/>
    </row>
    <row r="1082" spans="60:78">
      <c r="BH1082" s="29"/>
      <c r="BI1082" s="29"/>
      <c r="BJ1082" s="29"/>
      <c r="BK1082" s="29"/>
      <c r="BL1082" s="29"/>
      <c r="BM1082" s="121"/>
      <c r="BN1082" s="121"/>
      <c r="BO1082" s="121"/>
      <c r="BP1082" s="121"/>
      <c r="BQ1082" s="121"/>
      <c r="BR1082" s="121"/>
      <c r="BS1082" s="121"/>
      <c r="BT1082" s="121"/>
      <c r="BU1082" s="121"/>
      <c r="BV1082" s="121"/>
      <c r="BW1082" s="121"/>
      <c r="BX1082" s="121"/>
      <c r="BY1082" s="121"/>
      <c r="BZ1082" s="121"/>
    </row>
    <row r="1083" spans="60:78">
      <c r="BH1083" s="29"/>
      <c r="BI1083" s="29"/>
      <c r="BJ1083" s="29"/>
      <c r="BK1083" s="29"/>
      <c r="BL1083" s="29"/>
      <c r="BM1083" s="121"/>
      <c r="BN1083" s="121"/>
      <c r="BO1083" s="121"/>
      <c r="BP1083" s="121"/>
      <c r="BQ1083" s="121"/>
      <c r="BR1083" s="121"/>
      <c r="BS1083" s="121"/>
      <c r="BT1083" s="121"/>
      <c r="BU1083" s="121"/>
      <c r="BV1083" s="121"/>
      <c r="BW1083" s="121"/>
      <c r="BX1083" s="121"/>
      <c r="BY1083" s="121"/>
      <c r="BZ1083" s="121"/>
    </row>
    <row r="1084" spans="60:78">
      <c r="BH1084" s="29"/>
      <c r="BI1084" s="29"/>
      <c r="BJ1084" s="29"/>
      <c r="BK1084" s="29"/>
      <c r="BL1084" s="29"/>
      <c r="BM1084" s="121"/>
      <c r="BN1084" s="121"/>
      <c r="BO1084" s="121"/>
      <c r="BP1084" s="121"/>
      <c r="BQ1084" s="121"/>
      <c r="BR1084" s="121"/>
      <c r="BS1084" s="121"/>
      <c r="BT1084" s="121"/>
      <c r="BU1084" s="121"/>
      <c r="BV1084" s="121"/>
      <c r="BW1084" s="121"/>
      <c r="BX1084" s="121"/>
      <c r="BY1084" s="121"/>
      <c r="BZ1084" s="121"/>
    </row>
    <row r="1085" spans="60:78">
      <c r="BH1085" s="29"/>
      <c r="BI1085" s="29"/>
      <c r="BJ1085" s="29"/>
      <c r="BK1085" s="29"/>
      <c r="BL1085" s="29"/>
      <c r="BM1085" s="121"/>
      <c r="BN1085" s="121"/>
      <c r="BO1085" s="121"/>
      <c r="BP1085" s="121"/>
      <c r="BQ1085" s="121"/>
      <c r="BR1085" s="121"/>
      <c r="BS1085" s="121"/>
      <c r="BT1085" s="121"/>
      <c r="BU1085" s="121"/>
      <c r="BV1085" s="121"/>
      <c r="BW1085" s="121"/>
      <c r="BX1085" s="121"/>
      <c r="BY1085" s="121"/>
      <c r="BZ1085" s="121"/>
    </row>
    <row r="1086" spans="60:78">
      <c r="BH1086" s="29"/>
      <c r="BI1086" s="29"/>
      <c r="BJ1086" s="29"/>
      <c r="BK1086" s="29"/>
      <c r="BL1086" s="29"/>
      <c r="BM1086" s="121"/>
      <c r="BN1086" s="121"/>
      <c r="BO1086" s="121"/>
      <c r="BP1086" s="121"/>
      <c r="BQ1086" s="121"/>
      <c r="BR1086" s="121"/>
      <c r="BS1086" s="121"/>
      <c r="BT1086" s="121"/>
      <c r="BU1086" s="121"/>
      <c r="BV1086" s="121"/>
      <c r="BW1086" s="121"/>
      <c r="BX1086" s="121"/>
      <c r="BY1086" s="121"/>
      <c r="BZ1086" s="121"/>
    </row>
    <row r="1087" spans="60:78">
      <c r="BH1087" s="29"/>
      <c r="BI1087" s="29"/>
      <c r="BJ1087" s="29"/>
      <c r="BK1087" s="29"/>
      <c r="BL1087" s="29"/>
      <c r="BM1087" s="121"/>
      <c r="BN1087" s="121"/>
      <c r="BO1087" s="121"/>
      <c r="BP1087" s="121"/>
      <c r="BQ1087" s="121"/>
      <c r="BR1087" s="121"/>
      <c r="BS1087" s="121"/>
      <c r="BT1087" s="121"/>
      <c r="BU1087" s="121"/>
      <c r="BV1087" s="121"/>
      <c r="BW1087" s="121"/>
      <c r="BX1087" s="121"/>
      <c r="BY1087" s="121"/>
      <c r="BZ1087" s="121"/>
    </row>
    <row r="1088" spans="60:78">
      <c r="BH1088" s="29"/>
      <c r="BI1088" s="29"/>
      <c r="BJ1088" s="29"/>
      <c r="BK1088" s="29"/>
      <c r="BL1088" s="29"/>
      <c r="BM1088" s="121"/>
      <c r="BN1088" s="121"/>
      <c r="BO1088" s="121"/>
      <c r="BP1088" s="121"/>
      <c r="BQ1088" s="121"/>
      <c r="BR1088" s="121"/>
      <c r="BS1088" s="121"/>
      <c r="BT1088" s="121"/>
      <c r="BU1088" s="121"/>
      <c r="BV1088" s="121"/>
      <c r="BW1088" s="121"/>
      <c r="BX1088" s="121"/>
      <c r="BY1088" s="121"/>
      <c r="BZ1088" s="121"/>
    </row>
    <row r="1089" spans="60:78">
      <c r="BH1089" s="29"/>
      <c r="BI1089" s="29"/>
      <c r="BJ1089" s="29"/>
      <c r="BK1089" s="29"/>
      <c r="BL1089" s="29"/>
      <c r="BM1089" s="121"/>
      <c r="BN1089" s="121"/>
      <c r="BO1089" s="121"/>
      <c r="BP1089" s="121"/>
      <c r="BQ1089" s="121"/>
      <c r="BR1089" s="121"/>
      <c r="BS1089" s="121"/>
      <c r="BT1089" s="121"/>
      <c r="BU1089" s="121"/>
      <c r="BV1089" s="121"/>
      <c r="BW1089" s="121"/>
      <c r="BX1089" s="121"/>
      <c r="BY1089" s="121"/>
      <c r="BZ1089" s="121"/>
    </row>
    <row r="1090" spans="60:78">
      <c r="BH1090" s="29"/>
      <c r="BI1090" s="29"/>
      <c r="BJ1090" s="29"/>
      <c r="BK1090" s="29"/>
      <c r="BL1090" s="29"/>
      <c r="BM1090" s="121"/>
      <c r="BN1090" s="121"/>
      <c r="BO1090" s="121"/>
      <c r="BP1090" s="121"/>
      <c r="BQ1090" s="121"/>
      <c r="BR1090" s="121"/>
      <c r="BS1090" s="121"/>
      <c r="BT1090" s="121"/>
      <c r="BU1090" s="121"/>
      <c r="BV1090" s="121"/>
      <c r="BW1090" s="121"/>
      <c r="BX1090" s="121"/>
      <c r="BY1090" s="121"/>
      <c r="BZ1090" s="121"/>
    </row>
    <row r="1091" spans="60:78">
      <c r="BH1091" s="29"/>
      <c r="BI1091" s="29"/>
      <c r="BJ1091" s="29"/>
      <c r="BK1091" s="29"/>
      <c r="BL1091" s="29"/>
      <c r="BM1091" s="121"/>
      <c r="BN1091" s="121"/>
      <c r="BO1091" s="121"/>
      <c r="BP1091" s="121"/>
      <c r="BQ1091" s="121"/>
      <c r="BR1091" s="121"/>
      <c r="BS1091" s="121"/>
      <c r="BT1091" s="121"/>
      <c r="BU1091" s="121"/>
      <c r="BV1091" s="121"/>
      <c r="BW1091" s="121"/>
      <c r="BX1091" s="121"/>
      <c r="BY1091" s="121"/>
      <c r="BZ1091" s="121"/>
    </row>
    <row r="1092" spans="60:78">
      <c r="BH1092" s="29"/>
      <c r="BI1092" s="29"/>
      <c r="BJ1092" s="29"/>
      <c r="BK1092" s="29"/>
      <c r="BL1092" s="29"/>
      <c r="BM1092" s="121"/>
      <c r="BN1092" s="121"/>
      <c r="BO1092" s="121"/>
      <c r="BP1092" s="121"/>
      <c r="BQ1092" s="121"/>
      <c r="BR1092" s="121"/>
      <c r="BS1092" s="121"/>
      <c r="BT1092" s="121"/>
      <c r="BU1092" s="121"/>
      <c r="BV1092" s="121"/>
      <c r="BW1092" s="121"/>
      <c r="BX1092" s="121"/>
      <c r="BY1092" s="121"/>
      <c r="BZ1092" s="121"/>
    </row>
    <row r="1093" spans="60:78">
      <c r="BH1093" s="29"/>
      <c r="BI1093" s="29"/>
      <c r="BJ1093" s="29"/>
      <c r="BK1093" s="29"/>
      <c r="BL1093" s="29"/>
      <c r="BM1093" s="121"/>
      <c r="BN1093" s="121"/>
      <c r="BO1093" s="121"/>
      <c r="BP1093" s="121"/>
      <c r="BQ1093" s="121"/>
      <c r="BR1093" s="121"/>
      <c r="BS1093" s="121"/>
      <c r="BT1093" s="121"/>
      <c r="BU1093" s="121"/>
      <c r="BV1093" s="121"/>
      <c r="BW1093" s="121"/>
      <c r="BX1093" s="121"/>
      <c r="BY1093" s="121"/>
      <c r="BZ1093" s="121"/>
    </row>
    <row r="1094" spans="60:78">
      <c r="BH1094" s="29"/>
      <c r="BI1094" s="29"/>
      <c r="BJ1094" s="29"/>
      <c r="BK1094" s="29"/>
      <c r="BL1094" s="29"/>
      <c r="BM1094" s="121"/>
      <c r="BN1094" s="121"/>
      <c r="BO1094" s="121"/>
      <c r="BP1094" s="121"/>
      <c r="BQ1094" s="121"/>
      <c r="BR1094" s="121"/>
      <c r="BS1094" s="121"/>
      <c r="BT1094" s="121"/>
      <c r="BU1094" s="121"/>
      <c r="BV1094" s="121"/>
      <c r="BW1094" s="121"/>
      <c r="BX1094" s="121"/>
      <c r="BY1094" s="121"/>
      <c r="BZ1094" s="121"/>
    </row>
    <row r="1095" spans="60:78">
      <c r="BH1095" s="29"/>
      <c r="BI1095" s="29"/>
      <c r="BJ1095" s="29"/>
      <c r="BK1095" s="29"/>
      <c r="BL1095" s="29"/>
      <c r="BM1095" s="121"/>
      <c r="BN1095" s="121"/>
      <c r="BO1095" s="121"/>
      <c r="BP1095" s="121"/>
      <c r="BQ1095" s="121"/>
      <c r="BR1095" s="121"/>
      <c r="BS1095" s="121"/>
      <c r="BT1095" s="121"/>
      <c r="BU1095" s="121"/>
      <c r="BV1095" s="121"/>
      <c r="BW1095" s="121"/>
      <c r="BX1095" s="121"/>
      <c r="BY1095" s="121"/>
      <c r="BZ1095" s="121"/>
    </row>
    <row r="1096" spans="60:78">
      <c r="BH1096" s="29"/>
      <c r="BI1096" s="29"/>
      <c r="BJ1096" s="29"/>
      <c r="BK1096" s="29"/>
      <c r="BL1096" s="29"/>
      <c r="BM1096" s="121"/>
      <c r="BN1096" s="121"/>
      <c r="BO1096" s="121"/>
      <c r="BP1096" s="121"/>
      <c r="BQ1096" s="121"/>
      <c r="BR1096" s="121"/>
      <c r="BS1096" s="121"/>
      <c r="BT1096" s="121"/>
      <c r="BU1096" s="121"/>
      <c r="BV1096" s="121"/>
      <c r="BW1096" s="121"/>
      <c r="BX1096" s="121"/>
      <c r="BY1096" s="121"/>
      <c r="BZ1096" s="121"/>
    </row>
    <row r="1097" spans="60:78">
      <c r="BH1097" s="29"/>
      <c r="BI1097" s="29"/>
      <c r="BJ1097" s="29"/>
      <c r="BK1097" s="29"/>
      <c r="BL1097" s="29"/>
      <c r="BM1097" s="121"/>
      <c r="BN1097" s="121"/>
      <c r="BO1097" s="121"/>
      <c r="BP1097" s="121"/>
      <c r="BQ1097" s="121"/>
      <c r="BR1097" s="121"/>
      <c r="BS1097" s="121"/>
      <c r="BT1097" s="121"/>
      <c r="BU1097" s="121"/>
      <c r="BV1097" s="121"/>
      <c r="BW1097" s="121"/>
      <c r="BX1097" s="121"/>
      <c r="BY1097" s="121"/>
      <c r="BZ1097" s="121"/>
    </row>
    <row r="1098" spans="60:78">
      <c r="BH1098" s="29"/>
      <c r="BI1098" s="29"/>
      <c r="BJ1098" s="29"/>
      <c r="BK1098" s="29"/>
      <c r="BL1098" s="29"/>
      <c r="BM1098" s="121"/>
      <c r="BN1098" s="121"/>
      <c r="BO1098" s="121"/>
      <c r="BP1098" s="121"/>
      <c r="BQ1098" s="121"/>
      <c r="BR1098" s="121"/>
      <c r="BS1098" s="121"/>
      <c r="BT1098" s="121"/>
      <c r="BU1098" s="121"/>
      <c r="BV1098" s="121"/>
      <c r="BW1098" s="121"/>
      <c r="BX1098" s="121"/>
      <c r="BY1098" s="121"/>
      <c r="BZ1098" s="121"/>
    </row>
    <row r="1099" spans="60:78">
      <c r="BH1099" s="29"/>
      <c r="BI1099" s="29"/>
      <c r="BJ1099" s="29"/>
      <c r="BK1099" s="29"/>
      <c r="BL1099" s="29"/>
      <c r="BM1099" s="121"/>
      <c r="BN1099" s="121"/>
      <c r="BO1099" s="121"/>
      <c r="BP1099" s="121"/>
      <c r="BQ1099" s="121"/>
      <c r="BR1099" s="121"/>
      <c r="BS1099" s="121"/>
      <c r="BT1099" s="121"/>
      <c r="BU1099" s="121"/>
      <c r="BV1099" s="121"/>
      <c r="BW1099" s="121"/>
      <c r="BX1099" s="121"/>
      <c r="BY1099" s="121"/>
      <c r="BZ1099" s="121"/>
    </row>
    <row r="1100" spans="60:78">
      <c r="BH1100" s="29"/>
      <c r="BI1100" s="29"/>
      <c r="BJ1100" s="29"/>
      <c r="BK1100" s="29"/>
      <c r="BL1100" s="29"/>
      <c r="BM1100" s="121"/>
      <c r="BN1100" s="121"/>
      <c r="BO1100" s="121"/>
      <c r="BP1100" s="121"/>
      <c r="BQ1100" s="121"/>
      <c r="BR1100" s="121"/>
      <c r="BS1100" s="121"/>
      <c r="BT1100" s="121"/>
      <c r="BU1100" s="121"/>
      <c r="BV1100" s="121"/>
      <c r="BW1100" s="121"/>
      <c r="BX1100" s="121"/>
      <c r="BY1100" s="121"/>
      <c r="BZ1100" s="121"/>
    </row>
    <row r="1101" spans="60:78">
      <c r="BH1101" s="29"/>
      <c r="BI1101" s="29"/>
      <c r="BJ1101" s="29"/>
      <c r="BK1101" s="29"/>
      <c r="BL1101" s="29"/>
      <c r="BM1101" s="121"/>
      <c r="BN1101" s="121"/>
      <c r="BO1101" s="121"/>
      <c r="BP1101" s="121"/>
      <c r="BQ1101" s="121"/>
      <c r="BR1101" s="121"/>
      <c r="BS1101" s="121"/>
      <c r="BT1101" s="121"/>
      <c r="BU1101" s="121"/>
      <c r="BV1101" s="121"/>
      <c r="BW1101" s="121"/>
      <c r="BX1101" s="121"/>
      <c r="BY1101" s="121"/>
      <c r="BZ1101" s="121"/>
    </row>
    <row r="1102" spans="60:78">
      <c r="BH1102" s="29"/>
      <c r="BI1102" s="29"/>
      <c r="BJ1102" s="29"/>
      <c r="BK1102" s="29"/>
      <c r="BL1102" s="29"/>
      <c r="BM1102" s="121"/>
      <c r="BN1102" s="121"/>
      <c r="BO1102" s="121"/>
      <c r="BP1102" s="121"/>
      <c r="BQ1102" s="121"/>
      <c r="BR1102" s="121"/>
      <c r="BS1102" s="121"/>
      <c r="BT1102" s="121"/>
      <c r="BU1102" s="121"/>
      <c r="BV1102" s="121"/>
      <c r="BW1102" s="121"/>
      <c r="BX1102" s="121"/>
      <c r="BY1102" s="121"/>
      <c r="BZ1102" s="121"/>
    </row>
    <row r="1103" spans="60:78">
      <c r="BH1103" s="29"/>
      <c r="BI1103" s="29"/>
      <c r="BJ1103" s="29"/>
      <c r="BK1103" s="29"/>
      <c r="BL1103" s="29"/>
      <c r="BM1103" s="121"/>
      <c r="BN1103" s="121"/>
      <c r="BO1103" s="121"/>
      <c r="BP1103" s="121"/>
      <c r="BQ1103" s="121"/>
      <c r="BR1103" s="121"/>
      <c r="BS1103" s="121"/>
      <c r="BT1103" s="121"/>
      <c r="BU1103" s="121"/>
      <c r="BV1103" s="121"/>
      <c r="BW1103" s="121"/>
      <c r="BX1103" s="121"/>
      <c r="BY1103" s="121"/>
      <c r="BZ1103" s="121"/>
    </row>
    <row r="1104" spans="60:78">
      <c r="BH1104" s="29"/>
      <c r="BI1104" s="29"/>
      <c r="BJ1104" s="29"/>
      <c r="BK1104" s="29"/>
      <c r="BL1104" s="29"/>
      <c r="BM1104" s="121"/>
      <c r="BN1104" s="121"/>
      <c r="BO1104" s="121"/>
      <c r="BP1104" s="121"/>
      <c r="BQ1104" s="121"/>
      <c r="BR1104" s="121"/>
      <c r="BS1104" s="121"/>
      <c r="BT1104" s="121"/>
      <c r="BU1104" s="121"/>
      <c r="BV1104" s="121"/>
      <c r="BW1104" s="121"/>
      <c r="BX1104" s="121"/>
      <c r="BY1104" s="121"/>
      <c r="BZ1104" s="121"/>
    </row>
    <row r="1105" spans="60:78">
      <c r="BH1105" s="29"/>
      <c r="BI1105" s="29"/>
      <c r="BJ1105" s="29"/>
      <c r="BK1105" s="29"/>
      <c r="BL1105" s="29"/>
      <c r="BM1105" s="121"/>
      <c r="BN1105" s="121"/>
      <c r="BO1105" s="121"/>
      <c r="BP1105" s="121"/>
      <c r="BQ1105" s="121"/>
      <c r="BR1105" s="121"/>
      <c r="BS1105" s="121"/>
      <c r="BT1105" s="121"/>
      <c r="BU1105" s="121"/>
      <c r="BV1105" s="121"/>
      <c r="BW1105" s="121"/>
      <c r="BX1105" s="121"/>
      <c r="BY1105" s="121"/>
      <c r="BZ1105" s="121"/>
    </row>
    <row r="1106" spans="60:78">
      <c r="BH1106" s="29"/>
      <c r="BI1106" s="29"/>
      <c r="BJ1106" s="29"/>
      <c r="BK1106" s="29"/>
      <c r="BL1106" s="29"/>
      <c r="BM1106" s="121"/>
      <c r="BN1106" s="121"/>
      <c r="BO1106" s="121"/>
      <c r="BP1106" s="121"/>
      <c r="BQ1106" s="121"/>
      <c r="BR1106" s="121"/>
      <c r="BS1106" s="121"/>
      <c r="BT1106" s="121"/>
      <c r="BU1106" s="121"/>
      <c r="BV1106" s="121"/>
      <c r="BW1106" s="121"/>
      <c r="BX1106" s="121"/>
      <c r="BY1106" s="121"/>
      <c r="BZ1106" s="121"/>
    </row>
    <row r="1107" spans="60:78">
      <c r="BH1107" s="29"/>
      <c r="BI1107" s="29"/>
      <c r="BJ1107" s="29"/>
      <c r="BK1107" s="29"/>
      <c r="BL1107" s="29"/>
      <c r="BM1107" s="121"/>
      <c r="BN1107" s="121"/>
      <c r="BO1107" s="121"/>
      <c r="BP1107" s="121"/>
      <c r="BQ1107" s="121"/>
      <c r="BR1107" s="121"/>
      <c r="BS1107" s="121"/>
      <c r="BT1107" s="121"/>
      <c r="BU1107" s="121"/>
      <c r="BV1107" s="121"/>
      <c r="BW1107" s="121"/>
      <c r="BX1107" s="121"/>
      <c r="BY1107" s="121"/>
      <c r="BZ1107" s="121"/>
    </row>
    <row r="1108" spans="60:78">
      <c r="BH1108" s="29"/>
      <c r="BI1108" s="29"/>
      <c r="BJ1108" s="29"/>
      <c r="BK1108" s="29"/>
      <c r="BL1108" s="29"/>
      <c r="BM1108" s="121"/>
      <c r="BN1108" s="121"/>
      <c r="BO1108" s="121"/>
      <c r="BP1108" s="121"/>
      <c r="BQ1108" s="121"/>
      <c r="BR1108" s="121"/>
      <c r="BS1108" s="121"/>
      <c r="BT1108" s="121"/>
      <c r="BU1108" s="121"/>
      <c r="BV1108" s="121"/>
      <c r="BW1108" s="121"/>
      <c r="BX1108" s="121"/>
      <c r="BY1108" s="121"/>
      <c r="BZ1108" s="121"/>
    </row>
    <row r="1109" spans="60:78">
      <c r="BH1109" s="29"/>
      <c r="BI1109" s="29"/>
      <c r="BJ1109" s="29"/>
      <c r="BK1109" s="29"/>
      <c r="BL1109" s="29"/>
      <c r="BM1109" s="121"/>
      <c r="BN1109" s="121"/>
      <c r="BO1109" s="121"/>
      <c r="BP1109" s="121"/>
      <c r="BQ1109" s="121"/>
      <c r="BR1109" s="121"/>
      <c r="BS1109" s="121"/>
      <c r="BT1109" s="121"/>
      <c r="BU1109" s="121"/>
      <c r="BV1109" s="121"/>
      <c r="BW1109" s="121"/>
      <c r="BX1109" s="121"/>
      <c r="BY1109" s="121"/>
      <c r="BZ1109" s="121"/>
    </row>
    <row r="1110" spans="60:78">
      <c r="BH1110" s="29"/>
      <c r="BI1110" s="29"/>
      <c r="BJ1110" s="29"/>
      <c r="BK1110" s="29"/>
      <c r="BL1110" s="29"/>
      <c r="BM1110" s="121"/>
      <c r="BN1110" s="121"/>
      <c r="BO1110" s="121"/>
      <c r="BP1110" s="121"/>
      <c r="BQ1110" s="121"/>
      <c r="BR1110" s="121"/>
      <c r="BS1110" s="121"/>
      <c r="BT1110" s="121"/>
      <c r="BU1110" s="121"/>
      <c r="BV1110" s="121"/>
      <c r="BW1110" s="121"/>
      <c r="BX1110" s="121"/>
      <c r="BY1110" s="121"/>
      <c r="BZ1110" s="121"/>
    </row>
    <row r="1111" spans="60:78">
      <c r="BH1111" s="29"/>
      <c r="BI1111" s="29"/>
      <c r="BJ1111" s="29"/>
      <c r="BK1111" s="29"/>
      <c r="BL1111" s="29"/>
      <c r="BM1111" s="121"/>
      <c r="BN1111" s="121"/>
      <c r="BO1111" s="121"/>
      <c r="BP1111" s="121"/>
      <c r="BQ1111" s="121"/>
      <c r="BR1111" s="121"/>
      <c r="BS1111" s="121"/>
      <c r="BT1111" s="121"/>
      <c r="BU1111" s="121"/>
      <c r="BV1111" s="121"/>
      <c r="BW1111" s="121"/>
      <c r="BX1111" s="121"/>
      <c r="BY1111" s="121"/>
      <c r="BZ1111" s="121"/>
    </row>
    <row r="1112" spans="60:78">
      <c r="BH1112" s="29"/>
      <c r="BI1112" s="29"/>
      <c r="BJ1112" s="29"/>
      <c r="BK1112" s="29"/>
      <c r="BL1112" s="29"/>
      <c r="BM1112" s="121"/>
      <c r="BN1112" s="121"/>
      <c r="BO1112" s="121"/>
      <c r="BP1112" s="121"/>
      <c r="BQ1112" s="121"/>
      <c r="BR1112" s="121"/>
      <c r="BS1112" s="121"/>
      <c r="BT1112" s="121"/>
      <c r="BU1112" s="121"/>
      <c r="BV1112" s="121"/>
      <c r="BW1112" s="121"/>
      <c r="BX1112" s="121"/>
      <c r="BY1112" s="121"/>
      <c r="BZ1112" s="121"/>
    </row>
    <row r="1113" spans="60:78">
      <c r="BH1113" s="29"/>
      <c r="BI1113" s="29"/>
      <c r="BJ1113" s="29"/>
      <c r="BK1113" s="29"/>
      <c r="BL1113" s="29"/>
      <c r="BM1113" s="121"/>
      <c r="BN1113" s="121"/>
      <c r="BO1113" s="121"/>
      <c r="BP1113" s="121"/>
      <c r="BQ1113" s="121"/>
      <c r="BR1113" s="121"/>
      <c r="BS1113" s="121"/>
      <c r="BT1113" s="121"/>
      <c r="BU1113" s="121"/>
      <c r="BV1113" s="121"/>
      <c r="BW1113" s="121"/>
      <c r="BX1113" s="121"/>
      <c r="BY1113" s="121"/>
      <c r="BZ1113" s="121"/>
    </row>
    <row r="1114" spans="60:78">
      <c r="BH1114" s="29"/>
      <c r="BI1114" s="29"/>
      <c r="BJ1114" s="29"/>
      <c r="BK1114" s="29"/>
      <c r="BL1114" s="29"/>
      <c r="BM1114" s="121"/>
      <c r="BN1114" s="121"/>
      <c r="BO1114" s="121"/>
      <c r="BP1114" s="121"/>
      <c r="BQ1114" s="121"/>
      <c r="BR1114" s="121"/>
      <c r="BS1114" s="121"/>
      <c r="BT1114" s="121"/>
      <c r="BU1114" s="121"/>
      <c r="BV1114" s="121"/>
      <c r="BW1114" s="121"/>
      <c r="BX1114" s="121"/>
      <c r="BY1114" s="121"/>
      <c r="BZ1114" s="121"/>
    </row>
    <row r="1115" spans="60:78">
      <c r="BH1115" s="29"/>
      <c r="BI1115" s="29"/>
      <c r="BJ1115" s="29"/>
      <c r="BK1115" s="29"/>
      <c r="BL1115" s="29"/>
      <c r="BM1115" s="121"/>
      <c r="BN1115" s="121"/>
      <c r="BO1115" s="121"/>
      <c r="BP1115" s="121"/>
      <c r="BQ1115" s="121"/>
      <c r="BR1115" s="121"/>
      <c r="BS1115" s="121"/>
      <c r="BT1115" s="121"/>
      <c r="BU1115" s="121"/>
      <c r="BV1115" s="121"/>
      <c r="BW1115" s="121"/>
      <c r="BX1115" s="121"/>
      <c r="BY1115" s="121"/>
      <c r="BZ1115" s="121"/>
    </row>
    <row r="1116" spans="60:78">
      <c r="BH1116" s="29"/>
      <c r="BI1116" s="29"/>
      <c r="BJ1116" s="29"/>
      <c r="BK1116" s="29"/>
      <c r="BL1116" s="29"/>
      <c r="BM1116" s="121"/>
      <c r="BN1116" s="121"/>
      <c r="BO1116" s="121"/>
      <c r="BP1116" s="121"/>
      <c r="BQ1116" s="121"/>
      <c r="BR1116" s="121"/>
      <c r="BS1116" s="121"/>
      <c r="BT1116" s="121"/>
      <c r="BU1116" s="121"/>
      <c r="BV1116" s="121"/>
      <c r="BW1116" s="121"/>
      <c r="BX1116" s="121"/>
      <c r="BY1116" s="121"/>
      <c r="BZ1116" s="121"/>
    </row>
    <row r="1117" spans="60:78">
      <c r="BH1117" s="29"/>
      <c r="BI1117" s="29"/>
      <c r="BJ1117" s="29"/>
      <c r="BK1117" s="29"/>
      <c r="BL1117" s="29"/>
      <c r="BM1117" s="121"/>
      <c r="BN1117" s="121"/>
      <c r="BO1117" s="121"/>
      <c r="BP1117" s="121"/>
      <c r="BQ1117" s="121"/>
      <c r="BR1117" s="121"/>
      <c r="BS1117" s="121"/>
      <c r="BT1117" s="121"/>
      <c r="BU1117" s="121"/>
      <c r="BV1117" s="121"/>
      <c r="BW1117" s="121"/>
      <c r="BX1117" s="121"/>
      <c r="BY1117" s="121"/>
      <c r="BZ1117" s="121"/>
    </row>
    <row r="1118" spans="60:78">
      <c r="BH1118" s="29"/>
      <c r="BI1118" s="29"/>
      <c r="BJ1118" s="29"/>
      <c r="BK1118" s="29"/>
      <c r="BL1118" s="29"/>
      <c r="BM1118" s="121"/>
      <c r="BN1118" s="121"/>
      <c r="BO1118" s="121"/>
      <c r="BP1118" s="121"/>
      <c r="BQ1118" s="121"/>
      <c r="BR1118" s="121"/>
      <c r="BS1118" s="121"/>
      <c r="BT1118" s="121"/>
      <c r="BU1118" s="121"/>
      <c r="BV1118" s="121"/>
      <c r="BW1118" s="121"/>
      <c r="BX1118" s="121"/>
      <c r="BY1118" s="121"/>
      <c r="BZ1118" s="121"/>
    </row>
    <row r="1119" spans="60:78">
      <c r="BH1119" s="29"/>
      <c r="BI1119" s="29"/>
      <c r="BJ1119" s="29"/>
      <c r="BK1119" s="29"/>
      <c r="BL1119" s="29"/>
      <c r="BM1119" s="121"/>
      <c r="BN1119" s="121"/>
      <c r="BO1119" s="121"/>
      <c r="BP1119" s="121"/>
      <c r="BQ1119" s="121"/>
      <c r="BR1119" s="121"/>
      <c r="BS1119" s="121"/>
      <c r="BT1119" s="121"/>
      <c r="BU1119" s="121"/>
      <c r="BV1119" s="121"/>
      <c r="BW1119" s="121"/>
      <c r="BX1119" s="121"/>
      <c r="BY1119" s="121"/>
      <c r="BZ1119" s="121"/>
    </row>
    <row r="1120" spans="60:78">
      <c r="BH1120" s="29"/>
      <c r="BI1120" s="29"/>
      <c r="BJ1120" s="29"/>
      <c r="BK1120" s="29"/>
      <c r="BL1120" s="29"/>
      <c r="BM1120" s="121"/>
      <c r="BN1120" s="121"/>
      <c r="BO1120" s="121"/>
      <c r="BP1120" s="121"/>
      <c r="BQ1120" s="121"/>
      <c r="BR1120" s="121"/>
      <c r="BS1120" s="121"/>
      <c r="BT1120" s="121"/>
      <c r="BU1120" s="121"/>
      <c r="BV1120" s="121"/>
      <c r="BW1120" s="121"/>
      <c r="BX1120" s="121"/>
      <c r="BY1120" s="121"/>
      <c r="BZ1120" s="121"/>
    </row>
    <row r="1121" spans="60:78">
      <c r="BH1121" s="29"/>
      <c r="BI1121" s="29"/>
      <c r="BJ1121" s="29"/>
      <c r="BK1121" s="29"/>
      <c r="BL1121" s="29"/>
      <c r="BM1121" s="121"/>
      <c r="BN1121" s="121"/>
      <c r="BO1121" s="121"/>
      <c r="BP1121" s="121"/>
      <c r="BQ1121" s="121"/>
      <c r="BR1121" s="121"/>
      <c r="BS1121" s="121"/>
      <c r="BT1121" s="121"/>
      <c r="BU1121" s="121"/>
      <c r="BV1121" s="121"/>
      <c r="BW1121" s="121"/>
      <c r="BX1121" s="121"/>
      <c r="BY1121" s="121"/>
      <c r="BZ1121" s="121"/>
    </row>
    <row r="1122" spans="60:78">
      <c r="BH1122" s="29"/>
      <c r="BI1122" s="29"/>
      <c r="BJ1122" s="29"/>
      <c r="BK1122" s="29"/>
      <c r="BL1122" s="29"/>
      <c r="BM1122" s="121"/>
      <c r="BN1122" s="121"/>
      <c r="BO1122" s="121"/>
      <c r="BP1122" s="121"/>
      <c r="BQ1122" s="121"/>
      <c r="BR1122" s="121"/>
      <c r="BS1122" s="121"/>
      <c r="BT1122" s="121"/>
      <c r="BU1122" s="121"/>
      <c r="BV1122" s="121"/>
      <c r="BW1122" s="121"/>
      <c r="BX1122" s="121"/>
      <c r="BY1122" s="121"/>
      <c r="BZ1122" s="121"/>
    </row>
    <row r="1123" spans="60:78">
      <c r="BH1123" s="29"/>
      <c r="BI1123" s="29"/>
      <c r="BJ1123" s="29"/>
      <c r="BK1123" s="29"/>
      <c r="BL1123" s="29"/>
      <c r="BM1123" s="121"/>
      <c r="BN1123" s="121"/>
      <c r="BO1123" s="121"/>
      <c r="BP1123" s="121"/>
      <c r="BQ1123" s="121"/>
      <c r="BR1123" s="121"/>
      <c r="BS1123" s="121"/>
      <c r="BT1123" s="121"/>
      <c r="BU1123" s="121"/>
      <c r="BV1123" s="121"/>
      <c r="BW1123" s="121"/>
      <c r="BX1123" s="121"/>
      <c r="BY1123" s="121"/>
      <c r="BZ1123" s="121"/>
    </row>
    <row r="1124" spans="60:78">
      <c r="BH1124" s="29"/>
      <c r="BI1124" s="29"/>
      <c r="BJ1124" s="29"/>
      <c r="BK1124" s="29"/>
      <c r="BL1124" s="29"/>
      <c r="BM1124" s="121"/>
      <c r="BN1124" s="121"/>
      <c r="BO1124" s="121"/>
      <c r="BP1124" s="121"/>
      <c r="BQ1124" s="121"/>
      <c r="BR1124" s="121"/>
      <c r="BS1124" s="121"/>
      <c r="BT1124" s="121"/>
      <c r="BU1124" s="121"/>
      <c r="BV1124" s="121"/>
      <c r="BW1124" s="121"/>
      <c r="BX1124" s="121"/>
      <c r="BY1124" s="121"/>
      <c r="BZ1124" s="121"/>
    </row>
    <row r="1125" spans="60:78">
      <c r="BH1125" s="29"/>
      <c r="BI1125" s="29"/>
      <c r="BJ1125" s="29"/>
      <c r="BK1125" s="29"/>
      <c r="BL1125" s="29"/>
      <c r="BM1125" s="121"/>
      <c r="BN1125" s="121"/>
      <c r="BO1125" s="121"/>
      <c r="BP1125" s="121"/>
      <c r="BQ1125" s="121"/>
      <c r="BR1125" s="121"/>
      <c r="BS1125" s="121"/>
      <c r="BT1125" s="121"/>
      <c r="BU1125" s="121"/>
      <c r="BV1125" s="121"/>
      <c r="BW1125" s="121"/>
      <c r="BX1125" s="121"/>
      <c r="BY1125" s="121"/>
      <c r="BZ1125" s="121"/>
    </row>
    <row r="1126" spans="60:78">
      <c r="BH1126" s="29"/>
      <c r="BI1126" s="29"/>
      <c r="BJ1126" s="29"/>
      <c r="BK1126" s="29"/>
      <c r="BL1126" s="29"/>
      <c r="BM1126" s="121"/>
      <c r="BN1126" s="121"/>
      <c r="BO1126" s="121"/>
      <c r="BP1126" s="121"/>
      <c r="BQ1126" s="121"/>
      <c r="BR1126" s="121"/>
      <c r="BS1126" s="121"/>
      <c r="BT1126" s="121"/>
      <c r="BU1126" s="121"/>
      <c r="BV1126" s="121"/>
      <c r="BW1126" s="121"/>
      <c r="BX1126" s="121"/>
      <c r="BY1126" s="121"/>
      <c r="BZ1126" s="121"/>
    </row>
    <row r="1127" spans="60:78">
      <c r="BH1127" s="29"/>
      <c r="BI1127" s="29"/>
      <c r="BJ1127" s="29"/>
      <c r="BK1127" s="29"/>
      <c r="BL1127" s="29"/>
      <c r="BM1127" s="121"/>
      <c r="BN1127" s="121"/>
      <c r="BO1127" s="121"/>
      <c r="BP1127" s="121"/>
      <c r="BQ1127" s="121"/>
      <c r="BR1127" s="121"/>
      <c r="BS1127" s="121"/>
      <c r="BT1127" s="121"/>
      <c r="BU1127" s="121"/>
      <c r="BV1127" s="121"/>
      <c r="BW1127" s="121"/>
      <c r="BX1127" s="121"/>
      <c r="BY1127" s="121"/>
      <c r="BZ1127" s="121"/>
    </row>
    <row r="1128" spans="60:78">
      <c r="BH1128" s="29"/>
      <c r="BI1128" s="29"/>
      <c r="BJ1128" s="29"/>
      <c r="BK1128" s="29"/>
      <c r="BL1128" s="29"/>
      <c r="BM1128" s="121"/>
      <c r="BN1128" s="121"/>
      <c r="BO1128" s="121"/>
      <c r="BP1128" s="121"/>
      <c r="BQ1128" s="121"/>
      <c r="BR1128" s="121"/>
      <c r="BS1128" s="121"/>
      <c r="BT1128" s="121"/>
      <c r="BU1128" s="121"/>
      <c r="BV1128" s="121"/>
      <c r="BW1128" s="121"/>
      <c r="BX1128" s="121"/>
      <c r="BY1128" s="121"/>
      <c r="BZ1128" s="121"/>
    </row>
    <row r="1129" spans="60:78">
      <c r="BH1129" s="29"/>
      <c r="BI1129" s="29"/>
      <c r="BJ1129" s="29"/>
      <c r="BK1129" s="29"/>
      <c r="BL1129" s="29"/>
      <c r="BM1129" s="121"/>
      <c r="BN1129" s="121"/>
      <c r="BO1129" s="121"/>
      <c r="BP1129" s="121"/>
      <c r="BQ1129" s="121"/>
      <c r="BR1129" s="121"/>
      <c r="BS1129" s="121"/>
      <c r="BT1129" s="121"/>
      <c r="BU1129" s="121"/>
      <c r="BV1129" s="121"/>
      <c r="BW1129" s="121"/>
      <c r="BX1129" s="121"/>
      <c r="BY1129" s="121"/>
      <c r="BZ1129" s="121"/>
    </row>
    <row r="1130" spans="60:78">
      <c r="BH1130" s="29"/>
      <c r="BI1130" s="29"/>
      <c r="BJ1130" s="29"/>
      <c r="BK1130" s="29"/>
      <c r="BL1130" s="29"/>
      <c r="BM1130" s="121"/>
      <c r="BN1130" s="121"/>
      <c r="BO1130" s="121"/>
      <c r="BP1130" s="121"/>
      <c r="BQ1130" s="121"/>
      <c r="BR1130" s="121"/>
      <c r="BS1130" s="121"/>
      <c r="BT1130" s="121"/>
      <c r="BU1130" s="121"/>
      <c r="BV1130" s="121"/>
      <c r="BW1130" s="121"/>
      <c r="BX1130" s="121"/>
      <c r="BY1130" s="121"/>
      <c r="BZ1130" s="121"/>
    </row>
    <row r="1131" spans="60:78">
      <c r="BH1131" s="29"/>
      <c r="BI1131" s="29"/>
      <c r="BJ1131" s="29"/>
      <c r="BK1131" s="29"/>
      <c r="BL1131" s="29"/>
      <c r="BM1131" s="121"/>
      <c r="BN1131" s="121"/>
      <c r="BO1131" s="121"/>
      <c r="BP1131" s="121"/>
      <c r="BQ1131" s="121"/>
      <c r="BR1131" s="121"/>
      <c r="BS1131" s="121"/>
      <c r="BT1131" s="121"/>
      <c r="BU1131" s="121"/>
      <c r="BV1131" s="121"/>
      <c r="BW1131" s="121"/>
      <c r="BX1131" s="121"/>
      <c r="BY1131" s="121"/>
      <c r="BZ1131" s="121"/>
    </row>
    <row r="1132" spans="60:78">
      <c r="BH1132" s="29"/>
      <c r="BI1132" s="29"/>
      <c r="BJ1132" s="29"/>
      <c r="BK1132" s="29"/>
      <c r="BL1132" s="29"/>
      <c r="BM1132" s="121"/>
      <c r="BN1132" s="121"/>
      <c r="BO1132" s="121"/>
      <c r="BP1132" s="121"/>
      <c r="BQ1132" s="121"/>
      <c r="BR1132" s="121"/>
      <c r="BS1132" s="121"/>
      <c r="BT1132" s="121"/>
      <c r="BU1132" s="121"/>
      <c r="BV1132" s="121"/>
      <c r="BW1132" s="121"/>
      <c r="BX1132" s="121"/>
      <c r="BY1132" s="121"/>
      <c r="BZ1132" s="121"/>
    </row>
    <row r="1133" spans="60:78">
      <c r="BH1133" s="29"/>
      <c r="BI1133" s="29"/>
      <c r="BJ1133" s="29"/>
      <c r="BK1133" s="29"/>
      <c r="BL1133" s="29"/>
      <c r="BM1133" s="121"/>
      <c r="BN1133" s="121"/>
      <c r="BO1133" s="121"/>
      <c r="BP1133" s="121"/>
      <c r="BQ1133" s="121"/>
      <c r="BR1133" s="121"/>
      <c r="BS1133" s="121"/>
      <c r="BT1133" s="121"/>
      <c r="BU1133" s="121"/>
      <c r="BV1133" s="121"/>
      <c r="BW1133" s="121"/>
      <c r="BX1133" s="121"/>
      <c r="BY1133" s="121"/>
      <c r="BZ1133" s="121"/>
    </row>
    <row r="1134" spans="60:78">
      <c r="BH1134" s="29"/>
      <c r="BI1134" s="29"/>
      <c r="BJ1134" s="29"/>
      <c r="BK1134" s="29"/>
      <c r="BL1134" s="29"/>
      <c r="BM1134" s="121"/>
      <c r="BN1134" s="121"/>
      <c r="BO1134" s="121"/>
      <c r="BP1134" s="121"/>
      <c r="BQ1134" s="121"/>
      <c r="BR1134" s="121"/>
      <c r="BS1134" s="121"/>
      <c r="BT1134" s="121"/>
      <c r="BU1134" s="121"/>
      <c r="BV1134" s="121"/>
      <c r="BW1134" s="121"/>
      <c r="BX1134" s="121"/>
      <c r="BY1134" s="121"/>
      <c r="BZ1134" s="121"/>
    </row>
    <row r="1135" spans="60:78">
      <c r="BH1135" s="29"/>
      <c r="BI1135" s="29"/>
      <c r="BJ1135" s="29"/>
      <c r="BK1135" s="29"/>
      <c r="BL1135" s="29"/>
      <c r="BM1135" s="121"/>
      <c r="BN1135" s="121"/>
      <c r="BO1135" s="121"/>
      <c r="BP1135" s="121"/>
      <c r="BQ1135" s="121"/>
      <c r="BR1135" s="121"/>
      <c r="BS1135" s="121"/>
      <c r="BT1135" s="121"/>
      <c r="BU1135" s="121"/>
      <c r="BV1135" s="121"/>
      <c r="BW1135" s="121"/>
      <c r="BX1135" s="121"/>
      <c r="BY1135" s="121"/>
      <c r="BZ1135" s="121"/>
    </row>
    <row r="1136" spans="60:78">
      <c r="BH1136" s="29"/>
      <c r="BI1136" s="29"/>
      <c r="BJ1136" s="29"/>
      <c r="BK1136" s="29"/>
      <c r="BL1136" s="29"/>
      <c r="BM1136" s="121"/>
      <c r="BN1136" s="121"/>
      <c r="BO1136" s="121"/>
      <c r="BP1136" s="121"/>
      <c r="BQ1136" s="121"/>
      <c r="BR1136" s="121"/>
      <c r="BS1136" s="121"/>
      <c r="BT1136" s="121"/>
      <c r="BU1136" s="121"/>
      <c r="BV1136" s="121"/>
      <c r="BW1136" s="121"/>
      <c r="BX1136" s="121"/>
      <c r="BY1136" s="121"/>
      <c r="BZ1136" s="121"/>
    </row>
    <row r="1137" spans="60:78">
      <c r="BH1137" s="29"/>
      <c r="BI1137" s="29"/>
      <c r="BJ1137" s="29"/>
      <c r="BK1137" s="29"/>
      <c r="BL1137" s="29"/>
      <c r="BM1137" s="121"/>
      <c r="BN1137" s="121"/>
      <c r="BO1137" s="121"/>
      <c r="BP1137" s="121"/>
      <c r="BQ1137" s="121"/>
      <c r="BR1137" s="121"/>
      <c r="BS1137" s="121"/>
      <c r="BT1137" s="121"/>
      <c r="BU1137" s="121"/>
      <c r="BV1137" s="121"/>
      <c r="BW1137" s="121"/>
      <c r="BX1137" s="121"/>
      <c r="BY1137" s="121"/>
      <c r="BZ1137" s="121"/>
    </row>
    <row r="1138" spans="60:78">
      <c r="BH1138" s="29"/>
      <c r="BI1138" s="29"/>
      <c r="BJ1138" s="29"/>
      <c r="BK1138" s="29"/>
      <c r="BL1138" s="29"/>
      <c r="BM1138" s="121"/>
      <c r="BN1138" s="121"/>
      <c r="BO1138" s="121"/>
      <c r="BP1138" s="121"/>
      <c r="BQ1138" s="121"/>
      <c r="BR1138" s="121"/>
      <c r="BS1138" s="121"/>
      <c r="BT1138" s="121"/>
      <c r="BU1138" s="121"/>
      <c r="BV1138" s="121"/>
      <c r="BW1138" s="121"/>
      <c r="BX1138" s="121"/>
      <c r="BY1138" s="121"/>
      <c r="BZ1138" s="121"/>
    </row>
    <row r="1139" spans="60:78">
      <c r="BH1139" s="29"/>
      <c r="BI1139" s="29"/>
      <c r="BJ1139" s="29"/>
      <c r="BK1139" s="29"/>
      <c r="BL1139" s="29"/>
      <c r="BM1139" s="121"/>
      <c r="BN1139" s="121"/>
      <c r="BO1139" s="121"/>
      <c r="BP1139" s="121"/>
      <c r="BQ1139" s="121"/>
      <c r="BR1139" s="121"/>
      <c r="BS1139" s="121"/>
      <c r="BT1139" s="121"/>
      <c r="BU1139" s="121"/>
      <c r="BV1139" s="121"/>
      <c r="BW1139" s="121"/>
      <c r="BX1139" s="121"/>
      <c r="BY1139" s="121"/>
      <c r="BZ1139" s="121"/>
    </row>
    <row r="1140" spans="60:78">
      <c r="BH1140" s="29"/>
      <c r="BI1140" s="29"/>
      <c r="BJ1140" s="29"/>
      <c r="BK1140" s="29"/>
      <c r="BL1140" s="29"/>
      <c r="BM1140" s="121"/>
      <c r="BN1140" s="121"/>
      <c r="BO1140" s="121"/>
      <c r="BP1140" s="121"/>
      <c r="BQ1140" s="121"/>
      <c r="BR1140" s="121"/>
      <c r="BS1140" s="121"/>
      <c r="BT1140" s="121"/>
      <c r="BU1140" s="121"/>
      <c r="BV1140" s="121"/>
      <c r="BW1140" s="121"/>
      <c r="BX1140" s="121"/>
      <c r="BY1140" s="121"/>
      <c r="BZ1140" s="121"/>
    </row>
    <row r="1141" spans="60:78">
      <c r="BH1141" s="29"/>
      <c r="BI1141" s="29"/>
      <c r="BJ1141" s="29"/>
      <c r="BK1141" s="29"/>
      <c r="BL1141" s="29"/>
      <c r="BM1141" s="121"/>
      <c r="BN1141" s="121"/>
      <c r="BO1141" s="121"/>
      <c r="BP1141" s="121"/>
      <c r="BQ1141" s="121"/>
      <c r="BR1141" s="121"/>
      <c r="BS1141" s="121"/>
      <c r="BT1141" s="121"/>
      <c r="BU1141" s="121"/>
      <c r="BV1141" s="121"/>
      <c r="BW1141" s="121"/>
      <c r="BX1141" s="121"/>
      <c r="BY1141" s="121"/>
      <c r="BZ1141" s="121"/>
    </row>
    <row r="1142" spans="60:78">
      <c r="BH1142" s="29"/>
      <c r="BI1142" s="29"/>
      <c r="BJ1142" s="29"/>
      <c r="BK1142" s="29"/>
      <c r="BL1142" s="29"/>
      <c r="BM1142" s="121"/>
      <c r="BN1142" s="121"/>
      <c r="BO1142" s="121"/>
      <c r="BP1142" s="121"/>
      <c r="BQ1142" s="121"/>
      <c r="BR1142" s="121"/>
      <c r="BS1142" s="121"/>
      <c r="BT1142" s="121"/>
      <c r="BU1142" s="121"/>
      <c r="BV1142" s="121"/>
      <c r="BW1142" s="121"/>
      <c r="BX1142" s="121"/>
      <c r="BY1142" s="121"/>
      <c r="BZ1142" s="121"/>
    </row>
    <row r="1143" spans="60:78">
      <c r="BH1143" s="29"/>
      <c r="BI1143" s="29"/>
      <c r="BJ1143" s="29"/>
      <c r="BK1143" s="29"/>
      <c r="BL1143" s="29"/>
      <c r="BM1143" s="121"/>
      <c r="BN1143" s="121"/>
      <c r="BO1143" s="121"/>
      <c r="BP1143" s="121"/>
      <c r="BQ1143" s="121"/>
      <c r="BR1143" s="121"/>
      <c r="BS1143" s="121"/>
      <c r="BT1143" s="121"/>
      <c r="BU1143" s="121"/>
      <c r="BV1143" s="121"/>
      <c r="BW1143" s="121"/>
      <c r="BX1143" s="121"/>
      <c r="BY1143" s="121"/>
      <c r="BZ1143" s="121"/>
    </row>
    <row r="1144" spans="60:78">
      <c r="BH1144" s="29"/>
      <c r="BI1144" s="29"/>
      <c r="BJ1144" s="29"/>
      <c r="BK1144" s="29"/>
      <c r="BL1144" s="29"/>
      <c r="BM1144" s="121"/>
      <c r="BN1144" s="121"/>
      <c r="BO1144" s="121"/>
      <c r="BP1144" s="121"/>
      <c r="BQ1144" s="121"/>
      <c r="BR1144" s="121"/>
      <c r="BS1144" s="121"/>
      <c r="BT1144" s="121"/>
      <c r="BU1144" s="121"/>
      <c r="BV1144" s="121"/>
      <c r="BW1144" s="121"/>
      <c r="BX1144" s="121"/>
      <c r="BY1144" s="121"/>
      <c r="BZ1144" s="121"/>
    </row>
    <row r="1145" spans="60:78">
      <c r="BH1145" s="29"/>
      <c r="BI1145" s="29"/>
      <c r="BJ1145" s="29"/>
      <c r="BK1145" s="29"/>
      <c r="BL1145" s="29"/>
      <c r="BM1145" s="121"/>
      <c r="BN1145" s="121"/>
      <c r="BO1145" s="121"/>
      <c r="BP1145" s="121"/>
      <c r="BQ1145" s="121"/>
      <c r="BR1145" s="121"/>
      <c r="BS1145" s="121"/>
      <c r="BT1145" s="121"/>
      <c r="BU1145" s="121"/>
      <c r="BV1145" s="121"/>
      <c r="BW1145" s="121"/>
      <c r="BX1145" s="121"/>
      <c r="BY1145" s="121"/>
      <c r="BZ1145" s="121"/>
    </row>
    <row r="1146" spans="60:78">
      <c r="BH1146" s="29"/>
      <c r="BI1146" s="29"/>
      <c r="BJ1146" s="29"/>
      <c r="BK1146" s="29"/>
      <c r="BL1146" s="29"/>
      <c r="BM1146" s="121"/>
      <c r="BN1146" s="121"/>
      <c r="BO1146" s="121"/>
      <c r="BP1146" s="121"/>
      <c r="BQ1146" s="121"/>
      <c r="BR1146" s="121"/>
      <c r="BS1146" s="121"/>
      <c r="BT1146" s="121"/>
      <c r="BU1146" s="121"/>
      <c r="BV1146" s="121"/>
      <c r="BW1146" s="121"/>
      <c r="BX1146" s="121"/>
      <c r="BY1146" s="121"/>
      <c r="BZ1146" s="121"/>
    </row>
    <row r="1147" spans="60:78">
      <c r="BH1147" s="29"/>
      <c r="BI1147" s="29"/>
      <c r="BJ1147" s="29"/>
      <c r="BK1147" s="29"/>
      <c r="BL1147" s="29"/>
      <c r="BM1147" s="121"/>
      <c r="BN1147" s="121"/>
      <c r="BO1147" s="121"/>
      <c r="BP1147" s="121"/>
      <c r="BQ1147" s="121"/>
      <c r="BR1147" s="121"/>
      <c r="BS1147" s="121"/>
      <c r="BT1147" s="121"/>
      <c r="BU1147" s="121"/>
      <c r="BV1147" s="121"/>
      <c r="BW1147" s="121"/>
      <c r="BX1147" s="121"/>
      <c r="BY1147" s="121"/>
      <c r="BZ1147" s="121"/>
    </row>
    <row r="1148" spans="60:78">
      <c r="BH1148" s="29"/>
      <c r="BI1148" s="29"/>
      <c r="BJ1148" s="29"/>
      <c r="BK1148" s="29"/>
      <c r="BL1148" s="29"/>
      <c r="BM1148" s="121"/>
      <c r="BN1148" s="121"/>
      <c r="BO1148" s="121"/>
      <c r="BP1148" s="121"/>
      <c r="BQ1148" s="121"/>
      <c r="BR1148" s="121"/>
      <c r="BS1148" s="121"/>
      <c r="BT1148" s="121"/>
      <c r="BU1148" s="121"/>
      <c r="BV1148" s="121"/>
      <c r="BW1148" s="121"/>
      <c r="BX1148" s="121"/>
      <c r="BY1148" s="121"/>
      <c r="BZ1148" s="121"/>
    </row>
    <row r="1149" spans="60:78">
      <c r="BH1149" s="29"/>
      <c r="BI1149" s="29"/>
      <c r="BJ1149" s="29"/>
      <c r="BK1149" s="29"/>
      <c r="BL1149" s="29"/>
      <c r="BM1149" s="121"/>
      <c r="BN1149" s="121"/>
      <c r="BO1149" s="121"/>
      <c r="BP1149" s="121"/>
      <c r="BQ1149" s="121"/>
      <c r="BR1149" s="121"/>
      <c r="BS1149" s="121"/>
      <c r="BT1149" s="121"/>
      <c r="BU1149" s="121"/>
      <c r="BV1149" s="121"/>
      <c r="BW1149" s="121"/>
      <c r="BX1149" s="121"/>
      <c r="BY1149" s="121"/>
      <c r="BZ1149" s="121"/>
    </row>
    <row r="1150" spans="60:78">
      <c r="BH1150" s="29"/>
      <c r="BI1150" s="29"/>
      <c r="BJ1150" s="29"/>
      <c r="BK1150" s="29"/>
      <c r="BL1150" s="29"/>
      <c r="BM1150" s="121"/>
      <c r="BN1150" s="121"/>
      <c r="BO1150" s="121"/>
      <c r="BP1150" s="121"/>
      <c r="BQ1150" s="121"/>
      <c r="BR1150" s="121"/>
      <c r="BS1150" s="121"/>
      <c r="BT1150" s="121"/>
      <c r="BU1150" s="121"/>
      <c r="BV1150" s="121"/>
      <c r="BW1150" s="121"/>
      <c r="BX1150" s="121"/>
      <c r="BY1150" s="121"/>
      <c r="BZ1150" s="121"/>
    </row>
    <row r="1151" spans="60:78">
      <c r="BH1151" s="29"/>
      <c r="BI1151" s="29"/>
      <c r="BJ1151" s="29"/>
      <c r="BK1151" s="29"/>
      <c r="BL1151" s="29"/>
      <c r="BM1151" s="121"/>
      <c r="BN1151" s="121"/>
      <c r="BO1151" s="121"/>
      <c r="BP1151" s="121"/>
      <c r="BQ1151" s="121"/>
      <c r="BR1151" s="121"/>
      <c r="BS1151" s="121"/>
      <c r="BT1151" s="121"/>
      <c r="BU1151" s="121"/>
      <c r="BV1151" s="121"/>
      <c r="BW1151" s="121"/>
      <c r="BX1151" s="121"/>
      <c r="BY1151" s="121"/>
      <c r="BZ1151" s="121"/>
    </row>
    <row r="1152" spans="60:78">
      <c r="BH1152" s="29"/>
      <c r="BI1152" s="29"/>
      <c r="BJ1152" s="29"/>
      <c r="BK1152" s="29"/>
      <c r="BL1152" s="29"/>
      <c r="BM1152" s="121"/>
      <c r="BN1152" s="121"/>
      <c r="BO1152" s="121"/>
      <c r="BP1152" s="121"/>
      <c r="BQ1152" s="121"/>
      <c r="BR1152" s="121"/>
      <c r="BS1152" s="121"/>
      <c r="BT1152" s="121"/>
      <c r="BU1152" s="121"/>
      <c r="BV1152" s="121"/>
      <c r="BW1152" s="121"/>
      <c r="BX1152" s="121"/>
      <c r="BY1152" s="121"/>
      <c r="BZ1152" s="121"/>
    </row>
    <row r="1153" spans="60:78">
      <c r="BH1153" s="29"/>
      <c r="BI1153" s="29"/>
      <c r="BJ1153" s="29"/>
      <c r="BK1153" s="29"/>
      <c r="BL1153" s="29"/>
      <c r="BM1153" s="121"/>
      <c r="BN1153" s="121"/>
      <c r="BO1153" s="121"/>
      <c r="BP1153" s="121"/>
      <c r="BQ1153" s="121"/>
      <c r="BR1153" s="121"/>
      <c r="BS1153" s="121"/>
      <c r="BT1153" s="121"/>
      <c r="BU1153" s="121"/>
      <c r="BV1153" s="121"/>
      <c r="BW1153" s="121"/>
      <c r="BX1153" s="121"/>
      <c r="BY1153" s="121"/>
      <c r="BZ1153" s="121"/>
    </row>
    <row r="1154" spans="60:78">
      <c r="BH1154" s="29"/>
      <c r="BI1154" s="29"/>
      <c r="BJ1154" s="29"/>
      <c r="BK1154" s="29"/>
      <c r="BL1154" s="29"/>
      <c r="BM1154" s="121"/>
      <c r="BN1154" s="121"/>
      <c r="BO1154" s="121"/>
      <c r="BP1154" s="121"/>
      <c r="BQ1154" s="121"/>
      <c r="BR1154" s="121"/>
      <c r="BS1154" s="121"/>
      <c r="BT1154" s="121"/>
      <c r="BU1154" s="121"/>
      <c r="BV1154" s="121"/>
      <c r="BW1154" s="121"/>
      <c r="BX1154" s="121"/>
      <c r="BY1154" s="121"/>
      <c r="BZ1154" s="121"/>
    </row>
    <row r="1155" spans="60:78">
      <c r="BH1155" s="29"/>
      <c r="BI1155" s="29"/>
      <c r="BJ1155" s="29"/>
      <c r="BK1155" s="29"/>
      <c r="BL1155" s="29"/>
      <c r="BM1155" s="121"/>
      <c r="BN1155" s="121"/>
      <c r="BO1155" s="121"/>
      <c r="BP1155" s="121"/>
      <c r="BQ1155" s="121"/>
      <c r="BR1155" s="121"/>
      <c r="BS1155" s="121"/>
      <c r="BT1155" s="121"/>
      <c r="BU1155" s="121"/>
      <c r="BV1155" s="121"/>
      <c r="BW1155" s="121"/>
      <c r="BX1155" s="121"/>
      <c r="BY1155" s="121"/>
      <c r="BZ1155" s="121"/>
    </row>
    <row r="1156" spans="60:78">
      <c r="BH1156" s="29"/>
      <c r="BI1156" s="29"/>
      <c r="BJ1156" s="29"/>
      <c r="BK1156" s="29"/>
      <c r="BL1156" s="29"/>
      <c r="BM1156" s="121"/>
      <c r="BN1156" s="121"/>
      <c r="BO1156" s="121"/>
      <c r="BP1156" s="121"/>
      <c r="BQ1156" s="121"/>
      <c r="BR1156" s="121"/>
      <c r="BS1156" s="121"/>
      <c r="BT1156" s="121"/>
      <c r="BU1156" s="121"/>
      <c r="BV1156" s="121"/>
      <c r="BW1156" s="121"/>
      <c r="BX1156" s="121"/>
      <c r="BY1156" s="121"/>
      <c r="BZ1156" s="121"/>
    </row>
    <row r="1157" spans="60:78">
      <c r="BH1157" s="29"/>
      <c r="BI1157" s="29"/>
      <c r="BJ1157" s="29"/>
      <c r="BK1157" s="29"/>
      <c r="BL1157" s="29"/>
      <c r="BM1157" s="121"/>
      <c r="BN1157" s="121"/>
      <c r="BO1157" s="121"/>
      <c r="BP1157" s="121"/>
      <c r="BQ1157" s="121"/>
      <c r="BR1157" s="121"/>
      <c r="BS1157" s="121"/>
      <c r="BT1157" s="121"/>
      <c r="BU1157" s="121"/>
      <c r="BV1157" s="121"/>
      <c r="BW1157" s="121"/>
      <c r="BX1157" s="121"/>
      <c r="BY1157" s="121"/>
      <c r="BZ1157" s="121"/>
    </row>
    <row r="1158" spans="60:78">
      <c r="BH1158" s="29"/>
      <c r="BI1158" s="29"/>
      <c r="BJ1158" s="29"/>
      <c r="BK1158" s="29"/>
      <c r="BL1158" s="29"/>
      <c r="BM1158" s="121"/>
      <c r="BN1158" s="121"/>
      <c r="BO1158" s="121"/>
      <c r="BP1158" s="121"/>
      <c r="BQ1158" s="121"/>
      <c r="BR1158" s="121"/>
      <c r="BS1158" s="121"/>
      <c r="BT1158" s="121"/>
      <c r="BU1158" s="121"/>
      <c r="BV1158" s="121"/>
      <c r="BW1158" s="121"/>
      <c r="BX1158" s="121"/>
      <c r="BY1158" s="121"/>
      <c r="BZ1158" s="121"/>
    </row>
    <row r="1159" spans="60:78">
      <c r="BH1159" s="29"/>
      <c r="BI1159" s="29"/>
      <c r="BJ1159" s="29"/>
      <c r="BK1159" s="29"/>
      <c r="BL1159" s="29"/>
      <c r="BM1159" s="121"/>
      <c r="BN1159" s="121"/>
      <c r="BO1159" s="121"/>
      <c r="BP1159" s="121"/>
      <c r="BQ1159" s="121"/>
      <c r="BR1159" s="121"/>
      <c r="BS1159" s="121"/>
      <c r="BT1159" s="121"/>
      <c r="BU1159" s="121"/>
      <c r="BV1159" s="121"/>
      <c r="BW1159" s="121"/>
      <c r="BX1159" s="121"/>
      <c r="BY1159" s="121"/>
      <c r="BZ1159" s="121"/>
    </row>
    <row r="1160" spans="60:78">
      <c r="BH1160" s="29"/>
      <c r="BI1160" s="29"/>
      <c r="BJ1160" s="29"/>
      <c r="BK1160" s="29"/>
      <c r="BL1160" s="29"/>
      <c r="BM1160" s="121"/>
      <c r="BN1160" s="121"/>
      <c r="BO1160" s="121"/>
      <c r="BP1160" s="121"/>
      <c r="BQ1160" s="121"/>
      <c r="BR1160" s="121"/>
      <c r="BS1160" s="121"/>
      <c r="BT1160" s="121"/>
      <c r="BU1160" s="121"/>
      <c r="BV1160" s="121"/>
      <c r="BW1160" s="121"/>
      <c r="BX1160" s="121"/>
      <c r="BY1160" s="121"/>
      <c r="BZ1160" s="121"/>
    </row>
    <row r="1161" spans="60:78">
      <c r="BH1161" s="29"/>
      <c r="BI1161" s="29"/>
      <c r="BJ1161" s="29"/>
      <c r="BK1161" s="29"/>
      <c r="BL1161" s="29"/>
      <c r="BM1161" s="121"/>
      <c r="BN1161" s="121"/>
      <c r="BO1161" s="121"/>
      <c r="BP1161" s="121"/>
      <c r="BQ1161" s="121"/>
      <c r="BR1161" s="121"/>
      <c r="BS1161" s="121"/>
      <c r="BT1161" s="121"/>
      <c r="BU1161" s="121"/>
      <c r="BV1161" s="121"/>
      <c r="BW1161" s="121"/>
      <c r="BX1161" s="121"/>
      <c r="BY1161" s="121"/>
      <c r="BZ1161" s="121"/>
    </row>
    <row r="1162" spans="60:78">
      <c r="BH1162" s="29"/>
      <c r="BI1162" s="29"/>
      <c r="BJ1162" s="29"/>
      <c r="BK1162" s="29"/>
      <c r="BL1162" s="29"/>
      <c r="BM1162" s="121"/>
      <c r="BN1162" s="121"/>
      <c r="BO1162" s="121"/>
      <c r="BP1162" s="121"/>
      <c r="BQ1162" s="121"/>
      <c r="BR1162" s="121"/>
      <c r="BS1162" s="121"/>
      <c r="BT1162" s="121"/>
      <c r="BU1162" s="121"/>
      <c r="BV1162" s="121"/>
      <c r="BW1162" s="121"/>
      <c r="BX1162" s="121"/>
      <c r="BY1162" s="121"/>
      <c r="BZ1162" s="121"/>
    </row>
    <row r="1163" spans="60:78">
      <c r="BH1163" s="29"/>
      <c r="BI1163" s="29"/>
      <c r="BJ1163" s="29"/>
      <c r="BK1163" s="29"/>
      <c r="BL1163" s="29"/>
      <c r="BM1163" s="121"/>
      <c r="BN1163" s="121"/>
      <c r="BO1163" s="121"/>
      <c r="BP1163" s="121"/>
      <c r="BQ1163" s="121"/>
      <c r="BR1163" s="121"/>
      <c r="BS1163" s="121"/>
      <c r="BT1163" s="121"/>
      <c r="BU1163" s="121"/>
      <c r="BV1163" s="121"/>
      <c r="BW1163" s="121"/>
      <c r="BX1163" s="121"/>
      <c r="BY1163" s="121"/>
      <c r="BZ1163" s="121"/>
    </row>
    <row r="1164" spans="60:78">
      <c r="BH1164" s="29"/>
      <c r="BI1164" s="29"/>
      <c r="BJ1164" s="29"/>
      <c r="BK1164" s="29"/>
      <c r="BL1164" s="29"/>
      <c r="BM1164" s="121"/>
      <c r="BN1164" s="121"/>
      <c r="BO1164" s="121"/>
      <c r="BP1164" s="121"/>
      <c r="BQ1164" s="121"/>
      <c r="BR1164" s="121"/>
      <c r="BS1164" s="121"/>
      <c r="BT1164" s="121"/>
      <c r="BU1164" s="121"/>
      <c r="BV1164" s="121"/>
      <c r="BW1164" s="121"/>
      <c r="BX1164" s="121"/>
      <c r="BY1164" s="121"/>
      <c r="BZ1164" s="121"/>
    </row>
    <row r="1165" spans="60:78">
      <c r="BH1165" s="29"/>
      <c r="BI1165" s="29"/>
      <c r="BJ1165" s="29"/>
      <c r="BK1165" s="29"/>
      <c r="BL1165" s="29"/>
      <c r="BM1165" s="121"/>
      <c r="BN1165" s="121"/>
      <c r="BO1165" s="121"/>
      <c r="BP1165" s="121"/>
      <c r="BQ1165" s="121"/>
      <c r="BR1165" s="121"/>
      <c r="BS1165" s="121"/>
      <c r="BT1165" s="121"/>
      <c r="BU1165" s="121"/>
      <c r="BV1165" s="121"/>
      <c r="BW1165" s="121"/>
      <c r="BX1165" s="121"/>
      <c r="BY1165" s="121"/>
      <c r="BZ1165" s="121"/>
    </row>
    <row r="1166" spans="60:78">
      <c r="BH1166" s="29"/>
      <c r="BI1166" s="29"/>
      <c r="BJ1166" s="29"/>
      <c r="BK1166" s="29"/>
      <c r="BL1166" s="29"/>
      <c r="BM1166" s="121"/>
      <c r="BN1166" s="121"/>
      <c r="BO1166" s="121"/>
      <c r="BP1166" s="121"/>
      <c r="BQ1166" s="121"/>
      <c r="BR1166" s="121"/>
      <c r="BS1166" s="121"/>
      <c r="BT1166" s="121"/>
      <c r="BU1166" s="121"/>
      <c r="BV1166" s="121"/>
      <c r="BW1166" s="121"/>
      <c r="BX1166" s="121"/>
      <c r="BY1166" s="121"/>
      <c r="BZ1166" s="121"/>
    </row>
    <row r="1167" spans="60:78">
      <c r="BH1167" s="29"/>
      <c r="BI1167" s="29"/>
      <c r="BJ1167" s="29"/>
      <c r="BK1167" s="29"/>
      <c r="BL1167" s="29"/>
      <c r="BM1167" s="121"/>
      <c r="BN1167" s="121"/>
      <c r="BO1167" s="121"/>
      <c r="BP1167" s="121"/>
      <c r="BQ1167" s="121"/>
      <c r="BR1167" s="121"/>
      <c r="BS1167" s="121"/>
      <c r="BT1167" s="121"/>
      <c r="BU1167" s="121"/>
      <c r="BV1167" s="121"/>
      <c r="BW1167" s="121"/>
      <c r="BX1167" s="121"/>
      <c r="BY1167" s="121"/>
      <c r="BZ1167" s="121"/>
    </row>
    <row r="1168" spans="60:78">
      <c r="BH1168" s="29"/>
      <c r="BI1168" s="29"/>
      <c r="BJ1168" s="29"/>
      <c r="BK1168" s="29"/>
      <c r="BL1168" s="29"/>
      <c r="BM1168" s="121"/>
      <c r="BN1168" s="121"/>
      <c r="BO1168" s="121"/>
      <c r="BP1168" s="121"/>
      <c r="BQ1168" s="121"/>
      <c r="BR1168" s="121"/>
      <c r="BS1168" s="121"/>
      <c r="BT1168" s="121"/>
      <c r="BU1168" s="121"/>
      <c r="BV1168" s="121"/>
      <c r="BW1168" s="121"/>
      <c r="BX1168" s="121"/>
      <c r="BY1168" s="121"/>
      <c r="BZ1168" s="121"/>
    </row>
    <row r="1169" spans="60:78">
      <c r="BH1169" s="29"/>
      <c r="BI1169" s="29"/>
      <c r="BJ1169" s="29"/>
      <c r="BK1169" s="29"/>
      <c r="BL1169" s="29"/>
      <c r="BM1169" s="121"/>
      <c r="BN1169" s="121"/>
      <c r="BO1169" s="121"/>
      <c r="BP1169" s="121"/>
      <c r="BQ1169" s="121"/>
      <c r="BR1169" s="121"/>
      <c r="BS1169" s="121"/>
      <c r="BT1169" s="121"/>
      <c r="BU1169" s="121"/>
      <c r="BV1169" s="121"/>
      <c r="BW1169" s="121"/>
      <c r="BX1169" s="121"/>
      <c r="BY1169" s="121"/>
      <c r="BZ1169" s="121"/>
    </row>
    <row r="1170" spans="60:78">
      <c r="BH1170" s="29"/>
      <c r="BI1170" s="29"/>
      <c r="BJ1170" s="29"/>
      <c r="BK1170" s="29"/>
      <c r="BL1170" s="29"/>
      <c r="BM1170" s="121"/>
      <c r="BN1170" s="121"/>
      <c r="BO1170" s="121"/>
      <c r="BP1170" s="121"/>
      <c r="BQ1170" s="121"/>
      <c r="BR1170" s="121"/>
      <c r="BS1170" s="121"/>
      <c r="BT1170" s="121"/>
      <c r="BU1170" s="121"/>
      <c r="BV1170" s="121"/>
      <c r="BW1170" s="121"/>
      <c r="BX1170" s="121"/>
      <c r="BY1170" s="121"/>
      <c r="BZ1170" s="121"/>
    </row>
    <row r="1171" spans="60:78">
      <c r="BH1171" s="29"/>
      <c r="BI1171" s="29"/>
      <c r="BJ1171" s="29"/>
      <c r="BK1171" s="29"/>
      <c r="BL1171" s="29"/>
      <c r="BM1171" s="121"/>
      <c r="BN1171" s="121"/>
      <c r="BO1171" s="121"/>
      <c r="BP1171" s="121"/>
      <c r="BQ1171" s="121"/>
      <c r="BR1171" s="121"/>
      <c r="BS1171" s="121"/>
      <c r="BT1171" s="121"/>
      <c r="BU1171" s="121"/>
      <c r="BV1171" s="121"/>
      <c r="BW1171" s="121"/>
      <c r="BX1171" s="121"/>
      <c r="BY1171" s="121"/>
      <c r="BZ1171" s="121"/>
    </row>
    <row r="1172" spans="60:78">
      <c r="BH1172" s="29"/>
      <c r="BI1172" s="29"/>
      <c r="BJ1172" s="29"/>
      <c r="BK1172" s="29"/>
      <c r="BL1172" s="29"/>
      <c r="BM1172" s="121"/>
      <c r="BN1172" s="121"/>
      <c r="BO1172" s="121"/>
      <c r="BP1172" s="121"/>
      <c r="BQ1172" s="121"/>
      <c r="BR1172" s="121"/>
      <c r="BS1172" s="121"/>
      <c r="BT1172" s="121"/>
      <c r="BU1172" s="121"/>
      <c r="BV1172" s="121"/>
      <c r="BW1172" s="121"/>
      <c r="BX1172" s="121"/>
      <c r="BY1172" s="121"/>
      <c r="BZ1172" s="121"/>
    </row>
    <row r="1173" spans="60:78">
      <c r="BH1173" s="29"/>
      <c r="BI1173" s="29"/>
      <c r="BJ1173" s="29"/>
      <c r="BK1173" s="29"/>
      <c r="BL1173" s="29"/>
      <c r="BM1173" s="121"/>
      <c r="BN1173" s="121"/>
      <c r="BO1173" s="121"/>
      <c r="BP1173" s="121"/>
      <c r="BQ1173" s="121"/>
      <c r="BR1173" s="121"/>
      <c r="BS1173" s="121"/>
      <c r="BT1173" s="121"/>
      <c r="BU1173" s="121"/>
      <c r="BV1173" s="121"/>
      <c r="BW1173" s="121"/>
      <c r="BX1173" s="121"/>
      <c r="BY1173" s="121"/>
      <c r="BZ1173" s="121"/>
    </row>
    <row r="1174" spans="60:78">
      <c r="BH1174" s="29"/>
      <c r="BI1174" s="29"/>
      <c r="BJ1174" s="29"/>
      <c r="BK1174" s="29"/>
      <c r="BL1174" s="29"/>
      <c r="BM1174" s="121"/>
      <c r="BN1174" s="121"/>
      <c r="BO1174" s="121"/>
      <c r="BP1174" s="121"/>
      <c r="BQ1174" s="121"/>
      <c r="BR1174" s="121"/>
      <c r="BS1174" s="121"/>
      <c r="BT1174" s="121"/>
      <c r="BU1174" s="121"/>
      <c r="BV1174" s="121"/>
      <c r="BW1174" s="121"/>
      <c r="BX1174" s="121"/>
      <c r="BY1174" s="121"/>
      <c r="BZ1174" s="121"/>
    </row>
    <row r="1175" spans="60:78">
      <c r="BH1175" s="29"/>
      <c r="BI1175" s="29"/>
      <c r="BJ1175" s="29"/>
      <c r="BK1175" s="29"/>
      <c r="BL1175" s="29"/>
      <c r="BM1175" s="121"/>
      <c r="BN1175" s="121"/>
      <c r="BO1175" s="121"/>
      <c r="BP1175" s="121"/>
      <c r="BQ1175" s="121"/>
      <c r="BR1175" s="121"/>
      <c r="BS1175" s="121"/>
      <c r="BT1175" s="121"/>
      <c r="BU1175" s="121"/>
      <c r="BV1175" s="121"/>
      <c r="BW1175" s="121"/>
      <c r="BX1175" s="121"/>
      <c r="BY1175" s="121"/>
      <c r="BZ1175" s="121"/>
    </row>
    <row r="1176" spans="60:78">
      <c r="BH1176" s="29"/>
      <c r="BI1176" s="29"/>
      <c r="BJ1176" s="29"/>
      <c r="BK1176" s="29"/>
      <c r="BL1176" s="29"/>
      <c r="BM1176" s="121"/>
      <c r="BN1176" s="121"/>
      <c r="BO1176" s="121"/>
      <c r="BP1176" s="121"/>
      <c r="BQ1176" s="121"/>
      <c r="BR1176" s="121"/>
      <c r="BS1176" s="121"/>
      <c r="BT1176" s="121"/>
      <c r="BU1176" s="121"/>
      <c r="BV1176" s="121"/>
      <c r="BW1176" s="121"/>
      <c r="BX1176" s="121"/>
      <c r="BY1176" s="121"/>
      <c r="BZ1176" s="121"/>
    </row>
    <row r="1177" spans="60:78">
      <c r="BH1177" s="29"/>
      <c r="BI1177" s="29"/>
      <c r="BJ1177" s="29"/>
      <c r="BK1177" s="29"/>
      <c r="BL1177" s="29"/>
      <c r="BM1177" s="121"/>
      <c r="BN1177" s="121"/>
      <c r="BO1177" s="121"/>
      <c r="BP1177" s="121"/>
      <c r="BQ1177" s="121"/>
      <c r="BR1177" s="121"/>
      <c r="BS1177" s="121"/>
      <c r="BT1177" s="121"/>
      <c r="BU1177" s="121"/>
      <c r="BV1177" s="121"/>
      <c r="BW1177" s="121"/>
      <c r="BX1177" s="121"/>
      <c r="BY1177" s="121"/>
      <c r="BZ1177" s="121"/>
    </row>
    <row r="1178" spans="60:78">
      <c r="BH1178" s="29"/>
      <c r="BI1178" s="29"/>
      <c r="BJ1178" s="29"/>
      <c r="BK1178" s="29"/>
      <c r="BL1178" s="29"/>
      <c r="BM1178" s="121"/>
      <c r="BN1178" s="121"/>
      <c r="BO1178" s="121"/>
      <c r="BP1178" s="121"/>
      <c r="BQ1178" s="121"/>
      <c r="BR1178" s="121"/>
      <c r="BS1178" s="121"/>
      <c r="BT1178" s="121"/>
      <c r="BU1178" s="121"/>
      <c r="BV1178" s="121"/>
      <c r="BW1178" s="121"/>
      <c r="BX1178" s="121"/>
      <c r="BY1178" s="121"/>
      <c r="BZ1178" s="121"/>
    </row>
    <row r="1179" spans="60:78">
      <c r="BH1179" s="29"/>
      <c r="BI1179" s="29"/>
      <c r="BJ1179" s="29"/>
      <c r="BK1179" s="29"/>
      <c r="BL1179" s="29"/>
      <c r="BM1179" s="121"/>
      <c r="BN1179" s="121"/>
      <c r="BO1179" s="121"/>
      <c r="BP1179" s="121"/>
      <c r="BQ1179" s="121"/>
      <c r="BR1179" s="121"/>
      <c r="BS1179" s="121"/>
      <c r="BT1179" s="121"/>
      <c r="BU1179" s="121"/>
      <c r="BV1179" s="121"/>
      <c r="BW1179" s="121"/>
      <c r="BX1179" s="121"/>
      <c r="BY1179" s="121"/>
      <c r="BZ1179" s="121"/>
    </row>
    <row r="1180" spans="60:78">
      <c r="BH1180" s="29"/>
      <c r="BI1180" s="29"/>
      <c r="BJ1180" s="29"/>
      <c r="BK1180" s="29"/>
      <c r="BL1180" s="29"/>
      <c r="BM1180" s="121"/>
      <c r="BN1180" s="121"/>
      <c r="BO1180" s="121"/>
      <c r="BP1180" s="121"/>
      <c r="BQ1180" s="121"/>
      <c r="BR1180" s="121"/>
      <c r="BS1180" s="121"/>
      <c r="BT1180" s="121"/>
      <c r="BU1180" s="121"/>
      <c r="BV1180" s="121"/>
      <c r="BW1180" s="121"/>
      <c r="BX1180" s="121"/>
      <c r="BY1180" s="121"/>
      <c r="BZ1180" s="121"/>
    </row>
    <row r="1181" spans="60:78">
      <c r="BH1181" s="29"/>
      <c r="BI1181" s="29"/>
      <c r="BJ1181" s="29"/>
      <c r="BK1181" s="29"/>
      <c r="BL1181" s="29"/>
      <c r="BM1181" s="121"/>
      <c r="BN1181" s="121"/>
      <c r="BO1181" s="121"/>
      <c r="BP1181" s="121"/>
      <c r="BQ1181" s="121"/>
      <c r="BR1181" s="121"/>
      <c r="BS1181" s="121"/>
      <c r="BT1181" s="121"/>
      <c r="BU1181" s="121"/>
      <c r="BV1181" s="121"/>
      <c r="BW1181" s="121"/>
      <c r="BX1181" s="121"/>
      <c r="BY1181" s="121"/>
      <c r="BZ1181" s="121"/>
    </row>
    <row r="1182" spans="60:78">
      <c r="BH1182" s="29"/>
      <c r="BI1182" s="29"/>
      <c r="BJ1182" s="29"/>
      <c r="BK1182" s="29"/>
      <c r="BL1182" s="29"/>
      <c r="BM1182" s="121"/>
      <c r="BN1182" s="121"/>
      <c r="BO1182" s="121"/>
      <c r="BP1182" s="121"/>
      <c r="BQ1182" s="121"/>
      <c r="BR1182" s="121"/>
      <c r="BS1182" s="121"/>
      <c r="BT1182" s="121"/>
      <c r="BU1182" s="121"/>
      <c r="BV1182" s="121"/>
      <c r="BW1182" s="121"/>
      <c r="BX1182" s="121"/>
      <c r="BY1182" s="121"/>
      <c r="BZ1182" s="121"/>
    </row>
    <row r="1183" spans="60:78">
      <c r="BH1183" s="29"/>
      <c r="BI1183" s="29"/>
      <c r="BJ1183" s="29"/>
      <c r="BK1183" s="29"/>
      <c r="BL1183" s="29"/>
      <c r="BM1183" s="121"/>
      <c r="BN1183" s="121"/>
      <c r="BO1183" s="121"/>
      <c r="BP1183" s="121"/>
      <c r="BQ1183" s="121"/>
      <c r="BR1183" s="121"/>
      <c r="BS1183" s="121"/>
      <c r="BT1183" s="121"/>
      <c r="BU1183" s="121"/>
      <c r="BV1183" s="121"/>
      <c r="BW1183" s="121"/>
      <c r="BX1183" s="121"/>
      <c r="BY1183" s="121"/>
      <c r="BZ1183" s="121"/>
    </row>
    <row r="1184" spans="60:78">
      <c r="BH1184" s="29"/>
      <c r="BI1184" s="29"/>
      <c r="BJ1184" s="29"/>
      <c r="BK1184" s="29"/>
      <c r="BL1184" s="29"/>
      <c r="BM1184" s="121"/>
      <c r="BN1184" s="121"/>
      <c r="BO1184" s="121"/>
      <c r="BP1184" s="121"/>
      <c r="BQ1184" s="121"/>
      <c r="BR1184" s="121"/>
      <c r="BS1184" s="121"/>
      <c r="BT1184" s="121"/>
      <c r="BU1184" s="121"/>
      <c r="BV1184" s="121"/>
      <c r="BW1184" s="121"/>
      <c r="BX1184" s="121"/>
      <c r="BY1184" s="121"/>
      <c r="BZ1184" s="121"/>
    </row>
    <row r="1185" spans="60:78">
      <c r="BH1185" s="29"/>
      <c r="BI1185" s="29"/>
      <c r="BJ1185" s="29"/>
      <c r="BK1185" s="29"/>
      <c r="BL1185" s="29"/>
      <c r="BM1185" s="121"/>
      <c r="BN1185" s="121"/>
      <c r="BO1185" s="121"/>
      <c r="BP1185" s="121"/>
      <c r="BQ1185" s="121"/>
      <c r="BR1185" s="121"/>
      <c r="BS1185" s="121"/>
      <c r="BT1185" s="121"/>
      <c r="BU1185" s="121"/>
      <c r="BV1185" s="121"/>
      <c r="BW1185" s="121"/>
      <c r="BX1185" s="121"/>
      <c r="BY1185" s="121"/>
      <c r="BZ1185" s="121"/>
    </row>
    <row r="1186" spans="60:78">
      <c r="BH1186" s="29"/>
      <c r="BI1186" s="29"/>
      <c r="BJ1186" s="29"/>
      <c r="BK1186" s="29"/>
      <c r="BL1186" s="29"/>
      <c r="BM1186" s="121"/>
      <c r="BN1186" s="121"/>
      <c r="BO1186" s="121"/>
      <c r="BP1186" s="121"/>
      <c r="BQ1186" s="121"/>
      <c r="BR1186" s="121"/>
      <c r="BS1186" s="121"/>
      <c r="BT1186" s="121"/>
      <c r="BU1186" s="121"/>
      <c r="BV1186" s="121"/>
      <c r="BW1186" s="121"/>
      <c r="BX1186" s="121"/>
      <c r="BY1186" s="121"/>
      <c r="BZ1186" s="121"/>
    </row>
    <row r="1187" spans="60:78">
      <c r="BH1187" s="29"/>
      <c r="BI1187" s="29"/>
      <c r="BJ1187" s="29"/>
      <c r="BK1187" s="29"/>
      <c r="BL1187" s="29"/>
      <c r="BM1187" s="121"/>
      <c r="BN1187" s="121"/>
      <c r="BO1187" s="121"/>
      <c r="BP1187" s="121"/>
      <c r="BQ1187" s="121"/>
      <c r="BR1187" s="121"/>
      <c r="BS1187" s="121"/>
      <c r="BT1187" s="121"/>
      <c r="BU1187" s="121"/>
      <c r="BV1187" s="121"/>
      <c r="BW1187" s="121"/>
      <c r="BX1187" s="121"/>
      <c r="BY1187" s="121"/>
      <c r="BZ1187" s="121"/>
    </row>
    <row r="1188" spans="60:78">
      <c r="BH1188" s="29"/>
      <c r="BI1188" s="29"/>
      <c r="BJ1188" s="29"/>
      <c r="BK1188" s="29"/>
      <c r="BL1188" s="29"/>
      <c r="BM1188" s="121"/>
      <c r="BN1188" s="121"/>
      <c r="BO1188" s="121"/>
      <c r="BP1188" s="121"/>
      <c r="BQ1188" s="121"/>
      <c r="BR1188" s="121"/>
      <c r="BS1188" s="121"/>
      <c r="BT1188" s="121"/>
      <c r="BU1188" s="121"/>
      <c r="BV1188" s="121"/>
      <c r="BW1188" s="121"/>
      <c r="BX1188" s="121"/>
      <c r="BY1188" s="121"/>
      <c r="BZ1188" s="121"/>
    </row>
    <row r="1189" spans="60:78">
      <c r="BH1189" s="29"/>
      <c r="BI1189" s="29"/>
      <c r="BJ1189" s="29"/>
      <c r="BK1189" s="29"/>
      <c r="BL1189" s="29"/>
      <c r="BM1189" s="121"/>
      <c r="BN1189" s="121"/>
      <c r="BO1189" s="121"/>
      <c r="BP1189" s="121"/>
      <c r="BQ1189" s="121"/>
      <c r="BR1189" s="121"/>
      <c r="BS1189" s="121"/>
      <c r="BT1189" s="121"/>
      <c r="BU1189" s="121"/>
      <c r="BV1189" s="121"/>
      <c r="BW1189" s="121"/>
      <c r="BX1189" s="121"/>
      <c r="BY1189" s="121"/>
      <c r="BZ1189" s="121"/>
    </row>
    <row r="1190" spans="60:78">
      <c r="BH1190" s="29"/>
      <c r="BI1190" s="29"/>
      <c r="BJ1190" s="29"/>
      <c r="BK1190" s="29"/>
      <c r="BL1190" s="29"/>
      <c r="BM1190" s="121"/>
      <c r="BN1190" s="121"/>
      <c r="BO1190" s="121"/>
      <c r="BP1190" s="121"/>
      <c r="BQ1190" s="121"/>
      <c r="BR1190" s="121"/>
      <c r="BS1190" s="121"/>
      <c r="BT1190" s="121"/>
      <c r="BU1190" s="121"/>
      <c r="BV1190" s="121"/>
      <c r="BW1190" s="121"/>
      <c r="BX1190" s="121"/>
      <c r="BY1190" s="121"/>
      <c r="BZ1190" s="121"/>
    </row>
    <row r="1191" spans="60:78">
      <c r="BH1191" s="29"/>
      <c r="BI1191" s="29"/>
      <c r="BJ1191" s="29"/>
      <c r="BK1191" s="29"/>
      <c r="BL1191" s="29"/>
      <c r="BM1191" s="121"/>
      <c r="BN1191" s="121"/>
      <c r="BO1191" s="121"/>
      <c r="BP1191" s="121"/>
      <c r="BQ1191" s="121"/>
      <c r="BR1191" s="121"/>
      <c r="BS1191" s="121"/>
      <c r="BT1191" s="121"/>
      <c r="BU1191" s="121"/>
      <c r="BV1191" s="121"/>
      <c r="BW1191" s="121"/>
      <c r="BX1191" s="121"/>
      <c r="BY1191" s="121"/>
      <c r="BZ1191" s="121"/>
    </row>
    <row r="1192" spans="60:78">
      <c r="BH1192" s="29"/>
      <c r="BI1192" s="29"/>
      <c r="BJ1192" s="29"/>
      <c r="BK1192" s="29"/>
      <c r="BL1192" s="29"/>
      <c r="BM1192" s="121"/>
      <c r="BN1192" s="121"/>
      <c r="BO1192" s="121"/>
      <c r="BP1192" s="121"/>
      <c r="BQ1192" s="121"/>
      <c r="BR1192" s="121"/>
      <c r="BS1192" s="121"/>
      <c r="BT1192" s="121"/>
      <c r="BU1192" s="121"/>
      <c r="BV1192" s="121"/>
      <c r="BW1192" s="121"/>
      <c r="BX1192" s="121"/>
      <c r="BY1192" s="121"/>
      <c r="BZ1192" s="121"/>
    </row>
    <row r="1193" spans="60:78">
      <c r="BH1193" s="29"/>
      <c r="BI1193" s="29"/>
      <c r="BJ1193" s="29"/>
      <c r="BK1193" s="29"/>
      <c r="BL1193" s="29"/>
      <c r="BM1193" s="121"/>
      <c r="BN1193" s="121"/>
      <c r="BO1193" s="121"/>
      <c r="BP1193" s="121"/>
      <c r="BQ1193" s="121"/>
      <c r="BR1193" s="121"/>
      <c r="BS1193" s="121"/>
      <c r="BT1193" s="121"/>
      <c r="BU1193" s="121"/>
      <c r="BV1193" s="121"/>
      <c r="BW1193" s="121"/>
      <c r="BX1193" s="121"/>
      <c r="BY1193" s="121"/>
      <c r="BZ1193" s="121"/>
    </row>
    <row r="1194" spans="60:78">
      <c r="BH1194" s="29"/>
      <c r="BI1194" s="29"/>
      <c r="BJ1194" s="29"/>
      <c r="BK1194" s="29"/>
      <c r="BL1194" s="29"/>
      <c r="BM1194" s="121"/>
      <c r="BN1194" s="121"/>
      <c r="BO1194" s="121"/>
      <c r="BP1194" s="121"/>
      <c r="BQ1194" s="121"/>
      <c r="BR1194" s="121"/>
      <c r="BS1194" s="121"/>
      <c r="BT1194" s="121"/>
      <c r="BU1194" s="121"/>
      <c r="BV1194" s="121"/>
      <c r="BW1194" s="121"/>
      <c r="BX1194" s="121"/>
      <c r="BY1194" s="121"/>
      <c r="BZ1194" s="121"/>
    </row>
    <row r="1195" spans="60:78">
      <c r="BH1195" s="29"/>
      <c r="BI1195" s="29"/>
      <c r="BJ1195" s="29"/>
      <c r="BK1195" s="29"/>
      <c r="BL1195" s="29"/>
      <c r="BM1195" s="121"/>
      <c r="BN1195" s="121"/>
      <c r="BO1195" s="121"/>
      <c r="BP1195" s="121"/>
      <c r="BQ1195" s="121"/>
      <c r="BR1195" s="121"/>
      <c r="BS1195" s="121"/>
      <c r="BT1195" s="121"/>
      <c r="BU1195" s="121"/>
      <c r="BV1195" s="121"/>
      <c r="BW1195" s="121"/>
      <c r="BX1195" s="121"/>
      <c r="BY1195" s="121"/>
      <c r="BZ1195" s="121"/>
    </row>
    <row r="1196" spans="60:78">
      <c r="BH1196" s="29"/>
      <c r="BI1196" s="29"/>
      <c r="BJ1196" s="29"/>
      <c r="BK1196" s="29"/>
      <c r="BL1196" s="29"/>
      <c r="BM1196" s="121"/>
      <c r="BN1196" s="121"/>
      <c r="BO1196" s="121"/>
      <c r="BP1196" s="121"/>
      <c r="BQ1196" s="121"/>
      <c r="BR1196" s="121"/>
      <c r="BS1196" s="121"/>
      <c r="BT1196" s="121"/>
      <c r="BU1196" s="121"/>
      <c r="BV1196" s="121"/>
      <c r="BW1196" s="121"/>
      <c r="BX1196" s="121"/>
      <c r="BY1196" s="121"/>
      <c r="BZ1196" s="121"/>
    </row>
    <row r="1197" spans="60:78">
      <c r="BH1197" s="29"/>
      <c r="BI1197" s="29"/>
      <c r="BJ1197" s="29"/>
      <c r="BK1197" s="29"/>
      <c r="BL1197" s="29"/>
      <c r="BM1197" s="121"/>
      <c r="BN1197" s="121"/>
      <c r="BO1197" s="121"/>
      <c r="BP1197" s="121"/>
      <c r="BQ1197" s="121"/>
      <c r="BR1197" s="121"/>
      <c r="BS1197" s="121"/>
      <c r="BT1197" s="121"/>
      <c r="BU1197" s="121"/>
      <c r="BV1197" s="121"/>
      <c r="BW1197" s="121"/>
      <c r="BX1197" s="121"/>
      <c r="BY1197" s="121"/>
      <c r="BZ1197" s="121"/>
    </row>
    <row r="1198" spans="60:78">
      <c r="BH1198" s="29"/>
      <c r="BI1198" s="29"/>
      <c r="BJ1198" s="29"/>
      <c r="BK1198" s="29"/>
      <c r="BL1198" s="29"/>
      <c r="BM1198" s="121"/>
      <c r="BN1198" s="121"/>
      <c r="BO1198" s="121"/>
      <c r="BP1198" s="121"/>
      <c r="BQ1198" s="121"/>
      <c r="BR1198" s="121"/>
      <c r="BS1198" s="121"/>
      <c r="BT1198" s="121"/>
      <c r="BU1198" s="121"/>
      <c r="BV1198" s="121"/>
      <c r="BW1198" s="121"/>
      <c r="BX1198" s="121"/>
      <c r="BY1198" s="121"/>
      <c r="BZ1198" s="121"/>
    </row>
    <row r="1199" spans="60:78">
      <c r="BH1199" s="29"/>
      <c r="BI1199" s="29"/>
      <c r="BJ1199" s="29"/>
      <c r="BK1199" s="29"/>
      <c r="BL1199" s="29"/>
      <c r="BM1199" s="121"/>
      <c r="BN1199" s="121"/>
      <c r="BO1199" s="121"/>
      <c r="BP1199" s="121"/>
      <c r="BQ1199" s="121"/>
      <c r="BR1199" s="121"/>
      <c r="BS1199" s="121"/>
      <c r="BT1199" s="121"/>
      <c r="BU1199" s="121"/>
      <c r="BV1199" s="121"/>
      <c r="BW1199" s="121"/>
      <c r="BX1199" s="121"/>
      <c r="BY1199" s="121"/>
      <c r="BZ1199" s="121"/>
    </row>
    <row r="1200" spans="60:78">
      <c r="BH1200" s="29"/>
      <c r="BI1200" s="29"/>
      <c r="BJ1200" s="29"/>
      <c r="BK1200" s="29"/>
      <c r="BL1200" s="29"/>
      <c r="BM1200" s="121"/>
      <c r="BN1200" s="121"/>
      <c r="BO1200" s="121"/>
      <c r="BP1200" s="121"/>
      <c r="BQ1200" s="121"/>
      <c r="BR1200" s="121"/>
      <c r="BS1200" s="121"/>
      <c r="BT1200" s="121"/>
      <c r="BU1200" s="121"/>
      <c r="BV1200" s="121"/>
      <c r="BW1200" s="121"/>
      <c r="BX1200" s="121"/>
      <c r="BY1200" s="121"/>
      <c r="BZ1200" s="121"/>
    </row>
    <row r="1201" spans="60:78">
      <c r="BH1201" s="29"/>
      <c r="BI1201" s="29"/>
      <c r="BJ1201" s="29"/>
      <c r="BK1201" s="29"/>
      <c r="BL1201" s="29"/>
      <c r="BM1201" s="121"/>
      <c r="BN1201" s="121"/>
      <c r="BO1201" s="121"/>
      <c r="BP1201" s="121"/>
      <c r="BQ1201" s="121"/>
      <c r="BR1201" s="121"/>
      <c r="BS1201" s="121"/>
      <c r="BT1201" s="121"/>
      <c r="BU1201" s="121"/>
      <c r="BV1201" s="121"/>
      <c r="BW1201" s="121"/>
      <c r="BX1201" s="121"/>
      <c r="BY1201" s="121"/>
      <c r="BZ1201" s="121"/>
    </row>
    <row r="1202" spans="60:78">
      <c r="BH1202" s="29"/>
      <c r="BI1202" s="29"/>
      <c r="BJ1202" s="29"/>
      <c r="BK1202" s="29"/>
      <c r="BL1202" s="29"/>
      <c r="BM1202" s="121"/>
      <c r="BN1202" s="121"/>
      <c r="BO1202" s="121"/>
      <c r="BP1202" s="121"/>
      <c r="BQ1202" s="121"/>
      <c r="BR1202" s="121"/>
      <c r="BS1202" s="121"/>
      <c r="BT1202" s="121"/>
      <c r="BU1202" s="121"/>
      <c r="BV1202" s="121"/>
      <c r="BW1202" s="121"/>
      <c r="BX1202" s="121"/>
      <c r="BY1202" s="121"/>
      <c r="BZ1202" s="121"/>
    </row>
    <row r="1203" spans="60:78">
      <c r="BH1203" s="29"/>
      <c r="BI1203" s="29"/>
      <c r="BJ1203" s="29"/>
      <c r="BK1203" s="29"/>
      <c r="BL1203" s="29"/>
      <c r="BM1203" s="121"/>
      <c r="BN1203" s="121"/>
      <c r="BO1203" s="121"/>
      <c r="BP1203" s="121"/>
      <c r="BQ1203" s="121"/>
      <c r="BR1203" s="121"/>
      <c r="BS1203" s="121"/>
      <c r="BT1203" s="121"/>
      <c r="BU1203" s="121"/>
      <c r="BV1203" s="121"/>
      <c r="BW1203" s="121"/>
      <c r="BX1203" s="121"/>
      <c r="BY1203" s="121"/>
      <c r="BZ1203" s="121"/>
    </row>
    <row r="1204" spans="60:78">
      <c r="BH1204" s="29"/>
      <c r="BI1204" s="29"/>
      <c r="BJ1204" s="29"/>
      <c r="BK1204" s="29"/>
      <c r="BL1204" s="29"/>
      <c r="BM1204" s="121"/>
      <c r="BN1204" s="121"/>
      <c r="BO1204" s="121"/>
      <c r="BP1204" s="121"/>
      <c r="BQ1204" s="121"/>
      <c r="BR1204" s="121"/>
      <c r="BS1204" s="121"/>
      <c r="BT1204" s="121"/>
      <c r="BU1204" s="121"/>
      <c r="BV1204" s="121"/>
      <c r="BW1204" s="121"/>
      <c r="BX1204" s="121"/>
      <c r="BY1204" s="121"/>
      <c r="BZ1204" s="121"/>
    </row>
    <row r="1205" spans="60:78">
      <c r="BH1205" s="29"/>
      <c r="BI1205" s="29"/>
      <c r="BJ1205" s="29"/>
      <c r="BK1205" s="29"/>
      <c r="BL1205" s="29"/>
      <c r="BM1205" s="121"/>
      <c r="BN1205" s="121"/>
      <c r="BO1205" s="121"/>
      <c r="BP1205" s="121"/>
      <c r="BQ1205" s="121"/>
      <c r="BR1205" s="121"/>
      <c r="BS1205" s="121"/>
      <c r="BT1205" s="121"/>
      <c r="BU1205" s="121"/>
      <c r="BV1205" s="121"/>
      <c r="BW1205" s="121"/>
      <c r="BX1205" s="121"/>
      <c r="BY1205" s="121"/>
      <c r="BZ1205" s="121"/>
    </row>
    <row r="1206" spans="60:78">
      <c r="BH1206" s="29"/>
      <c r="BI1206" s="29"/>
      <c r="BJ1206" s="29"/>
      <c r="BK1206" s="29"/>
      <c r="BL1206" s="29"/>
      <c r="BM1206" s="121"/>
      <c r="BN1206" s="121"/>
      <c r="BO1206" s="121"/>
      <c r="BP1206" s="121"/>
      <c r="BQ1206" s="121"/>
      <c r="BR1206" s="121"/>
      <c r="BS1206" s="121"/>
      <c r="BT1206" s="121"/>
      <c r="BU1206" s="121"/>
      <c r="BV1206" s="121"/>
      <c r="BW1206" s="121"/>
      <c r="BX1206" s="121"/>
      <c r="BY1206" s="121"/>
      <c r="BZ1206" s="121"/>
    </row>
    <row r="1207" spans="60:78">
      <c r="BH1207" s="29"/>
      <c r="BI1207" s="29"/>
      <c r="BJ1207" s="29"/>
      <c r="BK1207" s="29"/>
      <c r="BL1207" s="29"/>
      <c r="BM1207" s="121"/>
      <c r="BN1207" s="121"/>
      <c r="BO1207" s="121"/>
      <c r="BP1207" s="121"/>
      <c r="BQ1207" s="121"/>
      <c r="BR1207" s="121"/>
      <c r="BS1207" s="121"/>
      <c r="BT1207" s="121"/>
      <c r="BU1207" s="121"/>
      <c r="BV1207" s="121"/>
      <c r="BW1207" s="121"/>
      <c r="BX1207" s="121"/>
      <c r="BY1207" s="121"/>
      <c r="BZ1207" s="121"/>
    </row>
    <row r="1208" spans="60:78">
      <c r="BH1208" s="29"/>
      <c r="BI1208" s="29"/>
      <c r="BJ1208" s="29"/>
      <c r="BK1208" s="29"/>
      <c r="BL1208" s="29"/>
      <c r="BM1208" s="121"/>
      <c r="BN1208" s="121"/>
      <c r="BO1208" s="121"/>
      <c r="BP1208" s="121"/>
      <c r="BQ1208" s="121"/>
      <c r="BR1208" s="121"/>
      <c r="BS1208" s="121"/>
      <c r="BT1208" s="121"/>
      <c r="BU1208" s="121"/>
      <c r="BV1208" s="121"/>
      <c r="BW1208" s="121"/>
      <c r="BX1208" s="121"/>
      <c r="BY1208" s="121"/>
      <c r="BZ1208" s="121"/>
    </row>
    <row r="1209" spans="60:78">
      <c r="BH1209" s="29"/>
      <c r="BI1209" s="29"/>
      <c r="BJ1209" s="29"/>
      <c r="BK1209" s="29"/>
      <c r="BL1209" s="29"/>
      <c r="BM1209" s="121"/>
      <c r="BN1209" s="121"/>
      <c r="BO1209" s="121"/>
      <c r="BP1209" s="121"/>
      <c r="BQ1209" s="121"/>
      <c r="BR1209" s="121"/>
      <c r="BS1209" s="121"/>
      <c r="BT1209" s="121"/>
      <c r="BU1209" s="121"/>
      <c r="BV1209" s="121"/>
      <c r="BW1209" s="121"/>
      <c r="BX1209" s="121"/>
      <c r="BY1209" s="121"/>
      <c r="BZ1209" s="121"/>
    </row>
    <row r="1210" spans="60:78">
      <c r="BH1210" s="29"/>
      <c r="BI1210" s="29"/>
      <c r="BJ1210" s="29"/>
      <c r="BK1210" s="29"/>
      <c r="BL1210" s="29"/>
      <c r="BM1210" s="121"/>
      <c r="BN1210" s="121"/>
      <c r="BO1210" s="121"/>
      <c r="BP1210" s="121"/>
      <c r="BQ1210" s="121"/>
      <c r="BR1210" s="121"/>
      <c r="BS1210" s="121"/>
      <c r="BT1210" s="121"/>
      <c r="BU1210" s="121"/>
      <c r="BV1210" s="121"/>
      <c r="BW1210" s="121"/>
      <c r="BX1210" s="121"/>
      <c r="BY1210" s="121"/>
      <c r="BZ1210" s="121"/>
    </row>
    <row r="1211" spans="60:78">
      <c r="BH1211" s="29"/>
      <c r="BI1211" s="29"/>
      <c r="BJ1211" s="29"/>
      <c r="BK1211" s="29"/>
      <c r="BL1211" s="29"/>
      <c r="BM1211" s="121"/>
      <c r="BN1211" s="121"/>
      <c r="BO1211" s="121"/>
      <c r="BP1211" s="121"/>
      <c r="BQ1211" s="121"/>
      <c r="BR1211" s="121"/>
      <c r="BS1211" s="121"/>
      <c r="BT1211" s="121"/>
      <c r="BU1211" s="121"/>
      <c r="BV1211" s="121"/>
      <c r="BW1211" s="121"/>
      <c r="BX1211" s="121"/>
      <c r="BY1211" s="121"/>
      <c r="BZ1211" s="121"/>
    </row>
    <row r="1212" spans="60:78">
      <c r="BH1212" s="29"/>
      <c r="BI1212" s="29"/>
      <c r="BJ1212" s="29"/>
      <c r="BK1212" s="29"/>
      <c r="BL1212" s="29"/>
      <c r="BM1212" s="121"/>
      <c r="BN1212" s="121"/>
      <c r="BO1212" s="121"/>
      <c r="BP1212" s="121"/>
      <c r="BQ1212" s="121"/>
      <c r="BR1212" s="121"/>
      <c r="BS1212" s="121"/>
      <c r="BT1212" s="121"/>
      <c r="BU1212" s="121"/>
      <c r="BV1212" s="121"/>
      <c r="BW1212" s="121"/>
      <c r="BX1212" s="121"/>
      <c r="BY1212" s="121"/>
      <c r="BZ1212" s="121"/>
    </row>
    <row r="1213" spans="60:78">
      <c r="BH1213" s="29"/>
      <c r="BI1213" s="29"/>
      <c r="BJ1213" s="29"/>
      <c r="BK1213" s="29"/>
      <c r="BL1213" s="29"/>
      <c r="BM1213" s="121"/>
      <c r="BN1213" s="121"/>
      <c r="BO1213" s="121"/>
      <c r="BP1213" s="121"/>
      <c r="BQ1213" s="121"/>
      <c r="BR1213" s="121"/>
      <c r="BS1213" s="121"/>
      <c r="BT1213" s="121"/>
      <c r="BU1213" s="121"/>
      <c r="BV1213" s="121"/>
      <c r="BW1213" s="121"/>
      <c r="BX1213" s="121"/>
      <c r="BY1213" s="121"/>
      <c r="BZ1213" s="121"/>
    </row>
    <row r="1214" spans="60:78">
      <c r="BH1214" s="29"/>
      <c r="BI1214" s="29"/>
      <c r="BJ1214" s="29"/>
      <c r="BK1214" s="29"/>
      <c r="BL1214" s="29"/>
      <c r="BM1214" s="121"/>
      <c r="BN1214" s="121"/>
      <c r="BO1214" s="121"/>
      <c r="BP1214" s="121"/>
      <c r="BQ1214" s="121"/>
      <c r="BR1214" s="121"/>
      <c r="BS1214" s="121"/>
      <c r="BT1214" s="121"/>
      <c r="BU1214" s="121"/>
      <c r="BV1214" s="121"/>
      <c r="BW1214" s="121"/>
      <c r="BX1214" s="121"/>
      <c r="BY1214" s="121"/>
      <c r="BZ1214" s="121"/>
    </row>
    <row r="1215" spans="60:78">
      <c r="BH1215" s="29"/>
      <c r="BI1215" s="29"/>
      <c r="BJ1215" s="29"/>
      <c r="BK1215" s="29"/>
      <c r="BL1215" s="29"/>
      <c r="BM1215" s="121"/>
      <c r="BN1215" s="121"/>
      <c r="BO1215" s="121"/>
      <c r="BP1215" s="121"/>
      <c r="BQ1215" s="121"/>
      <c r="BR1215" s="121"/>
      <c r="BS1215" s="121"/>
      <c r="BT1215" s="121"/>
      <c r="BU1215" s="121"/>
      <c r="BV1215" s="121"/>
      <c r="BW1215" s="121"/>
      <c r="BX1215" s="121"/>
      <c r="BY1215" s="121"/>
      <c r="BZ1215" s="121"/>
    </row>
    <row r="1216" spans="60:78">
      <c r="BH1216" s="29"/>
      <c r="BI1216" s="29"/>
      <c r="BJ1216" s="29"/>
      <c r="BK1216" s="29"/>
      <c r="BL1216" s="29"/>
      <c r="BM1216" s="121"/>
      <c r="BN1216" s="121"/>
      <c r="BO1216" s="121"/>
      <c r="BP1216" s="121"/>
      <c r="BQ1216" s="121"/>
      <c r="BR1216" s="121"/>
      <c r="BS1216" s="121"/>
      <c r="BT1216" s="121"/>
      <c r="BU1216" s="121"/>
      <c r="BV1216" s="121"/>
      <c r="BW1216" s="121"/>
      <c r="BX1216" s="121"/>
      <c r="BY1216" s="121"/>
      <c r="BZ1216" s="121"/>
    </row>
    <row r="1217" spans="60:78">
      <c r="BH1217" s="29"/>
      <c r="BI1217" s="29"/>
      <c r="BJ1217" s="29"/>
      <c r="BK1217" s="29"/>
      <c r="BL1217" s="29"/>
      <c r="BM1217" s="121"/>
      <c r="BN1217" s="121"/>
      <c r="BO1217" s="121"/>
      <c r="BP1217" s="121"/>
      <c r="BQ1217" s="121"/>
      <c r="BR1217" s="121"/>
      <c r="BS1217" s="121"/>
      <c r="BT1217" s="121"/>
      <c r="BU1217" s="121"/>
      <c r="BV1217" s="121"/>
      <c r="BW1217" s="121"/>
      <c r="BX1217" s="121"/>
      <c r="BY1217" s="121"/>
      <c r="BZ1217" s="121"/>
    </row>
    <row r="1218" spans="60:78">
      <c r="BH1218" s="29"/>
      <c r="BI1218" s="29"/>
      <c r="BJ1218" s="29"/>
      <c r="BK1218" s="29"/>
      <c r="BL1218" s="29"/>
      <c r="BM1218" s="121"/>
      <c r="BN1218" s="121"/>
      <c r="BO1218" s="121"/>
      <c r="BP1218" s="121"/>
      <c r="BQ1218" s="121"/>
      <c r="BR1218" s="121"/>
      <c r="BS1218" s="121"/>
      <c r="BT1218" s="121"/>
      <c r="BU1218" s="121"/>
      <c r="BV1218" s="121"/>
      <c r="BW1218" s="121"/>
      <c r="BX1218" s="121"/>
      <c r="BY1218" s="121"/>
      <c r="BZ1218" s="121"/>
    </row>
    <row r="1219" spans="60:78">
      <c r="BH1219" s="29"/>
      <c r="BI1219" s="29"/>
      <c r="BJ1219" s="29"/>
      <c r="BK1219" s="29"/>
      <c r="BL1219" s="29"/>
      <c r="BM1219" s="121"/>
      <c r="BN1219" s="121"/>
      <c r="BO1219" s="121"/>
      <c r="BP1219" s="121"/>
      <c r="BQ1219" s="121"/>
      <c r="BR1219" s="121"/>
      <c r="BS1219" s="121"/>
      <c r="BT1219" s="121"/>
      <c r="BU1219" s="121"/>
      <c r="BV1219" s="121"/>
      <c r="BW1219" s="121"/>
      <c r="BX1219" s="121"/>
      <c r="BY1219" s="121"/>
      <c r="BZ1219" s="121"/>
    </row>
    <row r="1220" spans="60:78">
      <c r="BH1220" s="29"/>
      <c r="BI1220" s="29"/>
      <c r="BJ1220" s="29"/>
      <c r="BK1220" s="29"/>
      <c r="BL1220" s="29"/>
      <c r="BM1220" s="121"/>
      <c r="BN1220" s="121"/>
      <c r="BO1220" s="121"/>
      <c r="BP1220" s="121"/>
      <c r="BQ1220" s="121"/>
      <c r="BR1220" s="121"/>
      <c r="BS1220" s="121"/>
      <c r="BT1220" s="121"/>
      <c r="BU1220" s="121"/>
      <c r="BV1220" s="121"/>
      <c r="BW1220" s="121"/>
      <c r="BX1220" s="121"/>
      <c r="BY1220" s="121"/>
      <c r="BZ1220" s="121"/>
    </row>
    <row r="1221" spans="60:78">
      <c r="BH1221" s="29"/>
      <c r="BI1221" s="29"/>
      <c r="BJ1221" s="29"/>
      <c r="BK1221" s="29"/>
      <c r="BL1221" s="29"/>
      <c r="BM1221" s="121"/>
      <c r="BN1221" s="121"/>
      <c r="BO1221" s="121"/>
      <c r="BP1221" s="121"/>
      <c r="BQ1221" s="121"/>
      <c r="BR1221" s="121"/>
      <c r="BS1221" s="121"/>
      <c r="BT1221" s="121"/>
      <c r="BU1221" s="121"/>
      <c r="BV1221" s="121"/>
      <c r="BW1221" s="121"/>
      <c r="BX1221" s="121"/>
      <c r="BY1221" s="121"/>
      <c r="BZ1221" s="121"/>
    </row>
    <row r="1222" spans="60:78">
      <c r="BH1222" s="29"/>
      <c r="BI1222" s="29"/>
      <c r="BJ1222" s="29"/>
      <c r="BK1222" s="29"/>
      <c r="BL1222" s="29"/>
      <c r="BM1222" s="121"/>
      <c r="BN1222" s="121"/>
      <c r="BO1222" s="121"/>
      <c r="BP1222" s="121"/>
      <c r="BQ1222" s="121"/>
      <c r="BR1222" s="121"/>
      <c r="BS1222" s="121"/>
      <c r="BT1222" s="121"/>
      <c r="BU1222" s="121"/>
      <c r="BV1222" s="121"/>
      <c r="BW1222" s="121"/>
      <c r="BX1222" s="121"/>
      <c r="BY1222" s="121"/>
      <c r="BZ1222" s="121"/>
    </row>
    <row r="1223" spans="60:78">
      <c r="BH1223" s="29"/>
      <c r="BI1223" s="29"/>
      <c r="BJ1223" s="29"/>
      <c r="BK1223" s="29"/>
      <c r="BL1223" s="29"/>
      <c r="BM1223" s="121"/>
      <c r="BN1223" s="121"/>
      <c r="BO1223" s="121"/>
      <c r="BP1223" s="121"/>
      <c r="BQ1223" s="121"/>
      <c r="BR1223" s="121"/>
      <c r="BS1223" s="121"/>
      <c r="BT1223" s="121"/>
      <c r="BU1223" s="121"/>
      <c r="BV1223" s="121"/>
      <c r="BW1223" s="121"/>
      <c r="BX1223" s="121"/>
      <c r="BY1223" s="121"/>
      <c r="BZ1223" s="121"/>
    </row>
    <row r="1224" spans="60:78">
      <c r="BH1224" s="29"/>
      <c r="BI1224" s="29"/>
      <c r="BJ1224" s="29"/>
      <c r="BK1224" s="29"/>
      <c r="BL1224" s="29"/>
      <c r="BM1224" s="121"/>
      <c r="BN1224" s="121"/>
      <c r="BO1224" s="121"/>
      <c r="BP1224" s="121"/>
      <c r="BQ1224" s="121"/>
      <c r="BR1224" s="121"/>
      <c r="BS1224" s="121"/>
      <c r="BT1224" s="121"/>
      <c r="BU1224" s="121"/>
      <c r="BV1224" s="121"/>
      <c r="BW1224" s="121"/>
      <c r="BX1224" s="121"/>
      <c r="BY1224" s="121"/>
      <c r="BZ1224" s="121"/>
    </row>
    <row r="1225" spans="60:78">
      <c r="BH1225" s="29"/>
      <c r="BI1225" s="29"/>
      <c r="BJ1225" s="29"/>
      <c r="BK1225" s="29"/>
      <c r="BL1225" s="29"/>
      <c r="BM1225" s="121"/>
      <c r="BN1225" s="121"/>
      <c r="BO1225" s="121"/>
      <c r="BP1225" s="121"/>
      <c r="BQ1225" s="121"/>
      <c r="BR1225" s="121"/>
      <c r="BS1225" s="121"/>
      <c r="BT1225" s="121"/>
      <c r="BU1225" s="121"/>
      <c r="BV1225" s="121"/>
      <c r="BW1225" s="121"/>
      <c r="BX1225" s="121"/>
      <c r="BY1225" s="121"/>
      <c r="BZ1225" s="121"/>
    </row>
    <row r="1226" spans="60:78">
      <c r="BH1226" s="29"/>
      <c r="BI1226" s="29"/>
      <c r="BJ1226" s="29"/>
      <c r="BK1226" s="29"/>
      <c r="BL1226" s="29"/>
      <c r="BM1226" s="121"/>
      <c r="BN1226" s="121"/>
      <c r="BO1226" s="121"/>
      <c r="BP1226" s="121"/>
      <c r="BQ1226" s="121"/>
      <c r="BR1226" s="121"/>
      <c r="BS1226" s="121"/>
      <c r="BT1226" s="121"/>
      <c r="BU1226" s="121"/>
      <c r="BV1226" s="121"/>
      <c r="BW1226" s="121"/>
      <c r="BX1226" s="121"/>
      <c r="BY1226" s="121"/>
      <c r="BZ1226" s="121"/>
    </row>
    <row r="1227" spans="60:78">
      <c r="BH1227" s="29"/>
      <c r="BI1227" s="29"/>
      <c r="BJ1227" s="29"/>
      <c r="BK1227" s="29"/>
      <c r="BL1227" s="29"/>
      <c r="BM1227" s="121"/>
      <c r="BN1227" s="121"/>
      <c r="BO1227" s="121"/>
      <c r="BP1227" s="121"/>
      <c r="BQ1227" s="121"/>
      <c r="BR1227" s="121"/>
      <c r="BS1227" s="121"/>
      <c r="BT1227" s="121"/>
      <c r="BU1227" s="121"/>
      <c r="BV1227" s="121"/>
      <c r="BW1227" s="121"/>
      <c r="BX1227" s="121"/>
      <c r="BY1227" s="121"/>
      <c r="BZ1227" s="121"/>
    </row>
    <row r="1228" spans="60:78">
      <c r="BH1228" s="29"/>
      <c r="BI1228" s="29"/>
      <c r="BJ1228" s="29"/>
      <c r="BK1228" s="29"/>
      <c r="BL1228" s="29"/>
      <c r="BM1228" s="121"/>
      <c r="BN1228" s="121"/>
      <c r="BO1228" s="121"/>
      <c r="BP1228" s="121"/>
      <c r="BQ1228" s="121"/>
      <c r="BR1228" s="121"/>
      <c r="BS1228" s="121"/>
      <c r="BT1228" s="121"/>
      <c r="BU1228" s="121"/>
      <c r="BV1228" s="121"/>
      <c r="BW1228" s="121"/>
      <c r="BX1228" s="121"/>
      <c r="BY1228" s="121"/>
      <c r="BZ1228" s="121"/>
    </row>
    <row r="1229" spans="60:78">
      <c r="BH1229" s="29"/>
      <c r="BI1229" s="29"/>
      <c r="BJ1229" s="29"/>
      <c r="BK1229" s="29"/>
      <c r="BL1229" s="29"/>
      <c r="BM1229" s="121"/>
      <c r="BN1229" s="121"/>
      <c r="BO1229" s="121"/>
      <c r="BP1229" s="121"/>
      <c r="BQ1229" s="121"/>
      <c r="BR1229" s="121"/>
      <c r="BS1229" s="121"/>
      <c r="BT1229" s="121"/>
      <c r="BU1229" s="121"/>
      <c r="BV1229" s="121"/>
      <c r="BW1229" s="121"/>
      <c r="BX1229" s="121"/>
      <c r="BY1229" s="121"/>
      <c r="BZ1229" s="121"/>
    </row>
    <row r="1230" spans="60:78">
      <c r="BH1230" s="29"/>
      <c r="BI1230" s="29"/>
      <c r="BJ1230" s="29"/>
      <c r="BK1230" s="29"/>
      <c r="BL1230" s="29"/>
      <c r="BM1230" s="121"/>
      <c r="BN1230" s="121"/>
      <c r="BO1230" s="121"/>
      <c r="BP1230" s="121"/>
      <c r="BQ1230" s="121"/>
      <c r="BR1230" s="121"/>
      <c r="BS1230" s="121"/>
      <c r="BT1230" s="121"/>
      <c r="BU1230" s="121"/>
      <c r="BV1230" s="121"/>
      <c r="BW1230" s="121"/>
      <c r="BX1230" s="121"/>
      <c r="BY1230" s="121"/>
      <c r="BZ1230" s="121"/>
    </row>
    <row r="1231" spans="60:78">
      <c r="BH1231" s="29"/>
      <c r="BI1231" s="29"/>
      <c r="BJ1231" s="29"/>
      <c r="BK1231" s="29"/>
      <c r="BL1231" s="29"/>
      <c r="BM1231" s="121"/>
      <c r="BN1231" s="121"/>
      <c r="BO1231" s="121"/>
      <c r="BP1231" s="121"/>
      <c r="BQ1231" s="121"/>
      <c r="BR1231" s="121"/>
      <c r="BS1231" s="121"/>
      <c r="BT1231" s="121"/>
      <c r="BU1231" s="121"/>
      <c r="BV1231" s="121"/>
      <c r="BW1231" s="121"/>
      <c r="BX1231" s="121"/>
      <c r="BY1231" s="121"/>
      <c r="BZ1231" s="121"/>
    </row>
    <row r="1232" spans="60:78">
      <c r="BH1232" s="29"/>
      <c r="BI1232" s="29"/>
      <c r="BJ1232" s="29"/>
      <c r="BK1232" s="29"/>
      <c r="BL1232" s="29"/>
      <c r="BM1232" s="121"/>
      <c r="BN1232" s="121"/>
      <c r="BO1232" s="121"/>
      <c r="BP1232" s="121"/>
      <c r="BQ1232" s="121"/>
      <c r="BR1232" s="121"/>
      <c r="BS1232" s="121"/>
      <c r="BT1232" s="121"/>
      <c r="BU1232" s="121"/>
      <c r="BV1232" s="121"/>
      <c r="BW1232" s="121"/>
      <c r="BX1232" s="121"/>
      <c r="BY1232" s="121"/>
      <c r="BZ1232" s="121"/>
    </row>
    <row r="1233" spans="60:78">
      <c r="BH1233" s="29"/>
      <c r="BI1233" s="29"/>
      <c r="BJ1233" s="29"/>
      <c r="BK1233" s="29"/>
      <c r="BL1233" s="29"/>
      <c r="BM1233" s="121"/>
      <c r="BN1233" s="121"/>
      <c r="BO1233" s="121"/>
      <c r="BP1233" s="121"/>
      <c r="BQ1233" s="121"/>
      <c r="BR1233" s="121"/>
      <c r="BS1233" s="121"/>
      <c r="BT1233" s="121"/>
      <c r="BU1233" s="121"/>
      <c r="BV1233" s="121"/>
      <c r="BW1233" s="121"/>
      <c r="BX1233" s="121"/>
      <c r="BY1233" s="121"/>
      <c r="BZ1233" s="121"/>
    </row>
    <row r="1234" spans="60:78">
      <c r="BH1234" s="29"/>
      <c r="BI1234" s="29"/>
      <c r="BJ1234" s="29"/>
      <c r="BK1234" s="29"/>
      <c r="BL1234" s="29"/>
      <c r="BM1234" s="121"/>
      <c r="BN1234" s="121"/>
      <c r="BO1234" s="121"/>
      <c r="BP1234" s="121"/>
      <c r="BQ1234" s="121"/>
      <c r="BR1234" s="121"/>
      <c r="BS1234" s="121"/>
      <c r="BT1234" s="121"/>
      <c r="BU1234" s="121"/>
      <c r="BV1234" s="121"/>
      <c r="BW1234" s="121"/>
      <c r="BX1234" s="121"/>
      <c r="BY1234" s="121"/>
      <c r="BZ1234" s="121"/>
    </row>
    <row r="1235" spans="60:78">
      <c r="BH1235" s="29"/>
      <c r="BI1235" s="29"/>
      <c r="BJ1235" s="29"/>
      <c r="BK1235" s="29"/>
      <c r="BL1235" s="29"/>
      <c r="BM1235" s="121"/>
      <c r="BN1235" s="121"/>
      <c r="BO1235" s="121"/>
      <c r="BP1235" s="121"/>
      <c r="BQ1235" s="121"/>
      <c r="BR1235" s="121"/>
      <c r="BS1235" s="121"/>
      <c r="BT1235" s="121"/>
      <c r="BU1235" s="121"/>
      <c r="BV1235" s="121"/>
      <c r="BW1235" s="121"/>
      <c r="BX1235" s="121"/>
      <c r="BY1235" s="121"/>
      <c r="BZ1235" s="121"/>
    </row>
    <row r="1236" spans="60:78">
      <c r="BH1236" s="29"/>
      <c r="BI1236" s="29"/>
      <c r="BJ1236" s="29"/>
      <c r="BK1236" s="29"/>
      <c r="BL1236" s="29"/>
      <c r="BM1236" s="121"/>
      <c r="BN1236" s="121"/>
      <c r="BO1236" s="121"/>
      <c r="BP1236" s="121"/>
      <c r="BQ1236" s="121"/>
      <c r="BR1236" s="121"/>
      <c r="BS1236" s="121"/>
      <c r="BT1236" s="121"/>
      <c r="BU1236" s="121"/>
      <c r="BV1236" s="121"/>
      <c r="BW1236" s="121"/>
      <c r="BX1236" s="121"/>
      <c r="BY1236" s="121"/>
      <c r="BZ1236" s="121"/>
    </row>
    <row r="1237" spans="60:78">
      <c r="BH1237" s="29"/>
      <c r="BI1237" s="29"/>
      <c r="BJ1237" s="29"/>
      <c r="BK1237" s="29"/>
      <c r="BL1237" s="29"/>
      <c r="BM1237" s="121"/>
      <c r="BN1237" s="121"/>
      <c r="BO1237" s="121"/>
      <c r="BP1237" s="121"/>
      <c r="BQ1237" s="121"/>
      <c r="BR1237" s="121"/>
      <c r="BS1237" s="121"/>
      <c r="BT1237" s="121"/>
      <c r="BU1237" s="121"/>
      <c r="BV1237" s="121"/>
      <c r="BW1237" s="121"/>
      <c r="BX1237" s="121"/>
      <c r="BY1237" s="121"/>
      <c r="BZ1237" s="121"/>
    </row>
    <row r="1238" spans="60:78">
      <c r="BH1238" s="29"/>
      <c r="BI1238" s="29"/>
      <c r="BJ1238" s="29"/>
      <c r="BK1238" s="29"/>
      <c r="BL1238" s="29"/>
      <c r="BM1238" s="121"/>
      <c r="BN1238" s="121"/>
      <c r="BO1238" s="121"/>
      <c r="BP1238" s="121"/>
      <c r="BQ1238" s="121"/>
      <c r="BR1238" s="121"/>
      <c r="BS1238" s="121"/>
      <c r="BT1238" s="121"/>
      <c r="BU1238" s="121"/>
      <c r="BV1238" s="121"/>
      <c r="BW1238" s="121"/>
      <c r="BX1238" s="121"/>
      <c r="BY1238" s="121"/>
      <c r="BZ1238" s="121"/>
    </row>
    <row r="1239" spans="60:78">
      <c r="BH1239" s="29"/>
      <c r="BI1239" s="29"/>
      <c r="BJ1239" s="29"/>
      <c r="BK1239" s="29"/>
      <c r="BL1239" s="29"/>
      <c r="BM1239" s="121"/>
      <c r="BN1239" s="121"/>
      <c r="BO1239" s="121"/>
      <c r="BP1239" s="121"/>
      <c r="BQ1239" s="121"/>
      <c r="BR1239" s="121"/>
      <c r="BS1239" s="121"/>
      <c r="BT1239" s="121"/>
      <c r="BU1239" s="121"/>
      <c r="BV1239" s="121"/>
      <c r="BW1239" s="121"/>
      <c r="BX1239" s="121"/>
      <c r="BY1239" s="121"/>
      <c r="BZ1239" s="121"/>
    </row>
    <row r="1240" spans="60:78">
      <c r="BH1240" s="29"/>
      <c r="BI1240" s="29"/>
      <c r="BJ1240" s="29"/>
      <c r="BK1240" s="29"/>
      <c r="BL1240" s="29"/>
      <c r="BM1240" s="121"/>
      <c r="BN1240" s="121"/>
      <c r="BO1240" s="121"/>
      <c r="BP1240" s="121"/>
      <c r="BQ1240" s="121"/>
      <c r="BR1240" s="121"/>
      <c r="BS1240" s="121"/>
      <c r="BT1240" s="121"/>
      <c r="BU1240" s="121"/>
      <c r="BV1240" s="121"/>
      <c r="BW1240" s="121"/>
      <c r="BX1240" s="121"/>
      <c r="BY1240" s="121"/>
      <c r="BZ1240" s="121"/>
    </row>
    <row r="1241" spans="60:78">
      <c r="BH1241" s="29"/>
      <c r="BI1241" s="29"/>
      <c r="BJ1241" s="29"/>
      <c r="BK1241" s="29"/>
      <c r="BL1241" s="29"/>
      <c r="BM1241" s="121"/>
      <c r="BN1241" s="121"/>
      <c r="BO1241" s="121"/>
      <c r="BP1241" s="121"/>
      <c r="BQ1241" s="121"/>
      <c r="BR1241" s="121"/>
      <c r="BS1241" s="121"/>
      <c r="BT1241" s="121"/>
      <c r="BU1241" s="121"/>
      <c r="BV1241" s="121"/>
      <c r="BW1241" s="121"/>
      <c r="BX1241" s="121"/>
      <c r="BY1241" s="121"/>
      <c r="BZ1241" s="121"/>
    </row>
    <row r="1242" spans="60:78">
      <c r="BH1242" s="29"/>
      <c r="BI1242" s="29"/>
      <c r="BJ1242" s="29"/>
      <c r="BK1242" s="29"/>
      <c r="BL1242" s="29"/>
      <c r="BM1242" s="121"/>
      <c r="BN1242" s="121"/>
      <c r="BO1242" s="121"/>
      <c r="BP1242" s="121"/>
      <c r="BQ1242" s="121"/>
      <c r="BR1242" s="121"/>
      <c r="BS1242" s="121"/>
      <c r="BT1242" s="121"/>
      <c r="BU1242" s="121"/>
      <c r="BV1242" s="121"/>
      <c r="BW1242" s="121"/>
      <c r="BX1242" s="121"/>
      <c r="BY1242" s="121"/>
      <c r="BZ1242" s="121"/>
    </row>
    <row r="1243" spans="60:78">
      <c r="BH1243" s="29"/>
      <c r="BI1243" s="29"/>
      <c r="BJ1243" s="29"/>
      <c r="BK1243" s="29"/>
      <c r="BL1243" s="29"/>
      <c r="BM1243" s="121"/>
      <c r="BN1243" s="121"/>
      <c r="BO1243" s="121"/>
      <c r="BP1243" s="121"/>
      <c r="BQ1243" s="121"/>
      <c r="BR1243" s="121"/>
      <c r="BS1243" s="121"/>
      <c r="BT1243" s="121"/>
      <c r="BU1243" s="121"/>
      <c r="BV1243" s="121"/>
      <c r="BW1243" s="121"/>
      <c r="BX1243" s="121"/>
      <c r="BY1243" s="121"/>
      <c r="BZ1243" s="121"/>
    </row>
    <row r="1244" spans="60:78">
      <c r="BH1244" s="29"/>
      <c r="BI1244" s="29"/>
      <c r="BJ1244" s="29"/>
      <c r="BK1244" s="29"/>
      <c r="BL1244" s="29"/>
      <c r="BM1244" s="121"/>
      <c r="BN1244" s="121"/>
      <c r="BO1244" s="121"/>
      <c r="BP1244" s="121"/>
      <c r="BQ1244" s="121"/>
      <c r="BR1244" s="121"/>
      <c r="BS1244" s="121"/>
      <c r="BT1244" s="121"/>
      <c r="BU1244" s="121"/>
      <c r="BV1244" s="121"/>
      <c r="BW1244" s="121"/>
      <c r="BX1244" s="121"/>
      <c r="BY1244" s="121"/>
      <c r="BZ1244" s="121"/>
    </row>
    <row r="1245" spans="60:78">
      <c r="BH1245" s="29"/>
      <c r="BI1245" s="29"/>
      <c r="BJ1245" s="29"/>
      <c r="BK1245" s="29"/>
      <c r="BL1245" s="29"/>
      <c r="BM1245" s="121"/>
      <c r="BN1245" s="121"/>
      <c r="BO1245" s="121"/>
      <c r="BP1245" s="121"/>
      <c r="BQ1245" s="121"/>
      <c r="BR1245" s="121"/>
      <c r="BS1245" s="121"/>
      <c r="BT1245" s="121"/>
      <c r="BU1245" s="121"/>
      <c r="BV1245" s="121"/>
      <c r="BW1245" s="121"/>
      <c r="BX1245" s="121"/>
      <c r="BY1245" s="121"/>
      <c r="BZ1245" s="121"/>
    </row>
    <row r="1246" spans="60:78">
      <c r="BH1246" s="29"/>
      <c r="BI1246" s="29"/>
      <c r="BJ1246" s="29"/>
      <c r="BK1246" s="29"/>
      <c r="BL1246" s="29"/>
      <c r="BM1246" s="121"/>
      <c r="BN1246" s="121"/>
      <c r="BO1246" s="121"/>
      <c r="BP1246" s="121"/>
      <c r="BQ1246" s="121"/>
      <c r="BR1246" s="121"/>
      <c r="BS1246" s="121"/>
      <c r="BT1246" s="121"/>
      <c r="BU1246" s="121"/>
      <c r="BV1246" s="121"/>
      <c r="BW1246" s="121"/>
      <c r="BX1246" s="121"/>
      <c r="BY1246" s="121"/>
      <c r="BZ1246" s="121"/>
    </row>
    <row r="1247" spans="60:78">
      <c r="BH1247" s="29"/>
      <c r="BI1247" s="29"/>
      <c r="BJ1247" s="29"/>
      <c r="BK1247" s="29"/>
      <c r="BL1247" s="29"/>
      <c r="BM1247" s="121"/>
      <c r="BN1247" s="121"/>
      <c r="BO1247" s="121"/>
      <c r="BP1247" s="121"/>
      <c r="BQ1247" s="121"/>
      <c r="BR1247" s="121"/>
      <c r="BS1247" s="121"/>
      <c r="BT1247" s="121"/>
      <c r="BU1247" s="121"/>
      <c r="BV1247" s="121"/>
      <c r="BW1247" s="121"/>
      <c r="BX1247" s="121"/>
      <c r="BY1247" s="121"/>
      <c r="BZ1247" s="121"/>
    </row>
    <row r="1248" spans="60:78">
      <c r="BH1248" s="29"/>
      <c r="BI1248" s="29"/>
      <c r="BJ1248" s="29"/>
      <c r="BK1248" s="29"/>
      <c r="BL1248" s="29"/>
      <c r="BM1248" s="121"/>
      <c r="BN1248" s="121"/>
      <c r="BO1248" s="121"/>
      <c r="BP1248" s="121"/>
      <c r="BQ1248" s="121"/>
      <c r="BR1248" s="121"/>
      <c r="BS1248" s="121"/>
      <c r="BT1248" s="121"/>
      <c r="BU1248" s="121"/>
      <c r="BV1248" s="121"/>
      <c r="BW1248" s="121"/>
      <c r="BX1248" s="121"/>
      <c r="BY1248" s="121"/>
      <c r="BZ1248" s="121"/>
    </row>
    <row r="1249" spans="60:78">
      <c r="BH1249" s="29"/>
      <c r="BI1249" s="29"/>
      <c r="BJ1249" s="29"/>
      <c r="BK1249" s="29"/>
      <c r="BL1249" s="29"/>
      <c r="BM1249" s="121"/>
      <c r="BN1249" s="121"/>
      <c r="BO1249" s="121"/>
      <c r="BP1249" s="121"/>
      <c r="BQ1249" s="121"/>
      <c r="BR1249" s="121"/>
      <c r="BS1249" s="121"/>
      <c r="BT1249" s="121"/>
      <c r="BU1249" s="121"/>
      <c r="BV1249" s="121"/>
      <c r="BW1249" s="121"/>
      <c r="BX1249" s="121"/>
      <c r="BY1249" s="121"/>
      <c r="BZ1249" s="121"/>
    </row>
    <row r="1250" spans="60:78">
      <c r="BH1250" s="29"/>
      <c r="BI1250" s="29"/>
      <c r="BJ1250" s="29"/>
      <c r="BK1250" s="29"/>
      <c r="BL1250" s="29"/>
      <c r="BM1250" s="121"/>
      <c r="BN1250" s="121"/>
      <c r="BO1250" s="121"/>
      <c r="BP1250" s="121"/>
      <c r="BQ1250" s="121"/>
      <c r="BR1250" s="121"/>
      <c r="BS1250" s="121"/>
      <c r="BT1250" s="121"/>
      <c r="BU1250" s="121"/>
      <c r="BV1250" s="121"/>
      <c r="BW1250" s="121"/>
      <c r="BX1250" s="121"/>
      <c r="BY1250" s="121"/>
      <c r="BZ1250" s="121"/>
    </row>
    <row r="1251" spans="60:78">
      <c r="BH1251" s="29"/>
      <c r="BI1251" s="29"/>
      <c r="BJ1251" s="29"/>
      <c r="BK1251" s="29"/>
      <c r="BL1251" s="29"/>
      <c r="BM1251" s="121"/>
      <c r="BN1251" s="121"/>
      <c r="BO1251" s="121"/>
      <c r="BP1251" s="121"/>
      <c r="BQ1251" s="121"/>
      <c r="BR1251" s="121"/>
      <c r="BS1251" s="121"/>
      <c r="BT1251" s="121"/>
      <c r="BU1251" s="121"/>
      <c r="BV1251" s="121"/>
      <c r="BW1251" s="121"/>
      <c r="BX1251" s="121"/>
      <c r="BY1251" s="121"/>
      <c r="BZ1251" s="121"/>
    </row>
    <row r="1252" spans="60:78">
      <c r="BH1252" s="29"/>
      <c r="BI1252" s="29"/>
      <c r="BJ1252" s="29"/>
      <c r="BK1252" s="29"/>
      <c r="BL1252" s="29"/>
      <c r="BM1252" s="121"/>
      <c r="BN1252" s="121"/>
      <c r="BO1252" s="121"/>
      <c r="BP1252" s="121"/>
      <c r="BQ1252" s="121"/>
      <c r="BR1252" s="121"/>
      <c r="BS1252" s="121"/>
      <c r="BT1252" s="121"/>
      <c r="BU1252" s="121"/>
      <c r="BV1252" s="121"/>
      <c r="BW1252" s="121"/>
      <c r="BX1252" s="121"/>
      <c r="BY1252" s="121"/>
      <c r="BZ1252" s="121"/>
    </row>
    <row r="1253" spans="60:78">
      <c r="BH1253" s="29"/>
      <c r="BI1253" s="29"/>
      <c r="BJ1253" s="29"/>
      <c r="BK1253" s="29"/>
      <c r="BL1253" s="29"/>
      <c r="BM1253" s="121"/>
      <c r="BN1253" s="121"/>
      <c r="BO1253" s="121"/>
      <c r="BP1253" s="121"/>
      <c r="BQ1253" s="121"/>
      <c r="BR1253" s="121"/>
      <c r="BS1253" s="121"/>
      <c r="BT1253" s="121"/>
      <c r="BU1253" s="121"/>
      <c r="BV1253" s="121"/>
      <c r="BW1253" s="121"/>
      <c r="BX1253" s="121"/>
      <c r="BY1253" s="121"/>
      <c r="BZ1253" s="121"/>
    </row>
    <row r="1254" spans="60:78">
      <c r="BH1254" s="29"/>
      <c r="BI1254" s="29"/>
      <c r="BJ1254" s="29"/>
      <c r="BK1254" s="29"/>
      <c r="BL1254" s="29"/>
      <c r="BM1254" s="121"/>
      <c r="BN1254" s="121"/>
      <c r="BO1254" s="121"/>
      <c r="BP1254" s="121"/>
      <c r="BQ1254" s="121"/>
      <c r="BR1254" s="121"/>
      <c r="BS1254" s="121"/>
      <c r="BT1254" s="121"/>
      <c r="BU1254" s="121"/>
      <c r="BV1254" s="121"/>
      <c r="BW1254" s="121"/>
      <c r="BX1254" s="121"/>
      <c r="BY1254" s="121"/>
      <c r="BZ1254" s="121"/>
    </row>
    <row r="1255" spans="60:78">
      <c r="BH1255" s="29"/>
      <c r="BI1255" s="29"/>
      <c r="BJ1255" s="29"/>
      <c r="BK1255" s="29"/>
      <c r="BL1255" s="29"/>
      <c r="BM1255" s="121"/>
      <c r="BN1255" s="121"/>
      <c r="BO1255" s="121"/>
      <c r="BP1255" s="121"/>
      <c r="BQ1255" s="121"/>
      <c r="BR1255" s="121"/>
      <c r="BS1255" s="121"/>
      <c r="BT1255" s="121"/>
      <c r="BU1255" s="121"/>
      <c r="BV1255" s="121"/>
      <c r="BW1255" s="121"/>
      <c r="BX1255" s="121"/>
      <c r="BY1255" s="121"/>
      <c r="BZ1255" s="121"/>
    </row>
    <row r="1256" spans="60:78">
      <c r="BH1256" s="29"/>
      <c r="BI1256" s="29"/>
      <c r="BJ1256" s="29"/>
      <c r="BK1256" s="29"/>
      <c r="BL1256" s="29"/>
      <c r="BM1256" s="121"/>
      <c r="BN1256" s="121"/>
      <c r="BO1256" s="121"/>
      <c r="BP1256" s="121"/>
      <c r="BQ1256" s="121"/>
      <c r="BR1256" s="121"/>
      <c r="BS1256" s="121"/>
      <c r="BT1256" s="121"/>
      <c r="BU1256" s="121"/>
      <c r="BV1256" s="121"/>
      <c r="BW1256" s="121"/>
      <c r="BX1256" s="121"/>
      <c r="BY1256" s="121"/>
      <c r="BZ1256" s="121"/>
    </row>
    <row r="1257" spans="60:78">
      <c r="BH1257" s="29"/>
      <c r="BI1257" s="29"/>
      <c r="BJ1257" s="29"/>
      <c r="BK1257" s="29"/>
      <c r="BL1257" s="29"/>
      <c r="BM1257" s="121"/>
      <c r="BN1257" s="121"/>
      <c r="BO1257" s="121"/>
      <c r="BP1257" s="121"/>
      <c r="BQ1257" s="121"/>
      <c r="BR1257" s="121"/>
      <c r="BS1257" s="121"/>
      <c r="BT1257" s="121"/>
      <c r="BU1257" s="121"/>
      <c r="BV1257" s="121"/>
      <c r="BW1257" s="121"/>
      <c r="BX1257" s="121"/>
      <c r="BY1257" s="121"/>
      <c r="BZ1257" s="121"/>
    </row>
    <row r="1258" spans="60:78">
      <c r="BH1258" s="29"/>
      <c r="BI1258" s="29"/>
      <c r="BJ1258" s="29"/>
      <c r="BK1258" s="29"/>
      <c r="BL1258" s="29"/>
      <c r="BM1258" s="121"/>
      <c r="BN1258" s="121"/>
      <c r="BO1258" s="121"/>
      <c r="BP1258" s="121"/>
      <c r="BQ1258" s="121"/>
      <c r="BR1258" s="121"/>
      <c r="BS1258" s="121"/>
      <c r="BT1258" s="121"/>
      <c r="BU1258" s="121"/>
      <c r="BV1258" s="121"/>
      <c r="BW1258" s="121"/>
      <c r="BX1258" s="121"/>
      <c r="BY1258" s="121"/>
      <c r="BZ1258" s="121"/>
    </row>
    <row r="1259" spans="60:78">
      <c r="BH1259" s="29"/>
      <c r="BI1259" s="29"/>
      <c r="BJ1259" s="29"/>
      <c r="BK1259" s="29"/>
      <c r="BL1259" s="29"/>
      <c r="BM1259" s="121"/>
      <c r="BN1259" s="121"/>
      <c r="BO1259" s="121"/>
      <c r="BP1259" s="121"/>
      <c r="BQ1259" s="121"/>
      <c r="BR1259" s="121"/>
      <c r="BS1259" s="121"/>
      <c r="BT1259" s="121"/>
      <c r="BU1259" s="121"/>
      <c r="BV1259" s="121"/>
      <c r="BW1259" s="121"/>
      <c r="BX1259" s="121"/>
      <c r="BY1259" s="121"/>
      <c r="BZ1259" s="121"/>
    </row>
    <row r="1260" spans="60:78">
      <c r="BH1260" s="29"/>
      <c r="BI1260" s="29"/>
      <c r="BJ1260" s="29"/>
      <c r="BK1260" s="29"/>
      <c r="BL1260" s="29"/>
      <c r="BM1260" s="121"/>
      <c r="BN1260" s="121"/>
      <c r="BO1260" s="121"/>
      <c r="BP1260" s="121"/>
      <c r="BQ1260" s="121"/>
      <c r="BR1260" s="121"/>
      <c r="BS1260" s="121"/>
      <c r="BT1260" s="121"/>
      <c r="BU1260" s="121"/>
      <c r="BV1260" s="121"/>
      <c r="BW1260" s="121"/>
      <c r="BX1260" s="121"/>
      <c r="BY1260" s="121"/>
      <c r="BZ1260" s="121"/>
    </row>
    <row r="1261" spans="60:78">
      <c r="BH1261" s="29"/>
      <c r="BI1261" s="29"/>
      <c r="BJ1261" s="29"/>
      <c r="BK1261" s="29"/>
      <c r="BL1261" s="29"/>
      <c r="BM1261" s="121"/>
      <c r="BN1261" s="121"/>
      <c r="BO1261" s="121"/>
      <c r="BP1261" s="121"/>
      <c r="BQ1261" s="121"/>
      <c r="BR1261" s="121"/>
      <c r="BS1261" s="121"/>
      <c r="BT1261" s="121"/>
      <c r="BU1261" s="121"/>
      <c r="BV1261" s="121"/>
      <c r="BW1261" s="121"/>
      <c r="BX1261" s="121"/>
      <c r="BY1261" s="121"/>
      <c r="BZ1261" s="121"/>
    </row>
    <row r="1262" spans="60:78">
      <c r="BH1262" s="29"/>
      <c r="BI1262" s="29"/>
      <c r="BJ1262" s="29"/>
      <c r="BK1262" s="29"/>
      <c r="BL1262" s="29"/>
      <c r="BM1262" s="121"/>
      <c r="BN1262" s="121"/>
      <c r="BO1262" s="121"/>
      <c r="BP1262" s="121"/>
      <c r="BQ1262" s="121"/>
      <c r="BR1262" s="121"/>
      <c r="BS1262" s="121"/>
      <c r="BT1262" s="121"/>
      <c r="BU1262" s="121"/>
      <c r="BV1262" s="121"/>
      <c r="BW1262" s="121"/>
      <c r="BX1262" s="121"/>
      <c r="BY1262" s="121"/>
      <c r="BZ1262" s="121"/>
    </row>
    <row r="1263" spans="60:78">
      <c r="BH1263" s="29"/>
      <c r="BI1263" s="29"/>
      <c r="BJ1263" s="29"/>
      <c r="BK1263" s="29"/>
      <c r="BL1263" s="29"/>
      <c r="BM1263" s="121"/>
      <c r="BN1263" s="121"/>
      <c r="BO1263" s="121"/>
      <c r="BP1263" s="121"/>
      <c r="BQ1263" s="121"/>
      <c r="BR1263" s="121"/>
      <c r="BS1263" s="121"/>
      <c r="BT1263" s="121"/>
      <c r="BU1263" s="121"/>
      <c r="BV1263" s="121"/>
      <c r="BW1263" s="121"/>
      <c r="BX1263" s="121"/>
      <c r="BY1263" s="121"/>
      <c r="BZ1263" s="121"/>
    </row>
    <row r="1264" spans="60:78">
      <c r="BH1264" s="29"/>
      <c r="BI1264" s="29"/>
      <c r="BJ1264" s="29"/>
      <c r="BK1264" s="29"/>
      <c r="BL1264" s="29"/>
      <c r="BM1264" s="121"/>
      <c r="BN1264" s="121"/>
      <c r="BO1264" s="121"/>
      <c r="BP1264" s="121"/>
      <c r="BQ1264" s="121"/>
      <c r="BR1264" s="121"/>
      <c r="BS1264" s="121"/>
      <c r="BT1264" s="121"/>
      <c r="BU1264" s="121"/>
      <c r="BV1264" s="121"/>
      <c r="BW1264" s="121"/>
      <c r="BX1264" s="121"/>
      <c r="BY1264" s="121"/>
      <c r="BZ1264" s="121"/>
    </row>
    <row r="1265" spans="60:78">
      <c r="BH1265" s="29"/>
      <c r="BI1265" s="29"/>
      <c r="BJ1265" s="29"/>
      <c r="BK1265" s="29"/>
      <c r="BL1265" s="29"/>
      <c r="BM1265" s="121"/>
      <c r="BN1265" s="121"/>
      <c r="BO1265" s="121"/>
      <c r="BP1265" s="121"/>
      <c r="BQ1265" s="121"/>
      <c r="BR1265" s="121"/>
      <c r="BS1265" s="121"/>
      <c r="BT1265" s="121"/>
      <c r="BU1265" s="121"/>
      <c r="BV1265" s="121"/>
      <c r="BW1265" s="121"/>
      <c r="BX1265" s="121"/>
      <c r="BY1265" s="121"/>
      <c r="BZ1265" s="121"/>
    </row>
    <row r="1266" spans="60:78">
      <c r="BH1266" s="29"/>
      <c r="BI1266" s="29"/>
      <c r="BJ1266" s="29"/>
      <c r="BK1266" s="29"/>
      <c r="BL1266" s="29"/>
      <c r="BM1266" s="121"/>
      <c r="BN1266" s="121"/>
      <c r="BO1266" s="121"/>
      <c r="BP1266" s="121"/>
      <c r="BQ1266" s="121"/>
      <c r="BR1266" s="121"/>
      <c r="BS1266" s="121"/>
      <c r="BT1266" s="121"/>
      <c r="BU1266" s="121"/>
      <c r="BV1266" s="121"/>
      <c r="BW1266" s="121"/>
      <c r="BX1266" s="121"/>
      <c r="BY1266" s="121"/>
      <c r="BZ1266" s="121"/>
    </row>
    <row r="1267" spans="60:78">
      <c r="BH1267" s="29"/>
      <c r="BI1267" s="29"/>
      <c r="BJ1267" s="29"/>
      <c r="BK1267" s="29"/>
      <c r="BL1267" s="29"/>
      <c r="BM1267" s="121"/>
      <c r="BN1267" s="121"/>
      <c r="BO1267" s="121"/>
      <c r="BP1267" s="121"/>
      <c r="BQ1267" s="121"/>
      <c r="BR1267" s="121"/>
      <c r="BS1267" s="121"/>
      <c r="BT1267" s="121"/>
      <c r="BU1267" s="121"/>
      <c r="BV1267" s="121"/>
      <c r="BW1267" s="121"/>
      <c r="BX1267" s="121"/>
      <c r="BY1267" s="121"/>
      <c r="BZ1267" s="121"/>
    </row>
    <row r="1268" spans="60:78">
      <c r="BH1268" s="29"/>
      <c r="BI1268" s="29"/>
      <c r="BJ1268" s="29"/>
      <c r="BK1268" s="29"/>
      <c r="BL1268" s="29"/>
      <c r="BM1268" s="121"/>
      <c r="BN1268" s="121"/>
      <c r="BO1268" s="121"/>
      <c r="BP1268" s="121"/>
      <c r="BQ1268" s="121"/>
      <c r="BR1268" s="121"/>
      <c r="BS1268" s="121"/>
      <c r="BT1268" s="121"/>
      <c r="BU1268" s="121"/>
      <c r="BV1268" s="121"/>
      <c r="BW1268" s="121"/>
      <c r="BX1268" s="121"/>
      <c r="BY1268" s="121"/>
      <c r="BZ1268" s="121"/>
    </row>
    <row r="1269" spans="60:78">
      <c r="BH1269" s="29"/>
      <c r="BI1269" s="29"/>
      <c r="BJ1269" s="29"/>
      <c r="BK1269" s="29"/>
      <c r="BL1269" s="29"/>
      <c r="BM1269" s="121"/>
      <c r="BN1269" s="121"/>
      <c r="BO1269" s="121"/>
      <c r="BP1269" s="121"/>
      <c r="BQ1269" s="121"/>
      <c r="BR1269" s="121"/>
      <c r="BS1269" s="121"/>
      <c r="BT1269" s="121"/>
      <c r="BU1269" s="121"/>
      <c r="BV1269" s="121"/>
      <c r="BW1269" s="121"/>
      <c r="BX1269" s="121"/>
      <c r="BY1269" s="121"/>
      <c r="BZ1269" s="121"/>
    </row>
    <row r="1270" spans="60:78">
      <c r="BH1270" s="29"/>
      <c r="BI1270" s="29"/>
      <c r="BJ1270" s="29"/>
      <c r="BK1270" s="29"/>
      <c r="BL1270" s="29"/>
      <c r="BM1270" s="121"/>
      <c r="BN1270" s="121"/>
      <c r="BO1270" s="121"/>
      <c r="BP1270" s="121"/>
      <c r="BQ1270" s="121"/>
      <c r="BR1270" s="121"/>
      <c r="BS1270" s="121"/>
      <c r="BT1270" s="121"/>
      <c r="BU1270" s="121"/>
      <c r="BV1270" s="121"/>
      <c r="BW1270" s="121"/>
      <c r="BX1270" s="121"/>
      <c r="BY1270" s="121"/>
      <c r="BZ1270" s="121"/>
    </row>
    <row r="1271" spans="60:78">
      <c r="BH1271" s="29"/>
      <c r="BI1271" s="29"/>
      <c r="BJ1271" s="29"/>
      <c r="BK1271" s="29"/>
      <c r="BL1271" s="29"/>
      <c r="BM1271" s="121"/>
      <c r="BN1271" s="121"/>
      <c r="BO1271" s="121"/>
      <c r="BP1271" s="121"/>
      <c r="BQ1271" s="121"/>
      <c r="BR1271" s="121"/>
      <c r="BS1271" s="121"/>
      <c r="BT1271" s="121"/>
      <c r="BU1271" s="121"/>
      <c r="BV1271" s="121"/>
      <c r="BW1271" s="121"/>
      <c r="BX1271" s="121"/>
      <c r="BY1271" s="121"/>
      <c r="BZ1271" s="121"/>
    </row>
    <row r="1272" spans="60:78">
      <c r="BH1272" s="29"/>
      <c r="BI1272" s="29"/>
      <c r="BJ1272" s="29"/>
      <c r="BK1272" s="29"/>
      <c r="BL1272" s="29"/>
      <c r="BM1272" s="121"/>
      <c r="BN1272" s="121"/>
      <c r="BO1272" s="121"/>
      <c r="BP1272" s="121"/>
      <c r="BQ1272" s="121"/>
      <c r="BR1272" s="121"/>
      <c r="BS1272" s="121"/>
      <c r="BT1272" s="121"/>
      <c r="BU1272" s="121"/>
      <c r="BV1272" s="121"/>
      <c r="BW1272" s="121"/>
      <c r="BX1272" s="121"/>
      <c r="BY1272" s="121"/>
      <c r="BZ1272" s="121"/>
    </row>
    <row r="1273" spans="60:78">
      <c r="BH1273" s="29"/>
      <c r="BI1273" s="29"/>
      <c r="BJ1273" s="29"/>
      <c r="BK1273" s="29"/>
      <c r="BL1273" s="29"/>
      <c r="BM1273" s="121"/>
      <c r="BN1273" s="121"/>
      <c r="BO1273" s="121"/>
      <c r="BP1273" s="121"/>
      <c r="BQ1273" s="121"/>
      <c r="BR1273" s="121"/>
      <c r="BS1273" s="121"/>
      <c r="BT1273" s="121"/>
      <c r="BU1273" s="121"/>
      <c r="BV1273" s="121"/>
      <c r="BW1273" s="121"/>
      <c r="BX1273" s="121"/>
      <c r="BY1273" s="121"/>
      <c r="BZ1273" s="121"/>
    </row>
    <row r="1274" spans="60:78">
      <c r="BH1274" s="29"/>
      <c r="BI1274" s="29"/>
      <c r="BJ1274" s="29"/>
      <c r="BK1274" s="29"/>
      <c r="BL1274" s="29"/>
      <c r="BM1274" s="121"/>
      <c r="BN1274" s="121"/>
      <c r="BO1274" s="121"/>
      <c r="BP1274" s="121"/>
      <c r="BQ1274" s="121"/>
      <c r="BR1274" s="121"/>
      <c r="BS1274" s="121"/>
      <c r="BT1274" s="121"/>
      <c r="BU1274" s="121"/>
      <c r="BV1274" s="121"/>
      <c r="BW1274" s="121"/>
      <c r="BX1274" s="121"/>
      <c r="BY1274" s="121"/>
      <c r="BZ1274" s="121"/>
    </row>
    <row r="1275" spans="60:78">
      <c r="BH1275" s="29"/>
      <c r="BI1275" s="29"/>
      <c r="BJ1275" s="29"/>
      <c r="BK1275" s="29"/>
      <c r="BL1275" s="29"/>
      <c r="BM1275" s="121"/>
      <c r="BN1275" s="121"/>
      <c r="BO1275" s="121"/>
      <c r="BP1275" s="121"/>
      <c r="BQ1275" s="121"/>
      <c r="BR1275" s="121"/>
      <c r="BS1275" s="121"/>
      <c r="BT1275" s="121"/>
      <c r="BU1275" s="121"/>
      <c r="BV1275" s="121"/>
      <c r="BW1275" s="121"/>
      <c r="BX1275" s="121"/>
      <c r="BY1275" s="121"/>
      <c r="BZ1275" s="121"/>
    </row>
    <row r="1276" spans="60:78">
      <c r="BH1276" s="29"/>
      <c r="BI1276" s="29"/>
      <c r="BJ1276" s="29"/>
      <c r="BK1276" s="29"/>
      <c r="BL1276" s="29"/>
      <c r="BM1276" s="121"/>
      <c r="BN1276" s="121"/>
      <c r="BO1276" s="121"/>
      <c r="BP1276" s="121"/>
      <c r="BQ1276" s="121"/>
      <c r="BR1276" s="121"/>
      <c r="BS1276" s="121"/>
      <c r="BT1276" s="121"/>
      <c r="BU1276" s="121"/>
      <c r="BV1276" s="121"/>
      <c r="BW1276" s="121"/>
      <c r="BX1276" s="121"/>
      <c r="BY1276" s="121"/>
      <c r="BZ1276" s="121"/>
    </row>
    <row r="1277" spans="60:78">
      <c r="BH1277" s="29"/>
      <c r="BI1277" s="29"/>
      <c r="BJ1277" s="29"/>
      <c r="BK1277" s="29"/>
      <c r="BL1277" s="29"/>
      <c r="BM1277" s="121"/>
      <c r="BN1277" s="121"/>
      <c r="BO1277" s="121"/>
      <c r="BP1277" s="121"/>
      <c r="BQ1277" s="121"/>
      <c r="BR1277" s="121"/>
      <c r="BS1277" s="121"/>
      <c r="BT1277" s="121"/>
      <c r="BU1277" s="121"/>
      <c r="BV1277" s="121"/>
      <c r="BW1277" s="121"/>
      <c r="BX1277" s="121"/>
      <c r="BY1277" s="121"/>
      <c r="BZ1277" s="121"/>
    </row>
    <row r="1278" spans="60:78">
      <c r="BH1278" s="29"/>
      <c r="BI1278" s="29"/>
      <c r="BJ1278" s="29"/>
      <c r="BK1278" s="29"/>
      <c r="BL1278" s="29"/>
      <c r="BM1278" s="121"/>
      <c r="BN1278" s="121"/>
      <c r="BO1278" s="121"/>
      <c r="BP1278" s="121"/>
      <c r="BQ1278" s="121"/>
      <c r="BR1278" s="121"/>
      <c r="BS1278" s="121"/>
      <c r="BT1278" s="121"/>
      <c r="BU1278" s="121"/>
      <c r="BV1278" s="121"/>
      <c r="BW1278" s="121"/>
      <c r="BX1278" s="121"/>
      <c r="BY1278" s="121"/>
      <c r="BZ1278" s="121"/>
    </row>
    <row r="1279" spans="60:78">
      <c r="BH1279" s="29"/>
      <c r="BI1279" s="29"/>
      <c r="BJ1279" s="29"/>
      <c r="BK1279" s="29"/>
      <c r="BL1279" s="29"/>
      <c r="BM1279" s="121"/>
      <c r="BN1279" s="121"/>
      <c r="BO1279" s="121"/>
      <c r="BP1279" s="121"/>
      <c r="BQ1279" s="121"/>
      <c r="BR1279" s="121"/>
      <c r="BS1279" s="121"/>
      <c r="BT1279" s="121"/>
      <c r="BU1279" s="121"/>
      <c r="BV1279" s="121"/>
      <c r="BW1279" s="121"/>
      <c r="BX1279" s="121"/>
      <c r="BY1279" s="121"/>
      <c r="BZ1279" s="121"/>
    </row>
    <row r="1280" spans="60:78">
      <c r="BH1280" s="29"/>
      <c r="BI1280" s="29"/>
      <c r="BJ1280" s="29"/>
      <c r="BK1280" s="29"/>
      <c r="BL1280" s="29"/>
      <c r="BM1280" s="121"/>
      <c r="BN1280" s="121"/>
      <c r="BO1280" s="121"/>
      <c r="BP1280" s="121"/>
      <c r="BQ1280" s="121"/>
      <c r="BR1280" s="121"/>
      <c r="BS1280" s="121"/>
      <c r="BT1280" s="121"/>
      <c r="BU1280" s="121"/>
      <c r="BV1280" s="121"/>
      <c r="BW1280" s="121"/>
      <c r="BX1280" s="121"/>
      <c r="BY1280" s="121"/>
      <c r="BZ1280" s="121"/>
    </row>
    <row r="1281" spans="60:78">
      <c r="BH1281" s="29"/>
      <c r="BI1281" s="29"/>
      <c r="BJ1281" s="29"/>
      <c r="BK1281" s="29"/>
      <c r="BL1281" s="29"/>
      <c r="BM1281" s="121"/>
      <c r="BN1281" s="121"/>
      <c r="BO1281" s="121"/>
      <c r="BP1281" s="121"/>
      <c r="BQ1281" s="121"/>
      <c r="BR1281" s="121"/>
      <c r="BS1281" s="121"/>
      <c r="BT1281" s="121"/>
      <c r="BU1281" s="121"/>
      <c r="BV1281" s="121"/>
      <c r="BW1281" s="121"/>
      <c r="BX1281" s="121"/>
      <c r="BY1281" s="121"/>
      <c r="BZ1281" s="121"/>
    </row>
    <row r="1282" spans="60:78">
      <c r="BH1282" s="29"/>
      <c r="BI1282" s="29"/>
      <c r="BJ1282" s="29"/>
      <c r="BK1282" s="29"/>
      <c r="BL1282" s="29"/>
      <c r="BM1282" s="121"/>
      <c r="BN1282" s="121"/>
      <c r="BO1282" s="121"/>
      <c r="BP1282" s="121"/>
      <c r="BQ1282" s="121"/>
      <c r="BR1282" s="121"/>
      <c r="BS1282" s="121"/>
      <c r="BT1282" s="121"/>
      <c r="BU1282" s="121"/>
      <c r="BV1282" s="121"/>
      <c r="BW1282" s="121"/>
      <c r="BX1282" s="121"/>
      <c r="BY1282" s="121"/>
      <c r="BZ1282" s="121"/>
    </row>
    <row r="1283" spans="60:78">
      <c r="BH1283" s="29"/>
      <c r="BI1283" s="29"/>
      <c r="BJ1283" s="29"/>
      <c r="BK1283" s="29"/>
      <c r="BL1283" s="29"/>
      <c r="BM1283" s="121"/>
      <c r="BN1283" s="121"/>
      <c r="BO1283" s="121"/>
      <c r="BP1283" s="121"/>
      <c r="BQ1283" s="121"/>
      <c r="BR1283" s="121"/>
      <c r="BS1283" s="121"/>
      <c r="BT1283" s="121"/>
      <c r="BU1283" s="121"/>
      <c r="BV1283" s="121"/>
      <c r="BW1283" s="121"/>
      <c r="BX1283" s="121"/>
      <c r="BY1283" s="121"/>
      <c r="BZ1283" s="121"/>
    </row>
    <row r="1284" spans="60:78">
      <c r="BH1284" s="29"/>
      <c r="BI1284" s="29"/>
      <c r="BJ1284" s="29"/>
      <c r="BK1284" s="29"/>
      <c r="BL1284" s="29"/>
      <c r="BM1284" s="121"/>
      <c r="BN1284" s="121"/>
      <c r="BO1284" s="121"/>
      <c r="BP1284" s="121"/>
      <c r="BQ1284" s="121"/>
      <c r="BR1284" s="121"/>
      <c r="BS1284" s="121"/>
      <c r="BT1284" s="121"/>
      <c r="BU1284" s="121"/>
      <c r="BV1284" s="121"/>
      <c r="BW1284" s="121"/>
      <c r="BX1284" s="121"/>
      <c r="BY1284" s="121"/>
      <c r="BZ1284" s="121"/>
    </row>
    <row r="1285" spans="60:78">
      <c r="BH1285" s="29"/>
      <c r="BI1285" s="29"/>
      <c r="BJ1285" s="29"/>
      <c r="BK1285" s="29"/>
      <c r="BL1285" s="29"/>
      <c r="BM1285" s="121"/>
      <c r="BN1285" s="121"/>
      <c r="BO1285" s="121"/>
      <c r="BP1285" s="121"/>
      <c r="BQ1285" s="121"/>
      <c r="BR1285" s="121"/>
      <c r="BS1285" s="121"/>
      <c r="BT1285" s="121"/>
      <c r="BU1285" s="121"/>
      <c r="BV1285" s="121"/>
      <c r="BW1285" s="121"/>
      <c r="BX1285" s="121"/>
      <c r="BY1285" s="121"/>
      <c r="BZ1285" s="121"/>
    </row>
    <row r="1286" spans="60:78">
      <c r="BH1286" s="29"/>
      <c r="BI1286" s="29"/>
      <c r="BJ1286" s="29"/>
      <c r="BK1286" s="29"/>
      <c r="BL1286" s="29"/>
      <c r="BM1286" s="121"/>
      <c r="BN1286" s="121"/>
      <c r="BO1286" s="121"/>
      <c r="BP1286" s="121"/>
      <c r="BQ1286" s="121"/>
      <c r="BR1286" s="121"/>
      <c r="BS1286" s="121"/>
      <c r="BT1286" s="121"/>
      <c r="BU1286" s="121"/>
      <c r="BV1286" s="121"/>
      <c r="BW1286" s="121"/>
      <c r="BX1286" s="121"/>
      <c r="BY1286" s="121"/>
      <c r="BZ1286" s="121"/>
    </row>
    <row r="1287" spans="60:78">
      <c r="BH1287" s="29"/>
      <c r="BI1287" s="29"/>
      <c r="BJ1287" s="29"/>
      <c r="BK1287" s="29"/>
      <c r="BL1287" s="29"/>
      <c r="BM1287" s="121"/>
      <c r="BN1287" s="121"/>
      <c r="BO1287" s="121"/>
      <c r="BP1287" s="121"/>
      <c r="BQ1287" s="121"/>
      <c r="BR1287" s="121"/>
      <c r="BS1287" s="121"/>
      <c r="BT1287" s="121"/>
      <c r="BU1287" s="121"/>
      <c r="BV1287" s="121"/>
      <c r="BW1287" s="121"/>
      <c r="BX1287" s="121"/>
      <c r="BY1287" s="121"/>
      <c r="BZ1287" s="121"/>
    </row>
    <row r="1288" spans="60:78">
      <c r="BH1288" s="29"/>
      <c r="BI1288" s="29"/>
      <c r="BJ1288" s="29"/>
      <c r="BK1288" s="29"/>
      <c r="BL1288" s="29"/>
      <c r="BM1288" s="121"/>
      <c r="BN1288" s="121"/>
      <c r="BO1288" s="121"/>
      <c r="BP1288" s="121"/>
      <c r="BQ1288" s="121"/>
      <c r="BR1288" s="121"/>
      <c r="BS1288" s="121"/>
      <c r="BT1288" s="121"/>
      <c r="BU1288" s="121"/>
      <c r="BV1288" s="121"/>
      <c r="BW1288" s="121"/>
      <c r="BX1288" s="121"/>
      <c r="BY1288" s="121"/>
      <c r="BZ1288" s="121"/>
    </row>
    <row r="1289" spans="60:78">
      <c r="BH1289" s="29"/>
      <c r="BI1289" s="29"/>
      <c r="BJ1289" s="29"/>
      <c r="BK1289" s="29"/>
      <c r="BL1289" s="29"/>
      <c r="BM1289" s="121"/>
      <c r="BN1289" s="121"/>
      <c r="BO1289" s="121"/>
      <c r="BP1289" s="121"/>
      <c r="BQ1289" s="121"/>
      <c r="BR1289" s="121"/>
      <c r="BS1289" s="121"/>
      <c r="BT1289" s="121"/>
      <c r="BU1289" s="121"/>
      <c r="BV1289" s="121"/>
      <c r="BW1289" s="121"/>
      <c r="BX1289" s="121"/>
      <c r="BY1289" s="121"/>
      <c r="BZ1289" s="121"/>
    </row>
    <row r="1290" spans="60:78">
      <c r="BH1290" s="29"/>
      <c r="BI1290" s="29"/>
      <c r="BJ1290" s="29"/>
      <c r="BK1290" s="29"/>
      <c r="BL1290" s="29"/>
      <c r="BM1290" s="121"/>
      <c r="BN1290" s="121"/>
      <c r="BO1290" s="121"/>
      <c r="BP1290" s="121"/>
      <c r="BQ1290" s="121"/>
      <c r="BR1290" s="121"/>
      <c r="BS1290" s="121"/>
      <c r="BT1290" s="121"/>
      <c r="BU1290" s="121"/>
      <c r="BV1290" s="121"/>
      <c r="BW1290" s="121"/>
      <c r="BX1290" s="121"/>
      <c r="BY1290" s="121"/>
      <c r="BZ1290" s="121"/>
    </row>
    <row r="1291" spans="60:78">
      <c r="BH1291" s="29"/>
      <c r="BI1291" s="29"/>
      <c r="BJ1291" s="29"/>
      <c r="BK1291" s="29"/>
      <c r="BL1291" s="29"/>
      <c r="BM1291" s="121"/>
      <c r="BN1291" s="121"/>
      <c r="BO1291" s="121"/>
      <c r="BP1291" s="121"/>
      <c r="BQ1291" s="121"/>
      <c r="BR1291" s="121"/>
      <c r="BS1291" s="121"/>
      <c r="BT1291" s="121"/>
      <c r="BU1291" s="121"/>
      <c r="BV1291" s="121"/>
      <c r="BW1291" s="121"/>
      <c r="BX1291" s="121"/>
      <c r="BY1291" s="121"/>
      <c r="BZ1291" s="121"/>
    </row>
    <row r="1292" spans="60:78">
      <c r="BH1292" s="29"/>
      <c r="BI1292" s="29"/>
      <c r="BJ1292" s="29"/>
      <c r="BK1292" s="29"/>
      <c r="BL1292" s="29"/>
      <c r="BM1292" s="121"/>
      <c r="BN1292" s="121"/>
      <c r="BO1292" s="121"/>
      <c r="BP1292" s="121"/>
      <c r="BQ1292" s="121"/>
      <c r="BR1292" s="121"/>
      <c r="BS1292" s="121"/>
      <c r="BT1292" s="121"/>
      <c r="BU1292" s="121"/>
      <c r="BV1292" s="121"/>
      <c r="BW1292" s="121"/>
      <c r="BX1292" s="121"/>
      <c r="BY1292" s="121"/>
      <c r="BZ1292" s="121"/>
    </row>
    <row r="1293" spans="60:78">
      <c r="BH1293" s="29"/>
      <c r="BI1293" s="29"/>
      <c r="BJ1293" s="29"/>
      <c r="BK1293" s="29"/>
      <c r="BL1293" s="29"/>
      <c r="BM1293" s="121"/>
      <c r="BN1293" s="121"/>
      <c r="BO1293" s="121"/>
      <c r="BP1293" s="121"/>
      <c r="BQ1293" s="121"/>
      <c r="BR1293" s="121"/>
      <c r="BS1293" s="121"/>
      <c r="BT1293" s="121"/>
      <c r="BU1293" s="121"/>
      <c r="BV1293" s="121"/>
      <c r="BW1293" s="121"/>
      <c r="BX1293" s="121"/>
      <c r="BY1293" s="121"/>
      <c r="BZ1293" s="121"/>
    </row>
    <row r="1294" spans="60:78">
      <c r="BH1294" s="29"/>
      <c r="BI1294" s="29"/>
      <c r="BJ1294" s="29"/>
      <c r="BK1294" s="29"/>
      <c r="BL1294" s="29"/>
      <c r="BM1294" s="121"/>
      <c r="BN1294" s="121"/>
      <c r="BO1294" s="121"/>
      <c r="BP1294" s="121"/>
      <c r="BQ1294" s="121"/>
      <c r="BR1294" s="121"/>
      <c r="BS1294" s="121"/>
      <c r="BT1294" s="121"/>
      <c r="BU1294" s="121"/>
      <c r="BV1294" s="121"/>
      <c r="BW1294" s="121"/>
      <c r="BX1294" s="121"/>
      <c r="BY1294" s="121"/>
      <c r="BZ1294" s="121"/>
    </row>
    <row r="1295" spans="60:78">
      <c r="BH1295" s="29"/>
      <c r="BI1295" s="29"/>
      <c r="BJ1295" s="29"/>
      <c r="BK1295" s="29"/>
      <c r="BL1295" s="29"/>
      <c r="BM1295" s="121"/>
      <c r="BN1295" s="121"/>
      <c r="BO1295" s="121"/>
      <c r="BP1295" s="121"/>
      <c r="BQ1295" s="121"/>
      <c r="BR1295" s="121"/>
      <c r="BS1295" s="121"/>
      <c r="BT1295" s="121"/>
      <c r="BU1295" s="121"/>
      <c r="BV1295" s="121"/>
      <c r="BW1295" s="121"/>
      <c r="BX1295" s="121"/>
      <c r="BY1295" s="121"/>
      <c r="BZ1295" s="121"/>
    </row>
    <row r="1296" spans="60:78">
      <c r="BH1296" s="29"/>
      <c r="BI1296" s="29"/>
      <c r="BJ1296" s="29"/>
      <c r="BK1296" s="29"/>
      <c r="BL1296" s="29"/>
      <c r="BM1296" s="121"/>
      <c r="BN1296" s="121"/>
      <c r="BO1296" s="121"/>
      <c r="BP1296" s="121"/>
      <c r="BQ1296" s="121"/>
      <c r="BR1296" s="121"/>
      <c r="BS1296" s="121"/>
      <c r="BT1296" s="121"/>
      <c r="BU1296" s="121"/>
      <c r="BV1296" s="121"/>
      <c r="BW1296" s="121"/>
      <c r="BX1296" s="121"/>
      <c r="BY1296" s="121"/>
      <c r="BZ1296" s="121"/>
    </row>
    <row r="1297" spans="60:78">
      <c r="BH1297" s="29"/>
      <c r="BI1297" s="29"/>
      <c r="BJ1297" s="29"/>
      <c r="BK1297" s="29"/>
      <c r="BL1297" s="29"/>
      <c r="BM1297" s="121"/>
      <c r="BN1297" s="121"/>
      <c r="BO1297" s="121"/>
      <c r="BP1297" s="121"/>
      <c r="BQ1297" s="121"/>
      <c r="BR1297" s="121"/>
      <c r="BS1297" s="121"/>
      <c r="BT1297" s="121"/>
      <c r="BU1297" s="121"/>
      <c r="BV1297" s="121"/>
      <c r="BW1297" s="121"/>
      <c r="BX1297" s="121"/>
      <c r="BY1297" s="121"/>
      <c r="BZ1297" s="121"/>
    </row>
    <row r="1298" spans="60:78">
      <c r="BH1298" s="29"/>
      <c r="BI1298" s="29"/>
      <c r="BJ1298" s="29"/>
      <c r="BK1298" s="29"/>
      <c r="BL1298" s="29"/>
      <c r="BM1298" s="121"/>
      <c r="BN1298" s="121"/>
      <c r="BO1298" s="121"/>
      <c r="BP1298" s="121"/>
      <c r="BQ1298" s="121"/>
      <c r="BR1298" s="121"/>
      <c r="BS1298" s="121"/>
      <c r="BT1298" s="121"/>
      <c r="BU1298" s="121"/>
      <c r="BV1298" s="121"/>
      <c r="BW1298" s="121"/>
      <c r="BX1298" s="121"/>
      <c r="BY1298" s="121"/>
      <c r="BZ1298" s="121"/>
    </row>
    <row r="1299" spans="60:78">
      <c r="BH1299" s="29"/>
      <c r="BI1299" s="29"/>
      <c r="BJ1299" s="29"/>
      <c r="BK1299" s="29"/>
      <c r="BL1299" s="29"/>
      <c r="BM1299" s="121"/>
      <c r="BN1299" s="121"/>
      <c r="BO1299" s="121"/>
      <c r="BP1299" s="121"/>
      <c r="BQ1299" s="121"/>
      <c r="BR1299" s="121"/>
      <c r="BS1299" s="121"/>
      <c r="BT1299" s="121"/>
      <c r="BU1299" s="121"/>
      <c r="BV1299" s="121"/>
      <c r="BW1299" s="121"/>
      <c r="BX1299" s="121"/>
      <c r="BY1299" s="121"/>
      <c r="BZ1299" s="121"/>
    </row>
    <row r="1300" spans="60:78">
      <c r="BH1300" s="29"/>
      <c r="BI1300" s="29"/>
      <c r="BJ1300" s="29"/>
      <c r="BK1300" s="29"/>
      <c r="BL1300" s="29"/>
      <c r="BM1300" s="121"/>
      <c r="BN1300" s="121"/>
      <c r="BO1300" s="121"/>
      <c r="BP1300" s="121"/>
      <c r="BQ1300" s="121"/>
      <c r="BR1300" s="121"/>
      <c r="BS1300" s="121"/>
      <c r="BT1300" s="121"/>
      <c r="BU1300" s="121"/>
      <c r="BV1300" s="121"/>
      <c r="BW1300" s="121"/>
      <c r="BX1300" s="121"/>
      <c r="BY1300" s="121"/>
      <c r="BZ1300" s="121"/>
    </row>
    <row r="1301" spans="60:78">
      <c r="BH1301" s="29"/>
      <c r="BI1301" s="29"/>
      <c r="BJ1301" s="29"/>
      <c r="BK1301" s="29"/>
      <c r="BL1301" s="29"/>
      <c r="BM1301" s="121"/>
      <c r="BN1301" s="121"/>
      <c r="BO1301" s="121"/>
      <c r="BP1301" s="121"/>
      <c r="BQ1301" s="121"/>
      <c r="BR1301" s="121"/>
      <c r="BS1301" s="121"/>
      <c r="BT1301" s="121"/>
      <c r="BU1301" s="121"/>
      <c r="BV1301" s="121"/>
      <c r="BW1301" s="121"/>
      <c r="BX1301" s="121"/>
      <c r="BY1301" s="121"/>
      <c r="BZ1301" s="121"/>
    </row>
    <row r="1302" spans="60:78">
      <c r="BH1302" s="29"/>
      <c r="BI1302" s="29"/>
      <c r="BJ1302" s="29"/>
      <c r="BK1302" s="29"/>
      <c r="BL1302" s="29"/>
      <c r="BM1302" s="121"/>
      <c r="BN1302" s="121"/>
      <c r="BO1302" s="121"/>
      <c r="BP1302" s="121"/>
      <c r="BQ1302" s="121"/>
      <c r="BR1302" s="121"/>
      <c r="BS1302" s="121"/>
      <c r="BT1302" s="121"/>
      <c r="BU1302" s="121"/>
      <c r="BV1302" s="121"/>
      <c r="BW1302" s="121"/>
      <c r="BX1302" s="121"/>
      <c r="BY1302" s="121"/>
      <c r="BZ1302" s="121"/>
    </row>
    <row r="1303" spans="60:78">
      <c r="BH1303" s="29"/>
      <c r="BI1303" s="29"/>
      <c r="BJ1303" s="29"/>
      <c r="BK1303" s="29"/>
      <c r="BL1303" s="29"/>
      <c r="BM1303" s="121"/>
      <c r="BN1303" s="121"/>
      <c r="BO1303" s="121"/>
      <c r="BP1303" s="121"/>
      <c r="BQ1303" s="121"/>
      <c r="BR1303" s="121"/>
      <c r="BS1303" s="121"/>
      <c r="BT1303" s="121"/>
      <c r="BU1303" s="121"/>
      <c r="BV1303" s="121"/>
      <c r="BW1303" s="121"/>
      <c r="BX1303" s="121"/>
      <c r="BY1303" s="121"/>
      <c r="BZ1303" s="121"/>
    </row>
    <row r="1304" spans="60:78">
      <c r="BH1304" s="29"/>
      <c r="BI1304" s="29"/>
      <c r="BJ1304" s="29"/>
      <c r="BK1304" s="29"/>
      <c r="BL1304" s="29"/>
      <c r="BM1304" s="121"/>
      <c r="BN1304" s="121"/>
      <c r="BO1304" s="121"/>
      <c r="BP1304" s="121"/>
      <c r="BQ1304" s="121"/>
      <c r="BR1304" s="121"/>
      <c r="BS1304" s="121"/>
      <c r="BT1304" s="121"/>
      <c r="BU1304" s="121"/>
      <c r="BV1304" s="121"/>
      <c r="BW1304" s="121"/>
      <c r="BX1304" s="121"/>
      <c r="BY1304" s="121"/>
      <c r="BZ1304" s="121"/>
    </row>
    <row r="1305" spans="60:78">
      <c r="BH1305" s="29"/>
      <c r="BI1305" s="29"/>
      <c r="BJ1305" s="29"/>
      <c r="BK1305" s="29"/>
      <c r="BL1305" s="29"/>
      <c r="BM1305" s="121"/>
      <c r="BN1305" s="121"/>
      <c r="BO1305" s="121"/>
      <c r="BP1305" s="121"/>
      <c r="BQ1305" s="121"/>
      <c r="BR1305" s="121"/>
      <c r="BS1305" s="121"/>
      <c r="BT1305" s="121"/>
      <c r="BU1305" s="121"/>
      <c r="BV1305" s="121"/>
      <c r="BW1305" s="121"/>
      <c r="BX1305" s="121"/>
      <c r="BY1305" s="121"/>
      <c r="BZ1305" s="121"/>
    </row>
    <row r="1306" spans="60:78">
      <c r="BH1306" s="29"/>
      <c r="BI1306" s="29"/>
      <c r="BJ1306" s="29"/>
      <c r="BK1306" s="29"/>
      <c r="BL1306" s="29"/>
      <c r="BM1306" s="121"/>
      <c r="BN1306" s="121"/>
      <c r="BO1306" s="121"/>
      <c r="BP1306" s="121"/>
      <c r="BQ1306" s="121"/>
      <c r="BR1306" s="121"/>
      <c r="BS1306" s="121"/>
      <c r="BT1306" s="121"/>
      <c r="BU1306" s="121"/>
      <c r="BV1306" s="121"/>
      <c r="BW1306" s="121"/>
      <c r="BX1306" s="121"/>
      <c r="BY1306" s="121"/>
      <c r="BZ1306" s="121"/>
    </row>
    <row r="1307" spans="60:78">
      <c r="BH1307" s="29"/>
      <c r="BI1307" s="29"/>
      <c r="BJ1307" s="29"/>
      <c r="BK1307" s="29"/>
      <c r="BL1307" s="29"/>
      <c r="BM1307" s="121"/>
      <c r="BN1307" s="121"/>
      <c r="BO1307" s="121"/>
      <c r="BP1307" s="121"/>
      <c r="BQ1307" s="121"/>
      <c r="BR1307" s="121"/>
      <c r="BS1307" s="121"/>
      <c r="BT1307" s="121"/>
      <c r="BU1307" s="121"/>
      <c r="BV1307" s="121"/>
      <c r="BW1307" s="121"/>
      <c r="BX1307" s="121"/>
      <c r="BY1307" s="121"/>
      <c r="BZ1307" s="121"/>
    </row>
    <row r="1308" spans="60:78">
      <c r="BH1308" s="29"/>
      <c r="BI1308" s="29"/>
      <c r="BJ1308" s="29"/>
      <c r="BK1308" s="29"/>
      <c r="BL1308" s="29"/>
      <c r="BM1308" s="121"/>
      <c r="BN1308" s="121"/>
      <c r="BO1308" s="121"/>
      <c r="BP1308" s="121"/>
      <c r="BQ1308" s="121"/>
      <c r="BR1308" s="121"/>
      <c r="BS1308" s="121"/>
      <c r="BT1308" s="121"/>
      <c r="BU1308" s="121"/>
      <c r="BV1308" s="121"/>
      <c r="BW1308" s="121"/>
      <c r="BX1308" s="121"/>
      <c r="BY1308" s="121"/>
      <c r="BZ1308" s="121"/>
    </row>
    <row r="1309" spans="60:78">
      <c r="BH1309" s="29"/>
      <c r="BI1309" s="29"/>
      <c r="BJ1309" s="29"/>
      <c r="BK1309" s="29"/>
      <c r="BL1309" s="29"/>
      <c r="BM1309" s="121"/>
      <c r="BN1309" s="121"/>
      <c r="BO1309" s="121"/>
      <c r="BP1309" s="121"/>
      <c r="BQ1309" s="121"/>
      <c r="BR1309" s="121"/>
      <c r="BS1309" s="121"/>
      <c r="BT1309" s="121"/>
      <c r="BU1309" s="121"/>
      <c r="BV1309" s="121"/>
      <c r="BW1309" s="121"/>
      <c r="BX1309" s="121"/>
      <c r="BY1309" s="121"/>
      <c r="BZ1309" s="121"/>
    </row>
    <row r="1310" spans="60:78">
      <c r="BH1310" s="29"/>
      <c r="BI1310" s="29"/>
      <c r="BJ1310" s="29"/>
      <c r="BK1310" s="29"/>
      <c r="BL1310" s="29"/>
      <c r="BM1310" s="121"/>
      <c r="BN1310" s="121"/>
      <c r="BO1310" s="121"/>
      <c r="BP1310" s="121"/>
      <c r="BQ1310" s="121"/>
      <c r="BR1310" s="121"/>
      <c r="BS1310" s="121"/>
      <c r="BT1310" s="121"/>
      <c r="BU1310" s="121"/>
      <c r="BV1310" s="121"/>
      <c r="BW1310" s="121"/>
      <c r="BX1310" s="121"/>
      <c r="BY1310" s="121"/>
      <c r="BZ1310" s="121"/>
    </row>
    <row r="1311" spans="60:78">
      <c r="BH1311" s="29"/>
      <c r="BI1311" s="29"/>
      <c r="BJ1311" s="29"/>
      <c r="BK1311" s="29"/>
      <c r="BL1311" s="29"/>
      <c r="BM1311" s="121"/>
      <c r="BN1311" s="121"/>
      <c r="BO1311" s="121"/>
      <c r="BP1311" s="121"/>
      <c r="BQ1311" s="121"/>
      <c r="BR1311" s="121"/>
      <c r="BS1311" s="121"/>
      <c r="BT1311" s="121"/>
      <c r="BU1311" s="121"/>
      <c r="BV1311" s="121"/>
      <c r="BW1311" s="121"/>
      <c r="BX1311" s="121"/>
      <c r="BY1311" s="121"/>
      <c r="BZ1311" s="121"/>
    </row>
    <row r="1312" spans="60:78">
      <c r="BH1312" s="29"/>
      <c r="BI1312" s="29"/>
      <c r="BJ1312" s="29"/>
      <c r="BK1312" s="29"/>
      <c r="BL1312" s="29"/>
      <c r="BM1312" s="121"/>
      <c r="BN1312" s="121"/>
      <c r="BO1312" s="121"/>
      <c r="BP1312" s="121"/>
      <c r="BQ1312" s="121"/>
      <c r="BR1312" s="121"/>
      <c r="BS1312" s="121"/>
      <c r="BT1312" s="121"/>
      <c r="BU1312" s="121"/>
      <c r="BV1312" s="121"/>
      <c r="BW1312" s="121"/>
      <c r="BX1312" s="121"/>
      <c r="BY1312" s="121"/>
      <c r="BZ1312" s="121"/>
    </row>
    <row r="1313" spans="60:78">
      <c r="BH1313" s="29"/>
      <c r="BI1313" s="29"/>
      <c r="BJ1313" s="29"/>
      <c r="BK1313" s="29"/>
      <c r="BL1313" s="29"/>
      <c r="BM1313" s="121"/>
      <c r="BN1313" s="121"/>
      <c r="BO1313" s="121"/>
      <c r="BP1313" s="121"/>
      <c r="BQ1313" s="121"/>
      <c r="BR1313" s="121"/>
      <c r="BS1313" s="121"/>
      <c r="BT1313" s="121"/>
      <c r="BU1313" s="121"/>
      <c r="BV1313" s="121"/>
      <c r="BW1313" s="121"/>
      <c r="BX1313" s="121"/>
      <c r="BY1313" s="121"/>
      <c r="BZ1313" s="121"/>
    </row>
    <row r="1314" spans="60:78">
      <c r="BH1314" s="29"/>
      <c r="BI1314" s="29"/>
      <c r="BJ1314" s="29"/>
      <c r="BK1314" s="29"/>
      <c r="BL1314" s="29"/>
      <c r="BM1314" s="121"/>
      <c r="BN1314" s="121"/>
      <c r="BO1314" s="121"/>
      <c r="BP1314" s="121"/>
      <c r="BQ1314" s="121"/>
      <c r="BR1314" s="121"/>
      <c r="BS1314" s="121"/>
      <c r="BT1314" s="121"/>
      <c r="BU1314" s="121"/>
      <c r="BV1314" s="121"/>
      <c r="BW1314" s="121"/>
      <c r="BX1314" s="121"/>
      <c r="BY1314" s="121"/>
      <c r="BZ1314" s="121"/>
    </row>
    <row r="1315" spans="60:78">
      <c r="BH1315" s="29"/>
      <c r="BI1315" s="29"/>
      <c r="BJ1315" s="29"/>
      <c r="BK1315" s="29"/>
      <c r="BL1315" s="29"/>
      <c r="BM1315" s="121"/>
      <c r="BN1315" s="121"/>
      <c r="BO1315" s="121"/>
      <c r="BP1315" s="121"/>
      <c r="BQ1315" s="121"/>
      <c r="BR1315" s="121"/>
      <c r="BS1315" s="121"/>
      <c r="BT1315" s="121"/>
      <c r="BU1315" s="121"/>
      <c r="BV1315" s="121"/>
      <c r="BW1315" s="121"/>
      <c r="BX1315" s="121"/>
      <c r="BY1315" s="121"/>
      <c r="BZ1315" s="121"/>
    </row>
    <row r="1316" spans="60:78">
      <c r="BH1316" s="29"/>
      <c r="BI1316" s="29"/>
      <c r="BJ1316" s="29"/>
      <c r="BK1316" s="29"/>
      <c r="BL1316" s="29"/>
      <c r="BM1316" s="121"/>
      <c r="BN1316" s="121"/>
      <c r="BO1316" s="121"/>
      <c r="BP1316" s="121"/>
      <c r="BQ1316" s="121"/>
      <c r="BR1316" s="121"/>
      <c r="BS1316" s="121"/>
      <c r="BT1316" s="121"/>
      <c r="BU1316" s="121"/>
      <c r="BV1316" s="121"/>
      <c r="BW1316" s="121"/>
      <c r="BX1316" s="121"/>
      <c r="BY1316" s="121"/>
      <c r="BZ1316" s="121"/>
    </row>
    <row r="1317" spans="60:78">
      <c r="BH1317" s="29"/>
      <c r="BI1317" s="29"/>
      <c r="BJ1317" s="29"/>
      <c r="BK1317" s="29"/>
      <c r="BL1317" s="29"/>
      <c r="BM1317" s="121"/>
      <c r="BN1317" s="121"/>
      <c r="BO1317" s="121"/>
      <c r="BP1317" s="121"/>
      <c r="BQ1317" s="121"/>
      <c r="BR1317" s="121"/>
      <c r="BS1317" s="121"/>
      <c r="BT1317" s="121"/>
      <c r="BU1317" s="121"/>
      <c r="BV1317" s="121"/>
      <c r="BW1317" s="121"/>
      <c r="BX1317" s="121"/>
      <c r="BY1317" s="121"/>
      <c r="BZ1317" s="121"/>
    </row>
    <row r="1318" spans="60:78">
      <c r="BH1318" s="29"/>
      <c r="BI1318" s="29"/>
      <c r="BJ1318" s="29"/>
      <c r="BK1318" s="29"/>
      <c r="BL1318" s="29"/>
      <c r="BM1318" s="121"/>
      <c r="BN1318" s="121"/>
      <c r="BO1318" s="121"/>
      <c r="BP1318" s="121"/>
      <c r="BQ1318" s="121"/>
      <c r="BR1318" s="121"/>
      <c r="BS1318" s="121"/>
      <c r="BT1318" s="121"/>
      <c r="BU1318" s="121"/>
      <c r="BV1318" s="121"/>
      <c r="BW1318" s="121"/>
      <c r="BX1318" s="121"/>
      <c r="BY1318" s="121"/>
      <c r="BZ1318" s="121"/>
    </row>
    <row r="1319" spans="60:78">
      <c r="BH1319" s="29"/>
      <c r="BI1319" s="29"/>
      <c r="BJ1319" s="29"/>
      <c r="BK1319" s="29"/>
      <c r="BL1319" s="29"/>
      <c r="BM1319" s="121"/>
      <c r="BN1319" s="121"/>
      <c r="BO1319" s="121"/>
      <c r="BP1319" s="121"/>
      <c r="BQ1319" s="121"/>
      <c r="BR1319" s="121"/>
      <c r="BS1319" s="121"/>
      <c r="BT1319" s="121"/>
      <c r="BU1319" s="121"/>
      <c r="BV1319" s="121"/>
      <c r="BW1319" s="121"/>
      <c r="BX1319" s="121"/>
      <c r="BY1319" s="121"/>
      <c r="BZ1319" s="121"/>
    </row>
    <row r="1320" spans="60:78">
      <c r="BH1320" s="29"/>
      <c r="BI1320" s="29"/>
      <c r="BJ1320" s="29"/>
      <c r="BK1320" s="29"/>
      <c r="BL1320" s="29"/>
      <c r="BM1320" s="121"/>
      <c r="BN1320" s="121"/>
      <c r="BO1320" s="121"/>
      <c r="BP1320" s="121"/>
      <c r="BQ1320" s="121"/>
      <c r="BR1320" s="121"/>
      <c r="BS1320" s="121"/>
      <c r="BT1320" s="121"/>
      <c r="BU1320" s="121"/>
      <c r="BV1320" s="121"/>
      <c r="BW1320" s="121"/>
      <c r="BX1320" s="121"/>
      <c r="BY1320" s="121"/>
      <c r="BZ1320" s="121"/>
    </row>
    <row r="1321" spans="60:78">
      <c r="BH1321" s="29"/>
      <c r="BI1321" s="29"/>
      <c r="BJ1321" s="29"/>
      <c r="BK1321" s="29"/>
      <c r="BL1321" s="29"/>
      <c r="BM1321" s="121"/>
      <c r="BN1321" s="121"/>
      <c r="BO1321" s="121"/>
      <c r="BP1321" s="121"/>
      <c r="BQ1321" s="121"/>
      <c r="BR1321" s="121"/>
      <c r="BS1321" s="121"/>
      <c r="BT1321" s="121"/>
      <c r="BU1321" s="121"/>
      <c r="BV1321" s="121"/>
      <c r="BW1321" s="121"/>
      <c r="BX1321" s="121"/>
      <c r="BY1321" s="121"/>
      <c r="BZ1321" s="121"/>
    </row>
    <row r="1322" spans="60:78">
      <c r="BH1322" s="29"/>
      <c r="BI1322" s="29"/>
      <c r="BJ1322" s="29"/>
      <c r="BK1322" s="29"/>
      <c r="BL1322" s="29"/>
      <c r="BM1322" s="121"/>
      <c r="BN1322" s="121"/>
      <c r="BO1322" s="121"/>
      <c r="BP1322" s="121"/>
      <c r="BQ1322" s="121"/>
      <c r="BR1322" s="121"/>
      <c r="BS1322" s="121"/>
      <c r="BT1322" s="121"/>
      <c r="BU1322" s="121"/>
      <c r="BV1322" s="121"/>
      <c r="BW1322" s="121"/>
      <c r="BX1322" s="121"/>
      <c r="BY1322" s="121"/>
      <c r="BZ1322" s="121"/>
    </row>
    <row r="1323" spans="60:78">
      <c r="BH1323" s="29"/>
      <c r="BI1323" s="29"/>
      <c r="BJ1323" s="29"/>
      <c r="BK1323" s="29"/>
      <c r="BL1323" s="29"/>
      <c r="BM1323" s="121"/>
      <c r="BN1323" s="121"/>
      <c r="BO1323" s="121"/>
      <c r="BP1323" s="121"/>
      <c r="BQ1323" s="121"/>
      <c r="BR1323" s="121"/>
      <c r="BS1323" s="121"/>
      <c r="BT1323" s="121"/>
      <c r="BU1323" s="121"/>
      <c r="BV1323" s="121"/>
      <c r="BW1323" s="121"/>
      <c r="BX1323" s="121"/>
      <c r="BY1323" s="121"/>
      <c r="BZ1323" s="121"/>
    </row>
    <row r="1324" spans="60:78">
      <c r="BH1324" s="29"/>
      <c r="BI1324" s="29"/>
      <c r="BJ1324" s="29"/>
      <c r="BK1324" s="29"/>
      <c r="BL1324" s="29"/>
      <c r="BM1324" s="121"/>
      <c r="BN1324" s="121"/>
      <c r="BO1324" s="121"/>
      <c r="BP1324" s="121"/>
      <c r="BQ1324" s="121"/>
      <c r="BR1324" s="121"/>
      <c r="BS1324" s="121"/>
      <c r="BT1324" s="121"/>
      <c r="BU1324" s="121"/>
      <c r="BV1324" s="121"/>
      <c r="BW1324" s="121"/>
      <c r="BX1324" s="121"/>
      <c r="BY1324" s="121"/>
      <c r="BZ1324" s="121"/>
    </row>
    <row r="1325" spans="60:78">
      <c r="BH1325" s="29"/>
      <c r="BI1325" s="29"/>
      <c r="BJ1325" s="29"/>
      <c r="BK1325" s="29"/>
      <c r="BL1325" s="29"/>
      <c r="BM1325" s="121"/>
      <c r="BN1325" s="121"/>
      <c r="BO1325" s="121"/>
      <c r="BP1325" s="121"/>
      <c r="BQ1325" s="121"/>
      <c r="BR1325" s="121"/>
      <c r="BS1325" s="121"/>
      <c r="BT1325" s="121"/>
      <c r="BU1325" s="121"/>
      <c r="BV1325" s="121"/>
      <c r="BW1325" s="121"/>
      <c r="BX1325" s="121"/>
      <c r="BY1325" s="121"/>
      <c r="BZ1325" s="121"/>
    </row>
    <row r="1326" spans="60:78">
      <c r="BH1326" s="29"/>
      <c r="BI1326" s="29"/>
      <c r="BJ1326" s="29"/>
      <c r="BK1326" s="29"/>
      <c r="BL1326" s="29"/>
      <c r="BM1326" s="121"/>
      <c r="BN1326" s="121"/>
      <c r="BO1326" s="121"/>
      <c r="BP1326" s="121"/>
      <c r="BQ1326" s="121"/>
      <c r="BR1326" s="121"/>
      <c r="BS1326" s="121"/>
      <c r="BT1326" s="121"/>
      <c r="BU1326" s="121"/>
      <c r="BV1326" s="121"/>
      <c r="BW1326" s="121"/>
      <c r="BX1326" s="121"/>
      <c r="BY1326" s="121"/>
      <c r="BZ1326" s="121"/>
    </row>
    <row r="1327" spans="60:78">
      <c r="BH1327" s="29"/>
      <c r="BI1327" s="29"/>
      <c r="BJ1327" s="29"/>
      <c r="BK1327" s="29"/>
      <c r="BL1327" s="29"/>
      <c r="BM1327" s="121"/>
      <c r="BN1327" s="121"/>
      <c r="BO1327" s="121"/>
      <c r="BP1327" s="121"/>
      <c r="BQ1327" s="121"/>
      <c r="BR1327" s="121"/>
      <c r="BS1327" s="121"/>
      <c r="BT1327" s="121"/>
      <c r="BU1327" s="121"/>
      <c r="BV1327" s="121"/>
      <c r="BW1327" s="121"/>
      <c r="BX1327" s="121"/>
      <c r="BY1327" s="121"/>
      <c r="BZ1327" s="121"/>
    </row>
    <row r="1328" spans="60:78">
      <c r="BH1328" s="29"/>
      <c r="BI1328" s="29"/>
      <c r="BJ1328" s="29"/>
      <c r="BK1328" s="29"/>
      <c r="BL1328" s="29"/>
      <c r="BM1328" s="121"/>
      <c r="BN1328" s="121"/>
      <c r="BO1328" s="121"/>
      <c r="BP1328" s="121"/>
      <c r="BQ1328" s="121"/>
      <c r="BR1328" s="121"/>
      <c r="BS1328" s="121"/>
      <c r="BT1328" s="121"/>
      <c r="BU1328" s="121"/>
      <c r="BV1328" s="121"/>
      <c r="BW1328" s="121"/>
      <c r="BX1328" s="121"/>
      <c r="BY1328" s="121"/>
      <c r="BZ1328" s="121"/>
    </row>
    <row r="1329" spans="60:78">
      <c r="BH1329" s="29"/>
      <c r="BI1329" s="29"/>
      <c r="BJ1329" s="29"/>
      <c r="BK1329" s="29"/>
      <c r="BL1329" s="29"/>
      <c r="BM1329" s="121"/>
      <c r="BN1329" s="121"/>
      <c r="BO1329" s="121"/>
      <c r="BP1329" s="121"/>
      <c r="BQ1329" s="121"/>
      <c r="BR1329" s="121"/>
      <c r="BS1329" s="121"/>
      <c r="BT1329" s="121"/>
      <c r="BU1329" s="121"/>
      <c r="BV1329" s="121"/>
      <c r="BW1329" s="121"/>
      <c r="BX1329" s="121"/>
      <c r="BY1329" s="121"/>
      <c r="BZ1329" s="121"/>
    </row>
    <row r="1330" spans="60:78">
      <c r="BH1330" s="29"/>
      <c r="BI1330" s="29"/>
      <c r="BJ1330" s="29"/>
      <c r="BK1330" s="29"/>
      <c r="BL1330" s="29"/>
      <c r="BM1330" s="121"/>
      <c r="BN1330" s="121"/>
      <c r="BO1330" s="121"/>
      <c r="BP1330" s="121"/>
      <c r="BQ1330" s="121"/>
      <c r="BR1330" s="121"/>
      <c r="BS1330" s="121"/>
      <c r="BT1330" s="121"/>
      <c r="BU1330" s="121"/>
      <c r="BV1330" s="121"/>
      <c r="BW1330" s="121"/>
      <c r="BX1330" s="121"/>
      <c r="BY1330" s="121"/>
      <c r="BZ1330" s="121"/>
    </row>
    <row r="1331" spans="60:78">
      <c r="BH1331" s="29"/>
      <c r="BI1331" s="29"/>
      <c r="BJ1331" s="29"/>
      <c r="BK1331" s="29"/>
      <c r="BL1331" s="29"/>
      <c r="BM1331" s="121"/>
      <c r="BN1331" s="121"/>
      <c r="BO1331" s="121"/>
      <c r="BP1331" s="121"/>
      <c r="BQ1331" s="121"/>
      <c r="BR1331" s="121"/>
      <c r="BS1331" s="121"/>
      <c r="BT1331" s="121"/>
      <c r="BU1331" s="121"/>
      <c r="BV1331" s="121"/>
      <c r="BW1331" s="121"/>
      <c r="BX1331" s="121"/>
      <c r="BY1331" s="121"/>
      <c r="BZ1331" s="121"/>
    </row>
    <row r="1332" spans="60:78">
      <c r="BH1332" s="29"/>
      <c r="BI1332" s="29"/>
      <c r="BJ1332" s="29"/>
      <c r="BK1332" s="29"/>
      <c r="BL1332" s="29"/>
      <c r="BM1332" s="121"/>
      <c r="BN1332" s="121"/>
      <c r="BO1332" s="121"/>
      <c r="BP1332" s="121"/>
      <c r="BQ1332" s="121"/>
      <c r="BR1332" s="121"/>
      <c r="BS1332" s="121"/>
      <c r="BT1332" s="121"/>
      <c r="BU1332" s="121"/>
      <c r="BV1332" s="121"/>
      <c r="BW1332" s="121"/>
      <c r="BX1332" s="121"/>
      <c r="BY1332" s="121"/>
      <c r="BZ1332" s="121"/>
    </row>
    <row r="1333" spans="60:78">
      <c r="BH1333" s="29"/>
      <c r="BI1333" s="29"/>
      <c r="BJ1333" s="29"/>
      <c r="BK1333" s="29"/>
      <c r="BL1333" s="29"/>
      <c r="BM1333" s="121"/>
      <c r="BN1333" s="121"/>
      <c r="BO1333" s="121"/>
      <c r="BP1333" s="121"/>
      <c r="BQ1333" s="121"/>
      <c r="BR1333" s="121"/>
      <c r="BS1333" s="121"/>
      <c r="BT1333" s="121"/>
      <c r="BU1333" s="121"/>
      <c r="BV1333" s="121"/>
      <c r="BW1333" s="121"/>
      <c r="BX1333" s="121"/>
      <c r="BY1333" s="121"/>
      <c r="BZ1333" s="121"/>
    </row>
    <row r="1334" spans="60:78">
      <c r="BH1334" s="29"/>
      <c r="BI1334" s="29"/>
      <c r="BJ1334" s="29"/>
      <c r="BK1334" s="29"/>
      <c r="BL1334" s="29"/>
      <c r="BM1334" s="121"/>
      <c r="BN1334" s="121"/>
      <c r="BO1334" s="121"/>
      <c r="BP1334" s="121"/>
      <c r="BQ1334" s="121"/>
      <c r="BR1334" s="121"/>
      <c r="BS1334" s="121"/>
      <c r="BT1334" s="121"/>
      <c r="BU1334" s="121"/>
      <c r="BV1334" s="121"/>
      <c r="BW1334" s="121"/>
      <c r="BX1334" s="121"/>
      <c r="BY1334" s="121"/>
      <c r="BZ1334" s="121"/>
    </row>
    <row r="1335" spans="60:78">
      <c r="BH1335" s="29"/>
      <c r="BI1335" s="29"/>
      <c r="BJ1335" s="29"/>
      <c r="BK1335" s="29"/>
      <c r="BL1335" s="29"/>
      <c r="BM1335" s="121"/>
      <c r="BN1335" s="121"/>
      <c r="BO1335" s="121"/>
      <c r="BP1335" s="121"/>
      <c r="BQ1335" s="121"/>
      <c r="BR1335" s="121"/>
      <c r="BS1335" s="121"/>
      <c r="BT1335" s="121"/>
      <c r="BU1335" s="121"/>
      <c r="BV1335" s="121"/>
      <c r="BW1335" s="121"/>
      <c r="BX1335" s="121"/>
      <c r="BY1335" s="121"/>
      <c r="BZ1335" s="121"/>
    </row>
    <row r="1336" spans="60:78">
      <c r="BH1336" s="29"/>
      <c r="BI1336" s="29"/>
      <c r="BJ1336" s="29"/>
      <c r="BK1336" s="29"/>
      <c r="BL1336" s="29"/>
      <c r="BM1336" s="121"/>
      <c r="BN1336" s="121"/>
      <c r="BO1336" s="121"/>
      <c r="BP1336" s="121"/>
      <c r="BQ1336" s="121"/>
      <c r="BR1336" s="121"/>
      <c r="BS1336" s="121"/>
      <c r="BT1336" s="121"/>
      <c r="BU1336" s="121"/>
      <c r="BV1336" s="121"/>
      <c r="BW1336" s="121"/>
      <c r="BX1336" s="121"/>
      <c r="BY1336" s="121"/>
      <c r="BZ1336" s="121"/>
    </row>
    <row r="1337" spans="60:78">
      <c r="BH1337" s="29"/>
      <c r="BI1337" s="29"/>
      <c r="BJ1337" s="29"/>
      <c r="BK1337" s="29"/>
      <c r="BL1337" s="29"/>
      <c r="BM1337" s="121"/>
      <c r="BN1337" s="121"/>
      <c r="BO1337" s="121"/>
      <c r="BP1337" s="121"/>
      <c r="BQ1337" s="121"/>
      <c r="BR1337" s="121"/>
      <c r="BS1337" s="121"/>
      <c r="BT1337" s="121"/>
      <c r="BU1337" s="121"/>
      <c r="BV1337" s="121"/>
      <c r="BW1337" s="121"/>
      <c r="BX1337" s="121"/>
      <c r="BY1337" s="121"/>
      <c r="BZ1337" s="121"/>
    </row>
    <row r="1338" spans="60:78">
      <c r="BH1338" s="29"/>
      <c r="BI1338" s="29"/>
      <c r="BJ1338" s="29"/>
      <c r="BK1338" s="29"/>
      <c r="BL1338" s="29"/>
      <c r="BM1338" s="121"/>
      <c r="BN1338" s="121"/>
      <c r="BO1338" s="121"/>
      <c r="BP1338" s="121"/>
      <c r="BQ1338" s="121"/>
      <c r="BR1338" s="121"/>
      <c r="BS1338" s="121"/>
      <c r="BT1338" s="121"/>
      <c r="BU1338" s="121"/>
      <c r="BV1338" s="121"/>
      <c r="BW1338" s="121"/>
      <c r="BX1338" s="121"/>
      <c r="BY1338" s="121"/>
      <c r="BZ1338" s="121"/>
    </row>
    <row r="1339" spans="60:78">
      <c r="BH1339" s="29"/>
      <c r="BI1339" s="29"/>
      <c r="BJ1339" s="29"/>
      <c r="BK1339" s="29"/>
      <c r="BL1339" s="29"/>
      <c r="BM1339" s="121"/>
      <c r="BN1339" s="121"/>
      <c r="BO1339" s="121"/>
      <c r="BP1339" s="121"/>
      <c r="BQ1339" s="121"/>
      <c r="BR1339" s="121"/>
      <c r="BS1339" s="121"/>
      <c r="BT1339" s="121"/>
      <c r="BU1339" s="121"/>
      <c r="BV1339" s="121"/>
      <c r="BW1339" s="121"/>
      <c r="BX1339" s="121"/>
      <c r="BY1339" s="121"/>
      <c r="BZ1339" s="121"/>
    </row>
    <row r="1340" spans="60:78">
      <c r="BH1340" s="29"/>
      <c r="BI1340" s="29"/>
      <c r="BJ1340" s="29"/>
      <c r="BK1340" s="29"/>
      <c r="BL1340" s="29"/>
      <c r="BM1340" s="121"/>
      <c r="BN1340" s="121"/>
      <c r="BO1340" s="121"/>
      <c r="BP1340" s="121"/>
      <c r="BQ1340" s="121"/>
      <c r="BR1340" s="121"/>
      <c r="BS1340" s="121"/>
      <c r="BT1340" s="121"/>
      <c r="BU1340" s="121"/>
      <c r="BV1340" s="121"/>
      <c r="BW1340" s="121"/>
      <c r="BX1340" s="121"/>
      <c r="BY1340" s="121"/>
      <c r="BZ1340" s="121"/>
    </row>
    <row r="1341" spans="60:78">
      <c r="BH1341" s="29"/>
      <c r="BI1341" s="29"/>
      <c r="BJ1341" s="29"/>
      <c r="BK1341" s="29"/>
      <c r="BL1341" s="29"/>
      <c r="BM1341" s="121"/>
      <c r="BN1341" s="121"/>
      <c r="BO1341" s="121"/>
      <c r="BP1341" s="121"/>
      <c r="BQ1341" s="121"/>
      <c r="BR1341" s="121"/>
      <c r="BS1341" s="121"/>
      <c r="BT1341" s="121"/>
      <c r="BU1341" s="121"/>
      <c r="BV1341" s="121"/>
      <c r="BW1341" s="121"/>
      <c r="BX1341" s="121"/>
      <c r="BY1341" s="121"/>
      <c r="BZ1341" s="121"/>
    </row>
    <row r="1342" spans="60:78">
      <c r="BH1342" s="29"/>
      <c r="BI1342" s="29"/>
      <c r="BJ1342" s="29"/>
      <c r="BK1342" s="29"/>
      <c r="BL1342" s="29"/>
      <c r="BM1342" s="121"/>
      <c r="BN1342" s="121"/>
      <c r="BO1342" s="121"/>
      <c r="BP1342" s="121"/>
      <c r="BQ1342" s="121"/>
      <c r="BR1342" s="121"/>
      <c r="BS1342" s="121"/>
      <c r="BT1342" s="121"/>
      <c r="BU1342" s="121"/>
      <c r="BV1342" s="121"/>
      <c r="BW1342" s="121"/>
      <c r="BX1342" s="121"/>
      <c r="BY1342" s="121"/>
      <c r="BZ1342" s="121"/>
    </row>
    <row r="1343" spans="60:78">
      <c r="BH1343" s="29"/>
      <c r="BI1343" s="29"/>
      <c r="BJ1343" s="29"/>
      <c r="BK1343" s="29"/>
      <c r="BL1343" s="29"/>
      <c r="BM1343" s="121"/>
      <c r="BN1343" s="121"/>
      <c r="BO1343" s="121"/>
      <c r="BP1343" s="121"/>
      <c r="BQ1343" s="121"/>
      <c r="BR1343" s="121"/>
      <c r="BS1343" s="121"/>
      <c r="BT1343" s="121"/>
      <c r="BU1343" s="121"/>
      <c r="BV1343" s="121"/>
      <c r="BW1343" s="121"/>
      <c r="BX1343" s="121"/>
      <c r="BY1343" s="121"/>
      <c r="BZ1343" s="121"/>
    </row>
    <row r="1344" spans="60:78">
      <c r="BH1344" s="29"/>
      <c r="BI1344" s="29"/>
      <c r="BJ1344" s="29"/>
      <c r="BK1344" s="29"/>
      <c r="BL1344" s="29"/>
      <c r="BM1344" s="121"/>
      <c r="BN1344" s="121"/>
      <c r="BO1344" s="121"/>
      <c r="BP1344" s="121"/>
      <c r="BQ1344" s="121"/>
      <c r="BR1344" s="121"/>
      <c r="BS1344" s="121"/>
      <c r="BT1344" s="121"/>
      <c r="BU1344" s="121"/>
      <c r="BV1344" s="121"/>
      <c r="BW1344" s="121"/>
      <c r="BX1344" s="121"/>
      <c r="BY1344" s="121"/>
      <c r="BZ1344" s="121"/>
    </row>
    <row r="1345" spans="60:78">
      <c r="BH1345" s="29"/>
      <c r="BI1345" s="29"/>
      <c r="BJ1345" s="29"/>
      <c r="BK1345" s="29"/>
      <c r="BL1345" s="29"/>
      <c r="BM1345" s="121"/>
      <c r="BN1345" s="121"/>
      <c r="BO1345" s="121"/>
      <c r="BP1345" s="121"/>
      <c r="BQ1345" s="121"/>
      <c r="BR1345" s="121"/>
      <c r="BS1345" s="121"/>
      <c r="BT1345" s="121"/>
      <c r="BU1345" s="121"/>
      <c r="BV1345" s="121"/>
      <c r="BW1345" s="121"/>
      <c r="BX1345" s="121"/>
      <c r="BY1345" s="121"/>
      <c r="BZ1345" s="121"/>
    </row>
    <row r="1346" spans="60:78">
      <c r="BH1346" s="29"/>
      <c r="BI1346" s="29"/>
      <c r="BJ1346" s="29"/>
      <c r="BK1346" s="29"/>
      <c r="BL1346" s="29"/>
      <c r="BM1346" s="121"/>
      <c r="BN1346" s="121"/>
      <c r="BO1346" s="121"/>
      <c r="BP1346" s="121"/>
      <c r="BQ1346" s="121"/>
      <c r="BR1346" s="121"/>
      <c r="BS1346" s="121"/>
      <c r="BT1346" s="121"/>
      <c r="BU1346" s="121"/>
      <c r="BV1346" s="121"/>
      <c r="BW1346" s="121"/>
      <c r="BX1346" s="121"/>
      <c r="BY1346" s="121"/>
      <c r="BZ1346" s="121"/>
    </row>
    <row r="1347" spans="60:78">
      <c r="BH1347" s="29"/>
      <c r="BI1347" s="29"/>
      <c r="BJ1347" s="29"/>
      <c r="BK1347" s="29"/>
      <c r="BL1347" s="29"/>
      <c r="BM1347" s="121"/>
      <c r="BN1347" s="121"/>
      <c r="BO1347" s="121"/>
      <c r="BP1347" s="121"/>
      <c r="BQ1347" s="121"/>
      <c r="BR1347" s="121"/>
      <c r="BS1347" s="121"/>
      <c r="BT1347" s="121"/>
      <c r="BU1347" s="121"/>
      <c r="BV1347" s="121"/>
      <c r="BW1347" s="121"/>
      <c r="BX1347" s="121"/>
      <c r="BY1347" s="121"/>
      <c r="BZ1347" s="121"/>
    </row>
    <row r="1348" spans="60:78">
      <c r="BH1348" s="29"/>
      <c r="BI1348" s="29"/>
      <c r="BJ1348" s="29"/>
      <c r="BK1348" s="29"/>
      <c r="BL1348" s="29"/>
      <c r="BM1348" s="121"/>
      <c r="BN1348" s="121"/>
      <c r="BO1348" s="121"/>
      <c r="BP1348" s="121"/>
      <c r="BQ1348" s="121"/>
      <c r="BR1348" s="121"/>
      <c r="BS1348" s="121"/>
      <c r="BT1348" s="121"/>
      <c r="BU1348" s="121"/>
      <c r="BV1348" s="121"/>
      <c r="BW1348" s="121"/>
      <c r="BX1348" s="121"/>
      <c r="BY1348" s="121"/>
      <c r="BZ1348" s="121"/>
    </row>
    <row r="1349" spans="60:78">
      <c r="BH1349" s="29"/>
      <c r="BI1349" s="29"/>
      <c r="BJ1349" s="29"/>
      <c r="BK1349" s="29"/>
      <c r="BL1349" s="29"/>
      <c r="BM1349" s="121"/>
      <c r="BN1349" s="121"/>
      <c r="BO1349" s="121"/>
      <c r="BP1349" s="121"/>
      <c r="BQ1349" s="121"/>
      <c r="BR1349" s="121"/>
      <c r="BS1349" s="121"/>
      <c r="BT1349" s="121"/>
      <c r="BU1349" s="121"/>
      <c r="BV1349" s="121"/>
      <c r="BW1349" s="121"/>
      <c r="BX1349" s="121"/>
      <c r="BY1349" s="121"/>
      <c r="BZ1349" s="121"/>
    </row>
    <row r="1350" spans="60:78">
      <c r="BH1350" s="29"/>
      <c r="BI1350" s="29"/>
      <c r="BJ1350" s="29"/>
      <c r="BK1350" s="29"/>
      <c r="BL1350" s="29"/>
      <c r="BM1350" s="121"/>
      <c r="BN1350" s="121"/>
      <c r="BO1350" s="121"/>
      <c r="BP1350" s="121"/>
      <c r="BQ1350" s="121"/>
      <c r="BR1350" s="121"/>
      <c r="BS1350" s="121"/>
      <c r="BT1350" s="121"/>
      <c r="BU1350" s="121"/>
      <c r="BV1350" s="121"/>
      <c r="BW1350" s="121"/>
      <c r="BX1350" s="121"/>
      <c r="BY1350" s="121"/>
      <c r="BZ1350" s="121"/>
    </row>
    <row r="1351" spans="60:78">
      <c r="BH1351" s="29"/>
      <c r="BI1351" s="29"/>
      <c r="BJ1351" s="29"/>
      <c r="BK1351" s="29"/>
      <c r="BL1351" s="29"/>
      <c r="BM1351" s="121"/>
      <c r="BN1351" s="121"/>
      <c r="BO1351" s="121"/>
      <c r="BP1351" s="121"/>
      <c r="BQ1351" s="121"/>
      <c r="BR1351" s="121"/>
      <c r="BS1351" s="121"/>
      <c r="BT1351" s="121"/>
      <c r="BU1351" s="121"/>
      <c r="BV1351" s="121"/>
      <c r="BW1351" s="121"/>
      <c r="BX1351" s="121"/>
      <c r="BY1351" s="121"/>
      <c r="BZ1351" s="121"/>
    </row>
    <row r="1352" spans="60:78">
      <c r="BH1352" s="29"/>
      <c r="BI1352" s="29"/>
      <c r="BJ1352" s="29"/>
      <c r="BK1352" s="29"/>
      <c r="BL1352" s="29"/>
      <c r="BM1352" s="121"/>
      <c r="BN1352" s="121"/>
      <c r="BO1352" s="121"/>
      <c r="BP1352" s="121"/>
      <c r="BQ1352" s="121"/>
      <c r="BR1352" s="121"/>
      <c r="BS1352" s="121"/>
      <c r="BT1352" s="121"/>
      <c r="BU1352" s="121"/>
      <c r="BV1352" s="121"/>
      <c r="BW1352" s="121"/>
      <c r="BX1352" s="121"/>
      <c r="BY1352" s="121"/>
      <c r="BZ1352" s="121"/>
    </row>
    <row r="1353" spans="60:78">
      <c r="BH1353" s="29"/>
      <c r="BI1353" s="29"/>
      <c r="BJ1353" s="29"/>
      <c r="BK1353" s="29"/>
      <c r="BL1353" s="29"/>
      <c r="BM1353" s="121"/>
      <c r="BN1353" s="121"/>
      <c r="BO1353" s="121"/>
      <c r="BP1353" s="121"/>
      <c r="BQ1353" s="121"/>
      <c r="BR1353" s="121"/>
      <c r="BS1353" s="121"/>
      <c r="BT1353" s="121"/>
      <c r="BU1353" s="121"/>
      <c r="BV1353" s="121"/>
      <c r="BW1353" s="121"/>
      <c r="BX1353" s="121"/>
      <c r="BY1353" s="121"/>
      <c r="BZ1353" s="121"/>
    </row>
    <row r="1354" spans="60:78">
      <c r="BH1354" s="29"/>
      <c r="BI1354" s="29"/>
      <c r="BJ1354" s="29"/>
      <c r="BK1354" s="29"/>
      <c r="BL1354" s="29"/>
      <c r="BM1354" s="121"/>
      <c r="BN1354" s="121"/>
      <c r="BO1354" s="121"/>
      <c r="BP1354" s="121"/>
      <c r="BQ1354" s="121"/>
      <c r="BR1354" s="121"/>
      <c r="BS1354" s="121"/>
      <c r="BT1354" s="121"/>
      <c r="BU1354" s="121"/>
      <c r="BV1354" s="121"/>
      <c r="BW1354" s="121"/>
      <c r="BX1354" s="121"/>
      <c r="BY1354" s="121"/>
      <c r="BZ1354" s="121"/>
    </row>
    <row r="1355" spans="60:78">
      <c r="BH1355" s="29"/>
      <c r="BI1355" s="29"/>
      <c r="BJ1355" s="29"/>
      <c r="BK1355" s="29"/>
      <c r="BL1355" s="29"/>
      <c r="BM1355" s="121"/>
      <c r="BN1355" s="121"/>
      <c r="BO1355" s="121"/>
      <c r="BP1355" s="121"/>
      <c r="BQ1355" s="121"/>
      <c r="BR1355" s="121"/>
      <c r="BS1355" s="121"/>
      <c r="BT1355" s="121"/>
      <c r="BU1355" s="121"/>
      <c r="BV1355" s="121"/>
      <c r="BW1355" s="121"/>
      <c r="BX1355" s="121"/>
      <c r="BY1355" s="121"/>
      <c r="BZ1355" s="121"/>
    </row>
    <row r="1356" spans="60:78">
      <c r="BH1356" s="29"/>
      <c r="BI1356" s="29"/>
      <c r="BJ1356" s="29"/>
      <c r="BK1356" s="29"/>
      <c r="BL1356" s="29"/>
      <c r="BM1356" s="121"/>
      <c r="BN1356" s="121"/>
      <c r="BO1356" s="121"/>
      <c r="BP1356" s="121"/>
      <c r="BQ1356" s="121"/>
      <c r="BR1356" s="121"/>
      <c r="BS1356" s="121"/>
      <c r="BT1356" s="121"/>
      <c r="BU1356" s="121"/>
      <c r="BV1356" s="121"/>
      <c r="BW1356" s="121"/>
      <c r="BX1356" s="121"/>
      <c r="BY1356" s="121"/>
      <c r="BZ1356" s="121"/>
    </row>
    <row r="1357" spans="60:78">
      <c r="BH1357" s="29"/>
      <c r="BI1357" s="29"/>
      <c r="BJ1357" s="29"/>
      <c r="BK1357" s="29"/>
      <c r="BL1357" s="29"/>
      <c r="BM1357" s="121"/>
      <c r="BN1357" s="121"/>
      <c r="BO1357" s="121"/>
      <c r="BP1357" s="121"/>
      <c r="BQ1357" s="121"/>
      <c r="BR1357" s="121"/>
      <c r="BS1357" s="121"/>
      <c r="BT1357" s="121"/>
      <c r="BU1357" s="121"/>
      <c r="BV1357" s="121"/>
      <c r="BW1357" s="121"/>
      <c r="BX1357" s="121"/>
      <c r="BY1357" s="121"/>
      <c r="BZ1357" s="121"/>
    </row>
    <row r="1358" spans="60:78">
      <c r="BH1358" s="29"/>
      <c r="BI1358" s="29"/>
      <c r="BJ1358" s="29"/>
      <c r="BK1358" s="29"/>
      <c r="BL1358" s="29"/>
      <c r="BM1358" s="121"/>
      <c r="BN1358" s="121"/>
      <c r="BO1358" s="121"/>
      <c r="BP1358" s="121"/>
      <c r="BQ1358" s="121"/>
      <c r="BR1358" s="121"/>
      <c r="BS1358" s="121"/>
      <c r="BT1358" s="121"/>
      <c r="BU1358" s="121"/>
      <c r="BV1358" s="121"/>
      <c r="BW1358" s="121"/>
      <c r="BX1358" s="121"/>
      <c r="BY1358" s="121"/>
      <c r="BZ1358" s="121"/>
    </row>
    <row r="1359" spans="60:78">
      <c r="BH1359" s="29"/>
      <c r="BI1359" s="29"/>
      <c r="BJ1359" s="29"/>
      <c r="BK1359" s="29"/>
      <c r="BL1359" s="29"/>
      <c r="BM1359" s="121"/>
      <c r="BN1359" s="121"/>
      <c r="BO1359" s="121"/>
      <c r="BP1359" s="121"/>
      <c r="BQ1359" s="121"/>
      <c r="BR1359" s="121"/>
      <c r="BS1359" s="121"/>
      <c r="BT1359" s="121"/>
      <c r="BU1359" s="121"/>
      <c r="BV1359" s="121"/>
      <c r="BW1359" s="121"/>
      <c r="BX1359" s="121"/>
      <c r="BY1359" s="121"/>
      <c r="BZ1359" s="121"/>
    </row>
    <row r="1360" spans="60:78">
      <c r="BH1360" s="29"/>
      <c r="BI1360" s="29"/>
      <c r="BJ1360" s="29"/>
      <c r="BK1360" s="29"/>
      <c r="BL1360" s="29"/>
      <c r="BM1360" s="121"/>
      <c r="BN1360" s="121"/>
      <c r="BO1360" s="121"/>
      <c r="BP1360" s="121"/>
      <c r="BQ1360" s="121"/>
      <c r="BR1360" s="121"/>
      <c r="BS1360" s="121"/>
      <c r="BT1360" s="121"/>
      <c r="BU1360" s="121"/>
      <c r="BV1360" s="121"/>
      <c r="BW1360" s="121"/>
      <c r="BX1360" s="121"/>
      <c r="BY1360" s="121"/>
      <c r="BZ1360" s="121"/>
    </row>
    <row r="1361" spans="60:78">
      <c r="BH1361" s="29"/>
      <c r="BI1361" s="29"/>
      <c r="BJ1361" s="29"/>
      <c r="BK1361" s="29"/>
      <c r="BL1361" s="29"/>
      <c r="BM1361" s="121"/>
      <c r="BN1361" s="121"/>
      <c r="BO1361" s="121"/>
      <c r="BP1361" s="121"/>
      <c r="BQ1361" s="121"/>
      <c r="BR1361" s="121"/>
      <c r="BS1361" s="121"/>
      <c r="BT1361" s="121"/>
      <c r="BU1361" s="121"/>
      <c r="BV1361" s="121"/>
      <c r="BW1361" s="121"/>
      <c r="BX1361" s="121"/>
      <c r="BY1361" s="121"/>
      <c r="BZ1361" s="121"/>
    </row>
    <row r="1362" spans="60:78">
      <c r="BH1362" s="29"/>
      <c r="BI1362" s="29"/>
      <c r="BJ1362" s="29"/>
      <c r="BK1362" s="29"/>
      <c r="BL1362" s="29"/>
      <c r="BM1362" s="121"/>
      <c r="BN1362" s="121"/>
      <c r="BO1362" s="121"/>
      <c r="BP1362" s="121"/>
      <c r="BQ1362" s="121"/>
      <c r="BR1362" s="121"/>
      <c r="BS1362" s="121"/>
      <c r="BT1362" s="121"/>
      <c r="BU1362" s="121"/>
      <c r="BV1362" s="121"/>
      <c r="BW1362" s="121"/>
      <c r="BX1362" s="121"/>
      <c r="BY1362" s="121"/>
      <c r="BZ1362" s="121"/>
    </row>
    <row r="1363" spans="60:78">
      <c r="BH1363" s="29"/>
      <c r="BI1363" s="29"/>
      <c r="BJ1363" s="29"/>
      <c r="BK1363" s="29"/>
      <c r="BL1363" s="29"/>
      <c r="BM1363" s="121"/>
      <c r="BN1363" s="121"/>
      <c r="BO1363" s="121"/>
      <c r="BP1363" s="121"/>
      <c r="BQ1363" s="121"/>
      <c r="BR1363" s="121"/>
      <c r="BS1363" s="121"/>
      <c r="BT1363" s="121"/>
      <c r="BU1363" s="121"/>
      <c r="BV1363" s="121"/>
      <c r="BW1363" s="121"/>
      <c r="BX1363" s="121"/>
      <c r="BY1363" s="121"/>
      <c r="BZ1363" s="121"/>
    </row>
    <row r="1364" spans="60:78">
      <c r="BH1364" s="29"/>
      <c r="BI1364" s="29"/>
      <c r="BJ1364" s="29"/>
      <c r="BK1364" s="29"/>
      <c r="BL1364" s="29"/>
      <c r="BM1364" s="121"/>
      <c r="BN1364" s="121"/>
      <c r="BO1364" s="121"/>
      <c r="BP1364" s="121"/>
      <c r="BQ1364" s="121"/>
      <c r="BR1364" s="121"/>
      <c r="BS1364" s="121"/>
      <c r="BT1364" s="121"/>
      <c r="BU1364" s="121"/>
      <c r="BV1364" s="121"/>
      <c r="BW1364" s="121"/>
      <c r="BX1364" s="121"/>
      <c r="BY1364" s="121"/>
      <c r="BZ1364" s="121"/>
    </row>
    <row r="1365" spans="60:78">
      <c r="BH1365" s="29"/>
      <c r="BI1365" s="29"/>
      <c r="BJ1365" s="29"/>
      <c r="BK1365" s="29"/>
      <c r="BL1365" s="29"/>
      <c r="BM1365" s="121"/>
      <c r="BN1365" s="121"/>
      <c r="BO1365" s="121"/>
      <c r="BP1365" s="121"/>
      <c r="BQ1365" s="121"/>
      <c r="BR1365" s="121"/>
      <c r="BS1365" s="121"/>
      <c r="BT1365" s="121"/>
      <c r="BU1365" s="121"/>
      <c r="BV1365" s="121"/>
      <c r="BW1365" s="121"/>
      <c r="BX1365" s="121"/>
      <c r="BY1365" s="121"/>
      <c r="BZ1365" s="121"/>
    </row>
    <row r="1366" spans="60:78">
      <c r="BH1366" s="29"/>
      <c r="BI1366" s="29"/>
      <c r="BJ1366" s="29"/>
      <c r="BK1366" s="29"/>
      <c r="BL1366" s="29"/>
      <c r="BM1366" s="121"/>
      <c r="BN1366" s="121"/>
      <c r="BO1366" s="121"/>
      <c r="BP1366" s="121"/>
      <c r="BQ1366" s="121"/>
      <c r="BR1366" s="121"/>
      <c r="BS1366" s="121"/>
      <c r="BT1366" s="121"/>
      <c r="BU1366" s="121"/>
      <c r="BV1366" s="121"/>
      <c r="BW1366" s="121"/>
      <c r="BX1366" s="121"/>
      <c r="BY1366" s="121"/>
      <c r="BZ1366" s="121"/>
    </row>
    <row r="1367" spans="60:78">
      <c r="BH1367" s="29"/>
      <c r="BI1367" s="29"/>
      <c r="BJ1367" s="29"/>
      <c r="BK1367" s="29"/>
      <c r="BL1367" s="29"/>
      <c r="BM1367" s="121"/>
      <c r="BN1367" s="121"/>
      <c r="BO1367" s="121"/>
      <c r="BP1367" s="121"/>
      <c r="BQ1367" s="121"/>
      <c r="BR1367" s="121"/>
      <c r="BS1367" s="121"/>
      <c r="BT1367" s="121"/>
      <c r="BU1367" s="121"/>
      <c r="BV1367" s="121"/>
      <c r="BW1367" s="121"/>
      <c r="BX1367" s="121"/>
      <c r="BY1367" s="121"/>
      <c r="BZ1367" s="121"/>
    </row>
    <row r="1368" spans="60:78">
      <c r="BH1368" s="29"/>
      <c r="BI1368" s="29"/>
      <c r="BJ1368" s="29"/>
      <c r="BK1368" s="29"/>
      <c r="BL1368" s="29"/>
      <c r="BM1368" s="121"/>
      <c r="BN1368" s="121"/>
      <c r="BO1368" s="121"/>
      <c r="BP1368" s="121"/>
      <c r="BQ1368" s="121"/>
      <c r="BR1368" s="121"/>
      <c r="BS1368" s="121"/>
      <c r="BT1368" s="121"/>
      <c r="BU1368" s="121"/>
      <c r="BV1368" s="121"/>
      <c r="BW1368" s="121"/>
      <c r="BX1368" s="121"/>
      <c r="BY1368" s="121"/>
      <c r="BZ1368" s="121"/>
    </row>
    <row r="1369" spans="60:78">
      <c r="BH1369" s="29"/>
      <c r="BI1369" s="29"/>
      <c r="BJ1369" s="29"/>
      <c r="BK1369" s="29"/>
      <c r="BL1369" s="29"/>
      <c r="BM1369" s="121"/>
      <c r="BN1369" s="121"/>
      <c r="BO1369" s="121"/>
      <c r="BP1369" s="121"/>
      <c r="BQ1369" s="121"/>
      <c r="BR1369" s="121"/>
      <c r="BS1369" s="121"/>
      <c r="BT1369" s="121"/>
      <c r="BU1369" s="121"/>
      <c r="BV1369" s="121"/>
      <c r="BW1369" s="121"/>
      <c r="BX1369" s="121"/>
      <c r="BY1369" s="121"/>
      <c r="BZ1369" s="121"/>
    </row>
    <row r="1370" spans="60:78">
      <c r="BH1370" s="29"/>
      <c r="BI1370" s="29"/>
      <c r="BJ1370" s="29"/>
      <c r="BK1370" s="29"/>
      <c r="BL1370" s="29"/>
      <c r="BM1370" s="121"/>
      <c r="BN1370" s="121"/>
      <c r="BO1370" s="121"/>
      <c r="BP1370" s="121"/>
      <c r="BQ1370" s="121"/>
      <c r="BR1370" s="121"/>
      <c r="BS1370" s="121"/>
      <c r="BT1370" s="121"/>
      <c r="BU1370" s="121"/>
      <c r="BV1370" s="121"/>
      <c r="BW1370" s="121"/>
      <c r="BX1370" s="121"/>
      <c r="BY1370" s="121"/>
      <c r="BZ1370" s="121"/>
    </row>
    <row r="1371" spans="60:78">
      <c r="BH1371" s="29"/>
      <c r="BI1371" s="29"/>
      <c r="BJ1371" s="29"/>
      <c r="BK1371" s="29"/>
      <c r="BL1371" s="29"/>
      <c r="BM1371" s="121"/>
      <c r="BN1371" s="121"/>
      <c r="BO1371" s="121"/>
      <c r="BP1371" s="121"/>
      <c r="BQ1371" s="121"/>
      <c r="BR1371" s="121"/>
      <c r="BS1371" s="121"/>
      <c r="BT1371" s="121"/>
      <c r="BU1371" s="121"/>
      <c r="BV1371" s="121"/>
      <c r="BW1371" s="121"/>
      <c r="BX1371" s="121"/>
      <c r="BY1371" s="121"/>
      <c r="BZ1371" s="121"/>
    </row>
    <row r="1372" spans="60:78">
      <c r="BH1372" s="29"/>
      <c r="BI1372" s="29"/>
      <c r="BJ1372" s="29"/>
      <c r="BK1372" s="29"/>
      <c r="BL1372" s="29"/>
      <c r="BM1372" s="121"/>
      <c r="BN1372" s="121"/>
      <c r="BO1372" s="121"/>
      <c r="BP1372" s="121"/>
      <c r="BQ1372" s="121"/>
      <c r="BR1372" s="121"/>
      <c r="BS1372" s="121"/>
      <c r="BT1372" s="121"/>
      <c r="BU1372" s="121"/>
      <c r="BV1372" s="121"/>
      <c r="BW1372" s="121"/>
      <c r="BX1372" s="121"/>
      <c r="BY1372" s="121"/>
      <c r="BZ1372" s="121"/>
    </row>
    <row r="1373" spans="60:78">
      <c r="BH1373" s="29"/>
      <c r="BI1373" s="29"/>
      <c r="BJ1373" s="29"/>
      <c r="BK1373" s="29"/>
      <c r="BL1373" s="29"/>
      <c r="BM1373" s="121"/>
      <c r="BN1373" s="121"/>
      <c r="BO1373" s="121"/>
      <c r="BP1373" s="121"/>
      <c r="BQ1373" s="121"/>
      <c r="BR1373" s="121"/>
      <c r="BS1373" s="121"/>
      <c r="BT1373" s="121"/>
      <c r="BU1373" s="121"/>
      <c r="BV1373" s="121"/>
      <c r="BW1373" s="121"/>
      <c r="BX1373" s="121"/>
      <c r="BY1373" s="121"/>
      <c r="BZ1373" s="121"/>
    </row>
    <row r="1374" spans="60:78">
      <c r="BH1374" s="29"/>
      <c r="BI1374" s="29"/>
      <c r="BJ1374" s="29"/>
      <c r="BK1374" s="29"/>
      <c r="BL1374" s="29"/>
      <c r="BM1374" s="121"/>
      <c r="BN1374" s="121"/>
      <c r="BO1374" s="121"/>
      <c r="BP1374" s="121"/>
      <c r="BQ1374" s="121"/>
      <c r="BR1374" s="121"/>
      <c r="BS1374" s="121"/>
      <c r="BT1374" s="121"/>
      <c r="BU1374" s="121"/>
      <c r="BV1374" s="121"/>
      <c r="BW1374" s="121"/>
      <c r="BX1374" s="121"/>
      <c r="BY1374" s="121"/>
      <c r="BZ1374" s="121"/>
    </row>
    <row r="1375" spans="60:78">
      <c r="BH1375" s="29"/>
      <c r="BI1375" s="29"/>
      <c r="BJ1375" s="29"/>
      <c r="BK1375" s="29"/>
      <c r="BL1375" s="29"/>
      <c r="BM1375" s="121"/>
      <c r="BN1375" s="121"/>
      <c r="BO1375" s="121"/>
      <c r="BP1375" s="121"/>
      <c r="BQ1375" s="121"/>
      <c r="BR1375" s="121"/>
      <c r="BS1375" s="121"/>
      <c r="BT1375" s="121"/>
      <c r="BU1375" s="121"/>
      <c r="BV1375" s="121"/>
      <c r="BW1375" s="121"/>
      <c r="BX1375" s="121"/>
      <c r="BY1375" s="121"/>
      <c r="BZ1375" s="121"/>
    </row>
    <row r="1376" spans="60:78">
      <c r="BH1376" s="29"/>
      <c r="BI1376" s="29"/>
      <c r="BJ1376" s="29"/>
      <c r="BK1376" s="29"/>
      <c r="BL1376" s="29"/>
      <c r="BM1376" s="121"/>
      <c r="BN1376" s="121"/>
      <c r="BO1376" s="121"/>
      <c r="BP1376" s="121"/>
      <c r="BQ1376" s="121"/>
      <c r="BR1376" s="121"/>
      <c r="BS1376" s="121"/>
      <c r="BT1376" s="121"/>
      <c r="BU1376" s="121"/>
      <c r="BV1376" s="121"/>
      <c r="BW1376" s="121"/>
      <c r="BX1376" s="121"/>
      <c r="BY1376" s="121"/>
      <c r="BZ1376" s="121"/>
    </row>
    <row r="1377" spans="60:78">
      <c r="BH1377" s="29"/>
      <c r="BI1377" s="29"/>
      <c r="BJ1377" s="29"/>
      <c r="BK1377" s="29"/>
      <c r="BL1377" s="29"/>
      <c r="BM1377" s="121"/>
      <c r="BN1377" s="121"/>
      <c r="BO1377" s="121"/>
      <c r="BP1377" s="121"/>
      <c r="BQ1377" s="121"/>
      <c r="BR1377" s="121"/>
      <c r="BS1377" s="121"/>
      <c r="BT1377" s="121"/>
      <c r="BU1377" s="121"/>
      <c r="BV1377" s="121"/>
      <c r="BW1377" s="121"/>
      <c r="BX1377" s="121"/>
      <c r="BY1377" s="121"/>
      <c r="BZ1377" s="121"/>
    </row>
    <row r="1378" spans="60:78">
      <c r="BH1378" s="29"/>
      <c r="BI1378" s="29"/>
      <c r="BJ1378" s="29"/>
      <c r="BK1378" s="29"/>
      <c r="BL1378" s="29"/>
      <c r="BM1378" s="121"/>
      <c r="BN1378" s="121"/>
      <c r="BO1378" s="121"/>
      <c r="BP1378" s="121"/>
      <c r="BQ1378" s="121"/>
      <c r="BR1378" s="121"/>
      <c r="BS1378" s="121"/>
      <c r="BT1378" s="121"/>
      <c r="BU1378" s="121"/>
      <c r="BV1378" s="121"/>
      <c r="BW1378" s="121"/>
      <c r="BX1378" s="121"/>
      <c r="BY1378" s="121"/>
      <c r="BZ1378" s="121"/>
    </row>
    <row r="1379" spans="60:78">
      <c r="BH1379" s="29"/>
      <c r="BI1379" s="29"/>
      <c r="BJ1379" s="29"/>
      <c r="BK1379" s="29"/>
      <c r="BL1379" s="29"/>
      <c r="BM1379" s="121"/>
      <c r="BN1379" s="121"/>
      <c r="BO1379" s="121"/>
      <c r="BP1379" s="121"/>
      <c r="BQ1379" s="121"/>
      <c r="BR1379" s="121"/>
      <c r="BS1379" s="121"/>
      <c r="BT1379" s="121"/>
      <c r="BU1379" s="121"/>
      <c r="BV1379" s="121"/>
      <c r="BW1379" s="121"/>
      <c r="BX1379" s="121"/>
      <c r="BY1379" s="121"/>
      <c r="BZ1379" s="121"/>
    </row>
    <row r="1380" spans="60:78">
      <c r="BH1380" s="29"/>
      <c r="BI1380" s="29"/>
      <c r="BJ1380" s="29"/>
      <c r="BK1380" s="29"/>
      <c r="BL1380" s="29"/>
      <c r="BM1380" s="121"/>
      <c r="BN1380" s="121"/>
      <c r="BO1380" s="121"/>
      <c r="BP1380" s="121"/>
      <c r="BQ1380" s="121"/>
      <c r="BR1380" s="121"/>
      <c r="BS1380" s="121"/>
      <c r="BT1380" s="121"/>
      <c r="BU1380" s="121"/>
      <c r="BV1380" s="121"/>
      <c r="BW1380" s="121"/>
      <c r="BX1380" s="121"/>
      <c r="BY1380" s="121"/>
      <c r="BZ1380" s="121"/>
    </row>
    <row r="1381" spans="60:78">
      <c r="BH1381" s="29"/>
      <c r="BI1381" s="29"/>
      <c r="BJ1381" s="29"/>
      <c r="BK1381" s="29"/>
      <c r="BL1381" s="29"/>
      <c r="BM1381" s="121"/>
      <c r="BN1381" s="121"/>
      <c r="BO1381" s="121"/>
      <c r="BP1381" s="121"/>
      <c r="BQ1381" s="121"/>
      <c r="BR1381" s="121"/>
      <c r="BS1381" s="121"/>
      <c r="BT1381" s="121"/>
      <c r="BU1381" s="121"/>
      <c r="BV1381" s="121"/>
      <c r="BW1381" s="121"/>
      <c r="BX1381" s="121"/>
      <c r="BY1381" s="121"/>
      <c r="BZ1381" s="121"/>
    </row>
    <row r="1382" spans="60:78">
      <c r="BH1382" s="29"/>
      <c r="BI1382" s="29"/>
      <c r="BJ1382" s="29"/>
      <c r="BK1382" s="29"/>
      <c r="BL1382" s="29"/>
      <c r="BM1382" s="121"/>
      <c r="BN1382" s="121"/>
      <c r="BO1382" s="121"/>
      <c r="BP1382" s="121"/>
      <c r="BQ1382" s="121"/>
      <c r="BR1382" s="121"/>
      <c r="BS1382" s="121"/>
      <c r="BT1382" s="121"/>
      <c r="BU1382" s="121"/>
      <c r="BV1382" s="121"/>
      <c r="BW1382" s="121"/>
      <c r="BX1382" s="121"/>
      <c r="BY1382" s="121"/>
      <c r="BZ1382" s="121"/>
    </row>
    <row r="1383" spans="60:78">
      <c r="BH1383" s="29"/>
      <c r="BI1383" s="29"/>
      <c r="BJ1383" s="29"/>
      <c r="BK1383" s="29"/>
      <c r="BL1383" s="29"/>
      <c r="BM1383" s="121"/>
      <c r="BN1383" s="121"/>
      <c r="BO1383" s="121"/>
      <c r="BP1383" s="121"/>
      <c r="BQ1383" s="121"/>
      <c r="BR1383" s="121"/>
      <c r="BS1383" s="121"/>
      <c r="BT1383" s="121"/>
      <c r="BU1383" s="121"/>
      <c r="BV1383" s="121"/>
      <c r="BW1383" s="121"/>
      <c r="BX1383" s="121"/>
      <c r="BY1383" s="121"/>
      <c r="BZ1383" s="121"/>
    </row>
    <row r="1384" spans="60:78">
      <c r="BH1384" s="29"/>
      <c r="BI1384" s="29"/>
      <c r="BJ1384" s="29"/>
      <c r="BK1384" s="29"/>
      <c r="BL1384" s="29"/>
      <c r="BM1384" s="121"/>
      <c r="BN1384" s="121"/>
      <c r="BO1384" s="121"/>
      <c r="BP1384" s="121"/>
      <c r="BQ1384" s="121"/>
      <c r="BR1384" s="121"/>
      <c r="BS1384" s="121"/>
      <c r="BT1384" s="121"/>
      <c r="BU1384" s="121"/>
      <c r="BV1384" s="121"/>
      <c r="BW1384" s="121"/>
      <c r="BX1384" s="121"/>
      <c r="BY1384" s="121"/>
      <c r="BZ1384" s="121"/>
    </row>
    <row r="1385" spans="60:78">
      <c r="BH1385" s="29"/>
      <c r="BI1385" s="29"/>
      <c r="BJ1385" s="29"/>
      <c r="BK1385" s="29"/>
      <c r="BL1385" s="29"/>
      <c r="BM1385" s="121"/>
      <c r="BN1385" s="121"/>
      <c r="BO1385" s="121"/>
      <c r="BP1385" s="121"/>
      <c r="BQ1385" s="121"/>
      <c r="BR1385" s="121"/>
      <c r="BS1385" s="121"/>
      <c r="BT1385" s="121"/>
      <c r="BU1385" s="121"/>
      <c r="BV1385" s="121"/>
      <c r="BW1385" s="121"/>
      <c r="BX1385" s="121"/>
      <c r="BY1385" s="121"/>
      <c r="BZ1385" s="121"/>
    </row>
    <row r="1386" spans="60:78">
      <c r="BH1386" s="29"/>
      <c r="BI1386" s="29"/>
      <c r="BJ1386" s="29"/>
      <c r="BK1386" s="29"/>
      <c r="BL1386" s="29"/>
      <c r="BM1386" s="121"/>
      <c r="BN1386" s="121"/>
      <c r="BO1386" s="121"/>
      <c r="BP1386" s="121"/>
      <c r="BQ1386" s="121"/>
      <c r="BR1386" s="121"/>
      <c r="BS1386" s="121"/>
      <c r="BT1386" s="121"/>
      <c r="BU1386" s="121"/>
      <c r="BV1386" s="121"/>
      <c r="BW1386" s="121"/>
      <c r="BX1386" s="121"/>
      <c r="BY1386" s="121"/>
      <c r="BZ1386" s="121"/>
    </row>
    <row r="1387" spans="60:78">
      <c r="BH1387" s="29"/>
      <c r="BI1387" s="29"/>
      <c r="BJ1387" s="29"/>
      <c r="BK1387" s="29"/>
      <c r="BL1387" s="29"/>
      <c r="BM1387" s="121"/>
      <c r="BN1387" s="121"/>
      <c r="BO1387" s="121"/>
      <c r="BP1387" s="121"/>
      <c r="BQ1387" s="121"/>
      <c r="BR1387" s="121"/>
      <c r="BS1387" s="121"/>
      <c r="BT1387" s="121"/>
      <c r="BU1387" s="121"/>
      <c r="BV1387" s="121"/>
      <c r="BW1387" s="121"/>
      <c r="BX1387" s="121"/>
      <c r="BY1387" s="121"/>
      <c r="BZ1387" s="121"/>
    </row>
    <row r="1388" spans="60:78">
      <c r="BH1388" s="29"/>
      <c r="BI1388" s="29"/>
      <c r="BJ1388" s="29"/>
      <c r="BK1388" s="29"/>
      <c r="BL1388" s="29"/>
      <c r="BM1388" s="121"/>
      <c r="BN1388" s="121"/>
      <c r="BO1388" s="121"/>
      <c r="BP1388" s="121"/>
      <c r="BQ1388" s="121"/>
      <c r="BR1388" s="121"/>
      <c r="BS1388" s="121"/>
      <c r="BT1388" s="121"/>
      <c r="BU1388" s="121"/>
      <c r="BV1388" s="121"/>
      <c r="BW1388" s="121"/>
      <c r="BX1388" s="121"/>
      <c r="BY1388" s="121"/>
      <c r="BZ1388" s="121"/>
    </row>
    <row r="1389" spans="60:78">
      <c r="BH1389" s="29"/>
      <c r="BI1389" s="29"/>
      <c r="BJ1389" s="29"/>
      <c r="BK1389" s="29"/>
      <c r="BL1389" s="29"/>
      <c r="BM1389" s="121"/>
      <c r="BN1389" s="121"/>
      <c r="BO1389" s="121"/>
      <c r="BP1389" s="121"/>
      <c r="BQ1389" s="121"/>
      <c r="BR1389" s="121"/>
      <c r="BS1389" s="121"/>
      <c r="BT1389" s="121"/>
      <c r="BU1389" s="121"/>
      <c r="BV1389" s="121"/>
      <c r="BW1389" s="121"/>
      <c r="BX1389" s="121"/>
      <c r="BY1389" s="121"/>
      <c r="BZ1389" s="121"/>
    </row>
    <row r="1390" spans="60:78">
      <c r="BH1390" s="29"/>
      <c r="BI1390" s="29"/>
      <c r="BJ1390" s="29"/>
      <c r="BK1390" s="29"/>
      <c r="BL1390" s="29"/>
      <c r="BM1390" s="121"/>
      <c r="BN1390" s="121"/>
      <c r="BO1390" s="121"/>
      <c r="BP1390" s="121"/>
      <c r="BQ1390" s="121"/>
      <c r="BR1390" s="121"/>
      <c r="BS1390" s="121"/>
      <c r="BT1390" s="121"/>
      <c r="BU1390" s="121"/>
      <c r="BV1390" s="121"/>
      <c r="BW1390" s="121"/>
      <c r="BX1390" s="121"/>
      <c r="BY1390" s="121"/>
      <c r="BZ1390" s="121"/>
    </row>
    <row r="1391" spans="60:78">
      <c r="BH1391" s="29"/>
      <c r="BI1391" s="29"/>
      <c r="BJ1391" s="29"/>
      <c r="BK1391" s="29"/>
      <c r="BL1391" s="29"/>
      <c r="BM1391" s="121"/>
      <c r="BN1391" s="121"/>
      <c r="BO1391" s="121"/>
      <c r="BP1391" s="121"/>
      <c r="BQ1391" s="121"/>
      <c r="BR1391" s="121"/>
      <c r="BS1391" s="121"/>
      <c r="BT1391" s="121"/>
      <c r="BU1391" s="121"/>
      <c r="BV1391" s="121"/>
      <c r="BW1391" s="121"/>
      <c r="BX1391" s="121"/>
      <c r="BY1391" s="121"/>
      <c r="BZ1391" s="121"/>
    </row>
    <row r="1392" spans="60:78">
      <c r="BH1392" s="29"/>
      <c r="BI1392" s="29"/>
      <c r="BJ1392" s="29"/>
      <c r="BK1392" s="29"/>
      <c r="BL1392" s="29"/>
      <c r="BM1392" s="121"/>
      <c r="BN1392" s="121"/>
      <c r="BO1392" s="121"/>
      <c r="BP1392" s="121"/>
      <c r="BQ1392" s="121"/>
      <c r="BR1392" s="121"/>
      <c r="BS1392" s="121"/>
      <c r="BT1392" s="121"/>
      <c r="BU1392" s="121"/>
      <c r="BV1392" s="121"/>
      <c r="BW1392" s="121"/>
      <c r="BX1392" s="121"/>
      <c r="BY1392" s="121"/>
      <c r="BZ1392" s="121"/>
    </row>
    <row r="1393" spans="60:78">
      <c r="BH1393" s="29"/>
      <c r="BI1393" s="29"/>
      <c r="BJ1393" s="29"/>
      <c r="BK1393" s="29"/>
      <c r="BL1393" s="29"/>
      <c r="BM1393" s="121"/>
      <c r="BN1393" s="121"/>
      <c r="BO1393" s="121"/>
      <c r="BP1393" s="121"/>
      <c r="BQ1393" s="121"/>
      <c r="BR1393" s="121"/>
      <c r="BS1393" s="121"/>
      <c r="BT1393" s="121"/>
      <c r="BU1393" s="121"/>
      <c r="BV1393" s="121"/>
      <c r="BW1393" s="121"/>
      <c r="BX1393" s="121"/>
      <c r="BY1393" s="121"/>
      <c r="BZ1393" s="121"/>
    </row>
    <row r="1394" spans="60:78">
      <c r="BH1394" s="29"/>
      <c r="BI1394" s="29"/>
      <c r="BJ1394" s="29"/>
      <c r="BK1394" s="29"/>
      <c r="BL1394" s="29"/>
      <c r="BM1394" s="121"/>
      <c r="BN1394" s="121"/>
      <c r="BO1394" s="121"/>
      <c r="BP1394" s="121"/>
      <c r="BQ1394" s="121"/>
      <c r="BR1394" s="121"/>
      <c r="BS1394" s="121"/>
      <c r="BT1394" s="121"/>
      <c r="BU1394" s="121"/>
      <c r="BV1394" s="121"/>
      <c r="BW1394" s="121"/>
      <c r="BX1394" s="121"/>
      <c r="BY1394" s="121"/>
      <c r="BZ1394" s="121"/>
    </row>
    <row r="1395" spans="60:78">
      <c r="BH1395" s="29"/>
      <c r="BI1395" s="29"/>
      <c r="BJ1395" s="29"/>
      <c r="BK1395" s="29"/>
      <c r="BL1395" s="29"/>
      <c r="BM1395" s="121"/>
      <c r="BN1395" s="121"/>
      <c r="BO1395" s="121"/>
      <c r="BP1395" s="121"/>
      <c r="BQ1395" s="121"/>
      <c r="BR1395" s="121"/>
      <c r="BS1395" s="121"/>
      <c r="BT1395" s="121"/>
      <c r="BU1395" s="121"/>
      <c r="BV1395" s="121"/>
      <c r="BW1395" s="121"/>
      <c r="BX1395" s="121"/>
      <c r="BY1395" s="121"/>
      <c r="BZ1395" s="121"/>
    </row>
    <row r="1396" spans="60:78">
      <c r="BH1396" s="29"/>
      <c r="BI1396" s="29"/>
      <c r="BJ1396" s="29"/>
      <c r="BK1396" s="29"/>
      <c r="BL1396" s="29"/>
      <c r="BM1396" s="121"/>
      <c r="BN1396" s="121"/>
      <c r="BO1396" s="121"/>
      <c r="BP1396" s="121"/>
      <c r="BQ1396" s="121"/>
      <c r="BR1396" s="121"/>
      <c r="BS1396" s="121"/>
      <c r="BT1396" s="121"/>
      <c r="BU1396" s="121"/>
      <c r="BV1396" s="121"/>
      <c r="BW1396" s="121"/>
      <c r="BX1396" s="121"/>
      <c r="BY1396" s="121"/>
      <c r="BZ1396" s="121"/>
    </row>
    <row r="1397" spans="60:78">
      <c r="BH1397" s="29"/>
      <c r="BI1397" s="29"/>
      <c r="BJ1397" s="29"/>
      <c r="BK1397" s="29"/>
      <c r="BL1397" s="29"/>
      <c r="BM1397" s="121"/>
      <c r="BN1397" s="121"/>
      <c r="BO1397" s="121"/>
      <c r="BP1397" s="121"/>
      <c r="BQ1397" s="121"/>
      <c r="BR1397" s="121"/>
      <c r="BS1397" s="121"/>
      <c r="BT1397" s="121"/>
      <c r="BU1397" s="121"/>
      <c r="BV1397" s="121"/>
      <c r="BW1397" s="121"/>
      <c r="BX1397" s="121"/>
      <c r="BY1397" s="121"/>
      <c r="BZ1397" s="121"/>
    </row>
    <row r="1398" spans="60:78">
      <c r="BH1398" s="29"/>
      <c r="BI1398" s="29"/>
      <c r="BJ1398" s="29"/>
      <c r="BK1398" s="29"/>
      <c r="BL1398" s="29"/>
      <c r="BM1398" s="121"/>
      <c r="BN1398" s="121"/>
      <c r="BO1398" s="121"/>
      <c r="BP1398" s="121"/>
      <c r="BQ1398" s="121"/>
      <c r="BR1398" s="121"/>
      <c r="BS1398" s="121"/>
      <c r="BT1398" s="121"/>
      <c r="BU1398" s="121"/>
      <c r="BV1398" s="121"/>
      <c r="BW1398" s="121"/>
      <c r="BX1398" s="121"/>
      <c r="BY1398" s="121"/>
      <c r="BZ1398" s="121"/>
    </row>
    <row r="1399" spans="60:78">
      <c r="BH1399" s="29"/>
      <c r="BI1399" s="29"/>
      <c r="BJ1399" s="29"/>
      <c r="BK1399" s="29"/>
      <c r="BL1399" s="29"/>
      <c r="BM1399" s="121"/>
      <c r="BN1399" s="121"/>
      <c r="BO1399" s="121"/>
      <c r="BP1399" s="121"/>
      <c r="BQ1399" s="121"/>
      <c r="BR1399" s="121"/>
      <c r="BS1399" s="121"/>
      <c r="BT1399" s="121"/>
      <c r="BU1399" s="121"/>
      <c r="BV1399" s="121"/>
      <c r="BW1399" s="121"/>
      <c r="BX1399" s="121"/>
      <c r="BY1399" s="121"/>
      <c r="BZ1399" s="121"/>
    </row>
    <row r="1400" spans="60:78">
      <c r="BH1400" s="29"/>
      <c r="BI1400" s="29"/>
      <c r="BJ1400" s="29"/>
      <c r="BK1400" s="29"/>
      <c r="BL1400" s="29"/>
      <c r="BM1400" s="121"/>
      <c r="BN1400" s="121"/>
      <c r="BO1400" s="121"/>
      <c r="BP1400" s="121"/>
      <c r="BQ1400" s="121"/>
      <c r="BR1400" s="121"/>
      <c r="BS1400" s="121"/>
      <c r="BT1400" s="121"/>
      <c r="BU1400" s="121"/>
      <c r="BV1400" s="121"/>
      <c r="BW1400" s="121"/>
      <c r="BX1400" s="121"/>
      <c r="BY1400" s="121"/>
      <c r="BZ1400" s="121"/>
    </row>
    <row r="1401" spans="60:78">
      <c r="BH1401" s="29"/>
      <c r="BI1401" s="29"/>
      <c r="BJ1401" s="29"/>
      <c r="BK1401" s="29"/>
      <c r="BL1401" s="29"/>
      <c r="BM1401" s="121"/>
      <c r="BN1401" s="121"/>
      <c r="BO1401" s="121"/>
      <c r="BP1401" s="121"/>
      <c r="BQ1401" s="121"/>
      <c r="BR1401" s="121"/>
      <c r="BS1401" s="121"/>
      <c r="BT1401" s="121"/>
      <c r="BU1401" s="121"/>
      <c r="BV1401" s="121"/>
      <c r="BW1401" s="121"/>
      <c r="BX1401" s="121"/>
      <c r="BY1401" s="121"/>
      <c r="BZ1401" s="121"/>
    </row>
    <row r="1402" spans="60:78">
      <c r="BH1402" s="29"/>
      <c r="BI1402" s="29"/>
      <c r="BJ1402" s="29"/>
      <c r="BK1402" s="29"/>
      <c r="BL1402" s="29"/>
      <c r="BM1402" s="121"/>
      <c r="BN1402" s="121"/>
      <c r="BO1402" s="121"/>
      <c r="BP1402" s="121"/>
      <c r="BQ1402" s="121"/>
      <c r="BR1402" s="121"/>
      <c r="BS1402" s="121"/>
      <c r="BT1402" s="121"/>
      <c r="BU1402" s="121"/>
      <c r="BV1402" s="121"/>
      <c r="BW1402" s="121"/>
      <c r="BX1402" s="121"/>
      <c r="BY1402" s="121"/>
      <c r="BZ1402" s="121"/>
    </row>
    <row r="1403" spans="60:78">
      <c r="BH1403" s="29"/>
      <c r="BI1403" s="29"/>
      <c r="BJ1403" s="29"/>
      <c r="BK1403" s="29"/>
      <c r="BL1403" s="29"/>
      <c r="BM1403" s="121"/>
      <c r="BN1403" s="121"/>
      <c r="BO1403" s="121"/>
      <c r="BP1403" s="121"/>
      <c r="BQ1403" s="121"/>
      <c r="BR1403" s="121"/>
      <c r="BS1403" s="121"/>
      <c r="BT1403" s="121"/>
      <c r="BU1403" s="121"/>
      <c r="BV1403" s="121"/>
      <c r="BW1403" s="121"/>
      <c r="BX1403" s="121"/>
      <c r="BY1403" s="121"/>
      <c r="BZ1403" s="121"/>
    </row>
    <row r="1404" spans="60:78">
      <c r="BH1404" s="29"/>
      <c r="BI1404" s="29"/>
      <c r="BJ1404" s="29"/>
      <c r="BK1404" s="29"/>
      <c r="BL1404" s="29"/>
      <c r="BM1404" s="121"/>
      <c r="BN1404" s="121"/>
      <c r="BO1404" s="121"/>
      <c r="BP1404" s="121"/>
      <c r="BQ1404" s="121"/>
      <c r="BR1404" s="121"/>
      <c r="BS1404" s="121"/>
      <c r="BT1404" s="121"/>
      <c r="BU1404" s="121"/>
      <c r="BV1404" s="121"/>
      <c r="BW1404" s="121"/>
      <c r="BX1404" s="121"/>
      <c r="BY1404" s="121"/>
      <c r="BZ1404" s="121"/>
    </row>
    <row r="1405" spans="60:78">
      <c r="BH1405" s="29"/>
      <c r="BI1405" s="29"/>
      <c r="BJ1405" s="29"/>
      <c r="BK1405" s="29"/>
      <c r="BL1405" s="29"/>
      <c r="BM1405" s="121"/>
      <c r="BN1405" s="121"/>
      <c r="BO1405" s="121"/>
      <c r="BP1405" s="121"/>
      <c r="BQ1405" s="121"/>
      <c r="BR1405" s="121"/>
      <c r="BS1405" s="121"/>
      <c r="BT1405" s="121"/>
      <c r="BU1405" s="121"/>
      <c r="BV1405" s="121"/>
      <c r="BW1405" s="121"/>
      <c r="BX1405" s="121"/>
      <c r="BY1405" s="121"/>
      <c r="BZ1405" s="121"/>
    </row>
    <row r="1406" spans="60:78">
      <c r="BH1406" s="29"/>
      <c r="BI1406" s="29"/>
      <c r="BJ1406" s="29"/>
      <c r="BK1406" s="29"/>
      <c r="BL1406" s="29"/>
      <c r="BM1406" s="121"/>
      <c r="BN1406" s="121"/>
      <c r="BO1406" s="121"/>
      <c r="BP1406" s="121"/>
      <c r="BQ1406" s="121"/>
      <c r="BR1406" s="121"/>
      <c r="BS1406" s="121"/>
      <c r="BT1406" s="121"/>
      <c r="BU1406" s="121"/>
      <c r="BV1406" s="121"/>
      <c r="BW1406" s="121"/>
      <c r="BX1406" s="121"/>
      <c r="BY1406" s="121"/>
      <c r="BZ1406" s="121"/>
    </row>
    <row r="1407" spans="60:78">
      <c r="BH1407" s="29"/>
      <c r="BI1407" s="29"/>
      <c r="BJ1407" s="29"/>
      <c r="BK1407" s="29"/>
      <c r="BL1407" s="29"/>
      <c r="BM1407" s="121"/>
      <c r="BN1407" s="121"/>
      <c r="BO1407" s="121"/>
      <c r="BP1407" s="121"/>
      <c r="BQ1407" s="121"/>
      <c r="BR1407" s="121"/>
      <c r="BS1407" s="121"/>
      <c r="BT1407" s="121"/>
      <c r="BU1407" s="121"/>
      <c r="BV1407" s="121"/>
      <c r="BW1407" s="121"/>
      <c r="BX1407" s="121"/>
      <c r="BY1407" s="121"/>
      <c r="BZ1407" s="121"/>
    </row>
    <row r="1408" spans="60:78">
      <c r="BH1408" s="29"/>
      <c r="BI1408" s="29"/>
      <c r="BJ1408" s="29"/>
      <c r="BK1408" s="29"/>
      <c r="BL1408" s="29"/>
      <c r="BM1408" s="121"/>
      <c r="BN1408" s="121"/>
      <c r="BO1408" s="121"/>
      <c r="BP1408" s="121"/>
      <c r="BQ1408" s="121"/>
      <c r="BR1408" s="121"/>
      <c r="BS1408" s="121"/>
      <c r="BT1408" s="121"/>
      <c r="BU1408" s="121"/>
      <c r="BV1408" s="121"/>
      <c r="BW1408" s="121"/>
      <c r="BX1408" s="121"/>
      <c r="BY1408" s="121"/>
      <c r="BZ1408" s="121"/>
    </row>
    <row r="1409" spans="60:78">
      <c r="BH1409" s="29"/>
      <c r="BI1409" s="29"/>
      <c r="BJ1409" s="29"/>
      <c r="BK1409" s="29"/>
      <c r="BL1409" s="29"/>
      <c r="BM1409" s="121"/>
      <c r="BN1409" s="121"/>
      <c r="BO1409" s="121"/>
      <c r="BP1409" s="121"/>
      <c r="BQ1409" s="121"/>
      <c r="BR1409" s="121"/>
      <c r="BS1409" s="121"/>
      <c r="BT1409" s="121"/>
      <c r="BU1409" s="121"/>
      <c r="BV1409" s="121"/>
      <c r="BW1409" s="121"/>
      <c r="BX1409" s="121"/>
      <c r="BY1409" s="121"/>
      <c r="BZ1409" s="121"/>
    </row>
    <row r="1410" spans="60:78">
      <c r="BH1410" s="29"/>
      <c r="BI1410" s="29"/>
      <c r="BJ1410" s="29"/>
      <c r="BK1410" s="29"/>
      <c r="BL1410" s="29"/>
      <c r="BM1410" s="121"/>
      <c r="BN1410" s="121"/>
      <c r="BO1410" s="121"/>
      <c r="BP1410" s="121"/>
      <c r="BQ1410" s="121"/>
      <c r="BR1410" s="121"/>
      <c r="BS1410" s="121"/>
      <c r="BT1410" s="121"/>
      <c r="BU1410" s="121"/>
      <c r="BV1410" s="121"/>
      <c r="BW1410" s="121"/>
      <c r="BX1410" s="121"/>
      <c r="BY1410" s="121"/>
      <c r="BZ1410" s="121"/>
    </row>
    <row r="1411" spans="60:78">
      <c r="BH1411" s="29"/>
      <c r="BI1411" s="29"/>
      <c r="BJ1411" s="29"/>
      <c r="BK1411" s="29"/>
      <c r="BL1411" s="29"/>
      <c r="BM1411" s="121"/>
      <c r="BN1411" s="121"/>
      <c r="BO1411" s="121"/>
      <c r="BP1411" s="121"/>
      <c r="BQ1411" s="121"/>
      <c r="BR1411" s="121"/>
      <c r="BS1411" s="121"/>
      <c r="BT1411" s="121"/>
      <c r="BU1411" s="121"/>
      <c r="BV1411" s="121"/>
      <c r="BW1411" s="121"/>
      <c r="BX1411" s="121"/>
      <c r="BY1411" s="121"/>
      <c r="BZ1411" s="121"/>
    </row>
    <row r="1412" spans="60:78">
      <c r="BH1412" s="29"/>
      <c r="BI1412" s="29"/>
      <c r="BJ1412" s="29"/>
      <c r="BK1412" s="29"/>
      <c r="BL1412" s="29"/>
      <c r="BM1412" s="121"/>
      <c r="BN1412" s="121"/>
      <c r="BO1412" s="121"/>
      <c r="BP1412" s="121"/>
      <c r="BQ1412" s="121"/>
      <c r="BR1412" s="121"/>
      <c r="BS1412" s="121"/>
      <c r="BT1412" s="121"/>
      <c r="BU1412" s="121"/>
      <c r="BV1412" s="121"/>
      <c r="BW1412" s="121"/>
      <c r="BX1412" s="121"/>
      <c r="BY1412" s="121"/>
      <c r="BZ1412" s="121"/>
    </row>
    <row r="1413" spans="60:78">
      <c r="BH1413" s="29"/>
      <c r="BI1413" s="29"/>
      <c r="BJ1413" s="29"/>
      <c r="BK1413" s="29"/>
      <c r="BL1413" s="29"/>
      <c r="BM1413" s="121"/>
      <c r="BN1413" s="121"/>
      <c r="BO1413" s="121"/>
      <c r="BP1413" s="121"/>
      <c r="BQ1413" s="121"/>
      <c r="BR1413" s="121"/>
      <c r="BS1413" s="121"/>
      <c r="BT1413" s="121"/>
      <c r="BU1413" s="121"/>
      <c r="BV1413" s="121"/>
      <c r="BW1413" s="121"/>
      <c r="BX1413" s="121"/>
      <c r="BY1413" s="121"/>
      <c r="BZ1413" s="121"/>
    </row>
    <row r="1414" spans="60:78">
      <c r="BH1414" s="29"/>
      <c r="BI1414" s="29"/>
      <c r="BJ1414" s="29"/>
      <c r="BK1414" s="29"/>
      <c r="BL1414" s="29"/>
      <c r="BM1414" s="121"/>
      <c r="BN1414" s="121"/>
      <c r="BO1414" s="121"/>
      <c r="BP1414" s="121"/>
      <c r="BQ1414" s="121"/>
      <c r="BR1414" s="121"/>
      <c r="BS1414" s="121"/>
      <c r="BT1414" s="121"/>
      <c r="BU1414" s="121"/>
      <c r="BV1414" s="121"/>
      <c r="BW1414" s="121"/>
      <c r="BX1414" s="121"/>
      <c r="BY1414" s="121"/>
      <c r="BZ1414" s="121"/>
    </row>
    <row r="1415" spans="60:78">
      <c r="BH1415" s="29"/>
      <c r="BI1415" s="29"/>
      <c r="BJ1415" s="29"/>
      <c r="BK1415" s="29"/>
      <c r="BL1415" s="29"/>
      <c r="BM1415" s="121"/>
      <c r="BN1415" s="121"/>
      <c r="BO1415" s="121"/>
      <c r="BP1415" s="121"/>
      <c r="BQ1415" s="121"/>
      <c r="BR1415" s="121"/>
      <c r="BS1415" s="121"/>
      <c r="BT1415" s="121"/>
      <c r="BU1415" s="121"/>
      <c r="BV1415" s="121"/>
      <c r="BW1415" s="121"/>
      <c r="BX1415" s="121"/>
      <c r="BY1415" s="121"/>
      <c r="BZ1415" s="121"/>
    </row>
    <row r="1416" spans="60:78">
      <c r="BH1416" s="29"/>
      <c r="BI1416" s="29"/>
      <c r="BJ1416" s="29"/>
      <c r="BK1416" s="29"/>
      <c r="BL1416" s="29"/>
      <c r="BM1416" s="121"/>
      <c r="BN1416" s="121"/>
      <c r="BO1416" s="121"/>
      <c r="BP1416" s="121"/>
      <c r="BQ1416" s="121"/>
      <c r="BR1416" s="121"/>
      <c r="BS1416" s="121"/>
      <c r="BT1416" s="121"/>
      <c r="BU1416" s="121"/>
      <c r="BV1416" s="121"/>
      <c r="BW1416" s="121"/>
      <c r="BX1416" s="121"/>
      <c r="BY1416" s="121"/>
      <c r="BZ1416" s="121"/>
    </row>
    <row r="1417" spans="60:78">
      <c r="BH1417" s="29"/>
      <c r="BI1417" s="29"/>
      <c r="BJ1417" s="29"/>
      <c r="BK1417" s="29"/>
      <c r="BL1417" s="29"/>
      <c r="BM1417" s="121"/>
      <c r="BN1417" s="121"/>
      <c r="BO1417" s="121"/>
      <c r="BP1417" s="121"/>
      <c r="BQ1417" s="121"/>
      <c r="BR1417" s="121"/>
      <c r="BS1417" s="121"/>
      <c r="BT1417" s="121"/>
      <c r="BU1417" s="121"/>
      <c r="BV1417" s="121"/>
      <c r="BW1417" s="121"/>
      <c r="BX1417" s="121"/>
      <c r="BY1417" s="121"/>
      <c r="BZ1417" s="121"/>
    </row>
    <row r="1418" spans="60:78">
      <c r="BH1418" s="29"/>
      <c r="BI1418" s="29"/>
      <c r="BJ1418" s="29"/>
      <c r="BK1418" s="29"/>
      <c r="BL1418" s="29"/>
      <c r="BM1418" s="121"/>
      <c r="BN1418" s="121"/>
      <c r="BO1418" s="121"/>
      <c r="BP1418" s="121"/>
      <c r="BQ1418" s="121"/>
      <c r="BR1418" s="121"/>
      <c r="BS1418" s="121"/>
      <c r="BT1418" s="121"/>
      <c r="BU1418" s="121"/>
      <c r="BV1418" s="121"/>
      <c r="BW1418" s="121"/>
      <c r="BX1418" s="121"/>
      <c r="BY1418" s="121"/>
      <c r="BZ1418" s="121"/>
    </row>
    <row r="1419" spans="60:78">
      <c r="BH1419" s="29"/>
      <c r="BI1419" s="29"/>
      <c r="BJ1419" s="29"/>
      <c r="BK1419" s="29"/>
      <c r="BL1419" s="29"/>
      <c r="BM1419" s="121"/>
      <c r="BN1419" s="121"/>
      <c r="BO1419" s="121"/>
      <c r="BP1419" s="121"/>
      <c r="BQ1419" s="121"/>
      <c r="BR1419" s="121"/>
      <c r="BS1419" s="121"/>
      <c r="BT1419" s="121"/>
      <c r="BU1419" s="121"/>
      <c r="BV1419" s="121"/>
      <c r="BW1419" s="121"/>
      <c r="BX1419" s="121"/>
      <c r="BY1419" s="121"/>
      <c r="BZ1419" s="121"/>
    </row>
    <row r="1420" spans="60:78">
      <c r="BH1420" s="29"/>
      <c r="BI1420" s="29"/>
      <c r="BJ1420" s="29"/>
      <c r="BK1420" s="29"/>
      <c r="BL1420" s="29"/>
      <c r="BM1420" s="121"/>
      <c r="BN1420" s="121"/>
      <c r="BO1420" s="121"/>
      <c r="BP1420" s="121"/>
      <c r="BQ1420" s="121"/>
      <c r="BR1420" s="121"/>
      <c r="BS1420" s="121"/>
      <c r="BT1420" s="121"/>
      <c r="BU1420" s="121"/>
      <c r="BV1420" s="121"/>
      <c r="BW1420" s="121"/>
      <c r="BX1420" s="121"/>
      <c r="BY1420" s="121"/>
      <c r="BZ1420" s="121"/>
    </row>
    <row r="1421" spans="60:78">
      <c r="BH1421" s="29"/>
      <c r="BI1421" s="29"/>
      <c r="BJ1421" s="29"/>
      <c r="BK1421" s="29"/>
      <c r="BL1421" s="29"/>
      <c r="BM1421" s="121"/>
      <c r="BN1421" s="121"/>
      <c r="BO1421" s="121"/>
      <c r="BP1421" s="121"/>
      <c r="BQ1421" s="121"/>
      <c r="BR1421" s="121"/>
      <c r="BS1421" s="121"/>
      <c r="BT1421" s="121"/>
      <c r="BU1421" s="121"/>
      <c r="BV1421" s="121"/>
      <c r="BW1421" s="121"/>
      <c r="BX1421" s="121"/>
      <c r="BY1421" s="121"/>
      <c r="BZ1421" s="121"/>
    </row>
    <row r="1422" spans="60:78">
      <c r="BH1422" s="29"/>
      <c r="BI1422" s="29"/>
      <c r="BJ1422" s="29"/>
      <c r="BK1422" s="29"/>
      <c r="BL1422" s="29"/>
      <c r="BM1422" s="121"/>
      <c r="BN1422" s="121"/>
      <c r="BO1422" s="121"/>
      <c r="BP1422" s="121"/>
      <c r="BQ1422" s="121"/>
      <c r="BR1422" s="121"/>
      <c r="BS1422" s="121"/>
      <c r="BT1422" s="121"/>
      <c r="BU1422" s="121"/>
      <c r="BV1422" s="121"/>
      <c r="BW1422" s="121"/>
      <c r="BX1422" s="121"/>
      <c r="BY1422" s="121"/>
      <c r="BZ1422" s="121"/>
    </row>
    <row r="1423" spans="60:78">
      <c r="BH1423" s="29"/>
      <c r="BI1423" s="29"/>
      <c r="BJ1423" s="29"/>
      <c r="BK1423" s="29"/>
      <c r="BL1423" s="29"/>
      <c r="BM1423" s="121"/>
      <c r="BN1423" s="121"/>
      <c r="BO1423" s="121"/>
      <c r="BP1423" s="121"/>
      <c r="BQ1423" s="121"/>
      <c r="BR1423" s="121"/>
      <c r="BS1423" s="121"/>
      <c r="BT1423" s="121"/>
      <c r="BU1423" s="121"/>
      <c r="BV1423" s="121"/>
      <c r="BW1423" s="121"/>
      <c r="BX1423" s="121"/>
      <c r="BY1423" s="121"/>
      <c r="BZ1423" s="121"/>
    </row>
    <row r="1424" spans="60:78">
      <c r="BH1424" s="29"/>
      <c r="BI1424" s="29"/>
      <c r="BJ1424" s="29"/>
      <c r="BK1424" s="29"/>
      <c r="BL1424" s="29"/>
      <c r="BM1424" s="121"/>
      <c r="BN1424" s="121"/>
      <c r="BO1424" s="121"/>
      <c r="BP1424" s="121"/>
      <c r="BQ1424" s="121"/>
      <c r="BR1424" s="121"/>
      <c r="BS1424" s="121"/>
      <c r="BT1424" s="121"/>
      <c r="BU1424" s="121"/>
      <c r="BV1424" s="121"/>
      <c r="BW1424" s="121"/>
      <c r="BX1424" s="121"/>
      <c r="BY1424" s="121"/>
      <c r="BZ1424" s="121"/>
    </row>
    <row r="1425" spans="60:78">
      <c r="BH1425" s="29"/>
      <c r="BI1425" s="29"/>
      <c r="BJ1425" s="29"/>
      <c r="BK1425" s="29"/>
      <c r="BL1425" s="29"/>
      <c r="BM1425" s="121"/>
      <c r="BN1425" s="121"/>
      <c r="BO1425" s="121"/>
      <c r="BP1425" s="121"/>
      <c r="BQ1425" s="121"/>
      <c r="BR1425" s="121"/>
      <c r="BS1425" s="121"/>
      <c r="BT1425" s="121"/>
      <c r="BU1425" s="121"/>
      <c r="BV1425" s="121"/>
      <c r="BW1425" s="121"/>
      <c r="BX1425" s="121"/>
      <c r="BY1425" s="121"/>
      <c r="BZ1425" s="121"/>
    </row>
    <row r="1426" spans="60:78">
      <c r="BH1426" s="29"/>
      <c r="BI1426" s="29"/>
      <c r="BJ1426" s="29"/>
      <c r="BK1426" s="29"/>
      <c r="BL1426" s="29"/>
      <c r="BM1426" s="121"/>
      <c r="BN1426" s="121"/>
      <c r="BO1426" s="121"/>
      <c r="BP1426" s="121"/>
      <c r="BQ1426" s="121"/>
      <c r="BR1426" s="121"/>
      <c r="BS1426" s="121"/>
      <c r="BT1426" s="121"/>
      <c r="BU1426" s="121"/>
      <c r="BV1426" s="121"/>
      <c r="BW1426" s="121"/>
      <c r="BX1426" s="121"/>
      <c r="BY1426" s="121"/>
      <c r="BZ1426" s="121"/>
    </row>
    <row r="1427" spans="60:78">
      <c r="BH1427" s="29"/>
      <c r="BI1427" s="29"/>
      <c r="BJ1427" s="29"/>
      <c r="BK1427" s="29"/>
      <c r="BL1427" s="29"/>
      <c r="BM1427" s="121"/>
      <c r="BN1427" s="121"/>
      <c r="BO1427" s="121"/>
      <c r="BP1427" s="121"/>
      <c r="BQ1427" s="121"/>
      <c r="BR1427" s="121"/>
      <c r="BS1427" s="121"/>
      <c r="BT1427" s="121"/>
      <c r="BU1427" s="121"/>
      <c r="BV1427" s="121"/>
      <c r="BW1427" s="121"/>
      <c r="BX1427" s="121"/>
      <c r="BY1427" s="121"/>
      <c r="BZ1427" s="121"/>
    </row>
    <row r="1428" spans="60:78">
      <c r="BH1428" s="29"/>
      <c r="BI1428" s="29"/>
      <c r="BJ1428" s="29"/>
      <c r="BK1428" s="29"/>
      <c r="BL1428" s="29"/>
      <c r="BM1428" s="121"/>
      <c r="BN1428" s="121"/>
      <c r="BO1428" s="121"/>
      <c r="BP1428" s="121"/>
      <c r="BQ1428" s="121"/>
      <c r="BR1428" s="121"/>
      <c r="BS1428" s="121"/>
      <c r="BT1428" s="121"/>
      <c r="BU1428" s="121"/>
      <c r="BV1428" s="121"/>
      <c r="BW1428" s="121"/>
      <c r="BX1428" s="121"/>
      <c r="BY1428" s="121"/>
      <c r="BZ1428" s="121"/>
    </row>
    <row r="1429" spans="60:78">
      <c r="BH1429" s="29"/>
      <c r="BI1429" s="29"/>
      <c r="BJ1429" s="29"/>
      <c r="BK1429" s="29"/>
      <c r="BL1429" s="29"/>
      <c r="BM1429" s="121"/>
      <c r="BN1429" s="121"/>
      <c r="BO1429" s="121"/>
      <c r="BP1429" s="121"/>
      <c r="BQ1429" s="121"/>
      <c r="BR1429" s="121"/>
      <c r="BS1429" s="121"/>
      <c r="BT1429" s="121"/>
      <c r="BU1429" s="121"/>
      <c r="BV1429" s="121"/>
      <c r="BW1429" s="121"/>
      <c r="BX1429" s="121"/>
      <c r="BY1429" s="121"/>
      <c r="BZ1429" s="121"/>
    </row>
    <row r="1430" spans="60:78">
      <c r="BH1430" s="29"/>
      <c r="BI1430" s="29"/>
      <c r="BJ1430" s="29"/>
      <c r="BK1430" s="29"/>
      <c r="BL1430" s="29"/>
      <c r="BM1430" s="121"/>
      <c r="BN1430" s="121"/>
      <c r="BO1430" s="121"/>
      <c r="BP1430" s="121"/>
      <c r="BQ1430" s="121"/>
      <c r="BR1430" s="121"/>
      <c r="BS1430" s="121"/>
      <c r="BT1430" s="121"/>
      <c r="BU1430" s="121"/>
      <c r="BV1430" s="121"/>
      <c r="BW1430" s="121"/>
      <c r="BX1430" s="121"/>
      <c r="BY1430" s="121"/>
      <c r="BZ1430" s="121"/>
    </row>
    <row r="1431" spans="60:78">
      <c r="BH1431" s="29"/>
      <c r="BI1431" s="29"/>
      <c r="BJ1431" s="29"/>
      <c r="BK1431" s="29"/>
      <c r="BL1431" s="29"/>
      <c r="BM1431" s="121"/>
      <c r="BN1431" s="121"/>
      <c r="BO1431" s="121"/>
      <c r="BP1431" s="121"/>
      <c r="BQ1431" s="121"/>
      <c r="BR1431" s="121"/>
      <c r="BS1431" s="121"/>
      <c r="BT1431" s="121"/>
      <c r="BU1431" s="121"/>
      <c r="BV1431" s="121"/>
      <c r="BW1431" s="121"/>
      <c r="BX1431" s="121"/>
      <c r="BY1431" s="121"/>
      <c r="BZ1431" s="121"/>
    </row>
    <row r="1432" spans="60:78">
      <c r="BH1432" s="29"/>
      <c r="BI1432" s="29"/>
      <c r="BJ1432" s="29"/>
      <c r="BK1432" s="29"/>
      <c r="BL1432" s="29"/>
      <c r="BM1432" s="121"/>
      <c r="BN1432" s="121"/>
      <c r="BO1432" s="121"/>
      <c r="BP1432" s="121"/>
      <c r="BQ1432" s="121"/>
      <c r="BR1432" s="121"/>
      <c r="BS1432" s="121"/>
      <c r="BT1432" s="121"/>
      <c r="BU1432" s="121"/>
      <c r="BV1432" s="121"/>
      <c r="BW1432" s="121"/>
      <c r="BX1432" s="121"/>
      <c r="BY1432" s="121"/>
      <c r="BZ1432" s="121"/>
    </row>
    <row r="1433" spans="60:78">
      <c r="BH1433" s="29"/>
      <c r="BI1433" s="29"/>
      <c r="BJ1433" s="29"/>
      <c r="BK1433" s="29"/>
      <c r="BL1433" s="29"/>
      <c r="BM1433" s="121"/>
      <c r="BN1433" s="121"/>
      <c r="BO1433" s="121"/>
      <c r="BP1433" s="121"/>
      <c r="BQ1433" s="121"/>
      <c r="BR1433" s="121"/>
      <c r="BS1433" s="121"/>
      <c r="BT1433" s="121"/>
      <c r="BU1433" s="121"/>
      <c r="BV1433" s="121"/>
      <c r="BW1433" s="121"/>
      <c r="BX1433" s="121"/>
      <c r="BY1433" s="121"/>
      <c r="BZ1433" s="121"/>
    </row>
    <row r="1434" spans="60:78">
      <c r="BH1434" s="29"/>
      <c r="BI1434" s="29"/>
      <c r="BJ1434" s="29"/>
      <c r="BK1434" s="29"/>
      <c r="BL1434" s="29"/>
      <c r="BM1434" s="121"/>
      <c r="BN1434" s="121"/>
      <c r="BO1434" s="121"/>
      <c r="BP1434" s="121"/>
      <c r="BQ1434" s="121"/>
      <c r="BR1434" s="121"/>
      <c r="BS1434" s="121"/>
      <c r="BT1434" s="121"/>
      <c r="BU1434" s="121"/>
      <c r="BV1434" s="121"/>
      <c r="BW1434" s="121"/>
      <c r="BX1434" s="121"/>
      <c r="BY1434" s="121"/>
      <c r="BZ1434" s="121"/>
    </row>
    <row r="1435" spans="60:78">
      <c r="BH1435" s="29"/>
      <c r="BI1435" s="29"/>
      <c r="BJ1435" s="29"/>
      <c r="BK1435" s="29"/>
      <c r="BL1435" s="29"/>
      <c r="BM1435" s="121"/>
      <c r="BN1435" s="121"/>
      <c r="BO1435" s="121"/>
      <c r="BP1435" s="121"/>
      <c r="BQ1435" s="121"/>
      <c r="BR1435" s="121"/>
      <c r="BS1435" s="121"/>
      <c r="BT1435" s="121"/>
      <c r="BU1435" s="121"/>
      <c r="BV1435" s="121"/>
      <c r="BW1435" s="121"/>
      <c r="BX1435" s="121"/>
      <c r="BY1435" s="121"/>
      <c r="BZ1435" s="121"/>
    </row>
    <row r="1436" spans="60:78">
      <c r="BH1436" s="29"/>
      <c r="BI1436" s="29"/>
      <c r="BJ1436" s="29"/>
      <c r="BK1436" s="29"/>
      <c r="BL1436" s="29"/>
      <c r="BM1436" s="121"/>
      <c r="BN1436" s="121"/>
      <c r="BO1436" s="121"/>
      <c r="BP1436" s="121"/>
      <c r="BQ1436" s="121"/>
      <c r="BR1436" s="121"/>
      <c r="BS1436" s="121"/>
      <c r="BT1436" s="121"/>
      <c r="BU1436" s="121"/>
      <c r="BV1436" s="121"/>
      <c r="BW1436" s="121"/>
      <c r="BX1436" s="121"/>
      <c r="BY1436" s="121"/>
      <c r="BZ1436" s="121"/>
    </row>
    <row r="1437" spans="60:78">
      <c r="BH1437" s="29"/>
      <c r="BI1437" s="29"/>
      <c r="BJ1437" s="29"/>
      <c r="BK1437" s="29"/>
      <c r="BL1437" s="29"/>
      <c r="BM1437" s="121"/>
      <c r="BN1437" s="121"/>
      <c r="BO1437" s="121"/>
      <c r="BP1437" s="121"/>
      <c r="BQ1437" s="121"/>
      <c r="BR1437" s="121"/>
      <c r="BS1437" s="121"/>
      <c r="BT1437" s="121"/>
      <c r="BU1437" s="121"/>
      <c r="BV1437" s="121"/>
      <c r="BW1437" s="121"/>
      <c r="BX1437" s="121"/>
      <c r="BY1437" s="121"/>
      <c r="BZ1437" s="121"/>
    </row>
    <row r="1438" spans="60:78">
      <c r="BH1438" s="29"/>
      <c r="BI1438" s="29"/>
      <c r="BJ1438" s="29"/>
      <c r="BK1438" s="29"/>
      <c r="BL1438" s="29"/>
      <c r="BM1438" s="121"/>
      <c r="BN1438" s="121"/>
      <c r="BO1438" s="121"/>
      <c r="BP1438" s="121"/>
      <c r="BQ1438" s="121"/>
      <c r="BR1438" s="121"/>
      <c r="BS1438" s="121"/>
      <c r="BT1438" s="121"/>
      <c r="BU1438" s="121"/>
      <c r="BV1438" s="121"/>
      <c r="BW1438" s="121"/>
      <c r="BX1438" s="121"/>
      <c r="BY1438" s="121"/>
      <c r="BZ1438" s="121"/>
    </row>
    <row r="1439" spans="60:78">
      <c r="BH1439" s="29"/>
      <c r="BI1439" s="29"/>
      <c r="BJ1439" s="29"/>
      <c r="BK1439" s="29"/>
      <c r="BL1439" s="29"/>
      <c r="BM1439" s="121"/>
      <c r="BN1439" s="121"/>
      <c r="BO1439" s="121"/>
      <c r="BP1439" s="121"/>
      <c r="BQ1439" s="121"/>
      <c r="BR1439" s="121"/>
      <c r="BS1439" s="121"/>
      <c r="BT1439" s="121"/>
      <c r="BU1439" s="121"/>
      <c r="BV1439" s="121"/>
      <c r="BW1439" s="121"/>
      <c r="BX1439" s="121"/>
      <c r="BY1439" s="121"/>
      <c r="BZ1439" s="121"/>
    </row>
    <row r="1440" spans="60:78">
      <c r="BH1440" s="29"/>
      <c r="BI1440" s="29"/>
      <c r="BJ1440" s="29"/>
      <c r="BK1440" s="29"/>
      <c r="BL1440" s="29"/>
      <c r="BM1440" s="121"/>
      <c r="BN1440" s="121"/>
      <c r="BO1440" s="121"/>
      <c r="BP1440" s="121"/>
      <c r="BQ1440" s="121"/>
      <c r="BR1440" s="121"/>
      <c r="BS1440" s="121"/>
      <c r="BT1440" s="121"/>
      <c r="BU1440" s="121"/>
      <c r="BV1440" s="121"/>
      <c r="BW1440" s="121"/>
      <c r="BX1440" s="121"/>
      <c r="BY1440" s="121"/>
      <c r="BZ1440" s="121"/>
    </row>
    <row r="1441" spans="60:78">
      <c r="BH1441" s="29"/>
      <c r="BI1441" s="29"/>
      <c r="BJ1441" s="29"/>
      <c r="BK1441" s="29"/>
      <c r="BL1441" s="29"/>
      <c r="BM1441" s="121"/>
      <c r="BN1441" s="121"/>
      <c r="BO1441" s="121"/>
      <c r="BP1441" s="121"/>
      <c r="BQ1441" s="121"/>
      <c r="BR1441" s="121"/>
      <c r="BS1441" s="121"/>
      <c r="BT1441" s="121"/>
      <c r="BU1441" s="121"/>
      <c r="BV1441" s="121"/>
      <c r="BW1441" s="121"/>
      <c r="BX1441" s="121"/>
      <c r="BY1441" s="121"/>
      <c r="BZ1441" s="121"/>
    </row>
    <row r="1442" spans="60:78">
      <c r="BH1442" s="29"/>
      <c r="BI1442" s="29"/>
      <c r="BJ1442" s="29"/>
      <c r="BK1442" s="29"/>
      <c r="BL1442" s="29"/>
      <c r="BM1442" s="121"/>
      <c r="BN1442" s="121"/>
      <c r="BO1442" s="121"/>
      <c r="BP1442" s="121"/>
      <c r="BQ1442" s="121"/>
      <c r="BR1442" s="121"/>
      <c r="BS1442" s="121"/>
      <c r="BT1442" s="121"/>
      <c r="BU1442" s="121"/>
      <c r="BV1442" s="121"/>
      <c r="BW1442" s="121"/>
      <c r="BX1442" s="121"/>
      <c r="BY1442" s="121"/>
      <c r="BZ1442" s="121"/>
    </row>
    <row r="1443" spans="60:78">
      <c r="BH1443" s="29"/>
      <c r="BI1443" s="29"/>
      <c r="BJ1443" s="29"/>
      <c r="BK1443" s="29"/>
      <c r="BL1443" s="29"/>
      <c r="BM1443" s="121"/>
      <c r="BN1443" s="121"/>
      <c r="BO1443" s="121"/>
      <c r="BP1443" s="121"/>
      <c r="BQ1443" s="121"/>
      <c r="BR1443" s="121"/>
      <c r="BS1443" s="121"/>
      <c r="BT1443" s="121"/>
      <c r="BU1443" s="121"/>
      <c r="BV1443" s="121"/>
      <c r="BW1443" s="121"/>
      <c r="BX1443" s="121"/>
      <c r="BY1443" s="121"/>
      <c r="BZ1443" s="121"/>
    </row>
    <row r="1444" spans="60:78">
      <c r="BH1444" s="29"/>
      <c r="BI1444" s="29"/>
      <c r="BJ1444" s="29"/>
      <c r="BK1444" s="29"/>
      <c r="BL1444" s="29"/>
      <c r="BM1444" s="121"/>
      <c r="BN1444" s="121"/>
      <c r="BO1444" s="121"/>
      <c r="BP1444" s="121"/>
      <c r="BQ1444" s="121"/>
      <c r="BR1444" s="121"/>
      <c r="BS1444" s="121"/>
      <c r="BT1444" s="121"/>
      <c r="BU1444" s="121"/>
      <c r="BV1444" s="121"/>
      <c r="BW1444" s="121"/>
      <c r="BX1444" s="121"/>
      <c r="BY1444" s="121"/>
      <c r="BZ1444" s="121"/>
    </row>
    <row r="1445" spans="60:78">
      <c r="BH1445" s="29"/>
      <c r="BI1445" s="29"/>
      <c r="BJ1445" s="29"/>
      <c r="BK1445" s="29"/>
      <c r="BL1445" s="29"/>
      <c r="BM1445" s="121"/>
      <c r="BN1445" s="121"/>
      <c r="BO1445" s="121"/>
      <c r="BP1445" s="121"/>
      <c r="BQ1445" s="121"/>
      <c r="BR1445" s="121"/>
      <c r="BS1445" s="121"/>
      <c r="BT1445" s="121"/>
      <c r="BU1445" s="121"/>
      <c r="BV1445" s="121"/>
      <c r="BW1445" s="121"/>
      <c r="BX1445" s="121"/>
      <c r="BY1445" s="121"/>
      <c r="BZ1445" s="121"/>
    </row>
    <row r="1446" spans="60:78">
      <c r="BH1446" s="29"/>
      <c r="BI1446" s="29"/>
      <c r="BJ1446" s="29"/>
      <c r="BK1446" s="29"/>
      <c r="BL1446" s="29"/>
      <c r="BM1446" s="121"/>
      <c r="BN1446" s="121"/>
      <c r="BO1446" s="121"/>
      <c r="BP1446" s="121"/>
      <c r="BQ1446" s="121"/>
      <c r="BR1446" s="121"/>
      <c r="BS1446" s="121"/>
      <c r="BT1446" s="121"/>
      <c r="BU1446" s="121"/>
      <c r="BV1446" s="121"/>
      <c r="BW1446" s="121"/>
      <c r="BX1446" s="121"/>
      <c r="BY1446" s="121"/>
      <c r="BZ1446" s="121"/>
    </row>
    <row r="1447" spans="60:78">
      <c r="BH1447" s="29"/>
      <c r="BI1447" s="29"/>
      <c r="BJ1447" s="29"/>
      <c r="BK1447" s="29"/>
      <c r="BL1447" s="29"/>
      <c r="BM1447" s="121"/>
      <c r="BN1447" s="121"/>
      <c r="BO1447" s="121"/>
      <c r="BP1447" s="121"/>
      <c r="BQ1447" s="121"/>
      <c r="BR1447" s="121"/>
      <c r="BS1447" s="121"/>
      <c r="BT1447" s="121"/>
      <c r="BU1447" s="121"/>
      <c r="BV1447" s="121"/>
      <c r="BW1447" s="121"/>
      <c r="BX1447" s="121"/>
      <c r="BY1447" s="121"/>
      <c r="BZ1447" s="121"/>
    </row>
    <row r="1448" spans="60:78">
      <c r="BH1448" s="29"/>
      <c r="BI1448" s="29"/>
      <c r="BJ1448" s="29"/>
      <c r="BK1448" s="29"/>
      <c r="BL1448" s="29"/>
      <c r="BM1448" s="121"/>
      <c r="BN1448" s="121"/>
      <c r="BO1448" s="121"/>
      <c r="BP1448" s="121"/>
      <c r="BQ1448" s="121"/>
      <c r="BR1448" s="121"/>
      <c r="BS1448" s="121"/>
      <c r="BT1448" s="121"/>
      <c r="BU1448" s="121"/>
      <c r="BV1448" s="121"/>
      <c r="BW1448" s="121"/>
      <c r="BX1448" s="121"/>
      <c r="BY1448" s="121"/>
      <c r="BZ1448" s="121"/>
    </row>
    <row r="1449" spans="60:78">
      <c r="BH1449" s="29"/>
      <c r="BI1449" s="29"/>
      <c r="BJ1449" s="29"/>
      <c r="BK1449" s="29"/>
      <c r="BL1449" s="29"/>
      <c r="BM1449" s="121"/>
      <c r="BN1449" s="121"/>
      <c r="BO1449" s="121"/>
      <c r="BP1449" s="121"/>
      <c r="BQ1449" s="121"/>
      <c r="BR1449" s="121"/>
      <c r="BS1449" s="121"/>
      <c r="BT1449" s="121"/>
      <c r="BU1449" s="121"/>
      <c r="BV1449" s="121"/>
      <c r="BW1449" s="121"/>
      <c r="BX1449" s="121"/>
      <c r="BY1449" s="121"/>
      <c r="BZ1449" s="121"/>
    </row>
    <row r="1450" spans="60:78">
      <c r="BH1450" s="29"/>
      <c r="BI1450" s="29"/>
      <c r="BJ1450" s="29"/>
      <c r="BK1450" s="29"/>
      <c r="BL1450" s="29"/>
      <c r="BM1450" s="121"/>
      <c r="BN1450" s="121"/>
      <c r="BO1450" s="121"/>
      <c r="BP1450" s="121"/>
      <c r="BQ1450" s="121"/>
      <c r="BR1450" s="121"/>
      <c r="BS1450" s="121"/>
      <c r="BT1450" s="121"/>
      <c r="BU1450" s="121"/>
      <c r="BV1450" s="121"/>
      <c r="BW1450" s="121"/>
      <c r="BX1450" s="121"/>
      <c r="BY1450" s="121"/>
      <c r="BZ1450" s="121"/>
    </row>
    <row r="1451" spans="60:78">
      <c r="BH1451" s="29"/>
      <c r="BI1451" s="29"/>
      <c r="BJ1451" s="29"/>
      <c r="BK1451" s="29"/>
      <c r="BL1451" s="29"/>
      <c r="BM1451" s="121"/>
      <c r="BN1451" s="121"/>
      <c r="BO1451" s="121"/>
      <c r="BP1451" s="121"/>
      <c r="BQ1451" s="121"/>
      <c r="BR1451" s="121"/>
      <c r="BS1451" s="121"/>
      <c r="BT1451" s="121"/>
      <c r="BU1451" s="121"/>
      <c r="BV1451" s="121"/>
      <c r="BW1451" s="121"/>
      <c r="BX1451" s="121"/>
      <c r="BY1451" s="121"/>
      <c r="BZ1451" s="121"/>
    </row>
    <row r="1452" spans="60:78">
      <c r="BH1452" s="29"/>
      <c r="BI1452" s="29"/>
      <c r="BJ1452" s="29"/>
      <c r="BK1452" s="29"/>
      <c r="BL1452" s="29"/>
      <c r="BM1452" s="121"/>
      <c r="BN1452" s="121"/>
      <c r="BO1452" s="121"/>
      <c r="BP1452" s="121"/>
      <c r="BQ1452" s="121"/>
      <c r="BR1452" s="121"/>
      <c r="BS1452" s="121"/>
      <c r="BT1452" s="121"/>
      <c r="BU1452" s="121"/>
      <c r="BV1452" s="121"/>
      <c r="BW1452" s="121"/>
      <c r="BX1452" s="121"/>
      <c r="BY1452" s="121"/>
      <c r="BZ1452" s="121"/>
    </row>
    <row r="1453" spans="60:78">
      <c r="BH1453" s="29"/>
      <c r="BI1453" s="29"/>
      <c r="BJ1453" s="29"/>
      <c r="BK1453" s="29"/>
      <c r="BL1453" s="29"/>
      <c r="BM1453" s="121"/>
      <c r="BN1453" s="121"/>
      <c r="BO1453" s="121"/>
      <c r="BP1453" s="121"/>
      <c r="BQ1453" s="121"/>
      <c r="BR1453" s="121"/>
      <c r="BS1453" s="121"/>
      <c r="BT1453" s="121"/>
      <c r="BU1453" s="121"/>
      <c r="BV1453" s="121"/>
      <c r="BW1453" s="121"/>
      <c r="BX1453" s="121"/>
      <c r="BY1453" s="121"/>
      <c r="BZ1453" s="121"/>
    </row>
    <row r="1454" spans="60:78">
      <c r="BH1454" s="29"/>
      <c r="BI1454" s="29"/>
      <c r="BJ1454" s="29"/>
      <c r="BK1454" s="29"/>
      <c r="BL1454" s="29"/>
      <c r="BM1454" s="121"/>
      <c r="BN1454" s="121"/>
      <c r="BO1454" s="121"/>
      <c r="BP1454" s="121"/>
      <c r="BQ1454" s="121"/>
      <c r="BR1454" s="121"/>
      <c r="BS1454" s="121"/>
      <c r="BT1454" s="121"/>
      <c r="BU1454" s="121"/>
      <c r="BV1454" s="121"/>
      <c r="BW1454" s="121"/>
      <c r="BX1454" s="121"/>
      <c r="BY1454" s="121"/>
      <c r="BZ1454" s="121"/>
    </row>
    <row r="1455" spans="60:78">
      <c r="BH1455" s="29"/>
      <c r="BI1455" s="29"/>
      <c r="BJ1455" s="29"/>
      <c r="BK1455" s="29"/>
      <c r="BL1455" s="29"/>
      <c r="BM1455" s="121"/>
      <c r="BN1455" s="121"/>
      <c r="BO1455" s="121"/>
      <c r="BP1455" s="121"/>
      <c r="BQ1455" s="121"/>
      <c r="BR1455" s="121"/>
      <c r="BS1455" s="121"/>
      <c r="BT1455" s="121"/>
      <c r="BU1455" s="121"/>
      <c r="BV1455" s="121"/>
      <c r="BW1455" s="121"/>
      <c r="BX1455" s="121"/>
      <c r="BY1455" s="121"/>
      <c r="BZ1455" s="121"/>
    </row>
    <row r="1456" spans="60:78">
      <c r="BH1456" s="29"/>
      <c r="BI1456" s="29"/>
      <c r="BJ1456" s="29"/>
      <c r="BK1456" s="29"/>
      <c r="BL1456" s="29"/>
      <c r="BM1456" s="121"/>
      <c r="BN1456" s="121"/>
      <c r="BO1456" s="121"/>
      <c r="BP1456" s="121"/>
      <c r="BQ1456" s="121"/>
      <c r="BR1456" s="121"/>
      <c r="BS1456" s="121"/>
      <c r="BT1456" s="121"/>
      <c r="BU1456" s="121"/>
      <c r="BV1456" s="121"/>
      <c r="BW1456" s="121"/>
      <c r="BX1456" s="121"/>
      <c r="BY1456" s="121"/>
      <c r="BZ1456" s="121"/>
    </row>
    <row r="1457" spans="60:78">
      <c r="BH1457" s="29"/>
      <c r="BI1457" s="29"/>
      <c r="BJ1457" s="29"/>
      <c r="BK1457" s="29"/>
      <c r="BL1457" s="29"/>
      <c r="BM1457" s="121"/>
      <c r="BN1457" s="121"/>
      <c r="BO1457" s="121"/>
      <c r="BP1457" s="121"/>
      <c r="BQ1457" s="121"/>
      <c r="BR1457" s="121"/>
      <c r="BS1457" s="121"/>
      <c r="BT1457" s="121"/>
      <c r="BU1457" s="121"/>
      <c r="BV1457" s="121"/>
      <c r="BW1457" s="121"/>
      <c r="BX1457" s="121"/>
      <c r="BY1457" s="121"/>
      <c r="BZ1457" s="121"/>
    </row>
    <row r="1458" spans="60:78">
      <c r="BH1458" s="29"/>
      <c r="BI1458" s="29"/>
      <c r="BJ1458" s="29"/>
      <c r="BK1458" s="29"/>
      <c r="BL1458" s="29"/>
      <c r="BM1458" s="121"/>
      <c r="BN1458" s="121"/>
      <c r="BO1458" s="121"/>
      <c r="BP1458" s="121"/>
      <c r="BQ1458" s="121"/>
      <c r="BR1458" s="121"/>
      <c r="BS1458" s="121"/>
      <c r="BT1458" s="121"/>
      <c r="BU1458" s="121"/>
      <c r="BV1458" s="121"/>
      <c r="BW1458" s="121"/>
      <c r="BX1458" s="121"/>
      <c r="BY1458" s="121"/>
      <c r="BZ1458" s="121"/>
    </row>
    <row r="1459" spans="60:78">
      <c r="BH1459" s="29"/>
      <c r="BI1459" s="29"/>
      <c r="BJ1459" s="29"/>
      <c r="BK1459" s="29"/>
      <c r="BL1459" s="29"/>
      <c r="BM1459" s="121"/>
      <c r="BN1459" s="121"/>
      <c r="BO1459" s="121"/>
      <c r="BP1459" s="121"/>
      <c r="BQ1459" s="121"/>
      <c r="BR1459" s="121"/>
      <c r="BS1459" s="121"/>
      <c r="BT1459" s="121"/>
      <c r="BU1459" s="121"/>
      <c r="BV1459" s="121"/>
      <c r="BW1459" s="121"/>
      <c r="BX1459" s="121"/>
      <c r="BY1459" s="121"/>
      <c r="BZ1459" s="121"/>
    </row>
    <row r="1460" spans="60:78">
      <c r="BH1460" s="29"/>
      <c r="BI1460" s="29"/>
      <c r="BJ1460" s="29"/>
      <c r="BK1460" s="29"/>
      <c r="BL1460" s="29"/>
      <c r="BM1460" s="121"/>
      <c r="BN1460" s="121"/>
      <c r="BO1460" s="121"/>
      <c r="BP1460" s="121"/>
      <c r="BQ1460" s="121"/>
      <c r="BR1460" s="121"/>
      <c r="BS1460" s="121"/>
      <c r="BT1460" s="121"/>
      <c r="BU1460" s="121"/>
      <c r="BV1460" s="121"/>
      <c r="BW1460" s="121"/>
      <c r="BX1460" s="121"/>
      <c r="BY1460" s="121"/>
      <c r="BZ1460" s="121"/>
    </row>
    <row r="1461" spans="60:78">
      <c r="BH1461" s="29"/>
      <c r="BI1461" s="29"/>
      <c r="BJ1461" s="29"/>
      <c r="BK1461" s="29"/>
      <c r="BL1461" s="29"/>
      <c r="BM1461" s="121"/>
      <c r="BN1461" s="121"/>
      <c r="BO1461" s="121"/>
      <c r="BP1461" s="121"/>
      <c r="BQ1461" s="121"/>
      <c r="BR1461" s="121"/>
      <c r="BS1461" s="121"/>
      <c r="BT1461" s="121"/>
      <c r="BU1461" s="121"/>
      <c r="BV1461" s="121"/>
      <c r="BW1461" s="121"/>
      <c r="BX1461" s="121"/>
      <c r="BY1461" s="121"/>
      <c r="BZ1461" s="121"/>
    </row>
    <row r="1462" spans="60:78">
      <c r="BH1462" s="29"/>
      <c r="BI1462" s="29"/>
      <c r="BJ1462" s="29"/>
      <c r="BK1462" s="29"/>
      <c r="BL1462" s="29"/>
      <c r="BM1462" s="121"/>
      <c r="BN1462" s="121"/>
      <c r="BO1462" s="121"/>
      <c r="BP1462" s="121"/>
      <c r="BQ1462" s="121"/>
      <c r="BR1462" s="121"/>
      <c r="BS1462" s="121"/>
      <c r="BT1462" s="121"/>
      <c r="BU1462" s="121"/>
      <c r="BV1462" s="121"/>
      <c r="BW1462" s="121"/>
      <c r="BX1462" s="121"/>
      <c r="BY1462" s="121"/>
      <c r="BZ1462" s="121"/>
    </row>
    <row r="1463" spans="60:78">
      <c r="BH1463" s="29"/>
      <c r="BI1463" s="29"/>
      <c r="BJ1463" s="29"/>
      <c r="BK1463" s="29"/>
      <c r="BL1463" s="29"/>
      <c r="BM1463" s="121"/>
      <c r="BN1463" s="121"/>
      <c r="BO1463" s="121"/>
      <c r="BP1463" s="121"/>
      <c r="BQ1463" s="121"/>
      <c r="BR1463" s="121"/>
      <c r="BS1463" s="121"/>
      <c r="BT1463" s="121"/>
      <c r="BU1463" s="121"/>
      <c r="BV1463" s="121"/>
      <c r="BW1463" s="121"/>
      <c r="BX1463" s="121"/>
      <c r="BY1463" s="121"/>
      <c r="BZ1463" s="121"/>
    </row>
    <row r="1464" spans="60:78">
      <c r="BH1464" s="29"/>
      <c r="BI1464" s="29"/>
      <c r="BJ1464" s="29"/>
      <c r="BK1464" s="29"/>
      <c r="BL1464" s="29"/>
      <c r="BM1464" s="121"/>
      <c r="BN1464" s="121"/>
      <c r="BO1464" s="121"/>
      <c r="BP1464" s="121"/>
      <c r="BQ1464" s="121"/>
      <c r="BR1464" s="121"/>
      <c r="BS1464" s="121"/>
      <c r="BT1464" s="121"/>
      <c r="BU1464" s="121"/>
      <c r="BV1464" s="121"/>
      <c r="BW1464" s="121"/>
      <c r="BX1464" s="121"/>
      <c r="BY1464" s="121"/>
      <c r="BZ1464" s="121"/>
    </row>
    <row r="1465" spans="60:78">
      <c r="BH1465" s="29"/>
      <c r="BI1465" s="29"/>
      <c r="BJ1465" s="29"/>
      <c r="BK1465" s="29"/>
      <c r="BL1465" s="29"/>
      <c r="BM1465" s="121"/>
      <c r="BN1465" s="121"/>
      <c r="BO1465" s="121"/>
      <c r="BP1465" s="121"/>
      <c r="BQ1465" s="121"/>
      <c r="BR1465" s="121"/>
      <c r="BS1465" s="121"/>
      <c r="BT1465" s="121"/>
      <c r="BU1465" s="121"/>
      <c r="BV1465" s="121"/>
      <c r="BW1465" s="121"/>
      <c r="BX1465" s="121"/>
      <c r="BY1465" s="121"/>
      <c r="BZ1465" s="121"/>
    </row>
    <row r="1466" spans="60:78">
      <c r="BH1466" s="29"/>
      <c r="BI1466" s="29"/>
      <c r="BJ1466" s="29"/>
      <c r="BK1466" s="29"/>
      <c r="BL1466" s="29"/>
      <c r="BM1466" s="121"/>
      <c r="BN1466" s="121"/>
      <c r="BO1466" s="121"/>
      <c r="BP1466" s="121"/>
      <c r="BQ1466" s="121"/>
      <c r="BR1466" s="121"/>
      <c r="BS1466" s="121"/>
      <c r="BT1466" s="121"/>
      <c r="BU1466" s="121"/>
      <c r="BV1466" s="121"/>
      <c r="BW1466" s="121"/>
      <c r="BX1466" s="121"/>
      <c r="BY1466" s="121"/>
      <c r="BZ1466" s="121"/>
    </row>
    <row r="1467" spans="60:78">
      <c r="BH1467" s="29"/>
      <c r="BI1467" s="29"/>
      <c r="BJ1467" s="29"/>
      <c r="BK1467" s="29"/>
      <c r="BL1467" s="29"/>
      <c r="BM1467" s="121"/>
      <c r="BN1467" s="121"/>
      <c r="BO1467" s="121"/>
      <c r="BP1467" s="121"/>
      <c r="BQ1467" s="121"/>
      <c r="BR1467" s="121"/>
      <c r="BS1467" s="121"/>
      <c r="BT1467" s="121"/>
      <c r="BU1467" s="121"/>
      <c r="BV1467" s="121"/>
      <c r="BW1467" s="121"/>
      <c r="BX1467" s="121"/>
      <c r="BY1467" s="121"/>
      <c r="BZ1467" s="121"/>
    </row>
    <row r="1468" spans="60:78">
      <c r="BH1468" s="29"/>
      <c r="BI1468" s="29"/>
      <c r="BJ1468" s="29"/>
      <c r="BK1468" s="29"/>
      <c r="BL1468" s="29"/>
      <c r="BM1468" s="121"/>
      <c r="BN1468" s="121"/>
      <c r="BO1468" s="121"/>
      <c r="BP1468" s="121"/>
      <c r="BQ1468" s="121"/>
      <c r="BR1468" s="121"/>
      <c r="BS1468" s="121"/>
      <c r="BT1468" s="121"/>
      <c r="BU1468" s="121"/>
      <c r="BV1468" s="121"/>
      <c r="BW1468" s="121"/>
      <c r="BX1468" s="121"/>
      <c r="BY1468" s="121"/>
      <c r="BZ1468" s="121"/>
    </row>
    <row r="1469" spans="60:78">
      <c r="BH1469" s="29"/>
      <c r="BI1469" s="29"/>
      <c r="BJ1469" s="29"/>
      <c r="BK1469" s="29"/>
      <c r="BL1469" s="29"/>
      <c r="BM1469" s="121"/>
      <c r="BN1469" s="121"/>
      <c r="BO1469" s="121"/>
      <c r="BP1469" s="121"/>
      <c r="BQ1469" s="121"/>
      <c r="BR1469" s="121"/>
      <c r="BS1469" s="121"/>
      <c r="BT1469" s="121"/>
      <c r="BU1469" s="121"/>
      <c r="BV1469" s="121"/>
      <c r="BW1469" s="121"/>
      <c r="BX1469" s="121"/>
      <c r="BY1469" s="121"/>
      <c r="BZ1469" s="121"/>
    </row>
    <row r="1470" spans="60:78">
      <c r="BH1470" s="29"/>
      <c r="BI1470" s="29"/>
      <c r="BJ1470" s="29"/>
      <c r="BK1470" s="29"/>
      <c r="BL1470" s="29"/>
      <c r="BM1470" s="121"/>
      <c r="BN1470" s="121"/>
      <c r="BO1470" s="121"/>
      <c r="BP1470" s="121"/>
      <c r="BQ1470" s="121"/>
      <c r="BR1470" s="121"/>
      <c r="BS1470" s="121"/>
      <c r="BT1470" s="121"/>
      <c r="BU1470" s="121"/>
      <c r="BV1470" s="121"/>
      <c r="BW1470" s="121"/>
      <c r="BX1470" s="121"/>
      <c r="BY1470" s="121"/>
      <c r="BZ1470" s="121"/>
    </row>
    <row r="1471" spans="60:78">
      <c r="BH1471" s="29"/>
      <c r="BI1471" s="29"/>
      <c r="BJ1471" s="29"/>
      <c r="BK1471" s="29"/>
      <c r="BL1471" s="29"/>
      <c r="BM1471" s="121"/>
      <c r="BN1471" s="121"/>
      <c r="BO1471" s="121"/>
      <c r="BP1471" s="121"/>
      <c r="BQ1471" s="121"/>
      <c r="BR1471" s="121"/>
      <c r="BS1471" s="121"/>
      <c r="BT1471" s="121"/>
      <c r="BU1471" s="121"/>
      <c r="BV1471" s="121"/>
      <c r="BW1471" s="121"/>
      <c r="BX1471" s="121"/>
      <c r="BY1471" s="121"/>
      <c r="BZ1471" s="121"/>
    </row>
    <row r="1472" spans="60:78">
      <c r="BH1472" s="29"/>
      <c r="BI1472" s="29"/>
      <c r="BJ1472" s="29"/>
      <c r="BK1472" s="29"/>
      <c r="BL1472" s="29"/>
      <c r="BM1472" s="121"/>
      <c r="BN1472" s="121"/>
      <c r="BO1472" s="121"/>
      <c r="BP1472" s="121"/>
      <c r="BQ1472" s="121"/>
      <c r="BR1472" s="121"/>
      <c r="BS1472" s="121"/>
      <c r="BT1472" s="121"/>
      <c r="BU1472" s="121"/>
      <c r="BV1472" s="121"/>
      <c r="BW1472" s="121"/>
      <c r="BX1472" s="121"/>
      <c r="BY1472" s="121"/>
      <c r="BZ1472" s="121"/>
    </row>
    <row r="1473" spans="60:78">
      <c r="BH1473" s="29"/>
      <c r="BI1473" s="29"/>
      <c r="BJ1473" s="29"/>
      <c r="BK1473" s="29"/>
      <c r="BL1473" s="29"/>
      <c r="BM1473" s="121"/>
      <c r="BN1473" s="121"/>
      <c r="BO1473" s="121"/>
      <c r="BP1473" s="121"/>
      <c r="BQ1473" s="121"/>
      <c r="BR1473" s="121"/>
      <c r="BS1473" s="121"/>
      <c r="BT1473" s="121"/>
      <c r="BU1473" s="121"/>
      <c r="BV1473" s="121"/>
      <c r="BW1473" s="121"/>
      <c r="BX1473" s="121"/>
      <c r="BY1473" s="121"/>
      <c r="BZ1473" s="121"/>
    </row>
    <row r="1474" spans="60:78">
      <c r="BH1474" s="29"/>
      <c r="BI1474" s="29"/>
      <c r="BJ1474" s="29"/>
      <c r="BK1474" s="29"/>
      <c r="BL1474" s="29"/>
      <c r="BM1474" s="121"/>
      <c r="BN1474" s="121"/>
      <c r="BO1474" s="121"/>
      <c r="BP1474" s="121"/>
      <c r="BQ1474" s="121"/>
      <c r="BR1474" s="121"/>
      <c r="BS1474" s="121"/>
      <c r="BT1474" s="121"/>
      <c r="BU1474" s="121"/>
      <c r="BV1474" s="121"/>
      <c r="BW1474" s="121"/>
      <c r="BX1474" s="121"/>
      <c r="BY1474" s="121"/>
      <c r="BZ1474" s="121"/>
    </row>
    <row r="1475" spans="60:78">
      <c r="BH1475" s="29"/>
      <c r="BI1475" s="29"/>
      <c r="BJ1475" s="29"/>
      <c r="BK1475" s="29"/>
      <c r="BL1475" s="29"/>
      <c r="BM1475" s="121"/>
      <c r="BN1475" s="121"/>
      <c r="BO1475" s="121"/>
      <c r="BP1475" s="121"/>
      <c r="BQ1475" s="121"/>
      <c r="BR1475" s="121"/>
      <c r="BS1475" s="121"/>
      <c r="BT1475" s="121"/>
      <c r="BU1475" s="121"/>
      <c r="BV1475" s="121"/>
      <c r="BW1475" s="121"/>
      <c r="BX1475" s="121"/>
      <c r="BY1475" s="121"/>
      <c r="BZ1475" s="121"/>
    </row>
    <row r="1476" spans="60:78">
      <c r="BH1476" s="29"/>
      <c r="BI1476" s="29"/>
      <c r="BJ1476" s="29"/>
      <c r="BK1476" s="29"/>
      <c r="BL1476" s="29"/>
      <c r="BM1476" s="121"/>
      <c r="BN1476" s="121"/>
      <c r="BO1476" s="121"/>
      <c r="BP1476" s="121"/>
      <c r="BQ1476" s="121"/>
      <c r="BR1476" s="121"/>
      <c r="BS1476" s="121"/>
      <c r="BT1476" s="121"/>
      <c r="BU1476" s="121"/>
      <c r="BV1476" s="121"/>
      <c r="BW1476" s="121"/>
      <c r="BX1476" s="121"/>
      <c r="BY1476" s="121"/>
      <c r="BZ1476" s="121"/>
    </row>
    <row r="1477" spans="60:78">
      <c r="BH1477" s="29"/>
      <c r="BI1477" s="29"/>
      <c r="BJ1477" s="29"/>
      <c r="BK1477" s="29"/>
      <c r="BL1477" s="29"/>
      <c r="BM1477" s="121"/>
      <c r="BN1477" s="121"/>
      <c r="BO1477" s="121"/>
      <c r="BP1477" s="121"/>
      <c r="BQ1477" s="121"/>
      <c r="BR1477" s="121"/>
      <c r="BS1477" s="121"/>
      <c r="BT1477" s="121"/>
      <c r="BU1477" s="121"/>
      <c r="BV1477" s="121"/>
      <c r="BW1477" s="121"/>
      <c r="BX1477" s="121"/>
      <c r="BY1477" s="121"/>
      <c r="BZ1477" s="121"/>
    </row>
    <row r="1478" spans="60:78">
      <c r="BH1478" s="29"/>
      <c r="BI1478" s="29"/>
      <c r="BJ1478" s="29"/>
      <c r="BK1478" s="29"/>
      <c r="BL1478" s="29"/>
      <c r="BM1478" s="121"/>
      <c r="BN1478" s="121"/>
      <c r="BO1478" s="121"/>
      <c r="BP1478" s="121"/>
      <c r="BQ1478" s="121"/>
      <c r="BR1478" s="121"/>
      <c r="BS1478" s="121"/>
      <c r="BT1478" s="121"/>
      <c r="BU1478" s="121"/>
      <c r="BV1478" s="121"/>
      <c r="BW1478" s="121"/>
      <c r="BX1478" s="121"/>
      <c r="BY1478" s="121"/>
      <c r="BZ1478" s="121"/>
    </row>
    <row r="1479" spans="60:78">
      <c r="BH1479" s="29"/>
      <c r="BI1479" s="29"/>
      <c r="BJ1479" s="29"/>
      <c r="BK1479" s="29"/>
      <c r="BL1479" s="29"/>
      <c r="BM1479" s="121"/>
      <c r="BN1479" s="121"/>
      <c r="BO1479" s="121"/>
      <c r="BP1479" s="121"/>
      <c r="BQ1479" s="121"/>
      <c r="BR1479" s="121"/>
      <c r="BS1479" s="121"/>
      <c r="BT1479" s="121"/>
      <c r="BU1479" s="121"/>
      <c r="BV1479" s="121"/>
      <c r="BW1479" s="121"/>
      <c r="BX1479" s="121"/>
      <c r="BY1479" s="121"/>
      <c r="BZ1479" s="121"/>
    </row>
    <row r="1480" spans="60:78">
      <c r="BH1480" s="29"/>
      <c r="BI1480" s="29"/>
      <c r="BJ1480" s="29"/>
      <c r="BK1480" s="29"/>
      <c r="BL1480" s="29"/>
      <c r="BM1480" s="121"/>
      <c r="BN1480" s="121"/>
      <c r="BO1480" s="121"/>
      <c r="BP1480" s="121"/>
      <c r="BQ1480" s="121"/>
      <c r="BR1480" s="121"/>
      <c r="BS1480" s="121"/>
      <c r="BT1480" s="121"/>
      <c r="BU1480" s="121"/>
      <c r="BV1480" s="121"/>
      <c r="BW1480" s="121"/>
      <c r="BX1480" s="121"/>
      <c r="BY1480" s="121"/>
      <c r="BZ1480" s="121"/>
    </row>
    <row r="1481" spans="60:78">
      <c r="BH1481" s="29"/>
      <c r="BI1481" s="29"/>
      <c r="BJ1481" s="29"/>
      <c r="BK1481" s="29"/>
      <c r="BL1481" s="29"/>
      <c r="BM1481" s="121"/>
      <c r="BN1481" s="121"/>
      <c r="BO1481" s="121"/>
      <c r="BP1481" s="121"/>
      <c r="BQ1481" s="121"/>
      <c r="BR1481" s="121"/>
      <c r="BS1481" s="121"/>
      <c r="BT1481" s="121"/>
      <c r="BU1481" s="121"/>
      <c r="BV1481" s="121"/>
      <c r="BW1481" s="121"/>
      <c r="BX1481" s="121"/>
      <c r="BY1481" s="121"/>
      <c r="BZ1481" s="121"/>
    </row>
    <row r="1482" spans="60:78">
      <c r="BH1482" s="29"/>
      <c r="BI1482" s="29"/>
      <c r="BJ1482" s="29"/>
      <c r="BK1482" s="29"/>
      <c r="BL1482" s="29"/>
      <c r="BM1482" s="121"/>
      <c r="BN1482" s="121"/>
      <c r="BO1482" s="121"/>
      <c r="BP1482" s="121"/>
      <c r="BQ1482" s="121"/>
      <c r="BR1482" s="121"/>
      <c r="BS1482" s="121"/>
      <c r="BT1482" s="121"/>
      <c r="BU1482" s="121"/>
      <c r="BV1482" s="121"/>
      <c r="BW1482" s="121"/>
      <c r="BX1482" s="121"/>
      <c r="BY1482" s="121"/>
      <c r="BZ1482" s="121"/>
    </row>
    <row r="1483" spans="60:78">
      <c r="BH1483" s="29"/>
      <c r="BI1483" s="29"/>
      <c r="BJ1483" s="29"/>
      <c r="BK1483" s="29"/>
      <c r="BL1483" s="29"/>
      <c r="BM1483" s="121"/>
      <c r="BN1483" s="121"/>
      <c r="BO1483" s="121"/>
      <c r="BP1483" s="121"/>
      <c r="BQ1483" s="121"/>
      <c r="BR1483" s="121"/>
      <c r="BS1483" s="121"/>
      <c r="BT1483" s="121"/>
      <c r="BU1483" s="121"/>
      <c r="BV1483" s="121"/>
      <c r="BW1483" s="121"/>
      <c r="BX1483" s="121"/>
      <c r="BY1483" s="121"/>
      <c r="BZ1483" s="121"/>
    </row>
    <row r="1484" spans="60:78">
      <c r="BH1484" s="29"/>
      <c r="BI1484" s="29"/>
      <c r="BJ1484" s="29"/>
      <c r="BK1484" s="29"/>
      <c r="BL1484" s="29"/>
      <c r="BM1484" s="121"/>
      <c r="BN1484" s="121"/>
      <c r="BO1484" s="121"/>
      <c r="BP1484" s="121"/>
      <c r="BQ1484" s="121"/>
      <c r="BR1484" s="121"/>
      <c r="BS1484" s="121"/>
      <c r="BT1484" s="121"/>
      <c r="BU1484" s="121"/>
      <c r="BV1484" s="121"/>
      <c r="BW1484" s="121"/>
      <c r="BX1484" s="121"/>
      <c r="BY1484" s="121"/>
      <c r="BZ1484" s="121"/>
    </row>
    <row r="1485" spans="60:78">
      <c r="BH1485" s="29"/>
      <c r="BI1485" s="29"/>
      <c r="BJ1485" s="29"/>
      <c r="BK1485" s="29"/>
      <c r="BL1485" s="29"/>
      <c r="BM1485" s="121"/>
      <c r="BN1485" s="121"/>
      <c r="BO1485" s="121"/>
      <c r="BP1485" s="121"/>
      <c r="BQ1485" s="121"/>
      <c r="BR1485" s="121"/>
      <c r="BS1485" s="121"/>
      <c r="BT1485" s="121"/>
      <c r="BU1485" s="121"/>
      <c r="BV1485" s="121"/>
      <c r="BW1485" s="121"/>
      <c r="BX1485" s="121"/>
      <c r="BY1485" s="121"/>
      <c r="BZ1485" s="121"/>
    </row>
    <row r="1486" spans="60:78">
      <c r="BH1486" s="29"/>
      <c r="BI1486" s="29"/>
      <c r="BJ1486" s="29"/>
      <c r="BK1486" s="29"/>
      <c r="BL1486" s="29"/>
      <c r="BM1486" s="121"/>
      <c r="BN1486" s="121"/>
      <c r="BO1486" s="121"/>
      <c r="BP1486" s="121"/>
      <c r="BQ1486" s="121"/>
      <c r="BR1486" s="121"/>
      <c r="BS1486" s="121"/>
      <c r="BT1486" s="121"/>
      <c r="BU1486" s="121"/>
      <c r="BV1486" s="121"/>
      <c r="BW1486" s="121"/>
      <c r="BX1486" s="121"/>
      <c r="BY1486" s="121"/>
      <c r="BZ1486" s="121"/>
    </row>
    <row r="1487" spans="60:78">
      <c r="BH1487" s="29"/>
      <c r="BI1487" s="29"/>
      <c r="BJ1487" s="29"/>
      <c r="BK1487" s="29"/>
      <c r="BL1487" s="29"/>
      <c r="BM1487" s="121"/>
      <c r="BN1487" s="121"/>
      <c r="BO1487" s="121"/>
      <c r="BP1487" s="121"/>
      <c r="BQ1487" s="121"/>
      <c r="BR1487" s="121"/>
      <c r="BS1487" s="121"/>
      <c r="BT1487" s="121"/>
      <c r="BU1487" s="121"/>
      <c r="BV1487" s="121"/>
      <c r="BW1487" s="121"/>
      <c r="BX1487" s="121"/>
      <c r="BY1487" s="121"/>
      <c r="BZ1487" s="121"/>
    </row>
    <row r="1488" spans="60:78">
      <c r="BH1488" s="29"/>
      <c r="BI1488" s="29"/>
      <c r="BJ1488" s="29"/>
      <c r="BK1488" s="29"/>
      <c r="BL1488" s="29"/>
      <c r="BM1488" s="121"/>
      <c r="BN1488" s="121"/>
      <c r="BO1488" s="121"/>
      <c r="BP1488" s="121"/>
      <c r="BQ1488" s="121"/>
      <c r="BR1488" s="121"/>
      <c r="BS1488" s="121"/>
      <c r="BT1488" s="121"/>
      <c r="BU1488" s="121"/>
      <c r="BV1488" s="121"/>
      <c r="BW1488" s="121"/>
      <c r="BX1488" s="121"/>
      <c r="BY1488" s="121"/>
      <c r="BZ1488" s="121"/>
    </row>
    <row r="1489" spans="60:78">
      <c r="BH1489" s="29"/>
      <c r="BI1489" s="29"/>
      <c r="BJ1489" s="29"/>
      <c r="BK1489" s="29"/>
      <c r="BL1489" s="29"/>
      <c r="BM1489" s="121"/>
      <c r="BN1489" s="121"/>
      <c r="BO1489" s="121"/>
      <c r="BP1489" s="121"/>
      <c r="BQ1489" s="121"/>
      <c r="BR1489" s="121"/>
      <c r="BS1489" s="121"/>
      <c r="BT1489" s="121"/>
      <c r="BU1489" s="121"/>
      <c r="BV1489" s="121"/>
      <c r="BW1489" s="121"/>
      <c r="BX1489" s="121"/>
      <c r="BY1489" s="121"/>
      <c r="BZ1489" s="121"/>
    </row>
    <row r="1490" spans="60:78">
      <c r="BH1490" s="29"/>
      <c r="BI1490" s="29"/>
      <c r="BJ1490" s="29"/>
      <c r="BK1490" s="29"/>
      <c r="BL1490" s="29"/>
      <c r="BM1490" s="121"/>
      <c r="BN1490" s="121"/>
      <c r="BO1490" s="121"/>
      <c r="BP1490" s="121"/>
      <c r="BQ1490" s="121"/>
      <c r="BR1490" s="121"/>
      <c r="BS1490" s="121"/>
      <c r="BT1490" s="121"/>
      <c r="BU1490" s="121"/>
      <c r="BV1490" s="121"/>
      <c r="BW1490" s="121"/>
      <c r="BX1490" s="121"/>
      <c r="BY1490" s="121"/>
      <c r="BZ1490" s="121"/>
    </row>
    <row r="1491" spans="60:78">
      <c r="BH1491" s="29"/>
      <c r="BI1491" s="29"/>
      <c r="BJ1491" s="29"/>
      <c r="BK1491" s="29"/>
      <c r="BL1491" s="29"/>
      <c r="BM1491" s="121"/>
      <c r="BN1491" s="121"/>
      <c r="BO1491" s="121"/>
      <c r="BP1491" s="121"/>
      <c r="BQ1491" s="121"/>
      <c r="BR1491" s="121"/>
      <c r="BS1491" s="121"/>
      <c r="BT1491" s="121"/>
      <c r="BU1491" s="121"/>
      <c r="BV1491" s="121"/>
      <c r="BW1491" s="121"/>
      <c r="BX1491" s="121"/>
      <c r="BY1491" s="121"/>
      <c r="BZ1491" s="121"/>
    </row>
    <row r="1492" spans="60:78">
      <c r="BH1492" s="29"/>
      <c r="BI1492" s="29"/>
      <c r="BJ1492" s="29"/>
      <c r="BK1492" s="29"/>
      <c r="BL1492" s="29"/>
      <c r="BM1492" s="121"/>
      <c r="BN1492" s="121"/>
      <c r="BO1492" s="121"/>
      <c r="BP1492" s="121"/>
      <c r="BQ1492" s="121"/>
      <c r="BR1492" s="121"/>
      <c r="BS1492" s="121"/>
      <c r="BT1492" s="121"/>
      <c r="BU1492" s="121"/>
      <c r="BV1492" s="121"/>
      <c r="BW1492" s="121"/>
      <c r="BX1492" s="121"/>
      <c r="BY1492" s="121"/>
      <c r="BZ1492" s="121"/>
    </row>
    <row r="1493" spans="60:78">
      <c r="BH1493" s="29"/>
      <c r="BI1493" s="29"/>
      <c r="BJ1493" s="29"/>
      <c r="BK1493" s="29"/>
      <c r="BL1493" s="29"/>
      <c r="BM1493" s="121"/>
      <c r="BN1493" s="121"/>
      <c r="BO1493" s="121"/>
      <c r="BP1493" s="121"/>
      <c r="BQ1493" s="121"/>
      <c r="BR1493" s="121"/>
      <c r="BS1493" s="121"/>
      <c r="BT1493" s="121"/>
      <c r="BU1493" s="121"/>
      <c r="BV1493" s="121"/>
      <c r="BW1493" s="121"/>
      <c r="BX1493" s="121"/>
      <c r="BY1493" s="121"/>
      <c r="BZ1493" s="121"/>
    </row>
    <row r="1494" spans="60:78">
      <c r="BH1494" s="29"/>
      <c r="BI1494" s="29"/>
      <c r="BJ1494" s="29"/>
      <c r="BK1494" s="29"/>
      <c r="BL1494" s="29"/>
      <c r="BM1494" s="121"/>
      <c r="BN1494" s="121"/>
      <c r="BO1494" s="121"/>
      <c r="BP1494" s="121"/>
      <c r="BQ1494" s="121"/>
      <c r="BR1494" s="121"/>
      <c r="BS1494" s="121"/>
      <c r="BT1494" s="121"/>
      <c r="BU1494" s="121"/>
      <c r="BV1494" s="121"/>
      <c r="BW1494" s="121"/>
      <c r="BX1494" s="121"/>
      <c r="BY1494" s="121"/>
      <c r="BZ1494" s="121"/>
    </row>
    <row r="1495" spans="60:78">
      <c r="BH1495" s="29"/>
      <c r="BI1495" s="29"/>
      <c r="BJ1495" s="29"/>
      <c r="BK1495" s="29"/>
      <c r="BL1495" s="29"/>
      <c r="BM1495" s="121"/>
      <c r="BN1495" s="121"/>
      <c r="BO1495" s="121"/>
      <c r="BP1495" s="121"/>
      <c r="BQ1495" s="121"/>
      <c r="BR1495" s="121"/>
      <c r="BS1495" s="121"/>
      <c r="BT1495" s="121"/>
      <c r="BU1495" s="121"/>
      <c r="BV1495" s="121"/>
      <c r="BW1495" s="121"/>
      <c r="BX1495" s="121"/>
      <c r="BY1495" s="121"/>
      <c r="BZ1495" s="121"/>
    </row>
    <row r="1496" spans="60:78">
      <c r="BH1496" s="29"/>
      <c r="BI1496" s="29"/>
      <c r="BJ1496" s="29"/>
      <c r="BK1496" s="29"/>
      <c r="BL1496" s="29"/>
      <c r="BM1496" s="121"/>
      <c r="BN1496" s="121"/>
      <c r="BO1496" s="121"/>
      <c r="BP1496" s="121"/>
      <c r="BQ1496" s="121"/>
      <c r="BR1496" s="121"/>
      <c r="BS1496" s="121"/>
      <c r="BT1496" s="121"/>
      <c r="BU1496" s="121"/>
      <c r="BV1496" s="121"/>
      <c r="BW1496" s="121"/>
      <c r="BX1496" s="121"/>
      <c r="BY1496" s="121"/>
      <c r="BZ1496" s="121"/>
    </row>
    <row r="1497" spans="60:78">
      <c r="BH1497" s="29"/>
      <c r="BI1497" s="29"/>
      <c r="BJ1497" s="29"/>
      <c r="BK1497" s="29"/>
      <c r="BL1497" s="29"/>
      <c r="BM1497" s="121"/>
      <c r="BN1497" s="121"/>
      <c r="BO1497" s="121"/>
      <c r="BP1497" s="121"/>
      <c r="BQ1497" s="121"/>
      <c r="BR1497" s="121"/>
      <c r="BS1497" s="121"/>
      <c r="BT1497" s="121"/>
      <c r="BU1497" s="121"/>
      <c r="BV1497" s="121"/>
      <c r="BW1497" s="121"/>
      <c r="BX1497" s="121"/>
      <c r="BY1497" s="121"/>
      <c r="BZ1497" s="121"/>
    </row>
    <row r="1498" spans="60:78">
      <c r="BH1498" s="29"/>
      <c r="BI1498" s="29"/>
      <c r="BJ1498" s="29"/>
      <c r="BK1498" s="29"/>
      <c r="BL1498" s="29"/>
      <c r="BM1498" s="121"/>
      <c r="BN1498" s="121"/>
      <c r="BO1498" s="121"/>
      <c r="BP1498" s="121"/>
      <c r="BQ1498" s="121"/>
      <c r="BR1498" s="121"/>
      <c r="BS1498" s="121"/>
      <c r="BT1498" s="121"/>
      <c r="BU1498" s="121"/>
      <c r="BV1498" s="121"/>
      <c r="BW1498" s="121"/>
      <c r="BX1498" s="121"/>
      <c r="BY1498" s="121"/>
      <c r="BZ1498" s="121"/>
    </row>
    <row r="1499" spans="60:78">
      <c r="BH1499" s="29"/>
      <c r="BI1499" s="29"/>
      <c r="BJ1499" s="29"/>
      <c r="BK1499" s="29"/>
      <c r="BL1499" s="29"/>
      <c r="BM1499" s="121"/>
      <c r="BN1499" s="121"/>
      <c r="BO1499" s="121"/>
      <c r="BP1499" s="121"/>
      <c r="BQ1499" s="121"/>
      <c r="BR1499" s="121"/>
      <c r="BS1499" s="121"/>
      <c r="BT1499" s="121"/>
      <c r="BU1499" s="121"/>
      <c r="BV1499" s="121"/>
      <c r="BW1499" s="121"/>
      <c r="BX1499" s="121"/>
      <c r="BY1499" s="121"/>
      <c r="BZ1499" s="121"/>
    </row>
    <row r="1500" spans="60:78">
      <c r="BH1500" s="29"/>
      <c r="BI1500" s="29"/>
      <c r="BJ1500" s="29"/>
      <c r="BK1500" s="29"/>
      <c r="BL1500" s="29"/>
      <c r="BM1500" s="121"/>
      <c r="BN1500" s="121"/>
      <c r="BO1500" s="121"/>
      <c r="BP1500" s="121"/>
      <c r="BQ1500" s="121"/>
      <c r="BR1500" s="121"/>
      <c r="BS1500" s="121"/>
      <c r="BT1500" s="121"/>
      <c r="BU1500" s="121"/>
      <c r="BV1500" s="121"/>
      <c r="BW1500" s="121"/>
      <c r="BX1500" s="121"/>
      <c r="BY1500" s="121"/>
      <c r="BZ1500" s="121"/>
    </row>
    <row r="1501" spans="60:78">
      <c r="BH1501" s="29"/>
      <c r="BI1501" s="29"/>
      <c r="BJ1501" s="29"/>
      <c r="BK1501" s="29"/>
      <c r="BL1501" s="29"/>
      <c r="BM1501" s="121"/>
      <c r="BN1501" s="121"/>
      <c r="BO1501" s="121"/>
      <c r="BP1501" s="121"/>
      <c r="BQ1501" s="121"/>
      <c r="BR1501" s="121"/>
      <c r="BS1501" s="121"/>
      <c r="BT1501" s="121"/>
      <c r="BU1501" s="121"/>
      <c r="BV1501" s="121"/>
      <c r="BW1501" s="121"/>
      <c r="BX1501" s="121"/>
      <c r="BY1501" s="121"/>
      <c r="BZ1501" s="121"/>
    </row>
    <row r="1502" spans="60:78">
      <c r="BH1502" s="29"/>
      <c r="BI1502" s="29"/>
      <c r="BJ1502" s="29"/>
      <c r="BK1502" s="29"/>
      <c r="BL1502" s="29"/>
      <c r="BM1502" s="121"/>
      <c r="BN1502" s="121"/>
      <c r="BO1502" s="121"/>
      <c r="BP1502" s="121"/>
      <c r="BQ1502" s="121"/>
      <c r="BR1502" s="121"/>
      <c r="BS1502" s="121"/>
      <c r="BT1502" s="121"/>
      <c r="BU1502" s="121"/>
      <c r="BV1502" s="121"/>
      <c r="BW1502" s="121"/>
      <c r="BX1502" s="121"/>
      <c r="BY1502" s="121"/>
      <c r="BZ1502" s="121"/>
    </row>
    <row r="1503" spans="60:78">
      <c r="BH1503" s="29"/>
      <c r="BI1503" s="29"/>
      <c r="BJ1503" s="29"/>
      <c r="BK1503" s="29"/>
      <c r="BL1503" s="29"/>
      <c r="BM1503" s="121"/>
      <c r="BN1503" s="121"/>
      <c r="BO1503" s="121"/>
      <c r="BP1503" s="121"/>
      <c r="BQ1503" s="121"/>
      <c r="BR1503" s="121"/>
      <c r="BS1503" s="121"/>
      <c r="BT1503" s="121"/>
      <c r="BU1503" s="121"/>
      <c r="BV1503" s="121"/>
      <c r="BW1503" s="121"/>
      <c r="BX1503" s="121"/>
      <c r="BY1503" s="121"/>
      <c r="BZ1503" s="121"/>
    </row>
    <row r="1504" spans="60:78">
      <c r="BH1504" s="29"/>
      <c r="BI1504" s="29"/>
      <c r="BJ1504" s="29"/>
      <c r="BK1504" s="29"/>
      <c r="BL1504" s="29"/>
      <c r="BM1504" s="121"/>
      <c r="BN1504" s="121"/>
      <c r="BO1504" s="121"/>
      <c r="BP1504" s="121"/>
      <c r="BQ1504" s="121"/>
      <c r="BR1504" s="121"/>
      <c r="BS1504" s="121"/>
      <c r="BT1504" s="121"/>
      <c r="BU1504" s="121"/>
      <c r="BV1504" s="121"/>
      <c r="BW1504" s="121"/>
      <c r="BX1504" s="121"/>
      <c r="BY1504" s="121"/>
      <c r="BZ1504" s="121"/>
    </row>
    <row r="1505" spans="60:78">
      <c r="BH1505" s="29"/>
      <c r="BI1505" s="29"/>
      <c r="BJ1505" s="29"/>
      <c r="BK1505" s="29"/>
      <c r="BL1505" s="29"/>
      <c r="BM1505" s="121"/>
      <c r="BN1505" s="121"/>
      <c r="BO1505" s="121"/>
      <c r="BP1505" s="121"/>
      <c r="BQ1505" s="121"/>
      <c r="BR1505" s="121"/>
      <c r="BS1505" s="121"/>
      <c r="BT1505" s="121"/>
      <c r="BU1505" s="121"/>
      <c r="BV1505" s="121"/>
      <c r="BW1505" s="121"/>
      <c r="BX1505" s="121"/>
      <c r="BY1505" s="121"/>
      <c r="BZ1505" s="121"/>
    </row>
    <row r="1506" spans="60:78">
      <c r="BH1506" s="29"/>
      <c r="BI1506" s="29"/>
      <c r="BJ1506" s="29"/>
      <c r="BK1506" s="29"/>
      <c r="BL1506" s="29"/>
      <c r="BM1506" s="121"/>
      <c r="BN1506" s="121"/>
      <c r="BO1506" s="121"/>
      <c r="BP1506" s="121"/>
      <c r="BQ1506" s="121"/>
      <c r="BR1506" s="121"/>
      <c r="BS1506" s="121"/>
      <c r="BT1506" s="121"/>
      <c r="BU1506" s="121"/>
      <c r="BV1506" s="121"/>
      <c r="BW1506" s="121"/>
      <c r="BX1506" s="121"/>
      <c r="BY1506" s="121"/>
      <c r="BZ1506" s="121"/>
    </row>
    <row r="1507" spans="60:78">
      <c r="BH1507" s="29"/>
      <c r="BI1507" s="29"/>
      <c r="BJ1507" s="29"/>
      <c r="BK1507" s="29"/>
      <c r="BL1507" s="29"/>
      <c r="BM1507" s="121"/>
      <c r="BN1507" s="121"/>
      <c r="BO1507" s="121"/>
      <c r="BP1507" s="121"/>
      <c r="BQ1507" s="121"/>
      <c r="BR1507" s="121"/>
      <c r="BS1507" s="121"/>
      <c r="BT1507" s="121"/>
      <c r="BU1507" s="121"/>
      <c r="BV1507" s="121"/>
      <c r="BW1507" s="121"/>
      <c r="BX1507" s="121"/>
      <c r="BY1507" s="121"/>
      <c r="BZ1507" s="121"/>
    </row>
    <row r="1508" spans="60:78">
      <c r="BH1508" s="29"/>
      <c r="BI1508" s="29"/>
      <c r="BJ1508" s="29"/>
      <c r="BK1508" s="29"/>
      <c r="BL1508" s="29"/>
      <c r="BM1508" s="121"/>
      <c r="BN1508" s="121"/>
      <c r="BO1508" s="121"/>
      <c r="BP1508" s="121"/>
      <c r="BQ1508" s="121"/>
      <c r="BR1508" s="121"/>
      <c r="BS1508" s="121"/>
      <c r="BT1508" s="121"/>
      <c r="BU1508" s="121"/>
      <c r="BV1508" s="121"/>
      <c r="BW1508" s="121"/>
      <c r="BX1508" s="121"/>
      <c r="BY1508" s="121"/>
      <c r="BZ1508" s="121"/>
    </row>
    <row r="1509" spans="60:78">
      <c r="BH1509" s="29"/>
      <c r="BI1509" s="29"/>
      <c r="BJ1509" s="29"/>
      <c r="BK1509" s="29"/>
      <c r="BL1509" s="29"/>
      <c r="BM1509" s="121"/>
      <c r="BN1509" s="121"/>
      <c r="BO1509" s="121"/>
      <c r="BP1509" s="121"/>
      <c r="BQ1509" s="121"/>
      <c r="BR1509" s="121"/>
      <c r="BS1509" s="121"/>
      <c r="BT1509" s="121"/>
      <c r="BU1509" s="121"/>
      <c r="BV1509" s="121"/>
      <c r="BW1509" s="121"/>
      <c r="BX1509" s="121"/>
      <c r="BY1509" s="121"/>
      <c r="BZ1509" s="121"/>
    </row>
    <row r="1510" spans="60:78">
      <c r="BH1510" s="29"/>
      <c r="BI1510" s="29"/>
      <c r="BJ1510" s="29"/>
      <c r="BK1510" s="29"/>
      <c r="BL1510" s="29"/>
      <c r="BM1510" s="121"/>
      <c r="BN1510" s="121"/>
      <c r="BO1510" s="121"/>
      <c r="BP1510" s="121"/>
      <c r="BQ1510" s="121"/>
      <c r="BR1510" s="121"/>
      <c r="BS1510" s="121"/>
      <c r="BT1510" s="121"/>
      <c r="BU1510" s="121"/>
      <c r="BV1510" s="121"/>
      <c r="BW1510" s="121"/>
      <c r="BX1510" s="121"/>
      <c r="BY1510" s="121"/>
      <c r="BZ1510" s="121"/>
    </row>
    <row r="1511" spans="60:78">
      <c r="BH1511" s="29"/>
      <c r="BI1511" s="29"/>
      <c r="BJ1511" s="29"/>
      <c r="BK1511" s="29"/>
      <c r="BL1511" s="29"/>
      <c r="BM1511" s="121"/>
      <c r="BN1511" s="121"/>
      <c r="BO1511" s="121"/>
      <c r="BP1511" s="121"/>
      <c r="BQ1511" s="121"/>
      <c r="BR1511" s="121"/>
      <c r="BS1511" s="121"/>
      <c r="BT1511" s="121"/>
      <c r="BU1511" s="121"/>
      <c r="BV1511" s="121"/>
      <c r="BW1511" s="121"/>
      <c r="BX1511" s="121"/>
      <c r="BY1511" s="121"/>
      <c r="BZ1511" s="121"/>
    </row>
    <row r="1512" spans="60:78">
      <c r="BH1512" s="29"/>
      <c r="BI1512" s="29"/>
      <c r="BJ1512" s="29"/>
      <c r="BK1512" s="29"/>
      <c r="BL1512" s="29"/>
      <c r="BM1512" s="121"/>
      <c r="BN1512" s="121"/>
      <c r="BO1512" s="121"/>
      <c r="BP1512" s="121"/>
      <c r="BQ1512" s="121"/>
      <c r="BR1512" s="121"/>
      <c r="BS1512" s="121"/>
      <c r="BT1512" s="121"/>
      <c r="BU1512" s="121"/>
      <c r="BV1512" s="121"/>
      <c r="BW1512" s="121"/>
      <c r="BX1512" s="121"/>
      <c r="BY1512" s="121"/>
      <c r="BZ1512" s="121"/>
    </row>
    <row r="1513" spans="60:78">
      <c r="BH1513" s="29"/>
      <c r="BI1513" s="29"/>
      <c r="BJ1513" s="29"/>
      <c r="BK1513" s="29"/>
      <c r="BL1513" s="29"/>
      <c r="BM1513" s="121"/>
      <c r="BN1513" s="121"/>
      <c r="BO1513" s="121"/>
      <c r="BP1513" s="121"/>
      <c r="BQ1513" s="121"/>
      <c r="BR1513" s="121"/>
      <c r="BS1513" s="121"/>
      <c r="BT1513" s="121"/>
      <c r="BU1513" s="121"/>
      <c r="BV1513" s="121"/>
      <c r="BW1513" s="121"/>
      <c r="BX1513" s="121"/>
      <c r="BY1513" s="121"/>
      <c r="BZ1513" s="121"/>
    </row>
    <row r="1514" spans="60:78">
      <c r="BH1514" s="29"/>
      <c r="BI1514" s="29"/>
      <c r="BJ1514" s="29"/>
      <c r="BK1514" s="29"/>
      <c r="BL1514" s="29"/>
      <c r="BM1514" s="121"/>
      <c r="BN1514" s="121"/>
      <c r="BO1514" s="121"/>
      <c r="BP1514" s="121"/>
      <c r="BQ1514" s="121"/>
      <c r="BR1514" s="121"/>
      <c r="BS1514" s="121"/>
      <c r="BT1514" s="121"/>
      <c r="BU1514" s="121"/>
      <c r="BV1514" s="121"/>
      <c r="BW1514" s="121"/>
      <c r="BX1514" s="121"/>
      <c r="BY1514" s="121"/>
      <c r="BZ1514" s="121"/>
    </row>
    <row r="1515" spans="60:78">
      <c r="BH1515" s="29"/>
      <c r="BI1515" s="29"/>
      <c r="BJ1515" s="29"/>
      <c r="BK1515" s="29"/>
      <c r="BL1515" s="29"/>
      <c r="BM1515" s="121"/>
      <c r="BN1515" s="121"/>
      <c r="BO1515" s="121"/>
      <c r="BP1515" s="121"/>
      <c r="BQ1515" s="121"/>
      <c r="BR1515" s="121"/>
      <c r="BS1515" s="121"/>
      <c r="BT1515" s="121"/>
      <c r="BU1515" s="121"/>
      <c r="BV1515" s="121"/>
      <c r="BW1515" s="121"/>
      <c r="BX1515" s="121"/>
      <c r="BY1515" s="121"/>
      <c r="BZ1515" s="121"/>
    </row>
    <row r="1516" spans="60:78">
      <c r="BH1516" s="29"/>
      <c r="BI1516" s="29"/>
      <c r="BJ1516" s="29"/>
      <c r="BK1516" s="29"/>
      <c r="BL1516" s="29"/>
      <c r="BM1516" s="121"/>
      <c r="BN1516" s="121"/>
      <c r="BO1516" s="121"/>
      <c r="BP1516" s="121"/>
      <c r="BQ1516" s="121"/>
      <c r="BR1516" s="121"/>
      <c r="BS1516" s="121"/>
      <c r="BT1516" s="121"/>
      <c r="BU1516" s="121"/>
      <c r="BV1516" s="121"/>
      <c r="BW1516" s="121"/>
      <c r="BX1516" s="121"/>
      <c r="BY1516" s="121"/>
      <c r="BZ1516" s="121"/>
    </row>
    <row r="1517" spans="60:78">
      <c r="BH1517" s="29"/>
      <c r="BI1517" s="29"/>
      <c r="BJ1517" s="29"/>
      <c r="BK1517" s="29"/>
      <c r="BL1517" s="29"/>
      <c r="BM1517" s="121"/>
      <c r="BN1517" s="121"/>
      <c r="BO1517" s="121"/>
      <c r="BP1517" s="121"/>
      <c r="BQ1517" s="121"/>
      <c r="BR1517" s="121"/>
      <c r="BS1517" s="121"/>
      <c r="BT1517" s="121"/>
      <c r="BU1517" s="121"/>
      <c r="BV1517" s="121"/>
      <c r="BW1517" s="121"/>
      <c r="BX1517" s="121"/>
      <c r="BY1517" s="121"/>
      <c r="BZ1517" s="121"/>
    </row>
    <row r="1518" spans="60:78">
      <c r="BH1518" s="29"/>
      <c r="BI1518" s="29"/>
      <c r="BJ1518" s="29"/>
      <c r="BK1518" s="29"/>
      <c r="BL1518" s="29"/>
      <c r="BM1518" s="121"/>
      <c r="BN1518" s="121"/>
      <c r="BO1518" s="121"/>
      <c r="BP1518" s="121"/>
      <c r="BQ1518" s="121"/>
      <c r="BR1518" s="121"/>
      <c r="BS1518" s="121"/>
      <c r="BT1518" s="121"/>
      <c r="BU1518" s="121"/>
      <c r="BV1518" s="121"/>
      <c r="BW1518" s="121"/>
      <c r="BX1518" s="121"/>
      <c r="BY1518" s="121"/>
      <c r="BZ1518" s="121"/>
    </row>
    <row r="1519" spans="60:78">
      <c r="BH1519" s="29"/>
      <c r="BI1519" s="29"/>
      <c r="BJ1519" s="29"/>
      <c r="BK1519" s="29"/>
      <c r="BL1519" s="29"/>
      <c r="BM1519" s="121"/>
      <c r="BN1519" s="121"/>
      <c r="BO1519" s="121"/>
      <c r="BP1519" s="121"/>
      <c r="BQ1519" s="121"/>
      <c r="BR1519" s="121"/>
      <c r="BS1519" s="121"/>
      <c r="BT1519" s="121"/>
      <c r="BU1519" s="121"/>
      <c r="BV1519" s="121"/>
      <c r="BW1519" s="121"/>
      <c r="BX1519" s="121"/>
      <c r="BY1519" s="121"/>
      <c r="BZ1519" s="121"/>
    </row>
    <row r="1520" spans="60:78">
      <c r="BH1520" s="29"/>
      <c r="BI1520" s="29"/>
      <c r="BJ1520" s="29"/>
      <c r="BK1520" s="29"/>
      <c r="BL1520" s="29"/>
      <c r="BM1520" s="121"/>
      <c r="BN1520" s="121"/>
      <c r="BO1520" s="121"/>
      <c r="BP1520" s="121"/>
      <c r="BQ1520" s="121"/>
      <c r="BR1520" s="121"/>
      <c r="BS1520" s="121"/>
      <c r="BT1520" s="121"/>
      <c r="BU1520" s="121"/>
      <c r="BV1520" s="121"/>
      <c r="BW1520" s="121"/>
      <c r="BX1520" s="121"/>
      <c r="BY1520" s="121"/>
      <c r="BZ1520" s="121"/>
    </row>
    <row r="1521" spans="60:78">
      <c r="BH1521" s="29"/>
      <c r="BI1521" s="29"/>
      <c r="BJ1521" s="29"/>
      <c r="BK1521" s="29"/>
      <c r="BL1521" s="29"/>
      <c r="BM1521" s="121"/>
      <c r="BN1521" s="121"/>
      <c r="BO1521" s="121"/>
      <c r="BP1521" s="121"/>
      <c r="BQ1521" s="121"/>
      <c r="BR1521" s="121"/>
      <c r="BS1521" s="121"/>
      <c r="BT1521" s="121"/>
      <c r="BU1521" s="121"/>
      <c r="BV1521" s="121"/>
      <c r="BW1521" s="121"/>
      <c r="BX1521" s="121"/>
      <c r="BY1521" s="121"/>
      <c r="BZ1521" s="121"/>
    </row>
    <row r="1522" spans="60:78">
      <c r="BH1522" s="29"/>
      <c r="BI1522" s="29"/>
      <c r="BJ1522" s="29"/>
      <c r="BK1522" s="29"/>
      <c r="BL1522" s="29"/>
      <c r="BM1522" s="121"/>
      <c r="BN1522" s="121"/>
      <c r="BO1522" s="121"/>
      <c r="BP1522" s="121"/>
      <c r="BQ1522" s="121"/>
      <c r="BR1522" s="121"/>
      <c r="BS1522" s="121"/>
      <c r="BT1522" s="121"/>
      <c r="BU1522" s="121"/>
      <c r="BV1522" s="121"/>
      <c r="BW1522" s="121"/>
      <c r="BX1522" s="121"/>
      <c r="BY1522" s="121"/>
      <c r="BZ1522" s="121"/>
    </row>
  </sheetData>
  <mergeCells count="95">
    <mergeCell ref="M126:X127"/>
    <mergeCell ref="U70:W70"/>
    <mergeCell ref="U71:W71"/>
    <mergeCell ref="AY21:AY22"/>
    <mergeCell ref="BN21:BN22"/>
    <mergeCell ref="U69:W69"/>
    <mergeCell ref="T58:T59"/>
    <mergeCell ref="P69:S69"/>
    <mergeCell ref="P70:S70"/>
    <mergeCell ref="U68:W68"/>
    <mergeCell ref="EA19:EG20"/>
    <mergeCell ref="EH19:ES20"/>
    <mergeCell ref="P109:P110"/>
    <mergeCell ref="S109:S110"/>
    <mergeCell ref="T55:V55"/>
    <mergeCell ref="P105:P106"/>
    <mergeCell ref="S105:S106"/>
    <mergeCell ref="U73:W73"/>
    <mergeCell ref="U74:W74"/>
    <mergeCell ref="U75:W75"/>
    <mergeCell ref="O58:P59"/>
    <mergeCell ref="M77:O77"/>
    <mergeCell ref="Q64:Q65"/>
    <mergeCell ref="M67:O67"/>
    <mergeCell ref="P68:S68"/>
    <mergeCell ref="AD19:AH20"/>
    <mergeCell ref="AI19:AM20"/>
    <mergeCell ref="BA19:BG20"/>
    <mergeCell ref="AB21:AB22"/>
    <mergeCell ref="BA21:BA22"/>
    <mergeCell ref="AL21:AL22"/>
    <mergeCell ref="AM21:AM22"/>
    <mergeCell ref="AN21:AN22"/>
    <mergeCell ref="AN19:AV20"/>
    <mergeCell ref="AW19:AX20"/>
    <mergeCell ref="AY19:AZ20"/>
    <mergeCell ref="AW21:AW22"/>
    <mergeCell ref="M13:O13"/>
    <mergeCell ref="U58:U59"/>
    <mergeCell ref="O61:P61"/>
    <mergeCell ref="Q58:Q59"/>
    <mergeCell ref="N55:O55"/>
    <mergeCell ref="P55:R55"/>
    <mergeCell ref="O60:P60"/>
    <mergeCell ref="N52:O52"/>
    <mergeCell ref="N53:O53"/>
    <mergeCell ref="N54:O54"/>
    <mergeCell ref="R58:R59"/>
    <mergeCell ref="S58:S59"/>
    <mergeCell ref="A11:J11"/>
    <mergeCell ref="C44:C45"/>
    <mergeCell ref="G43:I43"/>
    <mergeCell ref="P75:S75"/>
    <mergeCell ref="P74:S74"/>
    <mergeCell ref="P73:S73"/>
    <mergeCell ref="S64:T65"/>
    <mergeCell ref="S66:T66"/>
    <mergeCell ref="P71:S71"/>
    <mergeCell ref="P72:S72"/>
    <mergeCell ref="A43:D43"/>
    <mergeCell ref="E44:F44"/>
    <mergeCell ref="J44:K44"/>
    <mergeCell ref="M11:U12"/>
    <mergeCell ref="U72:W72"/>
    <mergeCell ref="V11:X12"/>
    <mergeCell ref="BH19:BS20"/>
    <mergeCell ref="BX19:BZ20"/>
    <mergeCell ref="BY21:BY22"/>
    <mergeCell ref="BZ21:BZ22"/>
    <mergeCell ref="DN19:DV20"/>
    <mergeCell ref="BT19:BW20"/>
    <mergeCell ref="DB21:DB22"/>
    <mergeCell ref="DN21:DN22"/>
    <mergeCell ref="DD19:DH20"/>
    <mergeCell ref="DI19:DM20"/>
    <mergeCell ref="BV21:BV22"/>
    <mergeCell ref="BS21:BS22"/>
    <mergeCell ref="BW21:BW22"/>
    <mergeCell ref="BR21:BR22"/>
    <mergeCell ref="ET19:EW20"/>
    <mergeCell ref="EX19:EZ20"/>
    <mergeCell ref="DL21:DL22"/>
    <mergeCell ref="DM21:DM22"/>
    <mergeCell ref="DW21:DW22"/>
    <mergeCell ref="DY21:DY22"/>
    <mergeCell ref="EA21:EA22"/>
    <mergeCell ref="EN21:EN22"/>
    <mergeCell ref="ER21:ER22"/>
    <mergeCell ref="ES21:ES22"/>
    <mergeCell ref="EV21:EV22"/>
    <mergeCell ref="EW21:EW22"/>
    <mergeCell ref="EY21:EY22"/>
    <mergeCell ref="EZ21:EZ22"/>
    <mergeCell ref="DW19:DX20"/>
    <mergeCell ref="DY19:DZ20"/>
  </mergeCells>
  <phoneticPr fontId="26" type="noConversion"/>
  <conditionalFormatting sqref="X85 X92 X102 X116 X142 X146 X148 X158 X162 X164 X167:X168 EW24:EW197 EZ24:EZ197 BS23:BS394 BW23:BW394 BZ23:BZ394">
    <cfRule type="containsText" dxfId="24" priority="66" operator="containsText" text="OK">
      <formula>NOT(ISERROR(SEARCH("OK",X23)))</formula>
    </cfRule>
  </conditionalFormatting>
  <conditionalFormatting sqref="X85 X92 X102 X116 X142 X146 X148 X158 X162 X164 X167:X168 EW24:EW197 EZ24:EZ197 BS23:BS394 BW23:BW394 BZ23:BZ394">
    <cfRule type="containsText" dxfId="23" priority="65" operator="containsText" text="CHECK">
      <formula>NOT(ISERROR(SEARCH("CHECK",X23)))</formula>
    </cfRule>
  </conditionalFormatting>
  <conditionalFormatting sqref="BV395:BV1048576 BV1:BV22">
    <cfRule type="top10" dxfId="22" priority="44" rank="1"/>
  </conditionalFormatting>
  <conditionalFormatting sqref="G45:K53 A45:B45">
    <cfRule type="expression" dxfId="21" priority="121">
      <formula>$G45=$K$43</formula>
    </cfRule>
  </conditionalFormatting>
  <conditionalFormatting sqref="D45:F45">
    <cfRule type="expression" dxfId="20" priority="128">
      <formula>$G45=$K$43</formula>
    </cfRule>
  </conditionalFormatting>
  <conditionalFormatting sqref="A46:F57">
    <cfRule type="expression" dxfId="19" priority="131">
      <formula>$A46=$F$43</formula>
    </cfRule>
  </conditionalFormatting>
  <conditionalFormatting sqref="BR21:BR22">
    <cfRule type="top10" dxfId="18" priority="132" rank="1"/>
  </conditionalFormatting>
  <conditionalFormatting sqref="BY395:BY1048576 BY1:BY22">
    <cfRule type="top10" dxfId="17" priority="25" rank="1"/>
  </conditionalFormatting>
  <conditionalFormatting sqref="ES23">
    <cfRule type="containsText" dxfId="16" priority="18" operator="containsText" text="OK">
      <formula>NOT(ISERROR(SEARCH("OK",ES23)))</formula>
    </cfRule>
  </conditionalFormatting>
  <conditionalFormatting sqref="ES23:ES27">
    <cfRule type="containsText" dxfId="15" priority="17" operator="containsText" text="CHECK">
      <formula>NOT(ISERROR(SEARCH("CHECK",ES23)))</formula>
    </cfRule>
  </conditionalFormatting>
  <conditionalFormatting sqref="EW23">
    <cfRule type="containsText" dxfId="14" priority="16" operator="containsText" text="OK">
      <formula>NOT(ISERROR(SEARCH("OK",EW23)))</formula>
    </cfRule>
  </conditionalFormatting>
  <conditionalFormatting sqref="EW23">
    <cfRule type="containsText" dxfId="13" priority="15" operator="containsText" text="CHECK">
      <formula>NOT(ISERROR(SEARCH("CHECK",EW23)))</formula>
    </cfRule>
  </conditionalFormatting>
  <conditionalFormatting sqref="EZ23">
    <cfRule type="containsText" dxfId="12" priority="11" operator="containsText" text="OK">
      <formula>NOT(ISERROR(SEARCH("OK",EZ23)))</formula>
    </cfRule>
  </conditionalFormatting>
  <conditionalFormatting sqref="EZ23">
    <cfRule type="containsText" dxfId="11" priority="10" operator="containsText" text="CHECK">
      <formula>NOT(ISERROR(SEARCH("CHECK",EZ23)))</formula>
    </cfRule>
  </conditionalFormatting>
  <conditionalFormatting sqref="A13:E21 A22:A25">
    <cfRule type="expression" dxfId="10" priority="144">
      <formula>$A13=$W$44</formula>
    </cfRule>
  </conditionalFormatting>
  <conditionalFormatting sqref="W82">
    <cfRule type="containsText" dxfId="9" priority="9" operator="containsText" text="O/S">
      <formula>NOT(ISERROR(SEARCH("O/S",W82)))</formula>
    </cfRule>
  </conditionalFormatting>
  <conditionalFormatting sqref="ES1:ES1048576 EW1:EW1048576 EZ1:EZ1048576">
    <cfRule type="containsText" dxfId="8" priority="7" operator="containsText" text="Check">
      <formula>NOT(ISERROR(SEARCH("Check",ES1)))</formula>
    </cfRule>
    <cfRule type="containsText" dxfId="7" priority="8" operator="containsText" text="OK">
      <formula>NOT(ISERROR(SEARCH("OK",ES1)))</formula>
    </cfRule>
  </conditionalFormatting>
  <conditionalFormatting sqref="X132">
    <cfRule type="containsText" dxfId="6" priority="3" operator="containsText" text="Shear key">
      <formula>NOT(ISERROR(SEARCH("Shear key",X132)))</formula>
    </cfRule>
    <cfRule type="containsText" dxfId="5" priority="4" operator="containsText" text="Gia cường">
      <formula>NOT(ISERROR(SEARCH("Gia cường",X132)))</formula>
    </cfRule>
    <cfRule type="containsText" dxfId="4" priority="5" operator="containsText" text="Check">
      <formula>NOT(ISERROR(SEARCH("Check",X132)))</formula>
    </cfRule>
    <cfRule type="containsText" dxfId="3" priority="6" operator="containsText" text="OK">
      <formula>NOT(ISERROR(SEARCH("OK",X132)))</formula>
    </cfRule>
  </conditionalFormatting>
  <conditionalFormatting sqref="EA14:EA18">
    <cfRule type="top10" dxfId="2" priority="2" rank="1"/>
  </conditionalFormatting>
  <conditionalFormatting sqref="ER1:ER1048576 EV1:EV1048576 EY1:EY1048576">
    <cfRule type="top10" dxfId="1" priority="1" rank="1"/>
  </conditionalFormatting>
  <dataValidations disablePrompts="1" count="1">
    <dataValidation type="list" allowBlank="1" showInputMessage="1" showErrorMessage="1" sqref="U80" xr:uid="{00000000-0002-0000-0100-000000000000}">
      <formula1>"Trái, Phải"</formula1>
    </dataValidation>
  </dataValidation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W97" evalError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 xr:uid="{00000000-0002-0000-0100-000001000000}">
          <x14:formula1>
            <xm:f>Data!$K$4:$K$99</xm:f>
          </x14:formula1>
          <xm:sqref>W17</xm:sqref>
        </x14:dataValidation>
        <x14:dataValidation type="list" allowBlank="1" showInputMessage="1" showErrorMessage="1" xr:uid="{00000000-0002-0000-0100-000002000000}">
          <x14:formula1>
            <xm:f>Data!$A$3:$A$99</xm:f>
          </x14:formula1>
          <xm:sqref>W22</xm:sqref>
        </x14:dataValidation>
        <x14:dataValidation type="list" allowBlank="1" showInputMessage="1" showErrorMessage="1" xr:uid="{00000000-0002-0000-0100-000003000000}">
          <x14:formula1>
            <xm:f>Data!$AZ$3:$AZ$99</xm:f>
          </x14:formula1>
          <xm:sqref>W28</xm:sqref>
        </x14:dataValidation>
        <x14:dataValidation type="list" allowBlank="1" showInputMessage="1" showErrorMessage="1" xr:uid="{00000000-0002-0000-0100-000004000000}">
          <x14:formula1>
            <xm:f>Data!$DF$2:$DF$5</xm:f>
          </x14:formula1>
          <xm:sqref>U63</xm:sqref>
        </x14:dataValidation>
        <x14:dataValidation type="list" allowBlank="1" showInputMessage="1" showErrorMessage="1" xr:uid="{00000000-0002-0000-0100-000005000000}">
          <x14:formula1>
            <xm:f>Data!$DH$2:$DH$7</xm:f>
          </x14:formula1>
          <xm:sqref>W16</xm:sqref>
        </x14:dataValidation>
        <x14:dataValidation type="list" allowBlank="1" showInputMessage="1" showErrorMessage="1" xr:uid="{00000000-0002-0000-0100-000006000000}">
          <x14:formula1>
            <xm:f>Data!$BJ$5:$BJ$16</xm:f>
          </x14:formula1>
          <xm:sqref>W35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M34"/>
  <sheetViews>
    <sheetView showGridLines="0" zoomScale="130" zoomScaleNormal="130" workbookViewId="0">
      <selection activeCell="K5" sqref="K5"/>
    </sheetView>
  </sheetViews>
  <sheetFormatPr defaultRowHeight="14.4"/>
  <cols>
    <col min="4" max="10" width="9.109375" style="132"/>
  </cols>
  <sheetData>
    <row r="1" spans="1:13" ht="15">
      <c r="A1" s="143" t="str">
        <f>"- Số bu lông theo phương bản cánh:"</f>
        <v>- Số bu lông theo phương bản cánh:</v>
      </c>
      <c r="B1" s="143"/>
      <c r="C1" s="144"/>
      <c r="D1" s="145"/>
      <c r="E1" s="146" t="s">
        <v>368</v>
      </c>
      <c r="F1" s="149">
        <f>Cal!W46</f>
        <v>2</v>
      </c>
      <c r="G1" s="147" t="s">
        <v>1</v>
      </c>
      <c r="H1" s="151"/>
      <c r="I1" s="152" t="s">
        <v>236</v>
      </c>
      <c r="J1" s="152" t="s">
        <v>237</v>
      </c>
      <c r="K1" s="152" t="s">
        <v>238</v>
      </c>
      <c r="L1" s="152" t="s">
        <v>239</v>
      </c>
      <c r="M1" s="152" t="s">
        <v>242</v>
      </c>
    </row>
    <row r="2" spans="1:13" ht="15">
      <c r="A2" s="143" t="str">
        <f>"- Số bu lông theo phương bản bụng:"</f>
        <v>- Số bu lông theo phương bản bụng:</v>
      </c>
      <c r="B2" s="143"/>
      <c r="C2" s="144"/>
      <c r="D2" s="145"/>
      <c r="E2" s="146" t="s">
        <v>369</v>
      </c>
      <c r="F2" s="149">
        <f>Cal!W47</f>
        <v>4</v>
      </c>
      <c r="G2" s="147" t="s">
        <v>1</v>
      </c>
      <c r="H2" s="152">
        <f>Cal!W44</f>
        <v>24</v>
      </c>
      <c r="I2" s="151">
        <f>VLOOKUP(H2,Cal!$A$13:$E$30,2,FALSE)</f>
        <v>60</v>
      </c>
      <c r="J2" s="151">
        <f>VLOOKUP(H2,Cal!$A$13:$E$30,3,FALSE)</f>
        <v>70</v>
      </c>
      <c r="K2" s="151">
        <f>VLOOKUP(H2,Cal!$A$13:$E$30,4,FALSE)</f>
        <v>80</v>
      </c>
      <c r="L2" s="151">
        <f>VLOOKUP(H2,Cal!$A$13:$E$30,5,FALSE)</f>
        <v>150</v>
      </c>
      <c r="M2" s="151">
        <f>VLOOKUP(C4,Cal!$G$46:$K$57,2,FALSE)</f>
        <v>120</v>
      </c>
    </row>
    <row r="4" spans="1:13">
      <c r="A4" s="129" t="s">
        <v>352</v>
      </c>
      <c r="B4" s="129" t="s">
        <v>353</v>
      </c>
      <c r="C4" s="148">
        <f>Cal!W50</f>
        <v>212</v>
      </c>
      <c r="D4" s="131" t="s">
        <v>355</v>
      </c>
      <c r="E4" s="131">
        <f>C5/2</f>
        <v>355</v>
      </c>
      <c r="F4" s="131">
        <f>E4</f>
        <v>355</v>
      </c>
      <c r="G4" s="131">
        <f>-F4</f>
        <v>-355</v>
      </c>
      <c r="H4" s="131">
        <f>G4</f>
        <v>-355</v>
      </c>
      <c r="I4" s="131">
        <f>E4</f>
        <v>355</v>
      </c>
      <c r="J4" s="131"/>
    </row>
    <row r="5" spans="1:13">
      <c r="A5" s="129"/>
      <c r="B5" s="129" t="s">
        <v>354</v>
      </c>
      <c r="C5" s="148">
        <f>Cal!W49</f>
        <v>710</v>
      </c>
      <c r="D5" s="131" t="s">
        <v>356</v>
      </c>
      <c r="E5" s="131">
        <f>C4/2</f>
        <v>106</v>
      </c>
      <c r="F5" s="131">
        <f>-E5</f>
        <v>-106</v>
      </c>
      <c r="G5" s="131">
        <f>F5</f>
        <v>-106</v>
      </c>
      <c r="H5" s="131">
        <f>E5</f>
        <v>106</v>
      </c>
      <c r="I5" s="131">
        <f>E5</f>
        <v>106</v>
      </c>
      <c r="J5" s="131"/>
    </row>
    <row r="7" spans="1:13">
      <c r="A7" s="129" t="s">
        <v>358</v>
      </c>
      <c r="B7" s="129" t="s">
        <v>353</v>
      </c>
      <c r="C7" s="148">
        <f>Cal!W40</f>
        <v>200</v>
      </c>
      <c r="D7" s="131" t="s">
        <v>355</v>
      </c>
      <c r="E7" s="131">
        <f>C8/2</f>
        <v>225</v>
      </c>
      <c r="F7" s="131">
        <f>E7</f>
        <v>225</v>
      </c>
      <c r="G7" s="131">
        <f>-C8/2</f>
        <v>-225</v>
      </c>
      <c r="H7" s="131">
        <f>C8/2</f>
        <v>225</v>
      </c>
      <c r="I7" s="131">
        <f>-E7</f>
        <v>-225</v>
      </c>
      <c r="J7" s="131">
        <f>I7</f>
        <v>-225</v>
      </c>
    </row>
    <row r="8" spans="1:13">
      <c r="A8" s="129"/>
      <c r="B8" s="129" t="s">
        <v>357</v>
      </c>
      <c r="C8" s="148">
        <f>Cal!W39</f>
        <v>450</v>
      </c>
      <c r="D8" s="131" t="s">
        <v>356</v>
      </c>
      <c r="E8" s="131">
        <f>C7/2</f>
        <v>100</v>
      </c>
      <c r="F8" s="131">
        <f>-E8</f>
        <v>-100</v>
      </c>
      <c r="G8" s="131">
        <v>0</v>
      </c>
      <c r="H8" s="131">
        <v>0</v>
      </c>
      <c r="I8" s="131">
        <f>E8</f>
        <v>100</v>
      </c>
      <c r="J8" s="131">
        <f>-I8</f>
        <v>-100</v>
      </c>
    </row>
    <row r="10" spans="1:13" ht="15" customHeight="1">
      <c r="A10" s="363" t="s">
        <v>359</v>
      </c>
      <c r="B10" s="129" t="s">
        <v>233</v>
      </c>
      <c r="C10" s="148">
        <f>F1</f>
        <v>2</v>
      </c>
      <c r="D10" s="131" t="s">
        <v>355</v>
      </c>
      <c r="E10" s="133">
        <f>-C5/2+C12</f>
        <v>-295</v>
      </c>
      <c r="F10" s="133">
        <f>E10</f>
        <v>-295</v>
      </c>
      <c r="G10" s="133">
        <f>F10</f>
        <v>-295</v>
      </c>
      <c r="H10" s="131">
        <f>ABS(E10)</f>
        <v>295</v>
      </c>
      <c r="I10" s="131">
        <f>H10</f>
        <v>295</v>
      </c>
      <c r="J10" s="131">
        <f>I10</f>
        <v>295</v>
      </c>
    </row>
    <row r="11" spans="1:13">
      <c r="A11" s="363"/>
      <c r="B11" s="129" t="s">
        <v>242</v>
      </c>
      <c r="C11" s="148">
        <f>M2</f>
        <v>120</v>
      </c>
      <c r="D11" s="131" t="s">
        <v>356</v>
      </c>
      <c r="E11" s="133">
        <f>IF(C10=2,-C11/2,-C11)</f>
        <v>-60</v>
      </c>
      <c r="F11" s="133">
        <f>E11+C11</f>
        <v>60</v>
      </c>
      <c r="G11" s="133">
        <f>IF(C10=2,F11,F11+C11)</f>
        <v>60</v>
      </c>
      <c r="H11" s="131">
        <f>E11</f>
        <v>-60</v>
      </c>
      <c r="I11" s="131">
        <f t="shared" ref="I11:J11" si="0">F11</f>
        <v>60</v>
      </c>
      <c r="J11" s="131">
        <f t="shared" si="0"/>
        <v>60</v>
      </c>
    </row>
    <row r="12" spans="1:13">
      <c r="A12" s="363"/>
      <c r="B12" s="129" t="s">
        <v>236</v>
      </c>
      <c r="C12" s="148">
        <f>I2</f>
        <v>60</v>
      </c>
      <c r="D12" s="131"/>
      <c r="E12" s="133"/>
      <c r="F12" s="133"/>
      <c r="G12" s="133"/>
      <c r="H12" s="131"/>
      <c r="I12" s="131"/>
      <c r="J12" s="131"/>
    </row>
    <row r="14" spans="1:13">
      <c r="A14" s="363" t="s">
        <v>360</v>
      </c>
      <c r="B14" s="131" t="s">
        <v>233</v>
      </c>
      <c r="C14" s="150" t="str">
        <f>IF(MOD(F2,2)=1,"Y","N")</f>
        <v>N</v>
      </c>
      <c r="D14" s="131" t="s">
        <v>355</v>
      </c>
      <c r="E14" s="131">
        <f>IF(C14="Y",0,E10)</f>
        <v>-295</v>
      </c>
      <c r="F14" s="131">
        <f>IF(C14="Y",0,J10)</f>
        <v>295</v>
      </c>
      <c r="G14" s="131"/>
      <c r="H14" s="131"/>
      <c r="I14" s="131"/>
      <c r="J14" s="131"/>
    </row>
    <row r="15" spans="1:13">
      <c r="A15" s="363"/>
      <c r="B15" s="131"/>
      <c r="C15" s="131"/>
      <c r="D15" s="131" t="s">
        <v>356</v>
      </c>
      <c r="E15" s="131">
        <f>E11</f>
        <v>-60</v>
      </c>
      <c r="F15" s="131">
        <f>J11</f>
        <v>60</v>
      </c>
      <c r="G15" s="131"/>
      <c r="H15" s="131"/>
      <c r="I15" s="131"/>
      <c r="J15" s="131"/>
    </row>
    <row r="16" spans="1:13">
      <c r="A16" s="363"/>
      <c r="B16" s="131"/>
      <c r="C16" s="131"/>
      <c r="D16" s="131"/>
      <c r="E16" s="131"/>
      <c r="F16" s="131"/>
      <c r="G16" s="131"/>
      <c r="H16" s="131"/>
      <c r="I16" s="131"/>
      <c r="J16" s="131"/>
    </row>
    <row r="18" spans="1:12">
      <c r="A18" s="363" t="s">
        <v>361</v>
      </c>
      <c r="B18" s="129" t="s">
        <v>362</v>
      </c>
      <c r="C18" s="130"/>
      <c r="D18" s="131" t="s">
        <v>355</v>
      </c>
      <c r="E18" s="133">
        <f>IF(F2&gt;3,E10+C19,E10)</f>
        <v>-145</v>
      </c>
      <c r="F18" s="133">
        <f>E18</f>
        <v>-145</v>
      </c>
      <c r="G18" s="133"/>
      <c r="H18" s="131">
        <f>ABS(E18)</f>
        <v>145</v>
      </c>
      <c r="I18" s="131">
        <f>H18</f>
        <v>145</v>
      </c>
      <c r="J18" s="131"/>
    </row>
    <row r="19" spans="1:12">
      <c r="A19" s="363"/>
      <c r="B19" s="129" t="s">
        <v>363</v>
      </c>
      <c r="C19" s="148">
        <f>J2+K2</f>
        <v>150</v>
      </c>
      <c r="D19" s="131" t="s">
        <v>356</v>
      </c>
      <c r="E19" s="133">
        <f>E11</f>
        <v>-60</v>
      </c>
      <c r="F19" s="133">
        <f>ABS(E19)</f>
        <v>60</v>
      </c>
      <c r="G19" s="133"/>
      <c r="H19" s="131">
        <f>E19</f>
        <v>-60</v>
      </c>
      <c r="I19" s="131">
        <f t="shared" ref="I19" si="1">F19</f>
        <v>60</v>
      </c>
      <c r="J19" s="131"/>
    </row>
    <row r="20" spans="1:12">
      <c r="A20" s="363"/>
      <c r="B20" s="129"/>
      <c r="C20" s="130"/>
      <c r="D20" s="131"/>
      <c r="E20" s="133"/>
      <c r="F20" s="133"/>
      <c r="G20" s="133"/>
      <c r="H20" s="131"/>
      <c r="I20" s="131"/>
      <c r="J20" s="131"/>
    </row>
    <row r="22" spans="1:12">
      <c r="A22" s="363" t="s">
        <v>361</v>
      </c>
      <c r="B22" s="129" t="s">
        <v>362</v>
      </c>
      <c r="C22" s="130"/>
      <c r="D22" s="131" t="s">
        <v>355</v>
      </c>
      <c r="E22" s="133">
        <f>IF(F2&gt;5,E18+C23,E10)</f>
        <v>-295</v>
      </c>
      <c r="F22" s="133">
        <f>E22</f>
        <v>-295</v>
      </c>
      <c r="G22" s="133"/>
      <c r="H22" s="131">
        <f>ABS(E22)</f>
        <v>295</v>
      </c>
      <c r="I22" s="131">
        <f>H22</f>
        <v>295</v>
      </c>
      <c r="J22" s="131"/>
    </row>
    <row r="23" spans="1:12">
      <c r="A23" s="363"/>
      <c r="B23" s="129" t="s">
        <v>239</v>
      </c>
      <c r="C23" s="148">
        <f>L2</f>
        <v>150</v>
      </c>
      <c r="D23" s="131" t="s">
        <v>356</v>
      </c>
      <c r="E23" s="133">
        <f>E19</f>
        <v>-60</v>
      </c>
      <c r="F23" s="133">
        <f>F19</f>
        <v>60</v>
      </c>
      <c r="G23" s="133"/>
      <c r="H23" s="131">
        <f>E23</f>
        <v>-60</v>
      </c>
      <c r="I23" s="131">
        <f t="shared" ref="I23" si="2">F23</f>
        <v>60</v>
      </c>
      <c r="J23" s="131"/>
    </row>
    <row r="24" spans="1:12">
      <c r="A24" s="363"/>
      <c r="B24" s="129"/>
      <c r="C24" s="130"/>
      <c r="D24" s="131"/>
      <c r="E24" s="133"/>
      <c r="F24" s="133"/>
      <c r="G24" s="133"/>
      <c r="H24" s="131"/>
      <c r="I24" s="131"/>
      <c r="J24" s="131"/>
    </row>
    <row r="26" spans="1:12">
      <c r="A26" s="363" t="s">
        <v>364</v>
      </c>
      <c r="B26" s="129" t="s">
        <v>233</v>
      </c>
      <c r="C26" s="148">
        <f>Cal!Q61</f>
        <v>1</v>
      </c>
      <c r="D26" s="131" t="s">
        <v>355</v>
      </c>
      <c r="E26" s="133">
        <f>(-1)*IF(C26=0,0,C5/2)</f>
        <v>-355</v>
      </c>
      <c r="F26" s="133">
        <f>IF(C26=0,0,E26+(C5-C8)/2)</f>
        <v>-225</v>
      </c>
      <c r="G26" s="133"/>
      <c r="H26" s="131">
        <f>IF(C26=0,0,E26)</f>
        <v>-355</v>
      </c>
      <c r="I26" s="131">
        <f>IF(C26=0,0,F26)</f>
        <v>-225</v>
      </c>
      <c r="J26" s="131"/>
    </row>
    <row r="27" spans="1:12">
      <c r="A27" s="363"/>
      <c r="B27" s="129"/>
      <c r="C27" s="130"/>
      <c r="D27" s="131" t="s">
        <v>356</v>
      </c>
      <c r="E27" s="133">
        <f>IF(C26=0,0,IF(C26=1,0,-C11/2))</f>
        <v>0</v>
      </c>
      <c r="F27" s="133">
        <f>IF(C26=0,0,E27)</f>
        <v>0</v>
      </c>
      <c r="G27" s="133"/>
      <c r="H27" s="131">
        <f>IF(C26=0,0,IF(C26=1,E27,E27+C11))</f>
        <v>0</v>
      </c>
      <c r="I27" s="131">
        <f>H27</f>
        <v>0</v>
      </c>
      <c r="J27" s="131"/>
    </row>
    <row r="28" spans="1:12">
      <c r="A28" s="363"/>
      <c r="B28" s="129"/>
      <c r="C28" s="130"/>
      <c r="D28" s="131" t="s">
        <v>355</v>
      </c>
      <c r="E28" s="133">
        <f>IF(C26=0,0,C5/2)</f>
        <v>355</v>
      </c>
      <c r="F28" s="133">
        <f>IF(C26=0,0,E28-(C5-C8)/2)</f>
        <v>225</v>
      </c>
      <c r="G28" s="133"/>
      <c r="H28" s="131">
        <f>IF(C26=0,0,E28)</f>
        <v>355</v>
      </c>
      <c r="I28" s="131">
        <f>IF(C26=0,0,F28)</f>
        <v>225</v>
      </c>
      <c r="J28" s="131"/>
    </row>
    <row r="29" spans="1:12">
      <c r="A29" s="129"/>
      <c r="B29" s="129"/>
      <c r="C29" s="129"/>
      <c r="D29" s="131" t="s">
        <v>356</v>
      </c>
      <c r="E29" s="133">
        <f>E27</f>
        <v>0</v>
      </c>
      <c r="F29" s="133">
        <f>F27</f>
        <v>0</v>
      </c>
      <c r="G29" s="133"/>
      <c r="H29" s="131">
        <f>H27</f>
        <v>0</v>
      </c>
      <c r="I29" s="131">
        <f>I27</f>
        <v>0</v>
      </c>
      <c r="J29" s="131"/>
      <c r="K29" t="s">
        <v>367</v>
      </c>
      <c r="L29">
        <v>4</v>
      </c>
    </row>
    <row r="30" spans="1:12">
      <c r="D30"/>
      <c r="E30"/>
      <c r="F30"/>
      <c r="G30"/>
      <c r="H30"/>
      <c r="I30"/>
      <c r="J30"/>
    </row>
    <row r="31" spans="1:12">
      <c r="A31" s="363" t="s">
        <v>365</v>
      </c>
      <c r="B31" s="129" t="s">
        <v>233</v>
      </c>
      <c r="C31" s="148">
        <f>Cal!Q60</f>
        <v>0</v>
      </c>
      <c r="D31" s="131" t="s">
        <v>355</v>
      </c>
      <c r="E31" s="133">
        <f>IF(C31=0,0,IF(C31=1,0,IF(C31=2,-C8/6)))</f>
        <v>0</v>
      </c>
      <c r="F31" s="133">
        <f>E31</f>
        <v>0</v>
      </c>
      <c r="G31" s="133"/>
      <c r="H31" s="131">
        <f>E31</f>
        <v>0</v>
      </c>
      <c r="I31" s="131">
        <f>F31</f>
        <v>0</v>
      </c>
      <c r="J31" s="131"/>
      <c r="K31" t="s">
        <v>366</v>
      </c>
      <c r="L31">
        <f>C5-2*(C12+C19)</f>
        <v>290</v>
      </c>
    </row>
    <row r="32" spans="1:12">
      <c r="A32" s="363"/>
      <c r="B32" s="129"/>
      <c r="C32" s="130"/>
      <c r="D32" s="131" t="s">
        <v>356</v>
      </c>
      <c r="E32" s="133">
        <v>0</v>
      </c>
      <c r="F32" s="133">
        <f>IF(C31=0,0,-C7/2)</f>
        <v>0</v>
      </c>
      <c r="G32" s="133"/>
      <c r="H32" s="131">
        <f>E32</f>
        <v>0</v>
      </c>
      <c r="I32" s="131">
        <f>ABS(F32)</f>
        <v>0</v>
      </c>
      <c r="J32" s="131"/>
    </row>
    <row r="33" spans="1:10">
      <c r="A33" s="363"/>
      <c r="B33" s="129"/>
      <c r="C33" s="130"/>
      <c r="D33" s="131" t="s">
        <v>355</v>
      </c>
      <c r="E33" s="133">
        <f>ABS(E31)</f>
        <v>0</v>
      </c>
      <c r="F33" s="133">
        <f>E33</f>
        <v>0</v>
      </c>
      <c r="G33" s="133"/>
      <c r="H33" s="131">
        <f>E33</f>
        <v>0</v>
      </c>
      <c r="I33" s="131">
        <f>H33</f>
        <v>0</v>
      </c>
      <c r="J33" s="131"/>
    </row>
    <row r="34" spans="1:10">
      <c r="A34" s="129"/>
      <c r="B34" s="129"/>
      <c r="C34" s="129"/>
      <c r="D34" s="131" t="s">
        <v>356</v>
      </c>
      <c r="E34" s="133">
        <f>E32</f>
        <v>0</v>
      </c>
      <c r="F34" s="133">
        <f>F32</f>
        <v>0</v>
      </c>
      <c r="G34" s="133"/>
      <c r="H34" s="131">
        <f>H32</f>
        <v>0</v>
      </c>
      <c r="I34" s="131">
        <f>I32</f>
        <v>0</v>
      </c>
      <c r="J34" s="131"/>
    </row>
  </sheetData>
  <mergeCells count="6">
    <mergeCell ref="A31:A33"/>
    <mergeCell ref="A10:A12"/>
    <mergeCell ref="A14:A16"/>
    <mergeCell ref="A18:A20"/>
    <mergeCell ref="A22:A24"/>
    <mergeCell ref="A26:A28"/>
  </mergeCells>
  <conditionalFormatting sqref="H2:M2">
    <cfRule type="expression" dxfId="0" priority="1">
      <formula>$A3=$W$20</formula>
    </cfRule>
  </conditionalFormatting>
  <pageMargins left="0.7" right="0.7" top="0.75" bottom="0.75" header="0.3" footer="0.3"/>
  <ignoredErrors>
    <ignoredError sqref="F32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2026-09-22T03:24:19Z</dcterms:modified>
</cp:coreProperties>
</file>