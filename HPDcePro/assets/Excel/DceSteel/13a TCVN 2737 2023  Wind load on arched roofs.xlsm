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72107F4-A33F-4CBA-912F-7CE2F662A4A4}" xr6:coauthVersionLast="47" xr6:coauthVersionMax="47" xr10:uidLastSave="{00000000-0000-0000-0000-000000000000}"/>
  <bookViews>
    <workbookView xWindow="-120" yWindow="-120" windowWidth="29040" windowHeight="15720" tabRatio="934" activeTab="1" xr2:uid="{00000000-000D-0000-FFFF-FFFF00000000}"/>
  </bookViews>
  <sheets>
    <sheet name="GustFactor" sheetId="149" r:id="rId1"/>
    <sheet name="TCVN" sheetId="147" r:id="rId2"/>
    <sheet name="Pic" sheetId="148" state="hidden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" i="147" l="1"/>
  <c r="P140" i="147"/>
  <c r="P139" i="147"/>
  <c r="C140" i="147"/>
  <c r="C139" i="147"/>
  <c r="P136" i="147"/>
  <c r="P135" i="147"/>
  <c r="C136" i="147"/>
  <c r="C135" i="147"/>
  <c r="L54" i="149"/>
  <c r="J54" i="149"/>
  <c r="L53" i="149"/>
  <c r="J53" i="149"/>
  <c r="L52" i="149"/>
  <c r="J52" i="149"/>
  <c r="K36" i="149"/>
  <c r="E36" i="149"/>
  <c r="K30" i="149"/>
  <c r="K43" i="149" s="1"/>
  <c r="K46" i="149" s="1"/>
  <c r="K29" i="149"/>
  <c r="K42" i="149" s="1"/>
  <c r="K45" i="149" s="1"/>
  <c r="B28" i="149"/>
  <c r="H24" i="149"/>
  <c r="H21" i="149"/>
  <c r="H20" i="149"/>
  <c r="H19" i="149"/>
  <c r="H18" i="149"/>
  <c r="H23" i="149" s="1"/>
  <c r="H17" i="149"/>
  <c r="H22" i="149" s="1"/>
  <c r="H16" i="149"/>
  <c r="H15" i="149"/>
  <c r="H14" i="149"/>
  <c r="H13" i="149"/>
  <c r="H12" i="149"/>
  <c r="H25" i="149" s="1"/>
  <c r="H11" i="149"/>
  <c r="H10" i="149"/>
  <c r="E7" i="149"/>
  <c r="AD36" i="147"/>
  <c r="AE36" i="147" s="1"/>
  <c r="Z31" i="147" s="1"/>
  <c r="P30" i="147"/>
  <c r="F125" i="147"/>
  <c r="F119" i="147"/>
  <c r="F113" i="147"/>
  <c r="AE53" i="147"/>
  <c r="E23" i="147"/>
  <c r="M23" i="147" s="1"/>
  <c r="AE25" i="147" s="1"/>
  <c r="I23" i="147"/>
  <c r="V36" i="147" s="1"/>
  <c r="V37" i="147" s="1"/>
  <c r="E40" i="149" l="1"/>
  <c r="E39" i="149" s="1"/>
  <c r="K40" i="149"/>
  <c r="K39" i="149" s="1"/>
  <c r="E37" i="149"/>
  <c r="K41" i="149"/>
  <c r="K44" i="149" s="1"/>
  <c r="E41" i="149"/>
  <c r="E44" i="149" s="1"/>
  <c r="E42" i="149"/>
  <c r="E45" i="149" s="1"/>
  <c r="E43" i="149"/>
  <c r="E46" i="149" s="1"/>
  <c r="K37" i="149"/>
  <c r="AF36" i="147"/>
  <c r="Z32" i="147" s="1"/>
  <c r="R41" i="147" s="1"/>
  <c r="AQ28" i="147"/>
  <c r="AM28" i="147"/>
  <c r="AQ33" i="147"/>
  <c r="AE26" i="147"/>
  <c r="T36" i="147"/>
  <c r="V41" i="147"/>
  <c r="V40" i="147"/>
  <c r="T40" i="147"/>
  <c r="R40" i="147"/>
  <c r="J15" i="147"/>
  <c r="T41" i="147" l="1"/>
  <c r="K38" i="149"/>
  <c r="K33" i="149" s="1"/>
  <c r="E38" i="149"/>
  <c r="E33" i="149" s="1"/>
  <c r="T37" i="147"/>
  <c r="AN32" i="147"/>
  <c r="AJ30" i="147" s="1"/>
  <c r="AN31" i="147"/>
  <c r="AI30" i="147" s="1"/>
  <c r="AN27" i="147"/>
  <c r="AN26" i="147"/>
  <c r="AH29" i="147"/>
  <c r="AH30" i="147"/>
  <c r="AR31" i="147"/>
  <c r="AH28" i="147"/>
  <c r="AR26" i="147"/>
  <c r="AR32" i="147"/>
  <c r="AR27" i="147"/>
  <c r="AH31" i="147"/>
  <c r="C26" i="147"/>
  <c r="P26" i="147"/>
  <c r="J31" i="147"/>
  <c r="J30" i="147"/>
  <c r="I27" i="147"/>
  <c r="C45" i="147"/>
  <c r="P45" i="147" s="1"/>
  <c r="C43" i="147"/>
  <c r="P43" i="147" s="1"/>
  <c r="C41" i="147"/>
  <c r="P41" i="147" s="1"/>
  <c r="C44" i="147"/>
  <c r="P44" i="147" s="1"/>
  <c r="C42" i="147"/>
  <c r="P42" i="147" s="1"/>
  <c r="C40" i="147"/>
  <c r="P40" i="147" s="1"/>
  <c r="C27" i="147"/>
  <c r="C35" i="147"/>
  <c r="P35" i="147" s="1"/>
  <c r="W32" i="147"/>
  <c r="W31" i="147"/>
  <c r="P31" i="147"/>
  <c r="P29" i="147"/>
  <c r="J24" i="147"/>
  <c r="J21" i="147"/>
  <c r="J20" i="147"/>
  <c r="J19" i="147"/>
  <c r="J18" i="147"/>
  <c r="C17" i="147"/>
  <c r="J17" i="147"/>
  <c r="J16" i="147"/>
  <c r="M24" i="147"/>
  <c r="C16" i="147"/>
  <c r="C14" i="147"/>
  <c r="J11" i="147"/>
  <c r="I11" i="147"/>
  <c r="AN28" i="147"/>
  <c r="AR33" i="147"/>
  <c r="AR28" i="147"/>
  <c r="AJ31" i="147" l="1"/>
  <c r="AI31" i="147"/>
  <c r="AI28" i="147"/>
  <c r="R36" i="147" s="1"/>
  <c r="AJ28" i="147"/>
  <c r="R37" i="147" s="1"/>
  <c r="AI29" i="147"/>
  <c r="AJ29" i="147"/>
  <c r="F75" i="147"/>
  <c r="O75" i="147"/>
  <c r="U81" i="147"/>
  <c r="G41" i="147" l="1"/>
  <c r="I41" i="147"/>
  <c r="K41" i="147"/>
  <c r="E41" i="147"/>
  <c r="G40" i="147"/>
  <c r="I40" i="147"/>
  <c r="K40" i="147"/>
  <c r="E40" i="147"/>
  <c r="G49" i="147" l="1"/>
  <c r="G48" i="147"/>
  <c r="L48" i="147" s="1"/>
  <c r="AG52" i="147"/>
  <c r="AH52" i="147"/>
  <c r="AI52" i="147"/>
  <c r="AF52" i="147"/>
  <c r="AD54" i="147"/>
  <c r="AG53" i="147" a="1"/>
  <c r="AF53" i="147" a="1"/>
  <c r="AI53" i="147" a="1"/>
  <c r="AH53" i="147" a="1"/>
  <c r="E61" i="147" l="1"/>
  <c r="Y80" i="147" s="1"/>
  <c r="P50" i="147"/>
  <c r="F69" i="147" s="1"/>
  <c r="E55" i="147"/>
  <c r="Y74" i="147" s="1"/>
  <c r="F50" i="147"/>
  <c r="U69" i="147" s="1"/>
  <c r="E51" i="147"/>
  <c r="Y70" i="147" s="1"/>
  <c r="J50" i="147"/>
  <c r="O69" i="147" s="1"/>
  <c r="AI53" i="147"/>
  <c r="AH53" i="147"/>
  <c r="AG53" i="147"/>
  <c r="AF53" i="147"/>
  <c r="AH54" i="147" l="1"/>
  <c r="AI54" i="147"/>
  <c r="AG54" i="147"/>
  <c r="AF54" i="147"/>
  <c r="E36" i="147" l="1"/>
  <c r="E37" i="147" s="1"/>
  <c r="I36" i="147"/>
  <c r="I37" i="147" s="1"/>
  <c r="G36" i="147"/>
  <c r="G37" i="147" s="1"/>
  <c r="N29" i="147"/>
  <c r="N28" i="147"/>
  <c r="J29" i="147"/>
  <c r="J28" i="147"/>
  <c r="E28" i="147"/>
  <c r="M31" i="147" l="1"/>
  <c r="E29" i="147"/>
  <c r="M32" i="147" l="1"/>
  <c r="R38" i="147" s="1"/>
  <c r="E42" i="147"/>
  <c r="I38" i="147"/>
  <c r="K43" i="147"/>
  <c r="G42" i="147"/>
  <c r="G43" i="147"/>
  <c r="K38" i="147"/>
  <c r="G38" i="147"/>
  <c r="R43" i="147"/>
  <c r="E38" i="147"/>
  <c r="T42" i="147"/>
  <c r="K42" i="147"/>
  <c r="V42" i="147"/>
  <c r="I43" i="147"/>
  <c r="I45" i="147" s="1"/>
  <c r="I136" i="147" s="1"/>
  <c r="E43" i="147"/>
  <c r="T43" i="147"/>
  <c r="V43" i="147"/>
  <c r="R42" i="147"/>
  <c r="E44" i="147" l="1"/>
  <c r="E139" i="147" s="1"/>
  <c r="R44" i="147"/>
  <c r="G45" i="147"/>
  <c r="G140" i="147" s="1"/>
  <c r="I42" i="147"/>
  <c r="I44" i="147" s="1"/>
  <c r="K44" i="147"/>
  <c r="G39" i="147"/>
  <c r="K39" i="147"/>
  <c r="K45" i="147" s="1"/>
  <c r="K136" i="147" s="1"/>
  <c r="E39" i="147"/>
  <c r="I39" i="147"/>
  <c r="V39" i="147"/>
  <c r="V45" i="147" s="1"/>
  <c r="V38" i="147"/>
  <c r="V44" i="147" s="1"/>
  <c r="T38" i="147"/>
  <c r="T44" i="147" s="1"/>
  <c r="T39" i="147"/>
  <c r="T45" i="147" s="1"/>
  <c r="R39" i="147"/>
  <c r="R45" i="147" s="1"/>
  <c r="E45" i="147"/>
  <c r="G44" i="147"/>
  <c r="F52" i="147"/>
  <c r="F63" i="147" s="1"/>
  <c r="F58" i="147"/>
  <c r="U77" i="147" s="1"/>
  <c r="J58" i="147"/>
  <c r="O77" i="147" s="1"/>
  <c r="P58" i="147" l="1"/>
  <c r="F77" i="147" s="1"/>
  <c r="F103" i="147"/>
  <c r="F115" i="147" s="1"/>
  <c r="R136" i="147"/>
  <c r="R140" i="147" s="1"/>
  <c r="F97" i="147"/>
  <c r="F121" i="147" s="1"/>
  <c r="T136" i="147"/>
  <c r="T140" i="147" s="1"/>
  <c r="F91" i="147"/>
  <c r="F127" i="147" s="1"/>
  <c r="V136" i="147"/>
  <c r="V140" i="147" s="1"/>
  <c r="F53" i="147"/>
  <c r="F64" i="147" s="1"/>
  <c r="E140" i="147"/>
  <c r="J57" i="147"/>
  <c r="O76" i="147" s="1"/>
  <c r="I135" i="147"/>
  <c r="F57" i="147"/>
  <c r="U76" i="147" s="1"/>
  <c r="G139" i="147"/>
  <c r="F96" i="147"/>
  <c r="F120" i="147" s="1"/>
  <c r="T135" i="147"/>
  <c r="T139" i="147" s="1"/>
  <c r="F90" i="147"/>
  <c r="F126" i="147" s="1"/>
  <c r="V135" i="147"/>
  <c r="V139" i="147" s="1"/>
  <c r="P57" i="147"/>
  <c r="F76" i="147" s="1"/>
  <c r="K135" i="147"/>
  <c r="F102" i="147"/>
  <c r="F114" i="147" s="1"/>
  <c r="R135" i="147"/>
  <c r="R139" i="147" s="1"/>
  <c r="U71" i="147"/>
  <c r="U82" i="147" s="1"/>
  <c r="U72" i="147" l="1"/>
  <c r="U83" i="1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20" authorId="0" shapeId="0" xr:uid="{A09C5CFB-7A73-41D0-AC7A-A280BBF667E7}">
      <text>
        <r>
          <rPr>
            <b/>
            <sz val="9"/>
            <color indexed="81"/>
            <rFont val="Tahoma"/>
            <family val="2"/>
          </rPr>
          <t>HVMT:
Chiều cao đỉnh mái (đã tính vòm)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<sst xmlns="http://schemas.openxmlformats.org/spreadsheetml/2006/main" count="384" uniqueCount="253">
  <si>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</si>
  <si>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</si>
  <si>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</si>
  <si>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</si>
  <si>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</si>
  <si>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</si>
  <si>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</si>
  <si>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</si>
  <si>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</si>
  <si>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</si>
  <si>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</si>
  <si>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</si>
  <si>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</si>
  <si>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</si>
  <si>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kPa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</si>
  <si>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</si>
  <si>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</si>
  <si>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</si>
  <si>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</si>
  <si>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</si>
  <si>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</si>
  <si>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</si>
  <si>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Loại mái</t>
  </si>
  <si>
    <t>Có cạnh sắc</t>
  </si>
  <si>
    <t>Có tường chắn</t>
  </si>
  <si>
    <t>F</t>
  </si>
  <si>
    <t>G</t>
  </si>
  <si>
    <t>H</t>
  </si>
  <si>
    <r>
      <t>I</t>
    </r>
    <r>
      <rPr>
        <vertAlign val="superscript"/>
        <sz val="10"/>
        <color rgb="FF0000FF"/>
        <rFont val="Arial"/>
        <family val="2"/>
      </rPr>
      <t>+</t>
    </r>
  </si>
  <si>
    <t>Vùng</t>
  </si>
  <si>
    <t>BUILDING (STRUCTURE) DATA</t>
  </si>
  <si>
    <t>SITE DATA</t>
  </si>
  <si>
    <t>Structure:</t>
  </si>
  <si>
    <t>Site terrain type:</t>
  </si>
  <si>
    <t>Structural type:</t>
  </si>
  <si>
    <t>Type of roof:</t>
  </si>
  <si>
    <t>With parapets</t>
  </si>
  <si>
    <t>COEFFICIENTS AND FACTORS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</si>
  <si>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pe </t>
    </r>
    <r>
      <rPr>
        <sz val="11"/>
        <color theme="1"/>
        <rFont val="Calibri"/>
        <family val="2"/>
        <scheme val="minor"/>
      </rPr>
      <t>=</t>
    </r>
  </si>
  <si>
    <t>Steel building</t>
  </si>
  <si>
    <t>Sharp eaves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</si>
  <si>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</si>
  <si>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</si>
  <si>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</si>
  <si>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</si>
  <si>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</si>
  <si>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</si>
  <si>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pi </t>
    </r>
    <r>
      <rPr>
        <sz val="11"/>
        <color theme="1"/>
        <rFont val="Calibri"/>
        <family val="2"/>
        <scheme val="minor"/>
      </rPr>
      <t>=</t>
    </r>
  </si>
  <si>
    <t>s</t>
  </si>
  <si>
    <t>b (m) =</t>
  </si>
  <si>
    <t>e (m) =</t>
  </si>
  <si>
    <t>d (m) =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</si>
  <si>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e </t>
    </r>
    <r>
      <rPr>
        <sz val="11"/>
        <color theme="1"/>
        <rFont val="Calibri"/>
        <family val="2"/>
        <scheme val="minor"/>
      </rPr>
      <t>=</t>
    </r>
  </si>
  <si>
    <t>Case 1</t>
  </si>
  <si>
    <t>Case 2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</si>
  <si>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i 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</si>
  <si>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</si>
  <si>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</si>
  <si>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</si>
  <si>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</si>
  <si>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</si>
  <si>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</si>
  <si>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</si>
  <si>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</si>
  <si>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</si>
  <si>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</si>
  <si>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</si>
  <si>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</si>
  <si>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</si>
  <si>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</si>
  <si>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</si>
  <si>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</si>
  <si>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Tải trọng và tác động - Tiêu chuẩn thiết kế</t>
  </si>
  <si>
    <t>TCVN 2737:2023 Loads and Action - Design standard</t>
  </si>
  <si>
    <t>Section F.2.1 Flat roofs are defined as having a angle</t>
  </si>
  <si>
    <t>Mục F.2.1 Mái bằng khi có góc dốc</t>
  </si>
  <si>
    <t>KÍCH THƯỚC HÌNH HỌC</t>
  </si>
  <si>
    <t>DỮ LIỆU CÔNG TRÌNH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</si>
  <si>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</si>
  <si>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</si>
  <si>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</si>
  <si>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</si>
  <si>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</si>
  <si>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Reference height</t>
  </si>
  <si>
    <t>Chiều cao tham chiếu</t>
  </si>
  <si>
    <t xml:space="preserve">Terrain factor </t>
  </si>
  <si>
    <t>Hệ số địa hình</t>
  </si>
  <si>
    <t>(Section 10.2.2)</t>
  </si>
  <si>
    <t>(Mục 10.2.2)</t>
  </si>
  <si>
    <t>Flat roof</t>
  </si>
  <si>
    <t>Mái bằng</t>
  </si>
  <si>
    <t>/ Nhà BTCT</t>
  </si>
  <si>
    <t>/ Nhà thép</t>
  </si>
  <si>
    <t>RC building</t>
  </si>
  <si>
    <t>/ Có cạnh sắc</t>
  </si>
  <si>
    <t>/ Có tường chắn mái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</si>
  <si>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[m] =</t>
    </r>
  </si>
  <si>
    <r>
      <t>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=</t>
    </r>
  </si>
  <si>
    <t>Roof / building width</t>
  </si>
  <si>
    <t>Chiều rộng nhà / mái</t>
  </si>
  <si>
    <t>Loại mái:</t>
  </si>
  <si>
    <t>Loại kết cấu:</t>
  </si>
  <si>
    <t>Kết cấu: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</si>
  <si>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</si>
  <si>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</si>
  <si>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</si>
  <si>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</si>
  <si>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</si>
  <si>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</si>
  <si>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</si>
  <si>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</si>
  <si>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</si>
  <si>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</si>
  <si>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</si>
  <si>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</si>
  <si>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-</t>
    </r>
  </si>
  <si>
    <t>CALCULATIONS: WIND PRESSURES FOR ROOF</t>
  </si>
  <si>
    <t>TH1</t>
  </si>
  <si>
    <t>TH2</t>
  </si>
  <si>
    <r>
      <t>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[m] =</t>
    </r>
  </si>
  <si>
    <r>
      <t>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 =</t>
    </r>
  </si>
  <si>
    <t>TÍNH TOÁN ÁP LỰC GIÓ</t>
  </si>
  <si>
    <t>Áp lực gió tác dụng lên bề mặt:</t>
  </si>
  <si>
    <t>Địa hình</t>
  </si>
  <si>
    <t>TÍNH TOÁN ÁP LỰC GIÓ PHƯƠNG X</t>
  </si>
  <si>
    <t>HẠNG MỤC</t>
  </si>
  <si>
    <t>NHÀ XƯỞNG</t>
  </si>
  <si>
    <t>TÍNH TOÁN TẢI TRỌNG GIÓ TÁC DỤNG LÊN NHÀ MÁI VÒM</t>
  </si>
  <si>
    <t>Kết cấu</t>
  </si>
  <si>
    <t>Mái vòm</t>
  </si>
  <si>
    <t>Chiều cao vòm</t>
  </si>
  <si>
    <t>f [m] =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</si>
  <si>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G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 xml:space="preserve"> (kPa)=</t>
    </r>
  </si>
  <si>
    <t>TÍNH TOÁN ÁP LỰC GIÓ PHƯƠNG Y</t>
  </si>
  <si>
    <t>d [m] =</t>
  </si>
  <si>
    <t>b [m] =</t>
  </si>
  <si>
    <t>f/d =</t>
  </si>
  <si>
    <t>h1/d =</t>
  </si>
  <si>
    <r>
      <t>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</t>
    </r>
  </si>
  <si>
    <t>TH3</t>
  </si>
  <si>
    <t>TH4</t>
  </si>
  <si>
    <t>f/d &lt; 0.2</t>
  </si>
  <si>
    <t>TH1:</t>
  </si>
  <si>
    <r>
      <t xml:space="preserve">0.2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f/d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0.3</t>
    </r>
    <r>
      <rPr>
        <sz val="10"/>
        <rFont val="Arial"/>
        <family val="2"/>
      </rPr>
      <t xml:space="preserve"> &amp; h1/d </t>
    </r>
    <r>
      <rPr>
        <sz val="10"/>
        <rFont val="Symbol"/>
        <family val="1"/>
        <charset val="2"/>
      </rPr>
      <t>³</t>
    </r>
    <r>
      <rPr>
        <sz val="10"/>
        <rFont val="Arial"/>
        <family val="2"/>
      </rPr>
      <t xml:space="preserve"> 0.5</t>
    </r>
  </si>
  <si>
    <t>TH2:</t>
  </si>
  <si>
    <r>
      <t xml:space="preserve">0.2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f/d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0.3</t>
    </r>
    <r>
      <rPr>
        <sz val="10"/>
        <rFont val="Arial"/>
        <family val="2"/>
      </rPr>
      <t xml:space="preserve"> &amp; h1/d </t>
    </r>
    <r>
      <rPr>
        <sz val="10"/>
        <rFont val="Symbol"/>
        <family val="1"/>
        <charset val="2"/>
      </rPr>
      <t>&lt;</t>
    </r>
    <r>
      <rPr>
        <sz val="10"/>
        <rFont val="Arial"/>
        <family val="2"/>
      </rPr>
      <t xml:space="preserve"> 0.5</t>
    </r>
  </si>
  <si>
    <t>TH3:</t>
  </si>
  <si>
    <t>TH4:</t>
  </si>
  <si>
    <r>
      <rPr>
        <sz val="10"/>
        <rFont val="Arial"/>
        <family val="2"/>
      </rPr>
      <t xml:space="preserve">f/d </t>
    </r>
    <r>
      <rPr>
        <sz val="10"/>
        <rFont val="Symbol"/>
        <family val="1"/>
        <charset val="2"/>
      </rPr>
      <t>&gt;</t>
    </r>
    <r>
      <rPr>
        <sz val="10"/>
        <rFont val="Arial"/>
        <family val="2"/>
      </rPr>
      <t xml:space="preserve"> 0.3</t>
    </r>
  </si>
  <si>
    <t>Điều kiện</t>
  </si>
  <si>
    <t>f/d</t>
  </si>
  <si>
    <t>h1/d</t>
  </si>
  <si>
    <t>Giá trị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</si>
  <si>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/d</t>
    </r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</si>
  <si>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/d (+)</t>
    </r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</si>
  <si>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/d (-)</t>
    </r>
  </si>
  <si>
    <t>Giá trị 1</t>
  </si>
  <si>
    <t>Giá trị 2</t>
  </si>
  <si>
    <t>Gió X +</t>
  </si>
  <si>
    <t>Gió X -</t>
  </si>
  <si>
    <t>Vùng F</t>
  </si>
  <si>
    <t>Vùng G</t>
  </si>
  <si>
    <t>Vùng H</t>
  </si>
  <si>
    <t>Vùng I</t>
  </si>
  <si>
    <t>SƠ ĐỒ PHÂN CHIA VÙNG ÁP LỰC GIÓ</t>
  </si>
  <si>
    <t>Vùng A</t>
  </si>
  <si>
    <t>Gió Y</t>
  </si>
  <si>
    <t>Vùng C</t>
  </si>
  <si>
    <t>Vùng B</t>
  </si>
  <si>
    <r>
      <t>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+f [m] =</t>
    </r>
  </si>
  <si>
    <r>
      <t>W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=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.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).c.G</t>
    </r>
    <r>
      <rPr>
        <vertAlign val="subscript"/>
        <sz val="10"/>
        <rFont val="Arial"/>
        <family val="2"/>
      </rPr>
      <t>f</t>
    </r>
  </si>
  <si>
    <t>Open ratio for each wind direction</t>
  </si>
  <si>
    <t>Độ hở của tường chắn</t>
  </si>
  <si>
    <t>Open ratio for each wind direction / Độ hở của tường chắn</t>
  </si>
  <si>
    <t>Hệ số áp lực trong (phụ lục F12)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</si>
  <si>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</si>
  <si>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</si>
  <si>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</si>
  <si>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</si>
  <si>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</si>
  <si>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</si>
  <si>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</si>
  <si>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</si>
  <si>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</si>
  <si>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</si>
  <si>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</si>
  <si>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</si>
  <si>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</si>
  <si>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</si>
  <si>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</si>
  <si>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</si>
  <si>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</si>
  <si>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</si>
  <si>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</si>
  <si>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</si>
  <si>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</si>
  <si>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</si>
  <si>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</si>
  <si>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</si>
  <si>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</si>
  <si>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</si>
  <si>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</si>
  <si>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</si>
  <si>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</si>
  <si>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</si>
  <si>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</si>
  <si>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</si>
  <si>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</si>
  <si>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</si>
  <si>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</si>
  <si>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</si>
  <si>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</si>
  <si>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</si>
  <si>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</si>
  <si>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</si>
  <si>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</si>
  <si>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</si>
  <si>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</si>
  <si>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</si>
  <si>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</si>
  <si>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</si>
  <si>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</si>
  <si>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</si>
  <si>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</si>
  <si>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</si>
  <si>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</si>
  <si>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</si>
  <si>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</si>
  <si>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</si>
  <si>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</si>
  <si>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</si>
  <si>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</si>
  <si>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</si>
  <si>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</si>
  <si>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</si>
  <si>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</si>
  <si>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</si>
  <si>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</si>
  <si>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</si>
  <si>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</si>
  <si>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</si>
  <si>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</si>
  <si>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</si>
  <si>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</si>
  <si>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</si>
  <si>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</si>
  <si>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</si>
  <si>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</si>
  <si>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</si>
  <si>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</si>
  <si>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BƯỚC KHUNG</t>
  </si>
  <si>
    <t>KHUNG GIỮA</t>
  </si>
  <si>
    <t>KHUNG ĐẦU HỒI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</si>
</sst>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$&quot;#,##0\ ;\(&quot;$&quot;#,##0\)"/>
    <numFmt numFmtId="166" formatCode="0.0"/>
    <numFmt numFmtId="167" formatCode="0.0000"/>
    <numFmt numFmtId="168" formatCode="0.0%"/>
  </numFmts>
  <fonts count="7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vertAlign val="subscript"/>
      <sz val="10"/>
      <name val="Arial"/>
      <family val="2"/>
    </font>
    <font>
      <vertAlign val="superscript"/>
      <sz val="10"/>
      <color rgb="FF0000FF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6969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Symbol"/>
      <family val="1"/>
      <charset val="2"/>
    </font>
    <font>
      <sz val="10"/>
      <color rgb="FF0000FF"/>
      <name val="Arial"/>
      <family val="2"/>
    </font>
    <font>
      <sz val="11"/>
      <color rgb="FFFF00FF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Arial"/>
      <family val="2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sz val="20"/>
      <color rgb="FF0000FF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</fills>
  <borders count="8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1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3" borderId="0" applyNumberFormat="0" applyBorder="0" applyAlignment="0" applyProtection="0"/>
    <xf numFmtId="0" fontId="20" fillId="20" borderId="1" applyNumberFormat="0" applyAlignment="0" applyProtection="0"/>
    <xf numFmtId="0" fontId="21" fillId="21" borderId="2" applyNumberFormat="0" applyAlignment="0" applyProtection="0"/>
    <xf numFmtId="3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" fontId="14" fillId="0" borderId="0" applyFont="0" applyFill="0" applyBorder="0" applyAlignment="0" applyProtection="0"/>
    <xf numFmtId="0" fontId="23" fillId="4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26" fillId="0" borderId="4" applyNumberFormat="0" applyFill="0" applyAlignment="0" applyProtection="0"/>
    <xf numFmtId="0" fontId="27" fillId="22" borderId="0" applyNumberFormat="0" applyBorder="0" applyAlignment="0" applyProtection="0"/>
    <xf numFmtId="0" fontId="9" fillId="0" borderId="0"/>
    <xf numFmtId="0" fontId="11" fillId="23" borderId="5" applyNumberFormat="0" applyFont="0" applyAlignment="0" applyProtection="0"/>
    <xf numFmtId="0" fontId="28" fillId="20" borderId="6" applyNumberFormat="0" applyAlignment="0" applyProtection="0"/>
    <xf numFmtId="49" fontId="31" fillId="0" borderId="0">
      <alignment horizontal="left" vertical="center"/>
    </xf>
    <xf numFmtId="0" fontId="29" fillId="0" borderId="0" applyNumberFormat="0" applyFill="0" applyBorder="0" applyAlignment="0" applyProtection="0"/>
    <xf numFmtId="0" fontId="14" fillId="0" borderId="7" applyNumberFormat="0" applyFont="0" applyFill="0" applyAlignment="0" applyProtection="0"/>
    <xf numFmtId="0" fontId="30" fillId="0" borderId="0" applyNumberFormat="0" applyFill="0" applyBorder="0" applyAlignment="0" applyProtection="0"/>
    <xf numFmtId="0" fontId="67" fillId="32" borderId="0" applyNumberFormat="0" applyBorder="0" applyAlignment="0" applyProtection="0"/>
    <xf numFmtId="0" fontId="9" fillId="0" borderId="0"/>
    <xf numFmtId="0" fontId="77" fillId="0" borderId="0"/>
  </cellStyleXfs>
  <cellXfs count="455">
    <xf numFmtId="0" fontId="0" fillId="0" borderId="0" xfId="0"/>
    <xf numFmtId="0" fontId="0" fillId="24" borderId="0" xfId="0" applyFill="1" applyProtection="1">
      <protection hidden="1"/>
    </xf>
    <xf numFmtId="0" fontId="1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3" fillId="0" borderId="10" xfId="0" applyFont="1" applyBorder="1" applyAlignment="1">
      <alignment vertical="center"/>
    </xf>
    <xf numFmtId="0" fontId="13" fillId="0" borderId="22" xfId="0" applyFont="1" applyBorder="1" applyAlignment="1">
      <alignment vertical="center"/>
    </xf>
    <xf numFmtId="0" fontId="13" fillId="0" borderId="22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0" fillId="25" borderId="0" xfId="0" applyFill="1"/>
    <xf numFmtId="0" fontId="0" fillId="25" borderId="0" xfId="0" applyFill="1" applyProtection="1">
      <protection hidden="1"/>
    </xf>
    <xf numFmtId="2" fontId="35" fillId="24" borderId="30" xfId="0" applyNumberFormat="1" applyFont="1" applyFill="1" applyBorder="1" applyProtection="1">
      <protection hidden="1"/>
    </xf>
    <xf numFmtId="0" fontId="35" fillId="24" borderId="17" xfId="0" applyFont="1" applyFill="1" applyBorder="1" applyAlignment="1" applyProtection="1">
      <alignment vertical="center"/>
      <protection hidden="1"/>
    </xf>
    <xf numFmtId="0" fontId="35" fillId="24" borderId="12" xfId="0" applyFont="1" applyFill="1" applyBorder="1" applyAlignment="1" applyProtection="1">
      <alignment vertical="center"/>
      <protection hidden="1"/>
    </xf>
    <xf numFmtId="0" fontId="35" fillId="24" borderId="11" xfId="0" applyFont="1" applyFill="1" applyBorder="1" applyAlignment="1" applyProtection="1">
      <alignment vertical="center"/>
      <protection hidden="1"/>
    </xf>
    <xf numFmtId="0" fontId="35" fillId="24" borderId="8" xfId="0" applyFont="1" applyFill="1" applyBorder="1" applyAlignment="1" applyProtection="1">
      <alignment vertical="center"/>
      <protection hidden="1"/>
    </xf>
    <xf numFmtId="0" fontId="35" fillId="24" borderId="9" xfId="0" applyFont="1" applyFill="1" applyBorder="1" applyAlignment="1" applyProtection="1">
      <alignment vertical="center"/>
      <protection hidden="1"/>
    </xf>
    <xf numFmtId="0" fontId="35" fillId="24" borderId="14" xfId="0" applyFont="1" applyFill="1" applyBorder="1" applyAlignment="1" applyProtection="1">
      <alignment vertical="center"/>
      <protection hidden="1"/>
    </xf>
    <xf numFmtId="0" fontId="35" fillId="24" borderId="15" xfId="0" applyFont="1" applyFill="1" applyBorder="1" applyAlignment="1" applyProtection="1">
      <alignment vertical="center"/>
      <protection hidden="1"/>
    </xf>
    <xf numFmtId="0" fontId="35" fillId="24" borderId="16" xfId="0" applyFont="1" applyFill="1" applyBorder="1" applyAlignment="1" applyProtection="1">
      <alignment vertical="center"/>
      <protection hidden="1"/>
    </xf>
    <xf numFmtId="0" fontId="35" fillId="24" borderId="38" xfId="0" applyFont="1" applyFill="1" applyBorder="1" applyProtection="1">
      <protection hidden="1"/>
    </xf>
    <xf numFmtId="0" fontId="10" fillId="24" borderId="10" xfId="0" applyFont="1" applyFill="1" applyBorder="1" applyAlignment="1">
      <alignment horizontal="center" vertical="center"/>
    </xf>
    <xf numFmtId="0" fontId="12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35" fillId="24" borderId="30" xfId="0" applyFont="1" applyFill="1" applyBorder="1" applyProtection="1">
      <protection hidden="1"/>
    </xf>
    <xf numFmtId="0" fontId="9" fillId="25" borderId="0" xfId="0" applyFont="1" applyFill="1" applyProtection="1">
      <protection hidden="1"/>
    </xf>
    <xf numFmtId="2" fontId="0" fillId="24" borderId="10" xfId="0" applyNumberFormat="1" applyFill="1" applyBorder="1" applyAlignment="1">
      <alignment horizontal="center" vertical="center"/>
    </xf>
    <xf numFmtId="0" fontId="0" fillId="24" borderId="44" xfId="0" applyFill="1" applyBorder="1"/>
    <xf numFmtId="0" fontId="0" fillId="24" borderId="45" xfId="0" applyFill="1" applyBorder="1"/>
    <xf numFmtId="2" fontId="0" fillId="24" borderId="22" xfId="0" applyNumberFormat="1" applyFill="1" applyBorder="1" applyAlignment="1">
      <alignment horizontal="center" vertical="center"/>
    </xf>
    <xf numFmtId="0" fontId="0" fillId="24" borderId="23" xfId="0" applyFill="1" applyBorder="1"/>
    <xf numFmtId="2" fontId="42" fillId="24" borderId="25" xfId="0" applyNumberFormat="1" applyFont="1" applyFill="1" applyBorder="1" applyAlignment="1">
      <alignment horizontal="center" vertical="center"/>
    </xf>
    <xf numFmtId="0" fontId="35" fillId="26" borderId="12" xfId="0" applyFont="1" applyFill="1" applyBorder="1" applyAlignment="1">
      <alignment vertical="center"/>
    </xf>
    <xf numFmtId="0" fontId="35" fillId="26" borderId="8" xfId="0" applyFont="1" applyFill="1" applyBorder="1" applyAlignment="1">
      <alignment vertical="center" shrinkToFit="1"/>
    </xf>
    <xf numFmtId="2" fontId="35" fillId="26" borderId="9" xfId="0" applyNumberFormat="1" applyFont="1" applyFill="1" applyBorder="1" applyAlignment="1" applyProtection="1">
      <alignment vertical="center"/>
      <protection hidden="1"/>
    </xf>
    <xf numFmtId="0" fontId="35" fillId="26" borderId="38" xfId="0" applyFont="1" applyFill="1" applyBorder="1" applyProtection="1">
      <protection hidden="1"/>
    </xf>
    <xf numFmtId="0" fontId="35" fillId="26" borderId="30" xfId="0" applyFont="1" applyFill="1" applyBorder="1" applyProtection="1">
      <protection hidden="1"/>
    </xf>
    <xf numFmtId="0" fontId="35" fillId="26" borderId="35" xfId="0" applyFont="1" applyFill="1" applyBorder="1" applyProtection="1">
      <protection hidden="1"/>
    </xf>
    <xf numFmtId="0" fontId="35" fillId="26" borderId="36" xfId="0" applyFont="1" applyFill="1" applyBorder="1" applyProtection="1">
      <protection hidden="1"/>
    </xf>
    <xf numFmtId="0" fontId="35" fillId="26" borderId="37" xfId="0" applyFont="1" applyFill="1" applyBorder="1" applyProtection="1">
      <protection hidden="1"/>
    </xf>
    <xf numFmtId="0" fontId="0" fillId="25" borderId="10" xfId="0" applyFill="1" applyBorder="1" applyAlignment="1">
      <alignment horizontal="center" vertical="center"/>
    </xf>
    <xf numFmtId="0" fontId="7" fillId="26" borderId="32" xfId="0" applyFont="1" applyFill="1" applyBorder="1" applyAlignment="1">
      <alignment horizontal="right" vertical="center"/>
    </xf>
    <xf numFmtId="0" fontId="6" fillId="26" borderId="31" xfId="0" applyFont="1" applyFill="1" applyBorder="1" applyAlignment="1">
      <alignment vertical="center"/>
    </xf>
    <xf numFmtId="0" fontId="6" fillId="26" borderId="32" xfId="0" applyFont="1" applyFill="1" applyBorder="1" applyAlignment="1">
      <alignment horizontal="right" vertical="center"/>
    </xf>
    <xf numFmtId="0" fontId="6" fillId="26" borderId="48" xfId="0" applyFont="1" applyFill="1" applyBorder="1" applyAlignment="1">
      <alignment vertical="center"/>
    </xf>
    <xf numFmtId="0" fontId="7" fillId="26" borderId="49" xfId="0" applyFont="1" applyFill="1" applyBorder="1" applyAlignment="1">
      <alignment horizontal="right" vertical="center"/>
    </xf>
    <xf numFmtId="0" fontId="6" fillId="26" borderId="49" xfId="0" applyFont="1" applyFill="1" applyBorder="1" applyAlignment="1">
      <alignment horizontal="right" vertical="center"/>
    </xf>
    <xf numFmtId="0" fontId="6" fillId="26" borderId="14" xfId="0" applyFont="1" applyFill="1" applyBorder="1" applyAlignment="1">
      <alignment vertical="center"/>
    </xf>
    <xf numFmtId="0" fontId="6" fillId="26" borderId="15" xfId="0" applyFont="1" applyFill="1" applyBorder="1" applyAlignment="1">
      <alignment horizontal="right" vertical="center"/>
    </xf>
    <xf numFmtId="0" fontId="35" fillId="26" borderId="38" xfId="0" applyFont="1" applyFill="1" applyBorder="1" applyAlignment="1" applyProtection="1">
      <alignment vertical="top"/>
      <protection hidden="1"/>
    </xf>
    <xf numFmtId="0" fontId="35" fillId="26" borderId="30" xfId="0" applyFont="1" applyFill="1" applyBorder="1" applyAlignment="1" applyProtection="1">
      <alignment vertical="top"/>
      <protection hidden="1"/>
    </xf>
    <xf numFmtId="0" fontId="35" fillId="26" borderId="39" xfId="0" applyFont="1" applyFill="1" applyBorder="1" applyAlignment="1" applyProtection="1">
      <alignment vertical="top"/>
      <protection hidden="1"/>
    </xf>
    <xf numFmtId="0" fontId="35" fillId="26" borderId="34" xfId="0" applyFont="1" applyFill="1" applyBorder="1" applyAlignment="1" applyProtection="1">
      <alignment vertical="top"/>
      <protection hidden="1"/>
    </xf>
    <xf numFmtId="0" fontId="35" fillId="26" borderId="40" xfId="0" applyFont="1" applyFill="1" applyBorder="1" applyAlignment="1" applyProtection="1">
      <alignment vertical="top"/>
      <protection hidden="1"/>
    </xf>
    <xf numFmtId="0" fontId="0" fillId="24" borderId="0" xfId="0" applyFill="1"/>
    <xf numFmtId="0" fontId="9" fillId="26" borderId="15" xfId="0" applyFont="1" applyFill="1" applyBorder="1" applyAlignment="1" applyProtection="1">
      <alignment horizontal="right" vertical="center"/>
      <protection hidden="1"/>
    </xf>
    <xf numFmtId="0" fontId="7" fillId="26" borderId="15" xfId="0" applyFont="1" applyFill="1" applyBorder="1" applyAlignment="1">
      <alignment horizontal="right" vertical="center"/>
    </xf>
    <xf numFmtId="0" fontId="35" fillId="26" borderId="12" xfId="0" applyFont="1" applyFill="1" applyBorder="1" applyAlignment="1">
      <alignment horizontal="right" vertical="center"/>
    </xf>
    <xf numFmtId="0" fontId="0" fillId="25" borderId="10" xfId="0" applyFill="1" applyBorder="1"/>
    <xf numFmtId="0" fontId="9" fillId="0" borderId="10" xfId="0" applyFont="1" applyBorder="1"/>
    <xf numFmtId="0" fontId="47" fillId="24" borderId="12" xfId="0" applyFont="1" applyFill="1" applyBorder="1" applyAlignment="1" applyProtection="1">
      <alignment horizontal="right" vertical="center"/>
      <protection hidden="1"/>
    </xf>
    <xf numFmtId="0" fontId="9" fillId="25" borderId="10" xfId="0" applyFont="1" applyFill="1" applyBorder="1"/>
    <xf numFmtId="0" fontId="0" fillId="0" borderId="10" xfId="0" applyBorder="1"/>
    <xf numFmtId="0" fontId="9" fillId="25" borderId="0" xfId="0" applyFont="1" applyFill="1"/>
    <xf numFmtId="0" fontId="7" fillId="26" borderId="8" xfId="0" applyFont="1" applyFill="1" applyBorder="1" applyAlignment="1">
      <alignment vertical="center"/>
    </xf>
    <xf numFmtId="0" fontId="8" fillId="26" borderId="8" xfId="0" applyFont="1" applyFill="1" applyBorder="1" applyAlignment="1">
      <alignment vertical="center"/>
    </xf>
    <xf numFmtId="0" fontId="9" fillId="26" borderId="14" xfId="0" applyFont="1" applyFill="1" applyBorder="1" applyAlignment="1" applyProtection="1">
      <alignment vertical="center"/>
      <protection hidden="1"/>
    </xf>
    <xf numFmtId="0" fontId="9" fillId="26" borderId="15" xfId="0" applyFont="1" applyFill="1" applyBorder="1" applyAlignment="1" applyProtection="1">
      <alignment vertical="center"/>
      <protection hidden="1"/>
    </xf>
    <xf numFmtId="0" fontId="5" fillId="26" borderId="8" xfId="0" applyFont="1" applyFill="1" applyBorder="1" applyAlignment="1">
      <alignment vertical="center"/>
    </xf>
    <xf numFmtId="0" fontId="5" fillId="26" borderId="14" xfId="0" applyFont="1" applyFill="1" applyBorder="1" applyAlignment="1">
      <alignment vertical="center"/>
    </xf>
    <xf numFmtId="0" fontId="5" fillId="26" borderId="15" xfId="0" applyFont="1" applyFill="1" applyBorder="1" applyAlignment="1">
      <alignment vertical="center"/>
    </xf>
    <xf numFmtId="0" fontId="5" fillId="26" borderId="15" xfId="0" applyFont="1" applyFill="1" applyBorder="1" applyAlignment="1">
      <alignment horizontal="right" vertical="center"/>
    </xf>
    <xf numFmtId="0" fontId="9" fillId="26" borderId="8" xfId="0" applyFont="1" applyFill="1" applyBorder="1" applyAlignment="1" applyProtection="1">
      <alignment vertical="center"/>
      <protection hidden="1"/>
    </xf>
    <xf numFmtId="0" fontId="0" fillId="24" borderId="10" xfId="0" applyFill="1" applyBorder="1"/>
    <xf numFmtId="0" fontId="5" fillId="26" borderId="15" xfId="0" applyFont="1" applyFill="1" applyBorder="1" applyAlignment="1">
      <alignment horizontal="left" vertical="center"/>
    </xf>
    <xf numFmtId="0" fontId="35" fillId="26" borderId="12" xfId="41" applyFont="1" applyFill="1" applyBorder="1" applyAlignment="1" applyProtection="1">
      <alignment vertical="center"/>
      <protection locked="0"/>
    </xf>
    <xf numFmtId="0" fontId="36" fillId="26" borderId="12" xfId="41" applyFont="1" applyFill="1" applyBorder="1" applyAlignment="1" applyProtection="1">
      <alignment vertical="center"/>
      <protection locked="0"/>
    </xf>
    <xf numFmtId="0" fontId="42" fillId="25" borderId="0" xfId="0" applyFont="1" applyFill="1" applyAlignment="1">
      <alignment textRotation="90"/>
    </xf>
    <xf numFmtId="0" fontId="35" fillId="26" borderId="15" xfId="41" applyFont="1" applyFill="1" applyBorder="1" applyAlignment="1">
      <alignment horizontal="right" vertical="center"/>
    </xf>
    <xf numFmtId="164" fontId="45" fillId="24" borderId="15" xfId="0" applyNumberFormat="1" applyFont="1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9" fillId="25" borderId="21" xfId="0" applyFont="1" applyFill="1" applyBorder="1" applyAlignment="1">
      <alignment horizontal="center" vertical="center"/>
    </xf>
    <xf numFmtId="0" fontId="9" fillId="25" borderId="22" xfId="0" applyFont="1" applyFill="1" applyBorder="1" applyAlignment="1">
      <alignment horizontal="center" vertical="center"/>
    </xf>
    <xf numFmtId="2" fontId="0" fillId="25" borderId="73" xfId="0" applyNumberFormat="1" applyFill="1" applyBorder="1" applyAlignment="1">
      <alignment horizontal="center" vertical="center"/>
    </xf>
    <xf numFmtId="0" fontId="9" fillId="25" borderId="23" xfId="0" applyFont="1" applyFill="1" applyBorder="1"/>
    <xf numFmtId="0" fontId="9" fillId="25" borderId="24" xfId="0" applyFont="1" applyFill="1" applyBorder="1"/>
    <xf numFmtId="164" fontId="0" fillId="25" borderId="10" xfId="0" applyNumberFormat="1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9" fillId="25" borderId="73" xfId="0" applyFont="1" applyFill="1" applyBorder="1" applyAlignment="1">
      <alignment horizontal="center" vertical="center"/>
    </xf>
    <xf numFmtId="0" fontId="9" fillId="25" borderId="23" xfId="0" applyFont="1" applyFill="1" applyBorder="1" applyAlignment="1">
      <alignment horizontal="center" vertical="center"/>
    </xf>
    <xf numFmtId="0" fontId="0" fillId="25" borderId="74" xfId="0" applyFill="1" applyBorder="1" applyAlignment="1">
      <alignment horizontal="center" vertical="center"/>
    </xf>
    <xf numFmtId="0" fontId="9" fillId="25" borderId="24" xfId="0" applyFont="1" applyFill="1" applyBorder="1" applyAlignment="1">
      <alignment horizontal="center" vertical="center"/>
    </xf>
    <xf numFmtId="2" fontId="0" fillId="25" borderId="25" xfId="0" applyNumberFormat="1" applyFill="1" applyBorder="1" applyAlignment="1">
      <alignment horizontal="center" vertical="center"/>
    </xf>
    <xf numFmtId="164" fontId="53" fillId="25" borderId="75" xfId="0" applyNumberFormat="1" applyFont="1" applyFill="1" applyBorder="1" applyAlignment="1">
      <alignment horizontal="center" vertical="center"/>
    </xf>
    <xf numFmtId="0" fontId="9" fillId="25" borderId="77" xfId="0" applyFont="1" applyFill="1" applyBorder="1" applyAlignment="1">
      <alignment horizontal="center" vertical="center"/>
    </xf>
    <xf numFmtId="0" fontId="3" fillId="26" borderId="8" xfId="0" applyFont="1" applyFill="1" applyBorder="1" applyAlignment="1">
      <alignment vertical="center"/>
    </xf>
    <xf numFmtId="0" fontId="6" fillId="26" borderId="8" xfId="0" applyFont="1" applyFill="1" applyBorder="1" applyAlignment="1">
      <alignment vertical="center"/>
    </xf>
    <xf numFmtId="0" fontId="3" fillId="26" borderId="17" xfId="0" applyFont="1" applyFill="1" applyBorder="1" applyAlignment="1">
      <alignment vertical="center"/>
    </xf>
    <xf numFmtId="0" fontId="7" fillId="26" borderId="12" xfId="0" applyFont="1" applyFill="1" applyBorder="1" applyAlignment="1">
      <alignment vertical="center"/>
    </xf>
    <xf numFmtId="0" fontId="3" fillId="26" borderId="78" xfId="0" applyFont="1" applyFill="1" applyBorder="1" applyAlignment="1">
      <alignment vertical="center"/>
    </xf>
    <xf numFmtId="0" fontId="7" fillId="26" borderId="79" xfId="0" applyFont="1" applyFill="1" applyBorder="1" applyAlignment="1">
      <alignment vertical="center"/>
    </xf>
    <xf numFmtId="0" fontId="6" fillId="26" borderId="81" xfId="0" applyFont="1" applyFill="1" applyBorder="1" applyAlignment="1">
      <alignment vertical="center"/>
    </xf>
    <xf numFmtId="0" fontId="7" fillId="26" borderId="82" xfId="0" applyFont="1" applyFill="1" applyBorder="1" applyAlignment="1">
      <alignment horizontal="right" vertical="center"/>
    </xf>
    <xf numFmtId="0" fontId="6" fillId="26" borderId="78" xfId="0" applyFont="1" applyFill="1" applyBorder="1" applyAlignment="1">
      <alignment vertical="center"/>
    </xf>
    <xf numFmtId="0" fontId="7" fillId="26" borderId="79" xfId="0" applyFont="1" applyFill="1" applyBorder="1" applyAlignment="1">
      <alignment horizontal="right" vertical="center"/>
    </xf>
    <xf numFmtId="0" fontId="6" fillId="26" borderId="82" xfId="0" applyFont="1" applyFill="1" applyBorder="1" applyAlignment="1">
      <alignment horizontal="right" vertical="center"/>
    </xf>
    <xf numFmtId="0" fontId="6" fillId="26" borderId="79" xfId="0" applyFont="1" applyFill="1" applyBorder="1" applyAlignment="1">
      <alignment horizontal="right" vertical="center"/>
    </xf>
    <xf numFmtId="164" fontId="0" fillId="25" borderId="74" xfId="0" applyNumberFormat="1" applyFill="1" applyBorder="1" applyAlignment="1">
      <alignment horizontal="center" vertical="center"/>
    </xf>
    <xf numFmtId="164" fontId="0" fillId="25" borderId="25" xfId="0" applyNumberFormat="1" applyFill="1" applyBorder="1" applyAlignment="1">
      <alignment horizontal="center" vertical="center"/>
    </xf>
    <xf numFmtId="164" fontId="0" fillId="25" borderId="75" xfId="0" applyNumberFormat="1" applyFill="1" applyBorder="1" applyAlignment="1">
      <alignment horizontal="center" vertical="center"/>
    </xf>
    <xf numFmtId="0" fontId="9" fillId="25" borderId="0" xfId="0" applyFont="1" applyFill="1" applyAlignment="1">
      <alignment horizontal="center" vertical="center"/>
    </xf>
    <xf numFmtId="2" fontId="0" fillId="25" borderId="0" xfId="0" applyNumberFormat="1" applyFill="1" applyAlignment="1">
      <alignment horizontal="center" vertical="center"/>
    </xf>
    <xf numFmtId="0" fontId="9" fillId="25" borderId="22" xfId="0" applyFont="1" applyFill="1" applyBorder="1"/>
    <xf numFmtId="0" fontId="0" fillId="25" borderId="25" xfId="0" applyFill="1" applyBorder="1"/>
    <xf numFmtId="2" fontId="0" fillId="25" borderId="75" xfId="0" applyNumberFormat="1" applyFill="1" applyBorder="1" applyAlignment="1">
      <alignment horizontal="center" vertical="center"/>
    </xf>
    <xf numFmtId="0" fontId="53" fillId="25" borderId="74" xfId="0" applyFont="1" applyFill="1" applyBorder="1" applyAlignment="1">
      <alignment horizontal="center" vertical="center"/>
    </xf>
    <xf numFmtId="164" fontId="53" fillId="25" borderId="0" xfId="0" applyNumberFormat="1" applyFont="1" applyFill="1" applyAlignment="1">
      <alignment horizontal="center" vertical="center"/>
    </xf>
    <xf numFmtId="0" fontId="34" fillId="24" borderId="15" xfId="0" applyFont="1" applyFill="1" applyBorder="1" applyAlignment="1">
      <alignment vertical="center"/>
    </xf>
    <xf numFmtId="0" fontId="35" fillId="26" borderId="39" xfId="0" applyFont="1" applyFill="1" applyBorder="1" applyProtection="1">
      <protection hidden="1"/>
    </xf>
    <xf numFmtId="0" fontId="35" fillId="26" borderId="34" xfId="0" applyFont="1" applyFill="1" applyBorder="1" applyProtection="1">
      <protection hidden="1"/>
    </xf>
    <xf numFmtId="0" fontId="35" fillId="26" borderId="40" xfId="0" applyFont="1" applyFill="1" applyBorder="1" applyProtection="1">
      <protection hidden="1"/>
    </xf>
    <xf numFmtId="0" fontId="35" fillId="24" borderId="0" xfId="0" applyFont="1" applyFill="1" applyAlignment="1" applyProtection="1">
      <alignment horizontal="right" vertical="center"/>
      <protection hidden="1"/>
    </xf>
    <xf numFmtId="2" fontId="35" fillId="24" borderId="0" xfId="0" applyNumberFormat="1" applyFont="1" applyFill="1" applyAlignment="1" applyProtection="1">
      <alignment horizontal="center" vertical="center"/>
      <protection hidden="1"/>
    </xf>
    <xf numFmtId="0" fontId="35" fillId="24" borderId="0" xfId="0" applyFont="1" applyFill="1" applyAlignment="1" applyProtection="1">
      <alignment horizontal="center" vertical="center"/>
      <protection hidden="1"/>
    </xf>
    <xf numFmtId="0" fontId="35" fillId="24" borderId="0" xfId="0" applyFont="1" applyFill="1" applyAlignment="1" applyProtection="1">
      <alignment vertical="center"/>
      <protection hidden="1"/>
    </xf>
    <xf numFmtId="0" fontId="35" fillId="26" borderId="0" xfId="0" applyFont="1" applyFill="1" applyProtection="1">
      <protection hidden="1"/>
    </xf>
    <xf numFmtId="0" fontId="47" fillId="24" borderId="0" xfId="0" applyFont="1" applyFill="1" applyAlignment="1" applyProtection="1">
      <alignment horizontal="right" vertical="center"/>
      <protection hidden="1"/>
    </xf>
    <xf numFmtId="0" fontId="34" fillId="24" borderId="0" xfId="0" applyFont="1" applyFill="1" applyAlignment="1">
      <alignment vertical="center"/>
    </xf>
    <xf numFmtId="0" fontId="36" fillId="24" borderId="0" xfId="0" applyFont="1" applyFill="1" applyAlignment="1">
      <alignment vertical="center"/>
    </xf>
    <xf numFmtId="2" fontId="36" fillId="24" borderId="0" xfId="0" applyNumberFormat="1" applyFont="1" applyFill="1" applyAlignment="1">
      <alignment vertical="center"/>
    </xf>
    <xf numFmtId="0" fontId="35" fillId="24" borderId="0" xfId="0" applyFont="1" applyFill="1" applyAlignment="1">
      <alignment vertical="center" shrinkToFit="1"/>
    </xf>
    <xf numFmtId="0" fontId="7" fillId="26" borderId="0" xfId="0" applyFont="1" applyFill="1" applyAlignment="1">
      <alignment vertical="center"/>
    </xf>
    <xf numFmtId="0" fontId="7" fillId="26" borderId="0" xfId="0" applyFont="1" applyFill="1" applyAlignment="1">
      <alignment horizontal="right" vertical="center"/>
    </xf>
    <xf numFmtId="0" fontId="4" fillId="26" borderId="0" xfId="0" applyFont="1" applyFill="1" applyAlignment="1">
      <alignment horizontal="right" vertical="center"/>
    </xf>
    <xf numFmtId="0" fontId="35" fillId="24" borderId="0" xfId="0" applyFont="1" applyFill="1" applyAlignment="1">
      <alignment horizontal="left" vertical="center" indent="1"/>
    </xf>
    <xf numFmtId="0" fontId="38" fillId="24" borderId="0" xfId="0" applyFont="1" applyFill="1" applyAlignment="1" applyProtection="1">
      <alignment horizontal="left" vertical="center"/>
      <protection hidden="1"/>
    </xf>
    <xf numFmtId="0" fontId="8" fillId="26" borderId="0" xfId="0" applyFont="1" applyFill="1" applyAlignment="1">
      <alignment vertical="center"/>
    </xf>
    <xf numFmtId="0" fontId="4" fillId="26" borderId="0" xfId="0" applyFont="1" applyFill="1" applyAlignment="1">
      <alignment vertical="center"/>
    </xf>
    <xf numFmtId="0" fontId="0" fillId="26" borderId="0" xfId="0" applyFill="1" applyProtection="1">
      <protection hidden="1"/>
    </xf>
    <xf numFmtId="0" fontId="35" fillId="26" borderId="0" xfId="0" applyFont="1" applyFill="1" applyAlignment="1">
      <alignment horizontal="right" vertical="center"/>
    </xf>
    <xf numFmtId="0" fontId="35" fillId="26" borderId="0" xfId="0" applyFont="1" applyFill="1" applyAlignment="1">
      <alignment vertical="center" shrinkToFit="1"/>
    </xf>
    <xf numFmtId="0" fontId="9" fillId="26" borderId="0" xfId="0" applyFont="1" applyFill="1" applyAlignment="1" applyProtection="1">
      <alignment vertical="center"/>
      <protection hidden="1"/>
    </xf>
    <xf numFmtId="0" fontId="9" fillId="26" borderId="0" xfId="0" applyFont="1" applyFill="1" applyAlignment="1" applyProtection="1">
      <alignment horizontal="right" vertical="center"/>
      <protection hidden="1"/>
    </xf>
    <xf numFmtId="0" fontId="6" fillId="26" borderId="0" xfId="0" applyFont="1" applyFill="1" applyAlignment="1">
      <alignment vertical="center"/>
    </xf>
    <xf numFmtId="0" fontId="35" fillId="24" borderId="42" xfId="0" applyFont="1" applyFill="1" applyBorder="1" applyProtection="1">
      <protection hidden="1"/>
    </xf>
    <xf numFmtId="164" fontId="45" fillId="24" borderId="0" xfId="0" applyNumberFormat="1" applyFont="1" applyFill="1" applyAlignment="1">
      <alignment horizontal="center" vertical="center"/>
    </xf>
    <xf numFmtId="0" fontId="6" fillId="26" borderId="0" xfId="0" applyFont="1" applyFill="1" applyAlignment="1">
      <alignment horizontal="right" vertical="center"/>
    </xf>
    <xf numFmtId="0" fontId="35" fillId="24" borderId="84" xfId="0" applyFont="1" applyFill="1" applyBorder="1" applyProtection="1">
      <protection hidden="1"/>
    </xf>
    <xf numFmtId="2" fontId="35" fillId="24" borderId="85" xfId="0" applyNumberFormat="1" applyFont="1" applyFill="1" applyBorder="1" applyProtection="1">
      <protection hidden="1"/>
    </xf>
    <xf numFmtId="0" fontId="8" fillId="24" borderId="0" xfId="0" applyFont="1" applyFill="1" applyAlignment="1">
      <alignment vertical="center"/>
    </xf>
    <xf numFmtId="2" fontId="35" fillId="24" borderId="0" xfId="0" applyNumberFormat="1" applyFont="1" applyFill="1" applyAlignment="1" applyProtection="1">
      <alignment vertical="center"/>
      <protection hidden="1"/>
    </xf>
    <xf numFmtId="0" fontId="55" fillId="24" borderId="0" xfId="0" applyFont="1" applyFill="1" applyAlignment="1" applyProtection="1">
      <alignment horizontal="right" vertical="center" indent="1"/>
      <protection hidden="1"/>
    </xf>
    <xf numFmtId="0" fontId="35" fillId="26" borderId="0" xfId="0" applyFont="1" applyFill="1" applyAlignment="1" applyProtection="1">
      <alignment vertical="top"/>
      <protection hidden="1"/>
    </xf>
    <xf numFmtId="0" fontId="55" fillId="24" borderId="0" xfId="0" applyFont="1" applyFill="1" applyAlignment="1" applyProtection="1">
      <alignment horizontal="left" vertical="center"/>
      <protection hidden="1"/>
    </xf>
    <xf numFmtId="0" fontId="44" fillId="24" borderId="0" xfId="0" applyFont="1" applyFill="1" applyAlignment="1" applyProtection="1">
      <alignment horizontal="left" vertical="center"/>
      <protection hidden="1"/>
    </xf>
    <xf numFmtId="0" fontId="35" fillId="24" borderId="39" xfId="0" applyFont="1" applyFill="1" applyBorder="1" applyProtection="1">
      <protection hidden="1"/>
    </xf>
    <xf numFmtId="0" fontId="35" fillId="24" borderId="86" xfId="0" applyFont="1" applyFill="1" applyBorder="1" applyAlignment="1" applyProtection="1">
      <alignment vertical="center"/>
      <protection hidden="1"/>
    </xf>
    <xf numFmtId="0" fontId="35" fillId="24" borderId="34" xfId="0" applyFont="1" applyFill="1" applyBorder="1" applyAlignment="1" applyProtection="1">
      <alignment vertical="center"/>
      <protection hidden="1"/>
    </xf>
    <xf numFmtId="0" fontId="35" fillId="24" borderId="88" xfId="0" applyFont="1" applyFill="1" applyBorder="1" applyAlignment="1" applyProtection="1">
      <alignment vertical="center"/>
      <protection hidden="1"/>
    </xf>
    <xf numFmtId="0" fontId="35" fillId="24" borderId="40" xfId="0" applyFont="1" applyFill="1" applyBorder="1" applyProtection="1">
      <protection hidden="1"/>
    </xf>
    <xf numFmtId="0" fontId="3" fillId="26" borderId="81" xfId="0" applyFont="1" applyFill="1" applyBorder="1" applyAlignment="1">
      <alignment vertical="center"/>
    </xf>
    <xf numFmtId="0" fontId="6" fillId="26" borderId="82" xfId="0" applyFont="1" applyFill="1" applyBorder="1" applyAlignment="1">
      <alignment vertical="center"/>
    </xf>
    <xf numFmtId="0" fontId="3" fillId="26" borderId="48" xfId="0" applyFont="1" applyFill="1" applyBorder="1" applyAlignment="1">
      <alignment vertical="center"/>
    </xf>
    <xf numFmtId="0" fontId="6" fillId="26" borderId="49" xfId="0" applyFont="1" applyFill="1" applyBorder="1" applyAlignment="1">
      <alignment vertical="center"/>
    </xf>
    <xf numFmtId="0" fontId="5" fillId="26" borderId="0" xfId="0" applyFont="1" applyFill="1" applyAlignment="1">
      <alignment horizontal="right" vertical="center"/>
    </xf>
    <xf numFmtId="0" fontId="9" fillId="30" borderId="10" xfId="41" applyFill="1" applyBorder="1"/>
    <xf numFmtId="0" fontId="9" fillId="0" borderId="10" xfId="41" applyBorder="1" applyAlignment="1">
      <alignment horizontal="center" vertical="center"/>
    </xf>
    <xf numFmtId="0" fontId="5" fillId="26" borderId="0" xfId="0" applyFont="1" applyFill="1" applyAlignment="1">
      <alignment vertical="center"/>
    </xf>
    <xf numFmtId="0" fontId="5" fillId="26" borderId="0" xfId="0" applyFont="1" applyFill="1" applyAlignment="1">
      <alignment horizontal="left" vertical="center"/>
    </xf>
    <xf numFmtId="9" fontId="9" fillId="0" borderId="10" xfId="41" applyNumberFormat="1" applyBorder="1" applyAlignment="1">
      <alignment horizontal="center" vertical="center"/>
    </xf>
    <xf numFmtId="168" fontId="42" fillId="0" borderId="10" xfId="41" applyNumberFormat="1" applyFont="1" applyBorder="1" applyAlignment="1">
      <alignment horizontal="center" vertical="center"/>
    </xf>
    <xf numFmtId="0" fontId="23" fillId="4" borderId="10" xfId="33" applyBorder="1" applyAlignment="1">
      <alignment horizontal="center" vertical="center"/>
    </xf>
    <xf numFmtId="0" fontId="9" fillId="24" borderId="0" xfId="0" applyFont="1" applyFill="1" applyAlignment="1">
      <alignment vertical="center"/>
    </xf>
    <xf numFmtId="0" fontId="9" fillId="31" borderId="0" xfId="0" applyFont="1" applyFill="1" applyAlignment="1">
      <alignment vertical="center"/>
    </xf>
    <xf numFmtId="0" fontId="57" fillId="31" borderId="0" xfId="0" applyFont="1" applyFill="1" applyAlignment="1">
      <alignment vertical="center" wrapText="1"/>
    </xf>
    <xf numFmtId="0" fontId="59" fillId="31" borderId="0" xfId="0" applyFont="1" applyFill="1" applyAlignment="1">
      <alignment horizontal="center" vertical="center"/>
    </xf>
    <xf numFmtId="0" fontId="59" fillId="24" borderId="0" xfId="0" applyFont="1" applyFill="1" applyAlignment="1">
      <alignment horizontal="center" vertical="center"/>
    </xf>
    <xf numFmtId="0" fontId="61" fillId="24" borderId="0" xfId="0" applyFont="1" applyFill="1" applyAlignment="1">
      <alignment horizontal="center" vertical="center"/>
    </xf>
    <xf numFmtId="0" fontId="9" fillId="24" borderId="0" xfId="0" applyFont="1" applyFill="1" applyAlignment="1">
      <alignment horizontal="left" vertical="center" indent="1"/>
    </xf>
    <xf numFmtId="2" fontId="62" fillId="24" borderId="0" xfId="0" applyNumberFormat="1" applyFont="1" applyFill="1" applyAlignment="1">
      <alignment horizontal="left" vertical="center"/>
    </xf>
    <xf numFmtId="0" fontId="9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62" fillId="24" borderId="0" xfId="0" applyNumberFormat="1" applyFont="1" applyFill="1" applyAlignment="1" applyProtection="1">
      <alignment horizontal="left" vertical="center"/>
      <protection locked="0"/>
    </xf>
    <xf numFmtId="2" fontId="9" fillId="24" borderId="0" xfId="0" applyNumberFormat="1" applyFont="1" applyFill="1" applyAlignment="1" applyProtection="1">
      <alignment horizontal="left" vertical="center"/>
      <protection locked="0"/>
    </xf>
    <xf numFmtId="0" fontId="10" fillId="24" borderId="0" xfId="0" applyFont="1" applyFill="1" applyAlignment="1">
      <alignment horizontal="left" vertical="center"/>
    </xf>
    <xf numFmtId="0" fontId="63" fillId="24" borderId="0" xfId="0" applyFont="1" applyFill="1" applyAlignment="1">
      <alignment horizontal="left" vertical="center"/>
    </xf>
    <xf numFmtId="2" fontId="10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63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164" fontId="9" fillId="24" borderId="0" xfId="0" applyNumberFormat="1" applyFont="1" applyFill="1" applyAlignment="1" applyProtection="1">
      <alignment horizontal="right" vertical="center"/>
      <protection locked="0"/>
    </xf>
    <xf numFmtId="164" fontId="9" fillId="24" borderId="0" xfId="0" applyNumberFormat="1" applyFont="1" applyFill="1" applyAlignment="1" applyProtection="1">
      <alignment horizontal="right" vertical="center"/>
      <protection hidden="1"/>
    </xf>
    <xf numFmtId="2" fontId="9" fillId="24" borderId="0" xfId="0" applyNumberFormat="1" applyFont="1" applyFill="1" applyAlignment="1" applyProtection="1">
      <alignment horizontal="right" vertical="center"/>
      <protection hidden="1"/>
    </xf>
    <xf numFmtId="0" fontId="9" fillId="24" borderId="0" xfId="0" applyFont="1" applyFill="1" applyAlignment="1">
      <alignment horizontal="right" vertical="center"/>
    </xf>
    <xf numFmtId="0" fontId="9" fillId="31" borderId="0" xfId="0" applyFont="1" applyFill="1" applyAlignment="1">
      <alignment horizontal="right" vertical="center"/>
    </xf>
    <xf numFmtId="0" fontId="9" fillId="24" borderId="0" xfId="0" applyFont="1" applyFill="1" applyAlignment="1">
      <alignment horizontal="center" vertical="center"/>
    </xf>
    <xf numFmtId="164" fontId="66" fillId="24" borderId="0" xfId="0" applyNumberFormat="1" applyFont="1" applyFill="1" applyAlignment="1">
      <alignment horizontal="right" vertical="center"/>
    </xf>
    <xf numFmtId="166" fontId="62" fillId="24" borderId="0" xfId="0" applyNumberFormat="1" applyFont="1" applyFill="1" applyAlignment="1">
      <alignment horizontal="right" vertical="center"/>
    </xf>
    <xf numFmtId="164" fontId="9" fillId="24" borderId="0" xfId="0" applyNumberFormat="1" applyFont="1" applyFill="1" applyAlignment="1">
      <alignment horizontal="right" vertical="center"/>
    </xf>
    <xf numFmtId="164" fontId="67" fillId="32" borderId="0" xfId="48" applyNumberFormat="1" applyBorder="1" applyAlignment="1" applyProtection="1">
      <alignment horizontal="right" vertical="center"/>
      <protection hidden="1"/>
    </xf>
    <xf numFmtId="0" fontId="9" fillId="31" borderId="0" xfId="0" applyFont="1" applyFill="1" applyAlignment="1">
      <alignment horizontal="left" vertical="center"/>
    </xf>
    <xf numFmtId="0" fontId="68" fillId="31" borderId="0" xfId="0" applyFont="1" applyFill="1" applyAlignment="1">
      <alignment vertical="center"/>
    </xf>
    <xf numFmtId="166" fontId="9" fillId="24" borderId="0" xfId="0" applyNumberFormat="1" applyFont="1" applyFill="1" applyAlignment="1">
      <alignment vertical="center"/>
    </xf>
    <xf numFmtId="0" fontId="69" fillId="0" borderId="10" xfId="49" applyFont="1" applyBorder="1" applyAlignment="1">
      <alignment horizontal="center" vertical="center"/>
    </xf>
    <xf numFmtId="0" fontId="73" fillId="0" borderId="10" xfId="49" applyFont="1" applyBorder="1" applyAlignment="1">
      <alignment horizontal="center" vertical="center"/>
    </xf>
    <xf numFmtId="0" fontId="76" fillId="0" borderId="10" xfId="49" applyFont="1" applyBorder="1" applyAlignment="1">
      <alignment horizontal="center" vertical="center"/>
    </xf>
    <xf numFmtId="0" fontId="9" fillId="0" borderId="10" xfId="49" applyBorder="1" applyAlignment="1">
      <alignment horizontal="center" vertical="center"/>
    </xf>
    <xf numFmtId="0" fontId="72" fillId="0" borderId="10" xfId="49" applyFont="1" applyBorder="1" applyAlignment="1">
      <alignment horizontal="center" vertical="center"/>
    </xf>
    <xf numFmtId="0" fontId="72" fillId="0" borderId="10" xfId="49" applyFont="1" applyBorder="1" applyAlignment="1">
      <alignment horizontal="left" vertical="center"/>
    </xf>
    <xf numFmtId="2" fontId="72" fillId="0" borderId="10" xfId="49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7" fillId="0" borderId="0" xfId="50"/>
    <xf numFmtId="0" fontId="9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9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8" fillId="28" borderId="0" xfId="0" applyFont="1" applyFill="1" applyAlignment="1">
      <alignment horizontal="center" vertical="center"/>
    </xf>
    <xf numFmtId="0" fontId="60" fillId="24" borderId="0" xfId="0" applyFont="1" applyFill="1" applyAlignment="1">
      <alignment horizontal="left" vertical="center" indent="1"/>
    </xf>
    <xf numFmtId="0" fontId="62" fillId="24" borderId="0" xfId="0" applyFont="1" applyFill="1" applyAlignment="1" applyProtection="1">
      <alignment horizontal="left" vertical="center"/>
      <protection locked="0"/>
    </xf>
    <xf numFmtId="0" fontId="56" fillId="0" borderId="0" xfId="0" applyFont="1" applyAlignment="1">
      <alignment horizontal="left" vertical="center"/>
    </xf>
    <xf numFmtId="0" fontId="64" fillId="31" borderId="0" xfId="0" applyFont="1" applyFill="1" applyAlignment="1">
      <alignment horizontal="center" vertical="center"/>
    </xf>
    <xf numFmtId="0" fontId="9" fillId="24" borderId="0" xfId="0" applyFont="1" applyFill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25" borderId="10" xfId="0" applyNumberFormat="1" applyFill="1" applyBorder="1" applyAlignment="1" applyProtection="1">
      <alignment horizontal="center"/>
      <protection hidden="1"/>
    </xf>
    <xf numFmtId="0" fontId="4" fillId="26" borderId="10" xfId="0" applyFont="1" applyFill="1" applyBorder="1" applyAlignment="1">
      <alignment horizontal="center" vertical="center"/>
    </xf>
    <xf numFmtId="0" fontId="7" fillId="26" borderId="10" xfId="0" applyFont="1" applyFill="1" applyBorder="1" applyAlignment="1">
      <alignment horizontal="center" vertical="center"/>
    </xf>
    <xf numFmtId="0" fontId="0" fillId="25" borderId="10" xfId="0" applyFill="1" applyBorder="1" applyAlignment="1" applyProtection="1">
      <alignment horizontal="center"/>
      <protection hidden="1"/>
    </xf>
    <xf numFmtId="0" fontId="56" fillId="25" borderId="10" xfId="0" applyFont="1" applyFill="1" applyBorder="1" applyAlignment="1">
      <alignment horizontal="center" vertical="center" wrapText="1"/>
    </xf>
    <xf numFmtId="0" fontId="2" fillId="26" borderId="10" xfId="0" applyFont="1" applyFill="1" applyBorder="1" applyAlignment="1">
      <alignment horizontal="center" vertical="center"/>
    </xf>
    <xf numFmtId="0" fontId="0" fillId="25" borderId="19" xfId="0" applyFill="1" applyBorder="1" applyAlignment="1" applyProtection="1">
      <alignment horizontal="center"/>
      <protection hidden="1"/>
    </xf>
    <xf numFmtId="0" fontId="0" fillId="25" borderId="13" xfId="0" applyFill="1" applyBorder="1" applyAlignment="1" applyProtection="1">
      <alignment horizontal="center"/>
      <protection hidden="1"/>
    </xf>
    <xf numFmtId="2" fontId="0" fillId="25" borderId="17" xfId="0" applyNumberFormat="1" applyFill="1" applyBorder="1" applyAlignment="1" applyProtection="1">
      <alignment horizontal="center"/>
      <protection hidden="1"/>
    </xf>
    <xf numFmtId="2" fontId="0" fillId="25" borderId="12" xfId="0" applyNumberFormat="1" applyFill="1" applyBorder="1" applyAlignment="1" applyProtection="1">
      <alignment horizontal="center"/>
      <protection hidden="1"/>
    </xf>
    <xf numFmtId="2" fontId="0" fillId="25" borderId="11" xfId="0" applyNumberFormat="1" applyFill="1" applyBorder="1" applyAlignment="1" applyProtection="1">
      <alignment horizontal="center"/>
      <protection hidden="1"/>
    </xf>
    <xf numFmtId="2" fontId="0" fillId="25" borderId="14" xfId="0" applyNumberFormat="1" applyFill="1" applyBorder="1" applyAlignment="1" applyProtection="1">
      <alignment horizontal="center"/>
      <protection hidden="1"/>
    </xf>
    <xf numFmtId="2" fontId="0" fillId="25" borderId="15" xfId="0" applyNumberFormat="1" applyFill="1" applyBorder="1" applyAlignment="1" applyProtection="1">
      <alignment horizontal="center"/>
      <protection hidden="1"/>
    </xf>
    <xf numFmtId="2" fontId="0" fillId="25" borderId="16" xfId="0" applyNumberFormat="1" applyFill="1" applyBorder="1" applyAlignment="1" applyProtection="1">
      <alignment horizontal="center"/>
      <protection hidden="1"/>
    </xf>
    <xf numFmtId="0" fontId="56" fillId="25" borderId="10" xfId="0" applyFont="1" applyFill="1" applyBorder="1" applyAlignment="1" applyProtection="1">
      <alignment horizontal="center" vertical="center" wrapText="1"/>
      <protection hidden="1"/>
    </xf>
    <xf numFmtId="0" fontId="78" fillId="25" borderId="10" xfId="0" applyFont="1" applyFill="1" applyBorder="1" applyAlignment="1" applyProtection="1">
      <alignment horizontal="center" vertical="center"/>
      <protection hidden="1"/>
    </xf>
    <xf numFmtId="0" fontId="9" fillId="25" borderId="10" xfId="0" applyFont="1" applyFill="1" applyBorder="1" applyAlignment="1" applyProtection="1">
      <alignment horizontal="center" vertical="center"/>
      <protection hidden="1"/>
    </xf>
    <xf numFmtId="0" fontId="0" fillId="25" borderId="10" xfId="0" applyFill="1" applyBorder="1" applyAlignment="1" applyProtection="1">
      <alignment horizontal="center" vertical="center"/>
      <protection hidden="1"/>
    </xf>
    <xf numFmtId="0" fontId="56" fillId="0" borderId="10" xfId="41" applyFont="1" applyBorder="1" applyAlignment="1">
      <alignment horizontal="center" vertical="center"/>
    </xf>
    <xf numFmtId="0" fontId="9" fillId="0" borderId="0" xfId="41" applyAlignment="1" applyProtection="1">
      <alignment horizontal="right" vertical="center"/>
      <protection hidden="1"/>
    </xf>
    <xf numFmtId="164" fontId="0" fillId="26" borderId="0" xfId="0" applyNumberFormat="1" applyFill="1" applyAlignment="1" applyProtection="1">
      <alignment horizontal="center"/>
      <protection hidden="1"/>
    </xf>
    <xf numFmtId="0" fontId="0" fillId="26" borderId="0" xfId="0" applyFill="1" applyAlignment="1" applyProtection="1">
      <alignment horizontal="center"/>
      <protection hidden="1"/>
    </xf>
    <xf numFmtId="164" fontId="7" fillId="26" borderId="49" xfId="0" applyNumberFormat="1" applyFont="1" applyFill="1" applyBorder="1" applyAlignment="1">
      <alignment horizontal="center" vertical="center"/>
    </xf>
    <xf numFmtId="164" fontId="0" fillId="26" borderId="9" xfId="0" applyNumberFormat="1" applyFill="1" applyBorder="1" applyAlignment="1" applyProtection="1">
      <alignment horizontal="center"/>
      <protection hidden="1"/>
    </xf>
    <xf numFmtId="0" fontId="34" fillId="26" borderId="19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13" xfId="0" applyFont="1" applyFill="1" applyBorder="1" applyAlignment="1">
      <alignment horizontal="center" vertical="center"/>
    </xf>
    <xf numFmtId="164" fontId="7" fillId="26" borderId="50" xfId="0" applyNumberFormat="1" applyFont="1" applyFill="1" applyBorder="1" applyAlignment="1">
      <alignment horizontal="center" vertical="center"/>
    </xf>
    <xf numFmtId="0" fontId="35" fillId="24" borderId="12" xfId="0" applyFont="1" applyFill="1" applyBorder="1" applyAlignment="1" applyProtection="1">
      <alignment horizontal="right" vertical="center"/>
      <protection hidden="1"/>
    </xf>
    <xf numFmtId="2" fontId="35" fillId="24" borderId="12" xfId="0" applyNumberFormat="1" applyFont="1" applyFill="1" applyBorder="1" applyAlignment="1" applyProtection="1">
      <alignment horizontal="center" vertical="center"/>
      <protection hidden="1"/>
    </xf>
    <xf numFmtId="0" fontId="35" fillId="24" borderId="12" xfId="0" applyFont="1" applyFill="1" applyBorder="1" applyAlignment="1" applyProtection="1">
      <alignment horizontal="center" vertical="center"/>
      <protection hidden="1"/>
    </xf>
    <xf numFmtId="164" fontId="35" fillId="26" borderId="0" xfId="0" applyNumberFormat="1" applyFont="1" applyFill="1" applyAlignment="1">
      <alignment horizontal="center" vertical="center" shrinkToFit="1"/>
    </xf>
    <xf numFmtId="2" fontId="8" fillId="24" borderId="34" xfId="0" applyNumberFormat="1" applyFont="1" applyFill="1" applyBorder="1" applyAlignment="1" applyProtection="1">
      <alignment horizontal="center" vertical="center" shrinkToFit="1"/>
      <protection hidden="1"/>
    </xf>
    <xf numFmtId="2" fontId="35" fillId="24" borderId="0" xfId="0" applyNumberFormat="1" applyFont="1" applyFill="1" applyAlignment="1" applyProtection="1">
      <alignment horizontal="center" vertical="center" shrinkToFit="1"/>
      <protection hidden="1"/>
    </xf>
    <xf numFmtId="0" fontId="35" fillId="26" borderId="35" xfId="0" applyFont="1" applyFill="1" applyBorder="1" applyAlignment="1" applyProtection="1">
      <alignment horizontal="center"/>
      <protection hidden="1"/>
    </xf>
    <xf numFmtId="0" fontId="35" fillId="26" borderId="36" xfId="0" applyFont="1" applyFill="1" applyBorder="1" applyAlignment="1" applyProtection="1">
      <alignment horizontal="center"/>
      <protection hidden="1"/>
    </xf>
    <xf numFmtId="0" fontId="35" fillId="26" borderId="37" xfId="0" applyFont="1" applyFill="1" applyBorder="1" applyAlignment="1" applyProtection="1">
      <alignment horizontal="center"/>
      <protection hidden="1"/>
    </xf>
    <xf numFmtId="0" fontId="54" fillId="26" borderId="38" xfId="0" applyFont="1" applyFill="1" applyBorder="1" applyAlignment="1" applyProtection="1">
      <alignment horizontal="center"/>
      <protection hidden="1"/>
    </xf>
    <xf numFmtId="0" fontId="54" fillId="26" borderId="0" xfId="0" applyFont="1" applyFill="1" applyAlignment="1" applyProtection="1">
      <alignment horizontal="center"/>
      <protection hidden="1"/>
    </xf>
    <xf numFmtId="0" fontId="54" fillId="26" borderId="30" xfId="0" applyFont="1" applyFill="1" applyBorder="1" applyAlignment="1" applyProtection="1">
      <alignment horizontal="center"/>
      <protection hidden="1"/>
    </xf>
    <xf numFmtId="164" fontId="43" fillId="24" borderId="0" xfId="0" applyNumberFormat="1" applyFont="1" applyFill="1" applyAlignment="1">
      <alignment horizontal="center" vertical="center"/>
    </xf>
    <xf numFmtId="164" fontId="7" fillId="26" borderId="79" xfId="0" applyNumberFormat="1" applyFont="1" applyFill="1" applyBorder="1" applyAlignment="1">
      <alignment horizontal="center" vertical="center"/>
    </xf>
    <xf numFmtId="164" fontId="7" fillId="26" borderId="80" xfId="0" applyNumberFormat="1" applyFont="1" applyFill="1" applyBorder="1" applyAlignment="1">
      <alignment horizontal="center" vertical="center"/>
    </xf>
    <xf numFmtId="164" fontId="7" fillId="24" borderId="0" xfId="0" applyNumberFormat="1" applyFont="1" applyFill="1" applyAlignment="1">
      <alignment horizontal="center" vertical="center"/>
    </xf>
    <xf numFmtId="164" fontId="45" fillId="24" borderId="0" xfId="0" applyNumberFormat="1" applyFont="1" applyFill="1" applyAlignment="1">
      <alignment horizontal="center" vertical="center"/>
    </xf>
    <xf numFmtId="2" fontId="8" fillId="24" borderId="0" xfId="0" applyNumberFormat="1" applyFont="1" applyFill="1" applyAlignment="1" applyProtection="1">
      <alignment horizontal="right" vertical="center" textRotation="90" shrinkToFit="1"/>
      <protection hidden="1"/>
    </xf>
    <xf numFmtId="0" fontId="36" fillId="29" borderId="19" xfId="41" applyFont="1" applyFill="1" applyBorder="1" applyAlignment="1">
      <alignment horizontal="center" vertical="center"/>
    </xf>
    <xf numFmtId="0" fontId="36" fillId="29" borderId="18" xfId="41" applyFont="1" applyFill="1" applyBorder="1" applyAlignment="1">
      <alignment horizontal="center" vertical="center"/>
    </xf>
    <xf numFmtId="0" fontId="36" fillId="29" borderId="13" xfId="41" applyFont="1" applyFill="1" applyBorder="1" applyAlignment="1">
      <alignment horizontal="center" vertical="center"/>
    </xf>
    <xf numFmtId="2" fontId="45" fillId="26" borderId="15" xfId="0" applyNumberFormat="1" applyFont="1" applyFill="1" applyBorder="1" applyAlignment="1">
      <alignment horizontal="center" vertical="center"/>
    </xf>
    <xf numFmtId="2" fontId="45" fillId="26" borderId="16" xfId="0" applyNumberFormat="1" applyFont="1" applyFill="1" applyBorder="1" applyAlignment="1">
      <alignment horizontal="center" vertical="center"/>
    </xf>
    <xf numFmtId="0" fontId="45" fillId="26" borderId="39" xfId="0" applyFont="1" applyFill="1" applyBorder="1" applyAlignment="1" applyProtection="1">
      <alignment horizontal="center" vertical="top"/>
      <protection hidden="1"/>
    </xf>
    <xf numFmtId="0" fontId="45" fillId="26" borderId="34" xfId="0" applyFont="1" applyFill="1" applyBorder="1" applyAlignment="1" applyProtection="1">
      <alignment horizontal="center" vertical="top"/>
      <protection hidden="1"/>
    </xf>
    <xf numFmtId="0" fontId="45" fillId="26" borderId="40" xfId="0" applyFont="1" applyFill="1" applyBorder="1" applyAlignment="1" applyProtection="1">
      <alignment horizontal="center" vertical="top"/>
      <protection hidden="1"/>
    </xf>
    <xf numFmtId="0" fontId="54" fillId="26" borderId="38" xfId="0" applyFont="1" applyFill="1" applyBorder="1" applyAlignment="1" applyProtection="1">
      <alignment horizontal="center" vertical="top"/>
      <protection hidden="1"/>
    </xf>
    <xf numFmtId="0" fontId="54" fillId="26" borderId="0" xfId="0" applyFont="1" applyFill="1" applyAlignment="1" applyProtection="1">
      <alignment horizontal="center" vertical="top"/>
      <protection hidden="1"/>
    </xf>
    <xf numFmtId="0" fontId="54" fillId="26" borderId="30" xfId="0" applyFont="1" applyFill="1" applyBorder="1" applyAlignment="1" applyProtection="1">
      <alignment horizontal="center" vertical="top"/>
      <protection hidden="1"/>
    </xf>
    <xf numFmtId="0" fontId="45" fillId="26" borderId="38" xfId="0" applyFont="1" applyFill="1" applyBorder="1" applyAlignment="1" applyProtection="1">
      <alignment horizontal="center" vertical="top"/>
      <protection hidden="1"/>
    </xf>
    <xf numFmtId="0" fontId="45" fillId="26" borderId="0" xfId="0" applyFont="1" applyFill="1" applyAlignment="1" applyProtection="1">
      <alignment horizontal="center" vertical="top"/>
      <protection hidden="1"/>
    </xf>
    <xf numFmtId="0" fontId="45" fillId="26" borderId="30" xfId="0" applyFont="1" applyFill="1" applyBorder="1" applyAlignment="1" applyProtection="1">
      <alignment horizontal="center" vertical="top"/>
      <protection hidden="1"/>
    </xf>
    <xf numFmtId="0" fontId="35" fillId="26" borderId="38" xfId="0" applyFont="1" applyFill="1" applyBorder="1" applyAlignment="1" applyProtection="1">
      <alignment horizontal="center"/>
      <protection hidden="1"/>
    </xf>
    <xf numFmtId="0" fontId="35" fillId="26" borderId="0" xfId="0" applyFont="1" applyFill="1" applyAlignment="1" applyProtection="1">
      <alignment horizontal="center"/>
      <protection hidden="1"/>
    </xf>
    <xf numFmtId="0" fontId="35" fillId="26" borderId="30" xfId="0" applyFont="1" applyFill="1" applyBorder="1" applyAlignment="1" applyProtection="1">
      <alignment horizontal="center"/>
      <protection hidden="1"/>
    </xf>
    <xf numFmtId="0" fontId="35" fillId="24" borderId="87" xfId="0" applyFont="1" applyFill="1" applyBorder="1" applyAlignment="1" applyProtection="1">
      <alignment horizontal="center" vertical="center"/>
      <protection hidden="1"/>
    </xf>
    <xf numFmtId="2" fontId="8" fillId="24" borderId="38" xfId="0" applyNumberFormat="1" applyFont="1" applyFill="1" applyBorder="1" applyAlignment="1" applyProtection="1">
      <alignment horizontal="center" vertical="center" textRotation="90" shrinkToFit="1"/>
      <protection hidden="1"/>
    </xf>
    <xf numFmtId="0" fontId="45" fillId="26" borderId="38" xfId="0" applyFont="1" applyFill="1" applyBorder="1" applyAlignment="1" applyProtection="1">
      <alignment horizontal="center"/>
      <protection hidden="1"/>
    </xf>
    <xf numFmtId="0" fontId="45" fillId="26" borderId="0" xfId="0" applyFont="1" applyFill="1" applyAlignment="1" applyProtection="1">
      <alignment horizontal="center"/>
      <protection hidden="1"/>
    </xf>
    <xf numFmtId="0" fontId="45" fillId="26" borderId="30" xfId="0" applyFont="1" applyFill="1" applyBorder="1" applyAlignment="1" applyProtection="1">
      <alignment horizontal="center"/>
      <protection hidden="1"/>
    </xf>
    <xf numFmtId="0" fontId="35" fillId="26" borderId="17" xfId="41" applyFont="1" applyFill="1" applyBorder="1" applyAlignment="1">
      <alignment horizontal="left" vertical="center"/>
    </xf>
    <xf numFmtId="0" fontId="35" fillId="26" borderId="12" xfId="41" applyFont="1" applyFill="1" applyBorder="1" applyAlignment="1">
      <alignment horizontal="left" vertical="center"/>
    </xf>
    <xf numFmtId="2" fontId="45" fillId="24" borderId="14" xfId="0" applyNumberFormat="1" applyFont="1" applyFill="1" applyBorder="1" applyAlignment="1">
      <alignment horizontal="center" vertical="center"/>
    </xf>
    <xf numFmtId="2" fontId="45" fillId="24" borderId="15" xfId="0" applyNumberFormat="1" applyFont="1" applyFill="1" applyBorder="1" applyAlignment="1">
      <alignment horizontal="center" vertical="center"/>
    </xf>
    <xf numFmtId="2" fontId="8" fillId="24" borderId="30" xfId="0" applyNumberFormat="1" applyFont="1" applyFill="1" applyBorder="1" applyAlignment="1" applyProtection="1">
      <alignment horizontal="right" vertical="center" textRotation="90" shrinkToFit="1"/>
      <protection hidden="1"/>
    </xf>
    <xf numFmtId="2" fontId="8" fillId="24" borderId="30" xfId="0" applyNumberFormat="1" applyFont="1" applyFill="1" applyBorder="1" applyAlignment="1" applyProtection="1">
      <alignment horizontal="right" textRotation="90" shrinkToFit="1"/>
      <protection hidden="1"/>
    </xf>
    <xf numFmtId="164" fontId="7" fillId="26" borderId="82" xfId="0" applyNumberFormat="1" applyFont="1" applyFill="1" applyBorder="1" applyAlignment="1">
      <alignment horizontal="center" vertical="center"/>
    </xf>
    <xf numFmtId="164" fontId="7" fillId="26" borderId="83" xfId="0" applyNumberFormat="1" applyFont="1" applyFill="1" applyBorder="1" applyAlignment="1">
      <alignment horizontal="center" vertical="center"/>
    </xf>
    <xf numFmtId="0" fontId="35" fillId="26" borderId="8" xfId="0" applyFont="1" applyFill="1" applyBorder="1" applyAlignment="1">
      <alignment horizontal="right" vertical="center" indent="1"/>
    </xf>
    <xf numFmtId="0" fontId="35" fillId="26" borderId="0" xfId="0" applyFont="1" applyFill="1" applyAlignment="1">
      <alignment horizontal="right" vertical="center" indent="1"/>
    </xf>
    <xf numFmtId="0" fontId="4" fillId="26" borderId="18" xfId="0" applyFont="1" applyFill="1" applyBorder="1" applyAlignment="1">
      <alignment horizontal="center" vertical="center"/>
    </xf>
    <xf numFmtId="0" fontId="7" fillId="26" borderId="13" xfId="0" applyFont="1" applyFill="1" applyBorder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2" fontId="35" fillId="26" borderId="0" xfId="0" applyNumberFormat="1" applyFont="1" applyFill="1" applyAlignment="1">
      <alignment horizontal="center" vertical="center"/>
    </xf>
    <xf numFmtId="2" fontId="35" fillId="26" borderId="9" xfId="0" applyNumberFormat="1" applyFont="1" applyFill="1" applyBorder="1" applyAlignment="1">
      <alignment horizontal="center" vertical="center"/>
    </xf>
    <xf numFmtId="2" fontId="8" fillId="26" borderId="0" xfId="0" applyNumberFormat="1" applyFont="1" applyFill="1" applyAlignment="1">
      <alignment horizontal="center" vertical="center"/>
    </xf>
    <xf numFmtId="0" fontId="48" fillId="28" borderId="35" xfId="44" applyNumberFormat="1" applyFont="1" applyFill="1" applyBorder="1" applyAlignment="1">
      <alignment horizontal="center" vertical="center"/>
    </xf>
    <xf numFmtId="0" fontId="48" fillId="28" borderId="36" xfId="44" applyNumberFormat="1" applyFont="1" applyFill="1" applyBorder="1" applyAlignment="1">
      <alignment horizontal="center" vertical="center"/>
    </xf>
    <xf numFmtId="0" fontId="48" fillId="28" borderId="38" xfId="44" applyNumberFormat="1" applyFont="1" applyFill="1" applyBorder="1" applyAlignment="1">
      <alignment horizontal="center" vertical="center"/>
    </xf>
    <xf numFmtId="0" fontId="48" fillId="28" borderId="0" xfId="44" applyNumberFormat="1" applyFont="1" applyFill="1" applyAlignment="1">
      <alignment horizontal="center" vertical="center"/>
    </xf>
    <xf numFmtId="0" fontId="48" fillId="28" borderId="84" xfId="44" applyNumberFormat="1" applyFont="1" applyFill="1" applyBorder="1" applyAlignment="1">
      <alignment horizontal="center" vertical="center"/>
    </xf>
    <xf numFmtId="0" fontId="48" fillId="28" borderId="15" xfId="44" applyNumberFormat="1" applyFont="1" applyFill="1" applyBorder="1" applyAlignment="1">
      <alignment horizontal="center" vertical="center"/>
    </xf>
    <xf numFmtId="0" fontId="35" fillId="26" borderId="17" xfId="0" applyFont="1" applyFill="1" applyBorder="1" applyAlignment="1">
      <alignment horizontal="right" vertical="center"/>
    </xf>
    <xf numFmtId="0" fontId="35" fillId="26" borderId="12" xfId="0" applyFont="1" applyFill="1" applyBorder="1" applyAlignment="1">
      <alignment horizontal="right" vertical="center"/>
    </xf>
    <xf numFmtId="0" fontId="35" fillId="26" borderId="0" xfId="0" applyFont="1" applyFill="1" applyAlignment="1">
      <alignment horizontal="center" vertical="center" shrinkToFit="1"/>
    </xf>
    <xf numFmtId="2" fontId="35" fillId="26" borderId="0" xfId="0" applyNumberFormat="1" applyFont="1" applyFill="1" applyAlignment="1" applyProtection="1">
      <alignment horizontal="center" vertical="center"/>
      <protection locked="0"/>
    </xf>
    <xf numFmtId="2" fontId="35" fillId="26" borderId="9" xfId="0" applyNumberFormat="1" applyFont="1" applyFill="1" applyBorder="1" applyAlignment="1" applyProtection="1">
      <alignment horizontal="center" vertical="center"/>
      <protection locked="0"/>
    </xf>
    <xf numFmtId="2" fontId="35" fillId="26" borderId="15" xfId="0" applyNumberFormat="1" applyFont="1" applyFill="1" applyBorder="1" applyAlignment="1" applyProtection="1">
      <alignment horizontal="center" vertical="center"/>
      <protection locked="0"/>
    </xf>
    <xf numFmtId="2" fontId="35" fillId="26" borderId="16" xfId="0" applyNumberFormat="1" applyFont="1" applyFill="1" applyBorder="1" applyAlignment="1" applyProtection="1">
      <alignment horizontal="center" vertical="center"/>
      <protection locked="0"/>
    </xf>
    <xf numFmtId="0" fontId="35" fillId="26" borderId="0" xfId="0" applyFont="1" applyFill="1" applyAlignment="1">
      <alignment horizontal="right" vertical="center" shrinkToFit="1"/>
    </xf>
    <xf numFmtId="0" fontId="35" fillId="26" borderId="0" xfId="0" applyFont="1" applyFill="1" applyAlignment="1" applyProtection="1">
      <alignment horizontal="left" vertical="center"/>
      <protection locked="0"/>
    </xf>
    <xf numFmtId="0" fontId="35" fillId="26" borderId="9" xfId="0" applyFont="1" applyFill="1" applyBorder="1" applyAlignment="1" applyProtection="1">
      <alignment horizontal="left" vertical="center"/>
      <protection locked="0"/>
    </xf>
    <xf numFmtId="0" fontId="4" fillId="26" borderId="0" xfId="0" applyFont="1" applyFill="1" applyAlignment="1">
      <alignment horizontal="right" vertical="center"/>
    </xf>
    <xf numFmtId="0" fontId="5" fillId="26" borderId="0" xfId="0" applyFont="1" applyFill="1" applyAlignment="1">
      <alignment horizontal="right" vertical="center"/>
    </xf>
    <xf numFmtId="164" fontId="35" fillId="26" borderId="9" xfId="0" applyNumberFormat="1" applyFont="1" applyFill="1" applyBorder="1" applyAlignment="1">
      <alignment horizontal="center" vertical="center" shrinkToFit="1"/>
    </xf>
    <xf numFmtId="164" fontId="40" fillId="24" borderId="0" xfId="0" applyNumberFormat="1" applyFont="1" applyFill="1" applyAlignment="1">
      <alignment horizontal="center" vertical="center" shrinkToFit="1"/>
    </xf>
    <xf numFmtId="167" fontId="9" fillId="26" borderId="15" xfId="41" applyNumberFormat="1" applyFill="1" applyBorder="1" applyAlignment="1" applyProtection="1">
      <alignment horizontal="center"/>
      <protection hidden="1"/>
    </xf>
    <xf numFmtId="167" fontId="9" fillId="26" borderId="16" xfId="41" applyNumberFormat="1" applyFill="1" applyBorder="1" applyAlignment="1" applyProtection="1">
      <alignment horizontal="center"/>
      <protection hidden="1"/>
    </xf>
    <xf numFmtId="2" fontId="8" fillId="24" borderId="30" xfId="0" applyNumberFormat="1" applyFont="1" applyFill="1" applyBorder="1" applyAlignment="1" applyProtection="1">
      <alignment horizontal="right" vertical="top" textRotation="90" shrinkToFit="1"/>
      <protection hidden="1"/>
    </xf>
    <xf numFmtId="0" fontId="35" fillId="26" borderId="17" xfId="41" applyFont="1" applyFill="1" applyBorder="1" applyAlignment="1">
      <alignment horizontal="right" vertical="center" indent="1"/>
    </xf>
    <xf numFmtId="0" fontId="35" fillId="26" borderId="12" xfId="41" applyFont="1" applyFill="1" applyBorder="1" applyAlignment="1">
      <alignment horizontal="right" vertical="center" indent="1"/>
    </xf>
    <xf numFmtId="0" fontId="10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42" fillId="24" borderId="46" xfId="0" applyFont="1" applyFill="1" applyBorder="1" applyAlignment="1">
      <alignment horizontal="center" vertical="center"/>
    </xf>
    <xf numFmtId="0" fontId="42" fillId="24" borderId="47" xfId="0" applyFont="1" applyFill="1" applyBorder="1" applyAlignment="1">
      <alignment horizontal="center" vertical="center"/>
    </xf>
    <xf numFmtId="0" fontId="40" fillId="26" borderId="0" xfId="0" applyFont="1" applyFill="1" applyAlignment="1">
      <alignment horizontal="right" vertical="center" shrinkToFit="1"/>
    </xf>
    <xf numFmtId="164" fontId="7" fillId="26" borderId="0" xfId="0" applyNumberFormat="1" applyFont="1" applyFill="1" applyAlignment="1">
      <alignment horizontal="center" vertical="center"/>
    </xf>
    <xf numFmtId="0" fontId="35" fillId="24" borderId="0" xfId="0" applyFont="1" applyFill="1" applyAlignment="1" applyProtection="1">
      <alignment horizontal="right" vertical="center"/>
      <protection hidden="1"/>
    </xf>
    <xf numFmtId="2" fontId="35" fillId="24" borderId="0" xfId="0" applyNumberFormat="1" applyFont="1" applyFill="1" applyAlignment="1" applyProtection="1">
      <alignment horizontal="center" vertical="center"/>
      <protection hidden="1"/>
    </xf>
    <xf numFmtId="0" fontId="35" fillId="24" borderId="0" xfId="0" applyFont="1" applyFill="1" applyAlignment="1" applyProtection="1">
      <alignment horizontal="center" vertical="center"/>
      <protection hidden="1"/>
    </xf>
    <xf numFmtId="2" fontId="0" fillId="26" borderId="0" xfId="0" applyNumberFormat="1" applyFill="1" applyAlignment="1" applyProtection="1">
      <alignment horizontal="center"/>
      <protection hidden="1"/>
    </xf>
    <xf numFmtId="2" fontId="0" fillId="26" borderId="9" xfId="0" applyNumberFormat="1" applyFill="1" applyBorder="1" applyAlignment="1" applyProtection="1">
      <alignment horizontal="center"/>
      <protection hidden="1"/>
    </xf>
    <xf numFmtId="2" fontId="9" fillId="26" borderId="15" xfId="0" applyNumberFormat="1" applyFont="1" applyFill="1" applyBorder="1" applyAlignment="1" applyProtection="1">
      <alignment horizontal="center"/>
      <protection locked="0"/>
    </xf>
    <xf numFmtId="2" fontId="9" fillId="26" borderId="16" xfId="0" applyNumberFormat="1" applyFont="1" applyFill="1" applyBorder="1" applyAlignment="1" applyProtection="1">
      <alignment horizontal="center"/>
      <protection locked="0"/>
    </xf>
    <xf numFmtId="0" fontId="34" fillId="26" borderId="17" xfId="0" applyFont="1" applyFill="1" applyBorder="1" applyAlignment="1">
      <alignment horizontal="center" vertical="center"/>
    </xf>
    <xf numFmtId="0" fontId="34" fillId="26" borderId="12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2" fontId="35" fillId="26" borderId="0" xfId="0" applyNumberFormat="1" applyFont="1" applyFill="1" applyAlignment="1">
      <alignment horizontal="center" vertical="center" shrinkToFit="1"/>
    </xf>
    <xf numFmtId="0" fontId="9" fillId="26" borderId="15" xfId="0" applyFont="1" applyFill="1" applyBorder="1" applyAlignment="1" applyProtection="1">
      <alignment horizontal="right" vertical="center"/>
      <protection hidden="1"/>
    </xf>
    <xf numFmtId="0" fontId="7" fillId="26" borderId="18" xfId="0" applyFont="1" applyFill="1" applyBorder="1" applyAlignment="1">
      <alignment horizontal="center" vertical="center"/>
    </xf>
    <xf numFmtId="0" fontId="2" fillId="26" borderId="18" xfId="0" applyFont="1" applyFill="1" applyBorder="1" applyAlignment="1">
      <alignment horizontal="center" vertical="center"/>
    </xf>
    <xf numFmtId="0" fontId="7" fillId="26" borderId="19" xfId="0" applyFont="1" applyFill="1" applyBorder="1" applyAlignment="1">
      <alignment horizontal="right" vertical="center"/>
    </xf>
    <xf numFmtId="0" fontId="7" fillId="26" borderId="18" xfId="0" applyFont="1" applyFill="1" applyBorder="1" applyAlignment="1">
      <alignment horizontal="right" vertical="center"/>
    </xf>
    <xf numFmtId="0" fontId="0" fillId="26" borderId="9" xfId="0" applyFill="1" applyBorder="1" applyAlignment="1" applyProtection="1">
      <alignment horizontal="center"/>
      <protection hidden="1"/>
    </xf>
    <xf numFmtId="164" fontId="7" fillId="26" borderId="32" xfId="0" applyNumberFormat="1" applyFont="1" applyFill="1" applyBorder="1" applyAlignment="1">
      <alignment horizontal="center" vertical="center"/>
    </xf>
    <xf numFmtId="164" fontId="7" fillId="26" borderId="33" xfId="0" applyNumberFormat="1" applyFont="1" applyFill="1" applyBorder="1" applyAlignment="1">
      <alignment horizontal="center" vertical="center"/>
    </xf>
    <xf numFmtId="2" fontId="54" fillId="26" borderId="32" xfId="0" applyNumberFormat="1" applyFont="1" applyFill="1" applyBorder="1" applyAlignment="1">
      <alignment horizontal="center" vertical="center"/>
    </xf>
    <xf numFmtId="2" fontId="54" fillId="26" borderId="33" xfId="0" applyNumberFormat="1" applyFont="1" applyFill="1" applyBorder="1" applyAlignment="1">
      <alignment horizontal="center" vertical="center"/>
    </xf>
    <xf numFmtId="2" fontId="54" fillId="24" borderId="0" xfId="0" applyNumberFormat="1" applyFont="1" applyFill="1" applyAlignment="1">
      <alignment horizontal="center" vertical="center"/>
    </xf>
    <xf numFmtId="2" fontId="54" fillId="26" borderId="0" xfId="0" applyNumberFormat="1" applyFont="1" applyFill="1" applyAlignment="1">
      <alignment horizontal="center" vertical="center"/>
    </xf>
    <xf numFmtId="2" fontId="54" fillId="26" borderId="9" xfId="0" applyNumberFormat="1" applyFont="1" applyFill="1" applyBorder="1" applyAlignment="1">
      <alignment horizontal="center" vertical="center"/>
    </xf>
    <xf numFmtId="164" fontId="7" fillId="24" borderId="15" xfId="0" applyNumberFormat="1" applyFont="1" applyFill="1" applyBorder="1" applyAlignment="1">
      <alignment horizontal="center" vertical="center"/>
    </xf>
    <xf numFmtId="0" fontId="46" fillId="27" borderId="0" xfId="0" applyFont="1" applyFill="1" applyAlignment="1">
      <alignment horizontal="center" vertical="center"/>
    </xf>
    <xf numFmtId="0" fontId="35" fillId="24" borderId="0" xfId="0" applyFont="1" applyFill="1" applyAlignment="1">
      <alignment horizontal="center" vertical="top" shrinkToFit="1"/>
    </xf>
    <xf numFmtId="0" fontId="2" fillId="26" borderId="0" xfId="0" applyFont="1" applyFill="1" applyAlignment="1">
      <alignment horizontal="right" vertical="center"/>
    </xf>
    <xf numFmtId="0" fontId="49" fillId="29" borderId="36" xfId="44" applyNumberFormat="1" applyFont="1" applyFill="1" applyBorder="1" applyAlignment="1">
      <alignment horizontal="center" vertical="center"/>
    </xf>
    <xf numFmtId="0" fontId="49" fillId="29" borderId="0" xfId="44" applyNumberFormat="1" applyFont="1" applyFill="1" applyAlignment="1">
      <alignment horizontal="center" vertical="center"/>
    </xf>
    <xf numFmtId="0" fontId="49" fillId="29" borderId="15" xfId="44" applyNumberFormat="1" applyFont="1" applyFill="1" applyBorder="1" applyAlignment="1">
      <alignment horizontal="center" vertical="center"/>
    </xf>
    <xf numFmtId="0" fontId="49" fillId="29" borderId="37" xfId="44" applyNumberFormat="1" applyFont="1" applyFill="1" applyBorder="1" applyAlignment="1">
      <alignment horizontal="center" vertical="center"/>
    </xf>
    <xf numFmtId="0" fontId="49" fillId="29" borderId="30" xfId="44" applyNumberFormat="1" applyFont="1" applyFill="1" applyBorder="1" applyAlignment="1">
      <alignment horizontal="center" vertical="center"/>
    </xf>
    <xf numFmtId="0" fontId="49" fillId="29" borderId="85" xfId="44" applyNumberFormat="1" applyFont="1" applyFill="1" applyBorder="1" applyAlignment="1">
      <alignment horizontal="center" vertical="center"/>
    </xf>
    <xf numFmtId="0" fontId="35" fillId="26" borderId="12" xfId="41" applyFont="1" applyFill="1" applyBorder="1" applyAlignment="1" applyProtection="1">
      <alignment horizontal="left" vertical="center"/>
      <protection locked="0"/>
    </xf>
    <xf numFmtId="0" fontId="35" fillId="26" borderId="11" xfId="41" applyFont="1" applyFill="1" applyBorder="1" applyAlignment="1" applyProtection="1">
      <alignment horizontal="left" vertical="center"/>
      <protection locked="0"/>
    </xf>
    <xf numFmtId="0" fontId="9" fillId="25" borderId="21" xfId="0" applyFont="1" applyFill="1" applyBorder="1" applyAlignment="1">
      <alignment horizontal="center"/>
    </xf>
    <xf numFmtId="0" fontId="9" fillId="25" borderId="22" xfId="0" applyFont="1" applyFill="1" applyBorder="1" applyAlignment="1">
      <alignment horizontal="center"/>
    </xf>
    <xf numFmtId="0" fontId="9" fillId="25" borderId="41" xfId="0" applyFont="1" applyFill="1" applyBorder="1" applyAlignment="1">
      <alignment horizontal="center"/>
    </xf>
    <xf numFmtId="0" fontId="9" fillId="25" borderId="76" xfId="0" applyFont="1" applyFill="1" applyBorder="1" applyAlignment="1">
      <alignment horizontal="center"/>
    </xf>
    <xf numFmtId="0" fontId="9" fillId="25" borderId="10" xfId="0" applyFont="1" applyFill="1" applyBorder="1" applyAlignment="1">
      <alignment horizontal="left" vertical="center"/>
    </xf>
    <xf numFmtId="0" fontId="9" fillId="25" borderId="10" xfId="0" applyFont="1" applyFill="1" applyBorder="1" applyAlignment="1">
      <alignment horizontal="left"/>
    </xf>
    <xf numFmtId="0" fontId="9" fillId="25" borderId="25" xfId="0" applyFont="1" applyFill="1" applyBorder="1" applyAlignment="1">
      <alignment horizontal="left" vertical="center"/>
    </xf>
    <xf numFmtId="164" fontId="35" fillId="26" borderId="12" xfId="0" applyNumberFormat="1" applyFont="1" applyFill="1" applyBorder="1" applyAlignment="1">
      <alignment horizontal="center" vertical="center" shrinkToFit="1"/>
    </xf>
    <xf numFmtId="164" fontId="35" fillId="26" borderId="11" xfId="0" applyNumberFormat="1" applyFont="1" applyFill="1" applyBorder="1" applyAlignment="1">
      <alignment horizontal="center" vertical="center" shrinkToFit="1"/>
    </xf>
    <xf numFmtId="0" fontId="9" fillId="26" borderId="17" xfId="0" applyFont="1" applyFill="1" applyBorder="1" applyAlignment="1" applyProtection="1">
      <alignment horizontal="center"/>
      <protection hidden="1"/>
    </xf>
    <xf numFmtId="0" fontId="0" fillId="26" borderId="12" xfId="0" applyFill="1" applyBorder="1" applyAlignment="1" applyProtection="1">
      <alignment horizontal="center"/>
      <protection hidden="1"/>
    </xf>
    <xf numFmtId="0" fontId="0" fillId="26" borderId="11" xfId="0" applyFill="1" applyBorder="1" applyAlignment="1" applyProtection="1">
      <alignment horizontal="center"/>
      <protection hidden="1"/>
    </xf>
    <xf numFmtId="0" fontId="9" fillId="26" borderId="14" xfId="0" applyFont="1" applyFill="1" applyBorder="1" applyAlignment="1" applyProtection="1">
      <alignment horizontal="center"/>
      <protection hidden="1"/>
    </xf>
    <xf numFmtId="0" fontId="9" fillId="26" borderId="15" xfId="0" applyFont="1" applyFill="1" applyBorder="1" applyAlignment="1" applyProtection="1">
      <alignment horizontal="center"/>
      <protection hidden="1"/>
    </xf>
    <xf numFmtId="0" fontId="9" fillId="26" borderId="16" xfId="0" applyFont="1" applyFill="1" applyBorder="1" applyAlignment="1" applyProtection="1">
      <alignment horizontal="center"/>
      <protection hidden="1"/>
    </xf>
    <xf numFmtId="164" fontId="7" fillId="26" borderId="12" xfId="0" applyNumberFormat="1" applyFont="1" applyFill="1" applyBorder="1" applyAlignment="1">
      <alignment horizontal="center" vertical="center"/>
    </xf>
    <xf numFmtId="164" fontId="35" fillId="26" borderId="79" xfId="0" applyNumberFormat="1" applyFont="1" applyFill="1" applyBorder="1" applyAlignment="1">
      <alignment horizontal="center" vertical="center" shrinkToFit="1"/>
    </xf>
    <xf numFmtId="164" fontId="35" fillId="26" borderId="80" xfId="0" applyNumberFormat="1" applyFont="1" applyFill="1" applyBorder="1" applyAlignment="1">
      <alignment horizontal="center" vertical="center" shrinkToFit="1"/>
    </xf>
    <xf numFmtId="0" fontId="35" fillId="24" borderId="36" xfId="0" applyFont="1" applyFill="1" applyBorder="1" applyAlignment="1" applyProtection="1">
      <alignment horizontal="center" vertical="center"/>
      <protection hidden="1"/>
    </xf>
    <xf numFmtId="0" fontId="0" fillId="24" borderId="0" xfId="0" applyFill="1" applyAlignment="1">
      <alignment horizontal="center"/>
    </xf>
    <xf numFmtId="0" fontId="0" fillId="24" borderId="0" xfId="0" applyFill="1" applyAlignment="1">
      <alignment horizontal="center" vertical="center"/>
    </xf>
    <xf numFmtId="0" fontId="0" fillId="26" borderId="60" xfId="0" applyFill="1" applyBorder="1" applyAlignment="1">
      <alignment horizontal="center" vertical="center"/>
    </xf>
    <xf numFmtId="0" fontId="0" fillId="26" borderId="61" xfId="0" applyFill="1" applyBorder="1" applyAlignment="1">
      <alignment horizontal="center" vertical="center"/>
    </xf>
    <xf numFmtId="0" fontId="0" fillId="26" borderId="68" xfId="0" applyFill="1" applyBorder="1" applyAlignment="1">
      <alignment horizontal="center" vertical="center"/>
    </xf>
    <xf numFmtId="0" fontId="0" fillId="26" borderId="72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0" fillId="26" borderId="15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6" borderId="52" xfId="0" applyFill="1" applyBorder="1" applyAlignment="1">
      <alignment horizontal="center" vertical="center"/>
    </xf>
    <xf numFmtId="0" fontId="0" fillId="26" borderId="71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55" xfId="0" applyFill="1" applyBorder="1" applyAlignment="1">
      <alignment horizontal="center" vertical="center"/>
    </xf>
    <xf numFmtId="0" fontId="0" fillId="26" borderId="59" xfId="0" applyFill="1" applyBorder="1" applyAlignment="1">
      <alignment horizontal="center" vertical="center"/>
    </xf>
    <xf numFmtId="0" fontId="0" fillId="26" borderId="63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6" borderId="62" xfId="0" applyFill="1" applyBorder="1" applyAlignment="1">
      <alignment horizontal="center" vertical="center"/>
    </xf>
    <xf numFmtId="0" fontId="0" fillId="26" borderId="64" xfId="0" applyFill="1" applyBorder="1" applyAlignment="1">
      <alignment horizontal="center" vertical="center"/>
    </xf>
    <xf numFmtId="0" fontId="0" fillId="26" borderId="66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53" xfId="0" applyFill="1" applyBorder="1" applyAlignment="1">
      <alignment horizontal="center" vertical="center"/>
    </xf>
    <xf numFmtId="0" fontId="0" fillId="26" borderId="54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56" xfId="0" applyFill="1" applyBorder="1" applyAlignment="1">
      <alignment horizontal="center" vertical="center"/>
    </xf>
    <xf numFmtId="0" fontId="0" fillId="26" borderId="57" xfId="0" applyFill="1" applyBorder="1" applyAlignment="1">
      <alignment horizontal="center" vertical="center"/>
    </xf>
    <xf numFmtId="0" fontId="0" fillId="26" borderId="51" xfId="0" applyFill="1" applyBorder="1" applyAlignment="1">
      <alignment horizontal="center" vertical="center"/>
    </xf>
    <xf numFmtId="0" fontId="0" fillId="26" borderId="58" xfId="0" applyFill="1" applyBorder="1" applyAlignment="1">
      <alignment horizontal="center" vertical="center"/>
    </xf>
    <xf numFmtId="0" fontId="45" fillId="26" borderId="0" xfId="0" applyFont="1" applyFill="1" applyAlignment="1" applyProtection="1">
      <alignment horizontal="left" vertical="center"/>
      <protection locked="0"/>
    </xf>
    <xf numFmtId="2" fontId="45" fillId="26" borderId="0" xfId="0" applyNumberFormat="1" applyFont="1" applyFill="1" applyAlignment="1" applyProtection="1">
      <alignment horizontal="center" vertical="center"/>
      <protection locked="0"/>
    </xf>
    <xf numFmtId="2" fontId="45" fillId="26" borderId="9" xfId="0" applyNumberFormat="1" applyFont="1" applyFill="1" applyBorder="1" applyAlignment="1" applyProtection="1">
      <alignment horizontal="center" vertical="center"/>
      <protection locked="0"/>
    </xf>
    <xf numFmtId="166" fontId="45" fillId="26" borderId="0" xfId="0" applyNumberFormat="1" applyFont="1" applyFill="1" applyAlignment="1" applyProtection="1">
      <alignment horizontal="center" vertical="center"/>
      <protection locked="0"/>
    </xf>
    <xf numFmtId="166" fontId="45" fillId="26" borderId="9" xfId="0" applyNumberFormat="1" applyFont="1" applyFill="1" applyBorder="1" applyAlignment="1" applyProtection="1">
      <alignment horizontal="center" vertical="center"/>
      <protection locked="0"/>
    </xf>
    <xf numFmtId="166" fontId="45" fillId="26" borderId="0" xfId="0" applyNumberFormat="1" applyFont="1" applyFill="1" applyAlignment="1">
      <alignment horizontal="center" vertical="center"/>
    </xf>
    <xf numFmtId="166" fontId="45" fillId="26" borderId="9" xfId="0" applyNumberFormat="1" applyFont="1" applyFill="1" applyBorder="1" applyAlignment="1">
      <alignment horizontal="center" vertical="center"/>
    </xf>
    <xf numFmtId="2" fontId="45" fillId="26" borderId="0" xfId="0" applyNumberFormat="1" applyFont="1" applyFill="1" applyAlignment="1">
      <alignment horizontal="center" vertical="center"/>
    </xf>
    <xf numFmtId="2" fontId="45" fillId="26" borderId="9" xfId="0" applyNumberFormat="1" applyFont="1" applyFill="1" applyBorder="1" applyAlignment="1">
      <alignment horizontal="center" vertical="center"/>
    </xf>
    <xf numFmtId="0" fontId="45" fillId="26" borderId="8" xfId="0" applyFont="1" applyFill="1" applyBorder="1" applyAlignment="1">
      <alignment horizontal="right" vertical="center" indent="1"/>
    </xf>
    <xf numFmtId="0" fontId="45" fillId="26" borderId="0" xfId="0" applyFont="1" applyFill="1" applyAlignment="1">
      <alignment horizontal="right" vertical="center" indent="1"/>
    </xf>
    <xf numFmtId="2" fontId="45" fillId="26" borderId="12" xfId="0" applyNumberFormat="1" applyFont="1" applyFill="1" applyBorder="1" applyAlignment="1">
      <alignment horizontal="center" vertical="center"/>
    </xf>
    <xf numFmtId="0" fontId="45" fillId="26" borderId="12" xfId="0" applyFont="1" applyFill="1" applyBorder="1" applyAlignment="1">
      <alignment horizontal="center" vertical="center"/>
    </xf>
    <xf numFmtId="0" fontId="45" fillId="26" borderId="11" xfId="0" applyFont="1" applyFill="1" applyBorder="1" applyAlignment="1">
      <alignment horizontal="center" vertical="center"/>
    </xf>
    <xf numFmtId="168" fontId="45" fillId="26" borderId="12" xfId="41" applyNumberFormat="1" applyFont="1" applyFill="1" applyBorder="1" applyAlignment="1">
      <alignment horizontal="center" vertical="center"/>
    </xf>
    <xf numFmtId="168" fontId="45" fillId="26" borderId="11" xfId="41" applyNumberFormat="1" applyFont="1" applyFill="1" applyBorder="1" applyAlignment="1">
      <alignment horizontal="center" vertical="center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48" xr:uid="{5C3D5C5A-FB2B-41E8-8B50-AEE0123A848B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7" xfId="49" xr:uid="{92A7E04C-B313-45F1-AC76-6BBE9C03E2CC}"/>
    <cellStyle name="Normal 8" xfId="50" xr:uid="{CA72ED6A-63C2-4AD8-A8C2-47043A6913D1}"/>
    <cellStyle name="Note" xfId="42" builtinId="10" customBuiltin="1"/>
    <cellStyle name="Output" xfId="43" builtinId="21" customBuiltin="1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7">
    <dxf>
      <fill>
        <patternFill>
          <bgColor rgb="FFFFFFCC"/>
        </patternFill>
      </fill>
      <border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numFmt numFmtId="169" formatCode="&quot;-&quot;"/>
    </dxf>
  </dxfs>
  <tableStyles count="0" defaultTableStyle="TableStyleMedium9" defaultPivotStyle="PivotStyleLight16"/>
  <colors>
    <mruColors>
      <color rgb="FF0000FF"/>
      <color rgb="FFFFFFCC"/>
      <color rgb="FFFF00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74CF5BC8-2B9D-4D30-97DE-258E88DE0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F4DF4E22-24A4-460A-9ADD-05ED760EB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FA7CDE18-FB43-4676-91EA-50E1E4F20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295275</xdr:colOff>
      <xdr:row>18</xdr:row>
      <xdr:rowOff>0</xdr:rowOff>
    </xdr:from>
    <xdr:to>
      <xdr:col>26</xdr:col>
      <xdr:colOff>200025</xdr:colOff>
      <xdr:row>18</xdr:row>
      <xdr:rowOff>161925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1F95D3B-ECD4-46F8-9411-133F831B7214}"/>
            </a:ext>
          </a:extLst>
        </xdr:cNvPr>
        <xdr:cNvSpPr txBox="1"/>
      </xdr:nvSpPr>
      <xdr:spPr>
        <a:xfrm>
          <a:off x="7924800" y="2771775"/>
          <a:ext cx="219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 editAs="oneCell">
    <xdr:from>
      <xdr:col>38</xdr:col>
      <xdr:colOff>9422</xdr:colOff>
      <xdr:row>47</xdr:row>
      <xdr:rowOff>73930</xdr:rowOff>
    </xdr:from>
    <xdr:to>
      <xdr:col>48</xdr:col>
      <xdr:colOff>32735</xdr:colOff>
      <xdr:row>73</xdr:row>
      <xdr:rowOff>119729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BB0E771E-2B97-A26F-B350-1A51A453F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5331" y="6360430"/>
          <a:ext cx="6084678" cy="5167512"/>
        </a:xfrm>
        <a:prstGeom prst="rect">
          <a:avLst/>
        </a:prstGeom>
      </xdr:spPr>
    </xdr:pic>
    <xdr:clientData/>
  </xdr:twoCellAnchor>
  <xdr:oneCellAnchor>
    <xdr:from>
      <xdr:col>34</xdr:col>
      <xdr:colOff>163595</xdr:colOff>
      <xdr:row>64</xdr:row>
      <xdr:rowOff>173006</xdr:rowOff>
    </xdr:from>
    <xdr:ext cx="264560" cy="216534"/>
    <xdr:sp macro="" textlink="#REF!">
      <xdr:nvSpPr>
        <xdr:cNvPr id="6" name="TextBox 5">
          <a:extLst>
            <a:ext uri="{FF2B5EF4-FFF2-40B4-BE49-F238E27FC236}">
              <a16:creationId xmlns:a16="http://schemas.microsoft.com/office/drawing/2014/main" id="{C140C3F0-9EEA-44D5-ADA2-C1D7C36C12CE}"/>
            </a:ext>
          </a:extLst>
        </xdr:cNvPr>
        <xdr:cNvSpPr txBox="1"/>
      </xdr:nvSpPr>
      <xdr:spPr>
        <a:xfrm rot="16200000">
          <a:off x="12731300" y="9842512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60C5400-E799-4080-999C-8029601BA174}" type="TxLink">
            <a:rPr lang="en-US" sz="1100" b="0" i="0" u="none" strike="noStrike">
              <a:solidFill>
                <a:srgbClr val="C00000"/>
              </a:solidFill>
              <a:latin typeface="Calibri"/>
              <a:cs typeface="Calibri"/>
            </a:rPr>
            <a:pPr/>
            <a:t> </a:t>
          </a:fld>
          <a:endParaRPr lang="en-US" sz="1100">
            <a:solidFill>
              <a:srgbClr val="C00000"/>
            </a:solidFill>
          </a:endParaRPr>
        </a:p>
      </xdr:txBody>
    </xdr:sp>
    <xdr:clientData/>
  </xdr:oneCellAnchor>
  <xdr:oneCellAnchor>
    <xdr:from>
      <xdr:col>34</xdr:col>
      <xdr:colOff>38100</xdr:colOff>
      <xdr:row>45</xdr:row>
      <xdr:rowOff>187327</xdr:rowOff>
    </xdr:from>
    <xdr:ext cx="264560" cy="216534"/>
    <xdr:sp macro="" textlink="#REF!">
      <xdr:nvSpPr>
        <xdr:cNvPr id="7" name="TextBox 6">
          <a:extLst>
            <a:ext uri="{FF2B5EF4-FFF2-40B4-BE49-F238E27FC236}">
              <a16:creationId xmlns:a16="http://schemas.microsoft.com/office/drawing/2014/main" id="{C022015B-41F3-4F3D-AA18-B09FC23C1529}"/>
            </a:ext>
          </a:extLst>
        </xdr:cNvPr>
        <xdr:cNvSpPr txBox="1"/>
      </xdr:nvSpPr>
      <xdr:spPr>
        <a:xfrm rot="16200000">
          <a:off x="12605805" y="6193372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60C5400-E799-4080-999C-8029601BA174}" type="TxLink">
            <a:rPr lang="en-US" sz="1100" b="0" i="0" u="none" strike="noStrike">
              <a:solidFill>
                <a:srgbClr val="C00000"/>
              </a:solidFill>
              <a:latin typeface="Calibri"/>
              <a:cs typeface="Calibri"/>
            </a:rPr>
            <a:pPr/>
            <a:t> </a:t>
          </a:fld>
          <a:endParaRPr lang="en-US" sz="1100">
            <a:solidFill>
              <a:srgbClr val="C00000"/>
            </a:solidFill>
          </a:endParaRPr>
        </a:p>
      </xdr:txBody>
    </xdr:sp>
    <xdr:clientData/>
  </xdr:oneCellAnchor>
  <xdr:twoCellAnchor editAs="oneCell">
    <xdr:from>
      <xdr:col>14</xdr:col>
      <xdr:colOff>87924</xdr:colOff>
      <xdr:row>14</xdr:row>
      <xdr:rowOff>124557</xdr:rowOff>
    </xdr:from>
    <xdr:to>
      <xdr:col>20</xdr:col>
      <xdr:colOff>281248</xdr:colOff>
      <xdr:row>22</xdr:row>
      <xdr:rowOff>43961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1E28FA-3D7F-48DC-9673-54DF50F30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4905"/>
        <a:stretch/>
      </xdr:blipFill>
      <xdr:spPr>
        <a:xfrm>
          <a:off x="4725866" y="1692519"/>
          <a:ext cx="2112978" cy="1516673"/>
        </a:xfrm>
        <a:prstGeom prst="rect">
          <a:avLst/>
        </a:prstGeom>
      </xdr:spPr>
    </xdr:pic>
    <xdr:clientData/>
  </xdr:twoCellAnchor>
  <xdr:twoCellAnchor editAs="oneCell">
    <xdr:from>
      <xdr:col>20</xdr:col>
      <xdr:colOff>189563</xdr:colOff>
      <xdr:row>13</xdr:row>
      <xdr:rowOff>126108</xdr:rowOff>
    </xdr:from>
    <xdr:to>
      <xdr:col>28</xdr:col>
      <xdr:colOff>62954</xdr:colOff>
      <xdr:row>22</xdr:row>
      <xdr:rowOff>76570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1FF9C94-4F37-4CE9-A6E9-52AD7AC64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58144"/>
        <a:stretch/>
      </xdr:blipFill>
      <xdr:spPr>
        <a:xfrm>
          <a:off x="6747159" y="1503570"/>
          <a:ext cx="2210680" cy="1738231"/>
        </a:xfrm>
        <a:prstGeom prst="rect">
          <a:avLst/>
        </a:prstGeom>
      </xdr:spPr>
    </xdr:pic>
    <xdr:clientData/>
  </xdr:twoCellAnchor>
  <xdr:twoCellAnchor>
    <xdr:from>
      <xdr:col>2</xdr:col>
      <xdr:colOff>131885</xdr:colOff>
      <xdr:row>55</xdr:row>
      <xdr:rowOff>168520</xdr:rowOff>
    </xdr:from>
    <xdr:to>
      <xdr:col>3</xdr:col>
      <xdr:colOff>227772</xdr:colOff>
      <xdr:row>56</xdr:row>
      <xdr:rowOff>160236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FF1CACD-AB78-44E9-AEC1-1AD44F51EEA8}"/>
            </a:ext>
          </a:extLst>
        </xdr:cNvPr>
        <xdr:cNvSpPr/>
      </xdr:nvSpPr>
      <xdr:spPr bwMode="auto">
        <a:xfrm>
          <a:off x="871904" y="10330962"/>
          <a:ext cx="506195" cy="189543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21980</xdr:colOff>
      <xdr:row>75</xdr:row>
      <xdr:rowOff>0</xdr:rowOff>
    </xdr:from>
    <xdr:to>
      <xdr:col>26</xdr:col>
      <xdr:colOff>161193</xdr:colOff>
      <xdr:row>75</xdr:row>
      <xdr:rowOff>189543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B6B4F27-7E9C-477D-ABDA-5D97C2E39989}"/>
            </a:ext>
          </a:extLst>
        </xdr:cNvPr>
        <xdr:cNvSpPr/>
      </xdr:nvSpPr>
      <xdr:spPr bwMode="auto">
        <a:xfrm flipH="1">
          <a:off x="8154865" y="14016404"/>
          <a:ext cx="454270" cy="189543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51289</xdr:colOff>
      <xdr:row>104</xdr:row>
      <xdr:rowOff>58615</xdr:rowOff>
    </xdr:from>
    <xdr:to>
      <xdr:col>14</xdr:col>
      <xdr:colOff>242107</xdr:colOff>
      <xdr:row>106</xdr:row>
      <xdr:rowOff>111672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72C7F634-9BD9-4054-AC75-FD491558D26B}"/>
            </a:ext>
          </a:extLst>
        </xdr:cNvPr>
        <xdr:cNvSpPr/>
      </xdr:nvSpPr>
      <xdr:spPr bwMode="auto">
        <a:xfrm rot="5400000" flipH="1">
          <a:off x="4567359" y="19755752"/>
          <a:ext cx="434057" cy="190818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64428</xdr:colOff>
      <xdr:row>108</xdr:row>
      <xdr:rowOff>164227</xdr:rowOff>
    </xdr:from>
    <xdr:to>
      <xdr:col>14</xdr:col>
      <xdr:colOff>255246</xdr:colOff>
      <xdr:row>110</xdr:row>
      <xdr:rowOff>174592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650AEE7-3213-480C-B616-4449DB5E3840}"/>
            </a:ext>
          </a:extLst>
        </xdr:cNvPr>
        <xdr:cNvSpPr/>
      </xdr:nvSpPr>
      <xdr:spPr bwMode="auto">
        <a:xfrm rot="16200000" flipH="1">
          <a:off x="4601844" y="20608587"/>
          <a:ext cx="391365" cy="190818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589360</xdr:colOff>
      <xdr:row>23</xdr:row>
      <xdr:rowOff>41670</xdr:rowOff>
    </xdr:from>
    <xdr:to>
      <xdr:col>1</xdr:col>
      <xdr:colOff>601266</xdr:colOff>
      <xdr:row>23</xdr:row>
      <xdr:rowOff>41670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4F7A6C0-B1A7-988D-3FCE-A059D470A60B}"/>
            </a:ext>
          </a:extLst>
        </xdr:cNvPr>
        <xdr:cNvCxnSpPr/>
      </xdr:nvCxnSpPr>
      <xdr:spPr bwMode="auto">
        <a:xfrm>
          <a:off x="589360" y="3833811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2</xdr:col>
      <xdr:colOff>5953</xdr:colOff>
      <xdr:row>23</xdr:row>
      <xdr:rowOff>41671</xdr:rowOff>
    </xdr:from>
    <xdr:to>
      <xdr:col>3</xdr:col>
      <xdr:colOff>17860</xdr:colOff>
      <xdr:row>23</xdr:row>
      <xdr:rowOff>41671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FFF97E6-EBA9-47EF-B63B-9270DE1D0AC3}"/>
            </a:ext>
          </a:extLst>
        </xdr:cNvPr>
        <xdr:cNvCxnSpPr/>
      </xdr:nvCxnSpPr>
      <xdr:spPr bwMode="auto">
        <a:xfrm>
          <a:off x="1220391" y="3833812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7</xdr:col>
      <xdr:colOff>589360</xdr:colOff>
      <xdr:row>23</xdr:row>
      <xdr:rowOff>29765</xdr:rowOff>
    </xdr:from>
    <xdr:to>
      <xdr:col>8</xdr:col>
      <xdr:colOff>601266</xdr:colOff>
      <xdr:row>23</xdr:row>
      <xdr:rowOff>29765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1BE757A-9130-41EC-8BBE-67AC6F5D6AD7}"/>
            </a:ext>
          </a:extLst>
        </xdr:cNvPr>
        <xdr:cNvCxnSpPr/>
      </xdr:nvCxnSpPr>
      <xdr:spPr bwMode="auto">
        <a:xfrm>
          <a:off x="4839891" y="3821906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9</xdr:col>
      <xdr:colOff>5953</xdr:colOff>
      <xdr:row>23</xdr:row>
      <xdr:rowOff>29766</xdr:rowOff>
    </xdr:from>
    <xdr:to>
      <xdr:col>10</xdr:col>
      <xdr:colOff>17859</xdr:colOff>
      <xdr:row>23</xdr:row>
      <xdr:rowOff>29766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3A2D1236-996D-417F-B801-8BB1D740B0F9}"/>
            </a:ext>
          </a:extLst>
        </xdr:cNvPr>
        <xdr:cNvCxnSpPr/>
      </xdr:nvCxnSpPr>
      <xdr:spPr bwMode="auto">
        <a:xfrm>
          <a:off x="5470922" y="3821907"/>
          <a:ext cx="6191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339328</xdr:colOff>
      <xdr:row>19</xdr:row>
      <xdr:rowOff>148829</xdr:rowOff>
    </xdr:from>
    <xdr:to>
      <xdr:col>0</xdr:col>
      <xdr:colOff>339328</xdr:colOff>
      <xdr:row>22</xdr:row>
      <xdr:rowOff>23813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FC1E9B9-F630-4802-BB94-B5EC4DFEB619}"/>
            </a:ext>
          </a:extLst>
        </xdr:cNvPr>
        <xdr:cNvCxnSpPr/>
      </xdr:nvCxnSpPr>
      <xdr:spPr bwMode="auto">
        <a:xfrm flipV="1">
          <a:off x="339328" y="3256360"/>
          <a:ext cx="0" cy="39885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339328</xdr:colOff>
      <xdr:row>17</xdr:row>
      <xdr:rowOff>113109</xdr:rowOff>
    </xdr:from>
    <xdr:to>
      <xdr:col>0</xdr:col>
      <xdr:colOff>339328</xdr:colOff>
      <xdr:row>19</xdr:row>
      <xdr:rowOff>157400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9F6607E4-B93D-4F46-AC4F-BBFC449662AE}"/>
            </a:ext>
          </a:extLst>
        </xdr:cNvPr>
        <xdr:cNvCxnSpPr/>
      </xdr:nvCxnSpPr>
      <xdr:spPr bwMode="auto">
        <a:xfrm flipV="1">
          <a:off x="339328" y="2922984"/>
          <a:ext cx="0" cy="36576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327422</xdr:colOff>
      <xdr:row>4</xdr:row>
      <xdr:rowOff>0</xdr:rowOff>
    </xdr:from>
    <xdr:to>
      <xdr:col>0</xdr:col>
      <xdr:colOff>327422</xdr:colOff>
      <xdr:row>6</xdr:row>
      <xdr:rowOff>2619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82BCE02-B78C-40E1-A4AD-BCBBCA3D0908}"/>
            </a:ext>
          </a:extLst>
        </xdr:cNvPr>
        <xdr:cNvCxnSpPr/>
      </xdr:nvCxnSpPr>
      <xdr:spPr bwMode="auto">
        <a:xfrm flipV="1">
          <a:off x="327422" y="678656"/>
          <a:ext cx="0" cy="36576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  <xdr:twoCellAnchor>
    <xdr:from>
      <xdr:col>0</xdr:col>
      <xdr:colOff>327422</xdr:colOff>
      <xdr:row>1</xdr:row>
      <xdr:rowOff>154782</xdr:rowOff>
    </xdr:from>
    <xdr:to>
      <xdr:col>0</xdr:col>
      <xdr:colOff>327422</xdr:colOff>
      <xdr:row>4</xdr:row>
      <xdr:rowOff>5952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777966DD-2360-465F-B673-B8A4EE7C6665}"/>
            </a:ext>
          </a:extLst>
        </xdr:cNvPr>
        <xdr:cNvCxnSpPr/>
      </xdr:nvCxnSpPr>
      <xdr:spPr bwMode="auto">
        <a:xfrm flipV="1">
          <a:off x="327422" y="315516"/>
          <a:ext cx="0" cy="3690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/>
          <a:tailEnd type="triangle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0EBC-72D6-4886-B2A1-EDCB5D7ED4A2}">
  <sheetPr>
    <tabColor rgb="FF0000FF"/>
  </sheetPr>
  <dimension ref="A1:AA61"/>
  <sheetViews>
    <sheetView showGridLines="0" view="pageBreakPreview" zoomScaleNormal="100" zoomScaleSheetLayoutView="100" workbookViewId="0">
      <selection activeCell="S11" sqref="S11"/>
    </sheetView>
  </sheetViews>
  <sheetFormatPr defaultRowHeight="12.75"/>
  <cols>
    <col min="1" max="1" width="3" style="173" customWidth="1"/>
    <col min="2" max="2" width="11.85546875" style="172" customWidth="1"/>
    <col min="3" max="3" width="7.5703125" style="172" customWidth="1"/>
    <col min="4" max="4" width="7.7109375" style="172" customWidth="1"/>
    <col min="5" max="5" width="7.5703125" style="172" bestFit="1" customWidth="1"/>
    <col min="6" max="6" width="5.28515625" style="172" customWidth="1"/>
    <col min="7" max="7" width="7.28515625" style="172" bestFit="1" customWidth="1"/>
    <col min="8" max="8" width="8.5703125" style="172" bestFit="1" customWidth="1"/>
    <col min="9" max="9" width="8.28515625" style="172" customWidth="1"/>
    <col min="10" max="10" width="6.5703125" style="172" bestFit="1" customWidth="1"/>
    <col min="11" max="11" width="7.5703125" style="172" bestFit="1" customWidth="1"/>
    <col min="12" max="12" width="7.28515625" style="172" bestFit="1" customWidth="1"/>
    <col min="13" max="13" width="6.85546875" style="172" customWidth="1"/>
    <col min="14" max="14" width="8.85546875" style="172" customWidth="1"/>
    <col min="15" max="15" width="8.85546875" style="173" customWidth="1"/>
    <col min="16" max="16" width="12.85546875" style="173" bestFit="1" customWidth="1"/>
    <col min="17" max="16384" width="9.140625" style="173"/>
  </cols>
  <sheetData>
    <row r="1" spans="1:27" ht="14.25" customHeight="1">
      <c r="A1" s="172"/>
      <c r="P1" s="174"/>
      <c r="Q1" s="174"/>
      <c r="R1" s="174"/>
    </row>
    <row r="2" spans="1:27" ht="24" customHeight="1">
      <c r="A2" s="172"/>
      <c r="B2" s="216" t="s">
        <v>175</v>
      </c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175"/>
      <c r="P2" s="174"/>
      <c r="Q2" s="174"/>
      <c r="R2" s="174"/>
    </row>
    <row r="3" spans="1:27" ht="12.75" customHeight="1">
      <c r="A3" s="172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5"/>
      <c r="P3" s="174"/>
      <c r="Q3" s="174"/>
      <c r="R3" s="174"/>
    </row>
    <row r="4" spans="1:27" ht="12.75" customHeight="1">
      <c r="A4" s="172"/>
      <c r="B4" s="217" t="s">
        <v>176</v>
      </c>
      <c r="C4" s="217"/>
      <c r="D4" s="177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5"/>
      <c r="P4" s="174"/>
      <c r="Q4" s="174"/>
      <c r="R4" s="174"/>
    </row>
    <row r="5" spans="1:27">
      <c r="A5" s="172"/>
      <c r="B5" s="212" t="s">
        <v>177</v>
      </c>
      <c r="C5" s="212"/>
      <c r="D5" s="212"/>
      <c r="E5" s="179">
        <v>13.5</v>
      </c>
      <c r="F5" s="214" t="s">
        <v>178</v>
      </c>
      <c r="G5" s="215"/>
      <c r="H5" s="215"/>
      <c r="I5" s="215"/>
      <c r="J5" s="182">
        <v>0</v>
      </c>
      <c r="K5" s="183" t="s">
        <v>179</v>
      </c>
      <c r="M5" s="184"/>
    </row>
    <row r="6" spans="1:27">
      <c r="A6" s="172"/>
      <c r="B6" s="212" t="s">
        <v>180</v>
      </c>
      <c r="C6" s="212"/>
      <c r="D6" s="185" t="s">
        <v>2</v>
      </c>
      <c r="H6" s="180"/>
      <c r="I6" s="184"/>
      <c r="J6" s="184"/>
      <c r="K6" s="186"/>
      <c r="L6" s="180"/>
      <c r="M6" s="184"/>
    </row>
    <row r="7" spans="1:27">
      <c r="A7" s="172"/>
      <c r="B7" s="212" t="s">
        <v>181</v>
      </c>
      <c r="C7" s="213"/>
      <c r="D7" s="188" t="s">
        <v>1</v>
      </c>
      <c r="E7" s="214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215"/>
      <c r="G7" s="215"/>
      <c r="H7" s="215"/>
      <c r="I7" s="215"/>
      <c r="J7" s="215"/>
      <c r="K7" s="215"/>
      <c r="L7" s="215"/>
      <c r="M7" s="215"/>
      <c r="N7" s="215"/>
      <c r="O7" s="189"/>
    </row>
    <row r="8" spans="1:27">
      <c r="A8" s="172"/>
      <c r="B8" s="212" t="s">
        <v>101</v>
      </c>
      <c r="C8" s="212"/>
      <c r="D8" s="212"/>
      <c r="E8" s="213"/>
      <c r="F8" s="213"/>
      <c r="G8" s="213"/>
      <c r="H8" s="218" t="s">
        <v>182</v>
      </c>
      <c r="I8" s="219"/>
      <c r="J8" s="219"/>
    </row>
    <row r="9" spans="1:27">
      <c r="A9" s="172"/>
      <c r="B9" s="212" t="s">
        <v>183</v>
      </c>
      <c r="C9" s="213"/>
      <c r="D9" s="213"/>
      <c r="E9" s="213"/>
      <c r="F9" s="213"/>
      <c r="G9" s="213"/>
      <c r="H9" s="190">
        <v>1</v>
      </c>
      <c r="J9" s="214" t="s">
        <v>184</v>
      </c>
      <c r="K9" s="215"/>
      <c r="L9" s="215"/>
      <c r="M9" s="215"/>
      <c r="N9" s="215"/>
      <c r="O9" s="189"/>
      <c r="R9" s="220"/>
      <c r="S9" s="220"/>
      <c r="T9" s="220"/>
      <c r="U9" s="220"/>
      <c r="V9" s="220"/>
      <c r="W9" s="220"/>
      <c r="X9" s="220"/>
      <c r="Y9" s="220"/>
      <c r="Z9" s="220"/>
      <c r="AA9" s="220"/>
    </row>
    <row r="10" spans="1:27" ht="15.75">
      <c r="A10" s="172"/>
      <c r="B10" s="212" t="s">
        <v>185</v>
      </c>
      <c r="C10" s="213"/>
      <c r="D10" s="213"/>
      <c r="E10" s="213"/>
      <c r="F10" s="213"/>
      <c r="G10" s="213"/>
      <c r="H10" s="191">
        <f>VLOOKUP(D6,GustFactor!$F$57:$H$61,2,FALSE)</f>
        <v>0.95</v>
      </c>
      <c r="J10" s="214" t="s">
        <v>186</v>
      </c>
      <c r="K10" s="215"/>
      <c r="L10" s="215"/>
      <c r="M10" s="215"/>
      <c r="N10" s="215"/>
      <c r="O10" s="189"/>
      <c r="R10" s="220"/>
      <c r="S10" s="220"/>
      <c r="T10" s="220"/>
      <c r="U10" s="220"/>
      <c r="V10" s="220"/>
      <c r="W10" s="220"/>
      <c r="X10" s="220"/>
      <c r="Y10" s="220"/>
      <c r="Z10" s="220"/>
      <c r="AA10" s="220"/>
    </row>
    <row r="11" spans="1:27" ht="15.75">
      <c r="A11" s="172"/>
      <c r="B11" s="212" t="s">
        <v>187</v>
      </c>
      <c r="C11" s="213"/>
      <c r="D11" s="213"/>
      <c r="E11" s="213"/>
      <c r="F11" s="213"/>
      <c r="G11" s="213"/>
      <c r="H11" s="191">
        <f>H10*0.852</f>
        <v>0.8093999999999999</v>
      </c>
      <c r="J11" s="214" t="s">
        <v>188</v>
      </c>
      <c r="K11" s="215"/>
      <c r="L11" s="215"/>
      <c r="M11" s="215"/>
      <c r="N11" s="215"/>
      <c r="O11" s="189"/>
    </row>
    <row r="12" spans="1:27">
      <c r="A12" s="172"/>
      <c r="B12" s="212" t="s">
        <v>189</v>
      </c>
      <c r="C12" s="213"/>
      <c r="D12" s="213"/>
      <c r="E12" s="213"/>
      <c r="F12" s="213"/>
      <c r="G12" s="213"/>
      <c r="H12" s="192">
        <f>VLOOKUP(D6,GustFactor!$F$57:$H$61,3,FALSE)</f>
        <v>44</v>
      </c>
      <c r="J12" s="214" t="s">
        <v>186</v>
      </c>
      <c r="K12" s="215"/>
      <c r="L12" s="215"/>
      <c r="M12" s="215"/>
      <c r="N12" s="215"/>
      <c r="O12" s="189"/>
    </row>
    <row r="13" spans="1:27" ht="15.75">
      <c r="A13" s="172"/>
      <c r="B13" s="212" t="s">
        <v>190</v>
      </c>
      <c r="C13" s="213"/>
      <c r="D13" s="213"/>
      <c r="E13" s="213"/>
      <c r="F13" s="213"/>
      <c r="G13" s="213"/>
      <c r="H13" s="191">
        <f>VLOOKUP($D$7,Bang8_10,4)</f>
        <v>4.57</v>
      </c>
      <c r="J13" s="214" t="s">
        <v>191</v>
      </c>
      <c r="K13" s="215"/>
      <c r="L13" s="215"/>
      <c r="M13" s="215"/>
      <c r="N13" s="215"/>
      <c r="O13" s="189"/>
    </row>
    <row r="14" spans="1:27" ht="15.75">
      <c r="A14" s="172"/>
      <c r="B14" s="212" t="s">
        <v>192</v>
      </c>
      <c r="C14" s="213"/>
      <c r="D14" s="213"/>
      <c r="E14" s="213"/>
      <c r="F14" s="213"/>
      <c r="G14" s="213"/>
      <c r="H14" s="191">
        <f>VLOOKUP($D$7,Bang8_10,3)</f>
        <v>274.32</v>
      </c>
      <c r="J14" s="214" t="s">
        <v>191</v>
      </c>
      <c r="K14" s="215"/>
      <c r="L14" s="215"/>
      <c r="M14" s="215"/>
      <c r="N14" s="215"/>
      <c r="O14" s="189"/>
    </row>
    <row r="15" spans="1:27">
      <c r="A15" s="172"/>
      <c r="B15" s="212" t="s">
        <v>193</v>
      </c>
      <c r="C15" s="213"/>
      <c r="D15" s="213"/>
      <c r="E15" s="213"/>
      <c r="F15" s="213"/>
      <c r="G15" s="213"/>
      <c r="H15" s="191">
        <f>VLOOKUP($D$7,Bang8_10,5)</f>
        <v>9.5</v>
      </c>
      <c r="J15" s="214" t="s">
        <v>191</v>
      </c>
      <c r="K15" s="215"/>
      <c r="L15" s="215"/>
      <c r="M15" s="215"/>
      <c r="N15" s="215"/>
      <c r="O15" s="189"/>
    </row>
    <row r="16" spans="1:27" ht="15.75">
      <c r="A16" s="172"/>
      <c r="B16" s="212" t="s">
        <v>194</v>
      </c>
      <c r="C16" s="213"/>
      <c r="D16" s="213"/>
      <c r="E16" s="213"/>
      <c r="F16" s="213"/>
      <c r="G16" s="213"/>
      <c r="H16" s="191">
        <f>VLOOKUP(D7,Bang8_10,6)</f>
        <v>1.97</v>
      </c>
      <c r="J16" s="214" t="s">
        <v>191</v>
      </c>
      <c r="K16" s="215"/>
      <c r="L16" s="215"/>
      <c r="M16" s="215"/>
      <c r="N16" s="215"/>
      <c r="O16" s="189"/>
    </row>
    <row r="17" spans="1:15" ht="15.75">
      <c r="A17" s="172"/>
      <c r="B17" s="212" t="s">
        <v>195</v>
      </c>
      <c r="C17" s="213"/>
      <c r="D17" s="213"/>
      <c r="E17" s="213"/>
      <c r="F17" s="213"/>
      <c r="G17" s="213"/>
      <c r="H17" s="191">
        <f>VLOOKUP(D7,Bang8_10,7)</f>
        <v>0.2</v>
      </c>
      <c r="J17" s="214" t="s">
        <v>196</v>
      </c>
      <c r="K17" s="215"/>
      <c r="L17" s="215"/>
      <c r="M17" s="215"/>
      <c r="N17" s="215"/>
      <c r="O17" s="189"/>
    </row>
    <row r="18" spans="1:15">
      <c r="A18" s="172"/>
      <c r="B18" s="212" t="s">
        <v>197</v>
      </c>
      <c r="C18" s="213"/>
      <c r="D18" s="213"/>
      <c r="E18" s="213"/>
      <c r="F18" s="213"/>
      <c r="G18" s="213"/>
      <c r="H18" s="191">
        <f>VLOOKUP(D7,Bang8_10,8)</f>
        <v>152.4</v>
      </c>
      <c r="J18" s="214" t="s">
        <v>196</v>
      </c>
      <c r="K18" s="215"/>
      <c r="L18" s="215"/>
      <c r="M18" s="215"/>
      <c r="N18" s="215"/>
      <c r="O18" s="189"/>
    </row>
    <row r="19" spans="1:15">
      <c r="A19" s="172"/>
      <c r="B19" s="212" t="s">
        <v>198</v>
      </c>
      <c r="C19" s="213"/>
      <c r="D19" s="213"/>
      <c r="E19" s="213"/>
      <c r="F19" s="213"/>
      <c r="G19" s="213"/>
      <c r="H19" s="191">
        <f>VLOOKUP(D7,Bang8_10,9)</f>
        <v>0.2</v>
      </c>
      <c r="J19" s="214" t="s">
        <v>196</v>
      </c>
      <c r="K19" s="215"/>
      <c r="L19" s="215"/>
      <c r="M19" s="215"/>
      <c r="N19" s="215"/>
      <c r="O19" s="189"/>
    </row>
    <row r="20" spans="1:15">
      <c r="A20" s="172"/>
      <c r="B20" s="212" t="s">
        <v>199</v>
      </c>
      <c r="C20" s="213"/>
      <c r="D20" s="213"/>
      <c r="E20" s="213"/>
      <c r="F20" s="213"/>
      <c r="G20" s="213"/>
      <c r="H20" s="191">
        <f>VLOOKUP(D7,Bang8_10,10)</f>
        <v>0.65</v>
      </c>
      <c r="J20" s="214" t="s">
        <v>196</v>
      </c>
      <c r="K20" s="215"/>
      <c r="L20" s="215"/>
      <c r="M20" s="215"/>
      <c r="N20" s="215"/>
      <c r="O20" s="189"/>
    </row>
    <row r="21" spans="1:15">
      <c r="A21" s="172"/>
      <c r="B21" s="212" t="s">
        <v>200</v>
      </c>
      <c r="C21" s="213"/>
      <c r="D21" s="213"/>
      <c r="E21" s="213"/>
      <c r="F21" s="213"/>
      <c r="G21" s="213"/>
      <c r="H21" s="191">
        <f>VLOOKUP(D7,Bang8_10,11)</f>
        <v>0.15384615384615385</v>
      </c>
      <c r="J21" s="214" t="s">
        <v>196</v>
      </c>
      <c r="K21" s="215"/>
      <c r="L21" s="215"/>
      <c r="M21" s="215"/>
      <c r="N21" s="215"/>
      <c r="O21" s="189"/>
    </row>
    <row r="22" spans="1:15" ht="15.75">
      <c r="A22" s="172"/>
      <c r="B22" s="212" t="s">
        <v>201</v>
      </c>
      <c r="C22" s="213"/>
      <c r="D22" s="213"/>
      <c r="E22" s="213"/>
      <c r="F22" s="213"/>
      <c r="G22" s="213"/>
      <c r="H22" s="191">
        <f>$H$17*(10/(0.6*$E$5))^(1/6)</f>
        <v>0.20714883373025728</v>
      </c>
      <c r="J22" s="214" t="s">
        <v>202</v>
      </c>
      <c r="K22" s="215"/>
      <c r="L22" s="215"/>
      <c r="M22" s="215"/>
      <c r="N22" s="215"/>
      <c r="O22" s="189"/>
    </row>
    <row r="23" spans="1:15" ht="15.75">
      <c r="A23" s="172"/>
      <c r="B23" s="212" t="s">
        <v>203</v>
      </c>
      <c r="C23" s="213"/>
      <c r="D23" s="213"/>
      <c r="E23" s="213"/>
      <c r="F23" s="213"/>
      <c r="G23" s="213"/>
      <c r="H23" s="191">
        <f>H18*(0.6*E5/10)^H19</f>
        <v>146.11068296436144</v>
      </c>
      <c r="J23" s="214" t="s">
        <v>204</v>
      </c>
      <c r="K23" s="215"/>
      <c r="L23" s="215"/>
      <c r="M23" s="215"/>
      <c r="N23" s="215"/>
      <c r="O23" s="189"/>
    </row>
    <row r="24" spans="1:15">
      <c r="A24" s="172"/>
      <c r="B24" s="212" t="s">
        <v>205</v>
      </c>
      <c r="C24" s="213"/>
      <c r="D24" s="213"/>
      <c r="E24" s="213"/>
      <c r="F24" s="213"/>
      <c r="G24" s="213"/>
      <c r="H24" s="191">
        <f>IF(H8="Kết cấu BT và BTCT",0.02,IF(H8="Kết cấu thép",0.01,0.015))</f>
        <v>0.01</v>
      </c>
      <c r="J24" s="214" t="s">
        <v>206</v>
      </c>
      <c r="K24" s="215"/>
      <c r="L24" s="215"/>
      <c r="M24" s="215"/>
      <c r="N24" s="215"/>
      <c r="O24" s="189"/>
    </row>
    <row r="25" spans="1:15" ht="15.75">
      <c r="A25" s="172"/>
      <c r="B25" s="212" t="s">
        <v>207</v>
      </c>
      <c r="C25" s="213"/>
      <c r="D25" s="213"/>
      <c r="E25" s="213"/>
      <c r="F25" s="213"/>
      <c r="G25" s="213"/>
      <c r="H25" s="191">
        <f>H12*H20*(0.6*E5/10)^H21</f>
        <v>27.68769519252514</v>
      </c>
      <c r="J25" s="214" t="s">
        <v>208</v>
      </c>
      <c r="K25" s="215"/>
      <c r="L25" s="215"/>
      <c r="M25" s="215"/>
      <c r="N25" s="215"/>
      <c r="O25" s="189"/>
    </row>
    <row r="26" spans="1:15">
      <c r="A26" s="172"/>
      <c r="M26" s="180"/>
      <c r="N26" s="193"/>
      <c r="O26" s="194"/>
    </row>
    <row r="27" spans="1:15">
      <c r="A27" s="172"/>
      <c r="B27" s="221" t="s">
        <v>209</v>
      </c>
      <c r="C27" s="221"/>
      <c r="D27" s="221"/>
      <c r="E27" s="221"/>
      <c r="F27" s="221"/>
      <c r="G27" s="221" t="s">
        <v>210</v>
      </c>
      <c r="H27" s="221"/>
      <c r="I27" s="221"/>
      <c r="J27" s="221"/>
      <c r="K27" s="221"/>
      <c r="L27" s="221"/>
      <c r="M27" s="214" t="s">
        <v>211</v>
      </c>
      <c r="N27" s="215"/>
      <c r="O27" s="189"/>
    </row>
    <row r="28" spans="1:15">
      <c r="A28" s="172"/>
      <c r="B28" s="212" t="str">
        <f>"Chu kỳ dao động (s)"</f>
        <v>Chu kỳ dao động (s)</v>
      </c>
      <c r="C28" s="212"/>
      <c r="D28" s="212"/>
      <c r="E28" s="196">
        <v>1.45</v>
      </c>
      <c r="F28" s="195"/>
      <c r="G28" s="214" t="s">
        <v>212</v>
      </c>
      <c r="H28" s="214"/>
      <c r="I28" s="214"/>
      <c r="J28" s="214"/>
      <c r="K28" s="196">
        <v>1.5</v>
      </c>
      <c r="L28" s="195"/>
      <c r="M28" s="180"/>
      <c r="N28" s="181"/>
      <c r="O28" s="189"/>
    </row>
    <row r="29" spans="1:15">
      <c r="A29" s="172"/>
      <c r="B29" s="212" t="s">
        <v>213</v>
      </c>
      <c r="C29" s="212"/>
      <c r="D29" s="212"/>
      <c r="E29" s="197">
        <v>50</v>
      </c>
      <c r="F29" s="195"/>
      <c r="G29" s="214" t="s">
        <v>213</v>
      </c>
      <c r="H29" s="214"/>
      <c r="I29" s="214"/>
      <c r="J29" s="214"/>
      <c r="K29" s="198">
        <f>E30</f>
        <v>100</v>
      </c>
      <c r="L29" s="195"/>
      <c r="M29" s="180"/>
      <c r="N29" s="181"/>
      <c r="O29" s="189"/>
    </row>
    <row r="30" spans="1:15">
      <c r="A30" s="172"/>
      <c r="B30" s="212" t="s">
        <v>214</v>
      </c>
      <c r="C30" s="213"/>
      <c r="D30" s="213"/>
      <c r="E30" s="197">
        <v>100</v>
      </c>
      <c r="F30" s="195"/>
      <c r="G30" s="214" t="s">
        <v>214</v>
      </c>
      <c r="H30" s="215"/>
      <c r="I30" s="215"/>
      <c r="J30" s="215"/>
      <c r="K30" s="198">
        <f>E29</f>
        <v>50</v>
      </c>
      <c r="L30" s="195"/>
      <c r="M30" s="180"/>
      <c r="N30" s="181"/>
      <c r="O30" s="189"/>
    </row>
    <row r="31" spans="1:15">
      <c r="A31" s="172"/>
      <c r="B31" s="178"/>
      <c r="C31" s="187"/>
      <c r="D31" s="187"/>
      <c r="E31" s="197"/>
      <c r="F31" s="195"/>
      <c r="G31" s="180"/>
      <c r="H31" s="181"/>
      <c r="I31" s="181"/>
      <c r="J31" s="181"/>
      <c r="K31" s="198"/>
      <c r="L31" s="195"/>
      <c r="M31" s="180"/>
      <c r="N31" s="181"/>
      <c r="O31" s="189"/>
    </row>
    <row r="32" spans="1:15">
      <c r="A32" s="172"/>
      <c r="B32" s="217" t="s">
        <v>215</v>
      </c>
      <c r="C32" s="217"/>
      <c r="D32" s="181"/>
      <c r="E32" s="197"/>
      <c r="F32" s="195"/>
      <c r="G32" s="180"/>
      <c r="H32" s="181"/>
      <c r="I32" s="181"/>
      <c r="J32" s="181"/>
      <c r="K32" s="198"/>
      <c r="L32" s="195"/>
      <c r="M32" s="180"/>
      <c r="N32" s="181"/>
      <c r="O32" s="189"/>
    </row>
    <row r="33" spans="1:22" ht="15.75">
      <c r="A33" s="195"/>
      <c r="B33" s="212" t="s">
        <v>216</v>
      </c>
      <c r="C33" s="213"/>
      <c r="D33" s="213"/>
      <c r="E33" s="199">
        <f>IF($E$28&lt;=1,0.85,0.925*((1+1.7*H22*SQRT(3.4^2*E37^2+E36^2*E38^2))/(1+1.7*H22*3.4)))</f>
        <v>0.9438934308721264</v>
      </c>
      <c r="G33" s="214" t="s">
        <v>216</v>
      </c>
      <c r="H33" s="215"/>
      <c r="I33" s="215"/>
      <c r="J33" s="215"/>
      <c r="K33" s="199">
        <f>IF($K$28&lt;=1,0.85,0.925*((1+1.7*H22*SQRT(3.4^2*K37^2+K36^2*K38^2))/(1+1.7*H22*3.4)))</f>
        <v>0.88580526599160792</v>
      </c>
      <c r="M33" s="214" t="s">
        <v>217</v>
      </c>
      <c r="N33" s="215"/>
      <c r="O33" s="189"/>
    </row>
    <row r="34" spans="1:22">
      <c r="A34" s="195"/>
      <c r="B34" s="178"/>
      <c r="C34" s="187"/>
      <c r="D34" s="187"/>
      <c r="E34" s="187"/>
      <c r="G34" s="180"/>
      <c r="H34" s="181"/>
      <c r="I34" s="181"/>
      <c r="J34" s="181"/>
      <c r="K34" s="187"/>
      <c r="M34" s="180"/>
      <c r="N34" s="181"/>
      <c r="O34" s="189"/>
    </row>
    <row r="35" spans="1:22">
      <c r="A35" s="195"/>
      <c r="B35" s="217" t="s">
        <v>218</v>
      </c>
      <c r="C35" s="217"/>
      <c r="D35" s="181"/>
      <c r="E35" s="180"/>
      <c r="G35" s="180"/>
      <c r="H35" s="181"/>
      <c r="I35" s="181"/>
      <c r="J35" s="181"/>
      <c r="K35" s="180"/>
      <c r="M35" s="180"/>
      <c r="N35" s="181"/>
      <c r="O35" s="189"/>
    </row>
    <row r="36" spans="1:22">
      <c r="A36" s="195"/>
      <c r="B36" s="212" t="s">
        <v>219</v>
      </c>
      <c r="C36" s="212"/>
      <c r="D36" s="212"/>
      <c r="E36" s="191">
        <f>SQRT(2*LN(3600/$E$28))+0.577/SQRT(2*LN(3600/$E$28))</f>
        <v>4.0999446318121446</v>
      </c>
      <c r="F36" s="195"/>
      <c r="G36" s="214" t="s">
        <v>219</v>
      </c>
      <c r="H36" s="214"/>
      <c r="I36" s="214"/>
      <c r="J36" s="214"/>
      <c r="K36" s="198">
        <f>SQRT(2*LN(3600/$K$28))+0.577/SQRT(2*LN(3600/$K$28))</f>
        <v>4.0916788284258532</v>
      </c>
      <c r="L36" s="195"/>
      <c r="M36" s="214" t="s">
        <v>220</v>
      </c>
      <c r="N36" s="214"/>
      <c r="O36" s="200"/>
    </row>
    <row r="37" spans="1:22">
      <c r="A37" s="195"/>
      <c r="B37" s="212" t="s">
        <v>221</v>
      </c>
      <c r="C37" s="213"/>
      <c r="D37" s="213"/>
      <c r="E37" s="191">
        <f>SQRT(1/(1+0.63*((E5+E29)/H23)^0.63))</f>
        <v>0.85352262757816644</v>
      </c>
      <c r="G37" s="214" t="s">
        <v>222</v>
      </c>
      <c r="H37" s="215"/>
      <c r="I37" s="215"/>
      <c r="J37" s="215"/>
      <c r="K37" s="191">
        <f>SQRT(1/(1+0.63*((E5+K29)/H23)^0.63))</f>
        <v>0.8065233328361785</v>
      </c>
      <c r="M37" s="214" t="s">
        <v>223</v>
      </c>
      <c r="N37" s="215"/>
      <c r="O37" s="189"/>
    </row>
    <row r="38" spans="1:22">
      <c r="A38" s="195"/>
      <c r="B38" s="212" t="s">
        <v>224</v>
      </c>
      <c r="C38" s="212"/>
      <c r="D38" s="212"/>
      <c r="E38" s="191">
        <f>SQRT(E39*E44*E45*(0.53+0.47*E46)/H24)</f>
        <v>0.48911554289282133</v>
      </c>
      <c r="F38" s="195"/>
      <c r="G38" s="214" t="s">
        <v>224</v>
      </c>
      <c r="H38" s="214"/>
      <c r="I38" s="214"/>
      <c r="J38" s="215"/>
      <c r="K38" s="198">
        <f>SQRT(K39*K44*K45*(0.53+0.47*K46)/H24)</f>
        <v>0.37165376209058926</v>
      </c>
      <c r="L38" s="195"/>
      <c r="M38" s="214" t="s">
        <v>225</v>
      </c>
      <c r="N38" s="214"/>
      <c r="O38" s="200"/>
    </row>
    <row r="39" spans="1:22" ht="16.5">
      <c r="A39" s="195"/>
      <c r="B39" s="212" t="s">
        <v>226</v>
      </c>
      <c r="C39" s="212"/>
      <c r="D39" s="212"/>
      <c r="E39" s="191">
        <f>7.47*E40/(1+10.3*E40)^(5/3)</f>
        <v>6.1970374863139013E-2</v>
      </c>
      <c r="F39" s="195"/>
      <c r="G39" s="214" t="s">
        <v>226</v>
      </c>
      <c r="H39" s="214"/>
      <c r="I39" s="214"/>
      <c r="J39" s="215"/>
      <c r="K39" s="198">
        <f>7.47*K40/(1+10.3*K40)^(5/3)</f>
        <v>6.3292372875814254E-2</v>
      </c>
      <c r="L39" s="195"/>
      <c r="M39" s="214" t="s">
        <v>227</v>
      </c>
      <c r="N39" s="214"/>
      <c r="O39" s="200"/>
      <c r="T39" s="201"/>
      <c r="U39" s="201"/>
      <c r="V39" s="201"/>
    </row>
    <row r="40" spans="1:22" ht="16.5">
      <c r="A40" s="195"/>
      <c r="B40" s="178" t="s">
        <v>228</v>
      </c>
      <c r="C40" s="180"/>
      <c r="D40" s="180"/>
      <c r="E40" s="191">
        <f>H23/E28/H25</f>
        <v>3.6393779818295457</v>
      </c>
      <c r="F40" s="195"/>
      <c r="G40" s="214" t="s">
        <v>228</v>
      </c>
      <c r="H40" s="215"/>
      <c r="I40" s="215"/>
      <c r="J40" s="215"/>
      <c r="K40" s="198">
        <f>H23/K28/H25</f>
        <v>3.518065382435227</v>
      </c>
      <c r="L40" s="195"/>
      <c r="M40" s="214" t="s">
        <v>229</v>
      </c>
      <c r="N40" s="214"/>
      <c r="O40" s="200"/>
      <c r="T40" s="201"/>
      <c r="U40" s="201"/>
      <c r="V40" s="201"/>
    </row>
    <row r="41" spans="1:22" ht="16.5">
      <c r="A41" s="195"/>
      <c r="B41" s="178" t="s">
        <v>230</v>
      </c>
      <c r="C41" s="180"/>
      <c r="D41" s="180"/>
      <c r="E41" s="191">
        <f>4.6*E5/E28/H25</f>
        <v>1.5468093645605696</v>
      </c>
      <c r="F41" s="195"/>
      <c r="G41" s="214" t="s">
        <v>230</v>
      </c>
      <c r="H41" s="215"/>
      <c r="I41" s="215"/>
      <c r="J41" s="215"/>
      <c r="K41" s="198">
        <f>4.6*E5/K28/H25</f>
        <v>1.4952490524085507</v>
      </c>
      <c r="L41" s="195"/>
      <c r="M41" s="214" t="s">
        <v>231</v>
      </c>
      <c r="N41" s="214"/>
      <c r="O41" s="200"/>
      <c r="T41" s="201"/>
      <c r="U41" s="201"/>
      <c r="V41" s="201"/>
    </row>
    <row r="42" spans="1:22" ht="16.5">
      <c r="A42" s="195"/>
      <c r="B42" s="178" t="s">
        <v>232</v>
      </c>
      <c r="C42" s="180"/>
      <c r="D42" s="180"/>
      <c r="E42" s="191">
        <f>4.6*E29/E28/H25</f>
        <v>5.7289235724465541</v>
      </c>
      <c r="F42" s="195"/>
      <c r="G42" s="214" t="s">
        <v>232</v>
      </c>
      <c r="H42" s="215"/>
      <c r="I42" s="215"/>
      <c r="J42" s="215"/>
      <c r="K42" s="198">
        <f>4.6*K29/K28/H25</f>
        <v>11.075918906730003</v>
      </c>
      <c r="L42" s="195"/>
      <c r="M42" s="214" t="s">
        <v>231</v>
      </c>
      <c r="N42" s="214"/>
      <c r="O42" s="200"/>
      <c r="T42" s="201"/>
      <c r="U42" s="201"/>
      <c r="V42" s="201"/>
    </row>
    <row r="43" spans="1:22" ht="15.75">
      <c r="A43" s="195"/>
      <c r="B43" s="178" t="s">
        <v>233</v>
      </c>
      <c r="C43" s="180"/>
      <c r="D43" s="180"/>
      <c r="E43" s="191">
        <f>15.4*E30/E28/H25</f>
        <v>38.358879572033452</v>
      </c>
      <c r="F43" s="195"/>
      <c r="G43" s="214" t="s">
        <v>233</v>
      </c>
      <c r="H43" s="215"/>
      <c r="I43" s="215"/>
      <c r="J43" s="215"/>
      <c r="K43" s="198">
        <f>15.4*K30/K28/H25</f>
        <v>18.540125126482835</v>
      </c>
      <c r="L43" s="195"/>
      <c r="M43" s="214" t="s">
        <v>231</v>
      </c>
      <c r="N43" s="214"/>
      <c r="O43" s="200"/>
    </row>
    <row r="44" spans="1:22">
      <c r="A44" s="195"/>
      <c r="B44" s="178" t="s">
        <v>234</v>
      </c>
      <c r="C44" s="180"/>
      <c r="D44" s="180"/>
      <c r="E44" s="191">
        <f>IF(E41=0,1,(1/E41-(1-EXP(-2*E41))/(2*E41^2)))</f>
        <v>0.44699054338583177</v>
      </c>
      <c r="F44" s="195"/>
      <c r="G44" s="214" t="s">
        <v>234</v>
      </c>
      <c r="H44" s="215"/>
      <c r="I44" s="215"/>
      <c r="J44" s="215"/>
      <c r="K44" s="198">
        <f>IF(K41=0,1,(1/K41-(1-EXP(-2*K41))/(2*K41^2)))</f>
        <v>0.45638879378781028</v>
      </c>
      <c r="L44" s="195"/>
      <c r="M44" s="214" t="s">
        <v>231</v>
      </c>
      <c r="N44" s="214"/>
      <c r="O44" s="200"/>
    </row>
    <row r="45" spans="1:22">
      <c r="A45" s="195"/>
      <c r="B45" s="178" t="s">
        <v>235</v>
      </c>
      <c r="C45" s="180"/>
      <c r="D45" s="180"/>
      <c r="E45" s="191">
        <f>IF(E42=0,1,(1/E42-(1-EXP(-2*E42))/(2*E42^2)))</f>
        <v>0.15931867132505645</v>
      </c>
      <c r="F45" s="195"/>
      <c r="G45" s="214" t="s">
        <v>235</v>
      </c>
      <c r="H45" s="215"/>
      <c r="I45" s="215"/>
      <c r="J45" s="215"/>
      <c r="K45" s="198">
        <f>IF(K42=0,1,(1/K42-(1-EXP(-2*K42))/(2*K42^2)))</f>
        <v>8.6210185065409173E-2</v>
      </c>
      <c r="L45" s="195"/>
      <c r="M45" s="214" t="s">
        <v>231</v>
      </c>
      <c r="N45" s="214"/>
      <c r="O45" s="200"/>
    </row>
    <row r="46" spans="1:22">
      <c r="A46" s="195"/>
      <c r="B46" s="178" t="s">
        <v>236</v>
      </c>
      <c r="C46" s="180"/>
      <c r="D46" s="180"/>
      <c r="E46" s="191">
        <f>IF(E43=0,1,(1/E43-(1-EXP(-2*E43))/(2*E43^2)))</f>
        <v>2.5729771553381429E-2</v>
      </c>
      <c r="F46" s="195"/>
      <c r="G46" s="214" t="s">
        <v>236</v>
      </c>
      <c r="H46" s="215"/>
      <c r="I46" s="215"/>
      <c r="J46" s="215"/>
      <c r="K46" s="198">
        <f>IF(K43=0,1,(1/K43-(1-EXP(-2*K43))/(2*K43^2)))</f>
        <v>5.2482464874613062E-2</v>
      </c>
      <c r="L46" s="195"/>
      <c r="M46" s="214" t="s">
        <v>231</v>
      </c>
      <c r="N46" s="214"/>
      <c r="O46" s="200"/>
    </row>
    <row r="47" spans="1:22">
      <c r="A47" s="172"/>
      <c r="M47" s="202"/>
    </row>
    <row r="48" spans="1:22">
      <c r="M48" s="202"/>
    </row>
    <row r="49" spans="2:13">
      <c r="M49" s="202"/>
    </row>
    <row r="50" spans="2:13">
      <c r="B50" s="222" t="s">
        <v>237</v>
      </c>
      <c r="C50" s="222"/>
      <c r="D50" s="222"/>
      <c r="E50" s="222"/>
      <c r="F50" s="222"/>
      <c r="G50" s="222"/>
      <c r="H50" s="222" t="s">
        <v>238</v>
      </c>
      <c r="I50" s="223"/>
      <c r="J50" s="223"/>
      <c r="K50" s="223"/>
      <c r="L50" s="223"/>
      <c r="M50" s="202"/>
    </row>
    <row r="51" spans="2:13" ht="18.75">
      <c r="B51" s="203" t="s">
        <v>239</v>
      </c>
      <c r="C51" s="203" t="s">
        <v>240</v>
      </c>
      <c r="D51" s="203" t="s">
        <v>241</v>
      </c>
      <c r="E51" s="204" t="s">
        <v>242</v>
      </c>
      <c r="F51" s="203" t="s">
        <v>243</v>
      </c>
      <c r="G51" s="203" t="s">
        <v>244</v>
      </c>
      <c r="H51" s="205" t="s">
        <v>245</v>
      </c>
      <c r="I51" s="203" t="s">
        <v>246</v>
      </c>
      <c r="J51" s="206"/>
      <c r="K51" s="206"/>
      <c r="L51" s="206"/>
      <c r="M51" s="202"/>
    </row>
    <row r="52" spans="2:13" ht="14.25">
      <c r="B52" s="207" t="s">
        <v>15</v>
      </c>
      <c r="C52" s="208" t="s">
        <v>247</v>
      </c>
      <c r="D52" s="207">
        <v>213.36</v>
      </c>
      <c r="E52" s="207">
        <v>2.13</v>
      </c>
      <c r="F52" s="207">
        <v>11.5</v>
      </c>
      <c r="G52" s="207">
        <v>1.99</v>
      </c>
      <c r="H52" s="207">
        <v>0.15</v>
      </c>
      <c r="I52" s="207">
        <v>198.12</v>
      </c>
      <c r="J52" s="209">
        <f>1/8</f>
        <v>0.125</v>
      </c>
      <c r="K52" s="207">
        <v>0.8</v>
      </c>
      <c r="L52" s="209">
        <f>1/9</f>
        <v>0.1111111111111111</v>
      </c>
      <c r="M52" s="202"/>
    </row>
    <row r="53" spans="2:13" ht="14.25">
      <c r="B53" s="207" t="s">
        <v>1</v>
      </c>
      <c r="C53" s="208" t="s">
        <v>248</v>
      </c>
      <c r="D53" s="207">
        <v>274.32</v>
      </c>
      <c r="E53" s="207">
        <v>4.57</v>
      </c>
      <c r="F53" s="207">
        <v>9.5</v>
      </c>
      <c r="G53" s="207">
        <v>1.97</v>
      </c>
      <c r="H53" s="207">
        <v>0.2</v>
      </c>
      <c r="I53" s="207">
        <v>152.4</v>
      </c>
      <c r="J53" s="209">
        <f>1/5</f>
        <v>0.2</v>
      </c>
      <c r="K53" s="207">
        <v>0.65</v>
      </c>
      <c r="L53" s="209">
        <f>1/6.5</f>
        <v>0.15384615384615385</v>
      </c>
    </row>
    <row r="54" spans="2:13" ht="14.25">
      <c r="B54" s="207" t="s">
        <v>0</v>
      </c>
      <c r="C54" s="208" t="s">
        <v>249</v>
      </c>
      <c r="D54" s="207">
        <v>365.76</v>
      </c>
      <c r="E54" s="207">
        <v>9.14</v>
      </c>
      <c r="F54" s="207">
        <v>7</v>
      </c>
      <c r="G54" s="207">
        <v>1.98</v>
      </c>
      <c r="H54" s="207">
        <v>0.3</v>
      </c>
      <c r="I54" s="207">
        <v>97.54</v>
      </c>
      <c r="J54" s="209">
        <f>1/3</f>
        <v>0.33333333333333331</v>
      </c>
      <c r="K54" s="207">
        <v>0.45</v>
      </c>
      <c r="L54" s="209">
        <f>1/4</f>
        <v>0.25</v>
      </c>
    </row>
    <row r="55" spans="2:13"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0"/>
    </row>
    <row r="56" spans="2:13"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0"/>
    </row>
    <row r="57" spans="2:13" ht="15">
      <c r="B57" s="210"/>
      <c r="C57" s="210"/>
      <c r="D57" s="210"/>
      <c r="E57" s="210"/>
      <c r="F57" s="211" t="s">
        <v>5</v>
      </c>
      <c r="G57" s="211">
        <v>0.65</v>
      </c>
      <c r="H57" s="211">
        <v>36</v>
      </c>
      <c r="I57" s="210"/>
      <c r="J57" s="210"/>
      <c r="K57" s="210"/>
      <c r="L57" s="210"/>
    </row>
    <row r="58" spans="2:13" ht="15">
      <c r="B58" s="210"/>
      <c r="C58" s="210"/>
      <c r="D58" s="210"/>
      <c r="E58" s="210"/>
      <c r="F58" s="211" t="s">
        <v>2</v>
      </c>
      <c r="G58" s="211">
        <v>0.95</v>
      </c>
      <c r="H58" s="211">
        <v>44</v>
      </c>
      <c r="I58" s="210"/>
      <c r="J58" s="210"/>
      <c r="K58" s="210"/>
      <c r="L58" s="210"/>
    </row>
    <row r="59" spans="2:13" ht="15">
      <c r="B59" s="210"/>
      <c r="C59" s="210"/>
      <c r="D59" s="210"/>
      <c r="E59" s="210"/>
      <c r="F59" s="211" t="s">
        <v>3</v>
      </c>
      <c r="G59" s="211">
        <v>1.25</v>
      </c>
      <c r="H59" s="211">
        <v>50</v>
      </c>
      <c r="I59" s="210"/>
      <c r="J59" s="210"/>
      <c r="K59" s="210"/>
      <c r="L59" s="210"/>
    </row>
    <row r="60" spans="2:13" ht="15">
      <c r="B60" s="210"/>
      <c r="C60" s="210"/>
      <c r="D60" s="210"/>
      <c r="E60" s="210"/>
      <c r="F60" s="211" t="s">
        <v>4</v>
      </c>
      <c r="G60" s="211">
        <v>1.55</v>
      </c>
      <c r="H60" s="211">
        <v>56</v>
      </c>
      <c r="I60" s="210"/>
      <c r="J60" s="210"/>
      <c r="K60" s="210"/>
      <c r="L60" s="210"/>
    </row>
    <row r="61" spans="2:13" ht="15">
      <c r="B61" s="210"/>
      <c r="C61" s="210"/>
      <c r="D61" s="210"/>
      <c r="E61" s="210"/>
      <c r="F61" s="211" t="s">
        <v>11</v>
      </c>
      <c r="G61" s="211">
        <v>1.85</v>
      </c>
      <c r="H61" s="211">
        <v>61</v>
      </c>
      <c r="I61" s="210"/>
      <c r="J61" s="210"/>
      <c r="K61" s="210"/>
      <c r="L61" s="210"/>
    </row>
  </sheetData>
  <dataConsolidate/>
  <mergeCells count="86"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  <mergeCell ref="G40:J40"/>
    <mergeCell ref="M40:N40"/>
    <mergeCell ref="G41:J41"/>
    <mergeCell ref="M41:N41"/>
    <mergeCell ref="G42:J42"/>
    <mergeCell ref="M42:N42"/>
    <mergeCell ref="B38:D38"/>
    <mergeCell ref="G38:J38"/>
    <mergeCell ref="M38:N38"/>
    <mergeCell ref="B39:D39"/>
    <mergeCell ref="G39:J39"/>
    <mergeCell ref="M39:N39"/>
    <mergeCell ref="B35:C35"/>
    <mergeCell ref="B36:D36"/>
    <mergeCell ref="G36:J36"/>
    <mergeCell ref="M36:N36"/>
    <mergeCell ref="B37:D37"/>
    <mergeCell ref="G37:J37"/>
    <mergeCell ref="M37:N37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23:G23"/>
    <mergeCell ref="J23:N23"/>
    <mergeCell ref="B24:G24"/>
    <mergeCell ref="J24:N24"/>
    <mergeCell ref="B25:G25"/>
    <mergeCell ref="J25:N25"/>
    <mergeCell ref="B20:G20"/>
    <mergeCell ref="J20:N20"/>
    <mergeCell ref="B21:G21"/>
    <mergeCell ref="J21:N21"/>
    <mergeCell ref="B22:G22"/>
    <mergeCell ref="J22:N22"/>
    <mergeCell ref="B17:G17"/>
    <mergeCell ref="J17:N17"/>
    <mergeCell ref="B18:G18"/>
    <mergeCell ref="J18:N18"/>
    <mergeCell ref="B19:G19"/>
    <mergeCell ref="J19:N19"/>
    <mergeCell ref="B14:G14"/>
    <mergeCell ref="J14:N14"/>
    <mergeCell ref="B15:G15"/>
    <mergeCell ref="J15:N15"/>
    <mergeCell ref="B16:G16"/>
    <mergeCell ref="J16:N16"/>
    <mergeCell ref="B11:G11"/>
    <mergeCell ref="J11:N11"/>
    <mergeCell ref="B12:G12"/>
    <mergeCell ref="J12:N12"/>
    <mergeCell ref="B13:G13"/>
    <mergeCell ref="J13:N13"/>
    <mergeCell ref="B8:G8"/>
    <mergeCell ref="H8:J8"/>
    <mergeCell ref="B9:G9"/>
    <mergeCell ref="J9:N9"/>
    <mergeCell ref="R9:AA10"/>
    <mergeCell ref="B10:G10"/>
    <mergeCell ref="J10:N10"/>
    <mergeCell ref="B7:C7"/>
    <mergeCell ref="E7:N7"/>
    <mergeCell ref="B2:N2"/>
    <mergeCell ref="B4:C4"/>
    <mergeCell ref="B5:D5"/>
    <mergeCell ref="F5:I5"/>
    <mergeCell ref="B6:C6"/>
  </mergeCells>
  <dataValidations count="3">
    <dataValidation type="list" allowBlank="1" showInputMessage="1" showErrorMessage="1" sqref="D6" xr:uid="{7B9FADC8-E16A-4BF2-9FF8-E4254382417F}">
      <formula1>"I,II,III,IV,V"</formula1>
    </dataValidation>
    <dataValidation type="list" allowBlank="1" showInputMessage="1" showErrorMessage="1" sqref="D7" xr:uid="{DFE82C05-6757-492A-BD80-FFC0BCFE5D25}">
      <formula1>"A,B,C"</formula1>
    </dataValidation>
    <dataValidation type="list" allowBlank="1" showInputMessage="1" showErrorMessage="1" sqref="H8" xr:uid="{B7C5FF78-CC74-44A9-8887-00DB5C8848FD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8B98-CB22-48A2-973E-B46E1B829F7A}">
  <sheetPr codeName="Sheet1"/>
  <dimension ref="A1:BB167"/>
  <sheetViews>
    <sheetView tabSelected="1" topLeftCell="A12" zoomScale="130" zoomScaleNormal="130" workbookViewId="0">
      <selection activeCell="M31" sqref="M31:N31"/>
    </sheetView>
  </sheetViews>
  <sheetFormatPr defaultRowHeight="12.75"/>
  <cols>
    <col min="1" max="1" width="9.140625" style="9"/>
    <col min="2" max="2" width="2" style="10" customWidth="1"/>
    <col min="3" max="3" width="6.140625" style="10" customWidth="1"/>
    <col min="4" max="13" width="4.7109375" style="10" customWidth="1"/>
    <col min="14" max="14" width="5" style="10" customWidth="1"/>
    <col min="15" max="15" width="5.140625" style="10" customWidth="1"/>
    <col min="16" max="27" width="4.7109375" style="10" customWidth="1"/>
    <col min="28" max="28" width="2" style="10" customWidth="1"/>
    <col min="29" max="29" width="9.140625" style="9"/>
    <col min="30" max="31" width="9.140625" style="9" customWidth="1"/>
    <col min="32" max="51" width="9.140625" style="9"/>
    <col min="52" max="53" width="37.140625" style="9" customWidth="1"/>
    <col min="54" max="16384" width="9.140625" style="9"/>
  </cols>
  <sheetData>
    <row r="1" spans="2:53" hidden="1"/>
    <row r="2" spans="2:53" hidden="1"/>
    <row r="3" spans="2:53" hidden="1"/>
    <row r="4" spans="2:53" hidden="1"/>
    <row r="5" spans="2:53" hidden="1"/>
    <row r="6" spans="2:53" ht="13.5" hidden="1" thickBot="1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</row>
    <row r="7" spans="2:53">
      <c r="B7" s="309" t="s">
        <v>127</v>
      </c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77" t="s">
        <v>125</v>
      </c>
      <c r="W7" s="377"/>
      <c r="X7" s="377"/>
      <c r="Y7" s="377" t="s">
        <v>126</v>
      </c>
      <c r="Z7" s="377"/>
      <c r="AA7" s="377"/>
      <c r="AB7" s="380"/>
      <c r="AC7" s="374" t="s">
        <v>58</v>
      </c>
      <c r="AY7" s="3"/>
      <c r="AZ7" s="3" t="s">
        <v>57</v>
      </c>
      <c r="BA7" s="3" t="s">
        <v>58</v>
      </c>
    </row>
    <row r="8" spans="2:53">
      <c r="B8" s="311"/>
      <c r="C8" s="312"/>
      <c r="D8" s="312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78"/>
      <c r="W8" s="378"/>
      <c r="X8" s="378"/>
      <c r="Y8" s="378"/>
      <c r="Z8" s="378"/>
      <c r="AA8" s="378"/>
      <c r="AB8" s="381"/>
      <c r="AC8" s="374"/>
      <c r="AY8" s="40">
        <v>1</v>
      </c>
      <c r="AZ8" s="59" t="s">
        <v>6</v>
      </c>
      <c r="BA8" s="59" t="s">
        <v>59</v>
      </c>
    </row>
    <row r="9" spans="2:53">
      <c r="B9" s="311"/>
      <c r="C9" s="312"/>
      <c r="D9" s="312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2"/>
      <c r="V9" s="378"/>
      <c r="W9" s="378"/>
      <c r="X9" s="378"/>
      <c r="Y9" s="378"/>
      <c r="Z9" s="378"/>
      <c r="AA9" s="378"/>
      <c r="AB9" s="381"/>
      <c r="AC9" s="374"/>
      <c r="AY9" s="40">
        <v>2</v>
      </c>
      <c r="AZ9" s="59" t="s">
        <v>8</v>
      </c>
      <c r="BA9" s="59" t="s">
        <v>60</v>
      </c>
    </row>
    <row r="10" spans="2:53">
      <c r="B10" s="313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  <c r="O10" s="314"/>
      <c r="P10" s="314"/>
      <c r="Q10" s="314"/>
      <c r="R10" s="314"/>
      <c r="S10" s="314"/>
      <c r="T10" s="314"/>
      <c r="U10" s="314"/>
      <c r="V10" s="379"/>
      <c r="W10" s="379"/>
      <c r="X10" s="379"/>
      <c r="Y10" s="379"/>
      <c r="Z10" s="379"/>
      <c r="AA10" s="379"/>
      <c r="AB10" s="382"/>
      <c r="AC10" s="374"/>
      <c r="AY10" s="40">
        <v>3</v>
      </c>
      <c r="AZ10" s="59" t="s">
        <v>10</v>
      </c>
      <c r="BA10" s="59" t="s">
        <v>61</v>
      </c>
    </row>
    <row r="11" spans="2:53" ht="15">
      <c r="B11" s="20"/>
      <c r="C11" s="124"/>
      <c r="D11" s="124"/>
      <c r="E11" s="124"/>
      <c r="F11" s="124"/>
      <c r="G11" s="124"/>
      <c r="H11" s="124"/>
      <c r="I11" s="60" t="str">
        <f>VLOOKUP(9,AY8:$BA$108,1+MATCH($AC$7,$AZ$7:$BA$7,0))</f>
        <v>Tiêu chuẩn thiết kế:</v>
      </c>
      <c r="J11" s="124" t="str">
        <f>VLOOKUP(10,AY8:$BA$108,1+MATCH($AC$7,$AZ$7:$BA$7,0))</f>
        <v>TCVN 2737:2023 Tải trọng và tác động - Tiêu chuẩn thiết kế</v>
      </c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1"/>
      <c r="AD11" s="9" t="s">
        <v>40</v>
      </c>
      <c r="AE11" s="63" t="s">
        <v>94</v>
      </c>
      <c r="AY11" s="40">
        <v>4</v>
      </c>
      <c r="AZ11" s="59" t="s">
        <v>62</v>
      </c>
      <c r="BA11" s="59" t="s">
        <v>63</v>
      </c>
    </row>
    <row r="12" spans="2:53" ht="15">
      <c r="B12" s="20"/>
      <c r="C12" s="124"/>
      <c r="D12" s="124"/>
      <c r="E12" s="124"/>
      <c r="F12" s="124"/>
      <c r="G12" s="124"/>
      <c r="H12" s="124"/>
      <c r="I12" s="126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1"/>
      <c r="AD12" s="63" t="s">
        <v>36</v>
      </c>
      <c r="AE12" s="63" t="s">
        <v>95</v>
      </c>
      <c r="AY12" s="40">
        <v>5</v>
      </c>
      <c r="AZ12" s="59" t="s">
        <v>7</v>
      </c>
      <c r="BA12" s="59" t="s">
        <v>64</v>
      </c>
    </row>
    <row r="13" spans="2:53" ht="15">
      <c r="B13" s="20"/>
      <c r="C13" s="124"/>
      <c r="D13" s="124"/>
      <c r="E13" s="124"/>
      <c r="F13" s="124"/>
      <c r="G13" s="124"/>
      <c r="H13" s="124"/>
      <c r="I13" s="124"/>
      <c r="J13" s="124"/>
      <c r="K13" s="121"/>
      <c r="L13" s="351"/>
      <c r="M13" s="351"/>
      <c r="N13" s="351"/>
      <c r="O13" s="1"/>
      <c r="P13" s="1"/>
      <c r="Q13" s="1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1"/>
      <c r="AD13" s="63" t="s">
        <v>93</v>
      </c>
      <c r="AE13" s="63" t="s">
        <v>91</v>
      </c>
      <c r="AY13" s="40">
        <v>6</v>
      </c>
      <c r="AZ13" s="59" t="s">
        <v>9</v>
      </c>
      <c r="BA13" s="59" t="s">
        <v>65</v>
      </c>
    </row>
    <row r="14" spans="2:53" ht="15" customHeight="1">
      <c r="B14" s="20"/>
      <c r="C14" s="248" t="str">
        <f>VLOOKUP(12,AY8:$BA$108,1+MATCH($AC$7,$AZ$7:$BA$7,0))</f>
        <v>KÍCH THƯỚC HÌNH HỌC</v>
      </c>
      <c r="D14" s="249"/>
      <c r="E14" s="249"/>
      <c r="F14" s="249"/>
      <c r="G14" s="249"/>
      <c r="H14" s="249"/>
      <c r="I14" s="249"/>
      <c r="J14" s="249"/>
      <c r="K14" s="249"/>
      <c r="L14" s="249"/>
      <c r="M14" s="249"/>
      <c r="N14" s="250"/>
      <c r="O14" s="124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1"/>
      <c r="AD14" s="63" t="s">
        <v>39</v>
      </c>
      <c r="AE14" s="63" t="s">
        <v>92</v>
      </c>
      <c r="AI14" s="21" t="s">
        <v>12</v>
      </c>
      <c r="AJ14" s="21" t="s">
        <v>13</v>
      </c>
      <c r="AY14" s="40">
        <v>7</v>
      </c>
      <c r="AZ14" s="59" t="s">
        <v>66</v>
      </c>
      <c r="BA14" s="59" t="s">
        <v>67</v>
      </c>
    </row>
    <row r="15" spans="2:53" ht="15">
      <c r="B15" s="20"/>
      <c r="C15" s="332" t="s">
        <v>128</v>
      </c>
      <c r="D15" s="333"/>
      <c r="E15" s="333"/>
      <c r="F15" s="333"/>
      <c r="G15" s="75" t="s">
        <v>129</v>
      </c>
      <c r="H15" s="76"/>
      <c r="I15" s="76"/>
      <c r="J15" s="383" t="str">
        <f>IF(AC8="ENVN"," / Mái dốc 2 phía","")</f>
        <v/>
      </c>
      <c r="K15" s="383"/>
      <c r="L15" s="383"/>
      <c r="M15" s="383"/>
      <c r="N15" s="384"/>
      <c r="O15" s="124"/>
      <c r="P15" s="375"/>
      <c r="Q15" s="375"/>
      <c r="R15" s="127"/>
      <c r="S15" s="127"/>
      <c r="T15" s="127"/>
      <c r="U15" s="127"/>
      <c r="V15" s="127"/>
      <c r="W15" s="127"/>
      <c r="X15" s="127"/>
      <c r="Y15" s="127"/>
      <c r="Z15" s="128"/>
      <c r="AA15" s="128"/>
      <c r="AB15" s="11"/>
      <c r="AI15" s="23" t="s">
        <v>5</v>
      </c>
      <c r="AJ15" s="23">
        <v>0.65</v>
      </c>
      <c r="AY15" s="40">
        <v>8</v>
      </c>
      <c r="AZ15" s="59" t="s">
        <v>68</v>
      </c>
      <c r="BA15" s="59" t="s">
        <v>69</v>
      </c>
    </row>
    <row r="16" spans="2:53" ht="15">
      <c r="B16" s="20"/>
      <c r="C16" s="300" t="str">
        <f>VLOOKUP(15,AY8:$BA$108,1+MATCH($AC$7,$AZ$7:$BA$7,0))</f>
        <v>Loại kết cấu:</v>
      </c>
      <c r="D16" s="301"/>
      <c r="E16" s="301"/>
      <c r="F16" s="301"/>
      <c r="G16" s="439" t="s">
        <v>93</v>
      </c>
      <c r="H16" s="439"/>
      <c r="I16" s="439"/>
      <c r="J16" s="323" t="str">
        <f>IF(AC7="VN",VLOOKUP(G16,$AD$13:$AE$14,2,FALSE),"")</f>
        <v>/ Nhà BTCT</v>
      </c>
      <c r="K16" s="323"/>
      <c r="L16" s="323"/>
      <c r="M16" s="323"/>
      <c r="N16" s="324"/>
      <c r="O16" s="124"/>
      <c r="P16" s="375"/>
      <c r="Q16" s="375"/>
      <c r="R16" s="127"/>
      <c r="S16" s="127"/>
      <c r="T16" s="127"/>
      <c r="U16" s="127"/>
      <c r="V16" s="127"/>
      <c r="W16" s="127"/>
      <c r="X16" s="127"/>
      <c r="Y16" s="127"/>
      <c r="Z16" s="129"/>
      <c r="AA16" s="129"/>
      <c r="AB16" s="11"/>
      <c r="AD16" s="21" t="s">
        <v>16</v>
      </c>
      <c r="AE16" s="21" t="s">
        <v>17</v>
      </c>
      <c r="AF16" s="21" t="s">
        <v>18</v>
      </c>
      <c r="AG16" s="22" t="s">
        <v>19</v>
      </c>
      <c r="AH16" s="21" t="s">
        <v>20</v>
      </c>
      <c r="AI16" s="23" t="s">
        <v>2</v>
      </c>
      <c r="AJ16" s="23">
        <v>0.95</v>
      </c>
      <c r="AY16" s="40">
        <v>9</v>
      </c>
      <c r="AZ16" s="59" t="s">
        <v>70</v>
      </c>
      <c r="BA16" s="59" t="s">
        <v>71</v>
      </c>
    </row>
    <row r="17" spans="2:53" ht="15">
      <c r="B17" s="20"/>
      <c r="C17" s="448" t="str">
        <f>VLOOKUP(16,AY8:$BA$108,1+MATCH($AC$7,$AZ$7:$BA$7,0))</f>
        <v>Loại mái:</v>
      </c>
      <c r="D17" s="449"/>
      <c r="E17" s="449"/>
      <c r="F17" s="449"/>
      <c r="G17" s="439" t="s">
        <v>40</v>
      </c>
      <c r="H17" s="439"/>
      <c r="I17" s="439"/>
      <c r="J17" s="323" t="str">
        <f>IF(AC7="VN",VLOOKUP(G17,$AD$11:$AE$14,2,FALSE),"")</f>
        <v>/ Có cạnh sắc</v>
      </c>
      <c r="K17" s="323"/>
      <c r="L17" s="323"/>
      <c r="M17" s="323"/>
      <c r="N17" s="324"/>
      <c r="O17" s="124"/>
      <c r="P17" s="130"/>
      <c r="Q17" s="130"/>
      <c r="R17" s="127"/>
      <c r="S17" s="127"/>
      <c r="T17" s="127"/>
      <c r="U17" s="127"/>
      <c r="V17" s="127"/>
      <c r="W17" s="127"/>
      <c r="X17" s="127"/>
      <c r="Y17" s="127"/>
      <c r="Z17" s="129"/>
      <c r="AA17" s="129"/>
      <c r="AB17" s="11"/>
      <c r="AD17" s="21" t="s">
        <v>15</v>
      </c>
      <c r="AE17" s="21">
        <v>213.36</v>
      </c>
      <c r="AF17" s="21">
        <v>2.13</v>
      </c>
      <c r="AG17" s="21">
        <v>11.5</v>
      </c>
      <c r="AH17" s="21">
        <v>1.99</v>
      </c>
      <c r="AI17" s="23" t="s">
        <v>3</v>
      </c>
      <c r="AJ17" s="23">
        <v>1.25</v>
      </c>
      <c r="AY17" s="40">
        <v>10</v>
      </c>
      <c r="AZ17" s="59" t="s">
        <v>73</v>
      </c>
      <c r="BA17" s="59" t="s">
        <v>72</v>
      </c>
    </row>
    <row r="18" spans="2:53" ht="15">
      <c r="B18" s="20"/>
      <c r="C18" s="68"/>
      <c r="D18" s="131"/>
      <c r="E18" s="131"/>
      <c r="F18" s="131"/>
      <c r="G18" s="131"/>
      <c r="H18" s="131"/>
      <c r="I18" s="131"/>
      <c r="J18" s="132" t="str">
        <f>VLOOKUP(17,AY8:$BA$108,1+MATCH($AC$7,$AZ$7:$BA$7,0))</f>
        <v>Chiều rộng nhà / mái</v>
      </c>
      <c r="K18" s="325" t="s">
        <v>134</v>
      </c>
      <c r="L18" s="326"/>
      <c r="M18" s="440">
        <v>30</v>
      </c>
      <c r="N18" s="441"/>
      <c r="O18" s="124"/>
      <c r="P18" s="124"/>
      <c r="Q18" s="124"/>
      <c r="R18" s="127"/>
      <c r="S18" s="127"/>
      <c r="T18" s="127"/>
      <c r="U18" s="127"/>
      <c r="V18" s="127"/>
      <c r="W18" s="127"/>
      <c r="X18" s="127"/>
      <c r="Y18" s="127"/>
      <c r="Z18" s="124"/>
      <c r="AA18" s="124"/>
      <c r="AB18" s="11"/>
      <c r="AD18" s="21" t="s">
        <v>1</v>
      </c>
      <c r="AE18" s="21">
        <v>274.32</v>
      </c>
      <c r="AF18" s="21">
        <v>4.57</v>
      </c>
      <c r="AG18" s="21">
        <v>9.5</v>
      </c>
      <c r="AH18" s="21">
        <v>1.97</v>
      </c>
      <c r="AI18" s="23" t="s">
        <v>4</v>
      </c>
      <c r="AJ18" s="23">
        <v>1.55</v>
      </c>
      <c r="AY18" s="40">
        <v>11</v>
      </c>
      <c r="AZ18" s="61" t="s">
        <v>74</v>
      </c>
      <c r="BA18" s="61" t="s">
        <v>75</v>
      </c>
    </row>
    <row r="19" spans="2:53" ht="15">
      <c r="B19" s="20"/>
      <c r="C19" s="64"/>
      <c r="D19" s="131"/>
      <c r="E19" s="131"/>
      <c r="F19" s="131"/>
      <c r="G19" s="131"/>
      <c r="H19" s="131"/>
      <c r="I19" s="131"/>
      <c r="J19" s="132" t="str">
        <f>VLOOKUP(18,AY8:$BA$108,1+MATCH($AC$7,$AZ$7:$BA$7,0))</f>
        <v>Chiều dài nhà / mái</v>
      </c>
      <c r="K19" s="325" t="s">
        <v>135</v>
      </c>
      <c r="L19" s="326"/>
      <c r="M19" s="442">
        <v>100</v>
      </c>
      <c r="N19" s="443"/>
      <c r="O19" s="124"/>
      <c r="P19" s="127"/>
      <c r="Q19" s="127"/>
      <c r="R19" s="127"/>
      <c r="S19" s="127"/>
      <c r="T19" s="127"/>
      <c r="U19" s="127"/>
      <c r="V19" s="134"/>
      <c r="W19" s="127"/>
      <c r="X19" s="127"/>
      <c r="Y19" s="127"/>
      <c r="Z19" s="127"/>
      <c r="AA19" s="135"/>
      <c r="AB19" s="11"/>
      <c r="AD19" s="21" t="s">
        <v>0</v>
      </c>
      <c r="AE19" s="21">
        <v>365.76</v>
      </c>
      <c r="AF19" s="21">
        <v>9.14</v>
      </c>
      <c r="AG19" s="21">
        <v>7</v>
      </c>
      <c r="AH19" s="21">
        <v>1.98</v>
      </c>
      <c r="AI19" s="23" t="s">
        <v>11</v>
      </c>
      <c r="AJ19" s="23">
        <v>1.85</v>
      </c>
      <c r="AY19" s="40">
        <v>12</v>
      </c>
      <c r="AZ19" s="59" t="s">
        <v>30</v>
      </c>
      <c r="BA19" s="59" t="s">
        <v>76</v>
      </c>
    </row>
    <row r="20" spans="2:53" ht="18">
      <c r="B20" s="20"/>
      <c r="C20" s="65"/>
      <c r="D20" s="136"/>
      <c r="E20" s="136"/>
      <c r="F20" s="136"/>
      <c r="G20" s="136"/>
      <c r="H20" s="136"/>
      <c r="I20" s="136"/>
      <c r="J20" s="132" t="str">
        <f>VLOOKUP(19,AY9:$BA$108,1+MATCH($AC$7,$AZ$7:$BA$7,0))</f>
        <v>Chiều cao nhà</v>
      </c>
      <c r="K20" s="376" t="s">
        <v>169</v>
      </c>
      <c r="L20" s="326"/>
      <c r="M20" s="444">
        <v>11</v>
      </c>
      <c r="N20" s="445"/>
      <c r="O20" s="124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1"/>
      <c r="AY20" s="40">
        <v>13</v>
      </c>
      <c r="AZ20" s="59" t="s">
        <v>32</v>
      </c>
      <c r="BA20" s="59" t="s">
        <v>102</v>
      </c>
    </row>
    <row r="21" spans="2:53" ht="18">
      <c r="B21" s="20"/>
      <c r="C21" s="68"/>
      <c r="D21" s="136"/>
      <c r="E21" s="136"/>
      <c r="F21" s="136"/>
      <c r="G21" s="136"/>
      <c r="H21" s="136"/>
      <c r="I21" s="136"/>
      <c r="J21" s="132" t="str">
        <f>VLOOKUP(20,AY10:$BA$108,1+MATCH($AC$7,$AZ$7:$BA$7,0))</f>
        <v>Chiều cao tường chắn</v>
      </c>
      <c r="K21" s="326" t="s">
        <v>96</v>
      </c>
      <c r="L21" s="326"/>
      <c r="M21" s="446">
        <v>0</v>
      </c>
      <c r="N21" s="447"/>
      <c r="O21" s="124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1"/>
      <c r="AY21" s="40">
        <v>14</v>
      </c>
      <c r="AZ21" s="59" t="s">
        <v>89</v>
      </c>
      <c r="BA21" s="59" t="s">
        <v>90</v>
      </c>
    </row>
    <row r="22" spans="2:53" ht="15">
      <c r="B22" s="20"/>
      <c r="C22" s="68"/>
      <c r="D22" s="136"/>
      <c r="E22" s="136"/>
      <c r="F22" s="136"/>
      <c r="G22" s="136"/>
      <c r="H22" s="136"/>
      <c r="I22" s="136"/>
      <c r="J22" s="133" t="s">
        <v>130</v>
      </c>
      <c r="K22" s="325" t="s">
        <v>131</v>
      </c>
      <c r="L22" s="326"/>
      <c r="M22" s="446">
        <v>3</v>
      </c>
      <c r="N22" s="447"/>
      <c r="O22" s="124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1"/>
      <c r="AY22" s="40">
        <v>15</v>
      </c>
      <c r="AZ22" s="59" t="s">
        <v>34</v>
      </c>
      <c r="BA22" s="59" t="s">
        <v>101</v>
      </c>
    </row>
    <row r="23" spans="2:53" ht="18">
      <c r="B23" s="20"/>
      <c r="C23" s="68"/>
      <c r="D23" s="137" t="s">
        <v>138</v>
      </c>
      <c r="E23" s="308">
        <f>M20-M22</f>
        <v>8</v>
      </c>
      <c r="F23" s="308"/>
      <c r="G23" s="136"/>
      <c r="H23" s="137" t="s">
        <v>136</v>
      </c>
      <c r="I23" s="308">
        <f>M22/M18</f>
        <v>0.1</v>
      </c>
      <c r="J23" s="308"/>
      <c r="K23" s="138"/>
      <c r="L23" s="133" t="s">
        <v>137</v>
      </c>
      <c r="M23" s="306">
        <f>E23/M18</f>
        <v>0.26666666666666666</v>
      </c>
      <c r="N23" s="307"/>
      <c r="O23" s="124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1"/>
      <c r="AY23" s="40">
        <v>16</v>
      </c>
      <c r="AZ23" s="63" t="s">
        <v>35</v>
      </c>
      <c r="BA23" s="63" t="s">
        <v>100</v>
      </c>
    </row>
    <row r="24" spans="2:53" ht="16.5" thickBot="1">
      <c r="B24" s="20"/>
      <c r="C24" s="66"/>
      <c r="D24" s="67"/>
      <c r="E24" s="67"/>
      <c r="F24" s="67"/>
      <c r="G24" s="67"/>
      <c r="H24" s="67"/>
      <c r="I24" s="67"/>
      <c r="J24" s="56" t="str">
        <f>VLOOKUP(23,AY12:$BA$108,1+MATCH($AC$7,$AZ$7:$BA$7,0))</f>
        <v>Hệ số hiệu ứng giật</v>
      </c>
      <c r="K24" s="360" t="s">
        <v>97</v>
      </c>
      <c r="L24" s="360"/>
      <c r="M24" s="354">
        <f>IF(G16="RC building",0.85+M20/2840,0.85+M20/1010)</f>
        <v>0.85387323943661975</v>
      </c>
      <c r="N24" s="355"/>
      <c r="O24" s="124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1"/>
      <c r="AY24" s="40">
        <v>17</v>
      </c>
      <c r="AZ24" s="59" t="s">
        <v>98</v>
      </c>
      <c r="BA24" s="59" t="s">
        <v>99</v>
      </c>
    </row>
    <row r="25" spans="2:53" ht="15">
      <c r="B25" s="20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24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1"/>
      <c r="AD25" s="81" t="s">
        <v>151</v>
      </c>
      <c r="AE25" s="83">
        <f>M23</f>
        <v>0.26666666666666666</v>
      </c>
      <c r="AL25" s="385" t="s">
        <v>117</v>
      </c>
      <c r="AM25" s="386"/>
      <c r="AN25" s="88" t="s">
        <v>152</v>
      </c>
      <c r="AP25" s="385" t="s">
        <v>118</v>
      </c>
      <c r="AQ25" s="386"/>
      <c r="AR25" s="88" t="s">
        <v>152</v>
      </c>
      <c r="AY25" s="40">
        <v>18</v>
      </c>
      <c r="AZ25" s="59" t="s">
        <v>103</v>
      </c>
      <c r="BA25" s="59" t="s">
        <v>104</v>
      </c>
    </row>
    <row r="26" spans="2:53" ht="16.5" thickBot="1">
      <c r="B26" s="20"/>
      <c r="C26" s="356" t="str">
        <f>VLOOKUP(24,AY8:$BA$108,1+MATCH($AC$7,$AZ$7:$BA$7,0))</f>
        <v>DỮ LIỆU CÔNG TRÌNH</v>
      </c>
      <c r="D26" s="357"/>
      <c r="E26" s="357"/>
      <c r="F26" s="357"/>
      <c r="G26" s="357"/>
      <c r="H26" s="357"/>
      <c r="I26" s="357"/>
      <c r="J26" s="357"/>
      <c r="K26" s="357"/>
      <c r="L26" s="357"/>
      <c r="M26" s="357"/>
      <c r="N26" s="358"/>
      <c r="O26" s="124"/>
      <c r="P26" s="394" t="str">
        <f>VLOOKUP(37,AY8:$BA$108,1+MATCH($AC$7,$AZ$7:$BA$7,0))</f>
        <v>Áp lực gió tác dụng lên bề mặt:</v>
      </c>
      <c r="Q26" s="395"/>
      <c r="R26" s="395"/>
      <c r="S26" s="395"/>
      <c r="T26" s="395"/>
      <c r="U26" s="395"/>
      <c r="V26" s="395"/>
      <c r="W26" s="395"/>
      <c r="X26" s="395"/>
      <c r="Y26" s="395"/>
      <c r="Z26" s="395"/>
      <c r="AA26" s="396"/>
      <c r="AB26" s="11"/>
      <c r="AD26" s="91" t="s">
        <v>150</v>
      </c>
      <c r="AE26" s="114">
        <f>I23</f>
        <v>0.1</v>
      </c>
      <c r="AF26" s="80"/>
      <c r="AL26" s="89" t="s">
        <v>153</v>
      </c>
      <c r="AM26" s="40">
        <v>0</v>
      </c>
      <c r="AN26" s="90">
        <f>MAX(1.6*AE26,0.08)</f>
        <v>0.16000000000000003</v>
      </c>
      <c r="AP26" s="89" t="s">
        <v>153</v>
      </c>
      <c r="AQ26" s="40">
        <v>0</v>
      </c>
      <c r="AR26" s="90">
        <f>MAX(1.6*AE26,0.08)</f>
        <v>0.16000000000000003</v>
      </c>
      <c r="AY26" s="40">
        <v>19</v>
      </c>
      <c r="AZ26" s="59" t="s">
        <v>105</v>
      </c>
      <c r="BA26" s="59" t="s">
        <v>106</v>
      </c>
    </row>
    <row r="27" spans="2:53" ht="15.75">
      <c r="B27" s="20"/>
      <c r="C27" s="315" t="str">
        <f>VLOOKUP(25,AY12:$BA$108,1+MATCH($AC$7,$AZ$7:$BA$7,0))</f>
        <v>Vùng</v>
      </c>
      <c r="D27" s="316"/>
      <c r="E27" s="450" t="s">
        <v>2</v>
      </c>
      <c r="F27" s="450"/>
      <c r="G27" s="32"/>
      <c r="H27" s="32"/>
      <c r="I27" s="32" t="str">
        <f>VLOOKUP(26,AY8:$BA$108,1+MATCH($AC$7,$AZ$7:$BA$7,0))</f>
        <v>Địa hình</v>
      </c>
      <c r="J27" s="32"/>
      <c r="K27" s="32"/>
      <c r="L27" s="57"/>
      <c r="M27" s="451" t="s">
        <v>1</v>
      </c>
      <c r="N27" s="452"/>
      <c r="O27" s="124"/>
      <c r="P27" s="397" t="s">
        <v>170</v>
      </c>
      <c r="Q27" s="398"/>
      <c r="R27" s="398"/>
      <c r="S27" s="398"/>
      <c r="T27" s="398"/>
      <c r="U27" s="398"/>
      <c r="V27" s="398"/>
      <c r="W27" s="398"/>
      <c r="X27" s="398"/>
      <c r="Y27" s="398"/>
      <c r="Z27" s="398"/>
      <c r="AA27" s="399"/>
      <c r="AB27" s="11"/>
      <c r="AD27" s="385" t="s">
        <v>149</v>
      </c>
      <c r="AE27" s="386"/>
      <c r="AF27" s="386"/>
      <c r="AG27" s="386"/>
      <c r="AH27" s="112" t="s">
        <v>69</v>
      </c>
      <c r="AI27" s="82" t="s">
        <v>156</v>
      </c>
      <c r="AJ27" s="88" t="s">
        <v>157</v>
      </c>
      <c r="AL27" s="89" t="s">
        <v>153</v>
      </c>
      <c r="AM27" s="40">
        <v>0.5</v>
      </c>
      <c r="AN27" s="90">
        <f>MAX(MIN(-5*AE26-0.7,-0.95),-1.2)</f>
        <v>-1.2</v>
      </c>
      <c r="AP27" s="89" t="s">
        <v>153</v>
      </c>
      <c r="AQ27" s="40">
        <v>0.5</v>
      </c>
      <c r="AR27" s="90">
        <f>MAX((8/3)*AE26-(8/15),0)</f>
        <v>0</v>
      </c>
      <c r="AY27" s="40">
        <v>20</v>
      </c>
      <c r="AZ27" s="61" t="s">
        <v>107</v>
      </c>
      <c r="BA27" s="63" t="s">
        <v>108</v>
      </c>
    </row>
    <row r="28" spans="2:53" ht="18.75" thickBot="1">
      <c r="B28" s="20"/>
      <c r="C28" s="33"/>
      <c r="D28" s="139" t="s">
        <v>41</v>
      </c>
      <c r="E28" s="317">
        <f>VLOOKUP(E27,$AI$15:$AJ$19,2,FALSE)</f>
        <v>0.95</v>
      </c>
      <c r="F28" s="317"/>
      <c r="G28" s="140" t="s">
        <v>14</v>
      </c>
      <c r="H28" s="322" t="s">
        <v>42</v>
      </c>
      <c r="I28" s="322"/>
      <c r="J28" s="317">
        <f>VLOOKUP(M27,$AD$17:$AH$19,2,FALSE)</f>
        <v>274.32</v>
      </c>
      <c r="K28" s="317"/>
      <c r="L28" s="347" t="s">
        <v>43</v>
      </c>
      <c r="M28" s="347"/>
      <c r="N28" s="34">
        <f>VLOOKUP(M27,$AD$17:$AH$19,4,FALSE)</f>
        <v>9.5</v>
      </c>
      <c r="O28" s="124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1"/>
      <c r="AD28" s="84" t="s">
        <v>142</v>
      </c>
      <c r="AE28" s="390" t="s">
        <v>141</v>
      </c>
      <c r="AF28" s="390"/>
      <c r="AG28" s="390"/>
      <c r="AH28" s="58" t="b">
        <f>AE26&lt;0.2</f>
        <v>1</v>
      </c>
      <c r="AI28" s="86">
        <f>AN28</f>
        <v>-0.56533342599868774</v>
      </c>
      <c r="AJ28" s="107">
        <f>AN28</f>
        <v>-0.56533342599868774</v>
      </c>
      <c r="AL28" s="91" t="s">
        <v>153</v>
      </c>
      <c r="AM28" s="92">
        <f>AE25</f>
        <v>0.26666666666666666</v>
      </c>
      <c r="AN28" s="93">
        <f>noisuy1chieu(AM28,AM26:AM27,AN26:AN27)</f>
        <v>-0.56533342599868774</v>
      </c>
      <c r="AP28" s="91" t="s">
        <v>153</v>
      </c>
      <c r="AQ28" s="92">
        <f>AE25</f>
        <v>0.26666666666666666</v>
      </c>
      <c r="AR28" s="93">
        <f>noisuy1chieu(AQ28,AQ26:AQ27,AR26:AR27)</f>
        <v>7.4666664004325867E-2</v>
      </c>
      <c r="AY28" s="40">
        <v>21</v>
      </c>
      <c r="AZ28" s="63" t="s">
        <v>109</v>
      </c>
      <c r="BA28" s="61" t="s">
        <v>110</v>
      </c>
    </row>
    <row r="29" spans="2:53" ht="18.75" thickBot="1">
      <c r="B29" s="20"/>
      <c r="C29" s="33"/>
      <c r="D29" s="139" t="s">
        <v>44</v>
      </c>
      <c r="E29" s="359">
        <f>0.852*E28</f>
        <v>0.8093999999999999</v>
      </c>
      <c r="F29" s="359"/>
      <c r="G29" s="140" t="s">
        <v>14</v>
      </c>
      <c r="H29" s="322" t="s">
        <v>45</v>
      </c>
      <c r="I29" s="322"/>
      <c r="J29" s="317">
        <f>VLOOKUP(M27,$AD$17:$AH$19,3,FALSE)</f>
        <v>4.57</v>
      </c>
      <c r="K29" s="317"/>
      <c r="L29" s="317" t="s">
        <v>46</v>
      </c>
      <c r="M29" s="317"/>
      <c r="N29" s="34">
        <f>VLOOKUP(M27,$AD$17:$AH$19,5,FALSE)</f>
        <v>1.97</v>
      </c>
      <c r="O29" s="124"/>
      <c r="P29" s="248" t="str">
        <f>VLOOKUP(27,AY8:$BA$108,1+MATCH($AC$7,$AZ$7:$BA$7,0))</f>
        <v>HỆ SỐ</v>
      </c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50"/>
      <c r="AB29" s="11"/>
      <c r="AD29" s="84" t="s">
        <v>144</v>
      </c>
      <c r="AE29" s="389" t="s">
        <v>145</v>
      </c>
      <c r="AF29" s="389"/>
      <c r="AG29" s="389"/>
      <c r="AH29" s="58" t="b">
        <f>AND(AE26&gt;=0.2,AE26&lt;=0.3,AE25&lt;0.5)</f>
        <v>0</v>
      </c>
      <c r="AI29" s="86">
        <f>AR28</f>
        <v>7.4666664004325867E-2</v>
      </c>
      <c r="AJ29" s="107">
        <f>AR28</f>
        <v>7.4666664004325867E-2</v>
      </c>
      <c r="AY29" s="40">
        <v>22</v>
      </c>
      <c r="AZ29" s="61" t="s">
        <v>111</v>
      </c>
      <c r="BA29" s="61" t="s">
        <v>112</v>
      </c>
    </row>
    <row r="30" spans="2:53" ht="15.75">
      <c r="B30" s="20"/>
      <c r="C30" s="72"/>
      <c r="D30" s="141"/>
      <c r="E30" s="141"/>
      <c r="F30" s="141"/>
      <c r="G30" s="141"/>
      <c r="H30" s="141"/>
      <c r="I30" s="141"/>
      <c r="J30" s="142" t="str">
        <f>VLOOKUP(32,AY8:$BA$108,1+MATCH($AC$7,$AZ$7:$BA$7,0))</f>
        <v>Chiều cao tham chiếu</v>
      </c>
      <c r="K30" s="141"/>
      <c r="L30" s="142" t="s">
        <v>119</v>
      </c>
      <c r="M30" s="245">
        <f>MAX(IF(G17="With parapets",M20+M21,E23+0.7*M22),J29)</f>
        <v>10.1</v>
      </c>
      <c r="N30" s="365"/>
      <c r="O30" s="124"/>
      <c r="P30" s="292" t="str">
        <f>VLOOKUP(38,AY8:$BA$108,1+MATCH($AC$7,$AZ$7:$BA$7,0))</f>
        <v>Độ hở của tường chắn</v>
      </c>
      <c r="Q30" s="293"/>
      <c r="R30" s="293"/>
      <c r="S30" s="293"/>
      <c r="T30" s="293"/>
      <c r="U30" s="293"/>
      <c r="V30" s="293"/>
      <c r="W30" s="293"/>
      <c r="X30" s="293"/>
      <c r="Y30" s="293"/>
      <c r="Z30" s="453">
        <v>0.05</v>
      </c>
      <c r="AA30" s="454"/>
      <c r="AB30" s="11"/>
      <c r="AD30" s="84" t="s">
        <v>146</v>
      </c>
      <c r="AE30" s="389" t="s">
        <v>143</v>
      </c>
      <c r="AF30" s="389"/>
      <c r="AG30" s="389"/>
      <c r="AH30" s="58" t="b">
        <f>AND(AE26&gt;=0.2,AE26&lt;=0.3,AE25&gt;=0.5)</f>
        <v>0</v>
      </c>
      <c r="AI30" s="86">
        <f>AN31</f>
        <v>-2.1</v>
      </c>
      <c r="AJ30" s="107">
        <f>AN32</f>
        <v>-0.26666666666666666</v>
      </c>
      <c r="AL30" s="387" t="s">
        <v>139</v>
      </c>
      <c r="AM30" s="388"/>
      <c r="AN30" s="94" t="s">
        <v>152</v>
      </c>
      <c r="AP30" s="385" t="s">
        <v>140</v>
      </c>
      <c r="AQ30" s="386"/>
      <c r="AR30" s="88" t="s">
        <v>152</v>
      </c>
      <c r="AY30" s="40">
        <v>23</v>
      </c>
      <c r="AZ30" s="59" t="s">
        <v>113</v>
      </c>
      <c r="BA30" s="59" t="s">
        <v>114</v>
      </c>
    </row>
    <row r="31" spans="2:53" ht="18.75" thickBot="1">
      <c r="B31" s="20"/>
      <c r="C31" s="72"/>
      <c r="D31" s="141"/>
      <c r="E31" s="141"/>
      <c r="F31" s="141"/>
      <c r="G31" s="141"/>
      <c r="H31" s="141"/>
      <c r="I31" s="141"/>
      <c r="J31" s="142" t="str">
        <f>VLOOKUP(33,AY8:$BA$108,1+MATCH($AC$7,$AZ$7:$BA$7,0))</f>
        <v>Hệ số địa hình</v>
      </c>
      <c r="K31" s="141"/>
      <c r="L31" s="142" t="s">
        <v>120</v>
      </c>
      <c r="M31" s="352">
        <f>MIN(2.01*(M30/J28)^(2/N28),N29)</f>
        <v>1.003031965142885</v>
      </c>
      <c r="N31" s="353"/>
      <c r="O31" s="124"/>
      <c r="P31" s="68" t="str">
        <f>VLOOKUP(28,AY8:$BA$108,1+MATCH($AC$7,$AZ$7:$BA$7,0))</f>
        <v>Hệ số khí động áp lực bên trong</v>
      </c>
      <c r="Q31" s="167"/>
      <c r="R31" s="167"/>
      <c r="S31" s="167"/>
      <c r="T31" s="167"/>
      <c r="U31" s="167"/>
      <c r="V31" s="164" t="s">
        <v>115</v>
      </c>
      <c r="W31" s="168" t="str">
        <f>VLOOKUP(29,AY8:$BA$108,1+MATCH($AC$7,$AZ$7:$BA$7,0))</f>
        <v>Trường hợp 1</v>
      </c>
      <c r="X31" s="168"/>
      <c r="Y31" s="168"/>
      <c r="Z31" s="318">
        <f>AE36</f>
        <v>0.2</v>
      </c>
      <c r="AA31" s="319"/>
      <c r="AB31" s="11"/>
      <c r="AD31" s="85" t="s">
        <v>147</v>
      </c>
      <c r="AE31" s="391" t="s">
        <v>148</v>
      </c>
      <c r="AF31" s="391"/>
      <c r="AG31" s="391"/>
      <c r="AH31" s="113" t="b">
        <f>AE26&gt;0.3</f>
        <v>0</v>
      </c>
      <c r="AI31" s="108">
        <f>AR33</f>
        <v>7.4666664004325867E-2</v>
      </c>
      <c r="AJ31" s="109">
        <f>AR33</f>
        <v>7.4666664004325867E-2</v>
      </c>
      <c r="AL31" s="89" t="s">
        <v>155</v>
      </c>
      <c r="AM31" s="40">
        <v>0.5</v>
      </c>
      <c r="AN31" s="115">
        <f>9*AE26-3</f>
        <v>-2.1</v>
      </c>
      <c r="AP31" s="89" t="s">
        <v>153</v>
      </c>
      <c r="AQ31" s="40">
        <v>0</v>
      </c>
      <c r="AR31" s="90">
        <f>MAX(1.6*AE26,0.08)</f>
        <v>0.16000000000000003</v>
      </c>
      <c r="AY31" s="40">
        <v>24</v>
      </c>
      <c r="AZ31" s="59" t="s">
        <v>31</v>
      </c>
      <c r="BA31" s="59" t="s">
        <v>77</v>
      </c>
    </row>
    <row r="32" spans="2:53" ht="18.75" thickBot="1">
      <c r="B32" s="20"/>
      <c r="C32" s="66"/>
      <c r="D32" s="67"/>
      <c r="E32" s="67"/>
      <c r="F32" s="67"/>
      <c r="G32" s="67"/>
      <c r="H32" s="67"/>
      <c r="I32" s="67"/>
      <c r="J32" s="55"/>
      <c r="K32" s="67"/>
      <c r="L32" s="78" t="s">
        <v>132</v>
      </c>
      <c r="M32" s="329">
        <f>E29*M31*M24</f>
        <v>0.69322046690937633</v>
      </c>
      <c r="N32" s="330"/>
      <c r="O32" s="124"/>
      <c r="P32" s="69"/>
      <c r="Q32" s="70"/>
      <c r="R32" s="70"/>
      <c r="S32" s="70"/>
      <c r="T32" s="70"/>
      <c r="U32" s="70"/>
      <c r="V32" s="71" t="s">
        <v>115</v>
      </c>
      <c r="W32" s="74" t="str">
        <f>VLOOKUP(30,AY8:$BA$108,1+MATCH($AC$7,$AZ$7:$BA$7,0))</f>
        <v>Trường hợp 2</v>
      </c>
      <c r="X32" s="74"/>
      <c r="Y32" s="74"/>
      <c r="Z32" s="320">
        <f>AF36</f>
        <v>-0.2</v>
      </c>
      <c r="AA32" s="321"/>
      <c r="AB32" s="11"/>
      <c r="AL32" s="91" t="s">
        <v>154</v>
      </c>
      <c r="AM32" s="87">
        <v>0.5</v>
      </c>
      <c r="AN32" s="93">
        <f>(8/3)*AE26-(8/15)</f>
        <v>-0.26666666666666666</v>
      </c>
      <c r="AP32" s="89" t="s">
        <v>153</v>
      </c>
      <c r="AQ32" s="40">
        <v>0.5</v>
      </c>
      <c r="AR32" s="90">
        <f>MAX((8/3)*AE26-(8/15),0)</f>
        <v>0</v>
      </c>
      <c r="AY32" s="40">
        <v>25</v>
      </c>
      <c r="AZ32" s="59" t="s">
        <v>12</v>
      </c>
      <c r="BA32" s="59" t="s">
        <v>29</v>
      </c>
    </row>
    <row r="33" spans="2:54" ht="16.5" thickBot="1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24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1"/>
      <c r="AD33" s="242" t="s">
        <v>174</v>
      </c>
      <c r="AE33" s="242"/>
      <c r="AF33" s="242"/>
      <c r="AL33" s="110"/>
      <c r="AM33" s="111"/>
      <c r="AN33" s="116"/>
      <c r="AP33" s="91" t="s">
        <v>153</v>
      </c>
      <c r="AQ33" s="92">
        <f>AE25</f>
        <v>0.26666666666666666</v>
      </c>
      <c r="AR33" s="93">
        <f>noisuy1chieu(AQ33,AQ31:AQ32,AR31:AR32)</f>
        <v>7.4666664004325867E-2</v>
      </c>
      <c r="AY33" s="40">
        <v>26</v>
      </c>
      <c r="AZ33" s="59" t="s">
        <v>33</v>
      </c>
      <c r="BA33" s="59" t="s">
        <v>123</v>
      </c>
    </row>
    <row r="34" spans="2:54" ht="15">
      <c r="B34" s="20"/>
      <c r="C34" s="248" t="s">
        <v>124</v>
      </c>
      <c r="D34" s="249"/>
      <c r="E34" s="249"/>
      <c r="F34" s="249"/>
      <c r="G34" s="249"/>
      <c r="H34" s="249"/>
      <c r="I34" s="249"/>
      <c r="J34" s="249"/>
      <c r="K34" s="249"/>
      <c r="L34" s="250"/>
      <c r="M34" s="127"/>
      <c r="N34" s="127"/>
      <c r="O34" s="124"/>
      <c r="P34" s="248" t="s">
        <v>133</v>
      </c>
      <c r="Q34" s="249"/>
      <c r="R34" s="249"/>
      <c r="S34" s="249"/>
      <c r="T34" s="249"/>
      <c r="U34" s="249"/>
      <c r="V34" s="249"/>
      <c r="W34" s="250"/>
      <c r="X34" s="267"/>
      <c r="Y34" s="267"/>
      <c r="Z34" s="127"/>
      <c r="AA34" s="127"/>
      <c r="AB34" s="11"/>
      <c r="AD34" s="169">
        <v>0.05</v>
      </c>
      <c r="AE34" s="166">
        <v>0.2</v>
      </c>
      <c r="AF34" s="166">
        <v>-0.2</v>
      </c>
      <c r="AL34" s="110"/>
      <c r="AM34" s="80"/>
      <c r="AN34" s="80"/>
      <c r="AY34" s="40">
        <v>27</v>
      </c>
      <c r="AZ34" s="59" t="s">
        <v>37</v>
      </c>
      <c r="BA34" s="59" t="s">
        <v>78</v>
      </c>
    </row>
    <row r="35" spans="2:54" ht="15">
      <c r="B35" s="20"/>
      <c r="C35" s="363" t="str">
        <f>VLOOKUP(25,AY12:$BA$108,1+MATCH($AC$7,$AZ$7:$BA$7,0))</f>
        <v>Vùng</v>
      </c>
      <c r="D35" s="364"/>
      <c r="E35" s="361" t="s">
        <v>25</v>
      </c>
      <c r="F35" s="361"/>
      <c r="G35" s="361" t="s">
        <v>26</v>
      </c>
      <c r="H35" s="361"/>
      <c r="I35" s="361" t="s">
        <v>27</v>
      </c>
      <c r="J35" s="361"/>
      <c r="K35" s="362" t="s">
        <v>5</v>
      </c>
      <c r="L35" s="303"/>
      <c r="M35" s="304"/>
      <c r="N35" s="305"/>
      <c r="O35" s="124"/>
      <c r="P35" s="363" t="str">
        <f>C35</f>
        <v>Vùng</v>
      </c>
      <c r="Q35" s="364"/>
      <c r="R35" s="302" t="s">
        <v>15</v>
      </c>
      <c r="S35" s="302"/>
      <c r="T35" s="302" t="s">
        <v>1</v>
      </c>
      <c r="U35" s="302"/>
      <c r="V35" s="302" t="s">
        <v>0</v>
      </c>
      <c r="W35" s="303"/>
      <c r="X35" s="267"/>
      <c r="Y35" s="267"/>
      <c r="Z35" s="304"/>
      <c r="AA35" s="305"/>
      <c r="AB35" s="11"/>
      <c r="AD35" s="169">
        <v>0.3</v>
      </c>
      <c r="AE35" s="166">
        <v>0.8</v>
      </c>
      <c r="AF35" s="166">
        <v>-0.5</v>
      </c>
      <c r="AY35" s="40">
        <v>28</v>
      </c>
      <c r="AZ35" s="62" t="s">
        <v>79</v>
      </c>
      <c r="BA35" s="59" t="s">
        <v>80</v>
      </c>
    </row>
    <row r="36" spans="2:54" ht="18">
      <c r="B36" s="20"/>
      <c r="C36" s="95" t="s">
        <v>117</v>
      </c>
      <c r="D36" s="131" t="s">
        <v>38</v>
      </c>
      <c r="E36" s="348">
        <f>AF54</f>
        <v>-1.8</v>
      </c>
      <c r="F36" s="348"/>
      <c r="G36" s="255">
        <f>AG54</f>
        <v>-1.2</v>
      </c>
      <c r="H36" s="255"/>
      <c r="I36" s="255">
        <f>AH54</f>
        <v>-0.7</v>
      </c>
      <c r="J36" s="255"/>
      <c r="K36" s="255">
        <v>-0.2</v>
      </c>
      <c r="L36" s="327"/>
      <c r="M36" s="328"/>
      <c r="N36" s="328"/>
      <c r="O36" s="124"/>
      <c r="P36" s="97" t="s">
        <v>117</v>
      </c>
      <c r="Q36" s="98" t="s">
        <v>38</v>
      </c>
      <c r="R36" s="400">
        <f>VLOOKUP(TRUE,$AH$28:$AJ$31,2,FALSE)</f>
        <v>-0.56533342599868774</v>
      </c>
      <c r="S36" s="400"/>
      <c r="T36" s="392">
        <f>MAX(MIN(-I23-0.7,-0.75),-1.2)</f>
        <v>-0.79999999999999993</v>
      </c>
      <c r="U36" s="392"/>
      <c r="V36" s="392">
        <f>MIN(MAX(3 *I23 - 0.7, -0.55), -0.4)</f>
        <v>-0.4</v>
      </c>
      <c r="W36" s="393"/>
      <c r="X36" s="267"/>
      <c r="Y36" s="267"/>
      <c r="Z36" s="328"/>
      <c r="AA36" s="328"/>
      <c r="AB36" s="11"/>
      <c r="AD36" s="170">
        <f>Z30</f>
        <v>0.05</v>
      </c>
      <c r="AE36" s="171">
        <f>MIN(MAX(2.4*AD36+0.08,AE34),AE35)</f>
        <v>0.2</v>
      </c>
      <c r="AF36" s="171">
        <f>MIN(MAX(-1.2*AD36-0.14,AF35),AF34)</f>
        <v>-0.2</v>
      </c>
      <c r="AL36" s="110"/>
      <c r="AM36" s="111"/>
      <c r="AN36" s="116"/>
      <c r="AY36" s="40">
        <v>29</v>
      </c>
      <c r="AZ36" s="59" t="s">
        <v>53</v>
      </c>
      <c r="BA36" s="59" t="s">
        <v>81</v>
      </c>
    </row>
    <row r="37" spans="2:54" ht="18">
      <c r="B37" s="20"/>
      <c r="C37" s="95" t="s">
        <v>118</v>
      </c>
      <c r="D37" s="131" t="s">
        <v>38</v>
      </c>
      <c r="E37" s="244">
        <f>E36</f>
        <v>-1.8</v>
      </c>
      <c r="F37" s="245"/>
      <c r="G37" s="244">
        <f>G36</f>
        <v>-1.2</v>
      </c>
      <c r="H37" s="245"/>
      <c r="I37" s="244">
        <f>I36</f>
        <v>-0.7</v>
      </c>
      <c r="J37" s="245"/>
      <c r="K37" s="244">
        <v>0.2</v>
      </c>
      <c r="L37" s="247"/>
      <c r="M37" s="1"/>
      <c r="N37" s="1"/>
      <c r="O37" s="124"/>
      <c r="P37" s="99" t="s">
        <v>118</v>
      </c>
      <c r="Q37" s="100" t="s">
        <v>38</v>
      </c>
      <c r="R37" s="265">
        <f>VLOOKUP(TRUE,$AH$28:$AJ$31,3,FALSE)</f>
        <v>-0.56533342599868774</v>
      </c>
      <c r="S37" s="265"/>
      <c r="T37" s="401">
        <f>T36</f>
        <v>-0.79999999999999993</v>
      </c>
      <c r="U37" s="401"/>
      <c r="V37" s="401">
        <f>V36</f>
        <v>-0.4</v>
      </c>
      <c r="W37" s="402"/>
      <c r="X37" s="267"/>
      <c r="Y37" s="267"/>
      <c r="Z37" s="267"/>
      <c r="AA37" s="267"/>
      <c r="AB37" s="11"/>
      <c r="AD37" s="80"/>
      <c r="AE37" s="80"/>
      <c r="AF37" s="80"/>
      <c r="AG37" s="80"/>
      <c r="AY37" s="40">
        <v>30</v>
      </c>
      <c r="AZ37" s="59" t="s">
        <v>54</v>
      </c>
      <c r="BA37" s="59" t="s">
        <v>82</v>
      </c>
    </row>
    <row r="38" spans="2:54" ht="18">
      <c r="B38" s="20"/>
      <c r="C38" s="160" t="s">
        <v>117</v>
      </c>
      <c r="D38" s="161" t="s">
        <v>52</v>
      </c>
      <c r="E38" s="298">
        <f>$M$32*E36</f>
        <v>-1.2477968404368773</v>
      </c>
      <c r="F38" s="298"/>
      <c r="G38" s="298">
        <f>$M$32*G36</f>
        <v>-0.83186456029125155</v>
      </c>
      <c r="H38" s="298"/>
      <c r="I38" s="298">
        <f>$M$32*I36</f>
        <v>-0.48525432683656339</v>
      </c>
      <c r="J38" s="298"/>
      <c r="K38" s="298">
        <f>$M$32*K36</f>
        <v>-0.13864409338187528</v>
      </c>
      <c r="L38" s="299"/>
      <c r="M38" s="267"/>
      <c r="N38" s="267"/>
      <c r="O38" s="127"/>
      <c r="P38" s="95" t="s">
        <v>117</v>
      </c>
      <c r="Q38" s="143" t="s">
        <v>52</v>
      </c>
      <c r="R38" s="348">
        <f>$M$32*R36</f>
        <v>-0.39190070153028767</v>
      </c>
      <c r="S38" s="348"/>
      <c r="T38" s="298">
        <f t="shared" ref="T38" si="0">$M$32*T36</f>
        <v>-0.554576373527501</v>
      </c>
      <c r="U38" s="298"/>
      <c r="V38" s="298">
        <f t="shared" ref="V38" si="1">$M$32*V36</f>
        <v>-0.27728818676375055</v>
      </c>
      <c r="W38" s="299"/>
      <c r="X38" s="267"/>
      <c r="Y38" s="267"/>
      <c r="Z38" s="267"/>
      <c r="AA38" s="267"/>
      <c r="AB38" s="11"/>
      <c r="AY38" s="40">
        <v>31</v>
      </c>
      <c r="AZ38" s="59" t="s">
        <v>116</v>
      </c>
      <c r="BA38" s="59" t="s">
        <v>121</v>
      </c>
    </row>
    <row r="39" spans="2:54" ht="18">
      <c r="B39" s="20"/>
      <c r="C39" s="162" t="s">
        <v>118</v>
      </c>
      <c r="D39" s="163" t="s">
        <v>52</v>
      </c>
      <c r="E39" s="246">
        <f>$M$32*E37</f>
        <v>-1.2477968404368773</v>
      </c>
      <c r="F39" s="246"/>
      <c r="G39" s="246">
        <f t="shared" ref="G39" si="2">$M$32*G37</f>
        <v>-0.83186456029125155</v>
      </c>
      <c r="H39" s="246"/>
      <c r="I39" s="246">
        <f t="shared" ref="I39" si="3">$M$32*I37</f>
        <v>-0.48525432683656339</v>
      </c>
      <c r="J39" s="246"/>
      <c r="K39" s="246">
        <f t="shared" ref="K39" si="4">$M$32*K37</f>
        <v>0.13864409338187528</v>
      </c>
      <c r="L39" s="251"/>
      <c r="M39" s="1"/>
      <c r="N39" s="1"/>
      <c r="O39" s="127"/>
      <c r="P39" s="95" t="s">
        <v>118</v>
      </c>
      <c r="Q39" s="143" t="s">
        <v>52</v>
      </c>
      <c r="R39" s="348">
        <f>$M$32*R37</f>
        <v>-0.39190070153028767</v>
      </c>
      <c r="S39" s="348"/>
      <c r="T39" s="265">
        <f t="shared" ref="T39" si="5">$M$32*T37</f>
        <v>-0.554576373527501</v>
      </c>
      <c r="U39" s="265"/>
      <c r="V39" s="265">
        <f t="shared" ref="V39" si="6">$M$32*V37</f>
        <v>-0.27728818676375055</v>
      </c>
      <c r="W39" s="266"/>
      <c r="X39" s="267"/>
      <c r="Y39" s="267"/>
      <c r="Z39" s="267"/>
      <c r="AA39" s="267"/>
      <c r="AB39" s="11"/>
      <c r="AY39" s="40">
        <v>32</v>
      </c>
      <c r="AZ39" s="59" t="s">
        <v>83</v>
      </c>
      <c r="BA39" s="59" t="s">
        <v>84</v>
      </c>
    </row>
    <row r="40" spans="2:54" ht="18">
      <c r="B40" s="20"/>
      <c r="C40" s="42" t="str">
        <f>VLOOKUP(35,AY12:$BA$108,1+MATCH($AC$7,$AZ$7:$BA$7,0))</f>
        <v>TH1</v>
      </c>
      <c r="D40" s="41" t="s">
        <v>47</v>
      </c>
      <c r="E40" s="366">
        <f>$Z$31</f>
        <v>0.2</v>
      </c>
      <c r="F40" s="366"/>
      <c r="G40" s="366">
        <f>$Z$31</f>
        <v>0.2</v>
      </c>
      <c r="H40" s="366"/>
      <c r="I40" s="366">
        <f>$Z$31</f>
        <v>0.2</v>
      </c>
      <c r="J40" s="366"/>
      <c r="K40" s="366">
        <f>$Z$31</f>
        <v>0.2</v>
      </c>
      <c r="L40" s="367"/>
      <c r="M40" s="267"/>
      <c r="N40" s="267"/>
      <c r="O40" s="127"/>
      <c r="P40" s="101" t="str">
        <f t="shared" ref="P40:P45" si="7">C40</f>
        <v>TH1</v>
      </c>
      <c r="Q40" s="102" t="s">
        <v>47</v>
      </c>
      <c r="R40" s="298">
        <f>$Z$31</f>
        <v>0.2</v>
      </c>
      <c r="S40" s="298"/>
      <c r="T40" s="298">
        <f>$Z$31</f>
        <v>0.2</v>
      </c>
      <c r="U40" s="298"/>
      <c r="V40" s="298">
        <f>$Z$31</f>
        <v>0.2</v>
      </c>
      <c r="W40" s="299"/>
      <c r="X40" s="267"/>
      <c r="Y40" s="267"/>
      <c r="Z40" s="267"/>
      <c r="AA40" s="267"/>
      <c r="AB40" s="11"/>
      <c r="AC40" s="77"/>
      <c r="AD40" s="77"/>
      <c r="AE40" s="77"/>
      <c r="AF40" s="77"/>
      <c r="AG40" s="77"/>
      <c r="AH40" s="77"/>
      <c r="AI40" s="77"/>
      <c r="AY40" s="40">
        <v>33</v>
      </c>
      <c r="AZ40" s="59" t="s">
        <v>85</v>
      </c>
      <c r="BA40" s="59" t="s">
        <v>86</v>
      </c>
    </row>
    <row r="41" spans="2:54" ht="18">
      <c r="B41" s="20"/>
      <c r="C41" s="44" t="str">
        <f>VLOOKUP(36,AY12:$BA$108,1+MATCH($AC$7,$AZ$7:$BA$7,0))</f>
        <v>TH2</v>
      </c>
      <c r="D41" s="45" t="s">
        <v>47</v>
      </c>
      <c r="E41" s="246">
        <f>$Z$32</f>
        <v>-0.2</v>
      </c>
      <c r="F41" s="246"/>
      <c r="G41" s="246">
        <f>$Z$32</f>
        <v>-0.2</v>
      </c>
      <c r="H41" s="246"/>
      <c r="I41" s="246">
        <f>$Z$32</f>
        <v>-0.2</v>
      </c>
      <c r="J41" s="246"/>
      <c r="K41" s="246">
        <f>$Z$32</f>
        <v>-0.2</v>
      </c>
      <c r="L41" s="251"/>
      <c r="M41" s="267"/>
      <c r="N41" s="267"/>
      <c r="O41" s="127"/>
      <c r="P41" s="103" t="str">
        <f t="shared" si="7"/>
        <v>TH2</v>
      </c>
      <c r="Q41" s="104" t="s">
        <v>47</v>
      </c>
      <c r="R41" s="265">
        <f>$Z$32</f>
        <v>-0.2</v>
      </c>
      <c r="S41" s="265"/>
      <c r="T41" s="265">
        <f>$Z$32</f>
        <v>-0.2</v>
      </c>
      <c r="U41" s="265"/>
      <c r="V41" s="265">
        <f>$Z$32</f>
        <v>-0.2</v>
      </c>
      <c r="W41" s="266"/>
      <c r="X41" s="267"/>
      <c r="Y41" s="267"/>
      <c r="Z41" s="267"/>
      <c r="AA41" s="267"/>
      <c r="AB41" s="11"/>
      <c r="AC41" s="77"/>
      <c r="AD41" s="77"/>
      <c r="AE41" s="77"/>
      <c r="AF41" s="77"/>
      <c r="AG41" s="77"/>
      <c r="AH41" s="77"/>
      <c r="AI41" s="77"/>
      <c r="AY41" s="40">
        <v>34</v>
      </c>
      <c r="AZ41" s="59" t="s">
        <v>87</v>
      </c>
      <c r="BA41" s="59" t="s">
        <v>88</v>
      </c>
    </row>
    <row r="42" spans="2:54" ht="17.25" customHeight="1">
      <c r="B42" s="20"/>
      <c r="C42" s="42" t="str">
        <f>VLOOKUP(35,AY12:$BA$108,1+MATCH($AC$7,$AZ$7:$BA$7,0))</f>
        <v>TH1</v>
      </c>
      <c r="D42" s="43" t="s">
        <v>55</v>
      </c>
      <c r="E42" s="366">
        <f>$M$32*E40</f>
        <v>0.13864409338187528</v>
      </c>
      <c r="F42" s="366"/>
      <c r="G42" s="366">
        <f>$M$32*G40</f>
        <v>0.13864409338187528</v>
      </c>
      <c r="H42" s="366"/>
      <c r="I42" s="366">
        <f>$M$32*I40</f>
        <v>0.13864409338187528</v>
      </c>
      <c r="J42" s="366"/>
      <c r="K42" s="366">
        <f>$M$32*K40</f>
        <v>0.13864409338187528</v>
      </c>
      <c r="L42" s="367"/>
      <c r="M42" s="267"/>
      <c r="N42" s="267"/>
      <c r="O42" s="127"/>
      <c r="P42" s="101" t="str">
        <f t="shared" si="7"/>
        <v>TH1</v>
      </c>
      <c r="Q42" s="105" t="s">
        <v>55</v>
      </c>
      <c r="R42" s="298">
        <f>$M$32*R40</f>
        <v>0.13864409338187528</v>
      </c>
      <c r="S42" s="298"/>
      <c r="T42" s="298">
        <f t="shared" ref="T42" si="8">$M$32*T40</f>
        <v>0.13864409338187528</v>
      </c>
      <c r="U42" s="298"/>
      <c r="V42" s="298">
        <f t="shared" ref="V42" si="9">$M$32*V40</f>
        <v>0.13864409338187528</v>
      </c>
      <c r="W42" s="299"/>
      <c r="X42" s="267"/>
      <c r="Y42" s="267"/>
      <c r="Z42" s="264"/>
      <c r="AA42" s="264"/>
      <c r="AB42" s="11"/>
      <c r="AC42" s="77"/>
      <c r="AD42" s="77"/>
      <c r="AE42" s="77"/>
      <c r="AF42" s="77"/>
      <c r="AG42" s="77"/>
      <c r="AH42" s="77"/>
      <c r="AI42" s="77"/>
      <c r="AJ42" s="77"/>
      <c r="AY42" s="40">
        <v>35</v>
      </c>
      <c r="AZ42" s="59" t="s">
        <v>53</v>
      </c>
      <c r="BA42" s="59" t="s">
        <v>117</v>
      </c>
    </row>
    <row r="43" spans="2:54" ht="18">
      <c r="B43" s="144"/>
      <c r="C43" s="44" t="str">
        <f>VLOOKUP(36,AY12:$BA$108,1+MATCH($AC$7,$AZ$7:$BA$7,0))</f>
        <v>TH2</v>
      </c>
      <c r="D43" s="46" t="s">
        <v>55</v>
      </c>
      <c r="E43" s="246">
        <f>$M$32*E41</f>
        <v>-0.13864409338187528</v>
      </c>
      <c r="F43" s="246"/>
      <c r="G43" s="246">
        <f>$M$32*G41</f>
        <v>-0.13864409338187528</v>
      </c>
      <c r="H43" s="246"/>
      <c r="I43" s="246">
        <f>$M$32*I41</f>
        <v>-0.13864409338187528</v>
      </c>
      <c r="J43" s="246"/>
      <c r="K43" s="246">
        <f>$M$32*K41</f>
        <v>-0.13864409338187528</v>
      </c>
      <c r="L43" s="251"/>
      <c r="M43" s="267"/>
      <c r="N43" s="267"/>
      <c r="O43" s="127"/>
      <c r="P43" s="103" t="str">
        <f t="shared" si="7"/>
        <v>TH2</v>
      </c>
      <c r="Q43" s="106" t="s">
        <v>55</v>
      </c>
      <c r="R43" s="265">
        <f>$M$32*R41</f>
        <v>-0.13864409338187528</v>
      </c>
      <c r="S43" s="265"/>
      <c r="T43" s="265">
        <f t="shared" ref="T43" si="10">$M$32*T41</f>
        <v>-0.13864409338187528</v>
      </c>
      <c r="U43" s="265"/>
      <c r="V43" s="265">
        <f t="shared" ref="V43" si="11">$M$32*V41</f>
        <v>-0.13864409338187528</v>
      </c>
      <c r="W43" s="266"/>
      <c r="X43" s="267"/>
      <c r="Y43" s="267"/>
      <c r="Z43" s="268"/>
      <c r="AA43" s="268"/>
      <c r="AB43" s="11"/>
      <c r="AC43" s="77"/>
      <c r="AD43" s="77"/>
      <c r="AE43" s="77"/>
      <c r="AF43" s="77"/>
      <c r="AG43" s="77"/>
      <c r="AH43" s="77"/>
      <c r="AI43" s="77"/>
      <c r="AJ43" s="77"/>
      <c r="AY43" s="40">
        <v>36</v>
      </c>
      <c r="AZ43" s="59" t="s">
        <v>54</v>
      </c>
      <c r="BA43" s="59" t="s">
        <v>118</v>
      </c>
    </row>
    <row r="44" spans="2:54" ht="18">
      <c r="B44" s="20"/>
      <c r="C44" s="42" t="str">
        <f>VLOOKUP(35,AY12:$BA$108,1+MATCH($AC$7,$AZ$7:$BA$7,0))</f>
        <v>TH1</v>
      </c>
      <c r="D44" s="43" t="s">
        <v>56</v>
      </c>
      <c r="E44" s="368">
        <f>E38-E42</f>
        <v>-1.3864409338187527</v>
      </c>
      <c r="F44" s="368"/>
      <c r="G44" s="368">
        <f>G38-G42</f>
        <v>-0.97050865367312689</v>
      </c>
      <c r="H44" s="368"/>
      <c r="I44" s="368">
        <f>I38-I42</f>
        <v>-0.62389842021843867</v>
      </c>
      <c r="J44" s="368"/>
      <c r="K44" s="368">
        <f>K38-K42</f>
        <v>-0.27728818676375055</v>
      </c>
      <c r="L44" s="369"/>
      <c r="M44" s="370"/>
      <c r="N44" s="370"/>
      <c r="O44" s="127"/>
      <c r="P44" s="96" t="str">
        <f t="shared" si="7"/>
        <v>TH1</v>
      </c>
      <c r="Q44" s="146" t="s">
        <v>56</v>
      </c>
      <c r="R44" s="371">
        <f>R38-R42</f>
        <v>-0.53054479491216289</v>
      </c>
      <c r="S44" s="371"/>
      <c r="T44" s="371">
        <f t="shared" ref="T44" si="12">T38-T42</f>
        <v>-0.69322046690937622</v>
      </c>
      <c r="U44" s="371"/>
      <c r="V44" s="371">
        <f t="shared" ref="V44" si="13">V38-V42</f>
        <v>-0.41593228014562583</v>
      </c>
      <c r="W44" s="372"/>
      <c r="X44" s="267"/>
      <c r="Y44" s="267"/>
      <c r="Z44" s="145"/>
      <c r="AA44" s="145"/>
      <c r="AB44" s="11"/>
      <c r="AC44" s="77"/>
      <c r="AD44" s="77"/>
      <c r="AE44" s="77"/>
      <c r="AF44" s="77"/>
      <c r="AG44" s="77"/>
      <c r="AH44" s="77"/>
      <c r="AI44" s="77"/>
      <c r="AJ44" s="77"/>
      <c r="AY44" s="40">
        <v>37</v>
      </c>
      <c r="AZ44" s="63" t="s">
        <v>21</v>
      </c>
      <c r="BA44" s="63" t="s">
        <v>122</v>
      </c>
    </row>
    <row r="45" spans="2:54" ht="18.75" thickBot="1">
      <c r="B45" s="147"/>
      <c r="C45" s="47" t="str">
        <f>VLOOKUP(36,AY12:$BA$108,1+MATCH($AC$7,$AZ$7:$BA$7,0))</f>
        <v>TH2</v>
      </c>
      <c r="D45" s="48" t="s">
        <v>56</v>
      </c>
      <c r="E45" s="273">
        <f>E38-E43</f>
        <v>-1.109152747055002</v>
      </c>
      <c r="F45" s="273"/>
      <c r="G45" s="273">
        <f>G38-G43</f>
        <v>-0.69322046690937622</v>
      </c>
      <c r="H45" s="273"/>
      <c r="I45" s="273">
        <f>I38-I43</f>
        <v>-0.34661023345468811</v>
      </c>
      <c r="J45" s="273"/>
      <c r="K45" s="273">
        <f>K39-K43</f>
        <v>0.27728818676375055</v>
      </c>
      <c r="L45" s="274"/>
      <c r="M45" s="294"/>
      <c r="N45" s="295"/>
      <c r="O45" s="117"/>
      <c r="P45" s="47" t="str">
        <f t="shared" si="7"/>
        <v>TH2</v>
      </c>
      <c r="Q45" s="48" t="s">
        <v>56</v>
      </c>
      <c r="R45" s="273">
        <f>R39-R43</f>
        <v>-0.25325660814841239</v>
      </c>
      <c r="S45" s="273"/>
      <c r="T45" s="273">
        <f t="shared" ref="T45" si="14">T39-T43</f>
        <v>-0.41593228014562572</v>
      </c>
      <c r="U45" s="273"/>
      <c r="V45" s="273">
        <f t="shared" ref="V45" si="15">V39-V43</f>
        <v>-0.13864409338187528</v>
      </c>
      <c r="W45" s="274"/>
      <c r="X45" s="373"/>
      <c r="Y45" s="373"/>
      <c r="Z45" s="79"/>
      <c r="AA45" s="79"/>
      <c r="AB45" s="148"/>
      <c r="AC45" s="77"/>
      <c r="AD45" s="77"/>
      <c r="AE45" s="77"/>
      <c r="AF45" s="77"/>
      <c r="AG45" s="77"/>
      <c r="AH45" s="77"/>
      <c r="AI45" s="77"/>
      <c r="AJ45" s="77"/>
      <c r="AY45" s="40">
        <v>38</v>
      </c>
      <c r="AZ45" s="165" t="s">
        <v>171</v>
      </c>
      <c r="BA45" s="165" t="s">
        <v>172</v>
      </c>
      <c r="BB45" s="165" t="s">
        <v>173</v>
      </c>
    </row>
    <row r="46" spans="2:54" ht="15.75" customHeight="1">
      <c r="B46" s="20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49"/>
      <c r="U46" s="149"/>
      <c r="V46" s="149"/>
      <c r="W46" s="149"/>
      <c r="X46" s="149"/>
      <c r="Y46" s="149"/>
      <c r="Z46" s="150"/>
      <c r="AA46" s="150"/>
      <c r="AB46" s="11"/>
      <c r="AC46" s="77"/>
      <c r="AD46" s="334" t="s">
        <v>22</v>
      </c>
      <c r="AE46" s="335"/>
      <c r="AF46" s="338" t="s">
        <v>29</v>
      </c>
      <c r="AG46" s="339"/>
      <c r="AH46" s="339"/>
      <c r="AI46" s="339"/>
      <c r="AJ46" s="77"/>
      <c r="AY46" s="40">
        <v>39</v>
      </c>
    </row>
    <row r="47" spans="2:54" ht="15.75" thickBot="1">
      <c r="B47" s="20"/>
      <c r="C47" s="270" t="s">
        <v>164</v>
      </c>
      <c r="D47" s="271"/>
      <c r="E47" s="271"/>
      <c r="F47" s="271"/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  <c r="Y47" s="271"/>
      <c r="Z47" s="271"/>
      <c r="AA47" s="272"/>
      <c r="AB47" s="11"/>
      <c r="AC47" s="77"/>
      <c r="AD47" s="336"/>
      <c r="AE47" s="337"/>
      <c r="AF47" s="8" t="s">
        <v>25</v>
      </c>
      <c r="AG47" s="8" t="s">
        <v>26</v>
      </c>
      <c r="AH47" s="8" t="s">
        <v>27</v>
      </c>
      <c r="AI47" s="8" t="s">
        <v>28</v>
      </c>
      <c r="AJ47" s="77"/>
      <c r="AY47" s="40">
        <v>40</v>
      </c>
    </row>
    <row r="48" spans="2:54" ht="15.75" thickBot="1">
      <c r="B48" s="20"/>
      <c r="C48" s="12"/>
      <c r="D48" s="13"/>
      <c r="E48" s="252" t="s">
        <v>49</v>
      </c>
      <c r="F48" s="252"/>
      <c r="G48" s="253">
        <f>M18</f>
        <v>30</v>
      </c>
      <c r="H48" s="254"/>
      <c r="I48" s="13"/>
      <c r="J48" s="252" t="s">
        <v>50</v>
      </c>
      <c r="K48" s="252"/>
      <c r="L48" s="254">
        <f>MIN(G48,2*M20)</f>
        <v>22</v>
      </c>
      <c r="M48" s="254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4"/>
      <c r="AB48" s="11"/>
      <c r="AC48" s="77"/>
      <c r="AD48" s="340" t="s">
        <v>23</v>
      </c>
      <c r="AE48" s="341"/>
      <c r="AF48" s="7">
        <v>-1.8</v>
      </c>
      <c r="AG48" s="7">
        <v>-1.2</v>
      </c>
      <c r="AH48" s="7">
        <v>-0.7</v>
      </c>
      <c r="AI48" s="7">
        <v>0.2</v>
      </c>
      <c r="AJ48" s="77"/>
      <c r="AY48" s="40">
        <v>41</v>
      </c>
    </row>
    <row r="49" spans="2:53" ht="15">
      <c r="B49" s="20"/>
      <c r="C49" s="15"/>
      <c r="D49" s="124"/>
      <c r="E49" s="349" t="s">
        <v>51</v>
      </c>
      <c r="F49" s="349"/>
      <c r="G49" s="350">
        <f>M19</f>
        <v>100</v>
      </c>
      <c r="H49" s="351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6"/>
      <c r="AB49" s="11"/>
      <c r="AC49" s="77"/>
      <c r="AD49" s="342" t="s">
        <v>24</v>
      </c>
      <c r="AE49" s="5">
        <v>2.5000000000000001E-2</v>
      </c>
      <c r="AF49" s="6">
        <v>-1.6</v>
      </c>
      <c r="AG49" s="6">
        <v>-1.1000000000000001</v>
      </c>
      <c r="AH49" s="6">
        <v>-0.7</v>
      </c>
      <c r="AI49" s="6">
        <v>0.2</v>
      </c>
      <c r="AJ49" s="77"/>
      <c r="AY49" s="40">
        <v>42</v>
      </c>
    </row>
    <row r="50" spans="2:53" ht="15.75" customHeight="1" thickBot="1">
      <c r="B50" s="20"/>
      <c r="C50" s="15"/>
      <c r="D50" s="124"/>
      <c r="E50" s="124"/>
      <c r="F50" s="256" t="str">
        <f>"d1 = " &amp;ROUND(L48/10,0)&amp;" m"</f>
        <v>d1 = 2 m</v>
      </c>
      <c r="G50" s="256"/>
      <c r="H50" s="256"/>
      <c r="I50" s="256"/>
      <c r="J50" s="256" t="str">
        <f>"d2 = " &amp;ROUND(2*L48/5,0)&amp;" m"</f>
        <v>d2 = 9 m</v>
      </c>
      <c r="K50" s="256"/>
      <c r="L50" s="256"/>
      <c r="M50" s="256"/>
      <c r="N50" s="256"/>
      <c r="O50" s="256"/>
      <c r="P50" s="257" t="str">
        <f>"d3 = " &amp;ROUND(G49-L48/2,1)&amp;" m"</f>
        <v>d3 = 89 m</v>
      </c>
      <c r="Q50" s="257"/>
      <c r="R50" s="257"/>
      <c r="S50" s="257"/>
      <c r="T50" s="257"/>
      <c r="U50" s="257"/>
      <c r="V50" s="257"/>
      <c r="W50" s="257"/>
      <c r="X50" s="257"/>
      <c r="Y50" s="124"/>
      <c r="Z50" s="124"/>
      <c r="AA50" s="16"/>
      <c r="AB50" s="11"/>
      <c r="AC50" s="77"/>
      <c r="AD50" s="343"/>
      <c r="AE50" s="4">
        <v>0.05</v>
      </c>
      <c r="AF50" s="2">
        <v>-1.4</v>
      </c>
      <c r="AG50" s="2">
        <v>-0.9</v>
      </c>
      <c r="AH50" s="2">
        <v>-0.7</v>
      </c>
      <c r="AI50" s="2">
        <v>0.2</v>
      </c>
      <c r="AJ50" s="77"/>
      <c r="AY50" s="40">
        <v>43</v>
      </c>
    </row>
    <row r="51" spans="2:53" ht="15.75" thickBot="1">
      <c r="B51" s="20"/>
      <c r="C51" s="15"/>
      <c r="D51" s="124"/>
      <c r="E51" s="331" t="str">
        <f>"b3 = "&amp;ROUND(L48/4,1)&amp;" m"</f>
        <v>b3 = 5.5 m</v>
      </c>
      <c r="F51" s="258" t="s">
        <v>160</v>
      </c>
      <c r="G51" s="259"/>
      <c r="H51" s="259"/>
      <c r="I51" s="260"/>
      <c r="J51" s="37"/>
      <c r="K51" s="38"/>
      <c r="L51" s="38"/>
      <c r="M51" s="38"/>
      <c r="N51" s="38"/>
      <c r="O51" s="38"/>
      <c r="P51" s="37"/>
      <c r="Q51" s="38"/>
      <c r="R51" s="38"/>
      <c r="S51" s="38"/>
      <c r="T51" s="38"/>
      <c r="U51" s="38"/>
      <c r="V51" s="38"/>
      <c r="W51" s="38"/>
      <c r="X51" s="39"/>
      <c r="Y51" s="124"/>
      <c r="Z51" s="124"/>
      <c r="AA51" s="16"/>
      <c r="AB51" s="11"/>
      <c r="AC51" s="77"/>
      <c r="AD51" s="344"/>
      <c r="AE51" s="4">
        <v>0.1</v>
      </c>
      <c r="AF51" s="2">
        <v>-1.2</v>
      </c>
      <c r="AG51" s="2">
        <v>-0.8</v>
      </c>
      <c r="AH51" s="2">
        <v>-0.7</v>
      </c>
      <c r="AI51" s="2">
        <v>0.2</v>
      </c>
      <c r="AJ51" s="77"/>
      <c r="AK51" s="77"/>
      <c r="AY51" s="40">
        <v>44</v>
      </c>
    </row>
    <row r="52" spans="2:53" ht="15">
      <c r="B52" s="20"/>
      <c r="C52" s="15"/>
      <c r="D52" s="124"/>
      <c r="E52" s="331"/>
      <c r="F52" s="261" t="str">
        <f>ROUND(E44,2)&amp;" kN/m2"</f>
        <v>-1.39 kN/m2</v>
      </c>
      <c r="G52" s="262"/>
      <c r="H52" s="262"/>
      <c r="I52" s="263"/>
      <c r="J52" s="35"/>
      <c r="K52" s="125"/>
      <c r="L52" s="125"/>
      <c r="M52" s="125"/>
      <c r="N52" s="125"/>
      <c r="O52" s="125"/>
      <c r="P52" s="35"/>
      <c r="Q52" s="125"/>
      <c r="R52" s="125"/>
      <c r="S52" s="125"/>
      <c r="T52" s="125"/>
      <c r="U52" s="125"/>
      <c r="V52" s="125"/>
      <c r="W52" s="125"/>
      <c r="X52" s="36"/>
      <c r="Y52" s="124"/>
      <c r="Z52" s="124"/>
      <c r="AA52" s="16"/>
      <c r="AB52" s="11"/>
      <c r="AC52" s="77"/>
      <c r="AD52" s="27" t="s">
        <v>40</v>
      </c>
      <c r="AE52" s="28"/>
      <c r="AF52" s="29">
        <f>AF48</f>
        <v>-1.8</v>
      </c>
      <c r="AG52" s="29">
        <f>AG48</f>
        <v>-1.2</v>
      </c>
      <c r="AH52" s="29">
        <f>AH48</f>
        <v>-0.7</v>
      </c>
      <c r="AI52" s="29">
        <f>AI48</f>
        <v>0.2</v>
      </c>
      <c r="AJ52" s="77"/>
      <c r="AK52" s="77"/>
      <c r="AY52" s="40">
        <v>45</v>
      </c>
    </row>
    <row r="53" spans="2:53" ht="15.75" thickBot="1">
      <c r="B53" s="20"/>
      <c r="C53" s="15"/>
      <c r="D53" s="124"/>
      <c r="E53" s="331"/>
      <c r="F53" s="275" t="str">
        <f>ROUND(E45,2)&amp;" kN/m2"</f>
        <v>-1.11 kN/m2</v>
      </c>
      <c r="G53" s="276"/>
      <c r="H53" s="276"/>
      <c r="I53" s="277"/>
      <c r="J53" s="35"/>
      <c r="K53" s="125"/>
      <c r="L53" s="125"/>
      <c r="M53" s="125"/>
      <c r="N53" s="125"/>
      <c r="O53" s="125"/>
      <c r="P53" s="35"/>
      <c r="Q53" s="125"/>
      <c r="R53" s="125"/>
      <c r="S53" s="125"/>
      <c r="T53" s="125"/>
      <c r="U53" s="125"/>
      <c r="V53" s="125"/>
      <c r="W53" s="125"/>
      <c r="X53" s="36"/>
      <c r="Y53" s="124"/>
      <c r="Z53" s="124"/>
      <c r="AA53" s="16"/>
      <c r="AB53" s="11"/>
      <c r="AC53" s="77"/>
      <c r="AD53" s="30" t="s">
        <v>36</v>
      </c>
      <c r="AE53" s="23">
        <f>M21/M20</f>
        <v>0</v>
      </c>
      <c r="AF53" s="26" cm="1">
        <f t="array" ref="AF53">noisuy1chieu($AE$53,$AE$49:$AE$51,$AF$49:$AF$51)</f>
        <v>-1.6</v>
      </c>
      <c r="AG53" s="26" cm="1">
        <f t="array" ref="AG53">noisuy1chieu($AE$53,$AE$49:$AE$51,$AG$49:$AG$51)</f>
        <v>-1.1000000000000001</v>
      </c>
      <c r="AH53" s="26" cm="1">
        <f t="array" ref="AH53">noisuy1chieu($AE$53,$AE$49:$AE$51,$AH$49:$AH$51)</f>
        <v>-0.7</v>
      </c>
      <c r="AI53" s="26" cm="1">
        <f t="array" ref="AI53">noisuy1chieu($AE$53,$AE$49:$AE$51,$AI$49:$AI$51)</f>
        <v>0.2</v>
      </c>
      <c r="AJ53" s="77"/>
      <c r="AK53" s="77"/>
      <c r="AY53" s="40">
        <v>46</v>
      </c>
    </row>
    <row r="54" spans="2:53" ht="15.75" thickBot="1">
      <c r="B54" s="20"/>
      <c r="C54" s="15"/>
      <c r="D54" s="124"/>
      <c r="E54" s="331"/>
      <c r="F54" s="138"/>
      <c r="G54" s="138"/>
      <c r="H54" s="138"/>
      <c r="I54" s="138"/>
      <c r="J54" s="35"/>
      <c r="K54" s="125"/>
      <c r="L54" s="125"/>
      <c r="M54" s="125"/>
      <c r="N54" s="125"/>
      <c r="O54" s="125"/>
      <c r="P54" s="35"/>
      <c r="Q54" s="125"/>
      <c r="R54" s="125"/>
      <c r="S54" s="125"/>
      <c r="T54" s="125"/>
      <c r="U54" s="125"/>
      <c r="V54" s="125"/>
      <c r="W54" s="125"/>
      <c r="X54" s="36"/>
      <c r="Y54" s="124"/>
      <c r="Z54" s="124"/>
      <c r="AA54" s="16"/>
      <c r="AB54" s="11"/>
      <c r="AC54" s="77"/>
      <c r="AD54" s="345" t="str">
        <f>G17</f>
        <v>Sharp eaves</v>
      </c>
      <c r="AE54" s="346"/>
      <c r="AF54" s="31">
        <f>INDEX(AF52:AF61,MATCH($AD$54,$AD$52:$AD$61,0))</f>
        <v>-1.8</v>
      </c>
      <c r="AG54" s="31">
        <f>INDEX(AG52:AG61,MATCH($AD$54,$AD$52:$AD$61,0))</f>
        <v>-1.2</v>
      </c>
      <c r="AH54" s="31">
        <f>INDEX(AH52:AH61,MATCH($AD$54,$AD$52:$AD$61,0))</f>
        <v>-0.7</v>
      </c>
      <c r="AI54" s="31">
        <f>INDEX(AI52:AI61,MATCH($AD$54,$AD$52:$AD$61,0))</f>
        <v>0.2</v>
      </c>
      <c r="AJ54" s="77"/>
      <c r="AK54" s="77"/>
      <c r="AY54" s="40">
        <v>47</v>
      </c>
    </row>
    <row r="55" spans="2:53" ht="15">
      <c r="B55" s="20"/>
      <c r="C55" s="15"/>
      <c r="D55" s="124"/>
      <c r="E55" s="296" t="str">
        <f>"b2 = " &amp;ROUND(G48-L48/2,1)&amp;" m"</f>
        <v>b2 = 19 m</v>
      </c>
      <c r="F55" s="138"/>
      <c r="G55" s="138"/>
      <c r="H55" s="138"/>
      <c r="I55" s="138"/>
      <c r="J55" s="35"/>
      <c r="K55" s="125"/>
      <c r="L55" s="125"/>
      <c r="M55" s="125"/>
      <c r="N55" s="125"/>
      <c r="O55" s="125"/>
      <c r="P55" s="35"/>
      <c r="Q55" s="125"/>
      <c r="R55" s="125"/>
      <c r="S55" s="125"/>
      <c r="T55" s="125"/>
      <c r="U55" s="125"/>
      <c r="V55" s="125"/>
      <c r="W55" s="125"/>
      <c r="X55" s="36"/>
      <c r="Y55" s="124"/>
      <c r="Z55" s="124"/>
      <c r="AA55" s="16"/>
      <c r="AB55" s="11"/>
      <c r="AC55" s="77"/>
      <c r="AD55" s="77"/>
      <c r="AE55" s="77"/>
      <c r="AF55" s="77"/>
      <c r="AG55" s="77"/>
      <c r="AH55" s="77"/>
      <c r="AI55" s="77"/>
      <c r="AJ55" s="77"/>
      <c r="AK55" s="77"/>
      <c r="AY55" s="40">
        <v>48</v>
      </c>
    </row>
    <row r="56" spans="2:53" ht="15.75">
      <c r="B56" s="20"/>
      <c r="C56" s="15"/>
      <c r="D56" s="151" t="s">
        <v>158</v>
      </c>
      <c r="E56" s="296"/>
      <c r="F56" s="284" t="s">
        <v>161</v>
      </c>
      <c r="G56" s="285"/>
      <c r="H56" s="285"/>
      <c r="I56" s="286"/>
      <c r="J56" s="284" t="s">
        <v>162</v>
      </c>
      <c r="K56" s="285"/>
      <c r="L56" s="285"/>
      <c r="M56" s="285"/>
      <c r="N56" s="285"/>
      <c r="O56" s="286"/>
      <c r="P56" s="284" t="s">
        <v>163</v>
      </c>
      <c r="Q56" s="285"/>
      <c r="R56" s="285"/>
      <c r="S56" s="285"/>
      <c r="T56" s="285"/>
      <c r="U56" s="285"/>
      <c r="V56" s="285"/>
      <c r="W56" s="285"/>
      <c r="X56" s="286"/>
      <c r="Y56" s="124"/>
      <c r="Z56" s="124"/>
      <c r="AA56" s="16"/>
      <c r="AB56" s="11"/>
      <c r="AC56" s="77"/>
      <c r="AD56" s="77"/>
      <c r="AE56" s="77"/>
      <c r="AF56" s="77"/>
      <c r="AG56" s="77"/>
      <c r="AH56" s="77"/>
      <c r="AI56" s="77"/>
      <c r="AJ56" s="77"/>
      <c r="AK56" s="77"/>
      <c r="AY56" s="40">
        <v>49</v>
      </c>
      <c r="AZ56" s="58"/>
      <c r="BA56" s="58"/>
    </row>
    <row r="57" spans="2:53" ht="15">
      <c r="B57" s="20"/>
      <c r="C57" s="15"/>
      <c r="D57" s="124"/>
      <c r="E57" s="296"/>
      <c r="F57" s="261" t="str">
        <f>ROUND(G44,2)&amp;" kN/m2"</f>
        <v>-0.97 kN/m2</v>
      </c>
      <c r="G57" s="262"/>
      <c r="H57" s="262"/>
      <c r="I57" s="263"/>
      <c r="J57" s="261" t="str">
        <f>ROUND(I44,2)&amp;" kN/m2"</f>
        <v>-0.62 kN/m2</v>
      </c>
      <c r="K57" s="262"/>
      <c r="L57" s="262"/>
      <c r="M57" s="262"/>
      <c r="N57" s="262"/>
      <c r="O57" s="263"/>
      <c r="P57" s="261" t="str">
        <f>ROUND(K44,2)&amp;" kN/m2"</f>
        <v>-0.28 kN/m2</v>
      </c>
      <c r="Q57" s="262"/>
      <c r="R57" s="262"/>
      <c r="S57" s="262"/>
      <c r="T57" s="262"/>
      <c r="U57" s="262"/>
      <c r="V57" s="262"/>
      <c r="W57" s="262"/>
      <c r="X57" s="263"/>
      <c r="Y57" s="124"/>
      <c r="Z57" s="124"/>
      <c r="AA57" s="16"/>
      <c r="AB57" s="11"/>
      <c r="AC57" s="77"/>
      <c r="AD57" s="77"/>
      <c r="AE57" s="77"/>
      <c r="AF57" s="77"/>
      <c r="AG57" s="77"/>
      <c r="AH57" s="77"/>
      <c r="AI57" s="77"/>
      <c r="AJ57" s="77"/>
      <c r="AK57" s="77"/>
      <c r="AY57" s="40">
        <v>50</v>
      </c>
      <c r="AZ57" s="58"/>
      <c r="BA57" s="58"/>
    </row>
    <row r="58" spans="2:53" ht="15">
      <c r="B58" s="20"/>
      <c r="C58" s="15"/>
      <c r="D58" s="124"/>
      <c r="E58" s="296"/>
      <c r="F58" s="281" t="str">
        <f>ROUND(G45,2)&amp;" kN/m2"</f>
        <v>-0.69 kN/m2</v>
      </c>
      <c r="G58" s="282"/>
      <c r="H58" s="282"/>
      <c r="I58" s="283"/>
      <c r="J58" s="281" t="str">
        <f>ROUND(I45,2)&amp;" kN/m2"</f>
        <v>-0.35 kN/m2</v>
      </c>
      <c r="K58" s="282"/>
      <c r="L58" s="282"/>
      <c r="M58" s="282"/>
      <c r="N58" s="282"/>
      <c r="O58" s="283"/>
      <c r="P58" s="281" t="str">
        <f>ROUND(K45,2)&amp;" kN/m2"</f>
        <v>0.28 kN/m2</v>
      </c>
      <c r="Q58" s="282"/>
      <c r="R58" s="282"/>
      <c r="S58" s="282"/>
      <c r="T58" s="282"/>
      <c r="U58" s="282"/>
      <c r="V58" s="282"/>
      <c r="W58" s="282"/>
      <c r="X58" s="283"/>
      <c r="Y58" s="124"/>
      <c r="Z58" s="124"/>
      <c r="AA58" s="16"/>
      <c r="AB58" s="11"/>
      <c r="AC58" s="77"/>
      <c r="AD58" s="77"/>
      <c r="AE58" s="77"/>
      <c r="AF58" s="77"/>
      <c r="AG58" s="77"/>
      <c r="AH58" s="77"/>
      <c r="AI58" s="77"/>
      <c r="AJ58" s="77"/>
      <c r="AK58" s="77"/>
      <c r="AY58" s="40">
        <v>51</v>
      </c>
      <c r="AZ58" s="58"/>
      <c r="BA58" s="58"/>
    </row>
    <row r="59" spans="2:53" ht="15">
      <c r="B59" s="20"/>
      <c r="C59" s="15"/>
      <c r="D59" s="124"/>
      <c r="E59" s="296"/>
      <c r="F59" s="49"/>
      <c r="G59" s="152"/>
      <c r="H59" s="152"/>
      <c r="I59" s="50"/>
      <c r="J59" s="49"/>
      <c r="K59" s="152"/>
      <c r="L59" s="152"/>
      <c r="M59" s="152"/>
      <c r="N59" s="152"/>
      <c r="O59" s="152"/>
      <c r="P59" s="49"/>
      <c r="Q59" s="152"/>
      <c r="R59" s="152"/>
      <c r="S59" s="152"/>
      <c r="T59" s="152"/>
      <c r="U59" s="152"/>
      <c r="V59" s="152"/>
      <c r="W59" s="152"/>
      <c r="X59" s="50"/>
      <c r="Y59" s="124"/>
      <c r="Z59" s="124"/>
      <c r="AA59" s="16"/>
      <c r="AB59" s="11"/>
      <c r="AC59" s="77"/>
      <c r="AD59" s="77"/>
      <c r="AE59" s="77"/>
      <c r="AF59" s="77"/>
      <c r="AG59" s="77"/>
      <c r="AH59" s="77"/>
      <c r="AI59" s="77"/>
      <c r="AJ59" s="77"/>
      <c r="AK59" s="77"/>
      <c r="AY59" s="40">
        <v>52</v>
      </c>
      <c r="AZ59" s="58"/>
      <c r="BA59" s="58"/>
    </row>
    <row r="60" spans="2:53" ht="15">
      <c r="B60" s="20"/>
      <c r="C60" s="15"/>
      <c r="D60" s="124"/>
      <c r="E60" s="296"/>
      <c r="F60" s="49"/>
      <c r="G60" s="152"/>
      <c r="H60" s="152"/>
      <c r="I60" s="50"/>
      <c r="J60" s="49"/>
      <c r="K60" s="152"/>
      <c r="L60" s="152"/>
      <c r="M60" s="152"/>
      <c r="N60" s="152"/>
      <c r="O60" s="152"/>
      <c r="P60" s="49"/>
      <c r="Q60" s="152"/>
      <c r="R60" s="152"/>
      <c r="S60" s="152"/>
      <c r="T60" s="152"/>
      <c r="U60" s="152"/>
      <c r="V60" s="152"/>
      <c r="W60" s="152"/>
      <c r="X60" s="50"/>
      <c r="Y60" s="124"/>
      <c r="Z60" s="124"/>
      <c r="AA60" s="16"/>
      <c r="AB60" s="11"/>
      <c r="AC60" s="77"/>
      <c r="AD60" s="77"/>
      <c r="AE60" s="77"/>
      <c r="AF60" s="77"/>
      <c r="AG60" s="77"/>
      <c r="AH60" s="77"/>
      <c r="AI60" s="77"/>
      <c r="AJ60" s="77"/>
      <c r="AK60" s="77"/>
      <c r="AY60" s="40">
        <v>53</v>
      </c>
      <c r="AZ60" s="58"/>
      <c r="BA60" s="58"/>
    </row>
    <row r="61" spans="2:53" ht="15.75" thickBot="1">
      <c r="B61" s="20"/>
      <c r="C61" s="15"/>
      <c r="D61" s="124"/>
      <c r="E61" s="297" t="str">
        <f>"b1 = "&amp;ROUND(L48/4,1)&amp;" m"</f>
        <v>b1 = 5.5 m</v>
      </c>
      <c r="F61" s="138"/>
      <c r="G61" s="138"/>
      <c r="H61" s="138"/>
      <c r="I61" s="138"/>
      <c r="J61" s="49"/>
      <c r="K61" s="152"/>
      <c r="L61" s="152"/>
      <c r="M61" s="152"/>
      <c r="N61" s="152"/>
      <c r="O61" s="152"/>
      <c r="P61" s="49"/>
      <c r="Q61" s="152"/>
      <c r="R61" s="152"/>
      <c r="S61" s="152"/>
      <c r="T61" s="152"/>
      <c r="U61" s="152"/>
      <c r="V61" s="152"/>
      <c r="W61" s="152"/>
      <c r="X61" s="50"/>
      <c r="Y61" s="124"/>
      <c r="Z61" s="124"/>
      <c r="AA61" s="16"/>
      <c r="AB61" s="11"/>
      <c r="AC61" s="77"/>
      <c r="AD61" s="77"/>
      <c r="AE61" s="77"/>
      <c r="AF61" s="77"/>
      <c r="AG61" s="77"/>
      <c r="AH61" s="77"/>
      <c r="AI61" s="77"/>
      <c r="AJ61" s="77"/>
      <c r="AK61" s="77"/>
      <c r="AY61" s="40">
        <v>54</v>
      </c>
      <c r="AZ61" s="58"/>
      <c r="BA61" s="58"/>
    </row>
    <row r="62" spans="2:53" ht="15">
      <c r="B62" s="20"/>
      <c r="C62" s="15"/>
      <c r="D62" s="124"/>
      <c r="E62" s="297"/>
      <c r="F62" s="258" t="s">
        <v>160</v>
      </c>
      <c r="G62" s="259"/>
      <c r="H62" s="259"/>
      <c r="I62" s="260"/>
      <c r="J62" s="49"/>
      <c r="K62" s="152"/>
      <c r="L62" s="152"/>
      <c r="M62" s="152"/>
      <c r="N62" s="152"/>
      <c r="O62" s="152"/>
      <c r="P62" s="49"/>
      <c r="Q62" s="152"/>
      <c r="R62" s="152"/>
      <c r="S62" s="152"/>
      <c r="T62" s="152"/>
      <c r="U62" s="152"/>
      <c r="V62" s="152"/>
      <c r="W62" s="152"/>
      <c r="X62" s="50"/>
      <c r="Y62" s="124"/>
      <c r="Z62" s="124"/>
      <c r="AA62" s="16"/>
      <c r="AB62" s="11"/>
      <c r="AC62" s="77"/>
      <c r="AJ62" s="77"/>
      <c r="AK62" s="77"/>
      <c r="AY62" s="40">
        <v>55</v>
      </c>
      <c r="AZ62" s="58"/>
      <c r="BA62" s="58"/>
    </row>
    <row r="63" spans="2:53" ht="15">
      <c r="B63" s="20"/>
      <c r="C63" s="15"/>
      <c r="D63" s="124"/>
      <c r="E63" s="297"/>
      <c r="F63" s="278" t="str">
        <f>F52</f>
        <v>-1.39 kN/m2</v>
      </c>
      <c r="G63" s="279"/>
      <c r="H63" s="279"/>
      <c r="I63" s="280"/>
      <c r="J63" s="49"/>
      <c r="K63" s="152"/>
      <c r="L63" s="152"/>
      <c r="M63" s="152"/>
      <c r="N63" s="152"/>
      <c r="O63" s="152"/>
      <c r="P63" s="49"/>
      <c r="Q63" s="152"/>
      <c r="R63" s="152"/>
      <c r="S63" s="152"/>
      <c r="T63" s="152"/>
      <c r="U63" s="152"/>
      <c r="V63" s="152"/>
      <c r="W63" s="152"/>
      <c r="X63" s="50"/>
      <c r="Y63" s="124"/>
      <c r="Z63" s="124"/>
      <c r="AA63" s="16"/>
      <c r="AB63" s="11"/>
      <c r="AC63" s="77"/>
      <c r="AD63" s="77"/>
      <c r="AE63" s="77"/>
      <c r="AF63" s="77"/>
      <c r="AG63" s="77"/>
      <c r="AH63" s="77"/>
      <c r="AI63" s="77"/>
      <c r="AJ63" s="77"/>
      <c r="AK63" s="77"/>
      <c r="AY63" s="40">
        <v>56</v>
      </c>
      <c r="AZ63" s="58"/>
      <c r="BA63" s="58"/>
    </row>
    <row r="64" spans="2:53" ht="15.75" thickBot="1">
      <c r="B64" s="20"/>
      <c r="C64" s="15"/>
      <c r="D64" s="124"/>
      <c r="E64" s="297"/>
      <c r="F64" s="275" t="str">
        <f>F53</f>
        <v>-1.11 kN/m2</v>
      </c>
      <c r="G64" s="276"/>
      <c r="H64" s="276"/>
      <c r="I64" s="277"/>
      <c r="J64" s="51"/>
      <c r="K64" s="52"/>
      <c r="L64" s="52"/>
      <c r="M64" s="52"/>
      <c r="N64" s="52"/>
      <c r="O64" s="52"/>
      <c r="P64" s="51"/>
      <c r="Q64" s="52"/>
      <c r="R64" s="52"/>
      <c r="S64" s="52"/>
      <c r="T64" s="52"/>
      <c r="U64" s="52"/>
      <c r="V64" s="52"/>
      <c r="W64" s="52"/>
      <c r="X64" s="53"/>
      <c r="Y64" s="124"/>
      <c r="Z64" s="124"/>
      <c r="AA64" s="16"/>
      <c r="AB64" s="11"/>
      <c r="AC64" s="77"/>
      <c r="AD64" s="77"/>
      <c r="AE64" s="77"/>
      <c r="AF64" s="77"/>
      <c r="AG64" s="77"/>
      <c r="AH64" s="77"/>
      <c r="AI64" s="77"/>
      <c r="AJ64" s="77"/>
      <c r="AK64" s="77"/>
      <c r="AY64" s="40">
        <v>57</v>
      </c>
      <c r="AZ64" s="58"/>
      <c r="BA64" s="58"/>
    </row>
    <row r="65" spans="2:53" ht="15" customHeight="1">
      <c r="B65" s="20"/>
      <c r="C65" s="15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6"/>
      <c r="AB65" s="11"/>
      <c r="AC65" s="77"/>
      <c r="AD65" s="77"/>
      <c r="AE65" s="77"/>
      <c r="AF65" s="77"/>
      <c r="AG65" s="77"/>
      <c r="AH65" s="77"/>
      <c r="AI65" s="77"/>
      <c r="AJ65" s="77"/>
      <c r="AK65" s="77"/>
      <c r="AY65" s="40">
        <v>58</v>
      </c>
      <c r="AZ65" s="58"/>
      <c r="BA65" s="58"/>
    </row>
    <row r="66" spans="2:53" ht="15">
      <c r="B66" s="20"/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9"/>
      <c r="AB66" s="11"/>
      <c r="AC66" s="77"/>
      <c r="AD66" s="77"/>
      <c r="AE66" s="77"/>
      <c r="AF66" s="77"/>
      <c r="AG66" s="77"/>
      <c r="AH66" s="77"/>
      <c r="AI66" s="77"/>
      <c r="AJ66" s="77"/>
      <c r="AK66" s="77"/>
      <c r="AY66" s="40">
        <v>59</v>
      </c>
      <c r="AZ66" s="58"/>
      <c r="BA66" s="58"/>
    </row>
    <row r="67" spans="2:53" ht="15">
      <c r="B67" s="20"/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4"/>
      <c r="AB67" s="11"/>
      <c r="AC67" s="77"/>
      <c r="AD67" s="77"/>
      <c r="AE67" s="77"/>
      <c r="AF67" s="77"/>
      <c r="AG67" s="77"/>
      <c r="AH67" s="77"/>
      <c r="AI67" s="77"/>
      <c r="AJ67" s="77"/>
      <c r="AK67" s="77"/>
      <c r="AY67" s="40">
        <v>60</v>
      </c>
      <c r="AZ67" s="58"/>
      <c r="BA67" s="58"/>
    </row>
    <row r="68" spans="2:53" ht="15">
      <c r="B68" s="20"/>
      <c r="C68" s="15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6"/>
      <c r="AB68" s="11"/>
      <c r="AC68" s="77"/>
      <c r="AD68" s="77"/>
      <c r="AE68" s="77"/>
      <c r="AF68" s="77"/>
      <c r="AG68" s="77"/>
      <c r="AH68" s="77"/>
      <c r="AI68" s="77"/>
      <c r="AJ68" s="77"/>
      <c r="AK68" s="77"/>
      <c r="AY68" s="40">
        <v>61</v>
      </c>
      <c r="AZ68" s="58"/>
      <c r="BA68" s="58"/>
    </row>
    <row r="69" spans="2:53" ht="15.75" thickBot="1">
      <c r="B69" s="20"/>
      <c r="C69" s="15"/>
      <c r="D69" s="1"/>
      <c r="E69" s="124"/>
      <c r="F69" s="257" t="str">
        <f>P50</f>
        <v>d3 = 89 m</v>
      </c>
      <c r="G69" s="257"/>
      <c r="H69" s="257"/>
      <c r="I69" s="257"/>
      <c r="J69" s="257"/>
      <c r="K69" s="257"/>
      <c r="L69" s="257"/>
      <c r="M69" s="257"/>
      <c r="N69" s="257"/>
      <c r="O69" s="256" t="str">
        <f>J50</f>
        <v>d2 = 9 m</v>
      </c>
      <c r="P69" s="256"/>
      <c r="Q69" s="256"/>
      <c r="R69" s="256"/>
      <c r="S69" s="256"/>
      <c r="T69" s="256"/>
      <c r="U69" s="256" t="str">
        <f>F50</f>
        <v>d1 = 2 m</v>
      </c>
      <c r="V69" s="256"/>
      <c r="W69" s="256"/>
      <c r="X69" s="256"/>
      <c r="Y69" s="1"/>
      <c r="Z69" s="1"/>
      <c r="AA69" s="16"/>
      <c r="AB69" s="11"/>
      <c r="AC69" s="77"/>
      <c r="AD69" s="77"/>
      <c r="AE69" s="77"/>
      <c r="AF69" s="77"/>
      <c r="AG69" s="77"/>
      <c r="AH69" s="77"/>
      <c r="AI69" s="77"/>
      <c r="AJ69" s="77"/>
      <c r="AK69" s="77"/>
      <c r="AY69" s="40">
        <v>62</v>
      </c>
      <c r="AZ69" s="58"/>
      <c r="BA69" s="58"/>
    </row>
    <row r="70" spans="2:53" ht="15">
      <c r="B70" s="20"/>
      <c r="C70" s="15"/>
      <c r="D70" s="1"/>
      <c r="E70" s="1"/>
      <c r="F70" s="37"/>
      <c r="G70" s="38"/>
      <c r="H70" s="38"/>
      <c r="I70" s="38"/>
      <c r="J70" s="38"/>
      <c r="K70" s="38"/>
      <c r="L70" s="38"/>
      <c r="M70" s="38"/>
      <c r="N70" s="39"/>
      <c r="O70" s="37"/>
      <c r="P70" s="38"/>
      <c r="Q70" s="38"/>
      <c r="R70" s="38"/>
      <c r="S70" s="38"/>
      <c r="T70" s="38"/>
      <c r="U70" s="258" t="s">
        <v>160</v>
      </c>
      <c r="V70" s="259"/>
      <c r="W70" s="259"/>
      <c r="X70" s="260"/>
      <c r="Y70" s="269" t="str">
        <f>E51</f>
        <v>b3 = 5.5 m</v>
      </c>
      <c r="Z70" s="1"/>
      <c r="AA70" s="16"/>
      <c r="AB70" s="11"/>
      <c r="AC70" s="77"/>
      <c r="AD70" s="77"/>
      <c r="AE70" s="77"/>
      <c r="AF70" s="77"/>
      <c r="AG70" s="77"/>
      <c r="AH70" s="77"/>
      <c r="AI70" s="77"/>
      <c r="AJ70" s="77"/>
      <c r="AK70" s="77"/>
      <c r="AY70" s="40">
        <v>63</v>
      </c>
      <c r="AZ70" s="58"/>
      <c r="BA70" s="58"/>
    </row>
    <row r="71" spans="2:53" ht="15">
      <c r="B71" s="20"/>
      <c r="C71" s="15"/>
      <c r="D71" s="1"/>
      <c r="E71" s="1"/>
      <c r="F71" s="35"/>
      <c r="G71" s="125"/>
      <c r="H71" s="125"/>
      <c r="I71" s="125"/>
      <c r="J71" s="125"/>
      <c r="K71" s="125"/>
      <c r="L71" s="125"/>
      <c r="M71" s="125"/>
      <c r="N71" s="36"/>
      <c r="O71" s="35"/>
      <c r="P71" s="125"/>
      <c r="Q71" s="125"/>
      <c r="R71" s="125"/>
      <c r="S71" s="125"/>
      <c r="T71" s="125"/>
      <c r="U71" s="261" t="str">
        <f>F52</f>
        <v>-1.39 kN/m2</v>
      </c>
      <c r="V71" s="262"/>
      <c r="W71" s="262"/>
      <c r="X71" s="263"/>
      <c r="Y71" s="269"/>
      <c r="Z71" s="1"/>
      <c r="AA71" s="16"/>
      <c r="AB71" s="11"/>
      <c r="AC71" s="77"/>
      <c r="AD71" s="77"/>
      <c r="AE71" s="77"/>
      <c r="AF71" s="77"/>
      <c r="AG71" s="77"/>
      <c r="AH71" s="77"/>
      <c r="AI71" s="77"/>
      <c r="AJ71" s="77"/>
      <c r="AK71" s="77"/>
      <c r="AY71" s="40">
        <v>64</v>
      </c>
      <c r="AZ71" s="58"/>
      <c r="BA71" s="58"/>
    </row>
    <row r="72" spans="2:53" ht="15.75" thickBot="1">
      <c r="B72" s="20"/>
      <c r="C72" s="15"/>
      <c r="D72" s="1"/>
      <c r="E72" s="1"/>
      <c r="F72" s="35"/>
      <c r="G72" s="125"/>
      <c r="H72" s="125"/>
      <c r="I72" s="125"/>
      <c r="J72" s="125"/>
      <c r="K72" s="125"/>
      <c r="L72" s="125"/>
      <c r="M72" s="125"/>
      <c r="N72" s="36"/>
      <c r="O72" s="35"/>
      <c r="P72" s="125"/>
      <c r="Q72" s="125"/>
      <c r="R72" s="125"/>
      <c r="S72" s="125"/>
      <c r="T72" s="125"/>
      <c r="U72" s="275" t="str">
        <f>F53</f>
        <v>-1.11 kN/m2</v>
      </c>
      <c r="V72" s="276"/>
      <c r="W72" s="276"/>
      <c r="X72" s="277"/>
      <c r="Y72" s="269"/>
      <c r="Z72" s="1"/>
      <c r="AA72" s="16"/>
      <c r="AB72" s="11"/>
      <c r="AC72" s="77"/>
      <c r="AD72" s="77"/>
      <c r="AE72" s="77"/>
      <c r="AF72" s="77"/>
      <c r="AG72" s="77"/>
      <c r="AH72" s="77"/>
      <c r="AI72" s="77"/>
      <c r="AJ72" s="77"/>
      <c r="AK72" s="77"/>
      <c r="AY72" s="40">
        <v>65</v>
      </c>
      <c r="AZ72" s="58"/>
      <c r="BA72" s="58"/>
    </row>
    <row r="73" spans="2:53" ht="15">
      <c r="B73" s="20"/>
      <c r="C73" s="15"/>
      <c r="D73" s="1"/>
      <c r="E73" s="1"/>
      <c r="F73" s="35"/>
      <c r="G73" s="125"/>
      <c r="H73" s="125"/>
      <c r="I73" s="125"/>
      <c r="J73" s="125"/>
      <c r="K73" s="125"/>
      <c r="L73" s="125"/>
      <c r="M73" s="125"/>
      <c r="N73" s="36"/>
      <c r="O73" s="35"/>
      <c r="P73" s="125"/>
      <c r="Q73" s="125"/>
      <c r="R73" s="125"/>
      <c r="S73" s="125"/>
      <c r="T73" s="125"/>
      <c r="U73" s="49"/>
      <c r="V73" s="152"/>
      <c r="W73" s="152"/>
      <c r="X73" s="50"/>
      <c r="Y73" s="269"/>
      <c r="Z73" s="1"/>
      <c r="AA73" s="16"/>
      <c r="AB73" s="11"/>
      <c r="AC73" s="77"/>
      <c r="AD73" s="77"/>
      <c r="AE73" s="77"/>
      <c r="AF73" s="77"/>
      <c r="AG73" s="77"/>
      <c r="AH73" s="77"/>
      <c r="AI73" s="77"/>
      <c r="AJ73" s="77"/>
      <c r="AK73" s="77"/>
      <c r="AY73" s="40">
        <v>66</v>
      </c>
      <c r="AZ73" s="58"/>
      <c r="BA73" s="58"/>
    </row>
    <row r="74" spans="2:53" ht="15">
      <c r="B74" s="20"/>
      <c r="C74" s="15"/>
      <c r="D74" s="1"/>
      <c r="E74" s="1"/>
      <c r="F74" s="35"/>
      <c r="G74" s="125"/>
      <c r="H74" s="125"/>
      <c r="I74" s="125"/>
      <c r="J74" s="125"/>
      <c r="K74" s="125"/>
      <c r="L74" s="125"/>
      <c r="M74" s="125"/>
      <c r="N74" s="36"/>
      <c r="O74" s="35"/>
      <c r="P74" s="125"/>
      <c r="Q74" s="125"/>
      <c r="R74" s="125"/>
      <c r="S74" s="125"/>
      <c r="T74" s="125"/>
      <c r="U74" s="35"/>
      <c r="V74" s="125"/>
      <c r="W74" s="125"/>
      <c r="X74" s="36"/>
      <c r="Y74" s="269" t="str">
        <f>E55</f>
        <v>b2 = 19 m</v>
      </c>
      <c r="Z74" s="1"/>
      <c r="AA74" s="16"/>
      <c r="AB74" s="11"/>
      <c r="AC74" s="77"/>
      <c r="AD74" s="77"/>
      <c r="AE74" s="77"/>
      <c r="AF74" s="77"/>
      <c r="AG74" s="77"/>
      <c r="AH74" s="77"/>
      <c r="AI74" s="77"/>
      <c r="AJ74" s="77"/>
      <c r="AK74" s="77"/>
      <c r="AY74" s="40">
        <v>67</v>
      </c>
      <c r="AZ74" s="58"/>
      <c r="BA74" s="58"/>
    </row>
    <row r="75" spans="2:53" ht="15.75">
      <c r="B75" s="20"/>
      <c r="C75" s="15"/>
      <c r="D75" s="1"/>
      <c r="E75" s="1"/>
      <c r="F75" s="284" t="str">
        <f>P56</f>
        <v>Vùng I</v>
      </c>
      <c r="G75" s="285"/>
      <c r="H75" s="285"/>
      <c r="I75" s="285"/>
      <c r="J75" s="285"/>
      <c r="K75" s="285"/>
      <c r="L75" s="285"/>
      <c r="M75" s="285"/>
      <c r="N75" s="286"/>
      <c r="O75" s="284" t="str">
        <f>J56</f>
        <v>Vùng H</v>
      </c>
      <c r="P75" s="285"/>
      <c r="Q75" s="285"/>
      <c r="R75" s="285"/>
      <c r="S75" s="285"/>
      <c r="T75" s="286"/>
      <c r="U75" s="284" t="s">
        <v>161</v>
      </c>
      <c r="V75" s="285"/>
      <c r="W75" s="285"/>
      <c r="X75" s="286"/>
      <c r="Y75" s="269"/>
      <c r="Z75" s="153" t="s">
        <v>159</v>
      </c>
      <c r="AA75" s="16"/>
      <c r="AB75" s="11"/>
      <c r="AC75" s="77"/>
      <c r="AD75" s="77"/>
      <c r="AE75" s="77"/>
      <c r="AF75" s="77"/>
      <c r="AG75" s="77"/>
      <c r="AH75" s="77"/>
      <c r="AI75" s="77"/>
      <c r="AJ75" s="77"/>
      <c r="AK75" s="77"/>
      <c r="AY75" s="40">
        <v>68</v>
      </c>
      <c r="AZ75" s="58"/>
      <c r="BA75" s="58"/>
    </row>
    <row r="76" spans="2:53" ht="15">
      <c r="B76" s="20"/>
      <c r="C76" s="15"/>
      <c r="D76" s="1"/>
      <c r="E76" s="1"/>
      <c r="F76" s="261" t="str">
        <f>P57</f>
        <v>-0.28 kN/m2</v>
      </c>
      <c r="G76" s="262"/>
      <c r="H76" s="262"/>
      <c r="I76" s="262"/>
      <c r="J76" s="262"/>
      <c r="K76" s="262"/>
      <c r="L76" s="262"/>
      <c r="M76" s="262"/>
      <c r="N76" s="263"/>
      <c r="O76" s="261" t="str">
        <f>J57</f>
        <v>-0.62 kN/m2</v>
      </c>
      <c r="P76" s="262"/>
      <c r="Q76" s="262"/>
      <c r="R76" s="262"/>
      <c r="S76" s="262"/>
      <c r="T76" s="263"/>
      <c r="U76" s="261" t="str">
        <f>F57</f>
        <v>-0.97 kN/m2</v>
      </c>
      <c r="V76" s="262"/>
      <c r="W76" s="262"/>
      <c r="X76" s="263"/>
      <c r="Y76" s="269"/>
      <c r="Z76" s="1"/>
      <c r="AA76" s="16"/>
      <c r="AB76" s="11"/>
      <c r="AC76" s="77"/>
      <c r="AD76" s="77"/>
      <c r="AE76" s="77"/>
      <c r="AF76" s="77"/>
      <c r="AG76" s="77"/>
      <c r="AH76" s="77"/>
      <c r="AI76" s="77"/>
      <c r="AJ76" s="77"/>
      <c r="AK76" s="77"/>
      <c r="AY76" s="40">
        <v>69</v>
      </c>
      <c r="AZ76" s="58"/>
      <c r="BA76" s="58"/>
    </row>
    <row r="77" spans="2:53" ht="15">
      <c r="B77" s="20"/>
      <c r="C77" s="15"/>
      <c r="D77" s="1"/>
      <c r="E77" s="1"/>
      <c r="F77" s="281" t="str">
        <f>P58</f>
        <v>0.28 kN/m2</v>
      </c>
      <c r="G77" s="282"/>
      <c r="H77" s="282"/>
      <c r="I77" s="282"/>
      <c r="J77" s="282"/>
      <c r="K77" s="282"/>
      <c r="L77" s="282"/>
      <c r="M77" s="282"/>
      <c r="N77" s="283"/>
      <c r="O77" s="281" t="str">
        <f>J58</f>
        <v>-0.35 kN/m2</v>
      </c>
      <c r="P77" s="282"/>
      <c r="Q77" s="282"/>
      <c r="R77" s="282"/>
      <c r="S77" s="282"/>
      <c r="T77" s="283"/>
      <c r="U77" s="281" t="str">
        <f>F58</f>
        <v>-0.69 kN/m2</v>
      </c>
      <c r="V77" s="282"/>
      <c r="W77" s="282"/>
      <c r="X77" s="283"/>
      <c r="Y77" s="269"/>
      <c r="Z77" s="1"/>
      <c r="AA77" s="16"/>
      <c r="AB77" s="11"/>
      <c r="AC77" s="77"/>
      <c r="AD77" s="77"/>
      <c r="AE77" s="77"/>
      <c r="AF77" s="77"/>
      <c r="AG77" s="77"/>
      <c r="AH77" s="77"/>
      <c r="AI77" s="77"/>
      <c r="AJ77" s="77"/>
      <c r="AK77" s="77"/>
      <c r="AY77" s="40">
        <v>70</v>
      </c>
      <c r="AZ77" s="58"/>
      <c r="BA77" s="58"/>
    </row>
    <row r="78" spans="2:53" ht="15">
      <c r="B78" s="20"/>
      <c r="C78" s="15"/>
      <c r="D78" s="1"/>
      <c r="E78" s="1"/>
      <c r="F78" s="49"/>
      <c r="G78" s="152"/>
      <c r="H78" s="152"/>
      <c r="I78" s="152"/>
      <c r="J78" s="152"/>
      <c r="K78" s="152"/>
      <c r="L78" s="152"/>
      <c r="M78" s="152"/>
      <c r="N78" s="50"/>
      <c r="O78" s="49"/>
      <c r="P78" s="152"/>
      <c r="Q78" s="152"/>
      <c r="R78" s="152"/>
      <c r="S78" s="152"/>
      <c r="T78" s="152"/>
      <c r="U78" s="49"/>
      <c r="V78" s="152"/>
      <c r="W78" s="152"/>
      <c r="X78" s="50"/>
      <c r="Y78" s="269"/>
      <c r="Z78" s="1"/>
      <c r="AA78" s="16"/>
      <c r="AB78" s="11"/>
      <c r="AC78" s="77"/>
      <c r="AD78" s="77"/>
      <c r="AE78" s="77"/>
      <c r="AF78" s="77"/>
      <c r="AG78" s="77"/>
      <c r="AH78" s="77"/>
      <c r="AI78" s="77"/>
      <c r="AJ78" s="77"/>
      <c r="AK78" s="77"/>
      <c r="AY78" s="40">
        <v>71</v>
      </c>
      <c r="AZ78" s="58"/>
      <c r="BA78" s="58"/>
    </row>
    <row r="79" spans="2:53" ht="15">
      <c r="B79" s="20"/>
      <c r="C79" s="15"/>
      <c r="D79" s="1"/>
      <c r="E79" s="1"/>
      <c r="F79" s="49"/>
      <c r="G79" s="152"/>
      <c r="H79" s="152"/>
      <c r="I79" s="152"/>
      <c r="J79" s="152"/>
      <c r="K79" s="152"/>
      <c r="L79" s="152"/>
      <c r="M79" s="152"/>
      <c r="N79" s="50"/>
      <c r="O79" s="49"/>
      <c r="P79" s="152"/>
      <c r="Q79" s="152"/>
      <c r="R79" s="152"/>
      <c r="S79" s="152"/>
      <c r="T79" s="152"/>
      <c r="U79" s="49"/>
      <c r="V79" s="152"/>
      <c r="W79" s="152"/>
      <c r="X79" s="50"/>
      <c r="Y79" s="269"/>
      <c r="Z79" s="1"/>
      <c r="AA79" s="16"/>
      <c r="AB79" s="11"/>
      <c r="AC79" s="77"/>
      <c r="AD79" s="77"/>
      <c r="AE79" s="77"/>
      <c r="AF79" s="77"/>
      <c r="AG79" s="77"/>
      <c r="AH79" s="77"/>
      <c r="AI79" s="77"/>
      <c r="AJ79" s="77"/>
      <c r="AK79" s="77"/>
      <c r="AY79" s="40">
        <v>72</v>
      </c>
      <c r="AZ79" s="58"/>
      <c r="BA79" s="58"/>
    </row>
    <row r="80" spans="2:53" ht="15.75" thickBot="1">
      <c r="B80" s="20"/>
      <c r="C80" s="15"/>
      <c r="D80" s="1"/>
      <c r="E80" s="1"/>
      <c r="F80" s="49"/>
      <c r="G80" s="152"/>
      <c r="H80" s="152"/>
      <c r="I80" s="152"/>
      <c r="J80" s="152"/>
      <c r="K80" s="152"/>
      <c r="L80" s="152"/>
      <c r="M80" s="152"/>
      <c r="N80" s="50"/>
      <c r="O80" s="49"/>
      <c r="P80" s="152"/>
      <c r="Q80" s="152"/>
      <c r="R80" s="152"/>
      <c r="S80" s="152"/>
      <c r="T80" s="152"/>
      <c r="U80" s="35"/>
      <c r="V80" s="125"/>
      <c r="W80" s="125"/>
      <c r="X80" s="36"/>
      <c r="Y80" s="269" t="str">
        <f>E61</f>
        <v>b1 = 5.5 m</v>
      </c>
      <c r="Z80" s="1"/>
      <c r="AA80" s="16"/>
      <c r="AB80" s="11"/>
      <c r="AC80" s="77"/>
      <c r="AD80" s="77"/>
      <c r="AE80" s="77"/>
      <c r="AF80" s="77"/>
      <c r="AG80" s="77"/>
      <c r="AH80" s="77"/>
      <c r="AI80" s="77"/>
      <c r="AJ80" s="77"/>
      <c r="AK80" s="77"/>
      <c r="AY80" s="40">
        <v>73</v>
      </c>
      <c r="AZ80" s="58"/>
      <c r="BA80" s="58"/>
    </row>
    <row r="81" spans="2:53" ht="15">
      <c r="B81" s="20"/>
      <c r="C81" s="15"/>
      <c r="D81" s="1"/>
      <c r="E81" s="1"/>
      <c r="F81" s="49"/>
      <c r="G81" s="152"/>
      <c r="H81" s="152"/>
      <c r="I81" s="152"/>
      <c r="J81" s="152"/>
      <c r="K81" s="152"/>
      <c r="L81" s="152"/>
      <c r="M81" s="152"/>
      <c r="N81" s="50"/>
      <c r="O81" s="49"/>
      <c r="P81" s="152"/>
      <c r="Q81" s="152"/>
      <c r="R81" s="152"/>
      <c r="S81" s="152"/>
      <c r="T81" s="152"/>
      <c r="U81" s="258" t="str">
        <f>U70</f>
        <v>Vùng F</v>
      </c>
      <c r="V81" s="259"/>
      <c r="W81" s="259"/>
      <c r="X81" s="260"/>
      <c r="Y81" s="269"/>
      <c r="Z81" s="1"/>
      <c r="AA81" s="16"/>
      <c r="AB81" s="11"/>
      <c r="AC81" s="77"/>
      <c r="AD81" s="77"/>
      <c r="AE81" s="77"/>
      <c r="AF81" s="77"/>
      <c r="AG81" s="77"/>
      <c r="AH81" s="77"/>
      <c r="AI81" s="77"/>
      <c r="AJ81" s="77"/>
      <c r="AK81" s="77"/>
      <c r="AY81" s="40">
        <v>74</v>
      </c>
      <c r="AZ81" s="58"/>
      <c r="BA81" s="58"/>
    </row>
    <row r="82" spans="2:53" ht="15">
      <c r="B82" s="20"/>
      <c r="C82" s="15"/>
      <c r="D82" s="1"/>
      <c r="E82" s="1"/>
      <c r="F82" s="49"/>
      <c r="G82" s="152"/>
      <c r="H82" s="152"/>
      <c r="I82" s="152"/>
      <c r="J82" s="152"/>
      <c r="K82" s="152"/>
      <c r="L82" s="152"/>
      <c r="M82" s="152"/>
      <c r="N82" s="50"/>
      <c r="O82" s="49"/>
      <c r="P82" s="152"/>
      <c r="Q82" s="152"/>
      <c r="R82" s="152"/>
      <c r="S82" s="152"/>
      <c r="T82" s="152"/>
      <c r="U82" s="278" t="str">
        <f>U71</f>
        <v>-1.39 kN/m2</v>
      </c>
      <c r="V82" s="279"/>
      <c r="W82" s="279"/>
      <c r="X82" s="280"/>
      <c r="Y82" s="269"/>
      <c r="Z82" s="1"/>
      <c r="AA82" s="16"/>
      <c r="AB82" s="11"/>
      <c r="AC82" s="77"/>
      <c r="AD82" s="77"/>
      <c r="AE82" s="77"/>
      <c r="AF82" s="77"/>
      <c r="AG82" s="77"/>
      <c r="AH82" s="77"/>
      <c r="AI82" s="77"/>
      <c r="AJ82" s="77"/>
      <c r="AK82" s="77"/>
      <c r="AY82" s="40">
        <v>75</v>
      </c>
      <c r="AZ82" s="58"/>
      <c r="BA82" s="58"/>
    </row>
    <row r="83" spans="2:53" ht="15.75" thickBot="1">
      <c r="B83" s="20"/>
      <c r="C83" s="15"/>
      <c r="D83" s="1"/>
      <c r="E83" s="1"/>
      <c r="F83" s="51"/>
      <c r="G83" s="52"/>
      <c r="H83" s="52"/>
      <c r="I83" s="52"/>
      <c r="J83" s="52"/>
      <c r="K83" s="52"/>
      <c r="L83" s="52"/>
      <c r="M83" s="52"/>
      <c r="N83" s="53"/>
      <c r="O83" s="51"/>
      <c r="P83" s="52"/>
      <c r="Q83" s="52"/>
      <c r="R83" s="52"/>
      <c r="S83" s="52"/>
      <c r="T83" s="52"/>
      <c r="U83" s="275" t="str">
        <f>U72</f>
        <v>-1.11 kN/m2</v>
      </c>
      <c r="V83" s="276"/>
      <c r="W83" s="276"/>
      <c r="X83" s="277"/>
      <c r="Y83" s="269"/>
      <c r="Z83" s="1"/>
      <c r="AA83" s="16"/>
      <c r="AB83" s="11"/>
      <c r="AC83" s="77"/>
      <c r="AD83" s="77"/>
      <c r="AE83" s="77"/>
      <c r="AF83" s="77"/>
      <c r="AG83" s="77"/>
      <c r="AH83" s="77"/>
      <c r="AI83" s="77"/>
      <c r="AJ83" s="77"/>
      <c r="AK83" s="77"/>
      <c r="AY83" s="40">
        <v>76</v>
      </c>
      <c r="AZ83" s="58"/>
      <c r="BA83" s="58"/>
    </row>
    <row r="84" spans="2:53" ht="15">
      <c r="B84" s="20"/>
      <c r="C84" s="15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16"/>
      <c r="AB84" s="11"/>
      <c r="AC84" s="77"/>
      <c r="AD84" s="77"/>
      <c r="AE84" s="77"/>
      <c r="AF84" s="77"/>
      <c r="AG84" s="77"/>
      <c r="AH84" s="77"/>
      <c r="AI84" s="77"/>
      <c r="AJ84" s="77"/>
      <c r="AK84" s="77"/>
      <c r="AY84" s="40">
        <v>77</v>
      </c>
      <c r="AZ84" s="58"/>
      <c r="BA84" s="58"/>
    </row>
    <row r="85" spans="2:53" ht="15">
      <c r="B85" s="20"/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9"/>
      <c r="AB85" s="11"/>
      <c r="AC85" s="77"/>
      <c r="AD85" s="77"/>
      <c r="AE85" s="77"/>
      <c r="AF85" s="77"/>
      <c r="AG85" s="77"/>
      <c r="AH85" s="77"/>
      <c r="AI85" s="77"/>
      <c r="AJ85" s="77"/>
      <c r="AK85" s="77"/>
      <c r="AY85" s="40">
        <v>78</v>
      </c>
      <c r="AZ85" s="58"/>
      <c r="BA85" s="58"/>
    </row>
    <row r="86" spans="2:53" ht="15">
      <c r="B86" s="20"/>
      <c r="C86" s="15"/>
      <c r="D86" s="124"/>
      <c r="E86" s="124"/>
      <c r="F86" s="252"/>
      <c r="G86" s="252"/>
      <c r="H86" s="253"/>
      <c r="I86" s="254"/>
      <c r="J86" s="13"/>
      <c r="K86" s="252"/>
      <c r="L86" s="252"/>
      <c r="M86" s="254"/>
      <c r="N86" s="25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6"/>
      <c r="AB86" s="11"/>
      <c r="AC86" s="77"/>
      <c r="AD86" s="77"/>
      <c r="AE86" s="77"/>
      <c r="AF86" s="77"/>
      <c r="AG86" s="77"/>
      <c r="AH86" s="77"/>
      <c r="AI86" s="77"/>
      <c r="AJ86" s="77"/>
      <c r="AK86" s="77"/>
      <c r="AY86" s="40">
        <v>79</v>
      </c>
      <c r="AZ86" s="58"/>
      <c r="BA86" s="58"/>
    </row>
    <row r="87" spans="2:53" ht="15.75" thickBot="1">
      <c r="B87" s="20"/>
      <c r="C87" s="15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6"/>
      <c r="AB87" s="11"/>
      <c r="AC87" s="77"/>
      <c r="AD87" s="77"/>
      <c r="AE87" s="77"/>
      <c r="AF87" s="77"/>
      <c r="AG87" s="77"/>
      <c r="AH87" s="77"/>
      <c r="AI87" s="77"/>
      <c r="AJ87" s="77"/>
      <c r="AK87" s="77"/>
      <c r="AY87" s="40">
        <v>80</v>
      </c>
      <c r="AZ87" s="58"/>
      <c r="BA87" s="58"/>
    </row>
    <row r="88" spans="2:53" ht="15">
      <c r="B88" s="20"/>
      <c r="C88" s="15"/>
      <c r="D88" s="1"/>
      <c r="E88" s="1"/>
      <c r="F88" s="37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9"/>
      <c r="Y88" s="288"/>
      <c r="Z88" s="1"/>
      <c r="AA88" s="16"/>
      <c r="AB88" s="24"/>
      <c r="AC88" s="77"/>
      <c r="AD88" s="77"/>
      <c r="AE88" s="77"/>
      <c r="AF88" s="77"/>
      <c r="AG88" s="77"/>
      <c r="AH88" s="77"/>
      <c r="AI88" s="77"/>
      <c r="AJ88" s="77"/>
      <c r="AK88" s="77"/>
      <c r="AY88" s="40">
        <v>81</v>
      </c>
      <c r="AZ88" s="58"/>
      <c r="BA88" s="58"/>
    </row>
    <row r="89" spans="2:53" ht="15">
      <c r="B89" s="20"/>
      <c r="C89" s="15"/>
      <c r="D89" s="1"/>
      <c r="E89" s="1"/>
      <c r="F89" s="284" t="s">
        <v>167</v>
      </c>
      <c r="G89" s="285"/>
      <c r="H89" s="285"/>
      <c r="I89" s="285"/>
      <c r="J89" s="285"/>
      <c r="K89" s="285"/>
      <c r="L89" s="285"/>
      <c r="M89" s="285"/>
      <c r="N89" s="285"/>
      <c r="O89" s="285"/>
      <c r="P89" s="285"/>
      <c r="Q89" s="285"/>
      <c r="R89" s="285"/>
      <c r="S89" s="285"/>
      <c r="T89" s="285"/>
      <c r="U89" s="285"/>
      <c r="V89" s="285"/>
      <c r="W89" s="285"/>
      <c r="X89" s="286"/>
      <c r="Y89" s="288"/>
      <c r="Z89" s="1"/>
      <c r="AA89" s="16"/>
      <c r="AB89" s="24"/>
      <c r="AC89" s="77"/>
      <c r="AD89" s="77"/>
      <c r="AE89" s="77"/>
      <c r="AF89" s="77"/>
      <c r="AG89" s="77"/>
      <c r="AH89" s="77"/>
      <c r="AI89" s="77"/>
      <c r="AJ89" s="77"/>
      <c r="AK89" s="77"/>
      <c r="AY89" s="40">
        <v>82</v>
      </c>
      <c r="AZ89" s="58"/>
      <c r="BA89" s="58"/>
    </row>
    <row r="90" spans="2:53" ht="15">
      <c r="B90" s="20"/>
      <c r="C90" s="15"/>
      <c r="D90" s="1"/>
      <c r="E90" s="1"/>
      <c r="F90" s="261" t="str">
        <f>ROUND(V44,2)&amp;" kN/m2"</f>
        <v>-0.42 kN/m2</v>
      </c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62"/>
      <c r="S90" s="262"/>
      <c r="T90" s="262"/>
      <c r="U90" s="262"/>
      <c r="V90" s="262"/>
      <c r="W90" s="262"/>
      <c r="X90" s="263"/>
      <c r="Y90" s="288"/>
      <c r="Z90" s="1"/>
      <c r="AA90" s="16"/>
      <c r="AB90" s="24"/>
      <c r="AC90" s="77"/>
      <c r="AD90" s="77"/>
      <c r="AE90" s="77"/>
      <c r="AF90" s="77"/>
      <c r="AG90" s="77"/>
      <c r="AH90" s="77"/>
      <c r="AI90" s="77"/>
      <c r="AJ90" s="77"/>
      <c r="AK90" s="77"/>
      <c r="AY90" s="40">
        <v>83</v>
      </c>
      <c r="AZ90" s="58"/>
      <c r="BA90" s="58"/>
    </row>
    <row r="91" spans="2:53" ht="15">
      <c r="B91" s="20"/>
      <c r="C91" s="15"/>
      <c r="D91" s="1"/>
      <c r="E91" s="1"/>
      <c r="F91" s="289" t="str">
        <f>ROUND(V45,2)&amp;" kN/m2"</f>
        <v>-0.14 kN/m2</v>
      </c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290"/>
      <c r="R91" s="290"/>
      <c r="S91" s="290"/>
      <c r="T91" s="290"/>
      <c r="U91" s="290"/>
      <c r="V91" s="290"/>
      <c r="W91" s="290"/>
      <c r="X91" s="291"/>
      <c r="Y91" s="288"/>
      <c r="Z91" s="1"/>
      <c r="AA91" s="16"/>
      <c r="AB91" s="24"/>
      <c r="AC91" s="77"/>
      <c r="AD91" s="77"/>
      <c r="AE91" s="77"/>
      <c r="AF91" s="77"/>
      <c r="AG91" s="77"/>
      <c r="AH91" s="77"/>
      <c r="AI91" s="77"/>
      <c r="AJ91" s="77"/>
      <c r="AK91" s="77"/>
      <c r="AY91" s="40">
        <v>84</v>
      </c>
      <c r="AZ91" s="58"/>
      <c r="BA91" s="58"/>
    </row>
    <row r="92" spans="2:53" ht="15.75" thickBot="1">
      <c r="B92" s="20"/>
      <c r="C92" s="15"/>
      <c r="D92" s="1"/>
      <c r="E92" s="1"/>
      <c r="F92" s="118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20"/>
      <c r="Y92" s="288"/>
      <c r="Z92" s="1"/>
      <c r="AA92" s="16"/>
      <c r="AB92" s="24"/>
      <c r="AC92" s="77"/>
      <c r="AD92" s="77"/>
      <c r="AE92" s="77"/>
      <c r="AF92" s="77"/>
      <c r="AG92" s="77"/>
      <c r="AH92" s="77"/>
      <c r="AI92" s="77"/>
      <c r="AJ92" s="77"/>
      <c r="AK92" s="77"/>
      <c r="AY92" s="40">
        <v>85</v>
      </c>
      <c r="AZ92" s="58"/>
      <c r="BA92" s="58"/>
    </row>
    <row r="93" spans="2:53" ht="15">
      <c r="B93" s="20"/>
      <c r="C93" s="15"/>
      <c r="D93" s="1"/>
      <c r="E93" s="1"/>
      <c r="F93" s="3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36"/>
      <c r="Y93" s="288"/>
      <c r="Z93" s="1"/>
      <c r="AA93" s="16"/>
      <c r="AB93" s="24"/>
      <c r="AC93" s="77"/>
      <c r="AD93" s="77"/>
      <c r="AE93" s="77"/>
      <c r="AF93" s="77"/>
      <c r="AG93" s="77"/>
      <c r="AH93" s="77"/>
      <c r="AI93" s="77"/>
      <c r="AJ93" s="77"/>
      <c r="AK93" s="77"/>
      <c r="AY93" s="40">
        <v>86</v>
      </c>
      <c r="AZ93" s="58"/>
      <c r="BA93" s="58"/>
    </row>
    <row r="94" spans="2:53" ht="15">
      <c r="B94" s="20"/>
      <c r="C94" s="15"/>
      <c r="D94" s="1"/>
      <c r="E94" s="1"/>
      <c r="F94" s="3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36"/>
      <c r="Y94" s="288"/>
      <c r="Z94" s="1"/>
      <c r="AA94" s="16"/>
      <c r="AB94" s="24"/>
      <c r="AC94" s="77"/>
      <c r="AD94" s="77"/>
      <c r="AE94" s="77"/>
      <c r="AF94" s="77"/>
      <c r="AG94" s="77"/>
      <c r="AH94" s="77"/>
      <c r="AI94" s="77"/>
      <c r="AJ94" s="77"/>
      <c r="AK94" s="77"/>
      <c r="AY94" s="40">
        <v>87</v>
      </c>
      <c r="AZ94" s="58"/>
      <c r="BA94" s="58"/>
    </row>
    <row r="95" spans="2:53" ht="15">
      <c r="B95" s="20"/>
      <c r="C95" s="15"/>
      <c r="D95" s="1"/>
      <c r="E95" s="1"/>
      <c r="F95" s="284" t="s">
        <v>168</v>
      </c>
      <c r="G95" s="285"/>
      <c r="H95" s="285"/>
      <c r="I95" s="285"/>
      <c r="J95" s="285"/>
      <c r="K95" s="285"/>
      <c r="L95" s="285"/>
      <c r="M95" s="285"/>
      <c r="N95" s="285"/>
      <c r="O95" s="285"/>
      <c r="P95" s="285"/>
      <c r="Q95" s="285"/>
      <c r="R95" s="285"/>
      <c r="S95" s="285"/>
      <c r="T95" s="285"/>
      <c r="U95" s="285"/>
      <c r="V95" s="285"/>
      <c r="W95" s="285"/>
      <c r="X95" s="286"/>
      <c r="Y95" s="288"/>
      <c r="Z95" s="1"/>
      <c r="AA95" s="16"/>
      <c r="AB95" s="24"/>
      <c r="AC95" s="77"/>
      <c r="AD95" s="77"/>
      <c r="AE95" s="77"/>
      <c r="AF95" s="77"/>
      <c r="AG95" s="77"/>
      <c r="AH95" s="77"/>
      <c r="AI95" s="77"/>
      <c r="AJ95" s="77"/>
      <c r="AK95" s="77"/>
      <c r="AY95" s="40">
        <v>88</v>
      </c>
      <c r="AZ95" s="58"/>
      <c r="BA95" s="58"/>
    </row>
    <row r="96" spans="2:53" ht="15">
      <c r="B96" s="20"/>
      <c r="C96" s="15"/>
      <c r="D96" s="1"/>
      <c r="E96" s="1"/>
      <c r="F96" s="261" t="str">
        <f>ROUND(T44,2)&amp;" kN/m2"</f>
        <v>-0.69 kN/m2</v>
      </c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3"/>
      <c r="Y96" s="288"/>
      <c r="Z96" s="1"/>
      <c r="AA96" s="16"/>
      <c r="AB96" s="24"/>
      <c r="AC96" s="77"/>
      <c r="AD96" s="77"/>
      <c r="AE96" s="77"/>
      <c r="AF96" s="77"/>
      <c r="AG96" s="77"/>
      <c r="AH96" s="77"/>
      <c r="AI96" s="77"/>
      <c r="AJ96" s="77"/>
      <c r="AK96" s="77"/>
      <c r="AY96" s="40">
        <v>89</v>
      </c>
      <c r="AZ96" s="58"/>
      <c r="BA96" s="58"/>
    </row>
    <row r="97" spans="2:53" ht="15">
      <c r="B97" s="20"/>
      <c r="C97" s="15"/>
      <c r="D97" s="1"/>
      <c r="E97" s="1"/>
      <c r="F97" s="289" t="str">
        <f>ROUND(T45,2)&amp;" kN/m2"</f>
        <v>-0.42 kN/m2</v>
      </c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90"/>
      <c r="R97" s="290"/>
      <c r="S97" s="290"/>
      <c r="T97" s="290"/>
      <c r="U97" s="290"/>
      <c r="V97" s="290"/>
      <c r="W97" s="290"/>
      <c r="X97" s="291"/>
      <c r="Y97" s="288"/>
      <c r="Z97" s="1"/>
      <c r="AA97" s="16"/>
      <c r="AB97" s="24"/>
      <c r="AC97" s="77"/>
      <c r="AD97" s="77"/>
      <c r="AE97" s="77"/>
      <c r="AF97" s="77"/>
      <c r="AG97" s="77"/>
      <c r="AH97" s="77"/>
      <c r="AI97" s="77"/>
      <c r="AJ97" s="77"/>
      <c r="AK97" s="77"/>
      <c r="AY97" s="40">
        <v>90</v>
      </c>
      <c r="AZ97" s="58"/>
      <c r="BA97" s="58"/>
    </row>
    <row r="98" spans="2:53" ht="15">
      <c r="B98" s="20"/>
      <c r="C98" s="15"/>
      <c r="D98" s="1"/>
      <c r="E98" s="1"/>
      <c r="F98" s="3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36"/>
      <c r="Y98" s="288"/>
      <c r="Z98" s="1"/>
      <c r="AA98" s="16"/>
      <c r="AB98" s="24"/>
      <c r="AC98" s="77"/>
      <c r="AD98" s="77"/>
      <c r="AE98" s="77"/>
      <c r="AF98" s="77"/>
      <c r="AG98" s="77"/>
      <c r="AH98" s="77"/>
      <c r="AI98" s="77"/>
      <c r="AJ98" s="77"/>
      <c r="AK98" s="77"/>
      <c r="AY98" s="40">
        <v>91</v>
      </c>
      <c r="AZ98" s="58"/>
      <c r="BA98" s="58"/>
    </row>
    <row r="99" spans="2:53" ht="15.75" thickBot="1">
      <c r="B99" s="20"/>
      <c r="C99" s="15"/>
      <c r="D99" s="1"/>
      <c r="E99" s="1"/>
      <c r="F99" s="3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36"/>
      <c r="Y99" s="288"/>
      <c r="Z99" s="1"/>
      <c r="AA99" s="16"/>
      <c r="AB99" s="24"/>
      <c r="AC99" s="77"/>
      <c r="AD99" s="77"/>
      <c r="AE99" s="77"/>
      <c r="AF99" s="77"/>
      <c r="AG99" s="77"/>
      <c r="AH99" s="77"/>
      <c r="AI99" s="77"/>
      <c r="AJ99" s="77"/>
      <c r="AK99" s="77"/>
      <c r="AY99" s="40">
        <v>92</v>
      </c>
      <c r="AZ99" s="58"/>
      <c r="BA99" s="58"/>
    </row>
    <row r="100" spans="2:53" ht="15">
      <c r="B100" s="20"/>
      <c r="C100" s="15"/>
      <c r="D100" s="1"/>
      <c r="E100" s="1"/>
      <c r="F100" s="37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9"/>
      <c r="Y100" s="288"/>
      <c r="Z100" s="1"/>
      <c r="AA100" s="16"/>
      <c r="AB100" s="24"/>
      <c r="AY100" s="40">
        <v>93</v>
      </c>
      <c r="AZ100" s="58"/>
      <c r="BA100" s="58"/>
    </row>
    <row r="101" spans="2:53" ht="15">
      <c r="B101" s="20"/>
      <c r="C101" s="15"/>
      <c r="D101" s="1"/>
      <c r="E101" s="1"/>
      <c r="F101" s="284" t="s">
        <v>165</v>
      </c>
      <c r="G101" s="285"/>
      <c r="H101" s="285"/>
      <c r="I101" s="285"/>
      <c r="J101" s="285"/>
      <c r="K101" s="285"/>
      <c r="L101" s="285"/>
      <c r="M101" s="285"/>
      <c r="N101" s="285"/>
      <c r="O101" s="285"/>
      <c r="P101" s="285"/>
      <c r="Q101" s="285"/>
      <c r="R101" s="285"/>
      <c r="S101" s="285"/>
      <c r="T101" s="285"/>
      <c r="U101" s="285"/>
      <c r="V101" s="285"/>
      <c r="W101" s="285"/>
      <c r="X101" s="286"/>
      <c r="Y101" s="288"/>
      <c r="Z101" s="1"/>
      <c r="AA101" s="16"/>
      <c r="AB101" s="24"/>
      <c r="AY101" s="40">
        <v>94</v>
      </c>
      <c r="AZ101" s="58"/>
      <c r="BA101" s="58"/>
    </row>
    <row r="102" spans="2:53" ht="15">
      <c r="B102" s="20"/>
      <c r="C102" s="15"/>
      <c r="D102" s="1"/>
      <c r="E102" s="1"/>
      <c r="F102" s="261" t="str">
        <f>ROUND(R44,2)&amp;" kN/m2"</f>
        <v>-0.53 kN/m2</v>
      </c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62"/>
      <c r="S102" s="262"/>
      <c r="T102" s="262"/>
      <c r="U102" s="262"/>
      <c r="V102" s="262"/>
      <c r="W102" s="262"/>
      <c r="X102" s="263"/>
      <c r="Y102" s="288"/>
      <c r="Z102" s="1"/>
      <c r="AA102" s="16"/>
      <c r="AB102" s="24"/>
      <c r="AY102" s="40">
        <v>95</v>
      </c>
      <c r="AZ102" s="58"/>
      <c r="BA102" s="58"/>
    </row>
    <row r="103" spans="2:53" ht="15">
      <c r="B103" s="20"/>
      <c r="C103" s="15"/>
      <c r="D103" s="1"/>
      <c r="E103" s="1"/>
      <c r="F103" s="289" t="str">
        <f>ROUND(R45,2)&amp;" kN/m2"</f>
        <v>-0.25 kN/m2</v>
      </c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290"/>
      <c r="R103" s="290"/>
      <c r="S103" s="290"/>
      <c r="T103" s="290"/>
      <c r="U103" s="290"/>
      <c r="V103" s="290"/>
      <c r="W103" s="290"/>
      <c r="X103" s="291"/>
      <c r="Y103" s="288"/>
      <c r="Z103" s="1"/>
      <c r="AA103" s="16"/>
      <c r="AB103" s="24"/>
      <c r="AY103" s="40">
        <v>96</v>
      </c>
      <c r="AZ103" s="58"/>
      <c r="BA103" s="58"/>
    </row>
    <row r="104" spans="2:53" ht="15.75" thickBot="1">
      <c r="B104" s="20"/>
      <c r="C104" s="15"/>
      <c r="D104" s="1"/>
      <c r="E104" s="1"/>
      <c r="F104" s="118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20"/>
      <c r="Y104" s="288"/>
      <c r="Z104" s="1"/>
      <c r="AA104" s="16"/>
      <c r="AB104" s="24"/>
      <c r="AY104" s="40">
        <v>97</v>
      </c>
      <c r="AZ104" s="58"/>
      <c r="BA104" s="58"/>
    </row>
    <row r="105" spans="2:53" ht="15">
      <c r="B105" s="20"/>
      <c r="C105" s="15"/>
      <c r="D105" s="124"/>
      <c r="E105" s="124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3"/>
      <c r="R105" s="403"/>
      <c r="S105" s="403"/>
      <c r="T105" s="403"/>
      <c r="U105" s="403"/>
      <c r="V105" s="403"/>
      <c r="W105" s="403"/>
      <c r="X105" s="403"/>
      <c r="Y105" s="124"/>
      <c r="Z105" s="124"/>
      <c r="AA105" s="16"/>
      <c r="AB105" s="24"/>
      <c r="AY105" s="40">
        <v>98</v>
      </c>
      <c r="AZ105" s="58"/>
      <c r="BA105" s="58"/>
    </row>
    <row r="106" spans="2:53" ht="15">
      <c r="B106" s="20"/>
      <c r="C106" s="15"/>
      <c r="D106" s="124"/>
      <c r="E106" s="124"/>
      <c r="F106" s="123"/>
      <c r="G106" s="123"/>
      <c r="H106" s="123"/>
      <c r="I106" s="123"/>
      <c r="J106" s="123"/>
      <c r="K106" s="123"/>
      <c r="L106" s="123"/>
      <c r="M106" s="123"/>
      <c r="N106" s="123"/>
      <c r="O106" s="243" t="s">
        <v>166</v>
      </c>
      <c r="P106" s="243"/>
      <c r="Q106" s="123"/>
      <c r="R106" s="123"/>
      <c r="S106" s="123"/>
      <c r="T106" s="123"/>
      <c r="U106" s="123"/>
      <c r="V106" s="123"/>
      <c r="W106" s="123"/>
      <c r="X106" s="123"/>
      <c r="Y106" s="124"/>
      <c r="Z106" s="124"/>
      <c r="AA106" s="16"/>
      <c r="AB106" s="24"/>
      <c r="AY106" s="40">
        <v>99</v>
      </c>
      <c r="AZ106" s="58"/>
      <c r="BA106" s="58"/>
    </row>
    <row r="107" spans="2:53" ht="15.75">
      <c r="B107" s="20"/>
      <c r="C107" s="15"/>
      <c r="D107" s="124"/>
      <c r="E107" s="124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54"/>
      <c r="Q107" s="123"/>
      <c r="R107" s="123"/>
      <c r="S107" s="123"/>
      <c r="T107" s="123"/>
      <c r="U107" s="123"/>
      <c r="V107" s="123"/>
      <c r="W107" s="123"/>
      <c r="X107" s="123"/>
      <c r="Y107" s="124"/>
      <c r="Z107" s="124"/>
      <c r="AA107" s="16"/>
      <c r="AB107" s="24"/>
      <c r="AY107" s="40">
        <v>100</v>
      </c>
      <c r="AZ107" s="58"/>
      <c r="BA107" s="58"/>
    </row>
    <row r="108" spans="2:53" ht="15">
      <c r="B108" s="20"/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9"/>
      <c r="AB108" s="24"/>
      <c r="AY108" s="40">
        <v>101</v>
      </c>
      <c r="AZ108" s="58"/>
      <c r="BA108" s="58"/>
    </row>
    <row r="109" spans="2:53" ht="15">
      <c r="B109" s="20"/>
      <c r="C109" s="12"/>
      <c r="D109" s="13"/>
      <c r="E109" s="13"/>
      <c r="F109" s="252"/>
      <c r="G109" s="252"/>
      <c r="H109" s="253"/>
      <c r="I109" s="254"/>
      <c r="J109" s="13"/>
      <c r="K109" s="252"/>
      <c r="L109" s="252"/>
      <c r="M109" s="254"/>
      <c r="N109" s="254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4"/>
      <c r="AB109" s="11"/>
      <c r="AC109" s="77"/>
      <c r="AD109" s="77"/>
      <c r="AE109" s="77"/>
      <c r="AF109" s="77"/>
      <c r="AG109" s="77"/>
      <c r="AH109" s="77"/>
      <c r="AI109" s="77"/>
      <c r="AJ109" s="77"/>
      <c r="AK109" s="77"/>
      <c r="AY109" s="40">
        <v>102</v>
      </c>
      <c r="AZ109" s="58"/>
      <c r="BA109" s="58"/>
    </row>
    <row r="110" spans="2:53" ht="15">
      <c r="B110" s="20"/>
      <c r="C110" s="15"/>
      <c r="D110" s="124"/>
      <c r="E110" s="124"/>
      <c r="F110" s="121"/>
      <c r="G110" s="121"/>
      <c r="H110" s="122"/>
      <c r="I110" s="123"/>
      <c r="J110" s="124"/>
      <c r="K110" s="121"/>
      <c r="L110" s="121"/>
      <c r="M110" s="123"/>
      <c r="N110" s="123"/>
      <c r="O110" s="124"/>
      <c r="P110" s="124" t="s">
        <v>166</v>
      </c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6"/>
      <c r="AB110" s="11"/>
      <c r="AC110" s="77"/>
      <c r="AD110" s="77"/>
      <c r="AE110" s="77"/>
      <c r="AF110" s="77"/>
      <c r="AG110" s="77"/>
      <c r="AH110" s="77"/>
      <c r="AI110" s="77"/>
      <c r="AJ110" s="77"/>
      <c r="AK110" s="77"/>
      <c r="AY110" s="40"/>
      <c r="AZ110" s="58"/>
      <c r="BA110" s="58"/>
    </row>
    <row r="111" spans="2:53" ht="15.75" thickBot="1">
      <c r="B111" s="20"/>
      <c r="C111" s="15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243"/>
      <c r="P111" s="243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6"/>
      <c r="AB111" s="11"/>
      <c r="AC111" s="77"/>
      <c r="AD111" s="77"/>
      <c r="AE111" s="77"/>
      <c r="AF111" s="77"/>
      <c r="AG111" s="77"/>
      <c r="AH111" s="77"/>
      <c r="AI111" s="77"/>
      <c r="AJ111" s="77"/>
      <c r="AK111" s="77"/>
      <c r="AY111" s="40">
        <v>103</v>
      </c>
      <c r="AZ111" s="58"/>
      <c r="BA111" s="58"/>
    </row>
    <row r="112" spans="2:53" ht="15">
      <c r="B112" s="20"/>
      <c r="C112" s="15"/>
      <c r="D112" s="1"/>
      <c r="E112" s="1"/>
      <c r="F112" s="37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9"/>
      <c r="Y112" s="288"/>
      <c r="Z112" s="1"/>
      <c r="AA112" s="16"/>
      <c r="AB112" s="24"/>
      <c r="AC112" s="77"/>
      <c r="AD112" s="77"/>
      <c r="AE112" s="77"/>
      <c r="AF112" s="77"/>
      <c r="AG112" s="77"/>
      <c r="AH112" s="77"/>
      <c r="AI112" s="77"/>
      <c r="AJ112" s="77"/>
      <c r="AK112" s="77"/>
      <c r="AY112" s="40">
        <v>104</v>
      </c>
      <c r="AZ112" s="58"/>
      <c r="BA112" s="58"/>
    </row>
    <row r="113" spans="2:53" ht="15">
      <c r="B113" s="20"/>
      <c r="C113" s="15"/>
      <c r="D113" s="1"/>
      <c r="E113" s="1"/>
      <c r="F113" s="284" t="str">
        <f>F101</f>
        <v>Vùng A</v>
      </c>
      <c r="G113" s="285"/>
      <c r="H113" s="285"/>
      <c r="I113" s="285"/>
      <c r="J113" s="285"/>
      <c r="K113" s="285"/>
      <c r="L113" s="285"/>
      <c r="M113" s="285"/>
      <c r="N113" s="285"/>
      <c r="O113" s="285"/>
      <c r="P113" s="285"/>
      <c r="Q113" s="285"/>
      <c r="R113" s="285"/>
      <c r="S113" s="285"/>
      <c r="T113" s="285"/>
      <c r="U113" s="285"/>
      <c r="V113" s="285"/>
      <c r="W113" s="285"/>
      <c r="X113" s="286"/>
      <c r="Y113" s="288"/>
      <c r="Z113" s="1"/>
      <c r="AA113" s="16"/>
      <c r="AB113" s="24"/>
      <c r="AC113" s="77"/>
      <c r="AD113" s="77"/>
      <c r="AE113" s="77"/>
      <c r="AF113" s="77"/>
      <c r="AG113" s="77"/>
      <c r="AH113" s="77"/>
      <c r="AI113" s="77"/>
      <c r="AJ113" s="77"/>
      <c r="AK113" s="77"/>
      <c r="AY113" s="40">
        <v>105</v>
      </c>
      <c r="AZ113" s="58"/>
      <c r="BA113" s="58"/>
    </row>
    <row r="114" spans="2:53" ht="15">
      <c r="B114" s="20"/>
      <c r="C114" s="15"/>
      <c r="D114" s="1"/>
      <c r="E114" s="1"/>
      <c r="F114" s="261" t="str">
        <f>F102</f>
        <v>-0.53 kN/m2</v>
      </c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62"/>
      <c r="S114" s="262"/>
      <c r="T114" s="262"/>
      <c r="U114" s="262"/>
      <c r="V114" s="262"/>
      <c r="W114" s="262"/>
      <c r="X114" s="263"/>
      <c r="Y114" s="288"/>
      <c r="Z114" s="1"/>
      <c r="AA114" s="16"/>
      <c r="AB114" s="24"/>
      <c r="AC114" s="77"/>
      <c r="AD114" s="77"/>
      <c r="AE114" s="77"/>
      <c r="AF114" s="77"/>
      <c r="AG114" s="77"/>
      <c r="AH114" s="77"/>
      <c r="AI114" s="77"/>
      <c r="AJ114" s="77"/>
      <c r="AK114" s="77"/>
      <c r="AY114" s="40">
        <v>106</v>
      </c>
      <c r="AZ114" s="58"/>
      <c r="BA114" s="58"/>
    </row>
    <row r="115" spans="2:53" ht="15">
      <c r="B115" s="20"/>
      <c r="C115" s="15"/>
      <c r="D115" s="1"/>
      <c r="E115" s="1"/>
      <c r="F115" s="289" t="str">
        <f>F103</f>
        <v>-0.25 kN/m2</v>
      </c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290"/>
      <c r="R115" s="290"/>
      <c r="S115" s="290"/>
      <c r="T115" s="290"/>
      <c r="U115" s="290"/>
      <c r="V115" s="290"/>
      <c r="W115" s="290"/>
      <c r="X115" s="291"/>
      <c r="Y115" s="288"/>
      <c r="Z115" s="1"/>
      <c r="AA115" s="16"/>
      <c r="AB115" s="24"/>
      <c r="AC115" s="77"/>
      <c r="AD115" s="77"/>
      <c r="AE115" s="77"/>
      <c r="AF115" s="77"/>
      <c r="AG115" s="77"/>
      <c r="AH115" s="77"/>
      <c r="AI115" s="77"/>
      <c r="AJ115" s="77"/>
      <c r="AK115" s="77"/>
      <c r="AY115" s="40">
        <v>107</v>
      </c>
      <c r="AZ115" s="58"/>
      <c r="BA115" s="58"/>
    </row>
    <row r="116" spans="2:53" ht="15.75" thickBot="1">
      <c r="B116" s="20"/>
      <c r="C116" s="15"/>
      <c r="D116" s="1"/>
      <c r="E116" s="1"/>
      <c r="F116" s="118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20"/>
      <c r="Y116" s="288"/>
      <c r="Z116" s="1"/>
      <c r="AA116" s="16"/>
      <c r="AB116" s="24"/>
      <c r="AC116" s="77"/>
      <c r="AD116" s="77"/>
      <c r="AE116" s="77"/>
      <c r="AF116" s="77"/>
      <c r="AG116" s="77"/>
      <c r="AH116" s="77"/>
      <c r="AI116" s="77"/>
      <c r="AJ116" s="77"/>
      <c r="AK116" s="77"/>
      <c r="AY116" s="40">
        <v>108</v>
      </c>
      <c r="AZ116" s="58"/>
      <c r="BA116" s="58"/>
    </row>
    <row r="117" spans="2:53" ht="15">
      <c r="B117" s="20"/>
      <c r="C117" s="15"/>
      <c r="D117" s="1"/>
      <c r="E117" s="1"/>
      <c r="F117" s="3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5"/>
      <c r="X117" s="36"/>
      <c r="Y117" s="288"/>
      <c r="Z117" s="1"/>
      <c r="AA117" s="16"/>
      <c r="AB117" s="24"/>
      <c r="AC117" s="77"/>
      <c r="AD117" s="77"/>
      <c r="AE117" s="77"/>
      <c r="AF117" s="77"/>
      <c r="AG117" s="77"/>
      <c r="AH117" s="77"/>
      <c r="AI117" s="77"/>
      <c r="AJ117" s="77"/>
      <c r="AK117" s="77"/>
      <c r="AY117" s="40">
        <v>109</v>
      </c>
      <c r="AZ117" s="58"/>
      <c r="BA117" s="58"/>
    </row>
    <row r="118" spans="2:53" ht="15">
      <c r="B118" s="20"/>
      <c r="C118" s="15"/>
      <c r="D118" s="1"/>
      <c r="E118" s="1"/>
      <c r="F118" s="3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36"/>
      <c r="Y118" s="288"/>
      <c r="Z118" s="1"/>
      <c r="AA118" s="16"/>
      <c r="AB118" s="24"/>
      <c r="AC118" s="77"/>
      <c r="AD118" s="77"/>
      <c r="AE118" s="77"/>
      <c r="AF118" s="77"/>
      <c r="AG118" s="77"/>
      <c r="AH118" s="77"/>
      <c r="AI118" s="77"/>
      <c r="AJ118" s="77"/>
      <c r="AK118" s="77"/>
      <c r="AY118" s="40">
        <v>110</v>
      </c>
      <c r="AZ118" s="58"/>
      <c r="BA118" s="58"/>
    </row>
    <row r="119" spans="2:53" ht="15">
      <c r="B119" s="20"/>
      <c r="C119" s="15"/>
      <c r="D119" s="1"/>
      <c r="E119" s="1"/>
      <c r="F119" s="284" t="str">
        <f>F95</f>
        <v>Vùng B</v>
      </c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6"/>
      <c r="Y119" s="288"/>
      <c r="Z119" s="1"/>
      <c r="AA119" s="16"/>
      <c r="AB119" s="24"/>
      <c r="AC119" s="77"/>
      <c r="AD119" s="77"/>
      <c r="AE119" s="77"/>
      <c r="AF119" s="77"/>
      <c r="AG119" s="77"/>
      <c r="AH119" s="77"/>
      <c r="AI119" s="77"/>
      <c r="AJ119" s="77"/>
      <c r="AK119" s="77"/>
      <c r="AY119" s="40">
        <v>111</v>
      </c>
      <c r="AZ119" s="58"/>
      <c r="BA119" s="58"/>
    </row>
    <row r="120" spans="2:53" ht="15">
      <c r="B120" s="20"/>
      <c r="C120" s="15"/>
      <c r="D120" s="1"/>
      <c r="E120" s="1"/>
      <c r="F120" s="261" t="str">
        <f>F96</f>
        <v>-0.69 kN/m2</v>
      </c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62"/>
      <c r="S120" s="262"/>
      <c r="T120" s="262"/>
      <c r="U120" s="262"/>
      <c r="V120" s="262"/>
      <c r="W120" s="262"/>
      <c r="X120" s="263"/>
      <c r="Y120" s="288"/>
      <c r="Z120" s="1"/>
      <c r="AA120" s="16"/>
      <c r="AB120" s="24"/>
      <c r="AC120" s="77"/>
      <c r="AD120" s="77"/>
      <c r="AE120" s="77"/>
      <c r="AF120" s="77"/>
      <c r="AG120" s="77"/>
      <c r="AH120" s="77"/>
      <c r="AI120" s="77"/>
      <c r="AJ120" s="77"/>
      <c r="AK120" s="77"/>
      <c r="AY120" s="40">
        <v>112</v>
      </c>
      <c r="AZ120" s="58"/>
      <c r="BA120" s="58"/>
    </row>
    <row r="121" spans="2:53" ht="15">
      <c r="B121" s="20"/>
      <c r="C121" s="15"/>
      <c r="D121" s="1"/>
      <c r="E121" s="1"/>
      <c r="F121" s="289" t="str">
        <f>F97</f>
        <v>-0.42 kN/m2</v>
      </c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290"/>
      <c r="R121" s="290"/>
      <c r="S121" s="290"/>
      <c r="T121" s="290"/>
      <c r="U121" s="290"/>
      <c r="V121" s="290"/>
      <c r="W121" s="290"/>
      <c r="X121" s="291"/>
      <c r="Y121" s="288"/>
      <c r="Z121" s="1"/>
      <c r="AA121" s="16"/>
      <c r="AB121" s="24"/>
      <c r="AC121" s="77"/>
      <c r="AD121" s="77"/>
      <c r="AE121" s="77"/>
      <c r="AF121" s="77"/>
      <c r="AG121" s="77"/>
      <c r="AH121" s="77"/>
      <c r="AI121" s="77"/>
      <c r="AJ121" s="77"/>
      <c r="AK121" s="77"/>
      <c r="AY121" s="40">
        <v>113</v>
      </c>
      <c r="AZ121" s="58"/>
      <c r="BA121" s="58"/>
    </row>
    <row r="122" spans="2:53" ht="15">
      <c r="B122" s="20"/>
      <c r="C122" s="15"/>
      <c r="D122" s="1"/>
      <c r="E122" s="1"/>
      <c r="F122" s="3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36"/>
      <c r="Y122" s="288"/>
      <c r="Z122" s="1"/>
      <c r="AA122" s="16"/>
      <c r="AB122" s="24"/>
      <c r="AC122" s="77"/>
      <c r="AD122" s="77"/>
      <c r="AE122" s="77"/>
      <c r="AF122" s="77"/>
      <c r="AG122" s="77"/>
      <c r="AH122" s="77"/>
      <c r="AI122" s="77"/>
      <c r="AJ122" s="77"/>
      <c r="AK122" s="77"/>
      <c r="AY122" s="40">
        <v>114</v>
      </c>
      <c r="AZ122" s="58"/>
      <c r="BA122" s="58"/>
    </row>
    <row r="123" spans="2:53" ht="15.75" thickBot="1">
      <c r="B123" s="20"/>
      <c r="C123" s="15"/>
      <c r="D123" s="1"/>
      <c r="E123" s="1"/>
      <c r="F123" s="3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36"/>
      <c r="Y123" s="288"/>
      <c r="Z123" s="1"/>
      <c r="AA123" s="16"/>
      <c r="AB123" s="24"/>
      <c r="AC123" s="77"/>
      <c r="AD123" s="77"/>
      <c r="AE123" s="77"/>
      <c r="AF123" s="77"/>
      <c r="AG123" s="77"/>
      <c r="AH123" s="77"/>
      <c r="AI123" s="77"/>
      <c r="AJ123" s="77"/>
      <c r="AK123" s="77"/>
      <c r="AY123" s="40">
        <v>115</v>
      </c>
      <c r="AZ123" s="58"/>
      <c r="BA123" s="58"/>
    </row>
    <row r="124" spans="2:53" ht="15">
      <c r="B124" s="20"/>
      <c r="C124" s="15"/>
      <c r="D124" s="1"/>
      <c r="E124" s="1"/>
      <c r="F124" s="37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9"/>
      <c r="Y124" s="288"/>
      <c r="Z124" s="1"/>
      <c r="AA124" s="16"/>
      <c r="AB124" s="24"/>
      <c r="AY124" s="40">
        <v>116</v>
      </c>
      <c r="AZ124" s="58"/>
      <c r="BA124" s="58"/>
    </row>
    <row r="125" spans="2:53" ht="15">
      <c r="B125" s="20"/>
      <c r="C125" s="15"/>
      <c r="D125" s="1"/>
      <c r="E125" s="1"/>
      <c r="F125" s="284" t="str">
        <f>F89</f>
        <v>Vùng C</v>
      </c>
      <c r="G125" s="285"/>
      <c r="H125" s="285"/>
      <c r="I125" s="285"/>
      <c r="J125" s="285"/>
      <c r="K125" s="285"/>
      <c r="L125" s="285"/>
      <c r="M125" s="285"/>
      <c r="N125" s="285"/>
      <c r="O125" s="285"/>
      <c r="P125" s="285"/>
      <c r="Q125" s="285"/>
      <c r="R125" s="285"/>
      <c r="S125" s="285"/>
      <c r="T125" s="285"/>
      <c r="U125" s="285"/>
      <c r="V125" s="285"/>
      <c r="W125" s="285"/>
      <c r="X125" s="286"/>
      <c r="Y125" s="288"/>
      <c r="Z125" s="1"/>
      <c r="AA125" s="16"/>
      <c r="AB125" s="24"/>
      <c r="AY125" s="40">
        <v>117</v>
      </c>
      <c r="AZ125" s="58"/>
      <c r="BA125" s="58"/>
    </row>
    <row r="126" spans="2:53" ht="15">
      <c r="B126" s="20"/>
      <c r="C126" s="15"/>
      <c r="D126" s="1"/>
      <c r="E126" s="1"/>
      <c r="F126" s="261" t="str">
        <f>F90</f>
        <v>-0.42 kN/m2</v>
      </c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62"/>
      <c r="S126" s="262"/>
      <c r="T126" s="262"/>
      <c r="U126" s="262"/>
      <c r="V126" s="262"/>
      <c r="W126" s="262"/>
      <c r="X126" s="263"/>
      <c r="Y126" s="288"/>
      <c r="Z126" s="1"/>
      <c r="AA126" s="16"/>
      <c r="AB126" s="24"/>
      <c r="AY126" s="40">
        <v>118</v>
      </c>
      <c r="AZ126" s="58"/>
      <c r="BA126" s="58"/>
    </row>
    <row r="127" spans="2:53" ht="15">
      <c r="B127" s="20"/>
      <c r="C127" s="15"/>
      <c r="D127" s="1"/>
      <c r="E127" s="1"/>
      <c r="F127" s="289" t="str">
        <f>F91</f>
        <v>-0.14 kN/m2</v>
      </c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290"/>
      <c r="R127" s="290"/>
      <c r="S127" s="290"/>
      <c r="T127" s="290"/>
      <c r="U127" s="290"/>
      <c r="V127" s="290"/>
      <c r="W127" s="290"/>
      <c r="X127" s="291"/>
      <c r="Y127" s="288"/>
      <c r="Z127" s="1"/>
      <c r="AA127" s="16"/>
      <c r="AB127" s="24"/>
      <c r="AY127" s="40">
        <v>119</v>
      </c>
      <c r="AZ127" s="58"/>
      <c r="BA127" s="58"/>
    </row>
    <row r="128" spans="2:53" ht="15.75" thickBot="1">
      <c r="B128" s="20"/>
      <c r="C128" s="15"/>
      <c r="D128" s="1"/>
      <c r="E128" s="1"/>
      <c r="F128" s="118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20"/>
      <c r="Y128" s="288"/>
      <c r="Z128" s="1"/>
      <c r="AA128" s="16"/>
      <c r="AB128" s="24"/>
      <c r="AY128" s="40">
        <v>120</v>
      </c>
      <c r="AZ128" s="58"/>
      <c r="BA128" s="58"/>
    </row>
    <row r="129" spans="1:53" ht="15.75" thickBot="1">
      <c r="B129" s="155"/>
      <c r="C129" s="156"/>
      <c r="D129" s="157"/>
      <c r="E129" s="157"/>
      <c r="F129" s="287"/>
      <c r="G129" s="287"/>
      <c r="H129" s="287"/>
      <c r="I129" s="287"/>
      <c r="J129" s="287"/>
      <c r="K129" s="287"/>
      <c r="L129" s="287"/>
      <c r="M129" s="287"/>
      <c r="N129" s="287"/>
      <c r="O129" s="287"/>
      <c r="P129" s="287"/>
      <c r="Q129" s="287"/>
      <c r="R129" s="287"/>
      <c r="S129" s="287"/>
      <c r="T129" s="287"/>
      <c r="U129" s="287"/>
      <c r="V129" s="287"/>
      <c r="W129" s="287"/>
      <c r="X129" s="287"/>
      <c r="Y129" s="157"/>
      <c r="Z129" s="157"/>
      <c r="AA129" s="158"/>
      <c r="AB129" s="159"/>
      <c r="AY129" s="40">
        <v>121</v>
      </c>
      <c r="AZ129" s="58"/>
      <c r="BA129" s="58"/>
    </row>
    <row r="130" spans="1:53">
      <c r="AY130" s="40">
        <v>125</v>
      </c>
    </row>
    <row r="131" spans="1:53">
      <c r="C131" s="238" t="s">
        <v>250</v>
      </c>
      <c r="D131" s="238"/>
      <c r="E131" s="239">
        <v>8</v>
      </c>
      <c r="F131" s="239"/>
      <c r="G131" s="240" t="s">
        <v>179</v>
      </c>
      <c r="H131" s="241"/>
      <c r="AY131" s="40">
        <v>126</v>
      </c>
    </row>
    <row r="132" spans="1:53">
      <c r="C132" s="238"/>
      <c r="D132" s="238"/>
      <c r="E132" s="239"/>
      <c r="F132" s="239"/>
      <c r="G132" s="241"/>
      <c r="H132" s="241"/>
      <c r="AY132" s="40">
        <v>127</v>
      </c>
    </row>
    <row r="133" spans="1:53">
      <c r="AY133" s="40">
        <v>128</v>
      </c>
    </row>
    <row r="134" spans="1:53" ht="15">
      <c r="A134" s="228" t="s">
        <v>251</v>
      </c>
      <c r="B134" s="228"/>
      <c r="C134" s="227"/>
      <c r="D134" s="227"/>
      <c r="E134" s="226" t="s">
        <v>25</v>
      </c>
      <c r="F134" s="226"/>
      <c r="G134" s="226" t="s">
        <v>26</v>
      </c>
      <c r="H134" s="226"/>
      <c r="I134" s="226" t="s">
        <v>27</v>
      </c>
      <c r="J134" s="226"/>
      <c r="K134" s="229" t="s">
        <v>5</v>
      </c>
      <c r="L134" s="226"/>
      <c r="P134" s="230"/>
      <c r="Q134" s="231"/>
      <c r="R134" s="225" t="s">
        <v>15</v>
      </c>
      <c r="S134" s="225"/>
      <c r="T134" s="225" t="s">
        <v>1</v>
      </c>
      <c r="U134" s="225"/>
      <c r="V134" s="225" t="s">
        <v>0</v>
      </c>
      <c r="W134" s="226"/>
      <c r="AY134" s="40">
        <v>129</v>
      </c>
    </row>
    <row r="135" spans="1:53">
      <c r="A135" s="228"/>
      <c r="B135" s="228"/>
      <c r="C135" s="227" t="str">
        <f>C44</f>
        <v>TH1</v>
      </c>
      <c r="D135" s="227"/>
      <c r="E135" s="232"/>
      <c r="F135" s="233"/>
      <c r="G135" s="233"/>
      <c r="H135" s="234"/>
      <c r="I135" s="224">
        <f t="shared" ref="I135:I136" si="16">I44*$E$131</f>
        <v>-4.9911873617475093</v>
      </c>
      <c r="J135" s="224"/>
      <c r="K135" s="224">
        <f t="shared" ref="K135" si="17">K44*$E$131</f>
        <v>-2.2183054941100044</v>
      </c>
      <c r="L135" s="224"/>
      <c r="P135" s="227" t="str">
        <f>P44</f>
        <v>TH1</v>
      </c>
      <c r="Q135" s="227"/>
      <c r="R135" s="224">
        <f>R44*$E$131</f>
        <v>-4.2443583592973031</v>
      </c>
      <c r="S135" s="224"/>
      <c r="T135" s="224">
        <f t="shared" ref="T135" si="18">T44*$E$131</f>
        <v>-5.5457637352750098</v>
      </c>
      <c r="U135" s="224"/>
      <c r="V135" s="224">
        <f t="shared" ref="V135" si="19">V44*$E$131</f>
        <v>-3.3274582411650067</v>
      </c>
      <c r="W135" s="224"/>
      <c r="AY135" s="40">
        <v>130</v>
      </c>
    </row>
    <row r="136" spans="1:53">
      <c r="A136" s="228"/>
      <c r="B136" s="228"/>
      <c r="C136" s="227" t="str">
        <f>C45</f>
        <v>TH2</v>
      </c>
      <c r="D136" s="227"/>
      <c r="E136" s="235"/>
      <c r="F136" s="236"/>
      <c r="G136" s="236"/>
      <c r="H136" s="237"/>
      <c r="I136" s="224">
        <f t="shared" si="16"/>
        <v>-2.7728818676375049</v>
      </c>
      <c r="J136" s="224"/>
      <c r="K136" s="224">
        <f>K45*$E$131</f>
        <v>2.2183054941100044</v>
      </c>
      <c r="L136" s="224"/>
      <c r="P136" s="227" t="str">
        <f>P45</f>
        <v>TH2</v>
      </c>
      <c r="Q136" s="227"/>
      <c r="R136" s="224">
        <f>R45*$E$131</f>
        <v>-2.0260528651872991</v>
      </c>
      <c r="S136" s="224"/>
      <c r="T136" s="224">
        <f t="shared" ref="T136" si="20">T45*$E$131</f>
        <v>-3.3274582411650058</v>
      </c>
      <c r="U136" s="224"/>
      <c r="V136" s="224">
        <f t="shared" ref="V136" si="21">V45*$E$131</f>
        <v>-1.1091527470550022</v>
      </c>
      <c r="W136" s="224"/>
      <c r="AY136" s="40">
        <v>131</v>
      </c>
    </row>
    <row r="137" spans="1:53">
      <c r="AY137" s="40">
        <v>132</v>
      </c>
    </row>
    <row r="138" spans="1:53" ht="15">
      <c r="A138" s="228" t="s">
        <v>252</v>
      </c>
      <c r="B138" s="228"/>
      <c r="C138" s="227"/>
      <c r="D138" s="227"/>
      <c r="E138" s="226" t="s">
        <v>25</v>
      </c>
      <c r="F138" s="226"/>
      <c r="G138" s="226" t="s">
        <v>26</v>
      </c>
      <c r="H138" s="226"/>
      <c r="I138" s="226" t="s">
        <v>27</v>
      </c>
      <c r="J138" s="226"/>
      <c r="K138" s="229" t="s">
        <v>5</v>
      </c>
      <c r="L138" s="226"/>
      <c r="P138" s="230"/>
      <c r="Q138" s="231"/>
      <c r="R138" s="225" t="s">
        <v>15</v>
      </c>
      <c r="S138" s="225"/>
      <c r="T138" s="225" t="s">
        <v>1</v>
      </c>
      <c r="U138" s="225"/>
      <c r="V138" s="225" t="s">
        <v>0</v>
      </c>
      <c r="W138" s="226"/>
      <c r="AY138" s="40">
        <v>133</v>
      </c>
    </row>
    <row r="139" spans="1:53">
      <c r="A139" s="228"/>
      <c r="B139" s="228"/>
      <c r="C139" s="227" t="str">
        <f>C135</f>
        <v>TH1</v>
      </c>
      <c r="D139" s="227"/>
      <c r="E139" s="224">
        <f>E44*$E$131/2</f>
        <v>-5.5457637352750107</v>
      </c>
      <c r="F139" s="224"/>
      <c r="G139" s="224">
        <f>G44*$E$131/2</f>
        <v>-3.8820346146925075</v>
      </c>
      <c r="H139" s="224"/>
      <c r="I139" s="232"/>
      <c r="J139" s="233"/>
      <c r="K139" s="233"/>
      <c r="L139" s="234"/>
      <c r="P139" s="227" t="str">
        <f>P135</f>
        <v>TH1</v>
      </c>
      <c r="Q139" s="227"/>
      <c r="R139" s="224">
        <f>R135/2</f>
        <v>-2.1221791796486515</v>
      </c>
      <c r="S139" s="224"/>
      <c r="T139" s="224">
        <f t="shared" ref="T139:T140" si="22">T135/2</f>
        <v>-2.7728818676375049</v>
      </c>
      <c r="U139" s="224"/>
      <c r="V139" s="224">
        <f t="shared" ref="V139:V140" si="23">V135/2</f>
        <v>-1.6637291205825033</v>
      </c>
      <c r="W139" s="224"/>
      <c r="AY139" s="40">
        <v>134</v>
      </c>
    </row>
    <row r="140" spans="1:53">
      <c r="A140" s="228"/>
      <c r="B140" s="228"/>
      <c r="C140" s="227" t="str">
        <f>C136</f>
        <v>TH2</v>
      </c>
      <c r="D140" s="227"/>
      <c r="E140" s="224">
        <f>E45*$E$131/2</f>
        <v>-4.436610988220008</v>
      </c>
      <c r="F140" s="224"/>
      <c r="G140" s="224">
        <f>G45*$E$131/2</f>
        <v>-2.7728818676375049</v>
      </c>
      <c r="H140" s="224"/>
      <c r="I140" s="235"/>
      <c r="J140" s="236"/>
      <c r="K140" s="236"/>
      <c r="L140" s="237"/>
      <c r="P140" s="227" t="str">
        <f>P136</f>
        <v>TH2</v>
      </c>
      <c r="Q140" s="227"/>
      <c r="R140" s="224">
        <f>R136/2</f>
        <v>-1.0130264325936496</v>
      </c>
      <c r="S140" s="224"/>
      <c r="T140" s="224">
        <f t="shared" si="22"/>
        <v>-1.6637291205825029</v>
      </c>
      <c r="U140" s="224"/>
      <c r="V140" s="224">
        <f t="shared" si="23"/>
        <v>-0.55457637352750111</v>
      </c>
      <c r="W140" s="224"/>
      <c r="AY140" s="40">
        <v>135</v>
      </c>
    </row>
    <row r="141" spans="1:53">
      <c r="AY141" s="40">
        <v>136</v>
      </c>
    </row>
    <row r="142" spans="1:53">
      <c r="AY142" s="40">
        <v>137</v>
      </c>
    </row>
    <row r="143" spans="1:53">
      <c r="AY143" s="40">
        <v>138</v>
      </c>
    </row>
    <row r="144" spans="1:53">
      <c r="AY144" s="40">
        <v>139</v>
      </c>
    </row>
    <row r="145" spans="51:51">
      <c r="AY145" s="40">
        <v>140</v>
      </c>
    </row>
    <row r="146" spans="51:51">
      <c r="AY146" s="40">
        <v>141</v>
      </c>
    </row>
    <row r="147" spans="51:51">
      <c r="AY147" s="40">
        <v>142</v>
      </c>
    </row>
    <row r="148" spans="51:51">
      <c r="AY148" s="40">
        <v>143</v>
      </c>
    </row>
    <row r="149" spans="51:51">
      <c r="AY149" s="40">
        <v>144</v>
      </c>
    </row>
    <row r="150" spans="51:51">
      <c r="AY150" s="40">
        <v>145</v>
      </c>
    </row>
    <row r="151" spans="51:51">
      <c r="AY151" s="40">
        <v>146</v>
      </c>
    </row>
    <row r="152" spans="51:51">
      <c r="AY152" s="40">
        <v>147</v>
      </c>
    </row>
    <row r="153" spans="51:51">
      <c r="AY153" s="40">
        <v>148</v>
      </c>
    </row>
    <row r="154" spans="51:51">
      <c r="AY154" s="40">
        <v>149</v>
      </c>
    </row>
    <row r="155" spans="51:51">
      <c r="AY155" s="40">
        <v>150</v>
      </c>
    </row>
    <row r="156" spans="51:51">
      <c r="AY156" s="40">
        <v>151</v>
      </c>
    </row>
    <row r="157" spans="51:51">
      <c r="AY157" s="40">
        <v>152</v>
      </c>
    </row>
    <row r="158" spans="51:51">
      <c r="AY158" s="40">
        <v>153</v>
      </c>
    </row>
    <row r="159" spans="51:51">
      <c r="AY159" s="40">
        <v>154</v>
      </c>
    </row>
    <row r="160" spans="51:51">
      <c r="AY160" s="40">
        <v>155</v>
      </c>
    </row>
    <row r="161" spans="26:51">
      <c r="AY161" s="40">
        <v>156</v>
      </c>
    </row>
    <row r="162" spans="26:51">
      <c r="AY162" s="40">
        <v>157</v>
      </c>
    </row>
    <row r="163" spans="26:51">
      <c r="AY163" s="40">
        <v>158</v>
      </c>
    </row>
    <row r="167" spans="26:51">
      <c r="Z167" s="25" t="s">
        <v>48</v>
      </c>
    </row>
  </sheetData>
  <mergeCells count="321">
    <mergeCell ref="H86:I86"/>
    <mergeCell ref="K86:L86"/>
    <mergeCell ref="M86:N86"/>
    <mergeCell ref="U70:X70"/>
    <mergeCell ref="O106:P106"/>
    <mergeCell ref="F89:X89"/>
    <mergeCell ref="F90:X90"/>
    <mergeCell ref="F91:X91"/>
    <mergeCell ref="F95:X95"/>
    <mergeCell ref="F96:X96"/>
    <mergeCell ref="F97:X97"/>
    <mergeCell ref="F101:X101"/>
    <mergeCell ref="F102:X102"/>
    <mergeCell ref="F103:X103"/>
    <mergeCell ref="U105:X105"/>
    <mergeCell ref="J105:T105"/>
    <mergeCell ref="F105:I105"/>
    <mergeCell ref="O75:T75"/>
    <mergeCell ref="O76:T76"/>
    <mergeCell ref="O77:T77"/>
    <mergeCell ref="U77:X77"/>
    <mergeCell ref="T37:U37"/>
    <mergeCell ref="V37:W37"/>
    <mergeCell ref="T39:U39"/>
    <mergeCell ref="V39:W39"/>
    <mergeCell ref="V38:W38"/>
    <mergeCell ref="R42:S42"/>
    <mergeCell ref="T42:U42"/>
    <mergeCell ref="X38:Y38"/>
    <mergeCell ref="V42:W42"/>
    <mergeCell ref="X42:Y42"/>
    <mergeCell ref="R38:S38"/>
    <mergeCell ref="T38:U38"/>
    <mergeCell ref="R39:S39"/>
    <mergeCell ref="X39:Y39"/>
    <mergeCell ref="R37:S37"/>
    <mergeCell ref="AP25:AQ25"/>
    <mergeCell ref="AL30:AM30"/>
    <mergeCell ref="AP30:AQ30"/>
    <mergeCell ref="R35:S35"/>
    <mergeCell ref="P34:W34"/>
    <mergeCell ref="X34:Y34"/>
    <mergeCell ref="X35:Y35"/>
    <mergeCell ref="X36:Y36"/>
    <mergeCell ref="X37:Y37"/>
    <mergeCell ref="T35:U35"/>
    <mergeCell ref="AE29:AG29"/>
    <mergeCell ref="AE28:AG28"/>
    <mergeCell ref="AE30:AG30"/>
    <mergeCell ref="AE31:AG31"/>
    <mergeCell ref="AD27:AG27"/>
    <mergeCell ref="AL25:AM25"/>
    <mergeCell ref="V36:W36"/>
    <mergeCell ref="P26:AA26"/>
    <mergeCell ref="P27:AA27"/>
    <mergeCell ref="Z36:AA36"/>
    <mergeCell ref="Z37:AA37"/>
    <mergeCell ref="R36:S36"/>
    <mergeCell ref="T36:U36"/>
    <mergeCell ref="P35:Q35"/>
    <mergeCell ref="AC7:AC10"/>
    <mergeCell ref="L13:N13"/>
    <mergeCell ref="M16:N16"/>
    <mergeCell ref="J16:L16"/>
    <mergeCell ref="M18:N18"/>
    <mergeCell ref="P15:Q16"/>
    <mergeCell ref="K19:L19"/>
    <mergeCell ref="K20:L20"/>
    <mergeCell ref="K21:L21"/>
    <mergeCell ref="K18:L18"/>
    <mergeCell ref="M20:N20"/>
    <mergeCell ref="V7:X10"/>
    <mergeCell ref="Y7:AB10"/>
    <mergeCell ref="J15:N15"/>
    <mergeCell ref="R44:S44"/>
    <mergeCell ref="R45:S45"/>
    <mergeCell ref="T44:U44"/>
    <mergeCell ref="T45:U45"/>
    <mergeCell ref="V44:W44"/>
    <mergeCell ref="V45:W45"/>
    <mergeCell ref="X44:Y44"/>
    <mergeCell ref="X45:Y45"/>
    <mergeCell ref="E44:F44"/>
    <mergeCell ref="E45:F45"/>
    <mergeCell ref="E38:F38"/>
    <mergeCell ref="G38:H38"/>
    <mergeCell ref="I38:J38"/>
    <mergeCell ref="K38:L38"/>
    <mergeCell ref="M38:N38"/>
    <mergeCell ref="E40:F40"/>
    <mergeCell ref="E41:F41"/>
    <mergeCell ref="G41:H41"/>
    <mergeCell ref="I41:J41"/>
    <mergeCell ref="K41:L41"/>
    <mergeCell ref="M41:N41"/>
    <mergeCell ref="G40:H40"/>
    <mergeCell ref="I40:J40"/>
    <mergeCell ref="K40:L40"/>
    <mergeCell ref="M40:N40"/>
    <mergeCell ref="E42:F42"/>
    <mergeCell ref="G42:H42"/>
    <mergeCell ref="I42:J42"/>
    <mergeCell ref="K42:L42"/>
    <mergeCell ref="M42:N42"/>
    <mergeCell ref="E43:F43"/>
    <mergeCell ref="G43:H43"/>
    <mergeCell ref="G44:H44"/>
    <mergeCell ref="I44:J44"/>
    <mergeCell ref="K44:L44"/>
    <mergeCell ref="M44:N44"/>
    <mergeCell ref="K43:L43"/>
    <mergeCell ref="M43:N43"/>
    <mergeCell ref="M24:N24"/>
    <mergeCell ref="C26:N26"/>
    <mergeCell ref="E29:F29"/>
    <mergeCell ref="K24:L24"/>
    <mergeCell ref="J29:K29"/>
    <mergeCell ref="L29:M29"/>
    <mergeCell ref="G35:H35"/>
    <mergeCell ref="I35:J35"/>
    <mergeCell ref="K35:L35"/>
    <mergeCell ref="C35:D35"/>
    <mergeCell ref="E35:F35"/>
    <mergeCell ref="M30:N30"/>
    <mergeCell ref="K36:L36"/>
    <mergeCell ref="M36:N36"/>
    <mergeCell ref="M32:N32"/>
    <mergeCell ref="E51:E54"/>
    <mergeCell ref="Z38:AA38"/>
    <mergeCell ref="C15:F15"/>
    <mergeCell ref="AD46:AE47"/>
    <mergeCell ref="AF46:AI46"/>
    <mergeCell ref="AD48:AE48"/>
    <mergeCell ref="AD49:AD51"/>
    <mergeCell ref="AD54:AE54"/>
    <mergeCell ref="G48:H48"/>
    <mergeCell ref="E48:F48"/>
    <mergeCell ref="J48:K48"/>
    <mergeCell ref="L48:M48"/>
    <mergeCell ref="L28:M28"/>
    <mergeCell ref="M35:N35"/>
    <mergeCell ref="E36:F36"/>
    <mergeCell ref="M19:N19"/>
    <mergeCell ref="G16:I16"/>
    <mergeCell ref="E49:F49"/>
    <mergeCell ref="G49:H49"/>
    <mergeCell ref="M31:N31"/>
    <mergeCell ref="I43:J43"/>
    <mergeCell ref="C16:F16"/>
    <mergeCell ref="V35:W35"/>
    <mergeCell ref="Z35:AA35"/>
    <mergeCell ref="P29:AA29"/>
    <mergeCell ref="M23:N23"/>
    <mergeCell ref="I23:J23"/>
    <mergeCell ref="B7:U10"/>
    <mergeCell ref="C14:N14"/>
    <mergeCell ref="C17:F17"/>
    <mergeCell ref="C27:D27"/>
    <mergeCell ref="E27:F27"/>
    <mergeCell ref="M27:N27"/>
    <mergeCell ref="E28:F28"/>
    <mergeCell ref="J28:K28"/>
    <mergeCell ref="E23:F23"/>
    <mergeCell ref="Z31:AA31"/>
    <mergeCell ref="Z32:AA32"/>
    <mergeCell ref="H29:I29"/>
    <mergeCell ref="H28:I28"/>
    <mergeCell ref="G17:I17"/>
    <mergeCell ref="J17:N17"/>
    <mergeCell ref="M22:N22"/>
    <mergeCell ref="M21:N21"/>
    <mergeCell ref="K22:L22"/>
    <mergeCell ref="P30:Y30"/>
    <mergeCell ref="M45:N45"/>
    <mergeCell ref="E55:E60"/>
    <mergeCell ref="E61:E64"/>
    <mergeCell ref="Z39:AA39"/>
    <mergeCell ref="R40:S40"/>
    <mergeCell ref="T40:U40"/>
    <mergeCell ref="V40:W40"/>
    <mergeCell ref="X40:Y40"/>
    <mergeCell ref="Z40:AA40"/>
    <mergeCell ref="R41:S41"/>
    <mergeCell ref="T41:U41"/>
    <mergeCell ref="V41:W41"/>
    <mergeCell ref="X41:Y41"/>
    <mergeCell ref="Z41:AA41"/>
    <mergeCell ref="F64:I64"/>
    <mergeCell ref="F56:I56"/>
    <mergeCell ref="F57:I57"/>
    <mergeCell ref="F58:I58"/>
    <mergeCell ref="J56:O56"/>
    <mergeCell ref="J57:O57"/>
    <mergeCell ref="J58:O58"/>
    <mergeCell ref="P56:X56"/>
    <mergeCell ref="P57:X57"/>
    <mergeCell ref="P58:X58"/>
    <mergeCell ref="F129:I129"/>
    <mergeCell ref="J129:T129"/>
    <mergeCell ref="U129:X129"/>
    <mergeCell ref="Y112:Y119"/>
    <mergeCell ref="F113:X113"/>
    <mergeCell ref="F114:X114"/>
    <mergeCell ref="F115:X115"/>
    <mergeCell ref="F119:X119"/>
    <mergeCell ref="F120:X120"/>
    <mergeCell ref="Y120:Y124"/>
    <mergeCell ref="F121:X121"/>
    <mergeCell ref="F125:X125"/>
    <mergeCell ref="Y125:Y128"/>
    <mergeCell ref="F126:X126"/>
    <mergeCell ref="F127:X127"/>
    <mergeCell ref="Y88:Y95"/>
    <mergeCell ref="Y96:Y100"/>
    <mergeCell ref="Y101:Y104"/>
    <mergeCell ref="F86:G86"/>
    <mergeCell ref="U82:X82"/>
    <mergeCell ref="U83:X83"/>
    <mergeCell ref="U75:X75"/>
    <mergeCell ref="U76:X76"/>
    <mergeCell ref="Z42:AA42"/>
    <mergeCell ref="R43:S43"/>
    <mergeCell ref="T43:U43"/>
    <mergeCell ref="V43:W43"/>
    <mergeCell ref="X43:Y43"/>
    <mergeCell ref="Z43:AA43"/>
    <mergeCell ref="Y80:Y83"/>
    <mergeCell ref="C47:AA47"/>
    <mergeCell ref="U69:X69"/>
    <mergeCell ref="O69:T69"/>
    <mergeCell ref="F69:N69"/>
    <mergeCell ref="Y70:Y73"/>
    <mergeCell ref="Y74:Y79"/>
    <mergeCell ref="G45:H45"/>
    <mergeCell ref="I45:J45"/>
    <mergeCell ref="K45:L45"/>
    <mergeCell ref="F53:I53"/>
    <mergeCell ref="F63:I63"/>
    <mergeCell ref="F77:N77"/>
    <mergeCell ref="F75:N75"/>
    <mergeCell ref="F76:N76"/>
    <mergeCell ref="U71:X71"/>
    <mergeCell ref="U72:X72"/>
    <mergeCell ref="U81:X81"/>
    <mergeCell ref="Z30:AA30"/>
    <mergeCell ref="AD33:AF33"/>
    <mergeCell ref="O111:P111"/>
    <mergeCell ref="E37:F37"/>
    <mergeCell ref="E39:F39"/>
    <mergeCell ref="G37:H37"/>
    <mergeCell ref="I37:J37"/>
    <mergeCell ref="K37:L37"/>
    <mergeCell ref="C34:L34"/>
    <mergeCell ref="G39:H39"/>
    <mergeCell ref="I39:J39"/>
    <mergeCell ref="K39:L39"/>
    <mergeCell ref="F109:G109"/>
    <mergeCell ref="H109:I109"/>
    <mergeCell ref="K109:L109"/>
    <mergeCell ref="M109:N109"/>
    <mergeCell ref="G36:H36"/>
    <mergeCell ref="I36:J36"/>
    <mergeCell ref="F50:I50"/>
    <mergeCell ref="J50:O50"/>
    <mergeCell ref="P50:X50"/>
    <mergeCell ref="F51:I51"/>
    <mergeCell ref="F52:I52"/>
    <mergeCell ref="F62:I62"/>
    <mergeCell ref="C131:D132"/>
    <mergeCell ref="E131:F132"/>
    <mergeCell ref="G131:H132"/>
    <mergeCell ref="E134:F134"/>
    <mergeCell ref="G134:H134"/>
    <mergeCell ref="I134:J134"/>
    <mergeCell ref="K134:L134"/>
    <mergeCell ref="I135:J135"/>
    <mergeCell ref="K135:L135"/>
    <mergeCell ref="E135:H136"/>
    <mergeCell ref="V134:W134"/>
    <mergeCell ref="P135:Q135"/>
    <mergeCell ref="R135:S135"/>
    <mergeCell ref="T135:U135"/>
    <mergeCell ref="V135:W135"/>
    <mergeCell ref="P136:Q136"/>
    <mergeCell ref="R136:S136"/>
    <mergeCell ref="T136:U136"/>
    <mergeCell ref="V136:W136"/>
    <mergeCell ref="P134:Q134"/>
    <mergeCell ref="R134:S134"/>
    <mergeCell ref="T134:U134"/>
    <mergeCell ref="A134:B136"/>
    <mergeCell ref="A138:B140"/>
    <mergeCell ref="C138:D138"/>
    <mergeCell ref="E138:F138"/>
    <mergeCell ref="G138:H138"/>
    <mergeCell ref="I138:J138"/>
    <mergeCell ref="K138:L138"/>
    <mergeCell ref="P138:Q138"/>
    <mergeCell ref="R138:S138"/>
    <mergeCell ref="C140:D140"/>
    <mergeCell ref="E140:F140"/>
    <mergeCell ref="G140:H140"/>
    <mergeCell ref="P140:Q140"/>
    <mergeCell ref="R140:S140"/>
    <mergeCell ref="I136:J136"/>
    <mergeCell ref="K136:L136"/>
    <mergeCell ref="C135:D135"/>
    <mergeCell ref="C136:D136"/>
    <mergeCell ref="C134:D134"/>
    <mergeCell ref="I139:L140"/>
    <mergeCell ref="T140:U140"/>
    <mergeCell ref="V140:W140"/>
    <mergeCell ref="T138:U138"/>
    <mergeCell ref="V138:W138"/>
    <mergeCell ref="C139:D139"/>
    <mergeCell ref="E139:F139"/>
    <mergeCell ref="G139:H139"/>
    <mergeCell ref="P139:Q139"/>
    <mergeCell ref="R139:S139"/>
    <mergeCell ref="T139:U139"/>
    <mergeCell ref="V139:W139"/>
  </mergeCells>
  <conditionalFormatting sqref="Z17:AA17">
    <cfRule type="expression" dxfId="6" priority="8">
      <formula>$Y$15=INDEX(Site_terrain_type,1)</formula>
    </cfRule>
  </conditionalFormatting>
  <conditionalFormatting sqref="F70:N74 F78:N83 F75:F77">
    <cfRule type="expression" dxfId="5" priority="21">
      <formula>$M$19&lt;=#REF!</formula>
    </cfRule>
  </conditionalFormatting>
  <conditionalFormatting sqref="P51:X55 P59:X64 P56:P58">
    <cfRule type="expression" dxfId="4" priority="6">
      <formula>$M$19&lt;=#REF!</formula>
    </cfRule>
  </conditionalFormatting>
  <conditionalFormatting sqref="F88">
    <cfRule type="expression" dxfId="3" priority="5">
      <formula>$M$19&lt;=#REF!</formula>
    </cfRule>
  </conditionalFormatting>
  <conditionalFormatting sqref="O21:O24">
    <cfRule type="containsText" dxfId="2" priority="3" operator="containsText" text="Clear">
      <formula>NOT(ISERROR(SEARCH("Clear",O21)))</formula>
    </cfRule>
  </conditionalFormatting>
  <conditionalFormatting sqref="AH28:AH31">
    <cfRule type="containsText" dxfId="1" priority="2" operator="containsText" text="TRUE">
      <formula>NOT(ISERROR(SEARCH("TRUE",AH28)))</formula>
    </cfRule>
  </conditionalFormatting>
  <conditionalFormatting sqref="F112">
    <cfRule type="expression" dxfId="0" priority="1">
      <formula>$M$19&lt;=#REF!</formula>
    </cfRule>
  </conditionalFormatting>
  <dataValidations count="5">
    <dataValidation type="list" allowBlank="1" showInputMessage="1" showErrorMessage="1" sqref="M27:N27 Z15:AA15" xr:uid="{CC022615-ADCB-4B83-92AD-23CCBC9D0E9C}">
      <formula1>"A,B,C"</formula1>
    </dataValidation>
    <dataValidation type="list" allowBlank="1" showInputMessage="1" showErrorMessage="1" sqref="E27:F27" xr:uid="{556CF21A-B04A-4707-AEEA-F00AA9FE3B9D}">
      <formula1>"I,II,III,IV,V"</formula1>
    </dataValidation>
    <dataValidation type="list" allowBlank="1" showInputMessage="1" showErrorMessage="1" sqref="AC7:AC10" xr:uid="{72F658D1-28B7-40F2-886D-386B91232F3A}">
      <formula1>$AZ$7:$BA$7</formula1>
    </dataValidation>
    <dataValidation type="list" allowBlank="1" showInputMessage="1" showErrorMessage="1" sqref="G16" xr:uid="{3E6F9B29-9852-463A-9A52-D8520D68CB8F}">
      <formula1>"RC building,Steel building"</formula1>
    </dataValidation>
    <dataValidation type="list" allowBlank="1" showInputMessage="1" showErrorMessage="1" sqref="G17:I17" xr:uid="{376DE9AE-8FE8-4D82-BB82-4C2AA31D1DD4}">
      <formula1>$AD$11:$AD$12</formula1>
    </dataValidation>
  </dataValidations>
  <pageMargins left="0.7" right="0.7" top="0.75" bottom="0.75" header="0.3" footer="0.3"/>
  <pageSetup orientation="portrait" r:id="rId1"/>
  <ignoredErrors>
    <ignoredError sqref="J16:J17 M24" unlocked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02D9F-FAB9-457F-BDD6-3DE08335EE14}">
  <sheetPr codeName="Sheet2"/>
  <dimension ref="A1:BD112"/>
  <sheetViews>
    <sheetView view="pageBreakPreview" zoomScale="115" zoomScaleNormal="160" zoomScaleSheetLayoutView="115" workbookViewId="0">
      <selection activeCell="N20" sqref="N20"/>
    </sheetView>
  </sheetViews>
  <sheetFormatPr defaultRowHeight="12.75"/>
  <cols>
    <col min="1" max="1" width="9.140625" style="54"/>
    <col min="2" max="2" width="9.140625" style="9" customWidth="1"/>
    <col min="3" max="10" width="9.140625" style="9"/>
    <col min="11" max="11" width="9.140625" style="54"/>
    <col min="12" max="25" width="9.140625" style="9"/>
    <col min="26" max="27" width="37.140625" style="9" customWidth="1"/>
    <col min="28" max="16384" width="9.140625" style="9"/>
  </cols>
  <sheetData>
    <row r="1" spans="2:27" s="54" customFormat="1"/>
    <row r="2" spans="2:27" s="54" customFormat="1" ht="13.5" thickBot="1"/>
    <row r="3" spans="2:27" ht="13.5" customHeight="1">
      <c r="B3" s="421"/>
      <c r="C3" s="435"/>
      <c r="D3" s="436"/>
      <c r="E3" s="437"/>
      <c r="F3" s="437"/>
      <c r="G3" s="437"/>
      <c r="H3" s="438"/>
      <c r="I3" s="435"/>
      <c r="J3" s="422"/>
      <c r="Y3" s="40">
        <v>29</v>
      </c>
      <c r="Z3" s="59" t="s">
        <v>53</v>
      </c>
      <c r="AA3" s="59" t="s">
        <v>81</v>
      </c>
    </row>
    <row r="4" spans="2:27" ht="13.5" customHeight="1">
      <c r="B4" s="406"/>
      <c r="C4" s="419"/>
      <c r="D4" s="413"/>
      <c r="E4" s="414"/>
      <c r="F4" s="414"/>
      <c r="G4" s="414"/>
      <c r="H4" s="415"/>
      <c r="I4" s="419"/>
      <c r="J4" s="407"/>
      <c r="Y4" s="40">
        <v>30</v>
      </c>
      <c r="Z4" s="59" t="s">
        <v>54</v>
      </c>
      <c r="AA4" s="59" t="s">
        <v>82</v>
      </c>
    </row>
    <row r="5" spans="2:27">
      <c r="B5" s="406"/>
      <c r="C5" s="419"/>
      <c r="D5" s="410"/>
      <c r="E5" s="411"/>
      <c r="F5" s="411"/>
      <c r="G5" s="411"/>
      <c r="H5" s="412"/>
      <c r="I5" s="419"/>
      <c r="J5" s="407"/>
      <c r="Y5" s="40">
        <v>31</v>
      </c>
      <c r="Z5" s="59" t="s">
        <v>116</v>
      </c>
      <c r="AA5" s="59" t="s">
        <v>121</v>
      </c>
    </row>
    <row r="6" spans="2:27" ht="15.75" customHeight="1">
      <c r="B6" s="406"/>
      <c r="C6" s="419"/>
      <c r="D6" s="413"/>
      <c r="E6" s="414"/>
      <c r="F6" s="414"/>
      <c r="G6" s="414"/>
      <c r="H6" s="415"/>
      <c r="I6" s="419"/>
      <c r="J6" s="407"/>
      <c r="Y6" s="40">
        <v>32</v>
      </c>
      <c r="Z6" s="59" t="s">
        <v>83</v>
      </c>
      <c r="AA6" s="59" t="s">
        <v>84</v>
      </c>
    </row>
    <row r="7" spans="2:27">
      <c r="B7" s="426"/>
      <c r="C7" s="429"/>
      <c r="D7" s="410"/>
      <c r="E7" s="411"/>
      <c r="F7" s="411"/>
      <c r="G7" s="411"/>
      <c r="H7" s="412"/>
      <c r="I7" s="429"/>
      <c r="J7" s="423"/>
      <c r="Y7" s="40">
        <v>33</v>
      </c>
      <c r="Z7" s="59" t="s">
        <v>85</v>
      </c>
      <c r="AA7" s="59" t="s">
        <v>86</v>
      </c>
    </row>
    <row r="8" spans="2:27">
      <c r="B8" s="427"/>
      <c r="C8" s="430"/>
      <c r="D8" s="432"/>
      <c r="E8" s="433"/>
      <c r="F8" s="433"/>
      <c r="G8" s="433"/>
      <c r="H8" s="434"/>
      <c r="I8" s="430"/>
      <c r="J8" s="424"/>
      <c r="Y8" s="40">
        <v>34</v>
      </c>
      <c r="Z8" s="59" t="s">
        <v>87</v>
      </c>
      <c r="AA8" s="59" t="s">
        <v>88</v>
      </c>
    </row>
    <row r="9" spans="2:27">
      <c r="B9" s="427"/>
      <c r="C9" s="430"/>
      <c r="D9" s="432"/>
      <c r="E9" s="433"/>
      <c r="F9" s="433"/>
      <c r="G9" s="433"/>
      <c r="H9" s="434"/>
      <c r="I9" s="430"/>
      <c r="J9" s="424"/>
      <c r="Y9" s="40">
        <v>35</v>
      </c>
      <c r="Z9" s="59" t="s">
        <v>53</v>
      </c>
      <c r="AA9" s="59" t="s">
        <v>117</v>
      </c>
    </row>
    <row r="10" spans="2:27">
      <c r="B10" s="427"/>
      <c r="C10" s="430"/>
      <c r="D10" s="432"/>
      <c r="E10" s="433"/>
      <c r="F10" s="433"/>
      <c r="G10" s="433"/>
      <c r="H10" s="434"/>
      <c r="I10" s="430"/>
      <c r="J10" s="424"/>
      <c r="Y10" s="40">
        <v>36</v>
      </c>
      <c r="Z10" s="59" t="s">
        <v>54</v>
      </c>
      <c r="AA10" s="59" t="s">
        <v>118</v>
      </c>
    </row>
    <row r="11" spans="2:27">
      <c r="B11" s="427"/>
      <c r="C11" s="430"/>
      <c r="D11" s="432"/>
      <c r="E11" s="433"/>
      <c r="F11" s="433"/>
      <c r="G11" s="433"/>
      <c r="H11" s="434"/>
      <c r="I11" s="430"/>
      <c r="J11" s="424"/>
      <c r="Y11" s="40">
        <v>37</v>
      </c>
      <c r="Z11" s="63" t="s">
        <v>21</v>
      </c>
      <c r="AA11" s="63" t="s">
        <v>122</v>
      </c>
    </row>
    <row r="12" spans="2:27">
      <c r="B12" s="427"/>
      <c r="C12" s="430"/>
      <c r="D12" s="432"/>
      <c r="E12" s="433"/>
      <c r="F12" s="433"/>
      <c r="G12" s="433"/>
      <c r="H12" s="434"/>
      <c r="I12" s="430"/>
      <c r="J12" s="424"/>
      <c r="Y12" s="40">
        <v>38</v>
      </c>
      <c r="Z12" s="58"/>
      <c r="AA12" s="58"/>
    </row>
    <row r="13" spans="2:27">
      <c r="B13" s="427"/>
      <c r="C13" s="430"/>
      <c r="D13" s="432"/>
      <c r="E13" s="433"/>
      <c r="F13" s="433"/>
      <c r="G13" s="433"/>
      <c r="H13" s="434"/>
      <c r="I13" s="430"/>
      <c r="J13" s="424"/>
      <c r="Y13" s="40">
        <v>39</v>
      </c>
      <c r="Z13" s="58"/>
      <c r="AA13" s="58"/>
    </row>
    <row r="14" spans="2:27">
      <c r="B14" s="427"/>
      <c r="C14" s="430"/>
      <c r="D14" s="432"/>
      <c r="E14" s="433"/>
      <c r="F14" s="433"/>
      <c r="G14" s="433"/>
      <c r="H14" s="434"/>
      <c r="I14" s="430"/>
      <c r="J14" s="424"/>
      <c r="Y14" s="40">
        <v>40</v>
      </c>
      <c r="Z14" s="58"/>
      <c r="AA14" s="58"/>
    </row>
    <row r="15" spans="2:27">
      <c r="B15" s="427"/>
      <c r="C15" s="430"/>
      <c r="D15" s="432"/>
      <c r="E15" s="433"/>
      <c r="F15" s="433"/>
      <c r="G15" s="433"/>
      <c r="H15" s="434"/>
      <c r="I15" s="430"/>
      <c r="J15" s="424"/>
      <c r="Y15" s="40">
        <v>41</v>
      </c>
      <c r="Z15" s="58"/>
      <c r="AA15" s="58"/>
    </row>
    <row r="16" spans="2:27">
      <c r="B16" s="427"/>
      <c r="C16" s="430"/>
      <c r="D16" s="432"/>
      <c r="E16" s="433"/>
      <c r="F16" s="433"/>
      <c r="G16" s="433"/>
      <c r="H16" s="434"/>
      <c r="I16" s="430"/>
      <c r="J16" s="424"/>
      <c r="Y16" s="40">
        <v>42</v>
      </c>
      <c r="Z16" s="58"/>
      <c r="AA16" s="58"/>
    </row>
    <row r="17" spans="2:27">
      <c r="B17" s="427"/>
      <c r="C17" s="430"/>
      <c r="D17" s="432"/>
      <c r="E17" s="433"/>
      <c r="F17" s="433"/>
      <c r="G17" s="433"/>
      <c r="H17" s="434"/>
      <c r="I17" s="430"/>
      <c r="J17" s="424"/>
      <c r="Y17" s="40">
        <v>43</v>
      </c>
      <c r="Z17" s="58"/>
      <c r="AA17" s="58"/>
    </row>
    <row r="18" spans="2:27">
      <c r="B18" s="428"/>
      <c r="C18" s="431"/>
      <c r="D18" s="413"/>
      <c r="E18" s="414"/>
      <c r="F18" s="414"/>
      <c r="G18" s="414"/>
      <c r="H18" s="415"/>
      <c r="I18" s="431"/>
      <c r="J18" s="425"/>
      <c r="Y18" s="40">
        <v>44</v>
      </c>
      <c r="Z18" s="58"/>
      <c r="AA18" s="58"/>
    </row>
    <row r="19" spans="2:27">
      <c r="B19" s="406"/>
      <c r="C19" s="419"/>
      <c r="D19" s="410"/>
      <c r="E19" s="411"/>
      <c r="F19" s="411"/>
      <c r="G19" s="411"/>
      <c r="H19" s="412"/>
      <c r="I19" s="419"/>
      <c r="J19" s="407"/>
      <c r="Y19" s="40">
        <v>45</v>
      </c>
      <c r="Z19" s="58"/>
      <c r="AA19" s="58"/>
    </row>
    <row r="20" spans="2:27">
      <c r="B20" s="406"/>
      <c r="C20" s="419"/>
      <c r="D20" s="413"/>
      <c r="E20" s="414"/>
      <c r="F20" s="414"/>
      <c r="G20" s="414"/>
      <c r="H20" s="415"/>
      <c r="I20" s="419"/>
      <c r="J20" s="407"/>
      <c r="Y20" s="40">
        <v>46</v>
      </c>
      <c r="Z20" s="58"/>
      <c r="AA20" s="58"/>
    </row>
    <row r="21" spans="2:27" ht="15" customHeight="1">
      <c r="B21" s="406"/>
      <c r="C21" s="419"/>
      <c r="D21" s="410"/>
      <c r="E21" s="411"/>
      <c r="F21" s="411"/>
      <c r="G21" s="411"/>
      <c r="H21" s="412"/>
      <c r="I21" s="419"/>
      <c r="J21" s="407"/>
      <c r="Y21" s="40">
        <v>47</v>
      </c>
      <c r="Z21" s="58"/>
      <c r="AA21" s="58"/>
    </row>
    <row r="22" spans="2:27" ht="13.5" thickBot="1">
      <c r="B22" s="408"/>
      <c r="C22" s="420"/>
      <c r="D22" s="416"/>
      <c r="E22" s="417"/>
      <c r="F22" s="417"/>
      <c r="G22" s="417"/>
      <c r="H22" s="418"/>
      <c r="I22" s="420"/>
      <c r="J22" s="409"/>
      <c r="Y22" s="40">
        <v>48</v>
      </c>
      <c r="Z22" s="58"/>
      <c r="AA22" s="58"/>
    </row>
    <row r="23" spans="2:27">
      <c r="B23" s="54"/>
      <c r="C23" s="54"/>
      <c r="D23" s="54"/>
      <c r="E23" s="54"/>
      <c r="F23" s="54"/>
      <c r="G23" s="54"/>
      <c r="H23" s="54"/>
      <c r="I23" s="54"/>
      <c r="J23" s="54"/>
      <c r="Y23" s="40">
        <v>49</v>
      </c>
      <c r="Z23" s="58"/>
      <c r="AA23" s="58"/>
    </row>
    <row r="24" spans="2:27">
      <c r="B24" s="404"/>
      <c r="C24" s="404"/>
      <c r="D24" s="54"/>
      <c r="E24" s="54"/>
      <c r="F24" s="54"/>
      <c r="G24" s="54"/>
      <c r="H24" s="54"/>
      <c r="I24" s="405"/>
      <c r="J24" s="405"/>
      <c r="Y24" s="40">
        <v>50</v>
      </c>
      <c r="Z24" s="58"/>
      <c r="AA24" s="58"/>
    </row>
    <row r="25" spans="2:27" s="54" customFormat="1">
      <c r="Y25" s="23">
        <v>90</v>
      </c>
      <c r="Z25" s="73"/>
      <c r="AA25" s="73"/>
    </row>
    <row r="26" spans="2:27" s="54" customFormat="1">
      <c r="Y26" s="23">
        <v>91</v>
      </c>
      <c r="Z26" s="73"/>
      <c r="AA26" s="73"/>
    </row>
    <row r="27" spans="2:27">
      <c r="Y27" s="40">
        <v>92</v>
      </c>
      <c r="Z27" s="58"/>
      <c r="AA27" s="58"/>
    </row>
    <row r="28" spans="2:27">
      <c r="Y28" s="40">
        <v>93</v>
      </c>
      <c r="Z28" s="58"/>
      <c r="AA28" s="58"/>
    </row>
    <row r="29" spans="2:27">
      <c r="Y29" s="40">
        <v>94</v>
      </c>
      <c r="Z29" s="58"/>
      <c r="AA29" s="58"/>
    </row>
    <row r="30" spans="2:27">
      <c r="Y30" s="40">
        <v>95</v>
      </c>
      <c r="Z30" s="58"/>
      <c r="AA30" s="58"/>
    </row>
    <row r="31" spans="2:27">
      <c r="Y31" s="40">
        <v>96</v>
      </c>
      <c r="Z31" s="58"/>
      <c r="AA31" s="58"/>
    </row>
    <row r="32" spans="2:27">
      <c r="Y32" s="40">
        <v>97</v>
      </c>
      <c r="Z32" s="58"/>
      <c r="AA32" s="58"/>
    </row>
    <row r="33" spans="25:27">
      <c r="Y33" s="40">
        <v>98</v>
      </c>
      <c r="Z33" s="58"/>
      <c r="AA33" s="58"/>
    </row>
    <row r="34" spans="25:27">
      <c r="Y34" s="40">
        <v>99</v>
      </c>
      <c r="Z34" s="58"/>
      <c r="AA34" s="58"/>
    </row>
    <row r="35" spans="25:27">
      <c r="Y35" s="40">
        <v>100</v>
      </c>
      <c r="Z35" s="58"/>
      <c r="AA35" s="58"/>
    </row>
    <row r="112" spans="1:56" s="10" customFormat="1">
      <c r="A112" s="1"/>
      <c r="B112" s="9"/>
      <c r="C112" s="9"/>
      <c r="D112" s="9"/>
      <c r="E112" s="9"/>
      <c r="F112" s="9"/>
      <c r="G112" s="9"/>
      <c r="H112" s="9"/>
      <c r="I112" s="9"/>
      <c r="J112" s="9"/>
      <c r="K112" s="54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</row>
  </sheetData>
  <mergeCells count="27">
    <mergeCell ref="B3:B4"/>
    <mergeCell ref="J3:J4"/>
    <mergeCell ref="J7:J18"/>
    <mergeCell ref="J5:J6"/>
    <mergeCell ref="B7:B18"/>
    <mergeCell ref="C7:C18"/>
    <mergeCell ref="D7:H18"/>
    <mergeCell ref="I7:I18"/>
    <mergeCell ref="B5:B6"/>
    <mergeCell ref="D5:H6"/>
    <mergeCell ref="C3:C4"/>
    <mergeCell ref="I3:I4"/>
    <mergeCell ref="C5:C6"/>
    <mergeCell ref="I5:I6"/>
    <mergeCell ref="D3:H4"/>
    <mergeCell ref="B24:C24"/>
    <mergeCell ref="I24:J24"/>
    <mergeCell ref="B19:B20"/>
    <mergeCell ref="J19:J20"/>
    <mergeCell ref="B21:B22"/>
    <mergeCell ref="J21:J22"/>
    <mergeCell ref="D19:H20"/>
    <mergeCell ref="D21:H22"/>
    <mergeCell ref="C21:C22"/>
    <mergeCell ref="C19:C20"/>
    <mergeCell ref="I19:I20"/>
    <mergeCell ref="I21:I22"/>
  </mergeCells>
  <pageMargins left="0.7" right="0.7" top="0.75" bottom="0.75" header="0.3" footer="0.3"/>
  <pageSetup scale="125" orientation="landscape" r:id="rId1"/>
  <colBreaks count="1" manualBreakCount="1">
    <brk id="11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TCVN</vt:lpstr>
      <vt:lpstr>Pic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2023-09-06T08:49:51Z</cp:lastPrinted>
  <dcterms:created xsi:type="dcterms:W3CDTF">2000-02-14T22:01:47Z</dcterms:created>
  <dcterms:modified xsi:type="dcterms:W3CDTF">2025-03-07T09:27:02Z</dcterms:modified>
  <cp:category>Structural Enginnering Analysis/Design</cp:category>
</cp:coreProperties>
</file>